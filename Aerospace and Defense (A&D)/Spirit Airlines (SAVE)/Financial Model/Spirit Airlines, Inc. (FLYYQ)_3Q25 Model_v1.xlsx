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0022323E-5B80-422D-8597-4F7349F49F49}" xr6:coauthVersionLast="47" xr6:coauthVersionMax="47" xr10:uidLastSave="{00000000-0000-0000-0000-000000000000}"/>
  <bookViews>
    <workbookView xWindow="-12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9" r:id="rId3"/>
    <sheet name="Debt Schedule" sheetId="21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8" l="1"/>
  <c r="R38" i="8"/>
  <c r="T29" i="8"/>
  <c r="AJ30" i="8"/>
  <c r="AI30" i="8"/>
  <c r="AH30" i="8"/>
  <c r="AG30" i="8"/>
  <c r="AJ29" i="8"/>
  <c r="AI29" i="8"/>
  <c r="AH29" i="8"/>
  <c r="AG29" i="8"/>
  <c r="AJ28" i="8"/>
  <c r="AI28" i="8"/>
  <c r="AH28" i="8"/>
  <c r="AG28" i="8"/>
  <c r="AF28" i="8"/>
  <c r="AJ27" i="8"/>
  <c r="AI27" i="8"/>
  <c r="AH27" i="8"/>
  <c r="AG27" i="8"/>
  <c r="T30" i="8"/>
  <c r="T61" i="8"/>
  <c r="T53" i="8"/>
  <c r="L53" i="8"/>
  <c r="K53" i="8"/>
  <c r="J53" i="8"/>
  <c r="D130" i="8"/>
  <c r="C130" i="8"/>
  <c r="S130" i="8"/>
  <c r="E130" i="8"/>
  <c r="AB130" i="8"/>
  <c r="AA130" i="8"/>
  <c r="Z130" i="8"/>
  <c r="Y130" i="8"/>
  <c r="X130" i="8"/>
  <c r="W130" i="8"/>
  <c r="V130" i="8"/>
  <c r="O130" i="8"/>
  <c r="Q130" i="8" s="1"/>
  <c r="M130" i="8"/>
  <c r="AC130" i="8" s="1"/>
  <c r="R129" i="8"/>
  <c r="S129" i="8" s="1"/>
  <c r="O129" i="8"/>
  <c r="M129" i="8"/>
  <c r="H128" i="8"/>
  <c r="R128" i="8"/>
  <c r="S128" i="8" s="1"/>
  <c r="N128" i="8"/>
  <c r="O128" i="8" s="1"/>
  <c r="G128" i="8"/>
  <c r="F128" i="8"/>
  <c r="E128" i="8"/>
  <c r="D128" i="8"/>
  <c r="C128" i="8"/>
  <c r="J121" i="8"/>
  <c r="J125" i="8" s="1"/>
  <c r="J105" i="8"/>
  <c r="O131" i="8"/>
  <c r="Q131" i="8" s="1"/>
  <c r="C141" i="8"/>
  <c r="O124" i="8"/>
  <c r="O122" i="8"/>
  <c r="Q122" i="8" s="1"/>
  <c r="O120" i="8"/>
  <c r="Q120" i="8" s="1"/>
  <c r="AG120" i="8" s="1"/>
  <c r="O119" i="8"/>
  <c r="Q119" i="8" s="1"/>
  <c r="S132" i="8"/>
  <c r="S100" i="8"/>
  <c r="S106" i="8"/>
  <c r="S107" i="8"/>
  <c r="O115" i="8"/>
  <c r="Q115" i="8" s="1"/>
  <c r="O114" i="8"/>
  <c r="Q114" i="8" s="1"/>
  <c r="O113" i="8"/>
  <c r="Q113" i="8" s="1"/>
  <c r="O112" i="8"/>
  <c r="Q112" i="8" s="1"/>
  <c r="AG112" i="8" s="1"/>
  <c r="O111" i="8"/>
  <c r="O110" i="8"/>
  <c r="Q110" i="8" s="1"/>
  <c r="O106" i="8"/>
  <c r="Q106" i="8" s="1"/>
  <c r="AJ106" i="8" s="1"/>
  <c r="O104" i="8"/>
  <c r="Q104" i="8" s="1"/>
  <c r="AH104" i="8" s="1"/>
  <c r="O103" i="8"/>
  <c r="Q103" i="8" s="1"/>
  <c r="O102" i="8"/>
  <c r="Q102" i="8" s="1"/>
  <c r="AG102" i="8" s="1"/>
  <c r="O101" i="8"/>
  <c r="Q101" i="8" s="1"/>
  <c r="O100" i="8"/>
  <c r="Q100" i="8" s="1"/>
  <c r="O99" i="8"/>
  <c r="S61" i="8"/>
  <c r="AI61" i="8" s="1"/>
  <c r="S53" i="8"/>
  <c r="AI53" i="8" s="1"/>
  <c r="R105" i="8"/>
  <c r="S105" i="8" s="1"/>
  <c r="R103" i="8"/>
  <c r="S103" i="8" s="1"/>
  <c r="R99" i="8"/>
  <c r="S99" i="8" s="1"/>
  <c r="R102" i="8"/>
  <c r="S102" i="8" s="1"/>
  <c r="R101" i="8"/>
  <c r="S101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21" i="8"/>
  <c r="S121" i="8" s="1"/>
  <c r="R123" i="8"/>
  <c r="S123" i="8" s="1"/>
  <c r="R122" i="8"/>
  <c r="S122" i="8" s="1"/>
  <c r="R124" i="8"/>
  <c r="S124" i="8" s="1"/>
  <c r="R119" i="8"/>
  <c r="S119" i="8" s="1"/>
  <c r="R149" i="8"/>
  <c r="R148" i="8"/>
  <c r="R131" i="8"/>
  <c r="S131" i="8" s="1"/>
  <c r="L141" i="8"/>
  <c r="K141" i="8"/>
  <c r="J141" i="8"/>
  <c r="T141" i="8"/>
  <c r="S141" i="8"/>
  <c r="R141" i="8"/>
  <c r="P141" i="8"/>
  <c r="O141" i="8"/>
  <c r="N141" i="8"/>
  <c r="N121" i="8"/>
  <c r="O121" i="8" s="1"/>
  <c r="N123" i="8"/>
  <c r="O123" i="8" s="1"/>
  <c r="T125" i="8"/>
  <c r="P125" i="8"/>
  <c r="L125" i="8"/>
  <c r="K125" i="8"/>
  <c r="H123" i="8"/>
  <c r="M120" i="8"/>
  <c r="M122" i="8"/>
  <c r="H121" i="8"/>
  <c r="G121" i="8"/>
  <c r="G125" i="8" s="1"/>
  <c r="F121" i="8"/>
  <c r="F125" i="8" s="1"/>
  <c r="E121" i="8"/>
  <c r="E125" i="8" s="1"/>
  <c r="D121" i="8"/>
  <c r="D125" i="8" s="1"/>
  <c r="C121" i="8"/>
  <c r="C125" i="8" s="1"/>
  <c r="AB119" i="8"/>
  <c r="AA119" i="8"/>
  <c r="Z119" i="8"/>
  <c r="Y119" i="8"/>
  <c r="Y125" i="8" s="1"/>
  <c r="X119" i="8"/>
  <c r="X125" i="8" s="1"/>
  <c r="W119" i="8"/>
  <c r="W125" i="8" s="1"/>
  <c r="V119" i="8"/>
  <c r="V125" i="8" s="1"/>
  <c r="M119" i="8"/>
  <c r="AC119" i="8" s="1"/>
  <c r="N105" i="8"/>
  <c r="O105" i="8" s="1"/>
  <c r="H111" i="8"/>
  <c r="G111" i="8"/>
  <c r="M111" i="8" s="1"/>
  <c r="F111" i="8"/>
  <c r="E111" i="8"/>
  <c r="D111" i="8"/>
  <c r="C111" i="8"/>
  <c r="R61" i="8"/>
  <c r="AH61" i="8" s="1"/>
  <c r="R53" i="8"/>
  <c r="AH53" i="8" s="1"/>
  <c r="AJ81" i="8"/>
  <c r="AI81" i="8"/>
  <c r="AH81" i="8"/>
  <c r="AF81" i="8"/>
  <c r="AJ80" i="8"/>
  <c r="AI80" i="8"/>
  <c r="AH80" i="8"/>
  <c r="AF80" i="8"/>
  <c r="AJ68" i="8"/>
  <c r="AI68" i="8"/>
  <c r="AH68" i="8"/>
  <c r="AF68" i="8"/>
  <c r="AJ67" i="8"/>
  <c r="AI67" i="8"/>
  <c r="AH67" i="8"/>
  <c r="AF67" i="8"/>
  <c r="AJ65" i="8"/>
  <c r="AI65" i="8"/>
  <c r="AH65" i="8"/>
  <c r="AF65" i="8"/>
  <c r="AJ61" i="8"/>
  <c r="AF61" i="8"/>
  <c r="AJ60" i="8"/>
  <c r="AI60" i="8"/>
  <c r="AH60" i="8"/>
  <c r="AF60" i="8"/>
  <c r="AJ59" i="8"/>
  <c r="AI59" i="8"/>
  <c r="AH59" i="8"/>
  <c r="AF59" i="8"/>
  <c r="AJ58" i="8"/>
  <c r="AI58" i="8"/>
  <c r="AH58" i="8"/>
  <c r="AF58" i="8"/>
  <c r="AJ53" i="8"/>
  <c r="AF53" i="8"/>
  <c r="AJ52" i="8"/>
  <c r="AI52" i="8"/>
  <c r="AH52" i="8"/>
  <c r="AF52" i="8"/>
  <c r="AJ51" i="8"/>
  <c r="AI51" i="8"/>
  <c r="AH51" i="8"/>
  <c r="AF51" i="8"/>
  <c r="AJ50" i="8"/>
  <c r="AI50" i="8"/>
  <c r="AH50" i="8"/>
  <c r="AF50" i="8"/>
  <c r="R34" i="8"/>
  <c r="R30" i="8"/>
  <c r="R29" i="8"/>
  <c r="R27" i="8"/>
  <c r="R28" i="8"/>
  <c r="R26" i="8"/>
  <c r="R22" i="8"/>
  <c r="R21" i="8"/>
  <c r="R19" i="8"/>
  <c r="R18" i="8"/>
  <c r="R17" i="8"/>
  <c r="R16" i="8"/>
  <c r="R15" i="8"/>
  <c r="R14" i="8"/>
  <c r="R13" i="8"/>
  <c r="N29" i="8"/>
  <c r="R10" i="8"/>
  <c r="H105" i="8"/>
  <c r="G105" i="8"/>
  <c r="F105" i="8"/>
  <c r="E105" i="8"/>
  <c r="D105" i="8"/>
  <c r="C105" i="8"/>
  <c r="Q107" i="8"/>
  <c r="M107" i="8"/>
  <c r="AF107" i="8" s="1"/>
  <c r="M106" i="8"/>
  <c r="M104" i="8"/>
  <c r="M103" i="8"/>
  <c r="M102" i="8"/>
  <c r="AB101" i="8"/>
  <c r="AA101" i="8"/>
  <c r="Z101" i="8"/>
  <c r="Y101" i="8"/>
  <c r="X101" i="8"/>
  <c r="W101" i="8"/>
  <c r="V101" i="8"/>
  <c r="M101" i="8"/>
  <c r="AB100" i="8"/>
  <c r="AA100" i="8"/>
  <c r="Z100" i="8"/>
  <c r="Y100" i="8"/>
  <c r="X100" i="8"/>
  <c r="W100" i="8"/>
  <c r="V100" i="8"/>
  <c r="M100" i="8"/>
  <c r="AC100" i="8" s="1"/>
  <c r="M99" i="8"/>
  <c r="Q28" i="8"/>
  <c r="Q27" i="8"/>
  <c r="Q26" i="8"/>
  <c r="AG26" i="8" s="1"/>
  <c r="M30" i="8"/>
  <c r="AF30" i="8" s="1"/>
  <c r="M28" i="8"/>
  <c r="M27" i="8"/>
  <c r="AF27" i="8" s="1"/>
  <c r="M26" i="8"/>
  <c r="AF26" i="8" s="1"/>
  <c r="AB29" i="8"/>
  <c r="AA29" i="8"/>
  <c r="Z29" i="8"/>
  <c r="Y29" i="8"/>
  <c r="X29" i="8"/>
  <c r="W29" i="8"/>
  <c r="V29" i="8"/>
  <c r="H29" i="8"/>
  <c r="G29" i="8"/>
  <c r="M29" i="8" s="1"/>
  <c r="AF29" i="8" s="1"/>
  <c r="E29" i="8"/>
  <c r="H30" i="8"/>
  <c r="Q30" i="8" s="1"/>
  <c r="H53" i="8"/>
  <c r="Q53" i="8" s="1"/>
  <c r="AG53" i="8" s="1"/>
  <c r="G53" i="8"/>
  <c r="M53" i="8" s="1"/>
  <c r="AC53" i="8" s="1"/>
  <c r="Q149" i="8"/>
  <c r="Q148" i="8"/>
  <c r="M149" i="8"/>
  <c r="M148" i="8"/>
  <c r="M131" i="8"/>
  <c r="M123" i="8"/>
  <c r="M115" i="8"/>
  <c r="M114" i="8"/>
  <c r="M113" i="8"/>
  <c r="M112" i="8"/>
  <c r="M110" i="8"/>
  <c r="H141" i="8"/>
  <c r="G141" i="8"/>
  <c r="F141" i="8"/>
  <c r="E141" i="8"/>
  <c r="D141" i="8"/>
  <c r="M74" i="8"/>
  <c r="Q68" i="8"/>
  <c r="AG68" i="8" s="1"/>
  <c r="Q67" i="8"/>
  <c r="AG67" i="8" s="1"/>
  <c r="M67" i="8"/>
  <c r="Q76" i="8"/>
  <c r="AG76" i="8" s="1"/>
  <c r="Q75" i="8"/>
  <c r="AG75" i="8" s="1"/>
  <c r="Q74" i="8"/>
  <c r="AG74" i="8" s="1"/>
  <c r="Q73" i="8"/>
  <c r="AG73" i="8" s="1"/>
  <c r="Q77" i="8"/>
  <c r="AG77" i="8" s="1"/>
  <c r="M77" i="8"/>
  <c r="AJ76" i="8"/>
  <c r="AI76" i="8"/>
  <c r="AH76" i="8"/>
  <c r="AF76" i="8"/>
  <c r="AJ75" i="8"/>
  <c r="AI75" i="8"/>
  <c r="AH75" i="8"/>
  <c r="AF75" i="8"/>
  <c r="AJ74" i="8"/>
  <c r="AI74" i="8"/>
  <c r="AH74" i="8"/>
  <c r="AF74" i="8"/>
  <c r="AJ73" i="8"/>
  <c r="AI73" i="8"/>
  <c r="AH73" i="8"/>
  <c r="AF73" i="8"/>
  <c r="AJ77" i="8"/>
  <c r="AI77" i="8"/>
  <c r="AH77" i="8"/>
  <c r="AF77" i="8"/>
  <c r="E61" i="8"/>
  <c r="D61" i="8"/>
  <c r="C61" i="8"/>
  <c r="F53" i="8"/>
  <c r="E53" i="8"/>
  <c r="D53" i="8"/>
  <c r="C53" i="8"/>
  <c r="AE53" i="8"/>
  <c r="AD53" i="8"/>
  <c r="AB53" i="8"/>
  <c r="AA53" i="8"/>
  <c r="Z53" i="8"/>
  <c r="Y53" i="8"/>
  <c r="X53" i="8"/>
  <c r="W53" i="8"/>
  <c r="V53" i="8"/>
  <c r="Q50" i="8"/>
  <c r="AG50" i="8" s="1"/>
  <c r="M50" i="8"/>
  <c r="Q15" i="8"/>
  <c r="M15" i="8"/>
  <c r="AF15" i="8" s="1"/>
  <c r="AB13" i="8"/>
  <c r="AA13" i="8"/>
  <c r="Z13" i="8"/>
  <c r="Y13" i="8"/>
  <c r="X13" i="8"/>
  <c r="W13" i="8"/>
  <c r="V13" i="8"/>
  <c r="Q13" i="8"/>
  <c r="M13" i="8"/>
  <c r="AD13" i="8" s="1"/>
  <c r="Q84" i="8"/>
  <c r="Q83" i="8"/>
  <c r="Q82" i="8"/>
  <c r="Q81" i="8"/>
  <c r="AG81" i="8" s="1"/>
  <c r="M84" i="8"/>
  <c r="M83" i="8"/>
  <c r="M82" i="8"/>
  <c r="M81" i="8"/>
  <c r="M76" i="8"/>
  <c r="M75" i="8"/>
  <c r="Q61" i="8"/>
  <c r="AG61" i="8" s="1"/>
  <c r="Q60" i="8"/>
  <c r="AG60" i="8" s="1"/>
  <c r="Q59" i="8"/>
  <c r="AG59" i="8" s="1"/>
  <c r="Q58" i="8"/>
  <c r="AG58" i="8" s="1"/>
  <c r="Q52" i="8"/>
  <c r="AG52" i="8" s="1"/>
  <c r="Q51" i="8"/>
  <c r="AG51" i="8" s="1"/>
  <c r="Q49" i="8"/>
  <c r="M52" i="8"/>
  <c r="M51" i="8"/>
  <c r="M49" i="8"/>
  <c r="M61" i="8"/>
  <c r="M60" i="8"/>
  <c r="M59" i="8"/>
  <c r="M58" i="8"/>
  <c r="Q80" i="8"/>
  <c r="AG80" i="8" s="1"/>
  <c r="M80" i="8"/>
  <c r="Q57" i="8"/>
  <c r="M57" i="8"/>
  <c r="Q69" i="8"/>
  <c r="M69" i="8"/>
  <c r="M68" i="8"/>
  <c r="Q66" i="8"/>
  <c r="M66" i="8"/>
  <c r="Q65" i="8"/>
  <c r="AG65" i="8" s="1"/>
  <c r="M65" i="8"/>
  <c r="Q22" i="8"/>
  <c r="Q21" i="8"/>
  <c r="Q20" i="8"/>
  <c r="AI20" i="8" s="1"/>
  <c r="Q19" i="8"/>
  <c r="Q18" i="8"/>
  <c r="Q17" i="8"/>
  <c r="Q16" i="8"/>
  <c r="AG16" i="8" s="1"/>
  <c r="M22" i="8"/>
  <c r="AF22" i="8" s="1"/>
  <c r="M21" i="8"/>
  <c r="AF21" i="8" s="1"/>
  <c r="M20" i="8"/>
  <c r="AF20" i="8" s="1"/>
  <c r="M19" i="8"/>
  <c r="AF19" i="8" s="1"/>
  <c r="M18" i="8"/>
  <c r="AF18" i="8" s="1"/>
  <c r="M17" i="8"/>
  <c r="AF17" i="8" s="1"/>
  <c r="M16" i="8"/>
  <c r="AF16" i="8" s="1"/>
  <c r="M41" i="8"/>
  <c r="AC41" i="8" s="1"/>
  <c r="M38" i="8"/>
  <c r="AC38" i="8" s="1"/>
  <c r="Q34" i="8"/>
  <c r="M34" i="8"/>
  <c r="Q14" i="8"/>
  <c r="AG14" i="8" s="1"/>
  <c r="M14" i="8"/>
  <c r="AF14" i="8" s="1"/>
  <c r="AI38" i="8"/>
  <c r="AH38" i="8"/>
  <c r="AF38" i="8"/>
  <c r="AE38" i="8"/>
  <c r="AD38" i="8"/>
  <c r="AB38" i="8"/>
  <c r="AA38" i="8"/>
  <c r="Z38" i="8"/>
  <c r="X38" i="8"/>
  <c r="W38" i="8"/>
  <c r="V38" i="8"/>
  <c r="AJ38" i="8"/>
  <c r="AI41" i="8"/>
  <c r="AH41" i="8"/>
  <c r="AF41" i="8"/>
  <c r="AE41" i="8"/>
  <c r="AD41" i="8"/>
  <c r="AB41" i="8"/>
  <c r="AA41" i="8"/>
  <c r="Z41" i="8"/>
  <c r="X41" i="8"/>
  <c r="W41" i="8"/>
  <c r="V41" i="8"/>
  <c r="AJ41" i="8"/>
  <c r="Q41" i="8"/>
  <c r="AG41" i="8" s="1"/>
  <c r="Y41" i="8"/>
  <c r="Y38" i="8"/>
  <c r="Q38" i="8"/>
  <c r="AG69" i="9"/>
  <c r="AF69" i="9"/>
  <c r="AE69" i="9"/>
  <c r="AC69" i="9"/>
  <c r="AB69" i="9"/>
  <c r="AA69" i="9"/>
  <c r="Y69" i="9"/>
  <c r="X69" i="9"/>
  <c r="W69" i="9"/>
  <c r="U69" i="9"/>
  <c r="AD69" i="9"/>
  <c r="Z69" i="9"/>
  <c r="V69" i="9"/>
  <c r="V21" i="21"/>
  <c r="V20" i="21"/>
  <c r="V19" i="21"/>
  <c r="V17" i="21"/>
  <c r="V14" i="21"/>
  <c r="V12" i="21"/>
  <c r="V11" i="21"/>
  <c r="V9" i="21"/>
  <c r="S25" i="21"/>
  <c r="R25" i="21"/>
  <c r="Q25" i="21"/>
  <c r="O25" i="21"/>
  <c r="N25" i="21"/>
  <c r="M25" i="21"/>
  <c r="K25" i="21"/>
  <c r="J25" i="21"/>
  <c r="I25" i="21"/>
  <c r="G25" i="21"/>
  <c r="F25" i="21"/>
  <c r="E25" i="21"/>
  <c r="D25" i="21"/>
  <c r="C25" i="21"/>
  <c r="AG7" i="21"/>
  <c r="AF7" i="21"/>
  <c r="AE7" i="21"/>
  <c r="AC7" i="21"/>
  <c r="AB7" i="21"/>
  <c r="AA7" i="21"/>
  <c r="Z7" i="21"/>
  <c r="Y7" i="21"/>
  <c r="X7" i="21"/>
  <c r="W7" i="21"/>
  <c r="V7" i="21"/>
  <c r="U7" i="21"/>
  <c r="AD7" i="21"/>
  <c r="L25" i="21"/>
  <c r="AG8" i="21"/>
  <c r="AF8" i="21"/>
  <c r="AE8" i="21"/>
  <c r="AC8" i="21"/>
  <c r="AB8" i="21"/>
  <c r="AA8" i="21"/>
  <c r="Y8" i="21"/>
  <c r="X8" i="21"/>
  <c r="W8" i="21"/>
  <c r="V8" i="21"/>
  <c r="U8" i="21"/>
  <c r="AD8" i="21"/>
  <c r="Z8" i="21"/>
  <c r="Z24" i="21"/>
  <c r="Z23" i="21"/>
  <c r="Z22" i="21"/>
  <c r="Z21" i="21"/>
  <c r="Z20" i="21"/>
  <c r="Z19" i="21"/>
  <c r="Z18" i="21"/>
  <c r="Z17" i="21"/>
  <c r="Z16" i="21"/>
  <c r="Z15" i="21"/>
  <c r="Z14" i="21"/>
  <c r="Z13" i="21"/>
  <c r="Z12" i="21"/>
  <c r="Z11" i="21"/>
  <c r="Z10" i="21"/>
  <c r="Z9" i="21"/>
  <c r="AD24" i="21"/>
  <c r="AD23" i="21"/>
  <c r="AD22" i="21"/>
  <c r="AD21" i="21"/>
  <c r="AD20" i="21"/>
  <c r="AD19" i="21"/>
  <c r="AD17" i="21"/>
  <c r="AD16" i="21"/>
  <c r="AD14" i="21"/>
  <c r="AD12" i="21"/>
  <c r="AD11" i="21"/>
  <c r="AD10" i="21"/>
  <c r="AD9" i="21"/>
  <c r="AF24" i="21"/>
  <c r="AE24" i="21"/>
  <c r="AC24" i="21"/>
  <c r="AB24" i="21"/>
  <c r="AA24" i="21"/>
  <c r="Y24" i="21"/>
  <c r="X24" i="21"/>
  <c r="W24" i="21"/>
  <c r="V24" i="21"/>
  <c r="U24" i="21"/>
  <c r="AF23" i="21"/>
  <c r="AE23" i="21"/>
  <c r="AC23" i="21"/>
  <c r="AB23" i="21"/>
  <c r="AA23" i="21"/>
  <c r="Y23" i="21"/>
  <c r="X23" i="21"/>
  <c r="W23" i="21"/>
  <c r="V23" i="21"/>
  <c r="U23" i="21"/>
  <c r="AF22" i="21"/>
  <c r="AE22" i="21"/>
  <c r="AC22" i="21"/>
  <c r="AB22" i="21"/>
  <c r="AA22" i="21"/>
  <c r="Y22" i="21"/>
  <c r="X22" i="21"/>
  <c r="W22" i="21"/>
  <c r="V22" i="21"/>
  <c r="U22" i="21"/>
  <c r="AF21" i="21"/>
  <c r="AE21" i="21"/>
  <c r="AC21" i="21"/>
  <c r="AB21" i="21"/>
  <c r="AA21" i="21"/>
  <c r="Y21" i="21"/>
  <c r="X21" i="21"/>
  <c r="W21" i="21"/>
  <c r="U21" i="21"/>
  <c r="AF20" i="21"/>
  <c r="AE20" i="21"/>
  <c r="AC20" i="21"/>
  <c r="AB20" i="21"/>
  <c r="AA20" i="21"/>
  <c r="Y20" i="21"/>
  <c r="X20" i="21"/>
  <c r="W20" i="21"/>
  <c r="U20" i="21"/>
  <c r="AF19" i="21"/>
  <c r="AE19" i="21"/>
  <c r="AC19" i="21"/>
  <c r="AB19" i="21"/>
  <c r="AA19" i="21"/>
  <c r="Y19" i="21"/>
  <c r="X19" i="21"/>
  <c r="W19" i="21"/>
  <c r="U19" i="21"/>
  <c r="AF18" i="21"/>
  <c r="AE18" i="21"/>
  <c r="AD18" i="21"/>
  <c r="AC18" i="21"/>
  <c r="AB18" i="21"/>
  <c r="AA18" i="21"/>
  <c r="Y18" i="21"/>
  <c r="X18" i="21"/>
  <c r="W18" i="21"/>
  <c r="V18" i="21"/>
  <c r="U18" i="21"/>
  <c r="AF17" i="21"/>
  <c r="AE17" i="21"/>
  <c r="AC17" i="21"/>
  <c r="AB17" i="21"/>
  <c r="AA17" i="21"/>
  <c r="Y17" i="21"/>
  <c r="X17" i="21"/>
  <c r="W17" i="21"/>
  <c r="U17" i="21"/>
  <c r="AF16" i="21"/>
  <c r="AE16" i="21"/>
  <c r="AC16" i="21"/>
  <c r="AB16" i="21"/>
  <c r="AA16" i="21"/>
  <c r="Y16" i="21"/>
  <c r="X16" i="21"/>
  <c r="W16" i="21"/>
  <c r="V16" i="21"/>
  <c r="U16" i="21"/>
  <c r="AF15" i="21"/>
  <c r="AE15" i="21"/>
  <c r="AD15" i="21"/>
  <c r="AC15" i="21"/>
  <c r="AB15" i="21"/>
  <c r="AA15" i="21"/>
  <c r="Y15" i="21"/>
  <c r="X15" i="21"/>
  <c r="W15" i="21"/>
  <c r="V15" i="21"/>
  <c r="U15" i="21"/>
  <c r="AF14" i="21"/>
  <c r="AE14" i="21"/>
  <c r="AC14" i="21"/>
  <c r="AB14" i="21"/>
  <c r="AA14" i="21"/>
  <c r="Y14" i="21"/>
  <c r="X14" i="21"/>
  <c r="W14" i="21"/>
  <c r="U14" i="21"/>
  <c r="AF13" i="21"/>
  <c r="AE13" i="21"/>
  <c r="AD13" i="21"/>
  <c r="AC13" i="21"/>
  <c r="AB13" i="21"/>
  <c r="AA13" i="21"/>
  <c r="Y13" i="21"/>
  <c r="X13" i="21"/>
  <c r="W13" i="21"/>
  <c r="V13" i="21"/>
  <c r="U13" i="21"/>
  <c r="AF12" i="21"/>
  <c r="AE12" i="21"/>
  <c r="AC12" i="21"/>
  <c r="AB12" i="21"/>
  <c r="AA12" i="21"/>
  <c r="Y12" i="21"/>
  <c r="X12" i="21"/>
  <c r="W12" i="21"/>
  <c r="U12" i="21"/>
  <c r="AF11" i="21"/>
  <c r="AE11" i="21"/>
  <c r="AC11" i="21"/>
  <c r="AB11" i="21"/>
  <c r="AA11" i="21"/>
  <c r="Y11" i="21"/>
  <c r="X11" i="21"/>
  <c r="W11" i="21"/>
  <c r="U11" i="21"/>
  <c r="AF10" i="21"/>
  <c r="AE10" i="21"/>
  <c r="AC10" i="21"/>
  <c r="AB10" i="21"/>
  <c r="AA10" i="21"/>
  <c r="Y10" i="21"/>
  <c r="X10" i="21"/>
  <c r="W10" i="21"/>
  <c r="V10" i="21"/>
  <c r="U10" i="21"/>
  <c r="AF9" i="21"/>
  <c r="AE9" i="21"/>
  <c r="AC9" i="21"/>
  <c r="AB9" i="21"/>
  <c r="AA9" i="21"/>
  <c r="Y9" i="21"/>
  <c r="X9" i="21"/>
  <c r="W9" i="21"/>
  <c r="U9" i="21"/>
  <c r="AG23" i="21"/>
  <c r="AG22" i="21"/>
  <c r="AG21" i="21"/>
  <c r="AG20" i="21"/>
  <c r="AG19" i="21"/>
  <c r="AG18" i="21"/>
  <c r="AG17" i="21"/>
  <c r="AG16" i="21"/>
  <c r="AG15" i="21"/>
  <c r="AG14" i="21"/>
  <c r="AG13" i="21"/>
  <c r="AG12" i="21"/>
  <c r="AG11" i="21"/>
  <c r="AG10" i="21"/>
  <c r="AG9" i="21"/>
  <c r="AG24" i="21"/>
  <c r="S4" i="21"/>
  <c r="AG4" i="21" s="1"/>
  <c r="R4" i="21"/>
  <c r="AF4" i="21" s="1"/>
  <c r="Q4" i="21"/>
  <c r="AE4" i="21" s="1"/>
  <c r="O4" i="21"/>
  <c r="AC4" i="21" s="1"/>
  <c r="N4" i="21"/>
  <c r="AB4" i="21" s="1"/>
  <c r="M4" i="21"/>
  <c r="AA4" i="21" s="1"/>
  <c r="K4" i="21"/>
  <c r="Y4" i="21" s="1"/>
  <c r="J4" i="21"/>
  <c r="X4" i="21" s="1"/>
  <c r="I4" i="21"/>
  <c r="W4" i="21" s="1"/>
  <c r="U4" i="21"/>
  <c r="G4" i="21"/>
  <c r="F4" i="21"/>
  <c r="E4" i="21"/>
  <c r="D4" i="21"/>
  <c r="C4" i="21"/>
  <c r="S3" i="21"/>
  <c r="AG3" i="21" s="1"/>
  <c r="R3" i="21"/>
  <c r="AF3" i="21" s="1"/>
  <c r="Q3" i="21"/>
  <c r="AE3" i="21" s="1"/>
  <c r="P3" i="21"/>
  <c r="AD3" i="21" s="1"/>
  <c r="O3" i="21"/>
  <c r="AC3" i="21" s="1"/>
  <c r="N3" i="21"/>
  <c r="AB3" i="21" s="1"/>
  <c r="M3" i="21"/>
  <c r="AA3" i="21" s="1"/>
  <c r="L3" i="21"/>
  <c r="Z3" i="21" s="1"/>
  <c r="K3" i="21"/>
  <c r="Y3" i="21" s="1"/>
  <c r="J3" i="21"/>
  <c r="X3" i="21" s="1"/>
  <c r="I3" i="21"/>
  <c r="W3" i="21" s="1"/>
  <c r="V3" i="21"/>
  <c r="U3" i="21"/>
  <c r="G3" i="21"/>
  <c r="F3" i="21"/>
  <c r="E3" i="21"/>
  <c r="D3" i="21"/>
  <c r="C3" i="21"/>
  <c r="B2" i="21"/>
  <c r="AF129" i="8" l="1"/>
  <c r="AF112" i="8"/>
  <c r="AE130" i="8"/>
  <c r="AD130" i="8"/>
  <c r="AF130" i="8"/>
  <c r="AJ130" i="8"/>
  <c r="AL130" i="8" s="1"/>
  <c r="AI130" i="8"/>
  <c r="AG130" i="8"/>
  <c r="AH130" i="8"/>
  <c r="Q129" i="8"/>
  <c r="AJ129" i="8" s="1"/>
  <c r="AF122" i="8"/>
  <c r="AI107" i="8"/>
  <c r="H125" i="8"/>
  <c r="AE101" i="8"/>
  <c r="AH110" i="8"/>
  <c r="AF114" i="8"/>
  <c r="AI100" i="8"/>
  <c r="AF113" i="8"/>
  <c r="AF103" i="8"/>
  <c r="AF115" i="8"/>
  <c r="Q121" i="8"/>
  <c r="AG121" i="8" s="1"/>
  <c r="AF104" i="8"/>
  <c r="AJ131" i="8"/>
  <c r="R125" i="8"/>
  <c r="AH115" i="8"/>
  <c r="AF106" i="8"/>
  <c r="AI122" i="8"/>
  <c r="AF120" i="8"/>
  <c r="AI101" i="8"/>
  <c r="AF110" i="8"/>
  <c r="AJ114" i="8"/>
  <c r="AI103" i="8"/>
  <c r="AF131" i="8"/>
  <c r="AF99" i="8"/>
  <c r="O125" i="8"/>
  <c r="AJ119" i="8"/>
  <c r="S125" i="8"/>
  <c r="AJ113" i="8"/>
  <c r="AF111" i="8"/>
  <c r="Q111" i="8"/>
  <c r="AJ111" i="8" s="1"/>
  <c r="AF102" i="8"/>
  <c r="Q99" i="8"/>
  <c r="AJ99" i="8" s="1"/>
  <c r="AF121" i="8"/>
  <c r="N125" i="8"/>
  <c r="Q123" i="8"/>
  <c r="AI123" i="8" s="1"/>
  <c r="AF123" i="8"/>
  <c r="AH120" i="8"/>
  <c r="AI120" i="8"/>
  <c r="AJ120" i="8"/>
  <c r="AJ122" i="8"/>
  <c r="AH122" i="8"/>
  <c r="AG122" i="8"/>
  <c r="AJ15" i="8"/>
  <c r="AJ101" i="8"/>
  <c r="AJ110" i="8"/>
  <c r="AI131" i="8"/>
  <c r="AF119" i="8"/>
  <c r="AH119" i="8"/>
  <c r="AD119" i="8"/>
  <c r="AE119" i="8"/>
  <c r="AG131" i="8"/>
  <c r="AG119" i="8"/>
  <c r="AI119" i="8"/>
  <c r="AH131" i="8"/>
  <c r="AG114" i="8"/>
  <c r="AG115" i="8"/>
  <c r="AI115" i="8"/>
  <c r="AJ115" i="8"/>
  <c r="AH114" i="8"/>
  <c r="AI113" i="8"/>
  <c r="AJ103" i="8"/>
  <c r="AH112" i="8"/>
  <c r="Q105" i="8"/>
  <c r="AG105" i="8" s="1"/>
  <c r="AI114" i="8"/>
  <c r="AH102" i="8"/>
  <c r="AJ18" i="8"/>
  <c r="AG113" i="8"/>
  <c r="AF101" i="8"/>
  <c r="AH113" i="8"/>
  <c r="AI110" i="8"/>
  <c r="AI112" i="8"/>
  <c r="AJ112" i="8"/>
  <c r="AG110" i="8"/>
  <c r="AG107" i="8"/>
  <c r="AH107" i="8"/>
  <c r="AJ107" i="8"/>
  <c r="AG101" i="8"/>
  <c r="AH101" i="8"/>
  <c r="AI102" i="8"/>
  <c r="AJ102" i="8"/>
  <c r="AG106" i="8"/>
  <c r="AH106" i="8"/>
  <c r="AI106" i="8"/>
  <c r="AJ104" i="8"/>
  <c r="AI104" i="8"/>
  <c r="AG104" i="8"/>
  <c r="AG103" i="8"/>
  <c r="AH103" i="8"/>
  <c r="AF105" i="8"/>
  <c r="AJ21" i="8"/>
  <c r="AI22" i="8"/>
  <c r="AH13" i="8"/>
  <c r="AJ19" i="8"/>
  <c r="AH17" i="8"/>
  <c r="Q29" i="8"/>
  <c r="AC101" i="8"/>
  <c r="AF100" i="8"/>
  <c r="AJ100" i="8"/>
  <c r="AD101" i="8"/>
  <c r="AG100" i="8"/>
  <c r="AD100" i="8"/>
  <c r="AE100" i="8"/>
  <c r="AH100" i="8"/>
  <c r="AC29" i="8"/>
  <c r="AE29" i="8"/>
  <c r="AD29" i="8"/>
  <c r="AD25" i="21"/>
  <c r="P25" i="21"/>
  <c r="Z25" i="21"/>
  <c r="AL53" i="8"/>
  <c r="AH26" i="8"/>
  <c r="AG13" i="8"/>
  <c r="AJ26" i="8"/>
  <c r="AI14" i="8"/>
  <c r="AH22" i="8"/>
  <c r="AJ14" i="8"/>
  <c r="AH19" i="8"/>
  <c r="AG19" i="8"/>
  <c r="AH16" i="8"/>
  <c r="AI19" i="8"/>
  <c r="AH18" i="8"/>
  <c r="AI17" i="8"/>
  <c r="AJ17" i="8"/>
  <c r="AJ20" i="8"/>
  <c r="AI26" i="8"/>
  <c r="AH14" i="8"/>
  <c r="AG18" i="8"/>
  <c r="AG21" i="8"/>
  <c r="AH21" i="8"/>
  <c r="AI13" i="8"/>
  <c r="AI21" i="8"/>
  <c r="AJ13" i="8"/>
  <c r="AH15" i="8"/>
  <c r="AI18" i="8"/>
  <c r="AG20" i="8"/>
  <c r="AJ22" i="8"/>
  <c r="AI16" i="8"/>
  <c r="AG15" i="8"/>
  <c r="AJ16" i="8"/>
  <c r="AI15" i="8"/>
  <c r="AG17" i="8"/>
  <c r="AH20" i="8"/>
  <c r="AG22" i="8"/>
  <c r="AF13" i="8"/>
  <c r="AC13" i="8"/>
  <c r="AE13" i="8"/>
  <c r="AG38" i="8"/>
  <c r="AL41" i="8"/>
  <c r="AC25" i="21"/>
  <c r="AB25" i="21"/>
  <c r="AA25" i="21"/>
  <c r="W25" i="21"/>
  <c r="AE25" i="21"/>
  <c r="AF25" i="21"/>
  <c r="AG25" i="21"/>
  <c r="X25" i="21"/>
  <c r="Y25" i="21"/>
  <c r="U25" i="21"/>
  <c r="V25" i="21"/>
  <c r="AI129" i="8" l="1"/>
  <c r="AH129" i="8"/>
  <c r="AG129" i="8"/>
  <c r="AH121" i="8"/>
  <c r="AI121" i="8"/>
  <c r="AH99" i="8"/>
  <c r="AG111" i="8"/>
  <c r="AJ121" i="8"/>
  <c r="AG99" i="8"/>
  <c r="AI111" i="8"/>
  <c r="AH111" i="8"/>
  <c r="AI99" i="8"/>
  <c r="AH123" i="8"/>
  <c r="AG123" i="8"/>
  <c r="AJ123" i="8"/>
  <c r="AL119" i="8"/>
  <c r="AL101" i="8"/>
  <c r="AJ105" i="8"/>
  <c r="AI105" i="8"/>
  <c r="AH105" i="8"/>
  <c r="AL100" i="8"/>
  <c r="AL29" i="8"/>
  <c r="AL13" i="8"/>
  <c r="AG61" i="9"/>
  <c r="AF61" i="9"/>
  <c r="AE61" i="9"/>
  <c r="AC61" i="9"/>
  <c r="AG67" i="9"/>
  <c r="AF67" i="9"/>
  <c r="AE67" i="9"/>
  <c r="AC67" i="9"/>
  <c r="AG66" i="9"/>
  <c r="AF66" i="9"/>
  <c r="AE66" i="9"/>
  <c r="AC66" i="9"/>
  <c r="AG60" i="9"/>
  <c r="AF60" i="9"/>
  <c r="AE60" i="9"/>
  <c r="AC60" i="9"/>
  <c r="B10" i="9"/>
  <c r="B9" i="9"/>
  <c r="B8" i="9"/>
  <c r="B7" i="9"/>
  <c r="B6" i="9"/>
  <c r="AG12" i="10"/>
  <c r="V13" i="10"/>
  <c r="AJ13" i="10" s="1"/>
  <c r="V12" i="10"/>
  <c r="AK12" i="10" s="1"/>
  <c r="V11" i="10"/>
  <c r="AK11" i="10" s="1"/>
  <c r="V10" i="10"/>
  <c r="V9" i="10"/>
  <c r="R13" i="10"/>
  <c r="AG13" i="10" s="1"/>
  <c r="R12" i="10"/>
  <c r="R11" i="10"/>
  <c r="AG11" i="10" s="1"/>
  <c r="R10" i="10"/>
  <c r="R9" i="10"/>
  <c r="N13" i="10"/>
  <c r="N12" i="10"/>
  <c r="N11" i="10"/>
  <c r="N10" i="10"/>
  <c r="N9" i="10"/>
  <c r="AJ141" i="8"/>
  <c r="T137" i="8"/>
  <c r="AH141" i="8"/>
  <c r="AJ137" i="8"/>
  <c r="P137" i="8"/>
  <c r="O137" i="8"/>
  <c r="M137" i="8"/>
  <c r="L137" i="8"/>
  <c r="Z141" i="8"/>
  <c r="AB137" i="8"/>
  <c r="AA137" i="8"/>
  <c r="Z124" i="8"/>
  <c r="Z125" i="8" s="1"/>
  <c r="J133" i="8"/>
  <c r="K133" i="8"/>
  <c r="L133" i="8"/>
  <c r="AB128" i="8"/>
  <c r="Z132" i="8"/>
  <c r="Q141" i="8"/>
  <c r="R137" i="8" s="1"/>
  <c r="M141" i="8"/>
  <c r="N137" i="8" s="1"/>
  <c r="E137" i="8"/>
  <c r="D137" i="8"/>
  <c r="Q132" i="8"/>
  <c r="AJ132" i="8" s="1"/>
  <c r="M132" i="8"/>
  <c r="AE132" i="8" s="1"/>
  <c r="W132" i="8"/>
  <c r="Q128" i="8"/>
  <c r="M128" i="8"/>
  <c r="V128" i="8"/>
  <c r="Q140" i="8"/>
  <c r="M140" i="8"/>
  <c r="AD66" i="9"/>
  <c r="AD61" i="9"/>
  <c r="AD60" i="9"/>
  <c r="AD67" i="9"/>
  <c r="M73" i="8"/>
  <c r="Q124" i="8"/>
  <c r="Q125" i="8" s="1"/>
  <c r="M124" i="8"/>
  <c r="M125" i="8" s="1"/>
  <c r="X124" i="8"/>
  <c r="AC128" i="8" l="1"/>
  <c r="AF128" i="8"/>
  <c r="AJ128" i="8"/>
  <c r="AI128" i="8"/>
  <c r="AH128" i="8"/>
  <c r="AG128" i="8"/>
  <c r="AD124" i="8"/>
  <c r="AD125" i="8" s="1"/>
  <c r="AF124" i="8"/>
  <c r="AF125" i="8" s="1"/>
  <c r="AG124" i="8"/>
  <c r="AG125" i="8" s="1"/>
  <c r="AI124" i="8"/>
  <c r="AI125" i="8" s="1"/>
  <c r="AH124" i="8"/>
  <c r="AH125" i="8" s="1"/>
  <c r="AJ124" i="8"/>
  <c r="AJ125" i="8" s="1"/>
  <c r="AM12" i="10"/>
  <c r="AC10" i="9"/>
  <c r="AE10" i="9"/>
  <c r="AE45" i="9"/>
  <c r="S137" i="8"/>
  <c r="K137" i="8"/>
  <c r="W141" i="8"/>
  <c r="AB45" i="9"/>
  <c r="AC148" i="8"/>
  <c r="AD128" i="8"/>
  <c r="X141" i="8"/>
  <c r="AE128" i="8"/>
  <c r="AE137" i="8"/>
  <c r="AA148" i="8"/>
  <c r="AG137" i="8"/>
  <c r="AF132" i="8"/>
  <c r="AL132" i="8" s="1"/>
  <c r="V124" i="8"/>
  <c r="Y141" i="8"/>
  <c r="AA124" i="8"/>
  <c r="AA125" i="8" s="1"/>
  <c r="AD141" i="8"/>
  <c r="AB124" i="8"/>
  <c r="AB125" i="8" s="1"/>
  <c r="AE141" i="8"/>
  <c r="W128" i="8"/>
  <c r="AC132" i="8"/>
  <c r="AG141" i="8"/>
  <c r="X128" i="8"/>
  <c r="Z128" i="8"/>
  <c r="AH132" i="8"/>
  <c r="AD137" i="8"/>
  <c r="AI132" i="8"/>
  <c r="G11" i="9"/>
  <c r="C11" i="9"/>
  <c r="D11" i="9"/>
  <c r="E11" i="9"/>
  <c r="F11" i="9"/>
  <c r="J11" i="9"/>
  <c r="K11" i="9"/>
  <c r="I11" i="9"/>
  <c r="R11" i="9"/>
  <c r="Q11" i="9"/>
  <c r="S11" i="9"/>
  <c r="O11" i="9"/>
  <c r="N11" i="9"/>
  <c r="M11" i="9"/>
  <c r="AD10" i="9"/>
  <c r="AI12" i="10"/>
  <c r="AH13" i="10"/>
  <c r="AI13" i="10"/>
  <c r="AH12" i="10"/>
  <c r="AM11" i="10"/>
  <c r="AJ12" i="10"/>
  <c r="AK13" i="10"/>
  <c r="AM13" i="10" s="1"/>
  <c r="AH11" i="10"/>
  <c r="AI11" i="10"/>
  <c r="AJ11" i="10"/>
  <c r="V148" i="8"/>
  <c r="AA132" i="8"/>
  <c r="X137" i="8"/>
  <c r="W124" i="8"/>
  <c r="AD132" i="8"/>
  <c r="Z137" i="8"/>
  <c r="W137" i="8"/>
  <c r="AB132" i="8"/>
  <c r="Y137" i="8"/>
  <c r="AA141" i="8"/>
  <c r="Y124" i="8"/>
  <c r="AB141" i="8"/>
  <c r="AG132" i="8"/>
  <c r="AC141" i="8"/>
  <c r="AC137" i="8"/>
  <c r="AC124" i="8"/>
  <c r="AC125" i="8" s="1"/>
  <c r="Y128" i="8"/>
  <c r="V132" i="8"/>
  <c r="AF141" i="8"/>
  <c r="AF137" i="8"/>
  <c r="AE124" i="8"/>
  <c r="AE125" i="8" s="1"/>
  <c r="AA128" i="8"/>
  <c r="X132" i="8"/>
  <c r="AH137" i="8"/>
  <c r="Y132" i="8"/>
  <c r="AI141" i="8"/>
  <c r="AI137" i="8"/>
  <c r="V141" i="8"/>
  <c r="V137" i="8"/>
  <c r="F137" i="8"/>
  <c r="G137" i="8"/>
  <c r="H137" i="8"/>
  <c r="Q137" i="8"/>
  <c r="AG16" i="9"/>
  <c r="AF10" i="9" l="1"/>
  <c r="AG10" i="9"/>
  <c r="AI10" i="9" s="1"/>
  <c r="P11" i="9"/>
  <c r="L11" i="9"/>
  <c r="AD45" i="9"/>
  <c r="AF45" i="9"/>
  <c r="AG45" i="9"/>
  <c r="AI148" i="8"/>
  <c r="AC45" i="9"/>
  <c r="AH148" i="8"/>
  <c r="Z148" i="8"/>
  <c r="Y148" i="8"/>
  <c r="AB148" i="8"/>
  <c r="AF148" i="8"/>
  <c r="AD148" i="8"/>
  <c r="AE148" i="8"/>
  <c r="AJ148" i="8"/>
  <c r="AG148" i="8"/>
  <c r="AD16" i="9"/>
  <c r="AF16" i="9"/>
  <c r="AC16" i="9"/>
  <c r="AE16" i="9"/>
  <c r="W148" i="8"/>
  <c r="X148" i="8"/>
  <c r="W34" i="8" l="1"/>
  <c r="X34" i="8"/>
  <c r="V34" i="8"/>
  <c r="AB34" i="8"/>
  <c r="Y34" i="8"/>
  <c r="AA34" i="8"/>
  <c r="Z34" i="8"/>
  <c r="X26" i="8"/>
  <c r="W26" i="8"/>
  <c r="V26" i="8"/>
  <c r="AC34" i="8"/>
  <c r="AF34" i="8"/>
  <c r="AE34" i="8"/>
  <c r="AD34" i="8"/>
  <c r="AB26" i="8"/>
  <c r="Z26" i="8"/>
  <c r="AA26" i="8"/>
  <c r="Y26" i="8"/>
  <c r="AJ34" i="8"/>
  <c r="AI34" i="8"/>
  <c r="AH34" i="8"/>
  <c r="AG34" i="8"/>
  <c r="AE26" i="8"/>
  <c r="AD26" i="8"/>
  <c r="AC26" i="8"/>
  <c r="X10" i="8"/>
  <c r="V10" i="8"/>
  <c r="W10" i="8"/>
  <c r="AD54" i="9" l="1"/>
  <c r="AG54" i="9"/>
  <c r="AF54" i="9"/>
  <c r="AE54" i="9"/>
  <c r="AC54" i="9"/>
  <c r="AG53" i="9"/>
  <c r="AF53" i="9"/>
  <c r="AE53" i="9"/>
  <c r="AC53" i="9"/>
  <c r="Q8" i="8"/>
  <c r="P4" i="21" s="1"/>
  <c r="AD4" i="21" s="1"/>
  <c r="M8" i="8"/>
  <c r="L4" i="21" s="1"/>
  <c r="Z4" i="21" s="1"/>
  <c r="V4" i="21"/>
  <c r="C55" i="9" l="1"/>
  <c r="R55" i="9"/>
  <c r="K55" i="9"/>
  <c r="O55" i="9"/>
  <c r="D55" i="9"/>
  <c r="J55" i="9"/>
  <c r="I55" i="9"/>
  <c r="M55" i="9"/>
  <c r="N55" i="9"/>
  <c r="Q55" i="9"/>
  <c r="S55" i="9"/>
  <c r="AG44" i="9" l="1"/>
  <c r="AL124" i="8" l="1"/>
  <c r="AE44" i="9"/>
  <c r="AD44" i="9"/>
  <c r="AC44" i="9"/>
  <c r="AF44" i="9"/>
  <c r="AE76" i="8" l="1"/>
  <c r="AD76" i="8"/>
  <c r="AA76" i="8"/>
  <c r="AB76" i="8"/>
  <c r="X76" i="8"/>
  <c r="W76" i="8"/>
  <c r="V76" i="8"/>
  <c r="L54" i="8"/>
  <c r="B2" i="9"/>
  <c r="AC9" i="9"/>
  <c r="AC7" i="9"/>
  <c r="T70" i="8"/>
  <c r="S70" i="8"/>
  <c r="R70" i="8"/>
  <c r="P70" i="8"/>
  <c r="O70" i="8"/>
  <c r="N70" i="8"/>
  <c r="L70" i="8"/>
  <c r="K70" i="8"/>
  <c r="J70" i="8"/>
  <c r="H70" i="8"/>
  <c r="G70" i="8"/>
  <c r="F70" i="8"/>
  <c r="E70" i="8"/>
  <c r="AH10" i="10"/>
  <c r="Y84" i="8"/>
  <c r="Y83" i="8"/>
  <c r="Y82" i="8"/>
  <c r="Y80" i="8"/>
  <c r="AG70" i="9"/>
  <c r="S71" i="9"/>
  <c r="AG59" i="9"/>
  <c r="AG58" i="9"/>
  <c r="AG52" i="9"/>
  <c r="AG55" i="9" s="1"/>
  <c r="S4" i="9"/>
  <c r="AG4" i="9" s="1"/>
  <c r="S3" i="9"/>
  <c r="AG3" i="9" s="1"/>
  <c r="X84" i="8"/>
  <c r="W84" i="8"/>
  <c r="V84" i="8"/>
  <c r="X83" i="8"/>
  <c r="W83" i="8"/>
  <c r="V83" i="8"/>
  <c r="X82" i="8"/>
  <c r="W82" i="8"/>
  <c r="V82" i="8"/>
  <c r="X80" i="8"/>
  <c r="W80" i="8"/>
  <c r="V80" i="8"/>
  <c r="X73" i="8"/>
  <c r="W73" i="8"/>
  <c r="V73" i="8"/>
  <c r="X69" i="8"/>
  <c r="W69" i="8"/>
  <c r="V69" i="8"/>
  <c r="X68" i="8"/>
  <c r="W68" i="8"/>
  <c r="V68" i="8"/>
  <c r="X65" i="8"/>
  <c r="W65" i="8"/>
  <c r="V65" i="8"/>
  <c r="X57" i="8"/>
  <c r="W57" i="8"/>
  <c r="V57" i="8"/>
  <c r="X49" i="8"/>
  <c r="W49" i="8"/>
  <c r="V49" i="8"/>
  <c r="X8" i="8"/>
  <c r="X93" i="8" s="1"/>
  <c r="W8" i="8"/>
  <c r="W93" i="8" s="1"/>
  <c r="V8" i="8"/>
  <c r="V93" i="8" s="1"/>
  <c r="X7" i="8"/>
  <c r="X92" i="8" s="1"/>
  <c r="W7" i="8"/>
  <c r="W92" i="8" s="1"/>
  <c r="V7" i="8"/>
  <c r="V92" i="8" s="1"/>
  <c r="Z76" i="8"/>
  <c r="AE73" i="8"/>
  <c r="AD73" i="8"/>
  <c r="AB73" i="8"/>
  <c r="AA73" i="8"/>
  <c r="Z73" i="8"/>
  <c r="AC76" i="8"/>
  <c r="AJ84" i="8"/>
  <c r="AJ83" i="8"/>
  <c r="AJ82" i="8"/>
  <c r="AJ69" i="8"/>
  <c r="AJ66" i="8"/>
  <c r="AJ57" i="8"/>
  <c r="AJ49" i="8"/>
  <c r="AJ8" i="8"/>
  <c r="AJ93" i="8" s="1"/>
  <c r="AJ7" i="8"/>
  <c r="AJ92" i="8" s="1"/>
  <c r="X4" i="10"/>
  <c r="AJ4" i="10" s="1"/>
  <c r="W4" i="10"/>
  <c r="AI4" i="10" s="1"/>
  <c r="V4" i="10"/>
  <c r="AH4" i="10" s="1"/>
  <c r="U4" i="10"/>
  <c r="AG4" i="10" s="1"/>
  <c r="T4" i="10"/>
  <c r="AF4" i="10" s="1"/>
  <c r="S4" i="10"/>
  <c r="AE4" i="10" s="1"/>
  <c r="R4" i="10"/>
  <c r="AD4" i="10" s="1"/>
  <c r="Q4" i="10"/>
  <c r="AC4" i="10" s="1"/>
  <c r="P4" i="10"/>
  <c r="AB4" i="10" s="1"/>
  <c r="O4" i="10"/>
  <c r="AA4" i="10" s="1"/>
  <c r="N4" i="10"/>
  <c r="M4" i="10"/>
  <c r="L4" i="10"/>
  <c r="K4" i="10"/>
  <c r="X3" i="10"/>
  <c r="AJ3" i="10" s="1"/>
  <c r="W3" i="10"/>
  <c r="AI3" i="10" s="1"/>
  <c r="V3" i="10"/>
  <c r="AH3" i="10" s="1"/>
  <c r="U3" i="10"/>
  <c r="AG3" i="10" s="1"/>
  <c r="T3" i="10"/>
  <c r="AF3" i="10" s="1"/>
  <c r="S3" i="10"/>
  <c r="AE3" i="10" s="1"/>
  <c r="R3" i="10"/>
  <c r="AD3" i="10" s="1"/>
  <c r="Q3" i="10"/>
  <c r="AC3" i="10" s="1"/>
  <c r="P3" i="10"/>
  <c r="AB3" i="10" s="1"/>
  <c r="O3" i="10"/>
  <c r="AA3" i="10" s="1"/>
  <c r="N3" i="10"/>
  <c r="M3" i="10"/>
  <c r="L3" i="10"/>
  <c r="K3" i="10"/>
  <c r="Y4" i="10"/>
  <c r="AK4" i="10" s="1"/>
  <c r="Y3" i="10"/>
  <c r="AK3" i="10" s="1"/>
  <c r="T93" i="8"/>
  <c r="T92" i="8"/>
  <c r="T85" i="8"/>
  <c r="T46" i="8"/>
  <c r="T45" i="8"/>
  <c r="T11" i="8"/>
  <c r="T23" i="8" s="1"/>
  <c r="T31" i="8" s="1"/>
  <c r="O71" i="9"/>
  <c r="G71" i="9"/>
  <c r="F71" i="9"/>
  <c r="E71" i="9"/>
  <c r="D71" i="9"/>
  <c r="C71" i="9"/>
  <c r="AI66" i="8"/>
  <c r="AH66" i="8"/>
  <c r="AF66" i="8"/>
  <c r="AE66" i="8"/>
  <c r="AD66" i="8"/>
  <c r="AE68" i="8"/>
  <c r="AD68" i="8"/>
  <c r="AB68" i="8"/>
  <c r="AA68" i="8"/>
  <c r="Z68" i="8"/>
  <c r="AB66" i="8"/>
  <c r="AA66" i="8"/>
  <c r="Z66" i="8"/>
  <c r="AG66" i="8"/>
  <c r="AC66" i="8"/>
  <c r="Y66" i="8"/>
  <c r="Z70" i="9"/>
  <c r="V70" i="9"/>
  <c r="R133" i="8"/>
  <c r="H133" i="8"/>
  <c r="G133" i="8"/>
  <c r="F133" i="8"/>
  <c r="C133" i="8"/>
  <c r="AI69" i="8"/>
  <c r="AH69" i="8"/>
  <c r="AF69" i="8"/>
  <c r="AE69" i="8"/>
  <c r="AD69" i="8"/>
  <c r="AB69" i="8"/>
  <c r="AA69" i="8"/>
  <c r="Z69" i="8"/>
  <c r="W66" i="8"/>
  <c r="AG69" i="8"/>
  <c r="AC69" i="8"/>
  <c r="Y69" i="8"/>
  <c r="AF59" i="9"/>
  <c r="AE59" i="9"/>
  <c r="AC59" i="9"/>
  <c r="AB59" i="9"/>
  <c r="AA59" i="9"/>
  <c r="Y59" i="9"/>
  <c r="X59" i="9"/>
  <c r="W59" i="9"/>
  <c r="U59" i="9"/>
  <c r="AF58" i="9"/>
  <c r="AE58" i="9"/>
  <c r="AC58" i="9"/>
  <c r="AB58" i="9"/>
  <c r="AA58" i="9"/>
  <c r="Y58" i="9"/>
  <c r="X58" i="9"/>
  <c r="W58" i="9"/>
  <c r="U58" i="9"/>
  <c r="AF52" i="9"/>
  <c r="AF55" i="9" s="1"/>
  <c r="AE52" i="9"/>
  <c r="AE55" i="9" s="1"/>
  <c r="AC52" i="9"/>
  <c r="AC55" i="9" s="1"/>
  <c r="AB52" i="9"/>
  <c r="AA52" i="9"/>
  <c r="Y52" i="9"/>
  <c r="X52" i="9"/>
  <c r="W52" i="9"/>
  <c r="U52" i="9"/>
  <c r="AE70" i="9"/>
  <c r="AC70" i="9"/>
  <c r="AB70" i="9"/>
  <c r="AA70" i="9"/>
  <c r="Y70" i="9"/>
  <c r="X70" i="9"/>
  <c r="W70" i="9"/>
  <c r="U70" i="9"/>
  <c r="AF70" i="9"/>
  <c r="R4" i="9"/>
  <c r="AF4" i="9" s="1"/>
  <c r="Q4" i="9"/>
  <c r="AE4" i="9" s="1"/>
  <c r="P4" i="9"/>
  <c r="AD4" i="9" s="1"/>
  <c r="O4" i="9"/>
  <c r="AC4" i="9" s="1"/>
  <c r="N4" i="9"/>
  <c r="AB4" i="9" s="1"/>
  <c r="M4" i="9"/>
  <c r="AA4" i="9" s="1"/>
  <c r="L4" i="9"/>
  <c r="Z4" i="9" s="1"/>
  <c r="K4" i="9"/>
  <c r="Y4" i="9" s="1"/>
  <c r="J4" i="9"/>
  <c r="X4" i="9" s="1"/>
  <c r="I4" i="9"/>
  <c r="W4" i="9" s="1"/>
  <c r="V4" i="9"/>
  <c r="U4" i="9"/>
  <c r="R3" i="9"/>
  <c r="AF3" i="9" s="1"/>
  <c r="Q3" i="9"/>
  <c r="AE3" i="9" s="1"/>
  <c r="P3" i="9"/>
  <c r="AD3" i="9" s="1"/>
  <c r="O3" i="9"/>
  <c r="AC3" i="9" s="1"/>
  <c r="N3" i="9"/>
  <c r="AB3" i="9" s="1"/>
  <c r="M3" i="9"/>
  <c r="AA3" i="9" s="1"/>
  <c r="L3" i="9"/>
  <c r="Z3" i="9" s="1"/>
  <c r="K3" i="9"/>
  <c r="Y3" i="9" s="1"/>
  <c r="J3" i="9"/>
  <c r="X3" i="9" s="1"/>
  <c r="I3" i="9"/>
  <c r="W3" i="9" s="1"/>
  <c r="V3" i="9"/>
  <c r="U3" i="9"/>
  <c r="G4" i="9"/>
  <c r="F4" i="9"/>
  <c r="E4" i="9"/>
  <c r="D4" i="9"/>
  <c r="G3" i="9"/>
  <c r="F3" i="9"/>
  <c r="E3" i="9"/>
  <c r="D3" i="9"/>
  <c r="C4" i="9"/>
  <c r="C3" i="9"/>
  <c r="Q10" i="8"/>
  <c r="M10" i="8"/>
  <c r="X14" i="8"/>
  <c r="AG57" i="8"/>
  <c r="AG83" i="8"/>
  <c r="AG82" i="8"/>
  <c r="AG84" i="8"/>
  <c r="AC84" i="8"/>
  <c r="AC83" i="8"/>
  <c r="AC82" i="8"/>
  <c r="AC80" i="8"/>
  <c r="AC57" i="8"/>
  <c r="Y57" i="8"/>
  <c r="AI84" i="8"/>
  <c r="AH84" i="8"/>
  <c r="AF84" i="8"/>
  <c r="AE84" i="8"/>
  <c r="AD84" i="8"/>
  <c r="AB84" i="8"/>
  <c r="AA84" i="8"/>
  <c r="Z84" i="8"/>
  <c r="AI83" i="8"/>
  <c r="AH83" i="8"/>
  <c r="AF83" i="8"/>
  <c r="AE83" i="8"/>
  <c r="AD83" i="8"/>
  <c r="AB83" i="8"/>
  <c r="AA83" i="8"/>
  <c r="Z83" i="8"/>
  <c r="AI82" i="8"/>
  <c r="AH82" i="8"/>
  <c r="AF82" i="8"/>
  <c r="AE82" i="8"/>
  <c r="AD82" i="8"/>
  <c r="AB82" i="8"/>
  <c r="AA82" i="8"/>
  <c r="Z82" i="8"/>
  <c r="AE80" i="8"/>
  <c r="AD80" i="8"/>
  <c r="AB80" i="8"/>
  <c r="AA80" i="8"/>
  <c r="Z80" i="8"/>
  <c r="AE65" i="8"/>
  <c r="AD65" i="8"/>
  <c r="AB65" i="8"/>
  <c r="AA65" i="8"/>
  <c r="Z65" i="8"/>
  <c r="AI57" i="8"/>
  <c r="AH57" i="8"/>
  <c r="AF57" i="8"/>
  <c r="AE57" i="8"/>
  <c r="AD57" i="8"/>
  <c r="AB57" i="8"/>
  <c r="AA57" i="8"/>
  <c r="Z57" i="8"/>
  <c r="AH49" i="8"/>
  <c r="AF49" i="8"/>
  <c r="AE49" i="8"/>
  <c r="AD49" i="8"/>
  <c r="AB49" i="8"/>
  <c r="AA49" i="8"/>
  <c r="Z49" i="8"/>
  <c r="L85" i="8"/>
  <c r="S93" i="8"/>
  <c r="R93" i="8"/>
  <c r="Q93" i="8"/>
  <c r="P93" i="8"/>
  <c r="O93" i="8"/>
  <c r="N93" i="8"/>
  <c r="M93" i="8"/>
  <c r="L93" i="8"/>
  <c r="K93" i="8"/>
  <c r="J93" i="8"/>
  <c r="S92" i="8"/>
  <c r="R92" i="8"/>
  <c r="Q92" i="8"/>
  <c r="P92" i="8"/>
  <c r="O92" i="8"/>
  <c r="N92" i="8"/>
  <c r="M92" i="8"/>
  <c r="L92" i="8"/>
  <c r="K92" i="8"/>
  <c r="J92" i="8"/>
  <c r="P85" i="8"/>
  <c r="O85" i="8"/>
  <c r="N85" i="8"/>
  <c r="K85" i="8"/>
  <c r="J85" i="8"/>
  <c r="S46" i="8"/>
  <c r="R46" i="8"/>
  <c r="Q46" i="8"/>
  <c r="P46" i="8"/>
  <c r="O46" i="8"/>
  <c r="N46" i="8"/>
  <c r="M46" i="8"/>
  <c r="L46" i="8"/>
  <c r="K46" i="8"/>
  <c r="J46" i="8"/>
  <c r="S45" i="8"/>
  <c r="R45" i="8"/>
  <c r="Q45" i="8"/>
  <c r="P45" i="8"/>
  <c r="O45" i="8"/>
  <c r="N45" i="8"/>
  <c r="M45" i="8"/>
  <c r="L45" i="8"/>
  <c r="K45" i="8"/>
  <c r="J45" i="8"/>
  <c r="H46" i="8"/>
  <c r="G46" i="8"/>
  <c r="F46" i="8"/>
  <c r="E46" i="8"/>
  <c r="D46" i="8"/>
  <c r="C46" i="8"/>
  <c r="H45" i="8"/>
  <c r="G45" i="8"/>
  <c r="F45" i="8"/>
  <c r="E45" i="8"/>
  <c r="D45" i="8"/>
  <c r="C45" i="8"/>
  <c r="AI49" i="8"/>
  <c r="O11" i="8"/>
  <c r="O23" i="8" s="1"/>
  <c r="O31" i="8" s="1"/>
  <c r="N11" i="8"/>
  <c r="N23" i="8" s="1"/>
  <c r="N31" i="8" s="1"/>
  <c r="L11" i="8"/>
  <c r="L23" i="8" s="1"/>
  <c r="L31" i="8" s="1"/>
  <c r="K11" i="8"/>
  <c r="K23" i="8" s="1"/>
  <c r="K31" i="8" s="1"/>
  <c r="J11" i="8"/>
  <c r="J23" i="8" s="1"/>
  <c r="J31" i="8" s="1"/>
  <c r="S11" i="8"/>
  <c r="S23" i="8" s="1"/>
  <c r="S31" i="8" s="1"/>
  <c r="AD8" i="8"/>
  <c r="AC8" i="8"/>
  <c r="AB8" i="8"/>
  <c r="AA8" i="8"/>
  <c r="Z8" i="8"/>
  <c r="Y8" i="8"/>
  <c r="AD7" i="8"/>
  <c r="AC7" i="8"/>
  <c r="AB7" i="8"/>
  <c r="AA7" i="8"/>
  <c r="Z7" i="8"/>
  <c r="Y7" i="8"/>
  <c r="AH8" i="8"/>
  <c r="AG8" i="8"/>
  <c r="AF8" i="8"/>
  <c r="AE8" i="8"/>
  <c r="AH7" i="8"/>
  <c r="AG7" i="8"/>
  <c r="AF7" i="8"/>
  <c r="AE7" i="8"/>
  <c r="AI8" i="8"/>
  <c r="AI7" i="8"/>
  <c r="H4" i="10"/>
  <c r="G4" i="10"/>
  <c r="F4" i="10"/>
  <c r="E4" i="10"/>
  <c r="D4" i="10"/>
  <c r="C4" i="10"/>
  <c r="H3" i="10"/>
  <c r="G3" i="10"/>
  <c r="F3" i="10"/>
  <c r="E3" i="10"/>
  <c r="D3" i="10"/>
  <c r="C3" i="10"/>
  <c r="I4" i="10"/>
  <c r="I3" i="10"/>
  <c r="E78" i="8" l="1"/>
  <c r="O78" i="8"/>
  <c r="F78" i="8"/>
  <c r="P78" i="8"/>
  <c r="G78" i="8"/>
  <c r="R78" i="8"/>
  <c r="N78" i="8"/>
  <c r="H78" i="8"/>
  <c r="S78" i="8"/>
  <c r="Y62" i="9"/>
  <c r="L78" i="8"/>
  <c r="J78" i="8"/>
  <c r="T78" i="8"/>
  <c r="K78" i="8"/>
  <c r="AL76" i="8"/>
  <c r="AG10" i="10"/>
  <c r="AC8" i="9"/>
  <c r="C14" i="10"/>
  <c r="AI10" i="10"/>
  <c r="Z10" i="8"/>
  <c r="AB10" i="8"/>
  <c r="AA10" i="8"/>
  <c r="Y10" i="8"/>
  <c r="AC10" i="8"/>
  <c r="AE10" i="8"/>
  <c r="AF10" i="8"/>
  <c r="AD10" i="8"/>
  <c r="AI10" i="8"/>
  <c r="AH10" i="8"/>
  <c r="AG10" i="8"/>
  <c r="N35" i="8"/>
  <c r="AL49" i="8"/>
  <c r="AL68" i="8"/>
  <c r="AL69" i="8"/>
  <c r="D70" i="8"/>
  <c r="AL80" i="8"/>
  <c r="Y76" i="8"/>
  <c r="AL82" i="8"/>
  <c r="AC46" i="9"/>
  <c r="AL57" i="8"/>
  <c r="AL83" i="8"/>
  <c r="C70" i="8"/>
  <c r="C78" i="8" s="1"/>
  <c r="AL84" i="8"/>
  <c r="AL65" i="8"/>
  <c r="AL66" i="8"/>
  <c r="AC43" i="9"/>
  <c r="AL73" i="8"/>
  <c r="Y73" i="8"/>
  <c r="AC73" i="8"/>
  <c r="W21" i="9"/>
  <c r="V58" i="9"/>
  <c r="Z58" i="9"/>
  <c r="Y15" i="9"/>
  <c r="Y27" i="9" s="1"/>
  <c r="AD53" i="9"/>
  <c r="U73" i="9"/>
  <c r="W73" i="9"/>
  <c r="AD58" i="9"/>
  <c r="W22" i="9"/>
  <c r="AA73" i="9"/>
  <c r="Y65" i="8"/>
  <c r="V59" i="9"/>
  <c r="AD14" i="8"/>
  <c r="AB20" i="9"/>
  <c r="AD22" i="9"/>
  <c r="AC21" i="9"/>
  <c r="AG73" i="9"/>
  <c r="AH149" i="8"/>
  <c r="X73" i="9"/>
  <c r="Y73" i="9"/>
  <c r="AD59" i="9"/>
  <c r="AC15" i="9"/>
  <c r="AC27" i="9" s="1"/>
  <c r="AG21" i="9"/>
  <c r="AB73" i="9"/>
  <c r="AC73" i="9"/>
  <c r="Y49" i="8"/>
  <c r="AC49" i="8"/>
  <c r="L55" i="9"/>
  <c r="AC65" i="8"/>
  <c r="Z59" i="9"/>
  <c r="AB14" i="8"/>
  <c r="V20" i="9"/>
  <c r="W54" i="8"/>
  <c r="W62" i="8" s="1"/>
  <c r="L62" i="8"/>
  <c r="V54" i="8"/>
  <c r="V62" i="8" s="1"/>
  <c r="W70" i="8"/>
  <c r="W78" i="8" s="1"/>
  <c r="AH70" i="8"/>
  <c r="AH78" i="8" s="1"/>
  <c r="AJ10" i="10"/>
  <c r="AK10" i="10"/>
  <c r="AM10" i="10" s="1"/>
  <c r="AI70" i="8"/>
  <c r="AI78" i="8" s="1"/>
  <c r="AJ70" i="8"/>
  <c r="AJ78" i="8" s="1"/>
  <c r="AF70" i="8"/>
  <c r="AF78" i="8" s="1"/>
  <c r="M70" i="8"/>
  <c r="Q70" i="8"/>
  <c r="D14" i="10"/>
  <c r="X149" i="8"/>
  <c r="V140" i="8"/>
  <c r="W85" i="8"/>
  <c r="AG71" i="9"/>
  <c r="V85" i="8"/>
  <c r="X54" i="8"/>
  <c r="X62" i="8" s="1"/>
  <c r="X85" i="8"/>
  <c r="U22" i="9"/>
  <c r="V11" i="8"/>
  <c r="W11" i="8"/>
  <c r="V14" i="8"/>
  <c r="V66" i="8"/>
  <c r="V149" i="8"/>
  <c r="X11" i="8"/>
  <c r="X23" i="8" s="1" a="1"/>
  <c r="X23" i="8" s="1"/>
  <c r="W14" i="8"/>
  <c r="W140" i="8"/>
  <c r="W149" i="8"/>
  <c r="X66" i="8"/>
  <c r="X70" i="8" s="1"/>
  <c r="X78" i="8" s="1"/>
  <c r="V45" i="8"/>
  <c r="V46" i="8"/>
  <c r="W45" i="8"/>
  <c r="W46" i="8"/>
  <c r="X45" i="8"/>
  <c r="X46" i="8"/>
  <c r="X140" i="8"/>
  <c r="T54" i="8"/>
  <c r="AJ85" i="8"/>
  <c r="AJ54" i="8"/>
  <c r="AJ10" i="8"/>
  <c r="AJ45" i="8"/>
  <c r="AJ46" i="8"/>
  <c r="AC68" i="8"/>
  <c r="Z71" i="9"/>
  <c r="Y68" i="8"/>
  <c r="V71" i="9"/>
  <c r="J71" i="9"/>
  <c r="I71" i="9"/>
  <c r="Q71" i="9"/>
  <c r="K71" i="9"/>
  <c r="M71" i="9"/>
  <c r="N71" i="9"/>
  <c r="AB71" i="9"/>
  <c r="U71" i="9"/>
  <c r="AC71" i="9"/>
  <c r="Y71" i="9"/>
  <c r="AE71" i="9"/>
  <c r="AA71" i="9"/>
  <c r="X71" i="9"/>
  <c r="W71" i="9"/>
  <c r="AD70" i="9"/>
  <c r="K54" i="8"/>
  <c r="K62" i="8" s="1"/>
  <c r="D133" i="8"/>
  <c r="E133" i="8"/>
  <c r="S133" i="8"/>
  <c r="N133" i="8"/>
  <c r="O133" i="8"/>
  <c r="S54" i="8"/>
  <c r="S62" i="8" s="1"/>
  <c r="P54" i="8"/>
  <c r="P62" i="8" s="1"/>
  <c r="J54" i="8"/>
  <c r="J62" i="8" s="1"/>
  <c r="O54" i="8"/>
  <c r="O62" i="8" s="1"/>
  <c r="N54" i="8"/>
  <c r="N62" i="8" s="1"/>
  <c r="AF149" i="8"/>
  <c r="U15" i="9"/>
  <c r="U27" i="9" s="1"/>
  <c r="U21" i="9"/>
  <c r="AB55" i="9"/>
  <c r="X26" i="9"/>
  <c r="U55" i="9"/>
  <c r="AA55" i="9"/>
  <c r="U36" i="9"/>
  <c r="U62" i="9"/>
  <c r="X55" i="9"/>
  <c r="W55" i="9"/>
  <c r="Y55" i="9"/>
  <c r="U20" i="9"/>
  <c r="AG149" i="8"/>
  <c r="AD149" i="8"/>
  <c r="AE149" i="8"/>
  <c r="AC149" i="8"/>
  <c r="Y14" i="8"/>
  <c r="M11" i="8"/>
  <c r="M23" i="8" s="1"/>
  <c r="M31" i="8" s="1"/>
  <c r="AE14" i="8"/>
  <c r="AC14" i="8"/>
  <c r="Z14" i="8"/>
  <c r="AA14" i="8"/>
  <c r="M85" i="8"/>
  <c r="M54" i="8"/>
  <c r="M62" i="8" s="1"/>
  <c r="Q54" i="8"/>
  <c r="Q62" i="8" s="1"/>
  <c r="AG49" i="8"/>
  <c r="Z62" i="9" l="1"/>
  <c r="M78" i="8"/>
  <c r="D78" i="8"/>
  <c r="AD62" i="9"/>
  <c r="Q78" i="8"/>
  <c r="W23" i="8" a="1"/>
  <c r="W23" i="8" s="1"/>
  <c r="V23" i="8" a="1"/>
  <c r="V23" i="8" s="1"/>
  <c r="L35" i="8"/>
  <c r="L96" i="8" s="1"/>
  <c r="N96" i="8"/>
  <c r="N39" i="8"/>
  <c r="N42" i="8"/>
  <c r="T86" i="8"/>
  <c r="AG63" i="9"/>
  <c r="U6" i="9"/>
  <c r="AE9" i="9"/>
  <c r="AF9" i="9"/>
  <c r="AD9" i="9"/>
  <c r="AG9" i="9"/>
  <c r="AI9" i="9" s="1"/>
  <c r="AE8" i="9"/>
  <c r="AF8" i="9"/>
  <c r="AG8" i="9"/>
  <c r="AI8" i="9" s="1"/>
  <c r="AD8" i="9"/>
  <c r="AD7" i="9"/>
  <c r="AE7" i="9"/>
  <c r="AF7" i="9"/>
  <c r="AG7" i="9"/>
  <c r="AI7" i="9" s="1"/>
  <c r="Y14" i="10"/>
  <c r="Y15" i="10" s="1"/>
  <c r="T24" i="8"/>
  <c r="T35" i="8"/>
  <c r="AG70" i="8"/>
  <c r="AG78" i="8" s="1"/>
  <c r="AL14" i="8"/>
  <c r="AL128" i="8"/>
  <c r="AF46" i="9"/>
  <c r="AG46" i="9"/>
  <c r="AD46" i="9"/>
  <c r="AE46" i="9"/>
  <c r="AD43" i="9"/>
  <c r="AF43" i="9"/>
  <c r="AE43" i="9"/>
  <c r="AG43" i="9"/>
  <c r="AJ62" i="8"/>
  <c r="AJ86" i="8"/>
  <c r="AL70" i="8"/>
  <c r="AL34" i="8"/>
  <c r="AL26" i="8"/>
  <c r="AJ11" i="8"/>
  <c r="AJ23" i="8" s="1"/>
  <c r="AJ31" i="8" s="1"/>
  <c r="AL10" i="8"/>
  <c r="P55" i="9"/>
  <c r="AD52" i="9"/>
  <c r="AD55" i="9" s="1"/>
  <c r="AB74" i="9"/>
  <c r="AB83" i="9" s="1"/>
  <c r="AA74" i="9"/>
  <c r="AA83" i="9" s="1"/>
  <c r="S74" i="9"/>
  <c r="S83" i="9" s="1"/>
  <c r="AG37" i="9"/>
  <c r="AC37" i="9"/>
  <c r="V73" i="9"/>
  <c r="V74" i="9" s="1"/>
  <c r="V83" i="9" s="1"/>
  <c r="Y74" i="9"/>
  <c r="Y83" i="9" s="1"/>
  <c r="W63" i="9"/>
  <c r="Y63" i="9"/>
  <c r="AC74" i="9"/>
  <c r="AC83" i="9" s="1"/>
  <c r="K86" i="8"/>
  <c r="K88" i="8" s="1"/>
  <c r="X63" i="9"/>
  <c r="U63" i="9"/>
  <c r="U74" i="9"/>
  <c r="U83" i="9" s="1"/>
  <c r="AG74" i="9"/>
  <c r="AG83" i="9" s="1"/>
  <c r="Z73" i="9"/>
  <c r="Z74" i="9" s="1"/>
  <c r="Z83" i="9" s="1"/>
  <c r="V62" i="9"/>
  <c r="X74" i="9"/>
  <c r="X83" i="9" s="1"/>
  <c r="W74" i="9"/>
  <c r="W83" i="9" s="1"/>
  <c r="V70" i="8"/>
  <c r="V22" i="9"/>
  <c r="AI21" i="9"/>
  <c r="AC22" i="9"/>
  <c r="X31" i="8"/>
  <c r="AA22" i="9"/>
  <c r="AB22" i="9"/>
  <c r="Z22" i="9"/>
  <c r="W86" i="8"/>
  <c r="W88" i="8" s="1"/>
  <c r="X86" i="8"/>
  <c r="X88" i="8" s="1"/>
  <c r="Y22" i="9"/>
  <c r="X22" i="9"/>
  <c r="AF15" i="9"/>
  <c r="AF27" i="9" s="1"/>
  <c r="AG15" i="9"/>
  <c r="AG27" i="9" s="1"/>
  <c r="AF20" i="9"/>
  <c r="AG20" i="9"/>
  <c r="T62" i="8"/>
  <c r="AG62" i="9"/>
  <c r="AG35" i="9"/>
  <c r="AG22" i="9"/>
  <c r="AE22" i="9"/>
  <c r="AF22" i="9"/>
  <c r="AG140" i="8"/>
  <c r="AI140" i="8"/>
  <c r="AJ140" i="8"/>
  <c r="AA140" i="8"/>
  <c r="AH140" i="8"/>
  <c r="L86" i="8"/>
  <c r="L88" i="8" s="1"/>
  <c r="T133" i="8"/>
  <c r="J86" i="8"/>
  <c r="J88" i="8" s="1"/>
  <c r="L71" i="9"/>
  <c r="AD71" i="9"/>
  <c r="P71" i="9"/>
  <c r="AF71" i="9"/>
  <c r="R71" i="9"/>
  <c r="AB31" i="9"/>
  <c r="V41" i="9"/>
  <c r="P133" i="8"/>
  <c r="U41" i="9"/>
  <c r="AG41" i="9"/>
  <c r="V52" i="9"/>
  <c r="V55" i="9" s="1"/>
  <c r="Z52" i="9"/>
  <c r="Z55" i="9" s="1"/>
  <c r="X62" i="9"/>
  <c r="AF62" i="9"/>
  <c r="AC62" i="9"/>
  <c r="AB62" i="9"/>
  <c r="W62" i="9"/>
  <c r="AA62" i="9"/>
  <c r="AE20" i="9"/>
  <c r="Z21" i="9"/>
  <c r="U31" i="9"/>
  <c r="AD20" i="9"/>
  <c r="U26" i="9"/>
  <c r="AA21" i="9"/>
  <c r="AB15" i="9"/>
  <c r="AB27" i="9" s="1"/>
  <c r="W26" i="9"/>
  <c r="AB21" i="9"/>
  <c r="AA36" i="9"/>
  <c r="Y38" i="9"/>
  <c r="AA15" i="9"/>
  <c r="AA27" i="9" s="1"/>
  <c r="AC20" i="9"/>
  <c r="AD36" i="9"/>
  <c r="AE35" i="9"/>
  <c r="AG38" i="9"/>
  <c r="Y21" i="9"/>
  <c r="X21" i="9"/>
  <c r="V21" i="9"/>
  <c r="AE15" i="9"/>
  <c r="AE27" i="9" s="1"/>
  <c r="U38" i="9"/>
  <c r="AB36" i="9"/>
  <c r="Y37" i="9"/>
  <c r="AB149" i="8"/>
  <c r="AE21" i="9"/>
  <c r="AD21" i="9"/>
  <c r="AF21" i="9"/>
  <c r="X15" i="9"/>
  <c r="X27" i="9" s="1"/>
  <c r="W15" i="9"/>
  <c r="W27" i="9" s="1"/>
  <c r="V26" i="9"/>
  <c r="AF35" i="9"/>
  <c r="AD15" i="9"/>
  <c r="AD27" i="9" s="1"/>
  <c r="Z15" i="9"/>
  <c r="Z27" i="9" s="1"/>
  <c r="Y20" i="9"/>
  <c r="X20" i="9"/>
  <c r="AA20" i="9"/>
  <c r="Z20" i="9"/>
  <c r="AC36" i="9"/>
  <c r="V15" i="9"/>
  <c r="V27" i="9" s="1"/>
  <c r="AD35" i="9"/>
  <c r="W20" i="9"/>
  <c r="Z36" i="9"/>
  <c r="AA149" i="8"/>
  <c r="Y149" i="8"/>
  <c r="Z149" i="8"/>
  <c r="Y35" i="9"/>
  <c r="O24" i="8"/>
  <c r="N24" i="8"/>
  <c r="L24" i="8"/>
  <c r="V78" i="8" l="1"/>
  <c r="V86" i="8" s="1"/>
  <c r="V88" i="8" s="1"/>
  <c r="L39" i="8"/>
  <c r="L42" i="8"/>
  <c r="K24" i="8"/>
  <c r="T88" i="8"/>
  <c r="T96" i="8"/>
  <c r="T39" i="8"/>
  <c r="T42" i="8"/>
  <c r="V63" i="9"/>
  <c r="U11" i="9"/>
  <c r="U17" i="9" s="1"/>
  <c r="U23" i="9" s="1"/>
  <c r="U28" i="9" s="1"/>
  <c r="S17" i="9"/>
  <c r="S23" i="9" s="1"/>
  <c r="S28" i="9" s="1"/>
  <c r="T32" i="8"/>
  <c r="J24" i="8"/>
  <c r="AJ88" i="8"/>
  <c r="AJ24" i="8"/>
  <c r="AE37" i="9"/>
  <c r="AF37" i="9"/>
  <c r="AD37" i="9"/>
  <c r="AI37" i="9"/>
  <c r="AA37" i="9"/>
  <c r="AB37" i="9"/>
  <c r="Z37" i="9"/>
  <c r="AF36" i="9"/>
  <c r="AI149" i="8"/>
  <c r="Z63" i="9"/>
  <c r="N86" i="8"/>
  <c r="N88" i="8" s="1"/>
  <c r="AA63" i="9"/>
  <c r="AE36" i="9"/>
  <c r="AC63" i="9"/>
  <c r="O86" i="8"/>
  <c r="O88" i="8" s="1"/>
  <c r="AB63" i="9"/>
  <c r="V6" i="9"/>
  <c r="V11" i="9" s="1"/>
  <c r="AB6" i="9"/>
  <c r="AI22" i="9"/>
  <c r="X24" i="8"/>
  <c r="V31" i="8"/>
  <c r="V35" i="8" s="1"/>
  <c r="AI20" i="9"/>
  <c r="AI15" i="9"/>
  <c r="X133" i="8"/>
  <c r="X35" i="8"/>
  <c r="X32" i="8"/>
  <c r="Z140" i="8"/>
  <c r="AA133" i="8"/>
  <c r="AE140" i="8"/>
  <c r="AB140" i="8"/>
  <c r="Y140" i="8"/>
  <c r="AF38" i="9"/>
  <c r="O32" i="8"/>
  <c r="O35" i="8"/>
  <c r="K35" i="8"/>
  <c r="AI133" i="8"/>
  <c r="AJ133" i="8"/>
  <c r="T36" i="8"/>
  <c r="Z31" i="9"/>
  <c r="AA31" i="9"/>
  <c r="AC31" i="9"/>
  <c r="AG133" i="8"/>
  <c r="AB42" i="9"/>
  <c r="AA42" i="9"/>
  <c r="AC42" i="9"/>
  <c r="Z42" i="9"/>
  <c r="U42" i="9"/>
  <c r="Y42" i="9"/>
  <c r="Y133" i="8"/>
  <c r="AE41" i="9"/>
  <c r="AF41" i="9"/>
  <c r="Y41" i="9"/>
  <c r="AE133" i="8"/>
  <c r="Z133" i="8"/>
  <c r="AD41" i="9"/>
  <c r="W41" i="9"/>
  <c r="X41" i="9"/>
  <c r="AH133" i="8"/>
  <c r="Q133" i="8"/>
  <c r="P86" i="8"/>
  <c r="P88" i="8" s="1"/>
  <c r="M86" i="8"/>
  <c r="M88" i="8" s="1"/>
  <c r="AE38" i="9"/>
  <c r="AD38" i="9"/>
  <c r="X35" i="9"/>
  <c r="W35" i="9"/>
  <c r="U35" i="9"/>
  <c r="V35" i="9"/>
  <c r="X37" i="9"/>
  <c r="W37" i="9"/>
  <c r="U37" i="9"/>
  <c r="V37" i="9"/>
  <c r="X38" i="9"/>
  <c r="V38" i="9"/>
  <c r="W38" i="9"/>
  <c r="Y36" i="9"/>
  <c r="W36" i="9"/>
  <c r="X36" i="9"/>
  <c r="V36" i="9"/>
  <c r="AB35" i="9"/>
  <c r="AA35" i="9"/>
  <c r="AC35" i="9"/>
  <c r="AI35" i="9" s="1"/>
  <c r="Z35" i="9"/>
  <c r="AC38" i="9"/>
  <c r="AI38" i="9" s="1"/>
  <c r="Z38" i="9"/>
  <c r="AA38" i="9"/>
  <c r="AB26" i="9"/>
  <c r="Z26" i="9"/>
  <c r="AA26" i="9"/>
  <c r="Y26" i="9"/>
  <c r="AC26" i="9"/>
  <c r="AB38" i="9"/>
  <c r="M24" i="8"/>
  <c r="K32" i="8"/>
  <c r="L116" i="8"/>
  <c r="L32" i="8"/>
  <c r="N116" i="8"/>
  <c r="N142" i="8" s="1"/>
  <c r="N32" i="8"/>
  <c r="X42" i="8" l="1"/>
  <c r="X39" i="8"/>
  <c r="V42" i="8"/>
  <c r="V39" i="8"/>
  <c r="K42" i="8"/>
  <c r="K39" i="8"/>
  <c r="O96" i="8"/>
  <c r="O116" i="8" s="1"/>
  <c r="O142" i="8" s="1"/>
  <c r="O42" i="8"/>
  <c r="O39" i="8"/>
  <c r="AB11" i="9"/>
  <c r="AB17" i="9" s="1"/>
  <c r="S18" i="9"/>
  <c r="S24" i="9"/>
  <c r="V17" i="9"/>
  <c r="V23" i="9" s="1"/>
  <c r="V28" i="9" s="1"/>
  <c r="Y6" i="9"/>
  <c r="AC6" i="9"/>
  <c r="AA6" i="9"/>
  <c r="Z6" i="9"/>
  <c r="Z11" i="9" s="1"/>
  <c r="X6" i="9"/>
  <c r="AJ9" i="10"/>
  <c r="W6" i="9"/>
  <c r="J35" i="8"/>
  <c r="J32" i="8"/>
  <c r="AJ35" i="8"/>
  <c r="AL38" i="8"/>
  <c r="AL125" i="8"/>
  <c r="AG36" i="9"/>
  <c r="AI36" i="9" s="1"/>
  <c r="AJ149" i="8"/>
  <c r="K96" i="8"/>
  <c r="K116" i="8" s="1"/>
  <c r="K142" i="8" s="1"/>
  <c r="AK9" i="10"/>
  <c r="AH9" i="10"/>
  <c r="AI9" i="10"/>
  <c r="AG9" i="10"/>
  <c r="AF9" i="10"/>
  <c r="AE9" i="10"/>
  <c r="AD9" i="10"/>
  <c r="AC9" i="10"/>
  <c r="AB9" i="10"/>
  <c r="AA9" i="10"/>
  <c r="V133" i="8"/>
  <c r="V32" i="8"/>
  <c r="V24" i="8"/>
  <c r="W133" i="8"/>
  <c r="AF31" i="9"/>
  <c r="AG31" i="9"/>
  <c r="AI31" i="9" s="1"/>
  <c r="AF26" i="9"/>
  <c r="AG26" i="9"/>
  <c r="AF42" i="9"/>
  <c r="AG42" i="9"/>
  <c r="S32" i="9"/>
  <c r="S29" i="9"/>
  <c r="W24" i="8"/>
  <c r="W31" i="8"/>
  <c r="V36" i="8"/>
  <c r="X36" i="8"/>
  <c r="AC140" i="8"/>
  <c r="AB133" i="8"/>
  <c r="AF140" i="8"/>
  <c r="AD140" i="8"/>
  <c r="AE31" i="9"/>
  <c r="K36" i="8"/>
  <c r="M32" i="8"/>
  <c r="M35" i="8"/>
  <c r="AD31" i="9"/>
  <c r="Y31" i="9"/>
  <c r="X31" i="9"/>
  <c r="W31" i="9"/>
  <c r="V31" i="9"/>
  <c r="T116" i="8"/>
  <c r="T142" i="8" s="1"/>
  <c r="AC133" i="8"/>
  <c r="L142" i="8"/>
  <c r="AD42" i="9"/>
  <c r="AE42" i="9"/>
  <c r="V42" i="9"/>
  <c r="W42" i="9"/>
  <c r="M133" i="8"/>
  <c r="AF133" i="8"/>
  <c r="AL133" i="8" s="1"/>
  <c r="AC41" i="9"/>
  <c r="AD133" i="8"/>
  <c r="X42" i="9"/>
  <c r="U18" i="9"/>
  <c r="AE26" i="9"/>
  <c r="AD26" i="9"/>
  <c r="O36" i="8"/>
  <c r="L36" i="8"/>
  <c r="N36" i="8"/>
  <c r="AJ36" i="8" l="1"/>
  <c r="AJ39" i="8"/>
  <c r="AJ42" i="8"/>
  <c r="M96" i="8"/>
  <c r="M39" i="8"/>
  <c r="M42" i="8"/>
  <c r="J42" i="8"/>
  <c r="J39" i="8"/>
  <c r="AJ32" i="8"/>
  <c r="W11" i="9"/>
  <c r="W17" i="9" s="1"/>
  <c r="X11" i="9"/>
  <c r="AB12" i="9" s="1"/>
  <c r="AC11" i="9"/>
  <c r="AC17" i="9" s="1"/>
  <c r="Y11" i="9"/>
  <c r="Y17" i="9" s="1"/>
  <c r="AA11" i="9"/>
  <c r="AA17" i="9" s="1"/>
  <c r="V18" i="9"/>
  <c r="AI26" i="9"/>
  <c r="Z17" i="9"/>
  <c r="Z23" i="9" s="1"/>
  <c r="Z28" i="9" s="1"/>
  <c r="Z12" i="9"/>
  <c r="AD6" i="9"/>
  <c r="AF6" i="9"/>
  <c r="AF11" i="9" s="1"/>
  <c r="AG6" i="9"/>
  <c r="AG11" i="9" s="1"/>
  <c r="AE6" i="9"/>
  <c r="AE11" i="9" s="1"/>
  <c r="J96" i="8"/>
  <c r="J116" i="8" s="1"/>
  <c r="J142" i="8" s="1"/>
  <c r="J36" i="8"/>
  <c r="AB18" i="9"/>
  <c r="AB23" i="9"/>
  <c r="S33" i="9"/>
  <c r="S39" i="9"/>
  <c r="S47" i="9" s="1"/>
  <c r="W32" i="8"/>
  <c r="W35" i="8"/>
  <c r="V32" i="9"/>
  <c r="V80" i="9" s="1"/>
  <c r="V24" i="9"/>
  <c r="V29" i="9"/>
  <c r="Z41" i="9"/>
  <c r="AA41" i="9"/>
  <c r="AB41" i="9"/>
  <c r="U32" i="9"/>
  <c r="U80" i="9" s="1"/>
  <c r="U24" i="9"/>
  <c r="M36" i="8"/>
  <c r="W42" i="8" l="1"/>
  <c r="W39" i="8"/>
  <c r="AA12" i="9"/>
  <c r="AC12" i="9"/>
  <c r="Y12" i="9"/>
  <c r="X17" i="9"/>
  <c r="X18" i="9" s="1"/>
  <c r="AA23" i="9"/>
  <c r="AA28" i="9" s="1"/>
  <c r="AA32" i="9" s="1"/>
  <c r="AA81" i="9" s="1" a="1"/>
  <c r="AA81" i="9" s="1"/>
  <c r="AA18" i="9"/>
  <c r="AC23" i="9"/>
  <c r="AC24" i="9" s="1"/>
  <c r="AC18" i="9"/>
  <c r="Y23" i="9"/>
  <c r="Y24" i="9" s="1"/>
  <c r="Y18" i="9"/>
  <c r="W18" i="9"/>
  <c r="W23" i="9"/>
  <c r="W28" i="9" s="1"/>
  <c r="W32" i="9" s="1"/>
  <c r="AD11" i="9"/>
  <c r="AD17" i="9" s="1"/>
  <c r="Z18" i="9"/>
  <c r="AB24" i="9"/>
  <c r="AB28" i="9"/>
  <c r="AB32" i="9" s="1"/>
  <c r="AB80" i="9" s="1"/>
  <c r="Z24" i="9"/>
  <c r="AE12" i="9"/>
  <c r="AE17" i="9"/>
  <c r="AE23" i="9" s="1"/>
  <c r="AE28" i="9" s="1"/>
  <c r="AI6" i="9"/>
  <c r="AG17" i="9"/>
  <c r="S48" i="9"/>
  <c r="W36" i="8"/>
  <c r="V33" i="9"/>
  <c r="V81" i="9" a="1"/>
  <c r="V81" i="9" s="1"/>
  <c r="V82" i="9" a="1"/>
  <c r="V82" i="9" s="1"/>
  <c r="V78" i="9"/>
  <c r="V79" i="9"/>
  <c r="V39" i="9"/>
  <c r="Z29" i="9"/>
  <c r="Z32" i="9"/>
  <c r="U29" i="9"/>
  <c r="AC96" i="8"/>
  <c r="M116" i="8"/>
  <c r="M142" i="8" s="1"/>
  <c r="AD96" i="8"/>
  <c r="AE96" i="8"/>
  <c r="X23" i="9" l="1"/>
  <c r="X28" i="9" s="1"/>
  <c r="AA24" i="9"/>
  <c r="AC28" i="9"/>
  <c r="AC32" i="9" s="1"/>
  <c r="AC80" i="9" s="1"/>
  <c r="AD12" i="9"/>
  <c r="W24" i="9"/>
  <c r="Y28" i="9"/>
  <c r="Y32" i="9" s="1"/>
  <c r="W29" i="9"/>
  <c r="W80" i="9"/>
  <c r="W39" i="9"/>
  <c r="W79" i="9"/>
  <c r="W82" i="9" a="1"/>
  <c r="W82" i="9" s="1"/>
  <c r="W78" i="9"/>
  <c r="W33" i="9"/>
  <c r="W81" i="9" a="1"/>
  <c r="W81" i="9" s="1"/>
  <c r="AE18" i="9"/>
  <c r="AD23" i="9"/>
  <c r="AD28" i="9" s="1"/>
  <c r="AD18" i="9"/>
  <c r="AI11" i="9"/>
  <c r="AG12" i="9"/>
  <c r="AI12" i="9" s="1"/>
  <c r="AA29" i="9"/>
  <c r="AA78" i="9"/>
  <c r="AA82" i="9" a="1"/>
  <c r="AA82" i="9" s="1"/>
  <c r="AA79" i="9"/>
  <c r="AA33" i="9"/>
  <c r="AA80" i="9"/>
  <c r="AA39" i="9"/>
  <c r="AB82" i="9" a="1"/>
  <c r="AB82" i="9" s="1"/>
  <c r="AB29" i="9"/>
  <c r="AE24" i="9"/>
  <c r="AD142" i="8"/>
  <c r="AE142" i="8"/>
  <c r="AC142" i="8"/>
  <c r="Z82" i="9" a="1"/>
  <c r="Z82" i="9" s="1"/>
  <c r="Z80" i="9"/>
  <c r="Z81" i="9" a="1"/>
  <c r="Z81" i="9" s="1"/>
  <c r="Z79" i="9"/>
  <c r="AB79" i="9"/>
  <c r="AB78" i="9"/>
  <c r="AB81" i="9" a="1"/>
  <c r="AB81" i="9" s="1"/>
  <c r="Z33" i="9"/>
  <c r="AB39" i="9"/>
  <c r="Z39" i="9"/>
  <c r="AB33" i="9"/>
  <c r="Z78" i="9"/>
  <c r="U33" i="9"/>
  <c r="U78" i="9"/>
  <c r="U79" i="9"/>
  <c r="U82" i="9" a="1"/>
  <c r="U82" i="9" s="1"/>
  <c r="U39" i="9"/>
  <c r="U81" i="9" a="1"/>
  <c r="U81" i="9" s="1"/>
  <c r="B93" i="8"/>
  <c r="B92" i="8"/>
  <c r="H93" i="8"/>
  <c r="G93" i="8"/>
  <c r="F93" i="8"/>
  <c r="E93" i="8"/>
  <c r="D93" i="8"/>
  <c r="C93" i="8"/>
  <c r="H92" i="8"/>
  <c r="G92" i="8"/>
  <c r="F92" i="8"/>
  <c r="E92" i="8"/>
  <c r="D92" i="8"/>
  <c r="C92" i="8"/>
  <c r="B46" i="8"/>
  <c r="B45" i="8"/>
  <c r="AI46" i="8"/>
  <c r="AH46" i="8"/>
  <c r="AG46" i="8"/>
  <c r="AE46" i="8"/>
  <c r="AD46" i="8"/>
  <c r="AC46" i="8"/>
  <c r="AA46" i="8"/>
  <c r="Z46" i="8"/>
  <c r="Y46" i="8"/>
  <c r="AF46" i="8"/>
  <c r="AB46" i="8"/>
  <c r="AI45" i="8"/>
  <c r="AH45" i="8"/>
  <c r="AG45" i="8"/>
  <c r="AF45" i="8"/>
  <c r="AE45" i="8"/>
  <c r="AD45" i="8"/>
  <c r="AC45" i="8"/>
  <c r="AB45" i="8"/>
  <c r="AA45" i="8"/>
  <c r="Z45" i="8"/>
  <c r="Y45" i="8"/>
  <c r="AC33" i="9" l="1"/>
  <c r="X24" i="9"/>
  <c r="AC81" i="9" a="1"/>
  <c r="AC81" i="9" s="1"/>
  <c r="AC78" i="9"/>
  <c r="AC79" i="9"/>
  <c r="AC82" i="9" a="1"/>
  <c r="AC82" i="9" s="1"/>
  <c r="AC29" i="9"/>
  <c r="AC39" i="9"/>
  <c r="Y29" i="9"/>
  <c r="X32" i="9"/>
  <c r="X29" i="9"/>
  <c r="AG23" i="9"/>
  <c r="AG28" i="9" s="1"/>
  <c r="AG18" i="9"/>
  <c r="AI18" i="9" s="1"/>
  <c r="AI17" i="9"/>
  <c r="AD24" i="9"/>
  <c r="Y80" i="9"/>
  <c r="Y39" i="9"/>
  <c r="Y78" i="9"/>
  <c r="Y81" i="9" a="1"/>
  <c r="Y81" i="9" s="1"/>
  <c r="Y82" i="9" a="1"/>
  <c r="Y82" i="9" s="1"/>
  <c r="Y33" i="9"/>
  <c r="Y79" i="9"/>
  <c r="AE32" i="9"/>
  <c r="AE29" i="9"/>
  <c r="Y92" i="8"/>
  <c r="AB92" i="8"/>
  <c r="AC92" i="8"/>
  <c r="AC93" i="8"/>
  <c r="AF92" i="8"/>
  <c r="AG92" i="8"/>
  <c r="AB93" i="8"/>
  <c r="AG93" i="8"/>
  <c r="AH93" i="8"/>
  <c r="AE92" i="8"/>
  <c r="Z92" i="8"/>
  <c r="AH92" i="8"/>
  <c r="AE93" i="8"/>
  <c r="AD93" i="8"/>
  <c r="AA92" i="8"/>
  <c r="AI92" i="8"/>
  <c r="AF93" i="8"/>
  <c r="Y93" i="8"/>
  <c r="Z93" i="8"/>
  <c r="AD92" i="8"/>
  <c r="AA93" i="8"/>
  <c r="AI93" i="8"/>
  <c r="X80" i="9" l="1"/>
  <c r="X78" i="9"/>
  <c r="X79" i="9"/>
  <c r="X33" i="9"/>
  <c r="X82" i="9" a="1"/>
  <c r="X82" i="9" s="1"/>
  <c r="X81" i="9" a="1"/>
  <c r="X81" i="9" s="1"/>
  <c r="X39" i="9"/>
  <c r="AD32" i="9"/>
  <c r="AD29" i="9"/>
  <c r="AG24" i="9"/>
  <c r="AI24" i="9" s="1"/>
  <c r="AI23" i="9"/>
  <c r="AE80" i="9"/>
  <c r="AE33" i="9"/>
  <c r="AE82" i="9" a="1"/>
  <c r="AE82" i="9" s="1"/>
  <c r="AE39" i="9"/>
  <c r="AE81" i="9" a="1"/>
  <c r="AE81" i="9" s="1"/>
  <c r="AE78" i="9"/>
  <c r="AE79" i="9"/>
  <c r="AI28" i="9" l="1"/>
  <c r="AG29" i="9"/>
  <c r="AI29" i="9" s="1"/>
  <c r="AG32" i="9"/>
  <c r="AD80" i="9"/>
  <c r="AD79" i="9"/>
  <c r="AD39" i="9"/>
  <c r="AD81" i="9" a="1"/>
  <c r="AD81" i="9" s="1"/>
  <c r="AD33" i="9"/>
  <c r="AD82" i="9" a="1"/>
  <c r="AD82" i="9" s="1"/>
  <c r="AD78" i="9"/>
  <c r="AG80" i="9" l="1"/>
  <c r="AI32" i="9"/>
  <c r="AG81" i="9" a="1"/>
  <c r="AG81" i="9" s="1"/>
  <c r="AG33" i="9"/>
  <c r="AI33" i="9" s="1"/>
  <c r="AG79" i="9"/>
  <c r="AG78" i="9"/>
  <c r="AG82" i="9" a="1"/>
  <c r="AG82" i="9" s="1"/>
  <c r="AG39" i="9"/>
  <c r="AI39" i="9" s="1"/>
  <c r="C85" i="8" l="1"/>
  <c r="C54" i="8"/>
  <c r="C62" i="8" s="1"/>
  <c r="C11" i="8"/>
  <c r="C23" i="8" s="1"/>
  <c r="C31" i="8" s="1"/>
  <c r="H14" i="10"/>
  <c r="G14" i="10"/>
  <c r="F14" i="10"/>
  <c r="E14" i="10"/>
  <c r="X14" i="10"/>
  <c r="X15" i="10" s="1"/>
  <c r="W14" i="10"/>
  <c r="V14" i="10"/>
  <c r="U14" i="10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N14" i="10"/>
  <c r="N15" i="10" s="1"/>
  <c r="M14" i="10"/>
  <c r="M15" i="10" s="1"/>
  <c r="L14" i="10"/>
  <c r="L15" i="10" s="1"/>
  <c r="K14" i="10"/>
  <c r="K15" i="10" s="1"/>
  <c r="I14" i="10"/>
  <c r="Q85" i="8"/>
  <c r="S85" i="8"/>
  <c r="AF73" i="9" l="1"/>
  <c r="AD73" i="9"/>
  <c r="AD74" i="9" s="1"/>
  <c r="AD83" i="9" s="1"/>
  <c r="C15" i="10"/>
  <c r="D15" i="10"/>
  <c r="R54" i="8"/>
  <c r="R62" i="8" s="1"/>
  <c r="F17" i="9"/>
  <c r="M17" i="9"/>
  <c r="K17" i="9"/>
  <c r="N17" i="9"/>
  <c r="C17" i="9"/>
  <c r="D17" i="9"/>
  <c r="I17" i="9"/>
  <c r="Q17" i="9"/>
  <c r="G17" i="9"/>
  <c r="E17" i="9"/>
  <c r="C86" i="8"/>
  <c r="C88" i="8" s="1"/>
  <c r="P17" i="9"/>
  <c r="L17" i="9"/>
  <c r="J17" i="9"/>
  <c r="R85" i="8"/>
  <c r="S12" i="9" l="1"/>
  <c r="O17" i="9"/>
  <c r="S13" i="9"/>
  <c r="R17" i="9"/>
  <c r="AE73" i="9"/>
  <c r="AE74" i="9" s="1"/>
  <c r="AE83" i="9" s="1"/>
  <c r="C35" i="8"/>
  <c r="AE62" i="9"/>
  <c r="AF74" i="9"/>
  <c r="AF83" i="9" s="1"/>
  <c r="AF17" i="9"/>
  <c r="C39" i="8" l="1"/>
  <c r="C42" i="8"/>
  <c r="C24" i="8"/>
  <c r="C32" i="8"/>
  <c r="C36" i="8"/>
  <c r="C96" i="8"/>
  <c r="C116" i="8" l="1"/>
  <c r="C142" i="8" s="1"/>
  <c r="C138" i="8" l="1"/>
  <c r="C143" i="8" s="1"/>
  <c r="C145" i="8" s="1"/>
  <c r="D136" i="8" l="1"/>
  <c r="D138" i="8" s="1"/>
  <c r="AD11" i="8"/>
  <c r="AD23" i="8" s="1" a="1"/>
  <c r="AD23" i="8" s="1"/>
  <c r="G54" i="8"/>
  <c r="G62" i="8" s="1"/>
  <c r="F54" i="8"/>
  <c r="F62" i="8" s="1"/>
  <c r="E54" i="8"/>
  <c r="E62" i="8" s="1"/>
  <c r="D54" i="8"/>
  <c r="D62" i="8" s="1"/>
  <c r="H54" i="8"/>
  <c r="H62" i="8" s="1"/>
  <c r="Y70" i="8" l="1"/>
  <c r="Y78" i="8" s="1"/>
  <c r="Y54" i="8"/>
  <c r="Y62" i="8" s="1"/>
  <c r="Y85" i="8"/>
  <c r="AA85" i="8"/>
  <c r="AE11" i="8"/>
  <c r="AE23" i="8" s="1" a="1"/>
  <c r="AE23" i="8" s="1"/>
  <c r="AE54" i="8"/>
  <c r="AE62" i="8" s="1"/>
  <c r="AE85" i="8"/>
  <c r="AB85" i="8"/>
  <c r="AC54" i="8"/>
  <c r="AC62" i="8" s="1"/>
  <c r="AE70" i="8"/>
  <c r="AE78" i="8" s="1"/>
  <c r="AD70" i="8"/>
  <c r="AD78" i="8" s="1"/>
  <c r="Z70" i="8"/>
  <c r="Z78" i="8" s="1"/>
  <c r="AB11" i="8"/>
  <c r="AB23" i="8" s="1" a="1"/>
  <c r="AB23" i="8" s="1"/>
  <c r="Z54" i="8"/>
  <c r="Z62" i="8" s="1"/>
  <c r="AD54" i="8"/>
  <c r="AD62" i="8" s="1"/>
  <c r="AC85" i="8"/>
  <c r="AC11" i="8"/>
  <c r="AC23" i="8" s="1" a="1"/>
  <c r="AC23" i="8" s="1"/>
  <c r="AA54" i="8"/>
  <c r="AA62" i="8" s="1"/>
  <c r="AA70" i="8"/>
  <c r="AA78" i="8" s="1"/>
  <c r="AC70" i="8"/>
  <c r="AC78" i="8" s="1"/>
  <c r="AD85" i="8"/>
  <c r="Z85" i="8"/>
  <c r="AG85" i="8"/>
  <c r="AG54" i="8"/>
  <c r="AG62" i="8" s="1"/>
  <c r="AH85" i="8"/>
  <c r="AG11" i="8"/>
  <c r="AG23" i="8" s="1"/>
  <c r="AG31" i="8" s="1"/>
  <c r="AF11" i="8"/>
  <c r="AF23" i="8" s="1"/>
  <c r="AF31" i="8" s="1"/>
  <c r="AH11" i="8"/>
  <c r="AH23" i="8" s="1"/>
  <c r="AH31" i="8" s="1"/>
  <c r="AH54" i="8"/>
  <c r="AH62" i="8" s="1"/>
  <c r="AL11" i="8" l="1"/>
  <c r="AD31" i="8"/>
  <c r="AD35" i="8" s="1"/>
  <c r="AF23" i="9"/>
  <c r="AF28" i="9" s="1"/>
  <c r="AG14" i="10"/>
  <c r="AG15" i="10" s="1"/>
  <c r="AH14" i="10"/>
  <c r="AH15" i="10" s="1"/>
  <c r="Y86" i="8"/>
  <c r="Y88" i="8" s="1"/>
  <c r="C23" i="9"/>
  <c r="C28" i="9" s="1"/>
  <c r="AE86" i="8"/>
  <c r="AE88" i="8" s="1"/>
  <c r="AC86" i="8"/>
  <c r="AC88" i="8" s="1"/>
  <c r="AA86" i="8"/>
  <c r="AA88" i="8" s="1"/>
  <c r="AD86" i="8"/>
  <c r="AD88" i="8" s="1"/>
  <c r="Z86" i="8"/>
  <c r="Z88" i="8" s="1"/>
  <c r="AG86" i="8"/>
  <c r="AG88" i="8" s="1"/>
  <c r="AH86" i="8"/>
  <c r="AH88" i="8" s="1"/>
  <c r="AD42" i="8" l="1"/>
  <c r="AD39" i="8"/>
  <c r="AB31" i="8"/>
  <c r="AB35" i="8" s="1"/>
  <c r="AG35" i="8"/>
  <c r="AC24" i="8"/>
  <c r="AE31" i="8"/>
  <c r="AE35" i="8" s="1"/>
  <c r="AD24" i="8"/>
  <c r="AH24" i="8"/>
  <c r="AF18" i="9"/>
  <c r="AE14" i="10"/>
  <c r="AE15" i="10" s="1"/>
  <c r="AF14" i="10"/>
  <c r="AF15" i="10" s="1"/>
  <c r="AI14" i="10"/>
  <c r="AI15" i="10" s="1"/>
  <c r="AK14" i="10"/>
  <c r="AK15" i="10" s="1"/>
  <c r="AD14" i="10"/>
  <c r="AD15" i="10" s="1"/>
  <c r="C18" i="9"/>
  <c r="AD32" i="8"/>
  <c r="AE42" i="8" l="1"/>
  <c r="AE39" i="8"/>
  <c r="AG42" i="8"/>
  <c r="AG39" i="8"/>
  <c r="AB39" i="8"/>
  <c r="AB42" i="8"/>
  <c r="AF32" i="8"/>
  <c r="AL32" i="8" s="1"/>
  <c r="AL23" i="8"/>
  <c r="C24" i="9"/>
  <c r="C32" i="9"/>
  <c r="C80" i="9" s="1"/>
  <c r="C29" i="9"/>
  <c r="AB24" i="8"/>
  <c r="AG24" i="8"/>
  <c r="AF24" i="8"/>
  <c r="AL24" i="8" s="1"/>
  <c r="AE24" i="8"/>
  <c r="AC31" i="8"/>
  <c r="AC35" i="8" s="1"/>
  <c r="AH35" i="8"/>
  <c r="AC14" i="10"/>
  <c r="AC15" i="10" s="1"/>
  <c r="AB14" i="10"/>
  <c r="AB32" i="8"/>
  <c r="AG32" i="8"/>
  <c r="AF32" i="9"/>
  <c r="AF80" i="9" s="1"/>
  <c r="AF24" i="9"/>
  <c r="AA14" i="10"/>
  <c r="AJ14" i="10"/>
  <c r="AM14" i="10"/>
  <c r="AM9" i="10"/>
  <c r="AD36" i="8"/>
  <c r="AB36" i="8"/>
  <c r="AE32" i="8"/>
  <c r="AC36" i="8" l="1"/>
  <c r="AC42" i="8"/>
  <c r="AC39" i="8"/>
  <c r="AH42" i="8"/>
  <c r="AH39" i="8"/>
  <c r="AF35" i="8"/>
  <c r="AL31" i="8"/>
  <c r="C39" i="9"/>
  <c r="C48" i="9" s="1"/>
  <c r="C79" i="9"/>
  <c r="C78" i="9"/>
  <c r="C81" i="9" a="1"/>
  <c r="C81" i="9" s="1"/>
  <c r="C33" i="9"/>
  <c r="C82" i="9" a="1"/>
  <c r="C82" i="9" s="1"/>
  <c r="AC32" i="8"/>
  <c r="AH32" i="8"/>
  <c r="AF29" i="9"/>
  <c r="AE36" i="8"/>
  <c r="AG36" i="8"/>
  <c r="AH36" i="8"/>
  <c r="AL35" i="8" l="1"/>
  <c r="AF39" i="8"/>
  <c r="AL39" i="8" s="1"/>
  <c r="AF42" i="8"/>
  <c r="AL42" i="8" s="1"/>
  <c r="AF36" i="8"/>
  <c r="AL36" i="8" s="1"/>
  <c r="AF82" i="9" a="1"/>
  <c r="AF82" i="9" s="1"/>
  <c r="AF33" i="9"/>
  <c r="AF81" i="9" a="1"/>
  <c r="AF81" i="9" s="1"/>
  <c r="AF78" i="9"/>
  <c r="AF79" i="9"/>
  <c r="AF39" i="9"/>
  <c r="AB70" i="8" l="1"/>
  <c r="AB78" i="8" s="1"/>
  <c r="AL78" i="8"/>
  <c r="AB86" i="8" l="1"/>
  <c r="D85" i="8" l="1"/>
  <c r="D11" i="8"/>
  <c r="D23" i="8" s="1"/>
  <c r="D31" i="8" s="1"/>
  <c r="P11" i="8"/>
  <c r="P23" i="8" s="1"/>
  <c r="P31" i="8" s="1"/>
  <c r="H11" i="8"/>
  <c r="H23" i="8" s="1"/>
  <c r="H31" i="8" s="1"/>
  <c r="G11" i="8"/>
  <c r="G23" i="8" s="1"/>
  <c r="G31" i="8" s="1"/>
  <c r="F11" i="8"/>
  <c r="F23" i="8" s="1"/>
  <c r="F31" i="8" s="1"/>
  <c r="E11" i="8"/>
  <c r="E23" i="8" s="1"/>
  <c r="E31" i="8" s="1"/>
  <c r="H85" i="8"/>
  <c r="G85" i="8"/>
  <c r="F85" i="8"/>
  <c r="E85" i="8"/>
  <c r="AI11" i="8"/>
  <c r="AI23" i="8" s="1"/>
  <c r="AI31" i="8" s="1"/>
  <c r="Q74" i="9"/>
  <c r="Q83" i="9" s="1"/>
  <c r="I74" i="9"/>
  <c r="I83" i="9" s="1"/>
  <c r="D12" i="9"/>
  <c r="AJ15" i="10" l="1"/>
  <c r="G15" i="10"/>
  <c r="U15" i="10"/>
  <c r="I15" i="10"/>
  <c r="H15" i="10"/>
  <c r="F15" i="10"/>
  <c r="E15" i="10"/>
  <c r="C74" i="9"/>
  <c r="C83" i="9" s="1"/>
  <c r="J74" i="9"/>
  <c r="J83" i="9" s="1"/>
  <c r="R74" i="9"/>
  <c r="R83" i="9" s="1"/>
  <c r="E74" i="9"/>
  <c r="E83" i="9" s="1"/>
  <c r="K74" i="9"/>
  <c r="K83" i="9" s="1"/>
  <c r="AD63" i="9"/>
  <c r="AF63" i="9"/>
  <c r="G74" i="9"/>
  <c r="G83" i="9" s="1"/>
  <c r="K23" i="9"/>
  <c r="K28" i="9" s="1"/>
  <c r="Q12" i="9"/>
  <c r="F74" i="9"/>
  <c r="F83" i="9" s="1"/>
  <c r="Q13" i="9"/>
  <c r="AF85" i="8"/>
  <c r="AI85" i="8"/>
  <c r="G23" i="9"/>
  <c r="G28" i="9" s="1"/>
  <c r="G12" i="9"/>
  <c r="E23" i="9"/>
  <c r="E28" i="9" s="1"/>
  <c r="E12" i="9"/>
  <c r="F23" i="9"/>
  <c r="F28" i="9" s="1"/>
  <c r="F12" i="9"/>
  <c r="M74" i="9"/>
  <c r="M83" i="9" s="1"/>
  <c r="D23" i="9"/>
  <c r="D28" i="9" s="1"/>
  <c r="N74" i="9"/>
  <c r="N83" i="9" s="1"/>
  <c r="O74" i="9"/>
  <c r="O83" i="9" s="1"/>
  <c r="D74" i="9"/>
  <c r="D83" i="9" s="1"/>
  <c r="AF86" i="8" l="1"/>
  <c r="AL86" i="8" s="1"/>
  <c r="AL85" i="8"/>
  <c r="F86" i="8"/>
  <c r="F88" i="8" s="1"/>
  <c r="S35" i="8"/>
  <c r="H35" i="8"/>
  <c r="P24" i="8"/>
  <c r="D35" i="8"/>
  <c r="E35" i="8"/>
  <c r="F35" i="8"/>
  <c r="G24" i="8"/>
  <c r="E86" i="8"/>
  <c r="E88" i="8" s="1"/>
  <c r="P74" i="9"/>
  <c r="P83" i="9" s="1"/>
  <c r="Q86" i="8"/>
  <c r="Q88" i="8" s="1"/>
  <c r="AF54" i="8"/>
  <c r="AL54" i="8" s="1"/>
  <c r="AB54" i="8"/>
  <c r="S86" i="8"/>
  <c r="S88" i="8" s="1"/>
  <c r="G86" i="8"/>
  <c r="G88" i="8" s="1"/>
  <c r="H86" i="8"/>
  <c r="H88" i="8" s="1"/>
  <c r="D86" i="8"/>
  <c r="D88" i="8" s="1"/>
  <c r="AE63" i="9"/>
  <c r="L74" i="9"/>
  <c r="L83" i="9" s="1"/>
  <c r="L13" i="9"/>
  <c r="P12" i="9"/>
  <c r="M12" i="9"/>
  <c r="N13" i="9"/>
  <c r="P23" i="9"/>
  <c r="P28" i="9" s="1"/>
  <c r="K13" i="9"/>
  <c r="M13" i="9"/>
  <c r="J13" i="9"/>
  <c r="N23" i="9"/>
  <c r="N28" i="9" s="1"/>
  <c r="L23" i="9"/>
  <c r="L28" i="9" s="1"/>
  <c r="N12" i="9"/>
  <c r="AI54" i="8"/>
  <c r="AI62" i="8" s="1"/>
  <c r="K18" i="9"/>
  <c r="F18" i="9"/>
  <c r="O12" i="9"/>
  <c r="O23" i="9"/>
  <c r="O28" i="9" s="1"/>
  <c r="O13" i="9"/>
  <c r="Q23" i="9"/>
  <c r="Q28" i="9" s="1"/>
  <c r="AF12" i="9"/>
  <c r="J23" i="9"/>
  <c r="J28" i="9" s="1"/>
  <c r="P13" i="9"/>
  <c r="D18" i="9"/>
  <c r="R12" i="9"/>
  <c r="R23" i="9"/>
  <c r="R28" i="9" s="1"/>
  <c r="R13" i="9"/>
  <c r="I23" i="9"/>
  <c r="I28" i="9" s="1"/>
  <c r="G18" i="9"/>
  <c r="M23" i="9"/>
  <c r="M28" i="9" s="1"/>
  <c r="E18" i="9"/>
  <c r="H96" i="8" l="1"/>
  <c r="H116" i="8" s="1"/>
  <c r="H142" i="8" s="1"/>
  <c r="H39" i="8"/>
  <c r="H42" i="8"/>
  <c r="S96" i="8"/>
  <c r="S39" i="8"/>
  <c r="S42" i="8"/>
  <c r="D39" i="8"/>
  <c r="D42" i="8"/>
  <c r="E39" i="8"/>
  <c r="E42" i="8"/>
  <c r="F39" i="8"/>
  <c r="F42" i="8"/>
  <c r="N18" i="9"/>
  <c r="N24" i="9"/>
  <c r="S24" i="8"/>
  <c r="H24" i="8"/>
  <c r="E24" i="8"/>
  <c r="D24" i="8"/>
  <c r="G35" i="8"/>
  <c r="P35" i="8"/>
  <c r="F24" i="8"/>
  <c r="AB62" i="8"/>
  <c r="AB88" i="8" s="1"/>
  <c r="AF62" i="8"/>
  <c r="AI35" i="8"/>
  <c r="D96" i="8"/>
  <c r="F32" i="8"/>
  <c r="S32" i="8"/>
  <c r="AI24" i="8"/>
  <c r="H32" i="8"/>
  <c r="D32" i="8"/>
  <c r="AI86" i="8"/>
  <c r="R86" i="8"/>
  <c r="R88" i="8" s="1"/>
  <c r="P18" i="9"/>
  <c r="L18" i="9"/>
  <c r="H36" i="8"/>
  <c r="E32" i="8"/>
  <c r="E32" i="9"/>
  <c r="E80" i="9" s="1"/>
  <c r="E24" i="9"/>
  <c r="D32" i="9"/>
  <c r="D80" i="9" s="1"/>
  <c r="D24" i="9"/>
  <c r="M18" i="9"/>
  <c r="F32" i="9"/>
  <c r="F80" i="9" s="1"/>
  <c r="F24" i="9"/>
  <c r="K32" i="9"/>
  <c r="K24" i="9"/>
  <c r="R18" i="9"/>
  <c r="O18" i="9"/>
  <c r="P32" i="9"/>
  <c r="P24" i="9"/>
  <c r="L24" i="9"/>
  <c r="L32" i="9"/>
  <c r="G24" i="9"/>
  <c r="G32" i="9"/>
  <c r="G80" i="9" s="1"/>
  <c r="Q18" i="9"/>
  <c r="I18" i="9"/>
  <c r="J18" i="9"/>
  <c r="AI42" i="8" l="1"/>
  <c r="AI39" i="8"/>
  <c r="G96" i="8"/>
  <c r="G116" i="8" s="1"/>
  <c r="G142" i="8" s="1"/>
  <c r="G42" i="8"/>
  <c r="G39" i="8"/>
  <c r="P42" i="8"/>
  <c r="P39" i="8"/>
  <c r="AF88" i="8"/>
  <c r="AL62" i="8"/>
  <c r="P96" i="8"/>
  <c r="P116" i="8" s="1"/>
  <c r="P142" i="8" s="1"/>
  <c r="G32" i="8"/>
  <c r="G36" i="8"/>
  <c r="P32" i="8"/>
  <c r="D116" i="8"/>
  <c r="D142" i="8" s="1"/>
  <c r="F36" i="8"/>
  <c r="F96" i="8"/>
  <c r="D36" i="8"/>
  <c r="S116" i="8"/>
  <c r="S142" i="8" s="1"/>
  <c r="S36" i="8"/>
  <c r="E96" i="8"/>
  <c r="E36" i="8"/>
  <c r="AI88" i="8"/>
  <c r="N32" i="9"/>
  <c r="AI32" i="8"/>
  <c r="P36" i="8"/>
  <c r="G29" i="9"/>
  <c r="J32" i="9"/>
  <c r="J24" i="9"/>
  <c r="P29" i="9"/>
  <c r="F29" i="9"/>
  <c r="D29" i="9"/>
  <c r="K29" i="9"/>
  <c r="O24" i="9"/>
  <c r="O32" i="9"/>
  <c r="E29" i="9"/>
  <c r="Q32" i="9"/>
  <c r="Q24" i="9"/>
  <c r="M24" i="9"/>
  <c r="M32" i="9"/>
  <c r="I32" i="9"/>
  <c r="I24" i="9"/>
  <c r="L29" i="9"/>
  <c r="R32" i="9"/>
  <c r="R24" i="9"/>
  <c r="AF96" i="8" l="1"/>
  <c r="AF116" i="8" s="1"/>
  <c r="S82" i="9" a="1"/>
  <c r="S82" i="9" s="1"/>
  <c r="S78" i="9"/>
  <c r="S79" i="9"/>
  <c r="S80" i="9" a="1"/>
  <c r="S80" i="9" s="1"/>
  <c r="S81" i="9" a="1"/>
  <c r="S81" i="9" s="1"/>
  <c r="AF142" i="8"/>
  <c r="M80" i="9" a="1"/>
  <c r="M80" i="9" s="1"/>
  <c r="L80" i="9" a="1"/>
  <c r="L80" i="9" s="1"/>
  <c r="R80" i="9" a="1"/>
  <c r="R80" i="9" s="1"/>
  <c r="J80" i="9" a="1"/>
  <c r="J80" i="9" s="1"/>
  <c r="Q80" i="9" a="1"/>
  <c r="Q80" i="9" s="1"/>
  <c r="P80" i="9" a="1"/>
  <c r="P80" i="9" s="1"/>
  <c r="I80" i="9" a="1"/>
  <c r="I80" i="9" s="1"/>
  <c r="N80" i="9" a="1"/>
  <c r="N80" i="9" s="1"/>
  <c r="K80" i="9" a="1"/>
  <c r="K80" i="9" s="1"/>
  <c r="O80" i="9" a="1"/>
  <c r="O80" i="9" s="1"/>
  <c r="F116" i="8"/>
  <c r="F142" i="8" s="1"/>
  <c r="E116" i="8"/>
  <c r="E142" i="8" s="1"/>
  <c r="AE116" i="8"/>
  <c r="N29" i="9"/>
  <c r="I29" i="9"/>
  <c r="M29" i="9"/>
  <c r="N82" i="9" a="1"/>
  <c r="N82" i="9" s="1"/>
  <c r="J29" i="9"/>
  <c r="D81" i="9" a="1"/>
  <c r="D81" i="9" s="1"/>
  <c r="D82" i="9" a="1"/>
  <c r="D82" i="9" s="1"/>
  <c r="D39" i="9"/>
  <c r="D47" i="9" s="1"/>
  <c r="D33" i="9"/>
  <c r="D79" i="9"/>
  <c r="D78" i="9"/>
  <c r="F82" i="9" a="1"/>
  <c r="F82" i="9" s="1"/>
  <c r="F81" i="9" a="1"/>
  <c r="F81" i="9" s="1"/>
  <c r="F33" i="9"/>
  <c r="F39" i="9"/>
  <c r="F47" i="9" s="1"/>
  <c r="F78" i="9"/>
  <c r="F79" i="9"/>
  <c r="G81" i="9" a="1"/>
  <c r="G81" i="9" s="1"/>
  <c r="G82" i="9" a="1"/>
  <c r="G82" i="9" s="1"/>
  <c r="G33" i="9"/>
  <c r="G79" i="9"/>
  <c r="G39" i="9"/>
  <c r="G47" i="9" s="1"/>
  <c r="G78" i="9"/>
  <c r="N33" i="9"/>
  <c r="N39" i="9"/>
  <c r="N47" i="9" s="1"/>
  <c r="R29" i="9"/>
  <c r="Q29" i="9"/>
  <c r="L39" i="9"/>
  <c r="L47" i="9" s="1"/>
  <c r="L33" i="9"/>
  <c r="K39" i="9"/>
  <c r="K47" i="9" s="1"/>
  <c r="K33" i="9"/>
  <c r="O29" i="9"/>
  <c r="E82" i="9" a="1"/>
  <c r="E82" i="9" s="1"/>
  <c r="E39" i="9"/>
  <c r="E47" i="9" s="1"/>
  <c r="E33" i="9"/>
  <c r="E81" i="9" a="1"/>
  <c r="E81" i="9" s="1"/>
  <c r="E79" i="9"/>
  <c r="E78" i="9"/>
  <c r="P33" i="9"/>
  <c r="P39" i="9"/>
  <c r="P47" i="9" s="1"/>
  <c r="X96" i="8" l="1"/>
  <c r="X116" i="8" s="1"/>
  <c r="W96" i="8"/>
  <c r="W116" i="8" s="1"/>
  <c r="V96" i="8"/>
  <c r="V116" i="8" s="1"/>
  <c r="Z96" i="8"/>
  <c r="AA96" i="8"/>
  <c r="AB96" i="8"/>
  <c r="AB116" i="8" s="1"/>
  <c r="Y96" i="8"/>
  <c r="AC116" i="8"/>
  <c r="AD116" i="8"/>
  <c r="AI36" i="8"/>
  <c r="N81" i="9" a="1"/>
  <c r="N81" i="9" s="1"/>
  <c r="D48" i="9"/>
  <c r="Q81" i="9" a="1"/>
  <c r="Q81" i="9" s="1"/>
  <c r="O81" i="9" a="1"/>
  <c r="O81" i="9" s="1"/>
  <c r="Q79" i="9"/>
  <c r="J82" i="9" a="1"/>
  <c r="J82" i="9" s="1"/>
  <c r="J81" i="9" a="1"/>
  <c r="J81" i="9" s="1"/>
  <c r="J78" i="9"/>
  <c r="J79" i="9"/>
  <c r="I81" i="9" a="1"/>
  <c r="I81" i="9" s="1"/>
  <c r="M39" i="9"/>
  <c r="M47" i="9" s="1"/>
  <c r="P81" i="9" a="1"/>
  <c r="P81" i="9" s="1"/>
  <c r="P82" i="9" a="1"/>
  <c r="P82" i="9" s="1"/>
  <c r="M33" i="9"/>
  <c r="P78" i="9"/>
  <c r="P79" i="9"/>
  <c r="N79" i="9"/>
  <c r="O78" i="9"/>
  <c r="G48" i="9"/>
  <c r="N78" i="9"/>
  <c r="K81" i="9" a="1"/>
  <c r="K81" i="9" s="1"/>
  <c r="K82" i="9" a="1"/>
  <c r="K82" i="9" s="1"/>
  <c r="K78" i="9"/>
  <c r="K79" i="9"/>
  <c r="F48" i="9"/>
  <c r="I78" i="9"/>
  <c r="Q39" i="9"/>
  <c r="Q47" i="9" s="1"/>
  <c r="Q33" i="9"/>
  <c r="M82" i="9" a="1"/>
  <c r="M82" i="9" s="1"/>
  <c r="J39" i="9"/>
  <c r="J47" i="9" s="1"/>
  <c r="J33" i="9"/>
  <c r="M81" i="9" a="1"/>
  <c r="M81" i="9" s="1"/>
  <c r="M78" i="9"/>
  <c r="M79" i="9"/>
  <c r="O82" i="9" a="1"/>
  <c r="O82" i="9" s="1"/>
  <c r="Q78" i="9"/>
  <c r="I82" i="9" a="1"/>
  <c r="I82" i="9" s="1"/>
  <c r="E48" i="9"/>
  <c r="R82" i="9" a="1"/>
  <c r="R82" i="9" s="1"/>
  <c r="R81" i="9" a="1"/>
  <c r="R81" i="9" s="1"/>
  <c r="R78" i="9"/>
  <c r="O33" i="9"/>
  <c r="O39" i="9"/>
  <c r="O47" i="9" s="1"/>
  <c r="R79" i="9"/>
  <c r="P48" i="9"/>
  <c r="Q82" i="9" a="1"/>
  <c r="Q82" i="9" s="1"/>
  <c r="L81" i="9" a="1"/>
  <c r="L81" i="9" s="1"/>
  <c r="L82" i="9" a="1"/>
  <c r="L82" i="9" s="1"/>
  <c r="I39" i="9"/>
  <c r="I47" i="9" s="1"/>
  <c r="I33" i="9"/>
  <c r="L78" i="9"/>
  <c r="L79" i="9"/>
  <c r="O79" i="9"/>
  <c r="R33" i="9"/>
  <c r="R39" i="9"/>
  <c r="R47" i="9" s="1"/>
  <c r="I79" i="9"/>
  <c r="AG47" i="9" l="1"/>
  <c r="AG48" i="9" s="1"/>
  <c r="X142" i="8"/>
  <c r="V142" i="8"/>
  <c r="W142" i="8"/>
  <c r="AB142" i="8"/>
  <c r="Z142" i="8"/>
  <c r="AA142" i="8"/>
  <c r="Y142" i="8"/>
  <c r="AA47" i="9"/>
  <c r="AA48" i="9" s="1"/>
  <c r="W47" i="9"/>
  <c r="W48" i="9" s="1"/>
  <c r="AD47" i="9"/>
  <c r="AD48" i="9" s="1"/>
  <c r="AC47" i="9"/>
  <c r="AC48" i="9" s="1"/>
  <c r="Z47" i="9"/>
  <c r="Z48" i="9" s="1"/>
  <c r="AF47" i="9"/>
  <c r="AF48" i="9" s="1"/>
  <c r="Y47" i="9"/>
  <c r="Y48" i="9" s="1"/>
  <c r="AB47" i="9"/>
  <c r="AB48" i="9" s="1"/>
  <c r="X47" i="9"/>
  <c r="X48" i="9" s="1"/>
  <c r="AE47" i="9"/>
  <c r="AE48" i="9" s="1"/>
  <c r="Q48" i="9"/>
  <c r="R48" i="9"/>
  <c r="O48" i="9"/>
  <c r="N48" i="9"/>
  <c r="I48" i="9"/>
  <c r="K48" i="9"/>
  <c r="L48" i="9"/>
  <c r="V47" i="9" l="1"/>
  <c r="V48" i="9" s="1"/>
  <c r="U47" i="9"/>
  <c r="U48" i="9" s="1"/>
  <c r="J48" i="9"/>
  <c r="M48" i="9"/>
  <c r="D143" i="8" l="1"/>
  <c r="D145" i="8" l="1"/>
  <c r="E136" i="8"/>
  <c r="E138" i="8" s="1"/>
  <c r="E143" i="8" s="1"/>
  <c r="E145" i="8" s="1"/>
  <c r="F136" i="8" l="1"/>
  <c r="F138" i="8" s="1"/>
  <c r="F143" i="8" s="1"/>
  <c r="F145" i="8" l="1"/>
  <c r="G136" i="8"/>
  <c r="G138" i="8" s="1"/>
  <c r="G143" i="8" l="1"/>
  <c r="G145" i="8" s="1"/>
  <c r="J136" i="8"/>
  <c r="H136" i="8" l="1"/>
  <c r="H138" i="8" s="1"/>
  <c r="H143" i="8" s="1"/>
  <c r="H145" i="8" s="1"/>
  <c r="V136" i="8"/>
  <c r="V138" i="8" s="1"/>
  <c r="V143" i="8" s="1"/>
  <c r="V145" i="8" s="1"/>
  <c r="W136" i="8" l="1"/>
  <c r="W138" i="8" s="1"/>
  <c r="W143" i="8" s="1"/>
  <c r="W145" i="8" s="1"/>
  <c r="X136" i="8" l="1"/>
  <c r="X138" i="8" s="1"/>
  <c r="X143" i="8" s="1"/>
  <c r="X145" i="8" s="1"/>
  <c r="Y136" i="8" l="1"/>
  <c r="Z136" i="8" l="1"/>
  <c r="AA136" i="8" l="1"/>
  <c r="AB136" i="8" l="1"/>
  <c r="AC136" i="8" l="1"/>
  <c r="Y138" i="8"/>
  <c r="J138" i="8"/>
  <c r="J143" i="8" s="1"/>
  <c r="J145" i="8" s="1"/>
  <c r="AD136" i="8" l="1"/>
  <c r="K136" i="8"/>
  <c r="K138" i="8" s="1"/>
  <c r="K143" i="8" s="1"/>
  <c r="K145" i="8" s="1"/>
  <c r="AE136" i="8" l="1"/>
  <c r="L136" i="8"/>
  <c r="L138" i="8" s="1"/>
  <c r="L143" i="8" s="1"/>
  <c r="L145" i="8" s="1"/>
  <c r="AF136" i="8" l="1"/>
  <c r="M136" i="8"/>
  <c r="M138" i="8" s="1"/>
  <c r="M143" i="8" s="1"/>
  <c r="M145" i="8" s="1"/>
  <c r="AG136" i="8" l="1"/>
  <c r="N136" i="8"/>
  <c r="N138" i="8" s="1"/>
  <c r="N143" i="8" s="1"/>
  <c r="N145" i="8" s="1"/>
  <c r="AH136" i="8" l="1"/>
  <c r="AD138" i="8"/>
  <c r="AD143" i="8" s="1"/>
  <c r="AD145" i="8" s="1"/>
  <c r="O136" i="8"/>
  <c r="O138" i="8" s="1"/>
  <c r="O143" i="8" s="1"/>
  <c r="O145" i="8" s="1"/>
  <c r="AI136" i="8" l="1"/>
  <c r="AE138" i="8"/>
  <c r="AE143" i="8" s="1"/>
  <c r="AE145" i="8" s="1"/>
  <c r="P136" i="8"/>
  <c r="P138" i="8" s="1"/>
  <c r="P143" i="8" s="1"/>
  <c r="P145" i="8" s="1"/>
  <c r="AJ136" i="8" l="1"/>
  <c r="AF138" i="8"/>
  <c r="AF143" i="8" s="1"/>
  <c r="AF145" i="8" s="1"/>
  <c r="Z138" i="8"/>
  <c r="Q136" i="8"/>
  <c r="Q138" i="8" s="1"/>
  <c r="R11" i="8" l="1"/>
  <c r="R23" i="8" s="1"/>
  <c r="R31" i="8" s="1"/>
  <c r="W15" i="10" l="1"/>
  <c r="R35" i="8" l="1"/>
  <c r="R96" i="8" l="1"/>
  <c r="R39" i="8"/>
  <c r="R42" i="8"/>
  <c r="R24" i="8"/>
  <c r="R32" i="8"/>
  <c r="R36" i="8" l="1"/>
  <c r="R116" i="8" l="1"/>
  <c r="R142" i="8" s="1"/>
  <c r="AA116" i="8"/>
  <c r="Y11" i="8"/>
  <c r="Y23" i="8" s="1" a="1"/>
  <c r="Y23" i="8" s="1"/>
  <c r="AA11" i="8"/>
  <c r="AA23" i="8" s="1" a="1"/>
  <c r="AA23" i="8" s="1"/>
  <c r="Q11" i="8"/>
  <c r="Q23" i="8" s="1"/>
  <c r="Q31" i="8" s="1"/>
  <c r="Z11" i="8"/>
  <c r="Z23" i="8" s="1" a="1"/>
  <c r="Z23" i="8" s="1"/>
  <c r="AB15" i="10" l="1"/>
  <c r="AA15" i="10"/>
  <c r="V15" i="10"/>
  <c r="Q35" i="8" l="1"/>
  <c r="Z24" i="8"/>
  <c r="AA31" i="8"/>
  <c r="AA35" i="8" s="1"/>
  <c r="Y31" i="8"/>
  <c r="Y35" i="8" s="1"/>
  <c r="Y42" i="8" l="1"/>
  <c r="Y39" i="8"/>
  <c r="AA42" i="8"/>
  <c r="AA39" i="8"/>
  <c r="Q96" i="8"/>
  <c r="Q42" i="8"/>
  <c r="Q39" i="8"/>
  <c r="Z31" i="8"/>
  <c r="Z35" i="8" s="1"/>
  <c r="Q24" i="8"/>
  <c r="Q32" i="8"/>
  <c r="Y24" i="8"/>
  <c r="AA24" i="8"/>
  <c r="Z42" i="8" l="1"/>
  <c r="Z39" i="8"/>
  <c r="Z32" i="8"/>
  <c r="Q36" i="8"/>
  <c r="AJ96" i="8"/>
  <c r="AA32" i="8"/>
  <c r="Y32" i="8"/>
  <c r="Z36" i="8"/>
  <c r="AJ116" i="8" l="1"/>
  <c r="AL116" i="8" s="1"/>
  <c r="AL96" i="8"/>
  <c r="AI96" i="8"/>
  <c r="AG96" i="8"/>
  <c r="AG116" i="8" s="1"/>
  <c r="AH96" i="8"/>
  <c r="AH116" i="8" s="1"/>
  <c r="Z116" i="8"/>
  <c r="Z143" i="8" s="1"/>
  <c r="Z145" i="8" s="1"/>
  <c r="Q116" i="8"/>
  <c r="Q142" i="8" s="1"/>
  <c r="Y116" i="8"/>
  <c r="Y36" i="8"/>
  <c r="AA36" i="8"/>
  <c r="Q143" i="8" l="1"/>
  <c r="Q145" i="8" s="1"/>
  <c r="AJ142" i="8"/>
  <c r="AI142" i="8"/>
  <c r="AH142" i="8"/>
  <c r="AG142" i="8"/>
  <c r="Y143" i="8"/>
  <c r="Y145" i="8" s="1"/>
  <c r="AG138" i="8"/>
  <c r="AI116" i="8"/>
  <c r="AA138" i="8"/>
  <c r="AA143" i="8" s="1"/>
  <c r="AA145" i="8" s="1"/>
  <c r="R136" i="8" l="1"/>
  <c r="R138" i="8" s="1"/>
  <c r="R143" i="8" s="1"/>
  <c r="R145" i="8" s="1"/>
  <c r="AG143" i="8"/>
  <c r="AG145" i="8" s="1"/>
  <c r="AH138" i="8"/>
  <c r="AH143" i="8" s="1"/>
  <c r="AH145" i="8" s="1"/>
  <c r="AB138" i="8"/>
  <c r="AB143" i="8" s="1"/>
  <c r="AB145" i="8" s="1"/>
  <c r="S136" i="8" l="1"/>
  <c r="S138" i="8" s="1"/>
  <c r="S143" i="8" s="1"/>
  <c r="S145" i="8" s="1"/>
  <c r="AI138" i="8"/>
  <c r="AI143" i="8" s="1"/>
  <c r="AI145" i="8" s="1"/>
  <c r="AC138" i="8"/>
  <c r="AC143" i="8" s="1"/>
  <c r="AC145" i="8" s="1"/>
  <c r="T136" i="8" l="1"/>
  <c r="T138" i="8" s="1"/>
  <c r="T143" i="8" s="1"/>
  <c r="T145" i="8" s="1"/>
  <c r="AJ138" i="8"/>
  <c r="AJ143" i="8" s="1"/>
  <c r="AJ145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<sst xmlns="http://schemas.openxmlformats.org/spreadsheetml/2006/main" count="256" uniqueCount="197">
  <si>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</si>
  <si>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</si>
  <si>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</si>
  <si>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</si>
  <si>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</si>
  <si>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</si>
  <si>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</si>
  <si>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</si>
  <si>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</si>
  <si>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</si>
  <si>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</si>
  <si>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</si>
  <si>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</si>
  <si>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Accounts payable</t>
  </si>
  <si>
    <t>Changes in assets and liabilities:</t>
  </si>
  <si>
    <t>Cash-Flows Statement</t>
  </si>
  <si>
    <t>Total stockholders' equity</t>
  </si>
  <si>
    <t>Total Liabilities</t>
  </si>
  <si>
    <t>X</t>
  </si>
  <si>
    <t>Total Current Liabilities</t>
  </si>
  <si>
    <t>Common stock</t>
  </si>
  <si>
    <t>Total Current Assets</t>
  </si>
  <si>
    <t>Total Assets</t>
  </si>
  <si>
    <t>Gross Profit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</si>
  <si>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</si>
  <si>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</si>
  <si>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</si>
  <si>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</si>
  <si>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</si>
  <si>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</si>
  <si>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</si>
  <si>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</si>
  <si>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Gross Margin (%)</t>
  </si>
  <si>
    <t>Earning before Interest &amp; Taxes (EBIT)</t>
  </si>
  <si>
    <t>Operating Margin (%)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</si>
  <si>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</si>
  <si>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</si>
  <si>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</si>
  <si>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</si>
  <si>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</si>
  <si>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</si>
  <si>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</si>
  <si>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</si>
  <si>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</si>
  <si>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</si>
  <si>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</si>
  <si>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</si>
  <si>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</si>
  <si>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Accounts Payable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</si>
  <si>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</si>
  <si>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</si>
  <si>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</si>
  <si>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</si>
  <si>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</si>
  <si>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</si>
  <si>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</si>
  <si>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</si>
  <si>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</si>
  <si>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</si>
  <si>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</si>
  <si>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</si>
  <si>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</si>
  <si>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</si>
  <si>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</si>
  <si>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</si>
  <si>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</si>
  <si>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Cash paid during the period for: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</si>
  <si>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</si>
  <si>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</si>
  <si>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</si>
  <si>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</si>
  <si>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</si>
  <si>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</si>
  <si>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</si>
  <si>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</si>
  <si>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</si>
  <si>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</si>
  <si>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</si>
  <si>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</si>
  <si>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</si>
  <si>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</si>
  <si>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</si>
  <si>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</si>
  <si>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</si>
  <si>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Interest Expense</t>
  </si>
  <si>
    <t>Operating Profit</t>
  </si>
  <si>
    <t>Earning Before Taxes</t>
  </si>
  <si>
    <t>EBT Margin (%)</t>
  </si>
  <si>
    <t>Current Assets</t>
  </si>
  <si>
    <t>Non-Current Assets</t>
  </si>
  <si>
    <t>Non-Current Liabilities</t>
  </si>
  <si>
    <t>Unrestricted Cash BOP</t>
  </si>
  <si>
    <t>EOP FX Adjustment</t>
  </si>
  <si>
    <t>Property and equipment, net</t>
  </si>
  <si>
    <t>Deferred income taxes</t>
  </si>
  <si>
    <t>Retained earnings</t>
  </si>
  <si>
    <t>Accumulated other comprehensive income (loss)</t>
  </si>
  <si>
    <t>Disaggregated Revenues</t>
  </si>
  <si>
    <t>Offerings Drivers</t>
  </si>
  <si>
    <t>Variance Check</t>
  </si>
  <si>
    <t>Fully Diluted EPS</t>
  </si>
  <si>
    <t>Basic Shares</t>
  </si>
  <si>
    <t>Cash Position Variance Check</t>
  </si>
  <si>
    <t>(-) General and Administrative (G&amp;A)</t>
  </si>
  <si>
    <t>Marketable Securities</t>
  </si>
  <si>
    <t>(+/-) Divestiture / Acquisitions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</si>
  <si>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</si>
  <si>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</si>
  <si>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</si>
  <si>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</si>
  <si>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</si>
  <si>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Netflix, Inc. (NASDAQ: NFLX)</t>
  </si>
  <si>
    <t>Cash and cash equivalents</t>
  </si>
  <si>
    <t>EOP Restricted Cash Adjustment</t>
  </si>
  <si>
    <t>BOP Restricted Cash Adjustment</t>
  </si>
  <si>
    <t>$ in thousands except per share</t>
  </si>
  <si>
    <t>(-) Amortization of content assets</t>
  </si>
  <si>
    <t>(-) Other Cost of Revenues</t>
  </si>
  <si>
    <t>(-) Marketing</t>
  </si>
  <si>
    <t>(-) Technology and Development (T&amp;D)</t>
  </si>
  <si>
    <t>(+) Depreciation and amortization of PP&amp;E and intangibles</t>
  </si>
  <si>
    <t>(+) Amortization of content assets</t>
  </si>
  <si>
    <t>(+/-) Proceeds / (Purchases) of ST Investments</t>
  </si>
  <si>
    <t>(-) Proceeds From Equity Issuances / (Share Repurchases)</t>
  </si>
  <si>
    <t>(-) 'Proceeds from issuance of Debt / (Repayment), net</t>
  </si>
  <si>
    <t>(+/-) Changes in Additions to content assets</t>
  </si>
  <si>
    <t>(+/-) Changes in Other Financing Activities</t>
  </si>
  <si>
    <t>Content Liabilities</t>
  </si>
  <si>
    <t>Deferred Revenue</t>
  </si>
  <si>
    <t>Summary Debt:</t>
  </si>
  <si>
    <t>CPLTD</t>
  </si>
  <si>
    <t>LTD</t>
  </si>
  <si>
    <t>($ in Millions)</t>
  </si>
  <si>
    <t xml:space="preserve">Consolidated Sr. Notes </t>
  </si>
  <si>
    <t>Debt Schedule</t>
  </si>
  <si>
    <t>$3Bn RCF due April 2025, April 2029 (CP Backstop)</t>
  </si>
  <si>
    <t xml:space="preserve">$3Bn Commercial Paper Program </t>
  </si>
  <si>
    <t>Property and Equipment, net</t>
  </si>
  <si>
    <t>Spirit Airlines, Inc. (NASDAQ: FLYYQ)</t>
  </si>
  <si>
    <t>Aircraft fuel</t>
  </si>
  <si>
    <t>Salaries, wages and benefits</t>
  </si>
  <si>
    <t>Landing fees and other rents</t>
  </si>
  <si>
    <t>Aircraft rent</t>
  </si>
  <si>
    <t>Depreciation and amortization</t>
  </si>
  <si>
    <t>Maintenance, materials and repairs</t>
  </si>
  <si>
    <t>Distribution</t>
  </si>
  <si>
    <t>Capitalized interest</t>
  </si>
  <si>
    <t>Short-term investment securities</t>
  </si>
  <si>
    <t>Restricted cash</t>
  </si>
  <si>
    <t>Accounts receivable, net</t>
  </si>
  <si>
    <t>Operating lease right-of-use assets:</t>
  </si>
  <si>
    <t>Pre-delivery deposits on flight equipment</t>
  </si>
  <si>
    <t>Deferred heavy maintenance, net</t>
  </si>
  <si>
    <t>Other long-term assets</t>
  </si>
  <si>
    <t>Air traffic liability</t>
  </si>
  <si>
    <t>Current maturities of operating leases</t>
  </si>
  <si>
    <t>Other current liabilities</t>
  </si>
  <si>
    <t>Operating leases, less current maturities</t>
  </si>
  <si>
    <t>Deferred gains and other long-term liabilities</t>
  </si>
  <si>
    <t>Additional paid-in-capital</t>
  </si>
  <si>
    <t>Treasury stock</t>
  </si>
  <si>
    <t>Benefit (Provision) for Income Taxes</t>
  </si>
  <si>
    <t>Prepaid expenses and Other Current Assets</t>
  </si>
  <si>
    <t xml:space="preserve">Liabilities subject to compromise	</t>
  </si>
  <si>
    <t>Current Portion of LTD, and finance leases.</t>
  </si>
  <si>
    <t>LTD, and finance leases.</t>
  </si>
  <si>
    <t>Amortization of debt issuance costs</t>
  </si>
  <si>
    <t>Accretion of convertible debt and 8.00% senior secured notes</t>
  </si>
  <si>
    <t>Amortization of debt discount</t>
  </si>
  <si>
    <t>Deferred income tax benefit</t>
  </si>
  <si>
    <t>Deposits and other assets</t>
  </si>
  <si>
    <t>Deferred heavy maintenance</t>
  </si>
  <si>
    <t>Other liabilities</t>
  </si>
  <si>
    <t>Proceeds from sale of property and equipment</t>
  </si>
  <si>
    <t>Purchase of property and equipment</t>
  </si>
  <si>
    <t>Payments on finance lease obligations</t>
  </si>
  <si>
    <t>Reimbursement for assets under construction for others</t>
  </si>
  <si>
    <t>Interest, net of capitalized interest</t>
  </si>
  <si>
    <t>Income taxes paid (received), net</t>
  </si>
  <si>
    <t>Reorganization items</t>
  </si>
  <si>
    <t>Debt and equity financing costs</t>
  </si>
  <si>
    <t>Interest Income</t>
  </si>
  <si>
    <t>Capitalized Interest</t>
  </si>
  <si>
    <t>Restructuring &amp; Other Special Charges</t>
  </si>
  <si>
    <t>Depreciation and Amortization (D&amp;A)</t>
  </si>
  <si>
    <t>Share-Based Compensation (SBC)</t>
  </si>
  <si>
    <t>Other Gains, Losses, Allowances, and Charges</t>
  </si>
  <si>
    <t>Gains (Losses) on disposal of assets</t>
  </si>
  <si>
    <t>Other Operating Expenses</t>
  </si>
  <si>
    <t>Special Credits (Charges)</t>
  </si>
  <si>
    <t>Loss (Gain) on Disposal of Assets</t>
  </si>
  <si>
    <t>Proceeds / (Purchase) of available-for-sale investment securities</t>
  </si>
  <si>
    <t>Other Investing Activities</t>
  </si>
  <si>
    <t>Pre-delivery deposit refunds on flight equipment, net of payments</t>
  </si>
  <si>
    <t>Other Income / (Expenses)</t>
  </si>
  <si>
    <t>Proceeds / (Repayment) of Debt</t>
  </si>
  <si>
    <t>Equity Issuances / (Repurchase of Common Stock)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</si>
</sst>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2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7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71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6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6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6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0" fillId="0" borderId="0" xfId="0" applyNumberFormat="1" applyFont="1" applyAlignment="1">
      <alignment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6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69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5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5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4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8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11" fillId="0" borderId="13" xfId="0" applyNumberFormat="1" applyFont="1" applyBorder="1" applyAlignment="1">
      <alignment horizontal="right" vertical="top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41" fontId="8" fillId="5" borderId="0" xfId="0" applyNumberFormat="1" applyFont="1" applyFill="1" applyAlignment="1">
      <alignment horizontal="right" vertical="top" wrapText="1"/>
    </xf>
    <xf numFmtId="41" fontId="6" fillId="5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5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5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0" fontId="2" fillId="2" borderId="4" xfId="0" applyFont="1" applyFill="1" applyBorder="1" applyAlignment="1">
      <alignment horizontal="centerContinuous" vertical="center"/>
    </xf>
    <xf numFmtId="14" fontId="3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41" fontId="6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1" fontId="11" fillId="0" borderId="0" xfId="0" applyNumberFormat="1" applyFont="1" applyAlignment="1">
      <alignment vertical="center"/>
    </xf>
    <xf numFmtId="0" fontId="4" fillId="0" borderId="0" xfId="0" quotePrefix="1" applyFont="1" applyAlignment="1">
      <alignment vertical="center"/>
    </xf>
    <xf numFmtId="9" fontId="13" fillId="0" borderId="0" xfId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left" vertical="center" wrapText="1"/>
    </xf>
    <xf numFmtId="0" fontId="6" fillId="0" borderId="0" xfId="0" applyFont="1" applyAlignment="1"/>
    <xf numFmtId="5" fontId="8" fillId="8" borderId="0" xfId="0" applyNumberFormat="1" applyFont="1" applyFill="1" applyAlignment="1">
      <alignment horizontal="right" vertical="top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Q164"/>
  <sheetViews>
    <sheetView showGridLines="0" tabSelected="1" zoomScaleNormal="100" workbookViewId="0">
      <selection activeCell="B2" sqref="B2"/>
    </sheetView>
  </sheetViews>
  <sheetFormatPr defaultRowHeight="12" outlineLevelCol="2"/>
  <cols>
    <col min="1" max="1" width="1.625" style="5" bestFit="1" customWidth="1"/>
    <col min="2" max="2" width="41.75" style="5" customWidth="1"/>
    <col min="3" max="3" width="9" style="5" customWidth="1" outlineLevel="2"/>
    <col min="4" max="5" width="9" style="5" customWidth="1" outlineLevel="1"/>
    <col min="6" max="8" width="9" style="5" bestFit="1" customWidth="1"/>
    <col min="9" max="9" width="1.5" style="5" customWidth="1"/>
    <col min="10" max="13" width="8.875" style="5" customWidth="1" outlineLevel="2"/>
    <col min="14" max="15" width="8.875" style="5" customWidth="1" outlineLevel="1"/>
    <col min="16" max="20" width="8.875" style="5" bestFit="1" customWidth="1"/>
    <col min="21" max="21" width="1.5" style="5" customWidth="1"/>
    <col min="22" max="31" width="8.75" style="5" hidden="1" customWidth="1" outlineLevel="1"/>
    <col min="32" max="32" width="9" style="5" bestFit="1" customWidth="1" collapsed="1"/>
    <col min="33" max="35" width="9" style="5" hidden="1" customWidth="1" outlineLevel="1"/>
    <col min="36" max="36" width="9" style="5" bestFit="1" customWidth="1" collapsed="1"/>
    <col min="37" max="37" width="1.25" style="5" customWidth="1"/>
    <col min="38" max="38" width="8" style="5" bestFit="1" customWidth="1"/>
    <col min="39" max="39" width="1.375" style="5" customWidth="1"/>
    <col min="40" max="16384" width="9" style="5"/>
  </cols>
  <sheetData>
    <row r="2" spans="1:38" ht="12.75" customHeight="1">
      <c r="B2" s="1" t="s">
        <v>138</v>
      </c>
      <c r="C2" s="104"/>
      <c r="D2" s="104"/>
      <c r="E2" s="104"/>
      <c r="F2" s="104"/>
      <c r="G2" s="104"/>
      <c r="H2" s="104"/>
      <c r="I2" s="3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3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3"/>
      <c r="AL2" s="1"/>
    </row>
    <row r="3" spans="1:38" ht="12.75" customHeight="1">
      <c r="B3" s="6" t="s">
        <v>81</v>
      </c>
      <c r="C3" s="7"/>
      <c r="D3" s="7"/>
      <c r="E3" s="7"/>
      <c r="F3" s="7"/>
      <c r="G3" s="7"/>
      <c r="H3" s="7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3"/>
      <c r="AL3" s="1"/>
    </row>
    <row r="4" spans="1:38" ht="12.75" customHeight="1">
      <c r="B4" s="6" t="s">
        <v>115</v>
      </c>
      <c r="C4" s="3"/>
      <c r="D4" s="3"/>
      <c r="E4" s="3"/>
      <c r="F4" s="3"/>
      <c r="G4" s="8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1"/>
    </row>
    <row r="6" spans="1:38" ht="12.75" customHeight="1">
      <c r="A6" s="5" t="s">
        <v>18</v>
      </c>
      <c r="B6" s="1" t="s">
        <v>79</v>
      </c>
      <c r="C6" s="2"/>
      <c r="D6" s="2"/>
      <c r="E6" s="2"/>
      <c r="F6" s="2" t="s">
        <v>0</v>
      </c>
      <c r="G6" s="2"/>
      <c r="H6" s="2"/>
      <c r="I6" s="3"/>
      <c r="J6" s="2" t="s">
        <v>1</v>
      </c>
      <c r="K6" s="2"/>
      <c r="L6" s="2"/>
      <c r="M6" s="2"/>
      <c r="N6" s="2"/>
      <c r="O6" s="2"/>
      <c r="P6" s="2" t="s">
        <v>1</v>
      </c>
      <c r="Q6" s="2"/>
      <c r="R6" s="2"/>
      <c r="S6" s="2"/>
      <c r="T6" s="2"/>
      <c r="U6" s="3"/>
      <c r="V6" s="2"/>
      <c r="W6" s="2"/>
      <c r="X6" s="2"/>
      <c r="Y6" s="2"/>
      <c r="Z6" s="2"/>
      <c r="AA6" s="2"/>
      <c r="AB6" s="2"/>
      <c r="AC6" s="2"/>
      <c r="AD6" s="2"/>
      <c r="AE6" s="2" t="s">
        <v>10</v>
      </c>
      <c r="AF6" s="2" t="s">
        <v>10</v>
      </c>
      <c r="AG6" s="2"/>
      <c r="AH6" s="2"/>
      <c r="AI6" s="2"/>
      <c r="AJ6" s="2"/>
      <c r="AK6" s="38"/>
      <c r="AL6" s="164" t="s">
        <v>25</v>
      </c>
    </row>
    <row r="7" spans="1:38" ht="12.75" customHeight="1">
      <c r="B7" s="6" t="s">
        <v>82</v>
      </c>
      <c r="C7" s="7">
        <v>2019</v>
      </c>
      <c r="D7" s="7">
        <v>2020</v>
      </c>
      <c r="E7" s="7">
        <v>2021</v>
      </c>
      <c r="F7" s="7">
        <v>2022</v>
      </c>
      <c r="G7" s="7">
        <v>2023</v>
      </c>
      <c r="H7" s="7">
        <v>2024</v>
      </c>
      <c r="I7" s="3"/>
      <c r="J7" s="4" t="s">
        <v>6</v>
      </c>
      <c r="K7" s="4" t="s">
        <v>7</v>
      </c>
      <c r="L7" s="4" t="s">
        <v>8</v>
      </c>
      <c r="M7" s="4" t="s">
        <v>9</v>
      </c>
      <c r="N7" s="4" t="s">
        <v>2</v>
      </c>
      <c r="O7" s="4" t="s">
        <v>3</v>
      </c>
      <c r="P7" s="4" t="s">
        <v>4</v>
      </c>
      <c r="Q7" s="4" t="s">
        <v>5</v>
      </c>
      <c r="R7" s="4" t="s">
        <v>27</v>
      </c>
      <c r="S7" s="4" t="s">
        <v>28</v>
      </c>
      <c r="T7" s="4" t="s">
        <v>67</v>
      </c>
      <c r="U7" s="3"/>
      <c r="V7" s="4" t="e">
        <f>#REF!</f>
        <v>#REF!</v>
      </c>
      <c r="W7" s="4" t="e">
        <f>#REF!</f>
        <v>#REF!</v>
      </c>
      <c r="X7" s="4" t="e">
        <f>#REF!</f>
        <v>#REF!</v>
      </c>
      <c r="Y7" s="4" t="e">
        <f>#REF!</f>
        <v>#REF!</v>
      </c>
      <c r="Z7" s="4" t="str">
        <f t="shared" ref="Z7:AJ8" si="0">J7</f>
        <v>1Q23</v>
      </c>
      <c r="AA7" s="4" t="str">
        <f t="shared" si="0"/>
        <v>2Q23</v>
      </c>
      <c r="AB7" s="4" t="str">
        <f t="shared" si="0"/>
        <v>3Q23</v>
      </c>
      <c r="AC7" s="4" t="str">
        <f t="shared" si="0"/>
        <v>4Q23</v>
      </c>
      <c r="AD7" s="4" t="str">
        <f t="shared" si="0"/>
        <v>1Q24</v>
      </c>
      <c r="AE7" s="4" t="str">
        <f t="shared" si="0"/>
        <v>2Q24</v>
      </c>
      <c r="AF7" s="4" t="str">
        <f t="shared" si="0"/>
        <v>3Q24</v>
      </c>
      <c r="AG7" s="4" t="str">
        <f t="shared" si="0"/>
        <v>4Q24</v>
      </c>
      <c r="AH7" s="4" t="str">
        <f t="shared" si="0"/>
        <v>1Q25</v>
      </c>
      <c r="AI7" s="4" t="str">
        <f t="shared" si="0"/>
        <v>2Q25</v>
      </c>
      <c r="AJ7" s="4" t="str">
        <f t="shared" si="0"/>
        <v>3Q25</v>
      </c>
      <c r="AK7" s="38"/>
      <c r="AL7" s="164"/>
    </row>
    <row r="8" spans="1:38" ht="12.75" customHeight="1">
      <c r="B8" s="6" t="s">
        <v>83</v>
      </c>
      <c r="C8" s="3">
        <v>43830</v>
      </c>
      <c r="D8" s="3">
        <v>44196</v>
      </c>
      <c r="E8" s="3">
        <v>44561</v>
      </c>
      <c r="F8" s="3">
        <v>44926</v>
      </c>
      <c r="G8" s="87">
        <v>45291</v>
      </c>
      <c r="H8" s="3">
        <v>45657</v>
      </c>
      <c r="I8" s="3"/>
      <c r="J8" s="3">
        <v>45016</v>
      </c>
      <c r="K8" s="3">
        <v>45107</v>
      </c>
      <c r="L8" s="3">
        <v>45199</v>
      </c>
      <c r="M8" s="3">
        <f>G8</f>
        <v>45291</v>
      </c>
      <c r="N8" s="3">
        <v>45382</v>
      </c>
      <c r="O8" s="3">
        <v>45473</v>
      </c>
      <c r="P8" s="3">
        <v>45565</v>
      </c>
      <c r="Q8" s="3">
        <f>H8</f>
        <v>45657</v>
      </c>
      <c r="R8" s="3">
        <v>45747</v>
      </c>
      <c r="S8" s="3">
        <v>45838</v>
      </c>
      <c r="T8" s="3">
        <v>45930</v>
      </c>
      <c r="U8" s="3"/>
      <c r="V8" s="3" t="e">
        <f>#REF!</f>
        <v>#REF!</v>
      </c>
      <c r="W8" s="3" t="e">
        <f>#REF!</f>
        <v>#REF!</v>
      </c>
      <c r="X8" s="3" t="e">
        <f>#REF!</f>
        <v>#REF!</v>
      </c>
      <c r="Y8" s="3" t="e">
        <f>#REF!</f>
        <v>#REF!</v>
      </c>
      <c r="Z8" s="3">
        <f t="shared" si="0"/>
        <v>45016</v>
      </c>
      <c r="AA8" s="3">
        <f t="shared" si="0"/>
        <v>45107</v>
      </c>
      <c r="AB8" s="3">
        <f t="shared" si="0"/>
        <v>45199</v>
      </c>
      <c r="AC8" s="3">
        <f t="shared" si="0"/>
        <v>45291</v>
      </c>
      <c r="AD8" s="3">
        <f t="shared" si="0"/>
        <v>45382</v>
      </c>
      <c r="AE8" s="3">
        <f t="shared" si="0"/>
        <v>45473</v>
      </c>
      <c r="AF8" s="3">
        <f t="shared" si="0"/>
        <v>45565</v>
      </c>
      <c r="AG8" s="3">
        <f t="shared" si="0"/>
        <v>45657</v>
      </c>
      <c r="AH8" s="3">
        <f t="shared" si="0"/>
        <v>45747</v>
      </c>
      <c r="AI8" s="3">
        <f t="shared" si="0"/>
        <v>45838</v>
      </c>
      <c r="AJ8" s="3">
        <f t="shared" si="0"/>
        <v>45930</v>
      </c>
      <c r="AK8" s="38"/>
      <c r="AL8" s="164"/>
    </row>
    <row r="9" spans="1:38" ht="5.0999999999999996" customHeight="1">
      <c r="AL9" s="103"/>
    </row>
    <row r="10" spans="1:38" ht="12.75" customHeight="1">
      <c r="B10" s="9" t="s">
        <v>62</v>
      </c>
      <c r="C10" s="98">
        <v>3830536</v>
      </c>
      <c r="D10" s="98">
        <v>1810022</v>
      </c>
      <c r="E10" s="98">
        <v>3230775</v>
      </c>
      <c r="F10" s="98">
        <v>5068447</v>
      </c>
      <c r="G10" s="98">
        <v>5362549</v>
      </c>
      <c r="H10" s="98">
        <v>4913421</v>
      </c>
      <c r="I10" s="11"/>
      <c r="J10" s="98">
        <v>1349774</v>
      </c>
      <c r="K10" s="98">
        <v>1432472</v>
      </c>
      <c r="L10" s="98">
        <v>1258543</v>
      </c>
      <c r="M10" s="32">
        <f>SUM(G10-SUM(J10:L10))</f>
        <v>1321760</v>
      </c>
      <c r="N10" s="98">
        <v>1265537</v>
      </c>
      <c r="O10" s="98">
        <v>1280889</v>
      </c>
      <c r="P10" s="98">
        <v>1197104</v>
      </c>
      <c r="Q10" s="32">
        <f>SUM(H10-SUM(N10:P10))</f>
        <v>1169891</v>
      </c>
      <c r="R10" s="84">
        <f>755354+257045</f>
        <v>1012399</v>
      </c>
      <c r="S10" s="84">
        <v>1019833</v>
      </c>
      <c r="T10" s="84">
        <v>958524</v>
      </c>
      <c r="V10" s="32" t="e">
        <f>SUM(#REF!)</f>
        <v>#REF!</v>
      </c>
      <c r="W10" s="32" t="e">
        <f>SUM(#REF!)</f>
        <v>#REF!</v>
      </c>
      <c r="X10" s="32" t="e">
        <f>SUM(#REF!)</f>
        <v>#REF!</v>
      </c>
      <c r="Y10" s="32" t="e">
        <f>SUM(#REF!)</f>
        <v>#REF!</v>
      </c>
      <c r="Z10" s="32">
        <f>SUM(J10:J10)</f>
        <v>1349774</v>
      </c>
      <c r="AA10" s="32">
        <f>SUM(J10:K10)</f>
        <v>2782246</v>
      </c>
      <c r="AB10" s="32">
        <f>SUM(J10:L10)</f>
        <v>4040789</v>
      </c>
      <c r="AC10" s="32">
        <f t="shared" ref="AC10:AJ10" si="1">SUM(J10:M10)</f>
        <v>5362549</v>
      </c>
      <c r="AD10" s="32">
        <f t="shared" si="1"/>
        <v>5278312</v>
      </c>
      <c r="AE10" s="32">
        <f t="shared" si="1"/>
        <v>5126729</v>
      </c>
      <c r="AF10" s="32">
        <f t="shared" si="1"/>
        <v>5065290</v>
      </c>
      <c r="AG10" s="32">
        <f t="shared" si="1"/>
        <v>4913421</v>
      </c>
      <c r="AH10" s="32">
        <f t="shared" si="1"/>
        <v>4660283</v>
      </c>
      <c r="AI10" s="32">
        <f t="shared" si="1"/>
        <v>4399227</v>
      </c>
      <c r="AJ10" s="32">
        <f t="shared" si="1"/>
        <v>4160647</v>
      </c>
      <c r="AK10" s="40"/>
      <c r="AL10" s="12">
        <f>SUM(AJ10/AF10)-1</f>
        <v>-0.17859648707181619</v>
      </c>
    </row>
    <row r="11" spans="1:38" ht="12.75" customHeight="1">
      <c r="B11" s="13" t="s">
        <v>12</v>
      </c>
      <c r="C11" s="14">
        <f t="shared" ref="C11:H11" si="2">+SUM(C10:C10)</f>
        <v>3830536</v>
      </c>
      <c r="D11" s="14">
        <f t="shared" si="2"/>
        <v>1810022</v>
      </c>
      <c r="E11" s="14">
        <f t="shared" si="2"/>
        <v>3230775</v>
      </c>
      <c r="F11" s="14">
        <f t="shared" si="2"/>
        <v>5068447</v>
      </c>
      <c r="G11" s="14">
        <f t="shared" si="2"/>
        <v>5362549</v>
      </c>
      <c r="H11" s="14">
        <f t="shared" si="2"/>
        <v>4913421</v>
      </c>
      <c r="I11" s="11"/>
      <c r="J11" s="14">
        <f t="shared" ref="J11:S11" si="3">+SUM(J10:J10)</f>
        <v>1349774</v>
      </c>
      <c r="K11" s="14">
        <f t="shared" si="3"/>
        <v>1432472</v>
      </c>
      <c r="L11" s="14">
        <f t="shared" si="3"/>
        <v>1258543</v>
      </c>
      <c r="M11" s="14">
        <f t="shared" si="3"/>
        <v>1321760</v>
      </c>
      <c r="N11" s="14">
        <f t="shared" si="3"/>
        <v>1265537</v>
      </c>
      <c r="O11" s="14">
        <f t="shared" si="3"/>
        <v>1280889</v>
      </c>
      <c r="P11" s="14">
        <f t="shared" si="3"/>
        <v>1197104</v>
      </c>
      <c r="Q11" s="14">
        <f t="shared" si="3"/>
        <v>1169891</v>
      </c>
      <c r="R11" s="14">
        <f t="shared" si="3"/>
        <v>1012399</v>
      </c>
      <c r="S11" s="14">
        <f t="shared" si="3"/>
        <v>1019833</v>
      </c>
      <c r="T11" s="14">
        <f>+SUM(T10:T10)</f>
        <v>958524</v>
      </c>
      <c r="V11" s="14" t="e">
        <f t="shared" ref="V11:X11" si="4">+SUM(V10:V10)</f>
        <v>#REF!</v>
      </c>
      <c r="W11" s="14" t="e">
        <f t="shared" si="4"/>
        <v>#REF!</v>
      </c>
      <c r="X11" s="14" t="e">
        <f t="shared" si="4"/>
        <v>#REF!</v>
      </c>
      <c r="Y11" s="14" t="e">
        <f t="shared" ref="Y11:AI11" si="5">+SUM(Y10:Y10)</f>
        <v>#REF!</v>
      </c>
      <c r="Z11" s="14">
        <f t="shared" si="5"/>
        <v>1349774</v>
      </c>
      <c r="AA11" s="14">
        <f t="shared" si="5"/>
        <v>2782246</v>
      </c>
      <c r="AB11" s="14">
        <f t="shared" si="5"/>
        <v>4040789</v>
      </c>
      <c r="AC11" s="14">
        <f t="shared" si="5"/>
        <v>5362549</v>
      </c>
      <c r="AD11" s="14">
        <f t="shared" si="5"/>
        <v>5278312</v>
      </c>
      <c r="AE11" s="14">
        <f t="shared" si="5"/>
        <v>5126729</v>
      </c>
      <c r="AF11" s="14">
        <f t="shared" si="5"/>
        <v>5065290</v>
      </c>
      <c r="AG11" s="14">
        <f t="shared" si="5"/>
        <v>4913421</v>
      </c>
      <c r="AH11" s="14">
        <f t="shared" si="5"/>
        <v>4660283</v>
      </c>
      <c r="AI11" s="14">
        <f t="shared" si="5"/>
        <v>4399227</v>
      </c>
      <c r="AJ11" s="14">
        <f>+SUM(AJ10:AJ10)</f>
        <v>4160647</v>
      </c>
      <c r="AK11" s="40"/>
      <c r="AL11" s="15">
        <f>SUM(AJ11/AF11)-1</f>
        <v>-0.17859648707181619</v>
      </c>
    </row>
    <row r="12" spans="1:38" s="20" customFormat="1" ht="5.0999999999999996" customHeight="1">
      <c r="B12" s="18"/>
      <c r="C12" s="19"/>
      <c r="D12" s="19"/>
      <c r="E12" s="19"/>
      <c r="F12" s="19"/>
      <c r="G12" s="19"/>
      <c r="H12" s="19"/>
      <c r="J12" s="21"/>
      <c r="K12" s="21"/>
      <c r="L12" s="21"/>
      <c r="M12" s="21"/>
      <c r="N12" s="21"/>
      <c r="O12" s="21"/>
      <c r="P12" s="21"/>
      <c r="Q12" s="21"/>
      <c r="R12" s="22"/>
      <c r="S12" s="21"/>
      <c r="T12" s="21"/>
      <c r="AL12" s="77"/>
    </row>
    <row r="13" spans="1:38" ht="12.75" customHeight="1">
      <c r="B13" s="9" t="s">
        <v>140</v>
      </c>
      <c r="C13" s="84">
        <v>-865019</v>
      </c>
      <c r="D13" s="84">
        <v>-909834</v>
      </c>
      <c r="E13" s="84">
        <v>-1065461</v>
      </c>
      <c r="F13" s="84">
        <v>-1251225</v>
      </c>
      <c r="G13" s="84">
        <v>-1616803</v>
      </c>
      <c r="H13" s="84">
        <v>-1689083</v>
      </c>
      <c r="I13" s="32"/>
      <c r="J13" s="98">
        <v>-389185</v>
      </c>
      <c r="K13" s="98">
        <v>-407705</v>
      </c>
      <c r="L13" s="98">
        <v>-404177</v>
      </c>
      <c r="M13" s="32">
        <f t="shared" ref="M13" si="6">SUM(G13-SUM(J13:L13))</f>
        <v>-415736</v>
      </c>
      <c r="N13" s="98">
        <v>-431483</v>
      </c>
      <c r="O13" s="98">
        <v>-418378</v>
      </c>
      <c r="P13" s="98">
        <v>-427125</v>
      </c>
      <c r="Q13" s="32">
        <f t="shared" ref="Q13" si="7">SUM(H13-SUM(N13:P13))</f>
        <v>-412097</v>
      </c>
      <c r="R13" s="84">
        <f>-76212-308585</f>
        <v>-384797</v>
      </c>
      <c r="S13" s="84">
        <v>-367361</v>
      </c>
      <c r="T13" s="84">
        <v>-367356</v>
      </c>
      <c r="V13" s="32" t="e">
        <f>SUM(#REF!)</f>
        <v>#REF!</v>
      </c>
      <c r="W13" s="32" t="e">
        <f>SUM(#REF!)</f>
        <v>#REF!</v>
      </c>
      <c r="X13" s="32" t="e">
        <f>SUM(#REF!)</f>
        <v>#REF!</v>
      </c>
      <c r="Y13" s="32" t="e">
        <f>SUM(#REF!)</f>
        <v>#REF!</v>
      </c>
      <c r="Z13" s="32">
        <f>SUM(J13:J13)</f>
        <v>-389185</v>
      </c>
      <c r="AA13" s="32">
        <f>SUM(J13:K13)</f>
        <v>-796890</v>
      </c>
      <c r="AB13" s="32">
        <f>SUM(J13:L13)</f>
        <v>-1201067</v>
      </c>
      <c r="AC13" s="32">
        <f t="shared" ref="AC13" si="8">SUM(J13:M13)</f>
        <v>-1616803</v>
      </c>
      <c r="AD13" s="32">
        <f t="shared" ref="AD13" si="9">SUM(K13:N13)</f>
        <v>-1659101</v>
      </c>
      <c r="AE13" s="32">
        <f t="shared" ref="AE13" si="10">SUM(L13:O13)</f>
        <v>-1669774</v>
      </c>
      <c r="AF13" s="32">
        <f t="shared" ref="AF13:AF22" si="11">SUM(M13:P13)</f>
        <v>-1692722</v>
      </c>
      <c r="AG13" s="32">
        <f t="shared" ref="AG13:AG22" si="12">SUM(N13:Q13)</f>
        <v>-1689083</v>
      </c>
      <c r="AH13" s="32">
        <f t="shared" ref="AH13:AH22" si="13">SUM(O13:R13)</f>
        <v>-1642397</v>
      </c>
      <c r="AI13" s="32">
        <f t="shared" ref="AI13:AI22" si="14">SUM(P13:S13)</f>
        <v>-1591380</v>
      </c>
      <c r="AJ13" s="32">
        <f t="shared" ref="AJ13:AJ22" si="15">SUM(Q13:T13)</f>
        <v>-1531611</v>
      </c>
      <c r="AK13" s="11"/>
      <c r="AL13" s="77">
        <f>SUM(AJ13/AF13)-1</f>
        <v>-9.5178653080659426E-2</v>
      </c>
    </row>
    <row r="14" spans="1:38" ht="12.75" customHeight="1">
      <c r="B14" s="9" t="s">
        <v>139</v>
      </c>
      <c r="C14" s="84">
        <v>-993478</v>
      </c>
      <c r="D14" s="84">
        <v>-431000</v>
      </c>
      <c r="E14" s="84">
        <v>-913945</v>
      </c>
      <c r="F14" s="84">
        <v>-1929969</v>
      </c>
      <c r="G14" s="84">
        <v>-1821165</v>
      </c>
      <c r="H14" s="84">
        <v>-1479203</v>
      </c>
      <c r="I14" s="32"/>
      <c r="J14" s="98">
        <v>-487711</v>
      </c>
      <c r="K14" s="98">
        <v>-391032</v>
      </c>
      <c r="L14" s="98">
        <v>-455241</v>
      </c>
      <c r="M14" s="32">
        <f t="shared" ref="M14:M22" si="16">SUM(G14-SUM(J14:L14))</f>
        <v>-487181</v>
      </c>
      <c r="N14" s="98">
        <v>-406351</v>
      </c>
      <c r="O14" s="98">
        <v>-407296</v>
      </c>
      <c r="P14" s="98">
        <v>-373399</v>
      </c>
      <c r="Q14" s="32">
        <f t="shared" ref="Q14:Q22" si="17">SUM(H14-SUM(N14:P14))</f>
        <v>-292157</v>
      </c>
      <c r="R14" s="84">
        <f>-60797-219922</f>
        <v>-280719</v>
      </c>
      <c r="S14" s="84">
        <v>-260486</v>
      </c>
      <c r="T14" s="84">
        <v>-253308</v>
      </c>
      <c r="V14" s="32" t="e">
        <f>SUM(#REF!)</f>
        <v>#REF!</v>
      </c>
      <c r="W14" s="32" t="e">
        <f>SUM(#REF!)</f>
        <v>#REF!</v>
      </c>
      <c r="X14" s="32" t="e">
        <f>SUM(#REF!)</f>
        <v>#REF!</v>
      </c>
      <c r="Y14" s="32" t="e">
        <f>SUM(#REF!)</f>
        <v>#REF!</v>
      </c>
      <c r="Z14" s="32">
        <f>SUM(J14:J14)</f>
        <v>-487711</v>
      </c>
      <c r="AA14" s="32">
        <f>SUM(J14:K14)</f>
        <v>-878743</v>
      </c>
      <c r="AB14" s="32">
        <f>SUM(J14:L14)</f>
        <v>-1333984</v>
      </c>
      <c r="AC14" s="32">
        <f t="shared" ref="AC14:AE14" si="18">SUM(J14:M14)</f>
        <v>-1821165</v>
      </c>
      <c r="AD14" s="32">
        <f t="shared" si="18"/>
        <v>-1739805</v>
      </c>
      <c r="AE14" s="32">
        <f t="shared" si="18"/>
        <v>-1756069</v>
      </c>
      <c r="AF14" s="32">
        <f t="shared" si="11"/>
        <v>-1674227</v>
      </c>
      <c r="AG14" s="32">
        <f t="shared" si="12"/>
        <v>-1479203</v>
      </c>
      <c r="AH14" s="32">
        <f t="shared" si="13"/>
        <v>-1353571</v>
      </c>
      <c r="AI14" s="32">
        <f t="shared" si="14"/>
        <v>-1206761</v>
      </c>
      <c r="AJ14" s="32">
        <f t="shared" si="15"/>
        <v>-1086670</v>
      </c>
      <c r="AK14" s="11"/>
      <c r="AL14" s="77">
        <f>SUM(AJ14/AF14)-1</f>
        <v>-0.35094225573951443</v>
      </c>
    </row>
    <row r="15" spans="1:38" ht="12.75" customHeight="1">
      <c r="B15" s="9" t="s">
        <v>142</v>
      </c>
      <c r="C15" s="84">
        <v>-182609</v>
      </c>
      <c r="D15" s="84">
        <v>-196359</v>
      </c>
      <c r="E15" s="84">
        <v>-246601</v>
      </c>
      <c r="F15" s="84">
        <v>-282428</v>
      </c>
      <c r="G15" s="84">
        <v>-381239</v>
      </c>
      <c r="H15" s="84">
        <v>-541909</v>
      </c>
      <c r="I15" s="32"/>
      <c r="J15" s="98">
        <v>-85267</v>
      </c>
      <c r="K15" s="98">
        <v>-92101</v>
      </c>
      <c r="L15" s="98">
        <v>-97393</v>
      </c>
      <c r="M15" s="32">
        <f t="shared" ref="M15" si="19">SUM(G15-SUM(J15:L15))</f>
        <v>-106478</v>
      </c>
      <c r="N15" s="98">
        <v>-115206</v>
      </c>
      <c r="O15" s="98">
        <v>-125339</v>
      </c>
      <c r="P15" s="98">
        <v>-148511</v>
      </c>
      <c r="Q15" s="32">
        <f t="shared" ref="Q15" si="20">SUM(H15-SUM(N15:P15))</f>
        <v>-152853</v>
      </c>
      <c r="R15" s="84">
        <f>-30884-120183</f>
        <v>-151067</v>
      </c>
      <c r="S15" s="84">
        <v>-140693</v>
      </c>
      <c r="T15" s="84">
        <v>-154064</v>
      </c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>
        <f t="shared" si="11"/>
        <v>-495534</v>
      </c>
      <c r="AG15" s="32">
        <f t="shared" si="12"/>
        <v>-541909</v>
      </c>
      <c r="AH15" s="32">
        <f t="shared" si="13"/>
        <v>-577770</v>
      </c>
      <c r="AI15" s="32">
        <f t="shared" si="14"/>
        <v>-593124</v>
      </c>
      <c r="AJ15" s="32">
        <f t="shared" si="15"/>
        <v>-598677</v>
      </c>
      <c r="AK15" s="11"/>
      <c r="AL15" s="77"/>
    </row>
    <row r="16" spans="1:38" ht="12.75" customHeight="1">
      <c r="B16" s="9" t="s">
        <v>141</v>
      </c>
      <c r="C16" s="84">
        <v>-256275</v>
      </c>
      <c r="D16" s="84">
        <v>-251028</v>
      </c>
      <c r="E16" s="84">
        <v>-315999</v>
      </c>
      <c r="F16" s="84">
        <v>-347268</v>
      </c>
      <c r="G16" s="84">
        <v>-408262</v>
      </c>
      <c r="H16" s="84">
        <v>-451008</v>
      </c>
      <c r="I16" s="32"/>
      <c r="J16" s="98">
        <v>-97345</v>
      </c>
      <c r="K16" s="98">
        <v>-106487</v>
      </c>
      <c r="L16" s="98">
        <v>-107525</v>
      </c>
      <c r="M16" s="32">
        <f t="shared" si="16"/>
        <v>-96905</v>
      </c>
      <c r="N16" s="98">
        <v>-106718</v>
      </c>
      <c r="O16" s="98">
        <v>-116064</v>
      </c>
      <c r="P16" s="98">
        <v>-130044</v>
      </c>
      <c r="Q16" s="32">
        <f t="shared" si="17"/>
        <v>-98182</v>
      </c>
      <c r="R16" s="84">
        <f>-20944-87001</f>
        <v>-107945</v>
      </c>
      <c r="S16" s="84">
        <v>-101457</v>
      </c>
      <c r="T16" s="84">
        <v>-104900</v>
      </c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>
        <f t="shared" si="11"/>
        <v>-449731</v>
      </c>
      <c r="AG16" s="32">
        <f t="shared" si="12"/>
        <v>-451008</v>
      </c>
      <c r="AH16" s="32">
        <f t="shared" si="13"/>
        <v>-452235</v>
      </c>
      <c r="AI16" s="32">
        <f t="shared" si="14"/>
        <v>-437628</v>
      </c>
      <c r="AJ16" s="32">
        <f t="shared" si="15"/>
        <v>-412484</v>
      </c>
      <c r="AK16" s="11"/>
      <c r="AL16" s="77"/>
    </row>
    <row r="17" spans="2:38" ht="12.75" customHeight="1">
      <c r="B17" s="9" t="s">
        <v>143</v>
      </c>
      <c r="C17" s="84">
        <v>-225264</v>
      </c>
      <c r="D17" s="84">
        <v>-278588</v>
      </c>
      <c r="E17" s="84">
        <v>-297211</v>
      </c>
      <c r="F17" s="84">
        <v>-313090</v>
      </c>
      <c r="G17" s="84">
        <v>-320872</v>
      </c>
      <c r="H17" s="84">
        <v>-325273</v>
      </c>
      <c r="I17" s="32"/>
      <c r="J17" s="98">
        <v>-77991</v>
      </c>
      <c r="K17" s="98">
        <v>-80542</v>
      </c>
      <c r="L17" s="98">
        <v>-82802</v>
      </c>
      <c r="M17" s="32">
        <f t="shared" si="16"/>
        <v>-79537</v>
      </c>
      <c r="N17" s="98">
        <v>-81346</v>
      </c>
      <c r="O17" s="98">
        <v>-84486</v>
      </c>
      <c r="P17" s="98">
        <v>-84028</v>
      </c>
      <c r="Q17" s="32">
        <f t="shared" si="17"/>
        <v>-75413</v>
      </c>
      <c r="R17" s="84">
        <f>-11597-54853</f>
        <v>-66450</v>
      </c>
      <c r="S17" s="84">
        <v>-62886</v>
      </c>
      <c r="T17" s="84">
        <v>-58032</v>
      </c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>
        <f t="shared" si="11"/>
        <v>-329397</v>
      </c>
      <c r="AG17" s="32">
        <f t="shared" si="12"/>
        <v>-325273</v>
      </c>
      <c r="AH17" s="32">
        <f t="shared" si="13"/>
        <v>-310377</v>
      </c>
      <c r="AI17" s="32">
        <f t="shared" si="14"/>
        <v>-288777</v>
      </c>
      <c r="AJ17" s="32">
        <f t="shared" si="15"/>
        <v>-262781</v>
      </c>
      <c r="AK17" s="11"/>
      <c r="AL17" s="77"/>
    </row>
    <row r="18" spans="2:38" ht="12.75" customHeight="1">
      <c r="B18" s="9" t="s">
        <v>144</v>
      </c>
      <c r="C18" s="84">
        <v>-143575</v>
      </c>
      <c r="D18" s="84">
        <v>-111227</v>
      </c>
      <c r="E18" s="84">
        <v>-159502</v>
      </c>
      <c r="F18" s="84">
        <v>-187820</v>
      </c>
      <c r="G18" s="84">
        <v>-223339</v>
      </c>
      <c r="H18" s="84">
        <v>-217738</v>
      </c>
      <c r="I18" s="32"/>
      <c r="J18" s="98">
        <v>-54414</v>
      </c>
      <c r="K18" s="98">
        <v>-56825</v>
      </c>
      <c r="L18" s="98">
        <v>-56465</v>
      </c>
      <c r="M18" s="32">
        <f t="shared" si="16"/>
        <v>-55635</v>
      </c>
      <c r="N18" s="98">
        <v>-54915</v>
      </c>
      <c r="O18" s="98">
        <v>-52453</v>
      </c>
      <c r="P18" s="98">
        <v>-57368</v>
      </c>
      <c r="Q18" s="32">
        <f t="shared" si="17"/>
        <v>-53002</v>
      </c>
      <c r="R18" s="84">
        <f>-11209-47498</f>
        <v>-58707</v>
      </c>
      <c r="S18" s="84">
        <v>-48747</v>
      </c>
      <c r="T18" s="84">
        <v>-54849</v>
      </c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>
        <f t="shared" si="11"/>
        <v>-220371</v>
      </c>
      <c r="AG18" s="32">
        <f t="shared" si="12"/>
        <v>-217738</v>
      </c>
      <c r="AH18" s="32">
        <f t="shared" si="13"/>
        <v>-221530</v>
      </c>
      <c r="AI18" s="32">
        <f t="shared" si="14"/>
        <v>-217824</v>
      </c>
      <c r="AJ18" s="32">
        <f t="shared" si="15"/>
        <v>-215305</v>
      </c>
      <c r="AK18" s="11"/>
      <c r="AL18" s="77"/>
    </row>
    <row r="19" spans="2:38" ht="12.75" customHeight="1">
      <c r="B19" s="9" t="s">
        <v>145</v>
      </c>
      <c r="C19" s="84">
        <v>-153770</v>
      </c>
      <c r="D19" s="84">
        <v>-85059</v>
      </c>
      <c r="E19" s="84">
        <v>-132499</v>
      </c>
      <c r="F19" s="84">
        <v>-177557</v>
      </c>
      <c r="G19" s="84">
        <v>-190891</v>
      </c>
      <c r="H19" s="84">
        <v>-197197</v>
      </c>
      <c r="I19" s="32"/>
      <c r="J19" s="98">
        <v>-48017</v>
      </c>
      <c r="K19" s="98">
        <v>-50701</v>
      </c>
      <c r="L19" s="98">
        <v>-46323</v>
      </c>
      <c r="M19" s="32">
        <f t="shared" si="16"/>
        <v>-45850</v>
      </c>
      <c r="N19" s="98">
        <v>-45176</v>
      </c>
      <c r="O19" s="98">
        <v>-45923</v>
      </c>
      <c r="P19" s="98">
        <v>-55687</v>
      </c>
      <c r="Q19" s="32">
        <f t="shared" si="17"/>
        <v>-50411</v>
      </c>
      <c r="R19" s="84">
        <f>-10432-39461</f>
        <v>-49893</v>
      </c>
      <c r="S19" s="84">
        <v>-47139</v>
      </c>
      <c r="T19" s="84">
        <v>-45833</v>
      </c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>
        <f t="shared" si="11"/>
        <v>-192636</v>
      </c>
      <c r="AG19" s="32">
        <f t="shared" si="12"/>
        <v>-197197</v>
      </c>
      <c r="AH19" s="32">
        <f t="shared" si="13"/>
        <v>-201914</v>
      </c>
      <c r="AI19" s="32">
        <f t="shared" si="14"/>
        <v>-203130</v>
      </c>
      <c r="AJ19" s="32">
        <f t="shared" si="15"/>
        <v>-193276</v>
      </c>
      <c r="AK19" s="11"/>
      <c r="AL19" s="77"/>
    </row>
    <row r="20" spans="2:38" ht="12.75" customHeight="1">
      <c r="B20" s="9" t="s">
        <v>189</v>
      </c>
      <c r="C20" s="84">
        <v>-717</v>
      </c>
      <c r="D20" s="84">
        <v>302761</v>
      </c>
      <c r="E20" s="84">
        <v>377715</v>
      </c>
      <c r="F20" s="84">
        <v>-420172</v>
      </c>
      <c r="G20" s="84">
        <v>-69537</v>
      </c>
      <c r="H20" s="84">
        <v>-36029</v>
      </c>
      <c r="I20" s="32"/>
      <c r="J20" s="98">
        <v>-13983</v>
      </c>
      <c r="K20" s="98">
        <v>-19972</v>
      </c>
      <c r="L20" s="98">
        <v>-12378</v>
      </c>
      <c r="M20" s="32">
        <f t="shared" si="16"/>
        <v>-23204</v>
      </c>
      <c r="N20" s="98">
        <v>-36258</v>
      </c>
      <c r="O20" s="98">
        <v>381</v>
      </c>
      <c r="P20" s="98">
        <v>-151</v>
      </c>
      <c r="Q20" s="32">
        <f t="shared" si="17"/>
        <v>-1</v>
      </c>
      <c r="R20" s="84">
        <v>4</v>
      </c>
      <c r="S20" s="84">
        <v>0</v>
      </c>
      <c r="T20" s="84">
        <v>0</v>
      </c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>
        <f t="shared" si="11"/>
        <v>-59232</v>
      </c>
      <c r="AG20" s="32">
        <f t="shared" si="12"/>
        <v>-36029</v>
      </c>
      <c r="AH20" s="32">
        <f t="shared" si="13"/>
        <v>233</v>
      </c>
      <c r="AI20" s="32">
        <f t="shared" si="14"/>
        <v>-148</v>
      </c>
      <c r="AJ20" s="32">
        <f t="shared" si="15"/>
        <v>3</v>
      </c>
      <c r="AK20" s="11"/>
      <c r="AL20" s="77"/>
    </row>
    <row r="21" spans="2:38" ht="12.75" customHeight="1">
      <c r="B21" s="9" t="s">
        <v>187</v>
      </c>
      <c r="C21" s="84">
        <v>-17350</v>
      </c>
      <c r="D21" s="84">
        <v>-2264</v>
      </c>
      <c r="E21" s="84">
        <v>-3320</v>
      </c>
      <c r="F21" s="84">
        <v>-46624</v>
      </c>
      <c r="G21" s="84">
        <v>-33966</v>
      </c>
      <c r="H21" s="84">
        <v>-273871</v>
      </c>
      <c r="I21" s="32"/>
      <c r="J21" s="98">
        <v>-7100</v>
      </c>
      <c r="K21" s="98">
        <v>-802</v>
      </c>
      <c r="L21" s="98">
        <v>2250</v>
      </c>
      <c r="M21" s="32">
        <f t="shared" si="16"/>
        <v>-28314</v>
      </c>
      <c r="N21" s="98">
        <v>3029</v>
      </c>
      <c r="O21" s="98">
        <v>14047</v>
      </c>
      <c r="P21" s="98">
        <v>-3191</v>
      </c>
      <c r="Q21" s="32">
        <f t="shared" si="17"/>
        <v>-287756</v>
      </c>
      <c r="R21" s="84">
        <f>-11655+19</f>
        <v>-11636</v>
      </c>
      <c r="S21" s="84">
        <v>309</v>
      </c>
      <c r="T21" s="84">
        <v>113713</v>
      </c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>
        <f t="shared" si="11"/>
        <v>-14429</v>
      </c>
      <c r="AG21" s="32">
        <f t="shared" si="12"/>
        <v>-273871</v>
      </c>
      <c r="AH21" s="32">
        <f t="shared" si="13"/>
        <v>-288536</v>
      </c>
      <c r="AI21" s="32">
        <f t="shared" si="14"/>
        <v>-302274</v>
      </c>
      <c r="AJ21" s="32">
        <f t="shared" si="15"/>
        <v>-185370</v>
      </c>
      <c r="AK21" s="11"/>
      <c r="AL21" s="77"/>
    </row>
    <row r="22" spans="2:38" ht="12.75" customHeight="1">
      <c r="B22" s="9" t="s">
        <v>188</v>
      </c>
      <c r="C22" s="84">
        <v>-491432</v>
      </c>
      <c r="D22" s="84">
        <v>-355186</v>
      </c>
      <c r="E22" s="84">
        <v>-530826</v>
      </c>
      <c r="F22" s="84">
        <v>-711211</v>
      </c>
      <c r="G22" s="84">
        <v>-792232</v>
      </c>
      <c r="H22" s="84">
        <v>-807488</v>
      </c>
      <c r="I22" s="32"/>
      <c r="J22" s="98">
        <v>-201156</v>
      </c>
      <c r="K22" s="98">
        <v>-206094</v>
      </c>
      <c r="L22" s="98">
        <v>-187249</v>
      </c>
      <c r="M22" s="32">
        <f t="shared" si="16"/>
        <v>-197733</v>
      </c>
      <c r="N22" s="98">
        <v>-198450</v>
      </c>
      <c r="O22" s="98">
        <v>-197890</v>
      </c>
      <c r="P22" s="98">
        <v>-214039</v>
      </c>
      <c r="Q22" s="32">
        <f t="shared" si="17"/>
        <v>-197109</v>
      </c>
      <c r="R22" s="84">
        <f>-153395-36950</f>
        <v>-190345</v>
      </c>
      <c r="S22" s="84">
        <v>-175496</v>
      </c>
      <c r="T22" s="84">
        <v>-168810</v>
      </c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>
        <f t="shared" si="11"/>
        <v>-808112</v>
      </c>
      <c r="AG22" s="32">
        <f t="shared" si="12"/>
        <v>-807488</v>
      </c>
      <c r="AH22" s="32">
        <f t="shared" si="13"/>
        <v>-799383</v>
      </c>
      <c r="AI22" s="32">
        <f t="shared" si="14"/>
        <v>-776989</v>
      </c>
      <c r="AJ22" s="32">
        <f t="shared" si="15"/>
        <v>-731760</v>
      </c>
      <c r="AK22" s="11"/>
      <c r="AL22" s="77"/>
    </row>
    <row r="23" spans="2:38" ht="12.75" customHeight="1">
      <c r="B23" s="25" t="s">
        <v>85</v>
      </c>
      <c r="C23" s="26">
        <f>SUM(C11+SUM(C13:C22))</f>
        <v>501047</v>
      </c>
      <c r="D23" s="26">
        <f>SUM(D11+SUM(D13:D22))</f>
        <v>-507762</v>
      </c>
      <c r="E23" s="26">
        <f>SUM(E11+SUM(E13:E22))</f>
        <v>-56874</v>
      </c>
      <c r="F23" s="26">
        <f>SUM(F11+SUM(F13:F22))</f>
        <v>-598917</v>
      </c>
      <c r="G23" s="26">
        <f>SUM(G11+SUM(G13:G22))</f>
        <v>-495757</v>
      </c>
      <c r="H23" s="26">
        <f>SUM(H11+SUM(H13:H22))</f>
        <v>-1105378</v>
      </c>
      <c r="I23" s="32"/>
      <c r="J23" s="26">
        <f>SUM(J11+SUM(J13:J22))</f>
        <v>-112395</v>
      </c>
      <c r="K23" s="26">
        <f>SUM(K11+SUM(K13:K22))</f>
        <v>20211</v>
      </c>
      <c r="L23" s="26">
        <f>SUM(L11+SUM(L13:L22))</f>
        <v>-188760</v>
      </c>
      <c r="M23" s="26">
        <f>SUM(M11+SUM(M13:M22))</f>
        <v>-214813</v>
      </c>
      <c r="N23" s="26">
        <f>SUM(N11+SUM(N13:N22))</f>
        <v>-207337</v>
      </c>
      <c r="O23" s="26">
        <f>SUM(O11+SUM(O13:O22))</f>
        <v>-152512</v>
      </c>
      <c r="P23" s="26">
        <f>SUM(P11+SUM(P13:P22))</f>
        <v>-296439</v>
      </c>
      <c r="Q23" s="26">
        <f>SUM(Q11+SUM(Q13:Q22))</f>
        <v>-449090</v>
      </c>
      <c r="R23" s="26">
        <f>SUM(R11+SUM(R13:R22))</f>
        <v>-289156</v>
      </c>
      <c r="S23" s="26">
        <f>SUM(S11+SUM(S13:S22))</f>
        <v>-184123</v>
      </c>
      <c r="T23" s="26">
        <f>SUM(T11+SUM(T13:T22))</f>
        <v>-134915</v>
      </c>
      <c r="V23" s="26" t="e" cm="1">
        <f t="array" ref="V23">SUM(V11+V14:V22)</f>
        <v>#REF!</v>
      </c>
      <c r="W23" s="26" t="e" cm="1">
        <f t="array" ref="W23">SUM(W11+W14:W22)</f>
        <v>#REF!</v>
      </c>
      <c r="X23" s="26" t="e" cm="1">
        <f t="array" ref="X23">SUM(X11+X14:X22)</f>
        <v>#REF!</v>
      </c>
      <c r="Y23" s="26" t="e" cm="1">
        <f t="array" ref="Y23">SUM(Y11+Y14:Y22)</f>
        <v>#REF!</v>
      </c>
      <c r="Z23" s="26" cm="1">
        <f t="array" ref="Z23">SUM(Z11+Z14:Z22)</f>
        <v>11660255</v>
      </c>
      <c r="AA23" s="26" cm="1">
        <f t="array" ref="AA23">SUM(AA11+AA14:AA22)</f>
        <v>24161471</v>
      </c>
      <c r="AB23" s="26" cm="1">
        <f t="array" ref="AB23">SUM(AB11+AB14:AB22)</f>
        <v>35033117</v>
      </c>
      <c r="AC23" s="26" cm="1">
        <f t="array" ref="AC23">SUM(AC11+AC14:AC22)</f>
        <v>46441776</v>
      </c>
      <c r="AD23" s="26" cm="1">
        <f t="array" ref="AD23">SUM(AD11+AD14:AD22)</f>
        <v>45765003</v>
      </c>
      <c r="AE23" s="26" cm="1">
        <f t="array" ref="AE23">SUM(AE11+AE14:AE22)</f>
        <v>44384492</v>
      </c>
      <c r="AF23" s="26">
        <f>SUM(AF11+SUM(AF13:AF22))</f>
        <v>-871101</v>
      </c>
      <c r="AG23" s="26">
        <f>SUM(AG11+SUM(AG13:AG22))</f>
        <v>-1105378</v>
      </c>
      <c r="AH23" s="26">
        <f>SUM(AH11+SUM(AH13:AH22))</f>
        <v>-1187197</v>
      </c>
      <c r="AI23" s="26">
        <f>SUM(AI11+SUM(AI13:AI22))</f>
        <v>-1218808</v>
      </c>
      <c r="AJ23" s="26">
        <f>SUM(AJ11+SUM(AJ13:AJ22))</f>
        <v>-1057284</v>
      </c>
      <c r="AK23" s="11"/>
      <c r="AL23" s="78">
        <f>SUM(AJ23/AF23)-1</f>
        <v>0.21373296552294163</v>
      </c>
    </row>
    <row r="24" spans="2:38" ht="12.75" customHeight="1">
      <c r="B24" s="16" t="s">
        <v>34</v>
      </c>
      <c r="C24" s="17">
        <f>C23/C11</f>
        <v>0.13080336537758686</v>
      </c>
      <c r="D24" s="17">
        <f>D23/D11</f>
        <v>-0.28052808197911405</v>
      </c>
      <c r="E24" s="17">
        <f>E23/E11</f>
        <v>-1.7603825707454095E-2</v>
      </c>
      <c r="F24" s="17">
        <f>F23/F11</f>
        <v>-0.11816578135274967</v>
      </c>
      <c r="G24" s="17">
        <f>G23/G11</f>
        <v>-9.2448013062444739E-2</v>
      </c>
      <c r="H24" s="17">
        <f>H23/H11</f>
        <v>-0.22497115553501318</v>
      </c>
      <c r="I24" s="32"/>
      <c r="J24" s="17">
        <f>J23/J11</f>
        <v>-8.3269495485910977E-2</v>
      </c>
      <c r="K24" s="17">
        <f>K23/K11</f>
        <v>1.4109176305016782E-2</v>
      </c>
      <c r="L24" s="17">
        <f>L23/L11</f>
        <v>-0.14998295648221793</v>
      </c>
      <c r="M24" s="17">
        <f>M23/M11</f>
        <v>-0.16252042730904248</v>
      </c>
      <c r="N24" s="17">
        <f>N23/N11</f>
        <v>-0.16383321862576913</v>
      </c>
      <c r="O24" s="17">
        <f>O23/O11</f>
        <v>-0.1190673040364934</v>
      </c>
      <c r="P24" s="17">
        <f>P23/P11</f>
        <v>-0.24763011400847379</v>
      </c>
      <c r="Q24" s="17">
        <f>Q23/Q11</f>
        <v>-0.38387336939937139</v>
      </c>
      <c r="R24" s="17">
        <f>R23/R11</f>
        <v>-0.28561466378374534</v>
      </c>
      <c r="S24" s="17">
        <f>S23/S11</f>
        <v>-0.18054230447534056</v>
      </c>
      <c r="T24" s="17">
        <f>T23/T11</f>
        <v>-0.14075286586460015</v>
      </c>
      <c r="V24" s="17" t="e">
        <f>V23/V11</f>
        <v>#REF!</v>
      </c>
      <c r="W24" s="17" t="e">
        <f>W23/W11</f>
        <v>#REF!</v>
      </c>
      <c r="X24" s="17" t="e">
        <f>X23/X11</f>
        <v>#REF!</v>
      </c>
      <c r="Y24" s="17" t="e">
        <f>Y23/Y11</f>
        <v>#REF!</v>
      </c>
      <c r="Z24" s="17">
        <f>Z23/Z11</f>
        <v>8.6386721036262362</v>
      </c>
      <c r="AA24" s="17">
        <f>AA23/AA11</f>
        <v>8.6841605666788624</v>
      </c>
      <c r="AB24" s="17">
        <f>AB23/AB11</f>
        <v>8.6698704139216378</v>
      </c>
      <c r="AC24" s="17">
        <f>AC23/AC11</f>
        <v>8.6603919143675885</v>
      </c>
      <c r="AD24" s="17">
        <f>AD23/AD11</f>
        <v>8.6703861007079528</v>
      </c>
      <c r="AE24" s="17">
        <f>AE23/AE11</f>
        <v>8.6574679488617399</v>
      </c>
      <c r="AF24" s="17">
        <f>AF23/AF11</f>
        <v>-0.17197455624455854</v>
      </c>
      <c r="AG24" s="17">
        <f>AG23/AG11</f>
        <v>-0.22497115553501318</v>
      </c>
      <c r="AH24" s="17">
        <f>AH23/AH11</f>
        <v>-0.25474783398347267</v>
      </c>
      <c r="AI24" s="17">
        <f>AI23/AI11</f>
        <v>-0.27705049091579043</v>
      </c>
      <c r="AJ24" s="17">
        <f>AJ23/AJ11</f>
        <v>-0.25411528543517392</v>
      </c>
      <c r="AK24" s="11"/>
      <c r="AL24" s="79">
        <f>SUM(AJ24-AF24)*1000</f>
        <v>-82.140729190615374</v>
      </c>
    </row>
    <row r="25" spans="2:38" ht="5.0999999999999996" customHeight="1">
      <c r="B25" s="16"/>
      <c r="C25" s="17"/>
      <c r="D25" s="17"/>
      <c r="E25" s="17"/>
      <c r="F25" s="17"/>
      <c r="G25" s="17"/>
      <c r="H25" s="17"/>
      <c r="I25" s="32"/>
      <c r="J25" s="84"/>
      <c r="K25" s="84"/>
      <c r="L25" s="84"/>
      <c r="M25" s="84"/>
      <c r="N25" s="84"/>
      <c r="O25" s="84"/>
      <c r="P25" s="84"/>
      <c r="Q25" s="84"/>
      <c r="R25" s="32"/>
      <c r="S25" s="84"/>
      <c r="T25" s="84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11"/>
      <c r="AL25" s="77"/>
    </row>
    <row r="26" spans="2:38" ht="12.75" customHeight="1">
      <c r="B26" s="9" t="s">
        <v>84</v>
      </c>
      <c r="C26" s="84">
        <v>-101350</v>
      </c>
      <c r="D26" s="84">
        <v>-134520</v>
      </c>
      <c r="E26" s="84">
        <v>-155611</v>
      </c>
      <c r="F26" s="84">
        <v>-139905</v>
      </c>
      <c r="G26" s="84">
        <v>-169191</v>
      </c>
      <c r="H26" s="84">
        <v>-219094</v>
      </c>
      <c r="I26" s="32"/>
      <c r="J26" s="84">
        <v>-51793</v>
      </c>
      <c r="K26" s="84">
        <v>-28880</v>
      </c>
      <c r="L26" s="84">
        <v>-41260</v>
      </c>
      <c r="M26" s="32">
        <f t="shared" ref="M26:M28" si="21">SUM(G26-SUM(J26:L26))</f>
        <v>-47258</v>
      </c>
      <c r="N26" s="84">
        <v>-54809</v>
      </c>
      <c r="O26" s="84">
        <v>-54307</v>
      </c>
      <c r="P26" s="84">
        <v>-54135</v>
      </c>
      <c r="Q26" s="32">
        <f t="shared" ref="Q26:Q28" si="22">SUM(H26-SUM(N26:P26))</f>
        <v>-55843</v>
      </c>
      <c r="R26" s="84">
        <f>-47682-9777</f>
        <v>-57459</v>
      </c>
      <c r="S26" s="84">
        <v>-62103</v>
      </c>
      <c r="T26" s="84">
        <v>-46261</v>
      </c>
      <c r="V26" s="32" t="e">
        <f>SUM(#REF!)</f>
        <v>#REF!</v>
      </c>
      <c r="W26" s="32" t="e">
        <f>SUM(#REF!)</f>
        <v>#REF!</v>
      </c>
      <c r="X26" s="32" t="e">
        <f>SUM(#REF!)</f>
        <v>#REF!</v>
      </c>
      <c r="Y26" s="32" t="e">
        <f>SUM(#REF!)</f>
        <v>#REF!</v>
      </c>
      <c r="Z26" s="32">
        <f>SUM(J26:J26)</f>
        <v>-51793</v>
      </c>
      <c r="AA26" s="32">
        <f>SUM(J26:K26)</f>
        <v>-80673</v>
      </c>
      <c r="AB26" s="32">
        <f>SUM(J26:L26)</f>
        <v>-121933</v>
      </c>
      <c r="AC26" s="32">
        <f t="shared" ref="AC26" si="23">SUM(J26:M26)</f>
        <v>-169191</v>
      </c>
      <c r="AD26" s="32">
        <f t="shared" ref="AD26" si="24">SUM(K26:N26)</f>
        <v>-172207</v>
      </c>
      <c r="AE26" s="32">
        <f t="shared" ref="AE26" si="25">SUM(L26:O26)</f>
        <v>-197634</v>
      </c>
      <c r="AF26" s="32">
        <f t="shared" ref="AF26" si="26">SUM(M26:P26)</f>
        <v>-210509</v>
      </c>
      <c r="AG26" s="32">
        <f t="shared" ref="AG26" si="27">SUM(N26:Q26)</f>
        <v>-219094</v>
      </c>
      <c r="AH26" s="32">
        <f t="shared" ref="AH26" si="28">SUM(O26:R26)</f>
        <v>-221744</v>
      </c>
      <c r="AI26" s="32">
        <f t="shared" ref="AI26" si="29">SUM(P26:S26)</f>
        <v>-229540</v>
      </c>
      <c r="AJ26" s="32">
        <f t="shared" ref="AJ26" si="30">SUM(Q26:T26)</f>
        <v>-221666</v>
      </c>
      <c r="AK26" s="11"/>
      <c r="AL26" s="77">
        <f>SUM(AJ26/AF26)-1</f>
        <v>5.3000109258986461E-2</v>
      </c>
    </row>
    <row r="27" spans="2:38" ht="12.75" customHeight="1">
      <c r="B27" s="9" t="s">
        <v>181</v>
      </c>
      <c r="C27" s="84">
        <v>25133</v>
      </c>
      <c r="D27" s="84">
        <v>6314</v>
      </c>
      <c r="E27" s="84">
        <v>5374</v>
      </c>
      <c r="F27" s="84">
        <v>20083</v>
      </c>
      <c r="G27" s="84">
        <v>61647</v>
      </c>
      <c r="H27" s="84">
        <v>48324</v>
      </c>
      <c r="I27" s="32"/>
      <c r="J27" s="84">
        <v>15434</v>
      </c>
      <c r="K27" s="84">
        <v>15962</v>
      </c>
      <c r="L27" s="84">
        <v>18442</v>
      </c>
      <c r="M27" s="32">
        <f t="shared" si="21"/>
        <v>11809</v>
      </c>
      <c r="N27" s="84">
        <v>13590</v>
      </c>
      <c r="O27" s="84">
        <v>12169</v>
      </c>
      <c r="P27" s="84">
        <v>11341</v>
      </c>
      <c r="Q27" s="32">
        <f t="shared" si="22"/>
        <v>11224</v>
      </c>
      <c r="R27" s="84">
        <f>8873+2003</f>
        <v>10876</v>
      </c>
      <c r="S27" s="84">
        <v>7142</v>
      </c>
      <c r="T27" s="84">
        <v>7001</v>
      </c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>
        <f t="shared" ref="AF27:AF30" si="31">SUM(M27:P27)</f>
        <v>48909</v>
      </c>
      <c r="AG27" s="32">
        <f t="shared" ref="AG27:AG30" si="32">SUM(N27:Q27)</f>
        <v>48324</v>
      </c>
      <c r="AH27" s="32">
        <f t="shared" ref="AH27:AH30" si="33">SUM(O27:R27)</f>
        <v>45610</v>
      </c>
      <c r="AI27" s="32">
        <f t="shared" ref="AI27:AI30" si="34">SUM(P27:S27)</f>
        <v>40583</v>
      </c>
      <c r="AJ27" s="32">
        <f t="shared" ref="AJ27:AJ30" si="35">SUM(Q27:T27)</f>
        <v>36243</v>
      </c>
      <c r="AK27" s="11"/>
      <c r="AL27" s="77"/>
    </row>
    <row r="28" spans="2:38" ht="12.75" customHeight="1">
      <c r="B28" s="9" t="s">
        <v>182</v>
      </c>
      <c r="C28" s="84">
        <v>12471</v>
      </c>
      <c r="D28" s="84">
        <v>15995</v>
      </c>
      <c r="E28" s="84">
        <v>18998</v>
      </c>
      <c r="F28" s="84">
        <v>22818</v>
      </c>
      <c r="G28" s="84">
        <v>33360</v>
      </c>
      <c r="H28" s="84">
        <v>18087</v>
      </c>
      <c r="I28" s="32"/>
      <c r="J28" s="84">
        <v>7648</v>
      </c>
      <c r="K28" s="84">
        <v>8445</v>
      </c>
      <c r="L28" s="84">
        <v>8582</v>
      </c>
      <c r="M28" s="32">
        <f t="shared" si="21"/>
        <v>8685</v>
      </c>
      <c r="N28" s="84">
        <v>10003</v>
      </c>
      <c r="O28" s="84">
        <v>5689</v>
      </c>
      <c r="P28" s="84">
        <v>1173</v>
      </c>
      <c r="Q28" s="32">
        <f t="shared" si="22"/>
        <v>1222</v>
      </c>
      <c r="R28" s="84">
        <f>956+118</f>
        <v>1074</v>
      </c>
      <c r="S28" s="84">
        <v>557</v>
      </c>
      <c r="T28" s="84">
        <v>393</v>
      </c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>
        <f t="shared" si="31"/>
        <v>25550</v>
      </c>
      <c r="AG28" s="32">
        <f t="shared" si="32"/>
        <v>18087</v>
      </c>
      <c r="AH28" s="32">
        <f t="shared" si="33"/>
        <v>9158</v>
      </c>
      <c r="AI28" s="32">
        <f t="shared" si="34"/>
        <v>4026</v>
      </c>
      <c r="AJ28" s="32">
        <f t="shared" si="35"/>
        <v>3246</v>
      </c>
      <c r="AK28" s="11"/>
      <c r="AL28" s="77"/>
    </row>
    <row r="29" spans="2:38" ht="12.75" customHeight="1">
      <c r="B29" s="9" t="s">
        <v>194</v>
      </c>
      <c r="C29" s="84">
        <v>-875</v>
      </c>
      <c r="D29" s="84">
        <v>-211</v>
      </c>
      <c r="E29" s="84">
        <f>-577-331630</f>
        <v>-332207</v>
      </c>
      <c r="F29" s="84">
        <v>-4818</v>
      </c>
      <c r="G29" s="84">
        <f>-4065+15411</f>
        <v>11346</v>
      </c>
      <c r="H29" s="84">
        <f>65694+14937</f>
        <v>80631</v>
      </c>
      <c r="I29" s="32"/>
      <c r="J29" s="84">
        <v>-542</v>
      </c>
      <c r="K29" s="84">
        <v>-766</v>
      </c>
      <c r="L29" s="84">
        <v>-649</v>
      </c>
      <c r="M29" s="32">
        <f t="shared" ref="M29:M30" si="36">SUM(G29-SUM(J29:L29))</f>
        <v>13303</v>
      </c>
      <c r="N29" s="84">
        <f>14996+66490</f>
        <v>81486</v>
      </c>
      <c r="O29" s="84">
        <v>-665</v>
      </c>
      <c r="P29" s="84">
        <v>23</v>
      </c>
      <c r="Q29" s="32">
        <f t="shared" ref="Q29:Q30" si="37">SUM(H29-SUM(N29:P29))</f>
        <v>-213</v>
      </c>
      <c r="R29" s="84">
        <f>87-902-50</f>
        <v>-865</v>
      </c>
      <c r="S29" s="84">
        <v>-262</v>
      </c>
      <c r="T29" s="84">
        <f>-2728-337</f>
        <v>-3065</v>
      </c>
      <c r="V29" s="32" t="e">
        <f>SUM(#REF!)</f>
        <v>#REF!</v>
      </c>
      <c r="W29" s="32" t="e">
        <f>SUM(#REF!)</f>
        <v>#REF!</v>
      </c>
      <c r="X29" s="32" t="e">
        <f>SUM(#REF!)</f>
        <v>#REF!</v>
      </c>
      <c r="Y29" s="32" t="e">
        <f>SUM(#REF!)</f>
        <v>#REF!</v>
      </c>
      <c r="Z29" s="32">
        <f>SUM(J29:J29)</f>
        <v>-542</v>
      </c>
      <c r="AA29" s="32">
        <f>SUM(J29:K29)</f>
        <v>-1308</v>
      </c>
      <c r="AB29" s="32">
        <f>SUM(J29:L29)</f>
        <v>-1957</v>
      </c>
      <c r="AC29" s="32">
        <f t="shared" ref="AC29" si="38">SUM(J29:M29)</f>
        <v>11346</v>
      </c>
      <c r="AD29" s="32">
        <f t="shared" ref="AD29" si="39">SUM(K29:N29)</f>
        <v>93374</v>
      </c>
      <c r="AE29" s="32">
        <f t="shared" ref="AE29" si="40">SUM(L29:O29)</f>
        <v>93475</v>
      </c>
      <c r="AF29" s="32">
        <f t="shared" si="31"/>
        <v>94147</v>
      </c>
      <c r="AG29" s="32">
        <f t="shared" si="32"/>
        <v>80631</v>
      </c>
      <c r="AH29" s="32">
        <f t="shared" si="33"/>
        <v>-1720</v>
      </c>
      <c r="AI29" s="32">
        <f t="shared" si="34"/>
        <v>-1317</v>
      </c>
      <c r="AJ29" s="32">
        <f t="shared" si="35"/>
        <v>-4405</v>
      </c>
      <c r="AK29" s="11"/>
      <c r="AL29" s="77">
        <f>SUM(AJ29/AF29)-1</f>
        <v>-1.0467885328263249</v>
      </c>
    </row>
    <row r="30" spans="2:38" ht="12.75" customHeight="1">
      <c r="B30" s="9" t="s">
        <v>183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f>-15493-96780</f>
        <v>-112273</v>
      </c>
      <c r="I30" s="32"/>
      <c r="J30" s="84">
        <v>0</v>
      </c>
      <c r="K30" s="84">
        <v>0</v>
      </c>
      <c r="L30" s="84">
        <v>0</v>
      </c>
      <c r="M30" s="32">
        <f t="shared" si="36"/>
        <v>0</v>
      </c>
      <c r="N30" s="84">
        <v>0</v>
      </c>
      <c r="O30" s="84">
        <v>0</v>
      </c>
      <c r="P30" s="84">
        <v>0</v>
      </c>
      <c r="Q30" s="32">
        <f t="shared" si="37"/>
        <v>-112273</v>
      </c>
      <c r="R30" s="84">
        <f>-5511-1376+421464</f>
        <v>414577</v>
      </c>
      <c r="S30" s="84">
        <v>-11039</v>
      </c>
      <c r="T30" s="84">
        <f>-13026-125983</f>
        <v>-139009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>
        <f t="shared" si="31"/>
        <v>0</v>
      </c>
      <c r="AG30" s="32">
        <f t="shared" si="32"/>
        <v>-112273</v>
      </c>
      <c r="AH30" s="32">
        <f t="shared" si="33"/>
        <v>302304</v>
      </c>
      <c r="AI30" s="32">
        <f t="shared" si="34"/>
        <v>291265</v>
      </c>
      <c r="AJ30" s="32">
        <f t="shared" si="35"/>
        <v>152256</v>
      </c>
      <c r="AK30" s="11"/>
      <c r="AL30" s="77"/>
    </row>
    <row r="31" spans="2:38" ht="12.75" customHeight="1">
      <c r="B31" s="25" t="s">
        <v>86</v>
      </c>
      <c r="C31" s="26">
        <f>SUM(C23+SUM(C26:C30))</f>
        <v>436426</v>
      </c>
      <c r="D31" s="26">
        <f>SUM(D23+SUM(D26:D30))</f>
        <v>-620184</v>
      </c>
      <c r="E31" s="26">
        <f>SUM(E23+SUM(E26:E30))</f>
        <v>-520320</v>
      </c>
      <c r="F31" s="26">
        <f>SUM(F23+SUM(F26:F30))</f>
        <v>-700739</v>
      </c>
      <c r="G31" s="26">
        <f>SUM(G23+SUM(G26:G30))</f>
        <v>-558595</v>
      </c>
      <c r="H31" s="26">
        <f>SUM(H23+SUM(H26:H30))</f>
        <v>-1289703</v>
      </c>
      <c r="J31" s="26">
        <f>SUM(J23+SUM(J26:J30))</f>
        <v>-141648</v>
      </c>
      <c r="K31" s="26">
        <f>SUM(K23+SUM(K26:K30))</f>
        <v>14972</v>
      </c>
      <c r="L31" s="26">
        <f>SUM(L23+SUM(L26:L30))</f>
        <v>-203645</v>
      </c>
      <c r="M31" s="26">
        <f>SUM(M23+SUM(M26:M30))</f>
        <v>-228274</v>
      </c>
      <c r="N31" s="26">
        <f>SUM(N23+SUM(N26:N30))</f>
        <v>-157067</v>
      </c>
      <c r="O31" s="26">
        <f>SUM(O23+SUM(O26:O30))</f>
        <v>-189626</v>
      </c>
      <c r="P31" s="26">
        <f>SUM(P23+SUM(P26:P30))</f>
        <v>-338037</v>
      </c>
      <c r="Q31" s="26">
        <f>SUM(Q23+SUM(Q26:Q30))</f>
        <v>-604973</v>
      </c>
      <c r="R31" s="26">
        <f>SUM(R23+SUM(R26:R30))</f>
        <v>79047</v>
      </c>
      <c r="S31" s="26">
        <f>SUM(S23+SUM(S26:S30))</f>
        <v>-249828</v>
      </c>
      <c r="T31" s="26">
        <f>SUM(T23+SUM(T26:T30))</f>
        <v>-315856</v>
      </c>
      <c r="V31" s="26" t="e">
        <f>SUM(V23+SUM(V26:V30))</f>
        <v>#REF!</v>
      </c>
      <c r="W31" s="26" t="e">
        <f>SUM(W23+SUM(W26:W30))</f>
        <v>#REF!</v>
      </c>
      <c r="X31" s="26" t="e">
        <f>SUM(X23+SUM(X26:X30))</f>
        <v>#REF!</v>
      </c>
      <c r="Y31" s="26" t="e">
        <f>SUM(Y23+SUM(Y26:Y30))</f>
        <v>#REF!</v>
      </c>
      <c r="Z31" s="26">
        <f>SUM(Z23+SUM(Z26:Z30))</f>
        <v>11607920</v>
      </c>
      <c r="AA31" s="26">
        <f>SUM(AA23+SUM(AA26:AA30))</f>
        <v>24079490</v>
      </c>
      <c r="AB31" s="26">
        <f>SUM(AB23+SUM(AB26:AB30))</f>
        <v>34909227</v>
      </c>
      <c r="AC31" s="26">
        <f>SUM(AC23+SUM(AC26:AC30))</f>
        <v>46283931</v>
      </c>
      <c r="AD31" s="26">
        <f>SUM(AD23+SUM(AD26:AD30))</f>
        <v>45686170</v>
      </c>
      <c r="AE31" s="26">
        <f>SUM(AE23+SUM(AE26:AE30))</f>
        <v>44280333</v>
      </c>
      <c r="AF31" s="26">
        <f>SUM(AF23+SUM(AF26:AF30))</f>
        <v>-913004</v>
      </c>
      <c r="AG31" s="26">
        <f>SUM(AG23+SUM(AG26:AG30))</f>
        <v>-1289703</v>
      </c>
      <c r="AH31" s="26">
        <f>SUM(AH23+SUM(AH26:AH30))</f>
        <v>-1053589</v>
      </c>
      <c r="AI31" s="26">
        <f>SUM(AI23+SUM(AI26:AI30))</f>
        <v>-1113791</v>
      </c>
      <c r="AJ31" s="26">
        <f>SUM(AJ23+SUM(AJ26:AJ30))</f>
        <v>-1091610</v>
      </c>
      <c r="AK31" s="42"/>
      <c r="AL31" s="78">
        <f>SUM(AJ31/AF31)-1</f>
        <v>0.19562455367117781</v>
      </c>
    </row>
    <row r="32" spans="2:38" ht="12.75" customHeight="1">
      <c r="B32" s="16" t="s">
        <v>87</v>
      </c>
      <c r="C32" s="17">
        <f>C31/C11</f>
        <v>0.11393340253165614</v>
      </c>
      <c r="D32" s="17">
        <f>D31/D11</f>
        <v>-0.3426389292505837</v>
      </c>
      <c r="E32" s="17">
        <f>E31/E11</f>
        <v>-0.1610511409801054</v>
      </c>
      <c r="F32" s="17">
        <f>F31/F11</f>
        <v>-0.13825516968018015</v>
      </c>
      <c r="G32" s="17">
        <f>G31/G11</f>
        <v>-0.10416594794751526</v>
      </c>
      <c r="H32" s="17">
        <f>H31/H11</f>
        <v>-0.26248575076306307</v>
      </c>
      <c r="I32" s="27"/>
      <c r="J32" s="17">
        <f>J31/J11</f>
        <v>-0.10494201251468764</v>
      </c>
      <c r="K32" s="17">
        <f>K31/K11</f>
        <v>1.0451862235352593E-2</v>
      </c>
      <c r="L32" s="17">
        <f>L31/L11</f>
        <v>-0.16181012488250301</v>
      </c>
      <c r="M32" s="17">
        <f>M31/M11</f>
        <v>-0.17270457571722553</v>
      </c>
      <c r="N32" s="17">
        <f>N31/N11</f>
        <v>-0.124110950529301</v>
      </c>
      <c r="O32" s="17">
        <f>O31/O11</f>
        <v>-0.14804249236272621</v>
      </c>
      <c r="P32" s="17">
        <f>P31/P11</f>
        <v>-0.28237897459201539</v>
      </c>
      <c r="Q32" s="17">
        <f>Q31/Q11</f>
        <v>-0.51711911622535778</v>
      </c>
      <c r="R32" s="17">
        <f>R31/R11</f>
        <v>7.8078899722342679E-2</v>
      </c>
      <c r="S32" s="17">
        <f>S31/S11</f>
        <v>-0.24496951951937229</v>
      </c>
      <c r="T32" s="17">
        <f>T31/T11</f>
        <v>-0.32952330875387575</v>
      </c>
      <c r="U32" s="28"/>
      <c r="V32" s="17" t="e">
        <f>V31/V11</f>
        <v>#REF!</v>
      </c>
      <c r="W32" s="17" t="e">
        <f>W31/W11</f>
        <v>#REF!</v>
      </c>
      <c r="X32" s="17" t="e">
        <f>X31/X11</f>
        <v>#REF!</v>
      </c>
      <c r="Y32" s="17" t="e">
        <f>Y31/Y11</f>
        <v>#REF!</v>
      </c>
      <c r="Z32" s="17">
        <f>Z31/Z11</f>
        <v>8.5998989460457818</v>
      </c>
      <c r="AA32" s="17">
        <f>AA31/AA11</f>
        <v>8.6546948041258744</v>
      </c>
      <c r="AB32" s="17">
        <f>AB31/AB11</f>
        <v>8.639210560115858</v>
      </c>
      <c r="AC32" s="17">
        <f>AC31/AC11</f>
        <v>8.6309572182930179</v>
      </c>
      <c r="AD32" s="17">
        <f>AD31/AD11</f>
        <v>8.6554508335240516</v>
      </c>
      <c r="AE32" s="17">
        <f>AE31/AE11</f>
        <v>8.637151095757158</v>
      </c>
      <c r="AF32" s="17">
        <f>AF31/AF11</f>
        <v>-0.18024713293809436</v>
      </c>
      <c r="AG32" s="17">
        <f>AG31/AG11</f>
        <v>-0.26248575076306307</v>
      </c>
      <c r="AH32" s="17">
        <f>AH31/AH11</f>
        <v>-0.22607833043615591</v>
      </c>
      <c r="AI32" s="17">
        <f>AI31/AI11</f>
        <v>-0.25317879709321661</v>
      </c>
      <c r="AJ32" s="17">
        <f>AJ31/AJ11</f>
        <v>-0.26236544460512995</v>
      </c>
      <c r="AK32" s="43"/>
      <c r="AL32" s="79">
        <f>SUM(AJ32-AF32)*1000</f>
        <v>-82.118311667035599</v>
      </c>
    </row>
    <row r="33" spans="1:38" ht="5.0999999999999996" customHeight="1">
      <c r="B33" s="29"/>
      <c r="C33" s="44"/>
      <c r="D33" s="44"/>
      <c r="E33" s="44"/>
      <c r="F33" s="44"/>
      <c r="G33" s="44"/>
      <c r="H33" s="44"/>
      <c r="I33" s="30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3"/>
      <c r="AL33" s="77"/>
    </row>
    <row r="34" spans="1:38" ht="12.75" customHeight="1">
      <c r="B34" s="45" t="s">
        <v>161</v>
      </c>
      <c r="C34" s="84">
        <v>-101171</v>
      </c>
      <c r="D34" s="84">
        <v>191484</v>
      </c>
      <c r="E34" s="84">
        <v>47751</v>
      </c>
      <c r="F34" s="84">
        <v>146589</v>
      </c>
      <c r="G34" s="84">
        <v>111131</v>
      </c>
      <c r="H34" s="84">
        <v>60208</v>
      </c>
      <c r="I34" s="32"/>
      <c r="J34" s="98">
        <v>37737</v>
      </c>
      <c r="K34" s="98">
        <v>-17321</v>
      </c>
      <c r="L34" s="98">
        <v>46093</v>
      </c>
      <c r="M34" s="32">
        <f>SUM(G34-SUM(J34:L34))</f>
        <v>44622</v>
      </c>
      <c r="N34" s="98">
        <v>14432</v>
      </c>
      <c r="O34" s="98">
        <v>-3301</v>
      </c>
      <c r="P34" s="98">
        <v>29794</v>
      </c>
      <c r="Q34" s="32">
        <f>SUM(H34-SUM(N34:P34))</f>
        <v>19283</v>
      </c>
      <c r="R34" s="84">
        <f>-17870+103</f>
        <v>-17767</v>
      </c>
      <c r="S34" s="84">
        <v>3997</v>
      </c>
      <c r="T34" s="84">
        <v>-1620</v>
      </c>
      <c r="U34" s="32"/>
      <c r="V34" s="32" t="e">
        <f>SUM(#REF!)</f>
        <v>#REF!</v>
      </c>
      <c r="W34" s="32" t="e">
        <f>SUM(#REF!)</f>
        <v>#REF!</v>
      </c>
      <c r="X34" s="32" t="e">
        <f>SUM(#REF!)</f>
        <v>#REF!</v>
      </c>
      <c r="Y34" s="32" t="e">
        <f>SUM(#REF!)</f>
        <v>#REF!</v>
      </c>
      <c r="Z34" s="32">
        <f>SUM(J34:J34)</f>
        <v>37737</v>
      </c>
      <c r="AA34" s="32">
        <f>SUM(J34:K34)</f>
        <v>20416</v>
      </c>
      <c r="AB34" s="32">
        <f>SUM(J34:L34)</f>
        <v>66509</v>
      </c>
      <c r="AC34" s="32">
        <f t="shared" ref="AC34" si="41">SUM(J34:M34)</f>
        <v>111131</v>
      </c>
      <c r="AD34" s="32">
        <f t="shared" ref="AD34" si="42">SUM(K34:N34)</f>
        <v>87826</v>
      </c>
      <c r="AE34" s="32">
        <f t="shared" ref="AE34" si="43">SUM(L34:O34)</f>
        <v>101846</v>
      </c>
      <c r="AF34" s="32">
        <f t="shared" ref="AF34" si="44">SUM(M34:P34)</f>
        <v>85547</v>
      </c>
      <c r="AG34" s="32">
        <f t="shared" ref="AG34" si="45">SUM(N34:Q34)</f>
        <v>60208</v>
      </c>
      <c r="AH34" s="32">
        <f t="shared" ref="AH34" si="46">SUM(O34:R34)</f>
        <v>28009</v>
      </c>
      <c r="AI34" s="32">
        <f t="shared" ref="AI34" si="47">SUM(P34:S34)</f>
        <v>35307</v>
      </c>
      <c r="AJ34" s="32">
        <f>SUM(Q34:T34)</f>
        <v>3893</v>
      </c>
      <c r="AK34" s="43"/>
      <c r="AL34" s="77">
        <f>SUM(AJ34/AF34)-1</f>
        <v>-0.95449285188259081</v>
      </c>
    </row>
    <row r="35" spans="1:38" ht="12.75" customHeight="1">
      <c r="B35" s="13" t="s">
        <v>53</v>
      </c>
      <c r="C35" s="14">
        <f t="shared" ref="C35:H35" si="48">SUM(C31+SUM(C34:C34))</f>
        <v>335255</v>
      </c>
      <c r="D35" s="14">
        <f t="shared" si="48"/>
        <v>-428700</v>
      </c>
      <c r="E35" s="14">
        <f t="shared" si="48"/>
        <v>-472569</v>
      </c>
      <c r="F35" s="14">
        <f t="shared" si="48"/>
        <v>-554150</v>
      </c>
      <c r="G35" s="14">
        <f t="shared" si="48"/>
        <v>-447464</v>
      </c>
      <c r="H35" s="14">
        <f t="shared" si="48"/>
        <v>-1229495</v>
      </c>
      <c r="I35" s="11"/>
      <c r="J35" s="14">
        <f t="shared" ref="J35:T35" si="49">SUM(J31+SUM(J34:J34))</f>
        <v>-103911</v>
      </c>
      <c r="K35" s="14">
        <f t="shared" si="49"/>
        <v>-2349</v>
      </c>
      <c r="L35" s="14">
        <f t="shared" si="49"/>
        <v>-157552</v>
      </c>
      <c r="M35" s="14">
        <f t="shared" si="49"/>
        <v>-183652</v>
      </c>
      <c r="N35" s="14">
        <f t="shared" si="49"/>
        <v>-142635</v>
      </c>
      <c r="O35" s="14">
        <f t="shared" si="49"/>
        <v>-192927</v>
      </c>
      <c r="P35" s="14">
        <f t="shared" si="49"/>
        <v>-308243</v>
      </c>
      <c r="Q35" s="14">
        <f t="shared" si="49"/>
        <v>-585690</v>
      </c>
      <c r="R35" s="14">
        <f t="shared" si="49"/>
        <v>61280</v>
      </c>
      <c r="S35" s="14">
        <f t="shared" si="49"/>
        <v>-245831</v>
      </c>
      <c r="T35" s="14">
        <f t="shared" si="49"/>
        <v>-317476</v>
      </c>
      <c r="U35" s="32"/>
      <c r="V35" s="14" t="e">
        <f t="shared" ref="V35:AJ35" si="50">SUM(V31+SUM(V34:V34))</f>
        <v>#REF!</v>
      </c>
      <c r="W35" s="14" t="e">
        <f t="shared" si="50"/>
        <v>#REF!</v>
      </c>
      <c r="X35" s="14" t="e">
        <f t="shared" si="50"/>
        <v>#REF!</v>
      </c>
      <c r="Y35" s="14" t="e">
        <f t="shared" si="50"/>
        <v>#REF!</v>
      </c>
      <c r="Z35" s="14">
        <f t="shared" si="50"/>
        <v>11645657</v>
      </c>
      <c r="AA35" s="14">
        <f t="shared" si="50"/>
        <v>24099906</v>
      </c>
      <c r="AB35" s="14">
        <f t="shared" si="50"/>
        <v>34975736</v>
      </c>
      <c r="AC35" s="14">
        <f t="shared" si="50"/>
        <v>46395062</v>
      </c>
      <c r="AD35" s="14">
        <f t="shared" si="50"/>
        <v>45773996</v>
      </c>
      <c r="AE35" s="14">
        <f t="shared" si="50"/>
        <v>44382179</v>
      </c>
      <c r="AF35" s="14">
        <f t="shared" si="50"/>
        <v>-827457</v>
      </c>
      <c r="AG35" s="14">
        <f t="shared" si="50"/>
        <v>-1229495</v>
      </c>
      <c r="AH35" s="14">
        <f t="shared" si="50"/>
        <v>-1025580</v>
      </c>
      <c r="AI35" s="14">
        <f t="shared" si="50"/>
        <v>-1078484</v>
      </c>
      <c r="AJ35" s="14">
        <f t="shared" si="50"/>
        <v>-1087717</v>
      </c>
      <c r="AK35" s="36"/>
      <c r="AL35" s="78">
        <f>SUM(AJ35/AF35)-1</f>
        <v>0.31452993932010975</v>
      </c>
    </row>
    <row r="36" spans="1:38" ht="12.75" customHeight="1">
      <c r="B36" s="16" t="s">
        <v>68</v>
      </c>
      <c r="C36" s="17">
        <f>C35/C11</f>
        <v>8.752169409189732E-2</v>
      </c>
      <c r="D36" s="17">
        <f>D35/D11</f>
        <v>-0.23684794991442093</v>
      </c>
      <c r="E36" s="17">
        <f>E35/E11</f>
        <v>-0.14627109594447152</v>
      </c>
      <c r="F36" s="17">
        <f>F35/F11</f>
        <v>-0.10933329282125274</v>
      </c>
      <c r="G36" s="17">
        <f>G35/G11</f>
        <v>-8.344240770573845E-2</v>
      </c>
      <c r="H36" s="17">
        <f>H35/H11</f>
        <v>-0.25023196668878972</v>
      </c>
      <c r="I36" s="27"/>
      <c r="J36" s="17">
        <f>J35/J11</f>
        <v>-7.6983998802762535E-2</v>
      </c>
      <c r="K36" s="17">
        <f>K35/K11</f>
        <v>-1.6398226282957015E-3</v>
      </c>
      <c r="L36" s="17">
        <f>L35/L11</f>
        <v>-0.12518602860609451</v>
      </c>
      <c r="M36" s="17">
        <f>M35/M11</f>
        <v>-0.13894504297300569</v>
      </c>
      <c r="N36" s="17">
        <f>N35/N11</f>
        <v>-0.11270709588103706</v>
      </c>
      <c r="O36" s="17">
        <f>O35/O11</f>
        <v>-0.15061960872487781</v>
      </c>
      <c r="P36" s="17">
        <f>P35/P11</f>
        <v>-0.25749057725978697</v>
      </c>
      <c r="Q36" s="17">
        <f>Q35/Q11</f>
        <v>-0.50063638407338806</v>
      </c>
      <c r="R36" s="17">
        <f>R35/R11</f>
        <v>6.0529494794048594E-2</v>
      </c>
      <c r="S36" s="17">
        <f>S35/S11</f>
        <v>-0.24105025038413153</v>
      </c>
      <c r="T36" s="17">
        <f>T35/T11</f>
        <v>-0.33121340728036019</v>
      </c>
      <c r="U36" s="28"/>
      <c r="V36" s="17" t="e">
        <f>V35/V11</f>
        <v>#REF!</v>
      </c>
      <c r="W36" s="17" t="e">
        <f>W35/W11</f>
        <v>#REF!</v>
      </c>
      <c r="X36" s="17" t="e">
        <f>X35/X11</f>
        <v>#REF!</v>
      </c>
      <c r="Y36" s="17" t="e">
        <f>Y35/Y11</f>
        <v>#REF!</v>
      </c>
      <c r="Z36" s="17">
        <f>Z35/Z11</f>
        <v>8.6278569597577075</v>
      </c>
      <c r="AA36" s="17">
        <f>AA35/AA11</f>
        <v>8.6620327605826368</v>
      </c>
      <c r="AB36" s="17">
        <f>AB35/AB11</f>
        <v>8.6556699694044905</v>
      </c>
      <c r="AC36" s="17">
        <f>AC35/AC11</f>
        <v>8.651680758534793</v>
      </c>
      <c r="AD36" s="17">
        <f>AD35/AD11</f>
        <v>8.6720898650932341</v>
      </c>
      <c r="AE36" s="17">
        <f>AE35/AE11</f>
        <v>8.6570167839961893</v>
      </c>
      <c r="AF36" s="17">
        <f>AF35/AF11</f>
        <v>-0.16335826773985299</v>
      </c>
      <c r="AG36" s="17">
        <f>AG35/AG11</f>
        <v>-0.25023196668878972</v>
      </c>
      <c r="AH36" s="17">
        <f>AH35/AH11</f>
        <v>-0.22006818040878634</v>
      </c>
      <c r="AI36" s="17">
        <f>AI35/AI11</f>
        <v>-0.24515306893688368</v>
      </c>
      <c r="AJ36" s="17">
        <f>AJ35/AJ11</f>
        <v>-0.26142977282139052</v>
      </c>
      <c r="AK36" s="43"/>
      <c r="AL36" s="79">
        <f>SUM(AJ36-AF36)*1000</f>
        <v>-98.071505081537524</v>
      </c>
    </row>
    <row r="37" spans="1:38" ht="5.0999999999999996" customHeight="1">
      <c r="B37" s="16"/>
      <c r="C37" s="17"/>
      <c r="D37" s="17"/>
      <c r="E37" s="17"/>
      <c r="F37" s="17"/>
      <c r="G37" s="17"/>
      <c r="H37" s="17"/>
      <c r="I37" s="2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28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43"/>
      <c r="AL37" s="79"/>
    </row>
    <row r="38" spans="1:38" ht="12.75" customHeight="1">
      <c r="B38" s="45" t="s">
        <v>101</v>
      </c>
      <c r="C38" s="138"/>
      <c r="D38" s="84"/>
      <c r="E38" s="84"/>
      <c r="F38" s="84"/>
      <c r="G38" s="84"/>
      <c r="H38" s="84"/>
      <c r="I38" s="27"/>
      <c r="J38" s="84">
        <v>109110</v>
      </c>
      <c r="K38" s="84">
        <v>109161</v>
      </c>
      <c r="L38" s="84">
        <v>109164</v>
      </c>
      <c r="M38" s="32">
        <f>G38</f>
        <v>0</v>
      </c>
      <c r="N38" s="84">
        <v>109430</v>
      </c>
      <c r="O38" s="84">
        <v>109506</v>
      </c>
      <c r="P38" s="84">
        <v>109521</v>
      </c>
      <c r="Q38" s="32">
        <f>H38</f>
        <v>0</v>
      </c>
      <c r="R38" s="84">
        <f>19685+109525</f>
        <v>129210</v>
      </c>
      <c r="S38" s="84">
        <v>33972</v>
      </c>
      <c r="T38" s="84">
        <v>40322</v>
      </c>
      <c r="U38" s="138"/>
      <c r="V38" s="32" t="e">
        <f>#REF!</f>
        <v>#REF!</v>
      </c>
      <c r="W38" s="32" t="e">
        <f>#REF!</f>
        <v>#REF!</v>
      </c>
      <c r="X38" s="32" t="e">
        <f>#REF!</f>
        <v>#REF!</v>
      </c>
      <c r="Y38" s="32" t="e">
        <f>#REF!</f>
        <v>#REF!</v>
      </c>
      <c r="Z38" s="32">
        <f t="shared" ref="Z38:AI38" si="51">J38</f>
        <v>109110</v>
      </c>
      <c r="AA38" s="32">
        <f t="shared" si="51"/>
        <v>109161</v>
      </c>
      <c r="AB38" s="32">
        <f t="shared" si="51"/>
        <v>109164</v>
      </c>
      <c r="AC38" s="32">
        <f t="shared" si="51"/>
        <v>0</v>
      </c>
      <c r="AD38" s="32">
        <f t="shared" si="51"/>
        <v>109430</v>
      </c>
      <c r="AE38" s="32">
        <f t="shared" si="51"/>
        <v>109506</v>
      </c>
      <c r="AF38" s="32">
        <f t="shared" si="51"/>
        <v>109521</v>
      </c>
      <c r="AG38" s="32">
        <f t="shared" si="51"/>
        <v>0</v>
      </c>
      <c r="AH38" s="32">
        <f t="shared" si="51"/>
        <v>129210</v>
      </c>
      <c r="AI38" s="32">
        <f t="shared" si="51"/>
        <v>33972</v>
      </c>
      <c r="AJ38" s="32">
        <f>T38</f>
        <v>40322</v>
      </c>
      <c r="AK38" s="43"/>
      <c r="AL38" s="77">
        <f>SUM(AJ38/AF38)-1</f>
        <v>-0.63183316441595672</v>
      </c>
    </row>
    <row r="39" spans="1:38" ht="12.75" customHeight="1">
      <c r="B39" s="13" t="s">
        <v>69</v>
      </c>
      <c r="C39" s="162" t="e">
        <f t="shared" ref="C39:G39" si="52">C35/C38</f>
        <v>#DIV/0!</v>
      </c>
      <c r="D39" s="162" t="e">
        <f t="shared" si="52"/>
        <v>#DIV/0!</v>
      </c>
      <c r="E39" s="162" t="e">
        <f t="shared" si="52"/>
        <v>#DIV/0!</v>
      </c>
      <c r="F39" s="162" t="e">
        <f t="shared" si="52"/>
        <v>#DIV/0!</v>
      </c>
      <c r="G39" s="162" t="e">
        <f t="shared" si="52"/>
        <v>#DIV/0!</v>
      </c>
      <c r="H39" s="162" t="e">
        <f>H35/H38</f>
        <v>#DIV/0!</v>
      </c>
      <c r="I39" s="27"/>
      <c r="J39" s="162">
        <f t="shared" ref="J39:O39" si="53">J35/J38</f>
        <v>-0.95235083860324443</v>
      </c>
      <c r="K39" s="162">
        <f t="shared" si="53"/>
        <v>-2.1518674251793223E-2</v>
      </c>
      <c r="L39" s="162">
        <f t="shared" si="53"/>
        <v>-1.4432596826792716</v>
      </c>
      <c r="M39" s="162" t="e">
        <f t="shared" si="53"/>
        <v>#DIV/0!</v>
      </c>
      <c r="N39" s="162">
        <f t="shared" si="53"/>
        <v>-1.3034359864753724</v>
      </c>
      <c r="O39" s="162">
        <f t="shared" si="53"/>
        <v>-1.7617938743082571</v>
      </c>
      <c r="P39" s="162">
        <f>P35/P38</f>
        <v>-2.8144648058363235</v>
      </c>
      <c r="Q39" s="162" t="e">
        <f t="shared" ref="Q39:T39" si="54">Q35/Q38</f>
        <v>#DIV/0!</v>
      </c>
      <c r="R39" s="162">
        <f t="shared" si="54"/>
        <v>0.4742666976240229</v>
      </c>
      <c r="S39" s="162">
        <f t="shared" si="54"/>
        <v>-7.2362828211468271</v>
      </c>
      <c r="T39" s="162">
        <f t="shared" si="54"/>
        <v>-7.8735181786617732</v>
      </c>
      <c r="U39" s="138"/>
      <c r="V39" s="162" t="e">
        <f t="shared" ref="V39" si="55">V35/V38</f>
        <v>#REF!</v>
      </c>
      <c r="W39" s="162" t="e">
        <f t="shared" ref="W39" si="56">W35/W38</f>
        <v>#REF!</v>
      </c>
      <c r="X39" s="162" t="e">
        <f t="shared" ref="X39" si="57">X35/X38</f>
        <v>#REF!</v>
      </c>
      <c r="Y39" s="162" t="e">
        <f t="shared" ref="Y39" si="58">Y35/Y38</f>
        <v>#REF!</v>
      </c>
      <c r="Z39" s="162">
        <f t="shared" ref="Z39" si="59">Z35/Z38</f>
        <v>106.73317752726606</v>
      </c>
      <c r="AA39" s="162">
        <f t="shared" ref="AA39" si="60">AA35/AA38</f>
        <v>220.7739577321571</v>
      </c>
      <c r="AB39" s="162">
        <f t="shared" ref="AB39" si="61">AB35/AB38</f>
        <v>320.39624784727567</v>
      </c>
      <c r="AC39" s="162" t="e">
        <f t="shared" ref="AC39" si="62">AC35/AC38</f>
        <v>#DIV/0!</v>
      </c>
      <c r="AD39" s="162">
        <f t="shared" ref="AD39" si="63">AD35/AD38</f>
        <v>418.29476377592982</v>
      </c>
      <c r="AE39" s="162">
        <f t="shared" ref="AE39" si="64">AE35/AE38</f>
        <v>405.29449527879751</v>
      </c>
      <c r="AF39" s="162">
        <f t="shared" ref="AF39" si="65">AF35/AF38</f>
        <v>-7.5552359821404114</v>
      </c>
      <c r="AG39" s="162" t="e">
        <f t="shared" ref="AG39" si="66">AG35/AG38</f>
        <v>#DIV/0!</v>
      </c>
      <c r="AH39" s="162">
        <f t="shared" ref="AH39" si="67">AH35/AH38</f>
        <v>-7.9373113536104016</v>
      </c>
      <c r="AI39" s="162">
        <f t="shared" ref="AI39" si="68">AI35/AI38</f>
        <v>-31.746261627222417</v>
      </c>
      <c r="AJ39" s="162">
        <f t="shared" ref="AJ39" si="69">AJ35/AJ38</f>
        <v>-26.975770051088734</v>
      </c>
      <c r="AK39" s="43"/>
      <c r="AL39" s="78">
        <f>SUM(AJ39/AF39)-1</f>
        <v>2.5704735252288509</v>
      </c>
    </row>
    <row r="40" spans="1:38" ht="12.75" customHeight="1">
      <c r="B40" s="25"/>
      <c r="C40" s="49"/>
      <c r="D40" s="49"/>
      <c r="E40" s="49"/>
      <c r="F40" s="49"/>
      <c r="G40" s="49"/>
      <c r="H40" s="49"/>
      <c r="I40" s="161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43"/>
      <c r="AL40" s="77"/>
    </row>
    <row r="41" spans="1:38" ht="12.75" customHeight="1">
      <c r="B41" s="45" t="s">
        <v>70</v>
      </c>
      <c r="C41" s="49"/>
      <c r="D41" s="84"/>
      <c r="E41" s="84"/>
      <c r="F41" s="84"/>
      <c r="G41" s="84"/>
      <c r="H41" s="84"/>
      <c r="I41" s="161"/>
      <c r="J41" s="84">
        <v>109110</v>
      </c>
      <c r="K41" s="84">
        <v>109161</v>
      </c>
      <c r="L41" s="84">
        <v>109164</v>
      </c>
      <c r="M41" s="32">
        <f>G41</f>
        <v>0</v>
      </c>
      <c r="N41" s="84">
        <v>109430</v>
      </c>
      <c r="O41" s="84">
        <v>109506</v>
      </c>
      <c r="P41" s="84">
        <v>109521</v>
      </c>
      <c r="Q41" s="32">
        <f>H41</f>
        <v>0</v>
      </c>
      <c r="R41" s="84">
        <f>19685+109525</f>
        <v>129210</v>
      </c>
      <c r="S41" s="84">
        <v>33972</v>
      </c>
      <c r="T41" s="84">
        <v>40322</v>
      </c>
      <c r="U41" s="138"/>
      <c r="V41" s="32" t="e">
        <f>#REF!</f>
        <v>#REF!</v>
      </c>
      <c r="W41" s="32" t="e">
        <f>#REF!</f>
        <v>#REF!</v>
      </c>
      <c r="X41" s="32" t="e">
        <f>#REF!</f>
        <v>#REF!</v>
      </c>
      <c r="Y41" s="32" t="e">
        <f>#REF!</f>
        <v>#REF!</v>
      </c>
      <c r="Z41" s="32">
        <f t="shared" ref="Z41:AI41" si="70">J41</f>
        <v>109110</v>
      </c>
      <c r="AA41" s="32">
        <f t="shared" si="70"/>
        <v>109161</v>
      </c>
      <c r="AB41" s="32">
        <f t="shared" si="70"/>
        <v>109164</v>
      </c>
      <c r="AC41" s="32">
        <f t="shared" si="70"/>
        <v>0</v>
      </c>
      <c r="AD41" s="32">
        <f t="shared" si="70"/>
        <v>109430</v>
      </c>
      <c r="AE41" s="32">
        <f t="shared" si="70"/>
        <v>109506</v>
      </c>
      <c r="AF41" s="32">
        <f t="shared" si="70"/>
        <v>109521</v>
      </c>
      <c r="AG41" s="32">
        <f t="shared" si="70"/>
        <v>0</v>
      </c>
      <c r="AH41" s="32">
        <f t="shared" si="70"/>
        <v>129210</v>
      </c>
      <c r="AI41" s="32">
        <f t="shared" si="70"/>
        <v>33972</v>
      </c>
      <c r="AJ41" s="32">
        <f>T41</f>
        <v>40322</v>
      </c>
      <c r="AK41" s="43"/>
      <c r="AL41" s="77">
        <f>SUM(AJ41/AF41)-1</f>
        <v>-0.63183316441595672</v>
      </c>
    </row>
    <row r="42" spans="1:38" ht="12.75" customHeight="1">
      <c r="B42" s="13" t="s">
        <v>100</v>
      </c>
      <c r="C42" s="162" t="e">
        <f t="shared" ref="C42:G42" si="71">C35/C41</f>
        <v>#DIV/0!</v>
      </c>
      <c r="D42" s="162" t="e">
        <f t="shared" si="71"/>
        <v>#DIV/0!</v>
      </c>
      <c r="E42" s="162" t="e">
        <f t="shared" si="71"/>
        <v>#DIV/0!</v>
      </c>
      <c r="F42" s="162" t="e">
        <f t="shared" si="71"/>
        <v>#DIV/0!</v>
      </c>
      <c r="G42" s="162" t="e">
        <f t="shared" si="71"/>
        <v>#DIV/0!</v>
      </c>
      <c r="H42" s="162" t="e">
        <f>H35/H41</f>
        <v>#DIV/0!</v>
      </c>
      <c r="I42" s="27"/>
      <c r="J42" s="162">
        <f t="shared" ref="J42:O42" si="72">J35/J41</f>
        <v>-0.95235083860324443</v>
      </c>
      <c r="K42" s="162">
        <f t="shared" si="72"/>
        <v>-2.1518674251793223E-2</v>
      </c>
      <c r="L42" s="162">
        <f t="shared" si="72"/>
        <v>-1.4432596826792716</v>
      </c>
      <c r="M42" s="162" t="e">
        <f t="shared" si="72"/>
        <v>#DIV/0!</v>
      </c>
      <c r="N42" s="162">
        <f t="shared" si="72"/>
        <v>-1.3034359864753724</v>
      </c>
      <c r="O42" s="162">
        <f t="shared" si="72"/>
        <v>-1.7617938743082571</v>
      </c>
      <c r="P42" s="162">
        <f>P35/P41</f>
        <v>-2.8144648058363235</v>
      </c>
      <c r="Q42" s="162" t="e">
        <f t="shared" ref="Q42:T42" si="73">Q35/Q41</f>
        <v>#DIV/0!</v>
      </c>
      <c r="R42" s="162">
        <f t="shared" si="73"/>
        <v>0.4742666976240229</v>
      </c>
      <c r="S42" s="162">
        <f t="shared" si="73"/>
        <v>-7.2362828211468271</v>
      </c>
      <c r="T42" s="162">
        <f t="shared" si="73"/>
        <v>-7.8735181786617732</v>
      </c>
      <c r="U42" s="138"/>
      <c r="V42" s="162" t="e">
        <f t="shared" ref="V42" si="74">V35/V41</f>
        <v>#REF!</v>
      </c>
      <c r="W42" s="162" t="e">
        <f t="shared" ref="W42" si="75">W35/W41</f>
        <v>#REF!</v>
      </c>
      <c r="X42" s="162" t="e">
        <f t="shared" ref="X42" si="76">X35/X41</f>
        <v>#REF!</v>
      </c>
      <c r="Y42" s="162" t="e">
        <f t="shared" ref="Y42" si="77">Y35/Y41</f>
        <v>#REF!</v>
      </c>
      <c r="Z42" s="162">
        <f t="shared" ref="Z42" si="78">Z35/Z41</f>
        <v>106.73317752726606</v>
      </c>
      <c r="AA42" s="162">
        <f t="shared" ref="AA42" si="79">AA35/AA41</f>
        <v>220.7739577321571</v>
      </c>
      <c r="AB42" s="162">
        <f t="shared" ref="AB42" si="80">AB35/AB41</f>
        <v>320.39624784727567</v>
      </c>
      <c r="AC42" s="162" t="e">
        <f t="shared" ref="AC42" si="81">AC35/AC41</f>
        <v>#DIV/0!</v>
      </c>
      <c r="AD42" s="162">
        <f t="shared" ref="AD42" si="82">AD35/AD41</f>
        <v>418.29476377592982</v>
      </c>
      <c r="AE42" s="162">
        <f t="shared" ref="AE42" si="83">AE35/AE41</f>
        <v>405.29449527879751</v>
      </c>
      <c r="AF42" s="162">
        <f t="shared" ref="AF42" si="84">AF35/AF41</f>
        <v>-7.5552359821404114</v>
      </c>
      <c r="AG42" s="162" t="e">
        <f t="shared" ref="AG42" si="85">AG35/AG41</f>
        <v>#DIV/0!</v>
      </c>
      <c r="AH42" s="162">
        <f t="shared" ref="AH42" si="86">AH35/AH41</f>
        <v>-7.9373113536104016</v>
      </c>
      <c r="AI42" s="162">
        <f t="shared" ref="AI42" si="87">AI35/AI41</f>
        <v>-31.746261627222417</v>
      </c>
      <c r="AJ42" s="162">
        <f t="shared" ref="AJ42" si="88">AJ35/AJ41</f>
        <v>-26.975770051088734</v>
      </c>
      <c r="AK42" s="43"/>
      <c r="AL42" s="78">
        <f>SUM(AJ42/AF42)-1</f>
        <v>2.5704735252288509</v>
      </c>
    </row>
    <row r="43" spans="1:38">
      <c r="B43" s="16"/>
      <c r="C43" s="17"/>
      <c r="D43" s="17"/>
      <c r="E43" s="17"/>
      <c r="F43" s="17"/>
      <c r="G43" s="17"/>
      <c r="H43" s="17"/>
      <c r="I43" s="2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28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43"/>
    </row>
    <row r="44" spans="1:38" ht="12.75" customHeight="1">
      <c r="A44" s="5" t="s">
        <v>18</v>
      </c>
      <c r="B44" s="109" t="s">
        <v>80</v>
      </c>
      <c r="C44" s="110"/>
      <c r="D44" s="110"/>
      <c r="E44" s="110"/>
      <c r="F44" s="110"/>
      <c r="G44" s="110"/>
      <c r="H44" s="110"/>
      <c r="I44" s="111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09"/>
      <c r="V44" s="110"/>
      <c r="W44" s="110"/>
      <c r="X44" s="110"/>
      <c r="Y44" s="110"/>
      <c r="Z44" s="110"/>
      <c r="AA44" s="110"/>
      <c r="AB44" s="110"/>
      <c r="AC44" s="110"/>
      <c r="AD44" s="110"/>
      <c r="AE44" s="110" t="s">
        <v>10</v>
      </c>
      <c r="AF44" s="110"/>
      <c r="AG44" s="110"/>
      <c r="AH44" s="110"/>
      <c r="AI44" s="110"/>
      <c r="AJ44" s="110"/>
      <c r="AK44" s="111"/>
      <c r="AL44" s="165" t="s">
        <v>25</v>
      </c>
    </row>
    <row r="45" spans="1:38" ht="12.75" customHeight="1">
      <c r="B45" s="113" t="str">
        <f>B7</f>
        <v>Fiscal Period</v>
      </c>
      <c r="C45" s="112">
        <f>C7</f>
        <v>2019</v>
      </c>
      <c r="D45" s="112">
        <f>D7</f>
        <v>2020</v>
      </c>
      <c r="E45" s="112">
        <f>E7</f>
        <v>2021</v>
      </c>
      <c r="F45" s="112">
        <f>F7</f>
        <v>2022</v>
      </c>
      <c r="G45" s="112">
        <f>G7</f>
        <v>2023</v>
      </c>
      <c r="H45" s="112">
        <f>H7</f>
        <v>2024</v>
      </c>
      <c r="I45" s="111"/>
      <c r="J45" s="112" t="str">
        <f>J7</f>
        <v>1Q23</v>
      </c>
      <c r="K45" s="112" t="str">
        <f>K7</f>
        <v>2Q23</v>
      </c>
      <c r="L45" s="112" t="str">
        <f>L7</f>
        <v>3Q23</v>
      </c>
      <c r="M45" s="112" t="str">
        <f>M7</f>
        <v>4Q23</v>
      </c>
      <c r="N45" s="112" t="str">
        <f>N7</f>
        <v>1Q24</v>
      </c>
      <c r="O45" s="112" t="str">
        <f>O7</f>
        <v>2Q24</v>
      </c>
      <c r="P45" s="112" t="str">
        <f>P7</f>
        <v>3Q24</v>
      </c>
      <c r="Q45" s="112" t="str">
        <f>Q7</f>
        <v>4Q24</v>
      </c>
      <c r="R45" s="112" t="str">
        <f>R7</f>
        <v>1Q25</v>
      </c>
      <c r="S45" s="112" t="str">
        <f>S7</f>
        <v>2Q25</v>
      </c>
      <c r="T45" s="112" t="str">
        <f>T7</f>
        <v>3Q25</v>
      </c>
      <c r="U45" s="114"/>
      <c r="V45" s="112" t="e">
        <f>V7</f>
        <v>#REF!</v>
      </c>
      <c r="W45" s="112" t="e">
        <f>W7</f>
        <v>#REF!</v>
      </c>
      <c r="X45" s="112" t="e">
        <f>X7</f>
        <v>#REF!</v>
      </c>
      <c r="Y45" s="112" t="e">
        <f>Y7</f>
        <v>#REF!</v>
      </c>
      <c r="Z45" s="112" t="str">
        <f>Z7</f>
        <v>1Q23</v>
      </c>
      <c r="AA45" s="112" t="str">
        <f>AA7</f>
        <v>2Q23</v>
      </c>
      <c r="AB45" s="112" t="str">
        <f>AB7</f>
        <v>3Q23</v>
      </c>
      <c r="AC45" s="112" t="str">
        <f>AC7</f>
        <v>4Q23</v>
      </c>
      <c r="AD45" s="112" t="str">
        <f>AD7</f>
        <v>1Q24</v>
      </c>
      <c r="AE45" s="112" t="str">
        <f>AE7</f>
        <v>2Q24</v>
      </c>
      <c r="AF45" s="112" t="str">
        <f>AF7</f>
        <v>3Q24</v>
      </c>
      <c r="AG45" s="112" t="str">
        <f>AG7</f>
        <v>4Q24</v>
      </c>
      <c r="AH45" s="112" t="str">
        <f>AH7</f>
        <v>1Q25</v>
      </c>
      <c r="AI45" s="112" t="str">
        <f>AI7</f>
        <v>2Q25</v>
      </c>
      <c r="AJ45" s="112" t="str">
        <f>AJ7</f>
        <v>3Q25</v>
      </c>
      <c r="AK45" s="111"/>
      <c r="AL45" s="165"/>
    </row>
    <row r="46" spans="1:38" ht="12.75" customHeight="1">
      <c r="B46" s="113" t="str">
        <f>B8</f>
        <v>Fiscal Period End Date</v>
      </c>
      <c r="C46" s="115">
        <f>C8</f>
        <v>43830</v>
      </c>
      <c r="D46" s="115">
        <f>D8</f>
        <v>44196</v>
      </c>
      <c r="E46" s="115">
        <f>E8</f>
        <v>44561</v>
      </c>
      <c r="F46" s="115">
        <f>F8</f>
        <v>44926</v>
      </c>
      <c r="G46" s="115">
        <f>G8</f>
        <v>45291</v>
      </c>
      <c r="H46" s="115">
        <f>H8</f>
        <v>45657</v>
      </c>
      <c r="I46" s="111"/>
      <c r="J46" s="115">
        <f>J8</f>
        <v>45016</v>
      </c>
      <c r="K46" s="115">
        <f>K8</f>
        <v>45107</v>
      </c>
      <c r="L46" s="115">
        <f>L8</f>
        <v>45199</v>
      </c>
      <c r="M46" s="115">
        <f>M8</f>
        <v>45291</v>
      </c>
      <c r="N46" s="115">
        <f>N8</f>
        <v>45382</v>
      </c>
      <c r="O46" s="115">
        <f>O8</f>
        <v>45473</v>
      </c>
      <c r="P46" s="115">
        <f>P8</f>
        <v>45565</v>
      </c>
      <c r="Q46" s="115">
        <f>Q8</f>
        <v>45657</v>
      </c>
      <c r="R46" s="115">
        <f>R8</f>
        <v>45747</v>
      </c>
      <c r="S46" s="115">
        <f>S8</f>
        <v>45838</v>
      </c>
      <c r="T46" s="115">
        <f>T8</f>
        <v>45930</v>
      </c>
      <c r="U46" s="116"/>
      <c r="V46" s="115" t="e">
        <f>V8</f>
        <v>#REF!</v>
      </c>
      <c r="W46" s="115" t="e">
        <f>W8</f>
        <v>#REF!</v>
      </c>
      <c r="X46" s="115" t="e">
        <f>X8</f>
        <v>#REF!</v>
      </c>
      <c r="Y46" s="115" t="e">
        <f>Y8</f>
        <v>#REF!</v>
      </c>
      <c r="Z46" s="115">
        <f>Z8</f>
        <v>45016</v>
      </c>
      <c r="AA46" s="115">
        <f>AA8</f>
        <v>45107</v>
      </c>
      <c r="AB46" s="115">
        <f>AB8</f>
        <v>45199</v>
      </c>
      <c r="AC46" s="115">
        <f>AC8</f>
        <v>45291</v>
      </c>
      <c r="AD46" s="115">
        <f>AD8</f>
        <v>45382</v>
      </c>
      <c r="AE46" s="115">
        <f>AE8</f>
        <v>45473</v>
      </c>
      <c r="AF46" s="115">
        <f>AF8</f>
        <v>45565</v>
      </c>
      <c r="AG46" s="115">
        <f>AG8</f>
        <v>45657</v>
      </c>
      <c r="AH46" s="115">
        <f>AH8</f>
        <v>45747</v>
      </c>
      <c r="AI46" s="115">
        <f>AI8</f>
        <v>45838</v>
      </c>
      <c r="AJ46" s="115">
        <f>AJ8</f>
        <v>45930</v>
      </c>
      <c r="AK46" s="111"/>
      <c r="AL46" s="165"/>
    </row>
    <row r="47" spans="1:38" ht="5.0999999999999996" customHeight="1">
      <c r="B47" s="47"/>
      <c r="C47" s="48"/>
      <c r="D47" s="48"/>
      <c r="E47" s="48"/>
      <c r="F47" s="48"/>
      <c r="G47" s="48"/>
      <c r="H47" s="48"/>
    </row>
    <row r="48" spans="1:38">
      <c r="B48" s="80" t="s">
        <v>88</v>
      </c>
      <c r="C48" s="48"/>
      <c r="D48" s="48"/>
      <c r="E48" s="48"/>
      <c r="F48" s="48"/>
      <c r="G48" s="48"/>
      <c r="H48" s="48"/>
    </row>
    <row r="49" spans="2:38" s="125" customFormat="1" ht="12.75" customHeight="1">
      <c r="B49" s="117" t="s">
        <v>112</v>
      </c>
      <c r="C49" s="126">
        <v>978957</v>
      </c>
      <c r="D49" s="126">
        <v>1789723</v>
      </c>
      <c r="E49" s="126">
        <v>1333507</v>
      </c>
      <c r="F49" s="126">
        <v>1346350</v>
      </c>
      <c r="G49" s="126">
        <v>865211</v>
      </c>
      <c r="H49" s="126">
        <v>902057</v>
      </c>
      <c r="J49" s="84">
        <v>1287711</v>
      </c>
      <c r="K49" s="84">
        <v>1110688</v>
      </c>
      <c r="L49" s="84">
        <v>818323</v>
      </c>
      <c r="M49" s="32">
        <f t="shared" ref="M49:M52" si="89">G49</f>
        <v>865211</v>
      </c>
      <c r="N49" s="84">
        <v>764788</v>
      </c>
      <c r="O49" s="84">
        <v>724794</v>
      </c>
      <c r="P49" s="84">
        <v>423547</v>
      </c>
      <c r="Q49" s="32">
        <f t="shared" ref="Q49:Q52" si="90">H49</f>
        <v>902057</v>
      </c>
      <c r="R49" s="84">
        <v>487535</v>
      </c>
      <c r="S49" s="84">
        <v>407511</v>
      </c>
      <c r="T49" s="84">
        <v>250494</v>
      </c>
      <c r="V49" s="99" t="e">
        <f>#REF!</f>
        <v>#REF!</v>
      </c>
      <c r="W49" s="99" t="e">
        <f>#REF!</f>
        <v>#REF!</v>
      </c>
      <c r="X49" s="99" t="e">
        <f>#REF!</f>
        <v>#REF!</v>
      </c>
      <c r="Y49" s="99" t="e">
        <f>#REF!</f>
        <v>#REF!</v>
      </c>
      <c r="Z49" s="99">
        <f t="shared" ref="Z49:AJ49" si="91">J49</f>
        <v>1287711</v>
      </c>
      <c r="AA49" s="99">
        <f t="shared" si="91"/>
        <v>1110688</v>
      </c>
      <c r="AB49" s="99">
        <f t="shared" si="91"/>
        <v>818323</v>
      </c>
      <c r="AC49" s="99">
        <f t="shared" si="91"/>
        <v>865211</v>
      </c>
      <c r="AD49" s="99">
        <f t="shared" si="91"/>
        <v>764788</v>
      </c>
      <c r="AE49" s="99">
        <f t="shared" si="91"/>
        <v>724794</v>
      </c>
      <c r="AF49" s="99">
        <f t="shared" si="91"/>
        <v>423547</v>
      </c>
      <c r="AG49" s="99">
        <f t="shared" si="91"/>
        <v>902057</v>
      </c>
      <c r="AH49" s="99">
        <f t="shared" si="91"/>
        <v>487535</v>
      </c>
      <c r="AI49" s="99">
        <f t="shared" si="91"/>
        <v>407511</v>
      </c>
      <c r="AJ49" s="99">
        <f t="shared" si="91"/>
        <v>250494</v>
      </c>
      <c r="AK49" s="127"/>
      <c r="AL49" s="77">
        <f>SUM(AJ49/AF49)-1</f>
        <v>-0.40858039367531818</v>
      </c>
    </row>
    <row r="50" spans="2:38" s="125" customFormat="1" ht="12.75" customHeight="1">
      <c r="B50" s="117" t="s">
        <v>148</v>
      </c>
      <c r="C50" s="126">
        <v>0</v>
      </c>
      <c r="D50" s="126">
        <v>71401</v>
      </c>
      <c r="E50" s="126">
        <v>95400</v>
      </c>
      <c r="F50" s="126">
        <v>119392</v>
      </c>
      <c r="G50" s="126">
        <v>119400</v>
      </c>
      <c r="H50" s="126">
        <v>168390</v>
      </c>
      <c r="J50" s="84">
        <v>119400</v>
      </c>
      <c r="K50" s="84">
        <v>119400</v>
      </c>
      <c r="L50" s="84">
        <v>119400</v>
      </c>
      <c r="M50" s="32">
        <f t="shared" ref="M50" si="92">G50</f>
        <v>119400</v>
      </c>
      <c r="N50" s="84">
        <v>133585</v>
      </c>
      <c r="O50" s="84">
        <v>120579</v>
      </c>
      <c r="P50" s="84">
        <v>170086</v>
      </c>
      <c r="Q50" s="32">
        <f t="shared" ref="Q50" si="93">H50</f>
        <v>168390</v>
      </c>
      <c r="R50" s="84">
        <v>270522</v>
      </c>
      <c r="S50" s="84">
        <v>152088</v>
      </c>
      <c r="T50" s="84">
        <v>396103</v>
      </c>
      <c r="V50" s="99"/>
      <c r="W50" s="99"/>
      <c r="X50" s="99"/>
      <c r="Y50" s="99"/>
      <c r="Z50" s="99"/>
      <c r="AA50" s="99"/>
      <c r="AB50" s="99"/>
      <c r="AC50" s="99"/>
      <c r="AD50" s="99"/>
      <c r="AE50" s="99"/>
      <c r="AF50" s="99">
        <f t="shared" ref="AF50:AF53" si="94">P50</f>
        <v>170086</v>
      </c>
      <c r="AG50" s="99">
        <f t="shared" ref="AG50:AG53" si="95">Q50</f>
        <v>168390</v>
      </c>
      <c r="AH50" s="99">
        <f t="shared" ref="AH50:AH53" si="96">R50</f>
        <v>270522</v>
      </c>
      <c r="AI50" s="99">
        <f t="shared" ref="AI50:AI53" si="97">S50</f>
        <v>152088</v>
      </c>
      <c r="AJ50" s="99">
        <f t="shared" ref="AJ50:AJ53" si="98">T50</f>
        <v>396103</v>
      </c>
      <c r="AK50" s="127"/>
      <c r="AL50" s="77"/>
    </row>
    <row r="51" spans="2:38" s="125" customFormat="1" ht="12.75" customHeight="1">
      <c r="B51" s="117" t="s">
        <v>147</v>
      </c>
      <c r="C51" s="126">
        <v>105321</v>
      </c>
      <c r="D51" s="126">
        <v>106339</v>
      </c>
      <c r="E51" s="126">
        <v>106313</v>
      </c>
      <c r="F51" s="126">
        <v>107115</v>
      </c>
      <c r="G51" s="126">
        <v>112501</v>
      </c>
      <c r="H51" s="126">
        <v>118334</v>
      </c>
      <c r="J51" s="84">
        <v>108357</v>
      </c>
      <c r="K51" s="84">
        <v>109494</v>
      </c>
      <c r="L51" s="84">
        <v>110933</v>
      </c>
      <c r="M51" s="32">
        <f t="shared" si="89"/>
        <v>112501</v>
      </c>
      <c r="N51" s="84">
        <v>113854</v>
      </c>
      <c r="O51" s="84">
        <v>115290</v>
      </c>
      <c r="P51" s="84">
        <v>117104</v>
      </c>
      <c r="Q51" s="32">
        <f t="shared" si="90"/>
        <v>118334</v>
      </c>
      <c r="R51" s="84">
        <v>119575</v>
      </c>
      <c r="S51" s="84">
        <v>0</v>
      </c>
      <c r="T51" s="84">
        <v>0</v>
      </c>
      <c r="V51" s="99"/>
      <c r="W51" s="99"/>
      <c r="X51" s="99"/>
      <c r="Y51" s="99"/>
      <c r="Z51" s="99"/>
      <c r="AA51" s="99"/>
      <c r="AB51" s="99"/>
      <c r="AC51" s="99"/>
      <c r="AD51" s="99"/>
      <c r="AE51" s="99"/>
      <c r="AF51" s="99">
        <f t="shared" si="94"/>
        <v>117104</v>
      </c>
      <c r="AG51" s="99">
        <f t="shared" si="95"/>
        <v>118334</v>
      </c>
      <c r="AH51" s="99">
        <f t="shared" si="96"/>
        <v>119575</v>
      </c>
      <c r="AI51" s="99">
        <f t="shared" si="97"/>
        <v>0</v>
      </c>
      <c r="AJ51" s="99">
        <f t="shared" si="98"/>
        <v>0</v>
      </c>
      <c r="AK51" s="127"/>
      <c r="AL51" s="77"/>
    </row>
    <row r="52" spans="2:38" s="125" customFormat="1" ht="12.75" customHeight="1">
      <c r="B52" s="117" t="s">
        <v>149</v>
      </c>
      <c r="C52" s="126">
        <v>73807</v>
      </c>
      <c r="D52" s="126">
        <v>42940</v>
      </c>
      <c r="E52" s="126">
        <v>128828</v>
      </c>
      <c r="F52" s="126">
        <v>197276</v>
      </c>
      <c r="G52" s="126">
        <v>205468</v>
      </c>
      <c r="H52" s="126">
        <v>178955</v>
      </c>
      <c r="J52" s="84">
        <v>186070</v>
      </c>
      <c r="K52" s="84">
        <v>186739</v>
      </c>
      <c r="L52" s="84">
        <v>170959</v>
      </c>
      <c r="M52" s="32">
        <f t="shared" si="89"/>
        <v>205468</v>
      </c>
      <c r="N52" s="84">
        <v>212469</v>
      </c>
      <c r="O52" s="84">
        <v>216650</v>
      </c>
      <c r="P52" s="84">
        <v>230079</v>
      </c>
      <c r="Q52" s="32">
        <f t="shared" si="90"/>
        <v>178955</v>
      </c>
      <c r="R52" s="84">
        <v>211932</v>
      </c>
      <c r="S52" s="84">
        <v>219414</v>
      </c>
      <c r="T52" s="84">
        <v>114386</v>
      </c>
      <c r="V52" s="99"/>
      <c r="W52" s="99"/>
      <c r="X52" s="99"/>
      <c r="Y52" s="99"/>
      <c r="Z52" s="99"/>
      <c r="AA52" s="99"/>
      <c r="AB52" s="99"/>
      <c r="AC52" s="99"/>
      <c r="AD52" s="99"/>
      <c r="AE52" s="99"/>
      <c r="AF52" s="99">
        <f t="shared" si="94"/>
        <v>230079</v>
      </c>
      <c r="AG52" s="99">
        <f t="shared" si="95"/>
        <v>178955</v>
      </c>
      <c r="AH52" s="99">
        <f t="shared" si="96"/>
        <v>211932</v>
      </c>
      <c r="AI52" s="99">
        <f t="shared" si="97"/>
        <v>219414</v>
      </c>
      <c r="AJ52" s="99">
        <f t="shared" si="98"/>
        <v>114386</v>
      </c>
      <c r="AK52" s="127"/>
      <c r="AL52" s="77"/>
    </row>
    <row r="53" spans="2:38" s="125" customFormat="1" ht="12.75" customHeight="1">
      <c r="B53" s="117" t="s">
        <v>162</v>
      </c>
      <c r="C53" s="126">
        <f>103439+102906+21013</f>
        <v>227358</v>
      </c>
      <c r="D53" s="126">
        <f>124983+73134+147460</f>
        <v>345577</v>
      </c>
      <c r="E53" s="126">
        <f>129827+10726+37890</f>
        <v>178443</v>
      </c>
      <c r="F53" s="126">
        <f>187589+36261</f>
        <v>223850</v>
      </c>
      <c r="G53" s="126">
        <f>207700+1847</f>
        <v>209547</v>
      </c>
      <c r="H53" s="126">
        <f>278366+463020</f>
        <v>741386</v>
      </c>
      <c r="J53" s="84">
        <f>180284+36261</f>
        <v>216545</v>
      </c>
      <c r="K53" s="84">
        <f>36261+210252</f>
        <v>246513</v>
      </c>
      <c r="L53" s="84">
        <f>228878+549</f>
        <v>229427</v>
      </c>
      <c r="M53" s="32">
        <f t="shared" ref="M53" si="99">G53</f>
        <v>209547</v>
      </c>
      <c r="N53" s="84">
        <v>263713</v>
      </c>
      <c r="O53" s="84">
        <v>247952</v>
      </c>
      <c r="P53" s="84">
        <v>276373</v>
      </c>
      <c r="Q53" s="32">
        <f t="shared" ref="Q53" si="100">H53</f>
        <v>741386</v>
      </c>
      <c r="R53" s="84">
        <f>242527+447558</f>
        <v>690085</v>
      </c>
      <c r="S53" s="84">
        <f>253057+449149</f>
        <v>702206</v>
      </c>
      <c r="T53" s="84">
        <f>306263+3119</f>
        <v>309382</v>
      </c>
      <c r="V53" s="99" t="e">
        <f>#REF!</f>
        <v>#REF!</v>
      </c>
      <c r="W53" s="99" t="e">
        <f>#REF!</f>
        <v>#REF!</v>
      </c>
      <c r="X53" s="99" t="e">
        <f>#REF!</f>
        <v>#REF!</v>
      </c>
      <c r="Y53" s="99" t="e">
        <f>#REF!</f>
        <v>#REF!</v>
      </c>
      <c r="Z53" s="99">
        <f t="shared" ref="Z53" si="101">J53</f>
        <v>216545</v>
      </c>
      <c r="AA53" s="99">
        <f t="shared" ref="AA53" si="102">K53</f>
        <v>246513</v>
      </c>
      <c r="AB53" s="99">
        <f t="shared" ref="AB53" si="103">L53</f>
        <v>229427</v>
      </c>
      <c r="AC53" s="99">
        <f t="shared" ref="AC53" si="104">M53</f>
        <v>209547</v>
      </c>
      <c r="AD53" s="99">
        <f t="shared" ref="AD53" si="105">N53</f>
        <v>263713</v>
      </c>
      <c r="AE53" s="99">
        <f t="shared" ref="AE53" si="106">O53</f>
        <v>247952</v>
      </c>
      <c r="AF53" s="99">
        <f t="shared" si="94"/>
        <v>276373</v>
      </c>
      <c r="AG53" s="99">
        <f t="shared" si="95"/>
        <v>741386</v>
      </c>
      <c r="AH53" s="99">
        <f t="shared" si="96"/>
        <v>690085</v>
      </c>
      <c r="AI53" s="99">
        <f t="shared" si="97"/>
        <v>702206</v>
      </c>
      <c r="AJ53" s="99">
        <f t="shared" si="98"/>
        <v>309382</v>
      </c>
      <c r="AK53" s="127"/>
      <c r="AL53" s="77">
        <f>SUM(AJ53/AF53)-1</f>
        <v>0.11943641383203141</v>
      </c>
    </row>
    <row r="54" spans="2:38" ht="12.75" customHeight="1">
      <c r="B54" s="25" t="s">
        <v>21</v>
      </c>
      <c r="C54" s="26">
        <f>SUM(C49:C53)</f>
        <v>1385443</v>
      </c>
      <c r="D54" s="26">
        <f>SUM(D49:D53)</f>
        <v>2355980</v>
      </c>
      <c r="E54" s="26">
        <f>SUM(E49:E53)</f>
        <v>1842491</v>
      </c>
      <c r="F54" s="26">
        <f>SUM(F49:F53)</f>
        <v>1993983</v>
      </c>
      <c r="G54" s="26">
        <f>SUM(G49:G53)</f>
        <v>1512127</v>
      </c>
      <c r="H54" s="26">
        <f>SUM(H49:H53)</f>
        <v>2109122</v>
      </c>
      <c r="I54" s="49"/>
      <c r="J54" s="26">
        <f>SUM(J49:J53)</f>
        <v>1918083</v>
      </c>
      <c r="K54" s="26">
        <f>SUM(K49:K53)</f>
        <v>1772834</v>
      </c>
      <c r="L54" s="26">
        <f>SUM(L49:L53)</f>
        <v>1449042</v>
      </c>
      <c r="M54" s="26">
        <f>SUM(M49:M53)</f>
        <v>1512127</v>
      </c>
      <c r="N54" s="26">
        <f>SUM(N49:N53)</f>
        <v>1488409</v>
      </c>
      <c r="O54" s="26">
        <f>SUM(O49:O53)</f>
        <v>1425265</v>
      </c>
      <c r="P54" s="26">
        <f>SUM(P49:P53)</f>
        <v>1217189</v>
      </c>
      <c r="Q54" s="26">
        <f>SUM(Q49:Q53)</f>
        <v>2109122</v>
      </c>
      <c r="R54" s="26">
        <f>SUM(R49:R53)</f>
        <v>1779649</v>
      </c>
      <c r="S54" s="26">
        <f>SUM(S49:S53)</f>
        <v>1481219</v>
      </c>
      <c r="T54" s="26">
        <f>SUM(T49:T53)</f>
        <v>1070365</v>
      </c>
      <c r="U54" s="49"/>
      <c r="V54" s="26" t="e">
        <f>SUM(V49:V53)</f>
        <v>#REF!</v>
      </c>
      <c r="W54" s="26" t="e">
        <f>SUM(W49:W53)</f>
        <v>#REF!</v>
      </c>
      <c r="X54" s="26" t="e">
        <f>SUM(X49:X53)</f>
        <v>#REF!</v>
      </c>
      <c r="Y54" s="26" t="e">
        <f>SUM(Y49:Y53)</f>
        <v>#REF!</v>
      </c>
      <c r="Z54" s="26">
        <f>SUM(Z49:Z53)</f>
        <v>1504256</v>
      </c>
      <c r="AA54" s="26">
        <f>SUM(AA49:AA53)</f>
        <v>1357201</v>
      </c>
      <c r="AB54" s="26">
        <f>SUM(AB49:AB53)</f>
        <v>1047750</v>
      </c>
      <c r="AC54" s="26">
        <f>SUM(AC49:AC53)</f>
        <v>1074758</v>
      </c>
      <c r="AD54" s="26">
        <f>SUM(AD49:AD53)</f>
        <v>1028501</v>
      </c>
      <c r="AE54" s="26">
        <f>SUM(AE49:AE53)</f>
        <v>972746</v>
      </c>
      <c r="AF54" s="26">
        <f>SUM(AF49:AF53)</f>
        <v>1217189</v>
      </c>
      <c r="AG54" s="26">
        <f>SUM(AG49:AG53)</f>
        <v>2109122</v>
      </c>
      <c r="AH54" s="26">
        <f>SUM(AH49:AH53)</f>
        <v>1779649</v>
      </c>
      <c r="AI54" s="26">
        <f>SUM(AI49:AI53)</f>
        <v>1481219</v>
      </c>
      <c r="AJ54" s="26">
        <f>SUM(AJ49:AJ53)</f>
        <v>1070365</v>
      </c>
      <c r="AK54" s="42"/>
      <c r="AL54" s="78">
        <f>SUM(AJ54/AF54)-1</f>
        <v>-0.12062547394036582</v>
      </c>
    </row>
    <row r="55" spans="2:38" ht="5.0999999999999996" customHeight="1">
      <c r="B55" s="25"/>
      <c r="C55" s="50"/>
      <c r="D55" s="50"/>
      <c r="E55" s="50"/>
      <c r="F55" s="50"/>
      <c r="G55" s="41"/>
      <c r="H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39"/>
    </row>
    <row r="56" spans="2:38" ht="12.75" customHeight="1">
      <c r="B56" s="80" t="s">
        <v>89</v>
      </c>
      <c r="C56" s="84"/>
      <c r="D56" s="84"/>
      <c r="E56" s="84"/>
      <c r="F56" s="84"/>
      <c r="G56" s="84"/>
      <c r="H56" s="84"/>
      <c r="J56" s="84"/>
      <c r="K56" s="84"/>
      <c r="L56" s="84"/>
      <c r="M56" s="84"/>
      <c r="N56" s="84"/>
      <c r="O56" s="84"/>
      <c r="P56" s="84"/>
      <c r="Q56" s="84"/>
      <c r="R56" s="32"/>
      <c r="S56" s="84"/>
      <c r="T56" s="84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11"/>
      <c r="AL56" s="77"/>
    </row>
    <row r="57" spans="2:38" ht="12.75" customHeight="1">
      <c r="B57" s="9" t="s">
        <v>93</v>
      </c>
      <c r="C57" s="84">
        <v>3530302</v>
      </c>
      <c r="D57" s="84">
        <v>3831568</v>
      </c>
      <c r="E57" s="84">
        <v>3856593</v>
      </c>
      <c r="F57" s="84">
        <v>3749498</v>
      </c>
      <c r="G57" s="84">
        <v>3519128</v>
      </c>
      <c r="H57" s="84">
        <v>2492784</v>
      </c>
      <c r="J57" s="84">
        <v>3738682</v>
      </c>
      <c r="K57" s="84">
        <v>3740500</v>
      </c>
      <c r="L57" s="84">
        <v>3731960</v>
      </c>
      <c r="M57" s="32">
        <f t="shared" ref="M57:M61" si="107">G57</f>
        <v>3519128</v>
      </c>
      <c r="N57" s="84">
        <v>3400292</v>
      </c>
      <c r="O57" s="84">
        <v>3336335</v>
      </c>
      <c r="P57" s="84">
        <v>3299455</v>
      </c>
      <c r="Q57" s="32">
        <f t="shared" ref="Q57:Q61" si="108">H57</f>
        <v>2492784</v>
      </c>
      <c r="R57" s="84">
        <v>2325965</v>
      </c>
      <c r="S57" s="84">
        <v>2289181</v>
      </c>
      <c r="T57" s="84">
        <v>2521158</v>
      </c>
      <c r="V57" s="32" t="e">
        <f>#REF!</f>
        <v>#REF!</v>
      </c>
      <c r="W57" s="32" t="e">
        <f>#REF!</f>
        <v>#REF!</v>
      </c>
      <c r="X57" s="32" t="e">
        <f>#REF!</f>
        <v>#REF!</v>
      </c>
      <c r="Y57" s="32" t="e">
        <f>#REF!</f>
        <v>#REF!</v>
      </c>
      <c r="Z57" s="32">
        <f t="shared" ref="Z57:AJ57" si="109">J57</f>
        <v>3738682</v>
      </c>
      <c r="AA57" s="32">
        <f t="shared" si="109"/>
        <v>3740500</v>
      </c>
      <c r="AB57" s="32">
        <f t="shared" si="109"/>
        <v>3731960</v>
      </c>
      <c r="AC57" s="32">
        <f t="shared" si="109"/>
        <v>3519128</v>
      </c>
      <c r="AD57" s="32">
        <f t="shared" si="109"/>
        <v>3400292</v>
      </c>
      <c r="AE57" s="32">
        <f t="shared" si="109"/>
        <v>3336335</v>
      </c>
      <c r="AF57" s="32">
        <f t="shared" si="109"/>
        <v>3299455</v>
      </c>
      <c r="AG57" s="32">
        <f t="shared" si="109"/>
        <v>2492784</v>
      </c>
      <c r="AH57" s="32">
        <f t="shared" si="109"/>
        <v>2325965</v>
      </c>
      <c r="AI57" s="32">
        <f t="shared" si="109"/>
        <v>2289181</v>
      </c>
      <c r="AJ57" s="32">
        <f t="shared" si="109"/>
        <v>2521158</v>
      </c>
      <c r="AK57" s="11"/>
      <c r="AL57" s="77">
        <f t="shared" ref="AL57:AL62" si="110">SUM(AJ57/AF57)-1</f>
        <v>-0.23588653277586757</v>
      </c>
    </row>
    <row r="58" spans="2:38" ht="12.75" customHeight="1">
      <c r="B58" s="9" t="s">
        <v>150</v>
      </c>
      <c r="C58" s="84">
        <v>1369555</v>
      </c>
      <c r="D58" s="84">
        <v>1417823</v>
      </c>
      <c r="E58" s="84">
        <v>1950520</v>
      </c>
      <c r="F58" s="84">
        <v>2699574</v>
      </c>
      <c r="G58" s="84">
        <v>3561028</v>
      </c>
      <c r="H58" s="84">
        <v>4583734</v>
      </c>
      <c r="J58" s="84">
        <v>2859829</v>
      </c>
      <c r="K58" s="84">
        <v>3058137</v>
      </c>
      <c r="L58" s="84">
        <v>3354082</v>
      </c>
      <c r="M58" s="32">
        <f t="shared" si="107"/>
        <v>3561028</v>
      </c>
      <c r="N58" s="84">
        <v>3859596</v>
      </c>
      <c r="O58" s="84">
        <v>4156810</v>
      </c>
      <c r="P58" s="84">
        <v>4516298</v>
      </c>
      <c r="Q58" s="32">
        <f t="shared" si="108"/>
        <v>4583734</v>
      </c>
      <c r="R58" s="84">
        <v>4425872</v>
      </c>
      <c r="S58" s="84">
        <v>4457889</v>
      </c>
      <c r="T58" s="84">
        <v>4646002</v>
      </c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>
        <f t="shared" ref="AF58:AF61" si="111">P58</f>
        <v>4516298</v>
      </c>
      <c r="AG58" s="32">
        <f t="shared" ref="AG58:AG61" si="112">Q58</f>
        <v>4583734</v>
      </c>
      <c r="AH58" s="32">
        <f t="shared" ref="AH58:AH61" si="113">R58</f>
        <v>4425872</v>
      </c>
      <c r="AI58" s="32">
        <f t="shared" ref="AI58:AI61" si="114">S58</f>
        <v>4457889</v>
      </c>
      <c r="AJ58" s="32">
        <f t="shared" ref="AJ58:AJ61" si="115">T58</f>
        <v>4646002</v>
      </c>
      <c r="AK58" s="11"/>
      <c r="AL58" s="77"/>
    </row>
    <row r="59" spans="2:38" ht="12.75" customHeight="1">
      <c r="B59" s="9" t="s">
        <v>151</v>
      </c>
      <c r="C59" s="84">
        <v>291930</v>
      </c>
      <c r="D59" s="84">
        <v>356262</v>
      </c>
      <c r="E59" s="84">
        <v>484821</v>
      </c>
      <c r="F59" s="84">
        <v>487553</v>
      </c>
      <c r="G59" s="84">
        <v>480717</v>
      </c>
      <c r="H59" s="84">
        <v>113493</v>
      </c>
      <c r="J59" s="84">
        <v>516099</v>
      </c>
      <c r="K59" s="84">
        <v>508957</v>
      </c>
      <c r="L59" s="84">
        <v>495300</v>
      </c>
      <c r="M59" s="32">
        <f t="shared" si="107"/>
        <v>480717</v>
      </c>
      <c r="N59" s="84">
        <v>443478</v>
      </c>
      <c r="O59" s="84">
        <v>307140</v>
      </c>
      <c r="P59" s="84">
        <v>124290</v>
      </c>
      <c r="Q59" s="32">
        <f t="shared" si="108"/>
        <v>113493</v>
      </c>
      <c r="R59" s="84">
        <v>86319</v>
      </c>
      <c r="S59" s="84">
        <v>73572</v>
      </c>
      <c r="T59" s="84">
        <v>75376</v>
      </c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>
        <f t="shared" si="111"/>
        <v>124290</v>
      </c>
      <c r="AG59" s="32">
        <f t="shared" si="112"/>
        <v>113493</v>
      </c>
      <c r="AH59" s="32">
        <f t="shared" si="113"/>
        <v>86319</v>
      </c>
      <c r="AI59" s="32">
        <f t="shared" si="114"/>
        <v>73572</v>
      </c>
      <c r="AJ59" s="32">
        <f t="shared" si="115"/>
        <v>75376</v>
      </c>
      <c r="AK59" s="11"/>
      <c r="AL59" s="77"/>
    </row>
    <row r="60" spans="2:38" ht="12.75" customHeight="1">
      <c r="B60" s="9" t="s">
        <v>152</v>
      </c>
      <c r="C60" s="84">
        <v>361603</v>
      </c>
      <c r="D60" s="84">
        <v>347907</v>
      </c>
      <c r="E60" s="84">
        <v>330062</v>
      </c>
      <c r="F60" s="84">
        <v>190349</v>
      </c>
      <c r="G60" s="84">
        <v>313505</v>
      </c>
      <c r="H60" s="84">
        <v>241094</v>
      </c>
      <c r="J60" s="84">
        <v>230014</v>
      </c>
      <c r="K60" s="84">
        <v>252682</v>
      </c>
      <c r="L60" s="84">
        <v>293299</v>
      </c>
      <c r="M60" s="32">
        <f t="shared" si="107"/>
        <v>313505</v>
      </c>
      <c r="N60" s="84">
        <v>307276</v>
      </c>
      <c r="O60" s="84">
        <v>306746</v>
      </c>
      <c r="P60" s="84">
        <v>302600</v>
      </c>
      <c r="Q60" s="32">
        <f t="shared" si="108"/>
        <v>241094</v>
      </c>
      <c r="R60" s="84">
        <v>132889</v>
      </c>
      <c r="S60" s="84">
        <v>115451</v>
      </c>
      <c r="T60" s="84">
        <v>110568</v>
      </c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>
        <f t="shared" si="111"/>
        <v>302600</v>
      </c>
      <c r="AG60" s="32">
        <f t="shared" si="112"/>
        <v>241094</v>
      </c>
      <c r="AH60" s="32">
        <f t="shared" si="113"/>
        <v>132889</v>
      </c>
      <c r="AI60" s="32">
        <f t="shared" si="114"/>
        <v>115451</v>
      </c>
      <c r="AJ60" s="32">
        <f t="shared" si="115"/>
        <v>110568</v>
      </c>
      <c r="AK60" s="11"/>
      <c r="AL60" s="77"/>
    </row>
    <row r="61" spans="2:38" ht="12.75" customHeight="1">
      <c r="B61" s="9" t="s">
        <v>153</v>
      </c>
      <c r="C61" s="84">
        <f>36897+67682</f>
        <v>104579</v>
      </c>
      <c r="D61" s="84">
        <f>36127+53158</f>
        <v>89285</v>
      </c>
      <c r="E61" s="84">
        <f>37372+38166</f>
        <v>75538</v>
      </c>
      <c r="F61" s="84">
        <v>63817</v>
      </c>
      <c r="G61" s="84">
        <v>30732</v>
      </c>
      <c r="H61" s="84">
        <v>54951</v>
      </c>
      <c r="J61" s="84">
        <v>59610</v>
      </c>
      <c r="K61" s="84">
        <v>39017</v>
      </c>
      <c r="L61" s="84">
        <v>37867</v>
      </c>
      <c r="M61" s="32">
        <f t="shared" si="107"/>
        <v>30732</v>
      </c>
      <c r="N61" s="84">
        <v>27444</v>
      </c>
      <c r="O61" s="84">
        <v>27160</v>
      </c>
      <c r="P61" s="84">
        <v>33217</v>
      </c>
      <c r="Q61" s="32">
        <f t="shared" si="108"/>
        <v>54951</v>
      </c>
      <c r="R61" s="84">
        <f>75942+83482</f>
        <v>159424</v>
      </c>
      <c r="S61" s="84">
        <f>83482+75493</f>
        <v>158975</v>
      </c>
      <c r="T61" s="84">
        <f>83482+288093</f>
        <v>371575</v>
      </c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>
        <f t="shared" si="111"/>
        <v>33217</v>
      </c>
      <c r="AG61" s="32">
        <f t="shared" si="112"/>
        <v>54951</v>
      </c>
      <c r="AH61" s="32">
        <f t="shared" si="113"/>
        <v>159424</v>
      </c>
      <c r="AI61" s="32">
        <f t="shared" si="114"/>
        <v>158975</v>
      </c>
      <c r="AJ61" s="32">
        <f t="shared" si="115"/>
        <v>371575</v>
      </c>
      <c r="AK61" s="11"/>
      <c r="AL61" s="77"/>
    </row>
    <row r="62" spans="2:38" ht="12.75" customHeight="1">
      <c r="B62" s="13" t="s">
        <v>22</v>
      </c>
      <c r="C62" s="14">
        <f>SUM(C57:C61)+C54</f>
        <v>7043412</v>
      </c>
      <c r="D62" s="14">
        <f>SUM(D57:D61)+D54</f>
        <v>8398825</v>
      </c>
      <c r="E62" s="14">
        <f>SUM(E57:E61)+E54</f>
        <v>8540025</v>
      </c>
      <c r="F62" s="14">
        <f>SUM(F57:F61)+F54</f>
        <v>9184774</v>
      </c>
      <c r="G62" s="14">
        <f>SUM(G57:G61)+G54</f>
        <v>9417237</v>
      </c>
      <c r="H62" s="14">
        <f>SUM(H57:H61)+H54</f>
        <v>9595178</v>
      </c>
      <c r="J62" s="14">
        <f>SUM(J57:J61)+J54</f>
        <v>9322317</v>
      </c>
      <c r="K62" s="14">
        <f>SUM(K57:K61)+K54</f>
        <v>9372127</v>
      </c>
      <c r="L62" s="14">
        <f>SUM(L57:L61)+L54</f>
        <v>9361550</v>
      </c>
      <c r="M62" s="14">
        <f>SUM(M57:M61)+M54</f>
        <v>9417237</v>
      </c>
      <c r="N62" s="14">
        <f>SUM(N57:N61)+N54</f>
        <v>9526495</v>
      </c>
      <c r="O62" s="14">
        <f>SUM(O57:O61)+O54</f>
        <v>9559456</v>
      </c>
      <c r="P62" s="14">
        <f>SUM(P57:P61)+P54</f>
        <v>9493049</v>
      </c>
      <c r="Q62" s="14">
        <f>SUM(Q57:Q61)+Q54</f>
        <v>9595178</v>
      </c>
      <c r="R62" s="14">
        <f>SUM(R57:R61)+R54</f>
        <v>8910118</v>
      </c>
      <c r="S62" s="14">
        <f>SUM(S57:S61)+S54</f>
        <v>8576287</v>
      </c>
      <c r="T62" s="14">
        <f>SUM(T57:T61)+T54</f>
        <v>8795044</v>
      </c>
      <c r="V62" s="14" t="e">
        <f>SUM(V57:V61)+V54</f>
        <v>#REF!</v>
      </c>
      <c r="W62" s="14" t="e">
        <f>SUM(W57:W61)+W54</f>
        <v>#REF!</v>
      </c>
      <c r="X62" s="14" t="e">
        <f>SUM(X57:X61)+X54</f>
        <v>#REF!</v>
      </c>
      <c r="Y62" s="14" t="e">
        <f>SUM(Y57:Y61)+Y54</f>
        <v>#REF!</v>
      </c>
      <c r="Z62" s="14">
        <f>SUM(Z57:Z61)+Z54</f>
        <v>5242938</v>
      </c>
      <c r="AA62" s="14">
        <f>SUM(AA57:AA61)+AA54</f>
        <v>5097701</v>
      </c>
      <c r="AB62" s="14">
        <f>SUM(AB57:AB61)+AB54</f>
        <v>4779710</v>
      </c>
      <c r="AC62" s="14">
        <f>SUM(AC57:AC61)+AC54</f>
        <v>4593886</v>
      </c>
      <c r="AD62" s="14">
        <f>SUM(AD57:AD61)+AD54</f>
        <v>4428793</v>
      </c>
      <c r="AE62" s="14">
        <f>SUM(AE57:AE61)+AE54</f>
        <v>4309081</v>
      </c>
      <c r="AF62" s="14">
        <f>SUM(AF57:AF61)+AF54</f>
        <v>9493049</v>
      </c>
      <c r="AG62" s="14">
        <f>SUM(AG57:AG61)+AG54</f>
        <v>9595178</v>
      </c>
      <c r="AH62" s="14">
        <f>SUM(AH57:AH61)+AH54</f>
        <v>8910118</v>
      </c>
      <c r="AI62" s="14">
        <f>SUM(AI57:AI61)+AI54</f>
        <v>8576287</v>
      </c>
      <c r="AJ62" s="34">
        <f>SUM(AJ57:AJ61)+AJ54</f>
        <v>8795044</v>
      </c>
      <c r="AK62" s="42"/>
      <c r="AL62" s="78">
        <f t="shared" si="110"/>
        <v>-7.3528009810125305E-2</v>
      </c>
    </row>
    <row r="63" spans="2:38" ht="12.75" customHeight="1">
      <c r="B63" s="25"/>
      <c r="C63" s="51"/>
      <c r="D63" s="51"/>
      <c r="E63" s="51"/>
      <c r="F63" s="51"/>
      <c r="G63" s="41"/>
      <c r="H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39"/>
    </row>
    <row r="64" spans="2:38" ht="12.75" customHeight="1">
      <c r="B64" s="80" t="s">
        <v>49</v>
      </c>
      <c r="C64" s="51"/>
      <c r="D64" s="51"/>
      <c r="E64" s="51"/>
      <c r="F64" s="51"/>
      <c r="G64" s="41"/>
      <c r="H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39"/>
    </row>
    <row r="65" spans="2:38" ht="12.75" customHeight="1">
      <c r="B65" s="123" t="s">
        <v>13</v>
      </c>
      <c r="C65" s="124">
        <v>43601</v>
      </c>
      <c r="D65" s="124">
        <v>28454</v>
      </c>
      <c r="E65" s="124">
        <v>44952</v>
      </c>
      <c r="F65" s="124">
        <v>75449</v>
      </c>
      <c r="G65" s="124">
        <v>42098</v>
      </c>
      <c r="H65" s="124">
        <v>32385</v>
      </c>
      <c r="J65" s="84">
        <v>53046</v>
      </c>
      <c r="K65" s="84">
        <v>76158</v>
      </c>
      <c r="L65" s="84">
        <v>86297</v>
      </c>
      <c r="M65" s="32">
        <f t="shared" ref="M65:M69" si="116">G65</f>
        <v>42098</v>
      </c>
      <c r="N65" s="84">
        <v>85074</v>
      </c>
      <c r="O65" s="84">
        <v>70014</v>
      </c>
      <c r="P65" s="84">
        <v>49637</v>
      </c>
      <c r="Q65" s="32">
        <f t="shared" ref="Q65:Q69" si="117">H65</f>
        <v>32385</v>
      </c>
      <c r="R65" s="84">
        <v>101213</v>
      </c>
      <c r="S65" s="84">
        <v>147676</v>
      </c>
      <c r="T65" s="84">
        <v>149270</v>
      </c>
      <c r="V65" s="100" t="e">
        <f>#REF!</f>
        <v>#REF!</v>
      </c>
      <c r="W65" s="100" t="e">
        <f>#REF!</f>
        <v>#REF!</v>
      </c>
      <c r="X65" s="100" t="e">
        <f>#REF!</f>
        <v>#REF!</v>
      </c>
      <c r="Y65" s="100" t="e">
        <f>#REF!</f>
        <v>#REF!</v>
      </c>
      <c r="Z65" s="100">
        <f t="shared" ref="Z65:AJ69" si="118">J65</f>
        <v>53046</v>
      </c>
      <c r="AA65" s="100">
        <f t="shared" si="118"/>
        <v>76158</v>
      </c>
      <c r="AB65" s="100">
        <f t="shared" si="118"/>
        <v>86297</v>
      </c>
      <c r="AC65" s="100">
        <f t="shared" si="118"/>
        <v>42098</v>
      </c>
      <c r="AD65" s="100">
        <f t="shared" si="118"/>
        <v>85074</v>
      </c>
      <c r="AE65" s="100">
        <f t="shared" si="118"/>
        <v>70014</v>
      </c>
      <c r="AF65" s="100">
        <f t="shared" ref="AF65" si="119">P65</f>
        <v>49637</v>
      </c>
      <c r="AG65" s="100">
        <f t="shared" ref="AG65" si="120">Q65</f>
        <v>32385</v>
      </c>
      <c r="AH65" s="100">
        <f t="shared" ref="AH65" si="121">R65</f>
        <v>101213</v>
      </c>
      <c r="AI65" s="100">
        <f t="shared" ref="AI65" si="122">S65</f>
        <v>147676</v>
      </c>
      <c r="AJ65" s="100">
        <f t="shared" ref="AJ65" si="123">T65</f>
        <v>149270</v>
      </c>
      <c r="AK65" s="11"/>
      <c r="AL65" s="77">
        <f t="shared" ref="AL65:AL70" si="124">SUM(AJ65/AF65)-1</f>
        <v>2.0072325080081392</v>
      </c>
    </row>
    <row r="66" spans="2:38" ht="12.75" customHeight="1">
      <c r="B66" s="123" t="s">
        <v>154</v>
      </c>
      <c r="C66" s="124">
        <v>315408</v>
      </c>
      <c r="D66" s="124">
        <v>401966</v>
      </c>
      <c r="E66" s="124">
        <v>382317</v>
      </c>
      <c r="F66" s="124">
        <v>429618</v>
      </c>
      <c r="G66" s="124">
        <v>383751</v>
      </c>
      <c r="H66" s="124">
        <v>436813</v>
      </c>
      <c r="J66" s="84">
        <v>566856</v>
      </c>
      <c r="K66" s="84">
        <v>479677</v>
      </c>
      <c r="L66" s="84">
        <v>429355</v>
      </c>
      <c r="M66" s="32">
        <f t="shared" si="116"/>
        <v>383751</v>
      </c>
      <c r="N66" s="84">
        <v>475653</v>
      </c>
      <c r="O66" s="84">
        <v>496985</v>
      </c>
      <c r="P66" s="84">
        <v>459558</v>
      </c>
      <c r="Q66" s="32">
        <f t="shared" si="117"/>
        <v>436813</v>
      </c>
      <c r="R66" s="84">
        <v>454521</v>
      </c>
      <c r="S66" s="84">
        <v>407473</v>
      </c>
      <c r="T66" s="84">
        <v>373096</v>
      </c>
      <c r="V66" s="100" t="e">
        <f>#REF!</f>
        <v>#REF!</v>
      </c>
      <c r="W66" s="100" t="e">
        <f>#REF!</f>
        <v>#REF!</v>
      </c>
      <c r="X66" s="100" t="e">
        <f>#REF!</f>
        <v>#REF!</v>
      </c>
      <c r="Y66" s="100" t="e">
        <f>#REF!</f>
        <v>#REF!</v>
      </c>
      <c r="Z66" s="100">
        <f t="shared" si="118"/>
        <v>566856</v>
      </c>
      <c r="AA66" s="100">
        <f t="shared" si="118"/>
        <v>479677</v>
      </c>
      <c r="AB66" s="100">
        <f t="shared" si="118"/>
        <v>429355</v>
      </c>
      <c r="AC66" s="100">
        <f t="shared" si="118"/>
        <v>383751</v>
      </c>
      <c r="AD66" s="100">
        <f t="shared" si="118"/>
        <v>475653</v>
      </c>
      <c r="AE66" s="100">
        <f t="shared" si="118"/>
        <v>496985</v>
      </c>
      <c r="AF66" s="100">
        <f t="shared" si="118"/>
        <v>459558</v>
      </c>
      <c r="AG66" s="100">
        <f t="shared" si="118"/>
        <v>436813</v>
      </c>
      <c r="AH66" s="100">
        <f t="shared" si="118"/>
        <v>454521</v>
      </c>
      <c r="AI66" s="100">
        <f t="shared" si="118"/>
        <v>407473</v>
      </c>
      <c r="AJ66" s="100">
        <f t="shared" si="118"/>
        <v>373096</v>
      </c>
      <c r="AK66" s="11"/>
      <c r="AL66" s="77">
        <f t="shared" si="124"/>
        <v>-0.18814164914983522</v>
      </c>
    </row>
    <row r="67" spans="2:38" ht="12.75" customHeight="1">
      <c r="B67" s="169" t="s">
        <v>164</v>
      </c>
      <c r="C67" s="124">
        <v>258852</v>
      </c>
      <c r="D67" s="124">
        <v>384197</v>
      </c>
      <c r="E67" s="124">
        <v>208948</v>
      </c>
      <c r="F67" s="124">
        <v>346888</v>
      </c>
      <c r="G67" s="124">
        <v>315580</v>
      </c>
      <c r="H67" s="124">
        <v>436532</v>
      </c>
      <c r="J67" s="84">
        <v>261724</v>
      </c>
      <c r="K67" s="84">
        <v>235579</v>
      </c>
      <c r="L67" s="84">
        <v>235868</v>
      </c>
      <c r="M67" s="32">
        <f t="shared" si="116"/>
        <v>315580</v>
      </c>
      <c r="N67" s="84">
        <v>156812</v>
      </c>
      <c r="O67" s="84">
        <v>142815</v>
      </c>
      <c r="P67" s="84">
        <v>1253376</v>
      </c>
      <c r="Q67" s="32">
        <f t="shared" si="117"/>
        <v>436532</v>
      </c>
      <c r="R67" s="84">
        <v>191572</v>
      </c>
      <c r="S67" s="84">
        <v>121190</v>
      </c>
      <c r="T67" s="84">
        <v>119226</v>
      </c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>
        <f t="shared" ref="AF67:AF68" si="125">P67</f>
        <v>1253376</v>
      </c>
      <c r="AG67" s="100">
        <f t="shared" ref="AG67:AG68" si="126">Q67</f>
        <v>436532</v>
      </c>
      <c r="AH67" s="100">
        <f t="shared" ref="AH67:AH68" si="127">R67</f>
        <v>191572</v>
      </c>
      <c r="AI67" s="100">
        <f t="shared" ref="AI67:AI68" si="128">S67</f>
        <v>121190</v>
      </c>
      <c r="AJ67" s="100">
        <f t="shared" ref="AJ67:AJ68" si="129">T67</f>
        <v>119226</v>
      </c>
      <c r="AK67" s="11"/>
      <c r="AL67" s="77"/>
    </row>
    <row r="68" spans="2:38" ht="12.75" customHeight="1">
      <c r="B68" s="123" t="s">
        <v>155</v>
      </c>
      <c r="C68" s="124">
        <v>120662</v>
      </c>
      <c r="D68" s="124">
        <v>133791</v>
      </c>
      <c r="E68" s="124">
        <v>158631</v>
      </c>
      <c r="F68" s="124">
        <v>188296</v>
      </c>
      <c r="G68" s="124">
        <v>224865</v>
      </c>
      <c r="H68" s="124">
        <v>257796</v>
      </c>
      <c r="J68" s="84">
        <v>195039</v>
      </c>
      <c r="K68" s="84">
        <v>201337</v>
      </c>
      <c r="L68" s="84">
        <v>210994</v>
      </c>
      <c r="M68" s="32">
        <f t="shared" si="116"/>
        <v>224865</v>
      </c>
      <c r="N68" s="84">
        <v>234062</v>
      </c>
      <c r="O68" s="84">
        <v>243528</v>
      </c>
      <c r="P68" s="84">
        <v>255942</v>
      </c>
      <c r="Q68" s="32">
        <f t="shared" si="117"/>
        <v>257796</v>
      </c>
      <c r="R68" s="84">
        <v>238685</v>
      </c>
      <c r="S68" s="84">
        <v>239633</v>
      </c>
      <c r="T68" s="84">
        <v>4201</v>
      </c>
      <c r="V68" s="100" t="e">
        <f>#REF!</f>
        <v>#REF!</v>
      </c>
      <c r="W68" s="100" t="e">
        <f>#REF!</f>
        <v>#REF!</v>
      </c>
      <c r="X68" s="100" t="e">
        <f>#REF!</f>
        <v>#REF!</v>
      </c>
      <c r="Y68" s="100" t="e">
        <f>#REF!</f>
        <v>#REF!</v>
      </c>
      <c r="Z68" s="100">
        <f t="shared" si="118"/>
        <v>195039</v>
      </c>
      <c r="AA68" s="100">
        <f t="shared" si="118"/>
        <v>201337</v>
      </c>
      <c r="AB68" s="100">
        <f t="shared" si="118"/>
        <v>210994</v>
      </c>
      <c r="AC68" s="100">
        <f t="shared" si="118"/>
        <v>224865</v>
      </c>
      <c r="AD68" s="100">
        <f t="shared" si="118"/>
        <v>234062</v>
      </c>
      <c r="AE68" s="100">
        <f t="shared" si="118"/>
        <v>243528</v>
      </c>
      <c r="AF68" s="100">
        <f t="shared" si="125"/>
        <v>255942</v>
      </c>
      <c r="AG68" s="100">
        <f t="shared" si="126"/>
        <v>257796</v>
      </c>
      <c r="AH68" s="100">
        <f t="shared" si="127"/>
        <v>238685</v>
      </c>
      <c r="AI68" s="100">
        <f t="shared" si="128"/>
        <v>239633</v>
      </c>
      <c r="AJ68" s="100">
        <f t="shared" si="129"/>
        <v>4201</v>
      </c>
      <c r="AK68" s="11"/>
      <c r="AL68" s="77">
        <f t="shared" si="124"/>
        <v>-0.98358612498144116</v>
      </c>
    </row>
    <row r="69" spans="2:38" ht="12.75" customHeight="1">
      <c r="B69" s="123" t="s">
        <v>156</v>
      </c>
      <c r="C69" s="124">
        <v>373521</v>
      </c>
      <c r="D69" s="124">
        <v>393614</v>
      </c>
      <c r="E69" s="124">
        <v>480754</v>
      </c>
      <c r="F69" s="124">
        <v>556330</v>
      </c>
      <c r="G69" s="124">
        <v>705298</v>
      </c>
      <c r="H69" s="124">
        <v>605839</v>
      </c>
      <c r="J69" s="84">
        <v>675944</v>
      </c>
      <c r="K69" s="84">
        <v>693211</v>
      </c>
      <c r="L69" s="84">
        <v>638286</v>
      </c>
      <c r="M69" s="32">
        <f t="shared" si="116"/>
        <v>705298</v>
      </c>
      <c r="N69" s="84">
        <v>577433</v>
      </c>
      <c r="O69" s="84">
        <v>557806</v>
      </c>
      <c r="P69" s="84">
        <v>521690</v>
      </c>
      <c r="Q69" s="32">
        <f t="shared" si="117"/>
        <v>605839</v>
      </c>
      <c r="R69" s="84">
        <v>591357</v>
      </c>
      <c r="S69" s="84">
        <v>537556</v>
      </c>
      <c r="T69" s="84">
        <v>364383</v>
      </c>
      <c r="V69" s="100" t="e">
        <f>#REF!</f>
        <v>#REF!</v>
      </c>
      <c r="W69" s="100" t="e">
        <f>#REF!</f>
        <v>#REF!</v>
      </c>
      <c r="X69" s="100" t="e">
        <f>#REF!</f>
        <v>#REF!</v>
      </c>
      <c r="Y69" s="100" t="e">
        <f>#REF!</f>
        <v>#REF!</v>
      </c>
      <c r="Z69" s="100">
        <f t="shared" si="118"/>
        <v>675944</v>
      </c>
      <c r="AA69" s="100">
        <f t="shared" si="118"/>
        <v>693211</v>
      </c>
      <c r="AB69" s="100">
        <f t="shared" si="118"/>
        <v>638286</v>
      </c>
      <c r="AC69" s="100">
        <f t="shared" si="118"/>
        <v>705298</v>
      </c>
      <c r="AD69" s="100">
        <f t="shared" si="118"/>
        <v>577433</v>
      </c>
      <c r="AE69" s="100">
        <f t="shared" si="118"/>
        <v>557806</v>
      </c>
      <c r="AF69" s="100">
        <f t="shared" si="118"/>
        <v>521690</v>
      </c>
      <c r="AG69" s="100">
        <f t="shared" si="118"/>
        <v>605839</v>
      </c>
      <c r="AH69" s="100">
        <f t="shared" si="118"/>
        <v>591357</v>
      </c>
      <c r="AI69" s="100">
        <f t="shared" si="118"/>
        <v>537556</v>
      </c>
      <c r="AJ69" s="100">
        <f t="shared" si="118"/>
        <v>364383</v>
      </c>
      <c r="AK69" s="11"/>
      <c r="AL69" s="77">
        <f t="shared" si="124"/>
        <v>-0.30153347773582018</v>
      </c>
    </row>
    <row r="70" spans="2:38" ht="12.75" customHeight="1">
      <c r="B70" s="25" t="s">
        <v>19</v>
      </c>
      <c r="C70" s="26">
        <f>SUM(C65:C69)</f>
        <v>1112044</v>
      </c>
      <c r="D70" s="26">
        <f>SUM(D65:D69)</f>
        <v>1342022</v>
      </c>
      <c r="E70" s="26">
        <f>SUM(E65:E69)</f>
        <v>1275602</v>
      </c>
      <c r="F70" s="26">
        <f>SUM(F65:F69)</f>
        <v>1596581</v>
      </c>
      <c r="G70" s="26">
        <f>SUM(G65:G69)</f>
        <v>1671592</v>
      </c>
      <c r="H70" s="26">
        <f>SUM(H65:H69)</f>
        <v>1769365</v>
      </c>
      <c r="J70" s="26">
        <f>SUM(J65:J69)</f>
        <v>1752609</v>
      </c>
      <c r="K70" s="26">
        <f>SUM(K65:K69)</f>
        <v>1685962</v>
      </c>
      <c r="L70" s="26">
        <f>SUM(L65:L69)</f>
        <v>1600800</v>
      </c>
      <c r="M70" s="26">
        <f>SUM(M65:M69)</f>
        <v>1671592</v>
      </c>
      <c r="N70" s="26">
        <f>SUM(N65:N69)</f>
        <v>1529034</v>
      </c>
      <c r="O70" s="26">
        <f>SUM(O65:O69)</f>
        <v>1511148</v>
      </c>
      <c r="P70" s="26">
        <f>SUM(P65:P69)</f>
        <v>2540203</v>
      </c>
      <c r="Q70" s="26">
        <f>SUM(Q65:Q69)</f>
        <v>1769365</v>
      </c>
      <c r="R70" s="26">
        <f>SUM(R65:R69)</f>
        <v>1577348</v>
      </c>
      <c r="S70" s="26">
        <f>SUM(S65:S69)</f>
        <v>1453528</v>
      </c>
      <c r="T70" s="26">
        <f>SUM(T65:T69)</f>
        <v>1010176</v>
      </c>
      <c r="U70" s="49"/>
      <c r="V70" s="26" t="e">
        <f>SUM(V65:V69)</f>
        <v>#REF!</v>
      </c>
      <c r="W70" s="26" t="e">
        <f>SUM(W65:W69)</f>
        <v>#REF!</v>
      </c>
      <c r="X70" s="26" t="e">
        <f>SUM(X65:X69)</f>
        <v>#REF!</v>
      </c>
      <c r="Y70" s="26" t="e">
        <f>SUM(Y65:Y69)</f>
        <v>#REF!</v>
      </c>
      <c r="Z70" s="26">
        <f>SUM(Z65:Z69)</f>
        <v>1490885</v>
      </c>
      <c r="AA70" s="26">
        <f>SUM(AA65:AA69)</f>
        <v>1450383</v>
      </c>
      <c r="AB70" s="26">
        <f>SUM(AB65:AB69)</f>
        <v>1364932</v>
      </c>
      <c r="AC70" s="26">
        <f>SUM(AC65:AC69)</f>
        <v>1356012</v>
      </c>
      <c r="AD70" s="26">
        <f>SUM(AD65:AD69)</f>
        <v>1372222</v>
      </c>
      <c r="AE70" s="26">
        <f>SUM(AE65:AE69)</f>
        <v>1368333</v>
      </c>
      <c r="AF70" s="26">
        <f>SUM(AF65:AF69)</f>
        <v>2540203</v>
      </c>
      <c r="AG70" s="26">
        <f>SUM(AG65:AG69)</f>
        <v>1769365</v>
      </c>
      <c r="AH70" s="26">
        <f>SUM(AH65:AH69)</f>
        <v>1577348</v>
      </c>
      <c r="AI70" s="26">
        <f>SUM(AI65:AI69)</f>
        <v>1453528</v>
      </c>
      <c r="AJ70" s="26">
        <f>SUM(AJ65:AJ69)</f>
        <v>1010176</v>
      </c>
      <c r="AK70" s="42"/>
      <c r="AL70" s="78">
        <f t="shared" si="124"/>
        <v>-0.60232469609712291</v>
      </c>
    </row>
    <row r="71" spans="2:38" ht="5.0999999999999996" customHeight="1">
      <c r="B71" s="25"/>
      <c r="C71" s="51"/>
      <c r="D71" s="51"/>
      <c r="E71" s="51"/>
      <c r="F71" s="51"/>
      <c r="G71" s="41"/>
      <c r="H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39"/>
    </row>
    <row r="72" spans="2:38">
      <c r="B72" s="80" t="s">
        <v>90</v>
      </c>
      <c r="C72" s="51"/>
      <c r="D72" s="51"/>
      <c r="E72" s="51"/>
      <c r="F72" s="51"/>
      <c r="G72" s="41"/>
      <c r="H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39"/>
    </row>
    <row r="73" spans="2:38" ht="12.75" customHeight="1">
      <c r="B73" s="169" t="s">
        <v>165</v>
      </c>
      <c r="C73" s="124">
        <v>1960453</v>
      </c>
      <c r="D73" s="124">
        <v>3066635</v>
      </c>
      <c r="E73" s="124">
        <v>2975823</v>
      </c>
      <c r="F73" s="124">
        <v>3200376</v>
      </c>
      <c r="G73" s="124">
        <v>3055221</v>
      </c>
      <c r="H73" s="124">
        <v>1761215</v>
      </c>
      <c r="I73" s="52"/>
      <c r="J73" s="84">
        <v>3164061</v>
      </c>
      <c r="K73" s="84">
        <v>3081192</v>
      </c>
      <c r="L73" s="84">
        <v>3043391</v>
      </c>
      <c r="M73" s="32">
        <f>G73</f>
        <v>3055221</v>
      </c>
      <c r="N73" s="84">
        <v>3175555</v>
      </c>
      <c r="O73" s="84">
        <v>3124079</v>
      </c>
      <c r="P73" s="84">
        <v>1986735</v>
      </c>
      <c r="Q73" s="32">
        <f t="shared" ref="Q73:Q76" si="130">H73</f>
        <v>1761215</v>
      </c>
      <c r="R73" s="84">
        <v>2231335</v>
      </c>
      <c r="S73" s="84">
        <v>2242448</v>
      </c>
      <c r="T73" s="84">
        <v>750205</v>
      </c>
      <c r="U73" s="124"/>
      <c r="V73" s="100" t="e">
        <f>#REF!</f>
        <v>#REF!</v>
      </c>
      <c r="W73" s="100" t="e">
        <f>#REF!</f>
        <v>#REF!</v>
      </c>
      <c r="X73" s="100" t="e">
        <f>#REF!</f>
        <v>#REF!</v>
      </c>
      <c r="Y73" s="100" t="e">
        <f>#REF!</f>
        <v>#REF!</v>
      </c>
      <c r="Z73" s="100">
        <f t="shared" ref="Z73:AE76" si="131">J73</f>
        <v>3164061</v>
      </c>
      <c r="AA73" s="100">
        <f t="shared" si="131"/>
        <v>3081192</v>
      </c>
      <c r="AB73" s="100">
        <f t="shared" si="131"/>
        <v>3043391</v>
      </c>
      <c r="AC73" s="100">
        <f t="shared" si="131"/>
        <v>3055221</v>
      </c>
      <c r="AD73" s="100">
        <f t="shared" si="131"/>
        <v>3175555</v>
      </c>
      <c r="AE73" s="100">
        <f t="shared" si="131"/>
        <v>3124079</v>
      </c>
      <c r="AF73" s="100">
        <f t="shared" ref="AF73:AF76" si="132">P73</f>
        <v>1986735</v>
      </c>
      <c r="AG73" s="100">
        <f t="shared" ref="AG73:AG76" si="133">Q73</f>
        <v>1761215</v>
      </c>
      <c r="AH73" s="100">
        <f t="shared" ref="AH73:AH76" si="134">R73</f>
        <v>2231335</v>
      </c>
      <c r="AI73" s="100">
        <f t="shared" ref="AI73:AI76" si="135">S73</f>
        <v>2242448</v>
      </c>
      <c r="AJ73" s="100">
        <f t="shared" ref="AJ73:AJ76" si="136">T73</f>
        <v>750205</v>
      </c>
      <c r="AK73" s="42"/>
      <c r="AL73" s="77">
        <f t="shared" ref="AL73:AL86" si="137">SUM(AJ73/AF73)-1</f>
        <v>-0.62239302171653499</v>
      </c>
    </row>
    <row r="74" spans="2:38" ht="12.75" customHeight="1">
      <c r="B74" s="123" t="s">
        <v>157</v>
      </c>
      <c r="C74" s="124">
        <v>1218014</v>
      </c>
      <c r="D74" s="124">
        <v>1248519</v>
      </c>
      <c r="E74" s="124">
        <v>1751351</v>
      </c>
      <c r="F74" s="124">
        <v>2455619</v>
      </c>
      <c r="G74" s="124">
        <v>3298871</v>
      </c>
      <c r="H74" s="124">
        <v>4335106</v>
      </c>
      <c r="I74" s="52"/>
      <c r="J74" s="84">
        <v>2605011</v>
      </c>
      <c r="K74" s="84">
        <v>2793437</v>
      </c>
      <c r="L74" s="84">
        <v>3108399</v>
      </c>
      <c r="M74" s="32">
        <f t="shared" ref="M74" si="138">G74</f>
        <v>3298871</v>
      </c>
      <c r="N74" s="84">
        <v>3593771</v>
      </c>
      <c r="O74" s="84">
        <v>3895269</v>
      </c>
      <c r="P74" s="84">
        <v>4267577</v>
      </c>
      <c r="Q74" s="32">
        <f t="shared" si="130"/>
        <v>4335106</v>
      </c>
      <c r="R74" s="84">
        <v>4200013</v>
      </c>
      <c r="S74" s="84">
        <v>4228832</v>
      </c>
      <c r="T74" s="84">
        <v>18426</v>
      </c>
      <c r="U74" s="124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>
        <f t="shared" si="132"/>
        <v>4267577</v>
      </c>
      <c r="AG74" s="100">
        <f t="shared" si="133"/>
        <v>4335106</v>
      </c>
      <c r="AH74" s="100">
        <f t="shared" si="134"/>
        <v>4200013</v>
      </c>
      <c r="AI74" s="100">
        <f t="shared" si="135"/>
        <v>4228832</v>
      </c>
      <c r="AJ74" s="100">
        <f t="shared" si="136"/>
        <v>18426</v>
      </c>
      <c r="AK74" s="42"/>
      <c r="AL74" s="77"/>
    </row>
    <row r="75" spans="2:38" ht="12.75" customHeight="1">
      <c r="B75" s="123" t="s">
        <v>94</v>
      </c>
      <c r="C75" s="124">
        <v>469292</v>
      </c>
      <c r="D75" s="124">
        <v>439894</v>
      </c>
      <c r="E75" s="124">
        <v>375472</v>
      </c>
      <c r="F75" s="124">
        <v>226843</v>
      </c>
      <c r="G75" s="124">
        <v>107761</v>
      </c>
      <c r="H75" s="124">
        <v>51927</v>
      </c>
      <c r="I75" s="52"/>
      <c r="J75" s="84">
        <v>189054</v>
      </c>
      <c r="K75" s="84">
        <v>205796</v>
      </c>
      <c r="L75" s="84">
        <v>160054</v>
      </c>
      <c r="M75" s="32">
        <f t="shared" ref="M75:M77" si="139">G75</f>
        <v>107761</v>
      </c>
      <c r="N75" s="84">
        <v>92783</v>
      </c>
      <c r="O75" s="84">
        <v>96450</v>
      </c>
      <c r="P75" s="84">
        <v>71639</v>
      </c>
      <c r="Q75" s="32">
        <f t="shared" si="130"/>
        <v>51927</v>
      </c>
      <c r="R75" s="84">
        <v>69305</v>
      </c>
      <c r="S75" s="84">
        <v>64757</v>
      </c>
      <c r="T75" s="84">
        <v>65988</v>
      </c>
      <c r="U75" s="124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>
        <f t="shared" si="132"/>
        <v>71639</v>
      </c>
      <c r="AG75" s="100">
        <f t="shared" si="133"/>
        <v>51927</v>
      </c>
      <c r="AH75" s="100">
        <f t="shared" si="134"/>
        <v>69305</v>
      </c>
      <c r="AI75" s="100">
        <f t="shared" si="135"/>
        <v>64757</v>
      </c>
      <c r="AJ75" s="100">
        <f t="shared" si="136"/>
        <v>65988</v>
      </c>
      <c r="AK75" s="42"/>
      <c r="AL75" s="77"/>
    </row>
    <row r="76" spans="2:38" ht="12.75" customHeight="1">
      <c r="B76" s="123" t="s">
        <v>158</v>
      </c>
      <c r="C76" s="124">
        <v>22277</v>
      </c>
      <c r="D76" s="124">
        <v>52060</v>
      </c>
      <c r="E76" s="124">
        <v>47742</v>
      </c>
      <c r="F76" s="124">
        <v>133704</v>
      </c>
      <c r="G76" s="124">
        <v>149450</v>
      </c>
      <c r="H76" s="124">
        <v>122595</v>
      </c>
      <c r="I76" s="52"/>
      <c r="J76" s="84">
        <v>141736</v>
      </c>
      <c r="K76" s="84">
        <v>134668</v>
      </c>
      <c r="L76" s="84">
        <v>132861</v>
      </c>
      <c r="M76" s="32">
        <f t="shared" si="139"/>
        <v>149450</v>
      </c>
      <c r="N76" s="84">
        <v>133095</v>
      </c>
      <c r="O76" s="84">
        <v>122848</v>
      </c>
      <c r="P76" s="84">
        <v>123146</v>
      </c>
      <c r="Q76" s="32">
        <f t="shared" si="130"/>
        <v>122595</v>
      </c>
      <c r="R76" s="84">
        <v>108704</v>
      </c>
      <c r="S76" s="84">
        <v>107277</v>
      </c>
      <c r="T76" s="84">
        <v>94286</v>
      </c>
      <c r="U76" s="124"/>
      <c r="V76" s="100" t="e">
        <f>#REF!</f>
        <v>#REF!</v>
      </c>
      <c r="W76" s="100" t="e">
        <f>#REF!</f>
        <v>#REF!</v>
      </c>
      <c r="X76" s="100" t="e">
        <f>#REF!</f>
        <v>#REF!</v>
      </c>
      <c r="Y76" s="100" t="e">
        <f>#REF!</f>
        <v>#REF!</v>
      </c>
      <c r="Z76" s="100">
        <f t="shared" si="131"/>
        <v>141736</v>
      </c>
      <c r="AA76" s="100">
        <f t="shared" si="131"/>
        <v>134668</v>
      </c>
      <c r="AB76" s="100">
        <f t="shared" si="131"/>
        <v>132861</v>
      </c>
      <c r="AC76" s="100">
        <f t="shared" si="131"/>
        <v>149450</v>
      </c>
      <c r="AD76" s="100">
        <f t="shared" si="131"/>
        <v>133095</v>
      </c>
      <c r="AE76" s="100">
        <f t="shared" si="131"/>
        <v>122848</v>
      </c>
      <c r="AF76" s="100">
        <f t="shared" si="132"/>
        <v>123146</v>
      </c>
      <c r="AG76" s="100">
        <f t="shared" si="133"/>
        <v>122595</v>
      </c>
      <c r="AH76" s="100">
        <f t="shared" si="134"/>
        <v>108704</v>
      </c>
      <c r="AI76" s="100">
        <f t="shared" si="135"/>
        <v>107277</v>
      </c>
      <c r="AJ76" s="100">
        <f t="shared" si="136"/>
        <v>94286</v>
      </c>
      <c r="AK76" s="42"/>
      <c r="AL76" s="77">
        <f t="shared" si="137"/>
        <v>-0.23435596771312106</v>
      </c>
    </row>
    <row r="77" spans="2:38" ht="12.75" customHeight="1">
      <c r="B77" s="123" t="s">
        <v>163</v>
      </c>
      <c r="C77" s="124">
        <v>0</v>
      </c>
      <c r="D77" s="124">
        <v>0</v>
      </c>
      <c r="E77" s="124">
        <v>0</v>
      </c>
      <c r="F77" s="124">
        <v>0</v>
      </c>
      <c r="G77" s="124">
        <v>0</v>
      </c>
      <c r="H77" s="124">
        <v>1635104</v>
      </c>
      <c r="I77" s="52"/>
      <c r="J77" s="84">
        <v>0</v>
      </c>
      <c r="K77" s="84">
        <v>0</v>
      </c>
      <c r="L77" s="84">
        <v>0</v>
      </c>
      <c r="M77" s="32">
        <f t="shared" si="139"/>
        <v>0</v>
      </c>
      <c r="N77" s="84">
        <v>0</v>
      </c>
      <c r="O77" s="84">
        <v>0</v>
      </c>
      <c r="P77" s="84">
        <v>0</v>
      </c>
      <c r="Q77" s="32">
        <f>H77</f>
        <v>1635104</v>
      </c>
      <c r="R77" s="84">
        <v>0</v>
      </c>
      <c r="S77" s="84">
        <v>0</v>
      </c>
      <c r="T77" s="84">
        <v>6691470</v>
      </c>
      <c r="U77" s="124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>
        <f t="shared" ref="AF77" si="140">P77</f>
        <v>0</v>
      </c>
      <c r="AG77" s="100">
        <f t="shared" ref="AG77" si="141">Q77</f>
        <v>1635104</v>
      </c>
      <c r="AH77" s="100">
        <f t="shared" ref="AH77" si="142">R77</f>
        <v>0</v>
      </c>
      <c r="AI77" s="100">
        <f t="shared" ref="AI77" si="143">S77</f>
        <v>0</v>
      </c>
      <c r="AJ77" s="100">
        <f t="shared" ref="AJ77" si="144">T77</f>
        <v>6691470</v>
      </c>
      <c r="AK77" s="42"/>
      <c r="AL77" s="77"/>
    </row>
    <row r="78" spans="2:38" ht="12.75" customHeight="1">
      <c r="B78" s="13" t="s">
        <v>17</v>
      </c>
      <c r="C78" s="14">
        <f>SUM(C73:C77)+C70</f>
        <v>4782080</v>
      </c>
      <c r="D78" s="14">
        <f>SUM(D73:D77)+D70</f>
        <v>6149130</v>
      </c>
      <c r="E78" s="14">
        <f>SUM(E73:E77)+E70</f>
        <v>6425990</v>
      </c>
      <c r="F78" s="14">
        <f>SUM(F73:F77)+F70</f>
        <v>7613123</v>
      </c>
      <c r="G78" s="14">
        <f>SUM(G73:G77)+G70</f>
        <v>8282895</v>
      </c>
      <c r="H78" s="14">
        <f>SUM(H73:H77)+H70</f>
        <v>9675312</v>
      </c>
      <c r="J78" s="14">
        <f>SUM(J73:J77)+J70</f>
        <v>7852471</v>
      </c>
      <c r="K78" s="14">
        <f>SUM(K73:K77)+K70</f>
        <v>7901055</v>
      </c>
      <c r="L78" s="14">
        <f>SUM(L73:L77)+L70</f>
        <v>8045505</v>
      </c>
      <c r="M78" s="14">
        <f>SUM(M73:M77)+M70</f>
        <v>8282895</v>
      </c>
      <c r="N78" s="14">
        <f>SUM(N73:N77)+N70</f>
        <v>8524238</v>
      </c>
      <c r="O78" s="14">
        <f>SUM(O73:O77)+O70</f>
        <v>8749794</v>
      </c>
      <c r="P78" s="14">
        <f>SUM(P73:P77)+P70</f>
        <v>8989300</v>
      </c>
      <c r="Q78" s="14">
        <f>SUM(Q73:Q77)+Q70</f>
        <v>9675312</v>
      </c>
      <c r="R78" s="14">
        <f>SUM(R73:R77)+R70</f>
        <v>8186705</v>
      </c>
      <c r="S78" s="14">
        <f>SUM(S73:S77)+S70</f>
        <v>8096842</v>
      </c>
      <c r="T78" s="14">
        <f>SUM(T73:T77)+T70</f>
        <v>8630551</v>
      </c>
      <c r="U78" s="124"/>
      <c r="V78" s="14" t="e">
        <f>SUM(V73:V77)+V70</f>
        <v>#REF!</v>
      </c>
      <c r="W78" s="14" t="e">
        <f>SUM(W73:W77)+W70</f>
        <v>#REF!</v>
      </c>
      <c r="X78" s="14" t="e">
        <f>SUM(X73:X77)+X70</f>
        <v>#REF!</v>
      </c>
      <c r="Y78" s="14" t="e">
        <f>SUM(Y73:Y77)+Y70</f>
        <v>#REF!</v>
      </c>
      <c r="Z78" s="14">
        <f>SUM(Z73:Z77)+Z70</f>
        <v>4796682</v>
      </c>
      <c r="AA78" s="14">
        <f>SUM(AA73:AA77)+AA70</f>
        <v>4666243</v>
      </c>
      <c r="AB78" s="14">
        <f>SUM(AB73:AB77)+AB70</f>
        <v>4541184</v>
      </c>
      <c r="AC78" s="14">
        <f>SUM(AC73:AC77)+AC70</f>
        <v>4560683</v>
      </c>
      <c r="AD78" s="14">
        <f>SUM(AD73:AD77)+AD70</f>
        <v>4680872</v>
      </c>
      <c r="AE78" s="14">
        <f>SUM(AE73:AE77)+AE70</f>
        <v>4615260</v>
      </c>
      <c r="AF78" s="14">
        <f>SUM(AF73:AF77)+AF70</f>
        <v>8989300</v>
      </c>
      <c r="AG78" s="14">
        <f>SUM(AG73:AG77)+AG70</f>
        <v>9675312</v>
      </c>
      <c r="AH78" s="14">
        <f>SUM(AH73:AH77)+AH70</f>
        <v>8186705</v>
      </c>
      <c r="AI78" s="14">
        <f>SUM(AI73:AI77)+AI70</f>
        <v>8096842</v>
      </c>
      <c r="AJ78" s="14">
        <f>SUM(AJ73:AJ77)+AJ70</f>
        <v>8630551</v>
      </c>
      <c r="AK78" s="42"/>
      <c r="AL78" s="78">
        <f t="shared" si="137"/>
        <v>-3.9908446708864953E-2</v>
      </c>
    </row>
    <row r="79" spans="2:38" ht="5.0999999999999996" customHeight="1">
      <c r="B79" s="25"/>
      <c r="C79" s="50"/>
      <c r="D79" s="50"/>
      <c r="E79" s="50"/>
      <c r="F79" s="50"/>
      <c r="G79" s="41"/>
      <c r="H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39"/>
    </row>
    <row r="80" spans="2:38" ht="12.75" customHeight="1">
      <c r="B80" s="9" t="s">
        <v>20</v>
      </c>
      <c r="C80" s="84">
        <v>7</v>
      </c>
      <c r="D80" s="84">
        <v>10</v>
      </c>
      <c r="E80" s="84">
        <v>11</v>
      </c>
      <c r="F80" s="84">
        <v>11</v>
      </c>
      <c r="G80" s="84">
        <v>11</v>
      </c>
      <c r="H80" s="84">
        <v>11</v>
      </c>
      <c r="I80" s="32"/>
      <c r="J80" s="84">
        <v>11</v>
      </c>
      <c r="K80" s="84">
        <v>11</v>
      </c>
      <c r="L80" s="84">
        <v>11</v>
      </c>
      <c r="M80" s="32">
        <f t="shared" ref="M80:M84" si="145">G80</f>
        <v>11</v>
      </c>
      <c r="N80" s="84">
        <v>11</v>
      </c>
      <c r="O80" s="84">
        <v>11</v>
      </c>
      <c r="P80" s="84">
        <v>11</v>
      </c>
      <c r="Q80" s="32">
        <f t="shared" ref="Q80:Q84" si="146">H80</f>
        <v>11</v>
      </c>
      <c r="R80" s="84">
        <v>2</v>
      </c>
      <c r="S80" s="84">
        <v>2</v>
      </c>
      <c r="T80" s="84">
        <v>3</v>
      </c>
      <c r="V80" s="32" t="e">
        <f>#REF!</f>
        <v>#REF!</v>
      </c>
      <c r="W80" s="32" t="e">
        <f>#REF!</f>
        <v>#REF!</v>
      </c>
      <c r="X80" s="32" t="e">
        <f>#REF!</f>
        <v>#REF!</v>
      </c>
      <c r="Y80" s="32" t="e">
        <f>#REF!</f>
        <v>#REF!</v>
      </c>
      <c r="Z80" s="32">
        <f t="shared" ref="Z80:AJ84" si="147">J80</f>
        <v>11</v>
      </c>
      <c r="AA80" s="32">
        <f t="shared" si="147"/>
        <v>11</v>
      </c>
      <c r="AB80" s="32">
        <f t="shared" si="147"/>
        <v>11</v>
      </c>
      <c r="AC80" s="32">
        <f t="shared" si="147"/>
        <v>11</v>
      </c>
      <c r="AD80" s="32">
        <f t="shared" si="147"/>
        <v>11</v>
      </c>
      <c r="AE80" s="32">
        <f t="shared" si="147"/>
        <v>11</v>
      </c>
      <c r="AF80" s="32">
        <f t="shared" ref="AF80:AF81" si="148">P80</f>
        <v>11</v>
      </c>
      <c r="AG80" s="32">
        <f t="shared" ref="AG80:AG81" si="149">Q80</f>
        <v>11</v>
      </c>
      <c r="AH80" s="32">
        <f t="shared" ref="AH80:AH81" si="150">R80</f>
        <v>2</v>
      </c>
      <c r="AI80" s="32">
        <f t="shared" ref="AI80:AI81" si="151">S80</f>
        <v>2</v>
      </c>
      <c r="AJ80" s="32">
        <f t="shared" ref="AJ80:AJ81" si="152">T80</f>
        <v>3</v>
      </c>
      <c r="AK80" s="11"/>
      <c r="AL80" s="77">
        <f t="shared" si="137"/>
        <v>-0.72727272727272729</v>
      </c>
    </row>
    <row r="81" spans="1:38" ht="12.75" customHeight="1">
      <c r="B81" s="9" t="s">
        <v>159</v>
      </c>
      <c r="C81" s="84">
        <v>379380</v>
      </c>
      <c r="D81" s="84">
        <v>799549</v>
      </c>
      <c r="E81" s="84">
        <v>1131826</v>
      </c>
      <c r="F81" s="84">
        <v>1146015</v>
      </c>
      <c r="G81" s="84">
        <v>1158278</v>
      </c>
      <c r="H81" s="84">
        <v>1173692</v>
      </c>
      <c r="I81" s="32"/>
      <c r="J81" s="84">
        <v>1149588</v>
      </c>
      <c r="K81" s="84">
        <v>1153068</v>
      </c>
      <c r="L81" s="84">
        <v>1155637</v>
      </c>
      <c r="M81" s="32">
        <f t="shared" si="145"/>
        <v>1158278</v>
      </c>
      <c r="N81" s="84">
        <v>1169562</v>
      </c>
      <c r="O81" s="84">
        <v>1169904</v>
      </c>
      <c r="P81" s="84">
        <v>1171856</v>
      </c>
      <c r="Q81" s="32">
        <f t="shared" si="146"/>
        <v>1173692</v>
      </c>
      <c r="R81" s="84">
        <v>734368</v>
      </c>
      <c r="S81" s="84">
        <v>736212</v>
      </c>
      <c r="T81" s="84">
        <v>738733</v>
      </c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>
        <f t="shared" si="148"/>
        <v>1171856</v>
      </c>
      <c r="AG81" s="32">
        <f t="shared" si="149"/>
        <v>1173692</v>
      </c>
      <c r="AH81" s="32">
        <f t="shared" si="150"/>
        <v>734368</v>
      </c>
      <c r="AI81" s="32">
        <f t="shared" si="151"/>
        <v>736212</v>
      </c>
      <c r="AJ81" s="32">
        <f t="shared" si="152"/>
        <v>738733</v>
      </c>
      <c r="AK81" s="11"/>
      <c r="AL81" s="77"/>
    </row>
    <row r="82" spans="1:38" ht="12.75" customHeight="1">
      <c r="B82" s="9" t="s">
        <v>160</v>
      </c>
      <c r="C82" s="84">
        <v>-72455</v>
      </c>
      <c r="D82" s="84">
        <v>-74124</v>
      </c>
      <c r="E82" s="84">
        <v>-75639</v>
      </c>
      <c r="F82" s="84">
        <v>-77998</v>
      </c>
      <c r="G82" s="84">
        <v>-80635</v>
      </c>
      <c r="H82" s="84">
        <v>-81285</v>
      </c>
      <c r="I82" s="32"/>
      <c r="J82" s="84">
        <v>-79671</v>
      </c>
      <c r="K82" s="84">
        <v>-79672</v>
      </c>
      <c r="L82" s="84">
        <v>-79706</v>
      </c>
      <c r="M82" s="32">
        <f t="shared" si="145"/>
        <v>-80635</v>
      </c>
      <c r="N82" s="84">
        <v>-81271</v>
      </c>
      <c r="O82" s="84">
        <v>-81280</v>
      </c>
      <c r="P82" s="84">
        <v>-81284</v>
      </c>
      <c r="Q82" s="32">
        <f t="shared" si="146"/>
        <v>-81285</v>
      </c>
      <c r="R82" s="84">
        <v>0</v>
      </c>
      <c r="S82" s="84">
        <v>0</v>
      </c>
      <c r="T82" s="84">
        <v>0</v>
      </c>
      <c r="V82" s="32" t="e">
        <f>#REF!</f>
        <v>#REF!</v>
      </c>
      <c r="W82" s="32" t="e">
        <f>#REF!</f>
        <v>#REF!</v>
      </c>
      <c r="X82" s="32" t="e">
        <f>#REF!</f>
        <v>#REF!</v>
      </c>
      <c r="Y82" s="32" t="e">
        <f>#REF!</f>
        <v>#REF!</v>
      </c>
      <c r="Z82" s="32">
        <f t="shared" si="147"/>
        <v>-79671</v>
      </c>
      <c r="AA82" s="32">
        <f t="shared" si="147"/>
        <v>-79672</v>
      </c>
      <c r="AB82" s="32">
        <f t="shared" si="147"/>
        <v>-79706</v>
      </c>
      <c r="AC82" s="32">
        <f t="shared" si="147"/>
        <v>-80635</v>
      </c>
      <c r="AD82" s="32">
        <f t="shared" si="147"/>
        <v>-81271</v>
      </c>
      <c r="AE82" s="32">
        <f t="shared" si="147"/>
        <v>-81280</v>
      </c>
      <c r="AF82" s="32">
        <f t="shared" si="147"/>
        <v>-81284</v>
      </c>
      <c r="AG82" s="32">
        <f t="shared" si="147"/>
        <v>-81285</v>
      </c>
      <c r="AH82" s="32">
        <f t="shared" si="147"/>
        <v>0</v>
      </c>
      <c r="AI82" s="32">
        <f t="shared" si="147"/>
        <v>0</v>
      </c>
      <c r="AJ82" s="32">
        <f t="shared" si="147"/>
        <v>0</v>
      </c>
      <c r="AK82" s="11"/>
      <c r="AL82" s="77">
        <f t="shared" si="137"/>
        <v>-1</v>
      </c>
    </row>
    <row r="83" spans="1:38" ht="12.75" customHeight="1">
      <c r="B83" s="9" t="s">
        <v>95</v>
      </c>
      <c r="C83" s="84">
        <v>1955187</v>
      </c>
      <c r="D83" s="84">
        <v>1524878</v>
      </c>
      <c r="E83" s="84">
        <v>1058369</v>
      </c>
      <c r="F83" s="84">
        <v>504219</v>
      </c>
      <c r="G83" s="84">
        <v>56755</v>
      </c>
      <c r="H83" s="84">
        <v>-1172740</v>
      </c>
      <c r="I83" s="32"/>
      <c r="J83" s="84">
        <v>400308</v>
      </c>
      <c r="K83" s="84">
        <v>397959</v>
      </c>
      <c r="L83" s="84">
        <v>240407</v>
      </c>
      <c r="M83" s="32">
        <f t="shared" si="145"/>
        <v>56755</v>
      </c>
      <c r="N83" s="84">
        <v>-85880</v>
      </c>
      <c r="O83" s="84">
        <v>-278807</v>
      </c>
      <c r="P83" s="84">
        <v>-587050</v>
      </c>
      <c r="Q83" s="32">
        <f t="shared" si="146"/>
        <v>-1172740</v>
      </c>
      <c r="R83" s="84">
        <v>-10936</v>
      </c>
      <c r="S83" s="84">
        <v>-256767</v>
      </c>
      <c r="T83" s="84">
        <v>-574243</v>
      </c>
      <c r="V83" s="32" t="e">
        <f>#REF!</f>
        <v>#REF!</v>
      </c>
      <c r="W83" s="32" t="e">
        <f>#REF!</f>
        <v>#REF!</v>
      </c>
      <c r="X83" s="32" t="e">
        <f>#REF!</f>
        <v>#REF!</v>
      </c>
      <c r="Y83" s="32" t="e">
        <f>#REF!</f>
        <v>#REF!</v>
      </c>
      <c r="Z83" s="32">
        <f t="shared" si="147"/>
        <v>400308</v>
      </c>
      <c r="AA83" s="32">
        <f t="shared" si="147"/>
        <v>397959</v>
      </c>
      <c r="AB83" s="32">
        <f t="shared" si="147"/>
        <v>240407</v>
      </c>
      <c r="AC83" s="32">
        <f t="shared" si="147"/>
        <v>56755</v>
      </c>
      <c r="AD83" s="32">
        <f t="shared" si="147"/>
        <v>-85880</v>
      </c>
      <c r="AE83" s="32">
        <f t="shared" si="147"/>
        <v>-278807</v>
      </c>
      <c r="AF83" s="32">
        <f t="shared" si="147"/>
        <v>-587050</v>
      </c>
      <c r="AG83" s="32">
        <f t="shared" si="147"/>
        <v>-1172740</v>
      </c>
      <c r="AH83" s="32">
        <f t="shared" si="147"/>
        <v>-10936</v>
      </c>
      <c r="AI83" s="32">
        <f t="shared" si="147"/>
        <v>-256767</v>
      </c>
      <c r="AJ83" s="32">
        <f t="shared" si="147"/>
        <v>-574243</v>
      </c>
      <c r="AK83" s="11"/>
      <c r="AL83" s="77">
        <f t="shared" si="137"/>
        <v>-2.1815858955795964E-2</v>
      </c>
    </row>
    <row r="84" spans="1:38" ht="12.75" customHeight="1">
      <c r="B84" s="9" t="s">
        <v>96</v>
      </c>
      <c r="C84" s="84">
        <v>-787</v>
      </c>
      <c r="D84" s="84">
        <v>-618</v>
      </c>
      <c r="E84" s="84">
        <v>-532</v>
      </c>
      <c r="F84" s="84">
        <v>-596</v>
      </c>
      <c r="G84" s="84">
        <v>-67</v>
      </c>
      <c r="H84" s="84">
        <v>188</v>
      </c>
      <c r="I84" s="32"/>
      <c r="J84" s="84">
        <v>-390</v>
      </c>
      <c r="K84" s="84">
        <v>-294</v>
      </c>
      <c r="L84" s="84">
        <v>-304</v>
      </c>
      <c r="M84" s="32">
        <f t="shared" si="145"/>
        <v>-67</v>
      </c>
      <c r="N84" s="84">
        <v>-165</v>
      </c>
      <c r="O84" s="84">
        <v>-166</v>
      </c>
      <c r="P84" s="84">
        <v>216</v>
      </c>
      <c r="Q84" s="32">
        <f t="shared" si="146"/>
        <v>188</v>
      </c>
      <c r="R84" s="84">
        <v>-21</v>
      </c>
      <c r="S84" s="84">
        <v>-2</v>
      </c>
      <c r="T84" s="84">
        <v>0</v>
      </c>
      <c r="V84" s="32" t="e">
        <f>#REF!</f>
        <v>#REF!</v>
      </c>
      <c r="W84" s="32" t="e">
        <f>#REF!</f>
        <v>#REF!</v>
      </c>
      <c r="X84" s="32" t="e">
        <f>#REF!</f>
        <v>#REF!</v>
      </c>
      <c r="Y84" s="32" t="e">
        <f>#REF!</f>
        <v>#REF!</v>
      </c>
      <c r="Z84" s="32">
        <f t="shared" si="147"/>
        <v>-390</v>
      </c>
      <c r="AA84" s="32">
        <f t="shared" si="147"/>
        <v>-294</v>
      </c>
      <c r="AB84" s="32">
        <f t="shared" si="147"/>
        <v>-304</v>
      </c>
      <c r="AC84" s="32">
        <f t="shared" si="147"/>
        <v>-67</v>
      </c>
      <c r="AD84" s="32">
        <f t="shared" si="147"/>
        <v>-165</v>
      </c>
      <c r="AE84" s="32">
        <f t="shared" si="147"/>
        <v>-166</v>
      </c>
      <c r="AF84" s="32">
        <f t="shared" si="147"/>
        <v>216</v>
      </c>
      <c r="AG84" s="32">
        <f t="shared" si="147"/>
        <v>188</v>
      </c>
      <c r="AH84" s="32">
        <f t="shared" si="147"/>
        <v>-21</v>
      </c>
      <c r="AI84" s="32">
        <f t="shared" si="147"/>
        <v>-2</v>
      </c>
      <c r="AJ84" s="32">
        <f t="shared" si="147"/>
        <v>0</v>
      </c>
      <c r="AK84" s="11"/>
      <c r="AL84" s="77">
        <f t="shared" si="137"/>
        <v>-1</v>
      </c>
    </row>
    <row r="85" spans="1:38" ht="12.75" customHeight="1">
      <c r="B85" s="13" t="s">
        <v>16</v>
      </c>
      <c r="C85" s="14">
        <f t="shared" ref="C85:H85" si="153">SUM(C80:C84)</f>
        <v>2261332</v>
      </c>
      <c r="D85" s="14">
        <f t="shared" si="153"/>
        <v>2249695</v>
      </c>
      <c r="E85" s="14">
        <f t="shared" si="153"/>
        <v>2114035</v>
      </c>
      <c r="F85" s="14">
        <f t="shared" si="153"/>
        <v>1571651</v>
      </c>
      <c r="G85" s="14">
        <f t="shared" si="153"/>
        <v>1134342</v>
      </c>
      <c r="H85" s="14">
        <f t="shared" si="153"/>
        <v>-80134</v>
      </c>
      <c r="I85" s="53"/>
      <c r="J85" s="14">
        <f t="shared" ref="J85:T85" si="154">SUM(J80:J84)</f>
        <v>1469846</v>
      </c>
      <c r="K85" s="14">
        <f t="shared" si="154"/>
        <v>1471072</v>
      </c>
      <c r="L85" s="14">
        <f t="shared" si="154"/>
        <v>1316045</v>
      </c>
      <c r="M85" s="14">
        <f t="shared" si="154"/>
        <v>1134342</v>
      </c>
      <c r="N85" s="14">
        <f t="shared" si="154"/>
        <v>1002257</v>
      </c>
      <c r="O85" s="14">
        <f t="shared" si="154"/>
        <v>809662</v>
      </c>
      <c r="P85" s="14">
        <f t="shared" si="154"/>
        <v>503749</v>
      </c>
      <c r="Q85" s="14">
        <f t="shared" si="154"/>
        <v>-80134</v>
      </c>
      <c r="R85" s="14">
        <f t="shared" si="154"/>
        <v>723413</v>
      </c>
      <c r="S85" s="14">
        <f t="shared" si="154"/>
        <v>479445</v>
      </c>
      <c r="T85" s="14">
        <f t="shared" si="154"/>
        <v>164493</v>
      </c>
      <c r="V85" s="14" t="e">
        <f t="shared" ref="V85:AJ85" si="155">SUM(V80:V84)</f>
        <v>#REF!</v>
      </c>
      <c r="W85" s="14" t="e">
        <f t="shared" si="155"/>
        <v>#REF!</v>
      </c>
      <c r="X85" s="14" t="e">
        <f t="shared" si="155"/>
        <v>#REF!</v>
      </c>
      <c r="Y85" s="14" t="e">
        <f t="shared" si="155"/>
        <v>#REF!</v>
      </c>
      <c r="Z85" s="14">
        <f t="shared" si="155"/>
        <v>320258</v>
      </c>
      <c r="AA85" s="14">
        <f t="shared" si="155"/>
        <v>318004</v>
      </c>
      <c r="AB85" s="14">
        <f t="shared" si="155"/>
        <v>160408</v>
      </c>
      <c r="AC85" s="14">
        <f t="shared" si="155"/>
        <v>-23936</v>
      </c>
      <c r="AD85" s="14">
        <f t="shared" si="155"/>
        <v>-167305</v>
      </c>
      <c r="AE85" s="14">
        <f t="shared" si="155"/>
        <v>-360242</v>
      </c>
      <c r="AF85" s="14">
        <f t="shared" si="155"/>
        <v>503749</v>
      </c>
      <c r="AG85" s="14">
        <f t="shared" si="155"/>
        <v>-80134</v>
      </c>
      <c r="AH85" s="14">
        <f t="shared" si="155"/>
        <v>723413</v>
      </c>
      <c r="AI85" s="14">
        <f t="shared" si="155"/>
        <v>479445</v>
      </c>
      <c r="AJ85" s="14">
        <f t="shared" si="155"/>
        <v>164493</v>
      </c>
      <c r="AK85" s="42"/>
      <c r="AL85" s="77">
        <f t="shared" si="137"/>
        <v>-0.67346237908164586</v>
      </c>
    </row>
    <row r="86" spans="1:38" ht="12.75" customHeight="1">
      <c r="B86" s="25" t="s">
        <v>54</v>
      </c>
      <c r="C86" s="32">
        <f t="shared" ref="C86:H86" si="156">SUM(C85+C78)</f>
        <v>7043412</v>
      </c>
      <c r="D86" s="32">
        <f t="shared" si="156"/>
        <v>8398825</v>
      </c>
      <c r="E86" s="32">
        <f t="shared" si="156"/>
        <v>8540025</v>
      </c>
      <c r="F86" s="32">
        <f t="shared" si="156"/>
        <v>9184774</v>
      </c>
      <c r="G86" s="32">
        <f t="shared" si="156"/>
        <v>9417237</v>
      </c>
      <c r="H86" s="32">
        <f t="shared" si="156"/>
        <v>9595178</v>
      </c>
      <c r="I86" s="32"/>
      <c r="J86" s="32">
        <f t="shared" ref="J86:T86" si="157">SUM(J85+J78)</f>
        <v>9322317</v>
      </c>
      <c r="K86" s="32">
        <f t="shared" si="157"/>
        <v>9372127</v>
      </c>
      <c r="L86" s="32">
        <f t="shared" si="157"/>
        <v>9361550</v>
      </c>
      <c r="M86" s="32">
        <f t="shared" si="157"/>
        <v>9417237</v>
      </c>
      <c r="N86" s="32">
        <f t="shared" si="157"/>
        <v>9526495</v>
      </c>
      <c r="O86" s="32">
        <f t="shared" si="157"/>
        <v>9559456</v>
      </c>
      <c r="P86" s="32">
        <f t="shared" si="157"/>
        <v>9493049</v>
      </c>
      <c r="Q86" s="32">
        <f t="shared" si="157"/>
        <v>9595178</v>
      </c>
      <c r="R86" s="32">
        <f t="shared" si="157"/>
        <v>8910118</v>
      </c>
      <c r="S86" s="32">
        <f t="shared" si="157"/>
        <v>8576287</v>
      </c>
      <c r="T86" s="32">
        <f t="shared" si="157"/>
        <v>8795044</v>
      </c>
      <c r="U86" s="32"/>
      <c r="V86" s="32" t="e">
        <f t="shared" ref="V86:AJ86" si="158">SUM(V85+V78)</f>
        <v>#REF!</v>
      </c>
      <c r="W86" s="32" t="e">
        <f t="shared" si="158"/>
        <v>#REF!</v>
      </c>
      <c r="X86" s="32" t="e">
        <f t="shared" si="158"/>
        <v>#REF!</v>
      </c>
      <c r="Y86" s="32" t="e">
        <f t="shared" si="158"/>
        <v>#REF!</v>
      </c>
      <c r="Z86" s="32">
        <f t="shared" si="158"/>
        <v>5116940</v>
      </c>
      <c r="AA86" s="32">
        <f t="shared" si="158"/>
        <v>4984247</v>
      </c>
      <c r="AB86" s="32">
        <f t="shared" si="158"/>
        <v>4701592</v>
      </c>
      <c r="AC86" s="32">
        <f t="shared" si="158"/>
        <v>4536747</v>
      </c>
      <c r="AD86" s="32">
        <f t="shared" si="158"/>
        <v>4513567</v>
      </c>
      <c r="AE86" s="32">
        <f t="shared" si="158"/>
        <v>4255018</v>
      </c>
      <c r="AF86" s="32">
        <f t="shared" si="158"/>
        <v>9493049</v>
      </c>
      <c r="AG86" s="32">
        <f t="shared" si="158"/>
        <v>9595178</v>
      </c>
      <c r="AH86" s="32">
        <f t="shared" si="158"/>
        <v>8910118</v>
      </c>
      <c r="AI86" s="32">
        <f t="shared" si="158"/>
        <v>8576287</v>
      </c>
      <c r="AJ86" s="32">
        <f t="shared" si="158"/>
        <v>8795044</v>
      </c>
      <c r="AK86" s="11"/>
      <c r="AL86" s="78">
        <f t="shared" si="137"/>
        <v>-7.3528009810125305E-2</v>
      </c>
    </row>
    <row r="87" spans="1:38" ht="5.0999999999999996" customHeight="1">
      <c r="B87" s="25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11"/>
    </row>
    <row r="88" spans="1:38" ht="12.75" customHeight="1">
      <c r="B88" s="148" t="s">
        <v>64</v>
      </c>
      <c r="C88" s="71">
        <f>C86-C62</f>
        <v>0</v>
      </c>
      <c r="D88" s="71">
        <f>D86-D62</f>
        <v>0</v>
      </c>
      <c r="E88" s="71">
        <f>E86-E62</f>
        <v>0</v>
      </c>
      <c r="F88" s="71">
        <f>F86-F62</f>
        <v>0</v>
      </c>
      <c r="G88" s="71">
        <f>G86-G62</f>
        <v>0</v>
      </c>
      <c r="H88" s="71">
        <f>H86-H62</f>
        <v>0</v>
      </c>
      <c r="I88" s="72"/>
      <c r="J88" s="71">
        <f>J86-J62</f>
        <v>0</v>
      </c>
      <c r="K88" s="71">
        <f>K86-K62</f>
        <v>0</v>
      </c>
      <c r="L88" s="71">
        <f>L86-L62</f>
        <v>0</v>
      </c>
      <c r="M88" s="71">
        <f>M86-M62</f>
        <v>0</v>
      </c>
      <c r="N88" s="71">
        <f>N86-N62</f>
        <v>0</v>
      </c>
      <c r="O88" s="71">
        <f>O86-O62</f>
        <v>0</v>
      </c>
      <c r="P88" s="71">
        <f>P86-P62</f>
        <v>0</v>
      </c>
      <c r="Q88" s="71">
        <f>Q86-Q62</f>
        <v>0</v>
      </c>
      <c r="R88" s="71">
        <f>R86-R62</f>
        <v>0</v>
      </c>
      <c r="S88" s="71">
        <f>S86-S62</f>
        <v>0</v>
      </c>
      <c r="T88" s="71">
        <f>T86-T62</f>
        <v>0</v>
      </c>
      <c r="U88" s="28"/>
      <c r="V88" s="71" t="e">
        <f>V86-V62</f>
        <v>#REF!</v>
      </c>
      <c r="W88" s="71" t="e">
        <f>W86-W62</f>
        <v>#REF!</v>
      </c>
      <c r="X88" s="71" t="e">
        <f>X86-X62</f>
        <v>#REF!</v>
      </c>
      <c r="Y88" s="71" t="e">
        <f>Y86-Y62</f>
        <v>#REF!</v>
      </c>
      <c r="Z88" s="71">
        <f>Z86-Z62</f>
        <v>-125998</v>
      </c>
      <c r="AA88" s="71">
        <f>AA86-AA62</f>
        <v>-113454</v>
      </c>
      <c r="AB88" s="71">
        <f>AB86-AB62</f>
        <v>-78118</v>
      </c>
      <c r="AC88" s="71">
        <f>AC86-AC62</f>
        <v>-57139</v>
      </c>
      <c r="AD88" s="71">
        <f>AD86-AD62</f>
        <v>84774</v>
      </c>
      <c r="AE88" s="71">
        <f>AE86-AE62</f>
        <v>-54063</v>
      </c>
      <c r="AF88" s="71">
        <f>AF86-AF62</f>
        <v>0</v>
      </c>
      <c r="AG88" s="71">
        <f>AG86-AG62</f>
        <v>0</v>
      </c>
      <c r="AH88" s="71">
        <f>AH86-AH62</f>
        <v>0</v>
      </c>
      <c r="AI88" s="71">
        <f>AI86-AI62</f>
        <v>0</v>
      </c>
      <c r="AJ88" s="71">
        <f>AJ86-AJ62</f>
        <v>0</v>
      </c>
    </row>
    <row r="89" spans="1:38" ht="5.0999999999999996" customHeight="1" thickBot="1">
      <c r="B89" s="119"/>
      <c r="C89" s="120"/>
      <c r="D89" s="120"/>
      <c r="E89" s="120"/>
      <c r="F89" s="120"/>
      <c r="G89" s="120"/>
      <c r="H89" s="120"/>
      <c r="I89" s="121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2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G89" s="120"/>
      <c r="AH89" s="120"/>
      <c r="AI89" s="120"/>
      <c r="AJ89" s="120"/>
      <c r="AK89" s="75"/>
      <c r="AL89" s="75"/>
    </row>
    <row r="90" spans="1:38">
      <c r="B90" s="69"/>
      <c r="C90" s="70"/>
      <c r="D90" s="70"/>
      <c r="E90" s="54"/>
      <c r="F90" s="24"/>
      <c r="G90" s="24"/>
      <c r="H90" s="24"/>
      <c r="I90" s="54"/>
    </row>
    <row r="91" spans="1:38" ht="12.75" customHeight="1">
      <c r="A91" s="5" t="s">
        <v>18</v>
      </c>
      <c r="B91" s="101" t="s">
        <v>15</v>
      </c>
      <c r="C91" s="105"/>
      <c r="D91" s="105"/>
      <c r="E91" s="105"/>
      <c r="F91" s="105"/>
      <c r="G91" s="105"/>
      <c r="H91" s="105"/>
      <c r="I91" s="106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1"/>
      <c r="V91" s="105"/>
      <c r="W91" s="105"/>
      <c r="X91" s="105"/>
      <c r="Y91" s="105"/>
      <c r="Z91" s="105"/>
      <c r="AA91" s="105"/>
      <c r="AB91" s="105"/>
      <c r="AC91" s="105"/>
      <c r="AD91" s="105"/>
      <c r="AE91" s="105" t="s">
        <v>10</v>
      </c>
      <c r="AF91" s="105"/>
      <c r="AG91" s="105"/>
      <c r="AH91" s="105"/>
      <c r="AI91" s="105"/>
      <c r="AJ91" s="105"/>
      <c r="AK91" s="106"/>
      <c r="AL91" s="166" t="s">
        <v>25</v>
      </c>
    </row>
    <row r="92" spans="1:38" ht="12.75" customHeight="1">
      <c r="B92" s="102" t="str">
        <f>B7</f>
        <v>Fiscal Period</v>
      </c>
      <c r="C92" s="107">
        <f>C7</f>
        <v>2019</v>
      </c>
      <c r="D92" s="107">
        <f>D7</f>
        <v>2020</v>
      </c>
      <c r="E92" s="107">
        <f>E7</f>
        <v>2021</v>
      </c>
      <c r="F92" s="107">
        <f>F7</f>
        <v>2022</v>
      </c>
      <c r="G92" s="107">
        <f>G7</f>
        <v>2023</v>
      </c>
      <c r="H92" s="107">
        <f>H7</f>
        <v>2024</v>
      </c>
      <c r="I92" s="106"/>
      <c r="J92" s="107" t="str">
        <f>J7</f>
        <v>1Q23</v>
      </c>
      <c r="K92" s="107" t="str">
        <f>K7</f>
        <v>2Q23</v>
      </c>
      <c r="L92" s="107" t="str">
        <f>L7</f>
        <v>3Q23</v>
      </c>
      <c r="M92" s="107" t="str">
        <f>M7</f>
        <v>4Q23</v>
      </c>
      <c r="N92" s="107" t="str">
        <f>N7</f>
        <v>1Q24</v>
      </c>
      <c r="O92" s="107" t="str">
        <f>O7</f>
        <v>2Q24</v>
      </c>
      <c r="P92" s="107" t="str">
        <f>P7</f>
        <v>3Q24</v>
      </c>
      <c r="Q92" s="107" t="str">
        <f>Q7</f>
        <v>4Q24</v>
      </c>
      <c r="R92" s="107" t="str">
        <f>R7</f>
        <v>1Q25</v>
      </c>
      <c r="S92" s="107" t="str">
        <f>S7</f>
        <v>2Q25</v>
      </c>
      <c r="T92" s="107" t="str">
        <f>T7</f>
        <v>3Q25</v>
      </c>
      <c r="U92" s="107"/>
      <c r="V92" s="107" t="e">
        <f>V7</f>
        <v>#REF!</v>
      </c>
      <c r="W92" s="107" t="e">
        <f>W7</f>
        <v>#REF!</v>
      </c>
      <c r="X92" s="107" t="e">
        <f>X7</f>
        <v>#REF!</v>
      </c>
      <c r="Y92" s="107" t="e">
        <f>Y7</f>
        <v>#REF!</v>
      </c>
      <c r="Z92" s="107" t="str">
        <f>Z7</f>
        <v>1Q23</v>
      </c>
      <c r="AA92" s="107" t="str">
        <f>AA7</f>
        <v>2Q23</v>
      </c>
      <c r="AB92" s="107" t="str">
        <f>AB7</f>
        <v>3Q23</v>
      </c>
      <c r="AC92" s="107" t="str">
        <f>AC7</f>
        <v>4Q23</v>
      </c>
      <c r="AD92" s="107" t="str">
        <f>AD7</f>
        <v>1Q24</v>
      </c>
      <c r="AE92" s="107" t="str">
        <f>AE7</f>
        <v>2Q24</v>
      </c>
      <c r="AF92" s="107" t="str">
        <f>AF7</f>
        <v>3Q24</v>
      </c>
      <c r="AG92" s="107" t="str">
        <f>AG7</f>
        <v>4Q24</v>
      </c>
      <c r="AH92" s="107" t="str">
        <f>AH7</f>
        <v>1Q25</v>
      </c>
      <c r="AI92" s="107" t="str">
        <f>AI7</f>
        <v>2Q25</v>
      </c>
      <c r="AJ92" s="107" t="str">
        <f>AJ7</f>
        <v>3Q25</v>
      </c>
      <c r="AK92" s="106"/>
      <c r="AL92" s="166"/>
    </row>
    <row r="93" spans="1:38" ht="12.75" customHeight="1">
      <c r="B93" s="102" t="str">
        <f>B8</f>
        <v>Fiscal Period End Date</v>
      </c>
      <c r="C93" s="108">
        <f>C8</f>
        <v>43830</v>
      </c>
      <c r="D93" s="108">
        <f>D8</f>
        <v>44196</v>
      </c>
      <c r="E93" s="108">
        <f>E8</f>
        <v>44561</v>
      </c>
      <c r="F93" s="108">
        <f>F8</f>
        <v>44926</v>
      </c>
      <c r="G93" s="108">
        <f>G8</f>
        <v>45291</v>
      </c>
      <c r="H93" s="108">
        <f>H8</f>
        <v>45657</v>
      </c>
      <c r="I93" s="106"/>
      <c r="J93" s="108">
        <f>J8</f>
        <v>45016</v>
      </c>
      <c r="K93" s="108">
        <f>K8</f>
        <v>45107</v>
      </c>
      <c r="L93" s="108">
        <f>L8</f>
        <v>45199</v>
      </c>
      <c r="M93" s="108">
        <f>M8</f>
        <v>45291</v>
      </c>
      <c r="N93" s="108">
        <f>N8</f>
        <v>45382</v>
      </c>
      <c r="O93" s="108">
        <f>O8</f>
        <v>45473</v>
      </c>
      <c r="P93" s="108">
        <f>P8</f>
        <v>45565</v>
      </c>
      <c r="Q93" s="108">
        <f>Q8</f>
        <v>45657</v>
      </c>
      <c r="R93" s="108">
        <f>R8</f>
        <v>45747</v>
      </c>
      <c r="S93" s="108">
        <f>S8</f>
        <v>45838</v>
      </c>
      <c r="T93" s="108">
        <f>T8</f>
        <v>45930</v>
      </c>
      <c r="U93" s="108"/>
      <c r="V93" s="108" t="e">
        <f>V8</f>
        <v>#REF!</v>
      </c>
      <c r="W93" s="108" t="e">
        <f>W8</f>
        <v>#REF!</v>
      </c>
      <c r="X93" s="108" t="e">
        <f>X8</f>
        <v>#REF!</v>
      </c>
      <c r="Y93" s="108" t="e">
        <f>Y8</f>
        <v>#REF!</v>
      </c>
      <c r="Z93" s="108">
        <f>Z8</f>
        <v>45016</v>
      </c>
      <c r="AA93" s="108">
        <f>AA8</f>
        <v>45107</v>
      </c>
      <c r="AB93" s="108">
        <f>AB8</f>
        <v>45199</v>
      </c>
      <c r="AC93" s="108">
        <f>AC8</f>
        <v>45291</v>
      </c>
      <c r="AD93" s="108">
        <f>AD8</f>
        <v>45382</v>
      </c>
      <c r="AE93" s="108">
        <f>AE8</f>
        <v>45473</v>
      </c>
      <c r="AF93" s="108">
        <f>AF8</f>
        <v>45565</v>
      </c>
      <c r="AG93" s="108">
        <f>AG8</f>
        <v>45657</v>
      </c>
      <c r="AH93" s="108">
        <f>AH8</f>
        <v>45747</v>
      </c>
      <c r="AI93" s="108">
        <f>AI8</f>
        <v>45838</v>
      </c>
      <c r="AJ93" s="108">
        <f>AJ8</f>
        <v>45930</v>
      </c>
      <c r="AK93" s="106"/>
      <c r="AL93" s="166"/>
    </row>
    <row r="94" spans="1:38" ht="5.0999999999999996" customHeight="1">
      <c r="B94" s="55"/>
      <c r="C94" s="48"/>
      <c r="D94" s="48"/>
      <c r="E94" s="48"/>
      <c r="F94" s="48"/>
      <c r="G94" s="48"/>
      <c r="H94" s="48"/>
    </row>
    <row r="95" spans="1:38" ht="12.75" customHeight="1">
      <c r="B95" s="56" t="s">
        <v>55</v>
      </c>
      <c r="C95" s="57"/>
      <c r="D95" s="57"/>
      <c r="E95" s="57"/>
      <c r="F95" s="57"/>
      <c r="G95" s="57"/>
      <c r="H95" s="57"/>
    </row>
    <row r="96" spans="1:38" ht="12.75" customHeight="1">
      <c r="B96" s="58" t="s">
        <v>56</v>
      </c>
      <c r="C96" s="32">
        <f>C35</f>
        <v>335255</v>
      </c>
      <c r="D96" s="32">
        <f>D35</f>
        <v>-428700</v>
      </c>
      <c r="E96" s="32">
        <f>E35</f>
        <v>-472569</v>
      </c>
      <c r="F96" s="32">
        <f>F35</f>
        <v>-554150</v>
      </c>
      <c r="G96" s="32">
        <f>G35</f>
        <v>-447464</v>
      </c>
      <c r="H96" s="32">
        <f>H35</f>
        <v>-1229495</v>
      </c>
      <c r="I96" s="32"/>
      <c r="J96" s="32">
        <f>J35</f>
        <v>-103911</v>
      </c>
      <c r="K96" s="32">
        <f>K35</f>
        <v>-2349</v>
      </c>
      <c r="L96" s="32">
        <f>L35</f>
        <v>-157552</v>
      </c>
      <c r="M96" s="32">
        <f>M35</f>
        <v>-183652</v>
      </c>
      <c r="N96" s="32">
        <f>N35</f>
        <v>-142635</v>
      </c>
      <c r="O96" s="32">
        <f>O35</f>
        <v>-192927</v>
      </c>
      <c r="P96" s="32">
        <f>P35</f>
        <v>-308243</v>
      </c>
      <c r="Q96" s="32">
        <f>Q35</f>
        <v>-585690</v>
      </c>
      <c r="R96" s="32">
        <f>R35</f>
        <v>61280</v>
      </c>
      <c r="S96" s="32">
        <f>S35</f>
        <v>-245831</v>
      </c>
      <c r="T96" s="32">
        <f>T35</f>
        <v>-317476</v>
      </c>
      <c r="V96" s="32" t="e">
        <f>SUM(#REF!)</f>
        <v>#REF!</v>
      </c>
      <c r="W96" s="32" t="e">
        <f>SUM(#REF!)</f>
        <v>#REF!</v>
      </c>
      <c r="X96" s="32" t="e">
        <f>SUM(#REF!)</f>
        <v>#REF!</v>
      </c>
      <c r="Y96" s="32" t="e">
        <f>SUM(#REF!)</f>
        <v>#REF!</v>
      </c>
      <c r="Z96" s="32">
        <f>SUM(J96:J96)</f>
        <v>-103911</v>
      </c>
      <c r="AA96" s="32">
        <f>SUM(J96:K96)</f>
        <v>-106260</v>
      </c>
      <c r="AB96" s="32">
        <f>SUM(J96:L96)</f>
        <v>-263812</v>
      </c>
      <c r="AC96" s="32">
        <f t="shared" ref="AC96:AJ96" si="159">SUM(J96:M96)</f>
        <v>-447464</v>
      </c>
      <c r="AD96" s="32">
        <f t="shared" si="159"/>
        <v>-486188</v>
      </c>
      <c r="AE96" s="32">
        <f t="shared" si="159"/>
        <v>-676766</v>
      </c>
      <c r="AF96" s="32">
        <f t="shared" si="159"/>
        <v>-827457</v>
      </c>
      <c r="AG96" s="32">
        <f t="shared" si="159"/>
        <v>-1229495</v>
      </c>
      <c r="AH96" s="32">
        <f t="shared" si="159"/>
        <v>-1025580</v>
      </c>
      <c r="AI96" s="32">
        <f t="shared" si="159"/>
        <v>-1078484</v>
      </c>
      <c r="AJ96" s="32">
        <f t="shared" si="159"/>
        <v>-1087717</v>
      </c>
      <c r="AK96" s="11"/>
      <c r="AL96" s="77">
        <f>SUM(AJ96/AF96)-1</f>
        <v>0.31452993932010975</v>
      </c>
    </row>
    <row r="97" spans="2:38" ht="5.0999999999999996" customHeight="1"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11"/>
      <c r="AL97" s="77"/>
    </row>
    <row r="98" spans="2:38" ht="12.75" customHeight="1">
      <c r="B98" s="36" t="s">
        <v>63</v>
      </c>
      <c r="C98" s="32"/>
      <c r="D98" s="32"/>
      <c r="E98" s="32"/>
      <c r="F98" s="32"/>
      <c r="G98" s="32"/>
      <c r="H98" s="32"/>
      <c r="I98" s="32"/>
      <c r="J98" s="84"/>
      <c r="K98" s="84"/>
      <c r="L98" s="84"/>
      <c r="M98" s="32"/>
      <c r="N98" s="84"/>
      <c r="O98" s="84"/>
      <c r="P98" s="84"/>
      <c r="Q98" s="32"/>
      <c r="R98" s="84"/>
      <c r="S98" s="84"/>
      <c r="T98" s="84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60"/>
      <c r="AL98" s="77"/>
    </row>
    <row r="99" spans="2:38" ht="12.75" customHeight="1">
      <c r="B99" s="61" t="s">
        <v>184</v>
      </c>
      <c r="C99" s="84">
        <v>225264</v>
      </c>
      <c r="D99" s="84">
        <v>278588</v>
      </c>
      <c r="E99" s="84">
        <v>297211</v>
      </c>
      <c r="F99" s="84">
        <v>313090</v>
      </c>
      <c r="G99" s="84">
        <v>320872</v>
      </c>
      <c r="H99" s="84">
        <v>325273</v>
      </c>
      <c r="I99" s="32"/>
      <c r="J99" s="84">
        <v>77991</v>
      </c>
      <c r="K99" s="84"/>
      <c r="L99" s="84"/>
      <c r="M99" s="32">
        <f t="shared" ref="M99:M106" si="160">SUM(G99-SUM(J99:L99))</f>
        <v>242881</v>
      </c>
      <c r="N99" s="84">
        <v>81346</v>
      </c>
      <c r="O99" s="84">
        <f>165832-N99</f>
        <v>84486</v>
      </c>
      <c r="P99" s="84"/>
      <c r="Q99" s="32">
        <f t="shared" ref="Q99:Q106" si="161">SUM(H99-SUM(N99:P99))</f>
        <v>159441</v>
      </c>
      <c r="R99" s="84">
        <f>54853+11597</f>
        <v>66450</v>
      </c>
      <c r="S99" s="84">
        <f>74483+54853-R99</f>
        <v>62886</v>
      </c>
      <c r="T99" s="84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>
        <f t="shared" ref="AF99" si="162">SUM(M99:P99)</f>
        <v>408713</v>
      </c>
      <c r="AG99" s="32">
        <f t="shared" ref="AG99" si="163">SUM(N99:Q99)</f>
        <v>325273</v>
      </c>
      <c r="AH99" s="32">
        <f t="shared" ref="AH99" si="164">SUM(O99:R99)</f>
        <v>310377</v>
      </c>
      <c r="AI99" s="32">
        <f t="shared" ref="AI99" si="165">SUM(P99:S99)</f>
        <v>288777</v>
      </c>
      <c r="AJ99" s="32">
        <f t="shared" ref="AJ99" si="166">SUM(Q99:T99)</f>
        <v>288777</v>
      </c>
      <c r="AK99" s="11"/>
      <c r="AL99" s="77"/>
    </row>
    <row r="100" spans="2:38" ht="12.75" customHeight="1">
      <c r="B100" s="61" t="s">
        <v>185</v>
      </c>
      <c r="C100" s="84">
        <v>8154</v>
      </c>
      <c r="D100" s="84">
        <v>11575</v>
      </c>
      <c r="E100" s="84">
        <v>12536</v>
      </c>
      <c r="F100" s="84">
        <v>11483</v>
      </c>
      <c r="G100" s="84">
        <v>11963</v>
      </c>
      <c r="H100" s="84">
        <v>7210</v>
      </c>
      <c r="I100" s="32"/>
      <c r="J100" s="84">
        <v>3273</v>
      </c>
      <c r="K100" s="84"/>
      <c r="L100" s="84"/>
      <c r="M100" s="32">
        <f t="shared" si="160"/>
        <v>8690</v>
      </c>
      <c r="N100" s="84">
        <v>3080</v>
      </c>
      <c r="O100" s="84">
        <f>3422-N100</f>
        <v>342</v>
      </c>
      <c r="P100" s="84"/>
      <c r="Q100" s="32">
        <f t="shared" si="161"/>
        <v>3788</v>
      </c>
      <c r="R100" s="84">
        <v>1233</v>
      </c>
      <c r="S100" s="84">
        <f>1233+1844-R100</f>
        <v>1844</v>
      </c>
      <c r="T100" s="84"/>
      <c r="V100" s="32" t="e">
        <f>SUM(#REF!)</f>
        <v>#REF!</v>
      </c>
      <c r="W100" s="32" t="e">
        <f>SUM(#REF!)</f>
        <v>#REF!</v>
      </c>
      <c r="X100" s="32" t="e">
        <f>SUM(#REF!)</f>
        <v>#REF!</v>
      </c>
      <c r="Y100" s="32" t="e">
        <f>SUM(#REF!)</f>
        <v>#REF!</v>
      </c>
      <c r="Z100" s="32">
        <f>SUM(J100:J100)</f>
        <v>3273</v>
      </c>
      <c r="AA100" s="32">
        <f>SUM(J100:K100)</f>
        <v>3273</v>
      </c>
      <c r="AB100" s="32">
        <f>SUM(J100:L100)</f>
        <v>3273</v>
      </c>
      <c r="AC100" s="32">
        <f t="shared" ref="AC100:AC101" si="167">SUM(J100:M100)</f>
        <v>11963</v>
      </c>
      <c r="AD100" s="32">
        <f t="shared" ref="AD100:AD101" si="168">SUM(K100:N100)</f>
        <v>11770</v>
      </c>
      <c r="AE100" s="32">
        <f t="shared" ref="AE100:AE101" si="169">SUM(L100:O100)</f>
        <v>12112</v>
      </c>
      <c r="AF100" s="32">
        <f t="shared" ref="AF100" si="170">SUM(M100:P100)</f>
        <v>12112</v>
      </c>
      <c r="AG100" s="32">
        <f t="shared" ref="AG100" si="171">SUM(N100:Q100)</f>
        <v>7210</v>
      </c>
      <c r="AH100" s="32">
        <f t="shared" ref="AH100" si="172">SUM(O100:R100)</f>
        <v>5363</v>
      </c>
      <c r="AI100" s="32">
        <f t="shared" ref="AI100" si="173">SUM(P100:S100)</f>
        <v>6865</v>
      </c>
      <c r="AJ100" s="32">
        <f t="shared" ref="AJ100" si="174">SUM(Q100:T100)</f>
        <v>6865</v>
      </c>
      <c r="AK100" s="11"/>
      <c r="AL100" s="77">
        <f t="shared" ref="AL100:AL101" si="175">SUM(AJ100/AF100)-1</f>
        <v>-0.4332067371202114</v>
      </c>
    </row>
    <row r="101" spans="2:38" ht="12.75" customHeight="1">
      <c r="B101" s="61" t="s">
        <v>190</v>
      </c>
      <c r="C101" s="84">
        <v>17350</v>
      </c>
      <c r="D101" s="84">
        <v>2264</v>
      </c>
      <c r="E101" s="84">
        <v>3320</v>
      </c>
      <c r="F101" s="84">
        <v>46624</v>
      </c>
      <c r="G101" s="84">
        <v>33966</v>
      </c>
      <c r="H101" s="84">
        <v>273871</v>
      </c>
      <c r="I101" s="32"/>
      <c r="J101" s="84">
        <v>7100</v>
      </c>
      <c r="K101" s="84"/>
      <c r="L101" s="84"/>
      <c r="M101" s="32">
        <f t="shared" si="160"/>
        <v>26866</v>
      </c>
      <c r="N101" s="84">
        <v>-3029</v>
      </c>
      <c r="O101" s="84">
        <f>-17076-N101</f>
        <v>-14047</v>
      </c>
      <c r="P101" s="84"/>
      <c r="Q101" s="32">
        <f t="shared" si="161"/>
        <v>290947</v>
      </c>
      <c r="R101" s="84">
        <f>11655-19</f>
        <v>11636</v>
      </c>
      <c r="S101" s="84">
        <f>11655-328-R101</f>
        <v>-309</v>
      </c>
      <c r="T101" s="84"/>
      <c r="V101" s="32" t="e">
        <f>SUM(#REF!)</f>
        <v>#REF!</v>
      </c>
      <c r="W101" s="32" t="e">
        <f>SUM(#REF!)</f>
        <v>#REF!</v>
      </c>
      <c r="X101" s="32" t="e">
        <f>SUM(#REF!)</f>
        <v>#REF!</v>
      </c>
      <c r="Y101" s="32" t="e">
        <f>SUM(#REF!)</f>
        <v>#REF!</v>
      </c>
      <c r="Z101" s="32">
        <f>SUM(J101:J101)</f>
        <v>7100</v>
      </c>
      <c r="AA101" s="32">
        <f>SUM(J101:K101)</f>
        <v>7100</v>
      </c>
      <c r="AB101" s="32">
        <f>SUM(J101:L101)</f>
        <v>7100</v>
      </c>
      <c r="AC101" s="32">
        <f t="shared" si="167"/>
        <v>33966</v>
      </c>
      <c r="AD101" s="32">
        <f t="shared" si="168"/>
        <v>23837</v>
      </c>
      <c r="AE101" s="32">
        <f t="shared" si="169"/>
        <v>9790</v>
      </c>
      <c r="AF101" s="32">
        <f t="shared" ref="AF101:AF107" si="176">SUM(M101:P101)</f>
        <v>9790</v>
      </c>
      <c r="AG101" s="32">
        <f t="shared" ref="AG101:AG107" si="177">SUM(N101:Q101)</f>
        <v>273871</v>
      </c>
      <c r="AH101" s="32">
        <f t="shared" ref="AH101:AH107" si="178">SUM(O101:R101)</f>
        <v>288536</v>
      </c>
      <c r="AI101" s="32">
        <f t="shared" ref="AI101:AI107" si="179">SUM(P101:S101)</f>
        <v>302274</v>
      </c>
      <c r="AJ101" s="32">
        <f t="shared" ref="AJ101:AJ107" si="180">SUM(Q101:T101)</f>
        <v>302274</v>
      </c>
      <c r="AK101" s="11"/>
      <c r="AL101" s="77">
        <f t="shared" si="175"/>
        <v>29.875791624106231</v>
      </c>
    </row>
    <row r="102" spans="2:38" ht="12.75" customHeight="1">
      <c r="B102" s="61" t="s">
        <v>169</v>
      </c>
      <c r="C102" s="84">
        <v>115689</v>
      </c>
      <c r="D102" s="84">
        <v>-46086</v>
      </c>
      <c r="E102" s="84">
        <v>-49502</v>
      </c>
      <c r="F102" s="84">
        <v>-148611</v>
      </c>
      <c r="G102" s="84">
        <v>-119239</v>
      </c>
      <c r="H102" s="84">
        <v>-58215</v>
      </c>
      <c r="I102" s="32"/>
      <c r="J102" s="84">
        <v>-37851</v>
      </c>
      <c r="K102" s="84"/>
      <c r="L102" s="84"/>
      <c r="M102" s="32">
        <f t="shared" si="160"/>
        <v>-81388</v>
      </c>
      <c r="N102" s="84">
        <v>-15005</v>
      </c>
      <c r="O102" s="84">
        <f>-11345-N102</f>
        <v>3660</v>
      </c>
      <c r="P102" s="84"/>
      <c r="Q102" s="32">
        <f t="shared" si="161"/>
        <v>-46870</v>
      </c>
      <c r="R102" s="84">
        <f>17481-103</f>
        <v>17378</v>
      </c>
      <c r="S102" s="84">
        <f>17481-4651-R102</f>
        <v>-4548</v>
      </c>
      <c r="T102" s="84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>
        <f t="shared" si="176"/>
        <v>-92733</v>
      </c>
      <c r="AG102" s="32">
        <f t="shared" si="177"/>
        <v>-58215</v>
      </c>
      <c r="AH102" s="32">
        <f t="shared" si="178"/>
        <v>-25832</v>
      </c>
      <c r="AI102" s="32">
        <f t="shared" si="179"/>
        <v>-34040</v>
      </c>
      <c r="AJ102" s="32">
        <f t="shared" si="180"/>
        <v>-34040</v>
      </c>
      <c r="AK102" s="11"/>
      <c r="AL102" s="77"/>
    </row>
    <row r="103" spans="2:38" ht="12.75" customHeight="1">
      <c r="B103" s="61" t="s">
        <v>166</v>
      </c>
      <c r="C103" s="84">
        <v>8654</v>
      </c>
      <c r="D103" s="84">
        <v>10752</v>
      </c>
      <c r="E103" s="84">
        <v>12912</v>
      </c>
      <c r="F103" s="84">
        <v>13468</v>
      </c>
      <c r="G103" s="84">
        <v>15454</v>
      </c>
      <c r="H103" s="84">
        <v>13100</v>
      </c>
      <c r="I103" s="32"/>
      <c r="J103" s="84">
        <v>3981</v>
      </c>
      <c r="K103" s="84"/>
      <c r="L103" s="84"/>
      <c r="M103" s="32">
        <f t="shared" si="160"/>
        <v>11473</v>
      </c>
      <c r="N103" s="84">
        <v>3582</v>
      </c>
      <c r="O103" s="84">
        <f>7069-N103</f>
        <v>3487</v>
      </c>
      <c r="P103" s="84"/>
      <c r="Q103" s="32">
        <f t="shared" si="161"/>
        <v>6031</v>
      </c>
      <c r="R103" s="84">
        <f>1003+233</f>
        <v>1236</v>
      </c>
      <c r="S103" s="84">
        <f>1003+1349-R103</f>
        <v>1116</v>
      </c>
      <c r="T103" s="84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>
        <f t="shared" si="176"/>
        <v>18542</v>
      </c>
      <c r="AG103" s="32">
        <f t="shared" si="177"/>
        <v>13100</v>
      </c>
      <c r="AH103" s="32">
        <f t="shared" si="178"/>
        <v>10754</v>
      </c>
      <c r="AI103" s="32">
        <f t="shared" si="179"/>
        <v>8383</v>
      </c>
      <c r="AJ103" s="32">
        <f t="shared" si="180"/>
        <v>8383</v>
      </c>
      <c r="AK103" s="11"/>
      <c r="AL103" s="77"/>
    </row>
    <row r="104" spans="2:38" ht="12.75" customHeight="1">
      <c r="B104" s="61" t="s">
        <v>167</v>
      </c>
      <c r="C104" s="84">
        <v>0</v>
      </c>
      <c r="D104" s="84">
        <v>10138</v>
      </c>
      <c r="E104" s="84">
        <v>1272</v>
      </c>
      <c r="F104" s="84">
        <v>1421</v>
      </c>
      <c r="G104" s="84">
        <v>4210</v>
      </c>
      <c r="H104" s="84">
        <v>3821</v>
      </c>
      <c r="I104" s="32"/>
      <c r="J104" s="84">
        <v>1052</v>
      </c>
      <c r="K104" s="84"/>
      <c r="L104" s="84"/>
      <c r="M104" s="32">
        <f t="shared" si="160"/>
        <v>3158</v>
      </c>
      <c r="N104" s="84">
        <v>1052</v>
      </c>
      <c r="O104" s="84">
        <f>2105-N104</f>
        <v>1053</v>
      </c>
      <c r="P104" s="84"/>
      <c r="Q104" s="32">
        <f t="shared" si="161"/>
        <v>1716</v>
      </c>
      <c r="R104" s="84">
        <v>0</v>
      </c>
      <c r="S104" s="84">
        <v>0</v>
      </c>
      <c r="T104" s="84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>
        <f t="shared" si="176"/>
        <v>5263</v>
      </c>
      <c r="AG104" s="32">
        <f t="shared" si="177"/>
        <v>3821</v>
      </c>
      <c r="AH104" s="32">
        <f t="shared" si="178"/>
        <v>2769</v>
      </c>
      <c r="AI104" s="32">
        <f t="shared" si="179"/>
        <v>1716</v>
      </c>
      <c r="AJ104" s="32">
        <f t="shared" si="180"/>
        <v>1716</v>
      </c>
      <c r="AK104" s="11"/>
      <c r="AL104" s="77"/>
    </row>
    <row r="105" spans="2:38" ht="12.75" customHeight="1">
      <c r="B105" s="61" t="s">
        <v>186</v>
      </c>
      <c r="C105" s="84">
        <f>315-822</f>
        <v>-507</v>
      </c>
      <c r="D105" s="84">
        <f>-249+252+118</f>
        <v>121</v>
      </c>
      <c r="E105" s="84">
        <f>-88+226+731+331630</f>
        <v>332499</v>
      </c>
      <c r="F105" s="84">
        <f>-108+199+68+333691</f>
        <v>333850</v>
      </c>
      <c r="G105" s="84">
        <f>159+314-762</f>
        <v>-289</v>
      </c>
      <c r="H105" s="84">
        <f>822+103-3082</f>
        <v>-2157</v>
      </c>
      <c r="I105" s="32"/>
      <c r="J105" s="84">
        <f>45+6 -435</f>
        <v>-384</v>
      </c>
      <c r="K105" s="84"/>
      <c r="L105" s="84"/>
      <c r="M105" s="32"/>
      <c r="N105" s="84">
        <f>19+1051+51</f>
        <v>1121</v>
      </c>
      <c r="O105" s="84">
        <f>38+823-1112-N105</f>
        <v>-1372</v>
      </c>
      <c r="P105" s="84"/>
      <c r="Q105" s="32">
        <f t="shared" si="161"/>
        <v>-1906</v>
      </c>
      <c r="R105" s="84">
        <f>-767-206+160+34 -2</f>
        <v>-781</v>
      </c>
      <c r="S105" s="84">
        <f>34-2+215+11568-767-897-R105</f>
        <v>10932</v>
      </c>
      <c r="T105" s="84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>
        <f t="shared" si="176"/>
        <v>-251</v>
      </c>
      <c r="AG105" s="32">
        <f t="shared" si="177"/>
        <v>-2157</v>
      </c>
      <c r="AH105" s="32">
        <f t="shared" si="178"/>
        <v>-4059</v>
      </c>
      <c r="AI105" s="32">
        <f t="shared" si="179"/>
        <v>8245</v>
      </c>
      <c r="AJ105" s="32">
        <f t="shared" si="180"/>
        <v>8245</v>
      </c>
      <c r="AK105" s="11"/>
      <c r="AL105" s="77"/>
    </row>
    <row r="106" spans="2:38" ht="12.75" customHeight="1">
      <c r="B106" s="61" t="s">
        <v>168</v>
      </c>
      <c r="C106" s="84">
        <v>0</v>
      </c>
      <c r="D106" s="84">
        <v>0</v>
      </c>
      <c r="E106" s="84">
        <v>0</v>
      </c>
      <c r="F106" s="84">
        <v>13962</v>
      </c>
      <c r="G106" s="84">
        <v>8145</v>
      </c>
      <c r="H106" s="84">
        <v>10156</v>
      </c>
      <c r="I106" s="32"/>
      <c r="J106" s="84">
        <v>3808</v>
      </c>
      <c r="K106" s="84"/>
      <c r="L106" s="84"/>
      <c r="M106" s="32">
        <f t="shared" si="160"/>
        <v>4337</v>
      </c>
      <c r="N106" s="84">
        <v>2883</v>
      </c>
      <c r="O106" s="84">
        <f>5767-N106</f>
        <v>2884</v>
      </c>
      <c r="P106" s="84"/>
      <c r="Q106" s="32">
        <f t="shared" si="161"/>
        <v>4389</v>
      </c>
      <c r="R106" s="84">
        <v>0</v>
      </c>
      <c r="S106" s="84">
        <f>109-R106</f>
        <v>109</v>
      </c>
      <c r="T106" s="84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>
        <f t="shared" si="176"/>
        <v>10104</v>
      </c>
      <c r="AG106" s="32">
        <f t="shared" si="177"/>
        <v>10156</v>
      </c>
      <c r="AH106" s="32">
        <f t="shared" si="178"/>
        <v>7273</v>
      </c>
      <c r="AI106" s="32">
        <f t="shared" si="179"/>
        <v>4498</v>
      </c>
      <c r="AJ106" s="32">
        <f t="shared" si="180"/>
        <v>4498</v>
      </c>
      <c r="AK106" s="11"/>
      <c r="AL106" s="77"/>
    </row>
    <row r="107" spans="2:38" ht="12.75" customHeight="1">
      <c r="B107" s="61" t="s">
        <v>179</v>
      </c>
      <c r="C107" s="84">
        <v>0</v>
      </c>
      <c r="D107" s="84">
        <v>0</v>
      </c>
      <c r="E107" s="84">
        <v>0</v>
      </c>
      <c r="F107" s="84">
        <v>0</v>
      </c>
      <c r="G107" s="84">
        <v>0</v>
      </c>
      <c r="H107" s="84">
        <v>85554</v>
      </c>
      <c r="I107" s="32"/>
      <c r="J107" s="84">
        <v>0</v>
      </c>
      <c r="K107" s="84"/>
      <c r="L107" s="84"/>
      <c r="M107" s="32">
        <f>SUM(G107-SUM(J107:L107))</f>
        <v>0</v>
      </c>
      <c r="N107" s="84">
        <v>0</v>
      </c>
      <c r="O107" s="84">
        <v>0</v>
      </c>
      <c r="P107" s="84"/>
      <c r="Q107" s="32">
        <f>SUM(H107-SUM(N107:P107))</f>
        <v>85554</v>
      </c>
      <c r="R107" s="84">
        <v>-421464</v>
      </c>
      <c r="S107" s="84">
        <f>-421464-R107</f>
        <v>0</v>
      </c>
      <c r="T107" s="84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>
        <f t="shared" si="176"/>
        <v>0</v>
      </c>
      <c r="AG107" s="32">
        <f t="shared" si="177"/>
        <v>85554</v>
      </c>
      <c r="AH107" s="32">
        <f t="shared" si="178"/>
        <v>-335910</v>
      </c>
      <c r="AI107" s="32">
        <f t="shared" si="179"/>
        <v>-335910</v>
      </c>
      <c r="AJ107" s="32">
        <f t="shared" si="180"/>
        <v>-335910</v>
      </c>
      <c r="AK107" s="11"/>
      <c r="AL107" s="77"/>
    </row>
    <row r="108" spans="2:38" ht="12.75" customHeight="1">
      <c r="B108" s="61"/>
      <c r="C108" s="84"/>
      <c r="D108" s="84"/>
      <c r="E108" s="84"/>
      <c r="F108" s="84"/>
      <c r="G108" s="84"/>
      <c r="H108" s="84"/>
      <c r="I108" s="32"/>
      <c r="J108" s="84"/>
      <c r="K108" s="84"/>
      <c r="L108" s="84"/>
      <c r="M108" s="32"/>
      <c r="N108" s="84"/>
      <c r="O108" s="84"/>
      <c r="P108" s="84"/>
      <c r="Q108" s="32"/>
      <c r="R108" s="84"/>
      <c r="S108" s="84"/>
      <c r="T108" s="84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11"/>
      <c r="AL108" s="77"/>
    </row>
    <row r="109" spans="2:38" ht="12.75" customHeight="1">
      <c r="B109" s="36" t="s">
        <v>14</v>
      </c>
      <c r="C109" s="84"/>
      <c r="D109" s="84"/>
      <c r="E109" s="84"/>
      <c r="F109" s="84"/>
      <c r="G109" s="84"/>
      <c r="H109" s="84"/>
      <c r="I109" s="32"/>
      <c r="J109" s="84"/>
      <c r="K109" s="84"/>
      <c r="L109" s="84"/>
      <c r="M109" s="32"/>
      <c r="N109" s="84"/>
      <c r="O109" s="84"/>
      <c r="P109" s="84"/>
      <c r="Q109" s="32"/>
      <c r="R109" s="84"/>
      <c r="S109" s="84"/>
      <c r="T109" s="84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60"/>
      <c r="AL109" s="77"/>
    </row>
    <row r="110" spans="2:38" ht="12.75" customHeight="1">
      <c r="B110" s="61" t="s">
        <v>149</v>
      </c>
      <c r="C110" s="84">
        <v>-26147</v>
      </c>
      <c r="D110" s="84">
        <v>30486</v>
      </c>
      <c r="E110" s="84">
        <v>-85800</v>
      </c>
      <c r="F110" s="84">
        <v>-68340</v>
      </c>
      <c r="G110" s="84">
        <v>-8351</v>
      </c>
      <c r="H110" s="84">
        <v>26797</v>
      </c>
      <c r="I110" s="32"/>
      <c r="J110" s="84">
        <v>11200</v>
      </c>
      <c r="K110" s="84"/>
      <c r="L110" s="84"/>
      <c r="M110" s="32">
        <f t="shared" ref="M110:M115" si="181">SUM(G110-SUM(J110:L110))</f>
        <v>-19551</v>
      </c>
      <c r="N110" s="84">
        <v>-8052</v>
      </c>
      <c r="O110" s="84">
        <f>-12005-N110</f>
        <v>-3953</v>
      </c>
      <c r="P110" s="84"/>
      <c r="Q110" s="32">
        <f t="shared" ref="Q110:Q115" si="182">SUM(H110-SUM(N110:P110))</f>
        <v>38802</v>
      </c>
      <c r="R110" s="84">
        <f>-22726-10251</f>
        <v>-32977</v>
      </c>
      <c r="S110" s="84">
        <f>-22726-17948-R110</f>
        <v>-7697</v>
      </c>
      <c r="T110" s="84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>
        <f t="shared" ref="AF110:AF115" si="183">SUM(M110:P110)</f>
        <v>-31556</v>
      </c>
      <c r="AG110" s="32">
        <f t="shared" ref="AG110:AG115" si="184">SUM(N110:Q110)</f>
        <v>26797</v>
      </c>
      <c r="AH110" s="32">
        <f t="shared" ref="AH110:AH115" si="185">SUM(O110:R110)</f>
        <v>1872</v>
      </c>
      <c r="AI110" s="32">
        <f t="shared" ref="AI110:AI115" si="186">SUM(P110:S110)</f>
        <v>-1872</v>
      </c>
      <c r="AJ110" s="32">
        <f t="shared" ref="AJ110:AJ115" si="187">SUM(Q110:T110)</f>
        <v>-1872</v>
      </c>
      <c r="AK110" s="60"/>
      <c r="AL110" s="77"/>
    </row>
    <row r="111" spans="2:38" ht="12.75" customHeight="1">
      <c r="B111" s="61" t="s">
        <v>170</v>
      </c>
      <c r="C111" s="84">
        <f>22453+14999+1431-21013</f>
        <v>17870</v>
      </c>
      <c r="D111" s="84">
        <f>23732-12944-223-126447</f>
        <v>-115882</v>
      </c>
      <c r="E111" s="84">
        <f>47855+156+109570</f>
        <v>157581</v>
      </c>
      <c r="F111" s="84">
        <f>-28883+1629</f>
        <v>-27254</v>
      </c>
      <c r="G111" s="84">
        <f>4215+36261</f>
        <v>40476</v>
      </c>
      <c r="H111" s="84">
        <f>-76744-96</f>
        <v>-76840</v>
      </c>
      <c r="I111" s="32"/>
      <c r="J111" s="84">
        <v>580</v>
      </c>
      <c r="K111" s="84"/>
      <c r="L111" s="84"/>
      <c r="M111" s="32">
        <f t="shared" si="181"/>
        <v>39896</v>
      </c>
      <c r="N111" s="84">
        <v>-49338</v>
      </c>
      <c r="O111" s="84">
        <f>-28990-N111</f>
        <v>20348</v>
      </c>
      <c r="P111" s="84"/>
      <c r="Q111" s="32">
        <f t="shared" si="182"/>
        <v>-47850</v>
      </c>
      <c r="R111" s="84">
        <f>13597+4668</f>
        <v>18265</v>
      </c>
      <c r="S111" s="84">
        <f>13597-4188-R111</f>
        <v>-8856</v>
      </c>
      <c r="T111" s="84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>
        <f t="shared" si="183"/>
        <v>10906</v>
      </c>
      <c r="AG111" s="32">
        <f t="shared" si="184"/>
        <v>-76840</v>
      </c>
      <c r="AH111" s="32">
        <f t="shared" si="185"/>
        <v>-9237</v>
      </c>
      <c r="AI111" s="32">
        <f t="shared" si="186"/>
        <v>-38441</v>
      </c>
      <c r="AJ111" s="32">
        <f t="shared" si="187"/>
        <v>-38441</v>
      </c>
      <c r="AK111" s="60"/>
      <c r="AL111" s="77"/>
    </row>
    <row r="112" spans="2:38" ht="12.75" customHeight="1">
      <c r="B112" s="61" t="s">
        <v>171</v>
      </c>
      <c r="C112" s="84">
        <v>-175957</v>
      </c>
      <c r="D112" s="84">
        <v>-75230</v>
      </c>
      <c r="E112" s="84">
        <v>-74083</v>
      </c>
      <c r="F112" s="84">
        <v>-149287</v>
      </c>
      <c r="G112" s="84">
        <v>-202926</v>
      </c>
      <c r="H112" s="84">
        <v>-86412</v>
      </c>
      <c r="I112" s="32"/>
      <c r="J112" s="84">
        <v>-56105</v>
      </c>
      <c r="K112" s="84"/>
      <c r="L112" s="84"/>
      <c r="M112" s="32">
        <f t="shared" si="181"/>
        <v>-146821</v>
      </c>
      <c r="N112" s="84">
        <v>-21110</v>
      </c>
      <c r="O112" s="84">
        <f>-49224-N112</f>
        <v>-28114</v>
      </c>
      <c r="P112" s="84"/>
      <c r="Q112" s="32">
        <f t="shared" si="182"/>
        <v>-37188</v>
      </c>
      <c r="R112" s="84">
        <f>-26736-10639</f>
        <v>-37375</v>
      </c>
      <c r="S112" s="84">
        <f>-26736-12345-R112</f>
        <v>-1706</v>
      </c>
      <c r="T112" s="84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>
        <f t="shared" si="183"/>
        <v>-196045</v>
      </c>
      <c r="AG112" s="32">
        <f t="shared" si="184"/>
        <v>-86412</v>
      </c>
      <c r="AH112" s="32">
        <f t="shared" si="185"/>
        <v>-102677</v>
      </c>
      <c r="AI112" s="32">
        <f t="shared" si="186"/>
        <v>-76269</v>
      </c>
      <c r="AJ112" s="32">
        <f t="shared" si="187"/>
        <v>-76269</v>
      </c>
      <c r="AK112" s="60"/>
      <c r="AL112" s="77"/>
    </row>
    <row r="113" spans="2:38" ht="12.75" customHeight="1">
      <c r="B113" s="61" t="s">
        <v>13</v>
      </c>
      <c r="C113" s="84">
        <v>569</v>
      </c>
      <c r="D113" s="84">
        <v>-17052</v>
      </c>
      <c r="E113" s="84">
        <v>13057</v>
      </c>
      <c r="F113" s="84">
        <v>9032</v>
      </c>
      <c r="G113" s="84">
        <v>-34051</v>
      </c>
      <c r="H113" s="84">
        <v>-40124</v>
      </c>
      <c r="I113" s="32"/>
      <c r="J113" s="84">
        <v>-37048</v>
      </c>
      <c r="K113" s="84"/>
      <c r="L113" s="84"/>
      <c r="M113" s="32">
        <f t="shared" si="181"/>
        <v>2997</v>
      </c>
      <c r="N113" s="84">
        <v>38717</v>
      </c>
      <c r="O113" s="84">
        <f>-2599-N113</f>
        <v>-41316</v>
      </c>
      <c r="P113" s="84"/>
      <c r="Q113" s="32">
        <f t="shared" si="182"/>
        <v>-37525</v>
      </c>
      <c r="R113" s="84">
        <f>14240+54537</f>
        <v>68777</v>
      </c>
      <c r="S113" s="84">
        <f>14240+101000-R113</f>
        <v>46463</v>
      </c>
      <c r="T113" s="84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>
        <f t="shared" si="183"/>
        <v>398</v>
      </c>
      <c r="AG113" s="32">
        <f t="shared" si="184"/>
        <v>-40124</v>
      </c>
      <c r="AH113" s="32">
        <f t="shared" si="185"/>
        <v>-10064</v>
      </c>
      <c r="AI113" s="32">
        <f t="shared" si="186"/>
        <v>77715</v>
      </c>
      <c r="AJ113" s="32">
        <f t="shared" si="187"/>
        <v>77715</v>
      </c>
      <c r="AK113" s="60"/>
      <c r="AL113" s="77"/>
    </row>
    <row r="114" spans="2:38" ht="12.75" customHeight="1">
      <c r="B114" s="61" t="s">
        <v>154</v>
      </c>
      <c r="C114" s="84">
        <v>23429</v>
      </c>
      <c r="D114" s="84">
        <v>86558</v>
      </c>
      <c r="E114" s="84">
        <v>-19649</v>
      </c>
      <c r="F114" s="84">
        <v>47301</v>
      </c>
      <c r="G114" s="84">
        <v>-45867</v>
      </c>
      <c r="H114" s="84">
        <v>53062</v>
      </c>
      <c r="I114" s="32"/>
      <c r="J114" s="84">
        <v>137238</v>
      </c>
      <c r="K114" s="84"/>
      <c r="L114" s="84"/>
      <c r="M114" s="32">
        <f t="shared" si="181"/>
        <v>-183105</v>
      </c>
      <c r="N114" s="84">
        <v>91902</v>
      </c>
      <c r="O114" s="84">
        <f>113234-N114</f>
        <v>21332</v>
      </c>
      <c r="P114" s="84"/>
      <c r="Q114" s="32">
        <f t="shared" si="182"/>
        <v>-60172</v>
      </c>
      <c r="R114" s="84">
        <f>81855-64147</f>
        <v>17708</v>
      </c>
      <c r="S114" s="84">
        <f>81855-111195-R114</f>
        <v>-47048</v>
      </c>
      <c r="T114" s="84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>
        <f t="shared" si="183"/>
        <v>-69871</v>
      </c>
      <c r="AG114" s="32">
        <f t="shared" si="184"/>
        <v>53062</v>
      </c>
      <c r="AH114" s="32">
        <f t="shared" si="185"/>
        <v>-21132</v>
      </c>
      <c r="AI114" s="32">
        <f t="shared" si="186"/>
        <v>-89512</v>
      </c>
      <c r="AJ114" s="32">
        <f t="shared" si="187"/>
        <v>-89512</v>
      </c>
      <c r="AK114" s="60"/>
      <c r="AL114" s="77"/>
    </row>
    <row r="115" spans="2:38" ht="12.75" customHeight="1">
      <c r="B115" s="61" t="s">
        <v>172</v>
      </c>
      <c r="C115" s="84">
        <v>1698</v>
      </c>
      <c r="D115" s="84">
        <v>27194</v>
      </c>
      <c r="E115" s="84">
        <v>80103</v>
      </c>
      <c r="F115" s="84">
        <v>68389</v>
      </c>
      <c r="G115" s="84">
        <v>176440</v>
      </c>
      <c r="H115" s="84">
        <v>-63688</v>
      </c>
      <c r="I115" s="32"/>
      <c r="J115" s="84">
        <v>129853</v>
      </c>
      <c r="K115" s="84"/>
      <c r="L115" s="84"/>
      <c r="M115" s="32">
        <f t="shared" si="181"/>
        <v>46587</v>
      </c>
      <c r="N115" s="84">
        <v>-121489</v>
      </c>
      <c r="O115" s="84">
        <f>-110370-N115</f>
        <v>11119</v>
      </c>
      <c r="P115" s="84"/>
      <c r="Q115" s="32">
        <f t="shared" si="182"/>
        <v>46682</v>
      </c>
      <c r="R115" s="84">
        <f>-20165+14516</f>
        <v>-5649</v>
      </c>
      <c r="S115" s="84">
        <f>-20165-31906-R115</f>
        <v>-46422</v>
      </c>
      <c r="T115" s="84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>
        <f t="shared" si="183"/>
        <v>-63783</v>
      </c>
      <c r="AG115" s="32">
        <f t="shared" si="184"/>
        <v>-63688</v>
      </c>
      <c r="AH115" s="32">
        <f t="shared" si="185"/>
        <v>52152</v>
      </c>
      <c r="AI115" s="32">
        <f t="shared" si="186"/>
        <v>-5389</v>
      </c>
      <c r="AJ115" s="32">
        <f t="shared" si="187"/>
        <v>-5389</v>
      </c>
      <c r="AK115" s="60"/>
      <c r="AL115" s="77"/>
    </row>
    <row r="116" spans="2:38" ht="12.75" customHeight="1">
      <c r="B116" s="13" t="s">
        <v>57</v>
      </c>
      <c r="C116" s="34">
        <f>SUM(C96:C115)</f>
        <v>551321</v>
      </c>
      <c r="D116" s="34">
        <f>SUM(D96:D115)</f>
        <v>-225274</v>
      </c>
      <c r="E116" s="14">
        <f>SUM(E96:E115)</f>
        <v>208888</v>
      </c>
      <c r="F116" s="14">
        <f>SUM(F96:F115)</f>
        <v>-89022</v>
      </c>
      <c r="G116" s="14">
        <f>SUM(G96:G115)</f>
        <v>-246661</v>
      </c>
      <c r="H116" s="14">
        <f>SUM(H96:H115)</f>
        <v>-758087</v>
      </c>
      <c r="J116" s="14">
        <f>SUM(J96:J115)</f>
        <v>140777</v>
      </c>
      <c r="K116" s="14">
        <f>SUM(K96:K115)</f>
        <v>-2349</v>
      </c>
      <c r="L116" s="14">
        <f>SUM(L96:L115)</f>
        <v>-157552</v>
      </c>
      <c r="M116" s="14">
        <f>SUM(M96:M115)</f>
        <v>-227632</v>
      </c>
      <c r="N116" s="14">
        <f>SUM(N96:N115)</f>
        <v>-136975</v>
      </c>
      <c r="O116" s="14">
        <f>SUM(O96:O115)</f>
        <v>-133018</v>
      </c>
      <c r="P116" s="14">
        <f>SUM(P96:P115)</f>
        <v>-308243</v>
      </c>
      <c r="Q116" s="14">
        <f>SUM(Q96:Q115)</f>
        <v>-179851</v>
      </c>
      <c r="R116" s="14">
        <f>SUM(R96:R115)</f>
        <v>-234283</v>
      </c>
      <c r="S116" s="14">
        <f>SUM(S96:S115)</f>
        <v>-239067</v>
      </c>
      <c r="T116" s="14">
        <f>SUM(T96:T115)</f>
        <v>-317476</v>
      </c>
      <c r="V116" s="14" t="e">
        <f>SUM(V96:V115)</f>
        <v>#REF!</v>
      </c>
      <c r="W116" s="14" t="e">
        <f>SUM(W96:W115)</f>
        <v>#REF!</v>
      </c>
      <c r="X116" s="14" t="e">
        <f>SUM(X96:X115)</f>
        <v>#REF!</v>
      </c>
      <c r="Y116" s="14" t="e">
        <f>SUM(Y96:Y115)</f>
        <v>#REF!</v>
      </c>
      <c r="Z116" s="14">
        <f>SUM(Z96:Z115)</f>
        <v>-93538</v>
      </c>
      <c r="AA116" s="14">
        <f>SUM(AA96:AA115)</f>
        <v>-95887</v>
      </c>
      <c r="AB116" s="14">
        <f>SUM(AB96:AB115)</f>
        <v>-253439</v>
      </c>
      <c r="AC116" s="14">
        <f>SUM(AC96:AC115)</f>
        <v>-401535</v>
      </c>
      <c r="AD116" s="14">
        <f>SUM(AD96:AD115)</f>
        <v>-450581</v>
      </c>
      <c r="AE116" s="14">
        <f>SUM(AE96:AE115)</f>
        <v>-654864</v>
      </c>
      <c r="AF116" s="14">
        <f>SUM(AF96:AF115)</f>
        <v>-805868</v>
      </c>
      <c r="AG116" s="14">
        <f>SUM(AG96:AG115)</f>
        <v>-758087</v>
      </c>
      <c r="AH116" s="14">
        <f>SUM(AH96:AH115)</f>
        <v>-855395</v>
      </c>
      <c r="AI116" s="14">
        <f>SUM(AI96:AI115)</f>
        <v>-961444</v>
      </c>
      <c r="AJ116" s="14">
        <f>SUM(AJ96:AJ115)</f>
        <v>-970677</v>
      </c>
      <c r="AK116" s="42"/>
      <c r="AL116" s="78">
        <f t="shared" ref="AL116" si="188">SUM(AJ116/AF116)-1</f>
        <v>0.20451116063672958</v>
      </c>
    </row>
    <row r="117" spans="2:38" ht="12.75" customHeight="1">
      <c r="B117" s="54"/>
      <c r="C117" s="62"/>
      <c r="D117" s="62"/>
      <c r="E117" s="62"/>
      <c r="F117" s="62"/>
      <c r="G117" s="62"/>
      <c r="H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39"/>
    </row>
    <row r="118" spans="2:38" ht="12.75" customHeight="1">
      <c r="B118" s="54" t="s">
        <v>58</v>
      </c>
      <c r="C118" s="60"/>
      <c r="D118" s="59"/>
      <c r="E118" s="59"/>
      <c r="F118" s="59"/>
      <c r="G118" s="59"/>
      <c r="H118" s="59"/>
      <c r="J118" s="84"/>
      <c r="K118" s="84"/>
      <c r="L118" s="84"/>
      <c r="M118" s="32"/>
      <c r="N118" s="84"/>
      <c r="O118" s="84"/>
      <c r="P118" s="84"/>
      <c r="Q118" s="32"/>
      <c r="R118" s="59"/>
      <c r="S118" s="59"/>
      <c r="T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60"/>
      <c r="AL118" s="39"/>
    </row>
    <row r="119" spans="2:38" ht="12.75" customHeight="1">
      <c r="B119" s="61" t="s">
        <v>174</v>
      </c>
      <c r="C119" s="84">
        <v>-334537</v>
      </c>
      <c r="D119" s="84">
        <v>-393375</v>
      </c>
      <c r="E119" s="84">
        <v>-213767</v>
      </c>
      <c r="F119" s="84">
        <v>-237584</v>
      </c>
      <c r="G119" s="84">
        <v>-255563</v>
      </c>
      <c r="H119" s="84">
        <v>-110955</v>
      </c>
      <c r="I119" s="32"/>
      <c r="J119" s="84">
        <v>-60513</v>
      </c>
      <c r="K119" s="84"/>
      <c r="L119" s="84"/>
      <c r="M119" s="32">
        <f>SUM(G119-SUM(J119:L119))</f>
        <v>-195050</v>
      </c>
      <c r="N119" s="84">
        <v>-64338</v>
      </c>
      <c r="O119" s="84">
        <f>-60551-N119</f>
        <v>3787</v>
      </c>
      <c r="P119" s="84"/>
      <c r="Q119" s="32">
        <f>SUM(H119-SUM(N119:P119))</f>
        <v>-50404</v>
      </c>
      <c r="R119" s="84">
        <f>-7204-4154</f>
        <v>-11358</v>
      </c>
      <c r="S119" s="84">
        <f>-7204-14081-R119</f>
        <v>-9927</v>
      </c>
      <c r="T119" s="84"/>
      <c r="U119" s="32"/>
      <c r="V119" s="32" t="e">
        <f>SUM(#REF!)</f>
        <v>#REF!</v>
      </c>
      <c r="W119" s="32" t="e">
        <f>SUM(#REF!)</f>
        <v>#REF!</v>
      </c>
      <c r="X119" s="32" t="e">
        <f>SUM(#REF!)</f>
        <v>#REF!</v>
      </c>
      <c r="Y119" s="32" t="e">
        <f>SUM(#REF!)</f>
        <v>#REF!</v>
      </c>
      <c r="Z119" s="32">
        <f>SUM(J119:J119)</f>
        <v>-60513</v>
      </c>
      <c r="AA119" s="32">
        <f>SUM(J119:K119)</f>
        <v>-60513</v>
      </c>
      <c r="AB119" s="32">
        <f>SUM(J119:L119)</f>
        <v>-60513</v>
      </c>
      <c r="AC119" s="32">
        <f t="shared" ref="AC119" si="189">SUM(J119:M119)</f>
        <v>-255563</v>
      </c>
      <c r="AD119" s="32">
        <f t="shared" ref="AD119" si="190">SUM(K119:N119)</f>
        <v>-259388</v>
      </c>
      <c r="AE119" s="32">
        <f t="shared" ref="AE119" si="191">SUM(L119:O119)</f>
        <v>-255601</v>
      </c>
      <c r="AF119" s="32">
        <f t="shared" ref="AF119:AF120" si="192">SUM(M119:P119)</f>
        <v>-255601</v>
      </c>
      <c r="AG119" s="32">
        <f t="shared" ref="AG119:AG121" si="193">SUM(N119:Q119)</f>
        <v>-110955</v>
      </c>
      <c r="AH119" s="32">
        <f t="shared" ref="AH119:AH121" si="194">SUM(O119:R119)</f>
        <v>-57975</v>
      </c>
      <c r="AI119" s="32">
        <f t="shared" ref="AI119:AI121" si="195">SUM(P119:S119)</f>
        <v>-71689</v>
      </c>
      <c r="AJ119" s="32">
        <f t="shared" ref="AJ119:AJ121" si="196">SUM(Q119:T119)</f>
        <v>-71689</v>
      </c>
      <c r="AK119" s="60"/>
      <c r="AL119" s="77">
        <f t="shared" ref="AL119" si="197">SUM(AJ119/AF119)-1</f>
        <v>-0.71952770137832012</v>
      </c>
    </row>
    <row r="120" spans="2:38" ht="12.75" customHeight="1">
      <c r="B120" s="61" t="s">
        <v>173</v>
      </c>
      <c r="C120" s="84">
        <v>0</v>
      </c>
      <c r="D120" s="84">
        <v>0</v>
      </c>
      <c r="E120" s="84">
        <v>0</v>
      </c>
      <c r="F120" s="84">
        <v>0</v>
      </c>
      <c r="G120" s="84">
        <v>230788</v>
      </c>
      <c r="H120" s="84">
        <v>232564</v>
      </c>
      <c r="I120" s="32"/>
      <c r="J120" s="84">
        <v>23845</v>
      </c>
      <c r="K120" s="84"/>
      <c r="L120" s="84"/>
      <c r="M120" s="32">
        <f t="shared" ref="M120" si="198">SUM(G120-SUM(J120:L120))</f>
        <v>206943</v>
      </c>
      <c r="N120" s="84">
        <v>138771</v>
      </c>
      <c r="O120" s="84">
        <f>161581-N120</f>
        <v>22810</v>
      </c>
      <c r="P120" s="84"/>
      <c r="Q120" s="32">
        <f t="shared" ref="Q120" si="199">SUM(H120-SUM(N120:P120))</f>
        <v>70983</v>
      </c>
      <c r="R120" s="84">
        <v>0</v>
      </c>
      <c r="S120" s="84">
        <v>0</v>
      </c>
      <c r="T120" s="84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>
        <f t="shared" si="192"/>
        <v>368524</v>
      </c>
      <c r="AG120" s="32">
        <f t="shared" si="193"/>
        <v>232564</v>
      </c>
      <c r="AH120" s="32">
        <f t="shared" si="194"/>
        <v>93793</v>
      </c>
      <c r="AI120" s="32">
        <f t="shared" si="195"/>
        <v>70983</v>
      </c>
      <c r="AJ120" s="32">
        <f t="shared" si="196"/>
        <v>70983</v>
      </c>
      <c r="AK120" s="60"/>
      <c r="AL120" s="77"/>
    </row>
    <row r="121" spans="2:38" ht="12.75" customHeight="1">
      <c r="B121" s="61" t="s">
        <v>191</v>
      </c>
      <c r="C121" s="84">
        <f>-122410+120830</f>
        <v>-1580</v>
      </c>
      <c r="D121" s="84">
        <f>-118893+117665</f>
        <v>-1228</v>
      </c>
      <c r="E121" s="84">
        <f>-105361+104500</f>
        <v>-861</v>
      </c>
      <c r="F121" s="84">
        <f>-110690+109500</f>
        <v>-1190</v>
      </c>
      <c r="G121" s="84">
        <f>-127627+125570</f>
        <v>-2057</v>
      </c>
      <c r="H121" s="84">
        <f>-161745+160350</f>
        <v>-1395</v>
      </c>
      <c r="I121" s="32"/>
      <c r="J121" s="84">
        <f>-20593+20000</f>
        <v>-593</v>
      </c>
      <c r="K121" s="84"/>
      <c r="L121" s="84"/>
      <c r="M121" s="32"/>
      <c r="N121" s="84">
        <f>58350-58676</f>
        <v>-326</v>
      </c>
      <c r="O121" s="84">
        <f>94100-94724-N121</f>
        <v>-298</v>
      </c>
      <c r="P121" s="84"/>
      <c r="Q121" s="32">
        <f t="shared" ref="Q121:Q122" si="200">SUM(H121-SUM(N121:P121))</f>
        <v>-771</v>
      </c>
      <c r="R121" s="84">
        <f>24750+8170-25072-8242</f>
        <v>-394</v>
      </c>
      <c r="S121" s="84">
        <f>-25072-27996+24750+148186-R121</f>
        <v>120262</v>
      </c>
      <c r="T121" s="84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>
        <f t="shared" ref="AF121" si="201">SUM(M121:P121)</f>
        <v>-624</v>
      </c>
      <c r="AG121" s="32">
        <f t="shared" si="193"/>
        <v>-1395</v>
      </c>
      <c r="AH121" s="32">
        <f t="shared" si="194"/>
        <v>-1463</v>
      </c>
      <c r="AI121" s="32">
        <f t="shared" si="195"/>
        <v>119097</v>
      </c>
      <c r="AJ121" s="32">
        <f t="shared" si="196"/>
        <v>119097</v>
      </c>
      <c r="AK121" s="60"/>
      <c r="AL121" s="77"/>
    </row>
    <row r="122" spans="2:38" ht="12.75" customHeight="1">
      <c r="B122" s="61" t="s">
        <v>146</v>
      </c>
      <c r="C122" s="84">
        <v>-10774</v>
      </c>
      <c r="D122" s="84">
        <v>-12233</v>
      </c>
      <c r="E122" s="84">
        <v>-17258</v>
      </c>
      <c r="F122" s="84">
        <v>-18166</v>
      </c>
      <c r="G122" s="84">
        <v>-21860</v>
      </c>
      <c r="H122" s="84">
        <v>-14475</v>
      </c>
      <c r="I122" s="32"/>
      <c r="J122" s="84">
        <v>-4862</v>
      </c>
      <c r="K122" s="84"/>
      <c r="L122" s="84"/>
      <c r="M122" s="32">
        <f t="shared" ref="M122" si="202">SUM(G122-SUM(J122:L122))</f>
        <v>-16998</v>
      </c>
      <c r="N122" s="84">
        <v>-5726</v>
      </c>
      <c r="O122" s="84">
        <f>-10849-N122</f>
        <v>-5123</v>
      </c>
      <c r="P122" s="84"/>
      <c r="Q122" s="32">
        <f t="shared" si="200"/>
        <v>-3626</v>
      </c>
      <c r="R122" s="84">
        <f>-1331-51</f>
        <v>-1382</v>
      </c>
      <c r="S122" s="84">
        <f>-1331-262-R122</f>
        <v>-211</v>
      </c>
      <c r="T122" s="84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>
        <f t="shared" ref="AF122" si="203">SUM(M122:P122)</f>
        <v>-27847</v>
      </c>
      <c r="AG122" s="32">
        <f t="shared" ref="AG122" si="204">SUM(N122:Q122)</f>
        <v>-14475</v>
      </c>
      <c r="AH122" s="32">
        <f t="shared" ref="AH122" si="205">SUM(O122:R122)</f>
        <v>-10131</v>
      </c>
      <c r="AI122" s="32">
        <f t="shared" ref="AI122" si="206">SUM(P122:S122)</f>
        <v>-5219</v>
      </c>
      <c r="AJ122" s="32">
        <f t="shared" ref="AJ122" si="207">SUM(Q122:T122)</f>
        <v>-5219</v>
      </c>
      <c r="AK122" s="60"/>
      <c r="AL122" s="77"/>
    </row>
    <row r="123" spans="2:38" ht="12.75" customHeight="1">
      <c r="B123" s="61" t="s">
        <v>193</v>
      </c>
      <c r="C123" s="84">
        <v>-102102</v>
      </c>
      <c r="D123" s="84">
        <v>-143220</v>
      </c>
      <c r="E123" s="84">
        <v>-119352</v>
      </c>
      <c r="F123" s="84">
        <v>-8498</v>
      </c>
      <c r="G123" s="84">
        <v>23156</v>
      </c>
      <c r="H123" s="84">
        <f>-6471+362765</f>
        <v>356294</v>
      </c>
      <c r="I123" s="32"/>
      <c r="J123" s="84">
        <v>-25443</v>
      </c>
      <c r="K123" s="84"/>
      <c r="L123" s="84"/>
      <c r="M123" s="32">
        <f t="shared" ref="M123" si="208">SUM(G123-SUM(J123:L123))</f>
        <v>48599</v>
      </c>
      <c r="N123" s="84">
        <f>32239-1836</f>
        <v>30403</v>
      </c>
      <c r="O123" s="84">
        <f>163995-1836-N123</f>
        <v>131756</v>
      </c>
      <c r="P123" s="84"/>
      <c r="Q123" s="32">
        <f t="shared" ref="Q123" si="209">SUM(H123-SUM(N123:P123))</f>
        <v>194135</v>
      </c>
      <c r="R123" s="84">
        <f>26434-1411-706</f>
        <v>24317</v>
      </c>
      <c r="S123" s="84">
        <f>-1411-2823+26434+13217-R123</f>
        <v>11100</v>
      </c>
      <c r="T123" s="84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>
        <f t="shared" ref="AF123:AF124" si="210">SUM(M123:P123)</f>
        <v>210758</v>
      </c>
      <c r="AG123" s="32">
        <f t="shared" ref="AG123:AG124" si="211">SUM(N123:Q123)</f>
        <v>356294</v>
      </c>
      <c r="AH123" s="32">
        <f t="shared" ref="AH123:AH124" si="212">SUM(O123:R123)</f>
        <v>350208</v>
      </c>
      <c r="AI123" s="32">
        <f t="shared" ref="AI123:AI124" si="213">SUM(P123:S123)</f>
        <v>229552</v>
      </c>
      <c r="AJ123" s="32">
        <f t="shared" ref="AJ123:AJ124" si="214">SUM(Q123:T123)</f>
        <v>229552</v>
      </c>
      <c r="AK123" s="60"/>
      <c r="AL123" s="77"/>
    </row>
    <row r="124" spans="2:38" ht="12.75" customHeight="1">
      <c r="B124" s="61" t="s">
        <v>192</v>
      </c>
      <c r="C124" s="84">
        <v>-7936</v>
      </c>
      <c r="D124" s="84">
        <v>-3944</v>
      </c>
      <c r="E124" s="84">
        <v>-1207</v>
      </c>
      <c r="F124" s="84">
        <v>-2</v>
      </c>
      <c r="G124" s="84">
        <v>-10972</v>
      </c>
      <c r="H124" s="84">
        <v>1568</v>
      </c>
      <c r="I124" s="32"/>
      <c r="J124" s="84">
        <v>0</v>
      </c>
      <c r="K124" s="84"/>
      <c r="L124" s="84"/>
      <c r="M124" s="32">
        <f>SUM(G124-SUM(J124:L124))</f>
        <v>-10972</v>
      </c>
      <c r="N124" s="84">
        <v>34</v>
      </c>
      <c r="O124" s="84">
        <f>395-N124</f>
        <v>361</v>
      </c>
      <c r="P124" s="84"/>
      <c r="Q124" s="32">
        <f>SUM(H124-SUM(N124:P124))</f>
        <v>1173</v>
      </c>
      <c r="R124" s="84">
        <f>2875+829</f>
        <v>3704</v>
      </c>
      <c r="S124" s="84">
        <f>2875+4206-R124</f>
        <v>3377</v>
      </c>
      <c r="T124" s="84"/>
      <c r="U124" s="32"/>
      <c r="V124" s="32" t="e">
        <f>SUM(#REF!)</f>
        <v>#REF!</v>
      </c>
      <c r="W124" s="32" t="e">
        <f>SUM(#REF!)</f>
        <v>#REF!</v>
      </c>
      <c r="X124" s="32" t="e">
        <f>SUM(#REF!)</f>
        <v>#REF!</v>
      </c>
      <c r="Y124" s="32" t="e">
        <f>SUM(#REF!)</f>
        <v>#REF!</v>
      </c>
      <c r="Z124" s="32">
        <f>SUM(J124:J124)</f>
        <v>0</v>
      </c>
      <c r="AA124" s="32">
        <f>SUM(J124:K124)</f>
        <v>0</v>
      </c>
      <c r="AB124" s="32">
        <f>SUM(J124:L124)</f>
        <v>0</v>
      </c>
      <c r="AC124" s="32">
        <f t="shared" ref="AC124" si="215">SUM(J124:M124)</f>
        <v>-10972</v>
      </c>
      <c r="AD124" s="32">
        <f t="shared" ref="AD124" si="216">SUM(K124:N124)</f>
        <v>-10938</v>
      </c>
      <c r="AE124" s="32">
        <f t="shared" ref="AE124" si="217">SUM(L124:O124)</f>
        <v>-10577</v>
      </c>
      <c r="AF124" s="32">
        <f t="shared" si="210"/>
        <v>-10577</v>
      </c>
      <c r="AG124" s="32">
        <f t="shared" si="211"/>
        <v>1568</v>
      </c>
      <c r="AH124" s="32">
        <f t="shared" si="212"/>
        <v>5238</v>
      </c>
      <c r="AI124" s="32">
        <f t="shared" si="213"/>
        <v>8254</v>
      </c>
      <c r="AJ124" s="32">
        <f t="shared" si="214"/>
        <v>8254</v>
      </c>
      <c r="AK124" s="60"/>
      <c r="AL124" s="77">
        <f t="shared" ref="AL124:AL133" si="218">SUM(AJ124/AF124)-1</f>
        <v>-1.7803725063817719</v>
      </c>
    </row>
    <row r="125" spans="2:38" ht="12.75" customHeight="1">
      <c r="B125" s="13" t="s">
        <v>59</v>
      </c>
      <c r="C125" s="14">
        <f>SUM(C119:C124)</f>
        <v>-456929</v>
      </c>
      <c r="D125" s="14">
        <f t="shared" ref="D125:H125" si="219">SUM(D119:D124)</f>
        <v>-554000</v>
      </c>
      <c r="E125" s="14">
        <f t="shared" si="219"/>
        <v>-352445</v>
      </c>
      <c r="F125" s="14">
        <f t="shared" si="219"/>
        <v>-265440</v>
      </c>
      <c r="G125" s="14">
        <f t="shared" si="219"/>
        <v>-36508</v>
      </c>
      <c r="H125" s="14">
        <f t="shared" si="219"/>
        <v>463601</v>
      </c>
      <c r="J125" s="14">
        <f t="shared" ref="J125" si="220">SUM(J119:J124)</f>
        <v>-67566</v>
      </c>
      <c r="K125" s="14">
        <f t="shared" ref="K125" si="221">SUM(K119:K124)</f>
        <v>0</v>
      </c>
      <c r="L125" s="14">
        <f t="shared" ref="L125" si="222">SUM(L119:L124)</f>
        <v>0</v>
      </c>
      <c r="M125" s="14">
        <f t="shared" ref="M125" si="223">SUM(M119:M124)</f>
        <v>32522</v>
      </c>
      <c r="N125" s="14">
        <f t="shared" ref="N125" si="224">SUM(N119:N124)</f>
        <v>98818</v>
      </c>
      <c r="O125" s="14">
        <f t="shared" ref="O125" si="225">SUM(O119:O124)</f>
        <v>153293</v>
      </c>
      <c r="P125" s="14">
        <f t="shared" ref="P125" si="226">SUM(P119:P124)</f>
        <v>0</v>
      </c>
      <c r="Q125" s="14">
        <f t="shared" ref="Q125" si="227">SUM(Q119:Q124)</f>
        <v>211490</v>
      </c>
      <c r="R125" s="14">
        <f t="shared" ref="R125" si="228">SUM(R119:R124)</f>
        <v>14887</v>
      </c>
      <c r="S125" s="14">
        <f t="shared" ref="S125" si="229">SUM(S119:S124)</f>
        <v>124601</v>
      </c>
      <c r="T125" s="14">
        <f t="shared" ref="T125" si="230">SUM(T119:T124)</f>
        <v>0</v>
      </c>
      <c r="V125" s="14" t="e">
        <f t="shared" ref="V125" si="231">SUM(V119:V124)</f>
        <v>#REF!</v>
      </c>
      <c r="W125" s="14" t="e">
        <f t="shared" ref="W125" si="232">SUM(W119:W124)</f>
        <v>#REF!</v>
      </c>
      <c r="X125" s="14" t="e">
        <f t="shared" ref="X125" si="233">SUM(X119:X124)</f>
        <v>#REF!</v>
      </c>
      <c r="Y125" s="14" t="e">
        <f t="shared" ref="Y125" si="234">SUM(Y119:Y124)</f>
        <v>#REF!</v>
      </c>
      <c r="Z125" s="14">
        <f t="shared" ref="Z125" si="235">SUM(Z119:Z124)</f>
        <v>-60513</v>
      </c>
      <c r="AA125" s="14">
        <f t="shared" ref="AA125" si="236">SUM(AA119:AA124)</f>
        <v>-60513</v>
      </c>
      <c r="AB125" s="14">
        <f t="shared" ref="AB125" si="237">SUM(AB119:AB124)</f>
        <v>-60513</v>
      </c>
      <c r="AC125" s="14">
        <f t="shared" ref="AC125" si="238">SUM(AC119:AC124)</f>
        <v>-266535</v>
      </c>
      <c r="AD125" s="14">
        <f t="shared" ref="AD125" si="239">SUM(AD119:AD124)</f>
        <v>-270326</v>
      </c>
      <c r="AE125" s="14">
        <f t="shared" ref="AE125" si="240">SUM(AE119:AE124)</f>
        <v>-266178</v>
      </c>
      <c r="AF125" s="14">
        <f t="shared" ref="AF125" si="241">SUM(AF119:AF124)</f>
        <v>284633</v>
      </c>
      <c r="AG125" s="14">
        <f t="shared" ref="AG125" si="242">SUM(AG119:AG124)</f>
        <v>463601</v>
      </c>
      <c r="AH125" s="14">
        <f t="shared" ref="AH125" si="243">SUM(AH119:AH124)</f>
        <v>379670</v>
      </c>
      <c r="AI125" s="14">
        <f t="shared" ref="AI125" si="244">SUM(AI119:AI124)</f>
        <v>350978</v>
      </c>
      <c r="AJ125" s="14">
        <f t="shared" ref="AJ125" si="245">SUM(AJ119:AJ124)</f>
        <v>350978</v>
      </c>
      <c r="AK125" s="42"/>
      <c r="AL125" s="78">
        <f t="shared" si="218"/>
        <v>0.23308962769601549</v>
      </c>
    </row>
    <row r="126" spans="2:38" ht="5.0999999999999996" customHeight="1">
      <c r="B126" s="53"/>
      <c r="C126" s="62"/>
      <c r="D126" s="62"/>
      <c r="E126" s="62"/>
      <c r="F126" s="62"/>
      <c r="G126" s="62"/>
      <c r="H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39"/>
    </row>
    <row r="127" spans="2:38" ht="12.75" customHeight="1">
      <c r="B127" s="54" t="s">
        <v>60</v>
      </c>
      <c r="C127" s="64"/>
      <c r="D127" s="64"/>
      <c r="E127" s="64"/>
      <c r="F127" s="64"/>
      <c r="G127" s="64"/>
      <c r="H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65"/>
      <c r="AL127" s="77"/>
    </row>
    <row r="128" spans="2:38" ht="12.75" customHeight="1">
      <c r="B128" s="86" t="s">
        <v>195</v>
      </c>
      <c r="C128" s="84">
        <f>225891-246783</f>
        <v>-20892</v>
      </c>
      <c r="D128" s="84">
        <f>1612391-254304</f>
        <v>1358087</v>
      </c>
      <c r="E128" s="84">
        <f>614496-956788-317905</f>
        <v>-660197</v>
      </c>
      <c r="F128" s="84">
        <f>591000-193033</f>
        <v>397967</v>
      </c>
      <c r="G128" s="84">
        <f>457950-337475-323251</f>
        <v>-202776</v>
      </c>
      <c r="H128" s="84">
        <f>423500-185446-140679+300000</f>
        <v>397375</v>
      </c>
      <c r="J128" s="84">
        <v>-129435</v>
      </c>
      <c r="K128" s="84"/>
      <c r="L128" s="84"/>
      <c r="M128" s="32">
        <f>SUM(G128-SUM(J128:L128))</f>
        <v>-73341</v>
      </c>
      <c r="N128" s="84">
        <f>123500-46818-124007</f>
        <v>-47325</v>
      </c>
      <c r="O128" s="84">
        <f>123500-119632-124007-N128</f>
        <v>-72814</v>
      </c>
      <c r="P128" s="84"/>
      <c r="Q128" s="32">
        <f>SUM(H128-SUM(N128:P128))</f>
        <v>517514</v>
      </c>
      <c r="R128" s="84">
        <f>215000-634506-6275</f>
        <v>-425781</v>
      </c>
      <c r="S128" s="84">
        <f>215000-634506-42129-42966-R128</f>
        <v>-78820</v>
      </c>
      <c r="T128" s="84"/>
      <c r="U128" s="32"/>
      <c r="V128" s="32" t="e">
        <f>SUM(#REF!)</f>
        <v>#REF!</v>
      </c>
      <c r="W128" s="32" t="e">
        <f>SUM(#REF!)</f>
        <v>#REF!</v>
      </c>
      <c r="X128" s="32" t="e">
        <f>SUM(#REF!)</f>
        <v>#REF!</v>
      </c>
      <c r="Y128" s="32" t="e">
        <f>SUM(#REF!)</f>
        <v>#REF!</v>
      </c>
      <c r="Z128" s="32">
        <f>SUM(J128:J128)</f>
        <v>-129435</v>
      </c>
      <c r="AA128" s="32">
        <f>SUM(J128:K128)</f>
        <v>-129435</v>
      </c>
      <c r="AB128" s="32">
        <f>SUM(J128:L128)</f>
        <v>-129435</v>
      </c>
      <c r="AC128" s="32">
        <f t="shared" ref="AC128:AC132" si="246">SUM(J128:M128)</f>
        <v>-202776</v>
      </c>
      <c r="AD128" s="32">
        <f t="shared" ref="AD128:AD132" si="247">SUM(K128:N128)</f>
        <v>-120666</v>
      </c>
      <c r="AE128" s="32">
        <f t="shared" ref="AE128:AE132" si="248">SUM(L128:O128)</f>
        <v>-193480</v>
      </c>
      <c r="AF128" s="32">
        <f t="shared" ref="AF128:AF130" si="249">SUM(M128:P128)</f>
        <v>-193480</v>
      </c>
      <c r="AG128" s="32">
        <f t="shared" ref="AG128:AG130" si="250">SUM(N128:Q128)</f>
        <v>397375</v>
      </c>
      <c r="AH128" s="32">
        <f t="shared" ref="AH128:AH130" si="251">SUM(O128:R128)</f>
        <v>18919</v>
      </c>
      <c r="AI128" s="32">
        <f t="shared" ref="AI128:AI130" si="252">SUM(P128:S128)</f>
        <v>12913</v>
      </c>
      <c r="AJ128" s="32">
        <f t="shared" ref="AJ128:AJ130" si="253">SUM(Q128:T128)</f>
        <v>12913</v>
      </c>
      <c r="AK128" s="65"/>
      <c r="AL128" s="77">
        <f t="shared" si="218"/>
        <v>-1.0667407483977671</v>
      </c>
    </row>
    <row r="129" spans="2:38" ht="12.75" customHeight="1">
      <c r="B129" s="86" t="s">
        <v>175</v>
      </c>
      <c r="C129" s="84">
        <v>-96547</v>
      </c>
      <c r="D129" s="84">
        <v>-25401</v>
      </c>
      <c r="E129" s="84">
        <v>-831</v>
      </c>
      <c r="F129" s="84">
        <v>-842</v>
      </c>
      <c r="G129" s="84">
        <v>-496</v>
      </c>
      <c r="H129" s="84">
        <v>-312</v>
      </c>
      <c r="J129" s="84">
        <v>-179</v>
      </c>
      <c r="K129" s="84"/>
      <c r="L129" s="84"/>
      <c r="M129" s="32">
        <f t="shared" ref="M129:M130" si="254">SUM(G129-SUM(J129:L129))</f>
        <v>-317</v>
      </c>
      <c r="N129" s="84">
        <v>-86</v>
      </c>
      <c r="O129" s="84">
        <f>-177-N129</f>
        <v>-91</v>
      </c>
      <c r="P129" s="84"/>
      <c r="Q129" s="32">
        <f t="shared" ref="Q129:Q130" si="255">SUM(H129-SUM(N129:P129))</f>
        <v>-135</v>
      </c>
      <c r="R129" s="84">
        <f>-37-18</f>
        <v>-55</v>
      </c>
      <c r="S129" s="84">
        <f>-37-73-R129</f>
        <v>-55</v>
      </c>
      <c r="T129" s="84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>
        <f t="shared" si="249"/>
        <v>-494</v>
      </c>
      <c r="AG129" s="32">
        <f t="shared" si="250"/>
        <v>-312</v>
      </c>
      <c r="AH129" s="32">
        <f t="shared" si="251"/>
        <v>-281</v>
      </c>
      <c r="AI129" s="32">
        <f t="shared" si="252"/>
        <v>-245</v>
      </c>
      <c r="AJ129" s="32">
        <f t="shared" si="253"/>
        <v>-245</v>
      </c>
      <c r="AK129" s="65"/>
      <c r="AL129" s="77"/>
    </row>
    <row r="130" spans="2:38" ht="12.75" customHeight="1">
      <c r="B130" s="86" t="s">
        <v>196</v>
      </c>
      <c r="C130" s="84">
        <f>-5439+1</f>
        <v>-5438</v>
      </c>
      <c r="D130" s="84">
        <f>-1669+366783+39</f>
        <v>365153</v>
      </c>
      <c r="E130" s="84">
        <f>-1515+375662</f>
        <v>374147</v>
      </c>
      <c r="F130" s="84">
        <v>-2359</v>
      </c>
      <c r="G130" s="84">
        <v>-2637</v>
      </c>
      <c r="H130" s="84">
        <v>-650</v>
      </c>
      <c r="J130" s="84">
        <v>0</v>
      </c>
      <c r="K130" s="84"/>
      <c r="L130" s="84"/>
      <c r="M130" s="32">
        <f t="shared" si="254"/>
        <v>-2637</v>
      </c>
      <c r="N130" s="84">
        <v>-636</v>
      </c>
      <c r="O130" s="84">
        <f>-645-N130</f>
        <v>-9</v>
      </c>
      <c r="P130" s="84"/>
      <c r="Q130" s="32">
        <f t="shared" si="255"/>
        <v>-5</v>
      </c>
      <c r="R130" s="84">
        <v>350000</v>
      </c>
      <c r="S130" s="84">
        <f>350000-R130</f>
        <v>0</v>
      </c>
      <c r="T130" s="84"/>
      <c r="U130" s="32"/>
      <c r="V130" s="32" t="e">
        <f>SUM(#REF!)</f>
        <v>#REF!</v>
      </c>
      <c r="W130" s="32" t="e">
        <f>SUM(#REF!)</f>
        <v>#REF!</v>
      </c>
      <c r="X130" s="32" t="e">
        <f>SUM(#REF!)</f>
        <v>#REF!</v>
      </c>
      <c r="Y130" s="32" t="e">
        <f>SUM(#REF!)</f>
        <v>#REF!</v>
      </c>
      <c r="Z130" s="32">
        <f>SUM(J130:J130)</f>
        <v>0</v>
      </c>
      <c r="AA130" s="32">
        <f>SUM(J130:K130)</f>
        <v>0</v>
      </c>
      <c r="AB130" s="32">
        <f>SUM(J130:L130)</f>
        <v>0</v>
      </c>
      <c r="AC130" s="32">
        <f t="shared" ref="AC130" si="256">SUM(J130:M130)</f>
        <v>-2637</v>
      </c>
      <c r="AD130" s="32">
        <f t="shared" ref="AD130" si="257">SUM(K130:N130)</f>
        <v>-3273</v>
      </c>
      <c r="AE130" s="32">
        <f t="shared" ref="AE130" si="258">SUM(L130:O130)</f>
        <v>-3282</v>
      </c>
      <c r="AF130" s="32">
        <f t="shared" si="249"/>
        <v>-3282</v>
      </c>
      <c r="AG130" s="32">
        <f t="shared" si="250"/>
        <v>-650</v>
      </c>
      <c r="AH130" s="32">
        <f t="shared" si="251"/>
        <v>349986</v>
      </c>
      <c r="AI130" s="32">
        <f t="shared" si="252"/>
        <v>349995</v>
      </c>
      <c r="AJ130" s="32">
        <f t="shared" si="253"/>
        <v>349995</v>
      </c>
      <c r="AK130" s="65"/>
      <c r="AL130" s="77">
        <f t="shared" ref="AL130" si="259">SUM(AJ130/AF130)-1</f>
        <v>-107.64076782449726</v>
      </c>
    </row>
    <row r="131" spans="2:38" ht="12.75" customHeight="1">
      <c r="B131" s="86" t="s">
        <v>176</v>
      </c>
      <c r="C131" s="84">
        <v>5618</v>
      </c>
      <c r="D131" s="84">
        <v>4153</v>
      </c>
      <c r="E131" s="84">
        <v>996</v>
      </c>
      <c r="F131" s="84">
        <v>2</v>
      </c>
      <c r="G131" s="84">
        <v>10974</v>
      </c>
      <c r="H131" s="84">
        <v>-1568</v>
      </c>
      <c r="J131" s="84">
        <v>-1673</v>
      </c>
      <c r="K131" s="84"/>
      <c r="L131" s="84"/>
      <c r="M131" s="32">
        <f t="shared" ref="M131" si="260">SUM(G131-SUM(J131:L131))</f>
        <v>12647</v>
      </c>
      <c r="N131" s="84">
        <v>-34</v>
      </c>
      <c r="O131" s="84">
        <f>-395-N131</f>
        <v>-361</v>
      </c>
      <c r="P131" s="84"/>
      <c r="Q131" s="32">
        <f t="shared" ref="Q131" si="261">SUM(H131-SUM(N131:P131))</f>
        <v>-1173</v>
      </c>
      <c r="R131" s="84">
        <f>-2573-1129</f>
        <v>-3702</v>
      </c>
      <c r="S131" s="84">
        <f>-2573-4508-R131</f>
        <v>-3379</v>
      </c>
      <c r="T131" s="84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>
        <f t="shared" ref="AF131" si="262">SUM(M131:P131)</f>
        <v>12252</v>
      </c>
      <c r="AG131" s="32">
        <f t="shared" ref="AG131" si="263">SUM(N131:Q131)</f>
        <v>-1568</v>
      </c>
      <c r="AH131" s="32">
        <f t="shared" ref="AH131" si="264">SUM(O131:R131)</f>
        <v>-5236</v>
      </c>
      <c r="AI131" s="32">
        <f t="shared" ref="AI131" si="265">SUM(P131:S131)</f>
        <v>-8254</v>
      </c>
      <c r="AJ131" s="32">
        <f t="shared" ref="AJ131" si="266">SUM(Q131:T131)</f>
        <v>-8254</v>
      </c>
      <c r="AK131" s="65"/>
      <c r="AL131" s="77"/>
    </row>
    <row r="132" spans="2:38" ht="12.75" customHeight="1">
      <c r="B132" s="86" t="s">
        <v>180</v>
      </c>
      <c r="C132" s="84">
        <v>-2909</v>
      </c>
      <c r="D132" s="84">
        <v>-40551</v>
      </c>
      <c r="E132" s="84">
        <v>-2775</v>
      </c>
      <c r="F132" s="84">
        <v>-3471</v>
      </c>
      <c r="G132" s="84">
        <v>-3027</v>
      </c>
      <c r="H132" s="84">
        <v>-14523</v>
      </c>
      <c r="J132" s="84">
        <v>-555</v>
      </c>
      <c r="K132" s="84"/>
      <c r="L132" s="84"/>
      <c r="M132" s="32">
        <f>SUM(G132-SUM(J132:L132))</f>
        <v>-2472</v>
      </c>
      <c r="N132" s="84">
        <v>0</v>
      </c>
      <c r="O132" s="84">
        <v>0</v>
      </c>
      <c r="P132" s="84"/>
      <c r="Q132" s="32">
        <f>SUM(H132-SUM(N132:P132))</f>
        <v>-14523</v>
      </c>
      <c r="R132" s="84">
        <v>-13456</v>
      </c>
      <c r="S132" s="84">
        <f>-13456-1738-R132</f>
        <v>-1738</v>
      </c>
      <c r="T132" s="84"/>
      <c r="U132" s="32"/>
      <c r="V132" s="32" t="e">
        <f>SUM(#REF!)</f>
        <v>#REF!</v>
      </c>
      <c r="W132" s="32" t="e">
        <f>SUM(#REF!)</f>
        <v>#REF!</v>
      </c>
      <c r="X132" s="32" t="e">
        <f>SUM(#REF!)</f>
        <v>#REF!</v>
      </c>
      <c r="Y132" s="32" t="e">
        <f>SUM(#REF!)</f>
        <v>#REF!</v>
      </c>
      <c r="Z132" s="32">
        <f>SUM(J132:J132)</f>
        <v>-555</v>
      </c>
      <c r="AA132" s="32">
        <f>SUM(J132:K132)</f>
        <v>-555</v>
      </c>
      <c r="AB132" s="32">
        <f>SUM(J132:L132)</f>
        <v>-555</v>
      </c>
      <c r="AC132" s="32">
        <f t="shared" si="246"/>
        <v>-3027</v>
      </c>
      <c r="AD132" s="32">
        <f t="shared" si="247"/>
        <v>-2472</v>
      </c>
      <c r="AE132" s="32">
        <f t="shared" si="248"/>
        <v>-2472</v>
      </c>
      <c r="AF132" s="32">
        <f t="shared" ref="AF132" si="267">SUM(M132:P132)</f>
        <v>-2472</v>
      </c>
      <c r="AG132" s="32">
        <f t="shared" ref="AG132" si="268">SUM(N132:Q132)</f>
        <v>-14523</v>
      </c>
      <c r="AH132" s="32">
        <f t="shared" ref="AH132" si="269">SUM(O132:R132)</f>
        <v>-27979</v>
      </c>
      <c r="AI132" s="32">
        <f t="shared" ref="AI132" si="270">SUM(P132:S132)</f>
        <v>-29717</v>
      </c>
      <c r="AJ132" s="32">
        <f t="shared" ref="AJ132" si="271">SUM(Q132:T132)</f>
        <v>-29717</v>
      </c>
      <c r="AK132" s="65"/>
      <c r="AL132" s="77">
        <f t="shared" si="218"/>
        <v>11.021440129449838</v>
      </c>
    </row>
    <row r="133" spans="2:38" ht="12.75" customHeight="1">
      <c r="B133" s="13" t="s">
        <v>61</v>
      </c>
      <c r="C133" s="34">
        <f>SUM(C128:C132)</f>
        <v>-120168</v>
      </c>
      <c r="D133" s="34">
        <f>SUM(D128:D132)</f>
        <v>1661441</v>
      </c>
      <c r="E133" s="34">
        <f>SUM(E128:E132)</f>
        <v>-288660</v>
      </c>
      <c r="F133" s="34">
        <f>SUM(F128:F132)</f>
        <v>391297</v>
      </c>
      <c r="G133" s="34">
        <f>SUM(G128:G132)</f>
        <v>-197962</v>
      </c>
      <c r="H133" s="34">
        <f>SUM(H128:H132)</f>
        <v>380322</v>
      </c>
      <c r="I133" s="32"/>
      <c r="J133" s="34">
        <f>SUM(J128:J132)</f>
        <v>-131842</v>
      </c>
      <c r="K133" s="34">
        <f>SUM(K128:K132)</f>
        <v>0</v>
      </c>
      <c r="L133" s="34">
        <f>SUM(L128:L132)</f>
        <v>0</v>
      </c>
      <c r="M133" s="34">
        <f>SUM(M128:M132)</f>
        <v>-66120</v>
      </c>
      <c r="N133" s="34">
        <f>SUM(N128:N132)</f>
        <v>-48081</v>
      </c>
      <c r="O133" s="34">
        <f>SUM(O128:O132)</f>
        <v>-73275</v>
      </c>
      <c r="P133" s="34">
        <f>SUM(P128:P132)</f>
        <v>0</v>
      </c>
      <c r="Q133" s="34">
        <f>SUM(Q128:Q132)</f>
        <v>501678</v>
      </c>
      <c r="R133" s="34">
        <f>SUM(R128:R132)</f>
        <v>-92994</v>
      </c>
      <c r="S133" s="34">
        <f>SUM(S128:S132)</f>
        <v>-83992</v>
      </c>
      <c r="T133" s="34">
        <f>SUM(T128:T132)</f>
        <v>0</v>
      </c>
      <c r="U133" s="32"/>
      <c r="V133" s="34" t="e">
        <f>SUM(V128:V132)</f>
        <v>#REF!</v>
      </c>
      <c r="W133" s="34" t="e">
        <f>SUM(W128:W132)</f>
        <v>#REF!</v>
      </c>
      <c r="X133" s="34" t="e">
        <f>SUM(X128:X132)</f>
        <v>#REF!</v>
      </c>
      <c r="Y133" s="34" t="e">
        <f>SUM(Y128:Y132)</f>
        <v>#REF!</v>
      </c>
      <c r="Z133" s="34">
        <f>SUM(Z128:Z132)</f>
        <v>-129990</v>
      </c>
      <c r="AA133" s="34">
        <f>SUM(AA128:AA132)</f>
        <v>-129990</v>
      </c>
      <c r="AB133" s="34">
        <f>SUM(AB128:AB132)</f>
        <v>-129990</v>
      </c>
      <c r="AC133" s="34">
        <f>SUM(AC128:AC132)</f>
        <v>-208440</v>
      </c>
      <c r="AD133" s="34">
        <f>SUM(AD128:AD132)</f>
        <v>-126411</v>
      </c>
      <c r="AE133" s="34">
        <f>SUM(AE128:AE132)</f>
        <v>-199234</v>
      </c>
      <c r="AF133" s="34">
        <f>SUM(AF128:AF132)</f>
        <v>-187476</v>
      </c>
      <c r="AG133" s="34">
        <f>SUM(AG128:AG132)</f>
        <v>380322</v>
      </c>
      <c r="AH133" s="34">
        <f>SUM(AH128:AH132)</f>
        <v>335409</v>
      </c>
      <c r="AI133" s="34">
        <f>SUM(AI128:AI132)</f>
        <v>324692</v>
      </c>
      <c r="AJ133" s="34">
        <f>SUM(AJ128:AJ132)</f>
        <v>324692</v>
      </c>
      <c r="AK133" s="42"/>
      <c r="AL133" s="78">
        <f t="shared" si="218"/>
        <v>-2.7319123514476518</v>
      </c>
    </row>
    <row r="134" spans="2:38" ht="5.0999999999999996" customHeight="1">
      <c r="B134" s="8"/>
      <c r="C134" s="66"/>
      <c r="D134" s="66"/>
      <c r="E134" s="66"/>
      <c r="F134" s="66"/>
      <c r="G134" s="66"/>
      <c r="H134" s="66"/>
      <c r="I134" s="32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46"/>
    </row>
    <row r="135" spans="2:38" ht="5.0999999999999996" customHeight="1">
      <c r="B135" s="73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11"/>
      <c r="AL135" s="46"/>
    </row>
    <row r="136" spans="2:38">
      <c r="B136" s="95" t="s">
        <v>91</v>
      </c>
      <c r="C136" s="135">
        <v>1004733</v>
      </c>
      <c r="D136" s="96">
        <f t="shared" ref="D136:H136" si="272">C143</f>
        <v>978957</v>
      </c>
      <c r="E136" s="96">
        <f t="shared" si="272"/>
        <v>1789723</v>
      </c>
      <c r="F136" s="96">
        <f t="shared" si="272"/>
        <v>1333507</v>
      </c>
      <c r="G136" s="96">
        <f t="shared" si="272"/>
        <v>1346350</v>
      </c>
      <c r="H136" s="96">
        <f t="shared" si="272"/>
        <v>865211</v>
      </c>
      <c r="I136" s="96"/>
      <c r="J136" s="96">
        <f>G138</f>
        <v>1465742</v>
      </c>
      <c r="K136" s="96">
        <f t="shared" ref="K136:T136" si="273">J143</f>
        <v>1287711</v>
      </c>
      <c r="L136" s="96">
        <f t="shared" si="273"/>
        <v>1285362</v>
      </c>
      <c r="M136" s="96">
        <f t="shared" si="273"/>
        <v>1127810</v>
      </c>
      <c r="N136" s="96">
        <f t="shared" si="273"/>
        <v>866580</v>
      </c>
      <c r="O136" s="96">
        <f t="shared" si="273"/>
        <v>766157</v>
      </c>
      <c r="P136" s="96">
        <f t="shared" si="273"/>
        <v>726163</v>
      </c>
      <c r="Q136" s="96">
        <f t="shared" si="273"/>
        <v>368413</v>
      </c>
      <c r="R136" s="96">
        <f t="shared" si="273"/>
        <v>903426</v>
      </c>
      <c r="S136" s="96">
        <f t="shared" si="273"/>
        <v>488904</v>
      </c>
      <c r="T136" s="96">
        <f t="shared" si="273"/>
        <v>408880</v>
      </c>
      <c r="U136" s="96"/>
      <c r="V136" s="96" t="e">
        <f>#REF!</f>
        <v>#REF!</v>
      </c>
      <c r="W136" s="96" t="e">
        <f>#REF!</f>
        <v>#REF!</v>
      </c>
      <c r="X136" s="96" t="e">
        <f>#REF!</f>
        <v>#REF!</v>
      </c>
      <c r="Y136" s="96" t="e">
        <f>#REF!</f>
        <v>#REF!</v>
      </c>
      <c r="Z136" s="96" t="e">
        <f>#REF!</f>
        <v>#REF!</v>
      </c>
      <c r="AA136" s="96" t="e">
        <f>#REF!</f>
        <v>#REF!</v>
      </c>
      <c r="AB136" s="96" t="e">
        <f>#REF!</f>
        <v>#REF!</v>
      </c>
      <c r="AC136" s="96" t="e">
        <f>#REF!</f>
        <v>#REF!</v>
      </c>
      <c r="AD136" s="96">
        <f t="shared" ref="AD136:AJ136" si="274">J143</f>
        <v>1287711</v>
      </c>
      <c r="AE136" s="96">
        <f t="shared" si="274"/>
        <v>1285362</v>
      </c>
      <c r="AF136" s="96">
        <f t="shared" si="274"/>
        <v>1127810</v>
      </c>
      <c r="AG136" s="96">
        <f t="shared" si="274"/>
        <v>866580</v>
      </c>
      <c r="AH136" s="96">
        <f t="shared" si="274"/>
        <v>766157</v>
      </c>
      <c r="AI136" s="96">
        <f t="shared" si="274"/>
        <v>726163</v>
      </c>
      <c r="AJ136" s="149">
        <f t="shared" si="274"/>
        <v>368413</v>
      </c>
      <c r="AK136" s="11"/>
      <c r="AL136" s="46"/>
    </row>
    <row r="137" spans="2:38">
      <c r="B137" s="136" t="s">
        <v>114</v>
      </c>
      <c r="C137" s="32">
        <v>0</v>
      </c>
      <c r="D137" s="32">
        <f>-C141</f>
        <v>0</v>
      </c>
      <c r="E137" s="32">
        <f>-D141</f>
        <v>71401</v>
      </c>
      <c r="F137" s="32">
        <f t="shared" ref="F137:H137" si="275">-E141</f>
        <v>95400</v>
      </c>
      <c r="G137" s="32">
        <f t="shared" si="275"/>
        <v>119392</v>
      </c>
      <c r="H137" s="32">
        <f t="shared" si="275"/>
        <v>119400</v>
      </c>
      <c r="I137" s="32"/>
      <c r="J137" s="32">
        <v>0</v>
      </c>
      <c r="K137" s="32">
        <f t="shared" ref="J137:T137" si="276">-J141</f>
        <v>119400</v>
      </c>
      <c r="L137" s="32">
        <f t="shared" si="276"/>
        <v>119400</v>
      </c>
      <c r="M137" s="32">
        <f t="shared" si="276"/>
        <v>119400</v>
      </c>
      <c r="N137" s="32">
        <f t="shared" si="276"/>
        <v>119400</v>
      </c>
      <c r="O137" s="32">
        <f t="shared" si="276"/>
        <v>133585</v>
      </c>
      <c r="P137" s="32">
        <f t="shared" si="276"/>
        <v>120579</v>
      </c>
      <c r="Q137" s="32">
        <f t="shared" si="276"/>
        <v>170086</v>
      </c>
      <c r="R137" s="32">
        <f t="shared" si="276"/>
        <v>168390</v>
      </c>
      <c r="S137" s="32">
        <f t="shared" si="276"/>
        <v>270522</v>
      </c>
      <c r="T137" s="32">
        <f t="shared" si="276"/>
        <v>152088</v>
      </c>
      <c r="U137" s="32"/>
      <c r="V137" s="32" t="e">
        <f>-#REF!</f>
        <v>#REF!</v>
      </c>
      <c r="W137" s="32" t="e">
        <f>-#REF!</f>
        <v>#REF!</v>
      </c>
      <c r="X137" s="32" t="e">
        <f>-#REF!</f>
        <v>#REF!</v>
      </c>
      <c r="Y137" s="32" t="e">
        <f>-#REF!</f>
        <v>#REF!</v>
      </c>
      <c r="Z137" s="32" t="e">
        <f>-#REF!</f>
        <v>#REF!</v>
      </c>
      <c r="AA137" s="32" t="e">
        <f>-#REF!</f>
        <v>#REF!</v>
      </c>
      <c r="AB137" s="32" t="e">
        <f>-#REF!</f>
        <v>#REF!</v>
      </c>
      <c r="AC137" s="32" t="e">
        <f>-#REF!</f>
        <v>#REF!</v>
      </c>
      <c r="AD137" s="32">
        <f t="shared" ref="AD137:AJ137" si="277">-J141</f>
        <v>119400</v>
      </c>
      <c r="AE137" s="32">
        <f t="shared" si="277"/>
        <v>119400</v>
      </c>
      <c r="AF137" s="32">
        <f t="shared" si="277"/>
        <v>119400</v>
      </c>
      <c r="AG137" s="32">
        <f t="shared" si="277"/>
        <v>119400</v>
      </c>
      <c r="AH137" s="32">
        <f t="shared" si="277"/>
        <v>133585</v>
      </c>
      <c r="AI137" s="32">
        <f t="shared" si="277"/>
        <v>120579</v>
      </c>
      <c r="AJ137" s="141">
        <f t="shared" si="277"/>
        <v>170086</v>
      </c>
      <c r="AK137" s="11"/>
      <c r="AL137" s="46"/>
    </row>
    <row r="138" spans="2:38">
      <c r="B138" s="92" t="s">
        <v>75</v>
      </c>
      <c r="C138" s="88">
        <f t="shared" ref="C138:H138" si="278">SUM(C136:C137)</f>
        <v>1004733</v>
      </c>
      <c r="D138" s="88">
        <f t="shared" si="278"/>
        <v>978957</v>
      </c>
      <c r="E138" s="88">
        <f t="shared" si="278"/>
        <v>1861124</v>
      </c>
      <c r="F138" s="88">
        <f t="shared" si="278"/>
        <v>1428907</v>
      </c>
      <c r="G138" s="88">
        <f t="shared" si="278"/>
        <v>1465742</v>
      </c>
      <c r="H138" s="88">
        <f t="shared" si="278"/>
        <v>984611</v>
      </c>
      <c r="I138" s="32"/>
      <c r="J138" s="88">
        <f t="shared" ref="J138:T138" si="279">SUM(J136:J137)</f>
        <v>1465742</v>
      </c>
      <c r="K138" s="88">
        <f t="shared" si="279"/>
        <v>1407111</v>
      </c>
      <c r="L138" s="88">
        <f t="shared" si="279"/>
        <v>1404762</v>
      </c>
      <c r="M138" s="88">
        <f t="shared" si="279"/>
        <v>1247210</v>
      </c>
      <c r="N138" s="88">
        <f t="shared" si="279"/>
        <v>985980</v>
      </c>
      <c r="O138" s="88">
        <f t="shared" si="279"/>
        <v>899742</v>
      </c>
      <c r="P138" s="88">
        <f t="shared" si="279"/>
        <v>846742</v>
      </c>
      <c r="Q138" s="88">
        <f t="shared" si="279"/>
        <v>538499</v>
      </c>
      <c r="R138" s="88">
        <f t="shared" si="279"/>
        <v>1071816</v>
      </c>
      <c r="S138" s="88">
        <f t="shared" si="279"/>
        <v>759426</v>
      </c>
      <c r="T138" s="88">
        <f t="shared" si="279"/>
        <v>560968</v>
      </c>
      <c r="U138" s="32"/>
      <c r="V138" s="139" t="e">
        <f t="shared" ref="V138:AJ138" si="280">SUM(V136:V137)</f>
        <v>#REF!</v>
      </c>
      <c r="W138" s="139" t="e">
        <f t="shared" si="280"/>
        <v>#REF!</v>
      </c>
      <c r="X138" s="139" t="e">
        <f t="shared" si="280"/>
        <v>#REF!</v>
      </c>
      <c r="Y138" s="139" t="e">
        <f t="shared" si="280"/>
        <v>#REF!</v>
      </c>
      <c r="Z138" s="139" t="e">
        <f t="shared" si="280"/>
        <v>#REF!</v>
      </c>
      <c r="AA138" s="139" t="e">
        <f t="shared" si="280"/>
        <v>#REF!</v>
      </c>
      <c r="AB138" s="139" t="e">
        <f t="shared" si="280"/>
        <v>#REF!</v>
      </c>
      <c r="AC138" s="139" t="e">
        <f t="shared" si="280"/>
        <v>#REF!</v>
      </c>
      <c r="AD138" s="139">
        <f t="shared" si="280"/>
        <v>1407111</v>
      </c>
      <c r="AE138" s="139">
        <f t="shared" si="280"/>
        <v>1404762</v>
      </c>
      <c r="AF138" s="139">
        <f t="shared" si="280"/>
        <v>1247210</v>
      </c>
      <c r="AG138" s="139">
        <f t="shared" si="280"/>
        <v>985980</v>
      </c>
      <c r="AH138" s="139">
        <f t="shared" si="280"/>
        <v>899742</v>
      </c>
      <c r="AI138" s="139">
        <f t="shared" si="280"/>
        <v>846742</v>
      </c>
      <c r="AJ138" s="142">
        <f t="shared" si="280"/>
        <v>538499</v>
      </c>
      <c r="AK138" s="11"/>
      <c r="AL138" s="46"/>
    </row>
    <row r="139" spans="2:38" ht="5.0999999999999996" customHeight="1">
      <c r="B139" s="146"/>
      <c r="C139" s="73"/>
      <c r="D139" s="73"/>
      <c r="E139" s="73"/>
      <c r="F139" s="73"/>
      <c r="G139" s="73"/>
      <c r="H139" s="73"/>
      <c r="I139" s="32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32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143"/>
      <c r="AK139" s="11"/>
      <c r="AL139" s="46"/>
    </row>
    <row r="140" spans="2:38">
      <c r="B140" s="136" t="s">
        <v>92</v>
      </c>
      <c r="C140" s="84">
        <v>0</v>
      </c>
      <c r="D140" s="84">
        <v>0</v>
      </c>
      <c r="E140" s="84">
        <v>0</v>
      </c>
      <c r="F140" s="84">
        <v>0</v>
      </c>
      <c r="G140" s="84">
        <v>0</v>
      </c>
      <c r="H140" s="84">
        <v>0</v>
      </c>
      <c r="I140" s="32"/>
      <c r="J140" s="84"/>
      <c r="K140" s="84"/>
      <c r="L140" s="84"/>
      <c r="M140" s="32">
        <f>SUM(G140-SUM(J140:L140))</f>
        <v>0</v>
      </c>
      <c r="N140" s="84"/>
      <c r="O140" s="84"/>
      <c r="P140" s="84"/>
      <c r="Q140" s="32">
        <f>SUM(H140-SUM(N140:P140))</f>
        <v>0</v>
      </c>
      <c r="R140" s="84"/>
      <c r="S140" s="84"/>
      <c r="T140" s="84"/>
      <c r="U140" s="32"/>
      <c r="V140" s="32" t="e">
        <f>SUM(#REF!)</f>
        <v>#REF!</v>
      </c>
      <c r="W140" s="32" t="e">
        <f>SUM(#REF!)</f>
        <v>#REF!</v>
      </c>
      <c r="X140" s="32" t="e">
        <f>SUM(#REF!)</f>
        <v>#REF!</v>
      </c>
      <c r="Y140" s="32" t="e">
        <f>SUM(#REF!)</f>
        <v>#REF!</v>
      </c>
      <c r="Z140" s="32">
        <f>SUM(J140:J140)</f>
        <v>0</v>
      </c>
      <c r="AA140" s="32">
        <f>SUM(J140:K140)</f>
        <v>0</v>
      </c>
      <c r="AB140" s="32">
        <f>SUM(J140:L140)</f>
        <v>0</v>
      </c>
      <c r="AC140" s="32">
        <f t="shared" ref="AC140:AJ140" si="281">SUM(J140:M140)</f>
        <v>0</v>
      </c>
      <c r="AD140" s="32">
        <f t="shared" si="281"/>
        <v>0</v>
      </c>
      <c r="AE140" s="32">
        <f t="shared" si="281"/>
        <v>0</v>
      </c>
      <c r="AF140" s="32">
        <f t="shared" si="281"/>
        <v>0</v>
      </c>
      <c r="AG140" s="32">
        <f t="shared" si="281"/>
        <v>0</v>
      </c>
      <c r="AH140" s="32">
        <f t="shared" si="281"/>
        <v>0</v>
      </c>
      <c r="AI140" s="32">
        <f t="shared" si="281"/>
        <v>0</v>
      </c>
      <c r="AJ140" s="141">
        <f t="shared" si="281"/>
        <v>0</v>
      </c>
      <c r="AK140" s="11"/>
      <c r="AL140" s="46"/>
    </row>
    <row r="141" spans="2:38">
      <c r="B141" s="136" t="s">
        <v>113</v>
      </c>
      <c r="C141" s="32">
        <f>-C50</f>
        <v>0</v>
      </c>
      <c r="D141" s="32">
        <f>-D50</f>
        <v>-71401</v>
      </c>
      <c r="E141" s="32">
        <f>-E50</f>
        <v>-95400</v>
      </c>
      <c r="F141" s="32">
        <f>-F50</f>
        <v>-119392</v>
      </c>
      <c r="G141" s="32">
        <f>-G50</f>
        <v>-119400</v>
      </c>
      <c r="H141" s="32">
        <f>-H50</f>
        <v>-168390</v>
      </c>
      <c r="I141" s="32"/>
      <c r="J141" s="32">
        <f t="shared" ref="J141:L141" si="282">-J50</f>
        <v>-119400</v>
      </c>
      <c r="K141" s="32">
        <f t="shared" si="282"/>
        <v>-119400</v>
      </c>
      <c r="L141" s="32">
        <f t="shared" si="282"/>
        <v>-119400</v>
      </c>
      <c r="M141" s="32">
        <f>G141</f>
        <v>-119400</v>
      </c>
      <c r="N141" s="32">
        <f>-N50</f>
        <v>-133585</v>
      </c>
      <c r="O141" s="32">
        <f t="shared" ref="O141:T141" si="283">-O50</f>
        <v>-120579</v>
      </c>
      <c r="P141" s="32">
        <f t="shared" si="283"/>
        <v>-170086</v>
      </c>
      <c r="Q141" s="32">
        <f>H141</f>
        <v>-168390</v>
      </c>
      <c r="R141" s="32">
        <f t="shared" si="283"/>
        <v>-270522</v>
      </c>
      <c r="S141" s="32">
        <f t="shared" si="283"/>
        <v>-152088</v>
      </c>
      <c r="T141" s="32">
        <f t="shared" si="283"/>
        <v>-396103</v>
      </c>
      <c r="U141" s="32"/>
      <c r="V141" s="32" t="e">
        <f>#REF!</f>
        <v>#REF!</v>
      </c>
      <c r="W141" s="32" t="e">
        <f>#REF!</f>
        <v>#REF!</v>
      </c>
      <c r="X141" s="32" t="e">
        <f>#REF!</f>
        <v>#REF!</v>
      </c>
      <c r="Y141" s="32" t="e">
        <f>#REF!</f>
        <v>#REF!</v>
      </c>
      <c r="Z141" s="32">
        <f t="shared" ref="Z141:AJ141" si="284">J141</f>
        <v>-119400</v>
      </c>
      <c r="AA141" s="32">
        <f t="shared" si="284"/>
        <v>-119400</v>
      </c>
      <c r="AB141" s="32">
        <f t="shared" si="284"/>
        <v>-119400</v>
      </c>
      <c r="AC141" s="32">
        <f t="shared" si="284"/>
        <v>-119400</v>
      </c>
      <c r="AD141" s="32">
        <f t="shared" si="284"/>
        <v>-133585</v>
      </c>
      <c r="AE141" s="32">
        <f t="shared" si="284"/>
        <v>-120579</v>
      </c>
      <c r="AF141" s="32">
        <f t="shared" si="284"/>
        <v>-170086</v>
      </c>
      <c r="AG141" s="32">
        <f t="shared" si="284"/>
        <v>-168390</v>
      </c>
      <c r="AH141" s="32">
        <f t="shared" si="284"/>
        <v>-270522</v>
      </c>
      <c r="AI141" s="32">
        <f t="shared" si="284"/>
        <v>-152088</v>
      </c>
      <c r="AJ141" s="141">
        <f t="shared" si="284"/>
        <v>-396103</v>
      </c>
      <c r="AK141" s="11"/>
      <c r="AL141" s="46"/>
    </row>
    <row r="142" spans="2:38">
      <c r="B142" s="136" t="s">
        <v>65</v>
      </c>
      <c r="C142" s="32">
        <f>+C133+C125+C116</f>
        <v>-25776</v>
      </c>
      <c r="D142" s="32">
        <f>+D133+D125+D116</f>
        <v>882167</v>
      </c>
      <c r="E142" s="32">
        <f>+E133+E125+E116</f>
        <v>-432217</v>
      </c>
      <c r="F142" s="32">
        <f>+F133+F125+F116</f>
        <v>36835</v>
      </c>
      <c r="G142" s="32">
        <f>+G133+G125+G116</f>
        <v>-481131</v>
      </c>
      <c r="H142" s="32">
        <f>+H133+H125+H116</f>
        <v>85836</v>
      </c>
      <c r="I142" s="32"/>
      <c r="J142" s="32">
        <f>+J133+J125+J116</f>
        <v>-58631</v>
      </c>
      <c r="K142" s="32">
        <f>+K133+K125+K116</f>
        <v>-2349</v>
      </c>
      <c r="L142" s="32">
        <f>+L133+L125+L116</f>
        <v>-157552</v>
      </c>
      <c r="M142" s="32">
        <f>+M133+M125+M116</f>
        <v>-261230</v>
      </c>
      <c r="N142" s="32">
        <f>+N133+N125+N116</f>
        <v>-86238</v>
      </c>
      <c r="O142" s="32">
        <f>+O133+O125+O116</f>
        <v>-53000</v>
      </c>
      <c r="P142" s="32">
        <f>+P133+P125+P116</f>
        <v>-308243</v>
      </c>
      <c r="Q142" s="32">
        <f>+Q133+Q125+Q116</f>
        <v>533317</v>
      </c>
      <c r="R142" s="32">
        <f>+R133+R125+R116</f>
        <v>-312390</v>
      </c>
      <c r="S142" s="32">
        <f>+S133+S125+S116</f>
        <v>-198458</v>
      </c>
      <c r="T142" s="32">
        <f>+T133+T125+T116</f>
        <v>-317476</v>
      </c>
      <c r="U142" s="32"/>
      <c r="V142" s="32" t="e">
        <f>SUM(#REF!)</f>
        <v>#REF!</v>
      </c>
      <c r="W142" s="32" t="e">
        <f>SUM(#REF!)</f>
        <v>#REF!</v>
      </c>
      <c r="X142" s="32" t="e">
        <f>SUM(#REF!)</f>
        <v>#REF!</v>
      </c>
      <c r="Y142" s="32" t="e">
        <f>SUM(#REF!)</f>
        <v>#REF!</v>
      </c>
      <c r="Z142" s="32">
        <f>SUM(J142:J142)</f>
        <v>-58631</v>
      </c>
      <c r="AA142" s="32">
        <f>SUM(J142:K142)</f>
        <v>-60980</v>
      </c>
      <c r="AB142" s="32">
        <f>SUM(J142:L142)</f>
        <v>-218532</v>
      </c>
      <c r="AC142" s="32">
        <f t="shared" ref="AC142:AJ142" si="285">SUM(J142:M142)</f>
        <v>-479762</v>
      </c>
      <c r="AD142" s="32">
        <f t="shared" si="285"/>
        <v>-507369</v>
      </c>
      <c r="AE142" s="32">
        <f t="shared" si="285"/>
        <v>-558020</v>
      </c>
      <c r="AF142" s="32">
        <f t="shared" si="285"/>
        <v>-708711</v>
      </c>
      <c r="AG142" s="32">
        <f t="shared" si="285"/>
        <v>85836</v>
      </c>
      <c r="AH142" s="32">
        <f t="shared" si="285"/>
        <v>-140316</v>
      </c>
      <c r="AI142" s="32">
        <f t="shared" si="285"/>
        <v>-285774</v>
      </c>
      <c r="AJ142" s="141">
        <f t="shared" si="285"/>
        <v>-295007</v>
      </c>
      <c r="AK142" s="11"/>
      <c r="AL142" s="46"/>
    </row>
    <row r="143" spans="2:38">
      <c r="B143" s="92" t="s">
        <v>76</v>
      </c>
      <c r="C143" s="88">
        <f t="shared" ref="C143:H143" si="286">SUM(C138:C142)</f>
        <v>978957</v>
      </c>
      <c r="D143" s="88">
        <f t="shared" si="286"/>
        <v>1789723</v>
      </c>
      <c r="E143" s="88">
        <f t="shared" si="286"/>
        <v>1333507</v>
      </c>
      <c r="F143" s="88">
        <f t="shared" si="286"/>
        <v>1346350</v>
      </c>
      <c r="G143" s="88">
        <f t="shared" si="286"/>
        <v>865211</v>
      </c>
      <c r="H143" s="88">
        <f t="shared" si="286"/>
        <v>902057</v>
      </c>
      <c r="I143" s="32"/>
      <c r="J143" s="88">
        <f t="shared" ref="J143:T143" si="287">SUM(J138:J142)</f>
        <v>1287711</v>
      </c>
      <c r="K143" s="88">
        <f t="shared" si="287"/>
        <v>1285362</v>
      </c>
      <c r="L143" s="88">
        <f t="shared" si="287"/>
        <v>1127810</v>
      </c>
      <c r="M143" s="88">
        <f t="shared" si="287"/>
        <v>866580</v>
      </c>
      <c r="N143" s="88">
        <f t="shared" si="287"/>
        <v>766157</v>
      </c>
      <c r="O143" s="88">
        <f t="shared" si="287"/>
        <v>726163</v>
      </c>
      <c r="P143" s="88">
        <f t="shared" si="287"/>
        <v>368413</v>
      </c>
      <c r="Q143" s="88">
        <f t="shared" si="287"/>
        <v>903426</v>
      </c>
      <c r="R143" s="88">
        <f t="shared" si="287"/>
        <v>488904</v>
      </c>
      <c r="S143" s="88">
        <f t="shared" si="287"/>
        <v>408880</v>
      </c>
      <c r="T143" s="88">
        <f t="shared" si="287"/>
        <v>-152611</v>
      </c>
      <c r="U143" s="32"/>
      <c r="V143" s="140" t="e">
        <f t="shared" ref="V143:X143" si="288">SUM(V138:V142)</f>
        <v>#REF!</v>
      </c>
      <c r="W143" s="140" t="e">
        <f t="shared" si="288"/>
        <v>#REF!</v>
      </c>
      <c r="X143" s="140" t="e">
        <f t="shared" si="288"/>
        <v>#REF!</v>
      </c>
      <c r="Y143" s="140" t="e">
        <f t="shared" ref="Y143:AJ143" si="289">SUM(Y138:Y142)</f>
        <v>#REF!</v>
      </c>
      <c r="Z143" s="140" t="e">
        <f t="shared" si="289"/>
        <v>#REF!</v>
      </c>
      <c r="AA143" s="140" t="e">
        <f t="shared" si="289"/>
        <v>#REF!</v>
      </c>
      <c r="AB143" s="140" t="e">
        <f t="shared" si="289"/>
        <v>#REF!</v>
      </c>
      <c r="AC143" s="140" t="e">
        <f t="shared" si="289"/>
        <v>#REF!</v>
      </c>
      <c r="AD143" s="140">
        <f t="shared" si="289"/>
        <v>766157</v>
      </c>
      <c r="AE143" s="140">
        <f t="shared" si="289"/>
        <v>726163</v>
      </c>
      <c r="AF143" s="140">
        <f t="shared" si="289"/>
        <v>368413</v>
      </c>
      <c r="AG143" s="140">
        <f t="shared" si="289"/>
        <v>903426</v>
      </c>
      <c r="AH143" s="140">
        <f t="shared" si="289"/>
        <v>488904</v>
      </c>
      <c r="AI143" s="140">
        <f t="shared" si="289"/>
        <v>408880</v>
      </c>
      <c r="AJ143" s="144">
        <f t="shared" si="289"/>
        <v>-152611</v>
      </c>
      <c r="AK143" s="11"/>
      <c r="AL143" s="46"/>
    </row>
    <row r="144" spans="2:38" ht="5.0999999999999996" customHeight="1">
      <c r="B144" s="93"/>
      <c r="C144" s="66"/>
      <c r="D144" s="66"/>
      <c r="E144" s="66"/>
      <c r="F144" s="66"/>
      <c r="G144" s="66"/>
      <c r="H144" s="66"/>
      <c r="I144" s="32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94"/>
      <c r="AK144" s="11"/>
      <c r="AL144" s="46"/>
    </row>
    <row r="145" spans="2:38">
      <c r="B145" s="147" t="s">
        <v>102</v>
      </c>
      <c r="C145" s="90">
        <f>C143-C49</f>
        <v>0</v>
      </c>
      <c r="D145" s="90">
        <f>D143-D49</f>
        <v>0</v>
      </c>
      <c r="E145" s="90">
        <f>E143-E49</f>
        <v>0</v>
      </c>
      <c r="F145" s="90">
        <f>F143-F49</f>
        <v>0</v>
      </c>
      <c r="G145" s="90">
        <f>G143-G49</f>
        <v>0</v>
      </c>
      <c r="H145" s="90">
        <f>H143-H49</f>
        <v>0</v>
      </c>
      <c r="I145" s="91"/>
      <c r="J145" s="90">
        <f>J143-J49</f>
        <v>0</v>
      </c>
      <c r="K145" s="90">
        <f>K143-K49</f>
        <v>174674</v>
      </c>
      <c r="L145" s="90">
        <f>L143-L49</f>
        <v>309487</v>
      </c>
      <c r="M145" s="90">
        <f>M143-M49</f>
        <v>1369</v>
      </c>
      <c r="N145" s="90">
        <f>N143-N49</f>
        <v>1369</v>
      </c>
      <c r="O145" s="90">
        <f>O143-O49</f>
        <v>1369</v>
      </c>
      <c r="P145" s="90">
        <f>P143-P49</f>
        <v>-55134</v>
      </c>
      <c r="Q145" s="90">
        <f>Q143-Q49</f>
        <v>1369</v>
      </c>
      <c r="R145" s="90">
        <f>R143-R49</f>
        <v>1369</v>
      </c>
      <c r="S145" s="90">
        <f>S143-S49</f>
        <v>1369</v>
      </c>
      <c r="T145" s="90">
        <f>T143-T49</f>
        <v>-403105</v>
      </c>
      <c r="U145" s="90"/>
      <c r="V145" s="90" t="e">
        <f>V143-V49</f>
        <v>#REF!</v>
      </c>
      <c r="W145" s="90" t="e">
        <f>W143-W49</f>
        <v>#REF!</v>
      </c>
      <c r="X145" s="90" t="e">
        <f>X143-X49</f>
        <v>#REF!</v>
      </c>
      <c r="Y145" s="90" t="e">
        <f>Y143-Y49</f>
        <v>#REF!</v>
      </c>
      <c r="Z145" s="90" t="e">
        <f>Z143-Z49</f>
        <v>#REF!</v>
      </c>
      <c r="AA145" s="90" t="e">
        <f>AA143-AA49</f>
        <v>#REF!</v>
      </c>
      <c r="AB145" s="90" t="e">
        <f>AB143-AB49</f>
        <v>#REF!</v>
      </c>
      <c r="AC145" s="90" t="e">
        <f>AC143-AC49</f>
        <v>#REF!</v>
      </c>
      <c r="AD145" s="90">
        <f>AD143-AD49</f>
        <v>1369</v>
      </c>
      <c r="AE145" s="90">
        <f>AE143-AE49</f>
        <v>1369</v>
      </c>
      <c r="AF145" s="90">
        <f>AF143-AF49</f>
        <v>-55134</v>
      </c>
      <c r="AG145" s="90">
        <f>AG143-AG49</f>
        <v>1369</v>
      </c>
      <c r="AH145" s="90">
        <f>AH143-AH49</f>
        <v>1369</v>
      </c>
      <c r="AI145" s="90">
        <f>AI143-AI49</f>
        <v>1369</v>
      </c>
      <c r="AJ145" s="145">
        <f>AJ143-AJ49</f>
        <v>-403105</v>
      </c>
      <c r="AK145" s="11"/>
      <c r="AL145" s="46"/>
    </row>
    <row r="146" spans="2:38" ht="5.0999999999999996" customHeight="1">
      <c r="B146" s="8"/>
      <c r="C146" s="66"/>
      <c r="D146" s="66"/>
      <c r="E146" s="66"/>
      <c r="F146" s="66"/>
      <c r="G146" s="66"/>
      <c r="H146" s="66"/>
      <c r="I146" s="32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46"/>
    </row>
    <row r="147" spans="2:38" ht="12.75" customHeight="1">
      <c r="B147" s="74" t="s">
        <v>66</v>
      </c>
      <c r="C147" s="63"/>
      <c r="D147" s="63"/>
      <c r="E147" s="63"/>
      <c r="F147" s="63"/>
      <c r="G147" s="63"/>
      <c r="H147" s="63"/>
      <c r="I147" s="11"/>
      <c r="J147" s="63"/>
      <c r="K147" s="63"/>
      <c r="L147" s="63"/>
      <c r="M147" s="63"/>
      <c r="N147" s="63"/>
      <c r="O147" s="63"/>
      <c r="P147" s="63"/>
      <c r="Q147" s="63"/>
      <c r="R147" s="84"/>
      <c r="S147" s="63"/>
      <c r="T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7"/>
      <c r="AL147" s="46"/>
    </row>
    <row r="148" spans="2:38" ht="12.75" customHeight="1">
      <c r="B148" s="8" t="s">
        <v>177</v>
      </c>
      <c r="C148" s="84">
        <v>80254</v>
      </c>
      <c r="D148" s="84">
        <v>80837</v>
      </c>
      <c r="E148" s="84">
        <v>135500</v>
      </c>
      <c r="F148" s="84">
        <v>107443</v>
      </c>
      <c r="G148" s="84">
        <v>138380</v>
      </c>
      <c r="H148" s="84">
        <v>176187</v>
      </c>
      <c r="I148" s="11"/>
      <c r="J148" s="84">
        <v>31999</v>
      </c>
      <c r="K148" s="84"/>
      <c r="L148" s="84"/>
      <c r="M148" s="32">
        <f t="shared" ref="M148:M149" si="290">SUM(G148-SUM(J148:L148))</f>
        <v>106381</v>
      </c>
      <c r="N148" s="84">
        <v>39897</v>
      </c>
      <c r="O148" s="84"/>
      <c r="P148" s="84"/>
      <c r="Q148" s="32">
        <f t="shared" ref="Q148:Q149" si="291">SUM(H148-SUM(N148:P148))</f>
        <v>136290</v>
      </c>
      <c r="R148" s="84">
        <f>64790+4854</f>
        <v>69644</v>
      </c>
      <c r="S148" s="84"/>
      <c r="T148" s="84"/>
      <c r="V148" s="32" t="e">
        <f>SUM(#REF!)</f>
        <v>#REF!</v>
      </c>
      <c r="W148" s="32" t="e">
        <f>SUM(#REF!)</f>
        <v>#REF!</v>
      </c>
      <c r="X148" s="32" t="e">
        <f>SUM(#REF!)</f>
        <v>#REF!</v>
      </c>
      <c r="Y148" s="32" t="e">
        <f>SUM(#REF!)</f>
        <v>#REF!</v>
      </c>
      <c r="Z148" s="32">
        <f>SUM(J148:J148)</f>
        <v>31999</v>
      </c>
      <c r="AA148" s="32">
        <f>SUM(J148:K148)</f>
        <v>31999</v>
      </c>
      <c r="AB148" s="32">
        <f>SUM(J148:L148)</f>
        <v>31999</v>
      </c>
      <c r="AC148" s="32">
        <f t="shared" ref="AC148" si="292">SUM(J148:M148)</f>
        <v>138380</v>
      </c>
      <c r="AD148" s="32">
        <f t="shared" ref="AD148" si="293">SUM(K148:N148)</f>
        <v>146278</v>
      </c>
      <c r="AE148" s="32">
        <f t="shared" ref="AE148" si="294">SUM(L148:O148)</f>
        <v>146278</v>
      </c>
      <c r="AF148" s="32">
        <f t="shared" ref="AF148" si="295">SUM(M148:P148)</f>
        <v>146278</v>
      </c>
      <c r="AG148" s="32">
        <f t="shared" ref="AG148" si="296">SUM(N148:Q148)</f>
        <v>176187</v>
      </c>
      <c r="AH148" s="32">
        <f t="shared" ref="AH148" si="297">SUM(O148:R148)</f>
        <v>205934</v>
      </c>
      <c r="AI148" s="32">
        <f t="shared" ref="AI148" si="298">SUM(P148:S148)</f>
        <v>205934</v>
      </c>
      <c r="AJ148" s="32">
        <f t="shared" ref="AJ148" si="299">SUM(Q148:T148)</f>
        <v>205934</v>
      </c>
      <c r="AK148" s="67"/>
      <c r="AL148" s="46"/>
    </row>
    <row r="149" spans="2:38" ht="12.75" customHeight="1">
      <c r="B149" s="8" t="s">
        <v>178</v>
      </c>
      <c r="C149" s="84">
        <v>5843</v>
      </c>
      <c r="D149" s="84">
        <v>-17790</v>
      </c>
      <c r="E149" s="84">
        <v>-112461</v>
      </c>
      <c r="F149" s="84">
        <v>-82</v>
      </c>
      <c r="G149" s="84">
        <v>-32854</v>
      </c>
      <c r="H149" s="84">
        <v>3548</v>
      </c>
      <c r="I149" s="32"/>
      <c r="J149" s="84">
        <v>466</v>
      </c>
      <c r="K149" s="84"/>
      <c r="L149" s="84"/>
      <c r="M149" s="32">
        <f t="shared" si="290"/>
        <v>-33320</v>
      </c>
      <c r="N149" s="84">
        <v>7</v>
      </c>
      <c r="O149" s="84"/>
      <c r="P149" s="84"/>
      <c r="Q149" s="32">
        <f t="shared" si="291"/>
        <v>3541</v>
      </c>
      <c r="R149" s="84">
        <f>152 +116</f>
        <v>268</v>
      </c>
      <c r="S149" s="84"/>
      <c r="T149" s="84"/>
      <c r="U149" s="32"/>
      <c r="V149" s="32" t="e">
        <f>SUM(#REF!)</f>
        <v>#REF!</v>
      </c>
      <c r="W149" s="32" t="e">
        <f>SUM(#REF!)</f>
        <v>#REF!</v>
      </c>
      <c r="X149" s="32" t="e">
        <f>SUM(#REF!)</f>
        <v>#REF!</v>
      </c>
      <c r="Y149" s="32" t="e">
        <f>SUM(#REF!)</f>
        <v>#REF!</v>
      </c>
      <c r="Z149" s="32">
        <f>SUM(J149:J149)</f>
        <v>466</v>
      </c>
      <c r="AA149" s="32">
        <f>SUM(J149:K149)</f>
        <v>466</v>
      </c>
      <c r="AB149" s="32">
        <f>SUM(J149:L149)</f>
        <v>466</v>
      </c>
      <c r="AC149" s="32">
        <f t="shared" ref="AC149:AJ149" si="300">SUM(J149:M149)</f>
        <v>-32854</v>
      </c>
      <c r="AD149" s="32">
        <f t="shared" si="300"/>
        <v>-33313</v>
      </c>
      <c r="AE149" s="32">
        <f t="shared" si="300"/>
        <v>-33313</v>
      </c>
      <c r="AF149" s="32">
        <f t="shared" si="300"/>
        <v>-33313</v>
      </c>
      <c r="AG149" s="32">
        <f t="shared" si="300"/>
        <v>3548</v>
      </c>
      <c r="AH149" s="32">
        <f t="shared" si="300"/>
        <v>3809</v>
      </c>
      <c r="AI149" s="32">
        <f t="shared" si="300"/>
        <v>3809</v>
      </c>
      <c r="AJ149" s="32">
        <f t="shared" si="300"/>
        <v>3809</v>
      </c>
      <c r="AK149" s="11"/>
      <c r="AL149" s="46"/>
    </row>
    <row r="150" spans="2:38" ht="5.0999999999999996" customHeight="1" thickBot="1">
      <c r="B150" s="75"/>
      <c r="C150" s="76"/>
      <c r="D150" s="76"/>
      <c r="E150" s="76"/>
      <c r="F150" s="76"/>
      <c r="G150" s="76"/>
      <c r="H150" s="76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  <c r="AL150" s="46"/>
    </row>
    <row r="151" spans="2:38" ht="12.75" customHeight="1"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  <c r="AD151" s="163"/>
      <c r="AE151" s="163"/>
      <c r="AF151" s="163"/>
      <c r="AG151" s="163"/>
      <c r="AH151" s="163"/>
      <c r="AI151" s="163"/>
      <c r="AJ151" s="134"/>
      <c r="AL151" s="46"/>
    </row>
    <row r="152" spans="2:38" ht="12.75" customHeight="1">
      <c r="B152" s="54"/>
      <c r="C152" s="68"/>
      <c r="D152" s="68"/>
      <c r="E152" s="68"/>
      <c r="F152" s="68"/>
      <c r="G152" s="68"/>
      <c r="H152" s="68"/>
    </row>
    <row r="153" spans="2:38" ht="12.75" customHeight="1">
      <c r="C153" s="57"/>
      <c r="D153" s="57"/>
      <c r="E153" s="57"/>
      <c r="F153" s="57"/>
      <c r="G153" s="57"/>
      <c r="H153" s="57"/>
    </row>
    <row r="154" spans="2:38" ht="12.75" customHeight="1">
      <c r="C154" s="57"/>
      <c r="D154" s="57"/>
      <c r="E154" s="57"/>
      <c r="F154" s="57"/>
      <c r="G154" s="57"/>
      <c r="H154" s="57"/>
    </row>
    <row r="155" spans="2:38" ht="12.75" customHeight="1">
      <c r="C155" s="57"/>
      <c r="D155" s="57"/>
      <c r="E155" s="57"/>
      <c r="F155" s="57"/>
      <c r="G155" s="57"/>
      <c r="H155" s="57"/>
    </row>
    <row r="156" spans="2:38" ht="12.75" customHeight="1">
      <c r="C156" s="57"/>
      <c r="D156" s="57"/>
      <c r="E156" s="57"/>
      <c r="F156" s="57"/>
      <c r="G156" s="57"/>
      <c r="H156" s="57"/>
    </row>
    <row r="157" spans="2:38" ht="12.75" customHeight="1">
      <c r="C157" s="57"/>
      <c r="D157" s="57"/>
      <c r="E157" s="57"/>
      <c r="F157" s="57"/>
      <c r="G157" s="57"/>
      <c r="H157" s="57"/>
      <c r="J157" s="89"/>
      <c r="K157" s="89"/>
      <c r="L157" s="89"/>
      <c r="M157" s="89"/>
      <c r="N157" s="89"/>
      <c r="O157" s="89"/>
    </row>
    <row r="158" spans="2:38" ht="12.75" customHeight="1">
      <c r="C158" s="57"/>
      <c r="D158" s="57"/>
      <c r="E158" s="57"/>
      <c r="F158" s="57"/>
      <c r="G158" s="57"/>
      <c r="H158" s="57"/>
    </row>
    <row r="159" spans="2:38" ht="12.75" customHeight="1">
      <c r="C159" s="57"/>
      <c r="D159" s="57"/>
      <c r="E159" s="57"/>
      <c r="F159" s="57"/>
      <c r="G159" s="57"/>
      <c r="H159" s="57"/>
      <c r="J159" s="89"/>
      <c r="K159" s="89"/>
      <c r="L159" s="89"/>
      <c r="M159" s="89"/>
      <c r="N159" s="89"/>
      <c r="O159" s="89"/>
    </row>
    <row r="160" spans="2:38">
      <c r="J160" s="89"/>
      <c r="K160" s="89"/>
      <c r="L160" s="89"/>
      <c r="M160" s="89"/>
      <c r="N160" s="89"/>
      <c r="O160" s="89"/>
    </row>
    <row r="161" spans="10:15">
      <c r="J161" s="89"/>
      <c r="K161" s="89"/>
      <c r="L161" s="89"/>
      <c r="M161" s="89"/>
      <c r="N161" s="89"/>
      <c r="O161" s="89"/>
    </row>
    <row r="163" spans="10:15">
      <c r="J163" s="89"/>
      <c r="K163" s="89"/>
      <c r="L163" s="89"/>
      <c r="M163" s="89"/>
      <c r="N163" s="89"/>
      <c r="O163" s="89"/>
    </row>
    <row r="164" spans="10:15">
      <c r="J164" s="89"/>
      <c r="K164" s="89"/>
      <c r="L164" s="89"/>
      <c r="M164" s="89"/>
      <c r="N164" s="89"/>
      <c r="O164" s="89"/>
    </row>
  </sheetData>
  <mergeCells count="4">
    <mergeCell ref="B151:AI151"/>
    <mergeCell ref="AL6:AL8"/>
    <mergeCell ref="AL44:AL46"/>
    <mergeCell ref="AL91:AL93"/>
  </mergeCells>
  <dataValidations disablePrompts="1"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I36 I54 V24:AG25 V32:AG33 V31:AE31 C119:H124" formulaRange="1"/>
    <ignoredError sqref="C24:H25 C32:H33 J24:T25 J35:T37 J32:T33 AJ116:AL118 C35:H42 J39:T40 AJ126:AL127 AK124:AL124 AK128:AL128 AK125:AL125 J42:T42 Q41 M41" evalError="1"/>
    <ignoredError sqref="V140:AJ141 Q14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M16"/>
  <sheetViews>
    <sheetView showGridLines="0" zoomScaleNormal="100" workbookViewId="0">
      <selection activeCell="W9" sqref="W9:Y13"/>
    </sheetView>
  </sheetViews>
  <sheetFormatPr defaultRowHeight="12" outlineLevelCol="2"/>
  <cols>
    <col min="1" max="1" width="1.5" style="8" customWidth="1"/>
    <col min="2" max="2" width="46.5" style="8" bestFit="1" customWidth="1"/>
    <col min="3" max="5" width="8.625" style="8" hidden="1" customWidth="1" outlineLevel="2"/>
    <col min="6" max="6" width="8.625" style="8" hidden="1" customWidth="1" outlineLevel="1"/>
    <col min="7" max="7" width="8.625" style="8" bestFit="1" customWidth="1" collapsed="1"/>
    <col min="8" max="9" width="8.625" style="8" bestFit="1" customWidth="1"/>
    <col min="10" max="10" width="1.5" style="8" customWidth="1"/>
    <col min="11" max="13" width="7.875" style="8" hidden="1" customWidth="1" outlineLevel="1"/>
    <col min="14" max="14" width="8.75" style="8" hidden="1" customWidth="1" outlineLevel="1"/>
    <col min="15" max="17" width="8" style="8" hidden="1" customWidth="1" outlineLevel="1"/>
    <col min="18" max="18" width="8.75" style="8" hidden="1" customWidth="1" outlineLevel="1"/>
    <col min="19" max="19" width="8.5" style="8" customWidth="1" collapsed="1"/>
    <col min="20" max="20" width="8.25" style="8" bestFit="1" customWidth="1"/>
    <col min="21" max="21" width="8.5" style="8" bestFit="1" customWidth="1"/>
    <col min="22" max="25" width="9.125" style="8" bestFit="1" customWidth="1"/>
    <col min="26" max="26" width="1.5" style="8" customWidth="1"/>
    <col min="27" max="32" width="8.75" style="8" hidden="1" customWidth="1" outlineLevel="1"/>
    <col min="33" max="33" width="8.75" style="8" bestFit="1" customWidth="1" collapsed="1"/>
    <col min="34" max="36" width="8.75" style="8" hidden="1" customWidth="1" outlineLevel="1"/>
    <col min="37" max="37" width="8.75" style="8" bestFit="1" customWidth="1" collapsed="1"/>
    <col min="38" max="38" width="1.5" style="8" customWidth="1"/>
    <col min="39" max="39" width="9.875" style="8" bestFit="1" customWidth="1"/>
    <col min="40" max="16384" width="9" style="8"/>
  </cols>
  <sheetData>
    <row r="2" spans="1:39" s="5" customFormat="1" ht="12.75" customHeight="1">
      <c r="B2" s="1" t="s">
        <v>111</v>
      </c>
      <c r="C2" s="2" t="s">
        <v>0</v>
      </c>
      <c r="D2" s="2"/>
      <c r="E2" s="2"/>
      <c r="F2" s="2"/>
      <c r="G2" s="2" t="s">
        <v>0</v>
      </c>
      <c r="H2" s="2"/>
      <c r="I2" s="2"/>
      <c r="J2" s="3"/>
      <c r="K2" s="2" t="s">
        <v>1</v>
      </c>
      <c r="L2" s="2"/>
      <c r="M2" s="2"/>
      <c r="N2" s="2"/>
      <c r="O2" s="2"/>
      <c r="P2" s="2"/>
      <c r="Q2" s="2"/>
      <c r="R2" s="2"/>
      <c r="S2" s="2" t="s">
        <v>1</v>
      </c>
      <c r="T2" s="2" t="s">
        <v>1</v>
      </c>
      <c r="U2" s="2"/>
      <c r="V2" s="2"/>
      <c r="W2" s="2"/>
      <c r="X2" s="2"/>
      <c r="Y2" s="2"/>
      <c r="Z2" s="3"/>
      <c r="AA2" s="2" t="s">
        <v>10</v>
      </c>
      <c r="AB2" s="2"/>
      <c r="AC2" s="2"/>
      <c r="AD2" s="2"/>
      <c r="AE2" s="2" t="s">
        <v>10</v>
      </c>
      <c r="AF2" s="2"/>
      <c r="AG2" s="2" t="s">
        <v>10</v>
      </c>
      <c r="AH2" s="2"/>
      <c r="AI2" s="2"/>
      <c r="AJ2" s="2"/>
      <c r="AK2" s="2"/>
      <c r="AL2" s="3"/>
      <c r="AM2" s="164" t="s">
        <v>25</v>
      </c>
    </row>
    <row r="3" spans="1:39" s="5" customFormat="1" ht="12.75" customHeight="1">
      <c r="B3" s="6" t="s">
        <v>71</v>
      </c>
      <c r="C3" s="7" t="e">
        <f>'Historical Financials'!#REF!</f>
        <v>#REF!</v>
      </c>
      <c r="D3" s="7">
        <f>'Historical Financials'!C7</f>
        <v>2019</v>
      </c>
      <c r="E3" s="7">
        <f>'Historical Financials'!D7</f>
        <v>2020</v>
      </c>
      <c r="F3" s="7">
        <f>'Historical Financials'!E7</f>
        <v>2021</v>
      </c>
      <c r="G3" s="7">
        <f>'Historical Financials'!F7</f>
        <v>2022</v>
      </c>
      <c r="H3" s="7">
        <f>'Historical Financials'!G7</f>
        <v>2023</v>
      </c>
      <c r="I3" s="7">
        <f>'Historical Financials'!H7</f>
        <v>2024</v>
      </c>
      <c r="J3" s="3"/>
      <c r="K3" s="7" t="e">
        <f>'Historical Financials'!#REF!</f>
        <v>#REF!</v>
      </c>
      <c r="L3" s="7" t="e">
        <f>'Historical Financials'!#REF!</f>
        <v>#REF!</v>
      </c>
      <c r="M3" s="7" t="e">
        <f>'Historical Financials'!#REF!</f>
        <v>#REF!</v>
      </c>
      <c r="N3" s="7" t="e">
        <f>'Historical Financials'!#REF!</f>
        <v>#REF!</v>
      </c>
      <c r="O3" s="7" t="str">
        <f>'Historical Financials'!J7</f>
        <v>1Q23</v>
      </c>
      <c r="P3" s="7" t="str">
        <f>'Historical Financials'!K7</f>
        <v>2Q23</v>
      </c>
      <c r="Q3" s="7" t="str">
        <f>'Historical Financials'!L7</f>
        <v>3Q23</v>
      </c>
      <c r="R3" s="7" t="str">
        <f>'Historical Financials'!M7</f>
        <v>4Q23</v>
      </c>
      <c r="S3" s="7" t="str">
        <f>'Historical Financials'!N7</f>
        <v>1Q24</v>
      </c>
      <c r="T3" s="7" t="str">
        <f>'Historical Financials'!O7</f>
        <v>2Q24</v>
      </c>
      <c r="U3" s="7" t="str">
        <f>'Historical Financials'!P7</f>
        <v>3Q24</v>
      </c>
      <c r="V3" s="7" t="str">
        <f>'Historical Financials'!Q7</f>
        <v>4Q24</v>
      </c>
      <c r="W3" s="7" t="str">
        <f>'Historical Financials'!R7</f>
        <v>1Q25</v>
      </c>
      <c r="X3" s="7" t="str">
        <f>'Historical Financials'!S7</f>
        <v>2Q25</v>
      </c>
      <c r="Y3" s="7" t="str">
        <f>'Historical Financials'!T7</f>
        <v>3Q25</v>
      </c>
      <c r="Z3" s="4"/>
      <c r="AA3" s="4" t="str">
        <f t="shared" ref="AA3:AJ4" si="0">O3</f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>Y3</f>
        <v>3Q25</v>
      </c>
      <c r="AL3" s="3"/>
      <c r="AM3" s="164"/>
    </row>
    <row r="4" spans="1:39" s="5" customFormat="1" ht="12.75" customHeight="1">
      <c r="B4" s="6" t="s">
        <v>115</v>
      </c>
      <c r="C4" s="3" t="e">
        <f>'Historical Financials'!#REF!</f>
        <v>#REF!</v>
      </c>
      <c r="D4" s="3">
        <f>'Historical Financials'!C8</f>
        <v>43830</v>
      </c>
      <c r="E4" s="3">
        <f>'Historical Financials'!D8</f>
        <v>44196</v>
      </c>
      <c r="F4" s="3">
        <f>'Historical Financials'!E8</f>
        <v>44561</v>
      </c>
      <c r="G4" s="3">
        <f>'Historical Financials'!F8</f>
        <v>44926</v>
      </c>
      <c r="H4" s="3">
        <f>'Historical Financials'!G8</f>
        <v>45291</v>
      </c>
      <c r="I4" s="3">
        <f>'Historical Financials'!H8</f>
        <v>45657</v>
      </c>
      <c r="J4" s="3"/>
      <c r="K4" s="3" t="e">
        <f>'Historical Financials'!#REF!</f>
        <v>#REF!</v>
      </c>
      <c r="L4" s="3" t="e">
        <f>'Historical Financials'!#REF!</f>
        <v>#REF!</v>
      </c>
      <c r="M4" s="3" t="e">
        <f>'Historical Financials'!#REF!</f>
        <v>#REF!</v>
      </c>
      <c r="N4" s="3" t="e">
        <f>'Historical Financials'!#REF!</f>
        <v>#REF!</v>
      </c>
      <c r="O4" s="3">
        <f>'Historical Financials'!J8</f>
        <v>45016</v>
      </c>
      <c r="P4" s="3">
        <f>'Historical Financials'!K8</f>
        <v>45107</v>
      </c>
      <c r="Q4" s="3">
        <f>'Historical Financials'!L8</f>
        <v>45199</v>
      </c>
      <c r="R4" s="3">
        <f>'Historical Financials'!M8</f>
        <v>45291</v>
      </c>
      <c r="S4" s="3">
        <f>'Historical Financials'!N8</f>
        <v>45382</v>
      </c>
      <c r="T4" s="3">
        <f>'Historical Financials'!O8</f>
        <v>45473</v>
      </c>
      <c r="U4" s="3">
        <f>'Historical Financials'!P8</f>
        <v>45565</v>
      </c>
      <c r="V4" s="3">
        <f>'Historical Financials'!Q8</f>
        <v>45657</v>
      </c>
      <c r="W4" s="3">
        <f>'Historical Financials'!R8</f>
        <v>45747</v>
      </c>
      <c r="X4" s="3">
        <f>'Historical Financials'!S8</f>
        <v>45838</v>
      </c>
      <c r="Y4" s="3">
        <f>'Historical Financials'!T8</f>
        <v>45930</v>
      </c>
      <c r="Z4" s="3"/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>Y4</f>
        <v>45930</v>
      </c>
      <c r="AL4" s="3"/>
      <c r="AM4" s="164"/>
    </row>
    <row r="5" spans="1:39" ht="5.0999999999999996" customHeight="1"/>
    <row r="6" spans="1:39">
      <c r="A6" s="36" t="s">
        <v>18</v>
      </c>
      <c r="B6" s="1" t="s">
        <v>98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5.0999999999999996" customHeight="1"/>
    <row r="8" spans="1:39" ht="12.75" customHeight="1">
      <c r="A8" s="82"/>
      <c r="B8" s="80" t="s">
        <v>97</v>
      </c>
      <c r="C8" s="25"/>
      <c r="D8" s="25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5"/>
      <c r="AA8" s="11"/>
      <c r="AB8" s="11"/>
      <c r="AC8" s="11"/>
      <c r="AD8" s="11"/>
      <c r="AE8" s="11"/>
      <c r="AF8" s="11"/>
      <c r="AG8" s="11"/>
      <c r="AH8" s="11"/>
      <c r="AI8" s="11"/>
      <c r="AJ8" s="11"/>
      <c r="AM8" s="12"/>
    </row>
    <row r="9" spans="1:39" ht="12.75" customHeight="1">
      <c r="B9" s="9"/>
      <c r="C9" s="83"/>
      <c r="D9" s="83"/>
      <c r="E9" s="83"/>
      <c r="F9" s="83"/>
      <c r="G9" s="83"/>
      <c r="H9" s="83"/>
      <c r="I9" s="83"/>
      <c r="J9" s="83"/>
      <c r="K9" s="83">
        <v>3350424</v>
      </c>
      <c r="L9" s="83">
        <v>3537863</v>
      </c>
      <c r="M9" s="83">
        <v>3601565</v>
      </c>
      <c r="N9" s="128">
        <f t="shared" ref="N9:N13" si="1">SUM(G9-SUM(K9:M9))</f>
        <v>-10489852</v>
      </c>
      <c r="O9" s="83">
        <v>3608645</v>
      </c>
      <c r="P9" s="83">
        <v>3599448</v>
      </c>
      <c r="Q9" s="83">
        <v>3735133</v>
      </c>
      <c r="R9" s="128">
        <f t="shared" ref="R9:R13" si="2">SUM(H9-SUM(O9:Q9))</f>
        <v>-10943226</v>
      </c>
      <c r="S9" s="83"/>
      <c r="T9" s="83"/>
      <c r="U9" s="83"/>
      <c r="V9" s="128">
        <f t="shared" ref="V9:V13" si="3">SUM(I9-SUM(S9:U9))</f>
        <v>0</v>
      </c>
      <c r="W9" s="83"/>
      <c r="X9" s="83"/>
      <c r="Y9" s="83"/>
      <c r="Z9" s="11"/>
      <c r="AA9" s="11">
        <f t="shared" ref="AA9:AF9" si="4">SUM(L9:O9)</f>
        <v>258221</v>
      </c>
      <c r="AB9" s="11">
        <f t="shared" si="4"/>
        <v>319806</v>
      </c>
      <c r="AC9" s="11">
        <f t="shared" si="4"/>
        <v>453374</v>
      </c>
      <c r="AD9" s="11">
        <f t="shared" si="4"/>
        <v>0</v>
      </c>
      <c r="AE9" s="11">
        <f t="shared" si="4"/>
        <v>-3608645</v>
      </c>
      <c r="AF9" s="11">
        <f t="shared" si="4"/>
        <v>-7208093</v>
      </c>
      <c r="AG9" s="128">
        <f t="shared" ref="AG9:AK10" si="5">SUM(R9:U9)</f>
        <v>-10943226</v>
      </c>
      <c r="AH9" s="128">
        <f t="shared" si="5"/>
        <v>0</v>
      </c>
      <c r="AI9" s="128">
        <f t="shared" si="5"/>
        <v>0</v>
      </c>
      <c r="AJ9" s="128">
        <f t="shared" si="5"/>
        <v>0</v>
      </c>
      <c r="AK9" s="128">
        <f t="shared" si="5"/>
        <v>0</v>
      </c>
      <c r="AM9" s="12">
        <f>SUM(AK9/AG9)-1</f>
        <v>-1</v>
      </c>
    </row>
    <row r="10" spans="1:39" ht="12.75" customHeight="1">
      <c r="B10" s="9"/>
      <c r="C10" s="83"/>
      <c r="D10" s="83"/>
      <c r="E10" s="83"/>
      <c r="F10" s="83"/>
      <c r="G10" s="83"/>
      <c r="H10" s="83"/>
      <c r="I10" s="83"/>
      <c r="J10" s="83"/>
      <c r="K10" s="83">
        <v>2561831</v>
      </c>
      <c r="L10" s="83">
        <v>2457235</v>
      </c>
      <c r="M10" s="83">
        <v>2375814</v>
      </c>
      <c r="N10" s="128">
        <f t="shared" si="1"/>
        <v>-7394880</v>
      </c>
      <c r="O10" s="83">
        <v>2517641</v>
      </c>
      <c r="P10" s="83">
        <v>2562170</v>
      </c>
      <c r="Q10" s="83">
        <v>2693146</v>
      </c>
      <c r="R10" s="128">
        <f t="shared" si="2"/>
        <v>-7772957</v>
      </c>
      <c r="S10" s="83"/>
      <c r="T10" s="83"/>
      <c r="U10" s="83"/>
      <c r="V10" s="128">
        <f t="shared" si="3"/>
        <v>0</v>
      </c>
      <c r="W10" s="83"/>
      <c r="X10" s="83"/>
      <c r="Y10" s="83"/>
      <c r="Z10" s="11"/>
      <c r="AA10" s="11"/>
      <c r="AB10" s="11"/>
      <c r="AC10" s="11"/>
      <c r="AD10" s="11"/>
      <c r="AE10" s="11"/>
      <c r="AF10" s="11"/>
      <c r="AG10" s="128">
        <f t="shared" si="5"/>
        <v>-7772957</v>
      </c>
      <c r="AH10" s="128">
        <f t="shared" si="5"/>
        <v>0</v>
      </c>
      <c r="AI10" s="128">
        <f t="shared" si="5"/>
        <v>0</v>
      </c>
      <c r="AJ10" s="128">
        <f t="shared" si="5"/>
        <v>0</v>
      </c>
      <c r="AK10" s="128">
        <f t="shared" si="5"/>
        <v>0</v>
      </c>
      <c r="AM10" s="12">
        <f>SUM(AK10/AG10)-1</f>
        <v>-1</v>
      </c>
    </row>
    <row r="11" spans="1:39" ht="12.75" customHeight="1">
      <c r="B11" s="9"/>
      <c r="C11" s="83"/>
      <c r="D11" s="83"/>
      <c r="E11" s="83"/>
      <c r="F11" s="83"/>
      <c r="G11" s="83"/>
      <c r="H11" s="83"/>
      <c r="I11" s="83"/>
      <c r="J11" s="83"/>
      <c r="K11" s="83">
        <v>998948</v>
      </c>
      <c r="L11" s="83">
        <v>1030234</v>
      </c>
      <c r="M11" s="83">
        <v>1023945</v>
      </c>
      <c r="N11" s="128">
        <f t="shared" si="1"/>
        <v>-3053127</v>
      </c>
      <c r="O11" s="83">
        <v>1070192</v>
      </c>
      <c r="P11" s="83">
        <v>1077435</v>
      </c>
      <c r="Q11" s="83">
        <v>1142811</v>
      </c>
      <c r="R11" s="128">
        <f t="shared" si="2"/>
        <v>-3290438</v>
      </c>
      <c r="S11" s="83"/>
      <c r="T11" s="83"/>
      <c r="U11" s="83"/>
      <c r="V11" s="128">
        <f t="shared" si="3"/>
        <v>0</v>
      </c>
      <c r="W11" s="83"/>
      <c r="X11" s="83"/>
      <c r="Y11" s="83"/>
      <c r="Z11" s="11"/>
      <c r="AA11" s="11"/>
      <c r="AB11" s="11"/>
      <c r="AC11" s="11"/>
      <c r="AD11" s="11"/>
      <c r="AE11" s="11"/>
      <c r="AF11" s="11"/>
      <c r="AG11" s="128">
        <f t="shared" ref="AG11:AG13" si="6">SUM(R11:U11)</f>
        <v>-3290438</v>
      </c>
      <c r="AH11" s="128">
        <f t="shared" ref="AH11:AH13" si="7">SUM(S11:V11)</f>
        <v>0</v>
      </c>
      <c r="AI11" s="128">
        <f t="shared" ref="AI11:AI13" si="8">SUM(T11:W11)</f>
        <v>0</v>
      </c>
      <c r="AJ11" s="128">
        <f t="shared" ref="AJ11:AJ13" si="9">SUM(U11:X11)</f>
        <v>0</v>
      </c>
      <c r="AK11" s="128">
        <f t="shared" ref="AK11:AK13" si="10">SUM(V11:Y11)</f>
        <v>0</v>
      </c>
      <c r="AM11" s="12">
        <f t="shared" ref="AM11:AM13" si="11">SUM(AK11/AG11)-1</f>
        <v>-1</v>
      </c>
    </row>
    <row r="12" spans="1:39" ht="12.75" customHeight="1">
      <c r="B12" s="9"/>
      <c r="C12" s="83"/>
      <c r="D12" s="83"/>
      <c r="E12" s="83"/>
      <c r="F12" s="83"/>
      <c r="G12" s="83"/>
      <c r="H12" s="83"/>
      <c r="I12" s="83"/>
      <c r="J12" s="83"/>
      <c r="K12" s="83">
        <v>916754</v>
      </c>
      <c r="L12" s="83">
        <v>907719</v>
      </c>
      <c r="M12" s="83">
        <v>889037</v>
      </c>
      <c r="N12" s="128">
        <f t="shared" si="1"/>
        <v>-2713510</v>
      </c>
      <c r="O12" s="83">
        <v>933523</v>
      </c>
      <c r="P12" s="83">
        <v>919273</v>
      </c>
      <c r="Q12" s="83">
        <v>948216</v>
      </c>
      <c r="R12" s="128">
        <f t="shared" si="2"/>
        <v>-2801012</v>
      </c>
      <c r="S12" s="83"/>
      <c r="T12" s="83"/>
      <c r="U12" s="83"/>
      <c r="V12" s="128">
        <f t="shared" si="3"/>
        <v>0</v>
      </c>
      <c r="W12" s="83"/>
      <c r="X12" s="83"/>
      <c r="Y12" s="83"/>
      <c r="Z12" s="11"/>
      <c r="AA12" s="11"/>
      <c r="AB12" s="11"/>
      <c r="AC12" s="11"/>
      <c r="AD12" s="11"/>
      <c r="AE12" s="11"/>
      <c r="AF12" s="11"/>
      <c r="AG12" s="128">
        <f t="shared" si="6"/>
        <v>-2801012</v>
      </c>
      <c r="AH12" s="128">
        <f t="shared" si="7"/>
        <v>0</v>
      </c>
      <c r="AI12" s="128">
        <f t="shared" si="8"/>
        <v>0</v>
      </c>
      <c r="AJ12" s="128">
        <f t="shared" si="9"/>
        <v>0</v>
      </c>
      <c r="AK12" s="128">
        <f t="shared" si="10"/>
        <v>0</v>
      </c>
      <c r="AM12" s="12">
        <f t="shared" si="11"/>
        <v>-1</v>
      </c>
    </row>
    <row r="13" spans="1:39" ht="12.75" customHeight="1">
      <c r="B13" s="9"/>
      <c r="C13" s="83"/>
      <c r="D13" s="83"/>
      <c r="E13" s="83"/>
      <c r="F13" s="83"/>
      <c r="G13" s="83"/>
      <c r="H13" s="83"/>
      <c r="I13" s="83"/>
      <c r="J13" s="83"/>
      <c r="K13" s="83">
        <v>39810</v>
      </c>
      <c r="L13" s="83">
        <v>37090</v>
      </c>
      <c r="M13" s="83">
        <v>35228</v>
      </c>
      <c r="N13" s="128">
        <f t="shared" si="1"/>
        <v>-112128</v>
      </c>
      <c r="O13" s="83">
        <v>31502</v>
      </c>
      <c r="P13" s="83">
        <v>28975</v>
      </c>
      <c r="Q13" s="83">
        <v>22362</v>
      </c>
      <c r="R13" s="128">
        <f t="shared" si="2"/>
        <v>-82839</v>
      </c>
      <c r="S13" s="83"/>
      <c r="T13" s="83"/>
      <c r="U13" s="83"/>
      <c r="V13" s="128">
        <f t="shared" si="3"/>
        <v>0</v>
      </c>
      <c r="W13" s="83"/>
      <c r="X13" s="83"/>
      <c r="Y13" s="83"/>
      <c r="Z13" s="11"/>
      <c r="AA13" s="11"/>
      <c r="AB13" s="11"/>
      <c r="AC13" s="11"/>
      <c r="AD13" s="11"/>
      <c r="AE13" s="11"/>
      <c r="AF13" s="11"/>
      <c r="AG13" s="128">
        <f t="shared" si="6"/>
        <v>-82839</v>
      </c>
      <c r="AH13" s="128">
        <f t="shared" si="7"/>
        <v>0</v>
      </c>
      <c r="AI13" s="128">
        <f t="shared" si="8"/>
        <v>0</v>
      </c>
      <c r="AJ13" s="128">
        <f t="shared" si="9"/>
        <v>0</v>
      </c>
      <c r="AK13" s="128">
        <f t="shared" si="10"/>
        <v>0</v>
      </c>
      <c r="AM13" s="12">
        <f t="shared" si="11"/>
        <v>-1</v>
      </c>
    </row>
    <row r="14" spans="1:39" ht="12.75" customHeight="1">
      <c r="B14" s="13" t="s">
        <v>72</v>
      </c>
      <c r="C14" s="34">
        <f t="shared" ref="C14:I14" si="12">SUM(C9:C13)</f>
        <v>0</v>
      </c>
      <c r="D14" s="34">
        <f t="shared" si="12"/>
        <v>0</v>
      </c>
      <c r="E14" s="34">
        <f t="shared" si="12"/>
        <v>0</v>
      </c>
      <c r="F14" s="34">
        <f t="shared" si="12"/>
        <v>0</v>
      </c>
      <c r="G14" s="34">
        <f t="shared" si="12"/>
        <v>0</v>
      </c>
      <c r="H14" s="34">
        <f t="shared" si="12"/>
        <v>0</v>
      </c>
      <c r="I14" s="34">
        <f t="shared" si="12"/>
        <v>0</v>
      </c>
      <c r="J14" s="11"/>
      <c r="K14" s="34">
        <f t="shared" ref="K14:Y14" si="13">SUM(K9:K13)</f>
        <v>7867767</v>
      </c>
      <c r="L14" s="34">
        <f t="shared" si="13"/>
        <v>7970141</v>
      </c>
      <c r="M14" s="34">
        <f t="shared" si="13"/>
        <v>7925589</v>
      </c>
      <c r="N14" s="34">
        <f t="shared" si="13"/>
        <v>-23763497</v>
      </c>
      <c r="O14" s="34">
        <f t="shared" si="13"/>
        <v>8161503</v>
      </c>
      <c r="P14" s="34">
        <f t="shared" si="13"/>
        <v>8187301</v>
      </c>
      <c r="Q14" s="34">
        <f t="shared" si="13"/>
        <v>8541668</v>
      </c>
      <c r="R14" s="34">
        <f t="shared" si="13"/>
        <v>-24890472</v>
      </c>
      <c r="S14" s="34">
        <f t="shared" si="13"/>
        <v>0</v>
      </c>
      <c r="T14" s="34">
        <f t="shared" si="13"/>
        <v>0</v>
      </c>
      <c r="U14" s="34">
        <f t="shared" si="13"/>
        <v>0</v>
      </c>
      <c r="V14" s="34">
        <f t="shared" si="13"/>
        <v>0</v>
      </c>
      <c r="W14" s="34">
        <f t="shared" si="13"/>
        <v>0</v>
      </c>
      <c r="X14" s="34">
        <f t="shared" si="13"/>
        <v>0</v>
      </c>
      <c r="Y14" s="34">
        <f t="shared" si="13"/>
        <v>0</v>
      </c>
      <c r="Z14" s="5"/>
      <c r="AA14" s="34">
        <f t="shared" ref="AA14:AK14" si="14">SUM(AA9:AA13)</f>
        <v>258221</v>
      </c>
      <c r="AB14" s="34">
        <f t="shared" si="14"/>
        <v>319806</v>
      </c>
      <c r="AC14" s="34">
        <f t="shared" si="14"/>
        <v>453374</v>
      </c>
      <c r="AD14" s="34">
        <f t="shared" si="14"/>
        <v>0</v>
      </c>
      <c r="AE14" s="34">
        <f t="shared" si="14"/>
        <v>-3608645</v>
      </c>
      <c r="AF14" s="34">
        <f t="shared" si="14"/>
        <v>-7208093</v>
      </c>
      <c r="AG14" s="34">
        <f t="shared" si="14"/>
        <v>-24890472</v>
      </c>
      <c r="AH14" s="34">
        <f t="shared" si="14"/>
        <v>0</v>
      </c>
      <c r="AI14" s="34">
        <f t="shared" si="14"/>
        <v>0</v>
      </c>
      <c r="AJ14" s="34">
        <f t="shared" si="14"/>
        <v>0</v>
      </c>
      <c r="AK14" s="34">
        <f t="shared" si="14"/>
        <v>0</v>
      </c>
      <c r="AM14" s="15">
        <f>SUM(AK14/AG14)-1</f>
        <v>-1</v>
      </c>
    </row>
    <row r="15" spans="1:39">
      <c r="B15" s="137" t="s">
        <v>99</v>
      </c>
      <c r="C15" s="81" t="e">
        <f>+C14-'Historical Financials'!#REF!</f>
        <v>#REF!</v>
      </c>
      <c r="D15" s="81">
        <f>+D14-'Historical Financials'!C11</f>
        <v>-3830536</v>
      </c>
      <c r="E15" s="81">
        <f>+E14-'Historical Financials'!D11</f>
        <v>-1810022</v>
      </c>
      <c r="F15" s="81">
        <f>+F14-'Historical Financials'!E11</f>
        <v>-3230775</v>
      </c>
      <c r="G15" s="81">
        <f>+G14-'Historical Financials'!F11</f>
        <v>-5068447</v>
      </c>
      <c r="H15" s="81">
        <f>+H14-'Historical Financials'!G11</f>
        <v>-5362549</v>
      </c>
      <c r="I15" s="81">
        <f>+I14-'Historical Financials'!H11</f>
        <v>-4913421</v>
      </c>
      <c r="J15" s="11"/>
      <c r="K15" s="81" t="e">
        <f>K14-'Historical Financials'!#REF!</f>
        <v>#REF!</v>
      </c>
      <c r="L15" s="81" t="e">
        <f>L14-'Historical Financials'!#REF!</f>
        <v>#REF!</v>
      </c>
      <c r="M15" s="81" t="e">
        <f>M14-'Historical Financials'!#REF!</f>
        <v>#REF!</v>
      </c>
      <c r="N15" s="81" t="e">
        <f>N14-'Historical Financials'!#REF!</f>
        <v>#REF!</v>
      </c>
      <c r="O15" s="81">
        <f>O14-'Historical Financials'!J11</f>
        <v>6811729</v>
      </c>
      <c r="P15" s="81">
        <f>P14-'Historical Financials'!K11</f>
        <v>6754829</v>
      </c>
      <c r="Q15" s="81">
        <f>Q14-'Historical Financials'!L11</f>
        <v>7283125</v>
      </c>
      <c r="R15" s="81">
        <f>R14-'Historical Financials'!M11</f>
        <v>-26212232</v>
      </c>
      <c r="S15" s="81">
        <f>S14-'Historical Financials'!N11</f>
        <v>-1265537</v>
      </c>
      <c r="T15" s="81">
        <f>T14-'Historical Financials'!O11</f>
        <v>-1280889</v>
      </c>
      <c r="U15" s="81">
        <f>U14-'Historical Financials'!P11</f>
        <v>-1197104</v>
      </c>
      <c r="V15" s="81">
        <f>V14-'Historical Financials'!Q11</f>
        <v>-1169891</v>
      </c>
      <c r="W15" s="81">
        <f>W14-'Historical Financials'!R11</f>
        <v>-1012399</v>
      </c>
      <c r="X15" s="81">
        <f>X14-'Historical Financials'!S11</f>
        <v>-1019833</v>
      </c>
      <c r="Y15" s="81">
        <f>Y14-'Historical Financials'!T11</f>
        <v>-958524</v>
      </c>
      <c r="Z15" s="81"/>
      <c r="AA15" s="81">
        <f>+AA14-'Historical Financials'!Z11</f>
        <v>-1091553</v>
      </c>
      <c r="AB15" s="81">
        <f>+AB14-'Historical Financials'!AA11</f>
        <v>-2462440</v>
      </c>
      <c r="AC15" s="81">
        <f>+AC14-'Historical Financials'!AB11</f>
        <v>-3587415</v>
      </c>
      <c r="AD15" s="81">
        <f>+AD14-'Historical Financials'!AC11</f>
        <v>-5362549</v>
      </c>
      <c r="AE15" s="81">
        <f>+AE14-'Historical Financials'!AD11</f>
        <v>-8886957</v>
      </c>
      <c r="AF15" s="81">
        <f>+AF14-'Historical Financials'!AE11</f>
        <v>-12334822</v>
      </c>
      <c r="AG15" s="81">
        <f>+AG14-'Historical Financials'!AF11</f>
        <v>-29955762</v>
      </c>
      <c r="AH15" s="81">
        <f>+AH14-'Historical Financials'!AG11</f>
        <v>-4913421</v>
      </c>
      <c r="AI15" s="81">
        <f>+AI14-'Historical Financials'!AH11</f>
        <v>-4660283</v>
      </c>
      <c r="AJ15" s="81">
        <f>+AJ14-'Historical Financials'!AI11</f>
        <v>-4399227</v>
      </c>
      <c r="AK15" s="81">
        <f>AK14-'Historical Financials'!AJ11</f>
        <v>-4160647</v>
      </c>
    </row>
    <row r="16" spans="1:39" ht="5.0999999999999996" customHeight="1">
      <c r="B16" s="18"/>
      <c r="C16" s="18"/>
      <c r="D16" s="18"/>
      <c r="E16" s="19"/>
      <c r="F16" s="19"/>
      <c r="G16" s="19"/>
      <c r="H16" s="19"/>
      <c r="I16" s="19"/>
      <c r="J16" s="20"/>
      <c r="K16" s="21"/>
      <c r="L16" s="21"/>
      <c r="M16" s="21"/>
      <c r="N16" s="22"/>
      <c r="O16" s="21"/>
      <c r="P16" s="21"/>
      <c r="Q16" s="21"/>
      <c r="R16" s="22"/>
      <c r="S16" s="21"/>
      <c r="T16" s="21"/>
      <c r="U16" s="21"/>
      <c r="V16" s="21"/>
      <c r="W16" s="21"/>
      <c r="X16" s="21"/>
      <c r="Y16" s="21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</sheetData>
  <mergeCells count="1">
    <mergeCell ref="AM2:AM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M9:AM13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J84"/>
  <sheetViews>
    <sheetView showGridLines="0" topLeftCell="A28" zoomScale="115" zoomScaleNormal="115" workbookViewId="0">
      <selection activeCell="B44" sqref="B44"/>
    </sheetView>
  </sheetViews>
  <sheetFormatPr defaultRowHeight="12" outlineLevelCol="1"/>
  <cols>
    <col min="1" max="1" width="1.5" style="8" customWidth="1"/>
    <col min="2" max="2" width="41.625" style="8" customWidth="1"/>
    <col min="3" max="4" width="8.625" style="8" customWidth="1" outlineLevel="1"/>
    <col min="5" max="5" width="9" style="8" bestFit="1" customWidth="1"/>
    <col min="6" max="6" width="9.25" style="8" bestFit="1" customWidth="1"/>
    <col min="7" max="7" width="9" style="8"/>
    <col min="8" max="8" width="1.5" style="8" customWidth="1"/>
    <col min="9" max="10" width="8" style="8" customWidth="1" outlineLevel="1"/>
    <col min="11" max="14" width="8.875" style="8" customWidth="1" outlineLevel="1"/>
    <col min="15" max="19" width="8.875" style="8" bestFit="1" customWidth="1"/>
    <col min="20" max="20" width="1.625" style="8" customWidth="1"/>
    <col min="21" max="21" width="9" style="8" hidden="1" customWidth="1" outlineLevel="1"/>
    <col min="22" max="22" width="8.625" style="8" hidden="1" customWidth="1" outlineLevel="1"/>
    <col min="23" max="23" width="8.5" style="8" hidden="1" customWidth="1" outlineLevel="1"/>
    <col min="24" max="25" width="8.25" style="8" hidden="1" customWidth="1" outlineLevel="1"/>
    <col min="26" max="26" width="9.25" style="8" hidden="1" customWidth="1" outlineLevel="1"/>
    <col min="27" max="27" width="9.75" style="8" hidden="1" customWidth="1" outlineLevel="1"/>
    <col min="28" max="28" width="9" style="8" hidden="1" customWidth="1" outlineLevel="1"/>
    <col min="29" max="29" width="9" style="8" customWidth="1" collapsed="1"/>
    <col min="30" max="31" width="9" style="8" hidden="1" customWidth="1" outlineLevel="1"/>
    <col min="32" max="32" width="8.5" style="8" hidden="1" customWidth="1" outlineLevel="1"/>
    <col min="33" max="33" width="8.5" style="8" bestFit="1" customWidth="1" collapsed="1"/>
    <col min="34" max="34" width="1.5" style="8" customWidth="1"/>
    <col min="35" max="35" width="9.375" style="133" bestFit="1" customWidth="1"/>
    <col min="36" max="16384" width="9" style="8"/>
  </cols>
  <sheetData>
    <row r="2" spans="2:35" s="5" customFormat="1" ht="12.75" customHeight="1">
      <c r="B2" s="1" t="str">
        <f>'Historical Financials'!B2</f>
        <v>Spirit Airlines, Inc. (NASDAQ: FLYYQ)</v>
      </c>
      <c r="C2" s="2" t="s">
        <v>0</v>
      </c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/>
      <c r="N2" s="2"/>
      <c r="O2" s="2" t="s">
        <v>1</v>
      </c>
      <c r="P2" s="2"/>
      <c r="Q2" s="2"/>
      <c r="R2" s="2"/>
      <c r="S2" s="2"/>
      <c r="T2" s="3"/>
      <c r="U2" s="2" t="s">
        <v>10</v>
      </c>
      <c r="V2" s="2"/>
      <c r="W2" s="2"/>
      <c r="X2" s="2"/>
      <c r="Y2" s="2"/>
      <c r="Z2" s="2"/>
      <c r="AA2" s="2"/>
      <c r="AB2" s="2" t="s">
        <v>10</v>
      </c>
      <c r="AC2" s="2" t="s">
        <v>10</v>
      </c>
      <c r="AD2" s="2"/>
      <c r="AE2" s="2"/>
      <c r="AF2" s="2"/>
      <c r="AG2" s="2"/>
      <c r="AH2" s="3"/>
      <c r="AI2" s="167" t="s">
        <v>25</v>
      </c>
    </row>
    <row r="3" spans="2:35" s="5" customFormat="1" ht="12.75" customHeight="1">
      <c r="B3" s="6" t="s">
        <v>26</v>
      </c>
      <c r="C3" s="7">
        <f>'Historical Financials'!D7</f>
        <v>2020</v>
      </c>
      <c r="D3" s="7">
        <f>'Historical Financials'!E7</f>
        <v>2021</v>
      </c>
      <c r="E3" s="7">
        <f>'Historical Financials'!F7</f>
        <v>2022</v>
      </c>
      <c r="F3" s="7">
        <f>'Historical Financials'!G7</f>
        <v>2023</v>
      </c>
      <c r="G3" s="7">
        <f>'Historical Financials'!H7</f>
        <v>2024</v>
      </c>
      <c r="H3" s="3"/>
      <c r="I3" s="7" t="str">
        <f>'Historical Financials'!J7</f>
        <v>1Q23</v>
      </c>
      <c r="J3" s="7" t="str">
        <f>'Historical Financials'!K7</f>
        <v>2Q23</v>
      </c>
      <c r="K3" s="7" t="str">
        <f>'Historical Financials'!L7</f>
        <v>3Q23</v>
      </c>
      <c r="L3" s="7" t="str">
        <f>'Historical Financials'!M7</f>
        <v>4Q23</v>
      </c>
      <c r="M3" s="7" t="str">
        <f>'Historical Financials'!N7</f>
        <v>1Q24</v>
      </c>
      <c r="N3" s="7" t="str">
        <f>'Historical Financials'!O7</f>
        <v>2Q24</v>
      </c>
      <c r="O3" s="7" t="str">
        <f>'Historical Financials'!P7</f>
        <v>3Q24</v>
      </c>
      <c r="P3" s="7" t="str">
        <f>'Historical Financials'!Q7</f>
        <v>4Q24</v>
      </c>
      <c r="Q3" s="7" t="str">
        <f>'Historical Financials'!R7</f>
        <v>1Q25</v>
      </c>
      <c r="R3" s="7" t="str">
        <f>'Historical Financials'!S7</f>
        <v>2Q25</v>
      </c>
      <c r="S3" s="7" t="str">
        <f>'Historical Financials'!T7</f>
        <v>3Q25</v>
      </c>
      <c r="T3" s="3"/>
      <c r="U3" s="4" t="e">
        <f>#REF!</f>
        <v>#REF!</v>
      </c>
      <c r="V3" s="4" t="e">
        <f>#REF!</f>
        <v>#REF!</v>
      </c>
      <c r="W3" s="4" t="str">
        <f t="shared" ref="W3:AG4" si="0">I3</f>
        <v>1Q23</v>
      </c>
      <c r="X3" s="4" t="str">
        <f t="shared" si="0"/>
        <v>2Q23</v>
      </c>
      <c r="Y3" s="4" t="str">
        <f t="shared" si="0"/>
        <v>3Q23</v>
      </c>
      <c r="Z3" s="4" t="str">
        <f t="shared" si="0"/>
        <v>4Q23</v>
      </c>
      <c r="AA3" s="4" t="str">
        <f t="shared" si="0"/>
        <v>1Q24</v>
      </c>
      <c r="AB3" s="4" t="str">
        <f t="shared" si="0"/>
        <v>2Q24</v>
      </c>
      <c r="AC3" s="4" t="str">
        <f t="shared" si="0"/>
        <v>3Q24</v>
      </c>
      <c r="AD3" s="4" t="str">
        <f t="shared" si="0"/>
        <v>4Q24</v>
      </c>
      <c r="AE3" s="4" t="str">
        <f t="shared" si="0"/>
        <v>1Q25</v>
      </c>
      <c r="AF3" s="4" t="str">
        <f t="shared" si="0"/>
        <v>2Q25</v>
      </c>
      <c r="AG3" s="4" t="str">
        <f t="shared" si="0"/>
        <v>3Q25</v>
      </c>
      <c r="AH3" s="3"/>
      <c r="AI3" s="167"/>
    </row>
    <row r="4" spans="2:35" s="5" customFormat="1" ht="12.75" customHeight="1">
      <c r="B4" s="6" t="s">
        <v>78</v>
      </c>
      <c r="C4" s="3">
        <f>'Historical Financials'!D8</f>
        <v>44196</v>
      </c>
      <c r="D4" s="3">
        <f>'Historical Financials'!E8</f>
        <v>44561</v>
      </c>
      <c r="E4" s="3">
        <f>'Historical Financials'!F8</f>
        <v>44926</v>
      </c>
      <c r="F4" s="3">
        <f>'Historical Financials'!G8</f>
        <v>45291</v>
      </c>
      <c r="G4" s="3">
        <f>'Historical Financials'!H8</f>
        <v>45657</v>
      </c>
      <c r="H4" s="3"/>
      <c r="I4" s="3">
        <f>'Historical Financials'!J8</f>
        <v>45016</v>
      </c>
      <c r="J4" s="3">
        <f>'Historical Financials'!K8</f>
        <v>45107</v>
      </c>
      <c r="K4" s="3">
        <f>'Historical Financials'!L8</f>
        <v>45199</v>
      </c>
      <c r="L4" s="3">
        <f>'Historical Financials'!M8</f>
        <v>45291</v>
      </c>
      <c r="M4" s="3">
        <f>'Historical Financials'!N8</f>
        <v>45382</v>
      </c>
      <c r="N4" s="3">
        <f>'Historical Financials'!O8</f>
        <v>45473</v>
      </c>
      <c r="O4" s="3">
        <f>'Historical Financials'!P8</f>
        <v>45565</v>
      </c>
      <c r="P4" s="3">
        <f>'Historical Financials'!Q8</f>
        <v>45657</v>
      </c>
      <c r="Q4" s="3">
        <f>'Historical Financials'!R8</f>
        <v>45747</v>
      </c>
      <c r="R4" s="3">
        <f>'Historical Financials'!S8</f>
        <v>45838</v>
      </c>
      <c r="S4" s="3">
        <f>'Historical Financials'!T8</f>
        <v>45930</v>
      </c>
      <c r="T4" s="3"/>
      <c r="U4" s="3" t="e">
        <f>#REF!</f>
        <v>#REF!</v>
      </c>
      <c r="V4" s="3" t="e">
        <f>#REF!</f>
        <v>#REF!</v>
      </c>
      <c r="W4" s="3">
        <f t="shared" si="0"/>
        <v>45016</v>
      </c>
      <c r="X4" s="3">
        <f t="shared" si="0"/>
        <v>45107</v>
      </c>
      <c r="Y4" s="3">
        <f t="shared" si="0"/>
        <v>45199</v>
      </c>
      <c r="Z4" s="3">
        <f t="shared" si="0"/>
        <v>45291</v>
      </c>
      <c r="AA4" s="3">
        <f t="shared" si="0"/>
        <v>45382</v>
      </c>
      <c r="AB4" s="3">
        <f t="shared" si="0"/>
        <v>45473</v>
      </c>
      <c r="AC4" s="3">
        <f t="shared" si="0"/>
        <v>45565</v>
      </c>
      <c r="AD4" s="3">
        <f t="shared" si="0"/>
        <v>45657</v>
      </c>
      <c r="AE4" s="3">
        <f t="shared" si="0"/>
        <v>45747</v>
      </c>
      <c r="AF4" s="3">
        <f t="shared" si="0"/>
        <v>45838</v>
      </c>
      <c r="AG4" s="3">
        <f t="shared" si="0"/>
        <v>45930</v>
      </c>
      <c r="AH4" s="3"/>
      <c r="AI4" s="167"/>
    </row>
    <row r="5" spans="2:35" ht="5.0999999999999996" customHeight="1">
      <c r="AI5" s="129"/>
    </row>
    <row r="6" spans="2:35" ht="12.75" customHeight="1">
      <c r="B6" s="9">
        <f>'Revenue Drivers'!B9</f>
        <v>0</v>
      </c>
      <c r="C6" s="97"/>
      <c r="D6" s="97"/>
      <c r="E6" s="97"/>
      <c r="F6" s="97"/>
      <c r="G6" s="97"/>
      <c r="H6" s="10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5"/>
      <c r="U6" s="10">
        <f>SUM(H6:H6)</f>
        <v>0</v>
      </c>
      <c r="V6" s="10" t="e">
        <f>SUM(#REF!)</f>
        <v>#REF!</v>
      </c>
      <c r="W6" s="10">
        <f>SUM(I6:I6)</f>
        <v>0</v>
      </c>
      <c r="X6" s="10">
        <f>SUM(I6:J6)</f>
        <v>0</v>
      </c>
      <c r="Y6" s="10">
        <f>SUM(I6:K6)</f>
        <v>0</v>
      </c>
      <c r="Z6" s="10">
        <f t="shared" ref="Z6:AG6" si="1">SUM(I6:L6)</f>
        <v>0</v>
      </c>
      <c r="AA6" s="10">
        <f t="shared" si="1"/>
        <v>0</v>
      </c>
      <c r="AB6" s="10">
        <f t="shared" si="1"/>
        <v>0</v>
      </c>
      <c r="AC6" s="151">
        <f t="shared" si="1"/>
        <v>0</v>
      </c>
      <c r="AD6" s="151">
        <f t="shared" si="1"/>
        <v>0</v>
      </c>
      <c r="AE6" s="151">
        <f t="shared" si="1"/>
        <v>0</v>
      </c>
      <c r="AF6" s="151">
        <f t="shared" si="1"/>
        <v>0</v>
      </c>
      <c r="AG6" s="151">
        <f t="shared" si="1"/>
        <v>0</v>
      </c>
      <c r="AI6" s="130" t="e">
        <f t="shared" ref="AI6:AI11" si="2">SUM(AG6/AC6)-1</f>
        <v>#DIV/0!</v>
      </c>
    </row>
    <row r="7" spans="2:35" ht="12.75" customHeight="1">
      <c r="B7" s="9">
        <f>'Revenue Drivers'!B10</f>
        <v>0</v>
      </c>
      <c r="C7" s="97"/>
      <c r="D7" s="97"/>
      <c r="E7" s="97"/>
      <c r="F7" s="97"/>
      <c r="G7" s="97"/>
      <c r="H7" s="10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5"/>
      <c r="U7" s="10"/>
      <c r="V7" s="10"/>
      <c r="W7" s="10"/>
      <c r="X7" s="10"/>
      <c r="Y7" s="10"/>
      <c r="Z7" s="10"/>
      <c r="AA7" s="10"/>
      <c r="AB7" s="10"/>
      <c r="AC7" s="151">
        <f t="shared" ref="AC7:AG9" si="3">SUM(L7:O7)</f>
        <v>0</v>
      </c>
      <c r="AD7" s="151">
        <f t="shared" si="3"/>
        <v>0</v>
      </c>
      <c r="AE7" s="151">
        <f t="shared" si="3"/>
        <v>0</v>
      </c>
      <c r="AF7" s="151">
        <f t="shared" si="3"/>
        <v>0</v>
      </c>
      <c r="AG7" s="151">
        <f t="shared" si="3"/>
        <v>0</v>
      </c>
      <c r="AI7" s="130" t="e">
        <f t="shared" si="2"/>
        <v>#DIV/0!</v>
      </c>
    </row>
    <row r="8" spans="2:35" ht="12.75" customHeight="1">
      <c r="B8" s="9">
        <f>'Revenue Drivers'!B11</f>
        <v>0</v>
      </c>
      <c r="C8" s="97"/>
      <c r="D8" s="97"/>
      <c r="E8" s="97"/>
      <c r="F8" s="97"/>
      <c r="G8" s="97"/>
      <c r="H8" s="10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5"/>
      <c r="U8" s="10"/>
      <c r="V8" s="10"/>
      <c r="W8" s="10"/>
      <c r="X8" s="10"/>
      <c r="Y8" s="10"/>
      <c r="Z8" s="10"/>
      <c r="AA8" s="10"/>
      <c r="AB8" s="10"/>
      <c r="AC8" s="151">
        <f t="shared" si="3"/>
        <v>0</v>
      </c>
      <c r="AD8" s="151">
        <f t="shared" si="3"/>
        <v>0</v>
      </c>
      <c r="AE8" s="151">
        <f t="shared" si="3"/>
        <v>0</v>
      </c>
      <c r="AF8" s="151">
        <f t="shared" si="3"/>
        <v>0</v>
      </c>
      <c r="AG8" s="151">
        <f t="shared" si="3"/>
        <v>0</v>
      </c>
      <c r="AI8" s="130" t="e">
        <f t="shared" si="2"/>
        <v>#DIV/0!</v>
      </c>
    </row>
    <row r="9" spans="2:35" ht="12.75" customHeight="1">
      <c r="B9" s="9">
        <f>'Revenue Drivers'!B12</f>
        <v>0</v>
      </c>
      <c r="C9" s="97"/>
      <c r="D9" s="97"/>
      <c r="E9" s="97"/>
      <c r="F9" s="97"/>
      <c r="G9" s="97"/>
      <c r="H9" s="10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5"/>
      <c r="U9" s="10"/>
      <c r="V9" s="10"/>
      <c r="W9" s="10"/>
      <c r="X9" s="10"/>
      <c r="Y9" s="10"/>
      <c r="Z9" s="10"/>
      <c r="AA9" s="10"/>
      <c r="AB9" s="10"/>
      <c r="AC9" s="151">
        <f t="shared" si="3"/>
        <v>0</v>
      </c>
      <c r="AD9" s="151">
        <f t="shared" si="3"/>
        <v>0</v>
      </c>
      <c r="AE9" s="151">
        <f t="shared" si="3"/>
        <v>0</v>
      </c>
      <c r="AF9" s="151">
        <f t="shared" si="3"/>
        <v>0</v>
      </c>
      <c r="AG9" s="151">
        <f t="shared" si="3"/>
        <v>0</v>
      </c>
      <c r="AI9" s="130" t="e">
        <f t="shared" si="2"/>
        <v>#DIV/0!</v>
      </c>
    </row>
    <row r="10" spans="2:35" ht="12.75" customHeight="1">
      <c r="B10" s="9">
        <f>'Revenue Drivers'!B13</f>
        <v>0</v>
      </c>
      <c r="C10" s="97"/>
      <c r="D10" s="97"/>
      <c r="E10" s="97"/>
      <c r="F10" s="97"/>
      <c r="G10" s="97"/>
      <c r="H10" s="10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5"/>
      <c r="U10" s="10"/>
      <c r="V10" s="10"/>
      <c r="W10" s="10"/>
      <c r="X10" s="10"/>
      <c r="Y10" s="10"/>
      <c r="Z10" s="10"/>
      <c r="AA10" s="10"/>
      <c r="AB10" s="10"/>
      <c r="AC10" s="151">
        <f t="shared" ref="AC10" si="4">SUM(L10:O10)</f>
        <v>0</v>
      </c>
      <c r="AD10" s="151">
        <f t="shared" ref="AD10" si="5">SUM(M10:P10)</f>
        <v>0</v>
      </c>
      <c r="AE10" s="151">
        <f t="shared" ref="AE10" si="6">SUM(N10:Q10)</f>
        <v>0</v>
      </c>
      <c r="AF10" s="151">
        <f t="shared" ref="AF10" si="7">SUM(O10:R10)</f>
        <v>0</v>
      </c>
      <c r="AG10" s="151">
        <f t="shared" ref="AG10" si="8">SUM(P10:S10)</f>
        <v>0</v>
      </c>
      <c r="AI10" s="130" t="e">
        <f t="shared" si="2"/>
        <v>#DIV/0!</v>
      </c>
    </row>
    <row r="11" spans="2:35" ht="12.75" customHeight="1">
      <c r="B11" s="13" t="s">
        <v>12</v>
      </c>
      <c r="C11" s="14">
        <f>SUM(C6:C10)</f>
        <v>0</v>
      </c>
      <c r="D11" s="14">
        <f t="shared" ref="D11:G11" si="9">SUM(D6:D10)</f>
        <v>0</v>
      </c>
      <c r="E11" s="14">
        <f t="shared" si="9"/>
        <v>0</v>
      </c>
      <c r="F11" s="14">
        <f t="shared" si="9"/>
        <v>0</v>
      </c>
      <c r="G11" s="14">
        <f t="shared" si="9"/>
        <v>0</v>
      </c>
      <c r="H11" s="10"/>
      <c r="I11" s="14">
        <f t="shared" ref="I11" si="10">SUM(I6:I10)</f>
        <v>0</v>
      </c>
      <c r="J11" s="14">
        <f t="shared" ref="J11" si="11">SUM(J6:J10)</f>
        <v>0</v>
      </c>
      <c r="K11" s="14">
        <f t="shared" ref="K11" si="12">SUM(K6:K10)</f>
        <v>0</v>
      </c>
      <c r="L11" s="14">
        <f t="shared" ref="L11" si="13">SUM(L6:L10)</f>
        <v>0</v>
      </c>
      <c r="M11" s="14">
        <f t="shared" ref="M11" si="14">SUM(M6:M10)</f>
        <v>0</v>
      </c>
      <c r="N11" s="14">
        <f t="shared" ref="N11" si="15">SUM(N6:N10)</f>
        <v>0</v>
      </c>
      <c r="O11" s="14">
        <f t="shared" ref="O11" si="16">SUM(O6:O10)</f>
        <v>0</v>
      </c>
      <c r="P11" s="14">
        <f t="shared" ref="P11" si="17">SUM(P6:P10)</f>
        <v>0</v>
      </c>
      <c r="Q11" s="14">
        <f t="shared" ref="Q11" si="18">SUM(Q6:Q10)</f>
        <v>0</v>
      </c>
      <c r="R11" s="14">
        <f t="shared" ref="R11" si="19">SUM(R6:R10)</f>
        <v>0</v>
      </c>
      <c r="S11" s="14">
        <f t="shared" ref="S11" si="20">SUM(S6:S10)</f>
        <v>0</v>
      </c>
      <c r="T11" s="5"/>
      <c r="U11" s="14">
        <f t="shared" ref="U11" si="21">SUM(U6:U10)</f>
        <v>0</v>
      </c>
      <c r="V11" s="14" t="e">
        <f t="shared" ref="V11" si="22">SUM(V6:V10)</f>
        <v>#REF!</v>
      </c>
      <c r="W11" s="14">
        <f t="shared" ref="W11" si="23">SUM(W6:W10)</f>
        <v>0</v>
      </c>
      <c r="X11" s="14">
        <f t="shared" ref="X11" si="24">SUM(X6:X10)</f>
        <v>0</v>
      </c>
      <c r="Y11" s="14">
        <f t="shared" ref="Y11" si="25">SUM(Y6:Y10)</f>
        <v>0</v>
      </c>
      <c r="Z11" s="14">
        <f t="shared" ref="Z11" si="26">SUM(Z6:Z10)</f>
        <v>0</v>
      </c>
      <c r="AA11" s="14">
        <f t="shared" ref="AA11" si="27">SUM(AA6:AA10)</f>
        <v>0</v>
      </c>
      <c r="AB11" s="14">
        <f t="shared" ref="AB11" si="28">SUM(AB6:AB10)</f>
        <v>0</v>
      </c>
      <c r="AC11" s="14">
        <f t="shared" ref="AC11" si="29">SUM(AC6:AC10)</f>
        <v>0</v>
      </c>
      <c r="AD11" s="14">
        <f t="shared" ref="AD11" si="30">SUM(AD6:AD10)</f>
        <v>0</v>
      </c>
      <c r="AE11" s="14">
        <f t="shared" ref="AE11" si="31">SUM(AE6:AE10)</f>
        <v>0</v>
      </c>
      <c r="AF11" s="14">
        <f t="shared" ref="AF11" si="32">SUM(AF6:AF10)</f>
        <v>0</v>
      </c>
      <c r="AG11" s="14">
        <f t="shared" ref="AG11" si="33">SUM(AG6:AG10)</f>
        <v>0</v>
      </c>
      <c r="AI11" s="131" t="e">
        <f t="shared" si="2"/>
        <v>#DIV/0!</v>
      </c>
    </row>
    <row r="12" spans="2:35" ht="12.75" customHeight="1">
      <c r="B12" s="16" t="s">
        <v>29</v>
      </c>
      <c r="C12" s="170"/>
      <c r="D12" s="17" t="e">
        <f>SUM(D11/C11)-1</f>
        <v>#DIV/0!</v>
      </c>
      <c r="E12" s="17" t="e">
        <f>SUM(E11/D11)-1</f>
        <v>#DIV/0!</v>
      </c>
      <c r="F12" s="17" t="e">
        <f>SUM(F11/E11)-1</f>
        <v>#DIV/0!</v>
      </c>
      <c r="G12" s="17" t="e">
        <f>SUM(G11/F11)-1</f>
        <v>#DIV/0!</v>
      </c>
      <c r="H12" s="11"/>
      <c r="I12" s="170"/>
      <c r="J12" s="170"/>
      <c r="K12" s="170"/>
      <c r="L12" s="170"/>
      <c r="M12" s="17" t="e">
        <f t="shared" ref="M12:S12" si="34">SUM(M11/I11)-1</f>
        <v>#DIV/0!</v>
      </c>
      <c r="N12" s="17" t="e">
        <f t="shared" si="34"/>
        <v>#DIV/0!</v>
      </c>
      <c r="O12" s="17" t="e">
        <f t="shared" si="34"/>
        <v>#DIV/0!</v>
      </c>
      <c r="P12" s="17" t="e">
        <f t="shared" si="34"/>
        <v>#DIV/0!</v>
      </c>
      <c r="Q12" s="17" t="e">
        <f t="shared" si="34"/>
        <v>#DIV/0!</v>
      </c>
      <c r="R12" s="17" t="e">
        <f t="shared" si="34"/>
        <v>#DIV/0!</v>
      </c>
      <c r="S12" s="17" t="e">
        <f t="shared" si="34"/>
        <v>#DIV/0!</v>
      </c>
      <c r="T12" s="5"/>
      <c r="U12" s="118"/>
      <c r="V12" s="118"/>
      <c r="W12" s="118"/>
      <c r="X12" s="118"/>
      <c r="Y12" s="17" t="e">
        <f t="shared" ref="Y12:AG12" si="35">SUM(Y11/U11)-1</f>
        <v>#DIV/0!</v>
      </c>
      <c r="Z12" s="17" t="e">
        <f t="shared" si="35"/>
        <v>#REF!</v>
      </c>
      <c r="AA12" s="17" t="e">
        <f t="shared" si="35"/>
        <v>#DIV/0!</v>
      </c>
      <c r="AB12" s="17" t="e">
        <f t="shared" si="35"/>
        <v>#DIV/0!</v>
      </c>
      <c r="AC12" s="17" t="e">
        <f t="shared" si="35"/>
        <v>#DIV/0!</v>
      </c>
      <c r="AD12" s="17" t="e">
        <f t="shared" si="35"/>
        <v>#DIV/0!</v>
      </c>
      <c r="AE12" s="17" t="e">
        <f t="shared" si="35"/>
        <v>#DIV/0!</v>
      </c>
      <c r="AF12" s="17" t="e">
        <f t="shared" si="35"/>
        <v>#DIV/0!</v>
      </c>
      <c r="AG12" s="17" t="e">
        <f t="shared" si="35"/>
        <v>#DIV/0!</v>
      </c>
      <c r="AI12" s="132" t="e">
        <f>SUM(AG12-AC12)*10000</f>
        <v>#DIV/0!</v>
      </c>
    </row>
    <row r="13" spans="2:35" ht="12.75" customHeight="1">
      <c r="B13" s="16" t="s">
        <v>30</v>
      </c>
      <c r="C13" s="17" t="s">
        <v>31</v>
      </c>
      <c r="D13" s="17" t="s">
        <v>31</v>
      </c>
      <c r="E13" s="17" t="s">
        <v>31</v>
      </c>
      <c r="F13" s="17" t="s">
        <v>31</v>
      </c>
      <c r="G13" s="17" t="s">
        <v>31</v>
      </c>
      <c r="H13" s="11"/>
      <c r="I13" s="170"/>
      <c r="J13" s="17" t="e">
        <f t="shared" ref="J13:S13" si="36">SUM(J11/I11)-1</f>
        <v>#DIV/0!</v>
      </c>
      <c r="K13" s="17" t="e">
        <f t="shared" si="36"/>
        <v>#DIV/0!</v>
      </c>
      <c r="L13" s="17" t="e">
        <f t="shared" si="36"/>
        <v>#DIV/0!</v>
      </c>
      <c r="M13" s="17" t="e">
        <f t="shared" si="36"/>
        <v>#DIV/0!</v>
      </c>
      <c r="N13" s="17" t="e">
        <f t="shared" si="36"/>
        <v>#DIV/0!</v>
      </c>
      <c r="O13" s="17" t="e">
        <f t="shared" si="36"/>
        <v>#DIV/0!</v>
      </c>
      <c r="P13" s="17" t="e">
        <f t="shared" si="36"/>
        <v>#DIV/0!</v>
      </c>
      <c r="Q13" s="17" t="e">
        <f t="shared" si="36"/>
        <v>#DIV/0!</v>
      </c>
      <c r="R13" s="17" t="e">
        <f t="shared" si="36"/>
        <v>#DIV/0!</v>
      </c>
      <c r="S13" s="17" t="e">
        <f t="shared" si="36"/>
        <v>#DIV/0!</v>
      </c>
      <c r="T13" s="5"/>
      <c r="U13" s="17" t="s">
        <v>31</v>
      </c>
      <c r="V13" s="17" t="s">
        <v>31</v>
      </c>
      <c r="W13" s="17" t="s">
        <v>31</v>
      </c>
      <c r="X13" s="17" t="s">
        <v>31</v>
      </c>
      <c r="Y13" s="17" t="s">
        <v>31</v>
      </c>
      <c r="Z13" s="17" t="s">
        <v>31</v>
      </c>
      <c r="AA13" s="17" t="s">
        <v>31</v>
      </c>
      <c r="AB13" s="17" t="s">
        <v>31</v>
      </c>
      <c r="AC13" s="17" t="s">
        <v>31</v>
      </c>
      <c r="AD13" s="17" t="s">
        <v>31</v>
      </c>
      <c r="AE13" s="17" t="s">
        <v>31</v>
      </c>
      <c r="AF13" s="17" t="s">
        <v>31</v>
      </c>
      <c r="AG13" s="17" t="s">
        <v>31</v>
      </c>
      <c r="AI13" s="129"/>
    </row>
    <row r="14" spans="2:35" ht="5.0999999999999996" customHeight="1">
      <c r="B14" s="18"/>
      <c r="C14" s="97"/>
      <c r="D14" s="19"/>
      <c r="E14" s="19"/>
      <c r="F14" s="19"/>
      <c r="G14" s="19"/>
      <c r="H14" s="20"/>
      <c r="I14" s="21"/>
      <c r="J14" s="21"/>
      <c r="K14" s="21"/>
      <c r="L14" s="22"/>
      <c r="M14" s="21"/>
      <c r="N14" s="21"/>
      <c r="O14" s="21"/>
      <c r="P14" s="21"/>
      <c r="Q14" s="21"/>
      <c r="R14" s="21"/>
      <c r="S14" s="21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I14" s="129"/>
    </row>
    <row r="15" spans="2:35" ht="12.75" customHeight="1">
      <c r="B15" s="23" t="s">
        <v>116</v>
      </c>
      <c r="C15" s="97"/>
      <c r="D15" s="97"/>
      <c r="E15" s="97"/>
      <c r="F15" s="97"/>
      <c r="G15" s="97"/>
      <c r="H15" s="10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5"/>
      <c r="U15" s="10">
        <f>SUM(H15:H15)</f>
        <v>0</v>
      </c>
      <c r="V15" s="10" t="e">
        <f>SUM(#REF!)</f>
        <v>#REF!</v>
      </c>
      <c r="W15" s="10">
        <f>SUM(I15:I15)</f>
        <v>0</v>
      </c>
      <c r="X15" s="10">
        <f>SUM(I15:J15)</f>
        <v>0</v>
      </c>
      <c r="Y15" s="10">
        <f>SUM(I15:K15)</f>
        <v>0</v>
      </c>
      <c r="Z15" s="10">
        <f t="shared" ref="Z15:AG15" si="37">SUM(I15:L15)</f>
        <v>0</v>
      </c>
      <c r="AA15" s="10">
        <f t="shared" si="37"/>
        <v>0</v>
      </c>
      <c r="AB15" s="10">
        <f t="shared" si="37"/>
        <v>0</v>
      </c>
      <c r="AC15" s="151">
        <f t="shared" si="37"/>
        <v>0</v>
      </c>
      <c r="AD15" s="151">
        <f t="shared" si="37"/>
        <v>0</v>
      </c>
      <c r="AE15" s="151">
        <f t="shared" si="37"/>
        <v>0</v>
      </c>
      <c r="AF15" s="151">
        <f t="shared" si="37"/>
        <v>0</v>
      </c>
      <c r="AG15" s="151">
        <f t="shared" si="37"/>
        <v>0</v>
      </c>
      <c r="AI15" s="130" t="e">
        <f>SUM(AG15/AC15)-1</f>
        <v>#DIV/0!</v>
      </c>
    </row>
    <row r="16" spans="2:35" ht="12.75" customHeight="1">
      <c r="B16" s="23" t="s">
        <v>117</v>
      </c>
      <c r="C16" s="97"/>
      <c r="D16" s="97"/>
      <c r="E16" s="97"/>
      <c r="F16" s="97"/>
      <c r="G16" s="97"/>
      <c r="H16" s="1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5"/>
      <c r="U16" s="10"/>
      <c r="V16" s="10"/>
      <c r="W16" s="10"/>
      <c r="X16" s="10"/>
      <c r="Y16" s="10"/>
      <c r="Z16" s="10"/>
      <c r="AA16" s="10"/>
      <c r="AB16" s="10"/>
      <c r="AC16" s="151">
        <f t="shared" ref="AC16" si="38">SUM(L16:O16)</f>
        <v>0</v>
      </c>
      <c r="AD16" s="151">
        <f t="shared" ref="AD16" si="39">SUM(M16:P16)</f>
        <v>0</v>
      </c>
      <c r="AE16" s="151">
        <f t="shared" ref="AE16" si="40">SUM(N16:Q16)</f>
        <v>0</v>
      </c>
      <c r="AF16" s="151">
        <f t="shared" ref="AF16" si="41">SUM(O16:R16)</f>
        <v>0</v>
      </c>
      <c r="AG16" s="151">
        <f t="shared" ref="AG16" si="42">SUM(P16:S16)</f>
        <v>0</v>
      </c>
      <c r="AI16" s="130"/>
    </row>
    <row r="17" spans="2:35" ht="12.75" customHeight="1">
      <c r="B17" s="25" t="s">
        <v>23</v>
      </c>
      <c r="C17" s="26">
        <f>SUM(C11+SUM(C15:C16))</f>
        <v>0</v>
      </c>
      <c r="D17" s="26">
        <f t="shared" ref="D17:G17" si="43">SUM(D11+SUM(D15:D16))</f>
        <v>0</v>
      </c>
      <c r="E17" s="26">
        <f t="shared" si="43"/>
        <v>0</v>
      </c>
      <c r="F17" s="26">
        <f t="shared" si="43"/>
        <v>0</v>
      </c>
      <c r="G17" s="26">
        <f t="shared" si="43"/>
        <v>0</v>
      </c>
      <c r="H17" s="5"/>
      <c r="I17" s="26">
        <f t="shared" ref="I17" si="44">SUM(I11+SUM(I15:I16))</f>
        <v>0</v>
      </c>
      <c r="J17" s="26">
        <f t="shared" ref="J17" si="45">SUM(J11+SUM(J15:J16))</f>
        <v>0</v>
      </c>
      <c r="K17" s="26">
        <f t="shared" ref="K17" si="46">SUM(K11+SUM(K15:K16))</f>
        <v>0</v>
      </c>
      <c r="L17" s="26">
        <f t="shared" ref="L17" si="47">SUM(L11+SUM(L15:L16))</f>
        <v>0</v>
      </c>
      <c r="M17" s="26">
        <f t="shared" ref="M17" si="48">SUM(M11+SUM(M15:M16))</f>
        <v>0</v>
      </c>
      <c r="N17" s="26">
        <f t="shared" ref="N17" si="49">SUM(N11+SUM(N15:N16))</f>
        <v>0</v>
      </c>
      <c r="O17" s="26">
        <f t="shared" ref="O17" si="50">SUM(O11+SUM(O15:O16))</f>
        <v>0</v>
      </c>
      <c r="P17" s="26">
        <f t="shared" ref="P17" si="51">SUM(P11+SUM(P15:P16))</f>
        <v>0</v>
      </c>
      <c r="Q17" s="26">
        <f t="shared" ref="Q17" si="52">SUM(Q11+SUM(Q15:Q16))</f>
        <v>0</v>
      </c>
      <c r="R17" s="26">
        <f t="shared" ref="R17" si="53">SUM(R11+SUM(R15:R16))</f>
        <v>0</v>
      </c>
      <c r="S17" s="26">
        <f t="shared" ref="S17" si="54">SUM(S11+SUM(S15:S16))</f>
        <v>0</v>
      </c>
      <c r="T17" s="5"/>
      <c r="U17" s="26">
        <f t="shared" ref="U17" si="55">SUM(U11+SUM(U15:U16))</f>
        <v>0</v>
      </c>
      <c r="V17" s="26" t="e">
        <f t="shared" ref="V17" si="56">SUM(V11+SUM(V15:V16))</f>
        <v>#REF!</v>
      </c>
      <c r="W17" s="26">
        <f t="shared" ref="W17" si="57">SUM(W11+SUM(W15:W16))</f>
        <v>0</v>
      </c>
      <c r="X17" s="26">
        <f t="shared" ref="X17" si="58">SUM(X11+SUM(X15:X16))</f>
        <v>0</v>
      </c>
      <c r="Y17" s="26">
        <f t="shared" ref="Y17" si="59">SUM(Y11+SUM(Y15:Y16))</f>
        <v>0</v>
      </c>
      <c r="Z17" s="26">
        <f t="shared" ref="Z17" si="60">SUM(Z11+SUM(Z15:Z16))</f>
        <v>0</v>
      </c>
      <c r="AA17" s="26">
        <f t="shared" ref="AA17" si="61">SUM(AA11+SUM(AA15:AA16))</f>
        <v>0</v>
      </c>
      <c r="AB17" s="26">
        <f t="shared" ref="AB17" si="62">SUM(AB11+SUM(AB15:AB16))</f>
        <v>0</v>
      </c>
      <c r="AC17" s="26">
        <f t="shared" ref="AC17" si="63">SUM(AC11+SUM(AC15:AC16))</f>
        <v>0</v>
      </c>
      <c r="AD17" s="26">
        <f t="shared" ref="AD17" si="64">SUM(AD11+SUM(AD15:AD16))</f>
        <v>0</v>
      </c>
      <c r="AE17" s="26">
        <f t="shared" ref="AE17" si="65">SUM(AE11+SUM(AE15:AE16))</f>
        <v>0</v>
      </c>
      <c r="AF17" s="26">
        <f t="shared" ref="AF17" si="66">SUM(AF11+SUM(AF15:AF16))</f>
        <v>0</v>
      </c>
      <c r="AG17" s="26">
        <f t="shared" ref="AG17" si="67">SUM(AG11+SUM(AG15:AG16))</f>
        <v>0</v>
      </c>
      <c r="AI17" s="131" t="e">
        <f>SUM(AG17/AC17)-1</f>
        <v>#DIV/0!</v>
      </c>
    </row>
    <row r="18" spans="2:35" ht="12.75" customHeight="1">
      <c r="B18" s="16" t="s">
        <v>32</v>
      </c>
      <c r="C18" s="17" t="e">
        <f>C17/C11</f>
        <v>#DIV/0!</v>
      </c>
      <c r="D18" s="17" t="e">
        <f>D17/D11</f>
        <v>#DIV/0!</v>
      </c>
      <c r="E18" s="17" t="e">
        <f>E17/E11</f>
        <v>#DIV/0!</v>
      </c>
      <c r="F18" s="17" t="e">
        <f>F17/F11</f>
        <v>#DIV/0!</v>
      </c>
      <c r="G18" s="17" t="e">
        <f>G17/G11</f>
        <v>#DIV/0!</v>
      </c>
      <c r="H18" s="27"/>
      <c r="I18" s="17" t="e">
        <f t="shared" ref="I18:R18" si="68">I17/I11</f>
        <v>#DIV/0!</v>
      </c>
      <c r="J18" s="17" t="e">
        <f t="shared" si="68"/>
        <v>#DIV/0!</v>
      </c>
      <c r="K18" s="17" t="e">
        <f t="shared" si="68"/>
        <v>#DIV/0!</v>
      </c>
      <c r="L18" s="17" t="e">
        <f t="shared" si="68"/>
        <v>#DIV/0!</v>
      </c>
      <c r="M18" s="17" t="e">
        <f t="shared" si="68"/>
        <v>#DIV/0!</v>
      </c>
      <c r="N18" s="17" t="e">
        <f t="shared" si="68"/>
        <v>#DIV/0!</v>
      </c>
      <c r="O18" s="17" t="e">
        <f t="shared" si="68"/>
        <v>#DIV/0!</v>
      </c>
      <c r="P18" s="17" t="e">
        <f t="shared" si="68"/>
        <v>#DIV/0!</v>
      </c>
      <c r="Q18" s="17" t="e">
        <f t="shared" si="68"/>
        <v>#DIV/0!</v>
      </c>
      <c r="R18" s="17" t="e">
        <f t="shared" si="68"/>
        <v>#DIV/0!</v>
      </c>
      <c r="S18" s="17" t="e">
        <f>S17/S11</f>
        <v>#DIV/0!</v>
      </c>
      <c r="T18" s="28"/>
      <c r="U18" s="17" t="e">
        <f t="shared" ref="U18:AE18" si="69">U17/U11</f>
        <v>#DIV/0!</v>
      </c>
      <c r="V18" s="17" t="e">
        <f t="shared" si="69"/>
        <v>#REF!</v>
      </c>
      <c r="W18" s="17" t="e">
        <f t="shared" si="69"/>
        <v>#DIV/0!</v>
      </c>
      <c r="X18" s="17" t="e">
        <f t="shared" si="69"/>
        <v>#DIV/0!</v>
      </c>
      <c r="Y18" s="17" t="e">
        <f t="shared" si="69"/>
        <v>#DIV/0!</v>
      </c>
      <c r="Z18" s="17" t="e">
        <f t="shared" si="69"/>
        <v>#DIV/0!</v>
      </c>
      <c r="AA18" s="17" t="e">
        <f t="shared" si="69"/>
        <v>#DIV/0!</v>
      </c>
      <c r="AB18" s="17" t="e">
        <f t="shared" si="69"/>
        <v>#DIV/0!</v>
      </c>
      <c r="AC18" s="17" t="e">
        <f t="shared" si="69"/>
        <v>#DIV/0!</v>
      </c>
      <c r="AD18" s="17" t="e">
        <f t="shared" si="69"/>
        <v>#DIV/0!</v>
      </c>
      <c r="AE18" s="17" t="e">
        <f t="shared" si="69"/>
        <v>#DIV/0!</v>
      </c>
      <c r="AF18" s="17" t="e">
        <f>AF17/AF11</f>
        <v>#DIV/0!</v>
      </c>
      <c r="AG18" s="17" t="e">
        <f>AG17/AG11</f>
        <v>#DIV/0!</v>
      </c>
      <c r="AI18" s="132" t="e">
        <f>SUM(AG18-AC18)*10000</f>
        <v>#DIV/0!</v>
      </c>
    </row>
    <row r="19" spans="2:35" ht="5.0999999999999996" customHeight="1">
      <c r="B19" s="29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5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I19" s="129"/>
    </row>
    <row r="20" spans="2:35" ht="12.75" customHeight="1">
      <c r="B20" s="23" t="s">
        <v>118</v>
      </c>
      <c r="C20" s="150"/>
      <c r="D20" s="150"/>
      <c r="E20" s="150"/>
      <c r="F20" s="150"/>
      <c r="G20" s="150"/>
      <c r="H20" s="97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5"/>
      <c r="U20" s="10">
        <f>SUM(H20:H20)</f>
        <v>0</v>
      </c>
      <c r="V20" s="10" t="e">
        <f>SUM(#REF!)</f>
        <v>#REF!</v>
      </c>
      <c r="W20" s="10">
        <f>SUM(I20:I20)</f>
        <v>0</v>
      </c>
      <c r="X20" s="10">
        <f>SUM(I20:J20)</f>
        <v>0</v>
      </c>
      <c r="Y20" s="10">
        <f>SUM(I20:K20)</f>
        <v>0</v>
      </c>
      <c r="Z20" s="10">
        <f t="shared" ref="Z20:AG22" si="70">SUM(I20:L20)</f>
        <v>0</v>
      </c>
      <c r="AA20" s="10">
        <f t="shared" si="70"/>
        <v>0</v>
      </c>
      <c r="AB20" s="10">
        <f t="shared" si="70"/>
        <v>0</v>
      </c>
      <c r="AC20" s="151">
        <f t="shared" si="70"/>
        <v>0</v>
      </c>
      <c r="AD20" s="151">
        <f t="shared" si="70"/>
        <v>0</v>
      </c>
      <c r="AE20" s="151">
        <f t="shared" si="70"/>
        <v>0</v>
      </c>
      <c r="AF20" s="151">
        <f t="shared" si="70"/>
        <v>0</v>
      </c>
      <c r="AG20" s="151">
        <f t="shared" si="70"/>
        <v>0</v>
      </c>
      <c r="AI20" s="130" t="e">
        <f>SUM(AG20/AC20)-1</f>
        <v>#DIV/0!</v>
      </c>
    </row>
    <row r="21" spans="2:35" ht="12.75" customHeight="1">
      <c r="B21" s="23" t="s">
        <v>119</v>
      </c>
      <c r="C21" s="150"/>
      <c r="D21" s="150"/>
      <c r="E21" s="150"/>
      <c r="F21" s="150"/>
      <c r="G21" s="150"/>
      <c r="H21" s="97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5"/>
      <c r="U21" s="10">
        <f>SUM(H21:H21)</f>
        <v>0</v>
      </c>
      <c r="V21" s="10" t="e">
        <f>SUM(#REF!)</f>
        <v>#REF!</v>
      </c>
      <c r="W21" s="10">
        <f>SUM(I21:I21)</f>
        <v>0</v>
      </c>
      <c r="X21" s="10">
        <f>SUM(I21:J21)</f>
        <v>0</v>
      </c>
      <c r="Y21" s="10">
        <f>SUM(I21:K21)</f>
        <v>0</v>
      </c>
      <c r="Z21" s="10">
        <f t="shared" si="70"/>
        <v>0</v>
      </c>
      <c r="AA21" s="10">
        <f t="shared" si="70"/>
        <v>0</v>
      </c>
      <c r="AB21" s="10">
        <f t="shared" si="70"/>
        <v>0</v>
      </c>
      <c r="AC21" s="151">
        <f t="shared" si="70"/>
        <v>0</v>
      </c>
      <c r="AD21" s="151">
        <f t="shared" si="70"/>
        <v>0</v>
      </c>
      <c r="AE21" s="151">
        <f t="shared" si="70"/>
        <v>0</v>
      </c>
      <c r="AF21" s="151">
        <f t="shared" si="70"/>
        <v>0</v>
      </c>
      <c r="AG21" s="151">
        <f t="shared" si="70"/>
        <v>0</v>
      </c>
      <c r="AI21" s="130" t="e">
        <f>SUM(AG21/AC21)-1</f>
        <v>#DIV/0!</v>
      </c>
    </row>
    <row r="22" spans="2:35" ht="12.75" customHeight="1">
      <c r="B22" s="23" t="s">
        <v>103</v>
      </c>
      <c r="C22" s="150"/>
      <c r="D22" s="150"/>
      <c r="E22" s="150"/>
      <c r="F22" s="150"/>
      <c r="G22" s="150"/>
      <c r="H22" s="97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5"/>
      <c r="U22" s="10">
        <f>SUM(H22:H22)</f>
        <v>0</v>
      </c>
      <c r="V22" s="10" t="e">
        <f>SUM(#REF!)</f>
        <v>#REF!</v>
      </c>
      <c r="W22" s="10">
        <f>SUM(I22:I22)</f>
        <v>0</v>
      </c>
      <c r="X22" s="10">
        <f>SUM(I22:J22)</f>
        <v>0</v>
      </c>
      <c r="Y22" s="10">
        <f>SUM(I22:K22)</f>
        <v>0</v>
      </c>
      <c r="Z22" s="10">
        <f t="shared" si="70"/>
        <v>0</v>
      </c>
      <c r="AA22" s="10">
        <f t="shared" si="70"/>
        <v>0</v>
      </c>
      <c r="AB22" s="10">
        <f t="shared" si="70"/>
        <v>0</v>
      </c>
      <c r="AC22" s="151">
        <f t="shared" si="70"/>
        <v>0</v>
      </c>
      <c r="AD22" s="151">
        <f t="shared" si="70"/>
        <v>0</v>
      </c>
      <c r="AE22" s="151">
        <f t="shared" si="70"/>
        <v>0</v>
      </c>
      <c r="AF22" s="151">
        <f t="shared" si="70"/>
        <v>0</v>
      </c>
      <c r="AG22" s="151">
        <f t="shared" si="70"/>
        <v>0</v>
      </c>
      <c r="AI22" s="130" t="e">
        <f>SUM(AG22/AC22)-1</f>
        <v>#DIV/0!</v>
      </c>
    </row>
    <row r="23" spans="2:35" ht="12.75" customHeight="1">
      <c r="B23" s="13" t="s">
        <v>33</v>
      </c>
      <c r="C23" s="14">
        <f>SUM(C17+SUM(C20:C22))</f>
        <v>0</v>
      </c>
      <c r="D23" s="14">
        <f>SUM(D17+SUM(D20:D22))</f>
        <v>0</v>
      </c>
      <c r="E23" s="14">
        <f>SUM(E17+SUM(E20:E22))</f>
        <v>0</v>
      </c>
      <c r="F23" s="14">
        <f>SUM(F17+SUM(F20:F22))</f>
        <v>0</v>
      </c>
      <c r="G23" s="14">
        <f>SUM(G17+SUM(G20:G22))</f>
        <v>0</v>
      </c>
      <c r="H23" s="11"/>
      <c r="I23" s="14">
        <f t="shared" ref="I23:S23" si="71">SUM(I17+SUM(I20:I22))</f>
        <v>0</v>
      </c>
      <c r="J23" s="14">
        <f t="shared" si="71"/>
        <v>0</v>
      </c>
      <c r="K23" s="14">
        <f t="shared" si="71"/>
        <v>0</v>
      </c>
      <c r="L23" s="14">
        <f t="shared" si="71"/>
        <v>0</v>
      </c>
      <c r="M23" s="14">
        <f t="shared" si="71"/>
        <v>0</v>
      </c>
      <c r="N23" s="14">
        <f t="shared" si="71"/>
        <v>0</v>
      </c>
      <c r="O23" s="14">
        <f t="shared" si="71"/>
        <v>0</v>
      </c>
      <c r="P23" s="14">
        <f t="shared" si="71"/>
        <v>0</v>
      </c>
      <c r="Q23" s="14">
        <f t="shared" si="71"/>
        <v>0</v>
      </c>
      <c r="R23" s="14">
        <f t="shared" si="71"/>
        <v>0</v>
      </c>
      <c r="S23" s="14">
        <f t="shared" si="71"/>
        <v>0</v>
      </c>
      <c r="T23" s="5"/>
      <c r="U23" s="14">
        <f t="shared" ref="U23:AG23" si="72">SUM(U17+SUM(U20:U22))</f>
        <v>0</v>
      </c>
      <c r="V23" s="14" t="e">
        <f t="shared" si="72"/>
        <v>#REF!</v>
      </c>
      <c r="W23" s="14">
        <f t="shared" si="72"/>
        <v>0</v>
      </c>
      <c r="X23" s="14">
        <f t="shared" si="72"/>
        <v>0</v>
      </c>
      <c r="Y23" s="14">
        <f t="shared" si="72"/>
        <v>0</v>
      </c>
      <c r="Z23" s="14">
        <f t="shared" si="72"/>
        <v>0</v>
      </c>
      <c r="AA23" s="14">
        <f t="shared" si="72"/>
        <v>0</v>
      </c>
      <c r="AB23" s="14">
        <f t="shared" si="72"/>
        <v>0</v>
      </c>
      <c r="AC23" s="14">
        <f t="shared" si="72"/>
        <v>0</v>
      </c>
      <c r="AD23" s="14">
        <f t="shared" si="72"/>
        <v>0</v>
      </c>
      <c r="AE23" s="14">
        <f t="shared" si="72"/>
        <v>0</v>
      </c>
      <c r="AF23" s="14">
        <f t="shared" si="72"/>
        <v>0</v>
      </c>
      <c r="AG23" s="14">
        <f t="shared" si="72"/>
        <v>0</v>
      </c>
      <c r="AI23" s="131" t="e">
        <f>SUM(AG23/AC23)-1</f>
        <v>#DIV/0!</v>
      </c>
    </row>
    <row r="24" spans="2:35" ht="12.75" customHeight="1">
      <c r="B24" s="16" t="s">
        <v>34</v>
      </c>
      <c r="C24" s="17" t="e">
        <f>C23/C11</f>
        <v>#DIV/0!</v>
      </c>
      <c r="D24" s="17" t="e">
        <f>D23/D11</f>
        <v>#DIV/0!</v>
      </c>
      <c r="E24" s="17" t="e">
        <f>E23/E11</f>
        <v>#DIV/0!</v>
      </c>
      <c r="F24" s="17" t="e">
        <f>F23/F11</f>
        <v>#DIV/0!</v>
      </c>
      <c r="G24" s="17" t="e">
        <f>G23/G11</f>
        <v>#DIV/0!</v>
      </c>
      <c r="H24" s="27"/>
      <c r="I24" s="17" t="e">
        <f t="shared" ref="I24:S24" si="73">I23/I11</f>
        <v>#DIV/0!</v>
      </c>
      <c r="J24" s="17" t="e">
        <f t="shared" si="73"/>
        <v>#DIV/0!</v>
      </c>
      <c r="K24" s="17" t="e">
        <f t="shared" si="73"/>
        <v>#DIV/0!</v>
      </c>
      <c r="L24" s="17" t="e">
        <f t="shared" si="73"/>
        <v>#DIV/0!</v>
      </c>
      <c r="M24" s="17" t="e">
        <f t="shared" si="73"/>
        <v>#DIV/0!</v>
      </c>
      <c r="N24" s="17" t="e">
        <f t="shared" si="73"/>
        <v>#DIV/0!</v>
      </c>
      <c r="O24" s="17" t="e">
        <f t="shared" si="73"/>
        <v>#DIV/0!</v>
      </c>
      <c r="P24" s="17" t="e">
        <f t="shared" si="73"/>
        <v>#DIV/0!</v>
      </c>
      <c r="Q24" s="17" t="e">
        <f t="shared" si="73"/>
        <v>#DIV/0!</v>
      </c>
      <c r="R24" s="17" t="e">
        <f t="shared" si="73"/>
        <v>#DIV/0!</v>
      </c>
      <c r="S24" s="17" t="e">
        <f t="shared" si="73"/>
        <v>#DIV/0!</v>
      </c>
      <c r="T24" s="28"/>
      <c r="U24" s="17" t="e">
        <f t="shared" ref="U24:AG24" si="74">U23/U11</f>
        <v>#DIV/0!</v>
      </c>
      <c r="V24" s="17" t="e">
        <f t="shared" si="74"/>
        <v>#REF!</v>
      </c>
      <c r="W24" s="17" t="e">
        <f t="shared" si="74"/>
        <v>#DIV/0!</v>
      </c>
      <c r="X24" s="17" t="e">
        <f t="shared" si="74"/>
        <v>#DIV/0!</v>
      </c>
      <c r="Y24" s="17" t="e">
        <f t="shared" si="74"/>
        <v>#DIV/0!</v>
      </c>
      <c r="Z24" s="17" t="e">
        <f t="shared" si="74"/>
        <v>#DIV/0!</v>
      </c>
      <c r="AA24" s="17" t="e">
        <f t="shared" si="74"/>
        <v>#DIV/0!</v>
      </c>
      <c r="AB24" s="17" t="e">
        <f t="shared" si="74"/>
        <v>#DIV/0!</v>
      </c>
      <c r="AC24" s="17" t="e">
        <f t="shared" si="74"/>
        <v>#DIV/0!</v>
      </c>
      <c r="AD24" s="17" t="e">
        <f t="shared" si="74"/>
        <v>#DIV/0!</v>
      </c>
      <c r="AE24" s="17" t="e">
        <f t="shared" si="74"/>
        <v>#DIV/0!</v>
      </c>
      <c r="AF24" s="17" t="e">
        <f t="shared" si="74"/>
        <v>#DIV/0!</v>
      </c>
      <c r="AG24" s="17" t="e">
        <f t="shared" si="74"/>
        <v>#DIV/0!</v>
      </c>
      <c r="AI24" s="132" t="e">
        <f>SUM(AG24-AC24)*10000</f>
        <v>#DIV/0!</v>
      </c>
    </row>
    <row r="25" spans="2:35" ht="5.0999999999999996" customHeight="1">
      <c r="AI25" s="129"/>
    </row>
    <row r="26" spans="2:35" ht="12.75" customHeight="1">
      <c r="B26" s="31" t="s">
        <v>120</v>
      </c>
      <c r="C26" s="150"/>
      <c r="D26" s="150"/>
      <c r="E26" s="150"/>
      <c r="F26" s="150"/>
      <c r="G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U26" s="10">
        <f>SUM(H26:H26)</f>
        <v>0</v>
      </c>
      <c r="V26" s="10" t="e">
        <f>SUM(#REF!)</f>
        <v>#REF!</v>
      </c>
      <c r="W26" s="10">
        <f>SUM(I26:I26)</f>
        <v>0</v>
      </c>
      <c r="X26" s="10">
        <f>SUM(I26:J26)</f>
        <v>0</v>
      </c>
      <c r="Y26" s="10">
        <f>SUM(I26:K26)</f>
        <v>0</v>
      </c>
      <c r="Z26" s="10">
        <f t="shared" ref="Z26:AG26" si="75">SUM(I26:L26)</f>
        <v>0</v>
      </c>
      <c r="AA26" s="10">
        <f t="shared" si="75"/>
        <v>0</v>
      </c>
      <c r="AB26" s="10">
        <f t="shared" si="75"/>
        <v>0</v>
      </c>
      <c r="AC26" s="10">
        <f t="shared" si="75"/>
        <v>0</v>
      </c>
      <c r="AD26" s="10">
        <f t="shared" si="75"/>
        <v>0</v>
      </c>
      <c r="AE26" s="10">
        <f t="shared" si="75"/>
        <v>0</v>
      </c>
      <c r="AF26" s="10">
        <f t="shared" si="75"/>
        <v>0</v>
      </c>
      <c r="AG26" s="10">
        <f t="shared" si="75"/>
        <v>0</v>
      </c>
      <c r="AI26" s="130" t="e">
        <f>SUM(AG26/AC26)-1</f>
        <v>#DIV/0!</v>
      </c>
    </row>
    <row r="27" spans="2:35" ht="12.75" customHeight="1">
      <c r="B27" s="31" t="s">
        <v>121</v>
      </c>
      <c r="C27" s="156"/>
      <c r="D27" s="156"/>
      <c r="E27" s="156"/>
      <c r="F27" s="156"/>
      <c r="G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>
        <f t="shared" ref="U27:AG27" si="76">-U15</f>
        <v>0</v>
      </c>
      <c r="V27" s="156" t="e">
        <f t="shared" si="76"/>
        <v>#REF!</v>
      </c>
      <c r="W27" s="156">
        <f t="shared" si="76"/>
        <v>0</v>
      </c>
      <c r="X27" s="156">
        <f t="shared" si="76"/>
        <v>0</v>
      </c>
      <c r="Y27" s="156">
        <f t="shared" si="76"/>
        <v>0</v>
      </c>
      <c r="Z27" s="156">
        <f t="shared" si="76"/>
        <v>0</v>
      </c>
      <c r="AA27" s="156">
        <f t="shared" si="76"/>
        <v>0</v>
      </c>
      <c r="AB27" s="156">
        <f t="shared" si="76"/>
        <v>0</v>
      </c>
      <c r="AC27" s="156">
        <f t="shared" si="76"/>
        <v>0</v>
      </c>
      <c r="AD27" s="156">
        <f t="shared" si="76"/>
        <v>0</v>
      </c>
      <c r="AE27" s="156">
        <f t="shared" si="76"/>
        <v>0</v>
      </c>
      <c r="AF27" s="156">
        <f t="shared" si="76"/>
        <v>0</v>
      </c>
      <c r="AG27" s="156">
        <f t="shared" si="76"/>
        <v>0</v>
      </c>
      <c r="AI27" s="130"/>
    </row>
    <row r="28" spans="2:35" ht="12.75" customHeight="1">
      <c r="B28" s="25" t="s">
        <v>11</v>
      </c>
      <c r="C28" s="26">
        <f>SUM(C23+SUM(C26:C27))</f>
        <v>0</v>
      </c>
      <c r="D28" s="26">
        <f t="shared" ref="D28:G28" si="77">SUM(D23+SUM(D26:D27))</f>
        <v>0</v>
      </c>
      <c r="E28" s="26">
        <f t="shared" si="77"/>
        <v>0</v>
      </c>
      <c r="F28" s="26">
        <f t="shared" si="77"/>
        <v>0</v>
      </c>
      <c r="G28" s="26">
        <f t="shared" si="77"/>
        <v>0</v>
      </c>
      <c r="I28" s="26">
        <f t="shared" ref="I28" si="78">SUM(I23+SUM(I26:I27))</f>
        <v>0</v>
      </c>
      <c r="J28" s="26">
        <f t="shared" ref="J28" si="79">SUM(J23+SUM(J26:J27))</f>
        <v>0</v>
      </c>
      <c r="K28" s="26">
        <f t="shared" ref="K28" si="80">SUM(K23+SUM(K26:K27))</f>
        <v>0</v>
      </c>
      <c r="L28" s="26">
        <f t="shared" ref="L28" si="81">SUM(L23+SUM(L26:L27))</f>
        <v>0</v>
      </c>
      <c r="M28" s="26">
        <f t="shared" ref="M28" si="82">SUM(M23+SUM(M26:M27))</f>
        <v>0</v>
      </c>
      <c r="N28" s="26">
        <f t="shared" ref="N28" si="83">SUM(N23+SUM(N26:N27))</f>
        <v>0</v>
      </c>
      <c r="O28" s="26">
        <f t="shared" ref="O28" si="84">SUM(O23+SUM(O26:O27))</f>
        <v>0</v>
      </c>
      <c r="P28" s="26">
        <f t="shared" ref="P28" si="85">SUM(P23+SUM(P26:P27))</f>
        <v>0</v>
      </c>
      <c r="Q28" s="26">
        <f t="shared" ref="Q28" si="86">SUM(Q23+SUM(Q26:Q27))</f>
        <v>0</v>
      </c>
      <c r="R28" s="26">
        <f t="shared" ref="R28" si="87">SUM(R23+SUM(R26:R27))</f>
        <v>0</v>
      </c>
      <c r="S28" s="26">
        <f t="shared" ref="S28" si="88">SUM(S23+SUM(S26:S27))</f>
        <v>0</v>
      </c>
      <c r="U28" s="26">
        <f t="shared" ref="U28" si="89">SUM(U23+SUM(U26:U27))</f>
        <v>0</v>
      </c>
      <c r="V28" s="26" t="e">
        <f t="shared" ref="V28" si="90">SUM(V23+SUM(V26:V27))</f>
        <v>#REF!</v>
      </c>
      <c r="W28" s="26">
        <f t="shared" ref="W28" si="91">SUM(W23+SUM(W26:W27))</f>
        <v>0</v>
      </c>
      <c r="X28" s="26">
        <f t="shared" ref="X28" si="92">SUM(X23+SUM(X26:X27))</f>
        <v>0</v>
      </c>
      <c r="Y28" s="26">
        <f t="shared" ref="Y28" si="93">SUM(Y23+SUM(Y26:Y27))</f>
        <v>0</v>
      </c>
      <c r="Z28" s="26">
        <f t="shared" ref="Z28" si="94">SUM(Z23+SUM(Z26:Z27))</f>
        <v>0</v>
      </c>
      <c r="AA28" s="26">
        <f t="shared" ref="AA28" si="95">SUM(AA23+SUM(AA26:AA27))</f>
        <v>0</v>
      </c>
      <c r="AB28" s="26">
        <f t="shared" ref="AB28" si="96">SUM(AB23+SUM(AB26:AB27))</f>
        <v>0</v>
      </c>
      <c r="AC28" s="26">
        <f t="shared" ref="AC28" si="97">SUM(AC23+SUM(AC26:AC27))</f>
        <v>0</v>
      </c>
      <c r="AD28" s="26">
        <f t="shared" ref="AD28" si="98">SUM(AD23+SUM(AD26:AD27))</f>
        <v>0</v>
      </c>
      <c r="AE28" s="26">
        <f t="shared" ref="AE28" si="99">SUM(AE23+SUM(AE26:AE27))</f>
        <v>0</v>
      </c>
      <c r="AF28" s="26">
        <f t="shared" ref="AF28" si="100">SUM(AF23+SUM(AF26:AF27))</f>
        <v>0</v>
      </c>
      <c r="AG28" s="26">
        <f t="shared" ref="AG28" si="101">SUM(AG23+SUM(AG26:AG27))</f>
        <v>0</v>
      </c>
      <c r="AI28" s="131" t="e">
        <f>SUM(AG28/AC28)-1</f>
        <v>#DIV/0!</v>
      </c>
    </row>
    <row r="29" spans="2:35" ht="12.75" customHeight="1">
      <c r="B29" s="16" t="s">
        <v>35</v>
      </c>
      <c r="C29" s="17" t="e">
        <f>C28/C11</f>
        <v>#DIV/0!</v>
      </c>
      <c r="D29" s="17" t="e">
        <f>D28/D11</f>
        <v>#DIV/0!</v>
      </c>
      <c r="E29" s="17" t="e">
        <f>E28/E11</f>
        <v>#DIV/0!</v>
      </c>
      <c r="F29" s="17" t="e">
        <f>F28/F11</f>
        <v>#DIV/0!</v>
      </c>
      <c r="G29" s="17" t="e">
        <f>G28/G11</f>
        <v>#DIV/0!</v>
      </c>
      <c r="I29" s="17" t="e">
        <f t="shared" ref="I29:S29" si="102">I28/I11</f>
        <v>#DIV/0!</v>
      </c>
      <c r="J29" s="17" t="e">
        <f t="shared" si="102"/>
        <v>#DIV/0!</v>
      </c>
      <c r="K29" s="17" t="e">
        <f t="shared" si="102"/>
        <v>#DIV/0!</v>
      </c>
      <c r="L29" s="17" t="e">
        <f t="shared" si="102"/>
        <v>#DIV/0!</v>
      </c>
      <c r="M29" s="17" t="e">
        <f t="shared" si="102"/>
        <v>#DIV/0!</v>
      </c>
      <c r="N29" s="17" t="e">
        <f t="shared" si="102"/>
        <v>#DIV/0!</v>
      </c>
      <c r="O29" s="17" t="e">
        <f t="shared" si="102"/>
        <v>#DIV/0!</v>
      </c>
      <c r="P29" s="17" t="e">
        <f t="shared" si="102"/>
        <v>#DIV/0!</v>
      </c>
      <c r="Q29" s="17" t="e">
        <f t="shared" si="102"/>
        <v>#DIV/0!</v>
      </c>
      <c r="R29" s="17" t="e">
        <f t="shared" si="102"/>
        <v>#DIV/0!</v>
      </c>
      <c r="S29" s="17" t="e">
        <f t="shared" si="102"/>
        <v>#DIV/0!</v>
      </c>
      <c r="U29" s="17" t="e">
        <f t="shared" ref="U29:AG29" si="103">U28/U11</f>
        <v>#DIV/0!</v>
      </c>
      <c r="V29" s="17" t="e">
        <f t="shared" si="103"/>
        <v>#REF!</v>
      </c>
      <c r="W29" s="17" t="e">
        <f t="shared" si="103"/>
        <v>#DIV/0!</v>
      </c>
      <c r="X29" s="17" t="e">
        <f t="shared" si="103"/>
        <v>#DIV/0!</v>
      </c>
      <c r="Y29" s="17" t="e">
        <f t="shared" si="103"/>
        <v>#DIV/0!</v>
      </c>
      <c r="Z29" s="17" t="e">
        <f t="shared" si="103"/>
        <v>#DIV/0!</v>
      </c>
      <c r="AA29" s="17" t="e">
        <f t="shared" si="103"/>
        <v>#DIV/0!</v>
      </c>
      <c r="AB29" s="17" t="e">
        <f t="shared" si="103"/>
        <v>#DIV/0!</v>
      </c>
      <c r="AC29" s="17" t="e">
        <f t="shared" si="103"/>
        <v>#DIV/0!</v>
      </c>
      <c r="AD29" s="17" t="e">
        <f t="shared" si="103"/>
        <v>#DIV/0!</v>
      </c>
      <c r="AE29" s="17" t="e">
        <f t="shared" si="103"/>
        <v>#DIV/0!</v>
      </c>
      <c r="AF29" s="17" t="e">
        <f t="shared" si="103"/>
        <v>#DIV/0!</v>
      </c>
      <c r="AG29" s="17" t="e">
        <f t="shared" si="103"/>
        <v>#DIV/0!</v>
      </c>
      <c r="AI29" s="132" t="e">
        <f>SUM(AG29-AC29)*10000</f>
        <v>#DIV/0!</v>
      </c>
    </row>
    <row r="30" spans="2:35" ht="5.0999999999999996" customHeight="1">
      <c r="AI30" s="129"/>
    </row>
    <row r="31" spans="2:35" ht="12.75" customHeight="1">
      <c r="B31" s="31" t="s">
        <v>36</v>
      </c>
      <c r="C31" s="150"/>
      <c r="D31" s="150"/>
      <c r="E31" s="150"/>
      <c r="F31" s="150"/>
      <c r="G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U31" s="10">
        <f>SUM(H31:H31)</f>
        <v>0</v>
      </c>
      <c r="V31" s="10" t="e">
        <f>SUM(#REF!)</f>
        <v>#REF!</v>
      </c>
      <c r="W31" s="10">
        <f>SUM(I31:I31)</f>
        <v>0</v>
      </c>
      <c r="X31" s="10">
        <f>SUM(I31:J31)</f>
        <v>0</v>
      </c>
      <c r="Y31" s="10">
        <f>SUM(I31:K31)</f>
        <v>0</v>
      </c>
      <c r="Z31" s="10">
        <f t="shared" ref="Z31:AG31" si="104">SUM(I31:L31)</f>
        <v>0</v>
      </c>
      <c r="AA31" s="10">
        <f t="shared" si="104"/>
        <v>0</v>
      </c>
      <c r="AB31" s="10">
        <f t="shared" si="104"/>
        <v>0</v>
      </c>
      <c r="AC31" s="151">
        <f t="shared" si="104"/>
        <v>0</v>
      </c>
      <c r="AD31" s="151">
        <f t="shared" si="104"/>
        <v>0</v>
      </c>
      <c r="AE31" s="151">
        <f t="shared" si="104"/>
        <v>0</v>
      </c>
      <c r="AF31" s="151">
        <f t="shared" si="104"/>
        <v>0</v>
      </c>
      <c r="AG31" s="151">
        <f t="shared" si="104"/>
        <v>0</v>
      </c>
      <c r="AI31" s="130" t="e">
        <f>SUM(AG31/AC31)-1</f>
        <v>#DIV/0!</v>
      </c>
    </row>
    <row r="32" spans="2:35" ht="12.75" customHeight="1">
      <c r="B32" s="13" t="s">
        <v>37</v>
      </c>
      <c r="C32" s="14">
        <f>+SUM(C28+SUM(C31:C31))</f>
        <v>0</v>
      </c>
      <c r="D32" s="14">
        <f>+SUM(D28+SUM(D31:D31))</f>
        <v>0</v>
      </c>
      <c r="E32" s="14">
        <f>+SUM(E28+SUM(E31:E31))</f>
        <v>0</v>
      </c>
      <c r="F32" s="14">
        <f>+SUM(F28+SUM(F31:F31))</f>
        <v>0</v>
      </c>
      <c r="G32" s="14">
        <f>+SUM(G28+SUM(G31:G31))</f>
        <v>0</v>
      </c>
      <c r="H32" s="11"/>
      <c r="I32" s="14">
        <f t="shared" ref="I32:S32" si="105">+SUM(I28+SUM(I31:I31))</f>
        <v>0</v>
      </c>
      <c r="J32" s="14">
        <f t="shared" si="105"/>
        <v>0</v>
      </c>
      <c r="K32" s="14">
        <f t="shared" si="105"/>
        <v>0</v>
      </c>
      <c r="L32" s="14">
        <f t="shared" si="105"/>
        <v>0</v>
      </c>
      <c r="M32" s="14">
        <f t="shared" si="105"/>
        <v>0</v>
      </c>
      <c r="N32" s="14">
        <f t="shared" si="105"/>
        <v>0</v>
      </c>
      <c r="O32" s="14">
        <f t="shared" si="105"/>
        <v>0</v>
      </c>
      <c r="P32" s="14">
        <f t="shared" si="105"/>
        <v>0</v>
      </c>
      <c r="Q32" s="14">
        <f t="shared" si="105"/>
        <v>0</v>
      </c>
      <c r="R32" s="14">
        <f t="shared" si="105"/>
        <v>0</v>
      </c>
      <c r="S32" s="14">
        <f t="shared" si="105"/>
        <v>0</v>
      </c>
      <c r="U32" s="14">
        <f t="shared" ref="U32:AG32" si="106">+SUM(U28+SUM(U31:U31))</f>
        <v>0</v>
      </c>
      <c r="V32" s="14" t="e">
        <f t="shared" si="106"/>
        <v>#REF!</v>
      </c>
      <c r="W32" s="14">
        <f t="shared" si="106"/>
        <v>0</v>
      </c>
      <c r="X32" s="14">
        <f t="shared" si="106"/>
        <v>0</v>
      </c>
      <c r="Y32" s="14">
        <f t="shared" si="106"/>
        <v>0</v>
      </c>
      <c r="Z32" s="14">
        <f t="shared" si="106"/>
        <v>0</v>
      </c>
      <c r="AA32" s="14">
        <f t="shared" si="106"/>
        <v>0</v>
      </c>
      <c r="AB32" s="14">
        <f t="shared" si="106"/>
        <v>0</v>
      </c>
      <c r="AC32" s="14">
        <f t="shared" si="106"/>
        <v>0</v>
      </c>
      <c r="AD32" s="14">
        <f t="shared" si="106"/>
        <v>0</v>
      </c>
      <c r="AE32" s="14">
        <f t="shared" si="106"/>
        <v>0</v>
      </c>
      <c r="AF32" s="14">
        <f t="shared" si="106"/>
        <v>0</v>
      </c>
      <c r="AG32" s="14">
        <f t="shared" si="106"/>
        <v>0</v>
      </c>
      <c r="AI32" s="131" t="e">
        <f>SUM(AG32/AC32)-1</f>
        <v>#DIV/0!</v>
      </c>
    </row>
    <row r="33" spans="2:35" ht="12.75" customHeight="1">
      <c r="B33" s="16" t="s">
        <v>38</v>
      </c>
      <c r="C33" s="17" t="e">
        <f>C32/C11</f>
        <v>#DIV/0!</v>
      </c>
      <c r="D33" s="17" t="e">
        <f>D32/D11</f>
        <v>#DIV/0!</v>
      </c>
      <c r="E33" s="17" t="e">
        <f>E32/E11</f>
        <v>#DIV/0!</v>
      </c>
      <c r="F33" s="17" t="e">
        <f>F32/F11</f>
        <v>#DIV/0!</v>
      </c>
      <c r="G33" s="17" t="e">
        <f>G32/G11</f>
        <v>#DIV/0!</v>
      </c>
      <c r="I33" s="17" t="e">
        <f t="shared" ref="I33:S33" si="107">I32/I11</f>
        <v>#DIV/0!</v>
      </c>
      <c r="J33" s="17" t="e">
        <f t="shared" si="107"/>
        <v>#DIV/0!</v>
      </c>
      <c r="K33" s="17" t="e">
        <f t="shared" si="107"/>
        <v>#DIV/0!</v>
      </c>
      <c r="L33" s="17" t="e">
        <f t="shared" si="107"/>
        <v>#DIV/0!</v>
      </c>
      <c r="M33" s="17" t="e">
        <f t="shared" si="107"/>
        <v>#DIV/0!</v>
      </c>
      <c r="N33" s="17" t="e">
        <f t="shared" si="107"/>
        <v>#DIV/0!</v>
      </c>
      <c r="O33" s="17" t="e">
        <f t="shared" si="107"/>
        <v>#DIV/0!</v>
      </c>
      <c r="P33" s="17" t="e">
        <f t="shared" si="107"/>
        <v>#DIV/0!</v>
      </c>
      <c r="Q33" s="17" t="e">
        <f t="shared" si="107"/>
        <v>#DIV/0!</v>
      </c>
      <c r="R33" s="17" t="e">
        <f t="shared" si="107"/>
        <v>#DIV/0!</v>
      </c>
      <c r="S33" s="17" t="e">
        <f t="shared" si="107"/>
        <v>#DIV/0!</v>
      </c>
      <c r="U33" s="17" t="e">
        <f t="shared" ref="U33:AG33" si="108">U32/U11</f>
        <v>#DIV/0!</v>
      </c>
      <c r="V33" s="17" t="e">
        <f t="shared" si="108"/>
        <v>#REF!</v>
      </c>
      <c r="W33" s="17" t="e">
        <f t="shared" si="108"/>
        <v>#DIV/0!</v>
      </c>
      <c r="X33" s="17" t="e">
        <f t="shared" si="108"/>
        <v>#DIV/0!</v>
      </c>
      <c r="Y33" s="17" t="e">
        <f t="shared" si="108"/>
        <v>#DIV/0!</v>
      </c>
      <c r="Z33" s="17" t="e">
        <f t="shared" si="108"/>
        <v>#DIV/0!</v>
      </c>
      <c r="AA33" s="17" t="e">
        <f t="shared" si="108"/>
        <v>#DIV/0!</v>
      </c>
      <c r="AB33" s="17" t="e">
        <f t="shared" si="108"/>
        <v>#DIV/0!</v>
      </c>
      <c r="AC33" s="17" t="e">
        <f t="shared" si="108"/>
        <v>#DIV/0!</v>
      </c>
      <c r="AD33" s="17" t="e">
        <f t="shared" si="108"/>
        <v>#DIV/0!</v>
      </c>
      <c r="AE33" s="17" t="e">
        <f t="shared" si="108"/>
        <v>#DIV/0!</v>
      </c>
      <c r="AF33" s="17" t="e">
        <f t="shared" si="108"/>
        <v>#DIV/0!</v>
      </c>
      <c r="AG33" s="17" t="e">
        <f t="shared" si="108"/>
        <v>#DIV/0!</v>
      </c>
      <c r="AI33" s="132" t="e">
        <f>SUM(AG33-AC33)*10000</f>
        <v>#DIV/0!</v>
      </c>
    </row>
    <row r="34" spans="2:35" ht="5.0999999999999996" customHeight="1">
      <c r="AI34" s="129"/>
    </row>
    <row r="35" spans="2:35" ht="12.75" customHeight="1">
      <c r="B35" s="23" t="s">
        <v>39</v>
      </c>
      <c r="C35" s="150"/>
      <c r="D35" s="150"/>
      <c r="E35" s="150"/>
      <c r="F35" s="150"/>
      <c r="G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U35" s="10">
        <f>SUM(H35:H35)</f>
        <v>0</v>
      </c>
      <c r="V35" s="10" t="e">
        <f>SUM(#REF!)</f>
        <v>#REF!</v>
      </c>
      <c r="W35" s="10">
        <f>SUM(I35:I35)</f>
        <v>0</v>
      </c>
      <c r="X35" s="10">
        <f>SUM(I35:J35)</f>
        <v>0</v>
      </c>
      <c r="Y35" s="10">
        <f>SUM(I35:K35)</f>
        <v>0</v>
      </c>
      <c r="Z35" s="10">
        <f t="shared" ref="Z35:AG38" si="109">SUM(I35:L35)</f>
        <v>0</v>
      </c>
      <c r="AA35" s="10">
        <f t="shared" si="109"/>
        <v>0</v>
      </c>
      <c r="AB35" s="10">
        <f t="shared" si="109"/>
        <v>0</v>
      </c>
      <c r="AC35" s="151">
        <f t="shared" si="109"/>
        <v>0</v>
      </c>
      <c r="AD35" s="151">
        <f t="shared" si="109"/>
        <v>0</v>
      </c>
      <c r="AE35" s="151">
        <f t="shared" si="109"/>
        <v>0</v>
      </c>
      <c r="AF35" s="151">
        <f t="shared" si="109"/>
        <v>0</v>
      </c>
      <c r="AG35" s="151">
        <f t="shared" si="109"/>
        <v>0</v>
      </c>
      <c r="AI35" s="130" t="e">
        <f>SUM(AG35/AC35)-1</f>
        <v>#DIV/0!</v>
      </c>
    </row>
    <row r="36" spans="2:35" ht="12.75" customHeight="1">
      <c r="B36" s="23" t="s">
        <v>40</v>
      </c>
      <c r="C36" s="150"/>
      <c r="D36" s="150"/>
      <c r="E36" s="150"/>
      <c r="F36" s="150"/>
      <c r="G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U36" s="10">
        <f>SUM(H36:H36)</f>
        <v>0</v>
      </c>
      <c r="V36" s="10" t="e">
        <f>SUM(#REF!)</f>
        <v>#REF!</v>
      </c>
      <c r="W36" s="10">
        <f>SUM(I36:I36)</f>
        <v>0</v>
      </c>
      <c r="X36" s="10">
        <f>SUM(I36:J36)</f>
        <v>0</v>
      </c>
      <c r="Y36" s="10">
        <f>SUM(I36:K36)</f>
        <v>0</v>
      </c>
      <c r="Z36" s="10">
        <f t="shared" si="109"/>
        <v>0</v>
      </c>
      <c r="AA36" s="10">
        <f t="shared" si="109"/>
        <v>0</v>
      </c>
      <c r="AB36" s="10">
        <f t="shared" si="109"/>
        <v>0</v>
      </c>
      <c r="AC36" s="151">
        <f t="shared" si="109"/>
        <v>0</v>
      </c>
      <c r="AD36" s="151">
        <f t="shared" si="109"/>
        <v>0</v>
      </c>
      <c r="AE36" s="151">
        <f t="shared" si="109"/>
        <v>0</v>
      </c>
      <c r="AF36" s="151">
        <f t="shared" si="109"/>
        <v>0</v>
      </c>
      <c r="AG36" s="151">
        <f t="shared" si="109"/>
        <v>0</v>
      </c>
      <c r="AI36" s="130" t="e">
        <f>SUM(AG36/AC36)-1</f>
        <v>#DIV/0!</v>
      </c>
    </row>
    <row r="37" spans="2:35" ht="12.75" customHeight="1">
      <c r="B37" s="23" t="s">
        <v>77</v>
      </c>
      <c r="C37" s="150"/>
      <c r="D37" s="150"/>
      <c r="E37" s="150"/>
      <c r="F37" s="150"/>
      <c r="G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U37" s="10">
        <f>SUM(H37:H37)</f>
        <v>0</v>
      </c>
      <c r="V37" s="10" t="e">
        <f>SUM(#REF!)</f>
        <v>#REF!</v>
      </c>
      <c r="W37" s="10">
        <f>SUM(I37:I37)</f>
        <v>0</v>
      </c>
      <c r="X37" s="10">
        <f>SUM(I37:J37)</f>
        <v>0</v>
      </c>
      <c r="Y37" s="10">
        <f>SUM(I37:K37)</f>
        <v>0</v>
      </c>
      <c r="Z37" s="10">
        <f t="shared" si="109"/>
        <v>0</v>
      </c>
      <c r="AA37" s="10">
        <f t="shared" si="109"/>
        <v>0</v>
      </c>
      <c r="AB37" s="10">
        <f t="shared" si="109"/>
        <v>0</v>
      </c>
      <c r="AC37" s="151">
        <f t="shared" si="109"/>
        <v>0</v>
      </c>
      <c r="AD37" s="151">
        <f t="shared" si="109"/>
        <v>0</v>
      </c>
      <c r="AE37" s="151">
        <f t="shared" si="109"/>
        <v>0</v>
      </c>
      <c r="AF37" s="151">
        <f t="shared" si="109"/>
        <v>0</v>
      </c>
      <c r="AG37" s="151">
        <f t="shared" si="109"/>
        <v>0</v>
      </c>
      <c r="AI37" s="130" t="e">
        <f>SUM(AG37/AC37)-1</f>
        <v>#DIV/0!</v>
      </c>
    </row>
    <row r="38" spans="2:35" ht="12.75" customHeight="1">
      <c r="B38" s="23" t="s">
        <v>41</v>
      </c>
      <c r="C38" s="150"/>
      <c r="D38" s="150"/>
      <c r="E38" s="150"/>
      <c r="F38" s="150"/>
      <c r="G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U38" s="10">
        <f>SUM(H38:H38)</f>
        <v>0</v>
      </c>
      <c r="V38" s="10" t="e">
        <f>SUM(#REF!)</f>
        <v>#REF!</v>
      </c>
      <c r="W38" s="10">
        <f>SUM(I38:I38)</f>
        <v>0</v>
      </c>
      <c r="X38" s="10">
        <f>SUM(I38:J38)</f>
        <v>0</v>
      </c>
      <c r="Y38" s="10">
        <f>SUM(I38:K38)</f>
        <v>0</v>
      </c>
      <c r="Z38" s="10">
        <f t="shared" si="109"/>
        <v>0</v>
      </c>
      <c r="AA38" s="10">
        <f t="shared" si="109"/>
        <v>0</v>
      </c>
      <c r="AB38" s="10">
        <f t="shared" si="109"/>
        <v>0</v>
      </c>
      <c r="AC38" s="151">
        <f t="shared" si="109"/>
        <v>0</v>
      </c>
      <c r="AD38" s="151">
        <f t="shared" si="109"/>
        <v>0</v>
      </c>
      <c r="AE38" s="151">
        <f t="shared" si="109"/>
        <v>0</v>
      </c>
      <c r="AF38" s="151">
        <f t="shared" si="109"/>
        <v>0</v>
      </c>
      <c r="AG38" s="151">
        <f t="shared" si="109"/>
        <v>0</v>
      </c>
      <c r="AI38" s="130" t="e">
        <f>SUM(AG38/AC38)-1</f>
        <v>#DIV/0!</v>
      </c>
    </row>
    <row r="39" spans="2:35" ht="12.75" customHeight="1">
      <c r="B39" s="13" t="s">
        <v>42</v>
      </c>
      <c r="C39" s="14">
        <f>SUM(C32+SUM(C35:C38))</f>
        <v>0</v>
      </c>
      <c r="D39" s="14">
        <f>SUM(D32+SUM(D35:D38))</f>
        <v>0</v>
      </c>
      <c r="E39" s="14">
        <f>SUM(E32+SUM(E35:E38))</f>
        <v>0</v>
      </c>
      <c r="F39" s="14">
        <f>SUM(F32+SUM(F35:F38))</f>
        <v>0</v>
      </c>
      <c r="G39" s="14">
        <f>SUM(G32+SUM(G35:G38))</f>
        <v>0</v>
      </c>
      <c r="I39" s="14">
        <f t="shared" ref="I39:R39" si="110">SUM(I32+SUM(I35:I38))</f>
        <v>0</v>
      </c>
      <c r="J39" s="14">
        <f t="shared" si="110"/>
        <v>0</v>
      </c>
      <c r="K39" s="14">
        <f t="shared" si="110"/>
        <v>0</v>
      </c>
      <c r="L39" s="14">
        <f t="shared" si="110"/>
        <v>0</v>
      </c>
      <c r="M39" s="14">
        <f t="shared" si="110"/>
        <v>0</v>
      </c>
      <c r="N39" s="14">
        <f t="shared" si="110"/>
        <v>0</v>
      </c>
      <c r="O39" s="14">
        <f t="shared" si="110"/>
        <v>0</v>
      </c>
      <c r="P39" s="14">
        <f t="shared" si="110"/>
        <v>0</v>
      </c>
      <c r="Q39" s="14">
        <f t="shared" si="110"/>
        <v>0</v>
      </c>
      <c r="R39" s="14">
        <f t="shared" si="110"/>
        <v>0</v>
      </c>
      <c r="S39" s="14">
        <f>SUM(S32+SUM(S35:S38))</f>
        <v>0</v>
      </c>
      <c r="U39" s="14">
        <f t="shared" ref="U39:AE39" si="111">SUM(U32+SUM(U35:U38))</f>
        <v>0</v>
      </c>
      <c r="V39" s="14" t="e">
        <f t="shared" si="111"/>
        <v>#REF!</v>
      </c>
      <c r="W39" s="14">
        <f t="shared" si="111"/>
        <v>0</v>
      </c>
      <c r="X39" s="14">
        <f t="shared" si="111"/>
        <v>0</v>
      </c>
      <c r="Y39" s="14">
        <f t="shared" si="111"/>
        <v>0</v>
      </c>
      <c r="Z39" s="14">
        <f t="shared" si="111"/>
        <v>0</v>
      </c>
      <c r="AA39" s="14">
        <f t="shared" si="111"/>
        <v>0</v>
      </c>
      <c r="AB39" s="14">
        <f t="shared" si="111"/>
        <v>0</v>
      </c>
      <c r="AC39" s="14">
        <f t="shared" si="111"/>
        <v>0</v>
      </c>
      <c r="AD39" s="14">
        <f t="shared" si="111"/>
        <v>0</v>
      </c>
      <c r="AE39" s="14">
        <f t="shared" si="111"/>
        <v>0</v>
      </c>
      <c r="AF39" s="14">
        <f>SUM(AF32+SUM(AF35:AF38))</f>
        <v>0</v>
      </c>
      <c r="AG39" s="14">
        <f>SUM(AG32+SUM(AG35:AG38))</f>
        <v>0</v>
      </c>
      <c r="AI39" s="131" t="e">
        <f>SUM(AG39/AC39)-1</f>
        <v>#DIV/0!</v>
      </c>
    </row>
    <row r="40" spans="2:35" ht="5.0999999999999996" customHeight="1"/>
    <row r="41" spans="2:35" ht="12.75" customHeight="1">
      <c r="B41" s="31" t="s">
        <v>122</v>
      </c>
      <c r="C41" s="150"/>
      <c r="D41" s="150"/>
      <c r="E41" s="150"/>
      <c r="F41" s="150"/>
      <c r="G41" s="150"/>
      <c r="H41" s="32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U41" s="10">
        <f>SUM(H41:H41)</f>
        <v>0</v>
      </c>
      <c r="V41" s="10" t="e">
        <f>SUM(#REF!)</f>
        <v>#REF!</v>
      </c>
      <c r="W41" s="10">
        <f>SUM(I41:I41)</f>
        <v>0</v>
      </c>
      <c r="X41" s="10">
        <f>SUM(I41:J41)</f>
        <v>0</v>
      </c>
      <c r="Y41" s="10">
        <f>SUM(I41:K41)</f>
        <v>0</v>
      </c>
      <c r="Z41" s="10">
        <f t="shared" ref="Z41:AG42" si="112">SUM(I41:L41)</f>
        <v>0</v>
      </c>
      <c r="AA41" s="10">
        <f t="shared" si="112"/>
        <v>0</v>
      </c>
      <c r="AB41" s="10">
        <f t="shared" si="112"/>
        <v>0</v>
      </c>
      <c r="AC41" s="151">
        <f t="shared" si="112"/>
        <v>0</v>
      </c>
      <c r="AD41" s="151">
        <f t="shared" si="112"/>
        <v>0</v>
      </c>
      <c r="AE41" s="151">
        <f t="shared" si="112"/>
        <v>0</v>
      </c>
      <c r="AF41" s="151">
        <f t="shared" si="112"/>
        <v>0</v>
      </c>
      <c r="AG41" s="151">
        <f t="shared" si="112"/>
        <v>0</v>
      </c>
    </row>
    <row r="42" spans="2:35" ht="12.75" customHeight="1">
      <c r="B42" s="31" t="s">
        <v>105</v>
      </c>
      <c r="C42" s="150"/>
      <c r="D42" s="150"/>
      <c r="E42" s="150"/>
      <c r="F42" s="150"/>
      <c r="G42" s="150"/>
      <c r="H42" s="32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U42" s="10">
        <f>SUM(H42:H42)</f>
        <v>0</v>
      </c>
      <c r="V42" s="10" t="e">
        <f>SUM(#REF!)</f>
        <v>#REF!</v>
      </c>
      <c r="W42" s="10">
        <f>SUM(I42:I42)</f>
        <v>0</v>
      </c>
      <c r="X42" s="10">
        <f>SUM(I42:J42)</f>
        <v>0</v>
      </c>
      <c r="Y42" s="10">
        <f>SUM(I42:K42)</f>
        <v>0</v>
      </c>
      <c r="Z42" s="10">
        <f t="shared" si="112"/>
        <v>0</v>
      </c>
      <c r="AA42" s="10">
        <f t="shared" si="112"/>
        <v>0</v>
      </c>
      <c r="AB42" s="10">
        <f t="shared" si="112"/>
        <v>0</v>
      </c>
      <c r="AC42" s="151">
        <f t="shared" si="112"/>
        <v>0</v>
      </c>
      <c r="AD42" s="151">
        <f t="shared" si="112"/>
        <v>0</v>
      </c>
      <c r="AE42" s="151">
        <f t="shared" si="112"/>
        <v>0</v>
      </c>
      <c r="AF42" s="151">
        <f t="shared" si="112"/>
        <v>0</v>
      </c>
      <c r="AG42" s="151">
        <f t="shared" si="112"/>
        <v>0</v>
      </c>
    </row>
    <row r="43" spans="2:35" ht="12.75" customHeight="1">
      <c r="B43" s="31" t="s">
        <v>123</v>
      </c>
      <c r="C43" s="150"/>
      <c r="D43" s="150"/>
      <c r="E43" s="150"/>
      <c r="F43" s="150"/>
      <c r="G43" s="150"/>
      <c r="H43" s="32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U43" s="10"/>
      <c r="V43" s="10"/>
      <c r="W43" s="10"/>
      <c r="X43" s="10"/>
      <c r="Y43" s="10"/>
      <c r="Z43" s="10"/>
      <c r="AA43" s="10"/>
      <c r="AB43" s="10"/>
      <c r="AC43" s="151">
        <f t="shared" ref="AC43:AG44" si="113">SUM(L43:O43)</f>
        <v>0</v>
      </c>
      <c r="AD43" s="151">
        <f t="shared" si="113"/>
        <v>0</v>
      </c>
      <c r="AE43" s="151">
        <f t="shared" si="113"/>
        <v>0</v>
      </c>
      <c r="AF43" s="151">
        <f t="shared" si="113"/>
        <v>0</v>
      </c>
      <c r="AG43" s="151">
        <f t="shared" si="113"/>
        <v>0</v>
      </c>
    </row>
    <row r="44" spans="2:35" ht="12.75" customHeight="1">
      <c r="B44" s="31" t="s">
        <v>124</v>
      </c>
      <c r="C44" s="150"/>
      <c r="D44" s="150"/>
      <c r="E44" s="150"/>
      <c r="F44" s="150"/>
      <c r="G44" s="150"/>
      <c r="H44" s="32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U44" s="10"/>
      <c r="V44" s="10"/>
      <c r="W44" s="10"/>
      <c r="X44" s="10"/>
      <c r="Y44" s="10"/>
      <c r="Z44" s="10"/>
      <c r="AA44" s="10"/>
      <c r="AB44" s="10"/>
      <c r="AC44" s="151">
        <f t="shared" si="113"/>
        <v>0</v>
      </c>
      <c r="AD44" s="151">
        <f t="shared" si="113"/>
        <v>0</v>
      </c>
      <c r="AE44" s="151">
        <f t="shared" si="113"/>
        <v>0</v>
      </c>
      <c r="AF44" s="151">
        <f t="shared" si="113"/>
        <v>0</v>
      </c>
      <c r="AG44" s="151">
        <f t="shared" si="113"/>
        <v>0</v>
      </c>
    </row>
    <row r="45" spans="2:35" ht="12.75" customHeight="1">
      <c r="B45" s="31" t="s">
        <v>125</v>
      </c>
      <c r="C45" s="150"/>
      <c r="D45" s="150"/>
      <c r="E45" s="150"/>
      <c r="F45" s="150"/>
      <c r="G45" s="150"/>
      <c r="H45" s="32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U45" s="10"/>
      <c r="V45" s="10"/>
      <c r="W45" s="10"/>
      <c r="X45" s="10"/>
      <c r="Y45" s="10"/>
      <c r="Z45" s="10"/>
      <c r="AA45" s="10"/>
      <c r="AB45" s="10">
        <f t="shared" ref="AB45:AG47" si="114">SUM(K45:N45)</f>
        <v>0</v>
      </c>
      <c r="AC45" s="151">
        <f t="shared" si="114"/>
        <v>0</v>
      </c>
      <c r="AD45" s="151">
        <f t="shared" si="114"/>
        <v>0</v>
      </c>
      <c r="AE45" s="151">
        <f t="shared" si="114"/>
        <v>0</v>
      </c>
      <c r="AF45" s="151">
        <f t="shared" si="114"/>
        <v>0</v>
      </c>
      <c r="AG45" s="151">
        <f t="shared" si="114"/>
        <v>0</v>
      </c>
    </row>
    <row r="46" spans="2:35" ht="12.75" customHeight="1">
      <c r="B46" s="31" t="s">
        <v>126</v>
      </c>
      <c r="C46" s="150"/>
      <c r="D46" s="150"/>
      <c r="E46" s="150"/>
      <c r="F46" s="150"/>
      <c r="G46" s="150"/>
      <c r="H46" s="32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U46" s="10"/>
      <c r="V46" s="10"/>
      <c r="W46" s="10"/>
      <c r="X46" s="10"/>
      <c r="Y46" s="10"/>
      <c r="Z46" s="10"/>
      <c r="AA46" s="10"/>
      <c r="AB46" s="10"/>
      <c r="AC46" s="151">
        <f>SUM(L46:O46)</f>
        <v>0</v>
      </c>
      <c r="AD46" s="151">
        <f>SUM(M46:P46)</f>
        <v>0</v>
      </c>
      <c r="AE46" s="151">
        <f>SUM(N46:Q46)</f>
        <v>0</v>
      </c>
      <c r="AF46" s="151">
        <f>SUM(O46:R46)</f>
        <v>0</v>
      </c>
      <c r="AG46" s="151">
        <f>SUM(P46:S46)</f>
        <v>0</v>
      </c>
    </row>
    <row r="47" spans="2:35" ht="12.75" customHeight="1">
      <c r="B47" s="31" t="s">
        <v>73</v>
      </c>
      <c r="C47" s="99"/>
      <c r="D47" s="99">
        <f>SUM(D52-C52)-SUM(D39:D45)</f>
        <v>0</v>
      </c>
      <c r="E47" s="99">
        <f>SUM(E52-D52)-SUM(E39:E45)</f>
        <v>0</v>
      </c>
      <c r="F47" s="99">
        <f>SUM(F52-E52)-SUM(F39:F45)</f>
        <v>0</v>
      </c>
      <c r="G47" s="99">
        <f>SUM(G52-F52)-SUM(G39:G46)</f>
        <v>0</v>
      </c>
      <c r="H47" s="32"/>
      <c r="I47" s="99" t="e">
        <f>SUM(I52-#REF!)-SUM(I39:I46)</f>
        <v>#REF!</v>
      </c>
      <c r="J47" s="99">
        <f t="shared" ref="J47:S47" si="115">SUM(J52-I52)-SUM(J39:J46)</f>
        <v>0</v>
      </c>
      <c r="K47" s="99">
        <f t="shared" si="115"/>
        <v>0</v>
      </c>
      <c r="L47" s="99">
        <f t="shared" si="115"/>
        <v>0</v>
      </c>
      <c r="M47" s="99">
        <f t="shared" si="115"/>
        <v>0</v>
      </c>
      <c r="N47" s="99">
        <f t="shared" si="115"/>
        <v>0</v>
      </c>
      <c r="O47" s="99">
        <f t="shared" si="115"/>
        <v>0</v>
      </c>
      <c r="P47" s="99">
        <f t="shared" si="115"/>
        <v>0</v>
      </c>
      <c r="Q47" s="99">
        <f t="shared" si="115"/>
        <v>0</v>
      </c>
      <c r="R47" s="99">
        <f t="shared" si="115"/>
        <v>0</v>
      </c>
      <c r="S47" s="99">
        <f t="shared" si="115"/>
        <v>0</v>
      </c>
      <c r="U47" s="10">
        <f>SUM(H47:H47)</f>
        <v>0</v>
      </c>
      <c r="V47" s="10" t="e">
        <f>SUM(#REF!)</f>
        <v>#REF!</v>
      </c>
      <c r="W47" s="10" t="e">
        <f>SUM(I47:I47)</f>
        <v>#REF!</v>
      </c>
      <c r="X47" s="10" t="e">
        <f>SUM(I47:J47)</f>
        <v>#REF!</v>
      </c>
      <c r="Y47" s="10" t="e">
        <f>SUM(I47:K47)</f>
        <v>#REF!</v>
      </c>
      <c r="Z47" s="10" t="e">
        <f t="shared" ref="Z47:AA47" si="116">SUM(I47:L47)</f>
        <v>#REF!</v>
      </c>
      <c r="AA47" s="10">
        <f t="shared" si="116"/>
        <v>0</v>
      </c>
      <c r="AB47" s="10">
        <f t="shared" si="114"/>
        <v>0</v>
      </c>
      <c r="AC47" s="151">
        <f t="shared" si="114"/>
        <v>0</v>
      </c>
      <c r="AD47" s="151">
        <f t="shared" si="114"/>
        <v>0</v>
      </c>
      <c r="AE47" s="151">
        <f t="shared" si="114"/>
        <v>0</v>
      </c>
      <c r="AF47" s="151">
        <f t="shared" si="114"/>
        <v>0</v>
      </c>
      <c r="AG47" s="151">
        <f t="shared" si="114"/>
        <v>0</v>
      </c>
    </row>
    <row r="48" spans="2:35" ht="12.75" customHeight="1">
      <c r="B48" s="13" t="s">
        <v>43</v>
      </c>
      <c r="C48" s="14">
        <f>SUM(C39+SUM(C41:C47))</f>
        <v>0</v>
      </c>
      <c r="D48" s="14">
        <f>SUM(D39+SUM(D41:D47))</f>
        <v>0</v>
      </c>
      <c r="E48" s="14">
        <f>SUM(E39+SUM(E41:E47))</f>
        <v>0</v>
      </c>
      <c r="F48" s="14">
        <f>SUM(F39+SUM(F41:F47))</f>
        <v>0</v>
      </c>
      <c r="G48" s="14">
        <f>SUM(G39+SUM(G41:G47))</f>
        <v>0</v>
      </c>
      <c r="I48" s="14" t="e">
        <f t="shared" ref="I48:S48" si="117">SUM(I39+SUM(I41:I47))</f>
        <v>#REF!</v>
      </c>
      <c r="J48" s="14">
        <f t="shared" si="117"/>
        <v>0</v>
      </c>
      <c r="K48" s="14">
        <f t="shared" si="117"/>
        <v>0</v>
      </c>
      <c r="L48" s="14">
        <f t="shared" si="117"/>
        <v>0</v>
      </c>
      <c r="M48" s="14">
        <f t="shared" si="117"/>
        <v>0</v>
      </c>
      <c r="N48" s="14">
        <f t="shared" si="117"/>
        <v>0</v>
      </c>
      <c r="O48" s="14">
        <f t="shared" si="117"/>
        <v>0</v>
      </c>
      <c r="P48" s="14">
        <f t="shared" si="117"/>
        <v>0</v>
      </c>
      <c r="Q48" s="14">
        <f t="shared" si="117"/>
        <v>0</v>
      </c>
      <c r="R48" s="14">
        <f t="shared" si="117"/>
        <v>0</v>
      </c>
      <c r="S48" s="14">
        <f t="shared" si="117"/>
        <v>0</v>
      </c>
      <c r="U48" s="14">
        <f t="shared" ref="U48:AG48" si="118">SUM(U39+SUM(U41:U47))</f>
        <v>0</v>
      </c>
      <c r="V48" s="14" t="e">
        <f t="shared" si="118"/>
        <v>#REF!</v>
      </c>
      <c r="W48" s="14" t="e">
        <f t="shared" si="118"/>
        <v>#REF!</v>
      </c>
      <c r="X48" s="14" t="e">
        <f t="shared" si="118"/>
        <v>#REF!</v>
      </c>
      <c r="Y48" s="14" t="e">
        <f t="shared" si="118"/>
        <v>#REF!</v>
      </c>
      <c r="Z48" s="14" t="e">
        <f t="shared" si="118"/>
        <v>#REF!</v>
      </c>
      <c r="AA48" s="14">
        <f t="shared" si="118"/>
        <v>0</v>
      </c>
      <c r="AB48" s="14">
        <f t="shared" si="118"/>
        <v>0</v>
      </c>
      <c r="AC48" s="14">
        <f t="shared" si="118"/>
        <v>0</v>
      </c>
      <c r="AD48" s="14">
        <f t="shared" si="118"/>
        <v>0</v>
      </c>
      <c r="AE48" s="14">
        <f t="shared" si="118"/>
        <v>0</v>
      </c>
      <c r="AF48" s="14">
        <f t="shared" si="118"/>
        <v>0</v>
      </c>
      <c r="AG48" s="14">
        <f t="shared" si="118"/>
        <v>0</v>
      </c>
    </row>
    <row r="49" spans="1:33" ht="5.0999999999999996" customHeight="1"/>
    <row r="50" spans="1:33" ht="12.75" customHeight="1">
      <c r="A50" s="5"/>
      <c r="B50" s="33" t="s">
        <v>44</v>
      </c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 spans="1:33" ht="5.0999999999999996" customHeight="1"/>
    <row r="52" spans="1:33" ht="12.75" customHeight="1">
      <c r="B52" s="8" t="s">
        <v>45</v>
      </c>
      <c r="C52" s="97"/>
      <c r="D52" s="97"/>
      <c r="E52" s="97"/>
      <c r="F52" s="97"/>
      <c r="G52" s="97"/>
      <c r="H52" s="32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U52" s="10" t="e">
        <f>#REF!</f>
        <v>#REF!</v>
      </c>
      <c r="V52" s="10" t="e">
        <f>#REF!</f>
        <v>#REF!</v>
      </c>
      <c r="W52" s="10">
        <f t="shared" ref="W52:AG52" si="119">I52</f>
        <v>0</v>
      </c>
      <c r="X52" s="10">
        <f t="shared" si="119"/>
        <v>0</v>
      </c>
      <c r="Y52" s="10">
        <f t="shared" si="119"/>
        <v>0</v>
      </c>
      <c r="Z52" s="10">
        <f t="shared" si="119"/>
        <v>0</v>
      </c>
      <c r="AA52" s="10">
        <f t="shared" si="119"/>
        <v>0</v>
      </c>
      <c r="AB52" s="10">
        <f t="shared" si="119"/>
        <v>0</v>
      </c>
      <c r="AC52" s="10">
        <f t="shared" si="119"/>
        <v>0</v>
      </c>
      <c r="AD52" s="10">
        <f t="shared" si="119"/>
        <v>0</v>
      </c>
      <c r="AE52" s="10">
        <f t="shared" si="119"/>
        <v>0</v>
      </c>
      <c r="AF52" s="10">
        <f t="shared" si="119"/>
        <v>0</v>
      </c>
      <c r="AG52" s="10">
        <f t="shared" si="119"/>
        <v>0</v>
      </c>
    </row>
    <row r="53" spans="1:33" ht="12.75" customHeight="1">
      <c r="B53" s="8" t="s">
        <v>104</v>
      </c>
      <c r="C53" s="97"/>
      <c r="D53" s="97"/>
      <c r="E53" s="97"/>
      <c r="F53" s="97"/>
      <c r="G53" s="97"/>
      <c r="H53" s="32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U53" s="10"/>
      <c r="V53" s="10"/>
      <c r="W53" s="10"/>
      <c r="X53" s="10"/>
      <c r="Y53" s="10"/>
      <c r="Z53" s="10"/>
      <c r="AA53" s="10"/>
      <c r="AB53" s="10"/>
      <c r="AC53" s="10">
        <f t="shared" ref="AC53:AG54" si="120">O53</f>
        <v>0</v>
      </c>
      <c r="AD53" s="10">
        <f t="shared" si="120"/>
        <v>0</v>
      </c>
      <c r="AE53" s="10">
        <f t="shared" si="120"/>
        <v>0</v>
      </c>
      <c r="AF53" s="10">
        <f t="shared" si="120"/>
        <v>0</v>
      </c>
      <c r="AG53" s="10">
        <f t="shared" si="120"/>
        <v>0</v>
      </c>
    </row>
    <row r="54" spans="1:33" ht="12.75" customHeight="1">
      <c r="B54" s="31" t="s">
        <v>135</v>
      </c>
      <c r="C54" s="83"/>
      <c r="D54" s="83"/>
      <c r="E54" s="83"/>
      <c r="F54" s="83"/>
      <c r="G54" s="83"/>
      <c r="H54" s="97"/>
      <c r="I54" s="83"/>
      <c r="J54" s="83"/>
      <c r="K54" s="83"/>
      <c r="L54" s="10"/>
      <c r="M54" s="83"/>
      <c r="N54" s="83"/>
      <c r="O54" s="83"/>
      <c r="P54" s="10"/>
      <c r="Q54" s="83"/>
      <c r="R54" s="83"/>
      <c r="S54" s="83"/>
      <c r="U54" s="10"/>
      <c r="V54" s="10"/>
      <c r="W54" s="10"/>
      <c r="X54" s="10"/>
      <c r="Y54" s="10"/>
      <c r="Z54" s="10"/>
      <c r="AA54" s="10"/>
      <c r="AB54" s="10"/>
      <c r="AC54" s="10">
        <f t="shared" si="120"/>
        <v>0</v>
      </c>
      <c r="AD54" s="10">
        <f t="shared" si="120"/>
        <v>0</v>
      </c>
      <c r="AE54" s="10">
        <f t="shared" si="120"/>
        <v>0</v>
      </c>
      <c r="AF54" s="10">
        <f t="shared" si="120"/>
        <v>0</v>
      </c>
      <c r="AG54" s="10">
        <f t="shared" si="120"/>
        <v>0</v>
      </c>
    </row>
    <row r="55" spans="1:33" ht="12.75" customHeight="1">
      <c r="B55" s="13" t="s">
        <v>46</v>
      </c>
      <c r="C55" s="14">
        <f>SUM(C52:C54)</f>
        <v>0</v>
      </c>
      <c r="D55" s="14">
        <f>SUM(D52:D54)</f>
        <v>0</v>
      </c>
      <c r="E55" s="14"/>
      <c r="F55" s="14"/>
      <c r="G55" s="14"/>
      <c r="H55" s="32"/>
      <c r="I55" s="14">
        <f t="shared" ref="I55:S55" si="121">SUM(I52:I54)</f>
        <v>0</v>
      </c>
      <c r="J55" s="14">
        <f t="shared" si="121"/>
        <v>0</v>
      </c>
      <c r="K55" s="14">
        <f t="shared" si="121"/>
        <v>0</v>
      </c>
      <c r="L55" s="14">
        <f t="shared" si="121"/>
        <v>0</v>
      </c>
      <c r="M55" s="14">
        <f t="shared" si="121"/>
        <v>0</v>
      </c>
      <c r="N55" s="14">
        <f t="shared" si="121"/>
        <v>0</v>
      </c>
      <c r="O55" s="14">
        <f t="shared" si="121"/>
        <v>0</v>
      </c>
      <c r="P55" s="14">
        <f t="shared" si="121"/>
        <v>0</v>
      </c>
      <c r="Q55" s="14">
        <f t="shared" si="121"/>
        <v>0</v>
      </c>
      <c r="R55" s="14">
        <f t="shared" si="121"/>
        <v>0</v>
      </c>
      <c r="S55" s="14">
        <f t="shared" si="121"/>
        <v>0</v>
      </c>
      <c r="U55" s="14" t="e">
        <f t="shared" ref="U55:AB55" si="122">SUM(U52:U52)</f>
        <v>#REF!</v>
      </c>
      <c r="V55" s="14" t="e">
        <f t="shared" si="122"/>
        <v>#REF!</v>
      </c>
      <c r="W55" s="14">
        <f t="shared" si="122"/>
        <v>0</v>
      </c>
      <c r="X55" s="14">
        <f t="shared" si="122"/>
        <v>0</v>
      </c>
      <c r="Y55" s="14">
        <f t="shared" si="122"/>
        <v>0</v>
      </c>
      <c r="Z55" s="14">
        <f t="shared" si="122"/>
        <v>0</v>
      </c>
      <c r="AA55" s="14">
        <f t="shared" si="122"/>
        <v>0</v>
      </c>
      <c r="AB55" s="14">
        <f t="shared" si="122"/>
        <v>0</v>
      </c>
      <c r="AC55" s="14">
        <f>SUM(AC52:AC54)</f>
        <v>0</v>
      </c>
      <c r="AD55" s="14">
        <f>SUM(AD52:AD54)</f>
        <v>0</v>
      </c>
      <c r="AE55" s="14">
        <f>SUM(AE52:AE54)</f>
        <v>0</v>
      </c>
      <c r="AF55" s="14">
        <f>SUM(AF52:AF54)</f>
        <v>0</v>
      </c>
      <c r="AG55" s="14">
        <f>SUM(AG52:AG54)</f>
        <v>0</v>
      </c>
    </row>
    <row r="56" spans="1:33" ht="5.0999999999999996" customHeight="1"/>
    <row r="57" spans="1:33" ht="12.75" customHeight="1">
      <c r="B57" s="35" t="s">
        <v>47</v>
      </c>
    </row>
    <row r="58" spans="1:33" ht="12.75" customHeight="1">
      <c r="B58" s="8" t="s">
        <v>137</v>
      </c>
      <c r="C58" s="97"/>
      <c r="D58" s="97"/>
      <c r="E58" s="97"/>
      <c r="F58" s="97"/>
      <c r="G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10"/>
      <c r="U58" s="10" t="e">
        <f>#REF!</f>
        <v>#REF!</v>
      </c>
      <c r="V58" s="10" t="e">
        <f>#REF!</f>
        <v>#REF!</v>
      </c>
      <c r="W58" s="10">
        <f t="shared" ref="W58:AE63" si="123">I58</f>
        <v>0</v>
      </c>
      <c r="X58" s="10">
        <f t="shared" si="123"/>
        <v>0</v>
      </c>
      <c r="Y58" s="10">
        <f t="shared" si="123"/>
        <v>0</v>
      </c>
      <c r="Z58" s="10">
        <f t="shared" si="123"/>
        <v>0</v>
      </c>
      <c r="AA58" s="10">
        <f t="shared" si="123"/>
        <v>0</v>
      </c>
      <c r="AB58" s="10">
        <f t="shared" si="123"/>
        <v>0</v>
      </c>
      <c r="AC58" s="10">
        <f t="shared" si="123"/>
        <v>0</v>
      </c>
      <c r="AD58" s="10">
        <f t="shared" si="123"/>
        <v>0</v>
      </c>
      <c r="AE58" s="10">
        <f t="shared" si="123"/>
        <v>0</v>
      </c>
      <c r="AF58" s="10">
        <f t="shared" ref="AF58:AG63" si="124">R58</f>
        <v>0</v>
      </c>
      <c r="AG58" s="10">
        <f t="shared" si="124"/>
        <v>0</v>
      </c>
    </row>
    <row r="59" spans="1:33" ht="12.75" customHeight="1">
      <c r="B59" s="8" t="s">
        <v>127</v>
      </c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U59" s="10" t="e">
        <f>#REF!</f>
        <v>#REF!</v>
      </c>
      <c r="V59" s="10" t="e">
        <f>#REF!</f>
        <v>#REF!</v>
      </c>
      <c r="W59" s="10">
        <f t="shared" si="123"/>
        <v>0</v>
      </c>
      <c r="X59" s="10">
        <f t="shared" si="123"/>
        <v>0</v>
      </c>
      <c r="Y59" s="10">
        <f t="shared" si="123"/>
        <v>0</v>
      </c>
      <c r="Z59" s="10">
        <f t="shared" si="123"/>
        <v>0</v>
      </c>
      <c r="AA59" s="10">
        <f t="shared" si="123"/>
        <v>0</v>
      </c>
      <c r="AB59" s="10">
        <f t="shared" si="123"/>
        <v>0</v>
      </c>
      <c r="AC59" s="10">
        <f t="shared" si="123"/>
        <v>0</v>
      </c>
      <c r="AD59" s="10">
        <f t="shared" si="123"/>
        <v>0</v>
      </c>
      <c r="AE59" s="10">
        <f t="shared" si="123"/>
        <v>0</v>
      </c>
      <c r="AF59" s="10">
        <f t="shared" si="124"/>
        <v>0</v>
      </c>
      <c r="AG59" s="10">
        <f t="shared" si="124"/>
        <v>0</v>
      </c>
    </row>
    <row r="60" spans="1:33" ht="12.75" customHeight="1">
      <c r="B60" s="8" t="s">
        <v>48</v>
      </c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U60" s="10"/>
      <c r="V60" s="10"/>
      <c r="W60" s="10"/>
      <c r="X60" s="10"/>
      <c r="Y60" s="10"/>
      <c r="Z60" s="10"/>
      <c r="AA60" s="10"/>
      <c r="AB60" s="10"/>
      <c r="AC60" s="10">
        <f t="shared" ref="AC60:AC61" si="125">O60</f>
        <v>0</v>
      </c>
      <c r="AD60" s="10">
        <f t="shared" ref="AD60:AD61" si="126">P60</f>
        <v>0</v>
      </c>
      <c r="AE60" s="10">
        <f t="shared" ref="AE60:AE61" si="127">Q60</f>
        <v>0</v>
      </c>
      <c r="AF60" s="10">
        <f t="shared" ref="AF60:AF61" si="128">R60</f>
        <v>0</v>
      </c>
      <c r="AG60" s="10">
        <f t="shared" ref="AG60:AG61" si="129">S60</f>
        <v>0</v>
      </c>
    </row>
    <row r="61" spans="1:33" ht="12.75" customHeight="1">
      <c r="B61" s="8" t="s">
        <v>128</v>
      </c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U61" s="10"/>
      <c r="V61" s="10"/>
      <c r="W61" s="10"/>
      <c r="X61" s="10"/>
      <c r="Y61" s="10"/>
      <c r="Z61" s="10"/>
      <c r="AA61" s="10"/>
      <c r="AB61" s="10"/>
      <c r="AC61" s="10">
        <f t="shared" si="125"/>
        <v>0</v>
      </c>
      <c r="AD61" s="10">
        <f t="shared" si="126"/>
        <v>0</v>
      </c>
      <c r="AE61" s="10">
        <f t="shared" si="127"/>
        <v>0</v>
      </c>
      <c r="AF61" s="10">
        <f t="shared" si="128"/>
        <v>0</v>
      </c>
      <c r="AG61" s="10">
        <f t="shared" si="129"/>
        <v>0</v>
      </c>
    </row>
    <row r="62" spans="1:33" ht="12.75" customHeight="1">
      <c r="B62" s="8" t="s">
        <v>49</v>
      </c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U62" s="10" t="e">
        <f>#REF!</f>
        <v>#REF!</v>
      </c>
      <c r="V62" s="10" t="e">
        <f>#REF!</f>
        <v>#REF!</v>
      </c>
      <c r="W62" s="10">
        <f t="shared" si="123"/>
        <v>0</v>
      </c>
      <c r="X62" s="10">
        <f t="shared" si="123"/>
        <v>0</v>
      </c>
      <c r="Y62" s="10">
        <f t="shared" si="123"/>
        <v>0</v>
      </c>
      <c r="Z62" s="10">
        <f t="shared" si="123"/>
        <v>0</v>
      </c>
      <c r="AA62" s="10">
        <f t="shared" si="123"/>
        <v>0</v>
      </c>
      <c r="AB62" s="10">
        <f t="shared" si="123"/>
        <v>0</v>
      </c>
      <c r="AC62" s="10">
        <f t="shared" si="123"/>
        <v>0</v>
      </c>
      <c r="AD62" s="10">
        <f t="shared" si="123"/>
        <v>0</v>
      </c>
      <c r="AE62" s="10">
        <f t="shared" si="123"/>
        <v>0</v>
      </c>
      <c r="AF62" s="10">
        <f t="shared" si="124"/>
        <v>0</v>
      </c>
      <c r="AG62" s="10">
        <f t="shared" si="124"/>
        <v>0</v>
      </c>
    </row>
    <row r="63" spans="1:33" ht="12.75" customHeight="1">
      <c r="B63" s="8" t="s">
        <v>17</v>
      </c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U63" s="10" t="e">
        <f>#REF!</f>
        <v>#REF!</v>
      </c>
      <c r="V63" s="10" t="e">
        <f>#REF!</f>
        <v>#REF!</v>
      </c>
      <c r="W63" s="10">
        <f t="shared" si="123"/>
        <v>0</v>
      </c>
      <c r="X63" s="10">
        <f t="shared" si="123"/>
        <v>0</v>
      </c>
      <c r="Y63" s="10">
        <f t="shared" si="123"/>
        <v>0</v>
      </c>
      <c r="Z63" s="10">
        <f t="shared" si="123"/>
        <v>0</v>
      </c>
      <c r="AA63" s="10">
        <f t="shared" si="123"/>
        <v>0</v>
      </c>
      <c r="AB63" s="10">
        <f t="shared" si="123"/>
        <v>0</v>
      </c>
      <c r="AC63" s="10">
        <f t="shared" si="123"/>
        <v>0</v>
      </c>
      <c r="AD63" s="10">
        <f t="shared" si="123"/>
        <v>0</v>
      </c>
      <c r="AE63" s="10">
        <f t="shared" si="123"/>
        <v>0</v>
      </c>
      <c r="AF63" s="10">
        <f t="shared" si="124"/>
        <v>0</v>
      </c>
      <c r="AG63" s="10">
        <f t="shared" si="124"/>
        <v>0</v>
      </c>
    </row>
    <row r="64" spans="1:33" ht="5.0999999999999996" customHeight="1">
      <c r="G64" s="10"/>
    </row>
    <row r="65" spans="1:33">
      <c r="B65" s="35" t="s">
        <v>129</v>
      </c>
      <c r="G65" s="10"/>
    </row>
    <row r="66" spans="1:33">
      <c r="B66" s="8" t="s">
        <v>130</v>
      </c>
      <c r="C66" s="97"/>
      <c r="D66" s="97"/>
      <c r="E66" s="97"/>
      <c r="F66" s="97"/>
      <c r="G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AC66" s="10">
        <f t="shared" ref="AC66:AC67" si="130">O66</f>
        <v>0</v>
      </c>
      <c r="AD66" s="10">
        <f t="shared" ref="AD66:AD67" si="131">P66</f>
        <v>0</v>
      </c>
      <c r="AE66" s="10">
        <f t="shared" ref="AE66:AE67" si="132">Q66</f>
        <v>0</v>
      </c>
      <c r="AF66" s="10">
        <f t="shared" ref="AF66:AF67" si="133">R66</f>
        <v>0</v>
      </c>
      <c r="AG66" s="10">
        <f t="shared" ref="AG66:AG67" si="134">S66</f>
        <v>0</v>
      </c>
    </row>
    <row r="67" spans="1:33">
      <c r="B67" s="8" t="s">
        <v>131</v>
      </c>
      <c r="C67" s="97"/>
      <c r="D67" s="97"/>
      <c r="E67" s="97"/>
      <c r="F67" s="97"/>
      <c r="G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AC67" s="10">
        <f t="shared" si="130"/>
        <v>0</v>
      </c>
      <c r="AD67" s="10">
        <f t="shared" si="131"/>
        <v>0</v>
      </c>
      <c r="AE67" s="10">
        <f t="shared" si="132"/>
        <v>0</v>
      </c>
      <c r="AF67" s="10">
        <f t="shared" si="133"/>
        <v>0</v>
      </c>
      <c r="AG67" s="10">
        <f t="shared" si="134"/>
        <v>0</v>
      </c>
    </row>
    <row r="68" spans="1:33">
      <c r="G68" s="10"/>
    </row>
    <row r="69" spans="1:33">
      <c r="B69" s="31" t="s">
        <v>136</v>
      </c>
      <c r="C69" s="83"/>
      <c r="D69" s="83"/>
      <c r="E69" s="83"/>
      <c r="F69" s="83"/>
      <c r="G69" s="83"/>
      <c r="I69" s="83"/>
      <c r="J69" s="83"/>
      <c r="K69" s="83"/>
      <c r="L69" s="10"/>
      <c r="M69" s="83"/>
      <c r="N69" s="83"/>
      <c r="O69" s="83"/>
      <c r="P69" s="10"/>
      <c r="Q69" s="83"/>
      <c r="R69" s="83"/>
      <c r="S69" s="83"/>
      <c r="U69" s="10" t="e">
        <f>#REF!</f>
        <v>#REF!</v>
      </c>
      <c r="V69" s="10" t="e">
        <f>#REF!</f>
        <v>#REF!</v>
      </c>
      <c r="W69" s="10">
        <f t="shared" ref="W69" si="135">I69</f>
        <v>0</v>
      </c>
      <c r="X69" s="10">
        <f t="shared" ref="X69" si="136">J69</f>
        <v>0</v>
      </c>
      <c r="Y69" s="10">
        <f t="shared" ref="Y69" si="137">K69</f>
        <v>0</v>
      </c>
      <c r="Z69" s="10">
        <f t="shared" ref="Z69" si="138">L69</f>
        <v>0</v>
      </c>
      <c r="AA69" s="10">
        <f t="shared" ref="AA69" si="139">M69</f>
        <v>0</v>
      </c>
      <c r="AB69" s="10">
        <f t="shared" ref="AB69" si="140">N69</f>
        <v>0</v>
      </c>
      <c r="AC69" s="10">
        <f t="shared" ref="AC69" si="141">O69</f>
        <v>0</v>
      </c>
      <c r="AD69" s="10">
        <f t="shared" ref="AD69" si="142">P69</f>
        <v>0</v>
      </c>
      <c r="AE69" s="10">
        <f t="shared" ref="AE69" si="143">Q69</f>
        <v>0</v>
      </c>
      <c r="AF69" s="10">
        <f t="shared" ref="AF69" si="144">R69</f>
        <v>0</v>
      </c>
      <c r="AG69" s="10">
        <f t="shared" ref="AG69" si="145">S69</f>
        <v>0</v>
      </c>
    </row>
    <row r="70" spans="1:33" ht="12.75" customHeight="1">
      <c r="B70" s="31" t="s">
        <v>133</v>
      </c>
      <c r="C70" s="97"/>
      <c r="D70" s="97"/>
      <c r="E70" s="97"/>
      <c r="F70" s="97"/>
      <c r="G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U70" s="10" t="e">
        <f>#REF!</f>
        <v>#REF!</v>
      </c>
      <c r="V70" s="10" t="e">
        <f>#REF!</f>
        <v>#REF!</v>
      </c>
      <c r="W70" s="10">
        <f t="shared" ref="W70:AG70" si="146">I70</f>
        <v>0</v>
      </c>
      <c r="X70" s="10">
        <f t="shared" si="146"/>
        <v>0</v>
      </c>
      <c r="Y70" s="10">
        <f t="shared" si="146"/>
        <v>0</v>
      </c>
      <c r="Z70" s="10">
        <f t="shared" si="146"/>
        <v>0</v>
      </c>
      <c r="AA70" s="10">
        <f t="shared" si="146"/>
        <v>0</v>
      </c>
      <c r="AB70" s="10">
        <f t="shared" si="146"/>
        <v>0</v>
      </c>
      <c r="AC70" s="10">
        <f t="shared" si="146"/>
        <v>0</v>
      </c>
      <c r="AD70" s="10">
        <f t="shared" si="146"/>
        <v>0</v>
      </c>
      <c r="AE70" s="10">
        <f t="shared" si="146"/>
        <v>0</v>
      </c>
      <c r="AF70" s="10">
        <f t="shared" si="146"/>
        <v>0</v>
      </c>
      <c r="AG70" s="10">
        <f t="shared" si="146"/>
        <v>0</v>
      </c>
    </row>
    <row r="71" spans="1:33" ht="12.75" customHeight="1">
      <c r="B71" s="13" t="s">
        <v>24</v>
      </c>
      <c r="C71" s="14">
        <f>SUM(C70:C70)</f>
        <v>0</v>
      </c>
      <c r="D71" s="14">
        <f>SUM(D70:D70)</f>
        <v>0</v>
      </c>
      <c r="E71" s="14">
        <f>SUM(E70:E70)</f>
        <v>0</v>
      </c>
      <c r="F71" s="14">
        <f>SUM(F70:F70)</f>
        <v>0</v>
      </c>
      <c r="G71" s="14">
        <f>SUM(G70:G70)</f>
        <v>0</v>
      </c>
      <c r="I71" s="14">
        <f t="shared" ref="I71:S71" si="147">SUM(I70:I70)</f>
        <v>0</v>
      </c>
      <c r="J71" s="14">
        <f t="shared" si="147"/>
        <v>0</v>
      </c>
      <c r="K71" s="14">
        <f t="shared" si="147"/>
        <v>0</v>
      </c>
      <c r="L71" s="14">
        <f t="shared" si="147"/>
        <v>0</v>
      </c>
      <c r="M71" s="14">
        <f t="shared" si="147"/>
        <v>0</v>
      </c>
      <c r="N71" s="14">
        <f t="shared" si="147"/>
        <v>0</v>
      </c>
      <c r="O71" s="14">
        <f t="shared" si="147"/>
        <v>0</v>
      </c>
      <c r="P71" s="14">
        <f t="shared" si="147"/>
        <v>0</v>
      </c>
      <c r="Q71" s="14">
        <f t="shared" si="147"/>
        <v>0</v>
      </c>
      <c r="R71" s="14">
        <f t="shared" si="147"/>
        <v>0</v>
      </c>
      <c r="S71" s="14">
        <f t="shared" si="147"/>
        <v>0</v>
      </c>
      <c r="U71" s="14" t="e">
        <f t="shared" ref="U71:AG71" si="148">SUM(U70:U70)</f>
        <v>#REF!</v>
      </c>
      <c r="V71" s="14" t="e">
        <f t="shared" si="148"/>
        <v>#REF!</v>
      </c>
      <c r="W71" s="14">
        <f t="shared" si="148"/>
        <v>0</v>
      </c>
      <c r="X71" s="14">
        <f t="shared" si="148"/>
        <v>0</v>
      </c>
      <c r="Y71" s="14">
        <f t="shared" si="148"/>
        <v>0</v>
      </c>
      <c r="Z71" s="14">
        <f t="shared" si="148"/>
        <v>0</v>
      </c>
      <c r="AA71" s="14">
        <f t="shared" si="148"/>
        <v>0</v>
      </c>
      <c r="AB71" s="14">
        <f t="shared" si="148"/>
        <v>0</v>
      </c>
      <c r="AC71" s="14">
        <f t="shared" si="148"/>
        <v>0</v>
      </c>
      <c r="AD71" s="14">
        <f t="shared" si="148"/>
        <v>0</v>
      </c>
      <c r="AE71" s="14">
        <f t="shared" si="148"/>
        <v>0</v>
      </c>
      <c r="AF71" s="14">
        <f t="shared" si="148"/>
        <v>0</v>
      </c>
      <c r="AG71" s="14">
        <f t="shared" si="148"/>
        <v>0</v>
      </c>
    </row>
    <row r="72" spans="1:33" ht="5.0999999999999996" customHeight="1"/>
    <row r="73" spans="1:33" ht="12.75" customHeight="1">
      <c r="B73" s="8" t="s">
        <v>50</v>
      </c>
      <c r="C73" s="150"/>
      <c r="D73" s="150"/>
      <c r="E73" s="150"/>
      <c r="F73" s="150"/>
      <c r="G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U73" s="10" t="e">
        <f>#REF!</f>
        <v>#REF!</v>
      </c>
      <c r="V73" s="10" t="e">
        <f>#REF!</f>
        <v>#REF!</v>
      </c>
      <c r="W73" s="10">
        <f t="shared" ref="W73:AG73" si="149">I73</f>
        <v>0</v>
      </c>
      <c r="X73" s="10">
        <f t="shared" si="149"/>
        <v>0</v>
      </c>
      <c r="Y73" s="10">
        <f t="shared" si="149"/>
        <v>0</v>
      </c>
      <c r="Z73" s="10">
        <f t="shared" si="149"/>
        <v>0</v>
      </c>
      <c r="AA73" s="10">
        <f t="shared" si="149"/>
        <v>0</v>
      </c>
      <c r="AB73" s="10">
        <f t="shared" si="149"/>
        <v>0</v>
      </c>
      <c r="AC73" s="151">
        <f t="shared" si="149"/>
        <v>0</v>
      </c>
      <c r="AD73" s="151">
        <f t="shared" si="149"/>
        <v>0</v>
      </c>
      <c r="AE73" s="151">
        <f t="shared" si="149"/>
        <v>0</v>
      </c>
      <c r="AF73" s="151">
        <f t="shared" si="149"/>
        <v>0</v>
      </c>
      <c r="AG73" s="151">
        <f t="shared" si="149"/>
        <v>0</v>
      </c>
    </row>
    <row r="74" spans="1:33" ht="12.75" customHeight="1">
      <c r="B74" s="13" t="s">
        <v>51</v>
      </c>
      <c r="C74" s="14">
        <f>SUM(C71:C73)</f>
        <v>0</v>
      </c>
      <c r="D74" s="14">
        <f>SUM(D71:D73)</f>
        <v>0</v>
      </c>
      <c r="E74" s="14">
        <f>SUM(E71:E73)</f>
        <v>0</v>
      </c>
      <c r="F74" s="14">
        <f>SUM(F71:F73)</f>
        <v>0</v>
      </c>
      <c r="G74" s="14">
        <f>SUM(G71:G73)</f>
        <v>0</v>
      </c>
      <c r="I74" s="14">
        <f t="shared" ref="I74:N74" si="150">SUM(I71:I73)</f>
        <v>0</v>
      </c>
      <c r="J74" s="14">
        <f t="shared" si="150"/>
        <v>0</v>
      </c>
      <c r="K74" s="14">
        <f t="shared" si="150"/>
        <v>0</v>
      </c>
      <c r="L74" s="14">
        <f t="shared" si="150"/>
        <v>0</v>
      </c>
      <c r="M74" s="14">
        <f t="shared" si="150"/>
        <v>0</v>
      </c>
      <c r="N74" s="14">
        <f t="shared" si="150"/>
        <v>0</v>
      </c>
      <c r="O74" s="14">
        <f>SUM(O71:O73)</f>
        <v>0</v>
      </c>
      <c r="P74" s="14">
        <f>SUM(P71:P73)</f>
        <v>0</v>
      </c>
      <c r="Q74" s="14">
        <f>SUM(Q71:Q73)</f>
        <v>0</v>
      </c>
      <c r="R74" s="14">
        <f>SUM(R71:R73)</f>
        <v>0</v>
      </c>
      <c r="S74" s="14">
        <f>SUM(S71:S73)</f>
        <v>0</v>
      </c>
      <c r="U74" s="14" t="e">
        <f t="shared" ref="U74:AE74" si="151">SUM(U71:U73)</f>
        <v>#REF!</v>
      </c>
      <c r="V74" s="14" t="e">
        <f t="shared" si="151"/>
        <v>#REF!</v>
      </c>
      <c r="W74" s="14">
        <f t="shared" si="151"/>
        <v>0</v>
      </c>
      <c r="X74" s="14">
        <f t="shared" si="151"/>
        <v>0</v>
      </c>
      <c r="Y74" s="14">
        <f t="shared" si="151"/>
        <v>0</v>
      </c>
      <c r="Z74" s="14">
        <f t="shared" si="151"/>
        <v>0</v>
      </c>
      <c r="AA74" s="14">
        <f t="shared" si="151"/>
        <v>0</v>
      </c>
      <c r="AB74" s="14">
        <f t="shared" si="151"/>
        <v>0</v>
      </c>
      <c r="AC74" s="14">
        <f t="shared" si="151"/>
        <v>0</v>
      </c>
      <c r="AD74" s="14">
        <f t="shared" si="151"/>
        <v>0</v>
      </c>
      <c r="AE74" s="14">
        <f t="shared" si="151"/>
        <v>0</v>
      </c>
      <c r="AF74" s="14">
        <f>SUM(AF71:AF73)</f>
        <v>0</v>
      </c>
      <c r="AG74" s="14">
        <f>SUM(AG71:AG73)</f>
        <v>0</v>
      </c>
    </row>
    <row r="75" spans="1:33" ht="5.0999999999999996" customHeight="1"/>
    <row r="76" spans="1:33" ht="12.75" customHeight="1">
      <c r="A76" s="5"/>
      <c r="B76" s="33" t="s">
        <v>74</v>
      </c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 spans="1:33" ht="5.0999999999999996" customHeight="1"/>
    <row r="78" spans="1:33" ht="12.75" customHeight="1">
      <c r="B78" s="31" t="s">
        <v>106</v>
      </c>
      <c r="C78" s="85" t="e">
        <f>C71/C32</f>
        <v>#DIV/0!</v>
      </c>
      <c r="D78" s="85" t="e">
        <f>D71/D32</f>
        <v>#DIV/0!</v>
      </c>
      <c r="E78" s="85" t="e">
        <f>E71/E32</f>
        <v>#DIV/0!</v>
      </c>
      <c r="F78" s="85" t="e">
        <f>F71/F32</f>
        <v>#DIV/0!</v>
      </c>
      <c r="G78" s="85" t="e">
        <f>G71/G32</f>
        <v>#DIV/0!</v>
      </c>
      <c r="I78" s="85" t="e">
        <f>SUM(I71/SUM(I32:I32))</f>
        <v>#DIV/0!</v>
      </c>
      <c r="J78" s="85" t="e">
        <f>SUM(J71/SUM(I32:J32))</f>
        <v>#DIV/0!</v>
      </c>
      <c r="K78" s="85" t="e">
        <f>SUM(K71/SUM(I32:K32))</f>
        <v>#DIV/0!</v>
      </c>
      <c r="L78" s="85" t="e">
        <f t="shared" ref="L78:S78" si="152">SUM(L71/SUM(I32:L32))</f>
        <v>#DIV/0!</v>
      </c>
      <c r="M78" s="85" t="e">
        <f t="shared" si="152"/>
        <v>#DIV/0!</v>
      </c>
      <c r="N78" s="85" t="e">
        <f t="shared" si="152"/>
        <v>#DIV/0!</v>
      </c>
      <c r="O78" s="85" t="e">
        <f t="shared" si="152"/>
        <v>#DIV/0!</v>
      </c>
      <c r="P78" s="85" t="e">
        <f t="shared" si="152"/>
        <v>#DIV/0!</v>
      </c>
      <c r="Q78" s="85" t="e">
        <f t="shared" si="152"/>
        <v>#DIV/0!</v>
      </c>
      <c r="R78" s="85" t="e">
        <f t="shared" si="152"/>
        <v>#DIV/0!</v>
      </c>
      <c r="S78" s="85" t="e">
        <f t="shared" si="152"/>
        <v>#DIV/0!</v>
      </c>
      <c r="T78" s="85"/>
      <c r="U78" s="85" t="e">
        <f t="shared" ref="U78:AG78" si="153">U71/U32</f>
        <v>#REF!</v>
      </c>
      <c r="V78" s="85" t="e">
        <f t="shared" si="153"/>
        <v>#REF!</v>
      </c>
      <c r="W78" s="85" t="e">
        <f t="shared" si="153"/>
        <v>#DIV/0!</v>
      </c>
      <c r="X78" s="85" t="e">
        <f t="shared" si="153"/>
        <v>#DIV/0!</v>
      </c>
      <c r="Y78" s="85" t="e">
        <f t="shared" si="153"/>
        <v>#DIV/0!</v>
      </c>
      <c r="Z78" s="85" t="e">
        <f t="shared" si="153"/>
        <v>#DIV/0!</v>
      </c>
      <c r="AA78" s="85" t="e">
        <f t="shared" si="153"/>
        <v>#DIV/0!</v>
      </c>
      <c r="AB78" s="85" t="e">
        <f t="shared" si="153"/>
        <v>#DIV/0!</v>
      </c>
      <c r="AC78" s="85" t="e">
        <f t="shared" si="153"/>
        <v>#DIV/0!</v>
      </c>
      <c r="AD78" s="85" t="e">
        <f t="shared" si="153"/>
        <v>#DIV/0!</v>
      </c>
      <c r="AE78" s="85" t="e">
        <f t="shared" si="153"/>
        <v>#DIV/0!</v>
      </c>
      <c r="AF78" s="85" t="e">
        <f t="shared" si="153"/>
        <v>#DIV/0!</v>
      </c>
      <c r="AG78" s="85" t="e">
        <f t="shared" si="153"/>
        <v>#DIV/0!</v>
      </c>
    </row>
    <row r="79" spans="1:33" ht="12.75" customHeight="1">
      <c r="B79" s="31" t="s">
        <v>107</v>
      </c>
      <c r="C79" s="85" t="e">
        <f>SUM(C71-C52)/C32</f>
        <v>#DIV/0!</v>
      </c>
      <c r="D79" s="85" t="e">
        <f>SUM(D71-D52)/D32</f>
        <v>#DIV/0!</v>
      </c>
      <c r="E79" s="85" t="e">
        <f>SUM(E71-E52)/E32</f>
        <v>#DIV/0!</v>
      </c>
      <c r="F79" s="85" t="e">
        <f>SUM(F71-F52)/F32</f>
        <v>#DIV/0!</v>
      </c>
      <c r="G79" s="85" t="e">
        <f>SUM(G71-G52)/G32</f>
        <v>#DIV/0!</v>
      </c>
      <c r="I79" s="85" t="e">
        <f>SUM(I71-I52)/SUM(I32:I32)</f>
        <v>#DIV/0!</v>
      </c>
      <c r="J79" s="85" t="e">
        <f>SUM(J71-J52)/SUM(I32:J32)</f>
        <v>#DIV/0!</v>
      </c>
      <c r="K79" s="85" t="e">
        <f>SUM(K71-K52)/SUM(I32:K32)</f>
        <v>#DIV/0!</v>
      </c>
      <c r="L79" s="85" t="e">
        <f t="shared" ref="L79:S79" si="154">SUM(L71-L52)/SUM(I32:L32)</f>
        <v>#DIV/0!</v>
      </c>
      <c r="M79" s="85" t="e">
        <f t="shared" si="154"/>
        <v>#DIV/0!</v>
      </c>
      <c r="N79" s="85" t="e">
        <f t="shared" si="154"/>
        <v>#DIV/0!</v>
      </c>
      <c r="O79" s="85" t="e">
        <f t="shared" si="154"/>
        <v>#DIV/0!</v>
      </c>
      <c r="P79" s="85" t="e">
        <f t="shared" si="154"/>
        <v>#DIV/0!</v>
      </c>
      <c r="Q79" s="85" t="e">
        <f t="shared" si="154"/>
        <v>#DIV/0!</v>
      </c>
      <c r="R79" s="85" t="e">
        <f t="shared" si="154"/>
        <v>#DIV/0!</v>
      </c>
      <c r="S79" s="85" t="e">
        <f t="shared" si="154"/>
        <v>#DIV/0!</v>
      </c>
      <c r="T79" s="85"/>
      <c r="U79" s="85" t="e">
        <f t="shared" ref="U79:AG79" si="155">SUM(U71-U52)/U32</f>
        <v>#REF!</v>
      </c>
      <c r="V79" s="85" t="e">
        <f t="shared" si="155"/>
        <v>#REF!</v>
      </c>
      <c r="W79" s="85" t="e">
        <f t="shared" si="155"/>
        <v>#DIV/0!</v>
      </c>
      <c r="X79" s="85" t="e">
        <f t="shared" si="155"/>
        <v>#DIV/0!</v>
      </c>
      <c r="Y79" s="85" t="e">
        <f t="shared" si="155"/>
        <v>#DIV/0!</v>
      </c>
      <c r="Z79" s="85" t="e">
        <f t="shared" si="155"/>
        <v>#DIV/0!</v>
      </c>
      <c r="AA79" s="85" t="e">
        <f t="shared" si="155"/>
        <v>#DIV/0!</v>
      </c>
      <c r="AB79" s="85" t="e">
        <f t="shared" si="155"/>
        <v>#DIV/0!</v>
      </c>
      <c r="AC79" s="85" t="e">
        <f t="shared" si="155"/>
        <v>#DIV/0!</v>
      </c>
      <c r="AD79" s="85" t="e">
        <f t="shared" si="155"/>
        <v>#DIV/0!</v>
      </c>
      <c r="AE79" s="85" t="e">
        <f t="shared" si="155"/>
        <v>#DIV/0!</v>
      </c>
      <c r="AF79" s="85" t="e">
        <f t="shared" si="155"/>
        <v>#DIV/0!</v>
      </c>
      <c r="AG79" s="85" t="e">
        <f t="shared" si="155"/>
        <v>#DIV/0!</v>
      </c>
    </row>
    <row r="80" spans="1:33" ht="12.75" customHeight="1">
      <c r="B80" s="31" t="s">
        <v>108</v>
      </c>
      <c r="C80" s="85" t="e">
        <f>C32/-C37</f>
        <v>#DIV/0!</v>
      </c>
      <c r="D80" s="85" t="e">
        <f>D32/-D37</f>
        <v>#DIV/0!</v>
      </c>
      <c r="E80" s="85" t="e">
        <f>E32/-E37</f>
        <v>#DIV/0!</v>
      </c>
      <c r="F80" s="85" t="e">
        <f>F32/-F37</f>
        <v>#DIV/0!</v>
      </c>
      <c r="G80" s="85" t="e">
        <f>G32/-G37</f>
        <v>#DIV/0!</v>
      </c>
      <c r="I80" s="85" t="e" cm="1">
        <f t="array" ref="I80">SUM(I32:I32)/SUM(-I37:I37)</f>
        <v>#DIV/0!</v>
      </c>
      <c r="J80" s="85" t="e" cm="1">
        <f t="array" ref="J80">SUM(I32:J32)/SUM(-I37:J37)</f>
        <v>#DIV/0!</v>
      </c>
      <c r="K80" s="85" t="e" cm="1">
        <f t="array" ref="K80">SUM(I32:K32)/SUM(-I37:K37)</f>
        <v>#DIV/0!</v>
      </c>
      <c r="L80" s="85" t="e" cm="1">
        <f t="array" ref="L80">SUM(I32:L32)/SUM(-I37:L37)</f>
        <v>#DIV/0!</v>
      </c>
      <c r="M80" s="85" t="e" cm="1">
        <f t="array" ref="M80">SUM(J32:M32)/SUM(-J37:M37)</f>
        <v>#DIV/0!</v>
      </c>
      <c r="N80" s="85" t="e" cm="1">
        <f t="array" ref="N80">SUM(K32:N32)/SUM(-K37:N37)</f>
        <v>#DIV/0!</v>
      </c>
      <c r="O80" s="85" t="e" cm="1">
        <f t="array" ref="O80">SUM(L32:O32)/SUM(-L37:O37)</f>
        <v>#DIV/0!</v>
      </c>
      <c r="P80" s="85" t="e" cm="1">
        <f t="array" ref="P80">SUM(M32:P32)/SUM(-M37:P37)</f>
        <v>#DIV/0!</v>
      </c>
      <c r="Q80" s="85" t="e" cm="1">
        <f t="array" ref="Q80">SUM(N32:Q32)/SUM(-N37:Q37)</f>
        <v>#DIV/0!</v>
      </c>
      <c r="R80" s="85" t="e" cm="1">
        <f t="array" ref="R80">SUM(O32:R32)/SUM(-O37:R37)</f>
        <v>#DIV/0!</v>
      </c>
      <c r="S80" s="85" t="e" cm="1">
        <f t="array" ref="S80">SUM(P32:S32)/SUM(-P37:S37)</f>
        <v>#DIV/0!</v>
      </c>
      <c r="T80" s="85"/>
      <c r="U80" s="85" t="e">
        <f t="shared" ref="U80:AG80" si="156">U32/-U37</f>
        <v>#DIV/0!</v>
      </c>
      <c r="V80" s="85" t="e">
        <f t="shared" si="156"/>
        <v>#REF!</v>
      </c>
      <c r="W80" s="85" t="e">
        <f t="shared" si="156"/>
        <v>#DIV/0!</v>
      </c>
      <c r="X80" s="85" t="e">
        <f t="shared" si="156"/>
        <v>#DIV/0!</v>
      </c>
      <c r="Y80" s="85" t="e">
        <f t="shared" si="156"/>
        <v>#DIV/0!</v>
      </c>
      <c r="Z80" s="85" t="e">
        <f t="shared" si="156"/>
        <v>#DIV/0!</v>
      </c>
      <c r="AA80" s="85" t="e">
        <f t="shared" si="156"/>
        <v>#DIV/0!</v>
      </c>
      <c r="AB80" s="85" t="e">
        <f t="shared" si="156"/>
        <v>#DIV/0!</v>
      </c>
      <c r="AC80" s="85" t="e">
        <f t="shared" si="156"/>
        <v>#DIV/0!</v>
      </c>
      <c r="AD80" s="85" t="e">
        <f t="shared" si="156"/>
        <v>#DIV/0!</v>
      </c>
      <c r="AE80" s="85" t="e">
        <f t="shared" si="156"/>
        <v>#DIV/0!</v>
      </c>
      <c r="AF80" s="85" t="e">
        <f t="shared" si="156"/>
        <v>#DIV/0!</v>
      </c>
      <c r="AG80" s="85" t="e">
        <f t="shared" si="156"/>
        <v>#DIV/0!</v>
      </c>
    </row>
    <row r="81" spans="2:33" ht="12.75" customHeight="1">
      <c r="B81" s="31" t="s">
        <v>109</v>
      </c>
      <c r="C81" s="85" t="e" cm="1">
        <f t="array" ref="C81">SUM(C32+C35)/SUM(-C36:C37)</f>
        <v>#DIV/0!</v>
      </c>
      <c r="D81" s="85" t="e" cm="1">
        <f t="array" ref="D81">SUM(D32+D35)/SUM(-D36:D37)</f>
        <v>#DIV/0!</v>
      </c>
      <c r="E81" s="85" t="e" cm="1">
        <f t="array" ref="E81">SUM(E32+E35)/SUM(-E36:E37)</f>
        <v>#DIV/0!</v>
      </c>
      <c r="F81" s="85" t="e" cm="1">
        <f t="array" ref="F81">SUM(F32+F35)/SUM(-F36:F37)</f>
        <v>#DIV/0!</v>
      </c>
      <c r="G81" s="85" t="e" cm="1">
        <f t="array" ref="G81">SUM(G32+G35)/SUM(-G36:G37)</f>
        <v>#DIV/0!</v>
      </c>
      <c r="I81" s="85" t="e" cm="1">
        <f t="array" ref="I81">SUM(I32:I32+I35:I35)/SUM(-I36:I37)</f>
        <v>#DIV/0!</v>
      </c>
      <c r="J81" s="85" t="e" cm="1">
        <f t="array" ref="J81">SUM(I32:J32+I35:J35)/SUM(-I36:J37)</f>
        <v>#DIV/0!</v>
      </c>
      <c r="K81" s="85" t="e" cm="1">
        <f t="array" ref="K81">SUM(I32:K32+I35:K35)/SUM(-I36:K37)</f>
        <v>#DIV/0!</v>
      </c>
      <c r="L81" s="85" t="e" cm="1">
        <f t="array" ref="L81">SUM(I32:L32+I35:L35)/SUM(-I36:L37)</f>
        <v>#DIV/0!</v>
      </c>
      <c r="M81" s="85" t="e" cm="1">
        <f t="array" ref="M81">SUM(J32:M32+J35:M35)/SUM(-J36:M37)</f>
        <v>#DIV/0!</v>
      </c>
      <c r="N81" s="85" t="e" cm="1">
        <f t="array" ref="N81">SUM(K32:N32+K35:N35)/SUM(-K36:N37)</f>
        <v>#DIV/0!</v>
      </c>
      <c r="O81" s="85" t="e" cm="1">
        <f t="array" ref="O81">SUM(L32:O32+L35:O35)/SUM(-L36:O37)</f>
        <v>#DIV/0!</v>
      </c>
      <c r="P81" s="85" t="e" cm="1">
        <f t="array" ref="P81">SUM(M32:P32+M35:P35)/SUM(-M36:P37)</f>
        <v>#DIV/0!</v>
      </c>
      <c r="Q81" s="85" t="e" cm="1">
        <f t="array" ref="Q81">SUM(N32:Q32+N35:Q35)/SUM(-N36:Q37)</f>
        <v>#DIV/0!</v>
      </c>
      <c r="R81" s="85" t="e" cm="1">
        <f t="array" ref="R81">SUM(O32:R32+O35:R35)/SUM(-O36:R37)</f>
        <v>#DIV/0!</v>
      </c>
      <c r="S81" s="85" t="e" cm="1">
        <f t="array" ref="S81">SUM(P32:S32+P35:S35)/SUM(-P36:S37)</f>
        <v>#DIV/0!</v>
      </c>
      <c r="T81" s="85"/>
      <c r="U81" s="85" t="e" cm="1">
        <f t="array" ref="U81">SUM(U32+U35)/SUM(-U36:U37)</f>
        <v>#DIV/0!</v>
      </c>
      <c r="V81" s="85" t="e" cm="1">
        <f t="array" ref="V81">SUM(V32+V35)/SUM(-V36:V37)</f>
        <v>#REF!</v>
      </c>
      <c r="W81" s="85" t="e" cm="1">
        <f t="array" ref="W81">SUM(W32+W35)/SUM(-W36:W37)</f>
        <v>#DIV/0!</v>
      </c>
      <c r="X81" s="85" t="e" cm="1">
        <f t="array" ref="X81">SUM(X32+X35)/SUM(-X36:X37)</f>
        <v>#DIV/0!</v>
      </c>
      <c r="Y81" s="85" t="e" cm="1">
        <f t="array" ref="Y81">SUM(Y32+Y35)/SUM(-Y36:Y37)</f>
        <v>#DIV/0!</v>
      </c>
      <c r="Z81" s="85" t="e" cm="1">
        <f t="array" ref="Z81">SUM(Z32+Z35)/SUM(-Z36:Z37)</f>
        <v>#DIV/0!</v>
      </c>
      <c r="AA81" s="85" t="e" cm="1">
        <f t="array" ref="AA81">SUM(AA32+AA35)/SUM(-AA36:AA37)</f>
        <v>#DIV/0!</v>
      </c>
      <c r="AB81" s="85" t="e" cm="1">
        <f t="array" ref="AB81">SUM(AB32+AB35)/SUM(-AB36:AB37)</f>
        <v>#DIV/0!</v>
      </c>
      <c r="AC81" s="85" t="e" cm="1">
        <f t="array" ref="AC81">SUM(AC32+AC35)/SUM(-AC36:AC37)</f>
        <v>#DIV/0!</v>
      </c>
      <c r="AD81" s="85" t="e" cm="1">
        <f t="array" ref="AD81">SUM(AD32+AD35)/SUM(-AD36:AD37)</f>
        <v>#DIV/0!</v>
      </c>
      <c r="AE81" s="85" t="e" cm="1">
        <f t="array" ref="AE81">SUM(AE32+AE35)/SUM(-AE36:AE37)</f>
        <v>#DIV/0!</v>
      </c>
      <c r="AF81" s="85" t="e" cm="1">
        <f t="array" ref="AF81">SUM(AF32+AF35)/SUM(-AF36:AF37)</f>
        <v>#DIV/0!</v>
      </c>
      <c r="AG81" s="85" t="e" cm="1">
        <f t="array" ref="AG81">SUM(AG32+AG35)/SUM(-AG36:AG37)</f>
        <v>#DIV/0!</v>
      </c>
    </row>
    <row r="82" spans="2:33" ht="12.75" customHeight="1">
      <c r="B82" s="31" t="s">
        <v>110</v>
      </c>
      <c r="C82" s="85" t="e" cm="1">
        <f t="array" ref="C82">SUM(C32)/SUM(-C35:C37)</f>
        <v>#DIV/0!</v>
      </c>
      <c r="D82" s="85" t="e" cm="1">
        <f t="array" ref="D82">SUM(D32)/SUM(-D35:D37)</f>
        <v>#DIV/0!</v>
      </c>
      <c r="E82" s="85" t="e" cm="1">
        <f t="array" ref="E82">SUM(E32)/SUM(-E35:E37)</f>
        <v>#DIV/0!</v>
      </c>
      <c r="F82" s="85" t="e" cm="1">
        <f t="array" ref="F82">SUM(F32)/SUM(-F35:F37)</f>
        <v>#DIV/0!</v>
      </c>
      <c r="G82" s="85" t="e" cm="1">
        <f t="array" ref="G82">SUM(G32)/SUM(-G35:G37)</f>
        <v>#DIV/0!</v>
      </c>
      <c r="I82" s="85" t="e" cm="1">
        <f t="array" ref="I82">SUM(I32:I32)/SUM(-I35:I37)</f>
        <v>#DIV/0!</v>
      </c>
      <c r="J82" s="85" t="e" cm="1">
        <f t="array" ref="J82">SUM(I32:J32)/SUM(-I35:J37)</f>
        <v>#DIV/0!</v>
      </c>
      <c r="K82" s="85" t="e" cm="1">
        <f t="array" ref="K82">SUM(I32:K32)/SUM(-I35:K37)</f>
        <v>#DIV/0!</v>
      </c>
      <c r="L82" s="85" t="e" cm="1">
        <f t="array" ref="L82">SUM(I32:L32)/SUM(-I35:L37)</f>
        <v>#DIV/0!</v>
      </c>
      <c r="M82" s="85" t="e" cm="1">
        <f t="array" ref="M82">SUM(J32:M32)/SUM(-J35:M37)</f>
        <v>#DIV/0!</v>
      </c>
      <c r="N82" s="85" t="e" cm="1">
        <f t="array" ref="N82">SUM(K32:N32)/SUM(-K35:N37)</f>
        <v>#DIV/0!</v>
      </c>
      <c r="O82" s="85" t="e" cm="1">
        <f t="array" ref="O82">SUM(L32:O32)/SUM(-L35:O37)</f>
        <v>#DIV/0!</v>
      </c>
      <c r="P82" s="85" t="e" cm="1">
        <f t="array" ref="P82">SUM(M32:P32)/SUM(-M35:P37)</f>
        <v>#DIV/0!</v>
      </c>
      <c r="Q82" s="85" t="e" cm="1">
        <f t="array" ref="Q82">SUM(N32:Q32)/SUM(-N35:Q37)</f>
        <v>#DIV/0!</v>
      </c>
      <c r="R82" s="85" t="e" cm="1">
        <f t="array" ref="R82">SUM(O32:R32)/SUM(-O35:R37)</f>
        <v>#DIV/0!</v>
      </c>
      <c r="S82" s="85" t="e" cm="1">
        <f t="array" ref="S82">SUM(P32:S32)/SUM(-P35:S37)</f>
        <v>#DIV/0!</v>
      </c>
      <c r="T82" s="85"/>
      <c r="U82" s="85" t="e" cm="1">
        <f t="array" ref="U82">SUM(U32)/SUM(-U35:U37)</f>
        <v>#DIV/0!</v>
      </c>
      <c r="V82" s="85" t="e" cm="1">
        <f t="array" ref="V82">SUM(V32)/SUM(-V35:V37)</f>
        <v>#REF!</v>
      </c>
      <c r="W82" s="85" t="e" cm="1">
        <f t="array" ref="W82">SUM(W32)/SUM(-W35:W37)</f>
        <v>#DIV/0!</v>
      </c>
      <c r="X82" s="85" t="e" cm="1">
        <f t="array" ref="X82">SUM(X32)/SUM(-X35:X37)</f>
        <v>#DIV/0!</v>
      </c>
      <c r="Y82" s="85" t="e" cm="1">
        <f t="array" ref="Y82">SUM(Y32)/SUM(-Y35:Y37)</f>
        <v>#DIV/0!</v>
      </c>
      <c r="Z82" s="85" t="e" cm="1">
        <f t="array" ref="Z82">SUM(Z32)/SUM(-Z35:Z37)</f>
        <v>#DIV/0!</v>
      </c>
      <c r="AA82" s="85" t="e" cm="1">
        <f t="array" ref="AA82">SUM(AA32)/SUM(-AA35:AA37)</f>
        <v>#DIV/0!</v>
      </c>
      <c r="AB82" s="85" t="e" cm="1">
        <f t="array" ref="AB82">SUM(AB32)/SUM(-AB35:AB37)</f>
        <v>#DIV/0!</v>
      </c>
      <c r="AC82" s="85" t="e" cm="1">
        <f t="array" ref="AC82">SUM(AC32)/SUM(-AC35:AC37)</f>
        <v>#DIV/0!</v>
      </c>
      <c r="AD82" s="85" t="e" cm="1">
        <f t="array" ref="AD82">SUM(AD32)/SUM(-AD35:AD37)</f>
        <v>#DIV/0!</v>
      </c>
      <c r="AE82" s="85" t="e" cm="1">
        <f t="array" ref="AE82">SUM(AE32)/SUM(-AE35:AE37)</f>
        <v>#DIV/0!</v>
      </c>
      <c r="AF82" s="85" t="e" cm="1">
        <f t="array" ref="AF82">SUM(AF32)/SUM(-AF35:AF37)</f>
        <v>#DIV/0!</v>
      </c>
      <c r="AG82" s="85" t="e" cm="1">
        <f t="array" ref="AG82">SUM(AG32)/SUM(-AG35:AG37)</f>
        <v>#DIV/0!</v>
      </c>
    </row>
    <row r="83" spans="2:33" ht="12.75" customHeight="1">
      <c r="B83" s="8" t="s">
        <v>52</v>
      </c>
      <c r="C83" s="85" t="e">
        <f>C74/C71</f>
        <v>#DIV/0!</v>
      </c>
      <c r="D83" s="85" t="e">
        <f>D74/D71</f>
        <v>#DIV/0!</v>
      </c>
      <c r="E83" s="85" t="e">
        <f>E74/E71</f>
        <v>#DIV/0!</v>
      </c>
      <c r="F83" s="85" t="e">
        <f>F74/F71</f>
        <v>#DIV/0!</v>
      </c>
      <c r="G83" s="85" t="e">
        <f>G74/G71</f>
        <v>#DIV/0!</v>
      </c>
      <c r="I83" s="85" t="e">
        <f t="shared" ref="I83:R83" si="157">I74/I71</f>
        <v>#DIV/0!</v>
      </c>
      <c r="J83" s="85" t="e">
        <f t="shared" si="157"/>
        <v>#DIV/0!</v>
      </c>
      <c r="K83" s="85" t="e">
        <f t="shared" si="157"/>
        <v>#DIV/0!</v>
      </c>
      <c r="L83" s="85" t="e">
        <f t="shared" si="157"/>
        <v>#DIV/0!</v>
      </c>
      <c r="M83" s="85" t="e">
        <f t="shared" si="157"/>
        <v>#DIV/0!</v>
      </c>
      <c r="N83" s="85" t="e">
        <f t="shared" si="157"/>
        <v>#DIV/0!</v>
      </c>
      <c r="O83" s="85" t="e">
        <f t="shared" si="157"/>
        <v>#DIV/0!</v>
      </c>
      <c r="P83" s="85" t="e">
        <f t="shared" si="157"/>
        <v>#DIV/0!</v>
      </c>
      <c r="Q83" s="85" t="e">
        <f t="shared" si="157"/>
        <v>#DIV/0!</v>
      </c>
      <c r="R83" s="85" t="e">
        <f t="shared" si="157"/>
        <v>#DIV/0!</v>
      </c>
      <c r="S83" s="85" t="e">
        <f>S74/S71</f>
        <v>#DIV/0!</v>
      </c>
      <c r="T83" s="85"/>
      <c r="U83" s="85" t="e">
        <f t="shared" ref="U83:AE83" si="158">U74/U71</f>
        <v>#REF!</v>
      </c>
      <c r="V83" s="85" t="e">
        <f t="shared" si="158"/>
        <v>#REF!</v>
      </c>
      <c r="W83" s="85" t="e">
        <f t="shared" si="158"/>
        <v>#DIV/0!</v>
      </c>
      <c r="X83" s="85" t="e">
        <f t="shared" si="158"/>
        <v>#DIV/0!</v>
      </c>
      <c r="Y83" s="85" t="e">
        <f t="shared" si="158"/>
        <v>#DIV/0!</v>
      </c>
      <c r="Z83" s="85" t="e">
        <f t="shared" si="158"/>
        <v>#DIV/0!</v>
      </c>
      <c r="AA83" s="85" t="e">
        <f t="shared" si="158"/>
        <v>#DIV/0!</v>
      </c>
      <c r="AB83" s="85" t="e">
        <f t="shared" si="158"/>
        <v>#DIV/0!</v>
      </c>
      <c r="AC83" s="85" t="e">
        <f t="shared" si="158"/>
        <v>#DIV/0!</v>
      </c>
      <c r="AD83" s="85" t="e">
        <f t="shared" si="158"/>
        <v>#DIV/0!</v>
      </c>
      <c r="AE83" s="85" t="e">
        <f t="shared" si="158"/>
        <v>#DIV/0!</v>
      </c>
      <c r="AF83" s="85" t="e">
        <f>AF74/AF71</f>
        <v>#DIV/0!</v>
      </c>
      <c r="AG83" s="85" t="e">
        <f>AG74/AG71</f>
        <v>#DIV/0!</v>
      </c>
    </row>
    <row r="84" spans="2:33" ht="5.0999999999999996" customHeight="1" thickBot="1"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</row>
  </sheetData>
  <mergeCells count="1">
    <mergeCell ref="AI2:AI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C39:H40 AH40:AI40 H35:H37 H42 AH42:AI42 AH38 AH39 H38 AH41:AI41 H41 I39:R40" formulaRange="1"/>
    <ignoredError sqref="C78:H83 D12:H14 C24:H25 H15 T15:AG15 C18:H19 H20:H23 T20:AG22 C29:H30 H26 T26:AG26 C32:H33 H31 AI28:AI39 T31:AG31 AI10:AI15 H17 AI17:AI26 H28 I78:AG83 I14:AG14 I24:AG25 I18:AG19 I29:AG30 I32:AG33 M12:AG12 J13:AG13" evalError="1"/>
    <ignoredError sqref="AC45:AG4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A0B09-DABA-4E42-BC67-93960B9C5A6B}">
  <sheetPr>
    <tabColor theme="4" tint="-0.249977111117893"/>
  </sheetPr>
  <dimension ref="B2:AJ27"/>
  <sheetViews>
    <sheetView showGridLines="0" zoomScale="115" zoomScaleNormal="115" workbookViewId="0">
      <selection activeCell="B28" sqref="B28"/>
    </sheetView>
  </sheetViews>
  <sheetFormatPr defaultRowHeight="12" outlineLevelCol="1"/>
  <cols>
    <col min="1" max="1" width="1.625" style="8" customWidth="1"/>
    <col min="2" max="2" width="28.625" style="8" bestFit="1" customWidth="1"/>
    <col min="3" max="4" width="8.625" style="8" customWidth="1" outlineLevel="1"/>
    <col min="5" max="7" width="8.625" style="8" bestFit="1" customWidth="1"/>
    <col min="8" max="8" width="1.625" style="8" customWidth="1"/>
    <col min="9" max="11" width="7.875" style="8" customWidth="1" outlineLevel="1"/>
    <col min="12" max="12" width="8.625" style="8" customWidth="1" outlineLevel="1"/>
    <col min="13" max="14" width="7.875" style="8" customWidth="1" outlineLevel="1"/>
    <col min="15" max="15" width="7.875" style="8" bestFit="1" customWidth="1"/>
    <col min="16" max="16" width="8.625" style="8" bestFit="1" customWidth="1"/>
    <col min="17" max="19" width="7.875" style="8" bestFit="1" customWidth="1"/>
    <col min="20" max="20" width="1.625" style="8" customWidth="1"/>
    <col min="21" max="21" width="7.875" style="8" hidden="1" customWidth="1" outlineLevel="1"/>
    <col min="22" max="22" width="8.625" style="8" hidden="1" customWidth="1" outlineLevel="1"/>
    <col min="23" max="25" width="7.875" style="8" hidden="1" customWidth="1" outlineLevel="1"/>
    <col min="26" max="26" width="8.625" style="8" hidden="1" customWidth="1" outlineLevel="1"/>
    <col min="27" max="28" width="7.875" style="8" hidden="1" customWidth="1" outlineLevel="1"/>
    <col min="29" max="29" width="7.875" style="8" bestFit="1" customWidth="1" collapsed="1"/>
    <col min="30" max="30" width="8.625" style="8" hidden="1" customWidth="1" outlineLevel="1"/>
    <col min="31" max="32" width="7.875" style="8" hidden="1" customWidth="1" outlineLevel="1"/>
    <col min="33" max="33" width="7.875" style="8" bestFit="1" customWidth="1" collapsed="1"/>
    <col min="34" max="16384" width="9" style="8"/>
  </cols>
  <sheetData>
    <row r="2" spans="2:33">
      <c r="B2" s="154" t="str">
        <f>'Historical Financials'!B2</f>
        <v>Spirit Airlines, Inc. (NASDAQ: FLYYQ)</v>
      </c>
      <c r="C2" s="152" t="s">
        <v>0</v>
      </c>
      <c r="D2" s="152"/>
      <c r="E2" s="152" t="s">
        <v>0</v>
      </c>
      <c r="F2" s="152"/>
      <c r="G2" s="152"/>
      <c r="H2" s="153"/>
      <c r="I2" s="152" t="s">
        <v>1</v>
      </c>
      <c r="J2" s="152"/>
      <c r="K2" s="152"/>
      <c r="L2" s="152"/>
      <c r="M2" s="152"/>
      <c r="N2" s="152"/>
      <c r="O2" s="152" t="s">
        <v>1</v>
      </c>
      <c r="P2" s="152"/>
      <c r="Q2" s="152"/>
      <c r="R2" s="152"/>
      <c r="S2" s="152"/>
      <c r="T2" s="153"/>
      <c r="U2" s="152" t="s">
        <v>10</v>
      </c>
      <c r="V2" s="152"/>
      <c r="W2" s="152"/>
      <c r="X2" s="152"/>
      <c r="Y2" s="152"/>
      <c r="Z2" s="152"/>
      <c r="AA2" s="152"/>
      <c r="AB2" s="152" t="s">
        <v>10</v>
      </c>
      <c r="AC2" s="152" t="s">
        <v>10</v>
      </c>
      <c r="AD2" s="152"/>
      <c r="AE2" s="152"/>
      <c r="AF2" s="152"/>
      <c r="AG2" s="152"/>
    </row>
    <row r="3" spans="2:33">
      <c r="B3" s="155" t="s">
        <v>134</v>
      </c>
      <c r="C3" s="157">
        <f>'Historical Financials'!D7</f>
        <v>2020</v>
      </c>
      <c r="D3" s="157">
        <f>'Historical Financials'!E7</f>
        <v>2021</v>
      </c>
      <c r="E3" s="157">
        <f>'Historical Financials'!F7</f>
        <v>2022</v>
      </c>
      <c r="F3" s="157">
        <f>'Historical Financials'!G7</f>
        <v>2023</v>
      </c>
      <c r="G3" s="157">
        <f>'Historical Financials'!H7</f>
        <v>2024</v>
      </c>
      <c r="H3" s="153"/>
      <c r="I3" s="157" t="str">
        <f>'Historical Financials'!J7</f>
        <v>1Q23</v>
      </c>
      <c r="J3" s="157" t="str">
        <f>'Historical Financials'!K7</f>
        <v>2Q23</v>
      </c>
      <c r="K3" s="157" t="str">
        <f>'Historical Financials'!L7</f>
        <v>3Q23</v>
      </c>
      <c r="L3" s="157" t="str">
        <f>'Historical Financials'!M7</f>
        <v>4Q23</v>
      </c>
      <c r="M3" s="157" t="str">
        <f>'Historical Financials'!N7</f>
        <v>1Q24</v>
      </c>
      <c r="N3" s="157" t="str">
        <f>'Historical Financials'!O7</f>
        <v>2Q24</v>
      </c>
      <c r="O3" s="157" t="str">
        <f>'Historical Financials'!P7</f>
        <v>3Q24</v>
      </c>
      <c r="P3" s="157" t="str">
        <f>'Historical Financials'!Q7</f>
        <v>4Q24</v>
      </c>
      <c r="Q3" s="157" t="str">
        <f>'Historical Financials'!R7</f>
        <v>1Q25</v>
      </c>
      <c r="R3" s="157" t="str">
        <f>'Historical Financials'!S7</f>
        <v>2Q25</v>
      </c>
      <c r="S3" s="157" t="str">
        <f>'Historical Financials'!T7</f>
        <v>3Q25</v>
      </c>
      <c r="T3" s="153"/>
      <c r="U3" s="158" t="e">
        <f>#REF!</f>
        <v>#REF!</v>
      </c>
      <c r="V3" s="158" t="e">
        <f>#REF!</f>
        <v>#REF!</v>
      </c>
      <c r="W3" s="158" t="str">
        <f t="shared" ref="W3:AG4" si="0">I3</f>
        <v>1Q23</v>
      </c>
      <c r="X3" s="158" t="str">
        <f t="shared" si="0"/>
        <v>2Q23</v>
      </c>
      <c r="Y3" s="158" t="str">
        <f t="shared" si="0"/>
        <v>3Q23</v>
      </c>
      <c r="Z3" s="158" t="str">
        <f t="shared" si="0"/>
        <v>4Q23</v>
      </c>
      <c r="AA3" s="158" t="str">
        <f t="shared" si="0"/>
        <v>1Q24</v>
      </c>
      <c r="AB3" s="158" t="str">
        <f t="shared" si="0"/>
        <v>2Q24</v>
      </c>
      <c r="AC3" s="158" t="str">
        <f t="shared" si="0"/>
        <v>3Q24</v>
      </c>
      <c r="AD3" s="158" t="str">
        <f t="shared" si="0"/>
        <v>4Q24</v>
      </c>
      <c r="AE3" s="158" t="str">
        <f t="shared" si="0"/>
        <v>1Q25</v>
      </c>
      <c r="AF3" s="158" t="str">
        <f t="shared" si="0"/>
        <v>2Q25</v>
      </c>
      <c r="AG3" s="158" t="str">
        <f t="shared" si="0"/>
        <v>3Q25</v>
      </c>
    </row>
    <row r="4" spans="2:33">
      <c r="B4" s="155" t="s">
        <v>132</v>
      </c>
      <c r="C4" s="153">
        <f>'Historical Financials'!D8</f>
        <v>44196</v>
      </c>
      <c r="D4" s="153">
        <f>'Historical Financials'!E8</f>
        <v>44561</v>
      </c>
      <c r="E4" s="153">
        <f>'Historical Financials'!F8</f>
        <v>44926</v>
      </c>
      <c r="F4" s="153">
        <f>'Historical Financials'!G8</f>
        <v>45291</v>
      </c>
      <c r="G4" s="153">
        <f>'Historical Financials'!H8</f>
        <v>45657</v>
      </c>
      <c r="H4" s="153"/>
      <c r="I4" s="153">
        <f>'Historical Financials'!J8</f>
        <v>45016</v>
      </c>
      <c r="J4" s="153">
        <f>'Historical Financials'!K8</f>
        <v>45107</v>
      </c>
      <c r="K4" s="153">
        <f>'Historical Financials'!L8</f>
        <v>45199</v>
      </c>
      <c r="L4" s="153">
        <f>'Historical Financials'!M8</f>
        <v>45291</v>
      </c>
      <c r="M4" s="153">
        <f>'Historical Financials'!N8</f>
        <v>45382</v>
      </c>
      <c r="N4" s="153">
        <f>'Historical Financials'!O8</f>
        <v>45473</v>
      </c>
      <c r="O4" s="153">
        <f>'Historical Financials'!P8</f>
        <v>45565</v>
      </c>
      <c r="P4" s="153">
        <f>'Historical Financials'!Q8</f>
        <v>45657</v>
      </c>
      <c r="Q4" s="153">
        <f>'Historical Financials'!R8</f>
        <v>45747</v>
      </c>
      <c r="R4" s="153">
        <f>'Historical Financials'!S8</f>
        <v>45838</v>
      </c>
      <c r="S4" s="153">
        <f>'Historical Financials'!T8</f>
        <v>45930</v>
      </c>
      <c r="T4" s="153"/>
      <c r="U4" s="153" t="e">
        <f>#REF!</f>
        <v>#REF!</v>
      </c>
      <c r="V4" s="153" t="e">
        <f>#REF!</f>
        <v>#REF!</v>
      </c>
      <c r="W4" s="153">
        <f t="shared" si="0"/>
        <v>45016</v>
      </c>
      <c r="X4" s="153">
        <f t="shared" si="0"/>
        <v>45107</v>
      </c>
      <c r="Y4" s="153">
        <f t="shared" si="0"/>
        <v>45199</v>
      </c>
      <c r="Z4" s="153">
        <f t="shared" si="0"/>
        <v>45291</v>
      </c>
      <c r="AA4" s="153">
        <f t="shared" si="0"/>
        <v>45382</v>
      </c>
      <c r="AB4" s="153">
        <f t="shared" si="0"/>
        <v>45473</v>
      </c>
      <c r="AC4" s="153">
        <f t="shared" si="0"/>
        <v>45565</v>
      </c>
      <c r="AD4" s="153">
        <f t="shared" si="0"/>
        <v>45657</v>
      </c>
      <c r="AE4" s="153">
        <f t="shared" si="0"/>
        <v>45747</v>
      </c>
      <c r="AF4" s="153">
        <f t="shared" si="0"/>
        <v>45838</v>
      </c>
      <c r="AG4" s="153">
        <f t="shared" si="0"/>
        <v>45930</v>
      </c>
    </row>
    <row r="5" spans="2:33" ht="5.0999999999999996" customHeight="1"/>
    <row r="6" spans="2:33">
      <c r="B6" s="35"/>
    </row>
    <row r="7" spans="2:33">
      <c r="B7" s="160"/>
      <c r="C7" s="159"/>
      <c r="D7" s="159"/>
      <c r="E7" s="159"/>
      <c r="F7" s="159"/>
      <c r="G7" s="159"/>
      <c r="I7" s="159"/>
      <c r="J7" s="159"/>
      <c r="K7" s="159"/>
      <c r="L7" s="151"/>
      <c r="M7" s="159"/>
      <c r="N7" s="159"/>
      <c r="O7" s="159"/>
      <c r="P7" s="151"/>
      <c r="Q7" s="159"/>
      <c r="R7" s="159"/>
      <c r="S7" s="159"/>
      <c r="U7" s="151" t="e">
        <f>#REF!</f>
        <v>#REF!</v>
      </c>
      <c r="V7" s="151" t="e">
        <f>#REF!</f>
        <v>#REF!</v>
      </c>
      <c r="W7" s="151">
        <f t="shared" ref="W7" si="1">I7</f>
        <v>0</v>
      </c>
      <c r="X7" s="151">
        <f t="shared" ref="X7" si="2">J7</f>
        <v>0</v>
      </c>
      <c r="Y7" s="151">
        <f t="shared" ref="Y7" si="3">K7</f>
        <v>0</v>
      </c>
      <c r="Z7" s="151">
        <f t="shared" ref="Z7" si="4">L7</f>
        <v>0</v>
      </c>
      <c r="AA7" s="151">
        <f t="shared" ref="AA7" si="5">M7</f>
        <v>0</v>
      </c>
      <c r="AB7" s="151">
        <f t="shared" ref="AB7" si="6">N7</f>
        <v>0</v>
      </c>
      <c r="AC7" s="151">
        <f t="shared" ref="AC7" si="7">O7</f>
        <v>0</v>
      </c>
      <c r="AD7" s="151">
        <f t="shared" ref="AD7" si="8">P7</f>
        <v>0</v>
      </c>
      <c r="AE7" s="151">
        <f t="shared" ref="AE7" si="9">Q7</f>
        <v>0</v>
      </c>
      <c r="AF7" s="151">
        <f t="shared" ref="AF7" si="10">R7</f>
        <v>0</v>
      </c>
      <c r="AG7" s="151">
        <f t="shared" ref="AG7" si="11">S7</f>
        <v>0</v>
      </c>
    </row>
    <row r="8" spans="2:33">
      <c r="B8" s="160"/>
      <c r="C8" s="159"/>
      <c r="D8" s="159"/>
      <c r="E8" s="159"/>
      <c r="F8" s="159"/>
      <c r="G8" s="159"/>
      <c r="I8" s="159"/>
      <c r="J8" s="159"/>
      <c r="K8" s="159"/>
      <c r="L8" s="151"/>
      <c r="M8" s="159"/>
      <c r="N8" s="159"/>
      <c r="O8" s="159"/>
      <c r="P8" s="151"/>
      <c r="Q8" s="159"/>
      <c r="R8" s="159"/>
      <c r="S8" s="159"/>
      <c r="U8" s="151" t="e">
        <f>#REF!</f>
        <v>#REF!</v>
      </c>
      <c r="V8" s="151" t="e">
        <f>#REF!</f>
        <v>#REF!</v>
      </c>
      <c r="W8" s="151">
        <f t="shared" ref="W8" si="12">I8</f>
        <v>0</v>
      </c>
      <c r="X8" s="151">
        <f t="shared" ref="X8" si="13">J8</f>
        <v>0</v>
      </c>
      <c r="Y8" s="151">
        <f t="shared" ref="Y8" si="14">K8</f>
        <v>0</v>
      </c>
      <c r="Z8" s="151">
        <f t="shared" ref="Z8" si="15">L8</f>
        <v>0</v>
      </c>
      <c r="AA8" s="151">
        <f t="shared" ref="AA8" si="16">M8</f>
        <v>0</v>
      </c>
      <c r="AB8" s="151">
        <f t="shared" ref="AB8" si="17">N8</f>
        <v>0</v>
      </c>
      <c r="AC8" s="151">
        <f t="shared" ref="AC8" si="18">O8</f>
        <v>0</v>
      </c>
      <c r="AD8" s="151">
        <f t="shared" ref="AD8" si="19">P8</f>
        <v>0</v>
      </c>
      <c r="AE8" s="151">
        <f t="shared" ref="AE8" si="20">Q8</f>
        <v>0</v>
      </c>
      <c r="AF8" s="151">
        <f t="shared" ref="AF8" si="21">R8</f>
        <v>0</v>
      </c>
      <c r="AG8" s="151">
        <f t="shared" ref="AG8" si="22">S8</f>
        <v>0</v>
      </c>
    </row>
    <row r="9" spans="2:33">
      <c r="B9" s="160"/>
      <c r="C9" s="159"/>
      <c r="D9" s="159"/>
      <c r="E9" s="159"/>
      <c r="F9" s="159"/>
      <c r="G9" s="159"/>
      <c r="I9" s="159"/>
      <c r="J9" s="159"/>
      <c r="K9" s="159"/>
      <c r="L9" s="151"/>
      <c r="M9" s="159"/>
      <c r="N9" s="159"/>
      <c r="O9" s="159"/>
      <c r="P9" s="151"/>
      <c r="Q9" s="159"/>
      <c r="R9" s="159"/>
      <c r="S9" s="159"/>
      <c r="U9" s="151" t="e">
        <f>#REF!</f>
        <v>#REF!</v>
      </c>
      <c r="V9" s="151" t="e">
        <f>#REF!</f>
        <v>#REF!</v>
      </c>
      <c r="W9" s="151">
        <f t="shared" ref="W9:W24" si="23">I9</f>
        <v>0</v>
      </c>
      <c r="X9" s="151">
        <f t="shared" ref="X9:X24" si="24">J9</f>
        <v>0</v>
      </c>
      <c r="Y9" s="151">
        <f t="shared" ref="Y9:Y24" si="25">K9</f>
        <v>0</v>
      </c>
      <c r="Z9" s="151">
        <f t="shared" ref="Z9:Z24" si="26">L9</f>
        <v>0</v>
      </c>
      <c r="AA9" s="151">
        <f t="shared" ref="AA9:AA24" si="27">M9</f>
        <v>0</v>
      </c>
      <c r="AB9" s="151">
        <f t="shared" ref="AB9:AB24" si="28">N9</f>
        <v>0</v>
      </c>
      <c r="AC9" s="151">
        <f t="shared" ref="AC9:AC24" si="29">O9</f>
        <v>0</v>
      </c>
      <c r="AD9" s="151">
        <f t="shared" ref="AD9:AD24" si="30">P9</f>
        <v>0</v>
      </c>
      <c r="AE9" s="151">
        <f t="shared" ref="AE9:AE24" si="31">Q9</f>
        <v>0</v>
      </c>
      <c r="AF9" s="151">
        <f t="shared" ref="AF9:AF24" si="32">R9</f>
        <v>0</v>
      </c>
      <c r="AG9" s="151">
        <f t="shared" ref="AG9:AG23" si="33">S9</f>
        <v>0</v>
      </c>
    </row>
    <row r="10" spans="2:33">
      <c r="B10" s="160"/>
      <c r="C10" s="159"/>
      <c r="D10" s="159"/>
      <c r="E10" s="159"/>
      <c r="F10" s="159"/>
      <c r="G10" s="159"/>
      <c r="I10" s="159"/>
      <c r="J10" s="159"/>
      <c r="K10" s="159"/>
      <c r="L10" s="151"/>
      <c r="M10" s="159"/>
      <c r="N10" s="159"/>
      <c r="O10" s="159"/>
      <c r="P10" s="151"/>
      <c r="Q10" s="159"/>
      <c r="R10" s="159"/>
      <c r="S10" s="159"/>
      <c r="U10" s="151" t="e">
        <f>#REF!</f>
        <v>#REF!</v>
      </c>
      <c r="V10" s="151" t="e">
        <f>#REF!</f>
        <v>#REF!</v>
      </c>
      <c r="W10" s="151">
        <f t="shared" si="23"/>
        <v>0</v>
      </c>
      <c r="X10" s="151">
        <f t="shared" si="24"/>
        <v>0</v>
      </c>
      <c r="Y10" s="151">
        <f t="shared" si="25"/>
        <v>0</v>
      </c>
      <c r="Z10" s="151">
        <f t="shared" si="26"/>
        <v>0</v>
      </c>
      <c r="AA10" s="151">
        <f t="shared" si="27"/>
        <v>0</v>
      </c>
      <c r="AB10" s="151">
        <f t="shared" si="28"/>
        <v>0</v>
      </c>
      <c r="AC10" s="151">
        <f t="shared" si="29"/>
        <v>0</v>
      </c>
      <c r="AD10" s="151">
        <f t="shared" si="30"/>
        <v>0</v>
      </c>
      <c r="AE10" s="151">
        <f t="shared" si="31"/>
        <v>0</v>
      </c>
      <c r="AF10" s="151">
        <f t="shared" si="32"/>
        <v>0</v>
      </c>
      <c r="AG10" s="151">
        <f t="shared" si="33"/>
        <v>0</v>
      </c>
    </row>
    <row r="11" spans="2:33">
      <c r="B11" s="160"/>
      <c r="C11" s="159"/>
      <c r="D11" s="159"/>
      <c r="E11" s="159"/>
      <c r="F11" s="159"/>
      <c r="G11" s="159"/>
      <c r="I11" s="159"/>
      <c r="J11" s="159"/>
      <c r="K11" s="159"/>
      <c r="L11" s="151"/>
      <c r="M11" s="159"/>
      <c r="N11" s="159"/>
      <c r="O11" s="159"/>
      <c r="P11" s="151"/>
      <c r="Q11" s="159"/>
      <c r="R11" s="159"/>
      <c r="S11" s="159"/>
      <c r="U11" s="151" t="e">
        <f>#REF!</f>
        <v>#REF!</v>
      </c>
      <c r="V11" s="151" t="e">
        <f>#REF!</f>
        <v>#REF!</v>
      </c>
      <c r="W11" s="151">
        <f t="shared" si="23"/>
        <v>0</v>
      </c>
      <c r="X11" s="151">
        <f t="shared" si="24"/>
        <v>0</v>
      </c>
      <c r="Y11" s="151">
        <f t="shared" si="25"/>
        <v>0</v>
      </c>
      <c r="Z11" s="151">
        <f t="shared" si="26"/>
        <v>0</v>
      </c>
      <c r="AA11" s="151">
        <f t="shared" si="27"/>
        <v>0</v>
      </c>
      <c r="AB11" s="151">
        <f t="shared" si="28"/>
        <v>0</v>
      </c>
      <c r="AC11" s="151">
        <f t="shared" si="29"/>
        <v>0</v>
      </c>
      <c r="AD11" s="151">
        <f t="shared" si="30"/>
        <v>0</v>
      </c>
      <c r="AE11" s="151">
        <f t="shared" si="31"/>
        <v>0</v>
      </c>
      <c r="AF11" s="151">
        <f t="shared" si="32"/>
        <v>0</v>
      </c>
      <c r="AG11" s="151">
        <f t="shared" si="33"/>
        <v>0</v>
      </c>
    </row>
    <row r="12" spans="2:33">
      <c r="B12" s="160"/>
      <c r="C12" s="159"/>
      <c r="D12" s="159"/>
      <c r="E12" s="159"/>
      <c r="F12" s="159"/>
      <c r="G12" s="159"/>
      <c r="I12" s="159"/>
      <c r="J12" s="159"/>
      <c r="K12" s="159"/>
      <c r="L12" s="151"/>
      <c r="M12" s="159"/>
      <c r="N12" s="159"/>
      <c r="O12" s="159"/>
      <c r="P12" s="151"/>
      <c r="Q12" s="159"/>
      <c r="R12" s="159"/>
      <c r="S12" s="159"/>
      <c r="U12" s="151" t="e">
        <f>#REF!</f>
        <v>#REF!</v>
      </c>
      <c r="V12" s="151" t="e">
        <f>#REF!</f>
        <v>#REF!</v>
      </c>
      <c r="W12" s="151">
        <f t="shared" si="23"/>
        <v>0</v>
      </c>
      <c r="X12" s="151">
        <f t="shared" si="24"/>
        <v>0</v>
      </c>
      <c r="Y12" s="151">
        <f t="shared" si="25"/>
        <v>0</v>
      </c>
      <c r="Z12" s="151">
        <f t="shared" si="26"/>
        <v>0</v>
      </c>
      <c r="AA12" s="151">
        <f t="shared" si="27"/>
        <v>0</v>
      </c>
      <c r="AB12" s="151">
        <f t="shared" si="28"/>
        <v>0</v>
      </c>
      <c r="AC12" s="151">
        <f t="shared" si="29"/>
        <v>0</v>
      </c>
      <c r="AD12" s="151">
        <f t="shared" si="30"/>
        <v>0</v>
      </c>
      <c r="AE12" s="151">
        <f t="shared" si="31"/>
        <v>0</v>
      </c>
      <c r="AF12" s="151">
        <f t="shared" si="32"/>
        <v>0</v>
      </c>
      <c r="AG12" s="151">
        <f t="shared" si="33"/>
        <v>0</v>
      </c>
    </row>
    <row r="13" spans="2:33">
      <c r="B13" s="160"/>
      <c r="C13" s="159"/>
      <c r="D13" s="159"/>
      <c r="E13" s="159"/>
      <c r="F13" s="159"/>
      <c r="G13" s="159"/>
      <c r="I13" s="159"/>
      <c r="J13" s="159"/>
      <c r="K13" s="159"/>
      <c r="L13" s="151"/>
      <c r="M13" s="159"/>
      <c r="N13" s="159"/>
      <c r="O13" s="159"/>
      <c r="P13" s="151"/>
      <c r="Q13" s="159"/>
      <c r="R13" s="159"/>
      <c r="S13" s="159"/>
      <c r="U13" s="151" t="e">
        <f>#REF!</f>
        <v>#REF!</v>
      </c>
      <c r="V13" s="151" t="e">
        <f>#REF!</f>
        <v>#REF!</v>
      </c>
      <c r="W13" s="151">
        <f t="shared" si="23"/>
        <v>0</v>
      </c>
      <c r="X13" s="151">
        <f t="shared" si="24"/>
        <v>0</v>
      </c>
      <c r="Y13" s="151">
        <f t="shared" si="25"/>
        <v>0</v>
      </c>
      <c r="Z13" s="151">
        <f t="shared" si="26"/>
        <v>0</v>
      </c>
      <c r="AA13" s="151">
        <f t="shared" si="27"/>
        <v>0</v>
      </c>
      <c r="AB13" s="151">
        <f t="shared" si="28"/>
        <v>0</v>
      </c>
      <c r="AC13" s="151">
        <f t="shared" si="29"/>
        <v>0</v>
      </c>
      <c r="AD13" s="151">
        <f t="shared" si="30"/>
        <v>0</v>
      </c>
      <c r="AE13" s="151">
        <f t="shared" si="31"/>
        <v>0</v>
      </c>
      <c r="AF13" s="151">
        <f t="shared" si="32"/>
        <v>0</v>
      </c>
      <c r="AG13" s="151">
        <f t="shared" si="33"/>
        <v>0</v>
      </c>
    </row>
    <row r="14" spans="2:33">
      <c r="B14" s="160"/>
      <c r="C14" s="159"/>
      <c r="D14" s="159"/>
      <c r="E14" s="159"/>
      <c r="F14" s="159"/>
      <c r="G14" s="159"/>
      <c r="I14" s="159"/>
      <c r="J14" s="159"/>
      <c r="K14" s="159"/>
      <c r="L14" s="151"/>
      <c r="M14" s="159"/>
      <c r="N14" s="159"/>
      <c r="O14" s="159"/>
      <c r="P14" s="151"/>
      <c r="Q14" s="159"/>
      <c r="R14" s="159"/>
      <c r="S14" s="159"/>
      <c r="U14" s="151" t="e">
        <f>#REF!</f>
        <v>#REF!</v>
      </c>
      <c r="V14" s="151" t="e">
        <f>#REF!</f>
        <v>#REF!</v>
      </c>
      <c r="W14" s="151">
        <f t="shared" si="23"/>
        <v>0</v>
      </c>
      <c r="X14" s="151">
        <f t="shared" si="24"/>
        <v>0</v>
      </c>
      <c r="Y14" s="151">
        <f t="shared" si="25"/>
        <v>0</v>
      </c>
      <c r="Z14" s="151">
        <f t="shared" si="26"/>
        <v>0</v>
      </c>
      <c r="AA14" s="151">
        <f t="shared" si="27"/>
        <v>0</v>
      </c>
      <c r="AB14" s="151">
        <f t="shared" si="28"/>
        <v>0</v>
      </c>
      <c r="AC14" s="151">
        <f t="shared" si="29"/>
        <v>0</v>
      </c>
      <c r="AD14" s="151">
        <f t="shared" si="30"/>
        <v>0</v>
      </c>
      <c r="AE14" s="151">
        <f t="shared" si="31"/>
        <v>0</v>
      </c>
      <c r="AF14" s="151">
        <f t="shared" si="32"/>
        <v>0</v>
      </c>
      <c r="AG14" s="151">
        <f t="shared" si="33"/>
        <v>0</v>
      </c>
    </row>
    <row r="15" spans="2:33">
      <c r="B15" s="160"/>
      <c r="C15" s="159"/>
      <c r="D15" s="159"/>
      <c r="E15" s="159"/>
      <c r="F15" s="159"/>
      <c r="G15" s="159"/>
      <c r="I15" s="159"/>
      <c r="J15" s="159"/>
      <c r="K15" s="159"/>
      <c r="L15" s="151"/>
      <c r="M15" s="159"/>
      <c r="N15" s="159"/>
      <c r="O15" s="159"/>
      <c r="P15" s="151"/>
      <c r="Q15" s="159"/>
      <c r="R15" s="159"/>
      <c r="S15" s="159"/>
      <c r="U15" s="151" t="e">
        <f>#REF!</f>
        <v>#REF!</v>
      </c>
      <c r="V15" s="151" t="e">
        <f>#REF!</f>
        <v>#REF!</v>
      </c>
      <c r="W15" s="151">
        <f t="shared" si="23"/>
        <v>0</v>
      </c>
      <c r="X15" s="151">
        <f t="shared" si="24"/>
        <v>0</v>
      </c>
      <c r="Y15" s="151">
        <f t="shared" si="25"/>
        <v>0</v>
      </c>
      <c r="Z15" s="151">
        <f t="shared" si="26"/>
        <v>0</v>
      </c>
      <c r="AA15" s="151">
        <f t="shared" si="27"/>
        <v>0</v>
      </c>
      <c r="AB15" s="151">
        <f t="shared" si="28"/>
        <v>0</v>
      </c>
      <c r="AC15" s="151">
        <f t="shared" si="29"/>
        <v>0</v>
      </c>
      <c r="AD15" s="151">
        <f t="shared" si="30"/>
        <v>0</v>
      </c>
      <c r="AE15" s="151">
        <f t="shared" si="31"/>
        <v>0</v>
      </c>
      <c r="AF15" s="151">
        <f t="shared" si="32"/>
        <v>0</v>
      </c>
      <c r="AG15" s="151">
        <f t="shared" si="33"/>
        <v>0</v>
      </c>
    </row>
    <row r="16" spans="2:33">
      <c r="B16" s="160"/>
      <c r="C16" s="159"/>
      <c r="D16" s="159"/>
      <c r="E16" s="159"/>
      <c r="F16" s="159"/>
      <c r="G16" s="159"/>
      <c r="I16" s="159"/>
      <c r="J16" s="159"/>
      <c r="K16" s="159"/>
      <c r="L16" s="151"/>
      <c r="M16" s="159"/>
      <c r="N16" s="159"/>
      <c r="O16" s="159"/>
      <c r="P16" s="151"/>
      <c r="Q16" s="159"/>
      <c r="R16" s="159"/>
      <c r="S16" s="159"/>
      <c r="U16" s="151" t="e">
        <f>#REF!</f>
        <v>#REF!</v>
      </c>
      <c r="V16" s="151" t="e">
        <f>#REF!</f>
        <v>#REF!</v>
      </c>
      <c r="W16" s="151">
        <f t="shared" si="23"/>
        <v>0</v>
      </c>
      <c r="X16" s="151">
        <f t="shared" si="24"/>
        <v>0</v>
      </c>
      <c r="Y16" s="151">
        <f t="shared" si="25"/>
        <v>0</v>
      </c>
      <c r="Z16" s="151">
        <f t="shared" si="26"/>
        <v>0</v>
      </c>
      <c r="AA16" s="151">
        <f t="shared" si="27"/>
        <v>0</v>
      </c>
      <c r="AB16" s="151">
        <f t="shared" si="28"/>
        <v>0</v>
      </c>
      <c r="AC16" s="151">
        <f t="shared" si="29"/>
        <v>0</v>
      </c>
      <c r="AD16" s="151">
        <f t="shared" si="30"/>
        <v>0</v>
      </c>
      <c r="AE16" s="151">
        <f t="shared" si="31"/>
        <v>0</v>
      </c>
      <c r="AF16" s="151">
        <f t="shared" si="32"/>
        <v>0</v>
      </c>
      <c r="AG16" s="151">
        <f t="shared" si="33"/>
        <v>0</v>
      </c>
    </row>
    <row r="17" spans="2:33">
      <c r="B17" s="160"/>
      <c r="C17" s="159"/>
      <c r="D17" s="159"/>
      <c r="E17" s="159"/>
      <c r="F17" s="159"/>
      <c r="G17" s="159"/>
      <c r="I17" s="159"/>
      <c r="J17" s="159"/>
      <c r="K17" s="159"/>
      <c r="L17" s="151"/>
      <c r="M17" s="159"/>
      <c r="N17" s="159"/>
      <c r="O17" s="159"/>
      <c r="P17" s="151"/>
      <c r="Q17" s="159"/>
      <c r="R17" s="159"/>
      <c r="S17" s="159"/>
      <c r="U17" s="151" t="e">
        <f>#REF!</f>
        <v>#REF!</v>
      </c>
      <c r="V17" s="151" t="e">
        <f>#REF!</f>
        <v>#REF!</v>
      </c>
      <c r="W17" s="151">
        <f t="shared" si="23"/>
        <v>0</v>
      </c>
      <c r="X17" s="151">
        <f t="shared" si="24"/>
        <v>0</v>
      </c>
      <c r="Y17" s="151">
        <f t="shared" si="25"/>
        <v>0</v>
      </c>
      <c r="Z17" s="151">
        <f t="shared" si="26"/>
        <v>0</v>
      </c>
      <c r="AA17" s="151">
        <f t="shared" si="27"/>
        <v>0</v>
      </c>
      <c r="AB17" s="151">
        <f t="shared" si="28"/>
        <v>0</v>
      </c>
      <c r="AC17" s="151">
        <f t="shared" si="29"/>
        <v>0</v>
      </c>
      <c r="AD17" s="151">
        <f t="shared" si="30"/>
        <v>0</v>
      </c>
      <c r="AE17" s="151">
        <f t="shared" si="31"/>
        <v>0</v>
      </c>
      <c r="AF17" s="151">
        <f t="shared" si="32"/>
        <v>0</v>
      </c>
      <c r="AG17" s="151">
        <f t="shared" si="33"/>
        <v>0</v>
      </c>
    </row>
    <row r="18" spans="2:33">
      <c r="B18" s="160"/>
      <c r="C18" s="159"/>
      <c r="D18" s="159"/>
      <c r="E18" s="159"/>
      <c r="F18" s="159"/>
      <c r="G18" s="159"/>
      <c r="I18" s="159"/>
      <c r="J18" s="159"/>
      <c r="K18" s="159"/>
      <c r="L18" s="151"/>
      <c r="M18" s="159"/>
      <c r="N18" s="159"/>
      <c r="O18" s="159"/>
      <c r="P18" s="151"/>
      <c r="Q18" s="159"/>
      <c r="R18" s="159"/>
      <c r="S18" s="159"/>
      <c r="U18" s="151" t="e">
        <f>#REF!</f>
        <v>#REF!</v>
      </c>
      <c r="V18" s="151" t="e">
        <f>#REF!</f>
        <v>#REF!</v>
      </c>
      <c r="W18" s="151">
        <f t="shared" si="23"/>
        <v>0</v>
      </c>
      <c r="X18" s="151">
        <f t="shared" si="24"/>
        <v>0</v>
      </c>
      <c r="Y18" s="151">
        <f t="shared" si="25"/>
        <v>0</v>
      </c>
      <c r="Z18" s="151">
        <f t="shared" si="26"/>
        <v>0</v>
      </c>
      <c r="AA18" s="151">
        <f t="shared" si="27"/>
        <v>0</v>
      </c>
      <c r="AB18" s="151">
        <f t="shared" si="28"/>
        <v>0</v>
      </c>
      <c r="AC18" s="151">
        <f t="shared" si="29"/>
        <v>0</v>
      </c>
      <c r="AD18" s="151">
        <f t="shared" si="30"/>
        <v>0</v>
      </c>
      <c r="AE18" s="151">
        <f t="shared" si="31"/>
        <v>0</v>
      </c>
      <c r="AF18" s="151">
        <f t="shared" si="32"/>
        <v>0</v>
      </c>
      <c r="AG18" s="151">
        <f t="shared" si="33"/>
        <v>0</v>
      </c>
    </row>
    <row r="19" spans="2:33">
      <c r="B19" s="160"/>
      <c r="C19" s="159"/>
      <c r="D19" s="159"/>
      <c r="E19" s="159"/>
      <c r="F19" s="159"/>
      <c r="G19" s="159"/>
      <c r="I19" s="159"/>
      <c r="J19" s="159"/>
      <c r="K19" s="159"/>
      <c r="L19" s="151"/>
      <c r="M19" s="159"/>
      <c r="N19" s="159"/>
      <c r="O19" s="159"/>
      <c r="P19" s="151"/>
      <c r="Q19" s="159"/>
      <c r="R19" s="159"/>
      <c r="S19" s="159"/>
      <c r="U19" s="151" t="e">
        <f>#REF!</f>
        <v>#REF!</v>
      </c>
      <c r="V19" s="151" t="e">
        <f>#REF!</f>
        <v>#REF!</v>
      </c>
      <c r="W19" s="151">
        <f t="shared" si="23"/>
        <v>0</v>
      </c>
      <c r="X19" s="151">
        <f t="shared" si="24"/>
        <v>0</v>
      </c>
      <c r="Y19" s="151">
        <f t="shared" si="25"/>
        <v>0</v>
      </c>
      <c r="Z19" s="151">
        <f t="shared" si="26"/>
        <v>0</v>
      </c>
      <c r="AA19" s="151">
        <f t="shared" si="27"/>
        <v>0</v>
      </c>
      <c r="AB19" s="151">
        <f t="shared" si="28"/>
        <v>0</v>
      </c>
      <c r="AC19" s="151">
        <f t="shared" si="29"/>
        <v>0</v>
      </c>
      <c r="AD19" s="151">
        <f t="shared" si="30"/>
        <v>0</v>
      </c>
      <c r="AE19" s="151">
        <f t="shared" si="31"/>
        <v>0</v>
      </c>
      <c r="AF19" s="151">
        <f t="shared" si="32"/>
        <v>0</v>
      </c>
      <c r="AG19" s="151">
        <f t="shared" si="33"/>
        <v>0</v>
      </c>
    </row>
    <row r="20" spans="2:33">
      <c r="B20" s="160"/>
      <c r="C20" s="159"/>
      <c r="D20" s="159"/>
      <c r="E20" s="159"/>
      <c r="F20" s="159"/>
      <c r="G20" s="159"/>
      <c r="I20" s="159"/>
      <c r="J20" s="159"/>
      <c r="K20" s="159"/>
      <c r="L20" s="151"/>
      <c r="M20" s="159"/>
      <c r="N20" s="159"/>
      <c r="O20" s="159"/>
      <c r="P20" s="151"/>
      <c r="Q20" s="159"/>
      <c r="R20" s="159"/>
      <c r="S20" s="159"/>
      <c r="U20" s="151" t="e">
        <f>#REF!</f>
        <v>#REF!</v>
      </c>
      <c r="V20" s="151" t="e">
        <f>#REF!</f>
        <v>#REF!</v>
      </c>
      <c r="W20" s="151">
        <f t="shared" si="23"/>
        <v>0</v>
      </c>
      <c r="X20" s="151">
        <f t="shared" si="24"/>
        <v>0</v>
      </c>
      <c r="Y20" s="151">
        <f t="shared" si="25"/>
        <v>0</v>
      </c>
      <c r="Z20" s="151">
        <f t="shared" si="26"/>
        <v>0</v>
      </c>
      <c r="AA20" s="151">
        <f t="shared" si="27"/>
        <v>0</v>
      </c>
      <c r="AB20" s="151">
        <f t="shared" si="28"/>
        <v>0</v>
      </c>
      <c r="AC20" s="151">
        <f t="shared" si="29"/>
        <v>0</v>
      </c>
      <c r="AD20" s="151">
        <f t="shared" si="30"/>
        <v>0</v>
      </c>
      <c r="AE20" s="151">
        <f t="shared" si="31"/>
        <v>0</v>
      </c>
      <c r="AF20" s="151">
        <f t="shared" si="32"/>
        <v>0</v>
      </c>
      <c r="AG20" s="151">
        <f t="shared" si="33"/>
        <v>0</v>
      </c>
    </row>
    <row r="21" spans="2:33">
      <c r="B21" s="160"/>
      <c r="C21" s="159"/>
      <c r="D21" s="159"/>
      <c r="E21" s="159"/>
      <c r="F21" s="159"/>
      <c r="G21" s="159"/>
      <c r="I21" s="159"/>
      <c r="J21" s="159"/>
      <c r="K21" s="159"/>
      <c r="L21" s="151"/>
      <c r="M21" s="159"/>
      <c r="N21" s="159"/>
      <c r="O21" s="159"/>
      <c r="P21" s="151"/>
      <c r="Q21" s="159"/>
      <c r="R21" s="159"/>
      <c r="S21" s="159"/>
      <c r="U21" s="151" t="e">
        <f>#REF!</f>
        <v>#REF!</v>
      </c>
      <c r="V21" s="151" t="e">
        <f>#REF!</f>
        <v>#REF!</v>
      </c>
      <c r="W21" s="151">
        <f t="shared" si="23"/>
        <v>0</v>
      </c>
      <c r="X21" s="151">
        <f t="shared" si="24"/>
        <v>0</v>
      </c>
      <c r="Y21" s="151">
        <f t="shared" si="25"/>
        <v>0</v>
      </c>
      <c r="Z21" s="151">
        <f t="shared" si="26"/>
        <v>0</v>
      </c>
      <c r="AA21" s="151">
        <f t="shared" si="27"/>
        <v>0</v>
      </c>
      <c r="AB21" s="151">
        <f t="shared" si="28"/>
        <v>0</v>
      </c>
      <c r="AC21" s="151">
        <f t="shared" si="29"/>
        <v>0</v>
      </c>
      <c r="AD21" s="151">
        <f t="shared" si="30"/>
        <v>0</v>
      </c>
      <c r="AE21" s="151">
        <f t="shared" si="31"/>
        <v>0</v>
      </c>
      <c r="AF21" s="151">
        <f t="shared" si="32"/>
        <v>0</v>
      </c>
      <c r="AG21" s="151">
        <f t="shared" si="33"/>
        <v>0</v>
      </c>
    </row>
    <row r="22" spans="2:33">
      <c r="B22" s="160"/>
      <c r="C22" s="159"/>
      <c r="D22" s="159"/>
      <c r="E22" s="159"/>
      <c r="F22" s="159"/>
      <c r="G22" s="159"/>
      <c r="I22" s="159"/>
      <c r="J22" s="159"/>
      <c r="K22" s="159"/>
      <c r="L22" s="151"/>
      <c r="M22" s="159"/>
      <c r="N22" s="159"/>
      <c r="O22" s="159"/>
      <c r="P22" s="151"/>
      <c r="Q22" s="159"/>
      <c r="R22" s="159"/>
      <c r="S22" s="159"/>
      <c r="U22" s="151" t="e">
        <f>#REF!</f>
        <v>#REF!</v>
      </c>
      <c r="V22" s="151" t="e">
        <f>#REF!</f>
        <v>#REF!</v>
      </c>
      <c r="W22" s="151">
        <f t="shared" si="23"/>
        <v>0</v>
      </c>
      <c r="X22" s="151">
        <f t="shared" si="24"/>
        <v>0</v>
      </c>
      <c r="Y22" s="151">
        <f t="shared" si="25"/>
        <v>0</v>
      </c>
      <c r="Z22" s="151">
        <f t="shared" si="26"/>
        <v>0</v>
      </c>
      <c r="AA22" s="151">
        <f t="shared" si="27"/>
        <v>0</v>
      </c>
      <c r="AB22" s="151">
        <f t="shared" si="28"/>
        <v>0</v>
      </c>
      <c r="AC22" s="151">
        <f t="shared" si="29"/>
        <v>0</v>
      </c>
      <c r="AD22" s="151">
        <f t="shared" si="30"/>
        <v>0</v>
      </c>
      <c r="AE22" s="151">
        <f t="shared" si="31"/>
        <v>0</v>
      </c>
      <c r="AF22" s="151">
        <f t="shared" si="32"/>
        <v>0</v>
      </c>
      <c r="AG22" s="151">
        <f t="shared" si="33"/>
        <v>0</v>
      </c>
    </row>
    <row r="23" spans="2:33">
      <c r="B23" s="160"/>
      <c r="C23" s="159"/>
      <c r="D23" s="159"/>
      <c r="E23" s="159"/>
      <c r="F23" s="159"/>
      <c r="G23" s="159"/>
      <c r="I23" s="159"/>
      <c r="J23" s="159"/>
      <c r="K23" s="159"/>
      <c r="L23" s="151"/>
      <c r="M23" s="159"/>
      <c r="N23" s="159"/>
      <c r="O23" s="159"/>
      <c r="P23" s="151"/>
      <c r="Q23" s="159"/>
      <c r="R23" s="159"/>
      <c r="S23" s="159"/>
      <c r="U23" s="151" t="e">
        <f>#REF!</f>
        <v>#REF!</v>
      </c>
      <c r="V23" s="151" t="e">
        <f>#REF!</f>
        <v>#REF!</v>
      </c>
      <c r="W23" s="151">
        <f t="shared" si="23"/>
        <v>0</v>
      </c>
      <c r="X23" s="151">
        <f t="shared" si="24"/>
        <v>0</v>
      </c>
      <c r="Y23" s="151">
        <f t="shared" si="25"/>
        <v>0</v>
      </c>
      <c r="Z23" s="151">
        <f t="shared" si="26"/>
        <v>0</v>
      </c>
      <c r="AA23" s="151">
        <f t="shared" si="27"/>
        <v>0</v>
      </c>
      <c r="AB23" s="151">
        <f t="shared" si="28"/>
        <v>0</v>
      </c>
      <c r="AC23" s="151">
        <f t="shared" si="29"/>
        <v>0</v>
      </c>
      <c r="AD23" s="151">
        <f t="shared" si="30"/>
        <v>0</v>
      </c>
      <c r="AE23" s="151">
        <f t="shared" si="31"/>
        <v>0</v>
      </c>
      <c r="AF23" s="151">
        <f t="shared" si="32"/>
        <v>0</v>
      </c>
      <c r="AG23" s="151">
        <f t="shared" si="33"/>
        <v>0</v>
      </c>
    </row>
    <row r="24" spans="2:33">
      <c r="B24" s="160"/>
      <c r="C24" s="159"/>
      <c r="D24" s="159"/>
      <c r="E24" s="159"/>
      <c r="F24" s="159"/>
      <c r="G24" s="159"/>
      <c r="I24" s="159"/>
      <c r="J24" s="159"/>
      <c r="K24" s="159"/>
      <c r="L24" s="151"/>
      <c r="M24" s="159"/>
      <c r="N24" s="159"/>
      <c r="O24" s="159"/>
      <c r="P24" s="151"/>
      <c r="Q24" s="159"/>
      <c r="R24" s="159"/>
      <c r="S24" s="159"/>
      <c r="U24" s="151" t="e">
        <f>#REF!</f>
        <v>#REF!</v>
      </c>
      <c r="V24" s="151" t="e">
        <f>#REF!</f>
        <v>#REF!</v>
      </c>
      <c r="W24" s="151">
        <f t="shared" si="23"/>
        <v>0</v>
      </c>
      <c r="X24" s="151">
        <f t="shared" si="24"/>
        <v>0</v>
      </c>
      <c r="Y24" s="151">
        <f t="shared" si="25"/>
        <v>0</v>
      </c>
      <c r="Z24" s="151">
        <f t="shared" si="26"/>
        <v>0</v>
      </c>
      <c r="AA24" s="151">
        <f t="shared" si="27"/>
        <v>0</v>
      </c>
      <c r="AB24" s="151">
        <f t="shared" si="28"/>
        <v>0</v>
      </c>
      <c r="AC24" s="151">
        <f t="shared" si="29"/>
        <v>0</v>
      </c>
      <c r="AD24" s="151">
        <f t="shared" si="30"/>
        <v>0</v>
      </c>
      <c r="AE24" s="151">
        <f t="shared" si="31"/>
        <v>0</v>
      </c>
      <c r="AF24" s="151">
        <f t="shared" si="32"/>
        <v>0</v>
      </c>
      <c r="AG24" s="151">
        <f>S24</f>
        <v>0</v>
      </c>
    </row>
    <row r="25" spans="2:33">
      <c r="B25" s="13" t="s">
        <v>24</v>
      </c>
      <c r="C25" s="14">
        <f>SUM(C7:C24)</f>
        <v>0</v>
      </c>
      <c r="D25" s="14">
        <f t="shared" ref="D25:G25" si="34">SUM(D7:D24)</f>
        <v>0</v>
      </c>
      <c r="E25" s="14">
        <f t="shared" si="34"/>
        <v>0</v>
      </c>
      <c r="F25" s="14">
        <f t="shared" si="34"/>
        <v>0</v>
      </c>
      <c r="G25" s="14">
        <f t="shared" si="34"/>
        <v>0</v>
      </c>
      <c r="I25" s="14">
        <f t="shared" ref="I25" si="35">SUM(I7:I24)</f>
        <v>0</v>
      </c>
      <c r="J25" s="14">
        <f t="shared" ref="J25" si="36">SUM(J7:J24)</f>
        <v>0</v>
      </c>
      <c r="K25" s="14">
        <f t="shared" ref="K25" si="37">SUM(K7:K24)</f>
        <v>0</v>
      </c>
      <c r="L25" s="14">
        <f t="shared" ref="L25" si="38">SUM(L7:L24)</f>
        <v>0</v>
      </c>
      <c r="M25" s="14">
        <f t="shared" ref="M25" si="39">SUM(M7:M24)</f>
        <v>0</v>
      </c>
      <c r="N25" s="14">
        <f t="shared" ref="N25" si="40">SUM(N7:N24)</f>
        <v>0</v>
      </c>
      <c r="O25" s="14">
        <f t="shared" ref="O25" si="41">SUM(O7:O24)</f>
        <v>0</v>
      </c>
      <c r="P25" s="14">
        <f t="shared" ref="P25" si="42">SUM(P7:P24)</f>
        <v>0</v>
      </c>
      <c r="Q25" s="14">
        <f t="shared" ref="Q25" si="43">SUM(Q7:Q24)</f>
        <v>0</v>
      </c>
      <c r="R25" s="14">
        <f t="shared" ref="R25" si="44">SUM(R7:R24)</f>
        <v>0</v>
      </c>
      <c r="S25" s="14">
        <f t="shared" ref="S25" si="45">SUM(S7:S24)</f>
        <v>0</v>
      </c>
      <c r="U25" s="14" t="e">
        <f t="shared" ref="U25" si="46">SUM(U7:U24)</f>
        <v>#REF!</v>
      </c>
      <c r="V25" s="14" t="e">
        <f t="shared" ref="V25" si="47">SUM(V7:V24)</f>
        <v>#REF!</v>
      </c>
      <c r="W25" s="14">
        <f t="shared" ref="W25" si="48">SUM(W7:W24)</f>
        <v>0</v>
      </c>
      <c r="X25" s="14">
        <f t="shared" ref="X25" si="49">SUM(X7:X24)</f>
        <v>0</v>
      </c>
      <c r="Y25" s="14">
        <f t="shared" ref="Y25" si="50">SUM(Y7:Y24)</f>
        <v>0</v>
      </c>
      <c r="Z25" s="14">
        <f t="shared" ref="Z25" si="51">SUM(Z7:Z24)</f>
        <v>0</v>
      </c>
      <c r="AA25" s="14">
        <f t="shared" ref="AA25" si="52">SUM(AA7:AA24)</f>
        <v>0</v>
      </c>
      <c r="AB25" s="14">
        <f t="shared" ref="AB25" si="53">SUM(AB7:AB24)</f>
        <v>0</v>
      </c>
      <c r="AC25" s="14">
        <f t="shared" ref="AC25" si="54">SUM(AC7:AC24)</f>
        <v>0</v>
      </c>
      <c r="AD25" s="14">
        <f t="shared" ref="AD25" si="55">SUM(AD7:AD24)</f>
        <v>0</v>
      </c>
      <c r="AE25" s="14">
        <f t="shared" ref="AE25" si="56">SUM(AE7:AE24)</f>
        <v>0</v>
      </c>
      <c r="AF25" s="14">
        <f t="shared" ref="AF25" si="57">SUM(AF7:AF24)</f>
        <v>0</v>
      </c>
      <c r="AG25" s="14">
        <f t="shared" ref="AG25" si="58">SUM(AG7:AG24)</f>
        <v>0</v>
      </c>
    </row>
    <row r="26" spans="2:33" ht="5.0999999999999996" customHeight="1" thickBot="1"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 spans="2:33" ht="19.5" customHeight="1"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  <c r="AF27" s="168"/>
      <c r="AG27" s="168"/>
    </row>
  </sheetData>
  <mergeCells count="1">
    <mergeCell ref="B27:AG2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b07cb572-0833-4348-88b4-a0fa7ea20e4a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AC203626-EEC5-451D-B6D3-0C3E0606664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Historical Financials</vt:lpstr>
      <vt:lpstr>Revenue Drivers</vt:lpstr>
      <vt:lpstr>FCF</vt:lpstr>
      <vt:lpstr>Debt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2025-12-09T03:53:35Z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b07cb572-0833-4348-88b4-a0fa7ea20e4a</vt:lpwstr>
  </property>
  <property fmtid="{D5CDD505-2E9C-101B-9397-08002B2CF9AE}" pid="3" name="Classification">
    <vt:lpwstr>Unclassified</vt:lpwstr>
  </property>
  <property fmtid="{D5CDD505-2E9C-101B-9397-08002B2CF9AE}" pid="4" name="BAC">
    <vt:lpwstr>B!bac@C</vt:lpwstr>
  </property>
</Properties>
</file>