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5B6FF0FF-E1F7-434C-9369-C393FE9ADBB9}" xr6:coauthVersionLast="47" xr6:coauthVersionMax="47" xr10:uidLastSave="{00000000-0000-0000-0000-000000000000}"/>
  <bookViews>
    <workbookView xWindow="2868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90" i="9" l="1"/>
  <c r="AC90" i="9"/>
  <c r="AB90" i="9"/>
  <c r="AA90" i="9"/>
  <c r="Z90" i="9"/>
  <c r="Y90" i="9"/>
  <c r="X90" i="9"/>
  <c r="W90" i="9"/>
  <c r="V90" i="9"/>
  <c r="U90" i="9"/>
  <c r="AD89" i="9"/>
  <c r="AC89" i="9"/>
  <c r="AB89" i="9"/>
  <c r="AA89" i="9"/>
  <c r="Z89" i="9"/>
  <c r="Y89" i="9"/>
  <c r="X89" i="9"/>
  <c r="W89" i="9"/>
  <c r="V89" i="9"/>
  <c r="U89" i="9"/>
  <c r="AD88" i="9"/>
  <c r="AC88" i="9"/>
  <c r="AB88" i="9"/>
  <c r="AA88" i="9"/>
  <c r="Z88" i="9"/>
  <c r="Y88" i="9"/>
  <c r="X88" i="9"/>
  <c r="W88" i="9"/>
  <c r="V88" i="9"/>
  <c r="U88" i="9"/>
  <c r="AD87" i="9"/>
  <c r="AC87" i="9"/>
  <c r="AB87" i="9"/>
  <c r="AA87" i="9"/>
  <c r="Z87" i="9"/>
  <c r="Y87" i="9"/>
  <c r="X87" i="9"/>
  <c r="W87" i="9"/>
  <c r="V87" i="9"/>
  <c r="U87" i="9"/>
  <c r="AD86" i="9"/>
  <c r="AC86" i="9"/>
  <c r="AB86" i="9"/>
  <c r="AA86" i="9"/>
  <c r="Z86" i="9"/>
  <c r="Y86" i="9"/>
  <c r="X86" i="9"/>
  <c r="W86" i="9"/>
  <c r="V86" i="9"/>
  <c r="U86" i="9"/>
  <c r="AD85" i="9"/>
  <c r="AC85" i="9"/>
  <c r="AB85" i="9"/>
  <c r="AA85" i="9"/>
  <c r="Z85" i="9"/>
  <c r="Y85" i="9"/>
  <c r="X85" i="9"/>
  <c r="W85" i="9"/>
  <c r="V85" i="9"/>
  <c r="U85" i="9"/>
  <c r="AD84" i="9"/>
  <c r="AC84" i="9"/>
  <c r="AB84" i="9"/>
  <c r="AA84" i="9"/>
  <c r="Z84" i="9"/>
  <c r="Y84" i="9"/>
  <c r="X84" i="9"/>
  <c r="W84" i="9"/>
  <c r="V84" i="9"/>
  <c r="U84" i="9"/>
  <c r="AD83" i="9"/>
  <c r="AC83" i="9"/>
  <c r="AB83" i="9"/>
  <c r="AA83" i="9"/>
  <c r="Z83" i="9"/>
  <c r="Y83" i="9"/>
  <c r="X83" i="9"/>
  <c r="W83" i="9"/>
  <c r="V83" i="9"/>
  <c r="U83" i="9"/>
  <c r="AD82" i="9"/>
  <c r="AC82" i="9"/>
  <c r="AB82" i="9"/>
  <c r="AA82" i="9"/>
  <c r="Z82" i="9"/>
  <c r="Y82" i="9"/>
  <c r="X82" i="9"/>
  <c r="W82" i="9"/>
  <c r="V82" i="9"/>
  <c r="U82" i="9"/>
  <c r="AD81" i="9"/>
  <c r="AC81" i="9"/>
  <c r="AB81" i="9"/>
  <c r="AA81" i="9"/>
  <c r="Z81" i="9"/>
  <c r="Y81" i="9"/>
  <c r="X81" i="9"/>
  <c r="W81" i="9"/>
  <c r="V81" i="9"/>
  <c r="U81" i="9"/>
  <c r="AD80" i="9"/>
  <c r="AC80" i="9"/>
  <c r="AB80" i="9"/>
  <c r="AA80" i="9"/>
  <c r="Z80" i="9"/>
  <c r="Y80" i="9"/>
  <c r="X80" i="9"/>
  <c r="W80" i="9"/>
  <c r="V80" i="9"/>
  <c r="U80" i="9"/>
  <c r="AD79" i="9"/>
  <c r="AC79" i="9"/>
  <c r="AB79" i="9"/>
  <c r="AA79" i="9"/>
  <c r="Z79" i="9"/>
  <c r="Y79" i="9"/>
  <c r="X79" i="9"/>
  <c r="W79" i="9"/>
  <c r="V79" i="9"/>
  <c r="U79" i="9"/>
  <c r="AD78" i="9"/>
  <c r="AC78" i="9"/>
  <c r="AB78" i="9"/>
  <c r="AA78" i="9"/>
  <c r="Z78" i="9"/>
  <c r="Y78" i="9"/>
  <c r="X78" i="9"/>
  <c r="W78" i="9"/>
  <c r="V78" i="9"/>
  <c r="U78" i="9"/>
  <c r="AD77" i="9"/>
  <c r="AC77" i="9"/>
  <c r="AB77" i="9"/>
  <c r="AA77" i="9"/>
  <c r="Z77" i="9"/>
  <c r="Y77" i="9"/>
  <c r="X77" i="9"/>
  <c r="W77" i="9"/>
  <c r="V77" i="9"/>
  <c r="U77" i="9"/>
  <c r="AD76" i="9"/>
  <c r="AC76" i="9"/>
  <c r="AB76" i="9"/>
  <c r="AA76" i="9"/>
  <c r="Z76" i="9"/>
  <c r="Y76" i="9"/>
  <c r="X76" i="9"/>
  <c r="W76" i="9"/>
  <c r="V76" i="9"/>
  <c r="U76" i="9"/>
  <c r="AD75" i="9"/>
  <c r="AC75" i="9"/>
  <c r="AB75" i="9"/>
  <c r="AA75" i="9"/>
  <c r="Z75" i="9"/>
  <c r="Y75" i="9"/>
  <c r="X75" i="9"/>
  <c r="W75" i="9"/>
  <c r="V75" i="9"/>
  <c r="U75" i="9"/>
  <c r="AD74" i="9"/>
  <c r="AC74" i="9"/>
  <c r="AB74" i="9"/>
  <c r="AA74" i="9"/>
  <c r="Z74" i="9"/>
  <c r="Y74" i="9"/>
  <c r="X74" i="9"/>
  <c r="W74" i="9"/>
  <c r="V74" i="9"/>
  <c r="U74" i="9"/>
  <c r="AD73" i="9"/>
  <c r="AC73" i="9"/>
  <c r="AB73" i="9"/>
  <c r="AA73" i="9"/>
  <c r="Z73" i="9"/>
  <c r="Y73" i="9"/>
  <c r="X73" i="9"/>
  <c r="W73" i="9"/>
  <c r="V73" i="9"/>
  <c r="U73" i="9"/>
  <c r="AD71" i="9"/>
  <c r="AC71" i="9"/>
  <c r="AB71" i="9"/>
  <c r="AA71" i="9"/>
  <c r="Z71" i="9"/>
  <c r="Y71" i="9"/>
  <c r="X71" i="9"/>
  <c r="W71" i="9"/>
  <c r="V71" i="9"/>
  <c r="U71" i="9"/>
  <c r="AD70" i="9"/>
  <c r="AC70" i="9"/>
  <c r="AB70" i="9"/>
  <c r="AA70" i="9"/>
  <c r="Z70" i="9"/>
  <c r="Y70" i="9"/>
  <c r="X70" i="9"/>
  <c r="W70" i="9"/>
  <c r="V70" i="9"/>
  <c r="U70" i="9"/>
  <c r="AD67" i="9"/>
  <c r="AC67" i="9"/>
  <c r="AB67" i="9"/>
  <c r="AA67" i="9"/>
  <c r="Z67" i="9"/>
  <c r="Y67" i="9"/>
  <c r="X67" i="9"/>
  <c r="W67" i="9"/>
  <c r="V67" i="9"/>
  <c r="U67" i="9"/>
  <c r="AD66" i="9"/>
  <c r="AC66" i="9"/>
  <c r="AB66" i="9"/>
  <c r="AA66" i="9"/>
  <c r="Z66" i="9"/>
  <c r="Y66" i="9"/>
  <c r="X66" i="9"/>
  <c r="W66" i="9"/>
  <c r="V66" i="9"/>
  <c r="U66" i="9"/>
  <c r="AD65" i="9"/>
  <c r="AC65" i="9"/>
  <c r="AB65" i="9"/>
  <c r="AA65" i="9"/>
  <c r="Z65" i="9"/>
  <c r="Y65" i="9"/>
  <c r="X65" i="9"/>
  <c r="W65" i="9"/>
  <c r="V65" i="9"/>
  <c r="U65" i="9"/>
  <c r="AD64" i="9"/>
  <c r="AC64" i="9"/>
  <c r="AB64" i="9"/>
  <c r="AA64" i="9"/>
  <c r="Z64" i="9"/>
  <c r="Y64" i="9"/>
  <c r="X64" i="9"/>
  <c r="W64" i="9"/>
  <c r="V64" i="9"/>
  <c r="U64" i="9"/>
  <c r="AD63" i="9"/>
  <c r="AC63" i="9"/>
  <c r="AB63" i="9"/>
  <c r="AA63" i="9"/>
  <c r="Z63" i="9"/>
  <c r="Y63" i="9"/>
  <c r="X63" i="9"/>
  <c r="W63" i="9"/>
  <c r="V63" i="9"/>
  <c r="U63" i="9"/>
  <c r="AD59" i="9"/>
  <c r="AC59" i="9"/>
  <c r="AB59" i="9"/>
  <c r="AA59" i="9"/>
  <c r="Z59" i="9"/>
  <c r="Y59" i="9"/>
  <c r="X59" i="9"/>
  <c r="W59" i="9"/>
  <c r="V59" i="9"/>
  <c r="U59" i="9"/>
  <c r="AD58" i="9"/>
  <c r="AC58" i="9"/>
  <c r="AB58" i="9"/>
  <c r="AA58" i="9"/>
  <c r="Z58" i="9"/>
  <c r="Y58" i="9"/>
  <c r="X58" i="9"/>
  <c r="W58" i="9"/>
  <c r="V58" i="9"/>
  <c r="U58" i="9"/>
  <c r="AD57" i="9"/>
  <c r="AC57" i="9"/>
  <c r="AB57" i="9"/>
  <c r="AA57" i="9"/>
  <c r="Z57" i="9"/>
  <c r="Y57" i="9"/>
  <c r="X57" i="9"/>
  <c r="W57" i="9"/>
  <c r="V57" i="9"/>
  <c r="U57" i="9"/>
  <c r="AD56" i="9"/>
  <c r="AC56" i="9"/>
  <c r="AB56" i="9"/>
  <c r="AA56" i="9"/>
  <c r="Z56" i="9"/>
  <c r="Y56" i="9"/>
  <c r="X56" i="9"/>
  <c r="W56" i="9"/>
  <c r="V56" i="9"/>
  <c r="U56" i="9"/>
  <c r="AD51" i="9"/>
  <c r="AC51" i="9"/>
  <c r="AB51" i="9"/>
  <c r="AA51" i="9"/>
  <c r="Z51" i="9"/>
  <c r="Y51" i="9"/>
  <c r="X51" i="9"/>
  <c r="W51" i="9"/>
  <c r="V51" i="9"/>
  <c r="U51" i="9"/>
  <c r="AD50" i="9"/>
  <c r="AC50" i="9"/>
  <c r="AB50" i="9"/>
  <c r="AA50" i="9"/>
  <c r="Z50" i="9"/>
  <c r="Y50" i="9"/>
  <c r="X50" i="9"/>
  <c r="W50" i="9"/>
  <c r="V50" i="9"/>
  <c r="U50" i="9"/>
  <c r="AD49" i="9"/>
  <c r="AC49" i="9"/>
  <c r="AB49" i="9"/>
  <c r="AA49" i="9"/>
  <c r="Z49" i="9"/>
  <c r="Y49" i="9"/>
  <c r="X49" i="9"/>
  <c r="W49" i="9"/>
  <c r="V49" i="9"/>
  <c r="U49" i="9"/>
  <c r="AD48" i="9"/>
  <c r="AC48" i="9"/>
  <c r="AB48" i="9"/>
  <c r="AA48" i="9"/>
  <c r="Z48" i="9"/>
  <c r="Y48" i="9"/>
  <c r="X48" i="9"/>
  <c r="W48" i="9"/>
  <c r="V48" i="9"/>
  <c r="U48" i="9"/>
  <c r="AD47" i="9"/>
  <c r="AC47" i="9"/>
  <c r="AB47" i="9"/>
  <c r="AA47" i="9"/>
  <c r="Z47" i="9"/>
  <c r="Y47" i="9"/>
  <c r="X47" i="9"/>
  <c r="W47" i="9"/>
  <c r="V47" i="9"/>
  <c r="U47" i="9"/>
  <c r="AD46" i="9"/>
  <c r="AC46" i="9"/>
  <c r="AB46" i="9"/>
  <c r="AA46" i="9"/>
  <c r="Z46" i="9"/>
  <c r="Y46" i="9"/>
  <c r="X46" i="9"/>
  <c r="W46" i="9"/>
  <c r="V46" i="9"/>
  <c r="U46" i="9"/>
  <c r="AD45" i="9"/>
  <c r="AC45" i="9"/>
  <c r="AB45" i="9"/>
  <c r="AA45" i="9"/>
  <c r="Z45" i="9"/>
  <c r="Y45" i="9"/>
  <c r="X45" i="9"/>
  <c r="W45" i="9"/>
  <c r="V45" i="9"/>
  <c r="U45" i="9"/>
  <c r="AD44" i="9"/>
  <c r="AC44" i="9"/>
  <c r="AB44" i="9"/>
  <c r="AA44" i="9"/>
  <c r="Z44" i="9"/>
  <c r="Y44" i="9"/>
  <c r="X44" i="9"/>
  <c r="W44" i="9"/>
  <c r="V44" i="9"/>
  <c r="U44" i="9"/>
  <c r="AD43" i="9"/>
  <c r="AC43" i="9"/>
  <c r="AB43" i="9"/>
  <c r="AA43" i="9"/>
  <c r="Z43" i="9"/>
  <c r="Y43" i="9"/>
  <c r="X43" i="9"/>
  <c r="W43" i="9"/>
  <c r="V43" i="9"/>
  <c r="U43" i="9"/>
  <c r="AD42" i="9"/>
  <c r="AC42" i="9"/>
  <c r="AB42" i="9"/>
  <c r="AA42" i="9"/>
  <c r="Z42" i="9"/>
  <c r="Y42" i="9"/>
  <c r="X42" i="9"/>
  <c r="W42" i="9"/>
  <c r="V42" i="9"/>
  <c r="U42" i="9"/>
  <c r="AD32" i="9"/>
  <c r="AC32" i="9"/>
  <c r="AB32" i="9"/>
  <c r="AA32" i="9"/>
  <c r="Z32" i="9"/>
  <c r="Y32" i="9"/>
  <c r="X32" i="9"/>
  <c r="W32" i="9"/>
  <c r="V32" i="9"/>
  <c r="U32" i="9"/>
  <c r="AD31" i="9"/>
  <c r="AC31" i="9"/>
  <c r="AB31" i="9"/>
  <c r="AA31" i="9"/>
  <c r="Z31" i="9"/>
  <c r="Y31" i="9"/>
  <c r="X31" i="9"/>
  <c r="W31" i="9"/>
  <c r="V31" i="9"/>
  <c r="U31" i="9"/>
  <c r="AD30" i="9"/>
  <c r="AC30" i="9"/>
  <c r="AB30" i="9"/>
  <c r="AA30" i="9"/>
  <c r="Z30" i="9"/>
  <c r="Y30" i="9"/>
  <c r="X30" i="9"/>
  <c r="W30" i="9"/>
  <c r="V30" i="9"/>
  <c r="U30" i="9"/>
  <c r="AD22" i="9"/>
  <c r="AC22" i="9"/>
  <c r="AB22" i="9"/>
  <c r="AA22" i="9"/>
  <c r="Z22" i="9"/>
  <c r="Y22" i="9"/>
  <c r="X22" i="9"/>
  <c r="W22" i="9"/>
  <c r="V22" i="9"/>
  <c r="U22" i="9"/>
  <c r="AD21" i="9"/>
  <c r="AC21" i="9"/>
  <c r="AB21" i="9"/>
  <c r="AA21" i="9"/>
  <c r="Z21" i="9"/>
  <c r="Y21" i="9"/>
  <c r="X21" i="9"/>
  <c r="W21" i="9"/>
  <c r="V21" i="9"/>
  <c r="U21" i="9"/>
  <c r="AD20" i="9"/>
  <c r="AC20" i="9"/>
  <c r="AB20" i="9"/>
  <c r="AA20" i="9"/>
  <c r="Z20" i="9"/>
  <c r="Y20" i="9"/>
  <c r="X20" i="9"/>
  <c r="W20" i="9"/>
  <c r="V20" i="9"/>
  <c r="U20" i="9"/>
  <c r="AD19" i="9"/>
  <c r="AC19" i="9"/>
  <c r="AB19" i="9"/>
  <c r="AA19" i="9"/>
  <c r="Z19" i="9"/>
  <c r="Y19" i="9"/>
  <c r="X19" i="9"/>
  <c r="W19" i="9"/>
  <c r="V19" i="9"/>
  <c r="U19" i="9"/>
  <c r="AD18" i="9"/>
  <c r="AC18" i="9"/>
  <c r="AB18" i="9"/>
  <c r="AA18" i="9"/>
  <c r="Z18" i="9"/>
  <c r="Y18" i="9"/>
  <c r="X18" i="9"/>
  <c r="W18" i="9"/>
  <c r="V18" i="9"/>
  <c r="U18" i="9"/>
  <c r="AD17" i="9"/>
  <c r="AC17" i="9"/>
  <c r="AB17" i="9"/>
  <c r="AA17" i="9"/>
  <c r="Z17" i="9"/>
  <c r="Y17" i="9"/>
  <c r="X17" i="9"/>
  <c r="W17" i="9"/>
  <c r="V17" i="9"/>
  <c r="U17" i="9"/>
  <c r="AD16" i="9"/>
  <c r="AC16" i="9"/>
  <c r="AB16" i="9"/>
  <c r="AA16" i="9"/>
  <c r="Z16" i="9"/>
  <c r="Y16" i="9"/>
  <c r="X16" i="9"/>
  <c r="W16" i="9"/>
  <c r="V16" i="9"/>
  <c r="U16" i="9"/>
  <c r="AD15" i="9"/>
  <c r="AC15" i="9"/>
  <c r="AB15" i="9"/>
  <c r="AA15" i="9"/>
  <c r="Z15" i="9"/>
  <c r="Y15" i="9"/>
  <c r="X15" i="9"/>
  <c r="W15" i="9"/>
  <c r="V15" i="9"/>
  <c r="U15" i="9"/>
  <c r="AD14" i="9"/>
  <c r="AC14" i="9"/>
  <c r="AB14" i="9"/>
  <c r="AA14" i="9"/>
  <c r="Z14" i="9"/>
  <c r="Y14" i="9"/>
  <c r="X14" i="9"/>
  <c r="W14" i="9"/>
  <c r="V14" i="9"/>
  <c r="U14" i="9"/>
  <c r="AD13" i="9"/>
  <c r="AC13" i="9"/>
  <c r="AB13" i="9"/>
  <c r="AA13" i="9"/>
  <c r="Z13" i="9"/>
  <c r="Y13" i="9"/>
  <c r="X13" i="9"/>
  <c r="W13" i="9"/>
  <c r="V13" i="9"/>
  <c r="U13" i="9"/>
  <c r="AD7" i="9"/>
  <c r="AC7" i="9"/>
  <c r="AB7" i="9"/>
  <c r="AA7" i="9"/>
  <c r="Z7" i="9"/>
  <c r="Y7" i="9"/>
  <c r="X7" i="9"/>
  <c r="W7" i="9"/>
  <c r="V7" i="9"/>
  <c r="U7" i="9"/>
  <c r="AD6" i="9"/>
  <c r="AC6" i="9"/>
  <c r="AB6" i="9"/>
  <c r="AA6" i="9"/>
  <c r="Z6" i="9"/>
  <c r="Y6" i="9"/>
  <c r="X6" i="9"/>
  <c r="W6" i="9"/>
  <c r="V6" i="9"/>
  <c r="U6" i="9"/>
  <c r="AE73" i="9"/>
  <c r="S59" i="9"/>
  <c r="R59" i="9"/>
  <c r="Q59" i="9"/>
  <c r="O59" i="9"/>
  <c r="N59" i="9"/>
  <c r="M59" i="9"/>
  <c r="K59" i="9"/>
  <c r="J59" i="9"/>
  <c r="I59" i="9"/>
  <c r="G59" i="9"/>
  <c r="P59" i="9" s="1"/>
  <c r="F59" i="9"/>
  <c r="L59" i="9" s="1"/>
  <c r="E59" i="9"/>
  <c r="D59" i="9"/>
  <c r="C59" i="9"/>
  <c r="AE90" i="9"/>
  <c r="AE89" i="9"/>
  <c r="AE88" i="9"/>
  <c r="AE87" i="9"/>
  <c r="AE86" i="9"/>
  <c r="AE85" i="9"/>
  <c r="AE84" i="9"/>
  <c r="P85" i="9"/>
  <c r="P84" i="9"/>
  <c r="L85" i="9"/>
  <c r="L84" i="9"/>
  <c r="P90" i="9"/>
  <c r="P89" i="9"/>
  <c r="P88" i="9"/>
  <c r="P87" i="9"/>
  <c r="P86" i="9"/>
  <c r="P83" i="9"/>
  <c r="P82" i="9"/>
  <c r="P81" i="9"/>
  <c r="P80" i="9"/>
  <c r="P79" i="9"/>
  <c r="P78" i="9"/>
  <c r="P77" i="9"/>
  <c r="P76" i="9"/>
  <c r="P75" i="9"/>
  <c r="P74" i="9"/>
  <c r="P73" i="9"/>
  <c r="L90" i="9"/>
  <c r="L89" i="9"/>
  <c r="L88" i="9"/>
  <c r="L87" i="9"/>
  <c r="L86" i="9"/>
  <c r="L83" i="9"/>
  <c r="L82" i="9"/>
  <c r="L81" i="9"/>
  <c r="L80" i="9"/>
  <c r="L79" i="9"/>
  <c r="L78" i="9"/>
  <c r="L77" i="9"/>
  <c r="L76" i="9"/>
  <c r="L75" i="9"/>
  <c r="L74" i="9"/>
  <c r="L73" i="9"/>
  <c r="S91" i="9"/>
  <c r="R91" i="9"/>
  <c r="Q91" i="9"/>
  <c r="O91" i="9"/>
  <c r="N91" i="9"/>
  <c r="M91" i="9"/>
  <c r="K91" i="9"/>
  <c r="J91" i="9"/>
  <c r="I91" i="9"/>
  <c r="G91" i="9"/>
  <c r="F91" i="9"/>
  <c r="E91" i="9"/>
  <c r="D91" i="9"/>
  <c r="C91" i="9"/>
  <c r="S93" i="9"/>
  <c r="R93" i="9"/>
  <c r="Q93" i="9"/>
  <c r="P93" i="9"/>
  <c r="O93" i="9"/>
  <c r="N93" i="9"/>
  <c r="M93" i="9"/>
  <c r="L93" i="9"/>
  <c r="K93" i="9"/>
  <c r="J93" i="9"/>
  <c r="I93" i="9"/>
  <c r="G93" i="9"/>
  <c r="F93" i="9"/>
  <c r="E93" i="9"/>
  <c r="D93" i="9"/>
  <c r="C93" i="9"/>
  <c r="S71" i="9"/>
  <c r="R71" i="9"/>
  <c r="Q71" i="9"/>
  <c r="P71" i="9"/>
  <c r="O71" i="9"/>
  <c r="N71" i="9"/>
  <c r="M71" i="9"/>
  <c r="L71" i="9"/>
  <c r="K71" i="9"/>
  <c r="J71" i="9"/>
  <c r="S70" i="9"/>
  <c r="R70" i="9"/>
  <c r="Q70" i="9"/>
  <c r="P70" i="9"/>
  <c r="O70" i="9"/>
  <c r="N70" i="9"/>
  <c r="M70" i="9"/>
  <c r="L70" i="9"/>
  <c r="K70" i="9"/>
  <c r="J70" i="9"/>
  <c r="S67" i="9"/>
  <c r="R67" i="9"/>
  <c r="Q67" i="9"/>
  <c r="P67" i="9"/>
  <c r="O67" i="9"/>
  <c r="N67" i="9"/>
  <c r="M67" i="9"/>
  <c r="L67" i="9"/>
  <c r="K67" i="9"/>
  <c r="J67" i="9"/>
  <c r="S66" i="9"/>
  <c r="R66" i="9"/>
  <c r="Q66" i="9"/>
  <c r="P66" i="9"/>
  <c r="O66" i="9"/>
  <c r="N66" i="9"/>
  <c r="M66" i="9"/>
  <c r="L66" i="9"/>
  <c r="K66" i="9"/>
  <c r="J66" i="9"/>
  <c r="S65" i="9"/>
  <c r="R65" i="9"/>
  <c r="Q65" i="9"/>
  <c r="P65" i="9"/>
  <c r="O65" i="9"/>
  <c r="N65" i="9"/>
  <c r="M65" i="9"/>
  <c r="L65" i="9"/>
  <c r="K65" i="9"/>
  <c r="J65" i="9"/>
  <c r="S64" i="9"/>
  <c r="R64" i="9"/>
  <c r="Q64" i="9"/>
  <c r="P64" i="9"/>
  <c r="O64" i="9"/>
  <c r="N64" i="9"/>
  <c r="M64" i="9"/>
  <c r="L64" i="9"/>
  <c r="K64" i="9"/>
  <c r="J64" i="9"/>
  <c r="S63" i="9"/>
  <c r="R63" i="9"/>
  <c r="Q63" i="9"/>
  <c r="P63" i="9"/>
  <c r="O63" i="9"/>
  <c r="N63" i="9"/>
  <c r="M63" i="9"/>
  <c r="L63" i="9"/>
  <c r="K63" i="9"/>
  <c r="J63" i="9"/>
  <c r="I71" i="9"/>
  <c r="I70" i="9"/>
  <c r="I67" i="9"/>
  <c r="I66" i="9"/>
  <c r="I65" i="9"/>
  <c r="I64" i="9"/>
  <c r="I63" i="9"/>
  <c r="G71" i="9"/>
  <c r="F71" i="9"/>
  <c r="E71" i="9"/>
  <c r="D71" i="9"/>
  <c r="G70" i="9"/>
  <c r="F70" i="9"/>
  <c r="E70" i="9"/>
  <c r="D70" i="9"/>
  <c r="G67" i="9"/>
  <c r="F67" i="9"/>
  <c r="E67" i="9"/>
  <c r="D67" i="9"/>
  <c r="G66" i="9"/>
  <c r="F66" i="9"/>
  <c r="E66" i="9"/>
  <c r="D66" i="9"/>
  <c r="G65" i="9"/>
  <c r="F65" i="9"/>
  <c r="E65" i="9"/>
  <c r="D65" i="9"/>
  <c r="G64" i="9"/>
  <c r="F64" i="9"/>
  <c r="E64" i="9"/>
  <c r="D64" i="9"/>
  <c r="G63" i="9"/>
  <c r="F63" i="9"/>
  <c r="E63" i="9"/>
  <c r="D63" i="9"/>
  <c r="C71" i="9"/>
  <c r="C70" i="9"/>
  <c r="C67" i="9"/>
  <c r="C66" i="9"/>
  <c r="C65" i="9"/>
  <c r="C64" i="9"/>
  <c r="C63" i="9"/>
  <c r="C58" i="9"/>
  <c r="S58" i="9"/>
  <c r="R58" i="9"/>
  <c r="Q58" i="9"/>
  <c r="P58" i="9"/>
  <c r="O58" i="9"/>
  <c r="N58" i="9"/>
  <c r="M58" i="9"/>
  <c r="L58" i="9"/>
  <c r="K58" i="9"/>
  <c r="J58" i="9"/>
  <c r="S57" i="9"/>
  <c r="AE57" i="9" s="1"/>
  <c r="R57" i="9"/>
  <c r="Q57" i="9"/>
  <c r="P57" i="9"/>
  <c r="O57" i="9"/>
  <c r="N57" i="9"/>
  <c r="M57" i="9"/>
  <c r="L57" i="9"/>
  <c r="K57" i="9"/>
  <c r="J57" i="9"/>
  <c r="S56" i="9"/>
  <c r="R56" i="9"/>
  <c r="Q56" i="9"/>
  <c r="P56" i="9"/>
  <c r="O56" i="9"/>
  <c r="N56" i="9"/>
  <c r="M56" i="9"/>
  <c r="L56" i="9"/>
  <c r="K56" i="9"/>
  <c r="J56" i="9"/>
  <c r="I58" i="9"/>
  <c r="I57" i="9"/>
  <c r="I56" i="9"/>
  <c r="G58" i="9"/>
  <c r="F58" i="9"/>
  <c r="E58" i="9"/>
  <c r="D58" i="9"/>
  <c r="G57" i="9"/>
  <c r="F57" i="9"/>
  <c r="E57" i="9"/>
  <c r="D57" i="9"/>
  <c r="G56" i="9"/>
  <c r="F56" i="9"/>
  <c r="E56" i="9"/>
  <c r="D56" i="9"/>
  <c r="C57" i="9"/>
  <c r="C56" i="9"/>
  <c r="C50" i="9"/>
  <c r="S50" i="9"/>
  <c r="R50" i="9"/>
  <c r="Q50" i="9"/>
  <c r="P50" i="9"/>
  <c r="O50" i="9"/>
  <c r="N50" i="9"/>
  <c r="M50" i="9"/>
  <c r="L50" i="9"/>
  <c r="K50" i="9"/>
  <c r="J50" i="9"/>
  <c r="S49" i="9"/>
  <c r="R49" i="9"/>
  <c r="Q49" i="9"/>
  <c r="P49" i="9"/>
  <c r="O49" i="9"/>
  <c r="N49" i="9"/>
  <c r="M49" i="9"/>
  <c r="L49" i="9"/>
  <c r="K49" i="9"/>
  <c r="J49" i="9"/>
  <c r="S48" i="9"/>
  <c r="R48" i="9"/>
  <c r="Q48" i="9"/>
  <c r="P48" i="9"/>
  <c r="O48" i="9"/>
  <c r="N48" i="9"/>
  <c r="M48" i="9"/>
  <c r="L48" i="9"/>
  <c r="K48" i="9"/>
  <c r="J48" i="9"/>
  <c r="S47" i="9"/>
  <c r="R47" i="9"/>
  <c r="Q47" i="9"/>
  <c r="P47" i="9"/>
  <c r="O47" i="9"/>
  <c r="N47" i="9"/>
  <c r="M47" i="9"/>
  <c r="L47" i="9"/>
  <c r="K47" i="9"/>
  <c r="J47" i="9"/>
  <c r="S46" i="9"/>
  <c r="R46" i="9"/>
  <c r="Q46" i="9"/>
  <c r="P46" i="9"/>
  <c r="O46" i="9"/>
  <c r="N46" i="9"/>
  <c r="M46" i="9"/>
  <c r="L46" i="9"/>
  <c r="K46" i="9"/>
  <c r="J46" i="9"/>
  <c r="S45" i="9"/>
  <c r="R45" i="9"/>
  <c r="Q45" i="9"/>
  <c r="P45" i="9"/>
  <c r="O45" i="9"/>
  <c r="N45" i="9"/>
  <c r="M45" i="9"/>
  <c r="L45" i="9"/>
  <c r="K45" i="9"/>
  <c r="J45" i="9"/>
  <c r="S44" i="9"/>
  <c r="R44" i="9"/>
  <c r="Q44" i="9"/>
  <c r="P44" i="9"/>
  <c r="O44" i="9"/>
  <c r="N44" i="9"/>
  <c r="M44" i="9"/>
  <c r="L44" i="9"/>
  <c r="K44" i="9"/>
  <c r="J44" i="9"/>
  <c r="S43" i="9"/>
  <c r="R43" i="9"/>
  <c r="Q43" i="9"/>
  <c r="P43" i="9"/>
  <c r="O43" i="9"/>
  <c r="N43" i="9"/>
  <c r="M43" i="9"/>
  <c r="L43" i="9"/>
  <c r="K43" i="9"/>
  <c r="J43" i="9"/>
  <c r="S42" i="9"/>
  <c r="R42" i="9"/>
  <c r="Q42" i="9"/>
  <c r="P42" i="9"/>
  <c r="O42" i="9"/>
  <c r="N42" i="9"/>
  <c r="M42" i="9"/>
  <c r="L42" i="9"/>
  <c r="K42" i="9"/>
  <c r="J42" i="9"/>
  <c r="I50" i="9"/>
  <c r="I49" i="9"/>
  <c r="I48" i="9"/>
  <c r="I47" i="9"/>
  <c r="I46" i="9"/>
  <c r="I45" i="9"/>
  <c r="I44" i="9"/>
  <c r="I43" i="9"/>
  <c r="I42" i="9"/>
  <c r="G50" i="9"/>
  <c r="F50" i="9"/>
  <c r="E50" i="9"/>
  <c r="D50" i="9"/>
  <c r="G49" i="9"/>
  <c r="F49" i="9"/>
  <c r="E49" i="9"/>
  <c r="D49" i="9"/>
  <c r="G48" i="9"/>
  <c r="F48" i="9"/>
  <c r="E48" i="9"/>
  <c r="D48" i="9"/>
  <c r="G47" i="9"/>
  <c r="F47" i="9"/>
  <c r="E47" i="9"/>
  <c r="D47" i="9"/>
  <c r="G46" i="9"/>
  <c r="F46" i="9"/>
  <c r="E46" i="9"/>
  <c r="D46" i="9"/>
  <c r="G45" i="9"/>
  <c r="F45" i="9"/>
  <c r="E45" i="9"/>
  <c r="D45" i="9"/>
  <c r="G44" i="9"/>
  <c r="F44" i="9"/>
  <c r="E44" i="9"/>
  <c r="D44" i="9"/>
  <c r="G43" i="9"/>
  <c r="F43" i="9"/>
  <c r="E43" i="9"/>
  <c r="D43" i="9"/>
  <c r="G42" i="9"/>
  <c r="F42" i="9"/>
  <c r="E42" i="9"/>
  <c r="D42" i="9"/>
  <c r="C49" i="9"/>
  <c r="C48" i="9"/>
  <c r="C47" i="9"/>
  <c r="C46" i="9"/>
  <c r="C45" i="9"/>
  <c r="C44" i="9"/>
  <c r="C43" i="9"/>
  <c r="C42" i="9"/>
  <c r="S39" i="9"/>
  <c r="R39" i="9"/>
  <c r="Q39" i="9"/>
  <c r="P39" i="9"/>
  <c r="O39" i="9"/>
  <c r="N39" i="9"/>
  <c r="M39" i="9"/>
  <c r="L39" i="9"/>
  <c r="K39" i="9"/>
  <c r="J39" i="9"/>
  <c r="S38" i="9"/>
  <c r="R38" i="9"/>
  <c r="Q38" i="9"/>
  <c r="P38" i="9"/>
  <c r="O38" i="9"/>
  <c r="N38" i="9"/>
  <c r="M38" i="9"/>
  <c r="L38" i="9"/>
  <c r="K38" i="9"/>
  <c r="J38" i="9"/>
  <c r="S37" i="9"/>
  <c r="R37" i="9"/>
  <c r="Q37" i="9"/>
  <c r="P37" i="9"/>
  <c r="O37" i="9"/>
  <c r="N37" i="9"/>
  <c r="M37" i="9"/>
  <c r="L37" i="9"/>
  <c r="K37" i="9"/>
  <c r="J37" i="9"/>
  <c r="S36" i="9"/>
  <c r="R36" i="9"/>
  <c r="Q36" i="9"/>
  <c r="P36" i="9"/>
  <c r="O36" i="9"/>
  <c r="N36" i="9"/>
  <c r="M36" i="9"/>
  <c r="L36" i="9"/>
  <c r="K36" i="9"/>
  <c r="J36" i="9"/>
  <c r="I39" i="9"/>
  <c r="I38" i="9"/>
  <c r="I37" i="9"/>
  <c r="I36" i="9"/>
  <c r="G39" i="9"/>
  <c r="F39" i="9"/>
  <c r="E39" i="9"/>
  <c r="D39" i="9"/>
  <c r="G38" i="9"/>
  <c r="F38" i="9"/>
  <c r="E38" i="9"/>
  <c r="D38" i="9"/>
  <c r="G37" i="9"/>
  <c r="F37" i="9"/>
  <c r="E37" i="9"/>
  <c r="D37" i="9"/>
  <c r="G36" i="9"/>
  <c r="F36" i="9"/>
  <c r="E36" i="9"/>
  <c r="D36" i="9"/>
  <c r="C39" i="9"/>
  <c r="C38" i="9"/>
  <c r="C37" i="9"/>
  <c r="C36" i="9"/>
  <c r="S30" i="9"/>
  <c r="R30" i="9"/>
  <c r="Q30" i="9"/>
  <c r="P30" i="9"/>
  <c r="O30" i="9"/>
  <c r="N30" i="9"/>
  <c r="M30" i="9"/>
  <c r="L30" i="9"/>
  <c r="K30" i="9"/>
  <c r="J30" i="9"/>
  <c r="I30" i="9"/>
  <c r="G30" i="9"/>
  <c r="F30" i="9"/>
  <c r="E30" i="9"/>
  <c r="D30" i="9"/>
  <c r="C30" i="9"/>
  <c r="S22" i="9"/>
  <c r="R22" i="9"/>
  <c r="Q22" i="9"/>
  <c r="P22" i="9"/>
  <c r="O22" i="9"/>
  <c r="N22" i="9"/>
  <c r="M22" i="9"/>
  <c r="L22" i="9"/>
  <c r="K22" i="9"/>
  <c r="J22" i="9"/>
  <c r="I22" i="9"/>
  <c r="S21" i="9"/>
  <c r="S32" i="9" s="1"/>
  <c r="R21" i="9"/>
  <c r="R32" i="9" s="1"/>
  <c r="Q21" i="9"/>
  <c r="Q32" i="9" s="1"/>
  <c r="P21" i="9"/>
  <c r="P32" i="9" s="1"/>
  <c r="O21" i="9"/>
  <c r="O32" i="9" s="1"/>
  <c r="N21" i="9"/>
  <c r="M21" i="9"/>
  <c r="L21" i="9"/>
  <c r="L32" i="9" s="1"/>
  <c r="K21" i="9"/>
  <c r="K32" i="9" s="1"/>
  <c r="J21" i="9"/>
  <c r="J32" i="9" s="1"/>
  <c r="I21" i="9"/>
  <c r="I32" i="9" s="1"/>
  <c r="S20" i="9"/>
  <c r="S31" i="9" s="1"/>
  <c r="R20" i="9"/>
  <c r="R31" i="9" s="1"/>
  <c r="Q20" i="9"/>
  <c r="P20" i="9"/>
  <c r="P31" i="9" s="1"/>
  <c r="O20" i="9"/>
  <c r="O31" i="9" s="1"/>
  <c r="N20" i="9"/>
  <c r="N31" i="9" s="1"/>
  <c r="M20" i="9"/>
  <c r="M31" i="9" s="1"/>
  <c r="L20" i="9"/>
  <c r="L31" i="9" s="1"/>
  <c r="K20" i="9"/>
  <c r="K31" i="9" s="1"/>
  <c r="J20" i="9"/>
  <c r="J31" i="9" s="1"/>
  <c r="I20" i="9"/>
  <c r="S19" i="9"/>
  <c r="R19" i="9"/>
  <c r="Q19" i="9"/>
  <c r="P19" i="9"/>
  <c r="O19" i="9"/>
  <c r="N19" i="9"/>
  <c r="M19" i="9"/>
  <c r="L19" i="9"/>
  <c r="K19" i="9"/>
  <c r="J19" i="9"/>
  <c r="I19" i="9"/>
  <c r="S18" i="9"/>
  <c r="R18" i="9"/>
  <c r="Q18" i="9"/>
  <c r="P18" i="9"/>
  <c r="O18" i="9"/>
  <c r="N18" i="9"/>
  <c r="M18" i="9"/>
  <c r="L18" i="9"/>
  <c r="K18" i="9"/>
  <c r="J18" i="9"/>
  <c r="I18" i="9"/>
  <c r="S17" i="9"/>
  <c r="S26" i="9" s="1"/>
  <c r="R17" i="9"/>
  <c r="Q17" i="9"/>
  <c r="Q26" i="9" s="1"/>
  <c r="P17" i="9"/>
  <c r="P26" i="9" s="1"/>
  <c r="O17" i="9"/>
  <c r="O26" i="9" s="1"/>
  <c r="N17" i="9"/>
  <c r="N26" i="9" s="1"/>
  <c r="M17" i="9"/>
  <c r="M26" i="9" s="1"/>
  <c r="L17" i="9"/>
  <c r="L26" i="9" s="1"/>
  <c r="K17" i="9"/>
  <c r="K26" i="9" s="1"/>
  <c r="J17" i="9"/>
  <c r="I17" i="9"/>
  <c r="S16" i="9"/>
  <c r="R16" i="9"/>
  <c r="Q16" i="9"/>
  <c r="P16" i="9"/>
  <c r="O16" i="9"/>
  <c r="N16" i="9"/>
  <c r="M16" i="9"/>
  <c r="L16" i="9"/>
  <c r="K16" i="9"/>
  <c r="J16" i="9"/>
  <c r="I16" i="9"/>
  <c r="S15" i="9"/>
  <c r="R15" i="9"/>
  <c r="Q15" i="9"/>
  <c r="P15" i="9"/>
  <c r="O15" i="9"/>
  <c r="N15" i="9"/>
  <c r="M15" i="9"/>
  <c r="L15" i="9"/>
  <c r="K15" i="9"/>
  <c r="J15" i="9"/>
  <c r="I15" i="9"/>
  <c r="S14" i="9"/>
  <c r="R14" i="9"/>
  <c r="Q14" i="9"/>
  <c r="P14" i="9"/>
  <c r="O14" i="9"/>
  <c r="N14" i="9"/>
  <c r="M14" i="9"/>
  <c r="L14" i="9"/>
  <c r="K14" i="9"/>
  <c r="J14" i="9"/>
  <c r="I14" i="9"/>
  <c r="S13" i="9"/>
  <c r="R13" i="9"/>
  <c r="Q13" i="9"/>
  <c r="P13" i="9"/>
  <c r="O13" i="9"/>
  <c r="N13" i="9"/>
  <c r="M13" i="9"/>
  <c r="L13" i="9"/>
  <c r="K13" i="9"/>
  <c r="J13" i="9"/>
  <c r="I13" i="9"/>
  <c r="G22" i="9"/>
  <c r="F22" i="9"/>
  <c r="E22" i="9"/>
  <c r="D22" i="9"/>
  <c r="C22" i="9"/>
  <c r="G21" i="9"/>
  <c r="G32" i="9" s="1"/>
  <c r="F21" i="9"/>
  <c r="F32" i="9" s="1"/>
  <c r="E21" i="9"/>
  <c r="E32" i="9" s="1"/>
  <c r="D21" i="9"/>
  <c r="D32" i="9" s="1"/>
  <c r="C21" i="9"/>
  <c r="C32" i="9" s="1"/>
  <c r="G20" i="9"/>
  <c r="G31" i="9" s="1"/>
  <c r="F20" i="9"/>
  <c r="F31" i="9" s="1"/>
  <c r="E20" i="9"/>
  <c r="E31" i="9" s="1"/>
  <c r="D20" i="9"/>
  <c r="D31" i="9" s="1"/>
  <c r="C20" i="9"/>
  <c r="C31" i="9" s="1"/>
  <c r="G19" i="9"/>
  <c r="F19" i="9"/>
  <c r="E19" i="9"/>
  <c r="D19" i="9"/>
  <c r="C19" i="9"/>
  <c r="G18" i="9"/>
  <c r="F18" i="9"/>
  <c r="E18" i="9"/>
  <c r="D18" i="9"/>
  <c r="C18" i="9"/>
  <c r="G17" i="9"/>
  <c r="G26" i="9" s="1"/>
  <c r="F17" i="9"/>
  <c r="F26" i="9" s="1"/>
  <c r="E17" i="9"/>
  <c r="E26" i="9" s="1"/>
  <c r="D17" i="9"/>
  <c r="D26" i="9" s="1"/>
  <c r="C17" i="9"/>
  <c r="C26" i="9" s="1"/>
  <c r="G16" i="9"/>
  <c r="F16" i="9"/>
  <c r="E16" i="9"/>
  <c r="D16" i="9"/>
  <c r="C16" i="9"/>
  <c r="G15" i="9"/>
  <c r="F15" i="9"/>
  <c r="E15" i="9"/>
  <c r="D15" i="9"/>
  <c r="C15" i="9"/>
  <c r="G14" i="9"/>
  <c r="F14" i="9"/>
  <c r="E14" i="9"/>
  <c r="D14" i="9"/>
  <c r="C14" i="9"/>
  <c r="G13" i="9"/>
  <c r="F13" i="9"/>
  <c r="E13" i="9"/>
  <c r="D13" i="9"/>
  <c r="C13" i="9"/>
  <c r="S7" i="9"/>
  <c r="R7" i="9"/>
  <c r="Q7" i="9"/>
  <c r="P7" i="9"/>
  <c r="O7" i="9"/>
  <c r="N7" i="9"/>
  <c r="M7" i="9"/>
  <c r="L7" i="9"/>
  <c r="K7" i="9"/>
  <c r="J7" i="9"/>
  <c r="S6" i="9"/>
  <c r="R6" i="9"/>
  <c r="Q6" i="9"/>
  <c r="P6" i="9"/>
  <c r="O6" i="9"/>
  <c r="N6" i="9"/>
  <c r="M6" i="9"/>
  <c r="L6" i="9"/>
  <c r="K6" i="9"/>
  <c r="J6" i="9"/>
  <c r="I7" i="9"/>
  <c r="I6" i="9"/>
  <c r="G7" i="9"/>
  <c r="F7" i="9"/>
  <c r="E7" i="9"/>
  <c r="D7" i="9"/>
  <c r="C7" i="9"/>
  <c r="G6" i="9"/>
  <c r="F6" i="9"/>
  <c r="E6" i="9"/>
  <c r="D6" i="9"/>
  <c r="C6" i="9"/>
  <c r="AE83" i="9"/>
  <c r="AE82" i="9"/>
  <c r="AE81" i="9"/>
  <c r="AE80" i="9"/>
  <c r="AE79" i="9"/>
  <c r="AE78" i="9"/>
  <c r="AE77" i="9"/>
  <c r="AE76" i="9"/>
  <c r="AE75" i="9"/>
  <c r="AE74" i="9"/>
  <c r="N32" i="9"/>
  <c r="M32" i="9"/>
  <c r="Q31" i="9"/>
  <c r="R26" i="9"/>
  <c r="J26" i="9"/>
  <c r="I31" i="9"/>
  <c r="I26" i="9"/>
  <c r="T9" i="10"/>
  <c r="R10" i="10"/>
  <c r="R9" i="10"/>
  <c r="M10" i="10"/>
  <c r="AB10" i="10" s="1"/>
  <c r="Q10" i="10"/>
  <c r="AE10" i="10" s="1"/>
  <c r="V112" i="8"/>
  <c r="W104" i="8"/>
  <c r="AB84" i="8"/>
  <c r="AA84" i="8"/>
  <c r="Z84" i="8"/>
  <c r="X84" i="8"/>
  <c r="W84" i="8"/>
  <c r="V84" i="8"/>
  <c r="AB83" i="8"/>
  <c r="AA83" i="8"/>
  <c r="Z83" i="8"/>
  <c r="X83" i="8"/>
  <c r="W83" i="8"/>
  <c r="V83" i="8"/>
  <c r="AB82" i="8"/>
  <c r="AA82" i="8"/>
  <c r="Z82" i="8"/>
  <c r="X82" i="8"/>
  <c r="W82" i="8"/>
  <c r="V82" i="8"/>
  <c r="AB81" i="8"/>
  <c r="AA81" i="8"/>
  <c r="Z81" i="8"/>
  <c r="X81" i="8"/>
  <c r="W81" i="8"/>
  <c r="V81" i="8"/>
  <c r="AB80" i="8"/>
  <c r="AA80" i="8"/>
  <c r="Z80" i="8"/>
  <c r="X80" i="8"/>
  <c r="W80" i="8"/>
  <c r="V80" i="8"/>
  <c r="AB77" i="8"/>
  <c r="AA77" i="8"/>
  <c r="Z77" i="8"/>
  <c r="Y77" i="8"/>
  <c r="X77" i="8"/>
  <c r="W77" i="8"/>
  <c r="V77" i="8"/>
  <c r="AB76" i="8"/>
  <c r="AA76" i="8"/>
  <c r="Z76" i="8"/>
  <c r="X76" i="8"/>
  <c r="AD76" i="8" s="1"/>
  <c r="W76" i="8"/>
  <c r="V76" i="8"/>
  <c r="AB75" i="8"/>
  <c r="AA75" i="8"/>
  <c r="Z75" i="8"/>
  <c r="X75" i="8"/>
  <c r="W75" i="8"/>
  <c r="V75" i="8"/>
  <c r="AB74" i="8"/>
  <c r="AD74" i="8" s="1"/>
  <c r="AA74" i="8"/>
  <c r="Z74" i="8"/>
  <c r="X74" i="8"/>
  <c r="W74" i="8"/>
  <c r="V74" i="8"/>
  <c r="AB73" i="8"/>
  <c r="AA73" i="8"/>
  <c r="Z73" i="8"/>
  <c r="X73" i="8"/>
  <c r="W73" i="8"/>
  <c r="V73" i="8"/>
  <c r="AA69" i="8"/>
  <c r="Z69" i="8"/>
  <c r="Y69" i="8"/>
  <c r="X69" i="8"/>
  <c r="W69" i="8"/>
  <c r="V69" i="8"/>
  <c r="AA68" i="8"/>
  <c r="Z68" i="8"/>
  <c r="Y68" i="8"/>
  <c r="X68" i="8"/>
  <c r="W68" i="8"/>
  <c r="V68" i="8"/>
  <c r="AA67" i="8"/>
  <c r="Z67" i="8"/>
  <c r="X67" i="8"/>
  <c r="W67" i="8"/>
  <c r="V67" i="8"/>
  <c r="AA66" i="8"/>
  <c r="Z66" i="8"/>
  <c r="X66" i="8"/>
  <c r="W66" i="8"/>
  <c r="V66" i="8"/>
  <c r="AA65" i="8"/>
  <c r="Z65" i="8"/>
  <c r="X65" i="8"/>
  <c r="W65" i="8"/>
  <c r="V65" i="8"/>
  <c r="Z61" i="8"/>
  <c r="Y61" i="8"/>
  <c r="X61" i="8"/>
  <c r="W61" i="8"/>
  <c r="V61" i="8"/>
  <c r="AA60" i="8"/>
  <c r="Z60" i="8"/>
  <c r="X60" i="8"/>
  <c r="W60" i="8"/>
  <c r="V60" i="8"/>
  <c r="AA59" i="8"/>
  <c r="Z59" i="8"/>
  <c r="X59" i="8"/>
  <c r="W59" i="8"/>
  <c r="V59" i="8"/>
  <c r="AA58" i="8"/>
  <c r="Z58" i="8"/>
  <c r="Y58" i="8"/>
  <c r="X58" i="8"/>
  <c r="W58" i="8"/>
  <c r="V58" i="8"/>
  <c r="AA57" i="8"/>
  <c r="Z57" i="8"/>
  <c r="Y57" i="8"/>
  <c r="X57" i="8"/>
  <c r="W57" i="8"/>
  <c r="V57" i="8"/>
  <c r="X53" i="8"/>
  <c r="W53" i="8"/>
  <c r="V53" i="8"/>
  <c r="AA52" i="8"/>
  <c r="Z52" i="8"/>
  <c r="X52" i="8"/>
  <c r="W52" i="8"/>
  <c r="V52" i="8"/>
  <c r="AA51" i="8"/>
  <c r="Z51" i="8"/>
  <c r="Y51" i="8"/>
  <c r="X51" i="8"/>
  <c r="W51" i="8"/>
  <c r="V51" i="8"/>
  <c r="AA50" i="8"/>
  <c r="Z50" i="8"/>
  <c r="Y50" i="8"/>
  <c r="X50" i="8"/>
  <c r="W50" i="8"/>
  <c r="V50" i="8"/>
  <c r="AA49" i="8"/>
  <c r="Z49" i="8"/>
  <c r="X49" i="8"/>
  <c r="W49" i="8"/>
  <c r="V49" i="8"/>
  <c r="AA38" i="8"/>
  <c r="X38" i="8"/>
  <c r="W38" i="8"/>
  <c r="V38" i="8"/>
  <c r="AB38" i="8"/>
  <c r="V34" i="8"/>
  <c r="Z30" i="8"/>
  <c r="AA28" i="8"/>
  <c r="Z28" i="8"/>
  <c r="X28" i="8"/>
  <c r="Z27" i="8"/>
  <c r="Y27" i="8"/>
  <c r="Y26" i="8"/>
  <c r="X26" i="8"/>
  <c r="V26" i="8"/>
  <c r="V14" i="8"/>
  <c r="V13" i="8"/>
  <c r="AD98" i="8"/>
  <c r="AD73" i="8"/>
  <c r="T101" i="8"/>
  <c r="T99" i="8"/>
  <c r="T120" i="8"/>
  <c r="T121" i="8"/>
  <c r="L101" i="8"/>
  <c r="M101" i="8" s="1"/>
  <c r="L115" i="8"/>
  <c r="M115" i="8" s="1"/>
  <c r="X115" i="8" s="1"/>
  <c r="L124" i="8"/>
  <c r="K132" i="8"/>
  <c r="L132" i="8" s="1"/>
  <c r="K128" i="8"/>
  <c r="L128" i="8" s="1"/>
  <c r="O149" i="8"/>
  <c r="P149" i="8" s="1"/>
  <c r="O148" i="8"/>
  <c r="P148" i="8" s="1"/>
  <c r="Q148" i="8" s="1"/>
  <c r="K148" i="8"/>
  <c r="L148" i="8" s="1"/>
  <c r="M148" i="8" s="1"/>
  <c r="K149" i="8"/>
  <c r="L149" i="8" s="1"/>
  <c r="M149" i="8" s="1"/>
  <c r="K131" i="8"/>
  <c r="L131" i="8" s="1"/>
  <c r="K130" i="8"/>
  <c r="L130" i="8" s="1"/>
  <c r="K129" i="8"/>
  <c r="L129" i="8" s="1"/>
  <c r="K119" i="8"/>
  <c r="L119" i="8" s="1"/>
  <c r="K120" i="8"/>
  <c r="K122" i="8"/>
  <c r="L122" i="8" s="1"/>
  <c r="K123" i="8"/>
  <c r="K115" i="8"/>
  <c r="V115" i="8" s="1"/>
  <c r="K114" i="8"/>
  <c r="K113" i="8"/>
  <c r="L113" i="8" s="1"/>
  <c r="M113" i="8" s="1"/>
  <c r="X113" i="8" s="1"/>
  <c r="K112" i="8"/>
  <c r="L112" i="8" s="1"/>
  <c r="M112" i="8" s="1"/>
  <c r="X112" i="8" s="1"/>
  <c r="K111" i="8"/>
  <c r="L111" i="8" s="1"/>
  <c r="K110" i="8"/>
  <c r="L110" i="8" s="1"/>
  <c r="K99" i="8"/>
  <c r="K100" i="8"/>
  <c r="L100" i="8" s="1"/>
  <c r="K101" i="8"/>
  <c r="V101" i="8" s="1"/>
  <c r="K102" i="8"/>
  <c r="L102" i="8" s="1"/>
  <c r="K103" i="8"/>
  <c r="L103" i="8" s="1"/>
  <c r="M103" i="8" s="1"/>
  <c r="K104" i="8"/>
  <c r="L104" i="8" s="1"/>
  <c r="M104" i="8" s="1"/>
  <c r="K106" i="8"/>
  <c r="L106" i="8" s="1"/>
  <c r="P132" i="8"/>
  <c r="P113" i="8"/>
  <c r="P112" i="8"/>
  <c r="R41" i="8"/>
  <c r="R38" i="8"/>
  <c r="Z38" i="8" s="1"/>
  <c r="T29" i="8"/>
  <c r="T30" i="8"/>
  <c r="AB30" i="8" s="1"/>
  <c r="T61" i="8"/>
  <c r="T53" i="8"/>
  <c r="AB53" i="8" s="1"/>
  <c r="AD53" i="8" s="1"/>
  <c r="L53" i="8"/>
  <c r="K53" i="8"/>
  <c r="J53" i="8"/>
  <c r="D130" i="8"/>
  <c r="C130" i="8"/>
  <c r="S130" i="8"/>
  <c r="T130" i="8" s="1"/>
  <c r="E130" i="8"/>
  <c r="O130" i="8"/>
  <c r="R129" i="8"/>
  <c r="S129" i="8" s="1"/>
  <c r="T129" i="8" s="1"/>
  <c r="O129" i="8"/>
  <c r="P129" i="8" s="1"/>
  <c r="H128" i="8"/>
  <c r="R128" i="8"/>
  <c r="S128" i="8" s="1"/>
  <c r="T128" i="8" s="1"/>
  <c r="N128" i="8"/>
  <c r="O128" i="8" s="1"/>
  <c r="P128" i="8" s="1"/>
  <c r="G128" i="8"/>
  <c r="F128" i="8"/>
  <c r="E128" i="8"/>
  <c r="D128" i="8"/>
  <c r="C128" i="8"/>
  <c r="J121" i="8"/>
  <c r="J125" i="8" s="1"/>
  <c r="J105" i="8"/>
  <c r="K105" i="8" s="1"/>
  <c r="L105" i="8" s="1"/>
  <c r="O131" i="8"/>
  <c r="P131" i="8" s="1"/>
  <c r="C141" i="8"/>
  <c r="O124" i="8"/>
  <c r="P124" i="8" s="1"/>
  <c r="O122" i="8"/>
  <c r="P122" i="8" s="1"/>
  <c r="O120" i="8"/>
  <c r="O119" i="8"/>
  <c r="S132" i="8"/>
  <c r="T132" i="8" s="1"/>
  <c r="S100" i="8"/>
  <c r="T100" i="8" s="1"/>
  <c r="S106" i="8"/>
  <c r="T106" i="8" s="1"/>
  <c r="S107" i="8"/>
  <c r="T107" i="8" s="1"/>
  <c r="O115" i="8"/>
  <c r="P115" i="8" s="1"/>
  <c r="O114" i="8"/>
  <c r="P114" i="8" s="1"/>
  <c r="O113" i="8"/>
  <c r="O112" i="8"/>
  <c r="O111" i="8"/>
  <c r="O110" i="8"/>
  <c r="P110" i="8" s="1"/>
  <c r="O106" i="8"/>
  <c r="O104" i="8"/>
  <c r="P104" i="8" s="1"/>
  <c r="O103" i="8"/>
  <c r="O102" i="8"/>
  <c r="P102" i="8" s="1"/>
  <c r="O101" i="8"/>
  <c r="O100" i="8"/>
  <c r="O99" i="8"/>
  <c r="P99" i="8" s="1"/>
  <c r="S61" i="8"/>
  <c r="AA61" i="8" s="1"/>
  <c r="S53" i="8"/>
  <c r="AA53" i="8" s="1"/>
  <c r="R105" i="8"/>
  <c r="S105" i="8" s="1"/>
  <c r="T105" i="8" s="1"/>
  <c r="R103" i="8"/>
  <c r="S103" i="8" s="1"/>
  <c r="T103" i="8" s="1"/>
  <c r="R99" i="8"/>
  <c r="S99" i="8" s="1"/>
  <c r="R102" i="8"/>
  <c r="S102" i="8" s="1"/>
  <c r="T102" i="8" s="1"/>
  <c r="R101" i="8"/>
  <c r="S101" i="8" s="1"/>
  <c r="R110" i="8"/>
  <c r="S110" i="8" s="1"/>
  <c r="T110" i="8" s="1"/>
  <c r="R111" i="8"/>
  <c r="S111" i="8" s="1"/>
  <c r="T111" i="8" s="1"/>
  <c r="R112" i="8"/>
  <c r="S112" i="8" s="1"/>
  <c r="T112" i="8" s="1"/>
  <c r="R113" i="8"/>
  <c r="S113" i="8" s="1"/>
  <c r="T113" i="8" s="1"/>
  <c r="R114" i="8"/>
  <c r="S114" i="8" s="1"/>
  <c r="T114" i="8" s="1"/>
  <c r="R115" i="8"/>
  <c r="S115" i="8" s="1"/>
  <c r="T115" i="8" s="1"/>
  <c r="R121" i="8"/>
  <c r="S121" i="8" s="1"/>
  <c r="R123" i="8"/>
  <c r="S123" i="8" s="1"/>
  <c r="T123" i="8" s="1"/>
  <c r="R122" i="8"/>
  <c r="S122" i="8" s="1"/>
  <c r="T122" i="8" s="1"/>
  <c r="R124" i="8"/>
  <c r="S124" i="8" s="1"/>
  <c r="T124" i="8" s="1"/>
  <c r="R119" i="8"/>
  <c r="S119" i="8" s="1"/>
  <c r="T119" i="8" s="1"/>
  <c r="R149" i="8"/>
  <c r="S149" i="8" s="1"/>
  <c r="T149" i="8" s="1"/>
  <c r="R148" i="8"/>
  <c r="S148" i="8" s="1"/>
  <c r="T148" i="8" s="1"/>
  <c r="R131" i="8"/>
  <c r="S131" i="8" s="1"/>
  <c r="T131" i="8" s="1"/>
  <c r="L141" i="8"/>
  <c r="K141" i="8"/>
  <c r="J141" i="8"/>
  <c r="T141" i="8"/>
  <c r="S141" i="8"/>
  <c r="R141" i="8"/>
  <c r="P141" i="8"/>
  <c r="O141" i="8"/>
  <c r="N141" i="8"/>
  <c r="N121" i="8"/>
  <c r="O121" i="8" s="1"/>
  <c r="N123" i="8"/>
  <c r="O123" i="8" s="1"/>
  <c r="P123" i="8" s="1"/>
  <c r="H123" i="8"/>
  <c r="H121" i="8"/>
  <c r="G121" i="8"/>
  <c r="G125" i="8" s="1"/>
  <c r="F121" i="8"/>
  <c r="F125" i="8" s="1"/>
  <c r="E121" i="8"/>
  <c r="E125" i="8" s="1"/>
  <c r="D121" i="8"/>
  <c r="D125" i="8" s="1"/>
  <c r="C121" i="8"/>
  <c r="C125" i="8" s="1"/>
  <c r="N105" i="8"/>
  <c r="O105" i="8" s="1"/>
  <c r="P105" i="8" s="1"/>
  <c r="H111" i="8"/>
  <c r="G111" i="8"/>
  <c r="F111" i="8"/>
  <c r="E111" i="8"/>
  <c r="D111" i="8"/>
  <c r="C111" i="8"/>
  <c r="R61" i="8"/>
  <c r="R53" i="8"/>
  <c r="Z53" i="8" s="1"/>
  <c r="AB68" i="8"/>
  <c r="AD68" i="8" s="1"/>
  <c r="AB67" i="8"/>
  <c r="AB65" i="8"/>
  <c r="AB61" i="8"/>
  <c r="AD61" i="8" s="1"/>
  <c r="AB60" i="8"/>
  <c r="AB59" i="8"/>
  <c r="AD59" i="8"/>
  <c r="AB58" i="8"/>
  <c r="AD58" i="8" s="1"/>
  <c r="AB52" i="8"/>
  <c r="AD52" i="8" s="1"/>
  <c r="AB51" i="8"/>
  <c r="AD51" i="8" s="1"/>
  <c r="AB50" i="8"/>
  <c r="AD50" i="8" s="1"/>
  <c r="R34" i="8"/>
  <c r="R30" i="8"/>
  <c r="R29" i="8"/>
  <c r="R27" i="8"/>
  <c r="R28" i="8"/>
  <c r="R26" i="8"/>
  <c r="R22" i="8"/>
  <c r="R21" i="8"/>
  <c r="R19" i="8"/>
  <c r="R18" i="8"/>
  <c r="R17" i="8"/>
  <c r="R16" i="8"/>
  <c r="R15" i="8"/>
  <c r="R14" i="8"/>
  <c r="R13" i="8"/>
  <c r="N29" i="8"/>
  <c r="R10" i="8"/>
  <c r="H105" i="8"/>
  <c r="G105" i="8"/>
  <c r="F105" i="8"/>
  <c r="E105" i="8"/>
  <c r="D105" i="8"/>
  <c r="C105" i="8"/>
  <c r="Q107" i="8"/>
  <c r="AA107" i="8" s="1"/>
  <c r="M107" i="8"/>
  <c r="X107" i="8" s="1"/>
  <c r="Q28" i="8"/>
  <c r="AB28" i="8" s="1"/>
  <c r="Q27" i="8"/>
  <c r="AB27" i="8" s="1"/>
  <c r="Q26" i="8"/>
  <c r="AB26" i="8" s="1"/>
  <c r="M30" i="8"/>
  <c r="X30" i="8" s="1"/>
  <c r="M28" i="8"/>
  <c r="W28" i="8" s="1"/>
  <c r="M27" i="8"/>
  <c r="V27" i="8" s="1"/>
  <c r="M26" i="8"/>
  <c r="W26" i="8" s="1"/>
  <c r="H29" i="8"/>
  <c r="G29" i="8"/>
  <c r="M29" i="8" s="1"/>
  <c r="X29" i="8" s="1"/>
  <c r="E29" i="8"/>
  <c r="H30" i="8"/>
  <c r="Q30" i="8" s="1"/>
  <c r="Y30" i="8" s="1"/>
  <c r="H53" i="8"/>
  <c r="Q53" i="8" s="1"/>
  <c r="Y53" i="8" s="1"/>
  <c r="G53" i="8"/>
  <c r="M53" i="8" s="1"/>
  <c r="H141" i="8"/>
  <c r="G141" i="8"/>
  <c r="F141" i="8"/>
  <c r="E141" i="8"/>
  <c r="D141" i="8"/>
  <c r="M74" i="8"/>
  <c r="Q68" i="8"/>
  <c r="Q67" i="8"/>
  <c r="Y67" i="8" s="1"/>
  <c r="M67" i="8"/>
  <c r="Q76" i="8"/>
  <c r="Y76" i="8" s="1"/>
  <c r="Q75" i="8"/>
  <c r="Y75" i="8" s="1"/>
  <c r="Q74" i="8"/>
  <c r="Y74" i="8" s="1"/>
  <c r="Q73" i="8"/>
  <c r="Y73" i="8" s="1"/>
  <c r="Q77" i="8"/>
  <c r="M77" i="8"/>
  <c r="AD75" i="8"/>
  <c r="AD77" i="8"/>
  <c r="E61" i="8"/>
  <c r="D61" i="8"/>
  <c r="C61" i="8"/>
  <c r="F53" i="8"/>
  <c r="E53" i="8"/>
  <c r="D53" i="8"/>
  <c r="C53" i="8"/>
  <c r="Q50" i="8"/>
  <c r="M50" i="8"/>
  <c r="Q15" i="8"/>
  <c r="M15" i="8"/>
  <c r="X15" i="8" s="1"/>
  <c r="Q13" i="8"/>
  <c r="M13" i="8"/>
  <c r="W13" i="8" s="1"/>
  <c r="Q84" i="8"/>
  <c r="Y84" i="8" s="1"/>
  <c r="Q83" i="8"/>
  <c r="Y83" i="8" s="1"/>
  <c r="Q82" i="8"/>
  <c r="Y82" i="8" s="1"/>
  <c r="Q81" i="8"/>
  <c r="Y81" i="8" s="1"/>
  <c r="M84" i="8"/>
  <c r="M83" i="8"/>
  <c r="M82" i="8"/>
  <c r="M81" i="8"/>
  <c r="M76" i="8"/>
  <c r="M75" i="8"/>
  <c r="Q61" i="8"/>
  <c r="Q60" i="8"/>
  <c r="Y60" i="8" s="1"/>
  <c r="Q59" i="8"/>
  <c r="Y59" i="8" s="1"/>
  <c r="Q58" i="8"/>
  <c r="Q52" i="8"/>
  <c r="Y52" i="8" s="1"/>
  <c r="Q51" i="8"/>
  <c r="Q49" i="8"/>
  <c r="Y49" i="8" s="1"/>
  <c r="M52" i="8"/>
  <c r="M51" i="8"/>
  <c r="M49" i="8"/>
  <c r="M61" i="8"/>
  <c r="M60" i="8"/>
  <c r="M59" i="8"/>
  <c r="M58" i="8"/>
  <c r="Q80" i="8"/>
  <c r="Y80" i="8" s="1"/>
  <c r="M80" i="8"/>
  <c r="Q57" i="8"/>
  <c r="M57" i="8"/>
  <c r="Q69" i="8"/>
  <c r="M69" i="8"/>
  <c r="M68" i="8"/>
  <c r="Q66" i="8"/>
  <c r="Y66" i="8" s="1"/>
  <c r="M66" i="8"/>
  <c r="Q65" i="8"/>
  <c r="Y65" i="8" s="1"/>
  <c r="M65" i="8"/>
  <c r="Q22" i="8"/>
  <c r="Q21" i="8"/>
  <c r="Q20" i="8"/>
  <c r="AA20" i="8" s="1"/>
  <c r="Q19" i="8"/>
  <c r="Q18" i="8"/>
  <c r="Q17" i="8"/>
  <c r="Q16" i="8"/>
  <c r="Y16" i="8" s="1"/>
  <c r="M22" i="8"/>
  <c r="X22" i="8" s="1"/>
  <c r="M21" i="8"/>
  <c r="X21" i="8" s="1"/>
  <c r="M20" i="8"/>
  <c r="X20" i="8" s="1"/>
  <c r="M19" i="8"/>
  <c r="X19" i="8" s="1"/>
  <c r="M18" i="8"/>
  <c r="X18" i="8" s="1"/>
  <c r="M17" i="8"/>
  <c r="X17" i="8" s="1"/>
  <c r="M16" i="8"/>
  <c r="X16" i="8" s="1"/>
  <c r="M41" i="8"/>
  <c r="M38" i="8"/>
  <c r="Q34" i="8"/>
  <c r="Z34" i="8" s="1"/>
  <c r="M34" i="8"/>
  <c r="X34" i="8" s="1"/>
  <c r="Q14" i="8"/>
  <c r="Y14" i="8" s="1"/>
  <c r="M14" i="8"/>
  <c r="X14" i="8" s="1"/>
  <c r="AA41" i="8"/>
  <c r="Z41" i="8"/>
  <c r="X41" i="8"/>
  <c r="W41" i="8"/>
  <c r="V41" i="8"/>
  <c r="AB41" i="8"/>
  <c r="Q41" i="8"/>
  <c r="Y41" i="8" s="1"/>
  <c r="Q38" i="8"/>
  <c r="Y38" i="8" s="1"/>
  <c r="V91" i="9"/>
  <c r="U91" i="9"/>
  <c r="Z91" i="9" l="1"/>
  <c r="W91" i="9"/>
  <c r="X91" i="9"/>
  <c r="Y91" i="9"/>
  <c r="L91" i="9"/>
  <c r="AB91" i="9"/>
  <c r="AD91" i="9"/>
  <c r="AE91" i="9"/>
  <c r="P91" i="9"/>
  <c r="AC91" i="9"/>
  <c r="AA91" i="9"/>
  <c r="AE31" i="9"/>
  <c r="AG31" i="9" s="1"/>
  <c r="AE32" i="9"/>
  <c r="AG32" i="9" s="1"/>
  <c r="AE50" i="9"/>
  <c r="AE44" i="9"/>
  <c r="AE48" i="9"/>
  <c r="AE49" i="9"/>
  <c r="AE45" i="9"/>
  <c r="AE46" i="9"/>
  <c r="AE43" i="9"/>
  <c r="AE47" i="9"/>
  <c r="F60" i="9"/>
  <c r="AE18" i="9"/>
  <c r="AE15" i="9"/>
  <c r="AE19" i="9"/>
  <c r="G60" i="9"/>
  <c r="AE20" i="9"/>
  <c r="AG20" i="9" s="1"/>
  <c r="E60" i="9"/>
  <c r="AE16" i="9"/>
  <c r="AG16" i="9" s="1"/>
  <c r="AE13" i="9"/>
  <c r="AG13" i="9" s="1"/>
  <c r="AE17" i="9"/>
  <c r="AE21" i="9"/>
  <c r="AE14" i="9"/>
  <c r="AE22" i="9"/>
  <c r="AG22" i="9" s="1"/>
  <c r="AC10" i="10"/>
  <c r="AF10" i="10"/>
  <c r="AH10" i="10" s="1"/>
  <c r="AD10" i="10"/>
  <c r="M131" i="8"/>
  <c r="X131" i="8" s="1"/>
  <c r="V131" i="8"/>
  <c r="AA122" i="8"/>
  <c r="Z104" i="8"/>
  <c r="X104" i="8"/>
  <c r="W129" i="8"/>
  <c r="P103" i="8"/>
  <c r="W27" i="8"/>
  <c r="AA34" i="8"/>
  <c r="Y115" i="8"/>
  <c r="P111" i="8"/>
  <c r="L114" i="8"/>
  <c r="X27" i="8"/>
  <c r="Y28" i="8"/>
  <c r="AA30" i="8"/>
  <c r="AB34" i="8"/>
  <c r="V103" i="8"/>
  <c r="V107" i="8"/>
  <c r="V113" i="8"/>
  <c r="W107" i="8"/>
  <c r="V106" i="8"/>
  <c r="P121" i="8"/>
  <c r="W14" i="8"/>
  <c r="Z26" i="8"/>
  <c r="AA27" i="8"/>
  <c r="V30" i="8"/>
  <c r="W34" i="8"/>
  <c r="AD80" i="8"/>
  <c r="Y107" i="8"/>
  <c r="W112" i="8"/>
  <c r="Y121" i="8"/>
  <c r="W113" i="8"/>
  <c r="M129" i="8"/>
  <c r="X129" i="8" s="1"/>
  <c r="V17" i="8"/>
  <c r="AA26" i="8"/>
  <c r="V29" i="8"/>
  <c r="W30" i="8"/>
  <c r="Z107" i="8"/>
  <c r="Y131" i="8"/>
  <c r="W103" i="8"/>
  <c r="V18" i="8"/>
  <c r="V28" i="8"/>
  <c r="W29" i="8"/>
  <c r="Y34" i="8"/>
  <c r="W101" i="8"/>
  <c r="Y102" i="8"/>
  <c r="W115" i="8"/>
  <c r="AD60" i="8"/>
  <c r="K121" i="8"/>
  <c r="L120" i="8"/>
  <c r="M120" i="8" s="1"/>
  <c r="X120" i="8" s="1"/>
  <c r="W18" i="8"/>
  <c r="AD81" i="8"/>
  <c r="Z102" i="8"/>
  <c r="V104" i="8"/>
  <c r="V110" i="8"/>
  <c r="AD67" i="8"/>
  <c r="AD30" i="8"/>
  <c r="AD27" i="8"/>
  <c r="T125" i="8"/>
  <c r="M100" i="8"/>
  <c r="V100" i="8" s="1"/>
  <c r="Q112" i="8"/>
  <c r="Y112" i="8" s="1"/>
  <c r="W17" i="8"/>
  <c r="W21" i="8"/>
  <c r="Q149" i="8"/>
  <c r="M106" i="8"/>
  <c r="M111" i="8"/>
  <c r="Q113" i="8"/>
  <c r="AB113" i="8" s="1"/>
  <c r="AD113" i="8" s="1"/>
  <c r="AD28" i="8"/>
  <c r="L99" i="8"/>
  <c r="M99" i="8" s="1"/>
  <c r="X99" i="8" s="1"/>
  <c r="V16" i="8"/>
  <c r="V20" i="8"/>
  <c r="V21" i="8"/>
  <c r="Q122" i="8"/>
  <c r="AB122" i="8" s="1"/>
  <c r="P101" i="8"/>
  <c r="M102" i="8"/>
  <c r="X102" i="8" s="1"/>
  <c r="W16" i="8"/>
  <c r="W20" i="8"/>
  <c r="M122" i="8"/>
  <c r="M130" i="8"/>
  <c r="X130" i="8" s="1"/>
  <c r="P100" i="8"/>
  <c r="P119" i="8"/>
  <c r="V15" i="8"/>
  <c r="V19" i="8"/>
  <c r="M110" i="8"/>
  <c r="P120" i="8"/>
  <c r="P130" i="8"/>
  <c r="L123" i="8"/>
  <c r="W15" i="8"/>
  <c r="W19" i="8"/>
  <c r="Q131" i="8"/>
  <c r="P106" i="8"/>
  <c r="V22" i="8"/>
  <c r="W22" i="8"/>
  <c r="M105" i="8"/>
  <c r="X105" i="8" s="1"/>
  <c r="M119" i="8"/>
  <c r="K125" i="8"/>
  <c r="Q115" i="8"/>
  <c r="Z115" i="8" s="1"/>
  <c r="Q114" i="8"/>
  <c r="Q110" i="8"/>
  <c r="Y110" i="8" s="1"/>
  <c r="Q102" i="8"/>
  <c r="AA102" i="8" s="1"/>
  <c r="Q103" i="8"/>
  <c r="Y103" i="8" s="1"/>
  <c r="Q104" i="8"/>
  <c r="AA104" i="8" s="1"/>
  <c r="Q129" i="8"/>
  <c r="AA129" i="8" s="1"/>
  <c r="H125" i="8"/>
  <c r="Q121" i="8"/>
  <c r="AB121" i="8" s="1"/>
  <c r="R125" i="8"/>
  <c r="O125" i="8"/>
  <c r="S125" i="8"/>
  <c r="Q99" i="8"/>
  <c r="AB99" i="8" s="1"/>
  <c r="N125" i="8"/>
  <c r="Q123" i="8"/>
  <c r="AB15" i="8"/>
  <c r="AD15" i="8" s="1"/>
  <c r="AB110" i="8"/>
  <c r="AB115" i="8"/>
  <c r="AB103" i="8"/>
  <c r="Q105" i="8"/>
  <c r="AA105" i="8" s="1"/>
  <c r="AB18" i="8"/>
  <c r="AD18" i="8" s="1"/>
  <c r="AB107" i="8"/>
  <c r="AD107" i="8" s="1"/>
  <c r="AB21" i="8"/>
  <c r="AD21" i="8" s="1"/>
  <c r="AA22" i="8"/>
  <c r="Z13" i="8"/>
  <c r="AB19" i="8"/>
  <c r="AD19" i="8" s="1"/>
  <c r="Z17" i="8"/>
  <c r="Q29" i="8"/>
  <c r="Y13" i="8"/>
  <c r="AD26" i="8"/>
  <c r="AA14" i="8"/>
  <c r="Z22" i="8"/>
  <c r="AB14" i="8"/>
  <c r="Z19" i="8"/>
  <c r="Y19" i="8"/>
  <c r="Z16" i="8"/>
  <c r="AA19" i="8"/>
  <c r="Z18" i="8"/>
  <c r="AA17" i="8"/>
  <c r="AB17" i="8"/>
  <c r="AD17" i="8" s="1"/>
  <c r="AB20" i="8"/>
  <c r="AD20" i="8" s="1"/>
  <c r="Z14" i="8"/>
  <c r="Y18" i="8"/>
  <c r="Y21" i="8"/>
  <c r="Z21" i="8"/>
  <c r="AA13" i="8"/>
  <c r="AA21" i="8"/>
  <c r="AB13" i="8"/>
  <c r="Z15" i="8"/>
  <c r="AA18" i="8"/>
  <c r="Y20" i="8"/>
  <c r="AB22" i="8"/>
  <c r="AD22" i="8" s="1"/>
  <c r="AA16" i="8"/>
  <c r="Y15" i="8"/>
  <c r="AB16" i="8"/>
  <c r="AD16" i="8" s="1"/>
  <c r="AA15" i="8"/>
  <c r="Y17" i="8"/>
  <c r="Z20" i="8"/>
  <c r="Y22" i="8"/>
  <c r="X13" i="8"/>
  <c r="AD41" i="8"/>
  <c r="AG14" i="9" l="1"/>
  <c r="AG17" i="9"/>
  <c r="AG19" i="9"/>
  <c r="AG15" i="9"/>
  <c r="AG21" i="9"/>
  <c r="AG18" i="9"/>
  <c r="Z130" i="8"/>
  <c r="W102" i="8"/>
  <c r="V99" i="8"/>
  <c r="AA112" i="8"/>
  <c r="AB123" i="8"/>
  <c r="AD123" i="8" s="1"/>
  <c r="Y123" i="8"/>
  <c r="Z123" i="8"/>
  <c r="AB131" i="8"/>
  <c r="AD131" i="8" s="1"/>
  <c r="X110" i="8"/>
  <c r="W110" i="8"/>
  <c r="Z131" i="8"/>
  <c r="Y113" i="8"/>
  <c r="V102" i="8"/>
  <c r="Z105" i="8"/>
  <c r="W130" i="8"/>
  <c r="AA113" i="8"/>
  <c r="W131" i="8"/>
  <c r="AB29" i="8"/>
  <c r="AD29" i="8" s="1"/>
  <c r="AA29" i="8"/>
  <c r="Z29" i="8"/>
  <c r="Y29" i="8"/>
  <c r="AD99" i="8"/>
  <c r="AB129" i="8"/>
  <c r="AD129" i="8" s="1"/>
  <c r="Z129" i="8"/>
  <c r="X119" i="8"/>
  <c r="V119" i="8"/>
  <c r="Q101" i="8"/>
  <c r="AA101" i="8" s="1"/>
  <c r="X111" i="8"/>
  <c r="V111" i="8"/>
  <c r="Y104" i="8"/>
  <c r="W111" i="8"/>
  <c r="Y122" i="8"/>
  <c r="Z113" i="8"/>
  <c r="Z112" i="8"/>
  <c r="AB114" i="8"/>
  <c r="Z114" i="8"/>
  <c r="Y114" i="8"/>
  <c r="Q111" i="8"/>
  <c r="AB111" i="8" s="1"/>
  <c r="Q119" i="8"/>
  <c r="X106" i="8"/>
  <c r="AA121" i="8"/>
  <c r="W106" i="8"/>
  <c r="AA114" i="8"/>
  <c r="Z101" i="8"/>
  <c r="Z121" i="8"/>
  <c r="W99" i="8"/>
  <c r="Q106" i="8"/>
  <c r="AB106" i="8" s="1"/>
  <c r="AD106" i="8" s="1"/>
  <c r="X100" i="8"/>
  <c r="W100" i="8"/>
  <c r="W123" i="8"/>
  <c r="V105" i="8"/>
  <c r="Y99" i="8"/>
  <c r="W119" i="8"/>
  <c r="AA115" i="8"/>
  <c r="AA99" i="8"/>
  <c r="AA123" i="8"/>
  <c r="X101" i="8"/>
  <c r="W105" i="8"/>
  <c r="AD110" i="8"/>
  <c r="M123" i="8"/>
  <c r="X123" i="8" s="1"/>
  <c r="V120" i="8"/>
  <c r="W120" i="8"/>
  <c r="Z99" i="8"/>
  <c r="V129" i="8"/>
  <c r="V130" i="8"/>
  <c r="AA103" i="8"/>
  <c r="Z103" i="8"/>
  <c r="AA131" i="8"/>
  <c r="X103" i="8"/>
  <c r="Y105" i="8"/>
  <c r="AA110" i="8"/>
  <c r="AD103" i="8"/>
  <c r="AA130" i="8"/>
  <c r="X122" i="8"/>
  <c r="AD122" i="8" s="1"/>
  <c r="V122" i="8"/>
  <c r="Y129" i="8"/>
  <c r="L121" i="8"/>
  <c r="Y106" i="8"/>
  <c r="Z122" i="8"/>
  <c r="Z110" i="8"/>
  <c r="M114" i="8"/>
  <c r="W122" i="8"/>
  <c r="V123" i="8"/>
  <c r="Z106" i="8"/>
  <c r="AB101" i="8"/>
  <c r="AD101" i="8" s="1"/>
  <c r="Q100" i="8"/>
  <c r="AB100" i="8" s="1"/>
  <c r="Q120" i="8"/>
  <c r="AB120" i="8" s="1"/>
  <c r="AD115" i="8"/>
  <c r="Q130" i="8"/>
  <c r="P125" i="8"/>
  <c r="AB112" i="8"/>
  <c r="AD112" i="8" s="1"/>
  <c r="AD111" i="8"/>
  <c r="AB102" i="8"/>
  <c r="AD102" i="8" s="1"/>
  <c r="AB104" i="8"/>
  <c r="AD104" i="8" s="1"/>
  <c r="AB105" i="8"/>
  <c r="AD105" i="8" s="1"/>
  <c r="AD13" i="8"/>
  <c r="AE71" i="9"/>
  <c r="AE70" i="9"/>
  <c r="AE65" i="9"/>
  <c r="B7" i="9"/>
  <c r="B6" i="9"/>
  <c r="Q9" i="10"/>
  <c r="M9" i="10"/>
  <c r="AB141" i="8"/>
  <c r="T137" i="8"/>
  <c r="Z141" i="8"/>
  <c r="AB137" i="8"/>
  <c r="P137" i="8"/>
  <c r="O137" i="8"/>
  <c r="M137" i="8"/>
  <c r="L137" i="8"/>
  <c r="J133" i="8"/>
  <c r="K133" i="8"/>
  <c r="L133" i="8"/>
  <c r="Q141" i="8"/>
  <c r="R137" i="8" s="1"/>
  <c r="M141" i="8"/>
  <c r="N137" i="8" s="1"/>
  <c r="E137" i="8"/>
  <c r="D137" i="8"/>
  <c r="Q132" i="8"/>
  <c r="M132" i="8"/>
  <c r="Q128" i="8"/>
  <c r="M128" i="8"/>
  <c r="Q140" i="8"/>
  <c r="M140" i="8"/>
  <c r="M73" i="8"/>
  <c r="Q124" i="8"/>
  <c r="M124" i="8"/>
  <c r="Y100" i="8" l="1"/>
  <c r="AB128" i="8"/>
  <c r="AA128" i="8"/>
  <c r="Z128" i="8"/>
  <c r="Y128" i="8"/>
  <c r="Y120" i="8"/>
  <c r="Z120" i="8"/>
  <c r="AA100" i="8"/>
  <c r="AA120" i="8"/>
  <c r="Q125" i="8"/>
  <c r="AB124" i="8"/>
  <c r="AA124" i="8"/>
  <c r="Y124" i="8"/>
  <c r="Z124" i="8"/>
  <c r="X114" i="8"/>
  <c r="V114" i="8"/>
  <c r="AB119" i="8"/>
  <c r="Z119" i="8"/>
  <c r="Z100" i="8"/>
  <c r="M121" i="8"/>
  <c r="W121" i="8"/>
  <c r="W125" i="8" s="1"/>
  <c r="L125" i="8"/>
  <c r="AD114" i="8"/>
  <c r="Y101" i="8"/>
  <c r="Y111" i="8"/>
  <c r="X124" i="8"/>
  <c r="V124" i="8"/>
  <c r="W124" i="8"/>
  <c r="X132" i="8"/>
  <c r="AD132" i="8" s="1"/>
  <c r="W132" i="8"/>
  <c r="V132" i="8"/>
  <c r="AB132" i="8"/>
  <c r="Z132" i="8"/>
  <c r="Y132" i="8"/>
  <c r="AA132" i="8"/>
  <c r="AB130" i="8"/>
  <c r="AD130" i="8" s="1"/>
  <c r="Y130" i="8"/>
  <c r="Z111" i="8"/>
  <c r="Y119" i="8"/>
  <c r="Y125" i="8" s="1"/>
  <c r="AA111" i="8"/>
  <c r="X128" i="8"/>
  <c r="W128" i="8"/>
  <c r="V128" i="8"/>
  <c r="W114" i="8"/>
  <c r="AA106" i="8"/>
  <c r="AA119" i="8"/>
  <c r="AD120" i="8"/>
  <c r="AD119" i="8"/>
  <c r="AD100" i="8"/>
  <c r="AD128" i="8"/>
  <c r="Z125" i="8"/>
  <c r="S137" i="8"/>
  <c r="K137" i="8"/>
  <c r="W137" i="8"/>
  <c r="Y137" i="8"/>
  <c r="V141" i="8"/>
  <c r="W141" i="8"/>
  <c r="Y141" i="8"/>
  <c r="V137" i="8"/>
  <c r="G8" i="9"/>
  <c r="G23" i="9" s="1"/>
  <c r="C8" i="9"/>
  <c r="C23" i="9" s="1"/>
  <c r="D8" i="9"/>
  <c r="D23" i="9" s="1"/>
  <c r="E8" i="9"/>
  <c r="E23" i="9" s="1"/>
  <c r="F8" i="9"/>
  <c r="F23" i="9" s="1"/>
  <c r="J8" i="9"/>
  <c r="J23" i="9" s="1"/>
  <c r="K8" i="9"/>
  <c r="K23" i="9" s="1"/>
  <c r="I8" i="9"/>
  <c r="I23" i="9" s="1"/>
  <c r="R8" i="9"/>
  <c r="R23" i="9" s="1"/>
  <c r="Q8" i="9"/>
  <c r="Q23" i="9" s="1"/>
  <c r="S8" i="9"/>
  <c r="S23" i="9" s="1"/>
  <c r="O8" i="9"/>
  <c r="O23" i="9" s="1"/>
  <c r="N8" i="9"/>
  <c r="N23" i="9" s="1"/>
  <c r="M8" i="9"/>
  <c r="M23" i="9" s="1"/>
  <c r="X141" i="8"/>
  <c r="X137" i="8"/>
  <c r="Z137" i="8"/>
  <c r="AA141" i="8"/>
  <c r="AA137" i="8"/>
  <c r="F137" i="8"/>
  <c r="G137" i="8"/>
  <c r="H137" i="8"/>
  <c r="Q137" i="8"/>
  <c r="X121" i="8" l="1"/>
  <c r="V121" i="8"/>
  <c r="V125" i="8" s="1"/>
  <c r="M125" i="8"/>
  <c r="AB125" i="8"/>
  <c r="AD124" i="8"/>
  <c r="AA125" i="8"/>
  <c r="AE7" i="9"/>
  <c r="AG7" i="9" s="1"/>
  <c r="P8" i="9"/>
  <c r="P23" i="9" s="1"/>
  <c r="L8" i="9"/>
  <c r="L23" i="9" s="1"/>
  <c r="AA148" i="8"/>
  <c r="Z148" i="8"/>
  <c r="X148" i="8"/>
  <c r="V148" i="8"/>
  <c r="W148" i="8"/>
  <c r="AB148" i="8"/>
  <c r="Y148" i="8"/>
  <c r="AD121" i="8" l="1"/>
  <c r="X125" i="8"/>
  <c r="AE59" i="9"/>
  <c r="AE58" i="9"/>
  <c r="Q8" i="8"/>
  <c r="M8" i="8"/>
  <c r="C60" i="9" l="1"/>
  <c r="R60" i="9"/>
  <c r="K60" i="9"/>
  <c r="O60" i="9"/>
  <c r="D60" i="9"/>
  <c r="J60" i="9"/>
  <c r="I60" i="9"/>
  <c r="M60" i="9"/>
  <c r="N60" i="9"/>
  <c r="Q60" i="9"/>
  <c r="S60" i="9"/>
  <c r="L54" i="8" l="1"/>
  <c r="B2" i="9"/>
  <c r="T70" i="8"/>
  <c r="S70" i="8"/>
  <c r="R70" i="8"/>
  <c r="P70" i="8"/>
  <c r="O70" i="8"/>
  <c r="N70" i="8"/>
  <c r="L70" i="8"/>
  <c r="K70" i="8"/>
  <c r="J70" i="8"/>
  <c r="H70" i="8"/>
  <c r="G70" i="8"/>
  <c r="F70" i="8"/>
  <c r="E70" i="8"/>
  <c r="AE64" i="9"/>
  <c r="AE63" i="9"/>
  <c r="AE56" i="9"/>
  <c r="AE60" i="9" s="1"/>
  <c r="S4" i="9"/>
  <c r="AE4" i="9" s="1"/>
  <c r="S3" i="9"/>
  <c r="AE3" i="9" s="1"/>
  <c r="AB69" i="8"/>
  <c r="AB66" i="8"/>
  <c r="AB57" i="8"/>
  <c r="AD57" i="8" s="1"/>
  <c r="AB49" i="8"/>
  <c r="AD49" i="8" s="1"/>
  <c r="AB8" i="8"/>
  <c r="AB93" i="8" s="1"/>
  <c r="AB7" i="8"/>
  <c r="AB92" i="8" s="1"/>
  <c r="S4" i="10"/>
  <c r="AE4" i="10" s="1"/>
  <c r="R4" i="10"/>
  <c r="AD4" i="10" s="1"/>
  <c r="Q4" i="10"/>
  <c r="AC4" i="10" s="1"/>
  <c r="P4" i="10"/>
  <c r="AB4" i="10" s="1"/>
  <c r="O4" i="10"/>
  <c r="AA4" i="10" s="1"/>
  <c r="N4" i="10"/>
  <c r="Z4" i="10" s="1"/>
  <c r="M4" i="10"/>
  <c r="Y4" i="10" s="1"/>
  <c r="L4" i="10"/>
  <c r="X4" i="10" s="1"/>
  <c r="K4" i="10"/>
  <c r="W4" i="10" s="1"/>
  <c r="J4" i="10"/>
  <c r="V4" i="10" s="1"/>
  <c r="S3" i="10"/>
  <c r="AE3" i="10" s="1"/>
  <c r="R3" i="10"/>
  <c r="AD3" i="10" s="1"/>
  <c r="Q3" i="10"/>
  <c r="AC3" i="10" s="1"/>
  <c r="P3" i="10"/>
  <c r="AB3" i="10" s="1"/>
  <c r="O3" i="10"/>
  <c r="AA3" i="10" s="1"/>
  <c r="N3" i="10"/>
  <c r="Z3" i="10" s="1"/>
  <c r="M3" i="10"/>
  <c r="Y3" i="10" s="1"/>
  <c r="L3" i="10"/>
  <c r="X3" i="10" s="1"/>
  <c r="K3" i="10"/>
  <c r="W3" i="10" s="1"/>
  <c r="J3" i="10"/>
  <c r="V3" i="10" s="1"/>
  <c r="T4" i="10"/>
  <c r="AF4" i="10" s="1"/>
  <c r="T3" i="10"/>
  <c r="AF3" i="10" s="1"/>
  <c r="T93" i="8"/>
  <c r="T92" i="8"/>
  <c r="T85" i="8"/>
  <c r="T46" i="8"/>
  <c r="T45" i="8"/>
  <c r="T11" i="8"/>
  <c r="T23" i="8" s="1"/>
  <c r="T31" i="8" s="1"/>
  <c r="R133" i="8"/>
  <c r="H133" i="8"/>
  <c r="G133" i="8"/>
  <c r="F133" i="8"/>
  <c r="C133" i="8"/>
  <c r="AD60" i="9"/>
  <c r="AC60" i="9"/>
  <c r="AA60" i="9"/>
  <c r="R4" i="9"/>
  <c r="AD4" i="9" s="1"/>
  <c r="Q4" i="9"/>
  <c r="AC4" i="9" s="1"/>
  <c r="P4" i="9"/>
  <c r="AB4" i="9" s="1"/>
  <c r="O4" i="9"/>
  <c r="AA4" i="9" s="1"/>
  <c r="N4" i="9"/>
  <c r="Z4" i="9" s="1"/>
  <c r="M4" i="9"/>
  <c r="Y4" i="9" s="1"/>
  <c r="L4" i="9"/>
  <c r="X4" i="9" s="1"/>
  <c r="K4" i="9"/>
  <c r="W4" i="9" s="1"/>
  <c r="J4" i="9"/>
  <c r="V4" i="9" s="1"/>
  <c r="I4" i="9"/>
  <c r="U4" i="9" s="1"/>
  <c r="R3" i="9"/>
  <c r="AD3" i="9" s="1"/>
  <c r="Q3" i="9"/>
  <c r="AC3" i="9" s="1"/>
  <c r="P3" i="9"/>
  <c r="AB3" i="9" s="1"/>
  <c r="O3" i="9"/>
  <c r="AA3" i="9" s="1"/>
  <c r="N3" i="9"/>
  <c r="Z3" i="9" s="1"/>
  <c r="M3" i="9"/>
  <c r="Y3" i="9" s="1"/>
  <c r="L3" i="9"/>
  <c r="X3" i="9" s="1"/>
  <c r="K3" i="9"/>
  <c r="W3" i="9" s="1"/>
  <c r="J3" i="9"/>
  <c r="V3" i="9" s="1"/>
  <c r="I3" i="9"/>
  <c r="U3" i="9" s="1"/>
  <c r="G4" i="9"/>
  <c r="F4" i="9"/>
  <c r="E4" i="9"/>
  <c r="D4" i="9"/>
  <c r="G3" i="9"/>
  <c r="F3" i="9"/>
  <c r="E3" i="9"/>
  <c r="D3" i="9"/>
  <c r="C4" i="9"/>
  <c r="C3" i="9"/>
  <c r="Q10" i="8"/>
  <c r="M10" i="8"/>
  <c r="L85" i="8"/>
  <c r="S93" i="8"/>
  <c r="R93" i="8"/>
  <c r="Q93" i="8"/>
  <c r="P93" i="8"/>
  <c r="O93" i="8"/>
  <c r="N93" i="8"/>
  <c r="M93" i="8"/>
  <c r="L93" i="8"/>
  <c r="K93" i="8"/>
  <c r="J93" i="8"/>
  <c r="S92" i="8"/>
  <c r="R92" i="8"/>
  <c r="Q92" i="8"/>
  <c r="P92" i="8"/>
  <c r="O92" i="8"/>
  <c r="N92" i="8"/>
  <c r="M92" i="8"/>
  <c r="L92" i="8"/>
  <c r="K92" i="8"/>
  <c r="J92" i="8"/>
  <c r="P85" i="8"/>
  <c r="O85" i="8"/>
  <c r="N85" i="8"/>
  <c r="K85" i="8"/>
  <c r="J85" i="8"/>
  <c r="S46" i="8"/>
  <c r="R46" i="8"/>
  <c r="Q46" i="8"/>
  <c r="P46" i="8"/>
  <c r="O46" i="8"/>
  <c r="N46" i="8"/>
  <c r="M46" i="8"/>
  <c r="L46" i="8"/>
  <c r="K46" i="8"/>
  <c r="J46" i="8"/>
  <c r="S45" i="8"/>
  <c r="R45" i="8"/>
  <c r="Q45" i="8"/>
  <c r="P45" i="8"/>
  <c r="O45" i="8"/>
  <c r="N45" i="8"/>
  <c r="M45" i="8"/>
  <c r="L45" i="8"/>
  <c r="K45" i="8"/>
  <c r="J45" i="8"/>
  <c r="H46" i="8"/>
  <c r="G46" i="8"/>
  <c r="F46" i="8"/>
  <c r="E46" i="8"/>
  <c r="D46" i="8"/>
  <c r="C46" i="8"/>
  <c r="H45" i="8"/>
  <c r="G45" i="8"/>
  <c r="F45" i="8"/>
  <c r="E45" i="8"/>
  <c r="D45" i="8"/>
  <c r="C45" i="8"/>
  <c r="O11" i="8"/>
  <c r="O23" i="8" s="1"/>
  <c r="O31" i="8" s="1"/>
  <c r="N11" i="8"/>
  <c r="N23" i="8" s="1"/>
  <c r="N31" i="8" s="1"/>
  <c r="L11" i="8"/>
  <c r="L23" i="8" s="1"/>
  <c r="L31" i="8" s="1"/>
  <c r="K11" i="8"/>
  <c r="K23" i="8" s="1"/>
  <c r="K31" i="8" s="1"/>
  <c r="J11" i="8"/>
  <c r="J23" i="8" s="1"/>
  <c r="J31" i="8" s="1"/>
  <c r="S11" i="8"/>
  <c r="S23" i="8" s="1"/>
  <c r="S31" i="8" s="1"/>
  <c r="V8" i="8"/>
  <c r="V7" i="8"/>
  <c r="Z8" i="8"/>
  <c r="Y8" i="8"/>
  <c r="X8" i="8"/>
  <c r="W8" i="8"/>
  <c r="Z7" i="8"/>
  <c r="Y7" i="8"/>
  <c r="X7" i="8"/>
  <c r="W7" i="8"/>
  <c r="AA8" i="8"/>
  <c r="AA7" i="8"/>
  <c r="G4" i="10"/>
  <c r="F4" i="10"/>
  <c r="E4" i="10"/>
  <c r="D4" i="10"/>
  <c r="C4" i="10"/>
  <c r="G3" i="10"/>
  <c r="F3" i="10"/>
  <c r="E3" i="10"/>
  <c r="D3" i="10"/>
  <c r="C3" i="10"/>
  <c r="H4" i="10"/>
  <c r="H3" i="10"/>
  <c r="AD82" i="8" l="1"/>
  <c r="AD69" i="8"/>
  <c r="AD83" i="8"/>
  <c r="AD84" i="8"/>
  <c r="AD66" i="8"/>
  <c r="E78" i="8"/>
  <c r="O78" i="8"/>
  <c r="F78" i="8"/>
  <c r="P78" i="8"/>
  <c r="G78" i="8"/>
  <c r="R78" i="8"/>
  <c r="N78" i="8"/>
  <c r="H78" i="8"/>
  <c r="S78" i="8"/>
  <c r="L78" i="8"/>
  <c r="J78" i="8"/>
  <c r="T78" i="8"/>
  <c r="K78" i="8"/>
  <c r="W10" i="8"/>
  <c r="X10" i="8"/>
  <c r="V10" i="8"/>
  <c r="AA10" i="8"/>
  <c r="Z10" i="8"/>
  <c r="Y10" i="8"/>
  <c r="N35" i="8"/>
  <c r="D70" i="8"/>
  <c r="C70" i="8"/>
  <c r="C78" i="8" s="1"/>
  <c r="AD65" i="8"/>
  <c r="U93" i="9"/>
  <c r="Y93" i="9"/>
  <c r="AE93" i="9"/>
  <c r="Z149" i="8"/>
  <c r="V93" i="9"/>
  <c r="W93" i="9"/>
  <c r="Z93" i="9"/>
  <c r="AA93" i="9"/>
  <c r="L60" i="9"/>
  <c r="L62" i="8"/>
  <c r="Z70" i="8"/>
  <c r="Z78" i="8" s="1"/>
  <c r="AA70" i="8"/>
  <c r="AA78" i="8" s="1"/>
  <c r="AB70" i="8"/>
  <c r="AB78" i="8" s="1"/>
  <c r="X70" i="8"/>
  <c r="X78" i="8" s="1"/>
  <c r="M70" i="8"/>
  <c r="Q70" i="8"/>
  <c r="C11" i="10"/>
  <c r="T54" i="8"/>
  <c r="AB85" i="8"/>
  <c r="AB54" i="8"/>
  <c r="AB10" i="8"/>
  <c r="AB45" i="8"/>
  <c r="AB46" i="8"/>
  <c r="K54" i="8"/>
  <c r="K62" i="8" s="1"/>
  <c r="D133" i="8"/>
  <c r="E133" i="8"/>
  <c r="S133" i="8"/>
  <c r="N133" i="8"/>
  <c r="O133" i="8"/>
  <c r="S54" i="8"/>
  <c r="S62" i="8" s="1"/>
  <c r="P54" i="8"/>
  <c r="P62" i="8" s="1"/>
  <c r="J54" i="8"/>
  <c r="J62" i="8" s="1"/>
  <c r="O54" i="8"/>
  <c r="O62" i="8" s="1"/>
  <c r="N54" i="8"/>
  <c r="N62" i="8" s="1"/>
  <c r="X149" i="8"/>
  <c r="Z60" i="9"/>
  <c r="V26" i="9"/>
  <c r="Y60" i="9"/>
  <c r="V60" i="9"/>
  <c r="U60" i="9"/>
  <c r="W60" i="9"/>
  <c r="Y149" i="8"/>
  <c r="V149" i="8"/>
  <c r="W149" i="8"/>
  <c r="M11" i="8"/>
  <c r="M23" i="8" s="1"/>
  <c r="M31" i="8" s="1"/>
  <c r="M85" i="8"/>
  <c r="M54" i="8"/>
  <c r="M62" i="8" s="1"/>
  <c r="Q54" i="8"/>
  <c r="Q62" i="8" s="1"/>
  <c r="M78" i="8" l="1"/>
  <c r="D78" i="8"/>
  <c r="Q78" i="8"/>
  <c r="L35" i="8"/>
  <c r="L96" i="8" s="1"/>
  <c r="N96" i="8"/>
  <c r="N39" i="8"/>
  <c r="N42" i="8"/>
  <c r="T86" i="8"/>
  <c r="AE67" i="9"/>
  <c r="T11" i="10"/>
  <c r="T12" i="10" s="1"/>
  <c r="T24" i="8"/>
  <c r="T35" i="8"/>
  <c r="Y70" i="8"/>
  <c r="Y78" i="8" s="1"/>
  <c r="AD14" i="8"/>
  <c r="AB62" i="8"/>
  <c r="AB86" i="8"/>
  <c r="AD70" i="8"/>
  <c r="AD34" i="8"/>
  <c r="AB11" i="8"/>
  <c r="AB23" i="8" s="1"/>
  <c r="AB31" i="8" s="1"/>
  <c r="AD10" i="8"/>
  <c r="P60" i="9"/>
  <c r="AB60" i="9"/>
  <c r="Z94" i="9"/>
  <c r="Z103" i="9" s="1"/>
  <c r="Y94" i="9"/>
  <c r="Y103" i="9" s="1"/>
  <c r="S94" i="9"/>
  <c r="S103" i="9" s="1"/>
  <c r="AE38" i="9"/>
  <c r="AA38" i="9"/>
  <c r="W94" i="9"/>
  <c r="W103" i="9" s="1"/>
  <c r="AA94" i="9"/>
  <c r="AA103" i="9" s="1"/>
  <c r="K86" i="8"/>
  <c r="K88" i="8" s="1"/>
  <c r="AE94" i="9"/>
  <c r="AE103" i="9" s="1"/>
  <c r="X93" i="9"/>
  <c r="X94" i="9" s="1"/>
  <c r="X103" i="9" s="1"/>
  <c r="V94" i="9"/>
  <c r="V103" i="9" s="1"/>
  <c r="U94" i="9"/>
  <c r="U103" i="9" s="1"/>
  <c r="T62" i="8"/>
  <c r="AE66" i="9"/>
  <c r="AE36" i="9"/>
  <c r="Y140" i="8"/>
  <c r="AA140" i="8"/>
  <c r="AB140" i="8"/>
  <c r="Z140" i="8"/>
  <c r="L86" i="8"/>
  <c r="L88" i="8" s="1"/>
  <c r="T133" i="8"/>
  <c r="J86" i="8"/>
  <c r="J88" i="8" s="1"/>
  <c r="P133" i="8"/>
  <c r="AE42" i="9"/>
  <c r="X60" i="9"/>
  <c r="U26" i="9"/>
  <c r="Y37" i="9"/>
  <c r="W39" i="9"/>
  <c r="AB37" i="9"/>
  <c r="AC36" i="9"/>
  <c r="AE39" i="9"/>
  <c r="Z37" i="9"/>
  <c r="W38" i="9"/>
  <c r="AD36" i="9"/>
  <c r="AA37" i="9"/>
  <c r="AB36" i="9"/>
  <c r="X37" i="9"/>
  <c r="W36" i="9"/>
  <c r="O24" i="8"/>
  <c r="N24" i="8"/>
  <c r="L24" i="8"/>
  <c r="L39" i="8" l="1"/>
  <c r="L42" i="8"/>
  <c r="K24" i="8"/>
  <c r="T88" i="8"/>
  <c r="T96" i="8"/>
  <c r="T39" i="8"/>
  <c r="T42" i="8"/>
  <c r="S27" i="9"/>
  <c r="S33" i="9" s="1"/>
  <c r="T32" i="8"/>
  <c r="J24" i="8"/>
  <c r="AB88" i="8"/>
  <c r="AB24" i="8"/>
  <c r="AC38" i="9"/>
  <c r="AD38" i="9"/>
  <c r="AB38" i="9"/>
  <c r="AG38" i="9"/>
  <c r="Y38" i="9"/>
  <c r="Z38" i="9"/>
  <c r="X38" i="9"/>
  <c r="AD37" i="9"/>
  <c r="AA149" i="8"/>
  <c r="N86" i="8"/>
  <c r="N88" i="8" s="1"/>
  <c r="AC37" i="9"/>
  <c r="O86" i="8"/>
  <c r="O88" i="8" s="1"/>
  <c r="W140" i="8"/>
  <c r="AD39" i="9"/>
  <c r="O32" i="8"/>
  <c r="O35" i="8"/>
  <c r="K35" i="8"/>
  <c r="AA133" i="8"/>
  <c r="AB133" i="8"/>
  <c r="T36" i="8"/>
  <c r="Y133" i="8"/>
  <c r="W133" i="8"/>
  <c r="Z133" i="8"/>
  <c r="Q133" i="8"/>
  <c r="P86" i="8"/>
  <c r="P88" i="8" s="1"/>
  <c r="M86" i="8"/>
  <c r="M88" i="8" s="1"/>
  <c r="AC39" i="9"/>
  <c r="AB39" i="9"/>
  <c r="V36" i="9"/>
  <c r="U36" i="9"/>
  <c r="V38" i="9"/>
  <c r="U38" i="9"/>
  <c r="V39" i="9"/>
  <c r="U39" i="9"/>
  <c r="W37" i="9"/>
  <c r="U37" i="9"/>
  <c r="V37" i="9"/>
  <c r="Z36" i="9"/>
  <c r="Y36" i="9"/>
  <c r="AA36" i="9"/>
  <c r="AG36" i="9" s="1"/>
  <c r="X36" i="9"/>
  <c r="AA39" i="9"/>
  <c r="AG39" i="9" s="1"/>
  <c r="X39" i="9"/>
  <c r="Y39" i="9"/>
  <c r="Z26" i="9"/>
  <c r="X26" i="9"/>
  <c r="Y26" i="9"/>
  <c r="W26" i="9"/>
  <c r="AA26" i="9"/>
  <c r="Z39" i="9"/>
  <c r="M24" i="8"/>
  <c r="K32" i="8"/>
  <c r="L116" i="8"/>
  <c r="L32" i="8"/>
  <c r="N116" i="8"/>
  <c r="N142" i="8" s="1"/>
  <c r="N32" i="8"/>
  <c r="K42" i="8" l="1"/>
  <c r="K39" i="8"/>
  <c r="O96" i="8"/>
  <c r="O116" i="8" s="1"/>
  <c r="O142" i="8" s="1"/>
  <c r="O42" i="8"/>
  <c r="O39" i="8"/>
  <c r="Z8" i="9"/>
  <c r="Z23" i="9" s="1"/>
  <c r="S24" i="9"/>
  <c r="X8" i="9"/>
  <c r="X23" i="9" s="1"/>
  <c r="AE9" i="10"/>
  <c r="J35" i="8"/>
  <c r="J32" i="8"/>
  <c r="AB35" i="8"/>
  <c r="AD38" i="8"/>
  <c r="AD125" i="8"/>
  <c r="AE37" i="9"/>
  <c r="AG37" i="9" s="1"/>
  <c r="AB149" i="8"/>
  <c r="K96" i="8"/>
  <c r="K116" i="8" s="1"/>
  <c r="K142" i="8" s="1"/>
  <c r="AF9" i="10"/>
  <c r="AC9" i="10"/>
  <c r="AD9" i="10"/>
  <c r="AB9" i="10"/>
  <c r="AA9" i="10"/>
  <c r="Z9" i="10"/>
  <c r="Y9" i="10"/>
  <c r="X9" i="10"/>
  <c r="W9" i="10"/>
  <c r="V9" i="10"/>
  <c r="AE30" i="9"/>
  <c r="AG30" i="9" s="1"/>
  <c r="AD26" i="9"/>
  <c r="AE26" i="9"/>
  <c r="S28" i="9"/>
  <c r="X140" i="8"/>
  <c r="V140" i="8"/>
  <c r="K36" i="8"/>
  <c r="M32" i="8"/>
  <c r="M35" i="8"/>
  <c r="T116" i="8"/>
  <c r="T142" i="8" s="1"/>
  <c r="L142" i="8"/>
  <c r="M133" i="8"/>
  <c r="X133" i="8"/>
  <c r="AD133" i="8" s="1"/>
  <c r="V133" i="8"/>
  <c r="AC26" i="9"/>
  <c r="AB26" i="9"/>
  <c r="O36" i="8"/>
  <c r="L36" i="8"/>
  <c r="N36" i="8"/>
  <c r="AB36" i="8" l="1"/>
  <c r="AB39" i="8"/>
  <c r="AB42" i="8"/>
  <c r="M96" i="8"/>
  <c r="M39" i="8"/>
  <c r="M42" i="8"/>
  <c r="J42" i="8"/>
  <c r="J39" i="8"/>
  <c r="AB32" i="8"/>
  <c r="U8" i="9"/>
  <c r="U23" i="9" s="1"/>
  <c r="V8" i="9"/>
  <c r="AA8" i="9"/>
  <c r="AA23" i="9" s="1"/>
  <c r="AA27" i="9" s="1"/>
  <c r="W8" i="9"/>
  <c r="W23" i="9" s="1"/>
  <c r="Y8" i="9"/>
  <c r="Y23" i="9" s="1"/>
  <c r="AG26" i="9"/>
  <c r="X27" i="9"/>
  <c r="X9" i="9"/>
  <c r="AD8" i="9"/>
  <c r="AD23" i="9" s="1"/>
  <c r="AD27" i="9" s="1"/>
  <c r="AE6" i="9"/>
  <c r="AE8" i="9" s="1"/>
  <c r="AE23" i="9" s="1"/>
  <c r="AE27" i="9" s="1"/>
  <c r="AC8" i="9"/>
  <c r="AC23" i="9" s="1"/>
  <c r="AC27" i="9" s="1"/>
  <c r="J96" i="8"/>
  <c r="J116" i="8" s="1"/>
  <c r="J142" i="8" s="1"/>
  <c r="J36" i="8"/>
  <c r="S34" i="9"/>
  <c r="S40" i="9"/>
  <c r="S51" i="9" s="1"/>
  <c r="M36" i="8"/>
  <c r="AD28" i="9" l="1"/>
  <c r="AD33" i="9"/>
  <c r="AE28" i="9"/>
  <c r="AE33" i="9"/>
  <c r="AC28" i="9"/>
  <c r="AC33" i="9"/>
  <c r="AA28" i="9"/>
  <c r="AA33" i="9"/>
  <c r="Z9" i="9"/>
  <c r="V23" i="9"/>
  <c r="Y9" i="9"/>
  <c r="AA9" i="9"/>
  <c r="W9" i="9"/>
  <c r="Y27" i="9"/>
  <c r="Y33" i="9" s="1"/>
  <c r="Y101" i="9" s="1" a="1"/>
  <c r="Y101" i="9" s="1"/>
  <c r="AA24" i="9"/>
  <c r="W24" i="9"/>
  <c r="U27" i="9"/>
  <c r="U33" i="9" s="1"/>
  <c r="AB8" i="9"/>
  <c r="AB23" i="9" s="1"/>
  <c r="AB27" i="9" s="1"/>
  <c r="Z24" i="9"/>
  <c r="Z27" i="9"/>
  <c r="Z33" i="9" s="1"/>
  <c r="Z100" i="9" s="1"/>
  <c r="X24" i="9"/>
  <c r="AC9" i="9"/>
  <c r="AG6" i="9"/>
  <c r="S52" i="9"/>
  <c r="X28" i="9"/>
  <c r="X33" i="9"/>
  <c r="M116" i="8"/>
  <c r="M142" i="8" s="1"/>
  <c r="V96" i="8"/>
  <c r="W96" i="8"/>
  <c r="AB28" i="9" l="1"/>
  <c r="AB33" i="9"/>
  <c r="V27" i="9"/>
  <c r="Y24" i="9"/>
  <c r="AA100" i="9"/>
  <c r="AB9" i="9"/>
  <c r="U24" i="9"/>
  <c r="W27" i="9"/>
  <c r="W33" i="9" s="1"/>
  <c r="U28" i="9"/>
  <c r="U100" i="9"/>
  <c r="U40" i="9"/>
  <c r="U99" i="9"/>
  <c r="U102" i="9" a="1"/>
  <c r="U102" i="9" s="1"/>
  <c r="U98" i="9"/>
  <c r="U34" i="9"/>
  <c r="U101" i="9" a="1"/>
  <c r="U101" i="9" s="1"/>
  <c r="AG8" i="9"/>
  <c r="AE9" i="9"/>
  <c r="AG9" i="9" s="1"/>
  <c r="Y28" i="9"/>
  <c r="Y98" i="9"/>
  <c r="Y102" i="9" a="1"/>
  <c r="Y102" i="9" s="1"/>
  <c r="Y99" i="9"/>
  <c r="Y34" i="9"/>
  <c r="Y100" i="9"/>
  <c r="Y40" i="9"/>
  <c r="Z102" i="9" a="1"/>
  <c r="Z102" i="9" s="1"/>
  <c r="Z28" i="9"/>
  <c r="AC24" i="9"/>
  <c r="V142" i="8"/>
  <c r="W142" i="8"/>
  <c r="X102" i="9" a="1"/>
  <c r="X102" i="9" s="1"/>
  <c r="X100" i="9"/>
  <c r="X101" i="9" a="1"/>
  <c r="X101" i="9" s="1"/>
  <c r="X99" i="9"/>
  <c r="Z99" i="9"/>
  <c r="Z98" i="9"/>
  <c r="Z101" i="9" a="1"/>
  <c r="Z101" i="9" s="1"/>
  <c r="X34" i="9"/>
  <c r="Z40" i="9"/>
  <c r="X40" i="9"/>
  <c r="Z34" i="9"/>
  <c r="X98" i="9"/>
  <c r="B93" i="8"/>
  <c r="B92" i="8"/>
  <c r="H93" i="8"/>
  <c r="G93" i="8"/>
  <c r="F93" i="8"/>
  <c r="E93" i="8"/>
  <c r="D93" i="8"/>
  <c r="C93" i="8"/>
  <c r="H92" i="8"/>
  <c r="G92" i="8"/>
  <c r="F92" i="8"/>
  <c r="E92" i="8"/>
  <c r="D92" i="8"/>
  <c r="C92" i="8"/>
  <c r="B46" i="8"/>
  <c r="B45" i="8"/>
  <c r="AA46" i="8"/>
  <c r="Z46" i="8"/>
  <c r="Y46" i="8"/>
  <c r="W46" i="8"/>
  <c r="V46" i="8"/>
  <c r="X46" i="8"/>
  <c r="AA45" i="8"/>
  <c r="Z45" i="8"/>
  <c r="Y45" i="8"/>
  <c r="X45" i="8"/>
  <c r="W45" i="8"/>
  <c r="V45" i="8"/>
  <c r="AA34" i="9" l="1"/>
  <c r="V24" i="9"/>
  <c r="AA101" i="9" a="1"/>
  <c r="AA101" i="9" s="1"/>
  <c r="AA98" i="9"/>
  <c r="AA99" i="9"/>
  <c r="AA102" i="9" a="1"/>
  <c r="AA102" i="9" s="1"/>
  <c r="AA40" i="9"/>
  <c r="W28" i="9"/>
  <c r="V33" i="9"/>
  <c r="V28" i="9"/>
  <c r="AB24" i="9"/>
  <c r="W100" i="9"/>
  <c r="W40" i="9"/>
  <c r="W98" i="9"/>
  <c r="W101" i="9" a="1"/>
  <c r="W101" i="9" s="1"/>
  <c r="W102" i="9" a="1"/>
  <c r="W102" i="9" s="1"/>
  <c r="W34" i="9"/>
  <c r="W99" i="9"/>
  <c r="X92" i="8"/>
  <c r="Y92" i="8"/>
  <c r="Y93" i="8"/>
  <c r="Z93" i="8"/>
  <c r="W92" i="8"/>
  <c r="Z92" i="8"/>
  <c r="W93" i="8"/>
  <c r="V93" i="8"/>
  <c r="AA92" i="8"/>
  <c r="X93" i="8"/>
  <c r="V92" i="8"/>
  <c r="AA93" i="8"/>
  <c r="V100" i="9" l="1"/>
  <c r="V98" i="9"/>
  <c r="V99" i="9"/>
  <c r="V34" i="9"/>
  <c r="V102" i="9" a="1"/>
  <c r="V102" i="9" s="1"/>
  <c r="V101" i="9" a="1"/>
  <c r="V101" i="9" s="1"/>
  <c r="V40" i="9"/>
  <c r="AE24" i="9"/>
  <c r="AG24" i="9" s="1"/>
  <c r="AG23" i="9"/>
  <c r="AC100" i="9"/>
  <c r="AC34" i="9"/>
  <c r="AC102" i="9" a="1"/>
  <c r="AC102" i="9" s="1"/>
  <c r="AC40" i="9"/>
  <c r="AC101" i="9" a="1"/>
  <c r="AC101" i="9" s="1"/>
  <c r="AC98" i="9"/>
  <c r="AC99" i="9"/>
  <c r="AG27" i="9" l="1"/>
  <c r="AG28" i="9"/>
  <c r="AB100" i="9"/>
  <c r="AB99" i="9"/>
  <c r="AB40" i="9"/>
  <c r="AB101" i="9" a="1"/>
  <c r="AB101" i="9" s="1"/>
  <c r="AB34" i="9"/>
  <c r="AB102" i="9" a="1"/>
  <c r="AB102" i="9" s="1"/>
  <c r="AB98" i="9"/>
  <c r="AE100" i="9" l="1"/>
  <c r="AG33" i="9"/>
  <c r="AE101" i="9" a="1"/>
  <c r="AE101" i="9" s="1"/>
  <c r="AE34" i="9"/>
  <c r="AG34" i="9" s="1"/>
  <c r="AE99" i="9"/>
  <c r="AE98" i="9"/>
  <c r="AE102" i="9" a="1"/>
  <c r="AE102" i="9" s="1"/>
  <c r="AE40" i="9"/>
  <c r="AG40" i="9" s="1"/>
  <c r="C85" i="8" l="1"/>
  <c r="C54" i="8"/>
  <c r="C62" i="8" s="1"/>
  <c r="C11" i="8"/>
  <c r="C23" i="8" s="1"/>
  <c r="C31" i="8" s="1"/>
  <c r="G11" i="10"/>
  <c r="F11" i="10"/>
  <c r="E11" i="10"/>
  <c r="D11" i="10"/>
  <c r="S11" i="10"/>
  <c r="S12" i="10" s="1"/>
  <c r="R11" i="10"/>
  <c r="Q11" i="10"/>
  <c r="P11" i="10"/>
  <c r="O11" i="10"/>
  <c r="O12" i="10" s="1"/>
  <c r="N11" i="10"/>
  <c r="N12" i="10" s="1"/>
  <c r="M11" i="10"/>
  <c r="M12" i="10" s="1"/>
  <c r="L11" i="10"/>
  <c r="L12" i="10" s="1"/>
  <c r="K11" i="10"/>
  <c r="K12" i="10" s="1"/>
  <c r="J11" i="10"/>
  <c r="J12" i="10" s="1"/>
  <c r="H11" i="10"/>
  <c r="H12" i="10" s="1"/>
  <c r="Q85" i="8"/>
  <c r="S85" i="8"/>
  <c r="AD93" i="9" l="1"/>
  <c r="AB93" i="9"/>
  <c r="AB94" i="9" s="1"/>
  <c r="AB103" i="9" s="1"/>
  <c r="C12" i="10"/>
  <c r="R54" i="8"/>
  <c r="R62" i="8" s="1"/>
  <c r="C86" i="8"/>
  <c r="C88" i="8" s="1"/>
  <c r="R85" i="8"/>
  <c r="S9" i="9" l="1"/>
  <c r="S10" i="9"/>
  <c r="AC93" i="9"/>
  <c r="AC94" i="9" s="1"/>
  <c r="AC103" i="9" s="1"/>
  <c r="C35" i="8"/>
  <c r="AD94" i="9"/>
  <c r="AD103" i="9" s="1"/>
  <c r="C39" i="8" l="1"/>
  <c r="C42" i="8"/>
  <c r="C24" i="8"/>
  <c r="C32" i="8"/>
  <c r="C36" i="8"/>
  <c r="C96" i="8"/>
  <c r="C116" i="8" l="1"/>
  <c r="C142" i="8" s="1"/>
  <c r="C138" i="8" l="1"/>
  <c r="C143" i="8" s="1"/>
  <c r="C145" i="8" s="1"/>
  <c r="D136" i="8" l="1"/>
  <c r="D138" i="8" s="1"/>
  <c r="V11" i="8"/>
  <c r="V23" i="8" s="1" a="1"/>
  <c r="V23" i="8" s="1"/>
  <c r="G54" i="8"/>
  <c r="G62" i="8" s="1"/>
  <c r="F54" i="8"/>
  <c r="F62" i="8" s="1"/>
  <c r="E54" i="8"/>
  <c r="E62" i="8" s="1"/>
  <c r="D54" i="8"/>
  <c r="D62" i="8" s="1"/>
  <c r="H54" i="8"/>
  <c r="H62" i="8" s="1"/>
  <c r="W11" i="8" l="1"/>
  <c r="W23" i="8" s="1" a="1"/>
  <c r="W23" i="8" s="1"/>
  <c r="W54" i="8"/>
  <c r="W62" i="8" s="1"/>
  <c r="W85" i="8"/>
  <c r="W70" i="8"/>
  <c r="W78" i="8" s="1"/>
  <c r="V70" i="8"/>
  <c r="V78" i="8" s="1"/>
  <c r="V54" i="8"/>
  <c r="V62" i="8" s="1"/>
  <c r="V85" i="8"/>
  <c r="Y85" i="8"/>
  <c r="Y54" i="8"/>
  <c r="Y62" i="8" s="1"/>
  <c r="Z85" i="8"/>
  <c r="Y11" i="8"/>
  <c r="Y23" i="8" s="1"/>
  <c r="Y31" i="8" s="1"/>
  <c r="X11" i="8"/>
  <c r="X23" i="8" s="1"/>
  <c r="X31" i="8" s="1"/>
  <c r="Z11" i="8"/>
  <c r="Z23" i="8" s="1"/>
  <c r="Z31" i="8" s="1"/>
  <c r="Z54" i="8"/>
  <c r="Z62" i="8" s="1"/>
  <c r="AD11" i="8" l="1"/>
  <c r="V31" i="8"/>
  <c r="V35" i="8" s="1"/>
  <c r="AB11" i="10"/>
  <c r="AB12" i="10" s="1"/>
  <c r="AC11" i="10"/>
  <c r="AC12" i="10" s="1"/>
  <c r="C27" i="9"/>
  <c r="C33" i="9" s="1"/>
  <c r="W86" i="8"/>
  <c r="W88" i="8" s="1"/>
  <c r="V86" i="8"/>
  <c r="V88" i="8" s="1"/>
  <c r="Y86" i="8"/>
  <c r="Y88" i="8" s="1"/>
  <c r="Z86" i="8"/>
  <c r="Z88" i="8" s="1"/>
  <c r="V42" i="8" l="1"/>
  <c r="V39" i="8"/>
  <c r="Y35" i="8"/>
  <c r="W31" i="8"/>
  <c r="W35" i="8" s="1"/>
  <c r="V24" i="8"/>
  <c r="Z24" i="8"/>
  <c r="Z11" i="10"/>
  <c r="Z12" i="10" s="1"/>
  <c r="AA11" i="10"/>
  <c r="AA12" i="10" s="1"/>
  <c r="AD11" i="10"/>
  <c r="AD12" i="10" s="1"/>
  <c r="AF11" i="10"/>
  <c r="AF12" i="10" s="1"/>
  <c r="Y11" i="10"/>
  <c r="Y12" i="10" s="1"/>
  <c r="V32" i="8"/>
  <c r="W42" i="8" l="1"/>
  <c r="W39" i="8"/>
  <c r="Y42" i="8"/>
  <c r="Y39" i="8"/>
  <c r="X32" i="8"/>
  <c r="AD32" i="8" s="1"/>
  <c r="AD23" i="8"/>
  <c r="C24" i="9"/>
  <c r="C100" i="9"/>
  <c r="C28" i="9"/>
  <c r="Y24" i="8"/>
  <c r="X24" i="8"/>
  <c r="AD24" i="8" s="1"/>
  <c r="W24" i="8"/>
  <c r="Z35" i="8"/>
  <c r="X11" i="10"/>
  <c r="X12" i="10" s="1"/>
  <c r="W11" i="10"/>
  <c r="Y32" i="8"/>
  <c r="AD100" i="9"/>
  <c r="AD24" i="9"/>
  <c r="V11" i="10"/>
  <c r="AE11" i="10"/>
  <c r="AH11" i="10"/>
  <c r="AH9" i="10"/>
  <c r="V36" i="8"/>
  <c r="W32" i="8"/>
  <c r="Z42" i="8" l="1"/>
  <c r="Z39" i="8"/>
  <c r="X35" i="8"/>
  <c r="AD31" i="8"/>
  <c r="C40" i="9"/>
  <c r="C52" i="9" s="1"/>
  <c r="C99" i="9"/>
  <c r="C98" i="9"/>
  <c r="C101" i="9" a="1"/>
  <c r="C101" i="9" s="1"/>
  <c r="C34" i="9"/>
  <c r="C102" i="9" a="1"/>
  <c r="C102" i="9" s="1"/>
  <c r="Z32" i="8"/>
  <c r="W36" i="8"/>
  <c r="Y36" i="8"/>
  <c r="Z36" i="8"/>
  <c r="AD35" i="8" l="1"/>
  <c r="X39" i="8"/>
  <c r="AD39" i="8" s="1"/>
  <c r="X42" i="8"/>
  <c r="AD42" i="8" s="1"/>
  <c r="X36" i="8"/>
  <c r="AD36" i="8" s="1"/>
  <c r="AD102" i="9" a="1"/>
  <c r="AD102" i="9" s="1"/>
  <c r="AD34" i="9"/>
  <c r="AD101" i="9" a="1"/>
  <c r="AD101" i="9" s="1"/>
  <c r="AD98" i="9"/>
  <c r="AD99" i="9"/>
  <c r="AD40" i="9"/>
  <c r="AD78" i="8" l="1"/>
  <c r="D85" i="8" l="1"/>
  <c r="D11" i="8"/>
  <c r="D23" i="8" s="1"/>
  <c r="D31" i="8" s="1"/>
  <c r="P11" i="8"/>
  <c r="P23" i="8" s="1"/>
  <c r="P31" i="8" s="1"/>
  <c r="H11" i="8"/>
  <c r="H23" i="8" s="1"/>
  <c r="H31" i="8" s="1"/>
  <c r="G11" i="8"/>
  <c r="G23" i="8" s="1"/>
  <c r="G31" i="8" s="1"/>
  <c r="F11" i="8"/>
  <c r="F23" i="8" s="1"/>
  <c r="F31" i="8" s="1"/>
  <c r="E11" i="8"/>
  <c r="E23" i="8" s="1"/>
  <c r="E31" i="8" s="1"/>
  <c r="H85" i="8"/>
  <c r="G85" i="8"/>
  <c r="F85" i="8"/>
  <c r="E85" i="8"/>
  <c r="AA11" i="8"/>
  <c r="AA23" i="8" s="1"/>
  <c r="AA31" i="8" s="1"/>
  <c r="Q94" i="9"/>
  <c r="Q103" i="9" s="1"/>
  <c r="I94" i="9"/>
  <c r="D9" i="9"/>
  <c r="AE12" i="10" l="1"/>
  <c r="F12" i="10"/>
  <c r="P12" i="10"/>
  <c r="G12" i="10"/>
  <c r="E12" i="10"/>
  <c r="D12" i="10"/>
  <c r="C94" i="9"/>
  <c r="C103" i="9" s="1"/>
  <c r="J94" i="9"/>
  <c r="R94" i="9"/>
  <c r="R103" i="9" s="1"/>
  <c r="E94" i="9"/>
  <c r="E103" i="9" s="1"/>
  <c r="K94" i="9"/>
  <c r="G94" i="9"/>
  <c r="G103" i="9" s="1"/>
  <c r="K27" i="9"/>
  <c r="K33" i="9" s="1"/>
  <c r="Q9" i="9"/>
  <c r="F94" i="9"/>
  <c r="F103" i="9" s="1"/>
  <c r="Q10" i="9"/>
  <c r="X85" i="8"/>
  <c r="AA85" i="8"/>
  <c r="G27" i="9"/>
  <c r="G33" i="9" s="1"/>
  <c r="G9" i="9"/>
  <c r="E27" i="9"/>
  <c r="E33" i="9" s="1"/>
  <c r="E9" i="9"/>
  <c r="F27" i="9"/>
  <c r="F33" i="9" s="1"/>
  <c r="F9" i="9"/>
  <c r="M94" i="9"/>
  <c r="M103" i="9" s="1"/>
  <c r="D27" i="9"/>
  <c r="D33" i="9" s="1"/>
  <c r="N94" i="9"/>
  <c r="N103" i="9" s="1"/>
  <c r="O94" i="9"/>
  <c r="O103" i="9" s="1"/>
  <c r="D94" i="9"/>
  <c r="D103" i="9" s="1"/>
  <c r="X86" i="8" l="1"/>
  <c r="AD86" i="8" s="1"/>
  <c r="AD85" i="8"/>
  <c r="F86" i="8"/>
  <c r="F88" i="8" s="1"/>
  <c r="S35" i="8"/>
  <c r="H35" i="8"/>
  <c r="P24" i="8"/>
  <c r="D35" i="8"/>
  <c r="E35" i="8"/>
  <c r="F35" i="8"/>
  <c r="G24" i="8"/>
  <c r="E86" i="8"/>
  <c r="E88" i="8" s="1"/>
  <c r="P94" i="9"/>
  <c r="P103" i="9" s="1"/>
  <c r="Q86" i="8"/>
  <c r="Q88" i="8" s="1"/>
  <c r="X54" i="8"/>
  <c r="AD54" i="8" s="1"/>
  <c r="S86" i="8"/>
  <c r="S88" i="8" s="1"/>
  <c r="G86" i="8"/>
  <c r="G88" i="8" s="1"/>
  <c r="H86" i="8"/>
  <c r="H88" i="8" s="1"/>
  <c r="D86" i="8"/>
  <c r="D88" i="8" s="1"/>
  <c r="L94" i="9"/>
  <c r="L103" i="9" s="1"/>
  <c r="L10" i="9"/>
  <c r="P9" i="9"/>
  <c r="M9" i="9"/>
  <c r="N10" i="9"/>
  <c r="P27" i="9"/>
  <c r="P33" i="9" s="1"/>
  <c r="K10" i="9"/>
  <c r="M10" i="9"/>
  <c r="J10" i="9"/>
  <c r="N27" i="9"/>
  <c r="N33" i="9" s="1"/>
  <c r="L27" i="9"/>
  <c r="L33" i="9" s="1"/>
  <c r="N9" i="9"/>
  <c r="AA54" i="8"/>
  <c r="AA62" i="8" s="1"/>
  <c r="O9" i="9"/>
  <c r="O27" i="9"/>
  <c r="O33" i="9" s="1"/>
  <c r="O10" i="9"/>
  <c r="Q27" i="9"/>
  <c r="Q33" i="9" s="1"/>
  <c r="AD9" i="9"/>
  <c r="J27" i="9"/>
  <c r="J33" i="9" s="1"/>
  <c r="P10" i="9"/>
  <c r="R9" i="9"/>
  <c r="R27" i="9"/>
  <c r="R33" i="9" s="1"/>
  <c r="R10" i="9"/>
  <c r="I27" i="9"/>
  <c r="I33" i="9" s="1"/>
  <c r="M27" i="9"/>
  <c r="M33" i="9" s="1"/>
  <c r="L98" i="9" l="1"/>
  <c r="H96" i="8"/>
  <c r="H116" i="8" s="1"/>
  <c r="H142" i="8" s="1"/>
  <c r="H39" i="8"/>
  <c r="H42" i="8"/>
  <c r="S96" i="8"/>
  <c r="S39" i="8"/>
  <c r="S42" i="8"/>
  <c r="D39" i="8"/>
  <c r="D42" i="8"/>
  <c r="E39" i="8"/>
  <c r="E42" i="8"/>
  <c r="F39" i="8"/>
  <c r="F42" i="8"/>
  <c r="N24" i="9"/>
  <c r="S24" i="8"/>
  <c r="H24" i="8"/>
  <c r="E24" i="8"/>
  <c r="D24" i="8"/>
  <c r="G35" i="8"/>
  <c r="P35" i="8"/>
  <c r="F24" i="8"/>
  <c r="X62" i="8"/>
  <c r="AA35" i="8"/>
  <c r="D96" i="8"/>
  <c r="F32" i="8"/>
  <c r="S32" i="8"/>
  <c r="AA24" i="8"/>
  <c r="H32" i="8"/>
  <c r="D32" i="8"/>
  <c r="AA86" i="8"/>
  <c r="R86" i="8"/>
  <c r="R88" i="8" s="1"/>
  <c r="H36" i="8"/>
  <c r="E32" i="8"/>
  <c r="E100" i="9"/>
  <c r="E24" i="9"/>
  <c r="D100" i="9"/>
  <c r="D24" i="9"/>
  <c r="F100" i="9"/>
  <c r="F24" i="9"/>
  <c r="K24" i="9"/>
  <c r="P24" i="9"/>
  <c r="L24" i="9"/>
  <c r="G24" i="9"/>
  <c r="G100" i="9" l="1"/>
  <c r="G40" i="9"/>
  <c r="G51" i="9" s="1"/>
  <c r="AA42" i="8"/>
  <c r="AA39" i="8"/>
  <c r="G96" i="8"/>
  <c r="G116" i="8" s="1"/>
  <c r="G142" i="8" s="1"/>
  <c r="G42" i="8"/>
  <c r="G39" i="8"/>
  <c r="P42" i="8"/>
  <c r="P39" i="8"/>
  <c r="X88" i="8"/>
  <c r="AD62" i="8"/>
  <c r="P96" i="8"/>
  <c r="P116" i="8" s="1"/>
  <c r="P142" i="8" s="1"/>
  <c r="G32" i="8"/>
  <c r="G36" i="8"/>
  <c r="P32" i="8"/>
  <c r="D116" i="8"/>
  <c r="D142" i="8" s="1"/>
  <c r="F36" i="8"/>
  <c r="F96" i="8"/>
  <c r="D36" i="8"/>
  <c r="S116" i="8"/>
  <c r="S142" i="8" s="1"/>
  <c r="S36" i="8"/>
  <c r="E96" i="8"/>
  <c r="E36" i="8"/>
  <c r="AA88" i="8"/>
  <c r="AA32" i="8"/>
  <c r="P36" i="8"/>
  <c r="G28" i="9"/>
  <c r="J24" i="9"/>
  <c r="P28" i="9"/>
  <c r="F28" i="9"/>
  <c r="D28" i="9"/>
  <c r="K28" i="9"/>
  <c r="O24" i="9"/>
  <c r="E28" i="9"/>
  <c r="Q24" i="9"/>
  <c r="M24" i="9"/>
  <c r="I24" i="9"/>
  <c r="L28" i="9"/>
  <c r="R24" i="9"/>
  <c r="X96" i="8" l="1"/>
  <c r="X116" i="8" s="1"/>
  <c r="S102" i="9" a="1"/>
  <c r="S102" i="9" s="1"/>
  <c r="S98" i="9"/>
  <c r="S99" i="9"/>
  <c r="S100" i="9" a="1"/>
  <c r="S100" i="9" s="1"/>
  <c r="S101" i="9" a="1"/>
  <c r="S101" i="9" s="1"/>
  <c r="X142" i="8"/>
  <c r="M100" i="9" a="1"/>
  <c r="M100" i="9" s="1"/>
  <c r="L100" i="9" a="1"/>
  <c r="L100" i="9" s="1"/>
  <c r="R100" i="9" a="1"/>
  <c r="R100" i="9" s="1"/>
  <c r="Q100" i="9" a="1"/>
  <c r="Q100" i="9" s="1"/>
  <c r="P100" i="9" a="1"/>
  <c r="P100" i="9" s="1"/>
  <c r="N100" i="9" a="1"/>
  <c r="N100" i="9" s="1"/>
  <c r="O100" i="9" a="1"/>
  <c r="O100" i="9" s="1"/>
  <c r="F116" i="8"/>
  <c r="F142" i="8" s="1"/>
  <c r="E116" i="8"/>
  <c r="E142" i="8" s="1"/>
  <c r="W116" i="8"/>
  <c r="N28" i="9"/>
  <c r="I28" i="9"/>
  <c r="M28" i="9"/>
  <c r="N102" i="9" a="1"/>
  <c r="N102" i="9" s="1"/>
  <c r="J28" i="9"/>
  <c r="D101" i="9" a="1"/>
  <c r="D101" i="9" s="1"/>
  <c r="D102" i="9" a="1"/>
  <c r="D102" i="9" s="1"/>
  <c r="D40" i="9"/>
  <c r="D51" i="9" s="1"/>
  <c r="D34" i="9"/>
  <c r="D99" i="9"/>
  <c r="D98" i="9"/>
  <c r="F102" i="9" a="1"/>
  <c r="F102" i="9" s="1"/>
  <c r="F101" i="9" a="1"/>
  <c r="F101" i="9" s="1"/>
  <c r="F34" i="9"/>
  <c r="F40" i="9"/>
  <c r="F51" i="9" s="1"/>
  <c r="F98" i="9"/>
  <c r="F99" i="9"/>
  <c r="G101" i="9" a="1"/>
  <c r="G101" i="9" s="1"/>
  <c r="G102" i="9" a="1"/>
  <c r="G102" i="9" s="1"/>
  <c r="G34" i="9"/>
  <c r="G99" i="9"/>
  <c r="G98" i="9"/>
  <c r="N34" i="9"/>
  <c r="N40" i="9"/>
  <c r="N51" i="9" s="1"/>
  <c r="R28" i="9"/>
  <c r="Q28" i="9"/>
  <c r="L40" i="9"/>
  <c r="L51" i="9" s="1"/>
  <c r="L34" i="9"/>
  <c r="K40" i="9"/>
  <c r="K51" i="9" s="1"/>
  <c r="K34" i="9"/>
  <c r="O28" i="9"/>
  <c r="E102" i="9" a="1"/>
  <c r="E102" i="9" s="1"/>
  <c r="E40" i="9"/>
  <c r="E51" i="9" s="1"/>
  <c r="E34" i="9"/>
  <c r="E101" i="9" a="1"/>
  <c r="E101" i="9" s="1"/>
  <c r="E99" i="9"/>
  <c r="E98" i="9"/>
  <c r="P34" i="9"/>
  <c r="P40" i="9"/>
  <c r="P51" i="9" s="1"/>
  <c r="V116" i="8" l="1"/>
  <c r="AA36" i="8"/>
  <c r="N101" i="9" a="1"/>
  <c r="N101" i="9" s="1"/>
  <c r="D52" i="9"/>
  <c r="Q101" i="9" a="1"/>
  <c r="Q101" i="9" s="1"/>
  <c r="O101" i="9" a="1"/>
  <c r="O101" i="9" s="1"/>
  <c r="Q99" i="9"/>
  <c r="M40" i="9"/>
  <c r="M51" i="9" s="1"/>
  <c r="P101" i="9" a="1"/>
  <c r="P101" i="9" s="1"/>
  <c r="P102" i="9" a="1"/>
  <c r="P102" i="9" s="1"/>
  <c r="M34" i="9"/>
  <c r="P98" i="9"/>
  <c r="P99" i="9"/>
  <c r="N99" i="9"/>
  <c r="O98" i="9"/>
  <c r="G52" i="9"/>
  <c r="N98" i="9"/>
  <c r="F52" i="9"/>
  <c r="Q40" i="9"/>
  <c r="Q51" i="9" s="1"/>
  <c r="Q34" i="9"/>
  <c r="M102" i="9" a="1"/>
  <c r="M102" i="9" s="1"/>
  <c r="J40" i="9"/>
  <c r="J51" i="9" s="1"/>
  <c r="J34" i="9"/>
  <c r="M101" i="9" a="1"/>
  <c r="M101" i="9" s="1"/>
  <c r="M98" i="9"/>
  <c r="M99" i="9"/>
  <c r="O102" i="9" a="1"/>
  <c r="O102" i="9" s="1"/>
  <c r="Q98" i="9"/>
  <c r="E52" i="9"/>
  <c r="R102" i="9" a="1"/>
  <c r="R102" i="9" s="1"/>
  <c r="R101" i="9" a="1"/>
  <c r="R101" i="9" s="1"/>
  <c r="R98" i="9"/>
  <c r="O34" i="9"/>
  <c r="O40" i="9"/>
  <c r="O51" i="9" s="1"/>
  <c r="R99" i="9"/>
  <c r="P52" i="9"/>
  <c r="Q102" i="9" a="1"/>
  <c r="Q102" i="9" s="1"/>
  <c r="L101" i="9" a="1"/>
  <c r="L101" i="9" s="1"/>
  <c r="L102" i="9" a="1"/>
  <c r="L102" i="9" s="1"/>
  <c r="I40" i="9"/>
  <c r="I51" i="9" s="1"/>
  <c r="I34" i="9"/>
  <c r="L99" i="9"/>
  <c r="O99" i="9"/>
  <c r="R34" i="9"/>
  <c r="R40" i="9"/>
  <c r="R51" i="9" s="1"/>
  <c r="AE51" i="9" l="1"/>
  <c r="AE52" i="9" s="1"/>
  <c r="Y52" i="9"/>
  <c r="U52" i="9"/>
  <c r="AB52" i="9"/>
  <c r="AA52" i="9"/>
  <c r="X52" i="9"/>
  <c r="AD52" i="9"/>
  <c r="W52" i="9"/>
  <c r="Z52" i="9"/>
  <c r="V52" i="9"/>
  <c r="AC52" i="9"/>
  <c r="Q52" i="9"/>
  <c r="R52" i="9"/>
  <c r="O52" i="9"/>
  <c r="N52" i="9"/>
  <c r="I52" i="9"/>
  <c r="K52" i="9"/>
  <c r="L52" i="9"/>
  <c r="J52" i="9" l="1"/>
  <c r="M52" i="9"/>
  <c r="D143" i="8" l="1"/>
  <c r="D145" i="8" l="1"/>
  <c r="E136" i="8"/>
  <c r="E138" i="8" s="1"/>
  <c r="E143" i="8" s="1"/>
  <c r="E145" i="8" s="1"/>
  <c r="F136" i="8" l="1"/>
  <c r="F138" i="8" s="1"/>
  <c r="F143" i="8" s="1"/>
  <c r="F145" i="8" l="1"/>
  <c r="G136" i="8"/>
  <c r="G138" i="8" s="1"/>
  <c r="G143" i="8" l="1"/>
  <c r="G145" i="8" s="1"/>
  <c r="J136" i="8"/>
  <c r="H136" i="8" l="1"/>
  <c r="H138" i="8" s="1"/>
  <c r="H143" i="8" s="1"/>
  <c r="H145" i="8" s="1"/>
  <c r="J138" i="8" l="1"/>
  <c r="J143" i="8" s="1"/>
  <c r="J145" i="8" s="1"/>
  <c r="V136" i="8" l="1"/>
  <c r="K136" i="8"/>
  <c r="K138" i="8" s="1"/>
  <c r="K143" i="8" s="1"/>
  <c r="K145" i="8" s="1"/>
  <c r="W136" i="8" l="1"/>
  <c r="L136" i="8"/>
  <c r="L138" i="8" s="1"/>
  <c r="L143" i="8" s="1"/>
  <c r="L145" i="8" s="1"/>
  <c r="X136" i="8" l="1"/>
  <c r="M136" i="8"/>
  <c r="M138" i="8" s="1"/>
  <c r="M143" i="8" s="1"/>
  <c r="M145" i="8" s="1"/>
  <c r="Y136" i="8" l="1"/>
  <c r="N136" i="8"/>
  <c r="N138" i="8" s="1"/>
  <c r="N143" i="8" s="1"/>
  <c r="N145" i="8" s="1"/>
  <c r="Z136" i="8" l="1"/>
  <c r="V138" i="8"/>
  <c r="V143" i="8" s="1"/>
  <c r="V145" i="8" s="1"/>
  <c r="O136" i="8"/>
  <c r="O138" i="8" s="1"/>
  <c r="O143" i="8" s="1"/>
  <c r="O145" i="8" s="1"/>
  <c r="AA136" i="8" l="1"/>
  <c r="W138" i="8"/>
  <c r="W143" i="8" s="1"/>
  <c r="W145" i="8" s="1"/>
  <c r="P136" i="8"/>
  <c r="P138" i="8" s="1"/>
  <c r="P143" i="8" s="1"/>
  <c r="P145" i="8" s="1"/>
  <c r="AB136" i="8" l="1"/>
  <c r="X138" i="8"/>
  <c r="X143" i="8" s="1"/>
  <c r="X145" i="8" s="1"/>
  <c r="Q136" i="8"/>
  <c r="Q138" i="8" s="1"/>
  <c r="R11" i="8" l="1"/>
  <c r="R23" i="8" s="1"/>
  <c r="R31" i="8" s="1"/>
  <c r="R12" i="10" l="1"/>
  <c r="R35" i="8" l="1"/>
  <c r="R96" i="8" l="1"/>
  <c r="R39" i="8"/>
  <c r="R42" i="8"/>
  <c r="R24" i="8"/>
  <c r="R32" i="8"/>
  <c r="R36" i="8" l="1"/>
  <c r="R116" i="8" l="1"/>
  <c r="R142" i="8" s="1"/>
  <c r="Q11" i="8"/>
  <c r="Q23" i="8" s="1"/>
  <c r="Q31" i="8" s="1"/>
  <c r="W12" i="10" l="1"/>
  <c r="V12" i="10"/>
  <c r="Q12" i="10"/>
  <c r="Q35" i="8" l="1"/>
  <c r="Q96" i="8" l="1"/>
  <c r="Q42" i="8"/>
  <c r="Q39" i="8"/>
  <c r="Q24" i="8"/>
  <c r="Q32" i="8"/>
  <c r="Q36" i="8" l="1"/>
  <c r="AB96" i="8"/>
  <c r="AD96" i="8" s="1"/>
  <c r="AB116" i="8" l="1"/>
  <c r="AD116" i="8" s="1"/>
  <c r="AA96" i="8"/>
  <c r="Y96" i="8"/>
  <c r="Y116" i="8" s="1"/>
  <c r="Z96" i="8"/>
  <c r="Z116" i="8" s="1"/>
  <c r="Q116" i="8"/>
  <c r="Q142" i="8" s="1"/>
  <c r="Q143" i="8" l="1"/>
  <c r="Q145" i="8" s="1"/>
  <c r="AB142" i="8"/>
  <c r="AA142" i="8"/>
  <c r="Z142" i="8"/>
  <c r="Y142" i="8"/>
  <c r="Y138" i="8"/>
  <c r="AA116" i="8"/>
  <c r="R136" i="8" l="1"/>
  <c r="R138" i="8" s="1"/>
  <c r="R143" i="8" s="1"/>
  <c r="R145" i="8" s="1"/>
  <c r="Y143" i="8"/>
  <c r="Y145" i="8" s="1"/>
  <c r="Z138" i="8"/>
  <c r="Z143" i="8" s="1"/>
  <c r="Z145" i="8" s="1"/>
  <c r="S136" i="8" l="1"/>
  <c r="S138" i="8" s="1"/>
  <c r="S143" i="8" s="1"/>
  <c r="S145" i="8" s="1"/>
  <c r="AA138" i="8"/>
  <c r="AA143" i="8" s="1"/>
  <c r="AA145" i="8" s="1"/>
  <c r="T136" i="8" l="1"/>
  <c r="T138" i="8" s="1"/>
  <c r="T143" i="8" s="1"/>
  <c r="T145" i="8" s="1"/>
  <c r="AB138" i="8"/>
  <c r="AB143" i="8" s="1"/>
  <c r="AB14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<sst xmlns="http://schemas.openxmlformats.org/spreadsheetml/2006/main" count="266" uniqueCount="220">
  <si>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</si>
  <si>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</si>
  <si>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</si>
  <si>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</si>
  <si>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</si>
  <si>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</si>
  <si>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</si>
  <si>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</si>
  <si>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</si>
  <si>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</si>
  <si>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</si>
  <si>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</si>
  <si>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</si>
  <si>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</si>
  <si>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</si>
  <si>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</si>
  <si>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</si>
  <si>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</si>
  <si>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</si>
  <si>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</si>
  <si>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Common stock</t>
  </si>
  <si>
    <t>Total Current Assets</t>
  </si>
  <si>
    <t>Total Assets</t>
  </si>
  <si>
    <t>Total Debt</t>
  </si>
  <si>
    <t>Variance</t>
  </si>
  <si>
    <t>FCF Analysis</t>
  </si>
  <si>
    <t>1Q25</t>
  </si>
  <si>
    <t>2Q25</t>
  </si>
  <si>
    <t>Y/Y Growth (%)</t>
  </si>
  <si>
    <t>Q/Q Growth (%)</t>
  </si>
  <si>
    <t>N/A</t>
  </si>
  <si>
    <t>Earning before Interest &amp; Taxes (EBIT)</t>
  </si>
  <si>
    <t>Operating Margin (%)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</si>
  <si>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</si>
  <si>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</si>
  <si>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</si>
  <si>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</si>
  <si>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</si>
  <si>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</si>
  <si>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</si>
  <si>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</si>
  <si>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</si>
  <si>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</si>
  <si>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Total Liquidity</t>
  </si>
  <si>
    <t>Balance Sheet Metrics:</t>
  </si>
  <si>
    <t>Accounts Payable</t>
  </si>
  <si>
    <t>Current Liabilities</t>
  </si>
  <si>
    <t>Total Shareholder Equity</t>
  </si>
  <si>
    <t>Total Book Capitalization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</si>
  <si>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</si>
  <si>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</si>
  <si>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</si>
  <si>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</si>
  <si>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</si>
  <si>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</si>
  <si>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</si>
  <si>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</si>
  <si>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</si>
  <si>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</si>
  <si>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</si>
  <si>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</si>
  <si>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</si>
  <si>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</si>
  <si>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paid during the period for:</t>
  </si>
  <si>
    <t>3Q25</t>
  </si>
  <si>
    <t>Net Margin (%)</t>
  </si>
  <si>
    <t>Basic EPS</t>
  </si>
  <si>
    <t>Fully Diluted Shares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</si>
  <si>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</si>
  <si>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</si>
  <si>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</si>
  <si>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</si>
  <si>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</si>
  <si>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</si>
  <si>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</si>
  <si>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$ mm except per share</t>
  </si>
  <si>
    <t>Income Statement</t>
  </si>
  <si>
    <t xml:space="preserve">Balance Sheet </t>
  </si>
  <si>
    <t>Historical Financials</t>
  </si>
  <si>
    <t>Fiscal Period</t>
  </si>
  <si>
    <t>Fiscal Period End Date</t>
  </si>
  <si>
    <t>Interest Expense</t>
  </si>
  <si>
    <t>Operating Profit</t>
  </si>
  <si>
    <t>Earning Before Taxes</t>
  </si>
  <si>
    <t>EBT Margin (%)</t>
  </si>
  <si>
    <t>Current Assets</t>
  </si>
  <si>
    <t>Non-Current Assets</t>
  </si>
  <si>
    <t>Non-Current Liabilities</t>
  </si>
  <si>
    <t>Unrestricted Cash BOP</t>
  </si>
  <si>
    <t>EOP FX Adjustment</t>
  </si>
  <si>
    <t>Property and equipment, net</t>
  </si>
  <si>
    <t>Deferred income taxes</t>
  </si>
  <si>
    <t>Retained earnings</t>
  </si>
  <si>
    <t>Accumulated other comprehensive income (loss)</t>
  </si>
  <si>
    <t>Disaggregated Revenues</t>
  </si>
  <si>
    <t>Offerings Drivers</t>
  </si>
  <si>
    <t>Variance Check</t>
  </si>
  <si>
    <t>Fully Diluted EPS</t>
  </si>
  <si>
    <t>Basic Shares</t>
  </si>
  <si>
    <t>Cash Position Variance Check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</si>
  <si>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</si>
  <si>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</si>
  <si>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</si>
  <si>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</si>
  <si>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</si>
  <si>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Netflix, Inc. (NASDAQ: NFLX)</t>
  </si>
  <si>
    <t>Cash and cash equivalents</t>
  </si>
  <si>
    <t>EOP Restricted Cash Adjustment</t>
  </si>
  <si>
    <t>BOP Restricted Cash Adjustment</t>
  </si>
  <si>
    <t>$ in thousands except per share</t>
  </si>
  <si>
    <t>Summary Debt:</t>
  </si>
  <si>
    <t>CPLTD</t>
  </si>
  <si>
    <t>LTD</t>
  </si>
  <si>
    <t>Spirit Airlines, Inc. (NASDAQ: FLYYQ)</t>
  </si>
  <si>
    <t>Aircraft fuel</t>
  </si>
  <si>
    <t>Salaries, wages and benefits</t>
  </si>
  <si>
    <t>Landing fees and other rents</t>
  </si>
  <si>
    <t>Aircraft rent</t>
  </si>
  <si>
    <t>Depreciation and amortization</t>
  </si>
  <si>
    <t>Maintenance, materials and repairs</t>
  </si>
  <si>
    <t>Distribution</t>
  </si>
  <si>
    <t>Capitalized interest</t>
  </si>
  <si>
    <t>Short-term investment securities</t>
  </si>
  <si>
    <t>Restricted cash</t>
  </si>
  <si>
    <t>Accounts receivable, net</t>
  </si>
  <si>
    <t>Operating lease right-of-use assets:</t>
  </si>
  <si>
    <t>Pre-delivery deposits on flight equipment</t>
  </si>
  <si>
    <t>Deferred heavy maintenance, net</t>
  </si>
  <si>
    <t>Other long-term assets</t>
  </si>
  <si>
    <t>Air traffic liability</t>
  </si>
  <si>
    <t>Current maturities of operating leases</t>
  </si>
  <si>
    <t>Other current liabilities</t>
  </si>
  <si>
    <t>Operating leases, less current maturities</t>
  </si>
  <si>
    <t>Deferred gains and other long-term liabilities</t>
  </si>
  <si>
    <t>Additional paid-in-capital</t>
  </si>
  <si>
    <t>Treasury stock</t>
  </si>
  <si>
    <t>Benefit (Provision) for Income Taxes</t>
  </si>
  <si>
    <t>Prepaid expenses and Other Current Assets</t>
  </si>
  <si>
    <t xml:space="preserve">Liabilities subject to compromise	</t>
  </si>
  <si>
    <t>Current Portion of LTD, and finance leases.</t>
  </si>
  <si>
    <t>LTD, and finance leases.</t>
  </si>
  <si>
    <t>Amortization of debt issuance costs</t>
  </si>
  <si>
    <t>Accretion of convertible debt and 8.00% senior secured notes</t>
  </si>
  <si>
    <t>Amortization of debt discount</t>
  </si>
  <si>
    <t>Deferred income tax benefit</t>
  </si>
  <si>
    <t>Deposits and other assets</t>
  </si>
  <si>
    <t>Deferred heavy maintenance</t>
  </si>
  <si>
    <t>Other liabilities</t>
  </si>
  <si>
    <t>Proceeds from sale of property and equipment</t>
  </si>
  <si>
    <t>Purchase of property and equipment</t>
  </si>
  <si>
    <t>Payments on finance lease obligations</t>
  </si>
  <si>
    <t>Reimbursement for assets under construction for others</t>
  </si>
  <si>
    <t>Interest, net of capitalized interest</t>
  </si>
  <si>
    <t>Income taxes paid (received), net</t>
  </si>
  <si>
    <t>Reorganization items</t>
  </si>
  <si>
    <t>Debt and equity financing costs</t>
  </si>
  <si>
    <t>Interest Income</t>
  </si>
  <si>
    <t>Capitalized Interest</t>
  </si>
  <si>
    <t>Restructuring &amp; Other Special Charges</t>
  </si>
  <si>
    <t>Depreciation and Amortization (D&amp;A)</t>
  </si>
  <si>
    <t>Share-Based Compensation (SBC)</t>
  </si>
  <si>
    <t>Other Gains, Losses, Allowances, and Charges</t>
  </si>
  <si>
    <t>Gains (Losses) on disposal of assets</t>
  </si>
  <si>
    <t>Other Operating Expenses</t>
  </si>
  <si>
    <t>Special Credits (Charges)</t>
  </si>
  <si>
    <t>Loss (Gain) on Disposal of Assets</t>
  </si>
  <si>
    <t>Proceeds / (Purchase) of available-for-sale investment securities</t>
  </si>
  <si>
    <t>Other Investing Activities</t>
  </si>
  <si>
    <t>Pre-delivery deposit refunds on flight equipment, net of payments</t>
  </si>
  <si>
    <t>Other Income / (Expenses)</t>
  </si>
  <si>
    <t>Proceeds / (Repayment) of Debt</t>
  </si>
  <si>
    <t>Equity Issuances / (Repurchase of Common Stock)</t>
  </si>
  <si>
    <t>Other</t>
  </si>
  <si>
    <t xml:space="preserve">Passenger </t>
  </si>
  <si>
    <t>(-) Salaries, wages and benefits</t>
  </si>
  <si>
    <t>(-) Aircraft fuel</t>
  </si>
  <si>
    <t>(-) Aircraft rent</t>
  </si>
  <si>
    <t>(-) Landing fees and other rents</t>
  </si>
  <si>
    <t>(-) Depreciation and amortization</t>
  </si>
  <si>
    <t>(-) Maintenance, materials and repairs</t>
  </si>
  <si>
    <t>(-) Distribution</t>
  </si>
  <si>
    <t>(-) Special Credits (Charges)</t>
  </si>
  <si>
    <t>(-) Gains (Losses) on disposal of assets</t>
  </si>
  <si>
    <t>(-) Other Operating Expenses</t>
  </si>
  <si>
    <t>(+) Depreciation and Amortization (D&amp;A)</t>
  </si>
  <si>
    <t>Cash and Cash Equivalents</t>
  </si>
  <si>
    <t>Restricted Cash</t>
  </si>
  <si>
    <t>Short-Term Investment Securities</t>
  </si>
  <si>
    <t>Accounts Receivable</t>
  </si>
  <si>
    <t>Property and Equipment</t>
  </si>
  <si>
    <t>(+/-) Proceeds / (Purchase) of available-for-sale investment securities</t>
  </si>
  <si>
    <t>(+/-) Pre-delivery deposit refunds on flight equipment, net of payments</t>
  </si>
  <si>
    <t>(-) Proceeds from sale of property and equipment</t>
  </si>
  <si>
    <t>(-) Proceeds / (Repayment) of Debt</t>
  </si>
  <si>
    <t>(+/-) Payments on finance lease obligations</t>
  </si>
  <si>
    <t>(+/-) Equity Issuances / (Repurchase of Common Stock)</t>
  </si>
  <si>
    <t>(+/-) Debt and equity financing costs</t>
  </si>
  <si>
    <t>(+/-) Reorganization items</t>
  </si>
  <si>
    <t>(+/-) Deferred income tax benefit</t>
  </si>
  <si>
    <t>(+) Special Charges / (Credits)</t>
  </si>
  <si>
    <t>(+) Gains (Losses) on Disposal of Assets</t>
  </si>
  <si>
    <t>8.00% senior secured notes due in 2025</t>
  </si>
  <si>
    <t>Fixed-rate class A 2015-1 EETC due through 2028</t>
  </si>
  <si>
    <t>Fixed-rate class B 2015-1 EETC due through 2024</t>
  </si>
  <si>
    <t>Fixed-rate class C 2015-1 EETC due through 2023</t>
  </si>
  <si>
    <t>Fixed-rate class AA 2017-1 EETC due through 2030</t>
  </si>
  <si>
    <t>Fixed-rate class A 2017-1 EETC due through 2030</t>
  </si>
  <si>
    <t>Fixed-rate class B 2017-1 EETC due through 2026</t>
  </si>
  <si>
    <t>Fixed-rate class C 2017-1 EETC due through 2023</t>
  </si>
  <si>
    <t xml:space="preserve">Revolving credit facility due in 2021	</t>
  </si>
  <si>
    <t xml:space="preserve">Revolving credit facility due in 2022	</t>
  </si>
  <si>
    <t>Fixed-rate term loans due through 2039</t>
  </si>
  <si>
    <t>Unsecured term loans due in 2031</t>
  </si>
  <si>
    <t>DIP term loan due in 2025</t>
  </si>
  <si>
    <t>Revolving credit facility due in 2026</t>
  </si>
  <si>
    <t>4.75% convertible notes due 2025</t>
  </si>
  <si>
    <t>1.00% convertible notes due 2026</t>
  </si>
  <si>
    <t>2025-1 EETC Class B</t>
  </si>
  <si>
    <t>Exit Secured Notes</t>
  </si>
  <si>
    <t>$275MM RCF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</si>
</sst>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i/>
      <sz val="8"/>
      <color rgb="FFFF0000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64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166" fontId="7" fillId="3" borderId="0" xfId="1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166" fontId="9" fillId="3" borderId="0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6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37" fontId="6" fillId="0" borderId="0" xfId="2" applyNumberFormat="1" applyFont="1" applyFill="1" applyBorder="1" applyAlignment="1">
      <alignment wrapText="1"/>
    </xf>
    <xf numFmtId="164" fontId="15" fillId="0" borderId="0" xfId="2" applyNumberFormat="1" applyFont="1" applyBorder="1" applyAlignment="1">
      <alignment wrapText="1"/>
    </xf>
    <xf numFmtId="0" fontId="20" fillId="0" borderId="0" xfId="0" applyFont="1" applyAlignment="1">
      <alignment vertical="top" wrapText="1"/>
    </xf>
    <xf numFmtId="43" fontId="20" fillId="0" borderId="0" xfId="0" applyNumberFormat="1" applyFont="1" applyAlignment="1">
      <alignment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17" fillId="0" borderId="6" xfId="0" applyFont="1" applyBorder="1"/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0" fontId="8" fillId="0" borderId="6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169" fontId="4" fillId="0" borderId="0" xfId="0" applyNumberFormat="1" applyFont="1"/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3" fontId="21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0" fontId="8" fillId="5" borderId="9" xfId="0" applyFont="1" applyFill="1" applyBorder="1" applyAlignment="1">
      <alignment horizontal="right" vertical="center" wrapText="1"/>
    </xf>
    <xf numFmtId="0" fontId="4" fillId="0" borderId="9" xfId="0" applyFont="1" applyBorder="1"/>
    <xf numFmtId="37" fontId="4" fillId="0" borderId="10" xfId="0" applyNumberFormat="1" applyFont="1" applyBorder="1" applyAlignment="1">
      <alignment wrapText="1"/>
    </xf>
    <xf numFmtId="41" fontId="8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41" fontId="11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vertical="center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0" xfId="0" applyFont="1" applyAlignment="1">
      <alignment horizontal="left" wrapText="1"/>
    </xf>
    <xf numFmtId="41" fontId="11" fillId="0" borderId="13" xfId="0" applyNumberFormat="1" applyFont="1" applyBorder="1" applyAlignment="1">
      <alignment horizontal="right" vertical="top" wrapText="1"/>
    </xf>
    <xf numFmtId="41" fontId="7" fillId="0" borderId="9" xfId="0" applyNumberFormat="1" applyFont="1" applyBorder="1" applyAlignment="1">
      <alignment horizontal="right" vertical="top" wrapText="1"/>
    </xf>
    <xf numFmtId="0" fontId="30" fillId="0" borderId="0" xfId="0" applyFont="1" applyAlignment="1">
      <alignment horizontal="right" vertical="center" wrapText="1"/>
    </xf>
    <xf numFmtId="7" fontId="25" fillId="0" borderId="0" xfId="0" applyNumberFormat="1" applyFont="1" applyAlignment="1">
      <alignment horizontal="right"/>
    </xf>
    <xf numFmtId="41" fontId="8" fillId="5" borderId="0" xfId="0" applyNumberFormat="1" applyFont="1" applyFill="1" applyAlignment="1">
      <alignment horizontal="right" vertical="top" wrapText="1"/>
    </xf>
    <xf numFmtId="41" fontId="6" fillId="5" borderId="0" xfId="0" applyNumberFormat="1" applyFont="1" applyFill="1" applyAlignment="1">
      <alignment horizontal="right" vertical="top"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5" borderId="10" xfId="0" applyNumberFormat="1" applyFont="1" applyFill="1" applyBorder="1" applyAlignment="1">
      <alignment horizontal="right" vertical="top" wrapText="1"/>
    </xf>
    <xf numFmtId="41" fontId="8" fillId="0" borderId="10" xfId="0" applyNumberFormat="1" applyFont="1" applyBorder="1" applyAlignment="1">
      <alignment horizontal="right" vertical="top" wrapText="1"/>
    </xf>
    <xf numFmtId="41" fontId="6" fillId="5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0" fontId="8" fillId="0" borderId="9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41" fontId="6" fillId="0" borderId="14" xfId="0" applyNumberFormat="1" applyFont="1" applyBorder="1" applyAlignment="1">
      <alignment horizontal="right" vertical="top" wrapText="1"/>
    </xf>
    <xf numFmtId="41" fontId="25" fillId="0" borderId="0" xfId="0" applyNumberFormat="1" applyFont="1" applyAlignment="1">
      <alignment vertical="center"/>
    </xf>
    <xf numFmtId="41" fontId="4" fillId="0" borderId="0" xfId="0" applyNumberFormat="1" applyFont="1" applyAlignment="1">
      <alignment vertical="center"/>
    </xf>
    <xf numFmtId="41" fontId="6" fillId="0" borderId="0" xfId="0" applyNumberFormat="1" applyFont="1" applyAlignment="1">
      <alignment vertical="center"/>
    </xf>
    <xf numFmtId="9" fontId="13" fillId="0" borderId="0" xfId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6" fillId="0" borderId="0" xfId="0" applyFont="1"/>
    <xf numFmtId="5" fontId="8" fillId="8" borderId="0" xfId="0" applyNumberFormat="1" applyFont="1" applyFill="1" applyAlignment="1">
      <alignment horizontal="right" vertical="top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41" fontId="11" fillId="0" borderId="0" xfId="0" applyNumberFormat="1" applyFont="1" applyFill="1" applyAlignment="1">
      <alignment horizontal="right" vertical="top" wrapText="1"/>
    </xf>
    <xf numFmtId="169" fontId="4" fillId="8" borderId="0" xfId="0" applyNumberFormat="1" applyFont="1" applyFill="1"/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D164"/>
  <sheetViews>
    <sheetView showGridLines="0" tabSelected="1" zoomScaleNormal="100" workbookViewId="0">
      <selection activeCell="B2" sqref="B2"/>
    </sheetView>
  </sheetViews>
  <sheetFormatPr defaultRowHeight="12" outlineLevelCol="2"/>
  <cols>
    <col min="1" max="1" width="1.625" style="5" bestFit="1" customWidth="1"/>
    <col min="2" max="2" width="41.75" style="5" customWidth="1"/>
    <col min="3" max="3" width="9" style="5" hidden="1" customWidth="1" outlineLevel="2"/>
    <col min="4" max="5" width="9" style="5" hidden="1" customWidth="1" outlineLevel="1"/>
    <col min="6" max="6" width="9" style="5" bestFit="1" customWidth="1" collapsed="1"/>
    <col min="7" max="8" width="9" style="5" bestFit="1" customWidth="1"/>
    <col min="9" max="9" width="1.5" style="5" customWidth="1"/>
    <col min="10" max="13" width="8.875" style="5" hidden="1" customWidth="1" outlineLevel="2"/>
    <col min="14" max="15" width="8.875" style="5" hidden="1" customWidth="1" outlineLevel="1"/>
    <col min="16" max="16" width="8.875" style="5" bestFit="1" customWidth="1" collapsed="1"/>
    <col min="17" max="20" width="8.875" style="5" bestFit="1" customWidth="1"/>
    <col min="21" max="21" width="1.5" style="5" customWidth="1"/>
    <col min="22" max="23" width="8.75" style="5" hidden="1" customWidth="1" outlineLevel="1"/>
    <col min="24" max="24" width="9" style="5" bestFit="1" customWidth="1" collapsed="1"/>
    <col min="25" max="27" width="9" style="5" hidden="1" customWidth="1" outlineLevel="1"/>
    <col min="28" max="28" width="9" style="5" bestFit="1" customWidth="1" collapsed="1"/>
    <col min="29" max="29" width="1.25" style="5" customWidth="1"/>
    <col min="30" max="30" width="9.5" style="5" bestFit="1" customWidth="1"/>
    <col min="31" max="31" width="1.375" style="5" customWidth="1"/>
    <col min="32" max="16384" width="9" style="5"/>
  </cols>
  <sheetData>
    <row r="2" spans="1:30" ht="12.75" customHeight="1">
      <c r="B2" s="1" t="s">
        <v>113</v>
      </c>
      <c r="C2" s="104"/>
      <c r="D2" s="104"/>
      <c r="E2" s="104"/>
      <c r="F2" s="104"/>
      <c r="G2" s="104"/>
      <c r="H2" s="104"/>
      <c r="I2" s="3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3"/>
      <c r="V2" s="104"/>
      <c r="W2" s="104"/>
      <c r="X2" s="104"/>
      <c r="Y2" s="104"/>
      <c r="Z2" s="104"/>
      <c r="AA2" s="104"/>
      <c r="AB2" s="104"/>
      <c r="AC2" s="3"/>
      <c r="AD2" s="1"/>
    </row>
    <row r="3" spans="1:30" ht="12.75" customHeight="1">
      <c r="B3" s="6" t="s">
        <v>78</v>
      </c>
      <c r="C3" s="7"/>
      <c r="D3" s="7"/>
      <c r="E3" s="7"/>
      <c r="F3" s="7"/>
      <c r="G3" s="7"/>
      <c r="H3" s="7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3"/>
      <c r="V3" s="4"/>
      <c r="W3" s="4"/>
      <c r="X3" s="4"/>
      <c r="Y3" s="4"/>
      <c r="Z3" s="4"/>
      <c r="AA3" s="4"/>
      <c r="AB3" s="4"/>
      <c r="AC3" s="3"/>
      <c r="AD3" s="1"/>
    </row>
    <row r="4" spans="1:30" ht="12.75" customHeight="1">
      <c r="B4" s="6" t="s">
        <v>109</v>
      </c>
      <c r="C4" s="3"/>
      <c r="D4" s="3"/>
      <c r="E4" s="3"/>
      <c r="F4" s="3"/>
      <c r="G4" s="8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1"/>
    </row>
    <row r="6" spans="1:30" ht="12.75" customHeight="1">
      <c r="A6" s="5" t="s">
        <v>18</v>
      </c>
      <c r="B6" s="1" t="s">
        <v>76</v>
      </c>
      <c r="C6" s="2"/>
      <c r="D6" s="2"/>
      <c r="E6" s="2"/>
      <c r="F6" s="2" t="s">
        <v>0</v>
      </c>
      <c r="G6" s="2"/>
      <c r="H6" s="2"/>
      <c r="I6" s="3"/>
      <c r="J6" s="2" t="s">
        <v>1</v>
      </c>
      <c r="K6" s="2"/>
      <c r="L6" s="2"/>
      <c r="M6" s="2"/>
      <c r="N6" s="2"/>
      <c r="O6" s="2"/>
      <c r="P6" s="2" t="s">
        <v>1</v>
      </c>
      <c r="Q6" s="2"/>
      <c r="R6" s="2"/>
      <c r="S6" s="2"/>
      <c r="T6" s="2"/>
      <c r="U6" s="3"/>
      <c r="V6" s="2"/>
      <c r="W6" s="2" t="s">
        <v>10</v>
      </c>
      <c r="X6" s="2" t="s">
        <v>10</v>
      </c>
      <c r="Y6" s="2"/>
      <c r="Z6" s="2"/>
      <c r="AA6" s="2"/>
      <c r="AB6" s="2"/>
      <c r="AC6" s="38"/>
      <c r="AD6" s="158" t="s">
        <v>24</v>
      </c>
    </row>
    <row r="7" spans="1:30" ht="12.75" customHeight="1">
      <c r="B7" s="6" t="s">
        <v>79</v>
      </c>
      <c r="C7" s="7">
        <v>2019</v>
      </c>
      <c r="D7" s="7">
        <v>2020</v>
      </c>
      <c r="E7" s="7">
        <v>2021</v>
      </c>
      <c r="F7" s="7">
        <v>2022</v>
      </c>
      <c r="G7" s="7">
        <v>2023</v>
      </c>
      <c r="H7" s="7">
        <v>2024</v>
      </c>
      <c r="I7" s="3"/>
      <c r="J7" s="4" t="s">
        <v>6</v>
      </c>
      <c r="K7" s="4" t="s">
        <v>7</v>
      </c>
      <c r="L7" s="4" t="s">
        <v>8</v>
      </c>
      <c r="M7" s="4" t="s">
        <v>9</v>
      </c>
      <c r="N7" s="4" t="s">
        <v>2</v>
      </c>
      <c r="O7" s="4" t="s">
        <v>3</v>
      </c>
      <c r="P7" s="4" t="s">
        <v>4</v>
      </c>
      <c r="Q7" s="4" t="s">
        <v>5</v>
      </c>
      <c r="R7" s="4" t="s">
        <v>26</v>
      </c>
      <c r="S7" s="4" t="s">
        <v>27</v>
      </c>
      <c r="T7" s="4" t="s">
        <v>64</v>
      </c>
      <c r="U7" s="3"/>
      <c r="V7" s="4" t="str">
        <f>N7</f>
        <v>1Q24</v>
      </c>
      <c r="W7" s="4" t="str">
        <f>O7</f>
        <v>2Q24</v>
      </c>
      <c r="X7" s="4" t="str">
        <f>P7</f>
        <v>3Q24</v>
      </c>
      <c r="Y7" s="4" t="str">
        <f>Q7</f>
        <v>4Q24</v>
      </c>
      <c r="Z7" s="4" t="str">
        <f>R7</f>
        <v>1Q25</v>
      </c>
      <c r="AA7" s="4" t="str">
        <f>S7</f>
        <v>2Q25</v>
      </c>
      <c r="AB7" s="4" t="str">
        <f>T7</f>
        <v>3Q25</v>
      </c>
      <c r="AC7" s="38"/>
      <c r="AD7" s="158"/>
    </row>
    <row r="8" spans="1:30" ht="12.75" customHeight="1">
      <c r="B8" s="6" t="s">
        <v>80</v>
      </c>
      <c r="C8" s="3">
        <v>43830</v>
      </c>
      <c r="D8" s="3">
        <v>44196</v>
      </c>
      <c r="E8" s="3">
        <v>44561</v>
      </c>
      <c r="F8" s="3">
        <v>44926</v>
      </c>
      <c r="G8" s="87">
        <v>45291</v>
      </c>
      <c r="H8" s="3">
        <v>45657</v>
      </c>
      <c r="I8" s="3"/>
      <c r="J8" s="3">
        <v>45016</v>
      </c>
      <c r="K8" s="3">
        <v>45107</v>
      </c>
      <c r="L8" s="3">
        <v>45199</v>
      </c>
      <c r="M8" s="3">
        <f>G8</f>
        <v>45291</v>
      </c>
      <c r="N8" s="3">
        <v>45382</v>
      </c>
      <c r="O8" s="3">
        <v>45473</v>
      </c>
      <c r="P8" s="3">
        <v>45565</v>
      </c>
      <c r="Q8" s="3">
        <f>H8</f>
        <v>45657</v>
      </c>
      <c r="R8" s="3">
        <v>45747</v>
      </c>
      <c r="S8" s="3">
        <v>45838</v>
      </c>
      <c r="T8" s="3">
        <v>45930</v>
      </c>
      <c r="U8" s="3"/>
      <c r="V8" s="3">
        <f>N8</f>
        <v>45382</v>
      </c>
      <c r="W8" s="3">
        <f>O8</f>
        <v>45473</v>
      </c>
      <c r="X8" s="3">
        <f>P8</f>
        <v>45565</v>
      </c>
      <c r="Y8" s="3">
        <f>Q8</f>
        <v>45657</v>
      </c>
      <c r="Z8" s="3">
        <f>R8</f>
        <v>45747</v>
      </c>
      <c r="AA8" s="3">
        <f>S8</f>
        <v>45838</v>
      </c>
      <c r="AB8" s="3">
        <f>T8</f>
        <v>45930</v>
      </c>
      <c r="AC8" s="38"/>
      <c r="AD8" s="158"/>
    </row>
    <row r="9" spans="1:30" ht="5.0999999999999996" customHeight="1">
      <c r="AD9" s="103"/>
    </row>
    <row r="10" spans="1:30" ht="12.75" customHeight="1">
      <c r="B10" s="9" t="s">
        <v>59</v>
      </c>
      <c r="C10" s="98">
        <v>3830536</v>
      </c>
      <c r="D10" s="98">
        <v>1810022</v>
      </c>
      <c r="E10" s="98">
        <v>3230775</v>
      </c>
      <c r="F10" s="98">
        <v>5068447</v>
      </c>
      <c r="G10" s="98">
        <v>5362549</v>
      </c>
      <c r="H10" s="98">
        <v>4913421</v>
      </c>
      <c r="I10" s="11"/>
      <c r="J10" s="98">
        <v>1349774</v>
      </c>
      <c r="K10" s="98">
        <v>1432472</v>
      </c>
      <c r="L10" s="98">
        <v>1258543</v>
      </c>
      <c r="M10" s="32">
        <f>SUM(G10-SUM(J10:L10))</f>
        <v>1321760</v>
      </c>
      <c r="N10" s="98">
        <v>1265537</v>
      </c>
      <c r="O10" s="98">
        <v>1280889</v>
      </c>
      <c r="P10" s="98">
        <v>1197104</v>
      </c>
      <c r="Q10" s="32">
        <f>SUM(H10-SUM(N10:P10))</f>
        <v>1169891</v>
      </c>
      <c r="R10" s="84">
        <f>755354+257045</f>
        <v>1012399</v>
      </c>
      <c r="S10" s="84">
        <v>1019833</v>
      </c>
      <c r="T10" s="84">
        <v>958524</v>
      </c>
      <c r="V10" s="32">
        <f>SUM(K10:N10)</f>
        <v>5278312</v>
      </c>
      <c r="W10" s="32">
        <f>SUM(L10:O10)</f>
        <v>5126729</v>
      </c>
      <c r="X10" s="32">
        <f>SUM(M10:P10)</f>
        <v>5065290</v>
      </c>
      <c r="Y10" s="32">
        <f>SUM(N10:Q10)</f>
        <v>4913421</v>
      </c>
      <c r="Z10" s="32">
        <f>SUM(O10:R10)</f>
        <v>4660283</v>
      </c>
      <c r="AA10" s="32">
        <f>SUM(P10:S10)</f>
        <v>4399227</v>
      </c>
      <c r="AB10" s="32">
        <f>SUM(Q10:T10)</f>
        <v>4160647</v>
      </c>
      <c r="AC10" s="40"/>
      <c r="AD10" s="12">
        <f>SUM(AB10/X10)-1</f>
        <v>-0.17859648707181619</v>
      </c>
    </row>
    <row r="11" spans="1:30" ht="12.75" customHeight="1">
      <c r="B11" s="13" t="s">
        <v>12</v>
      </c>
      <c r="C11" s="14">
        <f t="shared" ref="C11:H11" si="0">+SUM(C10:C10)</f>
        <v>3830536</v>
      </c>
      <c r="D11" s="14">
        <f t="shared" si="0"/>
        <v>1810022</v>
      </c>
      <c r="E11" s="14">
        <f t="shared" si="0"/>
        <v>3230775</v>
      </c>
      <c r="F11" s="14">
        <f t="shared" si="0"/>
        <v>5068447</v>
      </c>
      <c r="G11" s="14">
        <f t="shared" si="0"/>
        <v>5362549</v>
      </c>
      <c r="H11" s="14">
        <f t="shared" si="0"/>
        <v>4913421</v>
      </c>
      <c r="I11" s="11"/>
      <c r="J11" s="14">
        <f t="shared" ref="J11:S11" si="1">+SUM(J10:J10)</f>
        <v>1349774</v>
      </c>
      <c r="K11" s="14">
        <f t="shared" si="1"/>
        <v>1432472</v>
      </c>
      <c r="L11" s="14">
        <f t="shared" si="1"/>
        <v>1258543</v>
      </c>
      <c r="M11" s="14">
        <f t="shared" si="1"/>
        <v>1321760</v>
      </c>
      <c r="N11" s="14">
        <f t="shared" si="1"/>
        <v>1265537</v>
      </c>
      <c r="O11" s="14">
        <f t="shared" si="1"/>
        <v>1280889</v>
      </c>
      <c r="P11" s="14">
        <f t="shared" si="1"/>
        <v>1197104</v>
      </c>
      <c r="Q11" s="14">
        <f t="shared" si="1"/>
        <v>1169891</v>
      </c>
      <c r="R11" s="14">
        <f t="shared" si="1"/>
        <v>1012399</v>
      </c>
      <c r="S11" s="14">
        <f t="shared" si="1"/>
        <v>1019833</v>
      </c>
      <c r="T11" s="14">
        <f>+SUM(T10:T10)</f>
        <v>958524</v>
      </c>
      <c r="V11" s="14">
        <f t="shared" ref="V11:AA11" si="2">+SUM(V10:V10)</f>
        <v>5278312</v>
      </c>
      <c r="W11" s="14">
        <f t="shared" si="2"/>
        <v>5126729</v>
      </c>
      <c r="X11" s="14">
        <f t="shared" si="2"/>
        <v>5065290</v>
      </c>
      <c r="Y11" s="14">
        <f t="shared" si="2"/>
        <v>4913421</v>
      </c>
      <c r="Z11" s="14">
        <f t="shared" si="2"/>
        <v>4660283</v>
      </c>
      <c r="AA11" s="14">
        <f t="shared" si="2"/>
        <v>4399227</v>
      </c>
      <c r="AB11" s="14">
        <f>+SUM(AB10:AB10)</f>
        <v>4160647</v>
      </c>
      <c r="AC11" s="40"/>
      <c r="AD11" s="15">
        <f>SUM(AB11/X11)-1</f>
        <v>-0.17859648707181619</v>
      </c>
    </row>
    <row r="12" spans="1:30" s="20" customFormat="1" ht="5.0999999999999996" customHeight="1">
      <c r="B12" s="18"/>
      <c r="C12" s="19"/>
      <c r="D12" s="19"/>
      <c r="E12" s="19"/>
      <c r="F12" s="19"/>
      <c r="G12" s="19"/>
      <c r="H12" s="19"/>
      <c r="J12" s="21"/>
      <c r="K12" s="21"/>
      <c r="L12" s="21"/>
      <c r="M12" s="21"/>
      <c r="N12" s="21"/>
      <c r="O12" s="21"/>
      <c r="P12" s="21"/>
      <c r="Q12" s="21"/>
      <c r="R12" s="22"/>
      <c r="S12" s="21"/>
      <c r="T12" s="21"/>
      <c r="AD12" s="77"/>
    </row>
    <row r="13" spans="1:30" ht="12.75" customHeight="1">
      <c r="B13" s="9" t="s">
        <v>115</v>
      </c>
      <c r="C13" s="84">
        <v>-865019</v>
      </c>
      <c r="D13" s="84">
        <v>-909834</v>
      </c>
      <c r="E13" s="84">
        <v>-1065461</v>
      </c>
      <c r="F13" s="84">
        <v>-1251225</v>
      </c>
      <c r="G13" s="84">
        <v>-1616803</v>
      </c>
      <c r="H13" s="84">
        <v>-1689083</v>
      </c>
      <c r="I13" s="32"/>
      <c r="J13" s="98">
        <v>-389185</v>
      </c>
      <c r="K13" s="98">
        <v>-407705</v>
      </c>
      <c r="L13" s="98">
        <v>-404177</v>
      </c>
      <c r="M13" s="32">
        <f>SUM(G13-SUM(J13:L13))</f>
        <v>-415736</v>
      </c>
      <c r="N13" s="98">
        <v>-431483</v>
      </c>
      <c r="O13" s="98">
        <v>-418378</v>
      </c>
      <c r="P13" s="98">
        <v>-427125</v>
      </c>
      <c r="Q13" s="32">
        <f>SUM(H13-SUM(N13:P13))</f>
        <v>-412097</v>
      </c>
      <c r="R13" s="84">
        <f>-76212-308585</f>
        <v>-384797</v>
      </c>
      <c r="S13" s="84">
        <v>-367361</v>
      </c>
      <c r="T13" s="84">
        <v>-367356</v>
      </c>
      <c r="V13" s="32">
        <f>SUM(K13:N13)</f>
        <v>-1659101</v>
      </c>
      <c r="W13" s="32">
        <f>SUM(L13:O13)</f>
        <v>-1669774</v>
      </c>
      <c r="X13" s="32">
        <f>SUM(M13:P13)</f>
        <v>-1692722</v>
      </c>
      <c r="Y13" s="32">
        <f>SUM(N13:Q13)</f>
        <v>-1689083</v>
      </c>
      <c r="Z13" s="32">
        <f>SUM(O13:R13)</f>
        <v>-1642397</v>
      </c>
      <c r="AA13" s="32">
        <f>SUM(P13:S13)</f>
        <v>-1591380</v>
      </c>
      <c r="AB13" s="32">
        <f>SUM(Q13:T13)</f>
        <v>-1531611</v>
      </c>
      <c r="AC13" s="11"/>
      <c r="AD13" s="77">
        <f>SUM(AB13/X13)-1</f>
        <v>-9.5178653080659426E-2</v>
      </c>
    </row>
    <row r="14" spans="1:30" ht="12.75" customHeight="1">
      <c r="B14" s="9" t="s">
        <v>114</v>
      </c>
      <c r="C14" s="84">
        <v>-993478</v>
      </c>
      <c r="D14" s="84">
        <v>-431000</v>
      </c>
      <c r="E14" s="84">
        <v>-913945</v>
      </c>
      <c r="F14" s="84">
        <v>-1929969</v>
      </c>
      <c r="G14" s="84">
        <v>-1821165</v>
      </c>
      <c r="H14" s="84">
        <v>-1479203</v>
      </c>
      <c r="I14" s="32"/>
      <c r="J14" s="98">
        <v>-487711</v>
      </c>
      <c r="K14" s="98">
        <v>-391032</v>
      </c>
      <c r="L14" s="98">
        <v>-455241</v>
      </c>
      <c r="M14" s="32">
        <f t="shared" ref="M14:M22" si="3">SUM(G14-SUM(J14:L14))</f>
        <v>-487181</v>
      </c>
      <c r="N14" s="98">
        <v>-406351</v>
      </c>
      <c r="O14" s="98">
        <v>-407296</v>
      </c>
      <c r="P14" s="98">
        <v>-373399</v>
      </c>
      <c r="Q14" s="32">
        <f t="shared" ref="Q14:Q22" si="4">SUM(H14-SUM(N14:P14))</f>
        <v>-292157</v>
      </c>
      <c r="R14" s="84">
        <f>-60797-219922</f>
        <v>-280719</v>
      </c>
      <c r="S14" s="84">
        <v>-260486</v>
      </c>
      <c r="T14" s="84">
        <v>-253308</v>
      </c>
      <c r="V14" s="32">
        <f>SUM(K14:N14)</f>
        <v>-1739805</v>
      </c>
      <c r="W14" s="32">
        <f>SUM(L14:O14)</f>
        <v>-1756069</v>
      </c>
      <c r="X14" s="32">
        <f>SUM(M14:P14)</f>
        <v>-1674227</v>
      </c>
      <c r="Y14" s="32">
        <f>SUM(N14:Q14)</f>
        <v>-1479203</v>
      </c>
      <c r="Z14" s="32">
        <f>SUM(O14:R14)</f>
        <v>-1353571</v>
      </c>
      <c r="AA14" s="32">
        <f>SUM(P14:S14)</f>
        <v>-1206761</v>
      </c>
      <c r="AB14" s="32">
        <f>SUM(Q14:T14)</f>
        <v>-1086670</v>
      </c>
      <c r="AC14" s="11"/>
      <c r="AD14" s="77">
        <f>SUM(AB14/X14)-1</f>
        <v>-0.35094225573951443</v>
      </c>
    </row>
    <row r="15" spans="1:30" ht="12.75" customHeight="1">
      <c r="B15" s="9" t="s">
        <v>117</v>
      </c>
      <c r="C15" s="84">
        <v>-182609</v>
      </c>
      <c r="D15" s="84">
        <v>-196359</v>
      </c>
      <c r="E15" s="84">
        <v>-246601</v>
      </c>
      <c r="F15" s="84">
        <v>-282428</v>
      </c>
      <c r="G15" s="84">
        <v>-381239</v>
      </c>
      <c r="H15" s="84">
        <v>-541909</v>
      </c>
      <c r="I15" s="32"/>
      <c r="J15" s="98">
        <v>-85267</v>
      </c>
      <c r="K15" s="98">
        <v>-92101</v>
      </c>
      <c r="L15" s="98">
        <v>-97393</v>
      </c>
      <c r="M15" s="32">
        <f>SUM(G15-SUM(J15:L15))</f>
        <v>-106478</v>
      </c>
      <c r="N15" s="98">
        <v>-115206</v>
      </c>
      <c r="O15" s="98">
        <v>-125339</v>
      </c>
      <c r="P15" s="98">
        <v>-148511</v>
      </c>
      <c r="Q15" s="32">
        <f>SUM(H15-SUM(N15:P15))</f>
        <v>-152853</v>
      </c>
      <c r="R15" s="84">
        <f>-30884-120183</f>
        <v>-151067</v>
      </c>
      <c r="S15" s="84">
        <v>-140693</v>
      </c>
      <c r="T15" s="84">
        <v>-154064</v>
      </c>
      <c r="V15" s="32">
        <f>SUM(K15:N15)</f>
        <v>-411178</v>
      </c>
      <c r="W15" s="32">
        <f>SUM(L15:O15)</f>
        <v>-444416</v>
      </c>
      <c r="X15" s="32">
        <f>SUM(M15:P15)</f>
        <v>-495534</v>
      </c>
      <c r="Y15" s="32">
        <f>SUM(N15:Q15)</f>
        <v>-541909</v>
      </c>
      <c r="Z15" s="32">
        <f>SUM(O15:R15)</f>
        <v>-577770</v>
      </c>
      <c r="AA15" s="32">
        <f>SUM(P15:S15)</f>
        <v>-593124</v>
      </c>
      <c r="AB15" s="32">
        <f>SUM(Q15:T15)</f>
        <v>-598677</v>
      </c>
      <c r="AC15" s="11"/>
      <c r="AD15" s="77">
        <f t="shared" ref="AD15:AD22" si="5">SUM(AB15/X15)-1</f>
        <v>0.20814515250214916</v>
      </c>
    </row>
    <row r="16" spans="1:30" ht="12.75" customHeight="1">
      <c r="B16" s="9" t="s">
        <v>116</v>
      </c>
      <c r="C16" s="84">
        <v>-256275</v>
      </c>
      <c r="D16" s="84">
        <v>-251028</v>
      </c>
      <c r="E16" s="84">
        <v>-315999</v>
      </c>
      <c r="F16" s="84">
        <v>-347268</v>
      </c>
      <c r="G16" s="84">
        <v>-408262</v>
      </c>
      <c r="H16" s="84">
        <v>-451008</v>
      </c>
      <c r="I16" s="32"/>
      <c r="J16" s="98">
        <v>-97345</v>
      </c>
      <c r="K16" s="98">
        <v>-106487</v>
      </c>
      <c r="L16" s="98">
        <v>-107525</v>
      </c>
      <c r="M16" s="32">
        <f t="shared" si="3"/>
        <v>-96905</v>
      </c>
      <c r="N16" s="98">
        <v>-106718</v>
      </c>
      <c r="O16" s="98">
        <v>-116064</v>
      </c>
      <c r="P16" s="98">
        <v>-130044</v>
      </c>
      <c r="Q16" s="32">
        <f t="shared" si="4"/>
        <v>-98182</v>
      </c>
      <c r="R16" s="84">
        <f>-20944-87001</f>
        <v>-107945</v>
      </c>
      <c r="S16" s="84">
        <v>-101457</v>
      </c>
      <c r="T16" s="84">
        <v>-104900</v>
      </c>
      <c r="V16" s="32">
        <f>SUM(K16:N16)</f>
        <v>-417635</v>
      </c>
      <c r="W16" s="32">
        <f>SUM(L16:O16)</f>
        <v>-427212</v>
      </c>
      <c r="X16" s="32">
        <f>SUM(M16:P16)</f>
        <v>-449731</v>
      </c>
      <c r="Y16" s="32">
        <f>SUM(N16:Q16)</f>
        <v>-451008</v>
      </c>
      <c r="Z16" s="32">
        <f>SUM(O16:R16)</f>
        <v>-452235</v>
      </c>
      <c r="AA16" s="32">
        <f>SUM(P16:S16)</f>
        <v>-437628</v>
      </c>
      <c r="AB16" s="32">
        <f>SUM(Q16:T16)</f>
        <v>-412484</v>
      </c>
      <c r="AC16" s="11"/>
      <c r="AD16" s="77">
        <f t="shared" si="5"/>
        <v>-8.2820619436952292E-2</v>
      </c>
    </row>
    <row r="17" spans="2:30" ht="12.75" customHeight="1">
      <c r="B17" s="9" t="s">
        <v>118</v>
      </c>
      <c r="C17" s="84">
        <v>-225264</v>
      </c>
      <c r="D17" s="84">
        <v>-278588</v>
      </c>
      <c r="E17" s="84">
        <v>-297211</v>
      </c>
      <c r="F17" s="84">
        <v>-313090</v>
      </c>
      <c r="G17" s="84">
        <v>-320872</v>
      </c>
      <c r="H17" s="84">
        <v>-325273</v>
      </c>
      <c r="I17" s="32"/>
      <c r="J17" s="98">
        <v>-77991</v>
      </c>
      <c r="K17" s="98">
        <v>-80542</v>
      </c>
      <c r="L17" s="98">
        <v>-82802</v>
      </c>
      <c r="M17" s="32">
        <f t="shared" si="3"/>
        <v>-79537</v>
      </c>
      <c r="N17" s="98">
        <v>-81346</v>
      </c>
      <c r="O17" s="98">
        <v>-84486</v>
      </c>
      <c r="P17" s="98">
        <v>-84028</v>
      </c>
      <c r="Q17" s="32">
        <f t="shared" si="4"/>
        <v>-75413</v>
      </c>
      <c r="R17" s="84">
        <f>-11597-54853</f>
        <v>-66450</v>
      </c>
      <c r="S17" s="84">
        <v>-62886</v>
      </c>
      <c r="T17" s="84">
        <v>-58032</v>
      </c>
      <c r="V17" s="32">
        <f>SUM(K17:N17)</f>
        <v>-324227</v>
      </c>
      <c r="W17" s="32">
        <f>SUM(L17:O17)</f>
        <v>-328171</v>
      </c>
      <c r="X17" s="32">
        <f>SUM(M17:P17)</f>
        <v>-329397</v>
      </c>
      <c r="Y17" s="32">
        <f>SUM(N17:Q17)</f>
        <v>-325273</v>
      </c>
      <c r="Z17" s="32">
        <f>SUM(O17:R17)</f>
        <v>-310377</v>
      </c>
      <c r="AA17" s="32">
        <f>SUM(P17:S17)</f>
        <v>-288777</v>
      </c>
      <c r="AB17" s="32">
        <f>SUM(Q17:T17)</f>
        <v>-262781</v>
      </c>
      <c r="AC17" s="11"/>
      <c r="AD17" s="77">
        <f t="shared" si="5"/>
        <v>-0.20223620737286618</v>
      </c>
    </row>
    <row r="18" spans="2:30" ht="12.75" customHeight="1">
      <c r="B18" s="9" t="s">
        <v>119</v>
      </c>
      <c r="C18" s="84">
        <v>-143575</v>
      </c>
      <c r="D18" s="84">
        <v>-111227</v>
      </c>
      <c r="E18" s="84">
        <v>-159502</v>
      </c>
      <c r="F18" s="84">
        <v>-187820</v>
      </c>
      <c r="G18" s="84">
        <v>-223339</v>
      </c>
      <c r="H18" s="84">
        <v>-217738</v>
      </c>
      <c r="I18" s="32"/>
      <c r="J18" s="98">
        <v>-54414</v>
      </c>
      <c r="K18" s="98">
        <v>-56825</v>
      </c>
      <c r="L18" s="98">
        <v>-56465</v>
      </c>
      <c r="M18" s="32">
        <f t="shared" si="3"/>
        <v>-55635</v>
      </c>
      <c r="N18" s="98">
        <v>-54915</v>
      </c>
      <c r="O18" s="98">
        <v>-52453</v>
      </c>
      <c r="P18" s="98">
        <v>-57368</v>
      </c>
      <c r="Q18" s="32">
        <f t="shared" si="4"/>
        <v>-53002</v>
      </c>
      <c r="R18" s="84">
        <f>-11209-47498</f>
        <v>-58707</v>
      </c>
      <c r="S18" s="84">
        <v>-48747</v>
      </c>
      <c r="T18" s="84">
        <v>-54849</v>
      </c>
      <c r="V18" s="32">
        <f>SUM(K18:N18)</f>
        <v>-223840</v>
      </c>
      <c r="W18" s="32">
        <f>SUM(L18:O18)</f>
        <v>-219468</v>
      </c>
      <c r="X18" s="32">
        <f>SUM(M18:P18)</f>
        <v>-220371</v>
      </c>
      <c r="Y18" s="32">
        <f>SUM(N18:Q18)</f>
        <v>-217738</v>
      </c>
      <c r="Z18" s="32">
        <f>SUM(O18:R18)</f>
        <v>-221530</v>
      </c>
      <c r="AA18" s="32">
        <f>SUM(P18:S18)</f>
        <v>-217824</v>
      </c>
      <c r="AB18" s="32">
        <f>SUM(Q18:T18)</f>
        <v>-215305</v>
      </c>
      <c r="AC18" s="11"/>
      <c r="AD18" s="77">
        <f t="shared" si="5"/>
        <v>-2.2988505747126409E-2</v>
      </c>
    </row>
    <row r="19" spans="2:30" ht="12.75" customHeight="1">
      <c r="B19" s="9" t="s">
        <v>120</v>
      </c>
      <c r="C19" s="84">
        <v>-153770</v>
      </c>
      <c r="D19" s="84">
        <v>-85059</v>
      </c>
      <c r="E19" s="84">
        <v>-132499</v>
      </c>
      <c r="F19" s="84">
        <v>-177557</v>
      </c>
      <c r="G19" s="84">
        <v>-190891</v>
      </c>
      <c r="H19" s="84">
        <v>-197197</v>
      </c>
      <c r="I19" s="32"/>
      <c r="J19" s="98">
        <v>-48017</v>
      </c>
      <c r="K19" s="98">
        <v>-50701</v>
      </c>
      <c r="L19" s="98">
        <v>-46323</v>
      </c>
      <c r="M19" s="32">
        <f t="shared" si="3"/>
        <v>-45850</v>
      </c>
      <c r="N19" s="98">
        <v>-45176</v>
      </c>
      <c r="O19" s="98">
        <v>-45923</v>
      </c>
      <c r="P19" s="98">
        <v>-55687</v>
      </c>
      <c r="Q19" s="32">
        <f t="shared" si="4"/>
        <v>-50411</v>
      </c>
      <c r="R19" s="84">
        <f>-10432-39461</f>
        <v>-49893</v>
      </c>
      <c r="S19" s="84">
        <v>-47139</v>
      </c>
      <c r="T19" s="84">
        <v>-45833</v>
      </c>
      <c r="V19" s="32">
        <f>SUM(K19:N19)</f>
        <v>-188050</v>
      </c>
      <c r="W19" s="32">
        <f>SUM(L19:O19)</f>
        <v>-183272</v>
      </c>
      <c r="X19" s="32">
        <f>SUM(M19:P19)</f>
        <v>-192636</v>
      </c>
      <c r="Y19" s="32">
        <f>SUM(N19:Q19)</f>
        <v>-197197</v>
      </c>
      <c r="Z19" s="32">
        <f>SUM(O19:R19)</f>
        <v>-201914</v>
      </c>
      <c r="AA19" s="32">
        <f>SUM(P19:S19)</f>
        <v>-203130</v>
      </c>
      <c r="AB19" s="32">
        <f>SUM(Q19:T19)</f>
        <v>-193276</v>
      </c>
      <c r="AC19" s="11"/>
      <c r="AD19" s="77">
        <f t="shared" si="5"/>
        <v>3.3223281214311839E-3</v>
      </c>
    </row>
    <row r="20" spans="2:30" ht="12.75" customHeight="1">
      <c r="B20" s="9" t="s">
        <v>164</v>
      </c>
      <c r="C20" s="84">
        <v>-717</v>
      </c>
      <c r="D20" s="84">
        <v>302761</v>
      </c>
      <c r="E20" s="84">
        <v>377715</v>
      </c>
      <c r="F20" s="84">
        <v>-420172</v>
      </c>
      <c r="G20" s="84">
        <v>-69537</v>
      </c>
      <c r="H20" s="84">
        <v>-36029</v>
      </c>
      <c r="I20" s="32"/>
      <c r="J20" s="98">
        <v>-13983</v>
      </c>
      <c r="K20" s="98">
        <v>-19972</v>
      </c>
      <c r="L20" s="98">
        <v>-12378</v>
      </c>
      <c r="M20" s="32">
        <f t="shared" si="3"/>
        <v>-23204</v>
      </c>
      <c r="N20" s="98">
        <v>-36258</v>
      </c>
      <c r="O20" s="98">
        <v>381</v>
      </c>
      <c r="P20" s="98">
        <v>-151</v>
      </c>
      <c r="Q20" s="32">
        <f t="shared" si="4"/>
        <v>-1</v>
      </c>
      <c r="R20" s="84">
        <v>4</v>
      </c>
      <c r="S20" s="84">
        <v>0</v>
      </c>
      <c r="T20" s="84">
        <v>0</v>
      </c>
      <c r="V20" s="32">
        <f>SUM(K20:N20)</f>
        <v>-91812</v>
      </c>
      <c r="W20" s="32">
        <f>SUM(L20:O20)</f>
        <v>-71459</v>
      </c>
      <c r="X20" s="32">
        <f>SUM(M20:P20)</f>
        <v>-59232</v>
      </c>
      <c r="Y20" s="32">
        <f>SUM(N20:Q20)</f>
        <v>-36029</v>
      </c>
      <c r="Z20" s="32">
        <f>SUM(O20:R20)</f>
        <v>233</v>
      </c>
      <c r="AA20" s="32">
        <f>SUM(P20:S20)</f>
        <v>-148</v>
      </c>
      <c r="AB20" s="32">
        <f>SUM(Q20:T20)</f>
        <v>3</v>
      </c>
      <c r="AC20" s="11"/>
      <c r="AD20" s="77">
        <f t="shared" si="5"/>
        <v>-1.0000506482982172</v>
      </c>
    </row>
    <row r="21" spans="2:30" ht="12.75" customHeight="1">
      <c r="B21" s="9" t="s">
        <v>162</v>
      </c>
      <c r="C21" s="84">
        <v>-17350</v>
      </c>
      <c r="D21" s="84">
        <v>-2264</v>
      </c>
      <c r="E21" s="84">
        <v>-3320</v>
      </c>
      <c r="F21" s="84">
        <v>-46624</v>
      </c>
      <c r="G21" s="84">
        <v>-33966</v>
      </c>
      <c r="H21" s="84">
        <v>-273871</v>
      </c>
      <c r="I21" s="32"/>
      <c r="J21" s="98">
        <v>-7100</v>
      </c>
      <c r="K21" s="98">
        <v>-802</v>
      </c>
      <c r="L21" s="98">
        <v>2250</v>
      </c>
      <c r="M21" s="32">
        <f t="shared" si="3"/>
        <v>-28314</v>
      </c>
      <c r="N21" s="98">
        <v>3029</v>
      </c>
      <c r="O21" s="98">
        <v>14047</v>
      </c>
      <c r="P21" s="98">
        <v>-3191</v>
      </c>
      <c r="Q21" s="32">
        <f t="shared" si="4"/>
        <v>-287756</v>
      </c>
      <c r="R21" s="84">
        <f>-11655+19</f>
        <v>-11636</v>
      </c>
      <c r="S21" s="84">
        <v>309</v>
      </c>
      <c r="T21" s="84">
        <v>113713</v>
      </c>
      <c r="V21" s="32">
        <f>SUM(K21:N21)</f>
        <v>-23837</v>
      </c>
      <c r="W21" s="32">
        <f>SUM(L21:O21)</f>
        <v>-8988</v>
      </c>
      <c r="X21" s="32">
        <f>SUM(M21:P21)</f>
        <v>-14429</v>
      </c>
      <c r="Y21" s="32">
        <f>SUM(N21:Q21)</f>
        <v>-273871</v>
      </c>
      <c r="Z21" s="32">
        <f>SUM(O21:R21)</f>
        <v>-288536</v>
      </c>
      <c r="AA21" s="32">
        <f>SUM(P21:S21)</f>
        <v>-302274</v>
      </c>
      <c r="AB21" s="32">
        <f>SUM(Q21:T21)</f>
        <v>-185370</v>
      </c>
      <c r="AC21" s="11"/>
      <c r="AD21" s="77">
        <f t="shared" si="5"/>
        <v>11.847044147203549</v>
      </c>
    </row>
    <row r="22" spans="2:30" ht="12.75" customHeight="1">
      <c r="B22" s="9" t="s">
        <v>163</v>
      </c>
      <c r="C22" s="84">
        <v>-491432</v>
      </c>
      <c r="D22" s="84">
        <v>-355186</v>
      </c>
      <c r="E22" s="84">
        <v>-530826</v>
      </c>
      <c r="F22" s="84">
        <v>-711211</v>
      </c>
      <c r="G22" s="84">
        <v>-792232</v>
      </c>
      <c r="H22" s="84">
        <v>-807488</v>
      </c>
      <c r="I22" s="32"/>
      <c r="J22" s="98">
        <v>-201156</v>
      </c>
      <c r="K22" s="98">
        <v>-206094</v>
      </c>
      <c r="L22" s="98">
        <v>-187249</v>
      </c>
      <c r="M22" s="32">
        <f t="shared" si="3"/>
        <v>-197733</v>
      </c>
      <c r="N22" s="98">
        <v>-198450</v>
      </c>
      <c r="O22" s="98">
        <v>-197890</v>
      </c>
      <c r="P22" s="98">
        <v>-214039</v>
      </c>
      <c r="Q22" s="32">
        <f t="shared" si="4"/>
        <v>-197109</v>
      </c>
      <c r="R22" s="84">
        <f>-153395-36950</f>
        <v>-190345</v>
      </c>
      <c r="S22" s="84">
        <v>-175496</v>
      </c>
      <c r="T22" s="84">
        <v>-168810</v>
      </c>
      <c r="V22" s="32">
        <f>SUM(K22:N22)</f>
        <v>-789526</v>
      </c>
      <c r="W22" s="32">
        <f>SUM(L22:O22)</f>
        <v>-781322</v>
      </c>
      <c r="X22" s="32">
        <f>SUM(M22:P22)</f>
        <v>-808112</v>
      </c>
      <c r="Y22" s="32">
        <f>SUM(N22:Q22)</f>
        <v>-807488</v>
      </c>
      <c r="Z22" s="32">
        <f>SUM(O22:R22)</f>
        <v>-799383</v>
      </c>
      <c r="AA22" s="32">
        <f>SUM(P22:S22)</f>
        <v>-776989</v>
      </c>
      <c r="AB22" s="32">
        <f>SUM(Q22:T22)</f>
        <v>-731760</v>
      </c>
      <c r="AC22" s="11"/>
      <c r="AD22" s="77">
        <f t="shared" si="5"/>
        <v>-9.4481952996614327E-2</v>
      </c>
    </row>
    <row r="23" spans="2:30" ht="12.75" customHeight="1">
      <c r="B23" s="25" t="s">
        <v>82</v>
      </c>
      <c r="C23" s="26">
        <f t="shared" ref="C23:H23" si="6">SUM(C11+SUM(C13:C22))</f>
        <v>501047</v>
      </c>
      <c r="D23" s="26">
        <f t="shared" si="6"/>
        <v>-507762</v>
      </c>
      <c r="E23" s="26">
        <f t="shared" si="6"/>
        <v>-56874</v>
      </c>
      <c r="F23" s="26">
        <f t="shared" si="6"/>
        <v>-598917</v>
      </c>
      <c r="G23" s="26">
        <f t="shared" si="6"/>
        <v>-495757</v>
      </c>
      <c r="H23" s="26">
        <f t="shared" si="6"/>
        <v>-1105378</v>
      </c>
      <c r="I23" s="32"/>
      <c r="J23" s="26">
        <f t="shared" ref="J23:T23" si="7">SUM(J11+SUM(J13:J22))</f>
        <v>-112395</v>
      </c>
      <c r="K23" s="26">
        <f t="shared" si="7"/>
        <v>20211</v>
      </c>
      <c r="L23" s="26">
        <f t="shared" si="7"/>
        <v>-188760</v>
      </c>
      <c r="M23" s="26">
        <f t="shared" si="7"/>
        <v>-214813</v>
      </c>
      <c r="N23" s="26">
        <f t="shared" si="7"/>
        <v>-207337</v>
      </c>
      <c r="O23" s="26">
        <f t="shared" si="7"/>
        <v>-152512</v>
      </c>
      <c r="P23" s="26">
        <f t="shared" si="7"/>
        <v>-296439</v>
      </c>
      <c r="Q23" s="26">
        <f t="shared" si="7"/>
        <v>-449090</v>
      </c>
      <c r="R23" s="26">
        <f t="shared" si="7"/>
        <v>-289156</v>
      </c>
      <c r="S23" s="26">
        <f t="shared" si="7"/>
        <v>-184123</v>
      </c>
      <c r="T23" s="26">
        <f t="shared" si="7"/>
        <v>-134915</v>
      </c>
      <c r="V23" s="26" cm="1">
        <f t="array" ref="V23">SUM(V11+V14:V22)</f>
        <v>43294898</v>
      </c>
      <c r="W23" s="26" cm="1">
        <f t="array" ref="W23">SUM(W11+W14:W22)</f>
        <v>41920184</v>
      </c>
      <c r="X23" s="26">
        <f>SUM(X11+SUM(X13:X22))</f>
        <v>-871101</v>
      </c>
      <c r="Y23" s="26">
        <f>SUM(Y11+SUM(Y13:Y22))</f>
        <v>-1105378</v>
      </c>
      <c r="Z23" s="26">
        <f>SUM(Z11+SUM(Z13:Z22))</f>
        <v>-1187197</v>
      </c>
      <c r="AA23" s="26">
        <f>SUM(AA11+SUM(AA13:AA22))</f>
        <v>-1218808</v>
      </c>
      <c r="AB23" s="26">
        <f>SUM(AB11+SUM(AB13:AB22))</f>
        <v>-1057284</v>
      </c>
      <c r="AC23" s="11"/>
      <c r="AD23" s="78">
        <f>SUM(AB23/X23)-1</f>
        <v>0.21373296552294163</v>
      </c>
    </row>
    <row r="24" spans="2:30" ht="12.75" customHeight="1">
      <c r="B24" s="16" t="s">
        <v>32</v>
      </c>
      <c r="C24" s="17">
        <f t="shared" ref="C24:H24" si="8">C23/C11</f>
        <v>0.13080336537758686</v>
      </c>
      <c r="D24" s="17">
        <f t="shared" si="8"/>
        <v>-0.28052808197911405</v>
      </c>
      <c r="E24" s="17">
        <f t="shared" si="8"/>
        <v>-1.7603825707454095E-2</v>
      </c>
      <c r="F24" s="17">
        <f t="shared" si="8"/>
        <v>-0.11816578135274967</v>
      </c>
      <c r="G24" s="17">
        <f t="shared" si="8"/>
        <v>-9.2448013062444739E-2</v>
      </c>
      <c r="H24" s="17">
        <f t="shared" si="8"/>
        <v>-0.22497115553501318</v>
      </c>
      <c r="I24" s="32"/>
      <c r="J24" s="17">
        <f t="shared" ref="J24:T24" si="9">J23/J11</f>
        <v>-8.3269495485910977E-2</v>
      </c>
      <c r="K24" s="17">
        <f t="shared" si="9"/>
        <v>1.4109176305016782E-2</v>
      </c>
      <c r="L24" s="17">
        <f t="shared" si="9"/>
        <v>-0.14998295648221793</v>
      </c>
      <c r="M24" s="17">
        <f t="shared" si="9"/>
        <v>-0.16252042730904248</v>
      </c>
      <c r="N24" s="17">
        <f t="shared" si="9"/>
        <v>-0.16383321862576913</v>
      </c>
      <c r="O24" s="17">
        <f t="shared" si="9"/>
        <v>-0.1190673040364934</v>
      </c>
      <c r="P24" s="17">
        <f t="shared" si="9"/>
        <v>-0.24763011400847379</v>
      </c>
      <c r="Q24" s="17">
        <f t="shared" si="9"/>
        <v>-0.38387336939937139</v>
      </c>
      <c r="R24" s="17">
        <f t="shared" si="9"/>
        <v>-0.28561466378374534</v>
      </c>
      <c r="S24" s="17">
        <f t="shared" si="9"/>
        <v>-0.18054230447534056</v>
      </c>
      <c r="T24" s="17">
        <f t="shared" si="9"/>
        <v>-0.14075286586460015</v>
      </c>
      <c r="V24" s="17">
        <f t="shared" ref="V24:AB24" si="10">V23/V11</f>
        <v>8.2024135746428026</v>
      </c>
      <c r="W24" s="17">
        <f t="shared" si="10"/>
        <v>8.1767895279816827</v>
      </c>
      <c r="X24" s="17">
        <f t="shared" si="10"/>
        <v>-0.17197455624455854</v>
      </c>
      <c r="Y24" s="17">
        <f t="shared" si="10"/>
        <v>-0.22497115553501318</v>
      </c>
      <c r="Z24" s="17">
        <f t="shared" si="10"/>
        <v>-0.25474783398347267</v>
      </c>
      <c r="AA24" s="17">
        <f t="shared" si="10"/>
        <v>-0.27705049091579043</v>
      </c>
      <c r="AB24" s="17">
        <f t="shared" si="10"/>
        <v>-0.25411528543517392</v>
      </c>
      <c r="AC24" s="11"/>
      <c r="AD24" s="79">
        <f>SUM(AB24-X24)*1000</f>
        <v>-82.140729190615374</v>
      </c>
    </row>
    <row r="25" spans="2:30" ht="5.0999999999999996" customHeight="1">
      <c r="B25" s="16"/>
      <c r="C25" s="17"/>
      <c r="D25" s="17"/>
      <c r="E25" s="17"/>
      <c r="F25" s="17"/>
      <c r="G25" s="17"/>
      <c r="H25" s="17"/>
      <c r="I25" s="32"/>
      <c r="J25" s="84"/>
      <c r="K25" s="84"/>
      <c r="L25" s="84"/>
      <c r="M25" s="84"/>
      <c r="N25" s="84"/>
      <c r="O25" s="84"/>
      <c r="P25" s="84"/>
      <c r="Q25" s="84"/>
      <c r="R25" s="32"/>
      <c r="S25" s="84"/>
      <c r="T25" s="84"/>
      <c r="V25" s="32"/>
      <c r="W25" s="32"/>
      <c r="X25" s="32"/>
      <c r="Y25" s="32"/>
      <c r="Z25" s="32"/>
      <c r="AA25" s="32"/>
      <c r="AB25" s="32"/>
      <c r="AC25" s="11"/>
      <c r="AD25" s="77"/>
    </row>
    <row r="26" spans="2:30" ht="12.75" customHeight="1">
      <c r="B26" s="9" t="s">
        <v>81</v>
      </c>
      <c r="C26" s="84">
        <v>-101350</v>
      </c>
      <c r="D26" s="84">
        <v>-134520</v>
      </c>
      <c r="E26" s="84">
        <v>-155611</v>
      </c>
      <c r="F26" s="84">
        <v>-139905</v>
      </c>
      <c r="G26" s="84">
        <v>-169191</v>
      </c>
      <c r="H26" s="84">
        <v>-219094</v>
      </c>
      <c r="I26" s="32"/>
      <c r="J26" s="84">
        <v>-51793</v>
      </c>
      <c r="K26" s="84">
        <v>-28880</v>
      </c>
      <c r="L26" s="84">
        <v>-41260</v>
      </c>
      <c r="M26" s="32">
        <f>SUM(G26-SUM(J26:L26))</f>
        <v>-47258</v>
      </c>
      <c r="N26" s="84">
        <v>-54809</v>
      </c>
      <c r="O26" s="84">
        <v>-54307</v>
      </c>
      <c r="P26" s="84">
        <v>-54135</v>
      </c>
      <c r="Q26" s="32">
        <f>SUM(H26-SUM(N26:P26))</f>
        <v>-55843</v>
      </c>
      <c r="R26" s="84">
        <f>-47682-9777</f>
        <v>-57459</v>
      </c>
      <c r="S26" s="84">
        <v>-62103</v>
      </c>
      <c r="T26" s="84">
        <v>-46261</v>
      </c>
      <c r="V26" s="32">
        <f>SUM(K26:N26)</f>
        <v>-172207</v>
      </c>
      <c r="W26" s="32">
        <f>SUM(L26:O26)</f>
        <v>-197634</v>
      </c>
      <c r="X26" s="32">
        <f>SUM(M26:P26)</f>
        <v>-210509</v>
      </c>
      <c r="Y26" s="32">
        <f>SUM(N26:Q26)</f>
        <v>-219094</v>
      </c>
      <c r="Z26" s="32">
        <f>SUM(O26:R26)</f>
        <v>-221744</v>
      </c>
      <c r="AA26" s="32">
        <f>SUM(P26:S26)</f>
        <v>-229540</v>
      </c>
      <c r="AB26" s="32">
        <f>SUM(Q26:T26)</f>
        <v>-221666</v>
      </c>
      <c r="AC26" s="11"/>
      <c r="AD26" s="77">
        <f t="shared" ref="AD26:AD30" si="11">SUM(AB26/X26)-1</f>
        <v>5.3000109258986461E-2</v>
      </c>
    </row>
    <row r="27" spans="2:30" ht="12.75" customHeight="1">
      <c r="B27" s="9" t="s">
        <v>156</v>
      </c>
      <c r="C27" s="84">
        <v>25133</v>
      </c>
      <c r="D27" s="84">
        <v>6314</v>
      </c>
      <c r="E27" s="84">
        <v>5374</v>
      </c>
      <c r="F27" s="84">
        <v>20083</v>
      </c>
      <c r="G27" s="84">
        <v>61647</v>
      </c>
      <c r="H27" s="84">
        <v>48324</v>
      </c>
      <c r="I27" s="32"/>
      <c r="J27" s="84">
        <v>15434</v>
      </c>
      <c r="K27" s="84">
        <v>15962</v>
      </c>
      <c r="L27" s="84">
        <v>18442</v>
      </c>
      <c r="M27" s="32">
        <f>SUM(G27-SUM(J27:L27))</f>
        <v>11809</v>
      </c>
      <c r="N27" s="84">
        <v>13590</v>
      </c>
      <c r="O27" s="84">
        <v>12169</v>
      </c>
      <c r="P27" s="84">
        <v>11341</v>
      </c>
      <c r="Q27" s="32">
        <f>SUM(H27-SUM(N27:P27))</f>
        <v>11224</v>
      </c>
      <c r="R27" s="84">
        <f>8873+2003</f>
        <v>10876</v>
      </c>
      <c r="S27" s="84">
        <v>7142</v>
      </c>
      <c r="T27" s="84">
        <v>7001</v>
      </c>
      <c r="V27" s="32">
        <f>SUM(K27:N27)</f>
        <v>59803</v>
      </c>
      <c r="W27" s="32">
        <f>SUM(L27:O27)</f>
        <v>56010</v>
      </c>
      <c r="X27" s="32">
        <f>SUM(M27:P27)</f>
        <v>48909</v>
      </c>
      <c r="Y27" s="32">
        <f>SUM(N27:Q27)</f>
        <v>48324</v>
      </c>
      <c r="Z27" s="32">
        <f>SUM(O27:R27)</f>
        <v>45610</v>
      </c>
      <c r="AA27" s="32">
        <f>SUM(P27:S27)</f>
        <v>40583</v>
      </c>
      <c r="AB27" s="32">
        <f>SUM(Q27:T27)</f>
        <v>36243</v>
      </c>
      <c r="AC27" s="11"/>
      <c r="AD27" s="77">
        <f t="shared" si="11"/>
        <v>-0.25897074158130406</v>
      </c>
    </row>
    <row r="28" spans="2:30" ht="12.75" customHeight="1">
      <c r="B28" s="9" t="s">
        <v>157</v>
      </c>
      <c r="C28" s="84">
        <v>12471</v>
      </c>
      <c r="D28" s="84">
        <v>15995</v>
      </c>
      <c r="E28" s="84">
        <v>18998</v>
      </c>
      <c r="F28" s="84">
        <v>22818</v>
      </c>
      <c r="G28" s="84">
        <v>33360</v>
      </c>
      <c r="H28" s="84">
        <v>18087</v>
      </c>
      <c r="I28" s="32"/>
      <c r="J28" s="84">
        <v>7648</v>
      </c>
      <c r="K28" s="84">
        <v>8445</v>
      </c>
      <c r="L28" s="84">
        <v>8582</v>
      </c>
      <c r="M28" s="32">
        <f>SUM(G28-SUM(J28:L28))</f>
        <v>8685</v>
      </c>
      <c r="N28" s="84">
        <v>10003</v>
      </c>
      <c r="O28" s="84">
        <v>5689</v>
      </c>
      <c r="P28" s="84">
        <v>1173</v>
      </c>
      <c r="Q28" s="32">
        <f>SUM(H28-SUM(N28:P28))</f>
        <v>1222</v>
      </c>
      <c r="R28" s="84">
        <f>956+118</f>
        <v>1074</v>
      </c>
      <c r="S28" s="84">
        <v>557</v>
      </c>
      <c r="T28" s="84">
        <v>393</v>
      </c>
      <c r="V28" s="32">
        <f>SUM(K28:N28)</f>
        <v>35715</v>
      </c>
      <c r="W28" s="32">
        <f>SUM(L28:O28)</f>
        <v>32959</v>
      </c>
      <c r="X28" s="32">
        <f>SUM(M28:P28)</f>
        <v>25550</v>
      </c>
      <c r="Y28" s="32">
        <f>SUM(N28:Q28)</f>
        <v>18087</v>
      </c>
      <c r="Z28" s="32">
        <f>SUM(O28:R28)</f>
        <v>9158</v>
      </c>
      <c r="AA28" s="32">
        <f>SUM(P28:S28)</f>
        <v>4026</v>
      </c>
      <c r="AB28" s="32">
        <f>SUM(Q28:T28)</f>
        <v>3246</v>
      </c>
      <c r="AC28" s="11"/>
      <c r="AD28" s="77">
        <f t="shared" si="11"/>
        <v>-0.87295499021526424</v>
      </c>
    </row>
    <row r="29" spans="2:30" ht="12.75" customHeight="1">
      <c r="B29" s="9" t="s">
        <v>169</v>
      </c>
      <c r="C29" s="84">
        <v>-875</v>
      </c>
      <c r="D29" s="84">
        <v>-211</v>
      </c>
      <c r="E29" s="84">
        <f>-577-331630</f>
        <v>-332207</v>
      </c>
      <c r="F29" s="84">
        <v>-4818</v>
      </c>
      <c r="G29" s="84">
        <f>-4065+15411</f>
        <v>11346</v>
      </c>
      <c r="H29" s="84">
        <f>65694+14937</f>
        <v>80631</v>
      </c>
      <c r="I29" s="32"/>
      <c r="J29" s="84">
        <v>-542</v>
      </c>
      <c r="K29" s="84">
        <v>-766</v>
      </c>
      <c r="L29" s="84">
        <v>-649</v>
      </c>
      <c r="M29" s="32">
        <f>SUM(G29-SUM(J29:L29))</f>
        <v>13303</v>
      </c>
      <c r="N29" s="84">
        <f>14996+66490</f>
        <v>81486</v>
      </c>
      <c r="O29" s="84">
        <v>-665</v>
      </c>
      <c r="P29" s="84">
        <v>23</v>
      </c>
      <c r="Q29" s="32">
        <f>SUM(H29-SUM(N29:P29))</f>
        <v>-213</v>
      </c>
      <c r="R29" s="84">
        <f>87-902-50</f>
        <v>-865</v>
      </c>
      <c r="S29" s="84">
        <v>-262</v>
      </c>
      <c r="T29" s="84">
        <f>-2728-337</f>
        <v>-3065</v>
      </c>
      <c r="V29" s="32">
        <f>SUM(K29:N29)</f>
        <v>93374</v>
      </c>
      <c r="W29" s="32">
        <f>SUM(L29:O29)</f>
        <v>93475</v>
      </c>
      <c r="X29" s="32">
        <f>SUM(M29:P29)</f>
        <v>94147</v>
      </c>
      <c r="Y29" s="32">
        <f>SUM(N29:Q29)</f>
        <v>80631</v>
      </c>
      <c r="Z29" s="32">
        <f>SUM(O29:R29)</f>
        <v>-1720</v>
      </c>
      <c r="AA29" s="32">
        <f>SUM(P29:S29)</f>
        <v>-1317</v>
      </c>
      <c r="AB29" s="32">
        <f>SUM(Q29:T29)</f>
        <v>-4405</v>
      </c>
      <c r="AC29" s="11"/>
      <c r="AD29" s="77">
        <f t="shared" si="11"/>
        <v>-1.0467885328263249</v>
      </c>
    </row>
    <row r="30" spans="2:30" ht="12.75" customHeight="1">
      <c r="B30" s="9" t="s">
        <v>158</v>
      </c>
      <c r="C30" s="84">
        <v>0</v>
      </c>
      <c r="D30" s="84">
        <v>0</v>
      </c>
      <c r="E30" s="84">
        <v>0</v>
      </c>
      <c r="F30" s="84">
        <v>0</v>
      </c>
      <c r="G30" s="84">
        <v>0</v>
      </c>
      <c r="H30" s="84">
        <f>-15493-96780</f>
        <v>-112273</v>
      </c>
      <c r="I30" s="32"/>
      <c r="J30" s="84">
        <v>0</v>
      </c>
      <c r="K30" s="84">
        <v>0</v>
      </c>
      <c r="L30" s="84">
        <v>0</v>
      </c>
      <c r="M30" s="32">
        <f>SUM(G30-SUM(J30:L30))</f>
        <v>0</v>
      </c>
      <c r="N30" s="84">
        <v>0</v>
      </c>
      <c r="O30" s="84">
        <v>0</v>
      </c>
      <c r="P30" s="84">
        <v>0</v>
      </c>
      <c r="Q30" s="32">
        <f>SUM(H30-SUM(N30:P30))</f>
        <v>-112273</v>
      </c>
      <c r="R30" s="84">
        <f>-5511-1376+421464</f>
        <v>414577</v>
      </c>
      <c r="S30" s="84">
        <v>-11039</v>
      </c>
      <c r="T30" s="84">
        <f>-13026-125983</f>
        <v>-139009</v>
      </c>
      <c r="V30" s="32">
        <f>SUM(K30:N30)</f>
        <v>0</v>
      </c>
      <c r="W30" s="32">
        <f>SUM(L30:O30)</f>
        <v>0</v>
      </c>
      <c r="X30" s="32">
        <f>SUM(M30:P30)</f>
        <v>0</v>
      </c>
      <c r="Y30" s="32">
        <f>SUM(N30:Q30)</f>
        <v>-112273</v>
      </c>
      <c r="Z30" s="32">
        <f>SUM(O30:R30)</f>
        <v>302304</v>
      </c>
      <c r="AA30" s="32">
        <f>SUM(P30:S30)</f>
        <v>291265</v>
      </c>
      <c r="AB30" s="32">
        <f>SUM(Q30:T30)</f>
        <v>152256</v>
      </c>
      <c r="AC30" s="11"/>
      <c r="AD30" s="77" t="e">
        <f t="shared" si="11"/>
        <v>#DIV/0!</v>
      </c>
    </row>
    <row r="31" spans="2:30" ht="12.75" customHeight="1">
      <c r="B31" s="25" t="s">
        <v>83</v>
      </c>
      <c r="C31" s="26">
        <f t="shared" ref="C31:H31" si="12">SUM(C23+SUM(C26:C30))</f>
        <v>436426</v>
      </c>
      <c r="D31" s="26">
        <f t="shared" si="12"/>
        <v>-620184</v>
      </c>
      <c r="E31" s="26">
        <f t="shared" si="12"/>
        <v>-520320</v>
      </c>
      <c r="F31" s="26">
        <f t="shared" si="12"/>
        <v>-700739</v>
      </c>
      <c r="G31" s="26">
        <f t="shared" si="12"/>
        <v>-558595</v>
      </c>
      <c r="H31" s="26">
        <f t="shared" si="12"/>
        <v>-1289703</v>
      </c>
      <c r="J31" s="26">
        <f t="shared" ref="J31:T31" si="13">SUM(J23+SUM(J26:J30))</f>
        <v>-141648</v>
      </c>
      <c r="K31" s="26">
        <f t="shared" si="13"/>
        <v>14972</v>
      </c>
      <c r="L31" s="26">
        <f t="shared" si="13"/>
        <v>-203645</v>
      </c>
      <c r="M31" s="26">
        <f t="shared" si="13"/>
        <v>-228274</v>
      </c>
      <c r="N31" s="26">
        <f t="shared" si="13"/>
        <v>-157067</v>
      </c>
      <c r="O31" s="26">
        <f t="shared" si="13"/>
        <v>-189626</v>
      </c>
      <c r="P31" s="26">
        <f t="shared" si="13"/>
        <v>-338037</v>
      </c>
      <c r="Q31" s="26">
        <f t="shared" si="13"/>
        <v>-604973</v>
      </c>
      <c r="R31" s="26">
        <f t="shared" si="13"/>
        <v>79047</v>
      </c>
      <c r="S31" s="26">
        <f t="shared" si="13"/>
        <v>-249828</v>
      </c>
      <c r="T31" s="26">
        <f t="shared" si="13"/>
        <v>-315856</v>
      </c>
      <c r="V31" s="26">
        <f t="shared" ref="V31:AB31" si="14">SUM(V23+SUM(V26:V30))</f>
        <v>43311583</v>
      </c>
      <c r="W31" s="26">
        <f t="shared" si="14"/>
        <v>41904994</v>
      </c>
      <c r="X31" s="26">
        <f t="shared" si="14"/>
        <v>-913004</v>
      </c>
      <c r="Y31" s="26">
        <f t="shared" si="14"/>
        <v>-1289703</v>
      </c>
      <c r="Z31" s="26">
        <f t="shared" si="14"/>
        <v>-1053589</v>
      </c>
      <c r="AA31" s="26">
        <f t="shared" si="14"/>
        <v>-1113791</v>
      </c>
      <c r="AB31" s="26">
        <f t="shared" si="14"/>
        <v>-1091610</v>
      </c>
      <c r="AC31" s="42"/>
      <c r="AD31" s="78">
        <f>SUM(AB31/X31)-1</f>
        <v>0.19562455367117781</v>
      </c>
    </row>
    <row r="32" spans="2:30" ht="12.75" customHeight="1">
      <c r="B32" s="16" t="s">
        <v>84</v>
      </c>
      <c r="C32" s="17">
        <f t="shared" ref="C32:H32" si="15">C31/C11</f>
        <v>0.11393340253165614</v>
      </c>
      <c r="D32" s="17">
        <f t="shared" si="15"/>
        <v>-0.3426389292505837</v>
      </c>
      <c r="E32" s="17">
        <f t="shared" si="15"/>
        <v>-0.1610511409801054</v>
      </c>
      <c r="F32" s="17">
        <f t="shared" si="15"/>
        <v>-0.13825516968018015</v>
      </c>
      <c r="G32" s="17">
        <f t="shared" si="15"/>
        <v>-0.10416594794751526</v>
      </c>
      <c r="H32" s="17">
        <f t="shared" si="15"/>
        <v>-0.26248575076306307</v>
      </c>
      <c r="I32" s="27"/>
      <c r="J32" s="17">
        <f t="shared" ref="J32:T32" si="16">J31/J11</f>
        <v>-0.10494201251468764</v>
      </c>
      <c r="K32" s="17">
        <f t="shared" si="16"/>
        <v>1.0451862235352593E-2</v>
      </c>
      <c r="L32" s="17">
        <f t="shared" si="16"/>
        <v>-0.16181012488250301</v>
      </c>
      <c r="M32" s="17">
        <f t="shared" si="16"/>
        <v>-0.17270457571722553</v>
      </c>
      <c r="N32" s="17">
        <f t="shared" si="16"/>
        <v>-0.124110950529301</v>
      </c>
      <c r="O32" s="17">
        <f t="shared" si="16"/>
        <v>-0.14804249236272621</v>
      </c>
      <c r="P32" s="17">
        <f t="shared" si="16"/>
        <v>-0.28237897459201539</v>
      </c>
      <c r="Q32" s="17">
        <f t="shared" si="16"/>
        <v>-0.51711911622535778</v>
      </c>
      <c r="R32" s="17">
        <f t="shared" si="16"/>
        <v>7.8078899722342679E-2</v>
      </c>
      <c r="S32" s="17">
        <f t="shared" si="16"/>
        <v>-0.24496951951937229</v>
      </c>
      <c r="T32" s="17">
        <f t="shared" si="16"/>
        <v>-0.32952330875387575</v>
      </c>
      <c r="U32" s="28"/>
      <c r="V32" s="17">
        <f t="shared" ref="V32:AB32" si="17">V31/V11</f>
        <v>8.2055746230992028</v>
      </c>
      <c r="W32" s="17">
        <f t="shared" si="17"/>
        <v>8.1738266251249083</v>
      </c>
      <c r="X32" s="17">
        <f t="shared" si="17"/>
        <v>-0.18024713293809436</v>
      </c>
      <c r="Y32" s="17">
        <f t="shared" si="17"/>
        <v>-0.26248575076306307</v>
      </c>
      <c r="Z32" s="17">
        <f t="shared" si="17"/>
        <v>-0.22607833043615591</v>
      </c>
      <c r="AA32" s="17">
        <f t="shared" si="17"/>
        <v>-0.25317879709321661</v>
      </c>
      <c r="AB32" s="17">
        <f t="shared" si="17"/>
        <v>-0.26236544460512995</v>
      </c>
      <c r="AC32" s="43"/>
      <c r="AD32" s="79">
        <f>SUM(AB32-X32)*1000</f>
        <v>-82.118311667035599</v>
      </c>
    </row>
    <row r="33" spans="1:30" ht="5.0999999999999996" customHeight="1">
      <c r="B33" s="29"/>
      <c r="C33" s="44"/>
      <c r="D33" s="44"/>
      <c r="E33" s="44"/>
      <c r="F33" s="44"/>
      <c r="G33" s="44"/>
      <c r="H33" s="44"/>
      <c r="I33" s="30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V33" s="44"/>
      <c r="W33" s="44"/>
      <c r="X33" s="44"/>
      <c r="Y33" s="44"/>
      <c r="Z33" s="44"/>
      <c r="AA33" s="44"/>
      <c r="AB33" s="44"/>
      <c r="AC33" s="43"/>
      <c r="AD33" s="77"/>
    </row>
    <row r="34" spans="1:30" ht="12.75" customHeight="1">
      <c r="B34" s="45" t="s">
        <v>136</v>
      </c>
      <c r="C34" s="84">
        <v>-101171</v>
      </c>
      <c r="D34" s="84">
        <v>191484</v>
      </c>
      <c r="E34" s="84">
        <v>47751</v>
      </c>
      <c r="F34" s="84">
        <v>146589</v>
      </c>
      <c r="G34" s="84">
        <v>111131</v>
      </c>
      <c r="H34" s="84">
        <v>60208</v>
      </c>
      <c r="I34" s="32"/>
      <c r="J34" s="98">
        <v>37737</v>
      </c>
      <c r="K34" s="98">
        <v>-17321</v>
      </c>
      <c r="L34" s="98">
        <v>46093</v>
      </c>
      <c r="M34" s="32">
        <f>SUM(G34-SUM(J34:L34))</f>
        <v>44622</v>
      </c>
      <c r="N34" s="98">
        <v>14432</v>
      </c>
      <c r="O34" s="98">
        <v>-3301</v>
      </c>
      <c r="P34" s="98">
        <v>29794</v>
      </c>
      <c r="Q34" s="32">
        <f>SUM(H34-SUM(N34:P34))</f>
        <v>19283</v>
      </c>
      <c r="R34" s="84">
        <f>-17870+103</f>
        <v>-17767</v>
      </c>
      <c r="S34" s="84">
        <v>3997</v>
      </c>
      <c r="T34" s="84">
        <v>-1620</v>
      </c>
      <c r="U34" s="32"/>
      <c r="V34" s="32">
        <f>SUM(K34:N34)</f>
        <v>87826</v>
      </c>
      <c r="W34" s="32">
        <f>SUM(L34:O34)</f>
        <v>101846</v>
      </c>
      <c r="X34" s="32">
        <f>SUM(M34:P34)</f>
        <v>85547</v>
      </c>
      <c r="Y34" s="32">
        <f>SUM(N34:Q34)</f>
        <v>60208</v>
      </c>
      <c r="Z34" s="32">
        <f>SUM(O34:R34)</f>
        <v>28009</v>
      </c>
      <c r="AA34" s="32">
        <f>SUM(P34:S34)</f>
        <v>35307</v>
      </c>
      <c r="AB34" s="32">
        <f>SUM(Q34:T34)</f>
        <v>3893</v>
      </c>
      <c r="AC34" s="43"/>
      <c r="AD34" s="77">
        <f>SUM(AB34/X34)-1</f>
        <v>-0.95449285188259081</v>
      </c>
    </row>
    <row r="35" spans="1:30" ht="12.75" customHeight="1">
      <c r="B35" s="13" t="s">
        <v>50</v>
      </c>
      <c r="C35" s="14">
        <f t="shared" ref="C35:H35" si="18">SUM(C31+SUM(C34:C34))</f>
        <v>335255</v>
      </c>
      <c r="D35" s="14">
        <f t="shared" si="18"/>
        <v>-428700</v>
      </c>
      <c r="E35" s="14">
        <f t="shared" si="18"/>
        <v>-472569</v>
      </c>
      <c r="F35" s="14">
        <f t="shared" si="18"/>
        <v>-554150</v>
      </c>
      <c r="G35" s="14">
        <f t="shared" si="18"/>
        <v>-447464</v>
      </c>
      <c r="H35" s="14">
        <f t="shared" si="18"/>
        <v>-1229495</v>
      </c>
      <c r="I35" s="11"/>
      <c r="J35" s="14">
        <f t="shared" ref="J35:T35" si="19">SUM(J31+SUM(J34:J34))</f>
        <v>-103911</v>
      </c>
      <c r="K35" s="14">
        <f t="shared" si="19"/>
        <v>-2349</v>
      </c>
      <c r="L35" s="14">
        <f t="shared" si="19"/>
        <v>-157552</v>
      </c>
      <c r="M35" s="14">
        <f t="shared" si="19"/>
        <v>-183652</v>
      </c>
      <c r="N35" s="14">
        <f t="shared" si="19"/>
        <v>-142635</v>
      </c>
      <c r="O35" s="14">
        <f t="shared" si="19"/>
        <v>-192927</v>
      </c>
      <c r="P35" s="14">
        <f t="shared" si="19"/>
        <v>-308243</v>
      </c>
      <c r="Q35" s="14">
        <f t="shared" si="19"/>
        <v>-585690</v>
      </c>
      <c r="R35" s="14">
        <f t="shared" si="19"/>
        <v>61280</v>
      </c>
      <c r="S35" s="14">
        <f t="shared" si="19"/>
        <v>-245831</v>
      </c>
      <c r="T35" s="14">
        <f t="shared" si="19"/>
        <v>-317476</v>
      </c>
      <c r="U35" s="32"/>
      <c r="V35" s="14">
        <f t="shared" ref="V35:AB35" si="20">SUM(V31+SUM(V34:V34))</f>
        <v>43399409</v>
      </c>
      <c r="W35" s="14">
        <f t="shared" si="20"/>
        <v>42006840</v>
      </c>
      <c r="X35" s="14">
        <f t="shared" si="20"/>
        <v>-827457</v>
      </c>
      <c r="Y35" s="14">
        <f t="shared" si="20"/>
        <v>-1229495</v>
      </c>
      <c r="Z35" s="14">
        <f t="shared" si="20"/>
        <v>-1025580</v>
      </c>
      <c r="AA35" s="14">
        <f t="shared" si="20"/>
        <v>-1078484</v>
      </c>
      <c r="AB35" s="14">
        <f t="shared" si="20"/>
        <v>-1087717</v>
      </c>
      <c r="AC35" s="36"/>
      <c r="AD35" s="78">
        <f>SUM(AB35/X35)-1</f>
        <v>0.31452993932010975</v>
      </c>
    </row>
    <row r="36" spans="1:30" ht="12.75" customHeight="1">
      <c r="B36" s="16" t="s">
        <v>65</v>
      </c>
      <c r="C36" s="17">
        <f t="shared" ref="C36:H36" si="21">C35/C11</f>
        <v>8.752169409189732E-2</v>
      </c>
      <c r="D36" s="17">
        <f t="shared" si="21"/>
        <v>-0.23684794991442093</v>
      </c>
      <c r="E36" s="17">
        <f t="shared" si="21"/>
        <v>-0.14627109594447152</v>
      </c>
      <c r="F36" s="17">
        <f t="shared" si="21"/>
        <v>-0.10933329282125274</v>
      </c>
      <c r="G36" s="17">
        <f t="shared" si="21"/>
        <v>-8.344240770573845E-2</v>
      </c>
      <c r="H36" s="17">
        <f t="shared" si="21"/>
        <v>-0.25023196668878972</v>
      </c>
      <c r="I36" s="27"/>
      <c r="J36" s="17">
        <f t="shared" ref="J36:T36" si="22">J35/J11</f>
        <v>-7.6983998802762535E-2</v>
      </c>
      <c r="K36" s="17">
        <f t="shared" si="22"/>
        <v>-1.6398226282957015E-3</v>
      </c>
      <c r="L36" s="17">
        <f t="shared" si="22"/>
        <v>-0.12518602860609451</v>
      </c>
      <c r="M36" s="17">
        <f t="shared" si="22"/>
        <v>-0.13894504297300569</v>
      </c>
      <c r="N36" s="17">
        <f t="shared" si="22"/>
        <v>-0.11270709588103706</v>
      </c>
      <c r="O36" s="17">
        <f t="shared" si="22"/>
        <v>-0.15061960872487781</v>
      </c>
      <c r="P36" s="17">
        <f t="shared" si="22"/>
        <v>-0.25749057725978697</v>
      </c>
      <c r="Q36" s="17">
        <f t="shared" si="22"/>
        <v>-0.50063638407338806</v>
      </c>
      <c r="R36" s="17">
        <f t="shared" si="22"/>
        <v>6.0529494794048594E-2</v>
      </c>
      <c r="S36" s="17">
        <f t="shared" si="22"/>
        <v>-0.24105025038413153</v>
      </c>
      <c r="T36" s="17">
        <f t="shared" si="22"/>
        <v>-0.33121340728036019</v>
      </c>
      <c r="U36" s="28"/>
      <c r="V36" s="17">
        <f t="shared" ref="V36:AB36" si="23">V35/V11</f>
        <v>8.2222136546683871</v>
      </c>
      <c r="W36" s="17">
        <f t="shared" si="23"/>
        <v>8.1936923133639397</v>
      </c>
      <c r="X36" s="17">
        <f t="shared" si="23"/>
        <v>-0.16335826773985299</v>
      </c>
      <c r="Y36" s="17">
        <f t="shared" si="23"/>
        <v>-0.25023196668878972</v>
      </c>
      <c r="Z36" s="17">
        <f t="shared" si="23"/>
        <v>-0.22006818040878634</v>
      </c>
      <c r="AA36" s="17">
        <f t="shared" si="23"/>
        <v>-0.24515306893688368</v>
      </c>
      <c r="AB36" s="17">
        <f t="shared" si="23"/>
        <v>-0.26142977282139052</v>
      </c>
      <c r="AC36" s="43"/>
      <c r="AD36" s="79">
        <f>SUM(AB36-X36)*1000</f>
        <v>-98.071505081537524</v>
      </c>
    </row>
    <row r="37" spans="1:30" ht="5.0999999999999996" customHeight="1">
      <c r="B37" s="16"/>
      <c r="C37" s="17"/>
      <c r="D37" s="17"/>
      <c r="E37" s="17"/>
      <c r="F37" s="17"/>
      <c r="G37" s="17"/>
      <c r="H37" s="17"/>
      <c r="I37" s="2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28"/>
      <c r="V37" s="17"/>
      <c r="W37" s="17"/>
      <c r="X37" s="17"/>
      <c r="Y37" s="17"/>
      <c r="Z37" s="17"/>
      <c r="AA37" s="17"/>
      <c r="AB37" s="17"/>
      <c r="AC37" s="43"/>
      <c r="AD37" s="79"/>
    </row>
    <row r="38" spans="1:30" ht="12.75" customHeight="1">
      <c r="B38" s="45" t="s">
        <v>98</v>
      </c>
      <c r="C38" s="84">
        <v>84692</v>
      </c>
      <c r="D38" s="84">
        <v>84692</v>
      </c>
      <c r="E38" s="84">
        <v>105000</v>
      </c>
      <c r="F38" s="84">
        <v>108751</v>
      </c>
      <c r="G38" s="84">
        <v>109152</v>
      </c>
      <c r="H38" s="84">
        <v>109495</v>
      </c>
      <c r="I38" s="27"/>
      <c r="J38" s="84">
        <v>109110</v>
      </c>
      <c r="K38" s="84">
        <v>109161</v>
      </c>
      <c r="L38" s="84">
        <v>109164</v>
      </c>
      <c r="M38" s="32">
        <f>G38</f>
        <v>109152</v>
      </c>
      <c r="N38" s="84">
        <v>109430</v>
      </c>
      <c r="O38" s="84">
        <v>109506</v>
      </c>
      <c r="P38" s="84">
        <v>109521</v>
      </c>
      <c r="Q38" s="32">
        <f>H38</f>
        <v>109495</v>
      </c>
      <c r="R38" s="84">
        <f>19685+109525</f>
        <v>129210</v>
      </c>
      <c r="S38" s="84">
        <v>33972</v>
      </c>
      <c r="T38" s="84">
        <v>40322</v>
      </c>
      <c r="U38" s="138"/>
      <c r="V38" s="32">
        <f>N38</f>
        <v>109430</v>
      </c>
      <c r="W38" s="32">
        <f>O38</f>
        <v>109506</v>
      </c>
      <c r="X38" s="32">
        <f>P38</f>
        <v>109521</v>
      </c>
      <c r="Y38" s="32">
        <f>Q38</f>
        <v>109495</v>
      </c>
      <c r="Z38" s="32">
        <f>R38</f>
        <v>129210</v>
      </c>
      <c r="AA38" s="32">
        <f>S38</f>
        <v>33972</v>
      </c>
      <c r="AB38" s="32">
        <f>T38</f>
        <v>40322</v>
      </c>
      <c r="AC38" s="43"/>
      <c r="AD38" s="77">
        <f>SUM(AB38/X38)-1</f>
        <v>-0.63183316441595672</v>
      </c>
    </row>
    <row r="39" spans="1:30" ht="12.75" customHeight="1">
      <c r="B39" s="13" t="s">
        <v>66</v>
      </c>
      <c r="C39" s="154">
        <f t="shared" ref="C39:H39" si="24">C35/C38</f>
        <v>3.9585202852689747</v>
      </c>
      <c r="D39" s="154">
        <f t="shared" si="24"/>
        <v>-5.0618712511217119</v>
      </c>
      <c r="E39" s="154">
        <f t="shared" si="24"/>
        <v>-4.5006571428571425</v>
      </c>
      <c r="F39" s="154">
        <f t="shared" si="24"/>
        <v>-5.0955853279510075</v>
      </c>
      <c r="G39" s="154">
        <f t="shared" si="24"/>
        <v>-4.0994576370565818</v>
      </c>
      <c r="H39" s="154">
        <f t="shared" si="24"/>
        <v>-11.228777569752044</v>
      </c>
      <c r="I39" s="27"/>
      <c r="J39" s="154">
        <f t="shared" ref="J39:O39" si="25">J35/J38</f>
        <v>-0.95235083860324443</v>
      </c>
      <c r="K39" s="154">
        <f t="shared" si="25"/>
        <v>-2.1518674251793223E-2</v>
      </c>
      <c r="L39" s="154">
        <f t="shared" si="25"/>
        <v>-1.4432596826792716</v>
      </c>
      <c r="M39" s="154">
        <f t="shared" si="25"/>
        <v>-1.6825344473761361</v>
      </c>
      <c r="N39" s="154">
        <f t="shared" si="25"/>
        <v>-1.3034359864753724</v>
      </c>
      <c r="O39" s="154">
        <f t="shared" si="25"/>
        <v>-1.7617938743082571</v>
      </c>
      <c r="P39" s="154">
        <f>P35/P38</f>
        <v>-2.8144648058363235</v>
      </c>
      <c r="Q39" s="154">
        <f>Q35/Q38</f>
        <v>-5.3490113703822093</v>
      </c>
      <c r="R39" s="154">
        <f>R35/R38</f>
        <v>0.4742666976240229</v>
      </c>
      <c r="S39" s="154">
        <f>S35/S38</f>
        <v>-7.2362828211468271</v>
      </c>
      <c r="T39" s="154">
        <f>T35/T38</f>
        <v>-7.8735181786617732</v>
      </c>
      <c r="U39" s="138"/>
      <c r="V39" s="154">
        <f t="shared" ref="V39:AB39" si="26">V35/V38</f>
        <v>396.59516585945352</v>
      </c>
      <c r="W39" s="154">
        <f t="shared" si="26"/>
        <v>383.60309024163058</v>
      </c>
      <c r="X39" s="154">
        <f t="shared" si="26"/>
        <v>-7.5552359821404114</v>
      </c>
      <c r="Y39" s="154">
        <f t="shared" si="26"/>
        <v>-11.228777569752044</v>
      </c>
      <c r="Z39" s="154">
        <f t="shared" si="26"/>
        <v>-7.9373113536104016</v>
      </c>
      <c r="AA39" s="154">
        <f t="shared" si="26"/>
        <v>-31.746261627222417</v>
      </c>
      <c r="AB39" s="154">
        <f t="shared" si="26"/>
        <v>-26.975770051088734</v>
      </c>
      <c r="AC39" s="43"/>
      <c r="AD39" s="78">
        <f>SUM(AB39/X39)-1</f>
        <v>2.5704735252288509</v>
      </c>
    </row>
    <row r="40" spans="1:30" ht="12.75" customHeight="1">
      <c r="B40" s="25"/>
      <c r="C40" s="49"/>
      <c r="D40" s="49"/>
      <c r="E40" s="49"/>
      <c r="F40" s="49"/>
      <c r="G40" s="49"/>
      <c r="H40" s="49"/>
      <c r="I40" s="153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43"/>
      <c r="AD40" s="77"/>
    </row>
    <row r="41" spans="1:30" ht="12.75" customHeight="1">
      <c r="B41" s="45" t="s">
        <v>67</v>
      </c>
      <c r="C41" s="84">
        <v>68559</v>
      </c>
      <c r="D41" s="84">
        <v>84692</v>
      </c>
      <c r="E41" s="84">
        <v>105000</v>
      </c>
      <c r="F41" s="84">
        <v>108751</v>
      </c>
      <c r="G41" s="84">
        <v>109152</v>
      </c>
      <c r="H41" s="84">
        <v>109495</v>
      </c>
      <c r="I41" s="153"/>
      <c r="J41" s="84">
        <v>109110</v>
      </c>
      <c r="K41" s="84">
        <v>109161</v>
      </c>
      <c r="L41" s="84">
        <v>109164</v>
      </c>
      <c r="M41" s="32">
        <f>G41</f>
        <v>109152</v>
      </c>
      <c r="N41" s="84">
        <v>109430</v>
      </c>
      <c r="O41" s="84">
        <v>109506</v>
      </c>
      <c r="P41" s="84">
        <v>109521</v>
      </c>
      <c r="Q41" s="32">
        <f>H41</f>
        <v>109495</v>
      </c>
      <c r="R41" s="84">
        <f>19685+109525</f>
        <v>129210</v>
      </c>
      <c r="S41" s="84">
        <v>33972</v>
      </c>
      <c r="T41" s="84">
        <v>40322</v>
      </c>
      <c r="U41" s="138"/>
      <c r="V41" s="32">
        <f>N41</f>
        <v>109430</v>
      </c>
      <c r="W41" s="32">
        <f>O41</f>
        <v>109506</v>
      </c>
      <c r="X41" s="32">
        <f>P41</f>
        <v>109521</v>
      </c>
      <c r="Y41" s="32">
        <f>Q41</f>
        <v>109495</v>
      </c>
      <c r="Z41" s="32">
        <f>R41</f>
        <v>129210</v>
      </c>
      <c r="AA41" s="32">
        <f>S41</f>
        <v>33972</v>
      </c>
      <c r="AB41" s="32">
        <f>T41</f>
        <v>40322</v>
      </c>
      <c r="AC41" s="43"/>
      <c r="AD41" s="77">
        <f>SUM(AB41/X41)-1</f>
        <v>-0.63183316441595672</v>
      </c>
    </row>
    <row r="42" spans="1:30" ht="12.75" customHeight="1">
      <c r="B42" s="13" t="s">
        <v>97</v>
      </c>
      <c r="C42" s="154">
        <f t="shared" ref="C42:H42" si="27">C35/C41</f>
        <v>4.890021733105792</v>
      </c>
      <c r="D42" s="154">
        <f t="shared" si="27"/>
        <v>-5.0618712511217119</v>
      </c>
      <c r="E42" s="154">
        <f t="shared" si="27"/>
        <v>-4.5006571428571425</v>
      </c>
      <c r="F42" s="154">
        <f t="shared" si="27"/>
        <v>-5.0955853279510075</v>
      </c>
      <c r="G42" s="154">
        <f t="shared" si="27"/>
        <v>-4.0994576370565818</v>
      </c>
      <c r="H42" s="154">
        <f t="shared" si="27"/>
        <v>-11.228777569752044</v>
      </c>
      <c r="I42" s="27"/>
      <c r="J42" s="154">
        <f t="shared" ref="J42:O42" si="28">J35/J41</f>
        <v>-0.95235083860324443</v>
      </c>
      <c r="K42" s="154">
        <f t="shared" si="28"/>
        <v>-2.1518674251793223E-2</v>
      </c>
      <c r="L42" s="154">
        <f t="shared" si="28"/>
        <v>-1.4432596826792716</v>
      </c>
      <c r="M42" s="154">
        <f t="shared" si="28"/>
        <v>-1.6825344473761361</v>
      </c>
      <c r="N42" s="154">
        <f t="shared" si="28"/>
        <v>-1.3034359864753724</v>
      </c>
      <c r="O42" s="154">
        <f t="shared" si="28"/>
        <v>-1.7617938743082571</v>
      </c>
      <c r="P42" s="154">
        <f>P35/P41</f>
        <v>-2.8144648058363235</v>
      </c>
      <c r="Q42" s="154">
        <f>Q35/Q41</f>
        <v>-5.3490113703822093</v>
      </c>
      <c r="R42" s="154">
        <f>R35/R41</f>
        <v>0.4742666976240229</v>
      </c>
      <c r="S42" s="154">
        <f>S35/S41</f>
        <v>-7.2362828211468271</v>
      </c>
      <c r="T42" s="154">
        <f>T35/T41</f>
        <v>-7.8735181786617732</v>
      </c>
      <c r="U42" s="138"/>
      <c r="V42" s="154">
        <f t="shared" ref="V42:AB42" si="29">V35/V41</f>
        <v>396.59516585945352</v>
      </c>
      <c r="W42" s="154">
        <f t="shared" si="29"/>
        <v>383.60309024163058</v>
      </c>
      <c r="X42" s="154">
        <f t="shared" si="29"/>
        <v>-7.5552359821404114</v>
      </c>
      <c r="Y42" s="154">
        <f t="shared" si="29"/>
        <v>-11.228777569752044</v>
      </c>
      <c r="Z42" s="154">
        <f t="shared" si="29"/>
        <v>-7.9373113536104016</v>
      </c>
      <c r="AA42" s="154">
        <f t="shared" si="29"/>
        <v>-31.746261627222417</v>
      </c>
      <c r="AB42" s="154">
        <f t="shared" si="29"/>
        <v>-26.975770051088734</v>
      </c>
      <c r="AC42" s="43"/>
      <c r="AD42" s="78">
        <f>SUM(AB42/X42)-1</f>
        <v>2.5704735252288509</v>
      </c>
    </row>
    <row r="43" spans="1:30">
      <c r="B43" s="16"/>
      <c r="C43" s="17"/>
      <c r="D43" s="17"/>
      <c r="E43" s="17"/>
      <c r="F43" s="17"/>
      <c r="G43" s="17"/>
      <c r="H43" s="17"/>
      <c r="I43" s="2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28"/>
      <c r="V43" s="17"/>
      <c r="W43" s="17"/>
      <c r="X43" s="17"/>
      <c r="Y43" s="17"/>
      <c r="Z43" s="17"/>
      <c r="AA43" s="17"/>
      <c r="AB43" s="17"/>
      <c r="AC43" s="43"/>
    </row>
    <row r="44" spans="1:30" ht="12.75" customHeight="1">
      <c r="A44" s="5" t="s">
        <v>18</v>
      </c>
      <c r="B44" s="109" t="s">
        <v>77</v>
      </c>
      <c r="C44" s="110"/>
      <c r="D44" s="110"/>
      <c r="E44" s="110"/>
      <c r="F44" s="110"/>
      <c r="G44" s="110"/>
      <c r="H44" s="110"/>
      <c r="I44" s="111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09"/>
      <c r="V44" s="110"/>
      <c r="W44" s="110" t="s">
        <v>10</v>
      </c>
      <c r="X44" s="110"/>
      <c r="Y44" s="110"/>
      <c r="Z44" s="110"/>
      <c r="AA44" s="110"/>
      <c r="AB44" s="110"/>
      <c r="AC44" s="111"/>
      <c r="AD44" s="159" t="s">
        <v>24</v>
      </c>
    </row>
    <row r="45" spans="1:30" ht="12.75" customHeight="1">
      <c r="B45" s="113" t="str">
        <f t="shared" ref="B45:H46" si="30">B7</f>
        <v>Fiscal Period</v>
      </c>
      <c r="C45" s="112">
        <f t="shared" si="30"/>
        <v>2019</v>
      </c>
      <c r="D45" s="112">
        <f t="shared" si="30"/>
        <v>2020</v>
      </c>
      <c r="E45" s="112">
        <f t="shared" si="30"/>
        <v>2021</v>
      </c>
      <c r="F45" s="112">
        <f t="shared" si="30"/>
        <v>2022</v>
      </c>
      <c r="G45" s="112">
        <f t="shared" si="30"/>
        <v>2023</v>
      </c>
      <c r="H45" s="112">
        <f t="shared" si="30"/>
        <v>2024</v>
      </c>
      <c r="I45" s="111"/>
      <c r="J45" s="112" t="str">
        <f t="shared" ref="J45:T45" si="31">J7</f>
        <v>1Q23</v>
      </c>
      <c r="K45" s="112" t="str">
        <f t="shared" si="31"/>
        <v>2Q23</v>
      </c>
      <c r="L45" s="112" t="str">
        <f t="shared" si="31"/>
        <v>3Q23</v>
      </c>
      <c r="M45" s="112" t="str">
        <f t="shared" si="31"/>
        <v>4Q23</v>
      </c>
      <c r="N45" s="112" t="str">
        <f t="shared" si="31"/>
        <v>1Q24</v>
      </c>
      <c r="O45" s="112" t="str">
        <f t="shared" si="31"/>
        <v>2Q24</v>
      </c>
      <c r="P45" s="112" t="str">
        <f t="shared" si="31"/>
        <v>3Q24</v>
      </c>
      <c r="Q45" s="112" t="str">
        <f t="shared" si="31"/>
        <v>4Q24</v>
      </c>
      <c r="R45" s="112" t="str">
        <f t="shared" si="31"/>
        <v>1Q25</v>
      </c>
      <c r="S45" s="112" t="str">
        <f t="shared" si="31"/>
        <v>2Q25</v>
      </c>
      <c r="T45" s="112" t="str">
        <f t="shared" si="31"/>
        <v>3Q25</v>
      </c>
      <c r="U45" s="114"/>
      <c r="V45" s="112" t="str">
        <f t="shared" ref="V45:AB45" si="32">V7</f>
        <v>1Q24</v>
      </c>
      <c r="W45" s="112" t="str">
        <f t="shared" si="32"/>
        <v>2Q24</v>
      </c>
      <c r="X45" s="112" t="str">
        <f t="shared" si="32"/>
        <v>3Q24</v>
      </c>
      <c r="Y45" s="112" t="str">
        <f t="shared" si="32"/>
        <v>4Q24</v>
      </c>
      <c r="Z45" s="112" t="str">
        <f t="shared" si="32"/>
        <v>1Q25</v>
      </c>
      <c r="AA45" s="112" t="str">
        <f t="shared" si="32"/>
        <v>2Q25</v>
      </c>
      <c r="AB45" s="112" t="str">
        <f t="shared" si="32"/>
        <v>3Q25</v>
      </c>
      <c r="AC45" s="111"/>
      <c r="AD45" s="159"/>
    </row>
    <row r="46" spans="1:30" ht="12.75" customHeight="1">
      <c r="B46" s="113" t="str">
        <f t="shared" si="30"/>
        <v>Fiscal Period End Date</v>
      </c>
      <c r="C46" s="115">
        <f t="shared" si="30"/>
        <v>43830</v>
      </c>
      <c r="D46" s="115">
        <f t="shared" si="30"/>
        <v>44196</v>
      </c>
      <c r="E46" s="115">
        <f t="shared" si="30"/>
        <v>44561</v>
      </c>
      <c r="F46" s="115">
        <f t="shared" si="30"/>
        <v>44926</v>
      </c>
      <c r="G46" s="115">
        <f t="shared" si="30"/>
        <v>45291</v>
      </c>
      <c r="H46" s="115">
        <f t="shared" si="30"/>
        <v>45657</v>
      </c>
      <c r="I46" s="111"/>
      <c r="J46" s="115">
        <f t="shared" ref="J46:T46" si="33">J8</f>
        <v>45016</v>
      </c>
      <c r="K46" s="115">
        <f t="shared" si="33"/>
        <v>45107</v>
      </c>
      <c r="L46" s="115">
        <f t="shared" si="33"/>
        <v>45199</v>
      </c>
      <c r="M46" s="115">
        <f t="shared" si="33"/>
        <v>45291</v>
      </c>
      <c r="N46" s="115">
        <f t="shared" si="33"/>
        <v>45382</v>
      </c>
      <c r="O46" s="115">
        <f t="shared" si="33"/>
        <v>45473</v>
      </c>
      <c r="P46" s="115">
        <f t="shared" si="33"/>
        <v>45565</v>
      </c>
      <c r="Q46" s="115">
        <f t="shared" si="33"/>
        <v>45657</v>
      </c>
      <c r="R46" s="115">
        <f t="shared" si="33"/>
        <v>45747</v>
      </c>
      <c r="S46" s="115">
        <f t="shared" si="33"/>
        <v>45838</v>
      </c>
      <c r="T46" s="115">
        <f t="shared" si="33"/>
        <v>45930</v>
      </c>
      <c r="U46" s="116"/>
      <c r="V46" s="115">
        <f t="shared" ref="V46:AB46" si="34">V8</f>
        <v>45382</v>
      </c>
      <c r="W46" s="115">
        <f t="shared" si="34"/>
        <v>45473</v>
      </c>
      <c r="X46" s="115">
        <f t="shared" si="34"/>
        <v>45565</v>
      </c>
      <c r="Y46" s="115">
        <f t="shared" si="34"/>
        <v>45657</v>
      </c>
      <c r="Z46" s="115">
        <f t="shared" si="34"/>
        <v>45747</v>
      </c>
      <c r="AA46" s="115">
        <f t="shared" si="34"/>
        <v>45838</v>
      </c>
      <c r="AB46" s="115">
        <f t="shared" si="34"/>
        <v>45930</v>
      </c>
      <c r="AC46" s="111"/>
      <c r="AD46" s="159"/>
    </row>
    <row r="47" spans="1:30" ht="5.0999999999999996" customHeight="1">
      <c r="B47" s="47"/>
      <c r="C47" s="48"/>
      <c r="D47" s="48"/>
      <c r="E47" s="48"/>
      <c r="F47" s="48"/>
      <c r="G47" s="48"/>
      <c r="H47" s="48"/>
    </row>
    <row r="48" spans="1:30">
      <c r="B48" s="80" t="s">
        <v>85</v>
      </c>
      <c r="C48" s="48"/>
      <c r="D48" s="48"/>
      <c r="E48" s="48"/>
      <c r="F48" s="48"/>
      <c r="G48" s="48"/>
      <c r="H48" s="48"/>
    </row>
    <row r="49" spans="2:30" s="125" customFormat="1" ht="12.75" customHeight="1">
      <c r="B49" s="117" t="s">
        <v>106</v>
      </c>
      <c r="C49" s="126">
        <v>978957</v>
      </c>
      <c r="D49" s="126">
        <v>1789723</v>
      </c>
      <c r="E49" s="126">
        <v>1333507</v>
      </c>
      <c r="F49" s="126">
        <v>1346350</v>
      </c>
      <c r="G49" s="126">
        <v>865211</v>
      </c>
      <c r="H49" s="126">
        <v>902057</v>
      </c>
      <c r="J49" s="84">
        <v>1287711</v>
      </c>
      <c r="K49" s="84">
        <v>1110688</v>
      </c>
      <c r="L49" s="84">
        <v>818323</v>
      </c>
      <c r="M49" s="32">
        <f>G49</f>
        <v>865211</v>
      </c>
      <c r="N49" s="84">
        <v>764788</v>
      </c>
      <c r="O49" s="84">
        <v>724794</v>
      </c>
      <c r="P49" s="84">
        <v>423547</v>
      </c>
      <c r="Q49" s="32">
        <f>H49</f>
        <v>902057</v>
      </c>
      <c r="R49" s="84">
        <v>487535</v>
      </c>
      <c r="S49" s="84">
        <v>407511</v>
      </c>
      <c r="T49" s="84">
        <v>250494</v>
      </c>
      <c r="V49" s="99">
        <f>N49</f>
        <v>764788</v>
      </c>
      <c r="W49" s="99">
        <f>O49</f>
        <v>724794</v>
      </c>
      <c r="X49" s="99">
        <f>P49</f>
        <v>423547</v>
      </c>
      <c r="Y49" s="99">
        <f>Q49</f>
        <v>902057</v>
      </c>
      <c r="Z49" s="99">
        <f>R49</f>
        <v>487535</v>
      </c>
      <c r="AA49" s="99">
        <f>S49</f>
        <v>407511</v>
      </c>
      <c r="AB49" s="99">
        <f>T49</f>
        <v>250494</v>
      </c>
      <c r="AC49" s="127"/>
      <c r="AD49" s="77">
        <f t="shared" ref="AD49:AD53" si="35">SUM(AB49/X49)-1</f>
        <v>-0.40858039367531818</v>
      </c>
    </row>
    <row r="50" spans="2:30" s="125" customFormat="1" ht="12.75" customHeight="1">
      <c r="B50" s="117" t="s">
        <v>123</v>
      </c>
      <c r="C50" s="126">
        <v>0</v>
      </c>
      <c r="D50" s="126">
        <v>71401</v>
      </c>
      <c r="E50" s="126">
        <v>95400</v>
      </c>
      <c r="F50" s="126">
        <v>119392</v>
      </c>
      <c r="G50" s="126">
        <v>119400</v>
      </c>
      <c r="H50" s="126">
        <v>168390</v>
      </c>
      <c r="J50" s="84">
        <v>119400</v>
      </c>
      <c r="K50" s="84">
        <v>119400</v>
      </c>
      <c r="L50" s="84">
        <v>119400</v>
      </c>
      <c r="M50" s="32">
        <f>G50</f>
        <v>119400</v>
      </c>
      <c r="N50" s="84">
        <v>133585</v>
      </c>
      <c r="O50" s="84">
        <v>120579</v>
      </c>
      <c r="P50" s="84">
        <v>170086</v>
      </c>
      <c r="Q50" s="32">
        <f>H50</f>
        <v>168390</v>
      </c>
      <c r="R50" s="84">
        <v>270522</v>
      </c>
      <c r="S50" s="84">
        <v>152088</v>
      </c>
      <c r="T50" s="84">
        <v>396103</v>
      </c>
      <c r="V50" s="99">
        <f>N50</f>
        <v>133585</v>
      </c>
      <c r="W50" s="99">
        <f>O50</f>
        <v>120579</v>
      </c>
      <c r="X50" s="99">
        <f>P50</f>
        <v>170086</v>
      </c>
      <c r="Y50" s="99">
        <f>Q50</f>
        <v>168390</v>
      </c>
      <c r="Z50" s="99">
        <f>R50</f>
        <v>270522</v>
      </c>
      <c r="AA50" s="99">
        <f>S50</f>
        <v>152088</v>
      </c>
      <c r="AB50" s="99">
        <f>T50</f>
        <v>396103</v>
      </c>
      <c r="AC50" s="127"/>
      <c r="AD50" s="77">
        <f t="shared" si="35"/>
        <v>1.3288395282386558</v>
      </c>
    </row>
    <row r="51" spans="2:30" s="125" customFormat="1" ht="12.75" customHeight="1">
      <c r="B51" s="117" t="s">
        <v>122</v>
      </c>
      <c r="C51" s="126">
        <v>105321</v>
      </c>
      <c r="D51" s="126">
        <v>106339</v>
      </c>
      <c r="E51" s="126">
        <v>106313</v>
      </c>
      <c r="F51" s="126">
        <v>107115</v>
      </c>
      <c r="G51" s="126">
        <v>112501</v>
      </c>
      <c r="H51" s="126">
        <v>118334</v>
      </c>
      <c r="J51" s="84">
        <v>108357</v>
      </c>
      <c r="K51" s="84">
        <v>109494</v>
      </c>
      <c r="L51" s="84">
        <v>110933</v>
      </c>
      <c r="M51" s="32">
        <f>G51</f>
        <v>112501</v>
      </c>
      <c r="N51" s="84">
        <v>113854</v>
      </c>
      <c r="O51" s="84">
        <v>115290</v>
      </c>
      <c r="P51" s="84">
        <v>117104</v>
      </c>
      <c r="Q51" s="32">
        <f>H51</f>
        <v>118334</v>
      </c>
      <c r="R51" s="84">
        <v>119575</v>
      </c>
      <c r="S51" s="84">
        <v>0</v>
      </c>
      <c r="T51" s="84">
        <v>0</v>
      </c>
      <c r="V51" s="99">
        <f>N51</f>
        <v>113854</v>
      </c>
      <c r="W51" s="99">
        <f>O51</f>
        <v>115290</v>
      </c>
      <c r="X51" s="99">
        <f>P51</f>
        <v>117104</v>
      </c>
      <c r="Y51" s="99">
        <f>Q51</f>
        <v>118334</v>
      </c>
      <c r="Z51" s="99">
        <f>R51</f>
        <v>119575</v>
      </c>
      <c r="AA51" s="99">
        <f>S51</f>
        <v>0</v>
      </c>
      <c r="AB51" s="99">
        <f>T51</f>
        <v>0</v>
      </c>
      <c r="AC51" s="127"/>
      <c r="AD51" s="77">
        <f t="shared" si="35"/>
        <v>-1</v>
      </c>
    </row>
    <row r="52" spans="2:30" s="125" customFormat="1" ht="12.75" customHeight="1">
      <c r="B52" s="117" t="s">
        <v>124</v>
      </c>
      <c r="C52" s="126">
        <v>73807</v>
      </c>
      <c r="D52" s="126">
        <v>42940</v>
      </c>
      <c r="E52" s="126">
        <v>128828</v>
      </c>
      <c r="F52" s="126">
        <v>197276</v>
      </c>
      <c r="G52" s="126">
        <v>205468</v>
      </c>
      <c r="H52" s="126">
        <v>178955</v>
      </c>
      <c r="J52" s="84">
        <v>186070</v>
      </c>
      <c r="K52" s="84">
        <v>186739</v>
      </c>
      <c r="L52" s="84">
        <v>170959</v>
      </c>
      <c r="M52" s="32">
        <f>G52</f>
        <v>205468</v>
      </c>
      <c r="N52" s="84">
        <v>212469</v>
      </c>
      <c r="O52" s="84">
        <v>216650</v>
      </c>
      <c r="P52" s="84">
        <v>230079</v>
      </c>
      <c r="Q52" s="32">
        <f>H52</f>
        <v>178955</v>
      </c>
      <c r="R52" s="84">
        <v>211932</v>
      </c>
      <c r="S52" s="84">
        <v>219414</v>
      </c>
      <c r="T52" s="84">
        <v>114386</v>
      </c>
      <c r="V52" s="99">
        <f>N52</f>
        <v>212469</v>
      </c>
      <c r="W52" s="99">
        <f>O52</f>
        <v>216650</v>
      </c>
      <c r="X52" s="99">
        <f>P52</f>
        <v>230079</v>
      </c>
      <c r="Y52" s="99">
        <f>Q52</f>
        <v>178955</v>
      </c>
      <c r="Z52" s="99">
        <f>R52</f>
        <v>211932</v>
      </c>
      <c r="AA52" s="99">
        <f>S52</f>
        <v>219414</v>
      </c>
      <c r="AB52" s="99">
        <f>T52</f>
        <v>114386</v>
      </c>
      <c r="AC52" s="127"/>
      <c r="AD52" s="77">
        <f t="shared" si="35"/>
        <v>-0.50284032875664453</v>
      </c>
    </row>
    <row r="53" spans="2:30" s="125" customFormat="1" ht="12.75" customHeight="1">
      <c r="B53" s="117" t="s">
        <v>137</v>
      </c>
      <c r="C53" s="126">
        <f>103439+102906+21013</f>
        <v>227358</v>
      </c>
      <c r="D53" s="126">
        <f>124983+73134+147460</f>
        <v>345577</v>
      </c>
      <c r="E53" s="126">
        <f>129827+10726+37890</f>
        <v>178443</v>
      </c>
      <c r="F53" s="126">
        <f>187589+36261</f>
        <v>223850</v>
      </c>
      <c r="G53" s="126">
        <f>207700+1847</f>
        <v>209547</v>
      </c>
      <c r="H53" s="126">
        <f>278366+463020</f>
        <v>741386</v>
      </c>
      <c r="J53" s="84">
        <f>180284+36261</f>
        <v>216545</v>
      </c>
      <c r="K53" s="84">
        <f>36261+210252</f>
        <v>246513</v>
      </c>
      <c r="L53" s="84">
        <f>228878+549</f>
        <v>229427</v>
      </c>
      <c r="M53" s="32">
        <f>G53</f>
        <v>209547</v>
      </c>
      <c r="N53" s="84">
        <v>263713</v>
      </c>
      <c r="O53" s="84">
        <v>247952</v>
      </c>
      <c r="P53" s="84">
        <v>276373</v>
      </c>
      <c r="Q53" s="32">
        <f>H53</f>
        <v>741386</v>
      </c>
      <c r="R53" s="84">
        <f>242527+447558</f>
        <v>690085</v>
      </c>
      <c r="S53" s="84">
        <f>253057+449149</f>
        <v>702206</v>
      </c>
      <c r="T53" s="84">
        <f>306263+3119</f>
        <v>309382</v>
      </c>
      <c r="V53" s="99">
        <f>N53</f>
        <v>263713</v>
      </c>
      <c r="W53" s="99">
        <f>O53</f>
        <v>247952</v>
      </c>
      <c r="X53" s="99">
        <f>P53</f>
        <v>276373</v>
      </c>
      <c r="Y53" s="99">
        <f>Q53</f>
        <v>741386</v>
      </c>
      <c r="Z53" s="99">
        <f>R53</f>
        <v>690085</v>
      </c>
      <c r="AA53" s="99">
        <f>S53</f>
        <v>702206</v>
      </c>
      <c r="AB53" s="99">
        <f>T53</f>
        <v>309382</v>
      </c>
      <c r="AC53" s="127"/>
      <c r="AD53" s="77">
        <f t="shared" si="35"/>
        <v>0.11943641383203141</v>
      </c>
    </row>
    <row r="54" spans="2:30" ht="12.75" customHeight="1">
      <c r="B54" s="25" t="s">
        <v>21</v>
      </c>
      <c r="C54" s="26">
        <f t="shared" ref="C54:H54" si="36">SUM(C49:C53)</f>
        <v>1385443</v>
      </c>
      <c r="D54" s="26">
        <f t="shared" si="36"/>
        <v>2355980</v>
      </c>
      <c r="E54" s="26">
        <f t="shared" si="36"/>
        <v>1842491</v>
      </c>
      <c r="F54" s="26">
        <f t="shared" si="36"/>
        <v>1993983</v>
      </c>
      <c r="G54" s="26">
        <f t="shared" si="36"/>
        <v>1512127</v>
      </c>
      <c r="H54" s="26">
        <f t="shared" si="36"/>
        <v>2109122</v>
      </c>
      <c r="I54" s="49"/>
      <c r="J54" s="26">
        <f t="shared" ref="J54:T54" si="37">SUM(J49:J53)</f>
        <v>1918083</v>
      </c>
      <c r="K54" s="26">
        <f t="shared" si="37"/>
        <v>1772834</v>
      </c>
      <c r="L54" s="26">
        <f t="shared" si="37"/>
        <v>1449042</v>
      </c>
      <c r="M54" s="26">
        <f t="shared" si="37"/>
        <v>1512127</v>
      </c>
      <c r="N54" s="26">
        <f t="shared" si="37"/>
        <v>1488409</v>
      </c>
      <c r="O54" s="26">
        <f t="shared" si="37"/>
        <v>1425265</v>
      </c>
      <c r="P54" s="26">
        <f t="shared" si="37"/>
        <v>1217189</v>
      </c>
      <c r="Q54" s="26">
        <f t="shared" si="37"/>
        <v>2109122</v>
      </c>
      <c r="R54" s="26">
        <f t="shared" si="37"/>
        <v>1779649</v>
      </c>
      <c r="S54" s="26">
        <f t="shared" si="37"/>
        <v>1481219</v>
      </c>
      <c r="T54" s="26">
        <f t="shared" si="37"/>
        <v>1070365</v>
      </c>
      <c r="U54" s="49"/>
      <c r="V54" s="26">
        <f t="shared" ref="V54:AB54" si="38">SUM(V49:V53)</f>
        <v>1488409</v>
      </c>
      <c r="W54" s="26">
        <f t="shared" si="38"/>
        <v>1425265</v>
      </c>
      <c r="X54" s="26">
        <f t="shared" si="38"/>
        <v>1217189</v>
      </c>
      <c r="Y54" s="26">
        <f t="shared" si="38"/>
        <v>2109122</v>
      </c>
      <c r="Z54" s="26">
        <f t="shared" si="38"/>
        <v>1779649</v>
      </c>
      <c r="AA54" s="26">
        <f t="shared" si="38"/>
        <v>1481219</v>
      </c>
      <c r="AB54" s="26">
        <f t="shared" si="38"/>
        <v>1070365</v>
      </c>
      <c r="AC54" s="42"/>
      <c r="AD54" s="78">
        <f>SUM(AB54/X54)-1</f>
        <v>-0.12062547394036582</v>
      </c>
    </row>
    <row r="55" spans="2:30" ht="5.0999999999999996" customHeight="1">
      <c r="B55" s="25"/>
      <c r="C55" s="50"/>
      <c r="D55" s="50"/>
      <c r="E55" s="50"/>
      <c r="F55" s="50"/>
      <c r="G55" s="41"/>
      <c r="H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V55" s="42"/>
      <c r="W55" s="42"/>
      <c r="X55" s="42"/>
      <c r="Y55" s="42"/>
      <c r="Z55" s="42"/>
      <c r="AA55" s="42"/>
      <c r="AB55" s="42"/>
      <c r="AC55" s="42"/>
      <c r="AD55" s="39"/>
    </row>
    <row r="56" spans="2:30" ht="12.75" customHeight="1">
      <c r="B56" s="80" t="s">
        <v>86</v>
      </c>
      <c r="C56" s="84"/>
      <c r="D56" s="84"/>
      <c r="E56" s="84"/>
      <c r="F56" s="84"/>
      <c r="G56" s="84"/>
      <c r="H56" s="84"/>
      <c r="J56" s="84"/>
      <c r="K56" s="84"/>
      <c r="L56" s="84"/>
      <c r="M56" s="84"/>
      <c r="N56" s="84"/>
      <c r="O56" s="84"/>
      <c r="P56" s="84"/>
      <c r="Q56" s="84"/>
      <c r="R56" s="32"/>
      <c r="S56" s="84"/>
      <c r="T56" s="84"/>
      <c r="V56" s="32"/>
      <c r="W56" s="32"/>
      <c r="X56" s="32"/>
      <c r="Y56" s="32"/>
      <c r="Z56" s="32"/>
      <c r="AA56" s="32"/>
      <c r="AB56" s="32"/>
      <c r="AC56" s="11"/>
      <c r="AD56" s="77"/>
    </row>
    <row r="57" spans="2:30" ht="12.75" customHeight="1">
      <c r="B57" s="9" t="s">
        <v>90</v>
      </c>
      <c r="C57" s="84">
        <v>3530302</v>
      </c>
      <c r="D57" s="84">
        <v>3831568</v>
      </c>
      <c r="E57" s="84">
        <v>3856593</v>
      </c>
      <c r="F57" s="84">
        <v>3749498</v>
      </c>
      <c r="G57" s="84">
        <v>3519128</v>
      </c>
      <c r="H57" s="84">
        <v>2492784</v>
      </c>
      <c r="J57" s="84">
        <v>3738682</v>
      </c>
      <c r="K57" s="84">
        <v>3740500</v>
      </c>
      <c r="L57" s="84">
        <v>3731960</v>
      </c>
      <c r="M57" s="32">
        <f>G57</f>
        <v>3519128</v>
      </c>
      <c r="N57" s="84">
        <v>3400292</v>
      </c>
      <c r="O57" s="84">
        <v>3336335</v>
      </c>
      <c r="P57" s="84">
        <v>3299455</v>
      </c>
      <c r="Q57" s="32">
        <f>H57</f>
        <v>2492784</v>
      </c>
      <c r="R57" s="84">
        <v>2325965</v>
      </c>
      <c r="S57" s="84">
        <v>2289181</v>
      </c>
      <c r="T57" s="84">
        <v>2521158</v>
      </c>
      <c r="V57" s="32">
        <f>N57</f>
        <v>3400292</v>
      </c>
      <c r="W57" s="32">
        <f>O57</f>
        <v>3336335</v>
      </c>
      <c r="X57" s="32">
        <f>P57</f>
        <v>3299455</v>
      </c>
      <c r="Y57" s="32">
        <f>Q57</f>
        <v>2492784</v>
      </c>
      <c r="Z57" s="32">
        <f>R57</f>
        <v>2325965</v>
      </c>
      <c r="AA57" s="32">
        <f>S57</f>
        <v>2289181</v>
      </c>
      <c r="AB57" s="32">
        <f>T57</f>
        <v>2521158</v>
      </c>
      <c r="AC57" s="11"/>
      <c r="AD57" s="77">
        <f t="shared" ref="AD57:AD61" si="39">SUM(AB57/X57)-1</f>
        <v>-0.23588653277586757</v>
      </c>
    </row>
    <row r="58" spans="2:30" ht="12.75" customHeight="1">
      <c r="B58" s="9" t="s">
        <v>125</v>
      </c>
      <c r="C58" s="84">
        <v>1369555</v>
      </c>
      <c r="D58" s="84">
        <v>1417823</v>
      </c>
      <c r="E58" s="84">
        <v>1950520</v>
      </c>
      <c r="F58" s="84">
        <v>2699574</v>
      </c>
      <c r="G58" s="84">
        <v>3561028</v>
      </c>
      <c r="H58" s="84">
        <v>4583734</v>
      </c>
      <c r="J58" s="84">
        <v>2859829</v>
      </c>
      <c r="K58" s="84">
        <v>3058137</v>
      </c>
      <c r="L58" s="84">
        <v>3354082</v>
      </c>
      <c r="M58" s="32">
        <f>G58</f>
        <v>3561028</v>
      </c>
      <c r="N58" s="84">
        <v>3859596</v>
      </c>
      <c r="O58" s="84">
        <v>4156810</v>
      </c>
      <c r="P58" s="84">
        <v>4516298</v>
      </c>
      <c r="Q58" s="32">
        <f>H58</f>
        <v>4583734</v>
      </c>
      <c r="R58" s="84">
        <v>4425872</v>
      </c>
      <c r="S58" s="84">
        <v>4457889</v>
      </c>
      <c r="T58" s="84">
        <v>4646002</v>
      </c>
      <c r="V58" s="32">
        <f>N58</f>
        <v>3859596</v>
      </c>
      <c r="W58" s="32">
        <f>O58</f>
        <v>4156810</v>
      </c>
      <c r="X58" s="32">
        <f>P58</f>
        <v>4516298</v>
      </c>
      <c r="Y58" s="32">
        <f>Q58</f>
        <v>4583734</v>
      </c>
      <c r="Z58" s="32">
        <f>R58</f>
        <v>4425872</v>
      </c>
      <c r="AA58" s="32">
        <f>S58</f>
        <v>4457889</v>
      </c>
      <c r="AB58" s="32">
        <f>T58</f>
        <v>4646002</v>
      </c>
      <c r="AC58" s="11"/>
      <c r="AD58" s="77">
        <f t="shared" si="39"/>
        <v>2.8719096924073595E-2</v>
      </c>
    </row>
    <row r="59" spans="2:30" ht="12.75" customHeight="1">
      <c r="B59" s="9" t="s">
        <v>126</v>
      </c>
      <c r="C59" s="84">
        <v>291930</v>
      </c>
      <c r="D59" s="84">
        <v>356262</v>
      </c>
      <c r="E59" s="84">
        <v>484821</v>
      </c>
      <c r="F59" s="84">
        <v>487553</v>
      </c>
      <c r="G59" s="84">
        <v>480717</v>
      </c>
      <c r="H59" s="84">
        <v>113493</v>
      </c>
      <c r="J59" s="84">
        <v>516099</v>
      </c>
      <c r="K59" s="84">
        <v>508957</v>
      </c>
      <c r="L59" s="84">
        <v>495300</v>
      </c>
      <c r="M59" s="32">
        <f>G59</f>
        <v>480717</v>
      </c>
      <c r="N59" s="84">
        <v>443478</v>
      </c>
      <c r="O59" s="84">
        <v>307140</v>
      </c>
      <c r="P59" s="84">
        <v>124290</v>
      </c>
      <c r="Q59" s="32">
        <f>H59</f>
        <v>113493</v>
      </c>
      <c r="R59" s="84">
        <v>86319</v>
      </c>
      <c r="S59" s="84">
        <v>73572</v>
      </c>
      <c r="T59" s="84">
        <v>75376</v>
      </c>
      <c r="V59" s="32">
        <f>N59</f>
        <v>443478</v>
      </c>
      <c r="W59" s="32">
        <f>O59</f>
        <v>307140</v>
      </c>
      <c r="X59" s="32">
        <f>P59</f>
        <v>124290</v>
      </c>
      <c r="Y59" s="32">
        <f>Q59</f>
        <v>113493</v>
      </c>
      <c r="Z59" s="32">
        <f>R59</f>
        <v>86319</v>
      </c>
      <c r="AA59" s="32">
        <f>S59</f>
        <v>73572</v>
      </c>
      <c r="AB59" s="32">
        <f>T59</f>
        <v>75376</v>
      </c>
      <c r="AC59" s="11"/>
      <c r="AD59" s="77">
        <f t="shared" si="39"/>
        <v>-0.3935473489419905</v>
      </c>
    </row>
    <row r="60" spans="2:30" ht="12.75" customHeight="1">
      <c r="B60" s="9" t="s">
        <v>127</v>
      </c>
      <c r="C60" s="84">
        <v>361603</v>
      </c>
      <c r="D60" s="84">
        <v>347907</v>
      </c>
      <c r="E60" s="84">
        <v>330062</v>
      </c>
      <c r="F60" s="84">
        <v>190349</v>
      </c>
      <c r="G60" s="84">
        <v>313505</v>
      </c>
      <c r="H60" s="84">
        <v>241094</v>
      </c>
      <c r="J60" s="84">
        <v>230014</v>
      </c>
      <c r="K60" s="84">
        <v>252682</v>
      </c>
      <c r="L60" s="84">
        <v>293299</v>
      </c>
      <c r="M60" s="32">
        <f>G60</f>
        <v>313505</v>
      </c>
      <c r="N60" s="84">
        <v>307276</v>
      </c>
      <c r="O60" s="84">
        <v>306746</v>
      </c>
      <c r="P60" s="84">
        <v>302600</v>
      </c>
      <c r="Q60" s="32">
        <f>H60</f>
        <v>241094</v>
      </c>
      <c r="R60" s="84">
        <v>132889</v>
      </c>
      <c r="S60" s="84">
        <v>115451</v>
      </c>
      <c r="T60" s="84">
        <v>110568</v>
      </c>
      <c r="V60" s="32">
        <f>N60</f>
        <v>307276</v>
      </c>
      <c r="W60" s="32">
        <f>O60</f>
        <v>306746</v>
      </c>
      <c r="X60" s="32">
        <f>P60</f>
        <v>302600</v>
      </c>
      <c r="Y60" s="32">
        <f>Q60</f>
        <v>241094</v>
      </c>
      <c r="Z60" s="32">
        <f>R60</f>
        <v>132889</v>
      </c>
      <c r="AA60" s="32">
        <f>S60</f>
        <v>115451</v>
      </c>
      <c r="AB60" s="32">
        <f>T60</f>
        <v>110568</v>
      </c>
      <c r="AC60" s="11"/>
      <c r="AD60" s="77">
        <f t="shared" si="39"/>
        <v>-0.63460674157303365</v>
      </c>
    </row>
    <row r="61" spans="2:30" ht="12.75" customHeight="1">
      <c r="B61" s="9" t="s">
        <v>128</v>
      </c>
      <c r="C61" s="84">
        <f>36897+67682</f>
        <v>104579</v>
      </c>
      <c r="D61" s="84">
        <f>36127+53158</f>
        <v>89285</v>
      </c>
      <c r="E61" s="84">
        <f>37372+38166</f>
        <v>75538</v>
      </c>
      <c r="F61" s="84">
        <v>63817</v>
      </c>
      <c r="G61" s="84">
        <v>30732</v>
      </c>
      <c r="H61" s="84">
        <v>54951</v>
      </c>
      <c r="J61" s="84">
        <v>59610</v>
      </c>
      <c r="K61" s="84">
        <v>39017</v>
      </c>
      <c r="L61" s="84">
        <v>37867</v>
      </c>
      <c r="M61" s="32">
        <f>G61</f>
        <v>30732</v>
      </c>
      <c r="N61" s="84">
        <v>27444</v>
      </c>
      <c r="O61" s="84">
        <v>27160</v>
      </c>
      <c r="P61" s="84">
        <v>33217</v>
      </c>
      <c r="Q61" s="32">
        <f>H61</f>
        <v>54951</v>
      </c>
      <c r="R61" s="84">
        <f>75942+83482</f>
        <v>159424</v>
      </c>
      <c r="S61" s="84">
        <f>83482+75493</f>
        <v>158975</v>
      </c>
      <c r="T61" s="84">
        <f>83482+288093</f>
        <v>371575</v>
      </c>
      <c r="V61" s="32">
        <f>N61</f>
        <v>27444</v>
      </c>
      <c r="W61" s="32">
        <f>O61</f>
        <v>27160</v>
      </c>
      <c r="X61" s="32">
        <f>P61</f>
        <v>33217</v>
      </c>
      <c r="Y61" s="32">
        <f>Q61</f>
        <v>54951</v>
      </c>
      <c r="Z61" s="32">
        <f>R61</f>
        <v>159424</v>
      </c>
      <c r="AA61" s="32">
        <f>S61</f>
        <v>158975</v>
      </c>
      <c r="AB61" s="32">
        <f>T61</f>
        <v>371575</v>
      </c>
      <c r="AC61" s="11"/>
      <c r="AD61" s="77">
        <f t="shared" si="39"/>
        <v>10.186290152632688</v>
      </c>
    </row>
    <row r="62" spans="2:30" ht="12.75" customHeight="1">
      <c r="B62" s="13" t="s">
        <v>22</v>
      </c>
      <c r="C62" s="14">
        <f t="shared" ref="C62:H62" si="40">SUM(C57:C61)+C54</f>
        <v>7043412</v>
      </c>
      <c r="D62" s="14">
        <f t="shared" si="40"/>
        <v>8398825</v>
      </c>
      <c r="E62" s="14">
        <f t="shared" si="40"/>
        <v>8540025</v>
      </c>
      <c r="F62" s="14">
        <f t="shared" si="40"/>
        <v>9184774</v>
      </c>
      <c r="G62" s="14">
        <f t="shared" si="40"/>
        <v>9417237</v>
      </c>
      <c r="H62" s="14">
        <f t="shared" si="40"/>
        <v>9595178</v>
      </c>
      <c r="J62" s="14">
        <f t="shared" ref="J62:T62" si="41">SUM(J57:J61)+J54</f>
        <v>9322317</v>
      </c>
      <c r="K62" s="14">
        <f t="shared" si="41"/>
        <v>9372127</v>
      </c>
      <c r="L62" s="14">
        <f t="shared" si="41"/>
        <v>9361550</v>
      </c>
      <c r="M62" s="14">
        <f t="shared" si="41"/>
        <v>9417237</v>
      </c>
      <c r="N62" s="14">
        <f t="shared" si="41"/>
        <v>9526495</v>
      </c>
      <c r="O62" s="14">
        <f t="shared" si="41"/>
        <v>9559456</v>
      </c>
      <c r="P62" s="14">
        <f t="shared" si="41"/>
        <v>9493049</v>
      </c>
      <c r="Q62" s="14">
        <f t="shared" si="41"/>
        <v>9595178</v>
      </c>
      <c r="R62" s="14">
        <f t="shared" si="41"/>
        <v>8910118</v>
      </c>
      <c r="S62" s="14">
        <f t="shared" si="41"/>
        <v>8576287</v>
      </c>
      <c r="T62" s="14">
        <f t="shared" si="41"/>
        <v>8795044</v>
      </c>
      <c r="V62" s="14">
        <f t="shared" ref="V62:AB62" si="42">SUM(V57:V61)+V54</f>
        <v>9526495</v>
      </c>
      <c r="W62" s="14">
        <f t="shared" si="42"/>
        <v>9559456</v>
      </c>
      <c r="X62" s="14">
        <f t="shared" si="42"/>
        <v>9493049</v>
      </c>
      <c r="Y62" s="14">
        <f t="shared" si="42"/>
        <v>9595178</v>
      </c>
      <c r="Z62" s="14">
        <f t="shared" si="42"/>
        <v>8910118</v>
      </c>
      <c r="AA62" s="14">
        <f t="shared" si="42"/>
        <v>8576287</v>
      </c>
      <c r="AB62" s="34">
        <f t="shared" si="42"/>
        <v>8795044</v>
      </c>
      <c r="AC62" s="42"/>
      <c r="AD62" s="78">
        <f>SUM(AB62/X62)-1</f>
        <v>-7.3528009810125305E-2</v>
      </c>
    </row>
    <row r="63" spans="2:30" ht="12.75" customHeight="1">
      <c r="B63" s="25"/>
      <c r="C63" s="51"/>
      <c r="D63" s="51"/>
      <c r="E63" s="51"/>
      <c r="F63" s="51"/>
      <c r="G63" s="41"/>
      <c r="H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V63" s="42"/>
      <c r="W63" s="42"/>
      <c r="X63" s="42"/>
      <c r="Y63" s="42"/>
      <c r="Z63" s="42"/>
      <c r="AA63" s="42"/>
      <c r="AB63" s="42"/>
      <c r="AC63" s="42"/>
      <c r="AD63" s="39"/>
    </row>
    <row r="64" spans="2:30" ht="12.75" customHeight="1">
      <c r="B64" s="80" t="s">
        <v>46</v>
      </c>
      <c r="C64" s="51"/>
      <c r="D64" s="51"/>
      <c r="E64" s="51"/>
      <c r="F64" s="51"/>
      <c r="G64" s="41"/>
      <c r="H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V64" s="42"/>
      <c r="W64" s="42"/>
      <c r="X64" s="42"/>
      <c r="Y64" s="42"/>
      <c r="Z64" s="42"/>
      <c r="AA64" s="42"/>
      <c r="AB64" s="42"/>
      <c r="AC64" s="42"/>
      <c r="AD64" s="39"/>
    </row>
    <row r="65" spans="2:30" ht="12.75" customHeight="1">
      <c r="B65" s="123" t="s">
        <v>13</v>
      </c>
      <c r="C65" s="124">
        <v>43601</v>
      </c>
      <c r="D65" s="124">
        <v>28454</v>
      </c>
      <c r="E65" s="124">
        <v>44952</v>
      </c>
      <c r="F65" s="124">
        <v>75449</v>
      </c>
      <c r="G65" s="124">
        <v>42098</v>
      </c>
      <c r="H65" s="124">
        <v>32385</v>
      </c>
      <c r="J65" s="84">
        <v>53046</v>
      </c>
      <c r="K65" s="84">
        <v>76158</v>
      </c>
      <c r="L65" s="84">
        <v>86297</v>
      </c>
      <c r="M65" s="32">
        <f>G65</f>
        <v>42098</v>
      </c>
      <c r="N65" s="84">
        <v>85074</v>
      </c>
      <c r="O65" s="84">
        <v>70014</v>
      </c>
      <c r="P65" s="84">
        <v>49637</v>
      </c>
      <c r="Q65" s="32">
        <f>H65</f>
        <v>32385</v>
      </c>
      <c r="R65" s="84">
        <v>101213</v>
      </c>
      <c r="S65" s="84">
        <v>147676</v>
      </c>
      <c r="T65" s="84">
        <v>149270</v>
      </c>
      <c r="V65" s="100">
        <f>N65</f>
        <v>85074</v>
      </c>
      <c r="W65" s="100">
        <f>O65</f>
        <v>70014</v>
      </c>
      <c r="X65" s="100">
        <f>P65</f>
        <v>49637</v>
      </c>
      <c r="Y65" s="100">
        <f>Q65</f>
        <v>32385</v>
      </c>
      <c r="Z65" s="100">
        <f>R65</f>
        <v>101213</v>
      </c>
      <c r="AA65" s="100">
        <f>S65</f>
        <v>147676</v>
      </c>
      <c r="AB65" s="100">
        <f>T65</f>
        <v>149270</v>
      </c>
      <c r="AC65" s="11"/>
      <c r="AD65" s="77">
        <f t="shared" ref="AD65:AD70" si="43">SUM(AB65/X65)-1</f>
        <v>2.0072325080081392</v>
      </c>
    </row>
    <row r="66" spans="2:30" ht="12.75" customHeight="1">
      <c r="B66" s="123" t="s">
        <v>129</v>
      </c>
      <c r="C66" s="124">
        <v>315408</v>
      </c>
      <c r="D66" s="124">
        <v>401966</v>
      </c>
      <c r="E66" s="124">
        <v>382317</v>
      </c>
      <c r="F66" s="124">
        <v>429618</v>
      </c>
      <c r="G66" s="124">
        <v>383751</v>
      </c>
      <c r="H66" s="124">
        <v>436813</v>
      </c>
      <c r="J66" s="84">
        <v>566856</v>
      </c>
      <c r="K66" s="84">
        <v>479677</v>
      </c>
      <c r="L66" s="84">
        <v>429355</v>
      </c>
      <c r="M66" s="32">
        <f>G66</f>
        <v>383751</v>
      </c>
      <c r="N66" s="84">
        <v>475653</v>
      </c>
      <c r="O66" s="84">
        <v>496985</v>
      </c>
      <c r="P66" s="84">
        <v>459558</v>
      </c>
      <c r="Q66" s="32">
        <f>H66</f>
        <v>436813</v>
      </c>
      <c r="R66" s="84">
        <v>454521</v>
      </c>
      <c r="S66" s="84">
        <v>407473</v>
      </c>
      <c r="T66" s="84">
        <v>373096</v>
      </c>
      <c r="V66" s="100">
        <f>N66</f>
        <v>475653</v>
      </c>
      <c r="W66" s="100">
        <f>O66</f>
        <v>496985</v>
      </c>
      <c r="X66" s="100">
        <f>P66</f>
        <v>459558</v>
      </c>
      <c r="Y66" s="100">
        <f>Q66</f>
        <v>436813</v>
      </c>
      <c r="Z66" s="100">
        <f>R66</f>
        <v>454521</v>
      </c>
      <c r="AA66" s="100">
        <f>S66</f>
        <v>407473</v>
      </c>
      <c r="AB66" s="100">
        <f>T66</f>
        <v>373096</v>
      </c>
      <c r="AC66" s="11"/>
      <c r="AD66" s="77">
        <f t="shared" ref="AD66:AD69" si="44">SUM(AB66/X66)-1</f>
        <v>-0.18814164914983522</v>
      </c>
    </row>
    <row r="67" spans="2:30" ht="12.75" customHeight="1">
      <c r="B67" s="155" t="s">
        <v>139</v>
      </c>
      <c r="C67" s="124">
        <v>258852</v>
      </c>
      <c r="D67" s="124">
        <v>384197</v>
      </c>
      <c r="E67" s="124">
        <v>208948</v>
      </c>
      <c r="F67" s="124">
        <v>346888</v>
      </c>
      <c r="G67" s="124">
        <v>315580</v>
      </c>
      <c r="H67" s="124">
        <v>436532</v>
      </c>
      <c r="J67" s="84">
        <v>261724</v>
      </c>
      <c r="K67" s="84">
        <v>235579</v>
      </c>
      <c r="L67" s="84">
        <v>235868</v>
      </c>
      <c r="M67" s="32">
        <f>G67</f>
        <v>315580</v>
      </c>
      <c r="N67" s="84">
        <v>156812</v>
      </c>
      <c r="O67" s="84">
        <v>142815</v>
      </c>
      <c r="P67" s="84">
        <v>1253376</v>
      </c>
      <c r="Q67" s="32">
        <f>H67</f>
        <v>436532</v>
      </c>
      <c r="R67" s="84">
        <v>191572</v>
      </c>
      <c r="S67" s="84">
        <v>121190</v>
      </c>
      <c r="T67" s="84">
        <v>119226</v>
      </c>
      <c r="V67" s="100">
        <f>N67</f>
        <v>156812</v>
      </c>
      <c r="W67" s="100">
        <f>O67</f>
        <v>142815</v>
      </c>
      <c r="X67" s="100">
        <f>P67</f>
        <v>1253376</v>
      </c>
      <c r="Y67" s="100">
        <f>Q67</f>
        <v>436532</v>
      </c>
      <c r="Z67" s="100">
        <f>R67</f>
        <v>191572</v>
      </c>
      <c r="AA67" s="100">
        <f>S67</f>
        <v>121190</v>
      </c>
      <c r="AB67" s="100">
        <f>T67</f>
        <v>119226</v>
      </c>
      <c r="AC67" s="11"/>
      <c r="AD67" s="77">
        <f t="shared" si="44"/>
        <v>-0.90487611060049022</v>
      </c>
    </row>
    <row r="68" spans="2:30" ht="12.75" customHeight="1">
      <c r="B68" s="123" t="s">
        <v>130</v>
      </c>
      <c r="C68" s="124">
        <v>120662</v>
      </c>
      <c r="D68" s="124">
        <v>133791</v>
      </c>
      <c r="E68" s="124">
        <v>158631</v>
      </c>
      <c r="F68" s="124">
        <v>188296</v>
      </c>
      <c r="G68" s="124">
        <v>224865</v>
      </c>
      <c r="H68" s="124">
        <v>257796</v>
      </c>
      <c r="J68" s="84">
        <v>195039</v>
      </c>
      <c r="K68" s="84">
        <v>201337</v>
      </c>
      <c r="L68" s="84">
        <v>210994</v>
      </c>
      <c r="M68" s="32">
        <f>G68</f>
        <v>224865</v>
      </c>
      <c r="N68" s="84">
        <v>234062</v>
      </c>
      <c r="O68" s="84">
        <v>243528</v>
      </c>
      <c r="P68" s="84">
        <v>255942</v>
      </c>
      <c r="Q68" s="32">
        <f>H68</f>
        <v>257796</v>
      </c>
      <c r="R68" s="84">
        <v>238685</v>
      </c>
      <c r="S68" s="84">
        <v>239633</v>
      </c>
      <c r="T68" s="84">
        <v>4201</v>
      </c>
      <c r="V68" s="100">
        <f>N68</f>
        <v>234062</v>
      </c>
      <c r="W68" s="100">
        <f>O68</f>
        <v>243528</v>
      </c>
      <c r="X68" s="100">
        <f>P68</f>
        <v>255942</v>
      </c>
      <c r="Y68" s="100">
        <f>Q68</f>
        <v>257796</v>
      </c>
      <c r="Z68" s="100">
        <f>R68</f>
        <v>238685</v>
      </c>
      <c r="AA68" s="100">
        <f>S68</f>
        <v>239633</v>
      </c>
      <c r="AB68" s="100">
        <f>T68</f>
        <v>4201</v>
      </c>
      <c r="AC68" s="11"/>
      <c r="AD68" s="77">
        <f t="shared" si="44"/>
        <v>-0.98358612498144116</v>
      </c>
    </row>
    <row r="69" spans="2:30" ht="12.75" customHeight="1">
      <c r="B69" s="123" t="s">
        <v>131</v>
      </c>
      <c r="C69" s="124">
        <v>373521</v>
      </c>
      <c r="D69" s="124">
        <v>393614</v>
      </c>
      <c r="E69" s="124">
        <v>480754</v>
      </c>
      <c r="F69" s="124">
        <v>556330</v>
      </c>
      <c r="G69" s="124">
        <v>705298</v>
      </c>
      <c r="H69" s="124">
        <v>605839</v>
      </c>
      <c r="J69" s="84">
        <v>675944</v>
      </c>
      <c r="K69" s="84">
        <v>693211</v>
      </c>
      <c r="L69" s="84">
        <v>638286</v>
      </c>
      <c r="M69" s="32">
        <f>G69</f>
        <v>705298</v>
      </c>
      <c r="N69" s="84">
        <v>577433</v>
      </c>
      <c r="O69" s="84">
        <v>557806</v>
      </c>
      <c r="P69" s="84">
        <v>521690</v>
      </c>
      <c r="Q69" s="32">
        <f>H69</f>
        <v>605839</v>
      </c>
      <c r="R69" s="84">
        <v>591357</v>
      </c>
      <c r="S69" s="84">
        <v>537556</v>
      </c>
      <c r="T69" s="84">
        <v>364383</v>
      </c>
      <c r="V69" s="100">
        <f>N69</f>
        <v>577433</v>
      </c>
      <c r="W69" s="100">
        <f>O69</f>
        <v>557806</v>
      </c>
      <c r="X69" s="100">
        <f>P69</f>
        <v>521690</v>
      </c>
      <c r="Y69" s="100">
        <f>Q69</f>
        <v>605839</v>
      </c>
      <c r="Z69" s="100">
        <f>R69</f>
        <v>591357</v>
      </c>
      <c r="AA69" s="100">
        <f>S69</f>
        <v>537556</v>
      </c>
      <c r="AB69" s="100">
        <f>T69</f>
        <v>364383</v>
      </c>
      <c r="AC69" s="11"/>
      <c r="AD69" s="77">
        <f t="shared" si="44"/>
        <v>-0.30153347773582018</v>
      </c>
    </row>
    <row r="70" spans="2:30" ht="12.75" customHeight="1">
      <c r="B70" s="25" t="s">
        <v>19</v>
      </c>
      <c r="C70" s="26">
        <f t="shared" ref="C70:H70" si="45">SUM(C65:C69)</f>
        <v>1112044</v>
      </c>
      <c r="D70" s="26">
        <f t="shared" si="45"/>
        <v>1342022</v>
      </c>
      <c r="E70" s="26">
        <f t="shared" si="45"/>
        <v>1275602</v>
      </c>
      <c r="F70" s="26">
        <f t="shared" si="45"/>
        <v>1596581</v>
      </c>
      <c r="G70" s="26">
        <f t="shared" si="45"/>
        <v>1671592</v>
      </c>
      <c r="H70" s="26">
        <f t="shared" si="45"/>
        <v>1769365</v>
      </c>
      <c r="J70" s="26">
        <f t="shared" ref="J70:T70" si="46">SUM(J65:J69)</f>
        <v>1752609</v>
      </c>
      <c r="K70" s="26">
        <f t="shared" si="46"/>
        <v>1685962</v>
      </c>
      <c r="L70" s="26">
        <f t="shared" si="46"/>
        <v>1600800</v>
      </c>
      <c r="M70" s="26">
        <f t="shared" si="46"/>
        <v>1671592</v>
      </c>
      <c r="N70" s="26">
        <f t="shared" si="46"/>
        <v>1529034</v>
      </c>
      <c r="O70" s="26">
        <f t="shared" si="46"/>
        <v>1511148</v>
      </c>
      <c r="P70" s="26">
        <f t="shared" si="46"/>
        <v>2540203</v>
      </c>
      <c r="Q70" s="26">
        <f t="shared" si="46"/>
        <v>1769365</v>
      </c>
      <c r="R70" s="26">
        <f t="shared" si="46"/>
        <v>1577348</v>
      </c>
      <c r="S70" s="26">
        <f t="shared" si="46"/>
        <v>1453528</v>
      </c>
      <c r="T70" s="26">
        <f t="shared" si="46"/>
        <v>1010176</v>
      </c>
      <c r="U70" s="49"/>
      <c r="V70" s="26">
        <f t="shared" ref="V70:AB70" si="47">SUM(V65:V69)</f>
        <v>1529034</v>
      </c>
      <c r="W70" s="26">
        <f t="shared" si="47"/>
        <v>1511148</v>
      </c>
      <c r="X70" s="26">
        <f t="shared" si="47"/>
        <v>2540203</v>
      </c>
      <c r="Y70" s="26">
        <f t="shared" si="47"/>
        <v>1769365</v>
      </c>
      <c r="Z70" s="26">
        <f t="shared" si="47"/>
        <v>1577348</v>
      </c>
      <c r="AA70" s="26">
        <f t="shared" si="47"/>
        <v>1453528</v>
      </c>
      <c r="AB70" s="26">
        <f t="shared" si="47"/>
        <v>1010176</v>
      </c>
      <c r="AC70" s="42"/>
      <c r="AD70" s="78">
        <f t="shared" si="43"/>
        <v>-0.60232469609712291</v>
      </c>
    </row>
    <row r="71" spans="2:30" ht="5.0999999999999996" customHeight="1">
      <c r="B71" s="25"/>
      <c r="C71" s="51"/>
      <c r="D71" s="51"/>
      <c r="E71" s="51"/>
      <c r="F71" s="51"/>
      <c r="G71" s="41"/>
      <c r="H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V71" s="42"/>
      <c r="W71" s="42"/>
      <c r="X71" s="42"/>
      <c r="Y71" s="42"/>
      <c r="Z71" s="42"/>
      <c r="AA71" s="42"/>
      <c r="AB71" s="42"/>
      <c r="AC71" s="42"/>
      <c r="AD71" s="39"/>
    </row>
    <row r="72" spans="2:30">
      <c r="B72" s="80" t="s">
        <v>87</v>
      </c>
      <c r="C72" s="51"/>
      <c r="D72" s="51"/>
      <c r="E72" s="51"/>
      <c r="F72" s="51"/>
      <c r="G72" s="41"/>
      <c r="H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V72" s="42"/>
      <c r="W72" s="42"/>
      <c r="X72" s="42"/>
      <c r="Y72" s="42"/>
      <c r="Z72" s="42"/>
      <c r="AA72" s="42"/>
      <c r="AB72" s="42"/>
      <c r="AC72" s="42"/>
      <c r="AD72" s="39"/>
    </row>
    <row r="73" spans="2:30" ht="12.75" customHeight="1">
      <c r="B73" s="155" t="s">
        <v>140</v>
      </c>
      <c r="C73" s="124">
        <v>1960453</v>
      </c>
      <c r="D73" s="124">
        <v>3066635</v>
      </c>
      <c r="E73" s="124">
        <v>2975823</v>
      </c>
      <c r="F73" s="124">
        <v>3200376</v>
      </c>
      <c r="G73" s="124">
        <v>3055221</v>
      </c>
      <c r="H73" s="124">
        <v>1761215</v>
      </c>
      <c r="I73" s="52"/>
      <c r="J73" s="84">
        <v>3164061</v>
      </c>
      <c r="K73" s="84">
        <v>3081192</v>
      </c>
      <c r="L73" s="84">
        <v>3043391</v>
      </c>
      <c r="M73" s="32">
        <f>G73</f>
        <v>3055221</v>
      </c>
      <c r="N73" s="84">
        <v>3175555</v>
      </c>
      <c r="O73" s="84">
        <v>3124079</v>
      </c>
      <c r="P73" s="84">
        <v>1986735</v>
      </c>
      <c r="Q73" s="32">
        <f>H73</f>
        <v>1761215</v>
      </c>
      <c r="R73" s="84">
        <v>2231335</v>
      </c>
      <c r="S73" s="84">
        <v>2242448</v>
      </c>
      <c r="T73" s="84">
        <v>750205</v>
      </c>
      <c r="U73" s="124"/>
      <c r="V73" s="100">
        <f>N73</f>
        <v>3175555</v>
      </c>
      <c r="W73" s="100">
        <f>O73</f>
        <v>3124079</v>
      </c>
      <c r="X73" s="100">
        <f>P73</f>
        <v>1986735</v>
      </c>
      <c r="Y73" s="100">
        <f>Q73</f>
        <v>1761215</v>
      </c>
      <c r="Z73" s="100">
        <f>R73</f>
        <v>2231335</v>
      </c>
      <c r="AA73" s="100">
        <f>S73</f>
        <v>2242448</v>
      </c>
      <c r="AB73" s="100">
        <f>T73</f>
        <v>750205</v>
      </c>
      <c r="AC73" s="42"/>
      <c r="AD73" s="77">
        <f t="shared" ref="AD73:AD77" si="48">SUM(AB73/X73)-1</f>
        <v>-0.62239302171653499</v>
      </c>
    </row>
    <row r="74" spans="2:30" ht="12.75" customHeight="1">
      <c r="B74" s="123" t="s">
        <v>132</v>
      </c>
      <c r="C74" s="124">
        <v>1218014</v>
      </c>
      <c r="D74" s="124">
        <v>1248519</v>
      </c>
      <c r="E74" s="124">
        <v>1751351</v>
      </c>
      <c r="F74" s="124">
        <v>2455619</v>
      </c>
      <c r="G74" s="124">
        <v>3298871</v>
      </c>
      <c r="H74" s="124">
        <v>4335106</v>
      </c>
      <c r="I74" s="52"/>
      <c r="J74" s="84">
        <v>2605011</v>
      </c>
      <c r="K74" s="84">
        <v>2793437</v>
      </c>
      <c r="L74" s="84">
        <v>3108399</v>
      </c>
      <c r="M74" s="32">
        <f>G74</f>
        <v>3298871</v>
      </c>
      <c r="N74" s="84">
        <v>3593771</v>
      </c>
      <c r="O74" s="84">
        <v>3895269</v>
      </c>
      <c r="P74" s="84">
        <v>4267577</v>
      </c>
      <c r="Q74" s="32">
        <f>H74</f>
        <v>4335106</v>
      </c>
      <c r="R74" s="84">
        <v>4200013</v>
      </c>
      <c r="S74" s="84">
        <v>4228832</v>
      </c>
      <c r="T74" s="84">
        <v>18426</v>
      </c>
      <c r="U74" s="124"/>
      <c r="V74" s="100">
        <f>N74</f>
        <v>3593771</v>
      </c>
      <c r="W74" s="100">
        <f>O74</f>
        <v>3895269</v>
      </c>
      <c r="X74" s="100">
        <f>P74</f>
        <v>4267577</v>
      </c>
      <c r="Y74" s="100">
        <f>Q74</f>
        <v>4335106</v>
      </c>
      <c r="Z74" s="100">
        <f>R74</f>
        <v>4200013</v>
      </c>
      <c r="AA74" s="100">
        <f>S74</f>
        <v>4228832</v>
      </c>
      <c r="AB74" s="100">
        <f>T74</f>
        <v>18426</v>
      </c>
      <c r="AC74" s="42"/>
      <c r="AD74" s="77">
        <f t="shared" si="48"/>
        <v>-0.99568232746591334</v>
      </c>
    </row>
    <row r="75" spans="2:30" ht="12.75" customHeight="1">
      <c r="B75" s="123" t="s">
        <v>91</v>
      </c>
      <c r="C75" s="124">
        <v>469292</v>
      </c>
      <c r="D75" s="124">
        <v>439894</v>
      </c>
      <c r="E75" s="124">
        <v>375472</v>
      </c>
      <c r="F75" s="124">
        <v>226843</v>
      </c>
      <c r="G75" s="124">
        <v>107761</v>
      </c>
      <c r="H75" s="124">
        <v>51927</v>
      </c>
      <c r="I75" s="52"/>
      <c r="J75" s="84">
        <v>189054</v>
      </c>
      <c r="K75" s="84">
        <v>205796</v>
      </c>
      <c r="L75" s="84">
        <v>160054</v>
      </c>
      <c r="M75" s="32">
        <f>G75</f>
        <v>107761</v>
      </c>
      <c r="N75" s="84">
        <v>92783</v>
      </c>
      <c r="O75" s="84">
        <v>96450</v>
      </c>
      <c r="P75" s="84">
        <v>71639</v>
      </c>
      <c r="Q75" s="32">
        <f>H75</f>
        <v>51927</v>
      </c>
      <c r="R75" s="84">
        <v>69305</v>
      </c>
      <c r="S75" s="84">
        <v>64757</v>
      </c>
      <c r="T75" s="84">
        <v>65988</v>
      </c>
      <c r="U75" s="124"/>
      <c r="V75" s="100">
        <f>N75</f>
        <v>92783</v>
      </c>
      <c r="W75" s="100">
        <f>O75</f>
        <v>96450</v>
      </c>
      <c r="X75" s="100">
        <f>P75</f>
        <v>71639</v>
      </c>
      <c r="Y75" s="100">
        <f>Q75</f>
        <v>51927</v>
      </c>
      <c r="Z75" s="100">
        <f>R75</f>
        <v>69305</v>
      </c>
      <c r="AA75" s="100">
        <f>S75</f>
        <v>64757</v>
      </c>
      <c r="AB75" s="100">
        <f>T75</f>
        <v>65988</v>
      </c>
      <c r="AC75" s="42"/>
      <c r="AD75" s="77">
        <f t="shared" si="48"/>
        <v>-7.8881614762908447E-2</v>
      </c>
    </row>
    <row r="76" spans="2:30" ht="12.75" customHeight="1">
      <c r="B76" s="123" t="s">
        <v>133</v>
      </c>
      <c r="C76" s="124">
        <v>22277</v>
      </c>
      <c r="D76" s="124">
        <v>52060</v>
      </c>
      <c r="E76" s="124">
        <v>47742</v>
      </c>
      <c r="F76" s="124">
        <v>133704</v>
      </c>
      <c r="G76" s="124">
        <v>149450</v>
      </c>
      <c r="H76" s="124">
        <v>122595</v>
      </c>
      <c r="I76" s="52"/>
      <c r="J76" s="84">
        <v>141736</v>
      </c>
      <c r="K76" s="84">
        <v>134668</v>
      </c>
      <c r="L76" s="84">
        <v>132861</v>
      </c>
      <c r="M76" s="32">
        <f>G76</f>
        <v>149450</v>
      </c>
      <c r="N76" s="84">
        <v>133095</v>
      </c>
      <c r="O76" s="84">
        <v>122848</v>
      </c>
      <c r="P76" s="84">
        <v>123146</v>
      </c>
      <c r="Q76" s="32">
        <f>H76</f>
        <v>122595</v>
      </c>
      <c r="R76" s="84">
        <v>108704</v>
      </c>
      <c r="S76" s="84">
        <v>107277</v>
      </c>
      <c r="T76" s="84">
        <v>94286</v>
      </c>
      <c r="U76" s="124"/>
      <c r="V76" s="100">
        <f>N76</f>
        <v>133095</v>
      </c>
      <c r="W76" s="100">
        <f>O76</f>
        <v>122848</v>
      </c>
      <c r="X76" s="100">
        <f>P76</f>
        <v>123146</v>
      </c>
      <c r="Y76" s="100">
        <f>Q76</f>
        <v>122595</v>
      </c>
      <c r="Z76" s="100">
        <f>R76</f>
        <v>108704</v>
      </c>
      <c r="AA76" s="100">
        <f>S76</f>
        <v>107277</v>
      </c>
      <c r="AB76" s="100">
        <f>T76</f>
        <v>94286</v>
      </c>
      <c r="AC76" s="42"/>
      <c r="AD76" s="77">
        <f t="shared" si="48"/>
        <v>-0.23435596771312106</v>
      </c>
    </row>
    <row r="77" spans="2:30" ht="12.75" customHeight="1">
      <c r="B77" s="123" t="s">
        <v>138</v>
      </c>
      <c r="C77" s="124">
        <v>0</v>
      </c>
      <c r="D77" s="124">
        <v>0</v>
      </c>
      <c r="E77" s="124">
        <v>0</v>
      </c>
      <c r="F77" s="124">
        <v>0</v>
      </c>
      <c r="G77" s="124">
        <v>0</v>
      </c>
      <c r="H77" s="124">
        <v>1635104</v>
      </c>
      <c r="I77" s="52"/>
      <c r="J77" s="84">
        <v>0</v>
      </c>
      <c r="K77" s="84">
        <v>0</v>
      </c>
      <c r="L77" s="84">
        <v>0</v>
      </c>
      <c r="M77" s="32">
        <f>G77</f>
        <v>0</v>
      </c>
      <c r="N77" s="84">
        <v>0</v>
      </c>
      <c r="O77" s="84">
        <v>0</v>
      </c>
      <c r="P77" s="84">
        <v>0</v>
      </c>
      <c r="Q77" s="32">
        <f>H77</f>
        <v>1635104</v>
      </c>
      <c r="R77" s="84">
        <v>0</v>
      </c>
      <c r="S77" s="84">
        <v>0</v>
      </c>
      <c r="T77" s="84">
        <v>6691470</v>
      </c>
      <c r="U77" s="124"/>
      <c r="V77" s="100">
        <f>N77</f>
        <v>0</v>
      </c>
      <c r="W77" s="100">
        <f>O77</f>
        <v>0</v>
      </c>
      <c r="X77" s="100">
        <f>P77</f>
        <v>0</v>
      </c>
      <c r="Y77" s="100">
        <f>Q77</f>
        <v>1635104</v>
      </c>
      <c r="Z77" s="100">
        <f>R77</f>
        <v>0</v>
      </c>
      <c r="AA77" s="100">
        <f>S77</f>
        <v>0</v>
      </c>
      <c r="AB77" s="100">
        <f>T77</f>
        <v>6691470</v>
      </c>
      <c r="AC77" s="42"/>
      <c r="AD77" s="77" t="e">
        <f t="shared" si="48"/>
        <v>#DIV/0!</v>
      </c>
    </row>
    <row r="78" spans="2:30" ht="12.75" customHeight="1">
      <c r="B78" s="13" t="s">
        <v>17</v>
      </c>
      <c r="C78" s="14">
        <f t="shared" ref="C78:H78" si="49">SUM(C73:C77)+C70</f>
        <v>4782080</v>
      </c>
      <c r="D78" s="14">
        <f t="shared" si="49"/>
        <v>6149130</v>
      </c>
      <c r="E78" s="14">
        <f t="shared" si="49"/>
        <v>6425990</v>
      </c>
      <c r="F78" s="14">
        <f t="shared" si="49"/>
        <v>7613123</v>
      </c>
      <c r="G78" s="14">
        <f t="shared" si="49"/>
        <v>8282895</v>
      </c>
      <c r="H78" s="14">
        <f t="shared" si="49"/>
        <v>9675312</v>
      </c>
      <c r="J78" s="14">
        <f t="shared" ref="J78:T78" si="50">SUM(J73:J77)+J70</f>
        <v>7852471</v>
      </c>
      <c r="K78" s="14">
        <f t="shared" si="50"/>
        <v>7901055</v>
      </c>
      <c r="L78" s="14">
        <f t="shared" si="50"/>
        <v>8045505</v>
      </c>
      <c r="M78" s="14">
        <f t="shared" si="50"/>
        <v>8282895</v>
      </c>
      <c r="N78" s="14">
        <f t="shared" si="50"/>
        <v>8524238</v>
      </c>
      <c r="O78" s="14">
        <f t="shared" si="50"/>
        <v>8749794</v>
      </c>
      <c r="P78" s="14">
        <f t="shared" si="50"/>
        <v>8989300</v>
      </c>
      <c r="Q78" s="14">
        <f t="shared" si="50"/>
        <v>9675312</v>
      </c>
      <c r="R78" s="14">
        <f t="shared" si="50"/>
        <v>8186705</v>
      </c>
      <c r="S78" s="14">
        <f t="shared" si="50"/>
        <v>8096842</v>
      </c>
      <c r="T78" s="14">
        <f t="shared" si="50"/>
        <v>8630551</v>
      </c>
      <c r="U78" s="124"/>
      <c r="V78" s="14">
        <f t="shared" ref="V78:AB78" si="51">SUM(V73:V77)+V70</f>
        <v>8524238</v>
      </c>
      <c r="W78" s="14">
        <f t="shared" si="51"/>
        <v>8749794</v>
      </c>
      <c r="X78" s="14">
        <f t="shared" si="51"/>
        <v>8989300</v>
      </c>
      <c r="Y78" s="14">
        <f t="shared" si="51"/>
        <v>9675312</v>
      </c>
      <c r="Z78" s="14">
        <f t="shared" si="51"/>
        <v>8186705</v>
      </c>
      <c r="AA78" s="14">
        <f t="shared" si="51"/>
        <v>8096842</v>
      </c>
      <c r="AB78" s="14">
        <f t="shared" si="51"/>
        <v>8630551</v>
      </c>
      <c r="AC78" s="42"/>
      <c r="AD78" s="78">
        <f t="shared" ref="AD78:AD86" si="52">SUM(AB78/X78)-1</f>
        <v>-3.9908446708864953E-2</v>
      </c>
    </row>
    <row r="79" spans="2:30" ht="5.0999999999999996" customHeight="1">
      <c r="B79" s="25"/>
      <c r="C79" s="50"/>
      <c r="D79" s="50"/>
      <c r="E79" s="50"/>
      <c r="F79" s="50"/>
      <c r="G79" s="41"/>
      <c r="H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V79" s="42"/>
      <c r="W79" s="42"/>
      <c r="X79" s="42"/>
      <c r="Y79" s="42"/>
      <c r="Z79" s="42"/>
      <c r="AA79" s="42"/>
      <c r="AB79" s="42"/>
      <c r="AC79" s="42"/>
      <c r="AD79" s="39"/>
    </row>
    <row r="80" spans="2:30" ht="12.75" customHeight="1">
      <c r="B80" s="9" t="s">
        <v>20</v>
      </c>
      <c r="C80" s="84">
        <v>7</v>
      </c>
      <c r="D80" s="84">
        <v>10</v>
      </c>
      <c r="E80" s="84">
        <v>11</v>
      </c>
      <c r="F80" s="84">
        <v>11</v>
      </c>
      <c r="G80" s="84">
        <v>11</v>
      </c>
      <c r="H80" s="84">
        <v>11</v>
      </c>
      <c r="I80" s="32"/>
      <c r="J80" s="84">
        <v>11</v>
      </c>
      <c r="K80" s="84">
        <v>11</v>
      </c>
      <c r="L80" s="84">
        <v>11</v>
      </c>
      <c r="M80" s="32">
        <f>G80</f>
        <v>11</v>
      </c>
      <c r="N80" s="84">
        <v>11</v>
      </c>
      <c r="O80" s="84">
        <v>11</v>
      </c>
      <c r="P80" s="84">
        <v>11</v>
      </c>
      <c r="Q80" s="32">
        <f>H80</f>
        <v>11</v>
      </c>
      <c r="R80" s="84">
        <v>2</v>
      </c>
      <c r="S80" s="84">
        <v>2</v>
      </c>
      <c r="T80" s="84">
        <v>3</v>
      </c>
      <c r="V80" s="100">
        <f>N80</f>
        <v>11</v>
      </c>
      <c r="W80" s="100">
        <f>O80</f>
        <v>11</v>
      </c>
      <c r="X80" s="100">
        <f>P80</f>
        <v>11</v>
      </c>
      <c r="Y80" s="100">
        <f>Q80</f>
        <v>11</v>
      </c>
      <c r="Z80" s="100">
        <f>R80</f>
        <v>2</v>
      </c>
      <c r="AA80" s="100">
        <f>S80</f>
        <v>2</v>
      </c>
      <c r="AB80" s="100">
        <f>T80</f>
        <v>3</v>
      </c>
      <c r="AC80" s="11"/>
      <c r="AD80" s="77">
        <f t="shared" ref="AD80:AD84" si="53">SUM(AB80/X80)-1</f>
        <v>-0.72727272727272729</v>
      </c>
    </row>
    <row r="81" spans="1:30" ht="12.75" customHeight="1">
      <c r="B81" s="9" t="s">
        <v>134</v>
      </c>
      <c r="C81" s="84">
        <v>379380</v>
      </c>
      <c r="D81" s="84">
        <v>799549</v>
      </c>
      <c r="E81" s="84">
        <v>1131826</v>
      </c>
      <c r="F81" s="84">
        <v>1146015</v>
      </c>
      <c r="G81" s="84">
        <v>1158278</v>
      </c>
      <c r="H81" s="84">
        <v>1173692</v>
      </c>
      <c r="I81" s="32"/>
      <c r="J81" s="84">
        <v>1149588</v>
      </c>
      <c r="K81" s="84">
        <v>1153068</v>
      </c>
      <c r="L81" s="84">
        <v>1155637</v>
      </c>
      <c r="M81" s="32">
        <f>G81</f>
        <v>1158278</v>
      </c>
      <c r="N81" s="84">
        <v>1169562</v>
      </c>
      <c r="O81" s="84">
        <v>1169904</v>
      </c>
      <c r="P81" s="84">
        <v>1171856</v>
      </c>
      <c r="Q81" s="32">
        <f>H81</f>
        <v>1173692</v>
      </c>
      <c r="R81" s="84">
        <v>734368</v>
      </c>
      <c r="S81" s="84">
        <v>736212</v>
      </c>
      <c r="T81" s="84">
        <v>738733</v>
      </c>
      <c r="V81" s="100">
        <f>N81</f>
        <v>1169562</v>
      </c>
      <c r="W81" s="100">
        <f>O81</f>
        <v>1169904</v>
      </c>
      <c r="X81" s="100">
        <f>P81</f>
        <v>1171856</v>
      </c>
      <c r="Y81" s="100">
        <f>Q81</f>
        <v>1173692</v>
      </c>
      <c r="Z81" s="100">
        <f>R81</f>
        <v>734368</v>
      </c>
      <c r="AA81" s="100">
        <f>S81</f>
        <v>736212</v>
      </c>
      <c r="AB81" s="100">
        <f>T81</f>
        <v>738733</v>
      </c>
      <c r="AC81" s="11"/>
      <c r="AD81" s="77">
        <f t="shared" si="53"/>
        <v>-0.36960428585082128</v>
      </c>
    </row>
    <row r="82" spans="1:30" ht="12.75" customHeight="1">
      <c r="B82" s="9" t="s">
        <v>135</v>
      </c>
      <c r="C82" s="84">
        <v>-72455</v>
      </c>
      <c r="D82" s="84">
        <v>-74124</v>
      </c>
      <c r="E82" s="84">
        <v>-75639</v>
      </c>
      <c r="F82" s="84">
        <v>-77998</v>
      </c>
      <c r="G82" s="84">
        <v>-80635</v>
      </c>
      <c r="H82" s="84">
        <v>-81285</v>
      </c>
      <c r="I82" s="32"/>
      <c r="J82" s="84">
        <v>-79671</v>
      </c>
      <c r="K82" s="84">
        <v>-79672</v>
      </c>
      <c r="L82" s="84">
        <v>-79706</v>
      </c>
      <c r="M82" s="32">
        <f>G82</f>
        <v>-80635</v>
      </c>
      <c r="N82" s="84">
        <v>-81271</v>
      </c>
      <c r="O82" s="84">
        <v>-81280</v>
      </c>
      <c r="P82" s="84">
        <v>-81284</v>
      </c>
      <c r="Q82" s="32">
        <f>H82</f>
        <v>-81285</v>
      </c>
      <c r="R82" s="84">
        <v>0</v>
      </c>
      <c r="S82" s="84">
        <v>0</v>
      </c>
      <c r="T82" s="84">
        <v>0</v>
      </c>
      <c r="V82" s="100">
        <f>N82</f>
        <v>-81271</v>
      </c>
      <c r="W82" s="100">
        <f>O82</f>
        <v>-81280</v>
      </c>
      <c r="X82" s="100">
        <f>P82</f>
        <v>-81284</v>
      </c>
      <c r="Y82" s="100">
        <f>Q82</f>
        <v>-81285</v>
      </c>
      <c r="Z82" s="100">
        <f>R82</f>
        <v>0</v>
      </c>
      <c r="AA82" s="100">
        <f>S82</f>
        <v>0</v>
      </c>
      <c r="AB82" s="100">
        <f>T82</f>
        <v>0</v>
      </c>
      <c r="AC82" s="11"/>
      <c r="AD82" s="77">
        <f t="shared" si="53"/>
        <v>-1</v>
      </c>
    </row>
    <row r="83" spans="1:30" ht="12.75" customHeight="1">
      <c r="B83" s="9" t="s">
        <v>92</v>
      </c>
      <c r="C83" s="84">
        <v>1955187</v>
      </c>
      <c r="D83" s="84">
        <v>1524878</v>
      </c>
      <c r="E83" s="84">
        <v>1058369</v>
      </c>
      <c r="F83" s="84">
        <v>504219</v>
      </c>
      <c r="G83" s="84">
        <v>56755</v>
      </c>
      <c r="H83" s="84">
        <v>-1172740</v>
      </c>
      <c r="I83" s="32"/>
      <c r="J83" s="84">
        <v>400308</v>
      </c>
      <c r="K83" s="84">
        <v>397959</v>
      </c>
      <c r="L83" s="84">
        <v>240407</v>
      </c>
      <c r="M83" s="32">
        <f>G83</f>
        <v>56755</v>
      </c>
      <c r="N83" s="84">
        <v>-85880</v>
      </c>
      <c r="O83" s="84">
        <v>-278807</v>
      </c>
      <c r="P83" s="84">
        <v>-587050</v>
      </c>
      <c r="Q83" s="32">
        <f>H83</f>
        <v>-1172740</v>
      </c>
      <c r="R83" s="84">
        <v>-10936</v>
      </c>
      <c r="S83" s="84">
        <v>-256767</v>
      </c>
      <c r="T83" s="84">
        <v>-574243</v>
      </c>
      <c r="V83" s="100">
        <f>N83</f>
        <v>-85880</v>
      </c>
      <c r="W83" s="100">
        <f>O83</f>
        <v>-278807</v>
      </c>
      <c r="X83" s="100">
        <f>P83</f>
        <v>-587050</v>
      </c>
      <c r="Y83" s="100">
        <f>Q83</f>
        <v>-1172740</v>
      </c>
      <c r="Z83" s="100">
        <f>R83</f>
        <v>-10936</v>
      </c>
      <c r="AA83" s="100">
        <f>S83</f>
        <v>-256767</v>
      </c>
      <c r="AB83" s="100">
        <f>T83</f>
        <v>-574243</v>
      </c>
      <c r="AC83" s="11"/>
      <c r="AD83" s="77">
        <f t="shared" si="53"/>
        <v>-2.1815858955795964E-2</v>
      </c>
    </row>
    <row r="84" spans="1:30" ht="12.75" customHeight="1">
      <c r="B84" s="9" t="s">
        <v>93</v>
      </c>
      <c r="C84" s="84">
        <v>-787</v>
      </c>
      <c r="D84" s="84">
        <v>-618</v>
      </c>
      <c r="E84" s="84">
        <v>-532</v>
      </c>
      <c r="F84" s="84">
        <v>-596</v>
      </c>
      <c r="G84" s="84">
        <v>-67</v>
      </c>
      <c r="H84" s="84">
        <v>188</v>
      </c>
      <c r="I84" s="32"/>
      <c r="J84" s="84">
        <v>-390</v>
      </c>
      <c r="K84" s="84">
        <v>-294</v>
      </c>
      <c r="L84" s="84">
        <v>-304</v>
      </c>
      <c r="M84" s="32">
        <f>G84</f>
        <v>-67</v>
      </c>
      <c r="N84" s="84">
        <v>-165</v>
      </c>
      <c r="O84" s="84">
        <v>-166</v>
      </c>
      <c r="P84" s="84">
        <v>216</v>
      </c>
      <c r="Q84" s="32">
        <f>H84</f>
        <v>188</v>
      </c>
      <c r="R84" s="84">
        <v>-21</v>
      </c>
      <c r="S84" s="84">
        <v>-2</v>
      </c>
      <c r="T84" s="84">
        <v>0</v>
      </c>
      <c r="V84" s="100">
        <f>N84</f>
        <v>-165</v>
      </c>
      <c r="W84" s="100">
        <f>O84</f>
        <v>-166</v>
      </c>
      <c r="X84" s="100">
        <f>P84</f>
        <v>216</v>
      </c>
      <c r="Y84" s="100">
        <f>Q84</f>
        <v>188</v>
      </c>
      <c r="Z84" s="100">
        <f>R84</f>
        <v>-21</v>
      </c>
      <c r="AA84" s="100">
        <f>S84</f>
        <v>-2</v>
      </c>
      <c r="AB84" s="100">
        <f>T84</f>
        <v>0</v>
      </c>
      <c r="AC84" s="11"/>
      <c r="AD84" s="77">
        <f t="shared" si="53"/>
        <v>-1</v>
      </c>
    </row>
    <row r="85" spans="1:30" ht="12.75" customHeight="1">
      <c r="B85" s="13" t="s">
        <v>16</v>
      </c>
      <c r="C85" s="14">
        <f t="shared" ref="C85:H85" si="54">SUM(C80:C84)</f>
        <v>2261332</v>
      </c>
      <c r="D85" s="14">
        <f t="shared" si="54"/>
        <v>2249695</v>
      </c>
      <c r="E85" s="14">
        <f t="shared" si="54"/>
        <v>2114035</v>
      </c>
      <c r="F85" s="14">
        <f t="shared" si="54"/>
        <v>1571651</v>
      </c>
      <c r="G85" s="14">
        <f t="shared" si="54"/>
        <v>1134342</v>
      </c>
      <c r="H85" s="14">
        <f t="shared" si="54"/>
        <v>-80134</v>
      </c>
      <c r="I85" s="53"/>
      <c r="J85" s="14">
        <f t="shared" ref="J85:T85" si="55">SUM(J80:J84)</f>
        <v>1469846</v>
      </c>
      <c r="K85" s="14">
        <f t="shared" si="55"/>
        <v>1471072</v>
      </c>
      <c r="L85" s="14">
        <f t="shared" si="55"/>
        <v>1316045</v>
      </c>
      <c r="M85" s="14">
        <f t="shared" si="55"/>
        <v>1134342</v>
      </c>
      <c r="N85" s="14">
        <f t="shared" si="55"/>
        <v>1002257</v>
      </c>
      <c r="O85" s="14">
        <f t="shared" si="55"/>
        <v>809662</v>
      </c>
      <c r="P85" s="14">
        <f t="shared" si="55"/>
        <v>503749</v>
      </c>
      <c r="Q85" s="14">
        <f t="shared" si="55"/>
        <v>-80134</v>
      </c>
      <c r="R85" s="14">
        <f t="shared" si="55"/>
        <v>723413</v>
      </c>
      <c r="S85" s="14">
        <f t="shared" si="55"/>
        <v>479445</v>
      </c>
      <c r="T85" s="14">
        <f t="shared" si="55"/>
        <v>164493</v>
      </c>
      <c r="V85" s="14">
        <f t="shared" ref="V85:AB85" si="56">SUM(V80:V84)</f>
        <v>1002257</v>
      </c>
      <c r="W85" s="14">
        <f t="shared" si="56"/>
        <v>809662</v>
      </c>
      <c r="X85" s="14">
        <f t="shared" si="56"/>
        <v>503749</v>
      </c>
      <c r="Y85" s="14">
        <f t="shared" si="56"/>
        <v>-80134</v>
      </c>
      <c r="Z85" s="14">
        <f t="shared" si="56"/>
        <v>723413</v>
      </c>
      <c r="AA85" s="14">
        <f t="shared" si="56"/>
        <v>479445</v>
      </c>
      <c r="AB85" s="14">
        <f t="shared" si="56"/>
        <v>164493</v>
      </c>
      <c r="AC85" s="42"/>
      <c r="AD85" s="77">
        <f t="shared" si="52"/>
        <v>-0.67346237908164586</v>
      </c>
    </row>
    <row r="86" spans="1:30" ht="12.75" customHeight="1">
      <c r="B86" s="25" t="s">
        <v>51</v>
      </c>
      <c r="C86" s="32">
        <f t="shared" ref="C86:H86" si="57">SUM(C85+C78)</f>
        <v>7043412</v>
      </c>
      <c r="D86" s="32">
        <f t="shared" si="57"/>
        <v>8398825</v>
      </c>
      <c r="E86" s="32">
        <f t="shared" si="57"/>
        <v>8540025</v>
      </c>
      <c r="F86" s="32">
        <f t="shared" si="57"/>
        <v>9184774</v>
      </c>
      <c r="G86" s="32">
        <f t="shared" si="57"/>
        <v>9417237</v>
      </c>
      <c r="H86" s="32">
        <f t="shared" si="57"/>
        <v>9595178</v>
      </c>
      <c r="I86" s="32"/>
      <c r="J86" s="32">
        <f t="shared" ref="J86:T86" si="58">SUM(J85+J78)</f>
        <v>9322317</v>
      </c>
      <c r="K86" s="32">
        <f t="shared" si="58"/>
        <v>9372127</v>
      </c>
      <c r="L86" s="32">
        <f t="shared" si="58"/>
        <v>9361550</v>
      </c>
      <c r="M86" s="32">
        <f t="shared" si="58"/>
        <v>9417237</v>
      </c>
      <c r="N86" s="32">
        <f t="shared" si="58"/>
        <v>9526495</v>
      </c>
      <c r="O86" s="32">
        <f t="shared" si="58"/>
        <v>9559456</v>
      </c>
      <c r="P86" s="32">
        <f t="shared" si="58"/>
        <v>9493049</v>
      </c>
      <c r="Q86" s="32">
        <f t="shared" si="58"/>
        <v>9595178</v>
      </c>
      <c r="R86" s="32">
        <f t="shared" si="58"/>
        <v>8910118</v>
      </c>
      <c r="S86" s="32">
        <f t="shared" si="58"/>
        <v>8576287</v>
      </c>
      <c r="T86" s="32">
        <f t="shared" si="58"/>
        <v>8795044</v>
      </c>
      <c r="U86" s="32"/>
      <c r="V86" s="32">
        <f t="shared" ref="V86:AB86" si="59">SUM(V85+V78)</f>
        <v>9526495</v>
      </c>
      <c r="W86" s="32">
        <f t="shared" si="59"/>
        <v>9559456</v>
      </c>
      <c r="X86" s="32">
        <f t="shared" si="59"/>
        <v>9493049</v>
      </c>
      <c r="Y86" s="32">
        <f t="shared" si="59"/>
        <v>9595178</v>
      </c>
      <c r="Z86" s="32">
        <f t="shared" si="59"/>
        <v>8910118</v>
      </c>
      <c r="AA86" s="32">
        <f t="shared" si="59"/>
        <v>8576287</v>
      </c>
      <c r="AB86" s="32">
        <f t="shared" si="59"/>
        <v>8795044</v>
      </c>
      <c r="AC86" s="11"/>
      <c r="AD86" s="78">
        <f t="shared" si="52"/>
        <v>-7.3528009810125305E-2</v>
      </c>
    </row>
    <row r="87" spans="1:30" ht="5.0999999999999996" customHeight="1">
      <c r="B87" s="25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11"/>
    </row>
    <row r="88" spans="1:30" ht="12.75" customHeight="1">
      <c r="B88" s="148" t="s">
        <v>61</v>
      </c>
      <c r="C88" s="71">
        <f t="shared" ref="C88:H88" si="60">C86-C62</f>
        <v>0</v>
      </c>
      <c r="D88" s="71">
        <f t="shared" si="60"/>
        <v>0</v>
      </c>
      <c r="E88" s="71">
        <f t="shared" si="60"/>
        <v>0</v>
      </c>
      <c r="F88" s="71">
        <f t="shared" si="60"/>
        <v>0</v>
      </c>
      <c r="G88" s="71">
        <f t="shared" si="60"/>
        <v>0</v>
      </c>
      <c r="H88" s="71">
        <f t="shared" si="60"/>
        <v>0</v>
      </c>
      <c r="I88" s="72"/>
      <c r="J88" s="71">
        <f t="shared" ref="J88:T88" si="61">J86-J62</f>
        <v>0</v>
      </c>
      <c r="K88" s="71">
        <f t="shared" si="61"/>
        <v>0</v>
      </c>
      <c r="L88" s="71">
        <f t="shared" si="61"/>
        <v>0</v>
      </c>
      <c r="M88" s="71">
        <f t="shared" si="61"/>
        <v>0</v>
      </c>
      <c r="N88" s="71">
        <f t="shared" si="61"/>
        <v>0</v>
      </c>
      <c r="O88" s="71">
        <f t="shared" si="61"/>
        <v>0</v>
      </c>
      <c r="P88" s="71">
        <f t="shared" si="61"/>
        <v>0</v>
      </c>
      <c r="Q88" s="71">
        <f t="shared" si="61"/>
        <v>0</v>
      </c>
      <c r="R88" s="71">
        <f t="shared" si="61"/>
        <v>0</v>
      </c>
      <c r="S88" s="71">
        <f t="shared" si="61"/>
        <v>0</v>
      </c>
      <c r="T88" s="71">
        <f t="shared" si="61"/>
        <v>0</v>
      </c>
      <c r="U88" s="28"/>
      <c r="V88" s="71">
        <f t="shared" ref="V88:AB88" si="62">V86-V62</f>
        <v>0</v>
      </c>
      <c r="W88" s="71">
        <f t="shared" si="62"/>
        <v>0</v>
      </c>
      <c r="X88" s="71">
        <f t="shared" si="62"/>
        <v>0</v>
      </c>
      <c r="Y88" s="71">
        <f t="shared" si="62"/>
        <v>0</v>
      </c>
      <c r="Z88" s="71">
        <f t="shared" si="62"/>
        <v>0</v>
      </c>
      <c r="AA88" s="71">
        <f t="shared" si="62"/>
        <v>0</v>
      </c>
      <c r="AB88" s="71">
        <f t="shared" si="62"/>
        <v>0</v>
      </c>
    </row>
    <row r="89" spans="1:30" ht="5.0999999999999996" customHeight="1" thickBot="1">
      <c r="B89" s="119"/>
      <c r="C89" s="120"/>
      <c r="D89" s="120"/>
      <c r="E89" s="120"/>
      <c r="F89" s="120"/>
      <c r="G89" s="120"/>
      <c r="H89" s="120"/>
      <c r="I89" s="121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2"/>
      <c r="V89" s="120"/>
      <c r="W89" s="120"/>
      <c r="X89" s="120"/>
      <c r="Y89" s="120"/>
      <c r="Z89" s="120"/>
      <c r="AA89" s="120"/>
      <c r="AB89" s="120"/>
      <c r="AC89" s="75"/>
      <c r="AD89" s="75"/>
    </row>
    <row r="90" spans="1:30">
      <c r="B90" s="69"/>
      <c r="C90" s="70"/>
      <c r="D90" s="70"/>
      <c r="E90" s="54"/>
      <c r="F90" s="24"/>
      <c r="G90" s="24"/>
      <c r="H90" s="24"/>
      <c r="I90" s="54"/>
    </row>
    <row r="91" spans="1:30" ht="12.75" customHeight="1">
      <c r="A91" s="5" t="s">
        <v>18</v>
      </c>
      <c r="B91" s="101" t="s">
        <v>15</v>
      </c>
      <c r="C91" s="105"/>
      <c r="D91" s="105"/>
      <c r="E91" s="105"/>
      <c r="F91" s="105"/>
      <c r="G91" s="105"/>
      <c r="H91" s="105"/>
      <c r="I91" s="106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1"/>
      <c r="V91" s="105"/>
      <c r="W91" s="105" t="s">
        <v>10</v>
      </c>
      <c r="X91" s="105"/>
      <c r="Y91" s="105"/>
      <c r="Z91" s="105"/>
      <c r="AA91" s="105"/>
      <c r="AB91" s="105"/>
      <c r="AC91" s="106"/>
      <c r="AD91" s="160" t="s">
        <v>24</v>
      </c>
    </row>
    <row r="92" spans="1:30" ht="12.75" customHeight="1">
      <c r="B92" s="102" t="str">
        <f t="shared" ref="B92:H93" si="63">B7</f>
        <v>Fiscal Period</v>
      </c>
      <c r="C92" s="107">
        <f t="shared" si="63"/>
        <v>2019</v>
      </c>
      <c r="D92" s="107">
        <f t="shared" si="63"/>
        <v>2020</v>
      </c>
      <c r="E92" s="107">
        <f t="shared" si="63"/>
        <v>2021</v>
      </c>
      <c r="F92" s="107">
        <f t="shared" si="63"/>
        <v>2022</v>
      </c>
      <c r="G92" s="107">
        <f t="shared" si="63"/>
        <v>2023</v>
      </c>
      <c r="H92" s="107">
        <f t="shared" si="63"/>
        <v>2024</v>
      </c>
      <c r="I92" s="106"/>
      <c r="J92" s="107" t="str">
        <f t="shared" ref="J92:T92" si="64">J7</f>
        <v>1Q23</v>
      </c>
      <c r="K92" s="107" t="str">
        <f t="shared" si="64"/>
        <v>2Q23</v>
      </c>
      <c r="L92" s="107" t="str">
        <f t="shared" si="64"/>
        <v>3Q23</v>
      </c>
      <c r="M92" s="107" t="str">
        <f t="shared" si="64"/>
        <v>4Q23</v>
      </c>
      <c r="N92" s="107" t="str">
        <f t="shared" si="64"/>
        <v>1Q24</v>
      </c>
      <c r="O92" s="107" t="str">
        <f t="shared" si="64"/>
        <v>2Q24</v>
      </c>
      <c r="P92" s="107" t="str">
        <f t="shared" si="64"/>
        <v>3Q24</v>
      </c>
      <c r="Q92" s="107" t="str">
        <f t="shared" si="64"/>
        <v>4Q24</v>
      </c>
      <c r="R92" s="107" t="str">
        <f t="shared" si="64"/>
        <v>1Q25</v>
      </c>
      <c r="S92" s="107" t="str">
        <f t="shared" si="64"/>
        <v>2Q25</v>
      </c>
      <c r="T92" s="107" t="str">
        <f t="shared" si="64"/>
        <v>3Q25</v>
      </c>
      <c r="U92" s="107"/>
      <c r="V92" s="107" t="str">
        <f t="shared" ref="V92:AB92" si="65">V7</f>
        <v>1Q24</v>
      </c>
      <c r="W92" s="107" t="str">
        <f t="shared" si="65"/>
        <v>2Q24</v>
      </c>
      <c r="X92" s="107" t="str">
        <f t="shared" si="65"/>
        <v>3Q24</v>
      </c>
      <c r="Y92" s="107" t="str">
        <f t="shared" si="65"/>
        <v>4Q24</v>
      </c>
      <c r="Z92" s="107" t="str">
        <f t="shared" si="65"/>
        <v>1Q25</v>
      </c>
      <c r="AA92" s="107" t="str">
        <f t="shared" si="65"/>
        <v>2Q25</v>
      </c>
      <c r="AB92" s="107" t="str">
        <f t="shared" si="65"/>
        <v>3Q25</v>
      </c>
      <c r="AC92" s="106"/>
      <c r="AD92" s="160"/>
    </row>
    <row r="93" spans="1:30" ht="12.75" customHeight="1">
      <c r="B93" s="102" t="str">
        <f t="shared" si="63"/>
        <v>Fiscal Period End Date</v>
      </c>
      <c r="C93" s="108">
        <f t="shared" si="63"/>
        <v>43830</v>
      </c>
      <c r="D93" s="108">
        <f t="shared" si="63"/>
        <v>44196</v>
      </c>
      <c r="E93" s="108">
        <f t="shared" si="63"/>
        <v>44561</v>
      </c>
      <c r="F93" s="108">
        <f t="shared" si="63"/>
        <v>44926</v>
      </c>
      <c r="G93" s="108">
        <f t="shared" si="63"/>
        <v>45291</v>
      </c>
      <c r="H93" s="108">
        <f t="shared" si="63"/>
        <v>45657</v>
      </c>
      <c r="I93" s="106"/>
      <c r="J93" s="108">
        <f t="shared" ref="J93:T93" si="66">J8</f>
        <v>45016</v>
      </c>
      <c r="K93" s="108">
        <f t="shared" si="66"/>
        <v>45107</v>
      </c>
      <c r="L93" s="108">
        <f t="shared" si="66"/>
        <v>45199</v>
      </c>
      <c r="M93" s="108">
        <f t="shared" si="66"/>
        <v>45291</v>
      </c>
      <c r="N93" s="108">
        <f t="shared" si="66"/>
        <v>45382</v>
      </c>
      <c r="O93" s="108">
        <f t="shared" si="66"/>
        <v>45473</v>
      </c>
      <c r="P93" s="108">
        <f t="shared" si="66"/>
        <v>45565</v>
      </c>
      <c r="Q93" s="108">
        <f t="shared" si="66"/>
        <v>45657</v>
      </c>
      <c r="R93" s="108">
        <f t="shared" si="66"/>
        <v>45747</v>
      </c>
      <c r="S93" s="108">
        <f t="shared" si="66"/>
        <v>45838</v>
      </c>
      <c r="T93" s="108">
        <f t="shared" si="66"/>
        <v>45930</v>
      </c>
      <c r="U93" s="108"/>
      <c r="V93" s="108">
        <f t="shared" ref="V93:AB93" si="67">V8</f>
        <v>45382</v>
      </c>
      <c r="W93" s="108">
        <f t="shared" si="67"/>
        <v>45473</v>
      </c>
      <c r="X93" s="108">
        <f t="shared" si="67"/>
        <v>45565</v>
      </c>
      <c r="Y93" s="108">
        <f t="shared" si="67"/>
        <v>45657</v>
      </c>
      <c r="Z93" s="108">
        <f t="shared" si="67"/>
        <v>45747</v>
      </c>
      <c r="AA93" s="108">
        <f t="shared" si="67"/>
        <v>45838</v>
      </c>
      <c r="AB93" s="108">
        <f t="shared" si="67"/>
        <v>45930</v>
      </c>
      <c r="AC93" s="106"/>
      <c r="AD93" s="160"/>
    </row>
    <row r="94" spans="1:30" ht="5.0999999999999996" customHeight="1">
      <c r="B94" s="55"/>
      <c r="C94" s="48"/>
      <c r="D94" s="48"/>
      <c r="E94" s="48"/>
      <c r="F94" s="48"/>
      <c r="G94" s="48"/>
      <c r="H94" s="48"/>
    </row>
    <row r="95" spans="1:30" ht="12.75" customHeight="1">
      <c r="B95" s="56" t="s">
        <v>52</v>
      </c>
      <c r="C95" s="57"/>
      <c r="D95" s="57"/>
      <c r="E95" s="57"/>
      <c r="F95" s="57"/>
      <c r="G95" s="57"/>
      <c r="H95" s="57"/>
    </row>
    <row r="96" spans="1:30" ht="12.75" customHeight="1">
      <c r="B96" s="58" t="s">
        <v>53</v>
      </c>
      <c r="C96" s="32">
        <f t="shared" ref="C96:H96" si="68">C35</f>
        <v>335255</v>
      </c>
      <c r="D96" s="32">
        <f t="shared" si="68"/>
        <v>-428700</v>
      </c>
      <c r="E96" s="32">
        <f t="shared" si="68"/>
        <v>-472569</v>
      </c>
      <c r="F96" s="32">
        <f t="shared" si="68"/>
        <v>-554150</v>
      </c>
      <c r="G96" s="32">
        <f t="shared" si="68"/>
        <v>-447464</v>
      </c>
      <c r="H96" s="32">
        <f t="shared" si="68"/>
        <v>-1229495</v>
      </c>
      <c r="I96" s="32"/>
      <c r="J96" s="32">
        <f t="shared" ref="J96:T96" si="69">J35</f>
        <v>-103911</v>
      </c>
      <c r="K96" s="32">
        <f t="shared" si="69"/>
        <v>-2349</v>
      </c>
      <c r="L96" s="32">
        <f t="shared" si="69"/>
        <v>-157552</v>
      </c>
      <c r="M96" s="32">
        <f t="shared" si="69"/>
        <v>-183652</v>
      </c>
      <c r="N96" s="32">
        <f t="shared" si="69"/>
        <v>-142635</v>
      </c>
      <c r="O96" s="32">
        <f t="shared" si="69"/>
        <v>-192927</v>
      </c>
      <c r="P96" s="32">
        <f t="shared" si="69"/>
        <v>-308243</v>
      </c>
      <c r="Q96" s="32">
        <f t="shared" si="69"/>
        <v>-585690</v>
      </c>
      <c r="R96" s="32">
        <f t="shared" si="69"/>
        <v>61280</v>
      </c>
      <c r="S96" s="32">
        <f t="shared" si="69"/>
        <v>-245831</v>
      </c>
      <c r="T96" s="32">
        <f t="shared" si="69"/>
        <v>-317476</v>
      </c>
      <c r="V96" s="32">
        <f>SUM(K96:N96)</f>
        <v>-486188</v>
      </c>
      <c r="W96" s="32">
        <f>SUM(L96:O96)</f>
        <v>-676766</v>
      </c>
      <c r="X96" s="32">
        <f>SUM(M96:P96)</f>
        <v>-827457</v>
      </c>
      <c r="Y96" s="32">
        <f>SUM(N96:Q96)</f>
        <v>-1229495</v>
      </c>
      <c r="Z96" s="32">
        <f>SUM(O96:R96)</f>
        <v>-1025580</v>
      </c>
      <c r="AA96" s="32">
        <f>SUM(P96:S96)</f>
        <v>-1078484</v>
      </c>
      <c r="AB96" s="32">
        <f>SUM(Q96:T96)</f>
        <v>-1087717</v>
      </c>
      <c r="AC96" s="11"/>
      <c r="AD96" s="77">
        <f t="shared" ref="AD96:AD107" si="70">SUM(AB96/X96)-1</f>
        <v>0.31452993932010975</v>
      </c>
    </row>
    <row r="97" spans="2:30" ht="5.0999999999999996" customHeight="1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V97" s="32"/>
      <c r="W97" s="32"/>
      <c r="X97" s="32"/>
      <c r="Y97" s="32"/>
      <c r="Z97" s="32"/>
      <c r="AA97" s="32"/>
      <c r="AB97" s="32"/>
      <c r="AC97" s="11"/>
      <c r="AD97" s="77"/>
    </row>
    <row r="98" spans="2:30" ht="12.75" customHeight="1">
      <c r="B98" s="36" t="s">
        <v>60</v>
      </c>
      <c r="C98" s="32"/>
      <c r="D98" s="32"/>
      <c r="E98" s="32"/>
      <c r="F98" s="32"/>
      <c r="G98" s="32"/>
      <c r="H98" s="32"/>
      <c r="I98" s="32"/>
      <c r="J98" s="84"/>
      <c r="K98" s="84"/>
      <c r="L98" s="84"/>
      <c r="M98" s="32"/>
      <c r="N98" s="84"/>
      <c r="O98" s="84"/>
      <c r="P98" s="84"/>
      <c r="Q98" s="32"/>
      <c r="R98" s="84"/>
      <c r="S98" s="84"/>
      <c r="T98" s="84"/>
      <c r="V98" s="32"/>
      <c r="W98" s="32"/>
      <c r="X98" s="32"/>
      <c r="Y98" s="32"/>
      <c r="Z98" s="32"/>
      <c r="AA98" s="32"/>
      <c r="AB98" s="32"/>
      <c r="AC98" s="60"/>
      <c r="AD98" s="77" t="e">
        <f t="shared" si="70"/>
        <v>#DIV/0!</v>
      </c>
    </row>
    <row r="99" spans="2:30" ht="12.75" customHeight="1">
      <c r="B99" s="61" t="s">
        <v>159</v>
      </c>
      <c r="C99" s="84">
        <v>225264</v>
      </c>
      <c r="D99" s="84">
        <v>278588</v>
      </c>
      <c r="E99" s="84">
        <v>297211</v>
      </c>
      <c r="F99" s="84">
        <v>313090</v>
      </c>
      <c r="G99" s="84">
        <v>320872</v>
      </c>
      <c r="H99" s="84">
        <v>325273</v>
      </c>
      <c r="I99" s="32"/>
      <c r="J99" s="84">
        <v>77991</v>
      </c>
      <c r="K99" s="84">
        <f>158533-J99</f>
        <v>80542</v>
      </c>
      <c r="L99" s="84">
        <f>241335-K99-J99</f>
        <v>82802</v>
      </c>
      <c r="M99" s="32">
        <f t="shared" ref="M99:M106" si="71">SUM(G99-SUM(J99:L99))</f>
        <v>79537</v>
      </c>
      <c r="N99" s="84">
        <v>81346</v>
      </c>
      <c r="O99" s="84">
        <f>165832-N99</f>
        <v>84486</v>
      </c>
      <c r="P99" s="84">
        <f>249860-O99-N99</f>
        <v>84028</v>
      </c>
      <c r="Q99" s="32">
        <f t="shared" ref="Q99:Q106" si="72">SUM(H99-SUM(N99:P99))</f>
        <v>75413</v>
      </c>
      <c r="R99" s="84">
        <f>54853+11597</f>
        <v>66450</v>
      </c>
      <c r="S99" s="84">
        <f>74483+54853-R99</f>
        <v>62886</v>
      </c>
      <c r="T99" s="84">
        <f>54853+132515-S99-R99</f>
        <v>58032</v>
      </c>
      <c r="V99" s="32">
        <f>SUM(K99:N99)</f>
        <v>324227</v>
      </c>
      <c r="W99" s="32">
        <f>SUM(L99:O99)</f>
        <v>328171</v>
      </c>
      <c r="X99" s="32">
        <f>SUM(M99:P99)</f>
        <v>329397</v>
      </c>
      <c r="Y99" s="32">
        <f>SUM(N99:Q99)</f>
        <v>325273</v>
      </c>
      <c r="Z99" s="32">
        <f>SUM(O99:R99)</f>
        <v>310377</v>
      </c>
      <c r="AA99" s="32">
        <f>SUM(P99:S99)</f>
        <v>288777</v>
      </c>
      <c r="AB99" s="32">
        <f>SUM(Q99:T99)</f>
        <v>262781</v>
      </c>
      <c r="AC99" s="11"/>
      <c r="AD99" s="77">
        <f t="shared" si="70"/>
        <v>-0.20223620737286618</v>
      </c>
    </row>
    <row r="100" spans="2:30" ht="12.75" customHeight="1">
      <c r="B100" s="61" t="s">
        <v>160</v>
      </c>
      <c r="C100" s="84">
        <v>8154</v>
      </c>
      <c r="D100" s="84">
        <v>11575</v>
      </c>
      <c r="E100" s="84">
        <v>12536</v>
      </c>
      <c r="F100" s="84">
        <v>11483</v>
      </c>
      <c r="G100" s="84">
        <v>11963</v>
      </c>
      <c r="H100" s="84">
        <v>7210</v>
      </c>
      <c r="I100" s="32"/>
      <c r="J100" s="84">
        <v>3273</v>
      </c>
      <c r="K100" s="84">
        <f>6753-J100</f>
        <v>3480</v>
      </c>
      <c r="L100" s="84">
        <f>9322-K100-J100</f>
        <v>2569</v>
      </c>
      <c r="M100" s="32">
        <f t="shared" si="71"/>
        <v>2641</v>
      </c>
      <c r="N100" s="84">
        <v>3080</v>
      </c>
      <c r="O100" s="84">
        <f>3422-N100</f>
        <v>342</v>
      </c>
      <c r="P100" s="84">
        <f>5374-O100-N100</f>
        <v>1952</v>
      </c>
      <c r="Q100" s="32">
        <f t="shared" si="72"/>
        <v>1836</v>
      </c>
      <c r="R100" s="84">
        <v>1233</v>
      </c>
      <c r="S100" s="84">
        <f>1233+1844-R100</f>
        <v>1844</v>
      </c>
      <c r="T100" s="84">
        <f>4366+1233-S100-R100</f>
        <v>2522</v>
      </c>
      <c r="V100" s="32">
        <f>SUM(K100:N100)</f>
        <v>11770</v>
      </c>
      <c r="W100" s="32">
        <f>SUM(L100:O100)</f>
        <v>8632</v>
      </c>
      <c r="X100" s="32">
        <f>SUM(M100:P100)</f>
        <v>8015</v>
      </c>
      <c r="Y100" s="32">
        <f>SUM(N100:Q100)</f>
        <v>7210</v>
      </c>
      <c r="Z100" s="32">
        <f>SUM(O100:R100)</f>
        <v>5363</v>
      </c>
      <c r="AA100" s="32">
        <f>SUM(P100:S100)</f>
        <v>6865</v>
      </c>
      <c r="AB100" s="32">
        <f>SUM(Q100:T100)</f>
        <v>7435</v>
      </c>
      <c r="AC100" s="11"/>
      <c r="AD100" s="77">
        <f t="shared" si="70"/>
        <v>-7.2364316905801584E-2</v>
      </c>
    </row>
    <row r="101" spans="2:30" ht="12.75" customHeight="1">
      <c r="B101" s="61" t="s">
        <v>165</v>
      </c>
      <c r="C101" s="84">
        <v>17350</v>
      </c>
      <c r="D101" s="84">
        <v>2264</v>
      </c>
      <c r="E101" s="84">
        <v>3320</v>
      </c>
      <c r="F101" s="84">
        <v>46624</v>
      </c>
      <c r="G101" s="84">
        <v>33966</v>
      </c>
      <c r="H101" s="84">
        <v>273871</v>
      </c>
      <c r="I101" s="32"/>
      <c r="J101" s="84">
        <v>7100</v>
      </c>
      <c r="K101" s="84">
        <f>7902-J101</f>
        <v>802</v>
      </c>
      <c r="L101" s="84">
        <f>5652-K101-J101</f>
        <v>-2250</v>
      </c>
      <c r="M101" s="32">
        <f t="shared" si="71"/>
        <v>28314</v>
      </c>
      <c r="N101" s="84">
        <v>-3029</v>
      </c>
      <c r="O101" s="84">
        <f>-17076-N101</f>
        <v>-14047</v>
      </c>
      <c r="P101" s="84">
        <f>-13885-O101-N101</f>
        <v>3191</v>
      </c>
      <c r="Q101" s="32">
        <f t="shared" si="72"/>
        <v>287756</v>
      </c>
      <c r="R101" s="84">
        <f>11655-19</f>
        <v>11636</v>
      </c>
      <c r="S101" s="84">
        <f>11655-328-R101</f>
        <v>-309</v>
      </c>
      <c r="T101" s="84">
        <f>11655-114041-S101-R101</f>
        <v>-113713</v>
      </c>
      <c r="V101" s="32">
        <f>SUM(K101:N101)</f>
        <v>23837</v>
      </c>
      <c r="W101" s="32">
        <f>SUM(L101:O101)</f>
        <v>8988</v>
      </c>
      <c r="X101" s="32">
        <f>SUM(M101:P101)</f>
        <v>14429</v>
      </c>
      <c r="Y101" s="32">
        <f>SUM(N101:Q101)</f>
        <v>273871</v>
      </c>
      <c r="Z101" s="32">
        <f>SUM(O101:R101)</f>
        <v>288536</v>
      </c>
      <c r="AA101" s="32">
        <f>SUM(P101:S101)</f>
        <v>302274</v>
      </c>
      <c r="AB101" s="32">
        <f>SUM(Q101:T101)</f>
        <v>185370</v>
      </c>
      <c r="AC101" s="11"/>
      <c r="AD101" s="77">
        <f>SUM(AB101/X101)-1</f>
        <v>11.847044147203549</v>
      </c>
    </row>
    <row r="102" spans="2:30" ht="12.75" customHeight="1">
      <c r="B102" s="61" t="s">
        <v>144</v>
      </c>
      <c r="C102" s="84">
        <v>115689</v>
      </c>
      <c r="D102" s="84">
        <v>-46086</v>
      </c>
      <c r="E102" s="84">
        <v>-49502</v>
      </c>
      <c r="F102" s="84">
        <v>-148611</v>
      </c>
      <c r="G102" s="84">
        <v>-119239</v>
      </c>
      <c r="H102" s="84">
        <v>-58215</v>
      </c>
      <c r="I102" s="32"/>
      <c r="J102" s="84">
        <v>-37851</v>
      </c>
      <c r="K102" s="84">
        <f>-20998-J102</f>
        <v>16853</v>
      </c>
      <c r="L102" s="84">
        <f>-66877-K102-J102</f>
        <v>-45879</v>
      </c>
      <c r="M102" s="32">
        <f t="shared" si="71"/>
        <v>-52362</v>
      </c>
      <c r="N102" s="84">
        <v>-15005</v>
      </c>
      <c r="O102" s="84">
        <f>-11345-N102</f>
        <v>3660</v>
      </c>
      <c r="P102" s="84">
        <f>-36208-O102-N102</f>
        <v>-24863</v>
      </c>
      <c r="Q102" s="32">
        <f t="shared" si="72"/>
        <v>-22007</v>
      </c>
      <c r="R102" s="84">
        <f>17481-103</f>
        <v>17378</v>
      </c>
      <c r="S102" s="84">
        <f>17481-4651-R102</f>
        <v>-4548</v>
      </c>
      <c r="T102" s="84">
        <f>17481-3420-S102-R102</f>
        <v>1231</v>
      </c>
      <c r="V102" s="32">
        <f>SUM(K102:N102)</f>
        <v>-96393</v>
      </c>
      <c r="W102" s="32">
        <f>SUM(L102:O102)</f>
        <v>-109586</v>
      </c>
      <c r="X102" s="32">
        <f>SUM(M102:P102)</f>
        <v>-88570</v>
      </c>
      <c r="Y102" s="32">
        <f>SUM(N102:Q102)</f>
        <v>-58215</v>
      </c>
      <c r="Z102" s="32">
        <f>SUM(O102:R102)</f>
        <v>-25832</v>
      </c>
      <c r="AA102" s="32">
        <f>SUM(P102:S102)</f>
        <v>-34040</v>
      </c>
      <c r="AB102" s="32">
        <f>SUM(Q102:T102)</f>
        <v>-7946</v>
      </c>
      <c r="AC102" s="11"/>
      <c r="AD102" s="77">
        <f t="shared" si="70"/>
        <v>-0.91028564976854465</v>
      </c>
    </row>
    <row r="103" spans="2:30" ht="12.75" customHeight="1">
      <c r="B103" s="61" t="s">
        <v>141</v>
      </c>
      <c r="C103" s="84">
        <v>8654</v>
      </c>
      <c r="D103" s="84">
        <v>10752</v>
      </c>
      <c r="E103" s="84">
        <v>12912</v>
      </c>
      <c r="F103" s="84">
        <v>13468</v>
      </c>
      <c r="G103" s="84">
        <v>15454</v>
      </c>
      <c r="H103" s="84">
        <v>13100</v>
      </c>
      <c r="I103" s="32"/>
      <c r="J103" s="84">
        <v>3981</v>
      </c>
      <c r="K103" s="84">
        <f>7829-J103</f>
        <v>3848</v>
      </c>
      <c r="L103" s="84">
        <f>11675-K103-J103</f>
        <v>3846</v>
      </c>
      <c r="M103" s="32">
        <f t="shared" si="71"/>
        <v>3779</v>
      </c>
      <c r="N103" s="84">
        <v>3582</v>
      </c>
      <c r="O103" s="84">
        <f>7069-N103</f>
        <v>3487</v>
      </c>
      <c r="P103" s="84">
        <f>10625-O103-N103</f>
        <v>3556</v>
      </c>
      <c r="Q103" s="32">
        <f t="shared" si="72"/>
        <v>2475</v>
      </c>
      <c r="R103" s="84">
        <f>1003+233</f>
        <v>1236</v>
      </c>
      <c r="S103" s="84">
        <f>1003+1349-R103</f>
        <v>1116</v>
      </c>
      <c r="T103" s="84">
        <f>1003+2296-S103-R103</f>
        <v>947</v>
      </c>
      <c r="V103" s="32">
        <f>SUM(K103:N103)</f>
        <v>15055</v>
      </c>
      <c r="W103" s="32">
        <f>SUM(L103:O103)</f>
        <v>14694</v>
      </c>
      <c r="X103" s="32">
        <f>SUM(M103:P103)</f>
        <v>14404</v>
      </c>
      <c r="Y103" s="32">
        <f>SUM(N103:Q103)</f>
        <v>13100</v>
      </c>
      <c r="Z103" s="32">
        <f>SUM(O103:R103)</f>
        <v>10754</v>
      </c>
      <c r="AA103" s="32">
        <f>SUM(P103:S103)</f>
        <v>8383</v>
      </c>
      <c r="AB103" s="32">
        <f>SUM(Q103:T103)</f>
        <v>5774</v>
      </c>
      <c r="AC103" s="11"/>
      <c r="AD103" s="77">
        <f t="shared" si="70"/>
        <v>-0.59913912801999447</v>
      </c>
    </row>
    <row r="104" spans="2:30" ht="12.75" customHeight="1">
      <c r="B104" s="61" t="s">
        <v>142</v>
      </c>
      <c r="C104" s="84">
        <v>0</v>
      </c>
      <c r="D104" s="84">
        <v>10138</v>
      </c>
      <c r="E104" s="84">
        <v>1272</v>
      </c>
      <c r="F104" s="84">
        <v>1421</v>
      </c>
      <c r="G104" s="84">
        <v>4210</v>
      </c>
      <c r="H104" s="84">
        <v>3821</v>
      </c>
      <c r="I104" s="32"/>
      <c r="J104" s="84">
        <v>1052</v>
      </c>
      <c r="K104" s="84">
        <f>2105-J104</f>
        <v>1053</v>
      </c>
      <c r="L104" s="84">
        <f>3157-K104-J104</f>
        <v>1052</v>
      </c>
      <c r="M104" s="32">
        <f t="shared" si="71"/>
        <v>1053</v>
      </c>
      <c r="N104" s="84">
        <v>1052</v>
      </c>
      <c r="O104" s="84">
        <f>2105-N104</f>
        <v>1053</v>
      </c>
      <c r="P104" s="84">
        <f>3157-O104-N104</f>
        <v>1052</v>
      </c>
      <c r="Q104" s="32">
        <f t="shared" si="72"/>
        <v>664</v>
      </c>
      <c r="R104" s="84">
        <v>0</v>
      </c>
      <c r="S104" s="84">
        <v>0</v>
      </c>
      <c r="T104" s="84">
        <v>0</v>
      </c>
      <c r="V104" s="32">
        <f>SUM(K104:N104)</f>
        <v>4210</v>
      </c>
      <c r="W104" s="32">
        <f>SUM(L104:O104)</f>
        <v>4210</v>
      </c>
      <c r="X104" s="32">
        <f>SUM(M104:P104)</f>
        <v>4210</v>
      </c>
      <c r="Y104" s="32">
        <f>SUM(N104:Q104)</f>
        <v>3821</v>
      </c>
      <c r="Z104" s="32">
        <f>SUM(O104:R104)</f>
        <v>2769</v>
      </c>
      <c r="AA104" s="32">
        <f>SUM(P104:S104)</f>
        <v>1716</v>
      </c>
      <c r="AB104" s="32">
        <f>SUM(Q104:T104)</f>
        <v>664</v>
      </c>
      <c r="AC104" s="11"/>
      <c r="AD104" s="77">
        <f t="shared" si="70"/>
        <v>-0.84228028503562946</v>
      </c>
    </row>
    <row r="105" spans="2:30" ht="12.75" customHeight="1">
      <c r="B105" s="61" t="s">
        <v>161</v>
      </c>
      <c r="C105" s="84">
        <f>315-822</f>
        <v>-507</v>
      </c>
      <c r="D105" s="84">
        <f>-249+252+118</f>
        <v>121</v>
      </c>
      <c r="E105" s="84">
        <f>-88+226+731+331630</f>
        <v>332499</v>
      </c>
      <c r="F105" s="84">
        <f>-108+199+68+333691</f>
        <v>333850</v>
      </c>
      <c r="G105" s="84">
        <f>159+314-762</f>
        <v>-289</v>
      </c>
      <c r="H105" s="84">
        <f>822+103-3082</f>
        <v>-2157</v>
      </c>
      <c r="I105" s="32"/>
      <c r="J105" s="84">
        <f>45+6 -435</f>
        <v>-384</v>
      </c>
      <c r="K105" s="84">
        <f>88+6-1028-J105</f>
        <v>-550</v>
      </c>
      <c r="L105" s="84">
        <f>-1890+159+129 -K105-J105</f>
        <v>-668</v>
      </c>
      <c r="M105" s="32">
        <f t="shared" si="71"/>
        <v>1313</v>
      </c>
      <c r="N105" s="84">
        <f>19+1051+51</f>
        <v>1121</v>
      </c>
      <c r="O105" s="84">
        <f>38+823-1112-N105</f>
        <v>-1372</v>
      </c>
      <c r="P105" s="84">
        <f>55+822-2203-O105-N105</f>
        <v>-1075</v>
      </c>
      <c r="Q105" s="32">
        <f t="shared" si="72"/>
        <v>-831</v>
      </c>
      <c r="R105" s="84">
        <f>-767-206+160+34 -2</f>
        <v>-781</v>
      </c>
      <c r="S105" s="84">
        <f>34-2+215+11568-767-897-R105</f>
        <v>10932</v>
      </c>
      <c r="T105" s="162">
        <f>-767-897+19421-547+34-S105-R105</f>
        <v>7093</v>
      </c>
      <c r="V105" s="32">
        <f>SUM(K105:N105)</f>
        <v>1216</v>
      </c>
      <c r="W105" s="32">
        <f>SUM(L105:O105)</f>
        <v>394</v>
      </c>
      <c r="X105" s="32">
        <f>SUM(M105:P105)</f>
        <v>-13</v>
      </c>
      <c r="Y105" s="32">
        <f>SUM(N105:Q105)</f>
        <v>-2157</v>
      </c>
      <c r="Z105" s="32">
        <f>SUM(O105:R105)</f>
        <v>-4059</v>
      </c>
      <c r="AA105" s="32">
        <f>SUM(P105:S105)</f>
        <v>8245</v>
      </c>
      <c r="AB105" s="32">
        <f>SUM(Q105:T105)</f>
        <v>16413</v>
      </c>
      <c r="AC105" s="11"/>
      <c r="AD105" s="77">
        <f t="shared" si="70"/>
        <v>-1263.5384615384614</v>
      </c>
    </row>
    <row r="106" spans="2:30" ht="12.75" customHeight="1">
      <c r="B106" s="61" t="s">
        <v>143</v>
      </c>
      <c r="C106" s="84">
        <v>0</v>
      </c>
      <c r="D106" s="84">
        <v>0</v>
      </c>
      <c r="E106" s="84">
        <v>0</v>
      </c>
      <c r="F106" s="84">
        <v>13962</v>
      </c>
      <c r="G106" s="84">
        <v>8145</v>
      </c>
      <c r="H106" s="84">
        <v>10156</v>
      </c>
      <c r="I106" s="32"/>
      <c r="J106" s="84">
        <v>3808</v>
      </c>
      <c r="K106" s="84">
        <f>2378-J106</f>
        <v>-1430</v>
      </c>
      <c r="L106" s="84">
        <f>5262-K106-J106</f>
        <v>2884</v>
      </c>
      <c r="M106" s="32">
        <f t="shared" si="71"/>
        <v>2883</v>
      </c>
      <c r="N106" s="84">
        <v>2883</v>
      </c>
      <c r="O106" s="84">
        <f>5767-N106</f>
        <v>2884</v>
      </c>
      <c r="P106" s="84">
        <f>8650-O106-N106</f>
        <v>2883</v>
      </c>
      <c r="Q106" s="32">
        <f t="shared" si="72"/>
        <v>1506</v>
      </c>
      <c r="R106" s="84">
        <v>0</v>
      </c>
      <c r="S106" s="84">
        <f>109-R106</f>
        <v>109</v>
      </c>
      <c r="T106" s="84">
        <f>219-S106-R106</f>
        <v>110</v>
      </c>
      <c r="V106" s="32">
        <f>SUM(K106:N106)</f>
        <v>7220</v>
      </c>
      <c r="W106" s="32">
        <f>SUM(L106:O106)</f>
        <v>11534</v>
      </c>
      <c r="X106" s="32">
        <f>SUM(M106:P106)</f>
        <v>11533</v>
      </c>
      <c r="Y106" s="32">
        <f>SUM(N106:Q106)</f>
        <v>10156</v>
      </c>
      <c r="Z106" s="32">
        <f>SUM(O106:R106)</f>
        <v>7273</v>
      </c>
      <c r="AA106" s="32">
        <f>SUM(P106:S106)</f>
        <v>4498</v>
      </c>
      <c r="AB106" s="32">
        <f>SUM(Q106:T106)</f>
        <v>1725</v>
      </c>
      <c r="AC106" s="11"/>
      <c r="AD106" s="77">
        <f t="shared" si="70"/>
        <v>-0.85042920315616055</v>
      </c>
    </row>
    <row r="107" spans="2:30" ht="12.75" customHeight="1">
      <c r="B107" s="61" t="s">
        <v>154</v>
      </c>
      <c r="C107" s="84">
        <v>0</v>
      </c>
      <c r="D107" s="84">
        <v>0</v>
      </c>
      <c r="E107" s="84">
        <v>0</v>
      </c>
      <c r="F107" s="84">
        <v>0</v>
      </c>
      <c r="G107" s="84">
        <v>0</v>
      </c>
      <c r="H107" s="84">
        <v>85554</v>
      </c>
      <c r="I107" s="32"/>
      <c r="J107" s="84">
        <v>0</v>
      </c>
      <c r="K107" s="84">
        <v>0</v>
      </c>
      <c r="L107" s="84">
        <v>0</v>
      </c>
      <c r="M107" s="32">
        <f>SUM(G107-SUM(J107:L107))</f>
        <v>0</v>
      </c>
      <c r="N107" s="84">
        <v>0</v>
      </c>
      <c r="O107" s="84">
        <v>0</v>
      </c>
      <c r="P107" s="84">
        <v>0</v>
      </c>
      <c r="Q107" s="32">
        <f>SUM(H107-SUM(N107:P107))</f>
        <v>85554</v>
      </c>
      <c r="R107" s="84">
        <v>-421464</v>
      </c>
      <c r="S107" s="84">
        <f>-421464-R107</f>
        <v>0</v>
      </c>
      <c r="T107" s="84">
        <f>-421464+125983-S107-R107</f>
        <v>125983</v>
      </c>
      <c r="V107" s="32">
        <f>SUM(K107:N107)</f>
        <v>0</v>
      </c>
      <c r="W107" s="32">
        <f>SUM(L107:O107)</f>
        <v>0</v>
      </c>
      <c r="X107" s="32">
        <f>SUM(M107:P107)</f>
        <v>0</v>
      </c>
      <c r="Y107" s="32">
        <f>SUM(N107:Q107)</f>
        <v>85554</v>
      </c>
      <c r="Z107" s="32">
        <f>SUM(O107:R107)</f>
        <v>-335910</v>
      </c>
      <c r="AA107" s="32">
        <f>SUM(P107:S107)</f>
        <v>-335910</v>
      </c>
      <c r="AB107" s="32">
        <f>SUM(Q107:T107)</f>
        <v>-209927</v>
      </c>
      <c r="AC107" s="11"/>
      <c r="AD107" s="77" t="e">
        <f t="shared" si="70"/>
        <v>#DIV/0!</v>
      </c>
    </row>
    <row r="108" spans="2:30" ht="12.75" customHeight="1">
      <c r="B108" s="61"/>
      <c r="C108" s="84"/>
      <c r="D108" s="84"/>
      <c r="E108" s="84"/>
      <c r="F108" s="84"/>
      <c r="G108" s="84"/>
      <c r="H108" s="84"/>
      <c r="I108" s="32"/>
      <c r="J108" s="84"/>
      <c r="K108" s="84"/>
      <c r="L108" s="84"/>
      <c r="M108" s="32"/>
      <c r="N108" s="84"/>
      <c r="O108" s="84"/>
      <c r="P108" s="84"/>
      <c r="Q108" s="32"/>
      <c r="R108" s="84"/>
      <c r="S108" s="84"/>
      <c r="T108" s="84"/>
      <c r="V108" s="32"/>
      <c r="W108" s="32"/>
      <c r="X108" s="32"/>
      <c r="Y108" s="32"/>
      <c r="Z108" s="32"/>
      <c r="AA108" s="32"/>
      <c r="AB108" s="32"/>
      <c r="AC108" s="11"/>
      <c r="AD108" s="77"/>
    </row>
    <row r="109" spans="2:30" ht="12.75" customHeight="1">
      <c r="B109" s="36" t="s">
        <v>14</v>
      </c>
      <c r="C109" s="84"/>
      <c r="D109" s="84"/>
      <c r="E109" s="84"/>
      <c r="F109" s="84"/>
      <c r="G109" s="84"/>
      <c r="H109" s="84"/>
      <c r="I109" s="32"/>
      <c r="J109" s="84"/>
      <c r="K109" s="84"/>
      <c r="L109" s="84"/>
      <c r="M109" s="32"/>
      <c r="N109" s="84"/>
      <c r="O109" s="84"/>
      <c r="P109" s="84"/>
      <c r="Q109" s="32"/>
      <c r="R109" s="84"/>
      <c r="S109" s="84"/>
      <c r="T109" s="84"/>
      <c r="V109" s="32"/>
      <c r="W109" s="32"/>
      <c r="X109" s="32"/>
      <c r="Y109" s="32"/>
      <c r="Z109" s="32"/>
      <c r="AA109" s="32"/>
      <c r="AB109" s="32"/>
      <c r="AC109" s="60"/>
      <c r="AD109" s="77"/>
    </row>
    <row r="110" spans="2:30" ht="12.75" customHeight="1">
      <c r="B110" s="61" t="s">
        <v>124</v>
      </c>
      <c r="C110" s="84">
        <v>-26147</v>
      </c>
      <c r="D110" s="84">
        <v>30486</v>
      </c>
      <c r="E110" s="84">
        <v>-85800</v>
      </c>
      <c r="F110" s="84">
        <v>-68340</v>
      </c>
      <c r="G110" s="84">
        <v>-8351</v>
      </c>
      <c r="H110" s="84">
        <v>26797</v>
      </c>
      <c r="I110" s="32"/>
      <c r="J110" s="84">
        <v>11200</v>
      </c>
      <c r="K110" s="84">
        <f>10531-J110</f>
        <v>-669</v>
      </c>
      <c r="L110" s="84">
        <f>26158-K110-J110</f>
        <v>15627</v>
      </c>
      <c r="M110" s="32">
        <f t="shared" ref="M110:M115" si="73">SUM(G110-SUM(J110:L110))</f>
        <v>-34509</v>
      </c>
      <c r="N110" s="84">
        <v>-8052</v>
      </c>
      <c r="O110" s="84">
        <f>-12005-N110</f>
        <v>-3953</v>
      </c>
      <c r="P110" s="84">
        <f>-20972-O110-N110</f>
        <v>-8967</v>
      </c>
      <c r="Q110" s="32">
        <f t="shared" ref="Q110:Q115" si="74">SUM(H110-SUM(N110:P110))</f>
        <v>47769</v>
      </c>
      <c r="R110" s="84">
        <f>-22726-10251</f>
        <v>-32977</v>
      </c>
      <c r="S110" s="84">
        <f>-22726-17948-R110</f>
        <v>-7697</v>
      </c>
      <c r="T110" s="84">
        <f>-22726+87842-S110-R110</f>
        <v>105790</v>
      </c>
      <c r="V110" s="32">
        <f>SUM(K110:N110)</f>
        <v>-27603</v>
      </c>
      <c r="W110" s="32">
        <f>SUM(L110:O110)</f>
        <v>-30887</v>
      </c>
      <c r="X110" s="32">
        <f>SUM(M110:P110)</f>
        <v>-55481</v>
      </c>
      <c r="Y110" s="32">
        <f>SUM(N110:Q110)</f>
        <v>26797</v>
      </c>
      <c r="Z110" s="32">
        <f>SUM(O110:R110)</f>
        <v>1872</v>
      </c>
      <c r="AA110" s="32">
        <f>SUM(P110:S110)</f>
        <v>-1872</v>
      </c>
      <c r="AB110" s="32">
        <f>SUM(Q110:T110)</f>
        <v>112885</v>
      </c>
      <c r="AC110" s="60"/>
      <c r="AD110" s="77">
        <f t="shared" ref="AD110:AD115" si="75">SUM(AB110/X110)-1</f>
        <v>-3.0346605144103385</v>
      </c>
    </row>
    <row r="111" spans="2:30" ht="12.75" customHeight="1">
      <c r="B111" s="61" t="s">
        <v>145</v>
      </c>
      <c r="C111" s="84">
        <f>22453+14999+1431-21013</f>
        <v>17870</v>
      </c>
      <c r="D111" s="84">
        <f>23732-12944-223-126447</f>
        <v>-115882</v>
      </c>
      <c r="E111" s="84">
        <f>47855+156+109570</f>
        <v>157581</v>
      </c>
      <c r="F111" s="84">
        <f>-28883+1629</f>
        <v>-27254</v>
      </c>
      <c r="G111" s="84">
        <f>4215+36261</f>
        <v>40476</v>
      </c>
      <c r="H111" s="84">
        <f>-76744-96</f>
        <v>-76840</v>
      </c>
      <c r="I111" s="32"/>
      <c r="J111" s="84">
        <v>580</v>
      </c>
      <c r="K111" s="84">
        <f>-7339-J111</f>
        <v>-7919</v>
      </c>
      <c r="L111" s="84">
        <f>35712-23105-K111-J111</f>
        <v>19946</v>
      </c>
      <c r="M111" s="32">
        <f t="shared" si="73"/>
        <v>27869</v>
      </c>
      <c r="N111" s="84">
        <v>-49338</v>
      </c>
      <c r="O111" s="84">
        <f>-28990-N111</f>
        <v>20348</v>
      </c>
      <c r="P111" s="84">
        <f>-59303-4193-O111-N111</f>
        <v>-34506</v>
      </c>
      <c r="Q111" s="32">
        <f t="shared" si="74"/>
        <v>-13344</v>
      </c>
      <c r="R111" s="84">
        <f>13597+4668</f>
        <v>18265</v>
      </c>
      <c r="S111" s="84">
        <f>13597-4188-R111</f>
        <v>-8856</v>
      </c>
      <c r="T111" s="84">
        <f>13597-242361-S111-R111</f>
        <v>-238173</v>
      </c>
      <c r="V111" s="32">
        <f>SUM(K111:N111)</f>
        <v>-9442</v>
      </c>
      <c r="W111" s="32">
        <f>SUM(L111:O111)</f>
        <v>18825</v>
      </c>
      <c r="X111" s="32">
        <f>SUM(M111:P111)</f>
        <v>-35627</v>
      </c>
      <c r="Y111" s="32">
        <f>SUM(N111:Q111)</f>
        <v>-76840</v>
      </c>
      <c r="Z111" s="32">
        <f>SUM(O111:R111)</f>
        <v>-9237</v>
      </c>
      <c r="AA111" s="32">
        <f>SUM(P111:S111)</f>
        <v>-38441</v>
      </c>
      <c r="AB111" s="32">
        <f>SUM(Q111:T111)</f>
        <v>-242108</v>
      </c>
      <c r="AC111" s="60"/>
      <c r="AD111" s="77">
        <f t="shared" si="75"/>
        <v>5.795632525893283</v>
      </c>
    </row>
    <row r="112" spans="2:30" ht="12.75" customHeight="1">
      <c r="B112" s="61" t="s">
        <v>146</v>
      </c>
      <c r="C112" s="84">
        <v>-175957</v>
      </c>
      <c r="D112" s="84">
        <v>-75230</v>
      </c>
      <c r="E112" s="84">
        <v>-74083</v>
      </c>
      <c r="F112" s="84">
        <v>-149287</v>
      </c>
      <c r="G112" s="84">
        <v>-202926</v>
      </c>
      <c r="H112" s="84">
        <v>-86412</v>
      </c>
      <c r="I112" s="32"/>
      <c r="J112" s="84">
        <v>-56105</v>
      </c>
      <c r="K112" s="84">
        <f>-98656-J112</f>
        <v>-42551</v>
      </c>
      <c r="L112" s="84">
        <f>-162675-K112-J112</f>
        <v>-64019</v>
      </c>
      <c r="M112" s="32">
        <f t="shared" si="73"/>
        <v>-40251</v>
      </c>
      <c r="N112" s="84">
        <v>-21110</v>
      </c>
      <c r="O112" s="84">
        <f>-49224-N112</f>
        <v>-28114</v>
      </c>
      <c r="P112" s="84">
        <f>-74739-O112-N112</f>
        <v>-25515</v>
      </c>
      <c r="Q112" s="32">
        <f t="shared" si="74"/>
        <v>-11673</v>
      </c>
      <c r="R112" s="84">
        <f>-26736-10639</f>
        <v>-37375</v>
      </c>
      <c r="S112" s="84">
        <f>-26736-12345-R112</f>
        <v>-1706</v>
      </c>
      <c r="T112" s="84">
        <f>-26736-24735-S112-R112</f>
        <v>-12390</v>
      </c>
      <c r="V112" s="32">
        <f>SUM(K112:N112)</f>
        <v>-167931</v>
      </c>
      <c r="W112" s="32">
        <f>SUM(L112:O112)</f>
        <v>-153494</v>
      </c>
      <c r="X112" s="32">
        <f>SUM(M112:P112)</f>
        <v>-114990</v>
      </c>
      <c r="Y112" s="32">
        <f>SUM(N112:Q112)</f>
        <v>-86412</v>
      </c>
      <c r="Z112" s="32">
        <f>SUM(O112:R112)</f>
        <v>-102677</v>
      </c>
      <c r="AA112" s="32">
        <f>SUM(P112:S112)</f>
        <v>-76269</v>
      </c>
      <c r="AB112" s="32">
        <f>SUM(Q112:T112)</f>
        <v>-63144</v>
      </c>
      <c r="AC112" s="60"/>
      <c r="AD112" s="77">
        <f t="shared" si="75"/>
        <v>-0.4508739890425254</v>
      </c>
    </row>
    <row r="113" spans="2:30" ht="12.75" customHeight="1">
      <c r="B113" s="61" t="s">
        <v>13</v>
      </c>
      <c r="C113" s="84">
        <v>569</v>
      </c>
      <c r="D113" s="84">
        <v>-17052</v>
      </c>
      <c r="E113" s="84">
        <v>13057</v>
      </c>
      <c r="F113" s="84">
        <v>9032</v>
      </c>
      <c r="G113" s="84">
        <v>-34051</v>
      </c>
      <c r="H113" s="84">
        <v>-40124</v>
      </c>
      <c r="I113" s="32"/>
      <c r="J113" s="84">
        <v>-37048</v>
      </c>
      <c r="K113" s="84">
        <f>-500-J113</f>
        <v>36548</v>
      </c>
      <c r="L113" s="84">
        <f>9406-K113-J113</f>
        <v>9906</v>
      </c>
      <c r="M113" s="32">
        <f t="shared" si="73"/>
        <v>-43457</v>
      </c>
      <c r="N113" s="84">
        <v>38717</v>
      </c>
      <c r="O113" s="84">
        <f>-2599-N113</f>
        <v>-41316</v>
      </c>
      <c r="P113" s="84">
        <f>-23508-O113-N113</f>
        <v>-20909</v>
      </c>
      <c r="Q113" s="32">
        <f t="shared" si="74"/>
        <v>-16616</v>
      </c>
      <c r="R113" s="84">
        <f>14240+54537</f>
        <v>68777</v>
      </c>
      <c r="S113" s="84">
        <f>14240+101000-R113</f>
        <v>46463</v>
      </c>
      <c r="T113" s="84">
        <f>14240+208243-S113-R113</f>
        <v>107243</v>
      </c>
      <c r="V113" s="32">
        <f>SUM(K113:N113)</f>
        <v>41714</v>
      </c>
      <c r="W113" s="32">
        <f>SUM(L113:O113)</f>
        <v>-36150</v>
      </c>
      <c r="X113" s="32">
        <f>SUM(M113:P113)</f>
        <v>-66965</v>
      </c>
      <c r="Y113" s="32">
        <f>SUM(N113:Q113)</f>
        <v>-40124</v>
      </c>
      <c r="Z113" s="32">
        <f>SUM(O113:R113)</f>
        <v>-10064</v>
      </c>
      <c r="AA113" s="32">
        <f>SUM(P113:S113)</f>
        <v>77715</v>
      </c>
      <c r="AB113" s="32">
        <f>SUM(Q113:T113)</f>
        <v>205867</v>
      </c>
      <c r="AC113" s="60"/>
      <c r="AD113" s="77">
        <f t="shared" si="75"/>
        <v>-4.074247741357425</v>
      </c>
    </row>
    <row r="114" spans="2:30" ht="12.75" customHeight="1">
      <c r="B114" s="61" t="s">
        <v>129</v>
      </c>
      <c r="C114" s="84">
        <v>23429</v>
      </c>
      <c r="D114" s="84">
        <v>86558</v>
      </c>
      <c r="E114" s="84">
        <v>-19649</v>
      </c>
      <c r="F114" s="84">
        <v>47301</v>
      </c>
      <c r="G114" s="84">
        <v>-45867</v>
      </c>
      <c r="H114" s="84">
        <v>53062</v>
      </c>
      <c r="I114" s="32"/>
      <c r="J114" s="84">
        <v>137238</v>
      </c>
      <c r="K114" s="84">
        <f>50059-J114</f>
        <v>-87179</v>
      </c>
      <c r="L114" s="84">
        <f>-263-K114-J114</f>
        <v>-50322</v>
      </c>
      <c r="M114" s="32">
        <f t="shared" si="73"/>
        <v>-45604</v>
      </c>
      <c r="N114" s="84">
        <v>91902</v>
      </c>
      <c r="O114" s="84">
        <f>113234-N114</f>
        <v>21332</v>
      </c>
      <c r="P114" s="84">
        <f>75807-O114-N114</f>
        <v>-37427</v>
      </c>
      <c r="Q114" s="32">
        <f t="shared" si="74"/>
        <v>-22745</v>
      </c>
      <c r="R114" s="84">
        <f>81855-64147</f>
        <v>17708</v>
      </c>
      <c r="S114" s="84">
        <f>81855-111195-R114</f>
        <v>-47048</v>
      </c>
      <c r="T114" s="84">
        <f>81855-144937-S114-R114</f>
        <v>-33742</v>
      </c>
      <c r="V114" s="32">
        <f>SUM(K114:N114)</f>
        <v>-91203</v>
      </c>
      <c r="W114" s="32">
        <f>SUM(L114:O114)</f>
        <v>17308</v>
      </c>
      <c r="X114" s="32">
        <f>SUM(M114:P114)</f>
        <v>30203</v>
      </c>
      <c r="Y114" s="32">
        <f>SUM(N114:Q114)</f>
        <v>53062</v>
      </c>
      <c r="Z114" s="32">
        <f>SUM(O114:R114)</f>
        <v>-21132</v>
      </c>
      <c r="AA114" s="32">
        <f>SUM(P114:S114)</f>
        <v>-89512</v>
      </c>
      <c r="AB114" s="32">
        <f>SUM(Q114:T114)</f>
        <v>-85827</v>
      </c>
      <c r="AC114" s="60"/>
      <c r="AD114" s="77">
        <f t="shared" si="75"/>
        <v>-3.8416713571499521</v>
      </c>
    </row>
    <row r="115" spans="2:30" ht="12.75" customHeight="1">
      <c r="B115" s="61" t="s">
        <v>147</v>
      </c>
      <c r="C115" s="84">
        <v>1698</v>
      </c>
      <c r="D115" s="84">
        <v>27194</v>
      </c>
      <c r="E115" s="84">
        <v>80103</v>
      </c>
      <c r="F115" s="84">
        <v>68389</v>
      </c>
      <c r="G115" s="84">
        <v>176440</v>
      </c>
      <c r="H115" s="84">
        <v>-63688</v>
      </c>
      <c r="I115" s="32"/>
      <c r="J115" s="84">
        <v>129853</v>
      </c>
      <c r="K115" s="84">
        <f>119309-J115</f>
        <v>-10544</v>
      </c>
      <c r="L115" s="84">
        <f>106769-K115-J115</f>
        <v>-12540</v>
      </c>
      <c r="M115" s="32">
        <f t="shared" si="73"/>
        <v>69671</v>
      </c>
      <c r="N115" s="84">
        <v>-121489</v>
      </c>
      <c r="O115" s="84">
        <f>-110370-N115</f>
        <v>11119</v>
      </c>
      <c r="P115" s="84">
        <f>-109826-O115-N115</f>
        <v>544</v>
      </c>
      <c r="Q115" s="32">
        <f t="shared" si="74"/>
        <v>46138</v>
      </c>
      <c r="R115" s="84">
        <f>-20165+14516</f>
        <v>-5649</v>
      </c>
      <c r="S115" s="84">
        <f>-20165-31906-R115</f>
        <v>-46422</v>
      </c>
      <c r="T115" s="84">
        <f>-20165-131476-S115-R115</f>
        <v>-99570</v>
      </c>
      <c r="V115" s="32">
        <f>SUM(K115:N115)</f>
        <v>-74902</v>
      </c>
      <c r="W115" s="32">
        <f>SUM(L115:O115)</f>
        <v>-53239</v>
      </c>
      <c r="X115" s="32">
        <f>SUM(M115:P115)</f>
        <v>-40155</v>
      </c>
      <c r="Y115" s="32">
        <f>SUM(N115:Q115)</f>
        <v>-63688</v>
      </c>
      <c r="Z115" s="32">
        <f>SUM(O115:R115)</f>
        <v>52152</v>
      </c>
      <c r="AA115" s="32">
        <f>SUM(P115:S115)</f>
        <v>-5389</v>
      </c>
      <c r="AB115" s="32">
        <f>SUM(Q115:T115)</f>
        <v>-105503</v>
      </c>
      <c r="AC115" s="60"/>
      <c r="AD115" s="77">
        <f t="shared" si="75"/>
        <v>1.6273938488357613</v>
      </c>
    </row>
    <row r="116" spans="2:30" ht="12.75" customHeight="1">
      <c r="B116" s="13" t="s">
        <v>54</v>
      </c>
      <c r="C116" s="34">
        <f t="shared" ref="C116:H116" si="76">SUM(C96:C115)</f>
        <v>551321</v>
      </c>
      <c r="D116" s="34">
        <f t="shared" si="76"/>
        <v>-225274</v>
      </c>
      <c r="E116" s="14">
        <f t="shared" si="76"/>
        <v>208888</v>
      </c>
      <c r="F116" s="14">
        <f t="shared" si="76"/>
        <v>-89022</v>
      </c>
      <c r="G116" s="14">
        <f t="shared" si="76"/>
        <v>-246661</v>
      </c>
      <c r="H116" s="14">
        <f t="shared" si="76"/>
        <v>-758087</v>
      </c>
      <c r="J116" s="14">
        <f t="shared" ref="J116:T116" si="77">SUM(J96:J115)</f>
        <v>140777</v>
      </c>
      <c r="K116" s="14">
        <f t="shared" si="77"/>
        <v>-10065</v>
      </c>
      <c r="L116" s="14">
        <f t="shared" si="77"/>
        <v>-194598</v>
      </c>
      <c r="M116" s="14">
        <f t="shared" si="77"/>
        <v>-182775</v>
      </c>
      <c r="N116" s="14">
        <f t="shared" si="77"/>
        <v>-136975</v>
      </c>
      <c r="O116" s="14">
        <f t="shared" si="77"/>
        <v>-133018</v>
      </c>
      <c r="P116" s="14">
        <f t="shared" si="77"/>
        <v>-364299</v>
      </c>
      <c r="Q116" s="14">
        <f t="shared" si="77"/>
        <v>-123795</v>
      </c>
      <c r="R116" s="14">
        <f t="shared" si="77"/>
        <v>-234283</v>
      </c>
      <c r="S116" s="14">
        <f t="shared" si="77"/>
        <v>-239067</v>
      </c>
      <c r="T116" s="14">
        <f t="shared" si="77"/>
        <v>-406113</v>
      </c>
      <c r="V116" s="14">
        <f t="shared" ref="V116:AB116" si="78">SUM(V96:V115)</f>
        <v>-524413</v>
      </c>
      <c r="W116" s="14">
        <f t="shared" si="78"/>
        <v>-647366</v>
      </c>
      <c r="X116" s="14">
        <f t="shared" si="78"/>
        <v>-817067</v>
      </c>
      <c r="Y116" s="14">
        <f t="shared" si="78"/>
        <v>-758087</v>
      </c>
      <c r="Z116" s="14">
        <f t="shared" si="78"/>
        <v>-855395</v>
      </c>
      <c r="AA116" s="14">
        <f t="shared" si="78"/>
        <v>-961444</v>
      </c>
      <c r="AB116" s="14">
        <f t="shared" si="78"/>
        <v>-1003258</v>
      </c>
      <c r="AC116" s="42"/>
      <c r="AD116" s="78">
        <f>SUM(AB116/X116)-1</f>
        <v>0.22787727322239171</v>
      </c>
    </row>
    <row r="117" spans="2:30" ht="12.75" customHeight="1">
      <c r="B117" s="54"/>
      <c r="C117" s="62"/>
      <c r="D117" s="62"/>
      <c r="E117" s="62"/>
      <c r="F117" s="62"/>
      <c r="G117" s="62"/>
      <c r="H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V117" s="42"/>
      <c r="W117" s="42"/>
      <c r="X117" s="42"/>
      <c r="Y117" s="42"/>
      <c r="Z117" s="42"/>
      <c r="AA117" s="42"/>
      <c r="AB117" s="42"/>
      <c r="AC117" s="42"/>
      <c r="AD117" s="39"/>
    </row>
    <row r="118" spans="2:30" ht="12.75" customHeight="1">
      <c r="B118" s="54" t="s">
        <v>55</v>
      </c>
      <c r="C118" s="60"/>
      <c r="D118" s="59"/>
      <c r="E118" s="59"/>
      <c r="F118" s="59"/>
      <c r="G118" s="59"/>
      <c r="H118" s="59"/>
      <c r="J118" s="84"/>
      <c r="K118" s="84"/>
      <c r="L118" s="84"/>
      <c r="M118" s="32"/>
      <c r="N118" s="84"/>
      <c r="O118" s="84"/>
      <c r="P118" s="84"/>
      <c r="Q118" s="32"/>
      <c r="R118" s="59"/>
      <c r="S118" s="59"/>
      <c r="T118" s="59"/>
      <c r="V118" s="59"/>
      <c r="W118" s="59"/>
      <c r="X118" s="59"/>
      <c r="Y118" s="59"/>
      <c r="Z118" s="59"/>
      <c r="AA118" s="59"/>
      <c r="AB118" s="59"/>
      <c r="AC118" s="60"/>
      <c r="AD118" s="39"/>
    </row>
    <row r="119" spans="2:30" ht="12.75" customHeight="1">
      <c r="B119" s="61" t="s">
        <v>149</v>
      </c>
      <c r="C119" s="84">
        <v>-334537</v>
      </c>
      <c r="D119" s="84">
        <v>-393375</v>
      </c>
      <c r="E119" s="84">
        <v>-213767</v>
      </c>
      <c r="F119" s="84">
        <v>-237584</v>
      </c>
      <c r="G119" s="84">
        <v>-255563</v>
      </c>
      <c r="H119" s="84">
        <v>-110955</v>
      </c>
      <c r="I119" s="32"/>
      <c r="J119" s="84">
        <v>-60513</v>
      </c>
      <c r="K119" s="84">
        <f>-130979-J119</f>
        <v>-70466</v>
      </c>
      <c r="L119" s="84">
        <f>-211083-K119-J119</f>
        <v>-80104</v>
      </c>
      <c r="M119" s="32">
        <f t="shared" ref="M119:M124" si="79">SUM(G119-SUM(J119:L119))</f>
        <v>-44480</v>
      </c>
      <c r="N119" s="84">
        <v>-64338</v>
      </c>
      <c r="O119" s="84">
        <f>-60551-N119</f>
        <v>3787</v>
      </c>
      <c r="P119" s="84">
        <f>-91754-O119-N119</f>
        <v>-31203</v>
      </c>
      <c r="Q119" s="32">
        <f t="shared" ref="Q119:Q124" si="80">SUM(H119-SUM(N119:P119))</f>
        <v>-19201</v>
      </c>
      <c r="R119" s="84">
        <f>-7204-4154</f>
        <v>-11358</v>
      </c>
      <c r="S119" s="84">
        <f>-7204-14081-R119</f>
        <v>-9927</v>
      </c>
      <c r="T119" s="84">
        <f>-7204-26007-S119-R119</f>
        <v>-11926</v>
      </c>
      <c r="U119" s="32"/>
      <c r="V119" s="32">
        <f>SUM(K119:N119)</f>
        <v>-259388</v>
      </c>
      <c r="W119" s="32">
        <f>SUM(L119:O119)</f>
        <v>-185135</v>
      </c>
      <c r="X119" s="32">
        <f>SUM(M119:P119)</f>
        <v>-136234</v>
      </c>
      <c r="Y119" s="32">
        <f>SUM(N119:Q119)</f>
        <v>-110955</v>
      </c>
      <c r="Z119" s="32">
        <f>SUM(O119:R119)</f>
        <v>-57975</v>
      </c>
      <c r="AA119" s="32">
        <f>SUM(P119:S119)</f>
        <v>-71689</v>
      </c>
      <c r="AB119" s="32">
        <f>SUM(Q119:T119)</f>
        <v>-52412</v>
      </c>
      <c r="AC119" s="60"/>
      <c r="AD119" s="77">
        <f t="shared" ref="AD119:AD124" si="81">SUM(AB119/X119)-1</f>
        <v>-0.61527959246590425</v>
      </c>
    </row>
    <row r="120" spans="2:30" ht="12.75" customHeight="1">
      <c r="B120" s="61" t="s">
        <v>148</v>
      </c>
      <c r="C120" s="84">
        <v>0</v>
      </c>
      <c r="D120" s="84">
        <v>0</v>
      </c>
      <c r="E120" s="84">
        <v>0</v>
      </c>
      <c r="F120" s="84">
        <v>0</v>
      </c>
      <c r="G120" s="84">
        <v>230788</v>
      </c>
      <c r="H120" s="84">
        <v>232564</v>
      </c>
      <c r="I120" s="32"/>
      <c r="J120" s="84">
        <v>23845</v>
      </c>
      <c r="K120" s="84">
        <f>36151-J120</f>
        <v>12306</v>
      </c>
      <c r="L120" s="84">
        <f>52466-K120-J120</f>
        <v>16315</v>
      </c>
      <c r="M120" s="32">
        <f t="shared" si="79"/>
        <v>178322</v>
      </c>
      <c r="N120" s="84">
        <v>138771</v>
      </c>
      <c r="O120" s="84">
        <f>161581-N120</f>
        <v>22810</v>
      </c>
      <c r="P120" s="84">
        <f>164313-O120-N120</f>
        <v>2732</v>
      </c>
      <c r="Q120" s="32">
        <f t="shared" si="80"/>
        <v>68251</v>
      </c>
      <c r="R120" s="84">
        <v>0</v>
      </c>
      <c r="S120" s="84">
        <v>0</v>
      </c>
      <c r="T120" s="84">
        <f>271261-S120-R120</f>
        <v>271261</v>
      </c>
      <c r="U120" s="32"/>
      <c r="V120" s="32">
        <f>SUM(K120:N120)</f>
        <v>345714</v>
      </c>
      <c r="W120" s="32">
        <f>SUM(L120:O120)</f>
        <v>356218</v>
      </c>
      <c r="X120" s="32">
        <f>SUM(M120:P120)</f>
        <v>342635</v>
      </c>
      <c r="Y120" s="32">
        <f>SUM(N120:Q120)</f>
        <v>232564</v>
      </c>
      <c r="Z120" s="32">
        <f>SUM(O120:R120)</f>
        <v>93793</v>
      </c>
      <c r="AA120" s="32">
        <f>SUM(P120:S120)</f>
        <v>70983</v>
      </c>
      <c r="AB120" s="32">
        <f>SUM(Q120:T120)</f>
        <v>339512</v>
      </c>
      <c r="AC120" s="60"/>
      <c r="AD120" s="77">
        <f t="shared" si="81"/>
        <v>-9.1146555372334515E-3</v>
      </c>
    </row>
    <row r="121" spans="2:30" ht="12.75" customHeight="1">
      <c r="B121" s="61" t="s">
        <v>166</v>
      </c>
      <c r="C121" s="84">
        <f>-122410+120830</f>
        <v>-1580</v>
      </c>
      <c r="D121" s="84">
        <f>-118893+117665</f>
        <v>-1228</v>
      </c>
      <c r="E121" s="84">
        <f>-105361+104500</f>
        <v>-861</v>
      </c>
      <c r="F121" s="84">
        <f>-110690+109500</f>
        <v>-1190</v>
      </c>
      <c r="G121" s="84">
        <f>-127627+125570</f>
        <v>-2057</v>
      </c>
      <c r="H121" s="84">
        <f>-161745+160350</f>
        <v>-1395</v>
      </c>
      <c r="I121" s="32"/>
      <c r="J121" s="84">
        <f>-20593+20000</f>
        <v>-593</v>
      </c>
      <c r="K121" s="84">
        <f>-55610+54410-J121</f>
        <v>-607</v>
      </c>
      <c r="L121" s="84">
        <f>-95473+93770-K121-J121</f>
        <v>-503</v>
      </c>
      <c r="M121" s="32">
        <f t="shared" si="79"/>
        <v>-354</v>
      </c>
      <c r="N121" s="84">
        <f>58350-58676</f>
        <v>-326</v>
      </c>
      <c r="O121" s="84">
        <f>94100-94724-N121</f>
        <v>-298</v>
      </c>
      <c r="P121" s="84">
        <f>-132040+131100-O121-N121</f>
        <v>-316</v>
      </c>
      <c r="Q121" s="32">
        <f t="shared" si="80"/>
        <v>-455</v>
      </c>
      <c r="R121" s="84">
        <f>24750+8170-25072-8242</f>
        <v>-394</v>
      </c>
      <c r="S121" s="84">
        <f>-25072-27996+24750+148186-R121</f>
        <v>120262</v>
      </c>
      <c r="T121" s="84">
        <f>-25072-27996+148186+24750-S121-R121</f>
        <v>0</v>
      </c>
      <c r="U121" s="32"/>
      <c r="V121" s="32">
        <f>SUM(K121:N121)</f>
        <v>-1790</v>
      </c>
      <c r="W121" s="32">
        <f>SUM(L121:O121)</f>
        <v>-1481</v>
      </c>
      <c r="X121" s="32">
        <f>SUM(M121:P121)</f>
        <v>-1294</v>
      </c>
      <c r="Y121" s="32">
        <f>SUM(N121:Q121)</f>
        <v>-1395</v>
      </c>
      <c r="Z121" s="32">
        <f>SUM(O121:R121)</f>
        <v>-1463</v>
      </c>
      <c r="AA121" s="32">
        <f>SUM(P121:S121)</f>
        <v>119097</v>
      </c>
      <c r="AB121" s="32">
        <f>SUM(Q121:T121)</f>
        <v>119413</v>
      </c>
      <c r="AC121" s="60"/>
      <c r="AD121" s="77">
        <f t="shared" si="81"/>
        <v>-93.282071097372494</v>
      </c>
    </row>
    <row r="122" spans="2:30" ht="12.75" customHeight="1">
      <c r="B122" s="61" t="s">
        <v>121</v>
      </c>
      <c r="C122" s="84">
        <v>-10774</v>
      </c>
      <c r="D122" s="84">
        <v>-12233</v>
      </c>
      <c r="E122" s="84">
        <v>-17258</v>
      </c>
      <c r="F122" s="84">
        <v>-18166</v>
      </c>
      <c r="G122" s="84">
        <v>-21860</v>
      </c>
      <c r="H122" s="84">
        <v>-14475</v>
      </c>
      <c r="I122" s="32"/>
      <c r="J122" s="84">
        <v>-4862</v>
      </c>
      <c r="K122" s="84">
        <f>-10863-J122</f>
        <v>-6001</v>
      </c>
      <c r="L122" s="84">
        <f>-16117-K122-J122</f>
        <v>-5254</v>
      </c>
      <c r="M122" s="32">
        <f t="shared" si="79"/>
        <v>-5743</v>
      </c>
      <c r="N122" s="84">
        <v>-5726</v>
      </c>
      <c r="O122" s="84">
        <f>-10849-N122</f>
        <v>-5123</v>
      </c>
      <c r="P122" s="84">
        <f>-13171-O122-N122</f>
        <v>-2322</v>
      </c>
      <c r="Q122" s="32">
        <f t="shared" si="80"/>
        <v>-1304</v>
      </c>
      <c r="R122" s="84">
        <f>-1331-51</f>
        <v>-1382</v>
      </c>
      <c r="S122" s="84">
        <f>-1331-262-R122</f>
        <v>-211</v>
      </c>
      <c r="T122" s="84">
        <f>-1331-550-S122-R122</f>
        <v>-288</v>
      </c>
      <c r="U122" s="32"/>
      <c r="V122" s="32">
        <f>SUM(K122:N122)</f>
        <v>-22724</v>
      </c>
      <c r="W122" s="32">
        <f>SUM(L122:O122)</f>
        <v>-21846</v>
      </c>
      <c r="X122" s="32">
        <f>SUM(M122:P122)</f>
        <v>-18914</v>
      </c>
      <c r="Y122" s="32">
        <f>SUM(N122:Q122)</f>
        <v>-14475</v>
      </c>
      <c r="Z122" s="32">
        <f>SUM(O122:R122)</f>
        <v>-10131</v>
      </c>
      <c r="AA122" s="32">
        <f>SUM(P122:S122)</f>
        <v>-5219</v>
      </c>
      <c r="AB122" s="32">
        <f>SUM(Q122:T122)</f>
        <v>-3185</v>
      </c>
      <c r="AC122" s="60"/>
      <c r="AD122" s="77">
        <f t="shared" si="81"/>
        <v>-0.83160621761658038</v>
      </c>
    </row>
    <row r="123" spans="2:30" ht="12.75" customHeight="1">
      <c r="B123" s="61" t="s">
        <v>168</v>
      </c>
      <c r="C123" s="84">
        <v>-102102</v>
      </c>
      <c r="D123" s="84">
        <v>-143220</v>
      </c>
      <c r="E123" s="84">
        <v>-119352</v>
      </c>
      <c r="F123" s="84">
        <v>-8498</v>
      </c>
      <c r="G123" s="84">
        <v>23156</v>
      </c>
      <c r="H123" s="84">
        <f>-6471+362765</f>
        <v>356294</v>
      </c>
      <c r="I123" s="32"/>
      <c r="J123" s="84">
        <v>-25443</v>
      </c>
      <c r="K123" s="84">
        <f>-15134-J123</f>
        <v>10309</v>
      </c>
      <c r="L123" s="84">
        <f>1978-K123-J123</f>
        <v>17112</v>
      </c>
      <c r="M123" s="32">
        <f t="shared" si="79"/>
        <v>21178</v>
      </c>
      <c r="N123" s="84">
        <f>32239-1836</f>
        <v>30403</v>
      </c>
      <c r="O123" s="84">
        <f>163995-1836-N123</f>
        <v>131756</v>
      </c>
      <c r="P123" s="84">
        <f>-3648+349830-O123-N123</f>
        <v>184023</v>
      </c>
      <c r="Q123" s="32">
        <f t="shared" si="80"/>
        <v>10112</v>
      </c>
      <c r="R123" s="84">
        <f>26434-1411-706</f>
        <v>24317</v>
      </c>
      <c r="S123" s="84">
        <f>-1411-2823+26434+13217-R123</f>
        <v>11100</v>
      </c>
      <c r="T123" s="84">
        <f>-1411-4234+26434+13217-S123-R123</f>
        <v>-1411</v>
      </c>
      <c r="U123" s="32"/>
      <c r="V123" s="32">
        <f>SUM(K123:N123)</f>
        <v>79002</v>
      </c>
      <c r="W123" s="32">
        <f>SUM(L123:O123)</f>
        <v>200449</v>
      </c>
      <c r="X123" s="32">
        <f>SUM(M123:P123)</f>
        <v>367360</v>
      </c>
      <c r="Y123" s="32">
        <f>SUM(N123:Q123)</f>
        <v>356294</v>
      </c>
      <c r="Z123" s="32">
        <f>SUM(O123:R123)</f>
        <v>350208</v>
      </c>
      <c r="AA123" s="32">
        <f>SUM(P123:S123)</f>
        <v>229552</v>
      </c>
      <c r="AB123" s="32">
        <f>SUM(Q123:T123)</f>
        <v>44118</v>
      </c>
      <c r="AC123" s="60"/>
      <c r="AD123" s="77">
        <f t="shared" si="81"/>
        <v>-0.8799052700348432</v>
      </c>
    </row>
    <row r="124" spans="2:30" ht="12.75" customHeight="1">
      <c r="B124" s="61" t="s">
        <v>167</v>
      </c>
      <c r="C124" s="84">
        <v>-7936</v>
      </c>
      <c r="D124" s="84">
        <v>-3944</v>
      </c>
      <c r="E124" s="84">
        <v>-1207</v>
      </c>
      <c r="F124" s="84">
        <v>-2</v>
      </c>
      <c r="G124" s="84">
        <v>-10972</v>
      </c>
      <c r="H124" s="84">
        <v>1568</v>
      </c>
      <c r="I124" s="32"/>
      <c r="J124" s="84">
        <v>0</v>
      </c>
      <c r="K124" s="84">
        <v>0</v>
      </c>
      <c r="L124" s="84">
        <f>-11086-K124-J124</f>
        <v>-11086</v>
      </c>
      <c r="M124" s="32">
        <f t="shared" si="79"/>
        <v>114</v>
      </c>
      <c r="N124" s="84">
        <v>34</v>
      </c>
      <c r="O124" s="84">
        <f>395-N124</f>
        <v>361</v>
      </c>
      <c r="P124" s="84">
        <f>1376-O124-N124</f>
        <v>981</v>
      </c>
      <c r="Q124" s="32">
        <f t="shared" si="80"/>
        <v>192</v>
      </c>
      <c r="R124" s="84">
        <f>2875+829</f>
        <v>3704</v>
      </c>
      <c r="S124" s="84">
        <f>2875+4206-R124</f>
        <v>3377</v>
      </c>
      <c r="T124" s="84">
        <f>2875+8894-S124-R124</f>
        <v>4688</v>
      </c>
      <c r="U124" s="32"/>
      <c r="V124" s="32">
        <f>SUM(K124:N124)</f>
        <v>-10938</v>
      </c>
      <c r="W124" s="32">
        <f>SUM(L124:O124)</f>
        <v>-10577</v>
      </c>
      <c r="X124" s="32">
        <f>SUM(M124:P124)</f>
        <v>1490</v>
      </c>
      <c r="Y124" s="32">
        <f>SUM(N124:Q124)</f>
        <v>1568</v>
      </c>
      <c r="Z124" s="32">
        <f>SUM(O124:R124)</f>
        <v>5238</v>
      </c>
      <c r="AA124" s="32">
        <f>SUM(P124:S124)</f>
        <v>8254</v>
      </c>
      <c r="AB124" s="32">
        <f>SUM(Q124:T124)</f>
        <v>11961</v>
      </c>
      <c r="AC124" s="60"/>
      <c r="AD124" s="77">
        <f t="shared" si="81"/>
        <v>7.0275167785234895</v>
      </c>
    </row>
    <row r="125" spans="2:30" ht="12.75" customHeight="1">
      <c r="B125" s="13" t="s">
        <v>56</v>
      </c>
      <c r="C125" s="14">
        <f t="shared" ref="C125:H125" si="82">SUM(C119:C124)</f>
        <v>-456929</v>
      </c>
      <c r="D125" s="14">
        <f t="shared" si="82"/>
        <v>-554000</v>
      </c>
      <c r="E125" s="14">
        <f t="shared" si="82"/>
        <v>-352445</v>
      </c>
      <c r="F125" s="14">
        <f t="shared" si="82"/>
        <v>-265440</v>
      </c>
      <c r="G125" s="14">
        <f t="shared" si="82"/>
        <v>-36508</v>
      </c>
      <c r="H125" s="14">
        <f t="shared" si="82"/>
        <v>463601</v>
      </c>
      <c r="J125" s="14">
        <f t="shared" ref="J125:T125" si="83">SUM(J119:J124)</f>
        <v>-67566</v>
      </c>
      <c r="K125" s="14">
        <f t="shared" si="83"/>
        <v>-54459</v>
      </c>
      <c r="L125" s="14">
        <f t="shared" si="83"/>
        <v>-63520</v>
      </c>
      <c r="M125" s="14">
        <f t="shared" si="83"/>
        <v>149037</v>
      </c>
      <c r="N125" s="14">
        <f t="shared" si="83"/>
        <v>98818</v>
      </c>
      <c r="O125" s="14">
        <f t="shared" si="83"/>
        <v>153293</v>
      </c>
      <c r="P125" s="14">
        <f t="shared" si="83"/>
        <v>153895</v>
      </c>
      <c r="Q125" s="14">
        <f t="shared" si="83"/>
        <v>57595</v>
      </c>
      <c r="R125" s="14">
        <f t="shared" si="83"/>
        <v>14887</v>
      </c>
      <c r="S125" s="14">
        <f t="shared" si="83"/>
        <v>124601</v>
      </c>
      <c r="T125" s="14">
        <f t="shared" si="83"/>
        <v>262324</v>
      </c>
      <c r="V125" s="14">
        <f t="shared" ref="V125:AB125" si="84">SUM(V119:V124)</f>
        <v>129876</v>
      </c>
      <c r="W125" s="14">
        <f t="shared" si="84"/>
        <v>337628</v>
      </c>
      <c r="X125" s="14">
        <f t="shared" si="84"/>
        <v>555043</v>
      </c>
      <c r="Y125" s="14">
        <f t="shared" si="84"/>
        <v>463601</v>
      </c>
      <c r="Z125" s="14">
        <f t="shared" si="84"/>
        <v>379670</v>
      </c>
      <c r="AA125" s="14">
        <f t="shared" si="84"/>
        <v>350978</v>
      </c>
      <c r="AB125" s="14">
        <f t="shared" si="84"/>
        <v>459407</v>
      </c>
      <c r="AC125" s="42"/>
      <c r="AD125" s="78">
        <f t="shared" ref="AD125:AD133" si="85">SUM(AB125/X125)-1</f>
        <v>-0.17230376745585474</v>
      </c>
    </row>
    <row r="126" spans="2:30" ht="5.0999999999999996" customHeight="1">
      <c r="B126" s="53"/>
      <c r="C126" s="62"/>
      <c r="D126" s="62"/>
      <c r="E126" s="62"/>
      <c r="F126" s="62"/>
      <c r="G126" s="62"/>
      <c r="H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V126" s="42"/>
      <c r="W126" s="42"/>
      <c r="X126" s="42"/>
      <c r="Y126" s="42"/>
      <c r="Z126" s="42"/>
      <c r="AA126" s="42"/>
      <c r="AB126" s="42"/>
      <c r="AC126" s="42"/>
      <c r="AD126" s="39"/>
    </row>
    <row r="127" spans="2:30" ht="12.75" customHeight="1">
      <c r="B127" s="54" t="s">
        <v>57</v>
      </c>
      <c r="C127" s="64"/>
      <c r="D127" s="64"/>
      <c r="E127" s="64"/>
      <c r="F127" s="64"/>
      <c r="G127" s="64"/>
      <c r="H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32"/>
      <c r="V127" s="32"/>
      <c r="W127" s="32"/>
      <c r="X127" s="32"/>
      <c r="Y127" s="32"/>
      <c r="Z127" s="32"/>
      <c r="AA127" s="32"/>
      <c r="AB127" s="32"/>
      <c r="AC127" s="65"/>
      <c r="AD127" s="77"/>
    </row>
    <row r="128" spans="2:30" ht="12.75" customHeight="1">
      <c r="B128" s="86" t="s">
        <v>170</v>
      </c>
      <c r="C128" s="84">
        <f>225891-246783</f>
        <v>-20892</v>
      </c>
      <c r="D128" s="84">
        <f>1612391-254304</f>
        <v>1358087</v>
      </c>
      <c r="E128" s="84">
        <f>614496-956788-317905</f>
        <v>-660197</v>
      </c>
      <c r="F128" s="84">
        <f>591000-193033</f>
        <v>397967</v>
      </c>
      <c r="G128" s="84">
        <f>457950-337475-323251</f>
        <v>-202776</v>
      </c>
      <c r="H128" s="84">
        <f>423500-185446-140679+300000</f>
        <v>397375</v>
      </c>
      <c r="J128" s="84">
        <v>-129435</v>
      </c>
      <c r="K128" s="84">
        <f>-241819-J128</f>
        <v>-112384</v>
      </c>
      <c r="L128" s="84">
        <f>-287005-K128-J128</f>
        <v>-45186</v>
      </c>
      <c r="M128" s="32">
        <f>SUM(G128-SUM(J128:L128))</f>
        <v>84229</v>
      </c>
      <c r="N128" s="84">
        <f>123500-46818-124007</f>
        <v>-47325</v>
      </c>
      <c r="O128" s="84">
        <f>123500-119632-124007-N128</f>
        <v>-72814</v>
      </c>
      <c r="P128" s="84">
        <f>123500-151517-124007-O128-N128</f>
        <v>-31885</v>
      </c>
      <c r="Q128" s="32">
        <f>SUM(H128-SUM(N128:P128))</f>
        <v>549399</v>
      </c>
      <c r="R128" s="84">
        <f>215000-634506-6275</f>
        <v>-425781</v>
      </c>
      <c r="S128" s="84">
        <f>215000-634506-42129-42966-R128</f>
        <v>-78820</v>
      </c>
      <c r="T128" s="84">
        <f>490000-634506-63525-61040-S128-R128</f>
        <v>235530</v>
      </c>
      <c r="U128" s="32"/>
      <c r="V128" s="32">
        <f>SUM(K128:N128)</f>
        <v>-120666</v>
      </c>
      <c r="W128" s="32">
        <f>SUM(L128:O128)</f>
        <v>-81096</v>
      </c>
      <c r="X128" s="32">
        <f>SUM(M128:P128)</f>
        <v>-67795</v>
      </c>
      <c r="Y128" s="32">
        <f>SUM(N128:Q128)</f>
        <v>397375</v>
      </c>
      <c r="Z128" s="32">
        <f>SUM(O128:R128)</f>
        <v>18919</v>
      </c>
      <c r="AA128" s="32">
        <f>SUM(P128:S128)</f>
        <v>12913</v>
      </c>
      <c r="AB128" s="32">
        <f>SUM(Q128:T128)</f>
        <v>280328</v>
      </c>
      <c r="AC128" s="65"/>
      <c r="AD128" s="77">
        <f t="shared" ref="AD128:AD132" si="86">SUM(AB128/X128)-1</f>
        <v>-5.1349362047348626</v>
      </c>
    </row>
    <row r="129" spans="2:30" ht="12.75" customHeight="1">
      <c r="B129" s="86" t="s">
        <v>150</v>
      </c>
      <c r="C129" s="84">
        <v>-96547</v>
      </c>
      <c r="D129" s="84">
        <v>-25401</v>
      </c>
      <c r="E129" s="84">
        <v>-831</v>
      </c>
      <c r="F129" s="84">
        <v>-842</v>
      </c>
      <c r="G129" s="84">
        <v>-496</v>
      </c>
      <c r="H129" s="84">
        <v>-312</v>
      </c>
      <c r="J129" s="84">
        <v>-179</v>
      </c>
      <c r="K129" s="84">
        <f>-293-J129</f>
        <v>-114</v>
      </c>
      <c r="L129" s="84">
        <f>-408-K129-J129</f>
        <v>-115</v>
      </c>
      <c r="M129" s="32">
        <f>SUM(G129-SUM(J129:L129))</f>
        <v>-88</v>
      </c>
      <c r="N129" s="84">
        <v>-86</v>
      </c>
      <c r="O129" s="84">
        <f>-177-N129</f>
        <v>-91</v>
      </c>
      <c r="P129" s="84">
        <f>-257-O129-N129</f>
        <v>-80</v>
      </c>
      <c r="Q129" s="32">
        <f>SUM(H129-SUM(N129:P129))</f>
        <v>-55</v>
      </c>
      <c r="R129" s="84">
        <f>-37-18</f>
        <v>-55</v>
      </c>
      <c r="S129" s="84">
        <f>-37-73-R129</f>
        <v>-55</v>
      </c>
      <c r="T129" s="84">
        <f>-37-128-S129-R129</f>
        <v>-55</v>
      </c>
      <c r="U129" s="32"/>
      <c r="V129" s="32">
        <f>SUM(K129:N129)</f>
        <v>-403</v>
      </c>
      <c r="W129" s="32">
        <f>SUM(L129:O129)</f>
        <v>-380</v>
      </c>
      <c r="X129" s="32">
        <f>SUM(M129:P129)</f>
        <v>-345</v>
      </c>
      <c r="Y129" s="32">
        <f>SUM(N129:Q129)</f>
        <v>-312</v>
      </c>
      <c r="Z129" s="32">
        <f>SUM(O129:R129)</f>
        <v>-281</v>
      </c>
      <c r="AA129" s="32">
        <f>SUM(P129:S129)</f>
        <v>-245</v>
      </c>
      <c r="AB129" s="32">
        <f>SUM(Q129:T129)</f>
        <v>-220</v>
      </c>
      <c r="AC129" s="65"/>
      <c r="AD129" s="77">
        <f t="shared" si="86"/>
        <v>-0.3623188405797102</v>
      </c>
    </row>
    <row r="130" spans="2:30" ht="12.75" customHeight="1">
      <c r="B130" s="86" t="s">
        <v>171</v>
      </c>
      <c r="C130" s="84">
        <f>-5439+1</f>
        <v>-5438</v>
      </c>
      <c r="D130" s="84">
        <f>-1669+366783+39</f>
        <v>365153</v>
      </c>
      <c r="E130" s="84">
        <f>-1515+375662</f>
        <v>374147</v>
      </c>
      <c r="F130" s="84">
        <v>-2359</v>
      </c>
      <c r="G130" s="84">
        <v>-2637</v>
      </c>
      <c r="H130" s="84">
        <v>-650</v>
      </c>
      <c r="J130" s="84">
        <v>0</v>
      </c>
      <c r="K130" s="84">
        <f>-1674-J130</f>
        <v>-1674</v>
      </c>
      <c r="L130" s="84">
        <f>-1708-K130-J130</f>
        <v>-34</v>
      </c>
      <c r="M130" s="32">
        <f>SUM(G130-SUM(J130:L130))</f>
        <v>-929</v>
      </c>
      <c r="N130" s="84">
        <v>-636</v>
      </c>
      <c r="O130" s="84">
        <f>-645-N130</f>
        <v>-9</v>
      </c>
      <c r="P130" s="84">
        <f>-649-O130-N130</f>
        <v>-4</v>
      </c>
      <c r="Q130" s="32">
        <f>SUM(H130-SUM(N130:P130))</f>
        <v>-1</v>
      </c>
      <c r="R130" s="84">
        <v>350000</v>
      </c>
      <c r="S130" s="84">
        <f>350000-R130</f>
        <v>0</v>
      </c>
      <c r="T130" s="84">
        <f>350000-S130-R130</f>
        <v>0</v>
      </c>
      <c r="U130" s="32"/>
      <c r="V130" s="32">
        <f>SUM(K130:N130)</f>
        <v>-3273</v>
      </c>
      <c r="W130" s="32">
        <f>SUM(L130:O130)</f>
        <v>-1608</v>
      </c>
      <c r="X130" s="32">
        <f>SUM(M130:P130)</f>
        <v>-1578</v>
      </c>
      <c r="Y130" s="32">
        <f>SUM(N130:Q130)</f>
        <v>-650</v>
      </c>
      <c r="Z130" s="32">
        <f>SUM(O130:R130)</f>
        <v>349986</v>
      </c>
      <c r="AA130" s="32">
        <f>SUM(P130:S130)</f>
        <v>349995</v>
      </c>
      <c r="AB130" s="32">
        <f>SUM(Q130:T130)</f>
        <v>349999</v>
      </c>
      <c r="AC130" s="65"/>
      <c r="AD130" s="77">
        <f t="shared" si="86"/>
        <v>-222.79911280101393</v>
      </c>
    </row>
    <row r="131" spans="2:30" ht="12.75" customHeight="1">
      <c r="B131" s="86" t="s">
        <v>151</v>
      </c>
      <c r="C131" s="84">
        <v>5618</v>
      </c>
      <c r="D131" s="84">
        <v>4153</v>
      </c>
      <c r="E131" s="84">
        <v>996</v>
      </c>
      <c r="F131" s="84">
        <v>2</v>
      </c>
      <c r="G131" s="84">
        <v>10974</v>
      </c>
      <c r="H131" s="84">
        <v>-1568</v>
      </c>
      <c r="J131" s="84">
        <v>-1673</v>
      </c>
      <c r="K131" s="84">
        <f>0-J131</f>
        <v>1673</v>
      </c>
      <c r="L131" s="84">
        <f>11088-K131-J131</f>
        <v>11088</v>
      </c>
      <c r="M131" s="32">
        <f>SUM(G131-SUM(J131:L131))</f>
        <v>-114</v>
      </c>
      <c r="N131" s="84">
        <v>-34</v>
      </c>
      <c r="O131" s="84">
        <f>-395-N131</f>
        <v>-361</v>
      </c>
      <c r="P131" s="84">
        <f>-1159-O131-N131</f>
        <v>-764</v>
      </c>
      <c r="Q131" s="32">
        <f>SUM(H131-SUM(N131:P131))</f>
        <v>-409</v>
      </c>
      <c r="R131" s="84">
        <f>-2573-1129</f>
        <v>-3702</v>
      </c>
      <c r="S131" s="84">
        <f>-2573-4508-R131</f>
        <v>-3379</v>
      </c>
      <c r="T131" s="84">
        <f>-2573-9196-S131-R131</f>
        <v>-4688</v>
      </c>
      <c r="U131" s="32"/>
      <c r="V131" s="32">
        <f>SUM(K131:N131)</f>
        <v>12613</v>
      </c>
      <c r="W131" s="32">
        <f>SUM(L131:O131)</f>
        <v>10579</v>
      </c>
      <c r="X131" s="32">
        <f>SUM(M131:P131)</f>
        <v>-1273</v>
      </c>
      <c r="Y131" s="32">
        <f>SUM(N131:Q131)</f>
        <v>-1568</v>
      </c>
      <c r="Z131" s="32">
        <f>SUM(O131:R131)</f>
        <v>-5236</v>
      </c>
      <c r="AA131" s="32">
        <f>SUM(P131:S131)</f>
        <v>-8254</v>
      </c>
      <c r="AB131" s="32">
        <f>SUM(Q131:T131)</f>
        <v>-12178</v>
      </c>
      <c r="AC131" s="65"/>
      <c r="AD131" s="77">
        <f t="shared" si="86"/>
        <v>8.5663786331500393</v>
      </c>
    </row>
    <row r="132" spans="2:30" ht="12.75" customHeight="1">
      <c r="B132" s="86" t="s">
        <v>155</v>
      </c>
      <c r="C132" s="84">
        <v>-2909</v>
      </c>
      <c r="D132" s="84">
        <v>-40551</v>
      </c>
      <c r="E132" s="84">
        <v>-2775</v>
      </c>
      <c r="F132" s="84">
        <v>-3471</v>
      </c>
      <c r="G132" s="84">
        <v>-3027</v>
      </c>
      <c r="H132" s="84">
        <v>-14523</v>
      </c>
      <c r="J132" s="84">
        <v>-555</v>
      </c>
      <c r="K132" s="84">
        <f>-555-J132</f>
        <v>0</v>
      </c>
      <c r="L132" s="84">
        <f>-555-K132-J132</f>
        <v>0</v>
      </c>
      <c r="M132" s="32">
        <f>SUM(G132-SUM(J132:L132))</f>
        <v>-2472</v>
      </c>
      <c r="N132" s="84">
        <v>0</v>
      </c>
      <c r="O132" s="84">
        <v>0</v>
      </c>
      <c r="P132" s="84">
        <f>-8603-O132-N132</f>
        <v>-8603</v>
      </c>
      <c r="Q132" s="32">
        <f>SUM(H132-SUM(N132:P132))</f>
        <v>-5920</v>
      </c>
      <c r="R132" s="84">
        <v>-13456</v>
      </c>
      <c r="S132" s="84">
        <f>-13456-1738-R132</f>
        <v>-1738</v>
      </c>
      <c r="T132" s="84">
        <f>-13456-1738-S132-R132</f>
        <v>0</v>
      </c>
      <c r="U132" s="32"/>
      <c r="V132" s="32">
        <f>SUM(K132:N132)</f>
        <v>-2472</v>
      </c>
      <c r="W132" s="32">
        <f>SUM(L132:O132)</f>
        <v>-2472</v>
      </c>
      <c r="X132" s="32">
        <f>SUM(M132:P132)</f>
        <v>-11075</v>
      </c>
      <c r="Y132" s="32">
        <f>SUM(N132:Q132)</f>
        <v>-14523</v>
      </c>
      <c r="Z132" s="32">
        <f>SUM(O132:R132)</f>
        <v>-27979</v>
      </c>
      <c r="AA132" s="32">
        <f>SUM(P132:S132)</f>
        <v>-29717</v>
      </c>
      <c r="AB132" s="32">
        <f>SUM(Q132:T132)</f>
        <v>-21114</v>
      </c>
      <c r="AC132" s="65"/>
      <c r="AD132" s="77">
        <f t="shared" si="86"/>
        <v>0.90645598194130916</v>
      </c>
    </row>
    <row r="133" spans="2:30" ht="12.75" customHeight="1">
      <c r="B133" s="13" t="s">
        <v>58</v>
      </c>
      <c r="C133" s="34">
        <f t="shared" ref="C133:H133" si="87">SUM(C128:C132)</f>
        <v>-120168</v>
      </c>
      <c r="D133" s="34">
        <f t="shared" si="87"/>
        <v>1661441</v>
      </c>
      <c r="E133" s="34">
        <f t="shared" si="87"/>
        <v>-288660</v>
      </c>
      <c r="F133" s="34">
        <f t="shared" si="87"/>
        <v>391297</v>
      </c>
      <c r="G133" s="34">
        <f t="shared" si="87"/>
        <v>-197962</v>
      </c>
      <c r="H133" s="34">
        <f t="shared" si="87"/>
        <v>380322</v>
      </c>
      <c r="I133" s="32"/>
      <c r="J133" s="34">
        <f t="shared" ref="J133:T133" si="88">SUM(J128:J132)</f>
        <v>-131842</v>
      </c>
      <c r="K133" s="34">
        <f t="shared" si="88"/>
        <v>-112499</v>
      </c>
      <c r="L133" s="34">
        <f t="shared" si="88"/>
        <v>-34247</v>
      </c>
      <c r="M133" s="34">
        <f t="shared" si="88"/>
        <v>80626</v>
      </c>
      <c r="N133" s="34">
        <f t="shared" si="88"/>
        <v>-48081</v>
      </c>
      <c r="O133" s="34">
        <f t="shared" si="88"/>
        <v>-73275</v>
      </c>
      <c r="P133" s="34">
        <f t="shared" si="88"/>
        <v>-41336</v>
      </c>
      <c r="Q133" s="34">
        <f t="shared" si="88"/>
        <v>543014</v>
      </c>
      <c r="R133" s="34">
        <f t="shared" si="88"/>
        <v>-92994</v>
      </c>
      <c r="S133" s="34">
        <f t="shared" si="88"/>
        <v>-83992</v>
      </c>
      <c r="T133" s="34">
        <f t="shared" si="88"/>
        <v>230787</v>
      </c>
      <c r="U133" s="32"/>
      <c r="V133" s="34">
        <f t="shared" ref="V133:AB133" si="89">SUM(V128:V132)</f>
        <v>-114201</v>
      </c>
      <c r="W133" s="34">
        <f t="shared" si="89"/>
        <v>-74977</v>
      </c>
      <c r="X133" s="34">
        <f t="shared" si="89"/>
        <v>-82066</v>
      </c>
      <c r="Y133" s="34">
        <f t="shared" si="89"/>
        <v>380322</v>
      </c>
      <c r="Z133" s="34">
        <f t="shared" si="89"/>
        <v>335409</v>
      </c>
      <c r="AA133" s="34">
        <f t="shared" si="89"/>
        <v>324692</v>
      </c>
      <c r="AB133" s="34">
        <f t="shared" si="89"/>
        <v>596815</v>
      </c>
      <c r="AC133" s="42"/>
      <c r="AD133" s="78">
        <f t="shared" si="85"/>
        <v>-8.2723783296371209</v>
      </c>
    </row>
    <row r="134" spans="2:30" ht="5.0999999999999996" customHeight="1">
      <c r="B134" s="8"/>
      <c r="C134" s="66"/>
      <c r="D134" s="66"/>
      <c r="E134" s="66"/>
      <c r="F134" s="66"/>
      <c r="G134" s="66"/>
      <c r="H134" s="66"/>
      <c r="I134" s="32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V134" s="11"/>
      <c r="W134" s="11"/>
      <c r="X134" s="11"/>
      <c r="Y134" s="11"/>
      <c r="Z134" s="11"/>
      <c r="AA134" s="11"/>
      <c r="AB134" s="11"/>
      <c r="AC134" s="11"/>
      <c r="AD134" s="46"/>
    </row>
    <row r="135" spans="2:30" ht="5.0999999999999996" customHeight="1">
      <c r="B135" s="73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11"/>
      <c r="AD135" s="46"/>
    </row>
    <row r="136" spans="2:30">
      <c r="B136" s="95" t="s">
        <v>88</v>
      </c>
      <c r="C136" s="135">
        <v>1004733</v>
      </c>
      <c r="D136" s="96">
        <f>C143</f>
        <v>978957</v>
      </c>
      <c r="E136" s="96">
        <f>D143</f>
        <v>1789723</v>
      </c>
      <c r="F136" s="96">
        <f>E143</f>
        <v>1333507</v>
      </c>
      <c r="G136" s="96">
        <f>F143</f>
        <v>1346350</v>
      </c>
      <c r="H136" s="96">
        <f>G143</f>
        <v>865211</v>
      </c>
      <c r="I136" s="96"/>
      <c r="J136" s="96">
        <f>G138</f>
        <v>1465742</v>
      </c>
      <c r="K136" s="96">
        <f t="shared" ref="K136:T136" si="90">J143</f>
        <v>1287711</v>
      </c>
      <c r="L136" s="96">
        <f t="shared" si="90"/>
        <v>1110688</v>
      </c>
      <c r="M136" s="96">
        <f t="shared" si="90"/>
        <v>818323</v>
      </c>
      <c r="N136" s="96">
        <f t="shared" si="90"/>
        <v>865211</v>
      </c>
      <c r="O136" s="96">
        <f t="shared" si="90"/>
        <v>764788</v>
      </c>
      <c r="P136" s="96">
        <f t="shared" si="90"/>
        <v>724794</v>
      </c>
      <c r="Q136" s="96">
        <f t="shared" si="90"/>
        <v>423547</v>
      </c>
      <c r="R136" s="96">
        <f t="shared" si="90"/>
        <v>902057</v>
      </c>
      <c r="S136" s="96">
        <f t="shared" si="90"/>
        <v>487535</v>
      </c>
      <c r="T136" s="96">
        <f t="shared" si="90"/>
        <v>407511</v>
      </c>
      <c r="U136" s="96"/>
      <c r="V136" s="96">
        <f>J143</f>
        <v>1287711</v>
      </c>
      <c r="W136" s="96">
        <f>K143</f>
        <v>1110688</v>
      </c>
      <c r="X136" s="96">
        <f>L143</f>
        <v>818323</v>
      </c>
      <c r="Y136" s="96">
        <f>M143</f>
        <v>865211</v>
      </c>
      <c r="Z136" s="96">
        <f>N143</f>
        <v>764788</v>
      </c>
      <c r="AA136" s="96">
        <f>O143</f>
        <v>724794</v>
      </c>
      <c r="AB136" s="149">
        <f>P143</f>
        <v>423547</v>
      </c>
      <c r="AC136" s="11"/>
      <c r="AD136" s="46"/>
    </row>
    <row r="137" spans="2:30">
      <c r="B137" s="136" t="s">
        <v>108</v>
      </c>
      <c r="C137" s="32">
        <v>0</v>
      </c>
      <c r="D137" s="32">
        <f>-C141</f>
        <v>0</v>
      </c>
      <c r="E137" s="32">
        <f>-D141</f>
        <v>71401</v>
      </c>
      <c r="F137" s="32">
        <f>-E141</f>
        <v>95400</v>
      </c>
      <c r="G137" s="32">
        <f>-F141</f>
        <v>119392</v>
      </c>
      <c r="H137" s="32">
        <f>-G141</f>
        <v>119400</v>
      </c>
      <c r="I137" s="32"/>
      <c r="J137" s="32">
        <v>0</v>
      </c>
      <c r="K137" s="32">
        <f t="shared" ref="K137:T137" si="91">-J141</f>
        <v>119400</v>
      </c>
      <c r="L137" s="32">
        <f t="shared" si="91"/>
        <v>119400</v>
      </c>
      <c r="M137" s="32">
        <f t="shared" si="91"/>
        <v>119400</v>
      </c>
      <c r="N137" s="32">
        <f t="shared" si="91"/>
        <v>119400</v>
      </c>
      <c r="O137" s="32">
        <f t="shared" si="91"/>
        <v>133585</v>
      </c>
      <c r="P137" s="32">
        <f t="shared" si="91"/>
        <v>120579</v>
      </c>
      <c r="Q137" s="32">
        <f t="shared" si="91"/>
        <v>170086</v>
      </c>
      <c r="R137" s="32">
        <f t="shared" si="91"/>
        <v>168390</v>
      </c>
      <c r="S137" s="32">
        <f t="shared" si="91"/>
        <v>270522</v>
      </c>
      <c r="T137" s="32">
        <f t="shared" si="91"/>
        <v>152088</v>
      </c>
      <c r="U137" s="32"/>
      <c r="V137" s="32">
        <f>-J141</f>
        <v>119400</v>
      </c>
      <c r="W137" s="32">
        <f>-K141</f>
        <v>119400</v>
      </c>
      <c r="X137" s="32">
        <f>-L141</f>
        <v>119400</v>
      </c>
      <c r="Y137" s="32">
        <f>-M141</f>
        <v>119400</v>
      </c>
      <c r="Z137" s="32">
        <f>-N141</f>
        <v>133585</v>
      </c>
      <c r="AA137" s="32">
        <f>-O141</f>
        <v>120579</v>
      </c>
      <c r="AB137" s="141">
        <f>-P141</f>
        <v>170086</v>
      </c>
      <c r="AC137" s="11"/>
      <c r="AD137" s="46"/>
    </row>
    <row r="138" spans="2:30">
      <c r="B138" s="92" t="s">
        <v>72</v>
      </c>
      <c r="C138" s="88">
        <f t="shared" ref="C138:H138" si="92">SUM(C136:C137)</f>
        <v>1004733</v>
      </c>
      <c r="D138" s="88">
        <f t="shared" si="92"/>
        <v>978957</v>
      </c>
      <c r="E138" s="88">
        <f t="shared" si="92"/>
        <v>1861124</v>
      </c>
      <c r="F138" s="88">
        <f t="shared" si="92"/>
        <v>1428907</v>
      </c>
      <c r="G138" s="88">
        <f t="shared" si="92"/>
        <v>1465742</v>
      </c>
      <c r="H138" s="88">
        <f t="shared" si="92"/>
        <v>984611</v>
      </c>
      <c r="I138" s="32"/>
      <c r="J138" s="88">
        <f t="shared" ref="J138:T138" si="93">SUM(J136:J137)</f>
        <v>1465742</v>
      </c>
      <c r="K138" s="88">
        <f t="shared" si="93"/>
        <v>1407111</v>
      </c>
      <c r="L138" s="88">
        <f t="shared" si="93"/>
        <v>1230088</v>
      </c>
      <c r="M138" s="88">
        <f t="shared" si="93"/>
        <v>937723</v>
      </c>
      <c r="N138" s="88">
        <f t="shared" si="93"/>
        <v>984611</v>
      </c>
      <c r="O138" s="88">
        <f t="shared" si="93"/>
        <v>898373</v>
      </c>
      <c r="P138" s="88">
        <f t="shared" si="93"/>
        <v>845373</v>
      </c>
      <c r="Q138" s="88">
        <f t="shared" si="93"/>
        <v>593633</v>
      </c>
      <c r="R138" s="88">
        <f t="shared" si="93"/>
        <v>1070447</v>
      </c>
      <c r="S138" s="88">
        <f t="shared" si="93"/>
        <v>758057</v>
      </c>
      <c r="T138" s="88">
        <f t="shared" si="93"/>
        <v>559599</v>
      </c>
      <c r="U138" s="32"/>
      <c r="V138" s="139">
        <f t="shared" ref="V138:AB138" si="94">SUM(V136:V137)</f>
        <v>1407111</v>
      </c>
      <c r="W138" s="139">
        <f t="shared" si="94"/>
        <v>1230088</v>
      </c>
      <c r="X138" s="139">
        <f t="shared" si="94"/>
        <v>937723</v>
      </c>
      <c r="Y138" s="139">
        <f t="shared" si="94"/>
        <v>984611</v>
      </c>
      <c r="Z138" s="139">
        <f t="shared" si="94"/>
        <v>898373</v>
      </c>
      <c r="AA138" s="139">
        <f t="shared" si="94"/>
        <v>845373</v>
      </c>
      <c r="AB138" s="142">
        <f t="shared" si="94"/>
        <v>593633</v>
      </c>
      <c r="AC138" s="11"/>
      <c r="AD138" s="46"/>
    </row>
    <row r="139" spans="2:30" ht="5.0999999999999996" customHeight="1">
      <c r="B139" s="146"/>
      <c r="C139" s="73"/>
      <c r="D139" s="73"/>
      <c r="E139" s="73"/>
      <c r="F139" s="73"/>
      <c r="G139" s="73"/>
      <c r="H139" s="73"/>
      <c r="I139" s="32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32"/>
      <c r="V139" s="73"/>
      <c r="W139" s="73"/>
      <c r="X139" s="73"/>
      <c r="Y139" s="73"/>
      <c r="Z139" s="73"/>
      <c r="AA139" s="73"/>
      <c r="AB139" s="143"/>
      <c r="AC139" s="11"/>
      <c r="AD139" s="46"/>
    </row>
    <row r="140" spans="2:30">
      <c r="B140" s="136" t="s">
        <v>89</v>
      </c>
      <c r="C140" s="84">
        <v>0</v>
      </c>
      <c r="D140" s="84">
        <v>0</v>
      </c>
      <c r="E140" s="84">
        <v>0</v>
      </c>
      <c r="F140" s="84">
        <v>0</v>
      </c>
      <c r="G140" s="84">
        <v>0</v>
      </c>
      <c r="H140" s="84">
        <v>0</v>
      </c>
      <c r="I140" s="32"/>
      <c r="J140" s="84">
        <v>0</v>
      </c>
      <c r="K140" s="84">
        <v>0</v>
      </c>
      <c r="L140" s="84">
        <v>0</v>
      </c>
      <c r="M140" s="32">
        <f>SUM(G140-SUM(J140:L140))</f>
        <v>0</v>
      </c>
      <c r="N140" s="84">
        <v>0</v>
      </c>
      <c r="O140" s="84">
        <v>0</v>
      </c>
      <c r="P140" s="84">
        <v>0</v>
      </c>
      <c r="Q140" s="32">
        <f>SUM(H140-SUM(N140:P140))</f>
        <v>0</v>
      </c>
      <c r="R140" s="84">
        <v>0</v>
      </c>
      <c r="S140" s="84">
        <v>0</v>
      </c>
      <c r="T140" s="84">
        <v>0</v>
      </c>
      <c r="U140" s="32"/>
      <c r="V140" s="32">
        <f>SUM(K140:N140)</f>
        <v>0</v>
      </c>
      <c r="W140" s="32">
        <f>SUM(L140:O140)</f>
        <v>0</v>
      </c>
      <c r="X140" s="32">
        <f>SUM(M140:P140)</f>
        <v>0</v>
      </c>
      <c r="Y140" s="32">
        <f>SUM(N140:Q140)</f>
        <v>0</v>
      </c>
      <c r="Z140" s="32">
        <f>SUM(O140:R140)</f>
        <v>0</v>
      </c>
      <c r="AA140" s="32">
        <f>SUM(P140:S140)</f>
        <v>0</v>
      </c>
      <c r="AB140" s="141">
        <f>SUM(Q140:T140)</f>
        <v>0</v>
      </c>
      <c r="AC140" s="11"/>
      <c r="AD140" s="46"/>
    </row>
    <row r="141" spans="2:30">
      <c r="B141" s="136" t="s">
        <v>107</v>
      </c>
      <c r="C141" s="32">
        <f t="shared" ref="C141:H141" si="95">-C50</f>
        <v>0</v>
      </c>
      <c r="D141" s="32">
        <f t="shared" si="95"/>
        <v>-71401</v>
      </c>
      <c r="E141" s="32">
        <f t="shared" si="95"/>
        <v>-95400</v>
      </c>
      <c r="F141" s="32">
        <f t="shared" si="95"/>
        <v>-119392</v>
      </c>
      <c r="G141" s="32">
        <f t="shared" si="95"/>
        <v>-119400</v>
      </c>
      <c r="H141" s="32">
        <f t="shared" si="95"/>
        <v>-168390</v>
      </c>
      <c r="I141" s="32"/>
      <c r="J141" s="32">
        <f>-J50</f>
        <v>-119400</v>
      </c>
      <c r="K141" s="32">
        <f>-K50</f>
        <v>-119400</v>
      </c>
      <c r="L141" s="32">
        <f>-L50</f>
        <v>-119400</v>
      </c>
      <c r="M141" s="32">
        <f>G141</f>
        <v>-119400</v>
      </c>
      <c r="N141" s="32">
        <f>-N50</f>
        <v>-133585</v>
      </c>
      <c r="O141" s="32">
        <f t="shared" ref="O141:T141" si="96">-O50</f>
        <v>-120579</v>
      </c>
      <c r="P141" s="32">
        <f t="shared" si="96"/>
        <v>-170086</v>
      </c>
      <c r="Q141" s="32">
        <f>H141</f>
        <v>-168390</v>
      </c>
      <c r="R141" s="32">
        <f t="shared" si="96"/>
        <v>-270522</v>
      </c>
      <c r="S141" s="32">
        <f t="shared" si="96"/>
        <v>-152088</v>
      </c>
      <c r="T141" s="32">
        <f t="shared" si="96"/>
        <v>-396103</v>
      </c>
      <c r="U141" s="32"/>
      <c r="V141" s="32">
        <f>N141</f>
        <v>-133585</v>
      </c>
      <c r="W141" s="32">
        <f>O141</f>
        <v>-120579</v>
      </c>
      <c r="X141" s="32">
        <f>P141</f>
        <v>-170086</v>
      </c>
      <c r="Y141" s="32">
        <f>Q141</f>
        <v>-168390</v>
      </c>
      <c r="Z141" s="32">
        <f>R141</f>
        <v>-270522</v>
      </c>
      <c r="AA141" s="32">
        <f>S141</f>
        <v>-152088</v>
      </c>
      <c r="AB141" s="141">
        <f>T141</f>
        <v>-396103</v>
      </c>
      <c r="AC141" s="11"/>
      <c r="AD141" s="46"/>
    </row>
    <row r="142" spans="2:30">
      <c r="B142" s="136" t="s">
        <v>62</v>
      </c>
      <c r="C142" s="32">
        <f t="shared" ref="C142:H142" si="97">+C133+C125+C116</f>
        <v>-25776</v>
      </c>
      <c r="D142" s="32">
        <f t="shared" si="97"/>
        <v>882167</v>
      </c>
      <c r="E142" s="32">
        <f t="shared" si="97"/>
        <v>-432217</v>
      </c>
      <c r="F142" s="32">
        <f t="shared" si="97"/>
        <v>36835</v>
      </c>
      <c r="G142" s="32">
        <f t="shared" si="97"/>
        <v>-481131</v>
      </c>
      <c r="H142" s="32">
        <f t="shared" si="97"/>
        <v>85836</v>
      </c>
      <c r="I142" s="32"/>
      <c r="J142" s="32">
        <f t="shared" ref="J142:T142" si="98">+J133+J125+J116</f>
        <v>-58631</v>
      </c>
      <c r="K142" s="32">
        <f t="shared" si="98"/>
        <v>-177023</v>
      </c>
      <c r="L142" s="32">
        <f t="shared" si="98"/>
        <v>-292365</v>
      </c>
      <c r="M142" s="32">
        <f t="shared" si="98"/>
        <v>46888</v>
      </c>
      <c r="N142" s="32">
        <f t="shared" si="98"/>
        <v>-86238</v>
      </c>
      <c r="O142" s="32">
        <f t="shared" si="98"/>
        <v>-53000</v>
      </c>
      <c r="P142" s="32">
        <f t="shared" si="98"/>
        <v>-251740</v>
      </c>
      <c r="Q142" s="32">
        <f t="shared" si="98"/>
        <v>476814</v>
      </c>
      <c r="R142" s="32">
        <f t="shared" si="98"/>
        <v>-312390</v>
      </c>
      <c r="S142" s="32">
        <f t="shared" si="98"/>
        <v>-198458</v>
      </c>
      <c r="T142" s="32">
        <f t="shared" si="98"/>
        <v>86998</v>
      </c>
      <c r="U142" s="32"/>
      <c r="V142" s="32">
        <f>SUM(K142:N142)</f>
        <v>-508738</v>
      </c>
      <c r="W142" s="32">
        <f>SUM(L142:O142)</f>
        <v>-384715</v>
      </c>
      <c r="X142" s="32">
        <f>SUM(M142:P142)</f>
        <v>-344090</v>
      </c>
      <c r="Y142" s="32">
        <f>SUM(N142:Q142)</f>
        <v>85836</v>
      </c>
      <c r="Z142" s="32">
        <f>SUM(O142:R142)</f>
        <v>-140316</v>
      </c>
      <c r="AA142" s="32">
        <f>SUM(P142:S142)</f>
        <v>-285774</v>
      </c>
      <c r="AB142" s="141">
        <f>SUM(Q142:T142)</f>
        <v>52964</v>
      </c>
      <c r="AC142" s="11"/>
      <c r="AD142" s="46"/>
    </row>
    <row r="143" spans="2:30">
      <c r="B143" s="92" t="s">
        <v>73</v>
      </c>
      <c r="C143" s="88">
        <f t="shared" ref="C143:H143" si="99">SUM(C138:C142)</f>
        <v>978957</v>
      </c>
      <c r="D143" s="88">
        <f t="shared" si="99"/>
        <v>1789723</v>
      </c>
      <c r="E143" s="88">
        <f t="shared" si="99"/>
        <v>1333507</v>
      </c>
      <c r="F143" s="88">
        <f t="shared" si="99"/>
        <v>1346350</v>
      </c>
      <c r="G143" s="88">
        <f t="shared" si="99"/>
        <v>865211</v>
      </c>
      <c r="H143" s="88">
        <f t="shared" si="99"/>
        <v>902057</v>
      </c>
      <c r="I143" s="32"/>
      <c r="J143" s="88">
        <f t="shared" ref="J143:T143" si="100">SUM(J138:J142)</f>
        <v>1287711</v>
      </c>
      <c r="K143" s="88">
        <f t="shared" si="100"/>
        <v>1110688</v>
      </c>
      <c r="L143" s="88">
        <f t="shared" si="100"/>
        <v>818323</v>
      </c>
      <c r="M143" s="88">
        <f t="shared" si="100"/>
        <v>865211</v>
      </c>
      <c r="N143" s="88">
        <f t="shared" si="100"/>
        <v>764788</v>
      </c>
      <c r="O143" s="88">
        <f t="shared" si="100"/>
        <v>724794</v>
      </c>
      <c r="P143" s="88">
        <f t="shared" si="100"/>
        <v>423547</v>
      </c>
      <c r="Q143" s="88">
        <f t="shared" si="100"/>
        <v>902057</v>
      </c>
      <c r="R143" s="88">
        <f t="shared" si="100"/>
        <v>487535</v>
      </c>
      <c r="S143" s="88">
        <f t="shared" si="100"/>
        <v>407511</v>
      </c>
      <c r="T143" s="88">
        <f t="shared" si="100"/>
        <v>250494</v>
      </c>
      <c r="U143" s="32"/>
      <c r="V143" s="140">
        <f t="shared" ref="V143:AB143" si="101">SUM(V138:V142)</f>
        <v>764788</v>
      </c>
      <c r="W143" s="140">
        <f t="shared" si="101"/>
        <v>724794</v>
      </c>
      <c r="X143" s="140">
        <f t="shared" si="101"/>
        <v>423547</v>
      </c>
      <c r="Y143" s="140">
        <f t="shared" si="101"/>
        <v>902057</v>
      </c>
      <c r="Z143" s="140">
        <f t="shared" si="101"/>
        <v>487535</v>
      </c>
      <c r="AA143" s="140">
        <f t="shared" si="101"/>
        <v>407511</v>
      </c>
      <c r="AB143" s="144">
        <f t="shared" si="101"/>
        <v>250494</v>
      </c>
      <c r="AC143" s="11"/>
      <c r="AD143" s="46"/>
    </row>
    <row r="144" spans="2:30" ht="5.0999999999999996" customHeight="1">
      <c r="B144" s="93"/>
      <c r="C144" s="66"/>
      <c r="D144" s="66"/>
      <c r="E144" s="66"/>
      <c r="F144" s="66"/>
      <c r="G144" s="66"/>
      <c r="H144" s="66"/>
      <c r="I144" s="32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V144" s="11"/>
      <c r="W144" s="11"/>
      <c r="X144" s="11"/>
      <c r="Y144" s="11"/>
      <c r="Z144" s="11"/>
      <c r="AA144" s="11"/>
      <c r="AB144" s="94"/>
      <c r="AC144" s="11"/>
      <c r="AD144" s="46"/>
    </row>
    <row r="145" spans="2:30">
      <c r="B145" s="147" t="s">
        <v>99</v>
      </c>
      <c r="C145" s="90">
        <f t="shared" ref="C145:H145" si="102">C143-C49</f>
        <v>0</v>
      </c>
      <c r="D145" s="90">
        <f t="shared" si="102"/>
        <v>0</v>
      </c>
      <c r="E145" s="90">
        <f t="shared" si="102"/>
        <v>0</v>
      </c>
      <c r="F145" s="90">
        <f t="shared" si="102"/>
        <v>0</v>
      </c>
      <c r="G145" s="90">
        <f t="shared" si="102"/>
        <v>0</v>
      </c>
      <c r="H145" s="90">
        <f t="shared" si="102"/>
        <v>0</v>
      </c>
      <c r="I145" s="91"/>
      <c r="J145" s="90">
        <f t="shared" ref="J145:T145" si="103">J143-J49</f>
        <v>0</v>
      </c>
      <c r="K145" s="90">
        <f t="shared" si="103"/>
        <v>0</v>
      </c>
      <c r="L145" s="90">
        <f t="shared" si="103"/>
        <v>0</v>
      </c>
      <c r="M145" s="90">
        <f t="shared" si="103"/>
        <v>0</v>
      </c>
      <c r="N145" s="90">
        <f t="shared" si="103"/>
        <v>0</v>
      </c>
      <c r="O145" s="90">
        <f t="shared" si="103"/>
        <v>0</v>
      </c>
      <c r="P145" s="90">
        <f t="shared" si="103"/>
        <v>0</v>
      </c>
      <c r="Q145" s="90">
        <f t="shared" si="103"/>
        <v>0</v>
      </c>
      <c r="R145" s="90">
        <f t="shared" si="103"/>
        <v>0</v>
      </c>
      <c r="S145" s="90">
        <f t="shared" si="103"/>
        <v>0</v>
      </c>
      <c r="T145" s="90">
        <f t="shared" si="103"/>
        <v>0</v>
      </c>
      <c r="U145" s="90"/>
      <c r="V145" s="90">
        <f t="shared" ref="V145:AB145" si="104">V143-V49</f>
        <v>0</v>
      </c>
      <c r="W145" s="90">
        <f t="shared" si="104"/>
        <v>0</v>
      </c>
      <c r="X145" s="90">
        <f t="shared" si="104"/>
        <v>0</v>
      </c>
      <c r="Y145" s="90">
        <f t="shared" si="104"/>
        <v>0</v>
      </c>
      <c r="Z145" s="90">
        <f t="shared" si="104"/>
        <v>0</v>
      </c>
      <c r="AA145" s="90">
        <f t="shared" si="104"/>
        <v>0</v>
      </c>
      <c r="AB145" s="145">
        <f t="shared" si="104"/>
        <v>0</v>
      </c>
      <c r="AC145" s="11"/>
      <c r="AD145" s="46"/>
    </row>
    <row r="146" spans="2:30" ht="5.0999999999999996" customHeight="1">
      <c r="B146" s="8"/>
      <c r="C146" s="66"/>
      <c r="D146" s="66"/>
      <c r="E146" s="66"/>
      <c r="F146" s="66"/>
      <c r="G146" s="66"/>
      <c r="H146" s="66"/>
      <c r="I146" s="32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V146" s="11"/>
      <c r="W146" s="11"/>
      <c r="X146" s="11"/>
      <c r="Y146" s="11"/>
      <c r="Z146" s="11"/>
      <c r="AA146" s="11"/>
      <c r="AB146" s="11"/>
      <c r="AC146" s="11"/>
      <c r="AD146" s="46"/>
    </row>
    <row r="147" spans="2:30" ht="12.75" customHeight="1">
      <c r="B147" s="74" t="s">
        <v>63</v>
      </c>
      <c r="C147" s="63"/>
      <c r="D147" s="63"/>
      <c r="E147" s="63"/>
      <c r="F147" s="63"/>
      <c r="G147" s="63"/>
      <c r="H147" s="63"/>
      <c r="I147" s="11"/>
      <c r="J147" s="63"/>
      <c r="K147" s="63"/>
      <c r="L147" s="63"/>
      <c r="M147" s="63"/>
      <c r="N147" s="63"/>
      <c r="O147" s="63"/>
      <c r="P147" s="63"/>
      <c r="Q147" s="63"/>
      <c r="R147" s="84"/>
      <c r="S147" s="63"/>
      <c r="T147" s="63"/>
      <c r="V147" s="63"/>
      <c r="W147" s="63"/>
      <c r="X147" s="63"/>
      <c r="Y147" s="63"/>
      <c r="Z147" s="63"/>
      <c r="AA147" s="63"/>
      <c r="AB147" s="63"/>
      <c r="AC147" s="67"/>
      <c r="AD147" s="46"/>
    </row>
    <row r="148" spans="2:30" ht="12.75" customHeight="1">
      <c r="B148" s="8" t="s">
        <v>152</v>
      </c>
      <c r="C148" s="84">
        <v>80254</v>
      </c>
      <c r="D148" s="84">
        <v>80837</v>
      </c>
      <c r="E148" s="84">
        <v>135500</v>
      </c>
      <c r="F148" s="84">
        <v>107443</v>
      </c>
      <c r="G148" s="84">
        <v>138380</v>
      </c>
      <c r="H148" s="84">
        <v>176187</v>
      </c>
      <c r="I148" s="11"/>
      <c r="J148" s="84">
        <v>31999</v>
      </c>
      <c r="K148" s="84">
        <f>69466-J148</f>
        <v>37467</v>
      </c>
      <c r="L148" s="84">
        <f>101729-K148-J148</f>
        <v>32263</v>
      </c>
      <c r="M148" s="32">
        <f>SUM(G148-SUM(J148:L148))</f>
        <v>36651</v>
      </c>
      <c r="N148" s="84">
        <v>39897</v>
      </c>
      <c r="O148" s="84">
        <f>83671-N148</f>
        <v>43774</v>
      </c>
      <c r="P148" s="84">
        <f>126127-O148-N148</f>
        <v>42456</v>
      </c>
      <c r="Q148" s="32">
        <f>SUM(H148-SUM(N148:P148))</f>
        <v>50060</v>
      </c>
      <c r="R148" s="84">
        <f>64790+4854</f>
        <v>69644</v>
      </c>
      <c r="S148" s="84">
        <f>64790+21848-R148</f>
        <v>16994</v>
      </c>
      <c r="T148" s="84">
        <f>64790+60907-S148-R148</f>
        <v>39059</v>
      </c>
      <c r="V148" s="32">
        <f>SUM(K148:N148)</f>
        <v>146278</v>
      </c>
      <c r="W148" s="32">
        <f>SUM(L148:O148)</f>
        <v>152585</v>
      </c>
      <c r="X148" s="32">
        <f>SUM(M148:P148)</f>
        <v>162778</v>
      </c>
      <c r="Y148" s="32">
        <f>SUM(N148:Q148)</f>
        <v>176187</v>
      </c>
      <c r="Z148" s="32">
        <f>SUM(O148:R148)</f>
        <v>205934</v>
      </c>
      <c r="AA148" s="32">
        <f>SUM(P148:S148)</f>
        <v>179154</v>
      </c>
      <c r="AB148" s="32">
        <f>SUM(Q148:T148)</f>
        <v>175757</v>
      </c>
      <c r="AC148" s="67"/>
      <c r="AD148" s="46"/>
    </row>
    <row r="149" spans="2:30" ht="12.75" customHeight="1">
      <c r="B149" s="8" t="s">
        <v>153</v>
      </c>
      <c r="C149" s="84">
        <v>5843</v>
      </c>
      <c r="D149" s="84">
        <v>-17790</v>
      </c>
      <c r="E149" s="84">
        <v>-112461</v>
      </c>
      <c r="F149" s="84">
        <v>-82</v>
      </c>
      <c r="G149" s="84">
        <v>-32854</v>
      </c>
      <c r="H149" s="84">
        <v>3548</v>
      </c>
      <c r="I149" s="32"/>
      <c r="J149" s="84">
        <v>466</v>
      </c>
      <c r="K149" s="84">
        <f>1197-J149</f>
        <v>731</v>
      </c>
      <c r="L149" s="84">
        <f>-32724-K149-J149</f>
        <v>-33921</v>
      </c>
      <c r="M149" s="32">
        <f>SUM(G149-SUM(J149:L149))</f>
        <v>-130</v>
      </c>
      <c r="N149" s="84">
        <v>7</v>
      </c>
      <c r="O149" s="84">
        <f>7050-N149</f>
        <v>7043</v>
      </c>
      <c r="P149" s="84">
        <f>7384-O149-N149</f>
        <v>334</v>
      </c>
      <c r="Q149" s="32">
        <f>SUM(H149-SUM(N149:P149))</f>
        <v>-3836</v>
      </c>
      <c r="R149" s="84">
        <f>152 +116</f>
        <v>268</v>
      </c>
      <c r="S149" s="84">
        <f>152 +1412-R149</f>
        <v>1296</v>
      </c>
      <c r="T149" s="84">
        <f>1624-152-S149-R149</f>
        <v>-92</v>
      </c>
      <c r="U149" s="32"/>
      <c r="V149" s="32">
        <f>SUM(K149:N149)</f>
        <v>-33313</v>
      </c>
      <c r="W149" s="32">
        <f>SUM(L149:O149)</f>
        <v>-27001</v>
      </c>
      <c r="X149" s="32">
        <f>SUM(M149:P149)</f>
        <v>7254</v>
      </c>
      <c r="Y149" s="32">
        <f>SUM(N149:Q149)</f>
        <v>3548</v>
      </c>
      <c r="Z149" s="32">
        <f>SUM(O149:R149)</f>
        <v>3809</v>
      </c>
      <c r="AA149" s="32">
        <f>SUM(P149:S149)</f>
        <v>-1938</v>
      </c>
      <c r="AB149" s="32">
        <f>SUM(Q149:T149)</f>
        <v>-2364</v>
      </c>
      <c r="AC149" s="11"/>
      <c r="AD149" s="46"/>
    </row>
    <row r="150" spans="2:30" ht="5.0999999999999996" customHeight="1" thickBot="1">
      <c r="B150" s="75"/>
      <c r="C150" s="76"/>
      <c r="D150" s="76"/>
      <c r="E150" s="76"/>
      <c r="F150" s="76"/>
      <c r="G150" s="76"/>
      <c r="H150" s="76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  <c r="AD150" s="46"/>
    </row>
    <row r="151" spans="2:30" ht="12.75" customHeight="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34"/>
      <c r="AD151" s="46"/>
    </row>
    <row r="152" spans="2:30" ht="12.75" customHeight="1">
      <c r="B152" s="54"/>
      <c r="C152" s="68"/>
      <c r="D152" s="68"/>
      <c r="E152" s="68"/>
      <c r="F152" s="68"/>
      <c r="G152" s="68"/>
      <c r="H152" s="68"/>
    </row>
    <row r="153" spans="2:30" ht="12.75" customHeight="1">
      <c r="C153" s="57"/>
      <c r="D153" s="57"/>
      <c r="E153" s="57"/>
      <c r="F153" s="57"/>
      <c r="G153" s="57"/>
      <c r="H153" s="57"/>
    </row>
    <row r="154" spans="2:30" ht="12.75" customHeight="1">
      <c r="C154" s="57"/>
      <c r="D154" s="57"/>
      <c r="E154" s="57"/>
      <c r="F154" s="57"/>
      <c r="G154" s="57"/>
      <c r="H154" s="57"/>
    </row>
    <row r="155" spans="2:30" ht="12.75" customHeight="1">
      <c r="C155" s="57"/>
      <c r="D155" s="57"/>
      <c r="E155" s="57"/>
      <c r="F155" s="57"/>
      <c r="G155" s="57"/>
      <c r="H155" s="57"/>
    </row>
    <row r="156" spans="2:30" ht="12.75" customHeight="1">
      <c r="C156" s="57"/>
      <c r="D156" s="57"/>
      <c r="E156" s="57"/>
      <c r="F156" s="57"/>
      <c r="G156" s="57"/>
      <c r="H156" s="57"/>
    </row>
    <row r="157" spans="2:30" ht="12.75" customHeight="1">
      <c r="C157" s="57"/>
      <c r="D157" s="57"/>
      <c r="E157" s="57"/>
      <c r="F157" s="57"/>
      <c r="G157" s="57"/>
      <c r="H157" s="57"/>
      <c r="J157" s="89"/>
      <c r="K157" s="89"/>
      <c r="L157" s="89"/>
      <c r="M157" s="89"/>
      <c r="N157" s="89"/>
      <c r="O157" s="89"/>
    </row>
    <row r="158" spans="2:30" ht="12.75" customHeight="1">
      <c r="C158" s="57"/>
      <c r="D158" s="57"/>
      <c r="E158" s="57"/>
      <c r="F158" s="57"/>
      <c r="G158" s="57"/>
      <c r="H158" s="57"/>
    </row>
    <row r="159" spans="2:30" ht="12.75" customHeight="1">
      <c r="C159" s="57"/>
      <c r="D159" s="57"/>
      <c r="E159" s="57"/>
      <c r="F159" s="57"/>
      <c r="G159" s="57"/>
      <c r="H159" s="57"/>
      <c r="J159" s="89"/>
      <c r="K159" s="89"/>
      <c r="L159" s="89"/>
      <c r="M159" s="89"/>
      <c r="N159" s="89"/>
      <c r="O159" s="89"/>
    </row>
    <row r="160" spans="2:30">
      <c r="J160" s="89"/>
      <c r="K160" s="89"/>
      <c r="L160" s="89"/>
      <c r="M160" s="89"/>
      <c r="N160" s="89"/>
      <c r="O160" s="89"/>
    </row>
    <row r="161" spans="10:15">
      <c r="J161" s="89"/>
      <c r="K161" s="89"/>
      <c r="L161" s="89"/>
      <c r="M161" s="89"/>
      <c r="N161" s="89"/>
      <c r="O161" s="89"/>
    </row>
    <row r="163" spans="10:15">
      <c r="J163" s="89"/>
      <c r="K163" s="89"/>
      <c r="L163" s="89"/>
      <c r="M163" s="89"/>
      <c r="N163" s="89"/>
      <c r="O163" s="89"/>
    </row>
    <row r="164" spans="10:15">
      <c r="J164" s="89"/>
      <c r="K164" s="89"/>
      <c r="L164" s="89"/>
      <c r="M164" s="89"/>
      <c r="N164" s="89"/>
      <c r="O164" s="89"/>
    </row>
  </sheetData>
  <mergeCells count="4">
    <mergeCell ref="B151:AA151"/>
    <mergeCell ref="AD6:AD8"/>
    <mergeCell ref="AD44:AD46"/>
    <mergeCell ref="AD91:AD93"/>
  </mergeCells>
  <dataValidations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I54 V24:Y25 V33:Y33 C119:H124 V13:AB22 V10:AB11 V31:W31 V32:Y32 V26:AB30 Z32:AB32 X31:AB31 AA36 V34:AB35 V37:AB38 V36:Z36 AB36 V99:W115" formulaRange="1"/>
    <ignoredError sqref="C24:H25 C32:H33 J24:T25 J35:T37 J32:T33 AB116:AD118 C35:H37 J39:T40 AB126:AD127 AC124 AC128 AC125:AD125 J42:T42 Q41 M41 C39:H40 C42:H42" evalError="1"/>
    <ignoredError sqref="V140:AB141 Q141 M14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I13"/>
  <sheetViews>
    <sheetView showGridLines="0" zoomScale="130" zoomScaleNormal="130" workbookViewId="0">
      <selection activeCell="B33" sqref="B33"/>
    </sheetView>
  </sheetViews>
  <sheetFormatPr defaultRowHeight="12" outlineLevelCol="2"/>
  <cols>
    <col min="1" max="1" width="1.5" style="8" customWidth="1"/>
    <col min="2" max="2" width="21.125" style="8" bestFit="1" customWidth="1"/>
    <col min="3" max="4" width="8.625" style="8" hidden="1" customWidth="1" outlineLevel="2"/>
    <col min="5" max="5" width="8.625" style="8" hidden="1" customWidth="1" outlineLevel="1"/>
    <col min="6" max="6" width="8.625" style="8" bestFit="1" customWidth="1" collapsed="1"/>
    <col min="7" max="8" width="8.625" style="8" bestFit="1" customWidth="1"/>
    <col min="9" max="9" width="1.5" style="8" customWidth="1"/>
    <col min="10" max="12" width="8" style="8" hidden="1" customWidth="1" outlineLevel="1"/>
    <col min="13" max="13" width="8.75" style="8" hidden="1" customWidth="1" outlineLevel="1"/>
    <col min="14" max="14" width="8.5" style="8" customWidth="1" collapsed="1"/>
    <col min="15" max="15" width="8.25" style="8" bestFit="1" customWidth="1"/>
    <col min="16" max="16" width="8.5" style="8" bestFit="1" customWidth="1"/>
    <col min="17" max="20" width="9.125" style="8" bestFit="1" customWidth="1"/>
    <col min="21" max="21" width="1.5" style="8" customWidth="1"/>
    <col min="22" max="27" width="8.75" style="8" hidden="1" customWidth="1" outlineLevel="1"/>
    <col min="28" max="28" width="8.75" style="8" bestFit="1" customWidth="1" collapsed="1"/>
    <col min="29" max="31" width="8.75" style="8" hidden="1" customWidth="1" outlineLevel="1"/>
    <col min="32" max="32" width="8.75" style="8" bestFit="1" customWidth="1" collapsed="1"/>
    <col min="33" max="33" width="1.5" style="8" customWidth="1"/>
    <col min="34" max="34" width="9.875" style="8" bestFit="1" customWidth="1"/>
    <col min="35" max="16384" width="9" style="8"/>
  </cols>
  <sheetData>
    <row r="2" spans="1:34" s="5" customFormat="1" ht="12.75" customHeight="1">
      <c r="B2" s="1" t="s">
        <v>105</v>
      </c>
      <c r="C2" s="2"/>
      <c r="D2" s="2"/>
      <c r="E2" s="2"/>
      <c r="F2" s="2" t="s">
        <v>0</v>
      </c>
      <c r="G2" s="2"/>
      <c r="H2" s="2"/>
      <c r="I2" s="3"/>
      <c r="J2" s="2"/>
      <c r="K2" s="2"/>
      <c r="L2" s="2"/>
      <c r="M2" s="2"/>
      <c r="N2" s="2" t="s">
        <v>1</v>
      </c>
      <c r="O2" s="2" t="s">
        <v>1</v>
      </c>
      <c r="P2" s="2"/>
      <c r="Q2" s="2"/>
      <c r="R2" s="2"/>
      <c r="S2" s="2"/>
      <c r="T2" s="2"/>
      <c r="U2" s="3"/>
      <c r="V2" s="2" t="s">
        <v>10</v>
      </c>
      <c r="W2" s="2"/>
      <c r="X2" s="2"/>
      <c r="Y2" s="2"/>
      <c r="Z2" s="2" t="s">
        <v>10</v>
      </c>
      <c r="AA2" s="2"/>
      <c r="AB2" s="2" t="s">
        <v>10</v>
      </c>
      <c r="AC2" s="2"/>
      <c r="AD2" s="2"/>
      <c r="AE2" s="2"/>
      <c r="AF2" s="2"/>
      <c r="AG2" s="3"/>
      <c r="AH2" s="158" t="s">
        <v>24</v>
      </c>
    </row>
    <row r="3" spans="1:34" s="5" customFormat="1" ht="12.75" customHeight="1">
      <c r="B3" s="6" t="s">
        <v>68</v>
      </c>
      <c r="C3" s="7">
        <f>'Historical Financials'!C7</f>
        <v>2019</v>
      </c>
      <c r="D3" s="7">
        <f>'Historical Financials'!D7</f>
        <v>2020</v>
      </c>
      <c r="E3" s="7">
        <f>'Historical Financials'!E7</f>
        <v>2021</v>
      </c>
      <c r="F3" s="7">
        <f>'Historical Financials'!F7</f>
        <v>2022</v>
      </c>
      <c r="G3" s="7">
        <f>'Historical Financials'!G7</f>
        <v>2023</v>
      </c>
      <c r="H3" s="7">
        <f>'Historical Financials'!H7</f>
        <v>2024</v>
      </c>
      <c r="I3" s="3"/>
      <c r="J3" s="7" t="str">
        <f>'Historical Financials'!J7</f>
        <v>1Q23</v>
      </c>
      <c r="K3" s="7" t="str">
        <f>'Historical Financials'!K7</f>
        <v>2Q23</v>
      </c>
      <c r="L3" s="7" t="str">
        <f>'Historical Financials'!L7</f>
        <v>3Q23</v>
      </c>
      <c r="M3" s="7" t="str">
        <f>'Historical Financials'!M7</f>
        <v>4Q23</v>
      </c>
      <c r="N3" s="7" t="str">
        <f>'Historical Financials'!N7</f>
        <v>1Q24</v>
      </c>
      <c r="O3" s="7" t="str">
        <f>'Historical Financials'!O7</f>
        <v>2Q24</v>
      </c>
      <c r="P3" s="7" t="str">
        <f>'Historical Financials'!P7</f>
        <v>3Q24</v>
      </c>
      <c r="Q3" s="7" t="str">
        <f>'Historical Financials'!Q7</f>
        <v>4Q24</v>
      </c>
      <c r="R3" s="7" t="str">
        <f>'Historical Financials'!R7</f>
        <v>1Q25</v>
      </c>
      <c r="S3" s="7" t="str">
        <f>'Historical Financials'!S7</f>
        <v>2Q25</v>
      </c>
      <c r="T3" s="7" t="str">
        <f>'Historical Financials'!T7</f>
        <v>3Q25</v>
      </c>
      <c r="U3" s="4"/>
      <c r="V3" s="4" t="str">
        <f t="shared" ref="V3:AE4" si="0">J3</f>
        <v>1Q23</v>
      </c>
      <c r="W3" s="4" t="str">
        <f t="shared" si="0"/>
        <v>2Q23</v>
      </c>
      <c r="X3" s="4" t="str">
        <f t="shared" si="0"/>
        <v>3Q23</v>
      </c>
      <c r="Y3" s="4" t="str">
        <f t="shared" si="0"/>
        <v>4Q23</v>
      </c>
      <c r="Z3" s="4" t="str">
        <f t="shared" si="0"/>
        <v>1Q24</v>
      </c>
      <c r="AA3" s="4" t="str">
        <f t="shared" si="0"/>
        <v>2Q24</v>
      </c>
      <c r="AB3" s="4" t="str">
        <f t="shared" si="0"/>
        <v>3Q24</v>
      </c>
      <c r="AC3" s="4" t="str">
        <f t="shared" si="0"/>
        <v>4Q24</v>
      </c>
      <c r="AD3" s="4" t="str">
        <f t="shared" si="0"/>
        <v>1Q25</v>
      </c>
      <c r="AE3" s="4" t="str">
        <f t="shared" si="0"/>
        <v>2Q25</v>
      </c>
      <c r="AF3" s="4" t="str">
        <f>T3</f>
        <v>3Q25</v>
      </c>
      <c r="AG3" s="3"/>
      <c r="AH3" s="158"/>
    </row>
    <row r="4" spans="1:34" s="5" customFormat="1" ht="12.75" customHeight="1">
      <c r="B4" s="6" t="s">
        <v>109</v>
      </c>
      <c r="C4" s="3">
        <f>'Historical Financials'!C8</f>
        <v>43830</v>
      </c>
      <c r="D4" s="3">
        <f>'Historical Financials'!D8</f>
        <v>44196</v>
      </c>
      <c r="E4" s="3">
        <f>'Historical Financials'!E8</f>
        <v>44561</v>
      </c>
      <c r="F4" s="3">
        <f>'Historical Financials'!F8</f>
        <v>44926</v>
      </c>
      <c r="G4" s="3">
        <f>'Historical Financials'!G8</f>
        <v>45291</v>
      </c>
      <c r="H4" s="3">
        <f>'Historical Financials'!H8</f>
        <v>45657</v>
      </c>
      <c r="I4" s="3"/>
      <c r="J4" s="3">
        <f>'Historical Financials'!J8</f>
        <v>45016</v>
      </c>
      <c r="K4" s="3">
        <f>'Historical Financials'!K8</f>
        <v>45107</v>
      </c>
      <c r="L4" s="3">
        <f>'Historical Financials'!L8</f>
        <v>45199</v>
      </c>
      <c r="M4" s="3">
        <f>'Historical Financials'!M8</f>
        <v>45291</v>
      </c>
      <c r="N4" s="3">
        <f>'Historical Financials'!N8</f>
        <v>45382</v>
      </c>
      <c r="O4" s="3">
        <f>'Historical Financials'!O8</f>
        <v>45473</v>
      </c>
      <c r="P4" s="3">
        <f>'Historical Financials'!P8</f>
        <v>45565</v>
      </c>
      <c r="Q4" s="3">
        <f>'Historical Financials'!Q8</f>
        <v>45657</v>
      </c>
      <c r="R4" s="3">
        <f>'Historical Financials'!R8</f>
        <v>45747</v>
      </c>
      <c r="S4" s="3">
        <f>'Historical Financials'!S8</f>
        <v>45838</v>
      </c>
      <c r="T4" s="3">
        <f>'Historical Financials'!T8</f>
        <v>45930</v>
      </c>
      <c r="U4" s="3"/>
      <c r="V4" s="3">
        <f t="shared" si="0"/>
        <v>45016</v>
      </c>
      <c r="W4" s="3">
        <f t="shared" si="0"/>
        <v>45107</v>
      </c>
      <c r="X4" s="3">
        <f t="shared" si="0"/>
        <v>45199</v>
      </c>
      <c r="Y4" s="3">
        <f t="shared" si="0"/>
        <v>45291</v>
      </c>
      <c r="Z4" s="3">
        <f t="shared" si="0"/>
        <v>45382</v>
      </c>
      <c r="AA4" s="3">
        <f t="shared" si="0"/>
        <v>45473</v>
      </c>
      <c r="AB4" s="3">
        <f t="shared" si="0"/>
        <v>45565</v>
      </c>
      <c r="AC4" s="3">
        <f t="shared" si="0"/>
        <v>45657</v>
      </c>
      <c r="AD4" s="3">
        <f t="shared" si="0"/>
        <v>45747</v>
      </c>
      <c r="AE4" s="3">
        <f t="shared" si="0"/>
        <v>45838</v>
      </c>
      <c r="AF4" s="3">
        <f>T4</f>
        <v>45930</v>
      </c>
      <c r="AG4" s="3"/>
      <c r="AH4" s="158"/>
    </row>
    <row r="5" spans="1:34" ht="5.0999999999999996" customHeight="1"/>
    <row r="6" spans="1:34">
      <c r="A6" s="36" t="s">
        <v>18</v>
      </c>
      <c r="B6" s="1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5.0999999999999996" customHeight="1"/>
    <row r="8" spans="1:34" ht="12.75" customHeight="1">
      <c r="A8" s="82"/>
      <c r="B8" s="80" t="s">
        <v>94</v>
      </c>
      <c r="C8" s="2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5"/>
      <c r="V8" s="11"/>
      <c r="W8" s="11"/>
      <c r="X8" s="11"/>
      <c r="Y8" s="11"/>
      <c r="Z8" s="11"/>
      <c r="AA8" s="11"/>
      <c r="AB8" s="11"/>
      <c r="AC8" s="11"/>
      <c r="AD8" s="11"/>
      <c r="AE8" s="11"/>
      <c r="AH8" s="12"/>
    </row>
    <row r="9" spans="1:34" ht="12.75" customHeight="1">
      <c r="B9" s="9" t="s">
        <v>173</v>
      </c>
      <c r="C9" s="83">
        <v>3757605</v>
      </c>
      <c r="D9" s="83">
        <v>1765533</v>
      </c>
      <c r="E9" s="83">
        <v>3175802</v>
      </c>
      <c r="F9" s="83">
        <v>4989365</v>
      </c>
      <c r="G9" s="83">
        <v>5268161</v>
      </c>
      <c r="H9" s="83">
        <v>4811752</v>
      </c>
      <c r="I9" s="83"/>
      <c r="J9" s="83">
        <v>1327473</v>
      </c>
      <c r="K9" s="83">
        <v>1410061</v>
      </c>
      <c r="L9" s="83">
        <v>1233912</v>
      </c>
      <c r="M9" s="128">
        <f>SUM(G9-SUM(J9:L9))</f>
        <v>1296715</v>
      </c>
      <c r="N9" s="83">
        <v>1239310</v>
      </c>
      <c r="O9" s="83">
        <v>1253803</v>
      </c>
      <c r="P9" s="83">
        <v>1171405</v>
      </c>
      <c r="Q9" s="128">
        <f>SUM(H9-SUM(N9:P9))</f>
        <v>1147234</v>
      </c>
      <c r="R9" s="83">
        <f>740610+252959</f>
        <v>993569</v>
      </c>
      <c r="S9" s="83">
        <v>1000806</v>
      </c>
      <c r="T9" s="83">
        <f>937126</f>
        <v>937126</v>
      </c>
      <c r="U9" s="11"/>
      <c r="V9" s="11">
        <f>SUM(J9:J9)</f>
        <v>1327473</v>
      </c>
      <c r="W9" s="11">
        <f>SUM(J9:K9)</f>
        <v>2737534</v>
      </c>
      <c r="X9" s="11">
        <f>SUM(J9:L9)</f>
        <v>3971446</v>
      </c>
      <c r="Y9" s="11">
        <f t="shared" ref="Y9:AA9" si="1">SUM(J9:M9)</f>
        <v>5268161</v>
      </c>
      <c r="Z9" s="11">
        <f t="shared" si="1"/>
        <v>5179998</v>
      </c>
      <c r="AA9" s="11">
        <f t="shared" si="1"/>
        <v>5023740</v>
      </c>
      <c r="AB9" s="128">
        <f t="shared" ref="AB9:AF9" si="2">SUM(M9:P9)</f>
        <v>4961233</v>
      </c>
      <c r="AC9" s="128">
        <f t="shared" si="2"/>
        <v>4811752</v>
      </c>
      <c r="AD9" s="128">
        <f t="shared" si="2"/>
        <v>4566011</v>
      </c>
      <c r="AE9" s="128">
        <f t="shared" si="2"/>
        <v>4313014</v>
      </c>
      <c r="AF9" s="128">
        <f t="shared" si="2"/>
        <v>4078735</v>
      </c>
      <c r="AH9" s="12">
        <f t="shared" ref="AH9:AH11" si="3">SUM(AF9/AB9)-1</f>
        <v>-0.17787876521824308</v>
      </c>
    </row>
    <row r="10" spans="1:34" ht="12.75" customHeight="1">
      <c r="B10" s="9" t="s">
        <v>172</v>
      </c>
      <c r="C10" s="83">
        <v>72931</v>
      </c>
      <c r="D10" s="83">
        <v>44489</v>
      </c>
      <c r="E10" s="83">
        <v>54973</v>
      </c>
      <c r="F10" s="83">
        <v>79082</v>
      </c>
      <c r="G10" s="83">
        <v>94388</v>
      </c>
      <c r="H10" s="83">
        <v>101669</v>
      </c>
      <c r="I10" s="83"/>
      <c r="J10" s="83">
        <v>22301</v>
      </c>
      <c r="K10" s="83">
        <v>22411</v>
      </c>
      <c r="L10" s="83">
        <v>24631</v>
      </c>
      <c r="M10" s="128">
        <f>SUM(G10-SUM(J10:L10))</f>
        <v>25045</v>
      </c>
      <c r="N10" s="83">
        <v>26227</v>
      </c>
      <c r="O10" s="83">
        <v>27086</v>
      </c>
      <c r="P10" s="83">
        <v>25699</v>
      </c>
      <c r="Q10" s="128">
        <f>SUM(H10-SUM(N10:P10))</f>
        <v>22657</v>
      </c>
      <c r="R10" s="83">
        <f>14744+4086</f>
        <v>18830</v>
      </c>
      <c r="S10" s="83">
        <v>19027</v>
      </c>
      <c r="T10" s="83">
        <v>21398</v>
      </c>
      <c r="U10" s="11"/>
      <c r="V10" s="11"/>
      <c r="W10" s="11"/>
      <c r="X10" s="11"/>
      <c r="Y10" s="11"/>
      <c r="Z10" s="11"/>
      <c r="AA10" s="11"/>
      <c r="AB10" s="128">
        <f t="shared" ref="AB10:AF10" si="4">SUM(M10:P10)</f>
        <v>104057</v>
      </c>
      <c r="AC10" s="128">
        <f t="shared" si="4"/>
        <v>101669</v>
      </c>
      <c r="AD10" s="128">
        <f t="shared" si="4"/>
        <v>94272</v>
      </c>
      <c r="AE10" s="128">
        <f t="shared" si="4"/>
        <v>86213</v>
      </c>
      <c r="AF10" s="128">
        <f t="shared" si="4"/>
        <v>81912</v>
      </c>
      <c r="AH10" s="12">
        <f t="shared" si="3"/>
        <v>-0.212816052740325</v>
      </c>
    </row>
    <row r="11" spans="1:34" ht="12.75" customHeight="1">
      <c r="B11" s="13" t="s">
        <v>69</v>
      </c>
      <c r="C11" s="34">
        <f>SUM(C9:C10)</f>
        <v>3830536</v>
      </c>
      <c r="D11" s="34">
        <f>SUM(D9:D10)</f>
        <v>1810022</v>
      </c>
      <c r="E11" s="34">
        <f>SUM(E9:E10)</f>
        <v>3230775</v>
      </c>
      <c r="F11" s="34">
        <f>SUM(F9:F10)</f>
        <v>5068447</v>
      </c>
      <c r="G11" s="34">
        <f>SUM(G9:G10)</f>
        <v>5362549</v>
      </c>
      <c r="H11" s="34">
        <f>SUM(H9:H10)</f>
        <v>4913421</v>
      </c>
      <c r="I11" s="11"/>
      <c r="J11" s="34">
        <f>SUM(J9:J10)</f>
        <v>1349774</v>
      </c>
      <c r="K11" s="34">
        <f>SUM(K9:K10)</f>
        <v>1432472</v>
      </c>
      <c r="L11" s="34">
        <f>SUM(L9:L10)</f>
        <v>1258543</v>
      </c>
      <c r="M11" s="34">
        <f>SUM(M9:M10)</f>
        <v>1321760</v>
      </c>
      <c r="N11" s="34">
        <f>SUM(N9:N10)</f>
        <v>1265537</v>
      </c>
      <c r="O11" s="34">
        <f>SUM(O9:O10)</f>
        <v>1280889</v>
      </c>
      <c r="P11" s="34">
        <f>SUM(P9:P10)</f>
        <v>1197104</v>
      </c>
      <c r="Q11" s="34">
        <f>SUM(Q9:Q10)</f>
        <v>1169891</v>
      </c>
      <c r="R11" s="34">
        <f>SUM(R9:R10)</f>
        <v>1012399</v>
      </c>
      <c r="S11" s="34">
        <f>SUM(S9:S10)</f>
        <v>1019833</v>
      </c>
      <c r="T11" s="34">
        <f>SUM(T9:T10)</f>
        <v>958524</v>
      </c>
      <c r="U11" s="5"/>
      <c r="V11" s="34">
        <f>SUM(V9:V10)</f>
        <v>1327473</v>
      </c>
      <c r="W11" s="34">
        <f>SUM(W9:W10)</f>
        <v>2737534</v>
      </c>
      <c r="X11" s="34">
        <f>SUM(X9:X10)</f>
        <v>3971446</v>
      </c>
      <c r="Y11" s="34">
        <f>SUM(Y9:Y10)</f>
        <v>5268161</v>
      </c>
      <c r="Z11" s="34">
        <f>SUM(Z9:Z10)</f>
        <v>5179998</v>
      </c>
      <c r="AA11" s="34">
        <f>SUM(AA9:AA10)</f>
        <v>5023740</v>
      </c>
      <c r="AB11" s="34">
        <f>SUM(AB9:AB10)</f>
        <v>5065290</v>
      </c>
      <c r="AC11" s="34">
        <f>SUM(AC9:AC10)</f>
        <v>4913421</v>
      </c>
      <c r="AD11" s="34">
        <f>SUM(AD9:AD10)</f>
        <v>4660283</v>
      </c>
      <c r="AE11" s="34">
        <f>SUM(AE9:AE10)</f>
        <v>4399227</v>
      </c>
      <c r="AF11" s="34">
        <f>SUM(AF9:AF10)</f>
        <v>4160647</v>
      </c>
      <c r="AH11" s="15">
        <f t="shared" si="3"/>
        <v>-0.17859648707181619</v>
      </c>
    </row>
    <row r="12" spans="1:34">
      <c r="B12" s="137" t="s">
        <v>96</v>
      </c>
      <c r="C12" s="81">
        <f>+C11-'Historical Financials'!C11</f>
        <v>0</v>
      </c>
      <c r="D12" s="81">
        <f>+D11-'Historical Financials'!D11</f>
        <v>0</v>
      </c>
      <c r="E12" s="81">
        <f>+E11-'Historical Financials'!E11</f>
        <v>0</v>
      </c>
      <c r="F12" s="81">
        <f>+F11-'Historical Financials'!F11</f>
        <v>0</v>
      </c>
      <c r="G12" s="81">
        <f>+G11-'Historical Financials'!G11</f>
        <v>0</v>
      </c>
      <c r="H12" s="81">
        <f>'Historical Financials'!H11-'Revenue Drivers'!H11</f>
        <v>0</v>
      </c>
      <c r="I12" s="11"/>
      <c r="J12" s="81">
        <f>J11-'Historical Financials'!J11</f>
        <v>0</v>
      </c>
      <c r="K12" s="81">
        <f>K11-'Historical Financials'!K11</f>
        <v>0</v>
      </c>
      <c r="L12" s="81">
        <f>L11-'Historical Financials'!L11</f>
        <v>0</v>
      </c>
      <c r="M12" s="81">
        <f>M11-'Historical Financials'!M11</f>
        <v>0</v>
      </c>
      <c r="N12" s="81">
        <f>N11-'Historical Financials'!N11</f>
        <v>0</v>
      </c>
      <c r="O12" s="81">
        <f>O11-'Historical Financials'!O11</f>
        <v>0</v>
      </c>
      <c r="P12" s="81">
        <f>P11-'Historical Financials'!P11</f>
        <v>0</v>
      </c>
      <c r="Q12" s="81">
        <f>Q11-'Historical Financials'!Q11</f>
        <v>0</v>
      </c>
      <c r="R12" s="81">
        <f>R11-'Historical Financials'!R11</f>
        <v>0</v>
      </c>
      <c r="S12" s="81">
        <f>S11-'Historical Financials'!S11</f>
        <v>0</v>
      </c>
      <c r="T12" s="81">
        <f>T11-'Historical Financials'!T11</f>
        <v>0</v>
      </c>
      <c r="U12" s="81"/>
      <c r="V12" s="81" t="e">
        <f>+V11-'Historical Financials'!#REF!</f>
        <v>#REF!</v>
      </c>
      <c r="W12" s="81" t="e">
        <f>+W11-'Historical Financials'!#REF!</f>
        <v>#REF!</v>
      </c>
      <c r="X12" s="81" t="e">
        <f>+X11-'Historical Financials'!#REF!</f>
        <v>#REF!</v>
      </c>
      <c r="Y12" s="81" t="e">
        <f>+Y11-'Historical Financials'!#REF!</f>
        <v>#REF!</v>
      </c>
      <c r="Z12" s="81">
        <f>+Z11-'Historical Financials'!V11</f>
        <v>-98314</v>
      </c>
      <c r="AA12" s="81">
        <f>+AA11-'Historical Financials'!W11</f>
        <v>-102989</v>
      </c>
      <c r="AB12" s="81">
        <f>+AB11-'Historical Financials'!X11</f>
        <v>0</v>
      </c>
      <c r="AC12" s="81">
        <f>+AC11-'Historical Financials'!Y11</f>
        <v>0</v>
      </c>
      <c r="AD12" s="81">
        <f>+AD11-'Historical Financials'!Z11</f>
        <v>0</v>
      </c>
      <c r="AE12" s="81">
        <f>+AE11-'Historical Financials'!AA11</f>
        <v>0</v>
      </c>
      <c r="AF12" s="81">
        <f>AF11-'Historical Financials'!AB11</f>
        <v>0</v>
      </c>
    </row>
    <row r="13" spans="1:34" ht="5.0999999999999996" customHeight="1">
      <c r="B13" s="18"/>
      <c r="C13" s="18"/>
      <c r="D13" s="19"/>
      <c r="E13" s="19"/>
      <c r="F13" s="19"/>
      <c r="G13" s="19"/>
      <c r="H13" s="19"/>
      <c r="I13" s="20"/>
      <c r="J13" s="21"/>
      <c r="K13" s="21"/>
      <c r="L13" s="21"/>
      <c r="M13" s="22"/>
      <c r="N13" s="21"/>
      <c r="O13" s="21"/>
      <c r="P13" s="21"/>
      <c r="Q13" s="21"/>
      <c r="R13" s="21"/>
      <c r="S13" s="21"/>
      <c r="T13" s="21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</row>
  </sheetData>
  <mergeCells count="1">
    <mergeCell ref="AH2:AH4"/>
  </mergeCells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H9 AH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G104"/>
  <sheetViews>
    <sheetView showGridLines="0" zoomScale="115" zoomScaleNormal="115" workbookViewId="0">
      <selection activeCell="P13" sqref="P13"/>
    </sheetView>
  </sheetViews>
  <sheetFormatPr defaultRowHeight="12" outlineLevelCol="1"/>
  <cols>
    <col min="1" max="1" width="1.5" style="8" customWidth="1"/>
    <col min="2" max="2" width="44.625" style="8" customWidth="1"/>
    <col min="3" max="4" width="8.625" style="8" hidden="1" customWidth="1" outlineLevel="1"/>
    <col min="5" max="5" width="9" style="8" bestFit="1" customWidth="1" collapsed="1"/>
    <col min="6" max="6" width="9.25" style="8" bestFit="1" customWidth="1"/>
    <col min="7" max="7" width="9" style="8"/>
    <col min="8" max="8" width="1.5" style="8" customWidth="1"/>
    <col min="9" max="14" width="8.625" style="8" hidden="1" customWidth="1" outlineLevel="1"/>
    <col min="15" max="15" width="8.625" style="8" bestFit="1" customWidth="1" collapsed="1"/>
    <col min="16" max="19" width="8.625" style="8" bestFit="1" customWidth="1"/>
    <col min="20" max="20" width="1.625" style="8" customWidth="1"/>
    <col min="21" max="21" width="8.5" style="8" hidden="1" customWidth="1" outlineLevel="1"/>
    <col min="22" max="23" width="8.25" style="8" hidden="1" customWidth="1" outlineLevel="1"/>
    <col min="24" max="24" width="9.25" style="8" hidden="1" customWidth="1" outlineLevel="1"/>
    <col min="25" max="25" width="9.75" style="8" hidden="1" customWidth="1" outlineLevel="1"/>
    <col min="26" max="26" width="9" style="8" hidden="1" customWidth="1" outlineLevel="1"/>
    <col min="27" max="27" width="9" style="8" customWidth="1" collapsed="1"/>
    <col min="28" max="29" width="9" style="8" hidden="1" customWidth="1" outlineLevel="1"/>
    <col min="30" max="30" width="8.5" style="8" hidden="1" customWidth="1" outlineLevel="1"/>
    <col min="31" max="31" width="8.5" style="8" bestFit="1" customWidth="1" collapsed="1"/>
    <col min="32" max="32" width="1.5" style="8" customWidth="1"/>
    <col min="33" max="33" width="8.625" style="133" bestFit="1" customWidth="1"/>
    <col min="34" max="16384" width="9" style="8"/>
  </cols>
  <sheetData>
    <row r="2" spans="2:33" s="5" customFormat="1" ht="12.75" customHeight="1">
      <c r="B2" s="1" t="str">
        <f>'Historical Financials'!B2</f>
        <v>Spirit Airlines, Inc. (NASDAQ: FLYYQ)</v>
      </c>
      <c r="C2" s="2" t="s">
        <v>0</v>
      </c>
      <c r="D2" s="2"/>
      <c r="E2" s="2" t="s">
        <v>0</v>
      </c>
      <c r="F2" s="2"/>
      <c r="G2" s="2"/>
      <c r="H2" s="3"/>
      <c r="I2" s="2" t="s">
        <v>1</v>
      </c>
      <c r="J2" s="2"/>
      <c r="K2" s="2"/>
      <c r="L2" s="2"/>
      <c r="M2" s="2"/>
      <c r="N2" s="2"/>
      <c r="O2" s="2" t="s">
        <v>1</v>
      </c>
      <c r="P2" s="2"/>
      <c r="Q2" s="2"/>
      <c r="R2" s="2"/>
      <c r="S2" s="2"/>
      <c r="T2" s="3"/>
      <c r="U2" s="2"/>
      <c r="V2" s="2"/>
      <c r="W2" s="2"/>
      <c r="X2" s="2"/>
      <c r="Y2" s="2"/>
      <c r="Z2" s="2" t="s">
        <v>10</v>
      </c>
      <c r="AA2" s="2" t="s">
        <v>10</v>
      </c>
      <c r="AB2" s="2"/>
      <c r="AC2" s="2"/>
      <c r="AD2" s="2"/>
      <c r="AE2" s="2"/>
      <c r="AF2" s="3"/>
      <c r="AG2" s="161" t="s">
        <v>24</v>
      </c>
    </row>
    <row r="3" spans="2:33" s="5" customFormat="1" ht="12.75" customHeight="1">
      <c r="B3" s="6" t="s">
        <v>25</v>
      </c>
      <c r="C3" s="7">
        <f>'Historical Financials'!D7</f>
        <v>2020</v>
      </c>
      <c r="D3" s="7">
        <f>'Historical Financials'!E7</f>
        <v>2021</v>
      </c>
      <c r="E3" s="7">
        <f>'Historical Financials'!F7</f>
        <v>2022</v>
      </c>
      <c r="F3" s="7">
        <f>'Historical Financials'!G7</f>
        <v>2023</v>
      </c>
      <c r="G3" s="7">
        <f>'Historical Financials'!H7</f>
        <v>2024</v>
      </c>
      <c r="H3" s="3"/>
      <c r="I3" s="7" t="str">
        <f>'Historical Financials'!J7</f>
        <v>1Q23</v>
      </c>
      <c r="J3" s="7" t="str">
        <f>'Historical Financials'!K7</f>
        <v>2Q23</v>
      </c>
      <c r="K3" s="7" t="str">
        <f>'Historical Financials'!L7</f>
        <v>3Q23</v>
      </c>
      <c r="L3" s="7" t="str">
        <f>'Historical Financials'!M7</f>
        <v>4Q23</v>
      </c>
      <c r="M3" s="7" t="str">
        <f>'Historical Financials'!N7</f>
        <v>1Q24</v>
      </c>
      <c r="N3" s="7" t="str">
        <f>'Historical Financials'!O7</f>
        <v>2Q24</v>
      </c>
      <c r="O3" s="7" t="str">
        <f>'Historical Financials'!P7</f>
        <v>3Q24</v>
      </c>
      <c r="P3" s="7" t="str">
        <f>'Historical Financials'!Q7</f>
        <v>4Q24</v>
      </c>
      <c r="Q3" s="7" t="str">
        <f>'Historical Financials'!R7</f>
        <v>1Q25</v>
      </c>
      <c r="R3" s="7" t="str">
        <f>'Historical Financials'!S7</f>
        <v>2Q25</v>
      </c>
      <c r="S3" s="7" t="str">
        <f>'Historical Financials'!T7</f>
        <v>3Q25</v>
      </c>
      <c r="T3" s="3"/>
      <c r="U3" s="4" t="str">
        <f>I3</f>
        <v>1Q23</v>
      </c>
      <c r="V3" s="4" t="str">
        <f>J3</f>
        <v>2Q23</v>
      </c>
      <c r="W3" s="4" t="str">
        <f>K3</f>
        <v>3Q23</v>
      </c>
      <c r="X3" s="4" t="str">
        <f>L3</f>
        <v>4Q23</v>
      </c>
      <c r="Y3" s="4" t="str">
        <f>M3</f>
        <v>1Q24</v>
      </c>
      <c r="Z3" s="4" t="str">
        <f>N3</f>
        <v>2Q24</v>
      </c>
      <c r="AA3" s="4" t="str">
        <f>O3</f>
        <v>3Q24</v>
      </c>
      <c r="AB3" s="4" t="str">
        <f>P3</f>
        <v>4Q24</v>
      </c>
      <c r="AC3" s="4" t="str">
        <f>Q3</f>
        <v>1Q25</v>
      </c>
      <c r="AD3" s="4" t="str">
        <f>R3</f>
        <v>2Q25</v>
      </c>
      <c r="AE3" s="4" t="str">
        <f>S3</f>
        <v>3Q25</v>
      </c>
      <c r="AF3" s="3"/>
      <c r="AG3" s="161"/>
    </row>
    <row r="4" spans="2:33" s="5" customFormat="1" ht="12.75" customHeight="1">
      <c r="B4" s="6" t="s">
        <v>75</v>
      </c>
      <c r="C4" s="3">
        <f>'Historical Financials'!D8</f>
        <v>44196</v>
      </c>
      <c r="D4" s="3">
        <f>'Historical Financials'!E8</f>
        <v>44561</v>
      </c>
      <c r="E4" s="3">
        <f>'Historical Financials'!F8</f>
        <v>44926</v>
      </c>
      <c r="F4" s="3">
        <f>'Historical Financials'!G8</f>
        <v>45291</v>
      </c>
      <c r="G4" s="3">
        <f>'Historical Financials'!H8</f>
        <v>45657</v>
      </c>
      <c r="H4" s="3"/>
      <c r="I4" s="3">
        <f>'Historical Financials'!J8</f>
        <v>45016</v>
      </c>
      <c r="J4" s="3">
        <f>'Historical Financials'!K8</f>
        <v>45107</v>
      </c>
      <c r="K4" s="3">
        <f>'Historical Financials'!L8</f>
        <v>45199</v>
      </c>
      <c r="L4" s="3">
        <f>'Historical Financials'!M8</f>
        <v>45291</v>
      </c>
      <c r="M4" s="3">
        <f>'Historical Financials'!N8</f>
        <v>45382</v>
      </c>
      <c r="N4" s="3">
        <f>'Historical Financials'!O8</f>
        <v>45473</v>
      </c>
      <c r="O4" s="3">
        <f>'Historical Financials'!P8</f>
        <v>45565</v>
      </c>
      <c r="P4" s="3">
        <f>'Historical Financials'!Q8</f>
        <v>45657</v>
      </c>
      <c r="Q4" s="3">
        <f>'Historical Financials'!R8</f>
        <v>45747</v>
      </c>
      <c r="R4" s="3">
        <f>'Historical Financials'!S8</f>
        <v>45838</v>
      </c>
      <c r="S4" s="3">
        <f>'Historical Financials'!T8</f>
        <v>45930</v>
      </c>
      <c r="T4" s="3"/>
      <c r="U4" s="3">
        <f>I4</f>
        <v>45016</v>
      </c>
      <c r="V4" s="3">
        <f>J4</f>
        <v>45107</v>
      </c>
      <c r="W4" s="3">
        <f>K4</f>
        <v>45199</v>
      </c>
      <c r="X4" s="3">
        <f>L4</f>
        <v>45291</v>
      </c>
      <c r="Y4" s="3">
        <f>M4</f>
        <v>45382</v>
      </c>
      <c r="Z4" s="3">
        <f>N4</f>
        <v>45473</v>
      </c>
      <c r="AA4" s="3">
        <f>O4</f>
        <v>45565</v>
      </c>
      <c r="AB4" s="3">
        <f>P4</f>
        <v>45657</v>
      </c>
      <c r="AC4" s="3">
        <f>Q4</f>
        <v>45747</v>
      </c>
      <c r="AD4" s="3">
        <f>R4</f>
        <v>45838</v>
      </c>
      <c r="AE4" s="3">
        <f>S4</f>
        <v>45930</v>
      </c>
      <c r="AF4" s="3"/>
      <c r="AG4" s="161"/>
    </row>
    <row r="5" spans="2:33" ht="5.0999999999999996" customHeight="1">
      <c r="AG5" s="129"/>
    </row>
    <row r="6" spans="2:33" ht="12.75" customHeight="1">
      <c r="B6" s="9" t="str">
        <f>'Revenue Drivers'!B9</f>
        <v xml:space="preserve">Passenger </v>
      </c>
      <c r="C6" s="97">
        <f>'Revenue Drivers'!D9/1000</f>
        <v>1765.5329999999999</v>
      </c>
      <c r="D6" s="97">
        <f>'Revenue Drivers'!E9/1000</f>
        <v>3175.8020000000001</v>
      </c>
      <c r="E6" s="97">
        <f>'Revenue Drivers'!F9/1000</f>
        <v>4989.3649999999998</v>
      </c>
      <c r="F6" s="97">
        <f>'Revenue Drivers'!G9/1000</f>
        <v>5268.1610000000001</v>
      </c>
      <c r="G6" s="97">
        <f>'Revenue Drivers'!H9/1000</f>
        <v>4811.7520000000004</v>
      </c>
      <c r="H6" s="10"/>
      <c r="I6" s="97">
        <f>'Revenue Drivers'!J9/1000</f>
        <v>1327.473</v>
      </c>
      <c r="J6" s="97">
        <f>'Revenue Drivers'!K9/1000</f>
        <v>1410.0609999999999</v>
      </c>
      <c r="K6" s="97">
        <f>'Revenue Drivers'!L9/1000</f>
        <v>1233.912</v>
      </c>
      <c r="L6" s="97">
        <f>'Revenue Drivers'!M9/1000</f>
        <v>1296.7149999999999</v>
      </c>
      <c r="M6" s="97">
        <f>'Revenue Drivers'!N9/1000</f>
        <v>1239.31</v>
      </c>
      <c r="N6" s="97">
        <f>'Revenue Drivers'!O9/1000</f>
        <v>1253.8030000000001</v>
      </c>
      <c r="O6" s="97">
        <f>'Revenue Drivers'!P9/1000</f>
        <v>1171.405</v>
      </c>
      <c r="P6" s="97">
        <f>'Revenue Drivers'!Q9/1000</f>
        <v>1147.2339999999999</v>
      </c>
      <c r="Q6" s="97">
        <f>'Revenue Drivers'!R9/1000</f>
        <v>993.56899999999996</v>
      </c>
      <c r="R6" s="97">
        <f>'Revenue Drivers'!S9/1000</f>
        <v>1000.806</v>
      </c>
      <c r="S6" s="97">
        <f>'Revenue Drivers'!T9/1000</f>
        <v>937.12599999999998</v>
      </c>
      <c r="T6" s="5"/>
      <c r="U6" s="151">
        <f t="shared" ref="U6:AD7" si="0">SUM(F6:I6)</f>
        <v>11407.386</v>
      </c>
      <c r="V6" s="151">
        <f t="shared" si="0"/>
        <v>7549.2860000000001</v>
      </c>
      <c r="W6" s="151">
        <f t="shared" si="0"/>
        <v>3971.4459999999999</v>
      </c>
      <c r="X6" s="151">
        <f t="shared" si="0"/>
        <v>5268.1610000000001</v>
      </c>
      <c r="Y6" s="151">
        <f t="shared" si="0"/>
        <v>5179.9979999999996</v>
      </c>
      <c r="Z6" s="151">
        <f t="shared" si="0"/>
        <v>5023.74</v>
      </c>
      <c r="AA6" s="151">
        <f t="shared" si="0"/>
        <v>4961.2329999999993</v>
      </c>
      <c r="AB6" s="151">
        <f t="shared" si="0"/>
        <v>4811.7520000000004</v>
      </c>
      <c r="AC6" s="151">
        <f t="shared" si="0"/>
        <v>4566.0110000000004</v>
      </c>
      <c r="AD6" s="151">
        <f t="shared" si="0"/>
        <v>4313.0140000000001</v>
      </c>
      <c r="AE6" s="151">
        <f>SUM(P6:S6)</f>
        <v>4078.7349999999997</v>
      </c>
      <c r="AG6" s="130">
        <f t="shared" ref="AG6:AG8" si="1">SUM(AE6/AA6)-1</f>
        <v>-0.17787876521824308</v>
      </c>
    </row>
    <row r="7" spans="2:33" ht="12.75" customHeight="1">
      <c r="B7" s="9" t="str">
        <f>'Revenue Drivers'!B10</f>
        <v>Other</v>
      </c>
      <c r="C7" s="97">
        <f>'Revenue Drivers'!D10/1000</f>
        <v>44.488999999999997</v>
      </c>
      <c r="D7" s="97">
        <f>'Revenue Drivers'!E10/1000</f>
        <v>54.972999999999999</v>
      </c>
      <c r="E7" s="97">
        <f>'Revenue Drivers'!F10/1000</f>
        <v>79.081999999999994</v>
      </c>
      <c r="F7" s="97">
        <f>'Revenue Drivers'!G10/1000</f>
        <v>94.388000000000005</v>
      </c>
      <c r="G7" s="97">
        <f>'Revenue Drivers'!H10/1000</f>
        <v>101.669</v>
      </c>
      <c r="H7" s="10"/>
      <c r="I7" s="97">
        <f>'Revenue Drivers'!J10/1000</f>
        <v>22.300999999999998</v>
      </c>
      <c r="J7" s="97">
        <f>'Revenue Drivers'!K10/1000</f>
        <v>22.411000000000001</v>
      </c>
      <c r="K7" s="97">
        <f>'Revenue Drivers'!L10/1000</f>
        <v>24.631</v>
      </c>
      <c r="L7" s="97">
        <f>'Revenue Drivers'!M10/1000</f>
        <v>25.045000000000002</v>
      </c>
      <c r="M7" s="97">
        <f>'Revenue Drivers'!N10/1000</f>
        <v>26.227</v>
      </c>
      <c r="N7" s="97">
        <f>'Revenue Drivers'!O10/1000</f>
        <v>27.085999999999999</v>
      </c>
      <c r="O7" s="97">
        <f>'Revenue Drivers'!P10/1000</f>
        <v>25.699000000000002</v>
      </c>
      <c r="P7" s="97">
        <f>'Revenue Drivers'!Q10/1000</f>
        <v>22.657</v>
      </c>
      <c r="Q7" s="97">
        <f>'Revenue Drivers'!R10/1000</f>
        <v>18.829999999999998</v>
      </c>
      <c r="R7" s="97">
        <f>'Revenue Drivers'!S10/1000</f>
        <v>19.027000000000001</v>
      </c>
      <c r="S7" s="97">
        <f>'Revenue Drivers'!T10/1000</f>
        <v>21.398</v>
      </c>
      <c r="T7" s="5"/>
      <c r="U7" s="151">
        <f t="shared" si="0"/>
        <v>218.358</v>
      </c>
      <c r="V7" s="151">
        <f t="shared" si="0"/>
        <v>146.381</v>
      </c>
      <c r="W7" s="151">
        <f t="shared" si="0"/>
        <v>69.343000000000004</v>
      </c>
      <c r="X7" s="151">
        <f t="shared" si="0"/>
        <v>94.388000000000005</v>
      </c>
      <c r="Y7" s="151">
        <f t="shared" si="0"/>
        <v>98.314000000000007</v>
      </c>
      <c r="Z7" s="151">
        <f t="shared" si="0"/>
        <v>102.989</v>
      </c>
      <c r="AA7" s="151">
        <f t="shared" si="0"/>
        <v>104.057</v>
      </c>
      <c r="AB7" s="151">
        <f t="shared" si="0"/>
        <v>101.669</v>
      </c>
      <c r="AC7" s="151">
        <f t="shared" si="0"/>
        <v>94.271999999999991</v>
      </c>
      <c r="AD7" s="151">
        <f t="shared" si="0"/>
        <v>86.213000000000008</v>
      </c>
      <c r="AE7" s="151">
        <f>SUM(P7:S7)</f>
        <v>81.911999999999992</v>
      </c>
      <c r="AG7" s="130">
        <f t="shared" si="1"/>
        <v>-0.21281605274032511</v>
      </c>
    </row>
    <row r="8" spans="2:33" ht="12.75" customHeight="1">
      <c r="B8" s="13" t="s">
        <v>12</v>
      </c>
      <c r="C8" s="14">
        <f>SUM(C6:C7)</f>
        <v>1810.0219999999999</v>
      </c>
      <c r="D8" s="14">
        <f>SUM(D6:D7)</f>
        <v>3230.7750000000001</v>
      </c>
      <c r="E8" s="14">
        <f>SUM(E6:E7)</f>
        <v>5068.4470000000001</v>
      </c>
      <c r="F8" s="14">
        <f>SUM(F6:F7)</f>
        <v>5362.549</v>
      </c>
      <c r="G8" s="14">
        <f>SUM(G6:G7)</f>
        <v>4913.4210000000003</v>
      </c>
      <c r="H8" s="10"/>
      <c r="I8" s="14">
        <f>SUM(I6:I7)</f>
        <v>1349.7739999999999</v>
      </c>
      <c r="J8" s="14">
        <f>SUM(J6:J7)</f>
        <v>1432.472</v>
      </c>
      <c r="K8" s="14">
        <f>SUM(K6:K7)</f>
        <v>1258.5430000000001</v>
      </c>
      <c r="L8" s="14">
        <f>SUM(L6:L7)</f>
        <v>1321.76</v>
      </c>
      <c r="M8" s="14">
        <f>SUM(M6:M7)</f>
        <v>1265.537</v>
      </c>
      <c r="N8" s="14">
        <f>SUM(N6:N7)</f>
        <v>1280.8890000000001</v>
      </c>
      <c r="O8" s="14">
        <f>SUM(O6:O7)</f>
        <v>1197.104</v>
      </c>
      <c r="P8" s="14">
        <f>SUM(P6:P7)</f>
        <v>1169.8909999999998</v>
      </c>
      <c r="Q8" s="14">
        <f>SUM(Q6:Q7)</f>
        <v>1012.399</v>
      </c>
      <c r="R8" s="14">
        <f>SUM(R6:R7)</f>
        <v>1019.8330000000001</v>
      </c>
      <c r="S8" s="14">
        <f>SUM(S6:S7)</f>
        <v>958.524</v>
      </c>
      <c r="T8" s="5"/>
      <c r="U8" s="14">
        <f>SUM(U6:U7)</f>
        <v>11625.744000000001</v>
      </c>
      <c r="V8" s="14">
        <f>SUM(V6:V7)</f>
        <v>7695.6670000000004</v>
      </c>
      <c r="W8" s="14">
        <f>SUM(W6:W7)</f>
        <v>4040.7889999999998</v>
      </c>
      <c r="X8" s="14">
        <f>SUM(X6:X7)</f>
        <v>5362.549</v>
      </c>
      <c r="Y8" s="14">
        <f>SUM(Y6:Y7)</f>
        <v>5278.3119999999999</v>
      </c>
      <c r="Z8" s="14">
        <f>SUM(Z6:Z7)</f>
        <v>5126.7289999999994</v>
      </c>
      <c r="AA8" s="14">
        <f>SUM(AA6:AA7)</f>
        <v>5065.2899999999991</v>
      </c>
      <c r="AB8" s="14">
        <f>SUM(AB6:AB7)</f>
        <v>4913.4210000000003</v>
      </c>
      <c r="AC8" s="14">
        <f>SUM(AC6:AC7)</f>
        <v>4660.2830000000004</v>
      </c>
      <c r="AD8" s="14">
        <f>SUM(AD6:AD7)</f>
        <v>4399.2269999999999</v>
      </c>
      <c r="AE8" s="14">
        <f>SUM(AE6:AE7)</f>
        <v>4160.6469999999999</v>
      </c>
      <c r="AG8" s="131">
        <f t="shared" si="1"/>
        <v>-0.17859648707181608</v>
      </c>
    </row>
    <row r="9" spans="2:33" ht="12.75" customHeight="1">
      <c r="B9" s="16" t="s">
        <v>28</v>
      </c>
      <c r="C9" s="156"/>
      <c r="D9" s="17">
        <f>SUM(D8/C8)-1</f>
        <v>0.78493686817066322</v>
      </c>
      <c r="E9" s="17">
        <f>SUM(E8/D8)-1</f>
        <v>0.56880222237698375</v>
      </c>
      <c r="F9" s="17">
        <f>SUM(F8/E8)-1</f>
        <v>5.8026058080512533E-2</v>
      </c>
      <c r="G9" s="17">
        <f>SUM(G8/F8)-1</f>
        <v>-8.3752707900664358E-2</v>
      </c>
      <c r="H9" s="11"/>
      <c r="I9" s="156"/>
      <c r="J9" s="156"/>
      <c r="K9" s="156"/>
      <c r="L9" s="156"/>
      <c r="M9" s="17">
        <f t="shared" ref="M9:S9" si="2">SUM(M8/I8)-1</f>
        <v>-6.2408225376988979E-2</v>
      </c>
      <c r="N9" s="17">
        <f t="shared" si="2"/>
        <v>-0.10581917133458796</v>
      </c>
      <c r="O9" s="17">
        <f t="shared" si="2"/>
        <v>-4.8817561259329345E-2</v>
      </c>
      <c r="P9" s="17">
        <f t="shared" si="2"/>
        <v>-0.11489907396199017</v>
      </c>
      <c r="Q9" s="17">
        <f t="shared" si="2"/>
        <v>-0.20002417945899653</v>
      </c>
      <c r="R9" s="17">
        <f t="shared" si="2"/>
        <v>-0.20380844866338932</v>
      </c>
      <c r="S9" s="17">
        <f t="shared" si="2"/>
        <v>-0.19929763830043179</v>
      </c>
      <c r="T9" s="5"/>
      <c r="U9" s="118"/>
      <c r="V9" s="118"/>
      <c r="W9" s="17" t="e">
        <f>SUM(W8/#REF!)-1</f>
        <v>#REF!</v>
      </c>
      <c r="X9" s="17" t="e">
        <f>SUM(X8/#REF!)-1</f>
        <v>#REF!</v>
      </c>
      <c r="Y9" s="17">
        <f t="shared" ref="Y9:AE9" si="3">SUM(Y8/U8)-1</f>
        <v>-0.54598071314833696</v>
      </c>
      <c r="Z9" s="17">
        <f t="shared" si="3"/>
        <v>-0.33381615914513985</v>
      </c>
      <c r="AA9" s="17">
        <f t="shared" si="3"/>
        <v>0.25353984085781245</v>
      </c>
      <c r="AB9" s="17">
        <f t="shared" si="3"/>
        <v>-8.3752707900664358E-2</v>
      </c>
      <c r="AC9" s="17">
        <f t="shared" si="3"/>
        <v>-0.11708837976989606</v>
      </c>
      <c r="AD9" s="17">
        <f t="shared" si="3"/>
        <v>-0.14190373628096975</v>
      </c>
      <c r="AE9" s="17">
        <f t="shared" si="3"/>
        <v>-0.17859648707181608</v>
      </c>
      <c r="AG9" s="132">
        <f>SUM(AE9-AA9)*10000</f>
        <v>-4321.3632792962853</v>
      </c>
    </row>
    <row r="10" spans="2:33" ht="12.75" customHeight="1">
      <c r="B10" s="16" t="s">
        <v>29</v>
      </c>
      <c r="C10" s="17" t="s">
        <v>30</v>
      </c>
      <c r="D10" s="17" t="s">
        <v>30</v>
      </c>
      <c r="E10" s="17" t="s">
        <v>30</v>
      </c>
      <c r="F10" s="17" t="s">
        <v>30</v>
      </c>
      <c r="G10" s="17" t="s">
        <v>30</v>
      </c>
      <c r="H10" s="11"/>
      <c r="I10" s="156"/>
      <c r="J10" s="17">
        <f t="shared" ref="J10:S10" si="4">SUM(J8/I8)-1</f>
        <v>6.1268034500590485E-2</v>
      </c>
      <c r="K10" s="17">
        <f t="shared" si="4"/>
        <v>-0.12141877816808977</v>
      </c>
      <c r="L10" s="17">
        <f t="shared" si="4"/>
        <v>5.0230305996695979E-2</v>
      </c>
      <c r="M10" s="17">
        <f t="shared" si="4"/>
        <v>-4.2536466529475847E-2</v>
      </c>
      <c r="N10" s="17">
        <f t="shared" si="4"/>
        <v>1.2130818774954921E-2</v>
      </c>
      <c r="O10" s="17">
        <f t="shared" si="4"/>
        <v>-6.5411600849097806E-2</v>
      </c>
      <c r="P10" s="17">
        <f t="shared" si="4"/>
        <v>-2.2732360763977222E-2</v>
      </c>
      <c r="Q10" s="17">
        <f t="shared" si="4"/>
        <v>-0.13462108863133393</v>
      </c>
      <c r="R10" s="17">
        <f t="shared" si="4"/>
        <v>7.3429547046175436E-3</v>
      </c>
      <c r="S10" s="17">
        <f t="shared" si="4"/>
        <v>-6.0116705382155744E-2</v>
      </c>
      <c r="T10" s="5"/>
      <c r="U10" s="17" t="s">
        <v>30</v>
      </c>
      <c r="V10" s="17" t="s">
        <v>30</v>
      </c>
      <c r="W10" s="17" t="s">
        <v>30</v>
      </c>
      <c r="X10" s="17" t="s">
        <v>30</v>
      </c>
      <c r="Y10" s="17" t="s">
        <v>30</v>
      </c>
      <c r="Z10" s="17" t="s">
        <v>30</v>
      </c>
      <c r="AA10" s="17" t="s">
        <v>30</v>
      </c>
      <c r="AB10" s="17" t="s">
        <v>30</v>
      </c>
      <c r="AC10" s="17" t="s">
        <v>30</v>
      </c>
      <c r="AD10" s="17" t="s">
        <v>30</v>
      </c>
      <c r="AE10" s="17" t="s">
        <v>30</v>
      </c>
      <c r="AG10" s="129"/>
    </row>
    <row r="11" spans="2:33" ht="5.0999999999999996" customHeight="1">
      <c r="B11" s="18"/>
      <c r="C11" s="97"/>
      <c r="D11" s="19"/>
      <c r="E11" s="19"/>
      <c r="F11" s="19"/>
      <c r="G11" s="19"/>
      <c r="H11" s="20"/>
      <c r="I11" s="21"/>
      <c r="J11" s="21"/>
      <c r="K11" s="21"/>
      <c r="L11" s="22"/>
      <c r="M11" s="21"/>
      <c r="N11" s="21"/>
      <c r="O11" s="21"/>
      <c r="P11" s="21"/>
      <c r="Q11" s="21"/>
      <c r="R11" s="21"/>
      <c r="S11" s="21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129"/>
    </row>
    <row r="12" spans="2:33" ht="5.0999999999999996" customHeight="1">
      <c r="B12" s="29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5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G12" s="129"/>
    </row>
    <row r="13" spans="2:33" ht="12.75" customHeight="1">
      <c r="B13" s="23" t="s">
        <v>174</v>
      </c>
      <c r="C13" s="150">
        <f>'Historical Financials'!D13/1000</f>
        <v>-909.83399999999995</v>
      </c>
      <c r="D13" s="150">
        <f>'Historical Financials'!E13/1000</f>
        <v>-1065.461</v>
      </c>
      <c r="E13" s="150">
        <f>'Historical Financials'!F13/1000</f>
        <v>-1251.2249999999999</v>
      </c>
      <c r="F13" s="150">
        <f>'Historical Financials'!G13/1000</f>
        <v>-1616.8030000000001</v>
      </c>
      <c r="G13" s="150">
        <f>'Historical Financials'!H13/1000</f>
        <v>-1689.0830000000001</v>
      </c>
      <c r="H13" s="97"/>
      <c r="I13" s="150">
        <f>'Historical Financials'!J13/1000</f>
        <v>-389.185</v>
      </c>
      <c r="J13" s="150">
        <f>'Historical Financials'!K13/1000</f>
        <v>-407.70499999999998</v>
      </c>
      <c r="K13" s="150">
        <f>'Historical Financials'!L13/1000</f>
        <v>-404.17700000000002</v>
      </c>
      <c r="L13" s="150">
        <f>'Historical Financials'!M13/1000</f>
        <v>-415.73599999999999</v>
      </c>
      <c r="M13" s="150">
        <f>'Historical Financials'!N13/1000</f>
        <v>-431.483</v>
      </c>
      <c r="N13" s="150">
        <f>'Historical Financials'!O13/1000</f>
        <v>-418.37799999999999</v>
      </c>
      <c r="O13" s="150">
        <f>'Historical Financials'!P13/1000</f>
        <v>-427.125</v>
      </c>
      <c r="P13" s="150">
        <f>'Historical Financials'!Q13/1000</f>
        <v>-412.09699999999998</v>
      </c>
      <c r="Q13" s="150">
        <f>'Historical Financials'!R13/1000</f>
        <v>-384.79700000000003</v>
      </c>
      <c r="R13" s="150">
        <f>'Historical Financials'!S13/1000</f>
        <v>-367.36099999999999</v>
      </c>
      <c r="S13" s="150">
        <f>'Historical Financials'!T13/1000</f>
        <v>-367.35599999999999</v>
      </c>
      <c r="T13" s="5"/>
      <c r="U13" s="151">
        <f t="shared" ref="U13:AD22" si="5">SUM(F13:I13)</f>
        <v>-3695.0710000000004</v>
      </c>
      <c r="V13" s="151">
        <f t="shared" si="5"/>
        <v>-2485.973</v>
      </c>
      <c r="W13" s="151">
        <f t="shared" si="5"/>
        <v>-1201.067</v>
      </c>
      <c r="X13" s="151">
        <f t="shared" si="5"/>
        <v>-1616.8029999999999</v>
      </c>
      <c r="Y13" s="151">
        <f t="shared" si="5"/>
        <v>-1659.1009999999999</v>
      </c>
      <c r="Z13" s="151">
        <f t="shared" si="5"/>
        <v>-1669.7739999999999</v>
      </c>
      <c r="AA13" s="151">
        <f t="shared" si="5"/>
        <v>-1692.722</v>
      </c>
      <c r="AB13" s="151">
        <f t="shared" si="5"/>
        <v>-1689.0829999999999</v>
      </c>
      <c r="AC13" s="151">
        <f t="shared" si="5"/>
        <v>-1642.3969999999999</v>
      </c>
      <c r="AD13" s="151">
        <f t="shared" si="5"/>
        <v>-1591.38</v>
      </c>
      <c r="AE13" s="151">
        <f>SUM(P13:S13)</f>
        <v>-1531.6110000000001</v>
      </c>
      <c r="AG13" s="130">
        <f t="shared" ref="AG13:AG22" si="6">SUM(AE13/AA13)-1</f>
        <v>-9.5178653080659315E-2</v>
      </c>
    </row>
    <row r="14" spans="2:33" ht="12.75" customHeight="1">
      <c r="B14" s="23" t="s">
        <v>175</v>
      </c>
      <c r="C14" s="150">
        <f>'Historical Financials'!D14/1000</f>
        <v>-431</v>
      </c>
      <c r="D14" s="150">
        <f>'Historical Financials'!E14/1000</f>
        <v>-913.94500000000005</v>
      </c>
      <c r="E14" s="150">
        <f>'Historical Financials'!F14/1000</f>
        <v>-1929.9690000000001</v>
      </c>
      <c r="F14" s="150">
        <f>'Historical Financials'!G14/1000</f>
        <v>-1821.165</v>
      </c>
      <c r="G14" s="150">
        <f>'Historical Financials'!H14/1000</f>
        <v>-1479.203</v>
      </c>
      <c r="H14" s="97"/>
      <c r="I14" s="150">
        <f>'Historical Financials'!J14/1000</f>
        <v>-487.71100000000001</v>
      </c>
      <c r="J14" s="150">
        <f>'Historical Financials'!K14/1000</f>
        <v>-391.03199999999998</v>
      </c>
      <c r="K14" s="150">
        <f>'Historical Financials'!L14/1000</f>
        <v>-455.24099999999999</v>
      </c>
      <c r="L14" s="150">
        <f>'Historical Financials'!M14/1000</f>
        <v>-487.18099999999998</v>
      </c>
      <c r="M14" s="150">
        <f>'Historical Financials'!N14/1000</f>
        <v>-406.351</v>
      </c>
      <c r="N14" s="150">
        <f>'Historical Financials'!O14/1000</f>
        <v>-407.29599999999999</v>
      </c>
      <c r="O14" s="150">
        <f>'Historical Financials'!P14/1000</f>
        <v>-373.399</v>
      </c>
      <c r="P14" s="150">
        <f>'Historical Financials'!Q14/1000</f>
        <v>-292.15699999999998</v>
      </c>
      <c r="Q14" s="150">
        <f>'Historical Financials'!R14/1000</f>
        <v>-280.71899999999999</v>
      </c>
      <c r="R14" s="150">
        <f>'Historical Financials'!S14/1000</f>
        <v>-260.48599999999999</v>
      </c>
      <c r="S14" s="150">
        <f>'Historical Financials'!T14/1000</f>
        <v>-253.30799999999999</v>
      </c>
      <c r="T14" s="5"/>
      <c r="U14" s="151">
        <f t="shared" si="5"/>
        <v>-3788.0789999999997</v>
      </c>
      <c r="V14" s="151">
        <f t="shared" si="5"/>
        <v>-2357.9459999999999</v>
      </c>
      <c r="W14" s="151">
        <f t="shared" si="5"/>
        <v>-1333.9839999999999</v>
      </c>
      <c r="X14" s="151">
        <f t="shared" si="5"/>
        <v>-1821.165</v>
      </c>
      <c r="Y14" s="151">
        <f t="shared" si="5"/>
        <v>-1739.8049999999998</v>
      </c>
      <c r="Z14" s="151">
        <f t="shared" si="5"/>
        <v>-1756.0690000000002</v>
      </c>
      <c r="AA14" s="151">
        <f t="shared" si="5"/>
        <v>-1674.2269999999999</v>
      </c>
      <c r="AB14" s="151">
        <f t="shared" si="5"/>
        <v>-1479.2029999999997</v>
      </c>
      <c r="AC14" s="151">
        <f t="shared" si="5"/>
        <v>-1353.5709999999999</v>
      </c>
      <c r="AD14" s="151">
        <f t="shared" si="5"/>
        <v>-1206.761</v>
      </c>
      <c r="AE14" s="151">
        <f>SUM(P14:S14)</f>
        <v>-1086.67</v>
      </c>
      <c r="AG14" s="130">
        <f t="shared" si="6"/>
        <v>-0.35094225573951432</v>
      </c>
    </row>
    <row r="15" spans="2:33" ht="12.75" customHeight="1">
      <c r="B15" s="23" t="s">
        <v>176</v>
      </c>
      <c r="C15" s="150">
        <f>'Historical Financials'!D15/1000</f>
        <v>-196.35900000000001</v>
      </c>
      <c r="D15" s="150">
        <f>'Historical Financials'!E15/1000</f>
        <v>-246.601</v>
      </c>
      <c r="E15" s="150">
        <f>'Historical Financials'!F15/1000</f>
        <v>-282.428</v>
      </c>
      <c r="F15" s="150">
        <f>'Historical Financials'!G15/1000</f>
        <v>-381.23899999999998</v>
      </c>
      <c r="G15" s="150">
        <f>'Historical Financials'!H15/1000</f>
        <v>-541.90899999999999</v>
      </c>
      <c r="H15" s="97"/>
      <c r="I15" s="150">
        <f>'Historical Financials'!J15/1000</f>
        <v>-85.266999999999996</v>
      </c>
      <c r="J15" s="150">
        <f>'Historical Financials'!K15/1000</f>
        <v>-92.100999999999999</v>
      </c>
      <c r="K15" s="150">
        <f>'Historical Financials'!L15/1000</f>
        <v>-97.393000000000001</v>
      </c>
      <c r="L15" s="150">
        <f>'Historical Financials'!M15/1000</f>
        <v>-106.47799999999999</v>
      </c>
      <c r="M15" s="150">
        <f>'Historical Financials'!N15/1000</f>
        <v>-115.206</v>
      </c>
      <c r="N15" s="150">
        <f>'Historical Financials'!O15/1000</f>
        <v>-125.339</v>
      </c>
      <c r="O15" s="150">
        <f>'Historical Financials'!P15/1000</f>
        <v>-148.511</v>
      </c>
      <c r="P15" s="150">
        <f>'Historical Financials'!Q15/1000</f>
        <v>-152.85300000000001</v>
      </c>
      <c r="Q15" s="150">
        <f>'Historical Financials'!R15/1000</f>
        <v>-151.06700000000001</v>
      </c>
      <c r="R15" s="150">
        <f>'Historical Financials'!S15/1000</f>
        <v>-140.69300000000001</v>
      </c>
      <c r="S15" s="150">
        <f>'Historical Financials'!T15/1000</f>
        <v>-154.06399999999999</v>
      </c>
      <c r="T15" s="5"/>
      <c r="U15" s="151">
        <f t="shared" si="5"/>
        <v>-1008.415</v>
      </c>
      <c r="V15" s="151">
        <f t="shared" si="5"/>
        <v>-719.27699999999993</v>
      </c>
      <c r="W15" s="151">
        <f t="shared" si="5"/>
        <v>-274.76099999999997</v>
      </c>
      <c r="X15" s="151">
        <f t="shared" si="5"/>
        <v>-381.23899999999998</v>
      </c>
      <c r="Y15" s="151">
        <f t="shared" si="5"/>
        <v>-411.178</v>
      </c>
      <c r="Z15" s="151">
        <f t="shared" si="5"/>
        <v>-444.416</v>
      </c>
      <c r="AA15" s="151">
        <f t="shared" si="5"/>
        <v>-495.53399999999999</v>
      </c>
      <c r="AB15" s="151">
        <f t="shared" si="5"/>
        <v>-541.90900000000011</v>
      </c>
      <c r="AC15" s="151">
        <f t="shared" si="5"/>
        <v>-577.77</v>
      </c>
      <c r="AD15" s="151">
        <f t="shared" si="5"/>
        <v>-593.12400000000002</v>
      </c>
      <c r="AE15" s="151">
        <f>SUM(P15:S15)</f>
        <v>-598.67700000000002</v>
      </c>
      <c r="AG15" s="130">
        <f t="shared" si="6"/>
        <v>0.20814515250214916</v>
      </c>
    </row>
    <row r="16" spans="2:33" ht="12.75" customHeight="1">
      <c r="B16" s="23" t="s">
        <v>177</v>
      </c>
      <c r="C16" s="150">
        <f>'Historical Financials'!D16/1000</f>
        <v>-251.02799999999999</v>
      </c>
      <c r="D16" s="150">
        <f>'Historical Financials'!E16/1000</f>
        <v>-315.99900000000002</v>
      </c>
      <c r="E16" s="150">
        <f>'Historical Financials'!F16/1000</f>
        <v>-347.26799999999997</v>
      </c>
      <c r="F16" s="150">
        <f>'Historical Financials'!G16/1000</f>
        <v>-408.262</v>
      </c>
      <c r="G16" s="150">
        <f>'Historical Financials'!H16/1000</f>
        <v>-451.00799999999998</v>
      </c>
      <c r="H16" s="97"/>
      <c r="I16" s="150">
        <f>'Historical Financials'!J16/1000</f>
        <v>-97.344999999999999</v>
      </c>
      <c r="J16" s="150">
        <f>'Historical Financials'!K16/1000</f>
        <v>-106.48699999999999</v>
      </c>
      <c r="K16" s="150">
        <f>'Historical Financials'!L16/1000</f>
        <v>-107.52500000000001</v>
      </c>
      <c r="L16" s="150">
        <f>'Historical Financials'!M16/1000</f>
        <v>-96.905000000000001</v>
      </c>
      <c r="M16" s="150">
        <f>'Historical Financials'!N16/1000</f>
        <v>-106.718</v>
      </c>
      <c r="N16" s="150">
        <f>'Historical Financials'!O16/1000</f>
        <v>-116.06399999999999</v>
      </c>
      <c r="O16" s="150">
        <f>'Historical Financials'!P16/1000</f>
        <v>-130.04400000000001</v>
      </c>
      <c r="P16" s="150">
        <f>'Historical Financials'!Q16/1000</f>
        <v>-98.182000000000002</v>
      </c>
      <c r="Q16" s="150">
        <f>'Historical Financials'!R16/1000</f>
        <v>-107.94499999999999</v>
      </c>
      <c r="R16" s="150">
        <f>'Historical Financials'!S16/1000</f>
        <v>-101.45699999999999</v>
      </c>
      <c r="S16" s="150">
        <f>'Historical Financials'!T16/1000</f>
        <v>-104.9</v>
      </c>
      <c r="T16" s="5"/>
      <c r="U16" s="151">
        <f t="shared" si="5"/>
        <v>-956.61500000000001</v>
      </c>
      <c r="V16" s="151">
        <f t="shared" si="5"/>
        <v>-654.83999999999992</v>
      </c>
      <c r="W16" s="151">
        <f t="shared" si="5"/>
        <v>-311.35699999999997</v>
      </c>
      <c r="X16" s="151">
        <f t="shared" si="5"/>
        <v>-408.26199999999994</v>
      </c>
      <c r="Y16" s="151">
        <f t="shared" si="5"/>
        <v>-417.63500000000005</v>
      </c>
      <c r="Z16" s="151">
        <f t="shared" si="5"/>
        <v>-427.21199999999999</v>
      </c>
      <c r="AA16" s="151">
        <f t="shared" si="5"/>
        <v>-449.73099999999999</v>
      </c>
      <c r="AB16" s="151">
        <f t="shared" si="5"/>
        <v>-451.00800000000004</v>
      </c>
      <c r="AC16" s="151">
        <f t="shared" si="5"/>
        <v>-452.23500000000001</v>
      </c>
      <c r="AD16" s="151">
        <f t="shared" si="5"/>
        <v>-437.62799999999999</v>
      </c>
      <c r="AE16" s="151">
        <f>SUM(P16:S16)</f>
        <v>-412.48400000000004</v>
      </c>
      <c r="AG16" s="130">
        <f t="shared" si="6"/>
        <v>-8.2820619436952181E-2</v>
      </c>
    </row>
    <row r="17" spans="2:33" ht="12.75" customHeight="1">
      <c r="B17" s="23" t="s">
        <v>178</v>
      </c>
      <c r="C17" s="150">
        <f>'Historical Financials'!D17/1000</f>
        <v>-278.58800000000002</v>
      </c>
      <c r="D17" s="150">
        <f>'Historical Financials'!E17/1000</f>
        <v>-297.21100000000001</v>
      </c>
      <c r="E17" s="150">
        <f>'Historical Financials'!F17/1000</f>
        <v>-313.08999999999997</v>
      </c>
      <c r="F17" s="150">
        <f>'Historical Financials'!G17/1000</f>
        <v>-320.87200000000001</v>
      </c>
      <c r="G17" s="150">
        <f>'Historical Financials'!H17/1000</f>
        <v>-325.27300000000002</v>
      </c>
      <c r="H17" s="97"/>
      <c r="I17" s="150">
        <f>'Historical Financials'!J17/1000</f>
        <v>-77.991</v>
      </c>
      <c r="J17" s="150">
        <f>'Historical Financials'!K17/1000</f>
        <v>-80.542000000000002</v>
      </c>
      <c r="K17" s="150">
        <f>'Historical Financials'!L17/1000</f>
        <v>-82.802000000000007</v>
      </c>
      <c r="L17" s="150">
        <f>'Historical Financials'!M17/1000</f>
        <v>-79.537000000000006</v>
      </c>
      <c r="M17" s="150">
        <f>'Historical Financials'!N17/1000</f>
        <v>-81.346000000000004</v>
      </c>
      <c r="N17" s="150">
        <f>'Historical Financials'!O17/1000</f>
        <v>-84.486000000000004</v>
      </c>
      <c r="O17" s="150">
        <f>'Historical Financials'!P17/1000</f>
        <v>-84.028000000000006</v>
      </c>
      <c r="P17" s="150">
        <f>'Historical Financials'!Q17/1000</f>
        <v>-75.412999999999997</v>
      </c>
      <c r="Q17" s="150">
        <f>'Historical Financials'!R17/1000</f>
        <v>-66.45</v>
      </c>
      <c r="R17" s="150">
        <f>'Historical Financials'!S17/1000</f>
        <v>-62.886000000000003</v>
      </c>
      <c r="S17" s="150">
        <f>'Historical Financials'!T17/1000</f>
        <v>-58.031999999999996</v>
      </c>
      <c r="T17" s="5"/>
      <c r="U17" s="151">
        <f t="shared" si="5"/>
        <v>-724.13599999999997</v>
      </c>
      <c r="V17" s="151">
        <f t="shared" si="5"/>
        <v>-483.80600000000004</v>
      </c>
      <c r="W17" s="151">
        <f t="shared" si="5"/>
        <v>-241.33500000000004</v>
      </c>
      <c r="X17" s="151">
        <f t="shared" si="5"/>
        <v>-320.87200000000007</v>
      </c>
      <c r="Y17" s="151">
        <f t="shared" si="5"/>
        <v>-324.22699999999998</v>
      </c>
      <c r="Z17" s="151">
        <f t="shared" si="5"/>
        <v>-328.17099999999999</v>
      </c>
      <c r="AA17" s="151">
        <f t="shared" si="5"/>
        <v>-329.39700000000005</v>
      </c>
      <c r="AB17" s="151">
        <f t="shared" si="5"/>
        <v>-325.27300000000002</v>
      </c>
      <c r="AC17" s="151">
        <f t="shared" si="5"/>
        <v>-310.37700000000001</v>
      </c>
      <c r="AD17" s="151">
        <f t="shared" si="5"/>
        <v>-288.77700000000004</v>
      </c>
      <c r="AE17" s="151">
        <f>SUM(P17:S17)</f>
        <v>-262.78100000000001</v>
      </c>
      <c r="AG17" s="130">
        <f t="shared" si="6"/>
        <v>-0.20223620737286629</v>
      </c>
    </row>
    <row r="18" spans="2:33" ht="12.75" customHeight="1">
      <c r="B18" s="23" t="s">
        <v>179</v>
      </c>
      <c r="C18" s="150">
        <f>'Historical Financials'!D18/1000</f>
        <v>-111.227</v>
      </c>
      <c r="D18" s="150">
        <f>'Historical Financials'!E18/1000</f>
        <v>-159.50200000000001</v>
      </c>
      <c r="E18" s="150">
        <f>'Historical Financials'!F18/1000</f>
        <v>-187.82</v>
      </c>
      <c r="F18" s="150">
        <f>'Historical Financials'!G18/1000</f>
        <v>-223.339</v>
      </c>
      <c r="G18" s="150">
        <f>'Historical Financials'!H18/1000</f>
        <v>-217.738</v>
      </c>
      <c r="H18" s="97"/>
      <c r="I18" s="150">
        <f>'Historical Financials'!J18/1000</f>
        <v>-54.414000000000001</v>
      </c>
      <c r="J18" s="150">
        <f>'Historical Financials'!K18/1000</f>
        <v>-56.825000000000003</v>
      </c>
      <c r="K18" s="150">
        <f>'Historical Financials'!L18/1000</f>
        <v>-56.465000000000003</v>
      </c>
      <c r="L18" s="150">
        <f>'Historical Financials'!M18/1000</f>
        <v>-55.634999999999998</v>
      </c>
      <c r="M18" s="150">
        <f>'Historical Financials'!N18/1000</f>
        <v>-54.914999999999999</v>
      </c>
      <c r="N18" s="150">
        <f>'Historical Financials'!O18/1000</f>
        <v>-52.453000000000003</v>
      </c>
      <c r="O18" s="150">
        <f>'Historical Financials'!P18/1000</f>
        <v>-57.368000000000002</v>
      </c>
      <c r="P18" s="150">
        <f>'Historical Financials'!Q18/1000</f>
        <v>-53.002000000000002</v>
      </c>
      <c r="Q18" s="150">
        <f>'Historical Financials'!R18/1000</f>
        <v>-58.707000000000001</v>
      </c>
      <c r="R18" s="150">
        <f>'Historical Financials'!S18/1000</f>
        <v>-48.747</v>
      </c>
      <c r="S18" s="150">
        <f>'Historical Financials'!T18/1000</f>
        <v>-54.848999999999997</v>
      </c>
      <c r="T18" s="5"/>
      <c r="U18" s="151">
        <f t="shared" si="5"/>
        <v>-495.49099999999999</v>
      </c>
      <c r="V18" s="151">
        <f t="shared" si="5"/>
        <v>-328.97699999999998</v>
      </c>
      <c r="W18" s="151">
        <f t="shared" si="5"/>
        <v>-167.70400000000001</v>
      </c>
      <c r="X18" s="151">
        <f t="shared" si="5"/>
        <v>-223.339</v>
      </c>
      <c r="Y18" s="151">
        <f t="shared" si="5"/>
        <v>-223.84</v>
      </c>
      <c r="Z18" s="151">
        <f t="shared" si="5"/>
        <v>-219.46799999999999</v>
      </c>
      <c r="AA18" s="151">
        <f t="shared" si="5"/>
        <v>-220.37099999999998</v>
      </c>
      <c r="AB18" s="151">
        <f t="shared" si="5"/>
        <v>-217.738</v>
      </c>
      <c r="AC18" s="151">
        <f t="shared" si="5"/>
        <v>-221.53</v>
      </c>
      <c r="AD18" s="151">
        <f t="shared" si="5"/>
        <v>-217.82400000000001</v>
      </c>
      <c r="AE18" s="151">
        <f>SUM(P18:S18)</f>
        <v>-215.30500000000001</v>
      </c>
      <c r="AG18" s="130">
        <f t="shared" si="6"/>
        <v>-2.2988505747126298E-2</v>
      </c>
    </row>
    <row r="19" spans="2:33" ht="12.75" customHeight="1">
      <c r="B19" s="23" t="s">
        <v>180</v>
      </c>
      <c r="C19" s="150">
        <f>'Historical Financials'!D19/1000</f>
        <v>-85.058999999999997</v>
      </c>
      <c r="D19" s="150">
        <f>'Historical Financials'!E19/1000</f>
        <v>-132.499</v>
      </c>
      <c r="E19" s="150">
        <f>'Historical Financials'!F19/1000</f>
        <v>-177.55699999999999</v>
      </c>
      <c r="F19" s="150">
        <f>'Historical Financials'!G19/1000</f>
        <v>-190.89099999999999</v>
      </c>
      <c r="G19" s="150">
        <f>'Historical Financials'!H19/1000</f>
        <v>-197.197</v>
      </c>
      <c r="H19" s="97"/>
      <c r="I19" s="150">
        <f>'Historical Financials'!J19/1000</f>
        <v>-48.017000000000003</v>
      </c>
      <c r="J19" s="150">
        <f>'Historical Financials'!K19/1000</f>
        <v>-50.701000000000001</v>
      </c>
      <c r="K19" s="150">
        <f>'Historical Financials'!L19/1000</f>
        <v>-46.323</v>
      </c>
      <c r="L19" s="150">
        <f>'Historical Financials'!M19/1000</f>
        <v>-45.85</v>
      </c>
      <c r="M19" s="150">
        <f>'Historical Financials'!N19/1000</f>
        <v>-45.176000000000002</v>
      </c>
      <c r="N19" s="150">
        <f>'Historical Financials'!O19/1000</f>
        <v>-45.923000000000002</v>
      </c>
      <c r="O19" s="150">
        <f>'Historical Financials'!P19/1000</f>
        <v>-55.686999999999998</v>
      </c>
      <c r="P19" s="150">
        <f>'Historical Financials'!Q19/1000</f>
        <v>-50.411000000000001</v>
      </c>
      <c r="Q19" s="150">
        <f>'Historical Financials'!R19/1000</f>
        <v>-49.893000000000001</v>
      </c>
      <c r="R19" s="150">
        <f>'Historical Financials'!S19/1000</f>
        <v>-47.139000000000003</v>
      </c>
      <c r="S19" s="150">
        <f>'Historical Financials'!T19/1000</f>
        <v>-45.832999999999998</v>
      </c>
      <c r="T19" s="5"/>
      <c r="U19" s="151">
        <f t="shared" si="5"/>
        <v>-436.10499999999996</v>
      </c>
      <c r="V19" s="151">
        <f t="shared" si="5"/>
        <v>-295.91500000000002</v>
      </c>
      <c r="W19" s="151">
        <f t="shared" si="5"/>
        <v>-145.041</v>
      </c>
      <c r="X19" s="151">
        <f t="shared" si="5"/>
        <v>-190.89099999999999</v>
      </c>
      <c r="Y19" s="151">
        <f t="shared" si="5"/>
        <v>-188.05</v>
      </c>
      <c r="Z19" s="151">
        <f t="shared" si="5"/>
        <v>-183.27199999999999</v>
      </c>
      <c r="AA19" s="151">
        <f t="shared" si="5"/>
        <v>-192.63600000000002</v>
      </c>
      <c r="AB19" s="151">
        <f t="shared" si="5"/>
        <v>-197.197</v>
      </c>
      <c r="AC19" s="151">
        <f t="shared" si="5"/>
        <v>-201.91400000000002</v>
      </c>
      <c r="AD19" s="151">
        <f t="shared" si="5"/>
        <v>-203.13</v>
      </c>
      <c r="AE19" s="151">
        <f>SUM(P19:S19)</f>
        <v>-193.27600000000001</v>
      </c>
      <c r="AG19" s="130">
        <f t="shared" si="6"/>
        <v>3.3223281214309619E-3</v>
      </c>
    </row>
    <row r="20" spans="2:33" ht="12.75" customHeight="1">
      <c r="B20" s="23" t="s">
        <v>181</v>
      </c>
      <c r="C20" s="150">
        <f>'Historical Financials'!D20/1000</f>
        <v>302.76100000000002</v>
      </c>
      <c r="D20" s="150">
        <f>'Historical Financials'!E20/1000</f>
        <v>377.71499999999997</v>
      </c>
      <c r="E20" s="150">
        <f>'Historical Financials'!F20/1000</f>
        <v>-420.17200000000003</v>
      </c>
      <c r="F20" s="150">
        <f>'Historical Financials'!G20/1000</f>
        <v>-69.537000000000006</v>
      </c>
      <c r="G20" s="150">
        <f>'Historical Financials'!H20/1000</f>
        <v>-36.029000000000003</v>
      </c>
      <c r="H20" s="97"/>
      <c r="I20" s="150">
        <f>'Historical Financials'!J20/1000</f>
        <v>-13.983000000000001</v>
      </c>
      <c r="J20" s="150">
        <f>'Historical Financials'!K20/1000</f>
        <v>-19.972000000000001</v>
      </c>
      <c r="K20" s="150">
        <f>'Historical Financials'!L20/1000</f>
        <v>-12.378</v>
      </c>
      <c r="L20" s="150">
        <f>'Historical Financials'!M20/1000</f>
        <v>-23.204000000000001</v>
      </c>
      <c r="M20" s="150">
        <f>'Historical Financials'!N20/1000</f>
        <v>-36.258000000000003</v>
      </c>
      <c r="N20" s="150">
        <f>'Historical Financials'!O20/1000</f>
        <v>0.38100000000000001</v>
      </c>
      <c r="O20" s="150">
        <f>'Historical Financials'!P20/1000</f>
        <v>-0.151</v>
      </c>
      <c r="P20" s="150">
        <f>'Historical Financials'!Q20/1000</f>
        <v>-1E-3</v>
      </c>
      <c r="Q20" s="150">
        <f>'Historical Financials'!R20/1000</f>
        <v>4.0000000000000001E-3</v>
      </c>
      <c r="R20" s="150">
        <f>'Historical Financials'!S20/1000</f>
        <v>0</v>
      </c>
      <c r="S20" s="150">
        <f>'Historical Financials'!T20/1000</f>
        <v>0</v>
      </c>
      <c r="T20" s="5"/>
      <c r="U20" s="151">
        <f t="shared" si="5"/>
        <v>-119.54900000000001</v>
      </c>
      <c r="V20" s="151">
        <f t="shared" si="5"/>
        <v>-69.984000000000009</v>
      </c>
      <c r="W20" s="151">
        <f t="shared" si="5"/>
        <v>-46.332999999999998</v>
      </c>
      <c r="X20" s="151">
        <f t="shared" si="5"/>
        <v>-69.537000000000006</v>
      </c>
      <c r="Y20" s="151">
        <f t="shared" si="5"/>
        <v>-91.812000000000012</v>
      </c>
      <c r="Z20" s="151">
        <f t="shared" si="5"/>
        <v>-71.459000000000003</v>
      </c>
      <c r="AA20" s="151">
        <f t="shared" si="5"/>
        <v>-59.232000000000006</v>
      </c>
      <c r="AB20" s="151">
        <f t="shared" si="5"/>
        <v>-36.029000000000003</v>
      </c>
      <c r="AC20" s="151">
        <f t="shared" si="5"/>
        <v>0.23300000000000001</v>
      </c>
      <c r="AD20" s="151">
        <f t="shared" si="5"/>
        <v>-0.14799999999999999</v>
      </c>
      <c r="AE20" s="151">
        <f>SUM(P20:S20)</f>
        <v>3.0000000000000001E-3</v>
      </c>
      <c r="AG20" s="130">
        <f t="shared" si="6"/>
        <v>-1.0000506482982172</v>
      </c>
    </row>
    <row r="21" spans="2:33" ht="12.75" customHeight="1">
      <c r="B21" s="23" t="s">
        <v>182</v>
      </c>
      <c r="C21" s="150">
        <f>'Historical Financials'!D21/1000</f>
        <v>-2.2639999999999998</v>
      </c>
      <c r="D21" s="150">
        <f>'Historical Financials'!E21/1000</f>
        <v>-3.32</v>
      </c>
      <c r="E21" s="150">
        <f>'Historical Financials'!F21/1000</f>
        <v>-46.624000000000002</v>
      </c>
      <c r="F21" s="150">
        <f>'Historical Financials'!G21/1000</f>
        <v>-33.966000000000001</v>
      </c>
      <c r="G21" s="150">
        <f>'Historical Financials'!H21/1000</f>
        <v>-273.87099999999998</v>
      </c>
      <c r="H21" s="97"/>
      <c r="I21" s="150">
        <f>'Historical Financials'!J21/1000</f>
        <v>-7.1</v>
      </c>
      <c r="J21" s="150">
        <f>'Historical Financials'!K21/1000</f>
        <v>-0.80200000000000005</v>
      </c>
      <c r="K21" s="150">
        <f>'Historical Financials'!L21/1000</f>
        <v>2.25</v>
      </c>
      <c r="L21" s="150">
        <f>'Historical Financials'!M21/1000</f>
        <v>-28.314</v>
      </c>
      <c r="M21" s="150">
        <f>'Historical Financials'!N21/1000</f>
        <v>3.0289999999999999</v>
      </c>
      <c r="N21" s="150">
        <f>'Historical Financials'!O21/1000</f>
        <v>14.047000000000001</v>
      </c>
      <c r="O21" s="150">
        <f>'Historical Financials'!P21/1000</f>
        <v>-3.1909999999999998</v>
      </c>
      <c r="P21" s="150">
        <f>'Historical Financials'!Q21/1000</f>
        <v>-287.75599999999997</v>
      </c>
      <c r="Q21" s="150">
        <f>'Historical Financials'!R21/1000</f>
        <v>-11.635999999999999</v>
      </c>
      <c r="R21" s="150">
        <f>'Historical Financials'!S21/1000</f>
        <v>0.309</v>
      </c>
      <c r="S21" s="150">
        <f>'Historical Financials'!T21/1000</f>
        <v>113.71299999999999</v>
      </c>
      <c r="T21" s="5"/>
      <c r="U21" s="151">
        <f t="shared" si="5"/>
        <v>-314.93700000000001</v>
      </c>
      <c r="V21" s="151">
        <f t="shared" si="5"/>
        <v>-281.77300000000002</v>
      </c>
      <c r="W21" s="151">
        <f t="shared" si="5"/>
        <v>-5.6519999999999992</v>
      </c>
      <c r="X21" s="151">
        <f t="shared" si="5"/>
        <v>-33.966000000000001</v>
      </c>
      <c r="Y21" s="151">
        <f t="shared" si="5"/>
        <v>-23.837</v>
      </c>
      <c r="Z21" s="151">
        <f t="shared" si="5"/>
        <v>-8.9879999999999995</v>
      </c>
      <c r="AA21" s="151">
        <f t="shared" si="5"/>
        <v>-14.428999999999998</v>
      </c>
      <c r="AB21" s="151">
        <f t="shared" si="5"/>
        <v>-273.87099999999998</v>
      </c>
      <c r="AC21" s="151">
        <f t="shared" si="5"/>
        <v>-288.536</v>
      </c>
      <c r="AD21" s="151">
        <f t="shared" si="5"/>
        <v>-302.27399999999994</v>
      </c>
      <c r="AE21" s="151">
        <f>SUM(P21:S21)</f>
        <v>-185.36999999999998</v>
      </c>
      <c r="AG21" s="130">
        <f t="shared" si="6"/>
        <v>11.847044147203547</v>
      </c>
    </row>
    <row r="22" spans="2:33" ht="12.75" customHeight="1">
      <c r="B22" s="23" t="s">
        <v>183</v>
      </c>
      <c r="C22" s="150">
        <f>'Historical Financials'!D22/1000</f>
        <v>-355.18599999999998</v>
      </c>
      <c r="D22" s="150">
        <f>'Historical Financials'!E22/1000</f>
        <v>-530.82600000000002</v>
      </c>
      <c r="E22" s="150">
        <f>'Historical Financials'!F22/1000</f>
        <v>-711.21100000000001</v>
      </c>
      <c r="F22" s="150">
        <f>'Historical Financials'!G22/1000</f>
        <v>-792.23199999999997</v>
      </c>
      <c r="G22" s="150">
        <f>'Historical Financials'!H22/1000</f>
        <v>-807.48800000000006</v>
      </c>
      <c r="H22" s="97"/>
      <c r="I22" s="150">
        <f>'Historical Financials'!J22/1000</f>
        <v>-201.15600000000001</v>
      </c>
      <c r="J22" s="150">
        <f>'Historical Financials'!K22/1000</f>
        <v>-206.09399999999999</v>
      </c>
      <c r="K22" s="150">
        <f>'Historical Financials'!L22/1000</f>
        <v>-187.249</v>
      </c>
      <c r="L22" s="150">
        <f>'Historical Financials'!M22/1000</f>
        <v>-197.733</v>
      </c>
      <c r="M22" s="150">
        <f>'Historical Financials'!N22/1000</f>
        <v>-198.45</v>
      </c>
      <c r="N22" s="150">
        <f>'Historical Financials'!O22/1000</f>
        <v>-197.89</v>
      </c>
      <c r="O22" s="150">
        <f>'Historical Financials'!P22/1000</f>
        <v>-214.03899999999999</v>
      </c>
      <c r="P22" s="150">
        <f>'Historical Financials'!Q22/1000</f>
        <v>-197.10900000000001</v>
      </c>
      <c r="Q22" s="150">
        <f>'Historical Financials'!R22/1000</f>
        <v>-190.345</v>
      </c>
      <c r="R22" s="150">
        <f>'Historical Financials'!S22/1000</f>
        <v>-175.49600000000001</v>
      </c>
      <c r="S22" s="150">
        <f>'Historical Financials'!T22/1000</f>
        <v>-168.81</v>
      </c>
      <c r="T22" s="5"/>
      <c r="U22" s="151">
        <f t="shared" si="5"/>
        <v>-1800.876</v>
      </c>
      <c r="V22" s="151">
        <f t="shared" si="5"/>
        <v>-1214.7380000000001</v>
      </c>
      <c r="W22" s="151">
        <f t="shared" si="5"/>
        <v>-594.49900000000002</v>
      </c>
      <c r="X22" s="151">
        <f t="shared" si="5"/>
        <v>-792.23199999999997</v>
      </c>
      <c r="Y22" s="151">
        <f t="shared" si="5"/>
        <v>-789.52600000000007</v>
      </c>
      <c r="Z22" s="151">
        <f t="shared" si="5"/>
        <v>-781.322</v>
      </c>
      <c r="AA22" s="151">
        <f t="shared" si="5"/>
        <v>-808.11199999999997</v>
      </c>
      <c r="AB22" s="151">
        <f t="shared" si="5"/>
        <v>-807.48799999999994</v>
      </c>
      <c r="AC22" s="151">
        <f t="shared" si="5"/>
        <v>-799.38300000000004</v>
      </c>
      <c r="AD22" s="151">
        <f t="shared" si="5"/>
        <v>-776.98900000000003</v>
      </c>
      <c r="AE22" s="151">
        <f>SUM(P22:S22)</f>
        <v>-731.76</v>
      </c>
      <c r="AG22" s="130">
        <f t="shared" si="6"/>
        <v>-9.4481952996614327E-2</v>
      </c>
    </row>
    <row r="23" spans="2:33" ht="12.75" customHeight="1">
      <c r="B23" s="13" t="s">
        <v>31</v>
      </c>
      <c r="C23" s="14">
        <f>SUM(C8+SUM(C13:C22))</f>
        <v>-507.76199999999972</v>
      </c>
      <c r="D23" s="14">
        <f>SUM(D8+SUM(D13:D22))</f>
        <v>-56.874000000000251</v>
      </c>
      <c r="E23" s="14">
        <f>SUM(E8+SUM(E13:E22))</f>
        <v>-598.91699999999855</v>
      </c>
      <c r="F23" s="14">
        <f>SUM(F8+SUM(F13:F22))</f>
        <v>-495.75700000000052</v>
      </c>
      <c r="G23" s="14">
        <f>SUM(G8+SUM(G13:G22))</f>
        <v>-1105.3780000000015</v>
      </c>
      <c r="H23" s="11"/>
      <c r="I23" s="14">
        <f>SUM(I8+SUM(I13:I22))</f>
        <v>-112.39499999999998</v>
      </c>
      <c r="J23" s="14">
        <f>SUM(J8+SUM(J13:J22))</f>
        <v>20.211000000000013</v>
      </c>
      <c r="K23" s="14">
        <f>SUM(K8+SUM(K13:K22))</f>
        <v>-188.75999999999976</v>
      </c>
      <c r="L23" s="14">
        <f>SUM(L8+SUM(L13:L22))</f>
        <v>-214.81299999999987</v>
      </c>
      <c r="M23" s="14">
        <f>SUM(M8+SUM(M13:M22))</f>
        <v>-207.33699999999999</v>
      </c>
      <c r="N23" s="14">
        <f>SUM(N8+SUM(N13:N22))</f>
        <v>-152.51199999999972</v>
      </c>
      <c r="O23" s="14">
        <f>SUM(O8+SUM(O13:O22))</f>
        <v>-296.43899999999985</v>
      </c>
      <c r="P23" s="14">
        <f>SUM(P8+SUM(P13:P22))</f>
        <v>-449.08999999999992</v>
      </c>
      <c r="Q23" s="14">
        <f>SUM(Q8+SUM(Q13:Q22))</f>
        <v>-289.15600000000029</v>
      </c>
      <c r="R23" s="14">
        <f>SUM(R8+SUM(R13:R22))</f>
        <v>-184.12299999999982</v>
      </c>
      <c r="S23" s="14">
        <f>SUM(S8+SUM(S13:S22))</f>
        <v>-134.91500000000008</v>
      </c>
      <c r="T23" s="5"/>
      <c r="U23" s="14">
        <f>SUM(U8+SUM(U13:U22))</f>
        <v>-1713.5299999999988</v>
      </c>
      <c r="V23" s="14">
        <f>SUM(V8+SUM(V13:V22))</f>
        <v>-1197.5620000000008</v>
      </c>
      <c r="W23" s="14">
        <f>SUM(W8+SUM(W13:W22))</f>
        <v>-280.94400000000041</v>
      </c>
      <c r="X23" s="14">
        <f>SUM(X8+SUM(X13:X22))</f>
        <v>-495.75700000000052</v>
      </c>
      <c r="Y23" s="14">
        <f>SUM(Y8+SUM(Y13:Y22))</f>
        <v>-590.69900000000052</v>
      </c>
      <c r="Z23" s="14">
        <f>SUM(Z8+SUM(Z13:Z22))</f>
        <v>-763.42200000000048</v>
      </c>
      <c r="AA23" s="14">
        <f>SUM(AA8+SUM(AA13:AA22))</f>
        <v>-871.10100000000148</v>
      </c>
      <c r="AB23" s="14">
        <f>SUM(AB8+SUM(AB13:AB22))</f>
        <v>-1105.3780000000006</v>
      </c>
      <c r="AC23" s="14">
        <f>SUM(AC8+SUM(AC13:AC22))</f>
        <v>-1187.1969999999992</v>
      </c>
      <c r="AD23" s="14">
        <f>SUM(AD8+SUM(AD13:AD22))</f>
        <v>-1218.808</v>
      </c>
      <c r="AE23" s="14">
        <f>SUM(AE8+SUM(AE13:AE22))</f>
        <v>-1057.2840000000006</v>
      </c>
      <c r="AG23" s="131">
        <f>SUM(AE23/AA23)-1</f>
        <v>0.2137329655229403</v>
      </c>
    </row>
    <row r="24" spans="2:33" ht="12.75" customHeight="1">
      <c r="B24" s="16" t="s">
        <v>32</v>
      </c>
      <c r="C24" s="17">
        <f>C23/C8</f>
        <v>-0.28052808197911394</v>
      </c>
      <c r="D24" s="17">
        <f>D23/D8</f>
        <v>-1.7603825707454172E-2</v>
      </c>
      <c r="E24" s="17">
        <f>E23/E8</f>
        <v>-0.11816578135274938</v>
      </c>
      <c r="F24" s="17">
        <f>F23/F8</f>
        <v>-9.2448013062444837E-2</v>
      </c>
      <c r="G24" s="17">
        <f>G23/G8</f>
        <v>-0.22497115553501348</v>
      </c>
      <c r="H24" s="27"/>
      <c r="I24" s="17">
        <f>I23/I8</f>
        <v>-8.3269495485910963E-2</v>
      </c>
      <c r="J24" s="17">
        <f>J23/J8</f>
        <v>1.4109176305016791E-2</v>
      </c>
      <c r="K24" s="17">
        <f>K23/K8</f>
        <v>-0.14998295648221774</v>
      </c>
      <c r="L24" s="17">
        <f>L23/L8</f>
        <v>-0.1625204273090424</v>
      </c>
      <c r="M24" s="17">
        <f>M23/M8</f>
        <v>-0.16383321862576913</v>
      </c>
      <c r="N24" s="17">
        <f>N23/N8</f>
        <v>-0.11906730403649317</v>
      </c>
      <c r="O24" s="17">
        <f>O23/O8</f>
        <v>-0.24763011400847365</v>
      </c>
      <c r="P24" s="17">
        <f>P23/P8</f>
        <v>-0.38387336939937139</v>
      </c>
      <c r="Q24" s="17">
        <f>Q23/Q8</f>
        <v>-0.28561466378374561</v>
      </c>
      <c r="R24" s="17">
        <f>R23/R8</f>
        <v>-0.18054230447534039</v>
      </c>
      <c r="S24" s="17">
        <f>S23/S8</f>
        <v>-0.14075286586460023</v>
      </c>
      <c r="T24" s="28"/>
      <c r="U24" s="17">
        <f>U23/U8</f>
        <v>-0.14739099708371342</v>
      </c>
      <c r="V24" s="17">
        <f>V23/V8</f>
        <v>-0.15561510132909867</v>
      </c>
      <c r="W24" s="17">
        <f>W23/W8</f>
        <v>-6.9527015639767487E-2</v>
      </c>
      <c r="X24" s="17">
        <f>X23/X8</f>
        <v>-9.2448013062444837E-2</v>
      </c>
      <c r="Y24" s="17">
        <f>Y23/Y8</f>
        <v>-0.11191058808194751</v>
      </c>
      <c r="Z24" s="17">
        <f>Z23/Z8</f>
        <v>-0.14891015304300279</v>
      </c>
      <c r="AA24" s="17">
        <f>AA23/AA8</f>
        <v>-0.17197455624455887</v>
      </c>
      <c r="AB24" s="17">
        <f>AB23/AB8</f>
        <v>-0.22497115553501329</v>
      </c>
      <c r="AC24" s="17">
        <f>AC23/AC8</f>
        <v>-0.2547478339834725</v>
      </c>
      <c r="AD24" s="17">
        <f>AD23/AD8</f>
        <v>-0.27705049091579043</v>
      </c>
      <c r="AE24" s="17">
        <f>AE23/AE8</f>
        <v>-0.25411528543517403</v>
      </c>
      <c r="AG24" s="132">
        <f>SUM(AE24-AA24)*10000</f>
        <v>-821.40729190615161</v>
      </c>
    </row>
    <row r="25" spans="2:33" ht="5.0999999999999996" customHeight="1">
      <c r="AG25" s="129"/>
    </row>
    <row r="26" spans="2:33" ht="12.75" customHeight="1">
      <c r="B26" s="31" t="s">
        <v>184</v>
      </c>
      <c r="C26" s="152">
        <f>-C17</f>
        <v>278.58800000000002</v>
      </c>
      <c r="D26" s="152">
        <f t="shared" ref="D26:S26" si="7">-D17</f>
        <v>297.21100000000001</v>
      </c>
      <c r="E26" s="152">
        <f t="shared" si="7"/>
        <v>313.08999999999997</v>
      </c>
      <c r="F26" s="152">
        <f t="shared" si="7"/>
        <v>320.87200000000001</v>
      </c>
      <c r="G26" s="152">
        <f t="shared" si="7"/>
        <v>325.27300000000002</v>
      </c>
      <c r="I26" s="152">
        <f t="shared" si="7"/>
        <v>77.991</v>
      </c>
      <c r="J26" s="152">
        <f t="shared" si="7"/>
        <v>80.542000000000002</v>
      </c>
      <c r="K26" s="152">
        <f t="shared" si="7"/>
        <v>82.802000000000007</v>
      </c>
      <c r="L26" s="152">
        <f t="shared" si="7"/>
        <v>79.537000000000006</v>
      </c>
      <c r="M26" s="152">
        <f t="shared" si="7"/>
        <v>81.346000000000004</v>
      </c>
      <c r="N26" s="152">
        <f t="shared" si="7"/>
        <v>84.486000000000004</v>
      </c>
      <c r="O26" s="152">
        <f t="shared" si="7"/>
        <v>84.028000000000006</v>
      </c>
      <c r="P26" s="152">
        <f t="shared" si="7"/>
        <v>75.412999999999997</v>
      </c>
      <c r="Q26" s="152">
        <f t="shared" si="7"/>
        <v>66.45</v>
      </c>
      <c r="R26" s="152">
        <f t="shared" si="7"/>
        <v>62.886000000000003</v>
      </c>
      <c r="S26" s="152">
        <f t="shared" si="7"/>
        <v>58.031999999999996</v>
      </c>
      <c r="U26" s="10">
        <f>SUM(I26:I26)</f>
        <v>77.991</v>
      </c>
      <c r="V26" s="10">
        <f>SUM(I26:J26)</f>
        <v>158.53300000000002</v>
      </c>
      <c r="W26" s="10">
        <f>SUM(I26:K26)</f>
        <v>241.33500000000004</v>
      </c>
      <c r="X26" s="10">
        <f>SUM(I26:L26)</f>
        <v>320.87200000000007</v>
      </c>
      <c r="Y26" s="10">
        <f>SUM(J26:M26)</f>
        <v>324.22699999999998</v>
      </c>
      <c r="Z26" s="10">
        <f>SUM(K26:N26)</f>
        <v>328.17099999999999</v>
      </c>
      <c r="AA26" s="10">
        <f>SUM(L26:O26)</f>
        <v>329.39700000000005</v>
      </c>
      <c r="AB26" s="10">
        <f>SUM(M26:P26)</f>
        <v>325.27300000000002</v>
      </c>
      <c r="AC26" s="10">
        <f>SUM(N26:Q26)</f>
        <v>310.37700000000001</v>
      </c>
      <c r="AD26" s="10">
        <f>SUM(O26:R26)</f>
        <v>288.77700000000004</v>
      </c>
      <c r="AE26" s="10">
        <f>SUM(P26:S26)</f>
        <v>262.78100000000001</v>
      </c>
      <c r="AG26" s="130">
        <f>SUM(AE26/AA26)-1</f>
        <v>-0.20223620737286629</v>
      </c>
    </row>
    <row r="27" spans="2:33" ht="12.75" customHeight="1">
      <c r="B27" s="25" t="s">
        <v>11</v>
      </c>
      <c r="C27" s="26">
        <f>SUM(C23+SUM(C26:C26))</f>
        <v>-229.17399999999969</v>
      </c>
      <c r="D27" s="26">
        <f>SUM(D23+SUM(D26:D26))</f>
        <v>240.33699999999976</v>
      </c>
      <c r="E27" s="26">
        <f>SUM(E23+SUM(E26:E26))</f>
        <v>-285.82699999999858</v>
      </c>
      <c r="F27" s="26">
        <f>SUM(F23+SUM(F26:F26))</f>
        <v>-174.8850000000005</v>
      </c>
      <c r="G27" s="26">
        <f>SUM(G23+SUM(G26:G26))</f>
        <v>-780.1050000000015</v>
      </c>
      <c r="I27" s="26">
        <f>SUM(I23+SUM(I26:I26))</f>
        <v>-34.403999999999982</v>
      </c>
      <c r="J27" s="26">
        <f>SUM(J23+SUM(J26:J26))</f>
        <v>100.75300000000001</v>
      </c>
      <c r="K27" s="26">
        <f>SUM(K23+SUM(K26:K26))</f>
        <v>-105.95799999999976</v>
      </c>
      <c r="L27" s="26">
        <f>SUM(L23+SUM(L26:L26))</f>
        <v>-135.27599999999987</v>
      </c>
      <c r="M27" s="26">
        <f>SUM(M23+SUM(M26:M26))</f>
        <v>-125.99099999999999</v>
      </c>
      <c r="N27" s="26">
        <f>SUM(N23+SUM(N26:N26))</f>
        <v>-68.025999999999712</v>
      </c>
      <c r="O27" s="26">
        <f>SUM(O23+SUM(O26:O26))</f>
        <v>-212.41099999999983</v>
      </c>
      <c r="P27" s="26">
        <f>SUM(P23+SUM(P26:P26))</f>
        <v>-373.67699999999991</v>
      </c>
      <c r="Q27" s="26">
        <f>SUM(Q23+SUM(Q26:Q26))</f>
        <v>-222.7060000000003</v>
      </c>
      <c r="R27" s="26">
        <f>SUM(R23+SUM(R26:R26))</f>
        <v>-121.23699999999982</v>
      </c>
      <c r="S27" s="26">
        <f>SUM(S23+SUM(S26:S26))</f>
        <v>-76.883000000000081</v>
      </c>
      <c r="U27" s="26">
        <f>SUM(U23+SUM(U26:U26))</f>
        <v>-1635.5389999999989</v>
      </c>
      <c r="V27" s="26">
        <f>SUM(V23+SUM(V26:V26))</f>
        <v>-1039.0290000000009</v>
      </c>
      <c r="W27" s="26">
        <f>SUM(W23+SUM(W26:W26))</f>
        <v>-39.609000000000378</v>
      </c>
      <c r="X27" s="26">
        <f>SUM(X23+SUM(X26:X26))</f>
        <v>-174.88500000000045</v>
      </c>
      <c r="Y27" s="26">
        <f>SUM(Y23+SUM(Y26:Y26))</f>
        <v>-266.47200000000055</v>
      </c>
      <c r="Z27" s="26">
        <f>SUM(Z23+SUM(Z26:Z26))</f>
        <v>-435.25100000000049</v>
      </c>
      <c r="AA27" s="26">
        <f>SUM(AA23+SUM(AA26:AA26))</f>
        <v>-541.70400000000143</v>
      </c>
      <c r="AB27" s="26">
        <f>SUM(AB23+SUM(AB26:AB26))</f>
        <v>-780.10500000000059</v>
      </c>
      <c r="AC27" s="26">
        <f>SUM(AC23+SUM(AC26:AC26))</f>
        <v>-876.81999999999925</v>
      </c>
      <c r="AD27" s="26">
        <f>SUM(AD23+SUM(AD26:AD26))</f>
        <v>-930.03099999999995</v>
      </c>
      <c r="AE27" s="26">
        <f>SUM(AE23+SUM(AE26:AE26))</f>
        <v>-794.50300000000061</v>
      </c>
      <c r="AG27" s="131">
        <f>SUM(AE27/AA27)-1</f>
        <v>0.46667368156779077</v>
      </c>
    </row>
    <row r="28" spans="2:33" ht="12.75" customHeight="1">
      <c r="B28" s="16" t="s">
        <v>33</v>
      </c>
      <c r="C28" s="17">
        <f>C27/C8</f>
        <v>-0.12661393065940618</v>
      </c>
      <c r="D28" s="17">
        <f>D27/D8</f>
        <v>7.438989097043272E-2</v>
      </c>
      <c r="E28" s="17">
        <f>E27/E8</f>
        <v>-5.6393408079437067E-2</v>
      </c>
      <c r="F28" s="17">
        <f>F27/F8</f>
        <v>-3.2612289416842716E-2</v>
      </c>
      <c r="G28" s="17">
        <f>G27/G8</f>
        <v>-0.15877023361116449</v>
      </c>
      <c r="I28" s="17">
        <f>I27/I8</f>
        <v>-2.5488711443545354E-2</v>
      </c>
      <c r="J28" s="17">
        <f>J27/J8</f>
        <v>7.0335057159930534E-2</v>
      </c>
      <c r="K28" s="17">
        <f>K27/K8</f>
        <v>-8.419100499545884E-2</v>
      </c>
      <c r="L28" s="17">
        <f>L27/L8</f>
        <v>-0.10234535770487825</v>
      </c>
      <c r="M28" s="17">
        <f>M27/M8</f>
        <v>-9.9555366615120683E-2</v>
      </c>
      <c r="N28" s="17">
        <f>N27/N8</f>
        <v>-5.3108427037783686E-2</v>
      </c>
      <c r="O28" s="17">
        <f>O27/O8</f>
        <v>-0.1774373822157472</v>
      </c>
      <c r="P28" s="17">
        <f>P27/P8</f>
        <v>-0.3194118084505308</v>
      </c>
      <c r="Q28" s="17">
        <f>Q27/Q8</f>
        <v>-0.2199784867428754</v>
      </c>
      <c r="R28" s="17">
        <f>R27/R8</f>
        <v>-0.11887926748791205</v>
      </c>
      <c r="S28" s="17">
        <f>S27/S8</f>
        <v>-8.0209780871423234E-2</v>
      </c>
      <c r="U28" s="17">
        <f>U27/U8</f>
        <v>-0.1406825232002355</v>
      </c>
      <c r="V28" s="17">
        <f>V27/V8</f>
        <v>-0.13501480768333673</v>
      </c>
      <c r="W28" s="17">
        <f>W27/W8</f>
        <v>-9.8022935619752425E-3</v>
      </c>
      <c r="X28" s="17">
        <f>X27/X8</f>
        <v>-3.2612289416842709E-2</v>
      </c>
      <c r="Y28" s="17">
        <f>Y27/Y8</f>
        <v>-5.048432150278357E-2</v>
      </c>
      <c r="Z28" s="17">
        <f>Z27/Z8</f>
        <v>-8.4898382574932388E-2</v>
      </c>
      <c r="AA28" s="17">
        <f>AA27/AA8</f>
        <v>-0.10694432105565556</v>
      </c>
      <c r="AB28" s="17">
        <f>AB27/AB8</f>
        <v>-0.1587702336111643</v>
      </c>
      <c r="AC28" s="17">
        <f>AC27/AC8</f>
        <v>-0.18814737216602492</v>
      </c>
      <c r="AD28" s="17">
        <f>AD27/AD8</f>
        <v>-0.21140782232878638</v>
      </c>
      <c r="AE28" s="17">
        <f>AE27/AE8</f>
        <v>-0.19095659881744367</v>
      </c>
      <c r="AG28" s="132">
        <f>SUM(AE28-AA28)*10000</f>
        <v>-840.12277761788118</v>
      </c>
    </row>
    <row r="29" spans="2:33" ht="5.0999999999999996" customHeight="1">
      <c r="AG29" s="129"/>
    </row>
    <row r="30" spans="2:33" ht="12.75" customHeight="1">
      <c r="B30" s="31" t="s">
        <v>34</v>
      </c>
      <c r="C30" s="150">
        <f>'Historical Financials'!D100/1000</f>
        <v>11.574999999999999</v>
      </c>
      <c r="D30" s="150">
        <f>'Historical Financials'!E100/1000</f>
        <v>12.536</v>
      </c>
      <c r="E30" s="150">
        <f>'Historical Financials'!F100/1000</f>
        <v>11.483000000000001</v>
      </c>
      <c r="F30" s="150">
        <f>'Historical Financials'!G100/1000</f>
        <v>11.962999999999999</v>
      </c>
      <c r="G30" s="150">
        <f>'Historical Financials'!H100/1000</f>
        <v>7.21</v>
      </c>
      <c r="I30" s="150">
        <f>'Historical Financials'!J100/1000</f>
        <v>3.2730000000000001</v>
      </c>
      <c r="J30" s="150">
        <f>'Historical Financials'!K100/1000</f>
        <v>3.48</v>
      </c>
      <c r="K30" s="150">
        <f>'Historical Financials'!L100/1000</f>
        <v>2.569</v>
      </c>
      <c r="L30" s="150">
        <f>'Historical Financials'!M100/1000</f>
        <v>2.641</v>
      </c>
      <c r="M30" s="150">
        <f>'Historical Financials'!N100/1000</f>
        <v>3.08</v>
      </c>
      <c r="N30" s="150">
        <f>'Historical Financials'!O100/1000</f>
        <v>0.34200000000000003</v>
      </c>
      <c r="O30" s="150">
        <f>'Historical Financials'!P100/1000</f>
        <v>1.952</v>
      </c>
      <c r="P30" s="150">
        <f>'Historical Financials'!Q100/1000</f>
        <v>1.8360000000000001</v>
      </c>
      <c r="Q30" s="150">
        <f>'Historical Financials'!R100/1000</f>
        <v>1.2330000000000001</v>
      </c>
      <c r="R30" s="150">
        <f>'Historical Financials'!S100/1000</f>
        <v>1.8440000000000001</v>
      </c>
      <c r="S30" s="150">
        <f>'Historical Financials'!T100/1000</f>
        <v>2.5219999999999998</v>
      </c>
      <c r="U30" s="151">
        <f t="shared" ref="U30:AD32" si="8">SUM(F30:I30)</f>
        <v>22.445999999999998</v>
      </c>
      <c r="V30" s="151">
        <f t="shared" si="8"/>
        <v>13.963000000000001</v>
      </c>
      <c r="W30" s="151">
        <f t="shared" si="8"/>
        <v>9.3219999999999992</v>
      </c>
      <c r="X30" s="151">
        <f t="shared" si="8"/>
        <v>11.962999999999999</v>
      </c>
      <c r="Y30" s="151">
        <f t="shared" si="8"/>
        <v>11.77</v>
      </c>
      <c r="Z30" s="151">
        <f t="shared" si="8"/>
        <v>8.6319999999999997</v>
      </c>
      <c r="AA30" s="151">
        <f t="shared" si="8"/>
        <v>8.0150000000000006</v>
      </c>
      <c r="AB30" s="151">
        <f t="shared" si="8"/>
        <v>7.2100000000000009</v>
      </c>
      <c r="AC30" s="151">
        <f t="shared" si="8"/>
        <v>5.3629999999999995</v>
      </c>
      <c r="AD30" s="151">
        <f t="shared" si="8"/>
        <v>6.8650000000000011</v>
      </c>
      <c r="AE30" s="151">
        <f>SUM(P30:S30)</f>
        <v>7.4350000000000005</v>
      </c>
      <c r="AG30" s="130">
        <f t="shared" ref="AG30:AG32" si="9">SUM(AE30/AA30)-1</f>
        <v>-7.2364316905801584E-2</v>
      </c>
    </row>
    <row r="31" spans="2:33" ht="12.75" customHeight="1">
      <c r="B31" s="31" t="s">
        <v>199</v>
      </c>
      <c r="C31" s="152">
        <f>-C20</f>
        <v>-302.76100000000002</v>
      </c>
      <c r="D31" s="152">
        <f t="shared" ref="D31:G32" si="10">-D20</f>
        <v>-377.71499999999997</v>
      </c>
      <c r="E31" s="152">
        <f t="shared" si="10"/>
        <v>420.17200000000003</v>
      </c>
      <c r="F31" s="152">
        <f t="shared" si="10"/>
        <v>69.537000000000006</v>
      </c>
      <c r="G31" s="152">
        <f t="shared" si="10"/>
        <v>36.029000000000003</v>
      </c>
      <c r="I31" s="152">
        <f t="shared" ref="I31:S31" si="11">-I20</f>
        <v>13.983000000000001</v>
      </c>
      <c r="J31" s="152">
        <f t="shared" si="11"/>
        <v>19.972000000000001</v>
      </c>
      <c r="K31" s="152">
        <f t="shared" si="11"/>
        <v>12.378</v>
      </c>
      <c r="L31" s="152">
        <f t="shared" si="11"/>
        <v>23.204000000000001</v>
      </c>
      <c r="M31" s="152">
        <f t="shared" si="11"/>
        <v>36.258000000000003</v>
      </c>
      <c r="N31" s="152">
        <f t="shared" si="11"/>
        <v>-0.38100000000000001</v>
      </c>
      <c r="O31" s="152">
        <f t="shared" si="11"/>
        <v>0.151</v>
      </c>
      <c r="P31" s="152">
        <f t="shared" si="11"/>
        <v>1E-3</v>
      </c>
      <c r="Q31" s="152">
        <f t="shared" si="11"/>
        <v>-4.0000000000000001E-3</v>
      </c>
      <c r="R31" s="152">
        <f t="shared" si="11"/>
        <v>0</v>
      </c>
      <c r="S31" s="152">
        <f t="shared" si="11"/>
        <v>0</v>
      </c>
      <c r="U31" s="151">
        <f t="shared" si="8"/>
        <v>119.54900000000001</v>
      </c>
      <c r="V31" s="151">
        <f t="shared" si="8"/>
        <v>69.984000000000009</v>
      </c>
      <c r="W31" s="151">
        <f t="shared" si="8"/>
        <v>46.332999999999998</v>
      </c>
      <c r="X31" s="151">
        <f t="shared" si="8"/>
        <v>69.537000000000006</v>
      </c>
      <c r="Y31" s="151">
        <f t="shared" si="8"/>
        <v>91.812000000000012</v>
      </c>
      <c r="Z31" s="151">
        <f t="shared" si="8"/>
        <v>71.459000000000003</v>
      </c>
      <c r="AA31" s="151">
        <f t="shared" si="8"/>
        <v>59.232000000000006</v>
      </c>
      <c r="AB31" s="151">
        <f t="shared" si="8"/>
        <v>36.029000000000003</v>
      </c>
      <c r="AC31" s="151">
        <f t="shared" si="8"/>
        <v>-0.23300000000000001</v>
      </c>
      <c r="AD31" s="151">
        <f t="shared" si="8"/>
        <v>0.14799999999999999</v>
      </c>
      <c r="AE31" s="151">
        <f>SUM(P31:S31)</f>
        <v>-3.0000000000000001E-3</v>
      </c>
      <c r="AG31" s="130">
        <f t="shared" si="9"/>
        <v>-1.0000506482982172</v>
      </c>
    </row>
    <row r="32" spans="2:33" ht="12.75" customHeight="1">
      <c r="B32" s="31" t="s">
        <v>200</v>
      </c>
      <c r="C32" s="152">
        <f>-C21</f>
        <v>2.2639999999999998</v>
      </c>
      <c r="D32" s="152">
        <f t="shared" si="10"/>
        <v>3.32</v>
      </c>
      <c r="E32" s="152">
        <f t="shared" si="10"/>
        <v>46.624000000000002</v>
      </c>
      <c r="F32" s="152">
        <f t="shared" si="10"/>
        <v>33.966000000000001</v>
      </c>
      <c r="G32" s="152">
        <f t="shared" si="10"/>
        <v>273.87099999999998</v>
      </c>
      <c r="I32" s="152">
        <f t="shared" ref="I32:R32" si="12">-I21</f>
        <v>7.1</v>
      </c>
      <c r="J32" s="152">
        <f t="shared" si="12"/>
        <v>0.80200000000000005</v>
      </c>
      <c r="K32" s="152">
        <f t="shared" si="12"/>
        <v>-2.25</v>
      </c>
      <c r="L32" s="152">
        <f t="shared" si="12"/>
        <v>28.314</v>
      </c>
      <c r="M32" s="152">
        <f t="shared" si="12"/>
        <v>-3.0289999999999999</v>
      </c>
      <c r="N32" s="152">
        <f t="shared" si="12"/>
        <v>-14.047000000000001</v>
      </c>
      <c r="O32" s="152">
        <f t="shared" si="12"/>
        <v>3.1909999999999998</v>
      </c>
      <c r="P32" s="152">
        <f t="shared" si="12"/>
        <v>287.75599999999997</v>
      </c>
      <c r="Q32" s="152">
        <f t="shared" si="12"/>
        <v>11.635999999999999</v>
      </c>
      <c r="R32" s="152">
        <f t="shared" si="12"/>
        <v>-0.309</v>
      </c>
      <c r="S32" s="152">
        <f>-S21</f>
        <v>-113.71299999999999</v>
      </c>
      <c r="U32" s="151">
        <f t="shared" si="8"/>
        <v>314.93700000000001</v>
      </c>
      <c r="V32" s="151">
        <f t="shared" si="8"/>
        <v>281.77300000000002</v>
      </c>
      <c r="W32" s="151">
        <f t="shared" si="8"/>
        <v>5.6519999999999992</v>
      </c>
      <c r="X32" s="151">
        <f t="shared" si="8"/>
        <v>33.966000000000001</v>
      </c>
      <c r="Y32" s="151">
        <f t="shared" si="8"/>
        <v>23.837</v>
      </c>
      <c r="Z32" s="151">
        <f t="shared" si="8"/>
        <v>8.9879999999999995</v>
      </c>
      <c r="AA32" s="151">
        <f t="shared" si="8"/>
        <v>14.428999999999998</v>
      </c>
      <c r="AB32" s="151">
        <f t="shared" si="8"/>
        <v>273.87099999999998</v>
      </c>
      <c r="AC32" s="151">
        <f t="shared" si="8"/>
        <v>288.536</v>
      </c>
      <c r="AD32" s="151">
        <f t="shared" si="8"/>
        <v>302.27399999999994</v>
      </c>
      <c r="AE32" s="151">
        <f>SUM(P32:S32)</f>
        <v>185.36999999999998</v>
      </c>
      <c r="AG32" s="130">
        <f t="shared" si="9"/>
        <v>11.847044147203547</v>
      </c>
    </row>
    <row r="33" spans="2:33" ht="12.75" customHeight="1">
      <c r="B33" s="13" t="s">
        <v>35</v>
      </c>
      <c r="C33" s="14">
        <f t="shared" ref="C33:F33" si="13">+SUM(C27+SUM(C30:C32))</f>
        <v>-518.09599999999978</v>
      </c>
      <c r="D33" s="14">
        <f t="shared" si="13"/>
        <v>-121.52200000000022</v>
      </c>
      <c r="E33" s="14">
        <f t="shared" si="13"/>
        <v>192.45200000000148</v>
      </c>
      <c r="F33" s="14">
        <f t="shared" si="13"/>
        <v>-59.419000000000494</v>
      </c>
      <c r="G33" s="14">
        <f>+SUM(G27+SUM(G30:G32))</f>
        <v>-462.99500000000148</v>
      </c>
      <c r="H33" s="11"/>
      <c r="I33" s="14">
        <f t="shared" ref="I33:S33" si="14">+SUM(I27+SUM(I30:I32))</f>
        <v>-10.047999999999981</v>
      </c>
      <c r="J33" s="14">
        <f t="shared" si="14"/>
        <v>125.00700000000002</v>
      </c>
      <c r="K33" s="14">
        <f t="shared" si="14"/>
        <v>-93.260999999999754</v>
      </c>
      <c r="L33" s="14">
        <f t="shared" si="14"/>
        <v>-81.116999999999877</v>
      </c>
      <c r="M33" s="14">
        <f t="shared" si="14"/>
        <v>-89.681999999999988</v>
      </c>
      <c r="N33" s="14">
        <f t="shared" si="14"/>
        <v>-82.111999999999711</v>
      </c>
      <c r="O33" s="14">
        <f t="shared" si="14"/>
        <v>-207.11699999999982</v>
      </c>
      <c r="P33" s="14">
        <f t="shared" si="14"/>
        <v>-84.083999999999946</v>
      </c>
      <c r="Q33" s="14">
        <f t="shared" si="14"/>
        <v>-209.84100000000029</v>
      </c>
      <c r="R33" s="14">
        <f t="shared" si="14"/>
        <v>-119.70199999999983</v>
      </c>
      <c r="S33" s="14">
        <f t="shared" si="14"/>
        <v>-188.07400000000007</v>
      </c>
      <c r="U33" s="14">
        <f>+SUM(U27+SUM(U30:U30))</f>
        <v>-1613.0929999999989</v>
      </c>
      <c r="V33" s="14">
        <f>+SUM(V27+SUM(V30:V30))</f>
        <v>-1025.0660000000009</v>
      </c>
      <c r="W33" s="14">
        <f>+SUM(W27+SUM(W30:W30))</f>
        <v>-30.287000000000379</v>
      </c>
      <c r="X33" s="14">
        <f>+SUM(X27+SUM(X30:X30))</f>
        <v>-162.92200000000045</v>
      </c>
      <c r="Y33" s="14">
        <f>+SUM(Y27+SUM(Y30:Y30))</f>
        <v>-254.70200000000054</v>
      </c>
      <c r="Z33" s="14">
        <f>+SUM(Z27+SUM(Z30:Z30))</f>
        <v>-426.61900000000048</v>
      </c>
      <c r="AA33" s="14">
        <f t="shared" ref="AA33" si="15">+SUM(AA27+SUM(AA30:AA32))</f>
        <v>-460.02800000000138</v>
      </c>
      <c r="AB33" s="14">
        <f t="shared" ref="AB33" si="16">+SUM(AB27+SUM(AB30:AB32))</f>
        <v>-462.99500000000057</v>
      </c>
      <c r="AC33" s="14">
        <f t="shared" ref="AC33" si="17">+SUM(AC27+SUM(AC30:AC32))</f>
        <v>-583.15399999999931</v>
      </c>
      <c r="AD33" s="14">
        <f t="shared" ref="AD33" si="18">+SUM(AD27+SUM(AD30:AD32))</f>
        <v>-620.74400000000003</v>
      </c>
      <c r="AE33" s="14">
        <f t="shared" ref="AE33" si="19">+SUM(AE27+SUM(AE30:AE32))</f>
        <v>-601.7010000000007</v>
      </c>
      <c r="AG33" s="131">
        <f>SUM(AE33/AA33)-1</f>
        <v>0.3079660368499284</v>
      </c>
    </row>
    <row r="34" spans="2:33" ht="12.75" customHeight="1">
      <c r="B34" s="16" t="s">
        <v>36</v>
      </c>
      <c r="C34" s="17">
        <f>C33/C8</f>
        <v>-0.28623740484922272</v>
      </c>
      <c r="D34" s="17">
        <f>D33/D8</f>
        <v>-3.761388521330028E-2</v>
      </c>
      <c r="E34" s="17">
        <f>E33/E8</f>
        <v>3.7970605197213562E-2</v>
      </c>
      <c r="F34" s="17">
        <f>F33/F8</f>
        <v>-1.1080364953308677E-2</v>
      </c>
      <c r="G34" s="17">
        <f>G33/G8</f>
        <v>-9.4230679601850012E-2</v>
      </c>
      <c r="I34" s="17">
        <f>I33/I8</f>
        <v>-7.4442091787217573E-3</v>
      </c>
      <c r="J34" s="17">
        <f>J33/J8</f>
        <v>8.7266627201090158E-2</v>
      </c>
      <c r="K34" s="17">
        <f>K33/K8</f>
        <v>-7.410235486590426E-2</v>
      </c>
      <c r="L34" s="17">
        <f>L33/L8</f>
        <v>-6.1370445466650436E-2</v>
      </c>
      <c r="M34" s="17">
        <f>M33/M8</f>
        <v>-7.086477914118669E-2</v>
      </c>
      <c r="N34" s="17">
        <f>N33/N8</f>
        <v>-6.410547674310553E-2</v>
      </c>
      <c r="O34" s="17">
        <f>O33/O8</f>
        <v>-0.17301504297036832</v>
      </c>
      <c r="P34" s="17">
        <f>P33/P8</f>
        <v>-7.1873362561127446E-2</v>
      </c>
      <c r="Q34" s="17">
        <f>Q33/Q8</f>
        <v>-0.20727104629696425</v>
      </c>
      <c r="R34" s="17">
        <f>R33/R8</f>
        <v>-0.11737411909596945</v>
      </c>
      <c r="S34" s="17">
        <f>S33/S8</f>
        <v>-0.19621209275928414</v>
      </c>
      <c r="U34" s="17">
        <f>U33/U8</f>
        <v>-0.13875180805632731</v>
      </c>
      <c r="V34" s="17">
        <f>V33/V8</f>
        <v>-0.13320041004892766</v>
      </c>
      <c r="W34" s="17">
        <f>W33/W8</f>
        <v>-7.4953183648045919E-3</v>
      </c>
      <c r="X34" s="17">
        <f>X33/X8</f>
        <v>-3.0381447330364804E-2</v>
      </c>
      <c r="Y34" s="17">
        <f>Y33/Y8</f>
        <v>-4.8254441950381206E-2</v>
      </c>
      <c r="Z34" s="17">
        <f>Z33/Z8</f>
        <v>-8.3214657923210006E-2</v>
      </c>
      <c r="AA34" s="17">
        <f>AA33/AA8</f>
        <v>-9.0819676662145993E-2</v>
      </c>
      <c r="AB34" s="17">
        <f>AB33/AB8</f>
        <v>-9.4230679601849818E-2</v>
      </c>
      <c r="AC34" s="17">
        <f>AC33/AC8</f>
        <v>-0.12513274408442562</v>
      </c>
      <c r="AD34" s="17">
        <f>AD33/AD8</f>
        <v>-0.1411029710446858</v>
      </c>
      <c r="AE34" s="17">
        <f>AE33/AE8</f>
        <v>-0.14461717131974924</v>
      </c>
      <c r="AG34" s="132">
        <f>SUM(AE34-AA34)*10000</f>
        <v>-537.97494657603249</v>
      </c>
    </row>
    <row r="35" spans="2:33" ht="5.0999999999999996" customHeight="1">
      <c r="AG35" s="129"/>
    </row>
    <row r="36" spans="2:33" ht="12.75" customHeight="1">
      <c r="B36" s="23" t="s">
        <v>37</v>
      </c>
      <c r="C36" s="150">
        <f>'Historical Financials'!D119/1000</f>
        <v>-393.375</v>
      </c>
      <c r="D36" s="150">
        <f>'Historical Financials'!E119/1000</f>
        <v>-213.767</v>
      </c>
      <c r="E36" s="150">
        <f>'Historical Financials'!F119/1000</f>
        <v>-237.584</v>
      </c>
      <c r="F36" s="150">
        <f>'Historical Financials'!G119/1000</f>
        <v>-255.56299999999999</v>
      </c>
      <c r="G36" s="150">
        <f>'Historical Financials'!H119/1000</f>
        <v>-110.955</v>
      </c>
      <c r="I36" s="150">
        <f>'Historical Financials'!J119/1000</f>
        <v>-60.512999999999998</v>
      </c>
      <c r="J36" s="150">
        <f>'Historical Financials'!K119/1000</f>
        <v>-70.465999999999994</v>
      </c>
      <c r="K36" s="150">
        <f>'Historical Financials'!L119/1000</f>
        <v>-80.103999999999999</v>
      </c>
      <c r="L36" s="150">
        <f>'Historical Financials'!M119/1000</f>
        <v>-44.48</v>
      </c>
      <c r="M36" s="150">
        <f>'Historical Financials'!N119/1000</f>
        <v>-64.337999999999994</v>
      </c>
      <c r="N36" s="150">
        <f>'Historical Financials'!O119/1000</f>
        <v>3.7869999999999999</v>
      </c>
      <c r="O36" s="150">
        <f>'Historical Financials'!P119/1000</f>
        <v>-31.202999999999999</v>
      </c>
      <c r="P36" s="150">
        <f>'Historical Financials'!Q119/1000</f>
        <v>-19.201000000000001</v>
      </c>
      <c r="Q36" s="150">
        <f>'Historical Financials'!R119/1000</f>
        <v>-11.358000000000001</v>
      </c>
      <c r="R36" s="150">
        <f>'Historical Financials'!S119/1000</f>
        <v>-9.9269999999999996</v>
      </c>
      <c r="S36" s="150">
        <f>'Historical Financials'!T119/1000</f>
        <v>-11.926</v>
      </c>
      <c r="U36" s="10">
        <f>SUM(I36:I36)</f>
        <v>-60.512999999999998</v>
      </c>
      <c r="V36" s="10">
        <f>SUM(I36:J36)</f>
        <v>-130.97899999999998</v>
      </c>
      <c r="W36" s="10">
        <f>SUM(I36:K36)</f>
        <v>-211.08299999999997</v>
      </c>
      <c r="X36" s="10">
        <f>SUM(I36:L36)</f>
        <v>-255.56299999999996</v>
      </c>
      <c r="Y36" s="10">
        <f>SUM(J36:M36)</f>
        <v>-259.38799999999998</v>
      </c>
      <c r="Z36" s="10">
        <f>SUM(K36:N36)</f>
        <v>-185.13499999999999</v>
      </c>
      <c r="AA36" s="151">
        <f>SUM(L36:O36)</f>
        <v>-136.23399999999998</v>
      </c>
      <c r="AB36" s="151">
        <f>SUM(M36:P36)</f>
        <v>-110.95499999999998</v>
      </c>
      <c r="AC36" s="151">
        <f>SUM(N36:Q36)</f>
        <v>-57.975000000000009</v>
      </c>
      <c r="AD36" s="151">
        <f>SUM(O36:R36)</f>
        <v>-71.688999999999993</v>
      </c>
      <c r="AE36" s="151">
        <f>SUM(P36:S36)</f>
        <v>-52.412000000000006</v>
      </c>
      <c r="AG36" s="130">
        <f>SUM(AE36/AA36)-1</f>
        <v>-0.61527959246590413</v>
      </c>
    </row>
    <row r="37" spans="2:33" ht="12.75" customHeight="1">
      <c r="B37" s="23" t="s">
        <v>38</v>
      </c>
      <c r="C37" s="150">
        <f>-'Historical Financials'!D149/1000</f>
        <v>17.79</v>
      </c>
      <c r="D37" s="150">
        <f>-'Historical Financials'!E149/1000</f>
        <v>112.461</v>
      </c>
      <c r="E37" s="150">
        <f>-'Historical Financials'!F149/1000</f>
        <v>8.2000000000000003E-2</v>
      </c>
      <c r="F37" s="150">
        <f>-'Historical Financials'!G149/1000</f>
        <v>32.853999999999999</v>
      </c>
      <c r="G37" s="150">
        <f>-'Historical Financials'!H149/1000</f>
        <v>-3.548</v>
      </c>
      <c r="I37" s="150">
        <f>-'Historical Financials'!J149/1000</f>
        <v>-0.46600000000000003</v>
      </c>
      <c r="J37" s="150">
        <f>-'Historical Financials'!K149/1000</f>
        <v>-0.73099999999999998</v>
      </c>
      <c r="K37" s="150">
        <f>-'Historical Financials'!L149/1000</f>
        <v>33.920999999999999</v>
      </c>
      <c r="L37" s="150">
        <f>-'Historical Financials'!M149/1000</f>
        <v>0.13</v>
      </c>
      <c r="M37" s="150">
        <f>-'Historical Financials'!N149/1000</f>
        <v>-7.0000000000000001E-3</v>
      </c>
      <c r="N37" s="150">
        <f>-'Historical Financials'!O149/1000</f>
        <v>-7.0430000000000001</v>
      </c>
      <c r="O37" s="150">
        <f>-'Historical Financials'!P149/1000</f>
        <v>-0.33400000000000002</v>
      </c>
      <c r="P37" s="150">
        <f>-'Historical Financials'!Q149/1000</f>
        <v>3.8359999999999999</v>
      </c>
      <c r="Q37" s="150">
        <f>-'Historical Financials'!R149/1000</f>
        <v>-0.26800000000000002</v>
      </c>
      <c r="R37" s="150">
        <f>-'Historical Financials'!S149/1000</f>
        <v>-1.296</v>
      </c>
      <c r="S37" s="150">
        <f>-'Historical Financials'!T149/1000</f>
        <v>9.1999999999999998E-2</v>
      </c>
      <c r="U37" s="10">
        <f>SUM(I37:I37)</f>
        <v>-0.46600000000000003</v>
      </c>
      <c r="V37" s="10">
        <f>SUM(I37:J37)</f>
        <v>-1.1970000000000001</v>
      </c>
      <c r="W37" s="10">
        <f>SUM(I37:K37)</f>
        <v>32.723999999999997</v>
      </c>
      <c r="X37" s="10">
        <f>SUM(I37:L37)</f>
        <v>32.853999999999999</v>
      </c>
      <c r="Y37" s="10">
        <f>SUM(J37:M37)</f>
        <v>33.313000000000002</v>
      </c>
      <c r="Z37" s="10">
        <f>SUM(K37:N37)</f>
        <v>27.001000000000005</v>
      </c>
      <c r="AA37" s="151">
        <f>SUM(L37:O37)</f>
        <v>-7.2539999999999996</v>
      </c>
      <c r="AB37" s="151">
        <f>SUM(M37:P37)</f>
        <v>-3.5479999999999996</v>
      </c>
      <c r="AC37" s="151">
        <f>SUM(N37:Q37)</f>
        <v>-3.8090000000000002</v>
      </c>
      <c r="AD37" s="151">
        <f>SUM(O37:R37)</f>
        <v>1.9379999999999999</v>
      </c>
      <c r="AE37" s="151">
        <f>SUM(P37:S37)</f>
        <v>2.3639999999999994</v>
      </c>
      <c r="AG37" s="130">
        <f>SUM(AE37/AA37)-1</f>
        <v>-1.325889164598842</v>
      </c>
    </row>
    <row r="38" spans="2:33" ht="12.75" customHeight="1">
      <c r="B38" s="23" t="s">
        <v>74</v>
      </c>
      <c r="C38" s="150">
        <f>-'Historical Financials'!D148/1000</f>
        <v>-80.837000000000003</v>
      </c>
      <c r="D38" s="150">
        <f>-'Historical Financials'!E148/1000</f>
        <v>-135.5</v>
      </c>
      <c r="E38" s="150">
        <f>-'Historical Financials'!F148/1000</f>
        <v>-107.443</v>
      </c>
      <c r="F38" s="150">
        <f>-'Historical Financials'!G148/1000</f>
        <v>-138.38</v>
      </c>
      <c r="G38" s="150">
        <f>-'Historical Financials'!H148/1000</f>
        <v>-176.18700000000001</v>
      </c>
      <c r="I38" s="150">
        <f>-'Historical Financials'!J148/1000</f>
        <v>-31.998999999999999</v>
      </c>
      <c r="J38" s="150">
        <f>-'Historical Financials'!K148/1000</f>
        <v>-37.466999999999999</v>
      </c>
      <c r="K38" s="150">
        <f>-'Historical Financials'!L148/1000</f>
        <v>-32.262999999999998</v>
      </c>
      <c r="L38" s="150">
        <f>-'Historical Financials'!M148/1000</f>
        <v>-36.651000000000003</v>
      </c>
      <c r="M38" s="150">
        <f>-'Historical Financials'!N148/1000</f>
        <v>-39.896999999999998</v>
      </c>
      <c r="N38" s="150">
        <f>-'Historical Financials'!O148/1000</f>
        <v>-43.774000000000001</v>
      </c>
      <c r="O38" s="150">
        <f>-'Historical Financials'!P148/1000</f>
        <v>-42.456000000000003</v>
      </c>
      <c r="P38" s="150">
        <f>-'Historical Financials'!Q148/1000</f>
        <v>-50.06</v>
      </c>
      <c r="Q38" s="150">
        <f>-'Historical Financials'!R148/1000</f>
        <v>-69.644000000000005</v>
      </c>
      <c r="R38" s="150">
        <f>-'Historical Financials'!S148/1000</f>
        <v>-16.994</v>
      </c>
      <c r="S38" s="150">
        <f>-'Historical Financials'!T148/1000</f>
        <v>-39.058999999999997</v>
      </c>
      <c r="U38" s="10">
        <f>SUM(I38:I38)</f>
        <v>-31.998999999999999</v>
      </c>
      <c r="V38" s="10">
        <f>SUM(I38:J38)</f>
        <v>-69.465999999999994</v>
      </c>
      <c r="W38" s="10">
        <f>SUM(I38:K38)</f>
        <v>-101.72899999999998</v>
      </c>
      <c r="X38" s="10">
        <f>SUM(I38:L38)</f>
        <v>-138.38</v>
      </c>
      <c r="Y38" s="10">
        <f>SUM(J38:M38)</f>
        <v>-146.27799999999999</v>
      </c>
      <c r="Z38" s="10">
        <f>SUM(K38:N38)</f>
        <v>-152.58500000000001</v>
      </c>
      <c r="AA38" s="151">
        <f>SUM(L38:O38)</f>
        <v>-162.77800000000002</v>
      </c>
      <c r="AB38" s="151">
        <f>SUM(M38:P38)</f>
        <v>-176.18700000000001</v>
      </c>
      <c r="AC38" s="151">
        <f>SUM(N38:Q38)</f>
        <v>-205.93400000000003</v>
      </c>
      <c r="AD38" s="151">
        <f>SUM(O38:R38)</f>
        <v>-179.15400000000002</v>
      </c>
      <c r="AE38" s="151">
        <f>SUM(P38:S38)</f>
        <v>-175.75700000000001</v>
      </c>
      <c r="AG38" s="130">
        <f>SUM(AE38/AA38)-1</f>
        <v>7.9734362137389381E-2</v>
      </c>
    </row>
    <row r="39" spans="2:33" ht="12.75" customHeight="1">
      <c r="B39" s="23" t="s">
        <v>39</v>
      </c>
      <c r="C39" s="150">
        <f>SUM('Historical Financials'!D110:D115)/1000</f>
        <v>-63.926000000000002</v>
      </c>
      <c r="D39" s="150">
        <f>SUM('Historical Financials'!E110:E115)/1000</f>
        <v>71.209000000000003</v>
      </c>
      <c r="E39" s="150">
        <f>SUM('Historical Financials'!F110:F115)/1000</f>
        <v>-120.15900000000001</v>
      </c>
      <c r="F39" s="150">
        <f>SUM('Historical Financials'!G110:G115)/1000</f>
        <v>-74.278999999999996</v>
      </c>
      <c r="G39" s="150">
        <f>SUM('Historical Financials'!H110:H115)/1000</f>
        <v>-187.20500000000001</v>
      </c>
      <c r="I39" s="150">
        <f>SUM('Historical Financials'!J110:J115)/1000</f>
        <v>185.71799999999999</v>
      </c>
      <c r="J39" s="150">
        <f>SUM('Historical Financials'!K110:K115)/1000</f>
        <v>-112.31399999999999</v>
      </c>
      <c r="K39" s="150">
        <f>SUM('Historical Financials'!L110:L115)/1000</f>
        <v>-81.402000000000001</v>
      </c>
      <c r="L39" s="150">
        <f>SUM('Historical Financials'!M110:M115)/1000</f>
        <v>-66.281000000000006</v>
      </c>
      <c r="M39" s="150">
        <f>SUM('Historical Financials'!N110:N115)/1000</f>
        <v>-69.37</v>
      </c>
      <c r="N39" s="150">
        <f>SUM('Historical Financials'!O110:O115)/1000</f>
        <v>-20.584</v>
      </c>
      <c r="O39" s="150">
        <f>SUM('Historical Financials'!P110:P115)/1000</f>
        <v>-126.78</v>
      </c>
      <c r="P39" s="150">
        <f>SUM('Historical Financials'!Q110:Q115)/1000</f>
        <v>29.529</v>
      </c>
      <c r="Q39" s="150">
        <f>SUM('Historical Financials'!R110:R115)/1000</f>
        <v>28.748999999999999</v>
      </c>
      <c r="R39" s="150">
        <f>SUM('Historical Financials'!S110:S115)/1000</f>
        <v>-65.266000000000005</v>
      </c>
      <c r="S39" s="150">
        <f>SUM('Historical Financials'!T110:T115)/1000</f>
        <v>-170.84200000000001</v>
      </c>
      <c r="U39" s="10">
        <f>SUM(I39:I39)</f>
        <v>185.71799999999999</v>
      </c>
      <c r="V39" s="10">
        <f>SUM(I39:J39)</f>
        <v>73.403999999999996</v>
      </c>
      <c r="W39" s="10">
        <f>SUM(I39:K39)</f>
        <v>-7.9980000000000047</v>
      </c>
      <c r="X39" s="10">
        <f>SUM(I39:L39)</f>
        <v>-74.279000000000011</v>
      </c>
      <c r="Y39" s="10">
        <f>SUM(J39:M39)</f>
        <v>-329.36700000000002</v>
      </c>
      <c r="Z39" s="10">
        <f>SUM(K39:N39)</f>
        <v>-237.637</v>
      </c>
      <c r="AA39" s="151">
        <f>SUM(L39:O39)</f>
        <v>-283.01499999999999</v>
      </c>
      <c r="AB39" s="151">
        <f>SUM(M39:P39)</f>
        <v>-187.20500000000001</v>
      </c>
      <c r="AC39" s="151">
        <f>SUM(N39:Q39)</f>
        <v>-89.086000000000013</v>
      </c>
      <c r="AD39" s="151">
        <f>SUM(O39:R39)</f>
        <v>-133.76800000000003</v>
      </c>
      <c r="AE39" s="151">
        <f>SUM(P39:S39)</f>
        <v>-177.83</v>
      </c>
      <c r="AG39" s="130">
        <f>SUM(AE39/AA39)-1</f>
        <v>-0.37165874600286197</v>
      </c>
    </row>
    <row r="40" spans="2:33" ht="12.75" customHeight="1">
      <c r="B40" s="13" t="s">
        <v>40</v>
      </c>
      <c r="C40" s="14">
        <f>SUM(C33+SUM(C36:C39))</f>
        <v>-1038.4439999999997</v>
      </c>
      <c r="D40" s="14">
        <f>SUM(D33+SUM(D36:D39))</f>
        <v>-287.1190000000002</v>
      </c>
      <c r="E40" s="14">
        <f>SUM(E33+SUM(E36:E39))</f>
        <v>-272.65199999999851</v>
      </c>
      <c r="F40" s="14">
        <f>SUM(F33+SUM(F36:F39))</f>
        <v>-494.78700000000049</v>
      </c>
      <c r="G40" s="14">
        <f>SUM(G33+SUM(G36:G39))</f>
        <v>-940.89000000000146</v>
      </c>
      <c r="I40" s="14">
        <f t="shared" ref="I40:R40" si="20">SUM(I33+SUM(I36:I39))</f>
        <v>82.692000000000007</v>
      </c>
      <c r="J40" s="14">
        <f t="shared" si="20"/>
        <v>-95.970999999999961</v>
      </c>
      <c r="K40" s="14">
        <f t="shared" si="20"/>
        <v>-253.10899999999975</v>
      </c>
      <c r="L40" s="14">
        <f t="shared" si="20"/>
        <v>-228.39899999999989</v>
      </c>
      <c r="M40" s="14">
        <f t="shared" si="20"/>
        <v>-263.29399999999998</v>
      </c>
      <c r="N40" s="14">
        <f t="shared" si="20"/>
        <v>-149.72599999999971</v>
      </c>
      <c r="O40" s="14">
        <f t="shared" si="20"/>
        <v>-407.88999999999982</v>
      </c>
      <c r="P40" s="14">
        <f t="shared" si="20"/>
        <v>-119.97999999999995</v>
      </c>
      <c r="Q40" s="14">
        <f t="shared" si="20"/>
        <v>-262.36200000000031</v>
      </c>
      <c r="R40" s="14">
        <f t="shared" si="20"/>
        <v>-213.18499999999983</v>
      </c>
      <c r="S40" s="14">
        <f>SUM(S33+SUM(S36:S39))</f>
        <v>-409.80900000000008</v>
      </c>
      <c r="U40" s="14">
        <f t="shared" ref="U40:AC40" si="21">SUM(U33+SUM(U36:U39))</f>
        <v>-1520.3529999999989</v>
      </c>
      <c r="V40" s="14">
        <f t="shared" si="21"/>
        <v>-1153.304000000001</v>
      </c>
      <c r="W40" s="14">
        <f t="shared" si="21"/>
        <v>-318.37300000000033</v>
      </c>
      <c r="X40" s="14">
        <f t="shared" si="21"/>
        <v>-598.29000000000042</v>
      </c>
      <c r="Y40" s="14">
        <f t="shared" si="21"/>
        <v>-956.42200000000059</v>
      </c>
      <c r="Z40" s="14">
        <f t="shared" si="21"/>
        <v>-974.97500000000048</v>
      </c>
      <c r="AA40" s="14">
        <f t="shared" si="21"/>
        <v>-1049.3090000000013</v>
      </c>
      <c r="AB40" s="14">
        <f t="shared" si="21"/>
        <v>-940.89000000000055</v>
      </c>
      <c r="AC40" s="14">
        <f t="shared" si="21"/>
        <v>-939.9579999999994</v>
      </c>
      <c r="AD40" s="14">
        <f>SUM(AD33+SUM(AD36:AD39))</f>
        <v>-1003.4170000000001</v>
      </c>
      <c r="AE40" s="14">
        <f>SUM(AE33+SUM(AE36:AE39))</f>
        <v>-1005.3360000000007</v>
      </c>
      <c r="AG40" s="131">
        <f>SUM(AE40/AA40)-1</f>
        <v>-4.1906626170175376E-2</v>
      </c>
    </row>
    <row r="41" spans="2:33" ht="5.0999999999999996" customHeight="1"/>
    <row r="42" spans="2:33" ht="12.75" customHeight="1">
      <c r="B42" s="31" t="s">
        <v>190</v>
      </c>
      <c r="C42" s="150">
        <f>'Historical Financials'!D121/1000</f>
        <v>-1.228</v>
      </c>
      <c r="D42" s="150">
        <f>'Historical Financials'!E121/1000</f>
        <v>-0.86099999999999999</v>
      </c>
      <c r="E42" s="150">
        <f>'Historical Financials'!F121/1000</f>
        <v>-1.19</v>
      </c>
      <c r="F42" s="150">
        <f>'Historical Financials'!G121/1000</f>
        <v>-2.0569999999999999</v>
      </c>
      <c r="G42" s="150">
        <f>'Historical Financials'!H121/1000</f>
        <v>-1.395</v>
      </c>
      <c r="H42" s="32"/>
      <c r="I42" s="150">
        <f>'Historical Financials'!J121/1000</f>
        <v>-0.59299999999999997</v>
      </c>
      <c r="J42" s="150">
        <f>'Historical Financials'!K121/1000</f>
        <v>-0.60699999999999998</v>
      </c>
      <c r="K42" s="150">
        <f>'Historical Financials'!L121/1000</f>
        <v>-0.503</v>
      </c>
      <c r="L42" s="150">
        <f>'Historical Financials'!M121/1000</f>
        <v>-0.35399999999999998</v>
      </c>
      <c r="M42" s="150">
        <f>'Historical Financials'!N121/1000</f>
        <v>-0.32600000000000001</v>
      </c>
      <c r="N42" s="150">
        <f>'Historical Financials'!O121/1000</f>
        <v>-0.29799999999999999</v>
      </c>
      <c r="O42" s="150">
        <f>'Historical Financials'!P121/1000</f>
        <v>-0.316</v>
      </c>
      <c r="P42" s="150">
        <f>'Historical Financials'!Q121/1000</f>
        <v>-0.45500000000000002</v>
      </c>
      <c r="Q42" s="150">
        <f>'Historical Financials'!R121/1000</f>
        <v>-0.39400000000000002</v>
      </c>
      <c r="R42" s="150">
        <f>'Historical Financials'!S121/1000</f>
        <v>120.262</v>
      </c>
      <c r="S42" s="150">
        <f>'Historical Financials'!T121/1000</f>
        <v>0</v>
      </c>
      <c r="U42" s="151">
        <f t="shared" ref="U42:AD51" si="22">SUM(F42:I42)</f>
        <v>-4.0449999999999999</v>
      </c>
      <c r="V42" s="151">
        <f t="shared" si="22"/>
        <v>-2.5949999999999998</v>
      </c>
      <c r="W42" s="151">
        <f t="shared" si="22"/>
        <v>-1.7029999999999998</v>
      </c>
      <c r="X42" s="151">
        <f t="shared" si="22"/>
        <v>-2.0569999999999999</v>
      </c>
      <c r="Y42" s="151">
        <f t="shared" si="22"/>
        <v>-1.79</v>
      </c>
      <c r="Z42" s="151">
        <f t="shared" si="22"/>
        <v>-1.4810000000000001</v>
      </c>
      <c r="AA42" s="151">
        <f t="shared" si="22"/>
        <v>-1.294</v>
      </c>
      <c r="AB42" s="151">
        <f t="shared" si="22"/>
        <v>-1.395</v>
      </c>
      <c r="AC42" s="151">
        <f t="shared" si="22"/>
        <v>-1.4630000000000001</v>
      </c>
      <c r="AD42" s="151">
        <f t="shared" si="22"/>
        <v>119.09699999999999</v>
      </c>
      <c r="AE42" s="151">
        <f>SUM(P42:S42)</f>
        <v>119.413</v>
      </c>
    </row>
    <row r="43" spans="2:33" ht="12.75" customHeight="1">
      <c r="B43" s="31" t="s">
        <v>191</v>
      </c>
      <c r="C43" s="150">
        <f>'Historical Financials'!D123/1000</f>
        <v>-143.22</v>
      </c>
      <c r="D43" s="150">
        <f>'Historical Financials'!E123/1000</f>
        <v>-119.352</v>
      </c>
      <c r="E43" s="150">
        <f>'Historical Financials'!F123/1000</f>
        <v>-8.4979999999999993</v>
      </c>
      <c r="F43" s="150">
        <f>'Historical Financials'!G123/1000</f>
        <v>23.155999999999999</v>
      </c>
      <c r="G43" s="150">
        <f>'Historical Financials'!H123/1000</f>
        <v>356.29399999999998</v>
      </c>
      <c r="H43" s="32"/>
      <c r="I43" s="150">
        <f>'Historical Financials'!J123/1000</f>
        <v>-25.443000000000001</v>
      </c>
      <c r="J43" s="150">
        <f>'Historical Financials'!K123/1000</f>
        <v>10.308999999999999</v>
      </c>
      <c r="K43" s="150">
        <f>'Historical Financials'!L123/1000</f>
        <v>17.111999999999998</v>
      </c>
      <c r="L43" s="150">
        <f>'Historical Financials'!M123/1000</f>
        <v>21.178000000000001</v>
      </c>
      <c r="M43" s="150">
        <f>'Historical Financials'!N123/1000</f>
        <v>30.402999999999999</v>
      </c>
      <c r="N43" s="150">
        <f>'Historical Financials'!O123/1000</f>
        <v>131.756</v>
      </c>
      <c r="O43" s="150">
        <f>'Historical Financials'!P123/1000</f>
        <v>184.023</v>
      </c>
      <c r="P43" s="150">
        <f>'Historical Financials'!Q123/1000</f>
        <v>10.112</v>
      </c>
      <c r="Q43" s="150">
        <f>'Historical Financials'!R123/1000</f>
        <v>24.317</v>
      </c>
      <c r="R43" s="150">
        <f>'Historical Financials'!S123/1000</f>
        <v>11.1</v>
      </c>
      <c r="S43" s="150">
        <f>'Historical Financials'!T123/1000</f>
        <v>-1.411</v>
      </c>
      <c r="U43" s="151">
        <f t="shared" si="22"/>
        <v>354.00700000000001</v>
      </c>
      <c r="V43" s="151">
        <f t="shared" si="22"/>
        <v>341.16</v>
      </c>
      <c r="W43" s="151">
        <f t="shared" si="22"/>
        <v>1.9779999999999962</v>
      </c>
      <c r="X43" s="151">
        <f t="shared" si="22"/>
        <v>23.155999999999999</v>
      </c>
      <c r="Y43" s="151">
        <f t="shared" si="22"/>
        <v>79.00200000000001</v>
      </c>
      <c r="Z43" s="151">
        <f t="shared" si="22"/>
        <v>200.44900000000001</v>
      </c>
      <c r="AA43" s="151">
        <f t="shared" si="22"/>
        <v>367.36</v>
      </c>
      <c r="AB43" s="151">
        <f t="shared" si="22"/>
        <v>356.29400000000004</v>
      </c>
      <c r="AC43" s="151">
        <f t="shared" si="22"/>
        <v>350.20800000000003</v>
      </c>
      <c r="AD43" s="151">
        <f t="shared" si="22"/>
        <v>229.55199999999999</v>
      </c>
      <c r="AE43" s="151">
        <f>SUM(P43:S43)</f>
        <v>44.118000000000002</v>
      </c>
    </row>
    <row r="44" spans="2:33" ht="12.75" customHeight="1">
      <c r="B44" s="31" t="s">
        <v>192</v>
      </c>
      <c r="C44" s="150">
        <f>'Historical Financials'!D120/1000</f>
        <v>0</v>
      </c>
      <c r="D44" s="150">
        <f>'Historical Financials'!E120/1000</f>
        <v>0</v>
      </c>
      <c r="E44" s="150">
        <f>'Historical Financials'!F120/1000</f>
        <v>0</v>
      </c>
      <c r="F44" s="150">
        <f>'Historical Financials'!G120/1000</f>
        <v>230.78800000000001</v>
      </c>
      <c r="G44" s="150">
        <f>'Historical Financials'!H120/1000</f>
        <v>232.56399999999999</v>
      </c>
      <c r="H44" s="32"/>
      <c r="I44" s="150">
        <f>'Historical Financials'!J120/1000</f>
        <v>23.844999999999999</v>
      </c>
      <c r="J44" s="150">
        <f>'Historical Financials'!K120/1000</f>
        <v>12.305999999999999</v>
      </c>
      <c r="K44" s="150">
        <f>'Historical Financials'!L120/1000</f>
        <v>16.315000000000001</v>
      </c>
      <c r="L44" s="150">
        <f>'Historical Financials'!M120/1000</f>
        <v>178.322</v>
      </c>
      <c r="M44" s="150">
        <f>'Historical Financials'!N120/1000</f>
        <v>138.77099999999999</v>
      </c>
      <c r="N44" s="150">
        <f>'Historical Financials'!O120/1000</f>
        <v>22.81</v>
      </c>
      <c r="O44" s="150">
        <f>'Historical Financials'!P120/1000</f>
        <v>2.7320000000000002</v>
      </c>
      <c r="P44" s="150">
        <f>'Historical Financials'!Q120/1000</f>
        <v>68.251000000000005</v>
      </c>
      <c r="Q44" s="150">
        <f>'Historical Financials'!R120/1000</f>
        <v>0</v>
      </c>
      <c r="R44" s="150">
        <f>'Historical Financials'!S120/1000</f>
        <v>0</v>
      </c>
      <c r="S44" s="150">
        <f>'Historical Financials'!T120/1000</f>
        <v>271.26100000000002</v>
      </c>
      <c r="U44" s="151">
        <f t="shared" si="22"/>
        <v>487.197</v>
      </c>
      <c r="V44" s="151">
        <f t="shared" si="22"/>
        <v>268.71499999999997</v>
      </c>
      <c r="W44" s="151">
        <f t="shared" si="22"/>
        <v>52.465999999999994</v>
      </c>
      <c r="X44" s="151">
        <f t="shared" si="22"/>
        <v>230.78800000000001</v>
      </c>
      <c r="Y44" s="151">
        <f t="shared" si="22"/>
        <v>345.714</v>
      </c>
      <c r="Z44" s="151">
        <f t="shared" si="22"/>
        <v>356.21800000000002</v>
      </c>
      <c r="AA44" s="151">
        <f t="shared" si="22"/>
        <v>342.63499999999999</v>
      </c>
      <c r="AB44" s="151">
        <f t="shared" si="22"/>
        <v>232.56399999999999</v>
      </c>
      <c r="AC44" s="151">
        <f t="shared" si="22"/>
        <v>93.793000000000006</v>
      </c>
      <c r="AD44" s="151">
        <f t="shared" si="22"/>
        <v>70.983000000000004</v>
      </c>
      <c r="AE44" s="151">
        <f>SUM(P44:S44)</f>
        <v>339.51200000000006</v>
      </c>
    </row>
    <row r="45" spans="2:33" ht="12.75" customHeight="1">
      <c r="B45" s="31" t="s">
        <v>193</v>
      </c>
      <c r="C45" s="150">
        <f>'Historical Financials'!D128/1000</f>
        <v>1358.087</v>
      </c>
      <c r="D45" s="150">
        <f>'Historical Financials'!E128/1000</f>
        <v>-660.197</v>
      </c>
      <c r="E45" s="150">
        <f>'Historical Financials'!F128/1000</f>
        <v>397.96699999999998</v>
      </c>
      <c r="F45" s="150">
        <f>'Historical Financials'!G128/1000</f>
        <v>-202.77600000000001</v>
      </c>
      <c r="G45" s="150">
        <f>'Historical Financials'!H128/1000</f>
        <v>397.375</v>
      </c>
      <c r="H45" s="32"/>
      <c r="I45" s="150">
        <f>'Historical Financials'!J128/1000</f>
        <v>-129.435</v>
      </c>
      <c r="J45" s="150">
        <f>'Historical Financials'!K128/1000</f>
        <v>-112.384</v>
      </c>
      <c r="K45" s="150">
        <f>'Historical Financials'!L128/1000</f>
        <v>-45.186</v>
      </c>
      <c r="L45" s="150">
        <f>'Historical Financials'!M128/1000</f>
        <v>84.228999999999999</v>
      </c>
      <c r="M45" s="150">
        <f>'Historical Financials'!N128/1000</f>
        <v>-47.325000000000003</v>
      </c>
      <c r="N45" s="150">
        <f>'Historical Financials'!O128/1000</f>
        <v>-72.813999999999993</v>
      </c>
      <c r="O45" s="150">
        <f>'Historical Financials'!P128/1000</f>
        <v>-31.885000000000002</v>
      </c>
      <c r="P45" s="150">
        <f>'Historical Financials'!Q128/1000</f>
        <v>549.399</v>
      </c>
      <c r="Q45" s="150">
        <f>'Historical Financials'!R128/1000</f>
        <v>-425.78100000000001</v>
      </c>
      <c r="R45" s="150">
        <f>'Historical Financials'!S128/1000</f>
        <v>-78.819999999999993</v>
      </c>
      <c r="S45" s="150">
        <f>'Historical Financials'!T128/1000</f>
        <v>235.53</v>
      </c>
      <c r="U45" s="151">
        <f t="shared" si="22"/>
        <v>65.163999999999987</v>
      </c>
      <c r="V45" s="151">
        <f t="shared" si="22"/>
        <v>155.55599999999998</v>
      </c>
      <c r="W45" s="151">
        <f t="shared" si="22"/>
        <v>-287.005</v>
      </c>
      <c r="X45" s="151">
        <f t="shared" si="22"/>
        <v>-202.77600000000001</v>
      </c>
      <c r="Y45" s="151">
        <f t="shared" si="22"/>
        <v>-120.666</v>
      </c>
      <c r="Z45" s="151">
        <f t="shared" si="22"/>
        <v>-81.096000000000004</v>
      </c>
      <c r="AA45" s="151">
        <f t="shared" si="22"/>
        <v>-67.795000000000002</v>
      </c>
      <c r="AB45" s="151">
        <f t="shared" si="22"/>
        <v>397.375</v>
      </c>
      <c r="AC45" s="151">
        <f t="shared" si="22"/>
        <v>18.918999999999983</v>
      </c>
      <c r="AD45" s="151">
        <f t="shared" si="22"/>
        <v>12.913000000000011</v>
      </c>
      <c r="AE45" s="151">
        <f>SUM(P45:S45)</f>
        <v>280.32799999999997</v>
      </c>
    </row>
    <row r="46" spans="2:33" ht="12.75" customHeight="1">
      <c r="B46" s="31" t="s">
        <v>194</v>
      </c>
      <c r="C46" s="150">
        <f>'Historical Financials'!D129/1000</f>
        <v>-25.401</v>
      </c>
      <c r="D46" s="150">
        <f>'Historical Financials'!E129/1000</f>
        <v>-0.83099999999999996</v>
      </c>
      <c r="E46" s="150">
        <f>'Historical Financials'!F129/1000</f>
        <v>-0.84199999999999997</v>
      </c>
      <c r="F46" s="150">
        <f>'Historical Financials'!G129/1000</f>
        <v>-0.496</v>
      </c>
      <c r="G46" s="150">
        <f>'Historical Financials'!H129/1000</f>
        <v>-0.312</v>
      </c>
      <c r="H46" s="32"/>
      <c r="I46" s="150">
        <f>'Historical Financials'!J129/1000</f>
        <v>-0.17899999999999999</v>
      </c>
      <c r="J46" s="150">
        <f>'Historical Financials'!K129/1000</f>
        <v>-0.114</v>
      </c>
      <c r="K46" s="150">
        <f>'Historical Financials'!L129/1000</f>
        <v>-0.115</v>
      </c>
      <c r="L46" s="150">
        <f>'Historical Financials'!M129/1000</f>
        <v>-8.7999999999999995E-2</v>
      </c>
      <c r="M46" s="150">
        <f>'Historical Financials'!N129/1000</f>
        <v>-8.5999999999999993E-2</v>
      </c>
      <c r="N46" s="150">
        <f>'Historical Financials'!O129/1000</f>
        <v>-9.0999999999999998E-2</v>
      </c>
      <c r="O46" s="150">
        <f>'Historical Financials'!P129/1000</f>
        <v>-0.08</v>
      </c>
      <c r="P46" s="150">
        <f>'Historical Financials'!Q129/1000</f>
        <v>-5.5E-2</v>
      </c>
      <c r="Q46" s="150">
        <f>'Historical Financials'!R129/1000</f>
        <v>-5.5E-2</v>
      </c>
      <c r="R46" s="150">
        <f>'Historical Financials'!S129/1000</f>
        <v>-5.5E-2</v>
      </c>
      <c r="S46" s="150">
        <f>'Historical Financials'!T129/1000</f>
        <v>-5.5E-2</v>
      </c>
      <c r="U46" s="151">
        <f t="shared" si="22"/>
        <v>-0.9870000000000001</v>
      </c>
      <c r="V46" s="151">
        <f t="shared" si="22"/>
        <v>-0.60499999999999998</v>
      </c>
      <c r="W46" s="151">
        <f t="shared" si="22"/>
        <v>-0.40799999999999997</v>
      </c>
      <c r="X46" s="151">
        <f t="shared" si="22"/>
        <v>-0.496</v>
      </c>
      <c r="Y46" s="151">
        <f t="shared" si="22"/>
        <v>-0.40300000000000002</v>
      </c>
      <c r="Z46" s="151">
        <f t="shared" si="22"/>
        <v>-0.38</v>
      </c>
      <c r="AA46" s="151">
        <f t="shared" si="22"/>
        <v>-0.34500000000000003</v>
      </c>
      <c r="AB46" s="151">
        <f t="shared" si="22"/>
        <v>-0.312</v>
      </c>
      <c r="AC46" s="151">
        <f t="shared" si="22"/>
        <v>-0.28099999999999997</v>
      </c>
      <c r="AD46" s="151">
        <f t="shared" si="22"/>
        <v>-0.245</v>
      </c>
      <c r="AE46" s="151">
        <f>SUM(P46:S46)</f>
        <v>-0.22</v>
      </c>
    </row>
    <row r="47" spans="2:33" ht="12.75" customHeight="1">
      <c r="B47" s="31" t="s">
        <v>195</v>
      </c>
      <c r="C47" s="150">
        <f>'Historical Financials'!D130/1000</f>
        <v>365.15300000000002</v>
      </c>
      <c r="D47" s="150">
        <f>'Historical Financials'!E130/1000</f>
        <v>374.14699999999999</v>
      </c>
      <c r="E47" s="150">
        <f>'Historical Financials'!F130/1000</f>
        <v>-2.359</v>
      </c>
      <c r="F47" s="150">
        <f>'Historical Financials'!G130/1000</f>
        <v>-2.637</v>
      </c>
      <c r="G47" s="150">
        <f>'Historical Financials'!H130/1000</f>
        <v>-0.65</v>
      </c>
      <c r="H47" s="32"/>
      <c r="I47" s="150">
        <f>'Historical Financials'!J130/1000</f>
        <v>0</v>
      </c>
      <c r="J47" s="150">
        <f>'Historical Financials'!K130/1000</f>
        <v>-1.6739999999999999</v>
      </c>
      <c r="K47" s="150">
        <f>'Historical Financials'!L130/1000</f>
        <v>-3.4000000000000002E-2</v>
      </c>
      <c r="L47" s="150">
        <f>'Historical Financials'!M130/1000</f>
        <v>-0.92900000000000005</v>
      </c>
      <c r="M47" s="150">
        <f>'Historical Financials'!N130/1000</f>
        <v>-0.63600000000000001</v>
      </c>
      <c r="N47" s="150">
        <f>'Historical Financials'!O130/1000</f>
        <v>-8.9999999999999993E-3</v>
      </c>
      <c r="O47" s="150">
        <f>'Historical Financials'!P130/1000</f>
        <v>-4.0000000000000001E-3</v>
      </c>
      <c r="P47" s="150">
        <f>'Historical Financials'!Q130/1000</f>
        <v>-1E-3</v>
      </c>
      <c r="Q47" s="150">
        <f>'Historical Financials'!R130/1000</f>
        <v>350</v>
      </c>
      <c r="R47" s="150">
        <f>'Historical Financials'!S130/1000</f>
        <v>0</v>
      </c>
      <c r="S47" s="150">
        <f>'Historical Financials'!T130/1000</f>
        <v>0</v>
      </c>
      <c r="U47" s="151">
        <f t="shared" si="22"/>
        <v>-3.2869999999999999</v>
      </c>
      <c r="V47" s="151">
        <f t="shared" si="22"/>
        <v>-2.3239999999999998</v>
      </c>
      <c r="W47" s="151">
        <f t="shared" si="22"/>
        <v>-1.708</v>
      </c>
      <c r="X47" s="151">
        <f t="shared" si="22"/>
        <v>-2.637</v>
      </c>
      <c r="Y47" s="151">
        <f t="shared" si="22"/>
        <v>-3.2730000000000001</v>
      </c>
      <c r="Z47" s="151">
        <f t="shared" si="22"/>
        <v>-1.6080000000000001</v>
      </c>
      <c r="AA47" s="151">
        <f t="shared" si="22"/>
        <v>-1.5779999999999998</v>
      </c>
      <c r="AB47" s="151">
        <f t="shared" si="22"/>
        <v>-0.65</v>
      </c>
      <c r="AC47" s="151">
        <f t="shared" si="22"/>
        <v>349.98599999999999</v>
      </c>
      <c r="AD47" s="151">
        <f t="shared" si="22"/>
        <v>349.995</v>
      </c>
      <c r="AE47" s="151">
        <f>SUM(P47:S47)</f>
        <v>349.99900000000002</v>
      </c>
    </row>
    <row r="48" spans="2:33" ht="12.75" customHeight="1">
      <c r="B48" s="31" t="s">
        <v>196</v>
      </c>
      <c r="C48" s="150">
        <f>'Historical Financials'!D132/1000</f>
        <v>-40.551000000000002</v>
      </c>
      <c r="D48" s="150">
        <f>'Historical Financials'!E132/1000</f>
        <v>-2.7749999999999999</v>
      </c>
      <c r="E48" s="150">
        <f>'Historical Financials'!F132/1000</f>
        <v>-3.4710000000000001</v>
      </c>
      <c r="F48" s="150">
        <f>'Historical Financials'!G132/1000</f>
        <v>-3.0270000000000001</v>
      </c>
      <c r="G48" s="150">
        <f>'Historical Financials'!H132/1000</f>
        <v>-14.523</v>
      </c>
      <c r="H48" s="32"/>
      <c r="I48" s="150">
        <f>'Historical Financials'!J132/1000</f>
        <v>-0.55500000000000005</v>
      </c>
      <c r="J48" s="150">
        <f>'Historical Financials'!K132/1000</f>
        <v>0</v>
      </c>
      <c r="K48" s="150">
        <f>'Historical Financials'!L132/1000</f>
        <v>0</v>
      </c>
      <c r="L48" s="150">
        <f>'Historical Financials'!M132/1000</f>
        <v>-2.472</v>
      </c>
      <c r="M48" s="150">
        <f>'Historical Financials'!N132/1000</f>
        <v>0</v>
      </c>
      <c r="N48" s="150">
        <f>'Historical Financials'!O132/1000</f>
        <v>0</v>
      </c>
      <c r="O48" s="150">
        <f>'Historical Financials'!P132/1000</f>
        <v>-8.6029999999999998</v>
      </c>
      <c r="P48" s="150">
        <f>'Historical Financials'!Q132/1000</f>
        <v>-5.92</v>
      </c>
      <c r="Q48" s="150">
        <f>'Historical Financials'!R132/1000</f>
        <v>-13.456</v>
      </c>
      <c r="R48" s="150">
        <f>'Historical Financials'!S132/1000</f>
        <v>-1.738</v>
      </c>
      <c r="S48" s="150">
        <f>'Historical Financials'!T132/1000</f>
        <v>0</v>
      </c>
      <c r="U48" s="151">
        <f t="shared" si="22"/>
        <v>-18.105</v>
      </c>
      <c r="V48" s="151">
        <f t="shared" si="22"/>
        <v>-15.077999999999999</v>
      </c>
      <c r="W48" s="151">
        <f t="shared" si="22"/>
        <v>-0.55500000000000005</v>
      </c>
      <c r="X48" s="151">
        <f t="shared" si="22"/>
        <v>-3.0270000000000001</v>
      </c>
      <c r="Y48" s="151">
        <f t="shared" si="22"/>
        <v>-2.472</v>
      </c>
      <c r="Z48" s="151">
        <f t="shared" si="22"/>
        <v>-2.472</v>
      </c>
      <c r="AA48" s="151">
        <f t="shared" si="22"/>
        <v>-11.074999999999999</v>
      </c>
      <c r="AB48" s="151">
        <f t="shared" si="22"/>
        <v>-14.523</v>
      </c>
      <c r="AC48" s="151">
        <f t="shared" si="22"/>
        <v>-27.978999999999999</v>
      </c>
      <c r="AD48" s="151">
        <f t="shared" si="22"/>
        <v>-29.716999999999999</v>
      </c>
      <c r="AE48" s="151">
        <f>SUM(P48:S48)</f>
        <v>-21.113999999999997</v>
      </c>
    </row>
    <row r="49" spans="1:31" ht="12.75" customHeight="1">
      <c r="B49" s="31" t="s">
        <v>197</v>
      </c>
      <c r="C49" s="150">
        <f>'Historical Financials'!D107/1000</f>
        <v>0</v>
      </c>
      <c r="D49" s="150">
        <f>'Historical Financials'!E107/1000</f>
        <v>0</v>
      </c>
      <c r="E49" s="150">
        <f>'Historical Financials'!F107/1000</f>
        <v>0</v>
      </c>
      <c r="F49" s="150">
        <f>'Historical Financials'!G107/1000</f>
        <v>0</v>
      </c>
      <c r="G49" s="150">
        <f>'Historical Financials'!H107/1000</f>
        <v>85.554000000000002</v>
      </c>
      <c r="H49" s="32"/>
      <c r="I49" s="150">
        <f>'Historical Financials'!J107/1000</f>
        <v>0</v>
      </c>
      <c r="J49" s="150">
        <f>'Historical Financials'!K107/1000</f>
        <v>0</v>
      </c>
      <c r="K49" s="150">
        <f>'Historical Financials'!L107/1000</f>
        <v>0</v>
      </c>
      <c r="L49" s="150">
        <f>'Historical Financials'!M107/1000</f>
        <v>0</v>
      </c>
      <c r="M49" s="150">
        <f>'Historical Financials'!N107/1000</f>
        <v>0</v>
      </c>
      <c r="N49" s="150">
        <f>'Historical Financials'!O107/1000</f>
        <v>0</v>
      </c>
      <c r="O49" s="150">
        <f>'Historical Financials'!P107/1000</f>
        <v>0</v>
      </c>
      <c r="P49" s="150">
        <f>'Historical Financials'!Q107/1000</f>
        <v>85.554000000000002</v>
      </c>
      <c r="Q49" s="150">
        <f>'Historical Financials'!R107/1000</f>
        <v>-421.464</v>
      </c>
      <c r="R49" s="150">
        <f>'Historical Financials'!S107/1000</f>
        <v>0</v>
      </c>
      <c r="S49" s="150">
        <f>'Historical Financials'!T107/1000</f>
        <v>125.983</v>
      </c>
      <c r="U49" s="151">
        <f t="shared" si="22"/>
        <v>85.554000000000002</v>
      </c>
      <c r="V49" s="151">
        <f t="shared" si="22"/>
        <v>85.554000000000002</v>
      </c>
      <c r="W49" s="151">
        <f t="shared" si="22"/>
        <v>0</v>
      </c>
      <c r="X49" s="151">
        <f t="shared" si="22"/>
        <v>0</v>
      </c>
      <c r="Y49" s="151">
        <f t="shared" si="22"/>
        <v>0</v>
      </c>
      <c r="Z49" s="151">
        <f t="shared" si="22"/>
        <v>0</v>
      </c>
      <c r="AA49" s="151">
        <f t="shared" si="22"/>
        <v>0</v>
      </c>
      <c r="AB49" s="151">
        <f t="shared" si="22"/>
        <v>85.554000000000002</v>
      </c>
      <c r="AC49" s="151">
        <f t="shared" si="22"/>
        <v>-335.90999999999997</v>
      </c>
      <c r="AD49" s="151">
        <f t="shared" si="22"/>
        <v>-335.90999999999997</v>
      </c>
      <c r="AE49" s="151">
        <f>SUM(P49:S49)</f>
        <v>-209.92699999999996</v>
      </c>
    </row>
    <row r="50" spans="1:31" ht="12.75" customHeight="1">
      <c r="B50" s="31" t="s">
        <v>198</v>
      </c>
      <c r="C50" s="150">
        <f>'Historical Financials'!D102/1000</f>
        <v>-46.085999999999999</v>
      </c>
      <c r="D50" s="150">
        <f>'Historical Financials'!E102/1000</f>
        <v>-49.502000000000002</v>
      </c>
      <c r="E50" s="150">
        <f>'Historical Financials'!F102/1000</f>
        <v>-148.61099999999999</v>
      </c>
      <c r="F50" s="150">
        <f>'Historical Financials'!G102/1000</f>
        <v>-119.239</v>
      </c>
      <c r="G50" s="150">
        <f>'Historical Financials'!H102/1000</f>
        <v>-58.215000000000003</v>
      </c>
      <c r="H50" s="32"/>
      <c r="I50" s="150">
        <f>'Historical Financials'!J102/1000</f>
        <v>-37.850999999999999</v>
      </c>
      <c r="J50" s="150">
        <f>'Historical Financials'!K102/1000</f>
        <v>16.853000000000002</v>
      </c>
      <c r="K50" s="150">
        <f>'Historical Financials'!L102/1000</f>
        <v>-45.878999999999998</v>
      </c>
      <c r="L50" s="150">
        <f>'Historical Financials'!M102/1000</f>
        <v>-52.362000000000002</v>
      </c>
      <c r="M50" s="150">
        <f>'Historical Financials'!N102/1000</f>
        <v>-15.005000000000001</v>
      </c>
      <c r="N50" s="150">
        <f>'Historical Financials'!O102/1000</f>
        <v>3.66</v>
      </c>
      <c r="O50" s="150">
        <f>'Historical Financials'!P102/1000</f>
        <v>-24.863</v>
      </c>
      <c r="P50" s="150">
        <f>'Historical Financials'!Q102/1000</f>
        <v>-22.007000000000001</v>
      </c>
      <c r="Q50" s="150">
        <f>'Historical Financials'!R102/1000</f>
        <v>17.378</v>
      </c>
      <c r="R50" s="150">
        <f>'Historical Financials'!S102/1000</f>
        <v>-4.548</v>
      </c>
      <c r="S50" s="150">
        <f>'Historical Financials'!T102/1000</f>
        <v>1.2310000000000001</v>
      </c>
      <c r="U50" s="151">
        <f t="shared" si="22"/>
        <v>-215.30500000000001</v>
      </c>
      <c r="V50" s="151">
        <f t="shared" si="22"/>
        <v>-79.212999999999994</v>
      </c>
      <c r="W50" s="151">
        <f t="shared" si="22"/>
        <v>-66.876999999999995</v>
      </c>
      <c r="X50" s="151">
        <f t="shared" si="22"/>
        <v>-119.239</v>
      </c>
      <c r="Y50" s="151">
        <f t="shared" si="22"/>
        <v>-96.393000000000001</v>
      </c>
      <c r="Z50" s="151">
        <f t="shared" si="22"/>
        <v>-109.586</v>
      </c>
      <c r="AA50" s="151">
        <f t="shared" si="22"/>
        <v>-88.570000000000007</v>
      </c>
      <c r="AB50" s="151">
        <f t="shared" si="22"/>
        <v>-58.215000000000003</v>
      </c>
      <c r="AC50" s="151">
        <f t="shared" si="22"/>
        <v>-25.832000000000001</v>
      </c>
      <c r="AD50" s="151">
        <f t="shared" si="22"/>
        <v>-34.040000000000006</v>
      </c>
      <c r="AE50" s="151">
        <f>SUM(P50:S50)</f>
        <v>-7.9460000000000015</v>
      </c>
    </row>
    <row r="51" spans="1:31" ht="12.75" customHeight="1">
      <c r="B51" s="31" t="s">
        <v>70</v>
      </c>
      <c r="C51" s="99"/>
      <c r="D51" s="99">
        <f>SUM(D56-C56)-SUM(D40:D50)</f>
        <v>290.27400000000023</v>
      </c>
      <c r="E51" s="99">
        <f>SUM(E56-D56)-SUM(E40:E50)</f>
        <v>52.498999999998347</v>
      </c>
      <c r="F51" s="99">
        <f>SUM(F56-E56)-SUM(F40:F50)</f>
        <v>89.936000000000604</v>
      </c>
      <c r="G51" s="99">
        <f>SUM(G56-F56)-SUM(G40:G50)</f>
        <v>-18.955999999998497</v>
      </c>
      <c r="H51" s="32"/>
      <c r="I51" s="99">
        <f>SUM(I56-E56)-SUM(I40:I50)</f>
        <v>28.880000000000109</v>
      </c>
      <c r="J51" s="99">
        <f>SUM(J56-I56)-SUM(J40:J50)</f>
        <v>-5.7409999999999286</v>
      </c>
      <c r="K51" s="99">
        <f>SUM(K56-J56)-SUM(K40:K50)</f>
        <v>19.033999999999651</v>
      </c>
      <c r="L51" s="99">
        <f>SUM(L56-K56)-SUM(L40:L50)</f>
        <v>47.762999999999941</v>
      </c>
      <c r="M51" s="99">
        <f>SUM(M56-L56)-SUM(M40:M50)</f>
        <v>57.075000000000017</v>
      </c>
      <c r="N51" s="99">
        <f>SUM(N56-M56)-SUM(N40:N50)</f>
        <v>24.717999999999677</v>
      </c>
      <c r="O51" s="99">
        <f>SUM(O56-N56)-SUM(O40:O50)</f>
        <v>-14.361000000000161</v>
      </c>
      <c r="P51" s="99">
        <f>SUM(P56-O56)-SUM(P40:P50)</f>
        <v>-86.388000000000147</v>
      </c>
      <c r="Q51" s="99">
        <f>SUM(Q56-P56)-SUM(Q40:Q50)</f>
        <v>317.29500000000013</v>
      </c>
      <c r="R51" s="99">
        <f>SUM(R56-Q56)-SUM(R40:R50)</f>
        <v>86.959999999999837</v>
      </c>
      <c r="S51" s="99">
        <f>SUM(S56-R56)-SUM(S40:S50)</f>
        <v>-379.74699999999996</v>
      </c>
      <c r="U51" s="151">
        <f t="shared" si="22"/>
        <v>99.860000000002216</v>
      </c>
      <c r="V51" s="151">
        <f t="shared" si="22"/>
        <v>4.1830000000016838</v>
      </c>
      <c r="W51" s="151">
        <f t="shared" si="22"/>
        <v>42.172999999999831</v>
      </c>
      <c r="X51" s="151">
        <f t="shared" si="22"/>
        <v>89.93599999999978</v>
      </c>
      <c r="Y51" s="151">
        <f t="shared" si="22"/>
        <v>118.13099999999969</v>
      </c>
      <c r="Z51" s="151">
        <f t="shared" si="22"/>
        <v>148.58999999999929</v>
      </c>
      <c r="AA51" s="151">
        <f t="shared" si="22"/>
        <v>115.19499999999948</v>
      </c>
      <c r="AB51" s="151">
        <f t="shared" si="22"/>
        <v>-18.956000000000614</v>
      </c>
      <c r="AC51" s="151">
        <f t="shared" si="22"/>
        <v>241.2639999999995</v>
      </c>
      <c r="AD51" s="151">
        <f t="shared" si="22"/>
        <v>303.50599999999963</v>
      </c>
      <c r="AE51" s="151">
        <f>SUM(P51:S51)</f>
        <v>-61.880000000000109</v>
      </c>
    </row>
    <row r="52" spans="1:31" ht="12.75" customHeight="1">
      <c r="B52" s="13" t="s">
        <v>41</v>
      </c>
      <c r="C52" s="14">
        <f>SUM(C40+SUM(C42:C51))</f>
        <v>428.31000000000017</v>
      </c>
      <c r="D52" s="14">
        <f>SUM(D40+SUM(D42:D51))</f>
        <v>-456.21599999999995</v>
      </c>
      <c r="E52" s="14">
        <f>SUM(E40+SUM(E42:E51))</f>
        <v>12.842999999999904</v>
      </c>
      <c r="F52" s="14">
        <f>SUM(F40+SUM(F42:F51))</f>
        <v>-481.1389999999999</v>
      </c>
      <c r="G52" s="14">
        <f>SUM(G40+SUM(G42:G51))</f>
        <v>36.84599999999989</v>
      </c>
      <c r="I52" s="14">
        <f>SUM(I40+SUM(I42:I51))</f>
        <v>-58.638999999999896</v>
      </c>
      <c r="J52" s="14">
        <f>SUM(J40+SUM(J42:J51))</f>
        <v>-177.02299999999991</v>
      </c>
      <c r="K52" s="14">
        <f>SUM(K40+SUM(K42:K51))</f>
        <v>-292.36500000000012</v>
      </c>
      <c r="L52" s="14">
        <f>SUM(L40+SUM(L42:L51))</f>
        <v>46.88800000000009</v>
      </c>
      <c r="M52" s="14">
        <f>SUM(M40+SUM(M42:M51))</f>
        <v>-100.42299999999997</v>
      </c>
      <c r="N52" s="14">
        <f>SUM(N40+SUM(N42:N51))</f>
        <v>-39.994000000000028</v>
      </c>
      <c r="O52" s="14">
        <f>SUM(O40+SUM(O42:O51))</f>
        <v>-301.24699999999996</v>
      </c>
      <c r="P52" s="14">
        <f>SUM(P40+SUM(P42:P51))</f>
        <v>478.51000000000005</v>
      </c>
      <c r="Q52" s="14">
        <f>SUM(Q40+SUM(Q42:Q51))</f>
        <v>-414.52200000000022</v>
      </c>
      <c r="R52" s="14">
        <f>SUM(R40+SUM(R42:R51))</f>
        <v>-80.024000000000001</v>
      </c>
      <c r="S52" s="14">
        <f>SUM(S40+SUM(S42:S51))</f>
        <v>-157.01700000000005</v>
      </c>
      <c r="U52" s="14">
        <f>SUM(U40+SUM(U42:U51))</f>
        <v>-670.29999999999677</v>
      </c>
      <c r="V52" s="14">
        <f>SUM(V40+SUM(V42:V51))</f>
        <v>-397.95099999999923</v>
      </c>
      <c r="W52" s="14">
        <f>SUM(W40+SUM(W42:W51))</f>
        <v>-580.01200000000051</v>
      </c>
      <c r="X52" s="14">
        <f>SUM(X40+SUM(X42:X51))</f>
        <v>-584.64200000000062</v>
      </c>
      <c r="Y52" s="14">
        <f>SUM(Y40+SUM(Y42:Y51))</f>
        <v>-638.57200000000091</v>
      </c>
      <c r="Z52" s="14">
        <f>SUM(Z40+SUM(Z42:Z51))</f>
        <v>-466.34100000000115</v>
      </c>
      <c r="AA52" s="14">
        <f>SUM(AA40+SUM(AA42:AA51))</f>
        <v>-394.77600000000189</v>
      </c>
      <c r="AB52" s="14">
        <f>SUM(AB40+SUM(AB42:AB51))</f>
        <v>36.84599999999898</v>
      </c>
      <c r="AC52" s="14">
        <f>SUM(AC40+SUM(AC42:AC51))</f>
        <v>-277.25299999999993</v>
      </c>
      <c r="AD52" s="14">
        <f>SUM(AD40+SUM(AD42:AD51))</f>
        <v>-317.28300000000036</v>
      </c>
      <c r="AE52" s="14">
        <f>SUM(AE40+SUM(AE42:AE51))</f>
        <v>-173.05300000000068</v>
      </c>
    </row>
    <row r="53" spans="1:31" ht="5.0999999999999996" customHeight="1"/>
    <row r="54" spans="1:31" ht="12.75" customHeight="1">
      <c r="A54" s="5"/>
      <c r="B54" s="33" t="s">
        <v>42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</row>
    <row r="55" spans="1:31" ht="5.0999999999999996" customHeight="1"/>
    <row r="56" spans="1:31" ht="12.75" customHeight="1">
      <c r="B56" s="8" t="s">
        <v>185</v>
      </c>
      <c r="C56" s="97">
        <f>'Historical Financials'!D49/1000</f>
        <v>1789.723</v>
      </c>
      <c r="D56" s="97">
        <f>'Historical Financials'!E49/1000</f>
        <v>1333.5070000000001</v>
      </c>
      <c r="E56" s="97">
        <f>'Historical Financials'!F49/1000</f>
        <v>1346.35</v>
      </c>
      <c r="F56" s="97">
        <f>'Historical Financials'!G49/1000</f>
        <v>865.21100000000001</v>
      </c>
      <c r="G56" s="97">
        <f>'Historical Financials'!H49/1000</f>
        <v>902.05700000000002</v>
      </c>
      <c r="H56" s="32"/>
      <c r="I56" s="97">
        <f>'Historical Financials'!J49/1000</f>
        <v>1287.711</v>
      </c>
      <c r="J56" s="97">
        <f>'Historical Financials'!K49/1000</f>
        <v>1110.6880000000001</v>
      </c>
      <c r="K56" s="97">
        <f>'Historical Financials'!L49/1000</f>
        <v>818.32299999999998</v>
      </c>
      <c r="L56" s="97">
        <f>'Historical Financials'!M49/1000</f>
        <v>865.21100000000001</v>
      </c>
      <c r="M56" s="97">
        <f>'Historical Financials'!N49/1000</f>
        <v>764.78800000000001</v>
      </c>
      <c r="N56" s="97">
        <f>'Historical Financials'!O49/1000</f>
        <v>724.79399999999998</v>
      </c>
      <c r="O56" s="97">
        <f>'Historical Financials'!P49/1000</f>
        <v>423.54700000000003</v>
      </c>
      <c r="P56" s="97">
        <f>'Historical Financials'!Q49/1000</f>
        <v>902.05700000000002</v>
      </c>
      <c r="Q56" s="97">
        <f>'Historical Financials'!R49/1000</f>
        <v>487.53500000000003</v>
      </c>
      <c r="R56" s="97">
        <f>'Historical Financials'!S49/1000</f>
        <v>407.51100000000002</v>
      </c>
      <c r="S56" s="97">
        <f>'Historical Financials'!T49/1000</f>
        <v>250.494</v>
      </c>
      <c r="U56" s="10">
        <f t="shared" ref="U56:AD59" si="23">I56</f>
        <v>1287.711</v>
      </c>
      <c r="V56" s="10">
        <f t="shared" si="23"/>
        <v>1110.6880000000001</v>
      </c>
      <c r="W56" s="10">
        <f t="shared" si="23"/>
        <v>818.32299999999998</v>
      </c>
      <c r="X56" s="10">
        <f t="shared" si="23"/>
        <v>865.21100000000001</v>
      </c>
      <c r="Y56" s="10">
        <f t="shared" si="23"/>
        <v>764.78800000000001</v>
      </c>
      <c r="Z56" s="10">
        <f t="shared" si="23"/>
        <v>724.79399999999998</v>
      </c>
      <c r="AA56" s="10">
        <f t="shared" si="23"/>
        <v>423.54700000000003</v>
      </c>
      <c r="AB56" s="10">
        <f t="shared" si="23"/>
        <v>902.05700000000002</v>
      </c>
      <c r="AC56" s="10">
        <f t="shared" si="23"/>
        <v>487.53500000000003</v>
      </c>
      <c r="AD56" s="10">
        <f t="shared" si="23"/>
        <v>407.51100000000002</v>
      </c>
      <c r="AE56" s="10">
        <f>S56</f>
        <v>250.494</v>
      </c>
    </row>
    <row r="57" spans="1:31" ht="12.75" customHeight="1">
      <c r="B57" s="8" t="s">
        <v>186</v>
      </c>
      <c r="C57" s="97">
        <f>'Historical Financials'!D50/1000</f>
        <v>71.400999999999996</v>
      </c>
      <c r="D57" s="97">
        <f>'Historical Financials'!E50/1000</f>
        <v>95.4</v>
      </c>
      <c r="E57" s="97">
        <f>'Historical Financials'!F50/1000</f>
        <v>119.392</v>
      </c>
      <c r="F57" s="97">
        <f>'Historical Financials'!G50/1000</f>
        <v>119.4</v>
      </c>
      <c r="G57" s="97">
        <f>'Historical Financials'!H50/1000</f>
        <v>168.39</v>
      </c>
      <c r="H57" s="32"/>
      <c r="I57" s="97">
        <f>'Historical Financials'!J50/1000</f>
        <v>119.4</v>
      </c>
      <c r="J57" s="97">
        <f>'Historical Financials'!K50/1000</f>
        <v>119.4</v>
      </c>
      <c r="K57" s="97">
        <f>'Historical Financials'!L50/1000</f>
        <v>119.4</v>
      </c>
      <c r="L57" s="97">
        <f>'Historical Financials'!M50/1000</f>
        <v>119.4</v>
      </c>
      <c r="M57" s="97">
        <f>'Historical Financials'!N50/1000</f>
        <v>133.58500000000001</v>
      </c>
      <c r="N57" s="97">
        <f>'Historical Financials'!O50/1000</f>
        <v>120.57899999999999</v>
      </c>
      <c r="O57" s="97">
        <f>'Historical Financials'!P50/1000</f>
        <v>170.08600000000001</v>
      </c>
      <c r="P57" s="97">
        <f>'Historical Financials'!Q50/1000</f>
        <v>168.39</v>
      </c>
      <c r="Q57" s="97">
        <f>'Historical Financials'!R50/1000</f>
        <v>270.52199999999999</v>
      </c>
      <c r="R57" s="97">
        <f>'Historical Financials'!S50/1000</f>
        <v>152.08799999999999</v>
      </c>
      <c r="S57" s="97">
        <f>'Historical Financials'!T50/1000</f>
        <v>396.10300000000001</v>
      </c>
      <c r="U57" s="10">
        <f t="shared" si="23"/>
        <v>119.4</v>
      </c>
      <c r="V57" s="10">
        <f t="shared" si="23"/>
        <v>119.4</v>
      </c>
      <c r="W57" s="10">
        <f t="shared" si="23"/>
        <v>119.4</v>
      </c>
      <c r="X57" s="10">
        <f t="shared" si="23"/>
        <v>119.4</v>
      </c>
      <c r="Y57" s="10">
        <f t="shared" si="23"/>
        <v>133.58500000000001</v>
      </c>
      <c r="Z57" s="10">
        <f t="shared" si="23"/>
        <v>120.57899999999999</v>
      </c>
      <c r="AA57" s="10">
        <f t="shared" si="23"/>
        <v>170.08600000000001</v>
      </c>
      <c r="AB57" s="10">
        <f t="shared" si="23"/>
        <v>168.39</v>
      </c>
      <c r="AC57" s="10">
        <f t="shared" si="23"/>
        <v>270.52199999999999</v>
      </c>
      <c r="AD57" s="10">
        <f t="shared" si="23"/>
        <v>152.08799999999999</v>
      </c>
      <c r="AE57" s="10">
        <f>S57</f>
        <v>396.10300000000001</v>
      </c>
    </row>
    <row r="58" spans="1:31" ht="12.75" customHeight="1">
      <c r="B58" s="8" t="s">
        <v>187</v>
      </c>
      <c r="C58" s="97">
        <f>'Historical Financials'!D51/1000</f>
        <v>106.339</v>
      </c>
      <c r="D58" s="97">
        <f>'Historical Financials'!E51/1000</f>
        <v>106.313</v>
      </c>
      <c r="E58" s="97">
        <f>'Historical Financials'!F51/1000</f>
        <v>107.11499999999999</v>
      </c>
      <c r="F58" s="97">
        <f>'Historical Financials'!G51/1000</f>
        <v>112.501</v>
      </c>
      <c r="G58" s="97">
        <f>'Historical Financials'!H51/1000</f>
        <v>118.334</v>
      </c>
      <c r="H58" s="32"/>
      <c r="I58" s="97">
        <f>'Historical Financials'!J51/1000</f>
        <v>108.357</v>
      </c>
      <c r="J58" s="97">
        <f>'Historical Financials'!K51/1000</f>
        <v>109.494</v>
      </c>
      <c r="K58" s="97">
        <f>'Historical Financials'!L51/1000</f>
        <v>110.93300000000001</v>
      </c>
      <c r="L58" s="97">
        <f>'Historical Financials'!M51/1000</f>
        <v>112.501</v>
      </c>
      <c r="M58" s="97">
        <f>'Historical Financials'!N51/1000</f>
        <v>113.854</v>
      </c>
      <c r="N58" s="97">
        <f>'Historical Financials'!O51/1000</f>
        <v>115.29</v>
      </c>
      <c r="O58" s="97">
        <f>'Historical Financials'!P51/1000</f>
        <v>117.104</v>
      </c>
      <c r="P58" s="97">
        <f>'Historical Financials'!Q51/1000</f>
        <v>118.334</v>
      </c>
      <c r="Q58" s="97">
        <f>'Historical Financials'!R51/1000</f>
        <v>119.575</v>
      </c>
      <c r="R58" s="97">
        <f>'Historical Financials'!S51/1000</f>
        <v>0</v>
      </c>
      <c r="S58" s="97">
        <f>'Historical Financials'!T51/1000</f>
        <v>0</v>
      </c>
      <c r="U58" s="10">
        <f t="shared" si="23"/>
        <v>108.357</v>
      </c>
      <c r="V58" s="10">
        <f t="shared" si="23"/>
        <v>109.494</v>
      </c>
      <c r="W58" s="10">
        <f t="shared" si="23"/>
        <v>110.93300000000001</v>
      </c>
      <c r="X58" s="10">
        <f t="shared" si="23"/>
        <v>112.501</v>
      </c>
      <c r="Y58" s="10">
        <f t="shared" si="23"/>
        <v>113.854</v>
      </c>
      <c r="Z58" s="10">
        <f t="shared" si="23"/>
        <v>115.29</v>
      </c>
      <c r="AA58" s="10">
        <f t="shared" si="23"/>
        <v>117.104</v>
      </c>
      <c r="AB58" s="10">
        <f t="shared" si="23"/>
        <v>118.334</v>
      </c>
      <c r="AC58" s="10">
        <f t="shared" si="23"/>
        <v>119.575</v>
      </c>
      <c r="AD58" s="10">
        <f t="shared" si="23"/>
        <v>0</v>
      </c>
      <c r="AE58" s="10">
        <f>S58</f>
        <v>0</v>
      </c>
    </row>
    <row r="59" spans="1:31" ht="12.75" customHeight="1">
      <c r="B59" s="31" t="s">
        <v>219</v>
      </c>
      <c r="C59" s="128">
        <f>350-C88-C89</f>
        <v>74.900000000000006</v>
      </c>
      <c r="D59" s="128">
        <f>350-D88-D89</f>
        <v>350</v>
      </c>
      <c r="E59" s="128">
        <f>350-E88-E89</f>
        <v>350</v>
      </c>
      <c r="F59" s="128">
        <f>300-F88-F89</f>
        <v>300</v>
      </c>
      <c r="G59" s="128">
        <f>300-G88-G89-G90</f>
        <v>0</v>
      </c>
      <c r="H59" s="97"/>
      <c r="I59" s="128">
        <f>300-I88-I89</f>
        <v>300</v>
      </c>
      <c r="J59" s="128">
        <f t="shared" ref="J59:O59" si="24">300-J88-J89</f>
        <v>300</v>
      </c>
      <c r="K59" s="128">
        <f t="shared" si="24"/>
        <v>300</v>
      </c>
      <c r="L59" s="10">
        <f>F59</f>
        <v>300</v>
      </c>
      <c r="M59" s="128">
        <f t="shared" si="24"/>
        <v>300</v>
      </c>
      <c r="N59" s="128">
        <f t="shared" si="24"/>
        <v>300</v>
      </c>
      <c r="O59" s="128">
        <f t="shared" si="24"/>
        <v>300</v>
      </c>
      <c r="P59" s="10">
        <f>G59</f>
        <v>0</v>
      </c>
      <c r="Q59" s="128">
        <f>275-Q88-Q89-Q90</f>
        <v>275</v>
      </c>
      <c r="R59" s="128">
        <f t="shared" ref="R59:S59" si="25">275-R88-R89-R90</f>
        <v>275</v>
      </c>
      <c r="S59" s="128">
        <f t="shared" si="25"/>
        <v>275</v>
      </c>
      <c r="U59" s="10">
        <f t="shared" si="23"/>
        <v>300</v>
      </c>
      <c r="V59" s="10">
        <f t="shared" si="23"/>
        <v>300</v>
      </c>
      <c r="W59" s="10">
        <f t="shared" si="23"/>
        <v>300</v>
      </c>
      <c r="X59" s="10">
        <f t="shared" si="23"/>
        <v>300</v>
      </c>
      <c r="Y59" s="10">
        <f t="shared" si="23"/>
        <v>300</v>
      </c>
      <c r="Z59" s="10">
        <f t="shared" si="23"/>
        <v>300</v>
      </c>
      <c r="AA59" s="10">
        <f t="shared" si="23"/>
        <v>300</v>
      </c>
      <c r="AB59" s="10">
        <f t="shared" si="23"/>
        <v>0</v>
      </c>
      <c r="AC59" s="10">
        <f t="shared" si="23"/>
        <v>275</v>
      </c>
      <c r="AD59" s="10">
        <f t="shared" si="23"/>
        <v>275</v>
      </c>
      <c r="AE59" s="10">
        <f>S59</f>
        <v>275</v>
      </c>
    </row>
    <row r="60" spans="1:31" ht="12.75" customHeight="1">
      <c r="B60" s="13" t="s">
        <v>43</v>
      </c>
      <c r="C60" s="14">
        <f>SUM(C56:C59)</f>
        <v>2042.3630000000001</v>
      </c>
      <c r="D60" s="14">
        <f>SUM(D56:D59)</f>
        <v>1885.2200000000003</v>
      </c>
      <c r="E60" s="14">
        <f t="shared" ref="E60:G60" si="26">SUM(E56:E59)</f>
        <v>1922.857</v>
      </c>
      <c r="F60" s="14">
        <f t="shared" si="26"/>
        <v>1397.1120000000001</v>
      </c>
      <c r="G60" s="14">
        <f t="shared" si="26"/>
        <v>1188.7810000000002</v>
      </c>
      <c r="H60" s="32"/>
      <c r="I60" s="14">
        <f t="shared" ref="I60:S60" si="27">SUM(I56:I59)</f>
        <v>1815.4680000000001</v>
      </c>
      <c r="J60" s="14">
        <f t="shared" si="27"/>
        <v>1639.5820000000001</v>
      </c>
      <c r="K60" s="14">
        <f t="shared" si="27"/>
        <v>1348.6559999999999</v>
      </c>
      <c r="L60" s="14">
        <f t="shared" si="27"/>
        <v>1397.1120000000001</v>
      </c>
      <c r="M60" s="14">
        <f t="shared" si="27"/>
        <v>1312.2270000000001</v>
      </c>
      <c r="N60" s="14">
        <f t="shared" si="27"/>
        <v>1260.663</v>
      </c>
      <c r="O60" s="14">
        <f t="shared" si="27"/>
        <v>1010.7370000000001</v>
      </c>
      <c r="P60" s="14">
        <f t="shared" si="27"/>
        <v>1188.7810000000002</v>
      </c>
      <c r="Q60" s="14">
        <f t="shared" si="27"/>
        <v>1152.6320000000001</v>
      </c>
      <c r="R60" s="14">
        <f t="shared" si="27"/>
        <v>834.59900000000005</v>
      </c>
      <c r="S60" s="14">
        <f t="shared" si="27"/>
        <v>921.59699999999998</v>
      </c>
      <c r="U60" s="14">
        <f t="shared" ref="U60:Z60" si="28">SUM(U56:U56)</f>
        <v>1287.711</v>
      </c>
      <c r="V60" s="14">
        <f t="shared" si="28"/>
        <v>1110.6880000000001</v>
      </c>
      <c r="W60" s="14">
        <f t="shared" si="28"/>
        <v>818.32299999999998</v>
      </c>
      <c r="X60" s="14">
        <f t="shared" si="28"/>
        <v>865.21100000000001</v>
      </c>
      <c r="Y60" s="14">
        <f t="shared" si="28"/>
        <v>764.78800000000001</v>
      </c>
      <c r="Z60" s="14">
        <f t="shared" si="28"/>
        <v>724.79399999999998</v>
      </c>
      <c r="AA60" s="14">
        <f>SUM(AA56:AA59)</f>
        <v>1010.7370000000001</v>
      </c>
      <c r="AB60" s="14">
        <f>SUM(AB56:AB59)</f>
        <v>1188.7810000000002</v>
      </c>
      <c r="AC60" s="14">
        <f>SUM(AC56:AC59)</f>
        <v>1152.6320000000001</v>
      </c>
      <c r="AD60" s="14">
        <f>SUM(AD56:AD59)</f>
        <v>834.59900000000005</v>
      </c>
      <c r="AE60" s="14">
        <f>SUM(AE56:AE59)</f>
        <v>921.59699999999998</v>
      </c>
    </row>
    <row r="61" spans="1:31" ht="5.0999999999999996" customHeight="1"/>
    <row r="62" spans="1:31" ht="12.75" customHeight="1">
      <c r="B62" s="35" t="s">
        <v>44</v>
      </c>
    </row>
    <row r="63" spans="1:31" ht="12.75" customHeight="1">
      <c r="B63" s="8" t="s">
        <v>188</v>
      </c>
      <c r="C63" s="97">
        <f>'Historical Financials'!D52/1000</f>
        <v>42.94</v>
      </c>
      <c r="D63" s="97">
        <f>'Historical Financials'!E52/1000</f>
        <v>128.828</v>
      </c>
      <c r="E63" s="97">
        <f>'Historical Financials'!F52/1000</f>
        <v>197.27600000000001</v>
      </c>
      <c r="F63" s="97">
        <f>'Historical Financials'!G52/1000</f>
        <v>205.46799999999999</v>
      </c>
      <c r="G63" s="97">
        <f>'Historical Financials'!H52/1000</f>
        <v>178.95500000000001</v>
      </c>
      <c r="I63" s="97">
        <f>'Historical Financials'!J52/1000</f>
        <v>186.07</v>
      </c>
      <c r="J63" s="97">
        <f>'Historical Financials'!K52/1000</f>
        <v>186.739</v>
      </c>
      <c r="K63" s="97">
        <f>'Historical Financials'!L52/1000</f>
        <v>170.959</v>
      </c>
      <c r="L63" s="97">
        <f>'Historical Financials'!M52/1000</f>
        <v>205.46799999999999</v>
      </c>
      <c r="M63" s="97">
        <f>'Historical Financials'!N52/1000</f>
        <v>212.46899999999999</v>
      </c>
      <c r="N63" s="97">
        <f>'Historical Financials'!O52/1000</f>
        <v>216.65</v>
      </c>
      <c r="O63" s="97">
        <f>'Historical Financials'!P52/1000</f>
        <v>230.07900000000001</v>
      </c>
      <c r="P63" s="97">
        <f>'Historical Financials'!Q52/1000</f>
        <v>178.95500000000001</v>
      </c>
      <c r="Q63" s="97">
        <f>'Historical Financials'!R52/1000</f>
        <v>211.93199999999999</v>
      </c>
      <c r="R63" s="97">
        <f>'Historical Financials'!S52/1000</f>
        <v>219.41399999999999</v>
      </c>
      <c r="S63" s="97">
        <f>'Historical Financials'!T52/1000</f>
        <v>114.386</v>
      </c>
      <c r="T63" s="10"/>
      <c r="U63" s="10">
        <f t="shared" ref="U63:AD67" si="29">I63</f>
        <v>186.07</v>
      </c>
      <c r="V63" s="10">
        <f t="shared" si="29"/>
        <v>186.739</v>
      </c>
      <c r="W63" s="10">
        <f t="shared" si="29"/>
        <v>170.959</v>
      </c>
      <c r="X63" s="10">
        <f t="shared" si="29"/>
        <v>205.46799999999999</v>
      </c>
      <c r="Y63" s="10">
        <f t="shared" si="29"/>
        <v>212.46899999999999</v>
      </c>
      <c r="Z63" s="10">
        <f t="shared" si="29"/>
        <v>216.65</v>
      </c>
      <c r="AA63" s="10">
        <f t="shared" si="29"/>
        <v>230.07900000000001</v>
      </c>
      <c r="AB63" s="10">
        <f t="shared" si="29"/>
        <v>178.95500000000001</v>
      </c>
      <c r="AC63" s="10">
        <f t="shared" si="29"/>
        <v>211.93199999999999</v>
      </c>
      <c r="AD63" s="10">
        <f t="shared" si="29"/>
        <v>219.41399999999999</v>
      </c>
      <c r="AE63" s="10">
        <f>S63</f>
        <v>114.386</v>
      </c>
    </row>
    <row r="64" spans="1:31" ht="12.75" customHeight="1">
      <c r="B64" s="8" t="s">
        <v>189</v>
      </c>
      <c r="C64" s="97">
        <f>'Historical Financials'!D57/1000</f>
        <v>3831.5680000000002</v>
      </c>
      <c r="D64" s="97">
        <f>'Historical Financials'!E57/1000</f>
        <v>3856.5929999999998</v>
      </c>
      <c r="E64" s="97">
        <f>'Historical Financials'!F57/1000</f>
        <v>3749.498</v>
      </c>
      <c r="F64" s="97">
        <f>'Historical Financials'!G57/1000</f>
        <v>3519.1280000000002</v>
      </c>
      <c r="G64" s="97">
        <f>'Historical Financials'!H57/1000</f>
        <v>2492.7840000000001</v>
      </c>
      <c r="H64" s="97"/>
      <c r="I64" s="97">
        <f>'Historical Financials'!J57/1000</f>
        <v>3738.6819999999998</v>
      </c>
      <c r="J64" s="97">
        <f>'Historical Financials'!K57/1000</f>
        <v>3740.5</v>
      </c>
      <c r="K64" s="97">
        <f>'Historical Financials'!L57/1000</f>
        <v>3731.96</v>
      </c>
      <c r="L64" s="97">
        <f>'Historical Financials'!M57/1000</f>
        <v>3519.1280000000002</v>
      </c>
      <c r="M64" s="97">
        <f>'Historical Financials'!N57/1000</f>
        <v>3400.2919999999999</v>
      </c>
      <c r="N64" s="97">
        <f>'Historical Financials'!O57/1000</f>
        <v>3336.335</v>
      </c>
      <c r="O64" s="97">
        <f>'Historical Financials'!P57/1000</f>
        <v>3299.4549999999999</v>
      </c>
      <c r="P64" s="97">
        <f>'Historical Financials'!Q57/1000</f>
        <v>2492.7840000000001</v>
      </c>
      <c r="Q64" s="97">
        <f>'Historical Financials'!R57/1000</f>
        <v>2325.9650000000001</v>
      </c>
      <c r="R64" s="97">
        <f>'Historical Financials'!S57/1000</f>
        <v>2289.181</v>
      </c>
      <c r="S64" s="97">
        <f>'Historical Financials'!T57/1000</f>
        <v>2521.1579999999999</v>
      </c>
      <c r="U64" s="10">
        <f t="shared" si="29"/>
        <v>3738.6819999999998</v>
      </c>
      <c r="V64" s="10">
        <f t="shared" si="29"/>
        <v>3740.5</v>
      </c>
      <c r="W64" s="10">
        <f t="shared" si="29"/>
        <v>3731.96</v>
      </c>
      <c r="X64" s="10">
        <f t="shared" si="29"/>
        <v>3519.1280000000002</v>
      </c>
      <c r="Y64" s="10">
        <f t="shared" si="29"/>
        <v>3400.2919999999999</v>
      </c>
      <c r="Z64" s="10">
        <f t="shared" si="29"/>
        <v>3336.335</v>
      </c>
      <c r="AA64" s="10">
        <f t="shared" si="29"/>
        <v>3299.4549999999999</v>
      </c>
      <c r="AB64" s="10">
        <f t="shared" si="29"/>
        <v>2492.7840000000001</v>
      </c>
      <c r="AC64" s="10">
        <f t="shared" si="29"/>
        <v>2325.9650000000001</v>
      </c>
      <c r="AD64" s="10">
        <f t="shared" si="29"/>
        <v>2289.181</v>
      </c>
      <c r="AE64" s="10">
        <f>S64</f>
        <v>2521.1579999999999</v>
      </c>
    </row>
    <row r="65" spans="2:31" ht="12.75" customHeight="1">
      <c r="B65" s="8" t="s">
        <v>45</v>
      </c>
      <c r="C65" s="97">
        <f>'Historical Financials'!D65/1000</f>
        <v>28.454000000000001</v>
      </c>
      <c r="D65" s="97">
        <f>'Historical Financials'!E65/1000</f>
        <v>44.951999999999998</v>
      </c>
      <c r="E65" s="97">
        <f>'Historical Financials'!F65/1000</f>
        <v>75.448999999999998</v>
      </c>
      <c r="F65" s="97">
        <f>'Historical Financials'!G65/1000</f>
        <v>42.097999999999999</v>
      </c>
      <c r="G65" s="97">
        <f>'Historical Financials'!H65/1000</f>
        <v>32.384999999999998</v>
      </c>
      <c r="H65" s="97"/>
      <c r="I65" s="97">
        <f>'Historical Financials'!J65/1000</f>
        <v>53.045999999999999</v>
      </c>
      <c r="J65" s="97">
        <f>'Historical Financials'!K65/1000</f>
        <v>76.158000000000001</v>
      </c>
      <c r="K65" s="97">
        <f>'Historical Financials'!L65/1000</f>
        <v>86.296999999999997</v>
      </c>
      <c r="L65" s="97">
        <f>'Historical Financials'!M65/1000</f>
        <v>42.097999999999999</v>
      </c>
      <c r="M65" s="97">
        <f>'Historical Financials'!N65/1000</f>
        <v>85.073999999999998</v>
      </c>
      <c r="N65" s="97">
        <f>'Historical Financials'!O65/1000</f>
        <v>70.013999999999996</v>
      </c>
      <c r="O65" s="97">
        <f>'Historical Financials'!P65/1000</f>
        <v>49.637</v>
      </c>
      <c r="P65" s="97">
        <f>'Historical Financials'!Q65/1000</f>
        <v>32.384999999999998</v>
      </c>
      <c r="Q65" s="97">
        <f>'Historical Financials'!R65/1000</f>
        <v>101.21299999999999</v>
      </c>
      <c r="R65" s="97">
        <f>'Historical Financials'!S65/1000</f>
        <v>147.67599999999999</v>
      </c>
      <c r="S65" s="97">
        <f>'Historical Financials'!T65/1000</f>
        <v>149.27000000000001</v>
      </c>
      <c r="U65" s="10">
        <f t="shared" si="29"/>
        <v>53.045999999999999</v>
      </c>
      <c r="V65" s="10">
        <f t="shared" si="29"/>
        <v>76.158000000000001</v>
      </c>
      <c r="W65" s="10">
        <f t="shared" si="29"/>
        <v>86.296999999999997</v>
      </c>
      <c r="X65" s="10">
        <f t="shared" si="29"/>
        <v>42.097999999999999</v>
      </c>
      <c r="Y65" s="10">
        <f t="shared" si="29"/>
        <v>85.073999999999998</v>
      </c>
      <c r="Z65" s="10">
        <f t="shared" si="29"/>
        <v>70.013999999999996</v>
      </c>
      <c r="AA65" s="10">
        <f t="shared" si="29"/>
        <v>49.637</v>
      </c>
      <c r="AB65" s="10">
        <f t="shared" si="29"/>
        <v>32.384999999999998</v>
      </c>
      <c r="AC65" s="10">
        <f t="shared" si="29"/>
        <v>101.21299999999999</v>
      </c>
      <c r="AD65" s="10">
        <f t="shared" si="29"/>
        <v>147.67599999999999</v>
      </c>
      <c r="AE65" s="10">
        <f t="shared" ref="AA65:AE65" si="30">S65</f>
        <v>149.27000000000001</v>
      </c>
    </row>
    <row r="66" spans="2:31" ht="12.75" customHeight="1">
      <c r="B66" s="8" t="s">
        <v>46</v>
      </c>
      <c r="C66" s="97">
        <f>'Historical Financials'!D70/1000</f>
        <v>1342.0219999999999</v>
      </c>
      <c r="D66" s="97">
        <f>'Historical Financials'!E70/1000</f>
        <v>1275.6020000000001</v>
      </c>
      <c r="E66" s="97">
        <f>'Historical Financials'!F70/1000</f>
        <v>1596.5809999999999</v>
      </c>
      <c r="F66" s="97">
        <f>'Historical Financials'!G70/1000</f>
        <v>1671.5920000000001</v>
      </c>
      <c r="G66" s="97">
        <f>'Historical Financials'!H70/1000</f>
        <v>1769.365</v>
      </c>
      <c r="H66" s="97"/>
      <c r="I66" s="97">
        <f>'Historical Financials'!J70/1000</f>
        <v>1752.6089999999999</v>
      </c>
      <c r="J66" s="97">
        <f>'Historical Financials'!K70/1000</f>
        <v>1685.962</v>
      </c>
      <c r="K66" s="97">
        <f>'Historical Financials'!L70/1000</f>
        <v>1600.8</v>
      </c>
      <c r="L66" s="97">
        <f>'Historical Financials'!M70/1000</f>
        <v>1671.5920000000001</v>
      </c>
      <c r="M66" s="97">
        <f>'Historical Financials'!N70/1000</f>
        <v>1529.0340000000001</v>
      </c>
      <c r="N66" s="97">
        <f>'Historical Financials'!O70/1000</f>
        <v>1511.1479999999999</v>
      </c>
      <c r="O66" s="97">
        <f>'Historical Financials'!P70/1000</f>
        <v>2540.203</v>
      </c>
      <c r="P66" s="97">
        <f>'Historical Financials'!Q70/1000</f>
        <v>1769.365</v>
      </c>
      <c r="Q66" s="97">
        <f>'Historical Financials'!R70/1000</f>
        <v>1577.348</v>
      </c>
      <c r="R66" s="97">
        <f>'Historical Financials'!S70/1000</f>
        <v>1453.528</v>
      </c>
      <c r="S66" s="97">
        <f>'Historical Financials'!T70/1000</f>
        <v>1010.176</v>
      </c>
      <c r="U66" s="10">
        <f t="shared" si="29"/>
        <v>1752.6089999999999</v>
      </c>
      <c r="V66" s="10">
        <f t="shared" si="29"/>
        <v>1685.962</v>
      </c>
      <c r="W66" s="10">
        <f t="shared" si="29"/>
        <v>1600.8</v>
      </c>
      <c r="X66" s="10">
        <f t="shared" si="29"/>
        <v>1671.5920000000001</v>
      </c>
      <c r="Y66" s="10">
        <f t="shared" si="29"/>
        <v>1529.0340000000001</v>
      </c>
      <c r="Z66" s="10">
        <f t="shared" si="29"/>
        <v>1511.1479999999999</v>
      </c>
      <c r="AA66" s="10">
        <f t="shared" si="29"/>
        <v>2540.203</v>
      </c>
      <c r="AB66" s="10">
        <f t="shared" si="29"/>
        <v>1769.365</v>
      </c>
      <c r="AC66" s="10">
        <f t="shared" si="29"/>
        <v>1577.348</v>
      </c>
      <c r="AD66" s="10">
        <f t="shared" si="29"/>
        <v>1453.528</v>
      </c>
      <c r="AE66" s="10">
        <f>S66</f>
        <v>1010.176</v>
      </c>
    </row>
    <row r="67" spans="2:31" ht="12.75" customHeight="1">
      <c r="B67" s="8" t="s">
        <v>17</v>
      </c>
      <c r="C67" s="97">
        <f>'Historical Financials'!D78/1000</f>
        <v>6149.13</v>
      </c>
      <c r="D67" s="97">
        <f>'Historical Financials'!E78/1000</f>
        <v>6425.99</v>
      </c>
      <c r="E67" s="97">
        <f>'Historical Financials'!F78/1000</f>
        <v>7613.1229999999996</v>
      </c>
      <c r="F67" s="97">
        <f>'Historical Financials'!G78/1000</f>
        <v>8282.8950000000004</v>
      </c>
      <c r="G67" s="97">
        <f>'Historical Financials'!H78/1000</f>
        <v>9675.3119999999999</v>
      </c>
      <c r="H67" s="97"/>
      <c r="I67" s="97">
        <f>'Historical Financials'!J78/1000</f>
        <v>7852.4709999999995</v>
      </c>
      <c r="J67" s="97">
        <f>'Historical Financials'!K78/1000</f>
        <v>7901.0550000000003</v>
      </c>
      <c r="K67" s="97">
        <f>'Historical Financials'!L78/1000</f>
        <v>8045.5050000000001</v>
      </c>
      <c r="L67" s="97">
        <f>'Historical Financials'!M78/1000</f>
        <v>8282.8950000000004</v>
      </c>
      <c r="M67" s="97">
        <f>'Historical Financials'!N78/1000</f>
        <v>8524.2379999999994</v>
      </c>
      <c r="N67" s="97">
        <f>'Historical Financials'!O78/1000</f>
        <v>8749.7939999999999</v>
      </c>
      <c r="O67" s="97">
        <f>'Historical Financials'!P78/1000</f>
        <v>8989.2999999999993</v>
      </c>
      <c r="P67" s="97">
        <f>'Historical Financials'!Q78/1000</f>
        <v>9675.3119999999999</v>
      </c>
      <c r="Q67" s="97">
        <f>'Historical Financials'!R78/1000</f>
        <v>8186.7049999999999</v>
      </c>
      <c r="R67" s="97">
        <f>'Historical Financials'!S78/1000</f>
        <v>8096.8419999999996</v>
      </c>
      <c r="S67" s="97">
        <f>'Historical Financials'!T78/1000</f>
        <v>8630.5509999999995</v>
      </c>
      <c r="U67" s="10">
        <f t="shared" si="29"/>
        <v>7852.4709999999995</v>
      </c>
      <c r="V67" s="10">
        <f t="shared" si="29"/>
        <v>7901.0550000000003</v>
      </c>
      <c r="W67" s="10">
        <f t="shared" si="29"/>
        <v>8045.5050000000001</v>
      </c>
      <c r="X67" s="10">
        <f t="shared" si="29"/>
        <v>8282.8950000000004</v>
      </c>
      <c r="Y67" s="10">
        <f t="shared" si="29"/>
        <v>8524.2379999999994</v>
      </c>
      <c r="Z67" s="10">
        <f t="shared" si="29"/>
        <v>8749.7939999999999</v>
      </c>
      <c r="AA67" s="10">
        <f t="shared" si="29"/>
        <v>8989.2999999999993</v>
      </c>
      <c r="AB67" s="10">
        <f t="shared" si="29"/>
        <v>9675.3119999999999</v>
      </c>
      <c r="AC67" s="10">
        <f t="shared" si="29"/>
        <v>8186.7049999999999</v>
      </c>
      <c r="AD67" s="10">
        <f t="shared" si="29"/>
        <v>8096.8419999999996</v>
      </c>
      <c r="AE67" s="10">
        <f>S67</f>
        <v>8630.5509999999995</v>
      </c>
    </row>
    <row r="68" spans="2:31" ht="5.0999999999999996" customHeight="1"/>
    <row r="69" spans="2:31">
      <c r="B69" s="35" t="s">
        <v>110</v>
      </c>
    </row>
    <row r="70" spans="2:31">
      <c r="B70" s="8" t="s">
        <v>111</v>
      </c>
      <c r="C70" s="97">
        <f>'Historical Financials'!D67/1000</f>
        <v>384.197</v>
      </c>
      <c r="D70" s="97">
        <f>'Historical Financials'!E67/1000</f>
        <v>208.94800000000001</v>
      </c>
      <c r="E70" s="97">
        <f>'Historical Financials'!F67/1000</f>
        <v>346.88799999999998</v>
      </c>
      <c r="F70" s="97">
        <f>'Historical Financials'!G67/1000</f>
        <v>315.58</v>
      </c>
      <c r="G70" s="97">
        <f>'Historical Financials'!H67/1000</f>
        <v>436.53199999999998</v>
      </c>
      <c r="I70" s="97">
        <f>'Historical Financials'!J67/1000</f>
        <v>261.72399999999999</v>
      </c>
      <c r="J70" s="97">
        <f>'Historical Financials'!K67/1000</f>
        <v>235.57900000000001</v>
      </c>
      <c r="K70" s="97">
        <f>'Historical Financials'!L67/1000</f>
        <v>235.86799999999999</v>
      </c>
      <c r="L70" s="97">
        <f>'Historical Financials'!M67/1000</f>
        <v>315.58</v>
      </c>
      <c r="M70" s="97">
        <f>'Historical Financials'!N67/1000</f>
        <v>156.81200000000001</v>
      </c>
      <c r="N70" s="97">
        <f>'Historical Financials'!O67/1000</f>
        <v>142.815</v>
      </c>
      <c r="O70" s="97">
        <f>'Historical Financials'!P67/1000</f>
        <v>1253.376</v>
      </c>
      <c r="P70" s="97">
        <f>'Historical Financials'!Q67/1000</f>
        <v>436.53199999999998</v>
      </c>
      <c r="Q70" s="97">
        <f>'Historical Financials'!R67/1000</f>
        <v>191.572</v>
      </c>
      <c r="R70" s="97">
        <f>'Historical Financials'!S67/1000</f>
        <v>121.19</v>
      </c>
      <c r="S70" s="97">
        <f>'Historical Financials'!T67/1000</f>
        <v>119.226</v>
      </c>
      <c r="U70" s="10">
        <f t="shared" ref="U70:U71" si="31">I70</f>
        <v>261.72399999999999</v>
      </c>
      <c r="V70" s="10">
        <f t="shared" ref="V70:V71" si="32">J70</f>
        <v>235.57900000000001</v>
      </c>
      <c r="W70" s="10">
        <f t="shared" ref="W70:W71" si="33">K70</f>
        <v>235.86799999999999</v>
      </c>
      <c r="X70" s="10">
        <f t="shared" ref="X70:X71" si="34">L70</f>
        <v>315.58</v>
      </c>
      <c r="Y70" s="10">
        <f t="shared" ref="Y70:Y71" si="35">M70</f>
        <v>156.81200000000001</v>
      </c>
      <c r="Z70" s="10">
        <f t="shared" ref="Z70:Z71" si="36">N70</f>
        <v>142.815</v>
      </c>
      <c r="AA70" s="10">
        <f t="shared" ref="AA70:AA71" si="37">O70</f>
        <v>1253.376</v>
      </c>
      <c r="AB70" s="10">
        <f t="shared" ref="AB70:AB71" si="38">P70</f>
        <v>436.53199999999998</v>
      </c>
      <c r="AC70" s="10">
        <f t="shared" ref="AC70:AC71" si="39">Q70</f>
        <v>191.572</v>
      </c>
      <c r="AD70" s="10">
        <f t="shared" ref="AD70:AD71" si="40">R70</f>
        <v>121.19</v>
      </c>
      <c r="AE70" s="10">
        <f t="shared" ref="AA70:AE71" si="41">S70</f>
        <v>119.226</v>
      </c>
    </row>
    <row r="71" spans="2:31">
      <c r="B71" s="8" t="s">
        <v>112</v>
      </c>
      <c r="C71" s="97">
        <f>'Historical Financials'!D73/1000</f>
        <v>3066.6350000000002</v>
      </c>
      <c r="D71" s="97">
        <f>'Historical Financials'!E73/1000</f>
        <v>2975.8229999999999</v>
      </c>
      <c r="E71" s="97">
        <f>'Historical Financials'!F73/1000</f>
        <v>3200.3760000000002</v>
      </c>
      <c r="F71" s="97">
        <f>'Historical Financials'!G73/1000</f>
        <v>3055.221</v>
      </c>
      <c r="G71" s="97">
        <f>'Historical Financials'!H73/1000</f>
        <v>1761.2149999999999</v>
      </c>
      <c r="I71" s="97">
        <f>'Historical Financials'!J73/1000</f>
        <v>3164.0610000000001</v>
      </c>
      <c r="J71" s="97">
        <f>'Historical Financials'!K73/1000</f>
        <v>3081.192</v>
      </c>
      <c r="K71" s="97">
        <f>'Historical Financials'!L73/1000</f>
        <v>3043.3910000000001</v>
      </c>
      <c r="L71" s="97">
        <f>'Historical Financials'!M73/1000</f>
        <v>3055.221</v>
      </c>
      <c r="M71" s="97">
        <f>'Historical Financials'!N73/1000</f>
        <v>3175.5549999999998</v>
      </c>
      <c r="N71" s="97">
        <f>'Historical Financials'!O73/1000</f>
        <v>3124.0790000000002</v>
      </c>
      <c r="O71" s="97">
        <f>'Historical Financials'!P73/1000</f>
        <v>1986.7349999999999</v>
      </c>
      <c r="P71" s="97">
        <f>'Historical Financials'!Q73/1000</f>
        <v>1761.2149999999999</v>
      </c>
      <c r="Q71" s="97">
        <f>'Historical Financials'!R73/1000</f>
        <v>2231.335</v>
      </c>
      <c r="R71" s="97">
        <f>'Historical Financials'!S73/1000</f>
        <v>2242.4479999999999</v>
      </c>
      <c r="S71" s="97">
        <f>'Historical Financials'!T73/1000</f>
        <v>750.20500000000004</v>
      </c>
      <c r="U71" s="10">
        <f t="shared" si="31"/>
        <v>3164.0610000000001</v>
      </c>
      <c r="V71" s="10">
        <f t="shared" si="32"/>
        <v>3081.192</v>
      </c>
      <c r="W71" s="10">
        <f t="shared" si="33"/>
        <v>3043.3910000000001</v>
      </c>
      <c r="X71" s="10">
        <f t="shared" si="34"/>
        <v>3055.221</v>
      </c>
      <c r="Y71" s="10">
        <f t="shared" si="35"/>
        <v>3175.5549999999998</v>
      </c>
      <c r="Z71" s="10">
        <f t="shared" si="36"/>
        <v>3124.0790000000002</v>
      </c>
      <c r="AA71" s="10">
        <f t="shared" si="37"/>
        <v>1986.7349999999999</v>
      </c>
      <c r="AB71" s="10">
        <f t="shared" si="38"/>
        <v>1761.2149999999999</v>
      </c>
      <c r="AC71" s="10">
        <f t="shared" si="39"/>
        <v>2231.335</v>
      </c>
      <c r="AD71" s="10">
        <f t="shared" si="40"/>
        <v>2242.4479999999999</v>
      </c>
      <c r="AE71" s="10">
        <f t="shared" si="41"/>
        <v>750.20500000000004</v>
      </c>
    </row>
    <row r="72" spans="2:31">
      <c r="G72" s="10"/>
    </row>
    <row r="73" spans="2:31">
      <c r="B73" s="8" t="s">
        <v>213</v>
      </c>
      <c r="C73" s="83">
        <v>0</v>
      </c>
      <c r="D73" s="83">
        <v>0</v>
      </c>
      <c r="E73" s="83">
        <v>0</v>
      </c>
      <c r="F73" s="83">
        <v>0</v>
      </c>
      <c r="G73" s="83">
        <v>309</v>
      </c>
      <c r="I73" s="83">
        <v>0</v>
      </c>
      <c r="J73" s="83">
        <v>0</v>
      </c>
      <c r="K73" s="83">
        <v>0</v>
      </c>
      <c r="L73" s="10">
        <f>F73</f>
        <v>0</v>
      </c>
      <c r="M73" s="83">
        <v>0</v>
      </c>
      <c r="N73" s="83">
        <v>0</v>
      </c>
      <c r="O73" s="83">
        <v>0</v>
      </c>
      <c r="P73" s="10">
        <f>G73</f>
        <v>309</v>
      </c>
      <c r="Q73" s="83">
        <v>0</v>
      </c>
      <c r="R73" s="83">
        <v>0</v>
      </c>
      <c r="S73" s="83">
        <v>0</v>
      </c>
      <c r="U73" s="10">
        <f t="shared" ref="U73:U90" si="42">I73</f>
        <v>0</v>
      </c>
      <c r="V73" s="10">
        <f t="shared" ref="V73:V90" si="43">J73</f>
        <v>0</v>
      </c>
      <c r="W73" s="10">
        <f t="shared" ref="W73:W90" si="44">K73</f>
        <v>0</v>
      </c>
      <c r="X73" s="10">
        <f t="shared" ref="X73:X90" si="45">L73</f>
        <v>0</v>
      </c>
      <c r="Y73" s="10">
        <f t="shared" ref="Y73:Y90" si="46">M73</f>
        <v>0</v>
      </c>
      <c r="Z73" s="10">
        <f t="shared" ref="Z73:Z90" si="47">N73</f>
        <v>0</v>
      </c>
      <c r="AA73" s="10">
        <f t="shared" ref="AA73:AA90" si="48">O73</f>
        <v>0</v>
      </c>
      <c r="AB73" s="10">
        <f t="shared" ref="AB73:AB90" si="49">P73</f>
        <v>309</v>
      </c>
      <c r="AC73" s="10">
        <f t="shared" ref="AC73:AC90" si="50">Q73</f>
        <v>0</v>
      </c>
      <c r="AD73" s="10">
        <f t="shared" ref="AD73:AD90" si="51">R73</f>
        <v>0</v>
      </c>
      <c r="AE73" s="10">
        <f t="shared" ref="AE73" si="52">S73</f>
        <v>0</v>
      </c>
    </row>
    <row r="74" spans="2:31">
      <c r="B74" s="31" t="s">
        <v>201</v>
      </c>
      <c r="C74" s="83">
        <v>850</v>
      </c>
      <c r="D74" s="83">
        <v>510</v>
      </c>
      <c r="E74" s="83">
        <v>1110</v>
      </c>
      <c r="F74" s="83">
        <v>1110</v>
      </c>
      <c r="G74" s="83">
        <v>0</v>
      </c>
      <c r="I74" s="83">
        <v>1110</v>
      </c>
      <c r="J74" s="83">
        <v>1110</v>
      </c>
      <c r="K74" s="83">
        <v>1110</v>
      </c>
      <c r="L74" s="10">
        <f t="shared" ref="L74:L90" si="53">F74</f>
        <v>1110</v>
      </c>
      <c r="M74" s="83">
        <v>1110</v>
      </c>
      <c r="N74" s="83">
        <v>1110</v>
      </c>
      <c r="O74" s="83">
        <v>1110</v>
      </c>
      <c r="P74" s="10">
        <f t="shared" ref="P74:P90" si="54">G74</f>
        <v>0</v>
      </c>
      <c r="Q74" s="83">
        <v>0</v>
      </c>
      <c r="R74" s="83">
        <v>0</v>
      </c>
      <c r="S74" s="83">
        <v>0</v>
      </c>
      <c r="U74" s="10">
        <f t="shared" si="42"/>
        <v>1110</v>
      </c>
      <c r="V74" s="10">
        <f t="shared" si="43"/>
        <v>1110</v>
      </c>
      <c r="W74" s="10">
        <f t="shared" si="44"/>
        <v>1110</v>
      </c>
      <c r="X74" s="10">
        <f t="shared" si="45"/>
        <v>1110</v>
      </c>
      <c r="Y74" s="10">
        <f t="shared" si="46"/>
        <v>1110</v>
      </c>
      <c r="Z74" s="10">
        <f t="shared" si="47"/>
        <v>1110</v>
      </c>
      <c r="AA74" s="10">
        <f t="shared" si="48"/>
        <v>1110</v>
      </c>
      <c r="AB74" s="10">
        <f t="shared" si="49"/>
        <v>0</v>
      </c>
      <c r="AC74" s="10">
        <f t="shared" si="50"/>
        <v>0</v>
      </c>
      <c r="AD74" s="10">
        <f t="shared" si="51"/>
        <v>0</v>
      </c>
      <c r="AE74" s="10">
        <f>S74</f>
        <v>0</v>
      </c>
    </row>
    <row r="75" spans="2:31">
      <c r="B75" s="31" t="s">
        <v>211</v>
      </c>
      <c r="C75" s="83">
        <v>1301.9000000000001</v>
      </c>
      <c r="D75" s="83">
        <v>1223.5</v>
      </c>
      <c r="E75" s="83">
        <v>1094.7</v>
      </c>
      <c r="F75" s="83">
        <v>1093.3</v>
      </c>
      <c r="G75" s="83">
        <v>972.2</v>
      </c>
      <c r="I75" s="83">
        <v>1061.9000000000001</v>
      </c>
      <c r="J75" s="83">
        <v>1028.3</v>
      </c>
      <c r="K75" s="83">
        <v>994.2</v>
      </c>
      <c r="L75" s="10">
        <f t="shared" si="53"/>
        <v>1093.3</v>
      </c>
      <c r="M75" s="83">
        <v>1055.8</v>
      </c>
      <c r="N75" s="83">
        <v>1033.9000000000001</v>
      </c>
      <c r="O75" s="83">
        <v>1011.8</v>
      </c>
      <c r="P75" s="10">
        <f t="shared" si="54"/>
        <v>972.2</v>
      </c>
      <c r="Q75" s="83">
        <v>904.9</v>
      </c>
      <c r="R75" s="83">
        <v>880.2</v>
      </c>
      <c r="S75" s="83">
        <v>294.60000000000002</v>
      </c>
      <c r="U75" s="10">
        <f t="shared" si="42"/>
        <v>1061.9000000000001</v>
      </c>
      <c r="V75" s="10">
        <f t="shared" si="43"/>
        <v>1028.3</v>
      </c>
      <c r="W75" s="10">
        <f t="shared" si="44"/>
        <v>994.2</v>
      </c>
      <c r="X75" s="10">
        <f t="shared" si="45"/>
        <v>1093.3</v>
      </c>
      <c r="Y75" s="10">
        <f t="shared" si="46"/>
        <v>1055.8</v>
      </c>
      <c r="Z75" s="10">
        <f t="shared" si="47"/>
        <v>1033.9000000000001</v>
      </c>
      <c r="AA75" s="10">
        <f t="shared" si="48"/>
        <v>1011.8</v>
      </c>
      <c r="AB75" s="10">
        <f t="shared" si="49"/>
        <v>972.2</v>
      </c>
      <c r="AC75" s="10">
        <f t="shared" si="50"/>
        <v>904.9</v>
      </c>
      <c r="AD75" s="10">
        <f t="shared" si="51"/>
        <v>880.2</v>
      </c>
      <c r="AE75" s="10">
        <f>S75</f>
        <v>294.60000000000002</v>
      </c>
    </row>
    <row r="76" spans="2:31">
      <c r="B76" s="31" t="s">
        <v>212</v>
      </c>
      <c r="C76" s="83">
        <v>73.3</v>
      </c>
      <c r="D76" s="83">
        <v>136.30000000000001</v>
      </c>
      <c r="E76" s="83">
        <v>136.30000000000001</v>
      </c>
      <c r="F76" s="83">
        <v>136.30000000000001</v>
      </c>
      <c r="G76" s="83">
        <v>136.30000000000001</v>
      </c>
      <c r="I76" s="83">
        <v>136.30000000000001</v>
      </c>
      <c r="J76" s="83">
        <v>136.30000000000001</v>
      </c>
      <c r="K76" s="83">
        <v>136.30000000000001</v>
      </c>
      <c r="L76" s="10">
        <f t="shared" si="53"/>
        <v>136.30000000000001</v>
      </c>
      <c r="M76" s="83">
        <v>136.30000000000001</v>
      </c>
      <c r="N76" s="83">
        <v>136.30000000000001</v>
      </c>
      <c r="O76" s="83">
        <v>136.30000000000001</v>
      </c>
      <c r="P76" s="10">
        <f t="shared" si="54"/>
        <v>136.30000000000001</v>
      </c>
      <c r="Q76" s="83">
        <v>136.30000000000001</v>
      </c>
      <c r="R76" s="83">
        <v>136.30000000000001</v>
      </c>
      <c r="S76" s="83">
        <v>0</v>
      </c>
      <c r="U76" s="10">
        <f t="shared" si="42"/>
        <v>136.30000000000001</v>
      </c>
      <c r="V76" s="10">
        <f t="shared" si="43"/>
        <v>136.30000000000001</v>
      </c>
      <c r="W76" s="10">
        <f t="shared" si="44"/>
        <v>136.30000000000001</v>
      </c>
      <c r="X76" s="10">
        <f t="shared" si="45"/>
        <v>136.30000000000001</v>
      </c>
      <c r="Y76" s="10">
        <f t="shared" si="46"/>
        <v>136.30000000000001</v>
      </c>
      <c r="Z76" s="10">
        <f t="shared" si="47"/>
        <v>136.30000000000001</v>
      </c>
      <c r="AA76" s="10">
        <f t="shared" si="48"/>
        <v>136.30000000000001</v>
      </c>
      <c r="AB76" s="10">
        <f t="shared" si="49"/>
        <v>136.30000000000001</v>
      </c>
      <c r="AC76" s="10">
        <f t="shared" si="50"/>
        <v>136.30000000000001</v>
      </c>
      <c r="AD76" s="10">
        <f t="shared" si="51"/>
        <v>136.30000000000001</v>
      </c>
      <c r="AE76" s="10">
        <f>S76</f>
        <v>0</v>
      </c>
    </row>
    <row r="77" spans="2:31">
      <c r="B77" s="31" t="s">
        <v>202</v>
      </c>
      <c r="C77" s="83">
        <v>322.60000000000002</v>
      </c>
      <c r="D77" s="83">
        <v>300.60000000000002</v>
      </c>
      <c r="E77" s="83">
        <v>278.60000000000002</v>
      </c>
      <c r="F77" s="83">
        <v>256.60000000000002</v>
      </c>
      <c r="G77" s="83">
        <v>234.6</v>
      </c>
      <c r="I77" s="83">
        <v>278.60000000000002</v>
      </c>
      <c r="J77" s="83">
        <v>267.60000000000002</v>
      </c>
      <c r="K77" s="83">
        <v>267.60000000000002</v>
      </c>
      <c r="L77" s="10">
        <f t="shared" si="53"/>
        <v>256.60000000000002</v>
      </c>
      <c r="M77" s="83">
        <v>256.60000000000002</v>
      </c>
      <c r="N77" s="83">
        <v>245.6</v>
      </c>
      <c r="O77" s="83">
        <v>245.6</v>
      </c>
      <c r="P77" s="10">
        <f t="shared" si="54"/>
        <v>234.6</v>
      </c>
      <c r="Q77" s="83">
        <v>234.6</v>
      </c>
      <c r="R77" s="83">
        <v>223.6</v>
      </c>
      <c r="S77" s="83">
        <v>223.6</v>
      </c>
      <c r="U77" s="10">
        <f t="shared" si="42"/>
        <v>278.60000000000002</v>
      </c>
      <c r="V77" s="10">
        <f t="shared" si="43"/>
        <v>267.60000000000002</v>
      </c>
      <c r="W77" s="10">
        <f t="shared" si="44"/>
        <v>267.60000000000002</v>
      </c>
      <c r="X77" s="10">
        <f t="shared" si="45"/>
        <v>256.60000000000002</v>
      </c>
      <c r="Y77" s="10">
        <f t="shared" si="46"/>
        <v>256.60000000000002</v>
      </c>
      <c r="Z77" s="10">
        <f t="shared" si="47"/>
        <v>245.6</v>
      </c>
      <c r="AA77" s="10">
        <f t="shared" si="48"/>
        <v>245.6</v>
      </c>
      <c r="AB77" s="10">
        <f t="shared" si="49"/>
        <v>234.6</v>
      </c>
      <c r="AC77" s="10">
        <f t="shared" si="50"/>
        <v>234.6</v>
      </c>
      <c r="AD77" s="10">
        <f t="shared" si="51"/>
        <v>223.6</v>
      </c>
      <c r="AE77" s="10">
        <f>S77</f>
        <v>223.6</v>
      </c>
    </row>
    <row r="78" spans="2:31">
      <c r="B78" s="31" t="s">
        <v>203</v>
      </c>
      <c r="C78" s="83">
        <v>64</v>
      </c>
      <c r="D78" s="83">
        <v>56</v>
      </c>
      <c r="E78" s="83">
        <v>48</v>
      </c>
      <c r="F78" s="83">
        <v>40</v>
      </c>
      <c r="G78" s="83">
        <v>0</v>
      </c>
      <c r="I78" s="83">
        <v>48</v>
      </c>
      <c r="J78" s="83">
        <v>44</v>
      </c>
      <c r="K78" s="83">
        <v>44</v>
      </c>
      <c r="L78" s="10">
        <f t="shared" si="53"/>
        <v>40</v>
      </c>
      <c r="M78" s="83">
        <v>40</v>
      </c>
      <c r="N78" s="83">
        <v>0</v>
      </c>
      <c r="O78" s="83">
        <v>0</v>
      </c>
      <c r="P78" s="10">
        <f t="shared" si="54"/>
        <v>0</v>
      </c>
      <c r="Q78" s="83">
        <v>0</v>
      </c>
      <c r="R78" s="83">
        <v>0</v>
      </c>
      <c r="S78" s="83">
        <v>0</v>
      </c>
      <c r="U78" s="10">
        <f t="shared" si="42"/>
        <v>48</v>
      </c>
      <c r="V78" s="10">
        <f t="shared" si="43"/>
        <v>44</v>
      </c>
      <c r="W78" s="10">
        <f t="shared" si="44"/>
        <v>44</v>
      </c>
      <c r="X78" s="10">
        <f t="shared" si="45"/>
        <v>40</v>
      </c>
      <c r="Y78" s="10">
        <f t="shared" si="46"/>
        <v>40</v>
      </c>
      <c r="Z78" s="10">
        <f t="shared" si="47"/>
        <v>0</v>
      </c>
      <c r="AA78" s="10">
        <f t="shared" si="48"/>
        <v>0</v>
      </c>
      <c r="AB78" s="10">
        <f t="shared" si="49"/>
        <v>0</v>
      </c>
      <c r="AC78" s="10">
        <f t="shared" si="50"/>
        <v>0</v>
      </c>
      <c r="AD78" s="10">
        <f t="shared" si="51"/>
        <v>0</v>
      </c>
      <c r="AE78" s="10">
        <f>S78</f>
        <v>0</v>
      </c>
    </row>
    <row r="79" spans="2:31">
      <c r="B79" s="31" t="s">
        <v>204</v>
      </c>
      <c r="C79" s="83">
        <v>86.6</v>
      </c>
      <c r="D79" s="83">
        <v>75.2</v>
      </c>
      <c r="E79" s="83">
        <v>63.8</v>
      </c>
      <c r="F79" s="83">
        <v>0</v>
      </c>
      <c r="G79" s="83">
        <v>0</v>
      </c>
      <c r="I79" s="83">
        <v>63.8</v>
      </c>
      <c r="J79" s="83">
        <v>0</v>
      </c>
      <c r="K79" s="83">
        <v>0</v>
      </c>
      <c r="L79" s="10">
        <f t="shared" si="53"/>
        <v>0</v>
      </c>
      <c r="M79" s="83">
        <v>0</v>
      </c>
      <c r="N79" s="83">
        <v>0</v>
      </c>
      <c r="O79" s="83">
        <v>0</v>
      </c>
      <c r="P79" s="10">
        <f t="shared" si="54"/>
        <v>0</v>
      </c>
      <c r="Q79" s="83">
        <v>0</v>
      </c>
      <c r="R79" s="83">
        <v>0</v>
      </c>
      <c r="S79" s="83">
        <v>0</v>
      </c>
      <c r="U79" s="10">
        <f t="shared" si="42"/>
        <v>63.8</v>
      </c>
      <c r="V79" s="10">
        <f t="shared" si="43"/>
        <v>0</v>
      </c>
      <c r="W79" s="10">
        <f t="shared" si="44"/>
        <v>0</v>
      </c>
      <c r="X79" s="10">
        <f t="shared" si="45"/>
        <v>0</v>
      </c>
      <c r="Y79" s="10">
        <f t="shared" si="46"/>
        <v>0</v>
      </c>
      <c r="Z79" s="10">
        <f t="shared" si="47"/>
        <v>0</v>
      </c>
      <c r="AA79" s="10">
        <f t="shared" si="48"/>
        <v>0</v>
      </c>
      <c r="AB79" s="10">
        <f t="shared" si="49"/>
        <v>0</v>
      </c>
      <c r="AC79" s="10">
        <f t="shared" si="50"/>
        <v>0</v>
      </c>
      <c r="AD79" s="10">
        <f t="shared" si="51"/>
        <v>0</v>
      </c>
      <c r="AE79" s="10">
        <f>S79</f>
        <v>0</v>
      </c>
    </row>
    <row r="80" spans="2:31">
      <c r="B80" s="31" t="s">
        <v>205</v>
      </c>
      <c r="C80" s="83">
        <v>214.4</v>
      </c>
      <c r="D80" s="83">
        <v>200.3</v>
      </c>
      <c r="E80" s="83">
        <v>186.3</v>
      </c>
      <c r="F80" s="83">
        <v>172.2</v>
      </c>
      <c r="G80" s="83">
        <v>160.30000000000001</v>
      </c>
      <c r="I80" s="83">
        <v>179.2</v>
      </c>
      <c r="J80" s="83">
        <v>179.2</v>
      </c>
      <c r="K80" s="83">
        <v>172.2</v>
      </c>
      <c r="L80" s="10">
        <f t="shared" si="53"/>
        <v>172.2</v>
      </c>
      <c r="M80" s="83">
        <v>166.2</v>
      </c>
      <c r="N80" s="83">
        <v>166.2</v>
      </c>
      <c r="O80" s="83">
        <v>160.30000000000001</v>
      </c>
      <c r="P80" s="10">
        <f t="shared" si="54"/>
        <v>160.30000000000001</v>
      </c>
      <c r="Q80" s="83">
        <v>154.30000000000001</v>
      </c>
      <c r="R80" s="83">
        <v>154.30000000000001</v>
      </c>
      <c r="S80" s="83">
        <v>152.30000000000001</v>
      </c>
      <c r="U80" s="10">
        <f t="shared" si="42"/>
        <v>179.2</v>
      </c>
      <c r="V80" s="10">
        <f t="shared" si="43"/>
        <v>179.2</v>
      </c>
      <c r="W80" s="10">
        <f t="shared" si="44"/>
        <v>172.2</v>
      </c>
      <c r="X80" s="10">
        <f t="shared" si="45"/>
        <v>172.2</v>
      </c>
      <c r="Y80" s="10">
        <f t="shared" si="46"/>
        <v>166.2</v>
      </c>
      <c r="Z80" s="10">
        <f t="shared" si="47"/>
        <v>166.2</v>
      </c>
      <c r="AA80" s="10">
        <f t="shared" si="48"/>
        <v>160.30000000000001</v>
      </c>
      <c r="AB80" s="10">
        <f t="shared" si="49"/>
        <v>160.30000000000001</v>
      </c>
      <c r="AC80" s="10">
        <f t="shared" si="50"/>
        <v>154.30000000000001</v>
      </c>
      <c r="AD80" s="10">
        <f t="shared" si="51"/>
        <v>154.30000000000001</v>
      </c>
      <c r="AE80" s="10">
        <f>S80</f>
        <v>152.30000000000001</v>
      </c>
    </row>
    <row r="81" spans="1:31">
      <c r="B81" s="31" t="s">
        <v>206</v>
      </c>
      <c r="C81" s="83">
        <v>71.5</v>
      </c>
      <c r="D81" s="83">
        <v>66.8</v>
      </c>
      <c r="E81" s="83">
        <v>62.1</v>
      </c>
      <c r="F81" s="83">
        <v>57.4</v>
      </c>
      <c r="G81" s="83">
        <v>53.4</v>
      </c>
      <c r="I81" s="83">
        <v>59.7</v>
      </c>
      <c r="J81" s="83">
        <v>59.7</v>
      </c>
      <c r="K81" s="83">
        <v>57.4</v>
      </c>
      <c r="L81" s="10">
        <f t="shared" si="53"/>
        <v>57.4</v>
      </c>
      <c r="M81" s="83">
        <v>55.4</v>
      </c>
      <c r="N81" s="83">
        <v>55.4</v>
      </c>
      <c r="O81" s="83">
        <v>53.4</v>
      </c>
      <c r="P81" s="10">
        <f t="shared" si="54"/>
        <v>53.4</v>
      </c>
      <c r="Q81" s="83">
        <v>51.4</v>
      </c>
      <c r="R81" s="83">
        <v>51.4</v>
      </c>
      <c r="S81" s="83">
        <v>45.5</v>
      </c>
      <c r="U81" s="10">
        <f t="shared" si="42"/>
        <v>59.7</v>
      </c>
      <c r="V81" s="10">
        <f t="shared" si="43"/>
        <v>59.7</v>
      </c>
      <c r="W81" s="10">
        <f t="shared" si="44"/>
        <v>57.4</v>
      </c>
      <c r="X81" s="10">
        <f t="shared" si="45"/>
        <v>57.4</v>
      </c>
      <c r="Y81" s="10">
        <f t="shared" si="46"/>
        <v>55.4</v>
      </c>
      <c r="Z81" s="10">
        <f t="shared" si="47"/>
        <v>55.4</v>
      </c>
      <c r="AA81" s="10">
        <f t="shared" si="48"/>
        <v>53.4</v>
      </c>
      <c r="AB81" s="10">
        <f t="shared" si="49"/>
        <v>53.4</v>
      </c>
      <c r="AC81" s="10">
        <f t="shared" si="50"/>
        <v>51.4</v>
      </c>
      <c r="AD81" s="10">
        <f t="shared" si="51"/>
        <v>51.4</v>
      </c>
      <c r="AE81" s="10">
        <f>S81</f>
        <v>45.5</v>
      </c>
    </row>
    <row r="82" spans="1:31">
      <c r="B82" s="31" t="s">
        <v>207</v>
      </c>
      <c r="C82" s="83">
        <v>60.6</v>
      </c>
      <c r="D82" s="83">
        <v>55.8</v>
      </c>
      <c r="E82" s="83">
        <v>51.7</v>
      </c>
      <c r="F82" s="83">
        <v>48.2</v>
      </c>
      <c r="G82" s="83">
        <v>44.7</v>
      </c>
      <c r="I82" s="83">
        <v>49.9</v>
      </c>
      <c r="J82" s="83">
        <v>49.9</v>
      </c>
      <c r="K82" s="83">
        <v>48.2</v>
      </c>
      <c r="L82" s="10">
        <f t="shared" si="53"/>
        <v>48.2</v>
      </c>
      <c r="M82" s="83">
        <v>46.4</v>
      </c>
      <c r="N82" s="83">
        <v>46.4</v>
      </c>
      <c r="O82" s="83">
        <v>44.7</v>
      </c>
      <c r="P82" s="10">
        <f t="shared" si="54"/>
        <v>44.7</v>
      </c>
      <c r="Q82" s="83">
        <v>43</v>
      </c>
      <c r="R82" s="83">
        <v>0</v>
      </c>
      <c r="S82" s="83">
        <v>0</v>
      </c>
      <c r="U82" s="10">
        <f t="shared" si="42"/>
        <v>49.9</v>
      </c>
      <c r="V82" s="10">
        <f t="shared" si="43"/>
        <v>49.9</v>
      </c>
      <c r="W82" s="10">
        <f t="shared" si="44"/>
        <v>48.2</v>
      </c>
      <c r="X82" s="10">
        <f t="shared" si="45"/>
        <v>48.2</v>
      </c>
      <c r="Y82" s="10">
        <f t="shared" si="46"/>
        <v>46.4</v>
      </c>
      <c r="Z82" s="10">
        <f t="shared" si="47"/>
        <v>46.4</v>
      </c>
      <c r="AA82" s="10">
        <f t="shared" si="48"/>
        <v>44.7</v>
      </c>
      <c r="AB82" s="10">
        <f t="shared" si="49"/>
        <v>44.7</v>
      </c>
      <c r="AC82" s="10">
        <f t="shared" si="50"/>
        <v>43</v>
      </c>
      <c r="AD82" s="10">
        <f t="shared" si="51"/>
        <v>0</v>
      </c>
      <c r="AE82" s="10">
        <f>S82</f>
        <v>0</v>
      </c>
    </row>
    <row r="83" spans="1:31">
      <c r="B83" s="31" t="s">
        <v>208</v>
      </c>
      <c r="C83" s="83">
        <v>85.5</v>
      </c>
      <c r="D83" s="83">
        <v>85.5</v>
      </c>
      <c r="E83" s="83">
        <v>85.5</v>
      </c>
      <c r="F83" s="83">
        <v>0</v>
      </c>
      <c r="G83" s="83">
        <v>0</v>
      </c>
      <c r="I83" s="83">
        <v>0</v>
      </c>
      <c r="J83" s="83">
        <v>0</v>
      </c>
      <c r="K83" s="83">
        <v>0</v>
      </c>
      <c r="L83" s="10">
        <f t="shared" si="53"/>
        <v>0</v>
      </c>
      <c r="M83" s="83">
        <v>0</v>
      </c>
      <c r="N83" s="83">
        <v>0</v>
      </c>
      <c r="O83" s="83">
        <v>0</v>
      </c>
      <c r="P83" s="10">
        <f t="shared" si="54"/>
        <v>0</v>
      </c>
      <c r="Q83" s="83">
        <v>0</v>
      </c>
      <c r="R83" s="83">
        <v>0</v>
      </c>
      <c r="S83" s="83">
        <v>0</v>
      </c>
      <c r="U83" s="10">
        <f t="shared" si="42"/>
        <v>0</v>
      </c>
      <c r="V83" s="10">
        <f t="shared" si="43"/>
        <v>0</v>
      </c>
      <c r="W83" s="10">
        <f t="shared" si="44"/>
        <v>0</v>
      </c>
      <c r="X83" s="10">
        <f t="shared" si="45"/>
        <v>0</v>
      </c>
      <c r="Y83" s="10">
        <f t="shared" si="46"/>
        <v>0</v>
      </c>
      <c r="Z83" s="10">
        <f t="shared" si="47"/>
        <v>0</v>
      </c>
      <c r="AA83" s="10">
        <f t="shared" si="48"/>
        <v>0</v>
      </c>
      <c r="AB83" s="10">
        <f t="shared" si="49"/>
        <v>0</v>
      </c>
      <c r="AC83" s="10">
        <f t="shared" si="50"/>
        <v>0</v>
      </c>
      <c r="AD83" s="10">
        <f t="shared" si="51"/>
        <v>0</v>
      </c>
      <c r="AE83" s="10">
        <f>S83</f>
        <v>0</v>
      </c>
    </row>
    <row r="84" spans="1:31">
      <c r="B84" s="31" t="s">
        <v>217</v>
      </c>
      <c r="C84" s="83">
        <v>0</v>
      </c>
      <c r="D84" s="83">
        <v>0</v>
      </c>
      <c r="E84" s="83">
        <v>0</v>
      </c>
      <c r="F84" s="83">
        <v>0</v>
      </c>
      <c r="G84" s="83">
        <v>0</v>
      </c>
      <c r="I84" s="83">
        <v>0</v>
      </c>
      <c r="J84" s="83">
        <v>0</v>
      </c>
      <c r="K84" s="83">
        <v>0</v>
      </c>
      <c r="L84" s="10">
        <f t="shared" si="53"/>
        <v>0</v>
      </c>
      <c r="M84" s="83">
        <v>0</v>
      </c>
      <c r="N84" s="83">
        <v>0</v>
      </c>
      <c r="O84" s="83">
        <v>0</v>
      </c>
      <c r="P84" s="10">
        <f t="shared" si="54"/>
        <v>0</v>
      </c>
      <c r="Q84" s="83">
        <v>215</v>
      </c>
      <c r="R84" s="83">
        <v>215</v>
      </c>
      <c r="S84" s="83">
        <v>215</v>
      </c>
      <c r="U84" s="10">
        <f t="shared" si="42"/>
        <v>0</v>
      </c>
      <c r="V84" s="10">
        <f t="shared" si="43"/>
        <v>0</v>
      </c>
      <c r="W84" s="10">
        <f t="shared" si="44"/>
        <v>0</v>
      </c>
      <c r="X84" s="10">
        <f t="shared" si="45"/>
        <v>0</v>
      </c>
      <c r="Y84" s="10">
        <f t="shared" si="46"/>
        <v>0</v>
      </c>
      <c r="Z84" s="10">
        <f t="shared" si="47"/>
        <v>0</v>
      </c>
      <c r="AA84" s="10">
        <f t="shared" si="48"/>
        <v>0</v>
      </c>
      <c r="AB84" s="10">
        <f t="shared" si="49"/>
        <v>0</v>
      </c>
      <c r="AC84" s="10">
        <f t="shared" si="50"/>
        <v>215</v>
      </c>
      <c r="AD84" s="10">
        <f t="shared" si="51"/>
        <v>215</v>
      </c>
      <c r="AE84" s="10">
        <f t="shared" ref="AE84:AE90" si="55">S84</f>
        <v>215</v>
      </c>
    </row>
    <row r="85" spans="1:31">
      <c r="B85" s="31" t="s">
        <v>218</v>
      </c>
      <c r="C85" s="83">
        <v>0</v>
      </c>
      <c r="D85" s="83">
        <v>0</v>
      </c>
      <c r="E85" s="83">
        <v>0</v>
      </c>
      <c r="F85" s="83">
        <v>0</v>
      </c>
      <c r="G85" s="83">
        <v>0</v>
      </c>
      <c r="I85" s="83">
        <v>0</v>
      </c>
      <c r="J85" s="83">
        <v>0</v>
      </c>
      <c r="K85" s="83">
        <v>0</v>
      </c>
      <c r="L85" s="10">
        <f t="shared" si="53"/>
        <v>0</v>
      </c>
      <c r="M85" s="83">
        <v>0</v>
      </c>
      <c r="N85" s="83">
        <v>0</v>
      </c>
      <c r="O85" s="83">
        <v>0</v>
      </c>
      <c r="P85" s="10">
        <f t="shared" si="54"/>
        <v>0</v>
      </c>
      <c r="Q85" s="83">
        <v>841.8</v>
      </c>
      <c r="R85" s="83">
        <v>850.3</v>
      </c>
      <c r="S85" s="83">
        <v>0</v>
      </c>
      <c r="U85" s="10">
        <f t="shared" si="42"/>
        <v>0</v>
      </c>
      <c r="V85" s="10">
        <f t="shared" si="43"/>
        <v>0</v>
      </c>
      <c r="W85" s="10">
        <f t="shared" si="44"/>
        <v>0</v>
      </c>
      <c r="X85" s="10">
        <f t="shared" si="45"/>
        <v>0</v>
      </c>
      <c r="Y85" s="10">
        <f t="shared" si="46"/>
        <v>0</v>
      </c>
      <c r="Z85" s="10">
        <f t="shared" si="47"/>
        <v>0</v>
      </c>
      <c r="AA85" s="10">
        <f t="shared" si="48"/>
        <v>0</v>
      </c>
      <c r="AB85" s="10">
        <f t="shared" si="49"/>
        <v>0</v>
      </c>
      <c r="AC85" s="10">
        <f t="shared" si="50"/>
        <v>841.8</v>
      </c>
      <c r="AD85" s="10">
        <f t="shared" si="51"/>
        <v>850.3</v>
      </c>
      <c r="AE85" s="10">
        <f t="shared" si="55"/>
        <v>0</v>
      </c>
    </row>
    <row r="86" spans="1:31">
      <c r="B86" s="31" t="s">
        <v>215</v>
      </c>
      <c r="C86" s="83">
        <v>175</v>
      </c>
      <c r="D86" s="83">
        <v>28.2</v>
      </c>
      <c r="E86" s="83">
        <v>25.4</v>
      </c>
      <c r="F86" s="83">
        <v>25.1</v>
      </c>
      <c r="G86" s="83">
        <v>0</v>
      </c>
      <c r="I86" s="83">
        <v>25.1</v>
      </c>
      <c r="J86" s="83">
        <v>25.1</v>
      </c>
      <c r="K86" s="83">
        <v>25.1</v>
      </c>
      <c r="L86" s="10">
        <f t="shared" si="53"/>
        <v>25.1</v>
      </c>
      <c r="M86" s="83">
        <v>25.1</v>
      </c>
      <c r="N86" s="83">
        <v>25.1</v>
      </c>
      <c r="O86" s="83">
        <v>25.1</v>
      </c>
      <c r="P86" s="10">
        <f t="shared" si="54"/>
        <v>0</v>
      </c>
      <c r="Q86" s="83">
        <v>0</v>
      </c>
      <c r="R86" s="83">
        <v>0</v>
      </c>
      <c r="S86" s="83">
        <v>0</v>
      </c>
      <c r="U86" s="10">
        <f t="shared" si="42"/>
        <v>25.1</v>
      </c>
      <c r="V86" s="10">
        <f t="shared" si="43"/>
        <v>25.1</v>
      </c>
      <c r="W86" s="10">
        <f t="shared" si="44"/>
        <v>25.1</v>
      </c>
      <c r="X86" s="10">
        <f t="shared" si="45"/>
        <v>25.1</v>
      </c>
      <c r="Y86" s="10">
        <f t="shared" si="46"/>
        <v>25.1</v>
      </c>
      <c r="Z86" s="10">
        <f t="shared" si="47"/>
        <v>25.1</v>
      </c>
      <c r="AA86" s="10">
        <f t="shared" si="48"/>
        <v>25.1</v>
      </c>
      <c r="AB86" s="10">
        <f t="shared" si="49"/>
        <v>0</v>
      </c>
      <c r="AC86" s="10">
        <f t="shared" si="50"/>
        <v>0</v>
      </c>
      <c r="AD86" s="10">
        <f t="shared" si="51"/>
        <v>0</v>
      </c>
      <c r="AE86" s="10">
        <f t="shared" si="55"/>
        <v>0</v>
      </c>
    </row>
    <row r="87" spans="1:31">
      <c r="B87" s="31" t="s">
        <v>216</v>
      </c>
      <c r="C87" s="83">
        <v>0</v>
      </c>
      <c r="D87" s="83">
        <v>500</v>
      </c>
      <c r="E87" s="83">
        <v>500</v>
      </c>
      <c r="F87" s="83">
        <v>500</v>
      </c>
      <c r="G87" s="83">
        <v>0</v>
      </c>
      <c r="I87" s="83">
        <v>500</v>
      </c>
      <c r="J87" s="83">
        <v>500</v>
      </c>
      <c r="K87" s="83">
        <v>500</v>
      </c>
      <c r="L87" s="10">
        <f t="shared" si="53"/>
        <v>500</v>
      </c>
      <c r="M87" s="83">
        <v>500</v>
      </c>
      <c r="N87" s="83">
        <v>500</v>
      </c>
      <c r="O87" s="83">
        <v>500</v>
      </c>
      <c r="P87" s="10">
        <f t="shared" si="54"/>
        <v>0</v>
      </c>
      <c r="Q87" s="83">
        <v>0</v>
      </c>
      <c r="R87" s="83">
        <v>0</v>
      </c>
      <c r="S87" s="83">
        <v>0</v>
      </c>
      <c r="U87" s="10">
        <f t="shared" si="42"/>
        <v>500</v>
      </c>
      <c r="V87" s="10">
        <f t="shared" si="43"/>
        <v>500</v>
      </c>
      <c r="W87" s="10">
        <f t="shared" si="44"/>
        <v>500</v>
      </c>
      <c r="X87" s="10">
        <f t="shared" si="45"/>
        <v>500</v>
      </c>
      <c r="Y87" s="10">
        <f t="shared" si="46"/>
        <v>500</v>
      </c>
      <c r="Z87" s="10">
        <f t="shared" si="47"/>
        <v>500</v>
      </c>
      <c r="AA87" s="10">
        <f t="shared" si="48"/>
        <v>500</v>
      </c>
      <c r="AB87" s="10">
        <f t="shared" si="49"/>
        <v>0</v>
      </c>
      <c r="AC87" s="10">
        <f t="shared" si="50"/>
        <v>0</v>
      </c>
      <c r="AD87" s="10">
        <f t="shared" si="51"/>
        <v>0</v>
      </c>
      <c r="AE87" s="10">
        <f t="shared" si="55"/>
        <v>0</v>
      </c>
    </row>
    <row r="88" spans="1:31">
      <c r="B88" s="31" t="s">
        <v>209</v>
      </c>
      <c r="C88" s="83">
        <v>95.1</v>
      </c>
      <c r="D88" s="83">
        <v>0</v>
      </c>
      <c r="E88" s="83">
        <v>0</v>
      </c>
      <c r="F88" s="83">
        <v>0</v>
      </c>
      <c r="G88" s="83">
        <v>0</v>
      </c>
      <c r="I88" s="83">
        <v>0</v>
      </c>
      <c r="J88" s="83">
        <v>0</v>
      </c>
      <c r="K88" s="83">
        <v>0</v>
      </c>
      <c r="L88" s="10">
        <f t="shared" si="53"/>
        <v>0</v>
      </c>
      <c r="M88" s="83">
        <v>0</v>
      </c>
      <c r="N88" s="83">
        <v>0</v>
      </c>
      <c r="O88" s="83">
        <v>0</v>
      </c>
      <c r="P88" s="10">
        <f t="shared" si="54"/>
        <v>0</v>
      </c>
      <c r="Q88" s="83">
        <v>0</v>
      </c>
      <c r="R88" s="83">
        <v>0</v>
      </c>
      <c r="S88" s="83">
        <v>0</v>
      </c>
      <c r="U88" s="10">
        <f t="shared" si="42"/>
        <v>0</v>
      </c>
      <c r="V88" s="10">
        <f t="shared" si="43"/>
        <v>0</v>
      </c>
      <c r="W88" s="10">
        <f t="shared" si="44"/>
        <v>0</v>
      </c>
      <c r="X88" s="10">
        <f t="shared" si="45"/>
        <v>0</v>
      </c>
      <c r="Y88" s="10">
        <f t="shared" si="46"/>
        <v>0</v>
      </c>
      <c r="Z88" s="10">
        <f t="shared" si="47"/>
        <v>0</v>
      </c>
      <c r="AA88" s="10">
        <f t="shared" si="48"/>
        <v>0</v>
      </c>
      <c r="AB88" s="10">
        <f t="shared" si="49"/>
        <v>0</v>
      </c>
      <c r="AC88" s="10">
        <f t="shared" si="50"/>
        <v>0</v>
      </c>
      <c r="AD88" s="10">
        <f t="shared" si="51"/>
        <v>0</v>
      </c>
      <c r="AE88" s="10">
        <f t="shared" si="55"/>
        <v>0</v>
      </c>
    </row>
    <row r="89" spans="1:31">
      <c r="B89" s="31" t="s">
        <v>210</v>
      </c>
      <c r="C89" s="83">
        <v>180</v>
      </c>
      <c r="D89" s="83">
        <v>0</v>
      </c>
      <c r="E89" s="83">
        <v>0</v>
      </c>
      <c r="F89" s="83">
        <v>0</v>
      </c>
      <c r="G89" s="83">
        <v>0</v>
      </c>
      <c r="I89" s="83">
        <v>0</v>
      </c>
      <c r="J89" s="83">
        <v>0</v>
      </c>
      <c r="K89" s="83">
        <v>0</v>
      </c>
      <c r="L89" s="10">
        <f t="shared" si="53"/>
        <v>0</v>
      </c>
      <c r="M89" s="83">
        <v>0</v>
      </c>
      <c r="N89" s="83">
        <v>0</v>
      </c>
      <c r="O89" s="83">
        <v>0</v>
      </c>
      <c r="P89" s="10">
        <f t="shared" si="54"/>
        <v>0</v>
      </c>
      <c r="Q89" s="83">
        <v>0</v>
      </c>
      <c r="R89" s="83">
        <v>0</v>
      </c>
      <c r="S89" s="83">
        <v>0</v>
      </c>
      <c r="U89" s="10">
        <f t="shared" si="42"/>
        <v>0</v>
      </c>
      <c r="V89" s="10">
        <f t="shared" si="43"/>
        <v>0</v>
      </c>
      <c r="W89" s="10">
        <f t="shared" si="44"/>
        <v>0</v>
      </c>
      <c r="X89" s="10">
        <f t="shared" si="45"/>
        <v>0</v>
      </c>
      <c r="Y89" s="10">
        <f t="shared" si="46"/>
        <v>0</v>
      </c>
      <c r="Z89" s="10">
        <f t="shared" si="47"/>
        <v>0</v>
      </c>
      <c r="AA89" s="10">
        <f t="shared" si="48"/>
        <v>0</v>
      </c>
      <c r="AB89" s="10">
        <f t="shared" si="49"/>
        <v>0</v>
      </c>
      <c r="AC89" s="10">
        <f t="shared" si="50"/>
        <v>0</v>
      </c>
      <c r="AD89" s="10">
        <f t="shared" si="51"/>
        <v>0</v>
      </c>
      <c r="AE89" s="10">
        <f t="shared" si="55"/>
        <v>0</v>
      </c>
    </row>
    <row r="90" spans="1:31">
      <c r="B90" s="31" t="s">
        <v>214</v>
      </c>
      <c r="C90" s="83">
        <v>0</v>
      </c>
      <c r="D90" s="83">
        <v>0</v>
      </c>
      <c r="E90" s="83">
        <v>0</v>
      </c>
      <c r="F90" s="83">
        <v>0</v>
      </c>
      <c r="G90" s="83">
        <v>300</v>
      </c>
      <c r="I90" s="83">
        <v>0</v>
      </c>
      <c r="J90" s="83">
        <v>0</v>
      </c>
      <c r="K90" s="83">
        <v>0</v>
      </c>
      <c r="L90" s="10">
        <f t="shared" si="53"/>
        <v>0</v>
      </c>
      <c r="M90" s="83">
        <v>0</v>
      </c>
      <c r="N90" s="83">
        <v>0</v>
      </c>
      <c r="O90" s="83">
        <v>0</v>
      </c>
      <c r="P90" s="10">
        <f t="shared" si="54"/>
        <v>300</v>
      </c>
      <c r="Q90" s="83">
        <v>0</v>
      </c>
      <c r="R90" s="83">
        <v>0</v>
      </c>
      <c r="S90" s="83">
        <v>0</v>
      </c>
      <c r="U90" s="10">
        <f t="shared" si="42"/>
        <v>0</v>
      </c>
      <c r="V90" s="10">
        <f t="shared" si="43"/>
        <v>0</v>
      </c>
      <c r="W90" s="10">
        <f t="shared" si="44"/>
        <v>0</v>
      </c>
      <c r="X90" s="10">
        <f t="shared" si="45"/>
        <v>0</v>
      </c>
      <c r="Y90" s="10">
        <f t="shared" si="46"/>
        <v>0</v>
      </c>
      <c r="Z90" s="10">
        <f t="shared" si="47"/>
        <v>0</v>
      </c>
      <c r="AA90" s="10">
        <f t="shared" si="48"/>
        <v>0</v>
      </c>
      <c r="AB90" s="10">
        <f t="shared" si="49"/>
        <v>300</v>
      </c>
      <c r="AC90" s="10">
        <f t="shared" si="50"/>
        <v>0</v>
      </c>
      <c r="AD90" s="10">
        <f t="shared" si="51"/>
        <v>0</v>
      </c>
      <c r="AE90" s="10">
        <f t="shared" si="55"/>
        <v>0</v>
      </c>
    </row>
    <row r="91" spans="1:31" ht="12.75" customHeight="1">
      <c r="B91" s="13" t="s">
        <v>23</v>
      </c>
      <c r="C91" s="14">
        <f>SUM(C73:C90)</f>
        <v>3580.5</v>
      </c>
      <c r="D91" s="14">
        <f t="shared" ref="D91:G91" si="56">SUM(D73:D90)</f>
        <v>3238.2000000000003</v>
      </c>
      <c r="E91" s="14">
        <f t="shared" si="56"/>
        <v>3642.4</v>
      </c>
      <c r="F91" s="14">
        <f t="shared" si="56"/>
        <v>3439.1</v>
      </c>
      <c r="G91" s="14">
        <f t="shared" si="56"/>
        <v>2210.5</v>
      </c>
      <c r="I91" s="14">
        <f t="shared" ref="I91" si="57">SUM(I73:I90)</f>
        <v>3512.5</v>
      </c>
      <c r="J91" s="14">
        <f t="shared" ref="J91" si="58">SUM(J73:J90)</f>
        <v>3400.1</v>
      </c>
      <c r="K91" s="14">
        <f t="shared" ref="K91" si="59">SUM(K73:K90)</f>
        <v>3354.9999999999995</v>
      </c>
      <c r="L91" s="14">
        <f t="shared" ref="L91" si="60">SUM(L73:L90)</f>
        <v>3439.1</v>
      </c>
      <c r="M91" s="14">
        <f t="shared" ref="M91" si="61">SUM(M73:M90)</f>
        <v>3391.8</v>
      </c>
      <c r="N91" s="14">
        <f t="shared" ref="N91" si="62">SUM(N73:N90)</f>
        <v>3318.9</v>
      </c>
      <c r="O91" s="14">
        <f t="shared" ref="O91" si="63">SUM(O73:O90)</f>
        <v>3287.2000000000003</v>
      </c>
      <c r="P91" s="14">
        <f t="shared" ref="P91" si="64">SUM(P73:P90)</f>
        <v>2210.5</v>
      </c>
      <c r="Q91" s="14">
        <f t="shared" ref="Q91" si="65">SUM(Q73:Q90)</f>
        <v>2581.3000000000002</v>
      </c>
      <c r="R91" s="14">
        <f t="shared" ref="R91" si="66">SUM(R73:R90)</f>
        <v>2511.1</v>
      </c>
      <c r="S91" s="14">
        <f t="shared" ref="S91" si="67">SUM(S73:S90)</f>
        <v>931</v>
      </c>
      <c r="U91" s="14">
        <f t="shared" ref="U91" si="68">SUM(U73:U90)</f>
        <v>3512.5</v>
      </c>
      <c r="V91" s="14">
        <f t="shared" ref="V91" si="69">SUM(V73:V90)</f>
        <v>3400.1</v>
      </c>
      <c r="W91" s="14">
        <f t="shared" ref="W91" si="70">SUM(W73:W90)</f>
        <v>3354.9999999999995</v>
      </c>
      <c r="X91" s="14">
        <f t="shared" ref="X91" si="71">SUM(X73:X90)</f>
        <v>3439.1</v>
      </c>
      <c r="Y91" s="14">
        <f t="shared" ref="Y91" si="72">SUM(Y73:Y90)</f>
        <v>3391.8</v>
      </c>
      <c r="Z91" s="14">
        <f t="shared" ref="Z91" si="73">SUM(Z73:Z90)</f>
        <v>3318.9</v>
      </c>
      <c r="AA91" s="14">
        <f t="shared" ref="AA91" si="74">SUM(AA73:AA90)</f>
        <v>3287.2000000000003</v>
      </c>
      <c r="AB91" s="14">
        <f t="shared" ref="AB91" si="75">SUM(AB73:AB90)</f>
        <v>2210.5</v>
      </c>
      <c r="AC91" s="14">
        <f t="shared" ref="AC91" si="76">SUM(AC73:AC90)</f>
        <v>2581.3000000000002</v>
      </c>
      <c r="AD91" s="14">
        <f t="shared" ref="AD91" si="77">SUM(AD73:AD90)</f>
        <v>2511.1</v>
      </c>
      <c r="AE91" s="14">
        <f t="shared" ref="AE91" si="78">SUM(AE73:AE90)</f>
        <v>931</v>
      </c>
    </row>
    <row r="92" spans="1:31" ht="5.0999999999999996" customHeight="1"/>
    <row r="93" spans="1:31" ht="12.75" customHeight="1">
      <c r="B93" s="8" t="s">
        <v>47</v>
      </c>
      <c r="C93" s="97">
        <f>'Historical Financials'!D85/1000</f>
        <v>2249.6950000000002</v>
      </c>
      <c r="D93" s="97">
        <f>'Historical Financials'!E85/1000</f>
        <v>2114.0349999999999</v>
      </c>
      <c r="E93" s="97">
        <f>'Historical Financials'!F85/1000</f>
        <v>1571.6510000000001</v>
      </c>
      <c r="F93" s="97">
        <f>'Historical Financials'!G85/1000</f>
        <v>1134.3420000000001</v>
      </c>
      <c r="G93" s="97">
        <f>'Historical Financials'!H85/1000</f>
        <v>-80.134</v>
      </c>
      <c r="I93" s="97">
        <f>'Historical Financials'!J85/1000</f>
        <v>1469.846</v>
      </c>
      <c r="J93" s="97">
        <f>'Historical Financials'!K85/1000</f>
        <v>1471.0719999999999</v>
      </c>
      <c r="K93" s="97">
        <f>'Historical Financials'!L85/1000</f>
        <v>1316.0450000000001</v>
      </c>
      <c r="L93" s="97">
        <f>'Historical Financials'!M85/1000</f>
        <v>1134.3420000000001</v>
      </c>
      <c r="M93" s="97">
        <f>'Historical Financials'!N85/1000</f>
        <v>1002.2569999999999</v>
      </c>
      <c r="N93" s="97">
        <f>'Historical Financials'!O85/1000</f>
        <v>809.66200000000003</v>
      </c>
      <c r="O93" s="97">
        <f>'Historical Financials'!P85/1000</f>
        <v>503.74900000000002</v>
      </c>
      <c r="P93" s="97">
        <f>'Historical Financials'!Q85/1000</f>
        <v>-80.134</v>
      </c>
      <c r="Q93" s="97">
        <f>'Historical Financials'!R85/1000</f>
        <v>723.41300000000001</v>
      </c>
      <c r="R93" s="97">
        <f>'Historical Financials'!S85/1000</f>
        <v>479.44499999999999</v>
      </c>
      <c r="S93" s="97">
        <f>'Historical Financials'!T85/1000</f>
        <v>164.49299999999999</v>
      </c>
      <c r="U93" s="10">
        <f>I93</f>
        <v>1469.846</v>
      </c>
      <c r="V93" s="10">
        <f>J93</f>
        <v>1471.0719999999999</v>
      </c>
      <c r="W93" s="10">
        <f>K93</f>
        <v>1316.0450000000001</v>
      </c>
      <c r="X93" s="10">
        <f>L93</f>
        <v>1134.3420000000001</v>
      </c>
      <c r="Y93" s="10">
        <f>M93</f>
        <v>1002.2569999999999</v>
      </c>
      <c r="Z93" s="10">
        <f>N93</f>
        <v>809.66200000000003</v>
      </c>
      <c r="AA93" s="151">
        <f>O93</f>
        <v>503.74900000000002</v>
      </c>
      <c r="AB93" s="151">
        <f>P93</f>
        <v>-80.134</v>
      </c>
      <c r="AC93" s="151">
        <f>Q93</f>
        <v>723.41300000000001</v>
      </c>
      <c r="AD93" s="151">
        <f>R93</f>
        <v>479.44499999999999</v>
      </c>
      <c r="AE93" s="151">
        <f>S93</f>
        <v>164.49299999999999</v>
      </c>
    </row>
    <row r="94" spans="1:31" ht="12.75" customHeight="1">
      <c r="B94" s="13" t="s">
        <v>48</v>
      </c>
      <c r="C94" s="14">
        <f>SUM(C91:C93)</f>
        <v>5830.1949999999997</v>
      </c>
      <c r="D94" s="14">
        <f>SUM(D91:D93)</f>
        <v>5352.2350000000006</v>
      </c>
      <c r="E94" s="14">
        <f>SUM(E91:E93)</f>
        <v>5214.0510000000004</v>
      </c>
      <c r="F94" s="14">
        <f>SUM(F91:F93)</f>
        <v>4573.442</v>
      </c>
      <c r="G94" s="14">
        <f>SUM(G91:G93)</f>
        <v>2130.366</v>
      </c>
      <c r="I94" s="14">
        <f t="shared" ref="I94:N94" si="79">SUM(I91:I93)</f>
        <v>4982.3459999999995</v>
      </c>
      <c r="J94" s="14">
        <f t="shared" si="79"/>
        <v>4871.1719999999996</v>
      </c>
      <c r="K94" s="14">
        <f t="shared" si="79"/>
        <v>4671.0450000000001</v>
      </c>
      <c r="L94" s="14">
        <f t="shared" si="79"/>
        <v>4573.442</v>
      </c>
      <c r="M94" s="14">
        <f t="shared" si="79"/>
        <v>4394.0569999999998</v>
      </c>
      <c r="N94" s="14">
        <f t="shared" si="79"/>
        <v>4128.5619999999999</v>
      </c>
      <c r="O94" s="14">
        <f>SUM(O91:O93)</f>
        <v>3790.9490000000005</v>
      </c>
      <c r="P94" s="14">
        <f>SUM(P91:P93)</f>
        <v>2130.366</v>
      </c>
      <c r="Q94" s="14">
        <f>SUM(Q91:Q93)</f>
        <v>3304.7130000000002</v>
      </c>
      <c r="R94" s="14">
        <f>SUM(R91:R93)</f>
        <v>2990.5450000000001</v>
      </c>
      <c r="S94" s="14">
        <f>SUM(S91:S93)</f>
        <v>1095.4929999999999</v>
      </c>
      <c r="U94" s="14">
        <f t="shared" ref="U94:AC94" si="80">SUM(U91:U93)</f>
        <v>4982.3459999999995</v>
      </c>
      <c r="V94" s="14">
        <f t="shared" si="80"/>
        <v>4871.1719999999996</v>
      </c>
      <c r="W94" s="14">
        <f t="shared" si="80"/>
        <v>4671.0450000000001</v>
      </c>
      <c r="X94" s="14">
        <f t="shared" si="80"/>
        <v>4573.442</v>
      </c>
      <c r="Y94" s="14">
        <f t="shared" si="80"/>
        <v>4394.0569999999998</v>
      </c>
      <c r="Z94" s="14">
        <f t="shared" si="80"/>
        <v>4128.5619999999999</v>
      </c>
      <c r="AA94" s="14">
        <f t="shared" si="80"/>
        <v>3790.9490000000005</v>
      </c>
      <c r="AB94" s="14">
        <f t="shared" si="80"/>
        <v>2130.366</v>
      </c>
      <c r="AC94" s="14">
        <f t="shared" si="80"/>
        <v>3304.7130000000002</v>
      </c>
      <c r="AD94" s="14">
        <f>SUM(AD91:AD93)</f>
        <v>2990.5450000000001</v>
      </c>
      <c r="AE94" s="14">
        <f>SUM(AE91:AE93)</f>
        <v>1095.4929999999999</v>
      </c>
    </row>
    <row r="95" spans="1:31" ht="5.0999999999999996" customHeight="1"/>
    <row r="96" spans="1:31" ht="12.75" customHeight="1">
      <c r="A96" s="5"/>
      <c r="B96" s="33" t="s">
        <v>71</v>
      </c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</row>
    <row r="97" spans="2:31" ht="5.0999999999999996" customHeight="1"/>
    <row r="98" spans="2:31" ht="12.75" customHeight="1">
      <c r="B98" s="31" t="s">
        <v>100</v>
      </c>
      <c r="C98" s="85">
        <f>C91/C33</f>
        <v>-6.9108813810567957</v>
      </c>
      <c r="D98" s="85">
        <f>D91/D33</f>
        <v>-26.64702687579199</v>
      </c>
      <c r="E98" s="85">
        <f>E91/E33</f>
        <v>18.926277721197867</v>
      </c>
      <c r="F98" s="85">
        <f>F91/F33</f>
        <v>-57.878792978676373</v>
      </c>
      <c r="G98" s="85">
        <f>G91/G33</f>
        <v>-4.774349615006626</v>
      </c>
      <c r="I98" s="163"/>
      <c r="J98" s="163"/>
      <c r="K98" s="163"/>
      <c r="L98" s="85">
        <f>SUM(L91/SUM(I33:L33))</f>
        <v>-57.878792978677247</v>
      </c>
      <c r="M98" s="85">
        <f>SUM(M91/SUM(J33:M33))</f>
        <v>-24.392138249444528</v>
      </c>
      <c r="N98" s="85">
        <f>SUM(N91/SUM(K33:N33))</f>
        <v>-9.5874305258657735</v>
      </c>
      <c r="O98" s="85">
        <f>SUM(O91/SUM(L33:O33))</f>
        <v>-7.145652003791084</v>
      </c>
      <c r="P98" s="85">
        <f>SUM(P91/SUM(M33:P33))</f>
        <v>-4.7743496150066473</v>
      </c>
      <c r="Q98" s="85">
        <f>SUM(Q91/SUM(N33:Q33))</f>
        <v>-4.4264465304190681</v>
      </c>
      <c r="R98" s="85">
        <f>SUM(R91/SUM(O33:R33))</f>
        <v>-4.0453069220161613</v>
      </c>
      <c r="S98" s="85">
        <f>SUM(S91/SUM(P33:S33))</f>
        <v>-1.5472801275051891</v>
      </c>
      <c r="T98" s="85"/>
      <c r="U98" s="85">
        <f>U91/U33</f>
        <v>-2.1774937960799545</v>
      </c>
      <c r="V98" s="85">
        <f>V91/V33</f>
        <v>-3.3169571520272809</v>
      </c>
      <c r="W98" s="85">
        <f>W91/W33</f>
        <v>-110.77359923399338</v>
      </c>
      <c r="X98" s="85">
        <f>X91/X33</f>
        <v>-21.108874185192857</v>
      </c>
      <c r="Y98" s="85">
        <f>Y91/Y33</f>
        <v>-13.316738777080639</v>
      </c>
      <c r="Z98" s="85">
        <f>Z91/Z33</f>
        <v>-7.7795409955955934</v>
      </c>
      <c r="AA98" s="85">
        <f>AA91/AA33</f>
        <v>-7.1456520037910529</v>
      </c>
      <c r="AB98" s="85">
        <f>AB91/AB33</f>
        <v>-4.7743496150066358</v>
      </c>
      <c r="AC98" s="85">
        <f>AC91/AC33</f>
        <v>-4.4264465304190717</v>
      </c>
      <c r="AD98" s="85">
        <f>AD91/AD33</f>
        <v>-4.0453069220161613</v>
      </c>
      <c r="AE98" s="85">
        <f>AE91/AE33</f>
        <v>-1.5472801275051877</v>
      </c>
    </row>
    <row r="99" spans="2:31" ht="12.75" customHeight="1">
      <c r="B99" s="31" t="s">
        <v>101</v>
      </c>
      <c r="C99" s="85">
        <f>SUM(C91-C56)/C33</f>
        <v>-3.4564578765325362</v>
      </c>
      <c r="D99" s="85">
        <f>SUM(D91-D56)/D33</f>
        <v>-15.673647569987301</v>
      </c>
      <c r="E99" s="85">
        <f>SUM(E91-E56)/E33</f>
        <v>11.930507347286506</v>
      </c>
      <c r="F99" s="85">
        <f>SUM(F91-F56)/F33</f>
        <v>-43.317608845655073</v>
      </c>
      <c r="G99" s="85">
        <f>SUM(G91-G56)/G33</f>
        <v>-2.8260413179407893</v>
      </c>
      <c r="I99" s="163"/>
      <c r="J99" s="163"/>
      <c r="K99" s="163"/>
      <c r="L99" s="85">
        <f>SUM(L91-L56)/SUM(I33:L33)</f>
        <v>-43.317608845655727</v>
      </c>
      <c r="M99" s="85">
        <f>SUM(M91-M56)/SUM(J33:M33)</f>
        <v>-18.892163419703333</v>
      </c>
      <c r="N99" s="85">
        <f>SUM(N91-N56)/SUM(K33:N33)</f>
        <v>-7.4936909975388106</v>
      </c>
      <c r="O99" s="85">
        <f>SUM(O91-O56)/SUM(L33:O33)</f>
        <v>-6.2249536984705367</v>
      </c>
      <c r="P99" s="85">
        <f>SUM(P91-P56)/SUM(M33:P33)</f>
        <v>-2.8260413179408017</v>
      </c>
      <c r="Q99" s="85">
        <f>SUM(Q91-Q56)/SUM(N33:Q33)</f>
        <v>-3.5904152247948247</v>
      </c>
      <c r="R99" s="85">
        <f>SUM(R91-R56)/SUM(O33:R33)</f>
        <v>-3.3888189011895409</v>
      </c>
      <c r="S99" s="85">
        <f>SUM(S91-S56)/SUM(P33:S33)</f>
        <v>-1.1309703656799637</v>
      </c>
      <c r="T99" s="85"/>
      <c r="U99" s="85">
        <f>SUM(U91-U56)/U33</f>
        <v>-1.3792069025158507</v>
      </c>
      <c r="V99" s="85">
        <f>SUM(V91-V56)/V33</f>
        <v>-2.233428871897027</v>
      </c>
      <c r="W99" s="85">
        <f>SUM(W91-W56)/W33</f>
        <v>-83.754647208372177</v>
      </c>
      <c r="X99" s="85">
        <f>SUM(X91-X56)/X33</f>
        <v>-15.798289979253832</v>
      </c>
      <c r="Y99" s="85">
        <f>SUM(Y91-Y56)/Y33</f>
        <v>-10.314061138114324</v>
      </c>
      <c r="Z99" s="85">
        <f>SUM(Z91-Z56)/Z33</f>
        <v>-6.0806152562356512</v>
      </c>
      <c r="AA99" s="85">
        <f>SUM(AA91-AA56)/AA33</f>
        <v>-6.2249536984705101</v>
      </c>
      <c r="AB99" s="85">
        <f>SUM(AB91-AB56)/AB33</f>
        <v>-2.8260413179407951</v>
      </c>
      <c r="AC99" s="85">
        <f>SUM(AC91-AC56)/AC33</f>
        <v>-3.5904152247948273</v>
      </c>
      <c r="AD99" s="85">
        <f>SUM(AD91-AD56)/AD33</f>
        <v>-3.38881890118954</v>
      </c>
      <c r="AE99" s="85">
        <f>SUM(AE91-AE56)/AE33</f>
        <v>-1.1309703656799626</v>
      </c>
    </row>
    <row r="100" spans="2:31" ht="12.75" customHeight="1">
      <c r="B100" s="31" t="s">
        <v>102</v>
      </c>
      <c r="C100" s="85">
        <f>C33/-C38</f>
        <v>-6.4091443274738022</v>
      </c>
      <c r="D100" s="85">
        <f>D33/-D38</f>
        <v>-0.89684132841328579</v>
      </c>
      <c r="E100" s="85">
        <f>E33/-E38</f>
        <v>1.7912009158344562</v>
      </c>
      <c r="F100" s="85">
        <f>F33/-F38</f>
        <v>-0.42939008527244182</v>
      </c>
      <c r="G100" s="85">
        <f>G33/-G38</f>
        <v>-2.6278613064528114</v>
      </c>
      <c r="I100" s="163"/>
      <c r="J100" s="163"/>
      <c r="K100" s="163"/>
      <c r="L100" s="85" cm="1">
        <f t="array" ref="L100">SUM(I33:L33)/SUM(-I38:L38)</f>
        <v>-0.42939008527243533</v>
      </c>
      <c r="M100" s="85" cm="1">
        <f t="array" ref="M100">SUM(J33:M33)/SUM(-J38:M38)</f>
        <v>-0.95060774689289984</v>
      </c>
      <c r="N100" s="85" cm="1">
        <f t="array" ref="N100">SUM(K33:N33)/SUM(-K38:N38)</f>
        <v>-2.2687157977520682</v>
      </c>
      <c r="O100" s="85" cm="1">
        <f t="array" ref="O100">SUM(L33:O33)/SUM(-L38:O38)</f>
        <v>-2.8261067220386007</v>
      </c>
      <c r="P100" s="85" cm="1">
        <f t="array" ref="P100">SUM(M33:P33)/SUM(-M38:P38)</f>
        <v>-2.6278613064527998</v>
      </c>
      <c r="Q100" s="85" cm="1">
        <f t="array" ref="Q100">SUM(N33:Q33)/SUM(-N38:Q38)</f>
        <v>-2.8317519205182227</v>
      </c>
      <c r="R100" s="85" cm="1">
        <f t="array" ref="R100">SUM(O33:R33)/SUM(-O38:R38)</f>
        <v>-3.4648626321488765</v>
      </c>
      <c r="S100" s="85" cm="1">
        <f t="array" ref="S100">SUM(P33:S33)/SUM(-P38:S38)</f>
        <v>-3.4234824217527615</v>
      </c>
      <c r="T100" s="85"/>
      <c r="U100" s="85">
        <f>U33/-U38</f>
        <v>-50.410731585362008</v>
      </c>
      <c r="V100" s="85">
        <f>V33/-V38</f>
        <v>-14.756370022744955</v>
      </c>
      <c r="W100" s="85">
        <f>W33/-W38</f>
        <v>-0.29772238004895735</v>
      </c>
      <c r="X100" s="85">
        <f>X33/-X38</f>
        <v>-1.1773522185286924</v>
      </c>
      <c r="Y100" s="85">
        <f>Y33/-Y38</f>
        <v>-1.7412187752088526</v>
      </c>
      <c r="Z100" s="85">
        <f>Z33/-Z38</f>
        <v>-2.7959432447488317</v>
      </c>
      <c r="AA100" s="85">
        <f>AA33/-AA38</f>
        <v>-2.8261067220386127</v>
      </c>
      <c r="AB100" s="85">
        <f>AB33/-AB38</f>
        <v>-2.627861306452806</v>
      </c>
      <c r="AC100" s="85">
        <f>AC33/-AC38</f>
        <v>-2.8317519205182204</v>
      </c>
      <c r="AD100" s="85">
        <f>AD33/-AD38</f>
        <v>-3.4648626321488774</v>
      </c>
      <c r="AE100" s="85">
        <f>AE33/-AE38</f>
        <v>-3.4234824217527646</v>
      </c>
    </row>
    <row r="101" spans="2:31" ht="12.75" customHeight="1">
      <c r="B101" s="31" t="s">
        <v>103</v>
      </c>
      <c r="C101" s="85" cm="1">
        <f t="array" ref="C101">SUM(C33+C36)/SUM(-C37:C38)</f>
        <v>-14.4570082636763</v>
      </c>
      <c r="D101" s="85" cm="1">
        <f t="array" ref="D101">SUM(D33+D36)/SUM(-D37:D38)</f>
        <v>-14.553105603541828</v>
      </c>
      <c r="E101" s="85" cm="1">
        <f t="array" ref="E101">SUM(E33+E36)/SUM(-E37:E38)</f>
        <v>-0.42037611423141108</v>
      </c>
      <c r="F101" s="85" cm="1">
        <f t="array" ref="F101">SUM(F33+F36)/SUM(-F37:F38)</f>
        <v>-2.9848757652142646</v>
      </c>
      <c r="G101" s="85" cm="1">
        <f t="array" ref="G101">SUM(G33+G36)/SUM(-G37:G38)</f>
        <v>-3.1933123765543798</v>
      </c>
      <c r="I101" s="163"/>
      <c r="J101" s="163"/>
      <c r="K101" s="163"/>
      <c r="L101" s="85" cm="1">
        <f t="array" ref="L101">SUM(I33:L33+I36:L36)/SUM(-I37:L38)</f>
        <v>-2.9848757652142557</v>
      </c>
      <c r="M101" s="85" cm="1">
        <f t="array" ref="M101">SUM(J33:M33+J36:M36)/SUM(-J37:M38)</f>
        <v>-3.5271190191652244</v>
      </c>
      <c r="N101" s="85" cm="1">
        <f t="array" ref="N101">SUM(K33:N33+K36:N36)/SUM(-K37:N38)</f>
        <v>-4.2306902153140475</v>
      </c>
      <c r="O101" s="85" cm="1">
        <f t="array" ref="O101">SUM(L33:O33+L36:O36)/SUM(-L37:O38)</f>
        <v>-3.5067634327655939</v>
      </c>
      <c r="P101" s="85" cm="1">
        <f t="array" ref="P101">SUM(M33:P33+M36:P36)/SUM(-M37:P38)</f>
        <v>-3.1933123765543687</v>
      </c>
      <c r="Q101" s="85" cm="1">
        <f t="array" ref="Q101">SUM(N33:Q33+N36:Q36)/SUM(-N37:Q38)</f>
        <v>-3.0567361008472265</v>
      </c>
      <c r="R101" s="85" cm="1">
        <f t="array" ref="R101">SUM(O33:R33+O36:R36)/SUM(-O37:R38)</f>
        <v>-3.9072826381365107</v>
      </c>
      <c r="S101" s="85" cm="1">
        <f t="array" ref="S101">SUM(P33:S33+P36:S36)/SUM(-P37:S38)</f>
        <v>-3.7724302595837207</v>
      </c>
      <c r="T101" s="85"/>
      <c r="U101" s="85" cm="1">
        <f t="array" ref="U101">SUM(U33+U36)/SUM(-U37:U38)</f>
        <v>-51.551085784691175</v>
      </c>
      <c r="V101" s="85" cm="1">
        <f t="array" ref="V101">SUM(V33+V36)/SUM(-V37:V38)</f>
        <v>-16.359976225181509</v>
      </c>
      <c r="W101" s="85" cm="1">
        <f t="array" ref="W101">SUM(W33+W36)/SUM(-W37:W38)</f>
        <v>-3.4978624737337927</v>
      </c>
      <c r="X101" s="85" cm="1">
        <f t="array" ref="X101">SUM(X33+X36)/SUM(-X37:X38)</f>
        <v>-3.9657051342797076</v>
      </c>
      <c r="Y101" s="85" cm="1">
        <f t="array" ref="Y101">SUM(Y33+Y36)/SUM(-Y37:Y38)</f>
        <v>-4.5508785907139426</v>
      </c>
      <c r="Z101" s="85" cm="1">
        <f t="array" ref="Z101">SUM(Z33+Z36)/SUM(-Z37:Z38)</f>
        <v>-4.8712734106255606</v>
      </c>
      <c r="AA101" s="85" cm="1">
        <f t="array" ref="AA101">SUM(AA33+AA36)/SUM(-AA37:AA38)</f>
        <v>-3.5067634327656045</v>
      </c>
      <c r="AB101" s="85" cm="1">
        <f t="array" ref="AB101">SUM(AB33+AB36)/SUM(-AB37:AB38)</f>
        <v>-3.1933123765543741</v>
      </c>
      <c r="AC101" s="85" cm="1">
        <f t="array" ref="AC101">SUM(AC33+AC36)/SUM(-AC37:AC38)</f>
        <v>-3.0567361008472238</v>
      </c>
      <c r="AD101" s="85" cm="1">
        <f t="array" ref="AD101">SUM(AD33+AD36)/SUM(-AD37:AD38)</f>
        <v>-3.9072826381365107</v>
      </c>
      <c r="AE101" s="85" cm="1">
        <f t="array" ref="AE101">SUM(AE33+AE36)/SUM(-AE37:AE38)</f>
        <v>-3.7724302595837242</v>
      </c>
    </row>
    <row r="102" spans="2:31" ht="12.75" customHeight="1">
      <c r="B102" s="31" t="s">
        <v>104</v>
      </c>
      <c r="C102" s="85" cm="1">
        <f t="array" ref="C102">SUM(C33)/SUM(-C36:C38)</f>
        <v>-1.1351249501557765</v>
      </c>
      <c r="D102" s="85" cm="1">
        <f t="array" ref="D102">SUM(D33)/SUM(-D36:D38)</f>
        <v>-0.51317111897502699</v>
      </c>
      <c r="E102" s="85" cm="1">
        <f t="array" ref="E102">SUM(E33)/SUM(-E36:E38)</f>
        <v>0.55792082795808451</v>
      </c>
      <c r="F102" s="85" cm="1">
        <f t="array" ref="F102">SUM(F33)/SUM(-F36:F38)</f>
        <v>-0.16455499890608824</v>
      </c>
      <c r="G102" s="85" cm="1">
        <f t="array" ref="G102">SUM(G33)/SUM(-G36:G38)</f>
        <v>-1.5927448484640045</v>
      </c>
      <c r="I102" s="163"/>
      <c r="J102" s="163"/>
      <c r="K102" s="163"/>
      <c r="L102" s="85" cm="1">
        <f t="array" ref="L102">SUM(I33:L33)/SUM(-I36:L38)</f>
        <v>-0.16455499890608577</v>
      </c>
      <c r="M102" s="85" cm="1">
        <f t="array" ref="M102">SUM(J33:M33)/SUM(-J36:M38)</f>
        <v>-0.3734440168334876</v>
      </c>
      <c r="N102" s="85" cm="1">
        <f t="array" ref="N102">SUM(K33:N33)/SUM(-K36:N38)</f>
        <v>-1.1140998780248368</v>
      </c>
      <c r="O102" s="85" cm="1">
        <f t="array" ref="O102">SUM(L33:O33)/SUM(-L36:O38)</f>
        <v>-1.5020537702520012</v>
      </c>
      <c r="P102" s="85" cm="1">
        <f t="array" ref="P102">SUM(M33:P33)/SUM(-M36:P38)</f>
        <v>-1.5927448484639974</v>
      </c>
      <c r="Q102" s="85" cm="1">
        <f t="array" ref="Q102">SUM(N33:Q33)/SUM(-N36:Q38)</f>
        <v>-2.178239789629385</v>
      </c>
      <c r="R102" s="85" cm="1">
        <f t="array" ref="R102">SUM(O33:R33)/SUM(-O36:R38)</f>
        <v>-2.4938992788413246</v>
      </c>
      <c r="S102" s="85" cm="1">
        <f t="array" ref="S102">SUM(P33:S33)/SUM(-P36:S38)</f>
        <v>-2.6646929873120619</v>
      </c>
      <c r="T102" s="85"/>
      <c r="U102" s="85" cm="1">
        <f t="array" ref="U102">SUM(U33)/SUM(-U36:U38)</f>
        <v>-17.349190130998721</v>
      </c>
      <c r="V102" s="85" cm="1">
        <f t="array" ref="V102">SUM(V33)/SUM(-V36:V38)</f>
        <v>-5.0835936957578332</v>
      </c>
      <c r="W102" s="85" cm="1">
        <f t="array" ref="W102">SUM(W33)/SUM(-W36:W38)</f>
        <v>-0.10813387221159201</v>
      </c>
      <c r="X102" s="85" cm="1">
        <f t="array" ref="X102">SUM(X33)/SUM(-X36:X38)</f>
        <v>-0.45119624247761764</v>
      </c>
      <c r="Y102" s="85" cm="1">
        <f t="array" ref="Y102">SUM(Y33)/SUM(-Y36:Y38)</f>
        <v>-0.6840336992047884</v>
      </c>
      <c r="Z102" s="85" cm="1">
        <f t="array" ref="Z102">SUM(Z33)/SUM(-Z36:Z38)</f>
        <v>-1.3730058348540015</v>
      </c>
      <c r="AA102" s="85" cm="1">
        <f t="array" ref="AA102">SUM(AA33)/SUM(-AA36:AA38)</f>
        <v>-1.5020537702520078</v>
      </c>
      <c r="AB102" s="85" cm="1">
        <f t="array" ref="AB102">SUM(AB33)/SUM(-AB36:AB38)</f>
        <v>-1.5927448484640014</v>
      </c>
      <c r="AC102" s="85" cm="1">
        <f t="array" ref="AC102">SUM(AC33)/SUM(-AC36:AC38)</f>
        <v>-2.1782397896293832</v>
      </c>
      <c r="AD102" s="85" cm="1">
        <f t="array" ref="AD102">SUM(AD33)/SUM(-AD36:AD38)</f>
        <v>-2.493899278841325</v>
      </c>
      <c r="AE102" s="85" cm="1">
        <f t="array" ref="AE102">SUM(AE33)/SUM(-AE36:AE38)</f>
        <v>-2.6646929873120642</v>
      </c>
    </row>
    <row r="103" spans="2:31" ht="12.75" customHeight="1">
      <c r="B103" s="8" t="s">
        <v>49</v>
      </c>
      <c r="C103" s="85">
        <f>C94/C91</f>
        <v>1.628318670576735</v>
      </c>
      <c r="D103" s="85">
        <f>D94/D91</f>
        <v>1.6528426286208389</v>
      </c>
      <c r="E103" s="85">
        <f>E94/E91</f>
        <v>1.4314877553261587</v>
      </c>
      <c r="F103" s="85">
        <f>F94/F91</f>
        <v>1.3298368759268413</v>
      </c>
      <c r="G103" s="85">
        <f>G94/G91</f>
        <v>0.96374847319610946</v>
      </c>
      <c r="I103" s="163"/>
      <c r="J103" s="163"/>
      <c r="K103" s="163"/>
      <c r="L103" s="85">
        <f t="shared" ref="L103:R103" si="81">L94/L91</f>
        <v>1.3298368759268413</v>
      </c>
      <c r="M103" s="85">
        <f t="shared" si="81"/>
        <v>1.2954941329087799</v>
      </c>
      <c r="N103" s="85">
        <f t="shared" si="81"/>
        <v>1.2439549248244899</v>
      </c>
      <c r="O103" s="85">
        <f t="shared" si="81"/>
        <v>1.1532456193721101</v>
      </c>
      <c r="P103" s="85">
        <f t="shared" si="81"/>
        <v>0.96374847319610946</v>
      </c>
      <c r="Q103" s="85">
        <f t="shared" si="81"/>
        <v>1.2802514237012359</v>
      </c>
      <c r="R103" s="85">
        <f t="shared" si="81"/>
        <v>1.1909302696029629</v>
      </c>
      <c r="S103" s="85">
        <f>S94/S91</f>
        <v>1.1766842105263158</v>
      </c>
      <c r="T103" s="85"/>
      <c r="U103" s="85">
        <f t="shared" ref="U103:AC103" si="82">U94/U91</f>
        <v>1.4184614946619216</v>
      </c>
      <c r="V103" s="85">
        <f t="shared" si="82"/>
        <v>1.4326555101320548</v>
      </c>
      <c r="W103" s="85">
        <f t="shared" si="82"/>
        <v>1.3922637853949331</v>
      </c>
      <c r="X103" s="85">
        <f t="shared" si="82"/>
        <v>1.3298368759268413</v>
      </c>
      <c r="Y103" s="85">
        <f t="shared" si="82"/>
        <v>1.2954941329087799</v>
      </c>
      <c r="Z103" s="85">
        <f t="shared" si="82"/>
        <v>1.2439549248244899</v>
      </c>
      <c r="AA103" s="85">
        <f t="shared" si="82"/>
        <v>1.1532456193721101</v>
      </c>
      <c r="AB103" s="85">
        <f t="shared" si="82"/>
        <v>0.96374847319610946</v>
      </c>
      <c r="AC103" s="85">
        <f t="shared" si="82"/>
        <v>1.2802514237012359</v>
      </c>
      <c r="AD103" s="85">
        <f>AD94/AD91</f>
        <v>1.1909302696029629</v>
      </c>
      <c r="AE103" s="85">
        <f>AE94/AE91</f>
        <v>1.1766842105263158</v>
      </c>
    </row>
    <row r="104" spans="2:31" ht="5.0999999999999996" customHeight="1" thickBot="1"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</row>
  </sheetData>
  <mergeCells count="1">
    <mergeCell ref="AG2:AG4"/>
  </mergeCells>
  <dataValidations disablePrompts="1"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C40:H41 AF41:AG41 H36:H38 H43 AF43:AG43 AF39 AF40 H39 AF42:AG42 H42 I40:R41" formulaRange="1"/>
    <ignoredError sqref="D9:H11 C12:H12 H23 T26 H30 AG33:AG40 T30 H26:H27 C98:H103 C24:T25 I11:T12 C28:T29 C34:T34 M9:T9 J10:T10 AG7:AG12 AG23:AG29 H33 T33 L99:T103 M98:T98 U26:AE26 U24:AE25 U11:AE12 U28:AE29 U34:AE34 U9:AE9 U10:AE10 U33:Z33 U99:AE103 U98:AE98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b07cb572-0833-4348-88b4-a0fa7ea20e4a</TitusGUID>
  <TitusMetadata xmlns="">eyJucyI6Imh0dHA6XC9cL3d3dy50aXR1cy5jb21cL25zXC9CYW5rIG9mIEFtZXJpY2EiLCJwcm9wcyI6W3sibiI6IkNsYXNzaWZpY2F0aW9uIiwidmFscyI6W3sidmFsdWUiOiJVbmNsYXNzaWZpZWQifV19LHsibiI6IkF1ZGllbmNlIiwidmFscyI6W119LHsibiI6IkNvbmZpZGVudGlhbFR5cGUiLCJ2YWxzIjpbXX1dfQ==</TitusMetadata>
</titus>
</file>

<file path=customXml/itemProps1.xml><?xml version="1.0" encoding="utf-8"?>
<ds:datastoreItem xmlns:ds="http://schemas.openxmlformats.org/officeDocument/2006/customXml" ds:itemID="{AC203626-EEC5-451D-B6D3-0C3E0606664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2025-12-11T09:17:58Z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b07cb572-0833-4348-88b4-a0fa7ea20e4a</vt:lpwstr>
  </property>
  <property fmtid="{D5CDD505-2E9C-101B-9397-08002B2CF9AE}" pid="3" name="Classification">
    <vt:lpwstr>Unclassified</vt:lpwstr>
  </property>
  <property fmtid="{D5CDD505-2E9C-101B-9397-08002B2CF9AE}" pid="4" name="BAC">
    <vt:lpwstr>B!bac@C</vt:lpwstr>
  </property>
</Properties>
</file>