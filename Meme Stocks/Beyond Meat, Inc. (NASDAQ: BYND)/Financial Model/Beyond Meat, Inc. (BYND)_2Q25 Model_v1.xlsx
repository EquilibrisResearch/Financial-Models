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AppData\Roaming\Microsoft\Excel\Apple%20Inc%20(APPL)_LTM%203Q25%20Model_v1%20(1)312142813346839800\Models\"/>
    </mc:Choice>
  </mc:AlternateContent>
  <xr:revisionPtr revIDLastSave="0" documentId="8_{9FF34FBF-B080-4E38-A372-61940DA29D70}" xr6:coauthVersionLast="47" xr6:coauthVersionMax="47" xr10:uidLastSave="{00000000-0000-0000-0000-000000000000}"/>
  <bookViews>
    <workbookView xWindow="-120" yWindow="-120" windowWidth="29040" windowHeight="15720" xr2:uid="{BC9106CE-9107-4097-8948-317996376CB5}"/>
  </bookViews>
  <sheets>
    <sheet name="Historical Financials" sheetId="8" r:id="rId1"/>
    <sheet name="Revenue Drivers" sheetId="10" r:id="rId2"/>
    <sheet name="FCF" sheetId="9" r:id="rId3"/>
    <sheet name="3-Statement Model" sheetId="14" r:id="rId4"/>
    <sheet name="DCF" sheetId="12" r:id="rId5"/>
    <sheet name="Street Consensus" sheetId="19" r:id="rId6"/>
    <sheet name="WACC" sheetId="16" r:id="rId7"/>
    <sheet name="Shares" sheetId="17" r:id="rId8"/>
  </sheets>
  <externalReferences>
    <externalReference r:id="rId9"/>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8" i="14" l="1"/>
  <c r="C41" i="9"/>
  <c r="D41" i="9"/>
  <c r="E41" i="9"/>
  <c r="F41" i="9"/>
  <c r="G41" i="9"/>
  <c r="I41" i="9"/>
  <c r="J41" i="9"/>
  <c r="K41" i="9"/>
  <c r="L41" i="9"/>
  <c r="M41" i="9"/>
  <c r="N41" i="9"/>
  <c r="O41" i="9"/>
  <c r="P41" i="9"/>
  <c r="Q41" i="9"/>
  <c r="R41" i="9"/>
  <c r="S41" i="9"/>
  <c r="AG41" i="9" s="1"/>
  <c r="T41" i="9"/>
  <c r="U41" i="9"/>
  <c r="V41" i="9"/>
  <c r="AI41" i="9"/>
  <c r="AI68" i="9"/>
  <c r="AH68" i="9"/>
  <c r="AF68" i="9"/>
  <c r="AE68" i="9"/>
  <c r="AD68" i="9"/>
  <c r="AB68" i="9"/>
  <c r="AA68" i="9"/>
  <c r="Z68" i="9"/>
  <c r="X68" i="9"/>
  <c r="T68" i="9"/>
  <c r="AG68" i="9" s="1"/>
  <c r="P68" i="9"/>
  <c r="AC68" i="9" s="1"/>
  <c r="L68" i="9"/>
  <c r="Y68" i="9" s="1"/>
  <c r="AN72" i="8"/>
  <c r="AN73" i="8"/>
  <c r="AZ73" i="8" s="1"/>
  <c r="AI50" i="9"/>
  <c r="AH50" i="9"/>
  <c r="AF50" i="9"/>
  <c r="AE50" i="9"/>
  <c r="AD50" i="9"/>
  <c r="AB50" i="9"/>
  <c r="AA50" i="9"/>
  <c r="Z50" i="9"/>
  <c r="X50" i="9"/>
  <c r="T50" i="9"/>
  <c r="AG50" i="9" s="1"/>
  <c r="P50" i="9"/>
  <c r="AC50" i="9" s="1"/>
  <c r="L50" i="9"/>
  <c r="Y50" i="9" s="1"/>
  <c r="W69" i="9"/>
  <c r="U69" i="9"/>
  <c r="AH69" i="9" s="1"/>
  <c r="T69" i="9"/>
  <c r="AG69" i="9" s="1"/>
  <c r="S69" i="9"/>
  <c r="S70" i="9" s="1"/>
  <c r="R69" i="9"/>
  <c r="AE69" i="9" s="1"/>
  <c r="Q69" i="9"/>
  <c r="AD69" i="9" s="1"/>
  <c r="P69" i="9"/>
  <c r="AC69" i="9" s="1"/>
  <c r="O69" i="9"/>
  <c r="AB69" i="9" s="1"/>
  <c r="N69" i="9"/>
  <c r="AA69" i="9" s="1"/>
  <c r="M69" i="9"/>
  <c r="Z69" i="9" s="1"/>
  <c r="L69" i="9"/>
  <c r="Y69" i="9" s="1"/>
  <c r="K69" i="9"/>
  <c r="K70" i="9" s="1"/>
  <c r="J69" i="9"/>
  <c r="J70" i="9" s="1"/>
  <c r="I69" i="9"/>
  <c r="I70" i="9" s="1"/>
  <c r="G69" i="9"/>
  <c r="G70" i="9" s="1"/>
  <c r="F69" i="9"/>
  <c r="F70" i="9" s="1"/>
  <c r="E69" i="9"/>
  <c r="E70" i="9" s="1"/>
  <c r="D69" i="9"/>
  <c r="D70" i="9" s="1"/>
  <c r="C69" i="9"/>
  <c r="C70" i="9" s="1"/>
  <c r="AN64" i="8"/>
  <c r="AM64" i="8"/>
  <c r="AK64" i="8"/>
  <c r="AJ64" i="8"/>
  <c r="AI64" i="8"/>
  <c r="AZ66" i="8"/>
  <c r="AY66" i="8"/>
  <c r="AX66" i="8"/>
  <c r="AW66" i="8"/>
  <c r="AV66" i="8"/>
  <c r="AU66" i="8"/>
  <c r="AT66" i="8"/>
  <c r="AS66" i="8"/>
  <c r="AR66" i="8"/>
  <c r="AQ66" i="8"/>
  <c r="AP66" i="8"/>
  <c r="AG64" i="8"/>
  <c r="AF64" i="8"/>
  <c r="AR64" i="8" s="1"/>
  <c r="AE64" i="8"/>
  <c r="AQ64" i="8" s="1"/>
  <c r="W68" i="8"/>
  <c r="U64" i="8"/>
  <c r="T64" i="8"/>
  <c r="S64" i="8"/>
  <c r="S67" i="8"/>
  <c r="W64" i="8"/>
  <c r="AD66" i="8"/>
  <c r="Z66" i="8"/>
  <c r="V66" i="8"/>
  <c r="Q64" i="8"/>
  <c r="P64" i="8"/>
  <c r="Q67" i="8"/>
  <c r="P67" i="8"/>
  <c r="O64" i="8"/>
  <c r="C64" i="8"/>
  <c r="U64" i="9"/>
  <c r="AH64" i="9" s="1"/>
  <c r="T64" i="9"/>
  <c r="S64" i="9"/>
  <c r="AF64" i="9" s="1"/>
  <c r="R64" i="9"/>
  <c r="AE64" i="9" s="1"/>
  <c r="Q64" i="9"/>
  <c r="AD64" i="9" s="1"/>
  <c r="P64" i="9"/>
  <c r="O64" i="9"/>
  <c r="AB64" i="9" s="1"/>
  <c r="N64" i="9"/>
  <c r="M64" i="9"/>
  <c r="Z64" i="9" s="1"/>
  <c r="L64" i="9"/>
  <c r="K64" i="9"/>
  <c r="X64" i="9" s="1"/>
  <c r="J64" i="9"/>
  <c r="I64" i="9"/>
  <c r="G64" i="9"/>
  <c r="F64" i="9"/>
  <c r="E64" i="9"/>
  <c r="D64" i="9"/>
  <c r="C64" i="9"/>
  <c r="V63" i="9"/>
  <c r="AI63" i="9" s="1"/>
  <c r="U63" i="9"/>
  <c r="AH63" i="9" s="1"/>
  <c r="T63" i="9"/>
  <c r="S63" i="9"/>
  <c r="AF63" i="9" s="1"/>
  <c r="R63" i="9"/>
  <c r="AE63" i="9" s="1"/>
  <c r="Q63" i="9"/>
  <c r="AD63" i="9" s="1"/>
  <c r="P63" i="9"/>
  <c r="O63" i="9"/>
  <c r="AB63" i="9" s="1"/>
  <c r="N63" i="9"/>
  <c r="AA63" i="9" s="1"/>
  <c r="M63" i="9"/>
  <c r="Z63" i="9" s="1"/>
  <c r="L63" i="9"/>
  <c r="K63" i="9"/>
  <c r="X63" i="9" s="1"/>
  <c r="J63" i="9"/>
  <c r="I63" i="9"/>
  <c r="G63" i="9"/>
  <c r="F63" i="9"/>
  <c r="E63" i="9"/>
  <c r="D63" i="9"/>
  <c r="C63" i="9"/>
  <c r="D64" i="8"/>
  <c r="N64" i="8"/>
  <c r="R66" i="8"/>
  <c r="N66" i="8"/>
  <c r="AL66" i="8"/>
  <c r="AH66" i="8"/>
  <c r="I64" i="8"/>
  <c r="H64" i="8"/>
  <c r="E64" i="8"/>
  <c r="F64" i="8"/>
  <c r="G64" i="8"/>
  <c r="AI67" i="9"/>
  <c r="AH67" i="9"/>
  <c r="AF67" i="9"/>
  <c r="AE67" i="9"/>
  <c r="AD67" i="9"/>
  <c r="AB67" i="9"/>
  <c r="AA67" i="9"/>
  <c r="Z67" i="9"/>
  <c r="X67" i="9"/>
  <c r="T67" i="9"/>
  <c r="AG67" i="9" s="1"/>
  <c r="T66" i="9"/>
  <c r="P67" i="9"/>
  <c r="AC67" i="9" s="1"/>
  <c r="P66" i="9"/>
  <c r="AC66" i="9" s="1"/>
  <c r="L67" i="9"/>
  <c r="Y67" i="9" s="1"/>
  <c r="L66" i="9"/>
  <c r="C50" i="9"/>
  <c r="O72" i="9"/>
  <c r="AB72" i="9" s="1"/>
  <c r="T28" i="9"/>
  <c r="AI28" i="9" s="1"/>
  <c r="P28" i="9"/>
  <c r="AE28" i="9" s="1"/>
  <c r="L28" i="9"/>
  <c r="T27" i="9"/>
  <c r="AH27" i="9" s="1"/>
  <c r="T26" i="9"/>
  <c r="AH26" i="9" s="1"/>
  <c r="P27" i="9"/>
  <c r="AF27" i="9" s="1"/>
  <c r="P26" i="9"/>
  <c r="AF26" i="9" s="1"/>
  <c r="L27" i="9"/>
  <c r="L26" i="9"/>
  <c r="AA64" i="9"/>
  <c r="U25" i="9"/>
  <c r="Q25" i="9"/>
  <c r="M25" i="9"/>
  <c r="J25" i="9"/>
  <c r="I25" i="9"/>
  <c r="G25" i="9"/>
  <c r="F25" i="9"/>
  <c r="E25" i="9"/>
  <c r="D25" i="9"/>
  <c r="C25" i="9"/>
  <c r="AN101" i="8"/>
  <c r="V25" i="9" s="1"/>
  <c r="AJ101" i="8"/>
  <c r="R25" i="9" s="1"/>
  <c r="AF101" i="8"/>
  <c r="AG101" i="8" s="1"/>
  <c r="O25" i="9" s="1"/>
  <c r="AC101" i="8"/>
  <c r="K25" i="9" s="1"/>
  <c r="AB101" i="8"/>
  <c r="X101" i="8"/>
  <c r="Y101" i="8" s="1"/>
  <c r="T101" i="8"/>
  <c r="U101" i="8" s="1"/>
  <c r="V101" i="8" s="1"/>
  <c r="P101" i="8"/>
  <c r="Q101" i="8" s="1"/>
  <c r="R101" i="8" s="1"/>
  <c r="M101" i="8"/>
  <c r="N101" i="8" s="1"/>
  <c r="L101" i="8"/>
  <c r="U40" i="9"/>
  <c r="Q40" i="9"/>
  <c r="M40" i="9"/>
  <c r="I40" i="9"/>
  <c r="G40" i="9"/>
  <c r="F40" i="9"/>
  <c r="E40" i="9"/>
  <c r="D40" i="9"/>
  <c r="C40" i="9"/>
  <c r="U39" i="9"/>
  <c r="S39" i="9"/>
  <c r="R39" i="9"/>
  <c r="Q39" i="9"/>
  <c r="O39" i="9"/>
  <c r="N39" i="9"/>
  <c r="M39" i="9"/>
  <c r="K39" i="9"/>
  <c r="J39" i="9"/>
  <c r="I39" i="9"/>
  <c r="G39" i="9"/>
  <c r="F39" i="9"/>
  <c r="E39" i="9"/>
  <c r="D39" i="9"/>
  <c r="U38" i="9"/>
  <c r="V49" i="9"/>
  <c r="AI49" i="9" s="1"/>
  <c r="U49" i="9"/>
  <c r="AH49" i="9" s="1"/>
  <c r="S49" i="9"/>
  <c r="AF49" i="9" s="1"/>
  <c r="R49" i="9"/>
  <c r="AE49" i="9" s="1"/>
  <c r="Q49" i="9"/>
  <c r="AD49" i="9" s="1"/>
  <c r="O49" i="9"/>
  <c r="AB49" i="9" s="1"/>
  <c r="N49" i="9"/>
  <c r="AA49" i="9" s="1"/>
  <c r="M49" i="9"/>
  <c r="Z49" i="9" s="1"/>
  <c r="K49" i="9"/>
  <c r="X49" i="9" s="1"/>
  <c r="J49" i="9"/>
  <c r="I49" i="9"/>
  <c r="G49" i="9"/>
  <c r="F49" i="9"/>
  <c r="E49" i="9"/>
  <c r="D49" i="9"/>
  <c r="C49" i="9"/>
  <c r="I153" i="8"/>
  <c r="H153" i="8"/>
  <c r="I150" i="8" s="1"/>
  <c r="G153" i="8"/>
  <c r="H150" i="8" s="1"/>
  <c r="AJ150" i="8"/>
  <c r="AU137" i="8"/>
  <c r="AZ136" i="8"/>
  <c r="AY136" i="8"/>
  <c r="AX136" i="8"/>
  <c r="AW136" i="8"/>
  <c r="AV136" i="8"/>
  <c r="AU136" i="8"/>
  <c r="AT136" i="8"/>
  <c r="AS136" i="8"/>
  <c r="AR136" i="8"/>
  <c r="AQ136" i="8"/>
  <c r="AP136" i="8"/>
  <c r="AD103" i="8"/>
  <c r="Z103" i="8"/>
  <c r="V103" i="8"/>
  <c r="R103" i="8"/>
  <c r="N103" i="8"/>
  <c r="T145" i="8"/>
  <c r="P145" i="8"/>
  <c r="R145" i="8" s="1"/>
  <c r="M145" i="8"/>
  <c r="E145" i="8"/>
  <c r="C39" i="9" s="1"/>
  <c r="C145" i="8"/>
  <c r="AN145" i="8"/>
  <c r="AL145" i="8"/>
  <c r="AZ145" i="8" s="1"/>
  <c r="AH145" i="8"/>
  <c r="AT145" i="8" s="1"/>
  <c r="AD145" i="8"/>
  <c r="AR145" i="8" s="1"/>
  <c r="X145" i="8"/>
  <c r="Y145" i="8" s="1"/>
  <c r="Z145" i="8" s="1"/>
  <c r="AD144" i="8"/>
  <c r="AP144" i="8" s="1"/>
  <c r="AH144" i="8"/>
  <c r="AW144" i="8" s="1"/>
  <c r="AL144" i="8"/>
  <c r="AX144" i="8" s="1"/>
  <c r="Z144" i="8"/>
  <c r="R144" i="8"/>
  <c r="T144" i="8"/>
  <c r="U144" i="8" s="1"/>
  <c r="V144" i="8" s="1"/>
  <c r="L144" i="8"/>
  <c r="M144" i="8" s="1"/>
  <c r="C144" i="8"/>
  <c r="L143" i="8"/>
  <c r="M143" i="8" s="1"/>
  <c r="T143" i="8"/>
  <c r="U143" i="8" s="1"/>
  <c r="V143" i="8" s="1"/>
  <c r="C143" i="8"/>
  <c r="R143" i="8"/>
  <c r="AL143" i="8"/>
  <c r="AZ143" i="8" s="1"/>
  <c r="AH143" i="8"/>
  <c r="AD143" i="8"/>
  <c r="AR143" i="8" s="1"/>
  <c r="Z143" i="8"/>
  <c r="AN143" i="8"/>
  <c r="L139" i="8"/>
  <c r="M139" i="8" s="1"/>
  <c r="C139" i="8"/>
  <c r="AN142" i="8"/>
  <c r="V40" i="9" s="1"/>
  <c r="AJ142" i="8"/>
  <c r="R40" i="9" s="1"/>
  <c r="AF142" i="8"/>
  <c r="AG142" i="8" s="1"/>
  <c r="O40" i="9" s="1"/>
  <c r="AB142" i="8"/>
  <c r="J40" i="9" s="1"/>
  <c r="X142" i="8"/>
  <c r="S142" i="8"/>
  <c r="P142" i="8"/>
  <c r="L142" i="8"/>
  <c r="M142" i="8" s="1"/>
  <c r="N142" i="8" s="1"/>
  <c r="T141" i="8"/>
  <c r="U141" i="8" s="1"/>
  <c r="AL141" i="8"/>
  <c r="AX141" i="8" s="1"/>
  <c r="AH141" i="8"/>
  <c r="AV141" i="8" s="1"/>
  <c r="AD141" i="8"/>
  <c r="AP141" i="8" s="1"/>
  <c r="X141" i="8"/>
  <c r="R141" i="8"/>
  <c r="L141" i="8"/>
  <c r="M141" i="8" s="1"/>
  <c r="E141" i="8"/>
  <c r="C141" i="8"/>
  <c r="W140" i="8"/>
  <c r="X140" i="8" s="1"/>
  <c r="Y140" i="8" s="1"/>
  <c r="F140" i="8"/>
  <c r="AL140" i="8"/>
  <c r="AY140" i="8" s="1"/>
  <c r="AH140" i="8"/>
  <c r="AT140" i="8" s="1"/>
  <c r="AD140" i="8"/>
  <c r="AS140" i="8" s="1"/>
  <c r="N140" i="8"/>
  <c r="R140" i="8"/>
  <c r="V140" i="8"/>
  <c r="AM146" i="8"/>
  <c r="O146" i="8"/>
  <c r="K146" i="8"/>
  <c r="AN139" i="8"/>
  <c r="V38" i="9" s="1"/>
  <c r="AI139" i="8"/>
  <c r="AJ139" i="8" s="1"/>
  <c r="AK139" i="8" s="1"/>
  <c r="S38" i="9" s="1"/>
  <c r="AE139" i="8"/>
  <c r="AE146" i="8" s="1"/>
  <c r="AA139" i="8"/>
  <c r="AB139" i="8" s="1"/>
  <c r="AC139" i="8" s="1"/>
  <c r="K38" i="9" s="1"/>
  <c r="W139" i="8"/>
  <c r="X139" i="8" s="1"/>
  <c r="Y139" i="8" s="1"/>
  <c r="S139" i="8"/>
  <c r="T139" i="8" s="1"/>
  <c r="U139" i="8" s="1"/>
  <c r="Z138" i="8"/>
  <c r="AD138" i="8"/>
  <c r="AQ138" i="8" s="1"/>
  <c r="AH138" i="8"/>
  <c r="AW138" i="8" s="1"/>
  <c r="AL138" i="8"/>
  <c r="V138" i="8"/>
  <c r="R138" i="8"/>
  <c r="P139" i="8"/>
  <c r="Q139" i="8" s="1"/>
  <c r="AL137" i="8"/>
  <c r="AZ137" i="8" s="1"/>
  <c r="AH137" i="8"/>
  <c r="AT137" i="8" s="1"/>
  <c r="AD137" i="8"/>
  <c r="AR137" i="8" s="1"/>
  <c r="Z137" i="8"/>
  <c r="V137" i="8"/>
  <c r="P137" i="8"/>
  <c r="Q137" i="8" s="1"/>
  <c r="M138" i="8"/>
  <c r="N137" i="8"/>
  <c r="I139" i="8"/>
  <c r="I146" i="8" s="1"/>
  <c r="H139" i="8"/>
  <c r="H146" i="8" s="1"/>
  <c r="G139" i="8"/>
  <c r="G146" i="8" s="1"/>
  <c r="F139" i="8"/>
  <c r="D38" i="9" s="1"/>
  <c r="E139" i="8"/>
  <c r="C38" i="9" s="1"/>
  <c r="C138" i="8"/>
  <c r="D137" i="8"/>
  <c r="D146" i="8" s="1"/>
  <c r="AN50" i="8"/>
  <c r="AZ50" i="8" s="1"/>
  <c r="AM50" i="8"/>
  <c r="AY50" i="8" s="1"/>
  <c r="AK50" i="8"/>
  <c r="AW50" i="8" s="1"/>
  <c r="AJ50" i="8"/>
  <c r="AV50" i="8" s="1"/>
  <c r="AI50" i="8"/>
  <c r="AU50" i="8" s="1"/>
  <c r="AG50" i="8"/>
  <c r="AG51" i="8" s="1"/>
  <c r="AG60" i="8" s="1"/>
  <c r="AF50" i="8"/>
  <c r="AR50" i="8" s="1"/>
  <c r="AE50" i="8"/>
  <c r="AQ50" i="8" s="1"/>
  <c r="I50" i="8"/>
  <c r="AL50" i="8" s="1"/>
  <c r="AX50" i="8" s="1"/>
  <c r="H50" i="8"/>
  <c r="AH50" i="8" s="1"/>
  <c r="AT50" i="8" s="1"/>
  <c r="G50" i="8"/>
  <c r="AD50" i="8" s="1"/>
  <c r="AP50" i="8" s="1"/>
  <c r="AZ58" i="8"/>
  <c r="AY58" i="8"/>
  <c r="AW58" i="8"/>
  <c r="AV58" i="8"/>
  <c r="AU58" i="8"/>
  <c r="AS58" i="8"/>
  <c r="AR58" i="8"/>
  <c r="AQ58" i="8"/>
  <c r="AL58" i="8"/>
  <c r="AX58" i="8" s="1"/>
  <c r="AH58" i="8"/>
  <c r="AT58" i="8" s="1"/>
  <c r="AD58" i="8"/>
  <c r="AP58" i="8" s="1"/>
  <c r="Z58" i="8"/>
  <c r="V58" i="8"/>
  <c r="N58" i="8"/>
  <c r="AZ54" i="8"/>
  <c r="AY54" i="8"/>
  <c r="AW54" i="8"/>
  <c r="AV54" i="8"/>
  <c r="AU54" i="8"/>
  <c r="AS54" i="8"/>
  <c r="AR54" i="8"/>
  <c r="AQ54" i="8"/>
  <c r="AL54" i="8"/>
  <c r="AX54" i="8" s="1"/>
  <c r="AH54" i="8"/>
  <c r="AT54" i="8" s="1"/>
  <c r="AD54" i="8"/>
  <c r="AP54" i="8" s="1"/>
  <c r="Z54" i="8"/>
  <c r="V54" i="8"/>
  <c r="N54" i="8"/>
  <c r="AZ67" i="8"/>
  <c r="AY67" i="8"/>
  <c r="AW67" i="8"/>
  <c r="AV67" i="8"/>
  <c r="AU67" i="8"/>
  <c r="AS67" i="8"/>
  <c r="AR67" i="8"/>
  <c r="AQ67" i="8"/>
  <c r="AZ72" i="8"/>
  <c r="AY72" i="8"/>
  <c r="AW72" i="8"/>
  <c r="AV72" i="8"/>
  <c r="AU72" i="8"/>
  <c r="AS72" i="8"/>
  <c r="AR72" i="8"/>
  <c r="AQ72" i="8"/>
  <c r="AZ71" i="8"/>
  <c r="AY71" i="8"/>
  <c r="AW71" i="8"/>
  <c r="AV71" i="8"/>
  <c r="AU71" i="8"/>
  <c r="AS71" i="8"/>
  <c r="AR71" i="8"/>
  <c r="AQ71" i="8"/>
  <c r="AL71" i="8"/>
  <c r="AX71" i="8" s="1"/>
  <c r="AH71" i="8"/>
  <c r="AT71" i="8" s="1"/>
  <c r="AD71" i="8"/>
  <c r="AP71" i="8" s="1"/>
  <c r="Z71" i="8"/>
  <c r="V71" i="8"/>
  <c r="R71" i="8"/>
  <c r="N71" i="8"/>
  <c r="AH72" i="8"/>
  <c r="AT72" i="8" s="1"/>
  <c r="AL72" i="8"/>
  <c r="AX72" i="8" s="1"/>
  <c r="AD72" i="8"/>
  <c r="AP72" i="8" s="1"/>
  <c r="Z72" i="8"/>
  <c r="V72" i="8"/>
  <c r="S72" i="8"/>
  <c r="Q72" i="8"/>
  <c r="P72" i="8"/>
  <c r="O72" i="8"/>
  <c r="D72" i="8"/>
  <c r="R72" i="8" s="1"/>
  <c r="C72" i="8"/>
  <c r="N72" i="8" s="1"/>
  <c r="AZ65" i="8"/>
  <c r="AY65" i="8"/>
  <c r="AW65" i="8"/>
  <c r="AV65" i="8"/>
  <c r="AU65" i="8"/>
  <c r="AS65" i="8"/>
  <c r="AR65" i="8"/>
  <c r="AQ65" i="8"/>
  <c r="AL65" i="8"/>
  <c r="AX65" i="8" s="1"/>
  <c r="AH65" i="8"/>
  <c r="AT65" i="8" s="1"/>
  <c r="AD65" i="8"/>
  <c r="AP65" i="8" s="1"/>
  <c r="Z65" i="8"/>
  <c r="V65" i="8"/>
  <c r="R65" i="8"/>
  <c r="N65" i="8"/>
  <c r="AZ64" i="8"/>
  <c r="AS64" i="8"/>
  <c r="AY64" i="8"/>
  <c r="AW64" i="8"/>
  <c r="AV64" i="8"/>
  <c r="AU64" i="8"/>
  <c r="AD64" i="8"/>
  <c r="AP64" i="8" s="1"/>
  <c r="AC64" i="8"/>
  <c r="AC68" i="8" s="1"/>
  <c r="AC75" i="8" s="1"/>
  <c r="AB64" i="8"/>
  <c r="AA64" i="8"/>
  <c r="AA68" i="8" s="1"/>
  <c r="AA75" i="8" s="1"/>
  <c r="Y64" i="8"/>
  <c r="Y68" i="8" s="1"/>
  <c r="Y75" i="8" s="1"/>
  <c r="X64" i="8"/>
  <c r="U68" i="8"/>
  <c r="U75" i="8" s="1"/>
  <c r="AL64" i="8"/>
  <c r="AX64" i="8" s="1"/>
  <c r="AH64" i="8"/>
  <c r="AT64" i="8" s="1"/>
  <c r="Z64" i="8"/>
  <c r="V64" i="8"/>
  <c r="R64" i="8"/>
  <c r="AL67" i="8"/>
  <c r="AX67" i="8" s="1"/>
  <c r="AH67" i="8"/>
  <c r="AT67" i="8" s="1"/>
  <c r="AD67" i="8"/>
  <c r="AP67" i="8" s="1"/>
  <c r="Z67" i="8"/>
  <c r="N67" i="8"/>
  <c r="E67" i="8"/>
  <c r="V67" i="8" s="1"/>
  <c r="D67" i="8"/>
  <c r="R67" i="8" s="1"/>
  <c r="U35" i="9"/>
  <c r="Q35" i="9"/>
  <c r="M35" i="9"/>
  <c r="I35" i="9"/>
  <c r="G35" i="9"/>
  <c r="F35" i="9"/>
  <c r="E35" i="9"/>
  <c r="D35" i="9"/>
  <c r="C35" i="9"/>
  <c r="V34" i="9"/>
  <c r="U34" i="9"/>
  <c r="S34" i="9"/>
  <c r="R34" i="9"/>
  <c r="Q34" i="9"/>
  <c r="O34" i="9"/>
  <c r="N34" i="9"/>
  <c r="M34" i="9"/>
  <c r="U33" i="9"/>
  <c r="Q33" i="9"/>
  <c r="N33" i="9"/>
  <c r="M33" i="9"/>
  <c r="I34" i="9"/>
  <c r="I33" i="9"/>
  <c r="G34" i="9"/>
  <c r="F34" i="9"/>
  <c r="E34" i="9"/>
  <c r="D34" i="9"/>
  <c r="G33" i="9"/>
  <c r="F33" i="9"/>
  <c r="E33" i="9"/>
  <c r="D33" i="9"/>
  <c r="C34" i="9"/>
  <c r="C33" i="9"/>
  <c r="U32" i="9"/>
  <c r="Q32" i="9"/>
  <c r="M32" i="9"/>
  <c r="I32" i="9"/>
  <c r="G32" i="9"/>
  <c r="F32" i="9"/>
  <c r="E32" i="9"/>
  <c r="D32" i="9"/>
  <c r="C32" i="9"/>
  <c r="V58" i="9"/>
  <c r="AI58" i="9" s="1"/>
  <c r="U58" i="9"/>
  <c r="AH58" i="9" s="1"/>
  <c r="S58" i="9"/>
  <c r="AF58" i="9" s="1"/>
  <c r="R58" i="9"/>
  <c r="AE58" i="9" s="1"/>
  <c r="Q58" i="9"/>
  <c r="AD58" i="9" s="1"/>
  <c r="O58" i="9"/>
  <c r="AB58" i="9" s="1"/>
  <c r="N58" i="9"/>
  <c r="AA58" i="9" s="1"/>
  <c r="M58" i="9"/>
  <c r="Z58" i="9" s="1"/>
  <c r="K58" i="9"/>
  <c r="X58" i="9" s="1"/>
  <c r="J58" i="9"/>
  <c r="I58" i="9"/>
  <c r="G58" i="9"/>
  <c r="F58" i="9"/>
  <c r="E58" i="9"/>
  <c r="D58" i="9"/>
  <c r="C58" i="9"/>
  <c r="V57" i="9"/>
  <c r="AI57" i="9" s="1"/>
  <c r="U57" i="9"/>
  <c r="AH57" i="9" s="1"/>
  <c r="S57" i="9"/>
  <c r="AF57" i="9" s="1"/>
  <c r="R57" i="9"/>
  <c r="AE57" i="9" s="1"/>
  <c r="Q57" i="9"/>
  <c r="AD57" i="9" s="1"/>
  <c r="O57" i="9"/>
  <c r="AB57" i="9" s="1"/>
  <c r="N57" i="9"/>
  <c r="AA57" i="9" s="1"/>
  <c r="M57" i="9"/>
  <c r="Z57" i="9" s="1"/>
  <c r="K57" i="9"/>
  <c r="X57" i="9" s="1"/>
  <c r="J57" i="9"/>
  <c r="I57" i="9"/>
  <c r="G57" i="9"/>
  <c r="F57" i="9"/>
  <c r="E57" i="9"/>
  <c r="D57" i="9"/>
  <c r="C57" i="9"/>
  <c r="V56" i="9"/>
  <c r="AI56" i="9" s="1"/>
  <c r="U56" i="9"/>
  <c r="AH56" i="9" s="1"/>
  <c r="S56" i="9"/>
  <c r="AF56" i="9" s="1"/>
  <c r="R56" i="9"/>
  <c r="AE56" i="9" s="1"/>
  <c r="Q56" i="9"/>
  <c r="AD56" i="9" s="1"/>
  <c r="O56" i="9"/>
  <c r="AB56" i="9" s="1"/>
  <c r="N56" i="9"/>
  <c r="AA56" i="9" s="1"/>
  <c r="M56" i="9"/>
  <c r="Z56" i="9" s="1"/>
  <c r="K56" i="9"/>
  <c r="X56" i="9" s="1"/>
  <c r="J56" i="9"/>
  <c r="I56" i="9"/>
  <c r="G56" i="9"/>
  <c r="F56" i="9"/>
  <c r="E56" i="9"/>
  <c r="D56" i="9"/>
  <c r="C56" i="9"/>
  <c r="V55" i="9"/>
  <c r="AI55" i="9" s="1"/>
  <c r="U55" i="9"/>
  <c r="AH55" i="9" s="1"/>
  <c r="S55" i="9"/>
  <c r="AF55" i="9" s="1"/>
  <c r="R55" i="9"/>
  <c r="AE55" i="9" s="1"/>
  <c r="Q55" i="9"/>
  <c r="AD55" i="9" s="1"/>
  <c r="O55" i="9"/>
  <c r="AB55" i="9" s="1"/>
  <c r="N55" i="9"/>
  <c r="AA55" i="9" s="1"/>
  <c r="M55" i="9"/>
  <c r="Z55" i="9" s="1"/>
  <c r="K55" i="9"/>
  <c r="X55" i="9" s="1"/>
  <c r="J55" i="9"/>
  <c r="I55" i="9"/>
  <c r="G55" i="9"/>
  <c r="F55" i="9"/>
  <c r="E55" i="9"/>
  <c r="D55" i="9"/>
  <c r="C55" i="9"/>
  <c r="V48" i="9"/>
  <c r="AI48" i="9" s="1"/>
  <c r="U48" i="9"/>
  <c r="AH48" i="9" s="1"/>
  <c r="S48" i="9"/>
  <c r="AF48" i="9" s="1"/>
  <c r="R48" i="9"/>
  <c r="AE48" i="9" s="1"/>
  <c r="Q48" i="9"/>
  <c r="AD48" i="9" s="1"/>
  <c r="O48" i="9"/>
  <c r="AB48" i="9" s="1"/>
  <c r="N48" i="9"/>
  <c r="AA48" i="9" s="1"/>
  <c r="M48" i="9"/>
  <c r="Z48" i="9" s="1"/>
  <c r="K48" i="9"/>
  <c r="X48" i="9" s="1"/>
  <c r="J48" i="9"/>
  <c r="I48" i="9"/>
  <c r="G48" i="9"/>
  <c r="F48" i="9"/>
  <c r="E48" i="9"/>
  <c r="D48" i="9"/>
  <c r="C48" i="9"/>
  <c r="V47" i="9"/>
  <c r="AI47" i="9" s="1"/>
  <c r="U47" i="9"/>
  <c r="AH47" i="9" s="1"/>
  <c r="S47" i="9"/>
  <c r="AF47" i="9" s="1"/>
  <c r="R47" i="9"/>
  <c r="AE47" i="9" s="1"/>
  <c r="Q47" i="9"/>
  <c r="AD47" i="9" s="1"/>
  <c r="O47" i="9"/>
  <c r="AB47" i="9" s="1"/>
  <c r="N47" i="9"/>
  <c r="AA47" i="9" s="1"/>
  <c r="M47" i="9"/>
  <c r="Z47" i="9" s="1"/>
  <c r="K47" i="9"/>
  <c r="X47" i="9" s="1"/>
  <c r="J47" i="9"/>
  <c r="I47" i="9"/>
  <c r="G47" i="9"/>
  <c r="F47" i="9"/>
  <c r="E47" i="9"/>
  <c r="D47" i="9"/>
  <c r="C47" i="9"/>
  <c r="U21" i="9"/>
  <c r="Q21" i="9"/>
  <c r="M21" i="9"/>
  <c r="I21" i="9"/>
  <c r="G21" i="9"/>
  <c r="F21" i="9"/>
  <c r="E21" i="9"/>
  <c r="D21" i="9"/>
  <c r="C21" i="9"/>
  <c r="V17" i="9"/>
  <c r="V16" i="9"/>
  <c r="U17" i="9"/>
  <c r="S17" i="9"/>
  <c r="R17" i="9"/>
  <c r="Q17" i="9"/>
  <c r="O17" i="9"/>
  <c r="N17" i="9"/>
  <c r="M17" i="9"/>
  <c r="K17" i="9"/>
  <c r="J17" i="9"/>
  <c r="U16" i="9"/>
  <c r="S16" i="9"/>
  <c r="R16" i="9"/>
  <c r="Q16" i="9"/>
  <c r="O16" i="9"/>
  <c r="N16" i="9"/>
  <c r="M16" i="9"/>
  <c r="K16" i="9"/>
  <c r="J16" i="9"/>
  <c r="I17" i="9"/>
  <c r="I16" i="9"/>
  <c r="G17" i="9"/>
  <c r="F17" i="9"/>
  <c r="E17" i="9"/>
  <c r="D17" i="9"/>
  <c r="G16" i="9"/>
  <c r="F16" i="9"/>
  <c r="E16" i="9"/>
  <c r="D16" i="9"/>
  <c r="C17" i="9"/>
  <c r="C16" i="9"/>
  <c r="V12" i="9"/>
  <c r="U12" i="9"/>
  <c r="S12" i="9"/>
  <c r="R12" i="9"/>
  <c r="Q12" i="9"/>
  <c r="O12" i="9"/>
  <c r="N12" i="9"/>
  <c r="M12" i="9"/>
  <c r="K12" i="9"/>
  <c r="J12" i="9"/>
  <c r="I12" i="9"/>
  <c r="G12" i="9"/>
  <c r="F12" i="9"/>
  <c r="E12" i="9"/>
  <c r="D12" i="9"/>
  <c r="C12" i="9"/>
  <c r="AH66" i="9"/>
  <c r="AF66" i="9"/>
  <c r="AE66" i="9"/>
  <c r="AD66" i="9"/>
  <c r="AB66" i="9"/>
  <c r="AA66" i="9"/>
  <c r="Z66" i="9"/>
  <c r="Y66" i="9"/>
  <c r="X66" i="9"/>
  <c r="AI66" i="9"/>
  <c r="V7" i="9"/>
  <c r="U7" i="9"/>
  <c r="T7" i="9"/>
  <c r="S7" i="9"/>
  <c r="R7" i="9"/>
  <c r="Q7" i="9"/>
  <c r="P7" i="9"/>
  <c r="O7" i="9"/>
  <c r="N7" i="9"/>
  <c r="M7" i="9"/>
  <c r="L7" i="9"/>
  <c r="K7" i="9"/>
  <c r="J7" i="9"/>
  <c r="V6" i="9"/>
  <c r="U6" i="9"/>
  <c r="T6" i="9"/>
  <c r="S6" i="9"/>
  <c r="R6" i="9"/>
  <c r="Q6" i="9"/>
  <c r="P6" i="9"/>
  <c r="O6" i="9"/>
  <c r="N6" i="9"/>
  <c r="M6" i="9"/>
  <c r="L6" i="9"/>
  <c r="K6" i="9"/>
  <c r="J6" i="9"/>
  <c r="I7" i="9"/>
  <c r="I6" i="9"/>
  <c r="V4" i="9"/>
  <c r="AI4" i="9" s="1"/>
  <c r="U4" i="9"/>
  <c r="AH4" i="9" s="1"/>
  <c r="T4" i="9"/>
  <c r="AG4" i="9" s="1"/>
  <c r="S4" i="9"/>
  <c r="AF4" i="9" s="1"/>
  <c r="R4" i="9"/>
  <c r="AE4" i="9" s="1"/>
  <c r="Q4" i="9"/>
  <c r="AD4" i="9" s="1"/>
  <c r="P4" i="9"/>
  <c r="AC4" i="9" s="1"/>
  <c r="O4" i="9"/>
  <c r="AB4" i="9" s="1"/>
  <c r="N4" i="9"/>
  <c r="AA4" i="9" s="1"/>
  <c r="M4" i="9"/>
  <c r="Z4" i="9" s="1"/>
  <c r="L4" i="9"/>
  <c r="Y4" i="9" s="1"/>
  <c r="K4" i="9"/>
  <c r="X4" i="9" s="1"/>
  <c r="J4" i="9"/>
  <c r="V3" i="9"/>
  <c r="AI3" i="9" s="1"/>
  <c r="U3" i="9"/>
  <c r="AH3" i="9" s="1"/>
  <c r="T3" i="9"/>
  <c r="AG3" i="9" s="1"/>
  <c r="S3" i="9"/>
  <c r="AF3" i="9" s="1"/>
  <c r="R3" i="9"/>
  <c r="AE3" i="9" s="1"/>
  <c r="Q3" i="9"/>
  <c r="AD3" i="9" s="1"/>
  <c r="P3" i="9"/>
  <c r="AC3" i="9" s="1"/>
  <c r="O3" i="9"/>
  <c r="AB3" i="9" s="1"/>
  <c r="N3" i="9"/>
  <c r="AA3" i="9" s="1"/>
  <c r="M3" i="9"/>
  <c r="Z3" i="9" s="1"/>
  <c r="L3" i="9"/>
  <c r="Y3" i="9" s="1"/>
  <c r="K3" i="9"/>
  <c r="X3" i="9" s="1"/>
  <c r="J3" i="9"/>
  <c r="I4" i="9"/>
  <c r="I3" i="9"/>
  <c r="G7" i="9"/>
  <c r="F7" i="9"/>
  <c r="E7" i="9"/>
  <c r="D7" i="9"/>
  <c r="G6" i="9"/>
  <c r="F6" i="9"/>
  <c r="E6" i="9"/>
  <c r="D6" i="9"/>
  <c r="C7" i="9"/>
  <c r="C6" i="9"/>
  <c r="G4" i="9"/>
  <c r="F4" i="9"/>
  <c r="E4" i="9"/>
  <c r="D4" i="9"/>
  <c r="G3" i="9"/>
  <c r="F3" i="9"/>
  <c r="E3" i="9"/>
  <c r="D3" i="9"/>
  <c r="C4" i="9"/>
  <c r="C3" i="9"/>
  <c r="N14" i="10"/>
  <c r="AA14" i="10" s="1"/>
  <c r="N13" i="10"/>
  <c r="AB13" i="10" s="1"/>
  <c r="N19" i="10"/>
  <c r="AA19" i="10" s="1"/>
  <c r="N18" i="10"/>
  <c r="R19" i="10"/>
  <c r="AD19" i="10" s="1"/>
  <c r="R18" i="10"/>
  <c r="AD18" i="10" s="1"/>
  <c r="R14" i="10"/>
  <c r="AE14" i="10" s="1"/>
  <c r="R13" i="10"/>
  <c r="V14" i="10"/>
  <c r="AI14" i="10" s="1"/>
  <c r="V13" i="10"/>
  <c r="V15" i="10" s="1"/>
  <c r="V19" i="10"/>
  <c r="AJ19" i="10" s="1"/>
  <c r="V18" i="10"/>
  <c r="AG18" i="10" s="1"/>
  <c r="I8" i="10"/>
  <c r="H8" i="10"/>
  <c r="G8" i="10"/>
  <c r="D19" i="14" s="1"/>
  <c r="F8" i="10"/>
  <c r="C19" i="14" s="1"/>
  <c r="E8" i="10"/>
  <c r="D8" i="10"/>
  <c r="I7" i="10"/>
  <c r="H7" i="10"/>
  <c r="G7" i="10"/>
  <c r="F7" i="10"/>
  <c r="E7" i="10"/>
  <c r="D7" i="10"/>
  <c r="C8" i="10"/>
  <c r="C9" i="10" s="1"/>
  <c r="C7" i="10"/>
  <c r="W8" i="10"/>
  <c r="U8" i="10"/>
  <c r="T8" i="10"/>
  <c r="S8" i="10"/>
  <c r="Q8" i="10"/>
  <c r="P8" i="10"/>
  <c r="O8" i="10"/>
  <c r="M8" i="10"/>
  <c r="L8" i="10"/>
  <c r="K8" i="10"/>
  <c r="W7" i="10"/>
  <c r="U7" i="10"/>
  <c r="T7" i="10"/>
  <c r="S7" i="10"/>
  <c r="Q7" i="10"/>
  <c r="P7" i="10"/>
  <c r="O7" i="10"/>
  <c r="M7" i="10"/>
  <c r="L7" i="10"/>
  <c r="K7" i="10"/>
  <c r="X8" i="10"/>
  <c r="X7" i="10"/>
  <c r="X20" i="10"/>
  <c r="W20" i="10"/>
  <c r="U20" i="10"/>
  <c r="T20" i="10"/>
  <c r="S20" i="10"/>
  <c r="Q20" i="10"/>
  <c r="P20" i="10"/>
  <c r="O20" i="10"/>
  <c r="M20" i="10"/>
  <c r="L20" i="10"/>
  <c r="K20" i="10"/>
  <c r="I20" i="10"/>
  <c r="H20" i="10"/>
  <c r="G20" i="10"/>
  <c r="F20" i="10"/>
  <c r="E20" i="10"/>
  <c r="D20" i="10"/>
  <c r="C20" i="10"/>
  <c r="AH19" i="10"/>
  <c r="AG19" i="10"/>
  <c r="AB19" i="10"/>
  <c r="AF18" i="10"/>
  <c r="AE18" i="10"/>
  <c r="X15" i="10"/>
  <c r="W15" i="10"/>
  <c r="U15" i="10"/>
  <c r="T15" i="10"/>
  <c r="S15" i="10"/>
  <c r="Q15" i="10"/>
  <c r="P15" i="10"/>
  <c r="O15" i="10"/>
  <c r="M15" i="10"/>
  <c r="L15" i="10"/>
  <c r="K15" i="10"/>
  <c r="I15" i="10"/>
  <c r="H15" i="10"/>
  <c r="G15" i="10"/>
  <c r="F15" i="10"/>
  <c r="E15" i="10"/>
  <c r="D15" i="10"/>
  <c r="C15" i="10"/>
  <c r="AJ14" i="10"/>
  <c r="AF14" i="10"/>
  <c r="AB14" i="10"/>
  <c r="AE13" i="10"/>
  <c r="AD13" i="10"/>
  <c r="AC13" i="10"/>
  <c r="B2" i="14"/>
  <c r="AP150" i="8"/>
  <c r="AN126" i="8"/>
  <c r="AN125" i="8"/>
  <c r="V32" i="9" s="1"/>
  <c r="AN102" i="8"/>
  <c r="AN100" i="8"/>
  <c r="V21" i="9" s="1"/>
  <c r="AN104" i="8"/>
  <c r="AN105" i="8"/>
  <c r="AN107" i="8"/>
  <c r="AN109" i="8"/>
  <c r="AN120" i="8"/>
  <c r="AN119" i="8"/>
  <c r="AN118" i="8"/>
  <c r="AN117" i="8"/>
  <c r="AN116" i="8"/>
  <c r="AN115" i="8"/>
  <c r="AN114" i="8"/>
  <c r="AN160" i="8"/>
  <c r="V33" i="9" s="1"/>
  <c r="AN150" i="8"/>
  <c r="AS129" i="8"/>
  <c r="AR129" i="8"/>
  <c r="AQ129" i="8"/>
  <c r="AP129" i="8"/>
  <c r="AM134" i="8"/>
  <c r="AL150" i="8"/>
  <c r="AK150" i="8"/>
  <c r="AJ160" i="8"/>
  <c r="AK160" i="8" s="1"/>
  <c r="AL160" i="8" s="1"/>
  <c r="T33" i="9" s="1"/>
  <c r="AK103" i="8"/>
  <c r="AL103" i="8" s="1"/>
  <c r="AJ100" i="8"/>
  <c r="R21" i="9" s="1"/>
  <c r="AJ102" i="8"/>
  <c r="AK102" i="8" s="1"/>
  <c r="AL102" i="8" s="1"/>
  <c r="AJ104" i="8"/>
  <c r="AK104" i="8" s="1"/>
  <c r="AL104" i="8" s="1"/>
  <c r="AY104" i="8" s="1"/>
  <c r="AJ105" i="8"/>
  <c r="AK105" i="8" s="1"/>
  <c r="AL105" i="8" s="1"/>
  <c r="AJ107" i="8"/>
  <c r="AK107" i="8" s="1"/>
  <c r="AL107" i="8" s="1"/>
  <c r="AJ109" i="8"/>
  <c r="AK109" i="8" s="1"/>
  <c r="AL109" i="8" s="1"/>
  <c r="AJ120" i="8"/>
  <c r="AK120" i="8" s="1"/>
  <c r="AL120" i="8" s="1"/>
  <c r="AX120" i="8" s="1"/>
  <c r="AJ119" i="8"/>
  <c r="AK119" i="8" s="1"/>
  <c r="AJ118" i="8"/>
  <c r="AK118" i="8" s="1"/>
  <c r="AL118" i="8" s="1"/>
  <c r="AJ117" i="8"/>
  <c r="AK117" i="8" s="1"/>
  <c r="AL117" i="8" s="1"/>
  <c r="AJ116" i="8"/>
  <c r="AK116" i="8" s="1"/>
  <c r="AL116" i="8" s="1"/>
  <c r="AJ115" i="8"/>
  <c r="AK115" i="8" s="1"/>
  <c r="AL115" i="8" s="1"/>
  <c r="AX115" i="8" s="1"/>
  <c r="AJ114" i="8"/>
  <c r="AK114" i="8" s="1"/>
  <c r="AL114" i="8" s="1"/>
  <c r="AJ126" i="8"/>
  <c r="AK126" i="8" s="1"/>
  <c r="AJ125" i="8"/>
  <c r="AK125" i="8" s="1"/>
  <c r="AL125" i="8" s="1"/>
  <c r="AJ129" i="8"/>
  <c r="AK129" i="8" s="1"/>
  <c r="AH103" i="8"/>
  <c r="AH129" i="8"/>
  <c r="AU129" i="8" s="1"/>
  <c r="AI134" i="8"/>
  <c r="AL132" i="8"/>
  <c r="AZ132" i="8" s="1"/>
  <c r="AH132" i="8"/>
  <c r="AT132" i="8" s="1"/>
  <c r="AG160" i="8"/>
  <c r="AH160" i="8" s="1"/>
  <c r="AG153" i="8"/>
  <c r="AG108" i="8"/>
  <c r="AH108" i="8" s="1"/>
  <c r="AW108" i="8" s="1"/>
  <c r="AF153" i="8"/>
  <c r="AG150" i="8" s="1"/>
  <c r="AF116" i="8"/>
  <c r="AG116" i="8" s="1"/>
  <c r="AH116" i="8" s="1"/>
  <c r="AU116" i="8" s="1"/>
  <c r="AF120" i="8"/>
  <c r="AG120" i="8" s="1"/>
  <c r="AH120" i="8" s="1"/>
  <c r="AF119" i="8"/>
  <c r="AG119" i="8" s="1"/>
  <c r="AH119" i="8" s="1"/>
  <c r="AT119" i="8" s="1"/>
  <c r="AF118" i="8"/>
  <c r="AG118" i="8" s="1"/>
  <c r="AH118" i="8" s="1"/>
  <c r="AF117" i="8"/>
  <c r="AG117" i="8" s="1"/>
  <c r="AF115" i="8"/>
  <c r="AG115" i="8" s="1"/>
  <c r="AF114" i="8"/>
  <c r="AG114" i="8" s="1"/>
  <c r="AH114" i="8" s="1"/>
  <c r="AF109" i="8"/>
  <c r="AG109" i="8" s="1"/>
  <c r="AH109" i="8" s="1"/>
  <c r="AF107" i="8"/>
  <c r="AG107" i="8" s="1"/>
  <c r="AH107" i="8" s="1"/>
  <c r="AU107" i="8" s="1"/>
  <c r="AF105" i="8"/>
  <c r="AF104" i="8"/>
  <c r="AG104" i="8" s="1"/>
  <c r="AH104" i="8" s="1"/>
  <c r="AT104" i="8" s="1"/>
  <c r="AF102" i="8"/>
  <c r="AG102" i="8" s="1"/>
  <c r="AH102" i="8" s="1"/>
  <c r="AF100" i="8"/>
  <c r="N21" i="9" s="1"/>
  <c r="AE153" i="8"/>
  <c r="AF131" i="8"/>
  <c r="AF126" i="8"/>
  <c r="AG126" i="8" s="1"/>
  <c r="AH126" i="8" s="1"/>
  <c r="AT126" i="8" s="1"/>
  <c r="AF125" i="8"/>
  <c r="AG125" i="8" s="1"/>
  <c r="O32" i="9" s="1"/>
  <c r="AB160" i="8"/>
  <c r="AC160" i="8" s="1"/>
  <c r="K33" i="9" s="1"/>
  <c r="AB161" i="8"/>
  <c r="J34" i="9" s="1"/>
  <c r="AC131" i="8"/>
  <c r="AD131" i="8" s="1"/>
  <c r="AC121" i="8"/>
  <c r="AD121" i="8" s="1"/>
  <c r="AB150" i="8"/>
  <c r="AB128" i="8"/>
  <c r="AC128" i="8" s="1"/>
  <c r="AB125" i="8"/>
  <c r="J32" i="9" s="1"/>
  <c r="AB100" i="8"/>
  <c r="AC100" i="8" s="1"/>
  <c r="AD100" i="8" s="1"/>
  <c r="L21" i="9" s="1"/>
  <c r="AB102" i="8"/>
  <c r="AC102" i="8" s="1"/>
  <c r="AB104" i="8"/>
  <c r="AC104" i="8" s="1"/>
  <c r="AD104" i="8" s="1"/>
  <c r="AQ104" i="8" s="1"/>
  <c r="AB105" i="8"/>
  <c r="AC105" i="8" s="1"/>
  <c r="AD105" i="8" s="1"/>
  <c r="AB106" i="8"/>
  <c r="AB107" i="8"/>
  <c r="AB109" i="8"/>
  <c r="AC109" i="8" s="1"/>
  <c r="AB114" i="8"/>
  <c r="AC114" i="8" s="1"/>
  <c r="AD114" i="8" s="1"/>
  <c r="AQ114" i="8" s="1"/>
  <c r="AB115" i="8"/>
  <c r="AC115" i="8" s="1"/>
  <c r="AD115" i="8" s="1"/>
  <c r="AQ115" i="8" s="1"/>
  <c r="AB116" i="8"/>
  <c r="AC116" i="8" s="1"/>
  <c r="AD116" i="8" s="1"/>
  <c r="AB117" i="8"/>
  <c r="AB118" i="8"/>
  <c r="AC118" i="8" s="1"/>
  <c r="AD118" i="8" s="1"/>
  <c r="AB119" i="8"/>
  <c r="AC119" i="8" s="1"/>
  <c r="AD119" i="8" s="1"/>
  <c r="AP119" i="8" s="1"/>
  <c r="AB120" i="8"/>
  <c r="AD111" i="8"/>
  <c r="AQ111" i="8" s="1"/>
  <c r="AD110" i="8"/>
  <c r="AS110" i="8" s="1"/>
  <c r="AD108" i="8"/>
  <c r="AR108" i="8" s="1"/>
  <c r="AD133" i="8"/>
  <c r="AS133" i="8" s="1"/>
  <c r="AD132" i="8"/>
  <c r="AS132" i="8" s="1"/>
  <c r="AD130" i="8"/>
  <c r="AS130" i="8" s="1"/>
  <c r="AD127" i="8"/>
  <c r="AQ127" i="8" s="1"/>
  <c r="AD126" i="8"/>
  <c r="Y150" i="8"/>
  <c r="X150" i="8"/>
  <c r="Z153" i="8"/>
  <c r="Z133" i="8"/>
  <c r="Z132" i="8"/>
  <c r="Z131" i="8"/>
  <c r="Z130" i="8"/>
  <c r="Z127" i="8"/>
  <c r="Z126" i="8"/>
  <c r="Z121" i="8"/>
  <c r="Z111" i="8"/>
  <c r="Z110" i="8"/>
  <c r="Z109" i="8"/>
  <c r="Z108" i="8"/>
  <c r="X160" i="8"/>
  <c r="Y160" i="8" s="1"/>
  <c r="Z160" i="8" s="1"/>
  <c r="X161" i="8"/>
  <c r="X107" i="8"/>
  <c r="Y107" i="8" s="1"/>
  <c r="Z107" i="8" s="1"/>
  <c r="X106" i="8"/>
  <c r="Y106" i="8" s="1"/>
  <c r="X105" i="8"/>
  <c r="Y105" i="8" s="1"/>
  <c r="Z105" i="8" s="1"/>
  <c r="X104" i="8"/>
  <c r="Y104" i="8" s="1"/>
  <c r="X102" i="8"/>
  <c r="Y102" i="8" s="1"/>
  <c r="Z102" i="8" s="1"/>
  <c r="X100" i="8"/>
  <c r="Y100" i="8" s="1"/>
  <c r="Z100" i="8" s="1"/>
  <c r="X114" i="8"/>
  <c r="Y114" i="8" s="1"/>
  <c r="Z114" i="8" s="1"/>
  <c r="X115" i="8"/>
  <c r="Y115" i="8" s="1"/>
  <c r="Z115" i="8" s="1"/>
  <c r="X116" i="8"/>
  <c r="X117" i="8"/>
  <c r="Y117" i="8" s="1"/>
  <c r="Z117" i="8" s="1"/>
  <c r="X118" i="8"/>
  <c r="Y118" i="8" s="1"/>
  <c r="X119" i="8"/>
  <c r="Y119" i="8" s="1"/>
  <c r="Z119" i="8" s="1"/>
  <c r="X120" i="8"/>
  <c r="Y120" i="8" s="1"/>
  <c r="Z120" i="8" s="1"/>
  <c r="X125" i="8"/>
  <c r="X128" i="8"/>
  <c r="Y128" i="8" s="1"/>
  <c r="U153" i="8"/>
  <c r="V153" i="8" s="1"/>
  <c r="V132" i="8"/>
  <c r="T133" i="8"/>
  <c r="U133" i="8" s="1"/>
  <c r="V133" i="8" s="1"/>
  <c r="T127" i="8"/>
  <c r="U127" i="8" s="1"/>
  <c r="V127" i="8" s="1"/>
  <c r="T125" i="8"/>
  <c r="U125" i="8" s="1"/>
  <c r="V121" i="8"/>
  <c r="V119" i="8"/>
  <c r="V111" i="8"/>
  <c r="V110" i="8"/>
  <c r="V109" i="8"/>
  <c r="V108" i="8"/>
  <c r="V107" i="8"/>
  <c r="V131" i="8"/>
  <c r="V128" i="8"/>
  <c r="V126" i="8"/>
  <c r="T100" i="8"/>
  <c r="T102" i="8"/>
  <c r="U102" i="8" s="1"/>
  <c r="T104" i="8"/>
  <c r="U104" i="8" s="1"/>
  <c r="V104" i="8" s="1"/>
  <c r="T105" i="8"/>
  <c r="U105" i="8" s="1"/>
  <c r="V105" i="8" s="1"/>
  <c r="T106" i="8"/>
  <c r="T114" i="8"/>
  <c r="U114" i="8" s="1"/>
  <c r="T115" i="8"/>
  <c r="U115" i="8" s="1"/>
  <c r="T116" i="8"/>
  <c r="U116" i="8" s="1"/>
  <c r="V116" i="8" s="1"/>
  <c r="T117" i="8"/>
  <c r="U117" i="8" s="1"/>
  <c r="T118" i="8"/>
  <c r="T120" i="8"/>
  <c r="T160" i="8"/>
  <c r="T161" i="8"/>
  <c r="R133" i="8"/>
  <c r="R131" i="8"/>
  <c r="R130" i="8"/>
  <c r="R111" i="8"/>
  <c r="R109" i="8"/>
  <c r="R108" i="8"/>
  <c r="R107" i="8"/>
  <c r="R106" i="8"/>
  <c r="R104" i="8"/>
  <c r="R102" i="8"/>
  <c r="R120" i="8"/>
  <c r="R119" i="8"/>
  <c r="O153" i="8"/>
  <c r="P150" i="8" s="1"/>
  <c r="P160" i="8"/>
  <c r="P161" i="8"/>
  <c r="Q161" i="8" s="1"/>
  <c r="R161" i="8" s="1"/>
  <c r="P128" i="8"/>
  <c r="Q128" i="8" s="1"/>
  <c r="R128" i="8" s="1"/>
  <c r="P127" i="8"/>
  <c r="P126" i="8"/>
  <c r="Q126" i="8" s="1"/>
  <c r="P125" i="8"/>
  <c r="Q125" i="8" s="1"/>
  <c r="R125" i="8" s="1"/>
  <c r="P100" i="8"/>
  <c r="P105" i="8"/>
  <c r="Q105" i="8" s="1"/>
  <c r="R105" i="8" s="1"/>
  <c r="P110" i="8"/>
  <c r="P114" i="8"/>
  <c r="Q114" i="8" s="1"/>
  <c r="P115" i="8"/>
  <c r="P116" i="8"/>
  <c r="Q116" i="8" s="1"/>
  <c r="R116" i="8" s="1"/>
  <c r="P117" i="8"/>
  <c r="Q117" i="8" s="1"/>
  <c r="P118" i="8"/>
  <c r="P121" i="8"/>
  <c r="Q121" i="8" s="1"/>
  <c r="R121" i="8" s="1"/>
  <c r="AC150" i="8"/>
  <c r="T150" i="8"/>
  <c r="S150" i="8"/>
  <c r="R150" i="8"/>
  <c r="Q150" i="8"/>
  <c r="M150" i="8"/>
  <c r="L160" i="8"/>
  <c r="M160" i="8" s="1"/>
  <c r="N160" i="8" s="1"/>
  <c r="L161" i="8"/>
  <c r="M161" i="8" s="1"/>
  <c r="N161" i="8" s="1"/>
  <c r="L128" i="8"/>
  <c r="L125" i="8"/>
  <c r="M125" i="8" s="1"/>
  <c r="N125" i="8" s="1"/>
  <c r="M153" i="8"/>
  <c r="N150" i="8" s="1"/>
  <c r="M126" i="8"/>
  <c r="N126" i="8" s="1"/>
  <c r="M104" i="8"/>
  <c r="N104" i="8" s="1"/>
  <c r="L118" i="8"/>
  <c r="M118" i="8" s="1"/>
  <c r="L100" i="8"/>
  <c r="M100" i="8" s="1"/>
  <c r="N100" i="8" s="1"/>
  <c r="L121" i="8"/>
  <c r="M121" i="8" s="1"/>
  <c r="N121" i="8" s="1"/>
  <c r="L117" i="8"/>
  <c r="M117" i="8" s="1"/>
  <c r="N117" i="8" s="1"/>
  <c r="L116" i="8"/>
  <c r="M116" i="8" s="1"/>
  <c r="N116" i="8" s="1"/>
  <c r="L115" i="8"/>
  <c r="M115" i="8" s="1"/>
  <c r="N115" i="8" s="1"/>
  <c r="L114" i="8"/>
  <c r="M114" i="8" s="1"/>
  <c r="N114" i="8" s="1"/>
  <c r="L110" i="8"/>
  <c r="M110" i="8" s="1"/>
  <c r="N110" i="8" s="1"/>
  <c r="L105" i="8"/>
  <c r="M105" i="8" s="1"/>
  <c r="N133" i="8"/>
  <c r="N131" i="8"/>
  <c r="N130" i="8"/>
  <c r="N127" i="8"/>
  <c r="N120" i="8"/>
  <c r="N119" i="8"/>
  <c r="N111" i="8"/>
  <c r="N109" i="8"/>
  <c r="N108" i="8"/>
  <c r="N107" i="8"/>
  <c r="N106" i="8"/>
  <c r="N102" i="8"/>
  <c r="AL161" i="8"/>
  <c r="AY161" i="8" s="1"/>
  <c r="AH161" i="8"/>
  <c r="AV161" i="8" s="1"/>
  <c r="AL133" i="8"/>
  <c r="AZ133" i="8" s="1"/>
  <c r="AH133" i="8"/>
  <c r="AW133" i="8" s="1"/>
  <c r="AL130" i="8"/>
  <c r="AY130" i="8" s="1"/>
  <c r="AH130" i="8"/>
  <c r="AV130" i="8" s="1"/>
  <c r="V130" i="8"/>
  <c r="AL128" i="8"/>
  <c r="AZ128" i="8" s="1"/>
  <c r="AH128" i="8"/>
  <c r="AT128" i="8" s="1"/>
  <c r="AL127" i="8"/>
  <c r="AY127" i="8" s="1"/>
  <c r="AH127" i="8"/>
  <c r="AW127" i="8" s="1"/>
  <c r="AL121" i="8"/>
  <c r="AX121" i="8" s="1"/>
  <c r="AH121" i="8"/>
  <c r="AW121" i="8" s="1"/>
  <c r="AL111" i="8"/>
  <c r="AY111" i="8" s="1"/>
  <c r="AH111" i="8"/>
  <c r="AV111" i="8" s="1"/>
  <c r="AL110" i="8"/>
  <c r="AZ110" i="8" s="1"/>
  <c r="AH110" i="8"/>
  <c r="AT110" i="8" s="1"/>
  <c r="AL108" i="8"/>
  <c r="AZ108" i="8" s="1"/>
  <c r="AL106" i="8"/>
  <c r="AX106" i="8" s="1"/>
  <c r="AH106" i="8"/>
  <c r="AW106" i="8" s="1"/>
  <c r="AZ27" i="8"/>
  <c r="AY27" i="8"/>
  <c r="AX27" i="8"/>
  <c r="AW27" i="8"/>
  <c r="AV27" i="8"/>
  <c r="AU27" i="8"/>
  <c r="AT27" i="8"/>
  <c r="AS27" i="8"/>
  <c r="AR27" i="8"/>
  <c r="AQ27" i="8"/>
  <c r="AP27" i="8"/>
  <c r="E150" i="8"/>
  <c r="D150" i="8"/>
  <c r="AE134" i="8"/>
  <c r="AA134" i="8"/>
  <c r="W134" i="8"/>
  <c r="S134" i="8"/>
  <c r="O134" i="8"/>
  <c r="AL31" i="8"/>
  <c r="AZ31" i="8" s="1"/>
  <c r="AL26" i="8"/>
  <c r="AZ26" i="8" s="1"/>
  <c r="AL25" i="8"/>
  <c r="AZ25" i="8" s="1"/>
  <c r="AL24" i="8"/>
  <c r="AZ24" i="8" s="1"/>
  <c r="AL23" i="8"/>
  <c r="AX23" i="8" s="1"/>
  <c r="AL22" i="8"/>
  <c r="AZ22" i="8" s="1"/>
  <c r="AL18" i="8"/>
  <c r="AZ18" i="8" s="1"/>
  <c r="AL17" i="8"/>
  <c r="AZ17" i="8" s="1"/>
  <c r="AL13" i="8"/>
  <c r="AZ13" i="8" s="1"/>
  <c r="AL10" i="8"/>
  <c r="AY10" i="8" s="1"/>
  <c r="AH31" i="8"/>
  <c r="AV31" i="8" s="1"/>
  <c r="AH26" i="8"/>
  <c r="AW26" i="8" s="1"/>
  <c r="AH25" i="8"/>
  <c r="AT25" i="8" s="1"/>
  <c r="AH24" i="8"/>
  <c r="AU24" i="8" s="1"/>
  <c r="AH23" i="8"/>
  <c r="AW23" i="8" s="1"/>
  <c r="AH22" i="8"/>
  <c r="AT22" i="8" s="1"/>
  <c r="AH18" i="8"/>
  <c r="AW18" i="8" s="1"/>
  <c r="AH17" i="8"/>
  <c r="AU17" i="8" s="1"/>
  <c r="AH13" i="8"/>
  <c r="AT13" i="8" s="1"/>
  <c r="AH10" i="8"/>
  <c r="AT10" i="8" s="1"/>
  <c r="AD10" i="8"/>
  <c r="AS10" i="8" s="1"/>
  <c r="AD13" i="8"/>
  <c r="AR13" i="8" s="1"/>
  <c r="AD18" i="8"/>
  <c r="AS18" i="8" s="1"/>
  <c r="AD17" i="8"/>
  <c r="AS17" i="8" s="1"/>
  <c r="AD26" i="8"/>
  <c r="AS26" i="8" s="1"/>
  <c r="AD25" i="8"/>
  <c r="AS25" i="8" s="1"/>
  <c r="AD24" i="8"/>
  <c r="AR24" i="8" s="1"/>
  <c r="AD23" i="8"/>
  <c r="AQ23" i="8" s="1"/>
  <c r="AD22" i="8"/>
  <c r="AR22" i="8" s="1"/>
  <c r="AD31" i="8"/>
  <c r="AP31" i="8" s="1"/>
  <c r="Z31" i="8"/>
  <c r="Z26" i="8"/>
  <c r="Z25" i="8"/>
  <c r="Z24" i="8"/>
  <c r="Z23" i="8"/>
  <c r="Z22" i="8"/>
  <c r="Z18" i="8"/>
  <c r="Z17" i="8"/>
  <c r="Z13" i="8"/>
  <c r="Z10" i="8"/>
  <c r="Z11" i="8" s="1"/>
  <c r="V31" i="8"/>
  <c r="V26" i="8"/>
  <c r="V25" i="8"/>
  <c r="V24" i="8"/>
  <c r="V23" i="8"/>
  <c r="V22" i="8"/>
  <c r="V18" i="8"/>
  <c r="V17" i="8"/>
  <c r="V13" i="8"/>
  <c r="V10" i="8"/>
  <c r="V11" i="8" s="1"/>
  <c r="R10" i="8"/>
  <c r="R11" i="8" s="1"/>
  <c r="R13" i="8"/>
  <c r="R18" i="8"/>
  <c r="R17" i="8"/>
  <c r="R26" i="8"/>
  <c r="R25" i="8"/>
  <c r="R24" i="8"/>
  <c r="R23" i="8"/>
  <c r="R22" i="8"/>
  <c r="R31" i="8"/>
  <c r="AL38" i="8"/>
  <c r="AX38" i="8" s="1"/>
  <c r="AL35" i="8"/>
  <c r="AX35" i="8" s="1"/>
  <c r="AH38" i="8"/>
  <c r="AT38" i="8" s="1"/>
  <c r="AH35" i="8"/>
  <c r="AT35" i="8" s="1"/>
  <c r="AD38" i="8"/>
  <c r="AP38" i="8" s="1"/>
  <c r="AD35" i="8"/>
  <c r="Z38" i="8"/>
  <c r="Z35" i="8"/>
  <c r="V38" i="8"/>
  <c r="V35" i="8"/>
  <c r="R38" i="8"/>
  <c r="R35" i="8"/>
  <c r="N38" i="8"/>
  <c r="N35" i="8"/>
  <c r="N31" i="8"/>
  <c r="N26" i="8"/>
  <c r="N25" i="8"/>
  <c r="N24" i="8"/>
  <c r="N23" i="8"/>
  <c r="N22" i="8"/>
  <c r="N18" i="8"/>
  <c r="N17" i="8"/>
  <c r="N13" i="8"/>
  <c r="N10" i="8"/>
  <c r="N11" i="8" s="1"/>
  <c r="AZ74" i="8"/>
  <c r="AY74" i="8"/>
  <c r="AW74" i="8"/>
  <c r="AV74" i="8"/>
  <c r="AU74" i="8"/>
  <c r="AS74" i="8"/>
  <c r="AR74" i="8"/>
  <c r="AQ74" i="8"/>
  <c r="AL49" i="8"/>
  <c r="AX49" i="8" s="1"/>
  <c r="AL48" i="8"/>
  <c r="AX48" i="8" s="1"/>
  <c r="AL47" i="8"/>
  <c r="AX47" i="8" s="1"/>
  <c r="AL46" i="8"/>
  <c r="T47" i="9" s="1"/>
  <c r="AG47" i="9" s="1"/>
  <c r="AL59" i="8"/>
  <c r="AX59" i="8" s="1"/>
  <c r="AL57" i="8"/>
  <c r="AX57" i="8" s="1"/>
  <c r="AL56" i="8"/>
  <c r="AX56" i="8" s="1"/>
  <c r="AL55" i="8"/>
  <c r="AX55" i="8" s="1"/>
  <c r="AL63" i="8"/>
  <c r="AX63" i="8" s="1"/>
  <c r="AL74" i="8"/>
  <c r="AX74" i="8" s="1"/>
  <c r="AL73" i="8"/>
  <c r="AX73" i="8" s="1"/>
  <c r="AL80" i="8"/>
  <c r="AX80" i="8" s="1"/>
  <c r="AL79" i="8"/>
  <c r="AX79" i="8" s="1"/>
  <c r="AL78" i="8"/>
  <c r="AX78" i="8" s="1"/>
  <c r="AL77" i="8"/>
  <c r="AX77" i="8" s="1"/>
  <c r="AL81" i="8"/>
  <c r="AX81" i="8" s="1"/>
  <c r="AH81" i="8"/>
  <c r="AT81" i="8" s="1"/>
  <c r="AH80" i="8"/>
  <c r="AT80" i="8" s="1"/>
  <c r="AH79" i="8"/>
  <c r="AT79" i="8" s="1"/>
  <c r="AH78" i="8"/>
  <c r="AT78" i="8" s="1"/>
  <c r="AH77" i="8"/>
  <c r="AT77" i="8" s="1"/>
  <c r="AH74" i="8"/>
  <c r="AT74" i="8" s="1"/>
  <c r="AH73" i="8"/>
  <c r="AT73" i="8" s="1"/>
  <c r="AH63" i="8"/>
  <c r="AT63" i="8" s="1"/>
  <c r="AH59" i="8"/>
  <c r="AT59" i="8" s="1"/>
  <c r="AH57" i="8"/>
  <c r="AT57" i="8" s="1"/>
  <c r="AH56" i="8"/>
  <c r="AT56" i="8" s="1"/>
  <c r="AH55" i="8"/>
  <c r="AT55" i="8" s="1"/>
  <c r="AH49" i="8"/>
  <c r="AT49" i="8" s="1"/>
  <c r="AH48" i="8"/>
  <c r="AT48" i="8" s="1"/>
  <c r="AH47" i="8"/>
  <c r="P48" i="9" s="1"/>
  <c r="AC48" i="9" s="1"/>
  <c r="AH46" i="8"/>
  <c r="AT46" i="8" s="1"/>
  <c r="AD74" i="8"/>
  <c r="AP74" i="8" s="1"/>
  <c r="AD73" i="8"/>
  <c r="AP73" i="8" s="1"/>
  <c r="AD63" i="8"/>
  <c r="AP63" i="8" s="1"/>
  <c r="AD59" i="8"/>
  <c r="AP59" i="8" s="1"/>
  <c r="AD57" i="8"/>
  <c r="AP57" i="8" s="1"/>
  <c r="AD56" i="8"/>
  <c r="AP56" i="8" s="1"/>
  <c r="AD55" i="8"/>
  <c r="AP55" i="8" s="1"/>
  <c r="AD49" i="8"/>
  <c r="L57" i="9" s="1"/>
  <c r="Y57" i="9" s="1"/>
  <c r="AD48" i="8"/>
  <c r="AP48" i="8" s="1"/>
  <c r="AD47" i="8"/>
  <c r="AP47" i="8" s="1"/>
  <c r="AD46" i="8"/>
  <c r="AP46" i="8" s="1"/>
  <c r="AZ81" i="8"/>
  <c r="AY81" i="8"/>
  <c r="AW81" i="8"/>
  <c r="AV81" i="8"/>
  <c r="AU81" i="8"/>
  <c r="AS81" i="8"/>
  <c r="AR81" i="8"/>
  <c r="AQ81" i="8"/>
  <c r="AP81" i="8"/>
  <c r="AZ80" i="8"/>
  <c r="AY80" i="8"/>
  <c r="AW80" i="8"/>
  <c r="AV80" i="8"/>
  <c r="AU80" i="8"/>
  <c r="AS80" i="8"/>
  <c r="AR80" i="8"/>
  <c r="AQ80" i="8"/>
  <c r="AP80" i="8"/>
  <c r="AZ79" i="8"/>
  <c r="AY79" i="8"/>
  <c r="AW79" i="8"/>
  <c r="AV79" i="8"/>
  <c r="AU79" i="8"/>
  <c r="AS79" i="8"/>
  <c r="AR79" i="8"/>
  <c r="AQ79" i="8"/>
  <c r="AP79" i="8"/>
  <c r="AZ78" i="8"/>
  <c r="AY78" i="8"/>
  <c r="AW78" i="8"/>
  <c r="AV78" i="8"/>
  <c r="AU78" i="8"/>
  <c r="AS78" i="8"/>
  <c r="AR78" i="8"/>
  <c r="AQ78" i="8"/>
  <c r="AP78" i="8"/>
  <c r="AZ77" i="8"/>
  <c r="AY77" i="8"/>
  <c r="AW77" i="8"/>
  <c r="AV77" i="8"/>
  <c r="AU77" i="8"/>
  <c r="AS77" i="8"/>
  <c r="AR77" i="8"/>
  <c r="AQ77" i="8"/>
  <c r="AP77" i="8"/>
  <c r="AY73" i="8"/>
  <c r="AW73" i="8"/>
  <c r="AV73" i="8"/>
  <c r="AU73" i="8"/>
  <c r="AS73" i="8"/>
  <c r="AR73" i="8"/>
  <c r="AQ73" i="8"/>
  <c r="AZ63" i="8"/>
  <c r="AY63" i="8"/>
  <c r="AW63" i="8"/>
  <c r="AV63" i="8"/>
  <c r="AU63" i="8"/>
  <c r="AS63" i="8"/>
  <c r="AR63" i="8"/>
  <c r="AQ63" i="8"/>
  <c r="AZ59" i="8"/>
  <c r="AY59" i="8"/>
  <c r="AW59" i="8"/>
  <c r="AV59" i="8"/>
  <c r="AU59" i="8"/>
  <c r="AS59" i="8"/>
  <c r="AR59" i="8"/>
  <c r="AQ59" i="8"/>
  <c r="AZ57" i="8"/>
  <c r="AY57" i="8"/>
  <c r="AW57" i="8"/>
  <c r="AV57" i="8"/>
  <c r="AU57" i="8"/>
  <c r="AS57" i="8"/>
  <c r="AR57" i="8"/>
  <c r="AQ57" i="8"/>
  <c r="AZ56" i="8"/>
  <c r="AY56" i="8"/>
  <c r="AW56" i="8"/>
  <c r="AV56" i="8"/>
  <c r="AU56" i="8"/>
  <c r="AS56" i="8"/>
  <c r="AR56" i="8"/>
  <c r="AQ56" i="8"/>
  <c r="AZ55" i="8"/>
  <c r="AY55" i="8"/>
  <c r="AW55" i="8"/>
  <c r="AV55" i="8"/>
  <c r="AU55" i="8"/>
  <c r="AS55" i="8"/>
  <c r="AR55" i="8"/>
  <c r="AQ55" i="8"/>
  <c r="AZ49" i="8"/>
  <c r="AY49" i="8"/>
  <c r="AW49" i="8"/>
  <c r="AV49" i="8"/>
  <c r="AU49" i="8"/>
  <c r="AS49" i="8"/>
  <c r="AR49" i="8"/>
  <c r="AQ49" i="8"/>
  <c r="AZ48" i="8"/>
  <c r="AY48" i="8"/>
  <c r="AW48" i="8"/>
  <c r="AV48" i="8"/>
  <c r="AU48" i="8"/>
  <c r="AS48" i="8"/>
  <c r="AR48" i="8"/>
  <c r="AQ48" i="8"/>
  <c r="AZ47" i="8"/>
  <c r="AY47" i="8"/>
  <c r="AW47" i="8"/>
  <c r="AV47" i="8"/>
  <c r="AU47" i="8"/>
  <c r="AS47" i="8"/>
  <c r="AR47" i="8"/>
  <c r="AQ47" i="8"/>
  <c r="AY46" i="8"/>
  <c r="AW46" i="8"/>
  <c r="AV46" i="8"/>
  <c r="AU46" i="8"/>
  <c r="AS46" i="8"/>
  <c r="AR46" i="8"/>
  <c r="AQ46" i="8"/>
  <c r="Z50" i="8"/>
  <c r="Z49" i="8"/>
  <c r="Z48" i="8"/>
  <c r="Z47" i="8"/>
  <c r="Z46" i="8"/>
  <c r="Z59" i="8"/>
  <c r="Z57" i="8"/>
  <c r="Z56" i="8"/>
  <c r="Z55" i="8"/>
  <c r="Z63" i="8"/>
  <c r="Z81" i="8"/>
  <c r="Z80" i="8"/>
  <c r="Z79" i="8"/>
  <c r="Z78" i="8"/>
  <c r="Z77" i="8"/>
  <c r="Z74" i="8"/>
  <c r="Z73" i="8"/>
  <c r="AG82" i="8"/>
  <c r="Y82" i="8"/>
  <c r="V81" i="8"/>
  <c r="V80" i="8"/>
  <c r="V79" i="8"/>
  <c r="V78" i="8"/>
  <c r="V77" i="8"/>
  <c r="V74" i="8"/>
  <c r="V73" i="8"/>
  <c r="V63" i="8"/>
  <c r="V59" i="8"/>
  <c r="V57" i="8"/>
  <c r="V56" i="8"/>
  <c r="V55" i="8"/>
  <c r="V50" i="8"/>
  <c r="V49" i="8"/>
  <c r="V48" i="8"/>
  <c r="V47" i="8"/>
  <c r="V46" i="8"/>
  <c r="R81" i="8"/>
  <c r="R80" i="8"/>
  <c r="R79" i="8"/>
  <c r="R78" i="8"/>
  <c r="R77" i="8"/>
  <c r="R74" i="8"/>
  <c r="R73" i="8"/>
  <c r="R63" i="8"/>
  <c r="R50" i="8"/>
  <c r="R49" i="8"/>
  <c r="R48" i="8"/>
  <c r="R47" i="8"/>
  <c r="R46" i="8"/>
  <c r="R55" i="8"/>
  <c r="R56" i="8"/>
  <c r="O77" i="8"/>
  <c r="O82" i="8" s="1"/>
  <c r="C77" i="8"/>
  <c r="N77" i="8" s="1"/>
  <c r="N73" i="8"/>
  <c r="N63" i="8"/>
  <c r="N47" i="8"/>
  <c r="N153" i="8" s="1"/>
  <c r="O150" i="8" s="1"/>
  <c r="T51" i="8"/>
  <c r="T60" i="8" s="1"/>
  <c r="S51" i="8"/>
  <c r="S60" i="8" s="1"/>
  <c r="O51" i="8"/>
  <c r="O60" i="8" s="1"/>
  <c r="AN94" i="8"/>
  <c r="AM94" i="8"/>
  <c r="AL94" i="8"/>
  <c r="AK94" i="8"/>
  <c r="AJ94" i="8"/>
  <c r="AI94" i="8"/>
  <c r="AH94" i="8"/>
  <c r="AG94" i="8"/>
  <c r="AF94" i="8"/>
  <c r="AE94" i="8"/>
  <c r="AD94" i="8"/>
  <c r="AC94" i="8"/>
  <c r="AB94" i="8"/>
  <c r="AA94" i="8"/>
  <c r="Z94" i="8"/>
  <c r="Y94" i="8"/>
  <c r="X94" i="8"/>
  <c r="W94" i="8"/>
  <c r="V94" i="8"/>
  <c r="U94" i="8"/>
  <c r="T94" i="8"/>
  <c r="S94" i="8"/>
  <c r="R94" i="8"/>
  <c r="Q94" i="8"/>
  <c r="P94" i="8"/>
  <c r="O94" i="8"/>
  <c r="N94" i="8"/>
  <c r="M94" i="8"/>
  <c r="L94" i="8"/>
  <c r="AN93" i="8"/>
  <c r="AM93" i="8"/>
  <c r="AL93" i="8"/>
  <c r="AK93" i="8"/>
  <c r="AJ93" i="8"/>
  <c r="AI93" i="8"/>
  <c r="AH93" i="8"/>
  <c r="AG93" i="8"/>
  <c r="AF93" i="8"/>
  <c r="AE93" i="8"/>
  <c r="AD93" i="8"/>
  <c r="AC93" i="8"/>
  <c r="AB93" i="8"/>
  <c r="AA93" i="8"/>
  <c r="Z93" i="8"/>
  <c r="Y93" i="8"/>
  <c r="X93" i="8"/>
  <c r="W93" i="8"/>
  <c r="V93" i="8"/>
  <c r="U93" i="8"/>
  <c r="T93" i="8"/>
  <c r="S93" i="8"/>
  <c r="R93" i="8"/>
  <c r="Q93" i="8"/>
  <c r="P93" i="8"/>
  <c r="O93" i="8"/>
  <c r="N93" i="8"/>
  <c r="M93" i="8"/>
  <c r="L93" i="8"/>
  <c r="N81" i="8"/>
  <c r="N80" i="8"/>
  <c r="N79" i="8"/>
  <c r="N78" i="8"/>
  <c r="N74" i="8"/>
  <c r="N59" i="8"/>
  <c r="N57" i="8"/>
  <c r="N56" i="8"/>
  <c r="N55" i="8"/>
  <c r="N50" i="8"/>
  <c r="N49" i="8"/>
  <c r="N48" i="8"/>
  <c r="N46" i="8"/>
  <c r="AK82" i="8"/>
  <c r="S72" i="9" s="1"/>
  <c r="AF72" i="9" s="1"/>
  <c r="AJ82" i="8"/>
  <c r="R72" i="9" s="1"/>
  <c r="AE72" i="9" s="1"/>
  <c r="AI82" i="8"/>
  <c r="Q72" i="9" s="1"/>
  <c r="AD72" i="9" s="1"/>
  <c r="AF82" i="8"/>
  <c r="N72" i="9" s="1"/>
  <c r="AA72" i="9" s="1"/>
  <c r="AE82" i="8"/>
  <c r="M72" i="9" s="1"/>
  <c r="Z72" i="9" s="1"/>
  <c r="AD82" i="8"/>
  <c r="L72" i="9" s="1"/>
  <c r="Y72" i="9" s="1"/>
  <c r="AC82" i="8"/>
  <c r="K72" i="9" s="1"/>
  <c r="X72" i="9" s="1"/>
  <c r="AB82" i="8"/>
  <c r="J72" i="9" s="1"/>
  <c r="AA82" i="8"/>
  <c r="I72" i="9" s="1"/>
  <c r="X82" i="8"/>
  <c r="W82" i="8"/>
  <c r="U82" i="8"/>
  <c r="T82" i="8"/>
  <c r="S82" i="8"/>
  <c r="Q82" i="8"/>
  <c r="P82" i="8"/>
  <c r="M82" i="8"/>
  <c r="L82" i="8"/>
  <c r="AG68" i="8"/>
  <c r="AG75" i="8" s="1"/>
  <c r="AF68" i="8"/>
  <c r="AF75" i="8" s="1"/>
  <c r="AE68" i="8"/>
  <c r="AE75" i="8" s="1"/>
  <c r="M68" i="8"/>
  <c r="M75" i="8" s="1"/>
  <c r="L68" i="8"/>
  <c r="L75" i="8" s="1"/>
  <c r="K51" i="8"/>
  <c r="K60" i="8" s="1"/>
  <c r="L51" i="8"/>
  <c r="L60" i="8" s="1"/>
  <c r="M51" i="8"/>
  <c r="M60" i="8" s="1"/>
  <c r="P51" i="8"/>
  <c r="P60" i="8" s="1"/>
  <c r="Q51" i="8"/>
  <c r="Q60" i="8" s="1"/>
  <c r="U51" i="8"/>
  <c r="U60" i="8" s="1"/>
  <c r="W51" i="8"/>
  <c r="W60" i="8" s="1"/>
  <c r="X51" i="8"/>
  <c r="X60" i="8" s="1"/>
  <c r="Y51" i="8"/>
  <c r="Y60" i="8" s="1"/>
  <c r="AA51" i="8"/>
  <c r="AA60" i="8" s="1"/>
  <c r="AB51" i="8"/>
  <c r="AB60" i="8" s="1"/>
  <c r="AC51" i="8"/>
  <c r="AC60" i="8" s="1"/>
  <c r="AN43" i="8"/>
  <c r="AM43" i="8"/>
  <c r="AL43" i="8"/>
  <c r="AK43" i="8"/>
  <c r="AJ43" i="8"/>
  <c r="AI43" i="8"/>
  <c r="AH43" i="8"/>
  <c r="AG43" i="8"/>
  <c r="AF43" i="8"/>
  <c r="AE43" i="8"/>
  <c r="AD43" i="8"/>
  <c r="AC43" i="8"/>
  <c r="AB43" i="8"/>
  <c r="AA43" i="8"/>
  <c r="Z43" i="8"/>
  <c r="Y43" i="8"/>
  <c r="X43" i="8"/>
  <c r="W43" i="8"/>
  <c r="V43" i="8"/>
  <c r="U43" i="8"/>
  <c r="T43" i="8"/>
  <c r="S43" i="8"/>
  <c r="R43" i="8"/>
  <c r="Q43" i="8"/>
  <c r="P43" i="8"/>
  <c r="O43" i="8"/>
  <c r="N43" i="8"/>
  <c r="M43" i="8"/>
  <c r="L43" i="8"/>
  <c r="AN42" i="8"/>
  <c r="AM42" i="8"/>
  <c r="AL42" i="8"/>
  <c r="AK42" i="8"/>
  <c r="AJ42" i="8"/>
  <c r="AI42" i="8"/>
  <c r="AH42" i="8"/>
  <c r="AG42" i="8"/>
  <c r="AF42" i="8"/>
  <c r="AE42" i="8"/>
  <c r="AD42" i="8"/>
  <c r="AC42" i="8"/>
  <c r="AB42" i="8"/>
  <c r="AA42" i="8"/>
  <c r="Z42" i="8"/>
  <c r="Y42" i="8"/>
  <c r="X42" i="8"/>
  <c r="W42" i="8"/>
  <c r="V42" i="8"/>
  <c r="U42" i="8"/>
  <c r="T42" i="8"/>
  <c r="S42" i="8"/>
  <c r="R42" i="8"/>
  <c r="Q42" i="8"/>
  <c r="P42" i="8"/>
  <c r="O42" i="8"/>
  <c r="N42" i="8"/>
  <c r="M42" i="8"/>
  <c r="L42" i="8"/>
  <c r="K43" i="8"/>
  <c r="K42" i="8"/>
  <c r="I43" i="8"/>
  <c r="H43" i="8"/>
  <c r="G43" i="8"/>
  <c r="F43" i="8"/>
  <c r="E43" i="8"/>
  <c r="D43" i="8"/>
  <c r="C43" i="8"/>
  <c r="I42" i="8"/>
  <c r="H42" i="8"/>
  <c r="G42" i="8"/>
  <c r="F42" i="8"/>
  <c r="E42" i="8"/>
  <c r="D42" i="8"/>
  <c r="C42" i="8"/>
  <c r="AZ46" i="8"/>
  <c r="AZ38" i="8"/>
  <c r="AW38" i="8"/>
  <c r="AV38" i="8"/>
  <c r="AU38" i="8"/>
  <c r="AS38" i="8"/>
  <c r="AR38" i="8"/>
  <c r="AQ38" i="8"/>
  <c r="AW35" i="8"/>
  <c r="AV35" i="8"/>
  <c r="AU35" i="8"/>
  <c r="AS35" i="8"/>
  <c r="AR35" i="8"/>
  <c r="AQ35" i="8"/>
  <c r="AZ35" i="8"/>
  <c r="AJ11" i="8"/>
  <c r="AJ14" i="8" s="1"/>
  <c r="AI11" i="8"/>
  <c r="AI14" i="8" s="1"/>
  <c r="AG11" i="8"/>
  <c r="AG14" i="8" s="1"/>
  <c r="AG15" i="8" s="1"/>
  <c r="AF11" i="8"/>
  <c r="AF14" i="8" s="1"/>
  <c r="AF15" i="8" s="1"/>
  <c r="AE11" i="8"/>
  <c r="AE14" i="8" s="1"/>
  <c r="AE19" i="8" s="1"/>
  <c r="AE28" i="8" s="1"/>
  <c r="AC11" i="8"/>
  <c r="AC14" i="8" s="1"/>
  <c r="AB11" i="8"/>
  <c r="AB14" i="8" s="1"/>
  <c r="AA11" i="8"/>
  <c r="AA14" i="8" s="1"/>
  <c r="Y11" i="8"/>
  <c r="Y14" i="8" s="1"/>
  <c r="Y15" i="8" s="1"/>
  <c r="X11" i="8"/>
  <c r="X14" i="8" s="1"/>
  <c r="W11" i="8"/>
  <c r="W14" i="8" s="1"/>
  <c r="W19" i="8" s="1"/>
  <c r="W28" i="8" s="1"/>
  <c r="U11" i="8"/>
  <c r="U14" i="8" s="1"/>
  <c r="T11" i="8"/>
  <c r="T14" i="8" s="1"/>
  <c r="S11" i="8"/>
  <c r="S14" i="8" s="1"/>
  <c r="Q11" i="8"/>
  <c r="Q14" i="8" s="1"/>
  <c r="Q15" i="8" s="1"/>
  <c r="P11" i="8"/>
  <c r="P14" i="8" s="1"/>
  <c r="P15" i="8" s="1"/>
  <c r="O11" i="8"/>
  <c r="O14" i="8" s="1"/>
  <c r="O19" i="8" s="1"/>
  <c r="O28" i="8" s="1"/>
  <c r="M11" i="8"/>
  <c r="M14" i="8" s="1"/>
  <c r="L11" i="8"/>
  <c r="L14" i="8" s="1"/>
  <c r="K11" i="8"/>
  <c r="K14" i="8" s="1"/>
  <c r="AN11" i="8"/>
  <c r="AU8" i="8"/>
  <c r="AT8" i="8"/>
  <c r="AS8" i="8"/>
  <c r="AR8" i="8"/>
  <c r="AQ8" i="8"/>
  <c r="AP8" i="8"/>
  <c r="AU7" i="8"/>
  <c r="AT7" i="8"/>
  <c r="AS7" i="8"/>
  <c r="AR7" i="8"/>
  <c r="AQ7" i="8"/>
  <c r="AP7" i="8"/>
  <c r="AY8" i="8"/>
  <c r="AX8" i="8"/>
  <c r="AW8" i="8"/>
  <c r="AV8" i="8"/>
  <c r="AY7" i="8"/>
  <c r="AX7" i="8"/>
  <c r="AW7" i="8"/>
  <c r="AV7" i="8"/>
  <c r="AZ8" i="8"/>
  <c r="AZ7" i="8"/>
  <c r="I63" i="12"/>
  <c r="B2" i="17"/>
  <c r="O203" i="19"/>
  <c r="P203" i="19" s="1"/>
  <c r="Q203" i="19" s="1"/>
  <c r="Q204" i="19" s="1"/>
  <c r="M202" i="19"/>
  <c r="N202" i="19"/>
  <c r="O202" i="19"/>
  <c r="P201" i="19"/>
  <c r="Q201" i="19" s="1"/>
  <c r="Q202" i="19" s="1"/>
  <c r="M206" i="19"/>
  <c r="N204" i="19"/>
  <c r="M204" i="19"/>
  <c r="N194" i="19"/>
  <c r="O194" i="19" s="1"/>
  <c r="P194" i="19" s="1"/>
  <c r="Q194" i="19" s="1"/>
  <c r="O183" i="19"/>
  <c r="P183" i="19" s="1"/>
  <c r="Q183" i="19" s="1"/>
  <c r="O181" i="19"/>
  <c r="P181" i="19" s="1"/>
  <c r="Q181" i="19" s="1"/>
  <c r="M195" i="19"/>
  <c r="Q193" i="19"/>
  <c r="P193" i="19"/>
  <c r="O193" i="19"/>
  <c r="N193" i="19"/>
  <c r="M193" i="19"/>
  <c r="Q191" i="19"/>
  <c r="P191" i="19"/>
  <c r="O191" i="19"/>
  <c r="N191" i="19"/>
  <c r="M191" i="19"/>
  <c r="Q178" i="19"/>
  <c r="P178" i="19"/>
  <c r="O178" i="19"/>
  <c r="N178" i="19"/>
  <c r="M178" i="19"/>
  <c r="Q180" i="19"/>
  <c r="P180" i="19"/>
  <c r="O180" i="19"/>
  <c r="N180" i="19"/>
  <c r="M180" i="19"/>
  <c r="N182" i="19"/>
  <c r="O182" i="19" s="1"/>
  <c r="P182" i="19" s="1"/>
  <c r="Q182" i="19" s="1"/>
  <c r="M182" i="19"/>
  <c r="N184" i="19"/>
  <c r="O184" i="19" s="1"/>
  <c r="P184" i="19" s="1"/>
  <c r="Q184" i="19" s="1"/>
  <c r="M184" i="19"/>
  <c r="M172" i="19"/>
  <c r="L172" i="19"/>
  <c r="M171" i="19"/>
  <c r="H58" i="14" s="1"/>
  <c r="L171" i="19"/>
  <c r="G58" i="14" s="1"/>
  <c r="L18" i="19"/>
  <c r="M18" i="19" s="1"/>
  <c r="N18" i="19" s="1"/>
  <c r="O18" i="19" s="1"/>
  <c r="P18" i="19" s="1"/>
  <c r="Q18" i="19" s="1"/>
  <c r="N169" i="19"/>
  <c r="O169" i="19" s="1"/>
  <c r="P169" i="19" s="1"/>
  <c r="Q169" i="19" s="1"/>
  <c r="N168" i="19"/>
  <c r="O168" i="19" s="1"/>
  <c r="P168" i="19" s="1"/>
  <c r="Q168" i="19" s="1"/>
  <c r="O39" i="19"/>
  <c r="P39" i="19" s="1"/>
  <c r="Q39" i="19" s="1"/>
  <c r="N40" i="19"/>
  <c r="O40" i="19" s="1"/>
  <c r="P40" i="19" s="1"/>
  <c r="Q40" i="19" s="1"/>
  <c r="M40" i="19"/>
  <c r="O166" i="19"/>
  <c r="P166" i="19" s="1"/>
  <c r="Q166" i="19" s="1"/>
  <c r="O167" i="19"/>
  <c r="P167" i="19" s="1"/>
  <c r="Q167" i="19" s="1"/>
  <c r="O164" i="19"/>
  <c r="P164" i="19" s="1"/>
  <c r="Q164" i="19" s="1"/>
  <c r="O165" i="19"/>
  <c r="P165" i="19" s="1"/>
  <c r="Q165" i="19" s="1"/>
  <c r="Q42" i="19"/>
  <c r="P42" i="19"/>
  <c r="M42" i="19"/>
  <c r="O42" i="19"/>
  <c r="N42" i="19"/>
  <c r="L19" i="19"/>
  <c r="M19" i="19" s="1"/>
  <c r="N19" i="19" s="1"/>
  <c r="O19" i="19" s="1"/>
  <c r="P19" i="19" s="1"/>
  <c r="Q19" i="19" s="1"/>
  <c r="L206" i="19"/>
  <c r="J19" i="19"/>
  <c r="J18" i="19"/>
  <c r="J17" i="19"/>
  <c r="J4" i="19"/>
  <c r="O153" i="19"/>
  <c r="P153" i="19" s="1"/>
  <c r="O151" i="19"/>
  <c r="P151" i="19" s="1"/>
  <c r="Q151" i="19" s="1"/>
  <c r="N141" i="19"/>
  <c r="M141" i="19"/>
  <c r="L141" i="19"/>
  <c r="O140" i="19"/>
  <c r="P140" i="19" s="1"/>
  <c r="O138" i="19"/>
  <c r="P138" i="19" s="1"/>
  <c r="Q138" i="19" s="1"/>
  <c r="N135" i="19"/>
  <c r="M135" i="19"/>
  <c r="L135" i="19"/>
  <c r="O126" i="19"/>
  <c r="P126" i="19" s="1"/>
  <c r="Q126" i="19" s="1"/>
  <c r="P122" i="19"/>
  <c r="Q122" i="19" s="1"/>
  <c r="N45" i="19"/>
  <c r="N154" i="19" s="1"/>
  <c r="M45" i="19"/>
  <c r="M154" i="19" s="1"/>
  <c r="L45" i="19"/>
  <c r="L154" i="19" s="1"/>
  <c r="N43" i="19"/>
  <c r="N139" i="19" s="1"/>
  <c r="O139" i="19" s="1"/>
  <c r="P139" i="19" s="1"/>
  <c r="Q139" i="19" s="1"/>
  <c r="M43" i="19"/>
  <c r="M139" i="19" s="1"/>
  <c r="L43" i="19"/>
  <c r="L139" i="19" s="1"/>
  <c r="O37" i="19"/>
  <c r="O121" i="19" s="1"/>
  <c r="P121" i="19" s="1"/>
  <c r="Q121" i="19" s="1"/>
  <c r="N37" i="19"/>
  <c r="N121" i="19" s="1"/>
  <c r="M37" i="19"/>
  <c r="M121" i="19" s="1"/>
  <c r="L37" i="19"/>
  <c r="L121" i="19" s="1"/>
  <c r="N35" i="19"/>
  <c r="M35" i="19"/>
  <c r="M148" i="19" s="1"/>
  <c r="L35" i="19"/>
  <c r="L148" i="19" s="1"/>
  <c r="O52" i="19"/>
  <c r="P52" i="19" s="1"/>
  <c r="Q52" i="19" s="1"/>
  <c r="O127" i="19"/>
  <c r="P127" i="19" s="1"/>
  <c r="Q127" i="19" s="1"/>
  <c r="F19" i="14"/>
  <c r="E19" i="14"/>
  <c r="F18" i="14"/>
  <c r="E18" i="14"/>
  <c r="D18" i="14"/>
  <c r="C18" i="14"/>
  <c r="B19" i="14"/>
  <c r="B18" i="14"/>
  <c r="O104" i="19"/>
  <c r="P104" i="19" s="1"/>
  <c r="Q104" i="19" s="1"/>
  <c r="N105" i="19"/>
  <c r="O105" i="19" s="1"/>
  <c r="P105" i="19" s="1"/>
  <c r="Q105" i="19" s="1"/>
  <c r="O65" i="19"/>
  <c r="P65" i="19" s="1"/>
  <c r="Q65" i="19" s="1"/>
  <c r="N66" i="19"/>
  <c r="O66" i="19" s="1"/>
  <c r="P66" i="19" s="1"/>
  <c r="Q66" i="19" s="1"/>
  <c r="N79" i="19"/>
  <c r="O79" i="19" s="1"/>
  <c r="P79" i="19" s="1"/>
  <c r="Q79" i="19" s="1"/>
  <c r="O78" i="19"/>
  <c r="P78" i="19" s="1"/>
  <c r="Q78" i="19" s="1"/>
  <c r="O91" i="19"/>
  <c r="P91" i="19" s="1"/>
  <c r="Q91" i="19" s="1"/>
  <c r="N92" i="19"/>
  <c r="O92" i="19" s="1"/>
  <c r="P92" i="19" s="1"/>
  <c r="Q92" i="19" s="1"/>
  <c r="N98" i="19"/>
  <c r="O98" i="19" s="1"/>
  <c r="P98" i="19" s="1"/>
  <c r="Q98" i="19" s="1"/>
  <c r="N111" i="19"/>
  <c r="O111" i="19" s="1"/>
  <c r="P111" i="19" s="1"/>
  <c r="Q111" i="19" s="1"/>
  <c r="N72" i="19"/>
  <c r="P72" i="19" s="1"/>
  <c r="Q72" i="19" s="1"/>
  <c r="N85" i="19"/>
  <c r="O85" i="19" s="1"/>
  <c r="P85" i="19" s="1"/>
  <c r="Q85" i="19" s="1"/>
  <c r="N59" i="19"/>
  <c r="O59" i="19" s="1"/>
  <c r="P59" i="19" s="1"/>
  <c r="Q59" i="19" s="1"/>
  <c r="M59" i="19"/>
  <c r="O110" i="19"/>
  <c r="P110" i="19" s="1"/>
  <c r="Q110" i="19" s="1"/>
  <c r="O97" i="19"/>
  <c r="P97" i="19" s="1"/>
  <c r="Q97" i="19" s="1"/>
  <c r="O84" i="19"/>
  <c r="P84" i="19" s="1"/>
  <c r="Q84" i="19" s="1"/>
  <c r="O71" i="19"/>
  <c r="P71" i="19" s="1"/>
  <c r="Q71" i="19" s="1"/>
  <c r="O58" i="19"/>
  <c r="P58" i="19" s="1"/>
  <c r="Q58" i="19" s="1"/>
  <c r="N109" i="19"/>
  <c r="O109" i="19" s="1"/>
  <c r="P109" i="19" s="1"/>
  <c r="Q109" i="19" s="1"/>
  <c r="O108" i="19"/>
  <c r="P108" i="19" s="1"/>
  <c r="Q108" i="19" s="1"/>
  <c r="N96" i="19"/>
  <c r="O96" i="19" s="1"/>
  <c r="P96" i="19" s="1"/>
  <c r="Q96" i="19" s="1"/>
  <c r="O95" i="19"/>
  <c r="P95" i="19" s="1"/>
  <c r="Q95" i="19" s="1"/>
  <c r="N83" i="19"/>
  <c r="O83" i="19" s="1"/>
  <c r="P83" i="19" s="1"/>
  <c r="Q83" i="19" s="1"/>
  <c r="O82" i="19"/>
  <c r="P82" i="19" s="1"/>
  <c r="Q82" i="19" s="1"/>
  <c r="O69" i="19"/>
  <c r="P69" i="19" s="1"/>
  <c r="Q69" i="19" s="1"/>
  <c r="N70" i="19"/>
  <c r="O70" i="19" s="1"/>
  <c r="P70" i="19" s="1"/>
  <c r="Q70" i="19" s="1"/>
  <c r="N57" i="19"/>
  <c r="O57" i="19" s="1"/>
  <c r="P57" i="19" s="1"/>
  <c r="Q57" i="19" s="1"/>
  <c r="M57" i="19"/>
  <c r="O56" i="19"/>
  <c r="P56" i="19" s="1"/>
  <c r="Q56" i="19" s="1"/>
  <c r="N55" i="19"/>
  <c r="L94" i="19"/>
  <c r="L107" i="19"/>
  <c r="L81" i="19"/>
  <c r="M111" i="19"/>
  <c r="M109" i="19"/>
  <c r="O107" i="19"/>
  <c r="P107" i="19" s="1"/>
  <c r="Q107" i="19" s="1"/>
  <c r="N107" i="19"/>
  <c r="M107" i="19"/>
  <c r="P106" i="19"/>
  <c r="Q106" i="19" s="1"/>
  <c r="M105" i="19"/>
  <c r="M98" i="19"/>
  <c r="M96" i="19"/>
  <c r="O94" i="19"/>
  <c r="P94" i="19" s="1"/>
  <c r="Q94" i="19" s="1"/>
  <c r="N94" i="19"/>
  <c r="M94" i="19"/>
  <c r="P93" i="19"/>
  <c r="Q93" i="19" s="1"/>
  <c r="M92" i="19"/>
  <c r="M85" i="19"/>
  <c r="M83" i="19"/>
  <c r="O81" i="19"/>
  <c r="P81" i="19" s="1"/>
  <c r="Q81" i="19" s="1"/>
  <c r="N81" i="19"/>
  <c r="M81" i="19"/>
  <c r="P80" i="19"/>
  <c r="Q80" i="19" s="1"/>
  <c r="M79" i="19"/>
  <c r="M70" i="19"/>
  <c r="M72" i="19"/>
  <c r="M66" i="19"/>
  <c r="O68" i="19"/>
  <c r="P68" i="19" s="1"/>
  <c r="Q68" i="19" s="1"/>
  <c r="N68" i="19"/>
  <c r="M68" i="19"/>
  <c r="P67" i="19"/>
  <c r="Q67" i="19" s="1"/>
  <c r="O55" i="19"/>
  <c r="M55" i="19"/>
  <c r="P54" i="19"/>
  <c r="Q54" i="19" s="1"/>
  <c r="Q55" i="19" s="1"/>
  <c r="S4" i="19"/>
  <c r="H4" i="10"/>
  <c r="G4" i="10"/>
  <c r="F4" i="10"/>
  <c r="E4" i="10"/>
  <c r="D4" i="10"/>
  <c r="C4" i="10"/>
  <c r="H3" i="10"/>
  <c r="G3" i="10"/>
  <c r="F3" i="10"/>
  <c r="E3" i="10"/>
  <c r="D3" i="10"/>
  <c r="C3" i="10"/>
  <c r="I4" i="10"/>
  <c r="I3" i="10"/>
  <c r="H36" i="19" l="1"/>
  <c r="M209" i="19"/>
  <c r="AE41" i="9"/>
  <c r="AH41" i="9"/>
  <c r="N70" i="9"/>
  <c r="J51" i="9"/>
  <c r="AF41" i="9"/>
  <c r="E51" i="9"/>
  <c r="M70" i="9"/>
  <c r="F51" i="9"/>
  <c r="U70" i="9"/>
  <c r="V69" i="9"/>
  <c r="V64" i="9"/>
  <c r="AI64" i="9" s="1"/>
  <c r="D51" i="9"/>
  <c r="T70" i="9"/>
  <c r="O70" i="9"/>
  <c r="Q70" i="9"/>
  <c r="R70" i="9"/>
  <c r="AE70" i="9"/>
  <c r="AE73" i="9" s="1"/>
  <c r="AE82" i="9" s="1"/>
  <c r="G51" i="9"/>
  <c r="X69" i="9"/>
  <c r="X70" i="9" s="1"/>
  <c r="X73" i="9" s="1"/>
  <c r="X82" i="9" s="1"/>
  <c r="AF69" i="9"/>
  <c r="AF70" i="9" s="1"/>
  <c r="AF73" i="9" s="1"/>
  <c r="AF82" i="9" s="1"/>
  <c r="AB70" i="9"/>
  <c r="AB73" i="9" s="1"/>
  <c r="AB82" i="9" s="1"/>
  <c r="AH70" i="9"/>
  <c r="AD70" i="9"/>
  <c r="AD73" i="9" s="1"/>
  <c r="AD82" i="9" s="1"/>
  <c r="AA70" i="9"/>
  <c r="AA73" i="9" s="1"/>
  <c r="AA82" i="9" s="1"/>
  <c r="Z70" i="9"/>
  <c r="Z73" i="9" s="1"/>
  <c r="Z82" i="9" s="1"/>
  <c r="L70" i="9"/>
  <c r="Y70" i="9"/>
  <c r="Y73" i="9" s="1"/>
  <c r="Y82" i="9" s="1"/>
  <c r="Y63" i="9"/>
  <c r="AG63" i="9"/>
  <c r="P39" i="9"/>
  <c r="AC39" i="9" s="1"/>
  <c r="AS137" i="8"/>
  <c r="AD101" i="8"/>
  <c r="L25" i="9" s="1"/>
  <c r="N25" i="9"/>
  <c r="AS138" i="8"/>
  <c r="Y64" i="9"/>
  <c r="AG64" i="9"/>
  <c r="AQ141" i="8"/>
  <c r="AC63" i="9"/>
  <c r="AR141" i="8"/>
  <c r="P70" i="9"/>
  <c r="V39" i="9"/>
  <c r="AS143" i="8"/>
  <c r="AC70" i="9"/>
  <c r="AU145" i="8"/>
  <c r="AC64" i="9"/>
  <c r="AG66" i="9"/>
  <c r="AG70" i="9" s="1"/>
  <c r="I51" i="9"/>
  <c r="C51" i="9"/>
  <c r="M51" i="9"/>
  <c r="U51" i="9"/>
  <c r="N51" i="9"/>
  <c r="V51" i="9"/>
  <c r="O51" i="9"/>
  <c r="Q51" i="9"/>
  <c r="R51" i="9"/>
  <c r="K51" i="9"/>
  <c r="S51" i="9"/>
  <c r="AI26" i="9"/>
  <c r="AF28" i="9"/>
  <c r="AG28" i="9"/>
  <c r="AH28" i="9"/>
  <c r="AI27" i="9"/>
  <c r="AG27" i="9"/>
  <c r="AE27" i="9"/>
  <c r="AG26" i="9"/>
  <c r="AE26" i="9"/>
  <c r="AR101" i="8"/>
  <c r="AS101" i="8"/>
  <c r="AY143" i="8"/>
  <c r="AV137" i="8"/>
  <c r="AW141" i="8"/>
  <c r="AQ144" i="8"/>
  <c r="AW137" i="8"/>
  <c r="AY141" i="8"/>
  <c r="AV144" i="8"/>
  <c r="AP138" i="8"/>
  <c r="AZ141" i="8"/>
  <c r="AY144" i="8"/>
  <c r="AV101" i="8"/>
  <c r="AR138" i="8"/>
  <c r="AQ143" i="8"/>
  <c r="AS145" i="8"/>
  <c r="AH101" i="8"/>
  <c r="AT101" i="8" s="1"/>
  <c r="N40" i="9"/>
  <c r="AZ140" i="8"/>
  <c r="AT143" i="8"/>
  <c r="AV145" i="8"/>
  <c r="M38" i="9"/>
  <c r="AU143" i="8"/>
  <c r="AW145" i="8"/>
  <c r="P49" i="9"/>
  <c r="AC49" i="9" s="1"/>
  <c r="AQ101" i="8"/>
  <c r="Z101" i="8"/>
  <c r="AK101" i="8"/>
  <c r="AP101" i="8"/>
  <c r="AT138" i="8"/>
  <c r="AV140" i="8"/>
  <c r="AS141" i="8"/>
  <c r="AR144" i="8"/>
  <c r="AZ144" i="8"/>
  <c r="E38" i="9"/>
  <c r="AP137" i="8"/>
  <c r="AX137" i="8"/>
  <c r="AU138" i="8"/>
  <c r="AW140" i="8"/>
  <c r="AT141" i="8"/>
  <c r="AV143" i="8"/>
  <c r="AS144" i="8"/>
  <c r="AP145" i="8"/>
  <c r="AX145" i="8"/>
  <c r="F38" i="9"/>
  <c r="L39" i="9"/>
  <c r="AA39" i="9" s="1"/>
  <c r="T39" i="9"/>
  <c r="AU140" i="8"/>
  <c r="AQ137" i="8"/>
  <c r="AY137" i="8"/>
  <c r="AV138" i="8"/>
  <c r="AP140" i="8"/>
  <c r="AX140" i="8"/>
  <c r="AU141" i="8"/>
  <c r="AW143" i="8"/>
  <c r="AT144" i="8"/>
  <c r="AQ145" i="8"/>
  <c r="AY145" i="8"/>
  <c r="G38" i="9"/>
  <c r="AQ140" i="8"/>
  <c r="AP143" i="8"/>
  <c r="AX143" i="8"/>
  <c r="AU144" i="8"/>
  <c r="L49" i="9"/>
  <c r="Y49" i="9" s="1"/>
  <c r="T49" i="9"/>
  <c r="AG49" i="9" s="1"/>
  <c r="I38" i="9"/>
  <c r="Q38" i="9"/>
  <c r="AX138" i="8"/>
  <c r="AR140" i="8"/>
  <c r="J38" i="9"/>
  <c r="R38" i="9"/>
  <c r="AY138" i="8"/>
  <c r="AD153" i="8"/>
  <c r="AS153" i="8" s="1"/>
  <c r="AT150" i="8" s="1"/>
  <c r="AZ138" i="8"/>
  <c r="X39" i="9"/>
  <c r="Y7" i="9"/>
  <c r="AE6" i="9"/>
  <c r="AI6" i="9"/>
  <c r="AE7" i="9"/>
  <c r="AF7" i="9"/>
  <c r="AC6" i="9"/>
  <c r="AD6" i="9"/>
  <c r="AG7" i="9"/>
  <c r="Z7" i="9"/>
  <c r="AH7" i="9"/>
  <c r="Y6" i="9"/>
  <c r="AF6" i="9"/>
  <c r="AA7" i="9"/>
  <c r="AI7" i="9"/>
  <c r="AB7" i="9"/>
  <c r="Z6" i="9"/>
  <c r="AH6" i="9"/>
  <c r="AC7" i="9"/>
  <c r="AA6" i="9"/>
  <c r="AD7" i="9"/>
  <c r="X6" i="9"/>
  <c r="AG6" i="9"/>
  <c r="X7" i="9"/>
  <c r="AB6" i="9"/>
  <c r="N145" i="8"/>
  <c r="U145" i="8"/>
  <c r="V145" i="8" s="1"/>
  <c r="N144" i="8"/>
  <c r="N143" i="8"/>
  <c r="AF51" i="8"/>
  <c r="AF60" i="8" s="1"/>
  <c r="AH142" i="8"/>
  <c r="AU142" i="8" s="1"/>
  <c r="Y142" i="8"/>
  <c r="Z142" i="8" s="1"/>
  <c r="Q142" i="8"/>
  <c r="R142" i="8" s="1"/>
  <c r="AK142" i="8"/>
  <c r="AC142" i="8"/>
  <c r="T142" i="8"/>
  <c r="U142" i="8" s="1"/>
  <c r="E146" i="8"/>
  <c r="V141" i="8"/>
  <c r="N141" i="8"/>
  <c r="Y141" i="8"/>
  <c r="Z141" i="8" s="1"/>
  <c r="F146" i="8"/>
  <c r="Z140" i="8"/>
  <c r="AF139" i="8"/>
  <c r="C146" i="8"/>
  <c r="AN146" i="8"/>
  <c r="S146" i="8"/>
  <c r="AA146" i="8"/>
  <c r="AI146" i="8"/>
  <c r="L146" i="8"/>
  <c r="AB146" i="8"/>
  <c r="AJ146" i="8"/>
  <c r="W146" i="8"/>
  <c r="P146" i="8"/>
  <c r="X146" i="8"/>
  <c r="AN51" i="8"/>
  <c r="AN60" i="8" s="1"/>
  <c r="AK51" i="8"/>
  <c r="AK60" i="8" s="1"/>
  <c r="AE51" i="8"/>
  <c r="AE60" i="8" s="1"/>
  <c r="R139" i="8"/>
  <c r="AD139" i="8"/>
  <c r="V139" i="8"/>
  <c r="Z139" i="8"/>
  <c r="AL139" i="8"/>
  <c r="AX139" i="8" s="1"/>
  <c r="R137" i="8"/>
  <c r="N138" i="8"/>
  <c r="N139" i="8"/>
  <c r="AJ51" i="8"/>
  <c r="AJ60" i="8" s="1"/>
  <c r="AI51" i="8"/>
  <c r="AI60" i="8" s="1"/>
  <c r="AS50" i="8"/>
  <c r="K60" i="9"/>
  <c r="X60" i="9" s="1"/>
  <c r="M60" i="9"/>
  <c r="Z60" i="9" s="1"/>
  <c r="N60" i="9"/>
  <c r="AA60" i="9" s="1"/>
  <c r="I60" i="9"/>
  <c r="O60" i="9"/>
  <c r="AB60" i="9" s="1"/>
  <c r="S68" i="8"/>
  <c r="S75" i="8" s="1"/>
  <c r="AI68" i="8"/>
  <c r="X68" i="8"/>
  <c r="X75" i="8" s="1"/>
  <c r="X83" i="8" s="1"/>
  <c r="X85" i="8" s="1"/>
  <c r="P68" i="8"/>
  <c r="P75" i="8" s="1"/>
  <c r="O68" i="8"/>
  <c r="T68" i="8"/>
  <c r="AK68" i="8"/>
  <c r="I68" i="8"/>
  <c r="I75" i="8" s="1"/>
  <c r="Q68" i="8"/>
  <c r="Q75" i="8" s="1"/>
  <c r="AZ118" i="8"/>
  <c r="AB68" i="8"/>
  <c r="AJ68" i="8"/>
  <c r="AZ105" i="8"/>
  <c r="AW160" i="8"/>
  <c r="AZ125" i="8"/>
  <c r="X12" i="9"/>
  <c r="X17" i="9"/>
  <c r="AU132" i="8"/>
  <c r="AR126" i="8"/>
  <c r="AE51" i="9"/>
  <c r="P56" i="9"/>
  <c r="AC56" i="9" s="1"/>
  <c r="O33" i="9"/>
  <c r="V35" i="9"/>
  <c r="K21" i="9"/>
  <c r="AA21" i="9" s="1"/>
  <c r="L47" i="9"/>
  <c r="X51" i="9"/>
  <c r="AR153" i="8"/>
  <c r="AS150" i="8" s="1"/>
  <c r="P17" i="9"/>
  <c r="AF17" i="9" s="1"/>
  <c r="O59" i="9"/>
  <c r="AB59" i="9" s="1"/>
  <c r="N32" i="9"/>
  <c r="T16" i="9"/>
  <c r="AI16" i="9" s="1"/>
  <c r="O35" i="9"/>
  <c r="AV132" i="8"/>
  <c r="L55" i="9"/>
  <c r="Y55" i="9" s="1"/>
  <c r="T55" i="9"/>
  <c r="AG55" i="9" s="1"/>
  <c r="R32" i="9"/>
  <c r="P33" i="9"/>
  <c r="AZ116" i="8"/>
  <c r="AK100" i="8"/>
  <c r="AF51" i="9"/>
  <c r="L58" i="9"/>
  <c r="Y58" i="9" s="1"/>
  <c r="T58" i="9"/>
  <c r="AG58" i="9" s="1"/>
  <c r="I59" i="9"/>
  <c r="S32" i="9"/>
  <c r="T34" i="9"/>
  <c r="AD51" i="9"/>
  <c r="L16" i="9"/>
  <c r="Y16" i="9" s="1"/>
  <c r="AZ117" i="8"/>
  <c r="P12" i="9"/>
  <c r="AF12" i="9" s="1"/>
  <c r="L48" i="9"/>
  <c r="Y48" i="9" s="1"/>
  <c r="T48" i="9"/>
  <c r="AG48" i="9" s="1"/>
  <c r="P57" i="9"/>
  <c r="AC57" i="9" s="1"/>
  <c r="J59" i="9"/>
  <c r="T32" i="9"/>
  <c r="J33" i="9"/>
  <c r="X33" i="9" s="1"/>
  <c r="R33" i="9"/>
  <c r="J35" i="9"/>
  <c r="R35" i="9"/>
  <c r="AZ160" i="8"/>
  <c r="P16" i="9"/>
  <c r="AE16" i="9" s="1"/>
  <c r="L17" i="9"/>
  <c r="Z17" i="9" s="1"/>
  <c r="T17" i="9"/>
  <c r="P47" i="9"/>
  <c r="L56" i="9"/>
  <c r="Y56" i="9" s="1"/>
  <c r="T56" i="9"/>
  <c r="AG56" i="9" s="1"/>
  <c r="K59" i="9"/>
  <c r="X59" i="9" s="1"/>
  <c r="S33" i="9"/>
  <c r="AI33" i="9" s="1"/>
  <c r="S35" i="9"/>
  <c r="P55" i="9"/>
  <c r="AC55" i="9" s="1"/>
  <c r="AA51" i="9"/>
  <c r="P58" i="9"/>
  <c r="AC58" i="9" s="1"/>
  <c r="P34" i="9"/>
  <c r="AF34" i="9" s="1"/>
  <c r="L12" i="9"/>
  <c r="AB12" i="9" s="1"/>
  <c r="T12" i="9"/>
  <c r="AI12" i="9" s="1"/>
  <c r="J21" i="9"/>
  <c r="T57" i="9"/>
  <c r="AG57" i="9" s="1"/>
  <c r="N35" i="9"/>
  <c r="Z51" i="9"/>
  <c r="AH51" i="9"/>
  <c r="AB51" i="9"/>
  <c r="X16" i="9"/>
  <c r="Z19" i="10"/>
  <c r="Z14" i="10"/>
  <c r="N20" i="10"/>
  <c r="N8" i="10"/>
  <c r="Z13" i="10"/>
  <c r="AA13" i="10"/>
  <c r="AA15" i="10" s="1"/>
  <c r="N15" i="10"/>
  <c r="Z18" i="10"/>
  <c r="Z20" i="10" s="1"/>
  <c r="AA18" i="10"/>
  <c r="AA20" i="10" s="1"/>
  <c r="AB18" i="10"/>
  <c r="AB20" i="10" s="1"/>
  <c r="N7" i="10"/>
  <c r="D9" i="10"/>
  <c r="AC18" i="10"/>
  <c r="AG13" i="10"/>
  <c r="AH13" i="10"/>
  <c r="AI13" i="10"/>
  <c r="AJ13" i="10"/>
  <c r="AF19" i="10"/>
  <c r="AL19" i="10" s="1"/>
  <c r="R20" i="10"/>
  <c r="AE19" i="10"/>
  <c r="AE20" i="10" s="1"/>
  <c r="AC19" i="10"/>
  <c r="AC14" i="10"/>
  <c r="AC15" i="10" s="1"/>
  <c r="R8" i="10"/>
  <c r="AD14" i="10"/>
  <c r="AD15" i="10" s="1"/>
  <c r="R15" i="10"/>
  <c r="R7" i="10"/>
  <c r="AF13" i="10"/>
  <c r="AF15" i="10" s="1"/>
  <c r="AI15" i="10"/>
  <c r="AL14" i="10"/>
  <c r="AG14" i="10"/>
  <c r="AH14" i="10"/>
  <c r="V8" i="10"/>
  <c r="AI19" i="10"/>
  <c r="AH18" i="10"/>
  <c r="AH20" i="10" s="1"/>
  <c r="V20" i="10"/>
  <c r="V7" i="10"/>
  <c r="AI18" i="10"/>
  <c r="AJ18" i="10"/>
  <c r="AB15" i="10"/>
  <c r="AJ15" i="10"/>
  <c r="AD20" i="10"/>
  <c r="AG15" i="10"/>
  <c r="AJ20" i="10"/>
  <c r="Z15" i="10"/>
  <c r="AH15" i="10"/>
  <c r="AG20" i="10"/>
  <c r="AE15" i="10"/>
  <c r="AL13" i="10"/>
  <c r="AL18" i="10"/>
  <c r="AD150" i="8"/>
  <c r="Z150" i="8"/>
  <c r="AF134" i="8"/>
  <c r="AZ114" i="8"/>
  <c r="AZ107" i="8"/>
  <c r="AN134" i="8"/>
  <c r="AL126" i="8"/>
  <c r="AW132" i="8"/>
  <c r="AJ134" i="8"/>
  <c r="AL153" i="8"/>
  <c r="AV129" i="8"/>
  <c r="AS127" i="8"/>
  <c r="AL129" i="8"/>
  <c r="AZ129" i="8" s="1"/>
  <c r="AW102" i="8"/>
  <c r="AW118" i="8"/>
  <c r="AL119" i="8"/>
  <c r="AX119" i="8" s="1"/>
  <c r="AW129" i="8"/>
  <c r="X134" i="8"/>
  <c r="AC107" i="8"/>
  <c r="AD107" i="8" s="1"/>
  <c r="AP126" i="8"/>
  <c r="AR133" i="8"/>
  <c r="AW120" i="8"/>
  <c r="AG131" i="8"/>
  <c r="AG134" i="8" s="1"/>
  <c r="AR127" i="8"/>
  <c r="L134" i="8"/>
  <c r="Y125" i="8"/>
  <c r="Z125" i="8" s="1"/>
  <c r="AC120" i="8"/>
  <c r="AD120" i="8" s="1"/>
  <c r="AR120" i="8" s="1"/>
  <c r="AW114" i="8"/>
  <c r="AT129" i="8"/>
  <c r="AZ102" i="8"/>
  <c r="AZ109" i="8"/>
  <c r="AX161" i="8"/>
  <c r="AK134" i="8"/>
  <c r="AW109" i="8"/>
  <c r="AH125" i="8"/>
  <c r="AT125" i="8" s="1"/>
  <c r="AS126" i="8"/>
  <c r="AD160" i="8"/>
  <c r="AQ131" i="8"/>
  <c r="AG100" i="8"/>
  <c r="AS100" i="8" s="1"/>
  <c r="AS119" i="8"/>
  <c r="AH117" i="8"/>
  <c r="AW117" i="8" s="1"/>
  <c r="V125" i="8"/>
  <c r="V134" i="8" s="1"/>
  <c r="Z128" i="8"/>
  <c r="AP130" i="8"/>
  <c r="AP132" i="8"/>
  <c r="AP133" i="8"/>
  <c r="Y161" i="8"/>
  <c r="Z161" i="8" s="1"/>
  <c r="AR119" i="8"/>
  <c r="AR131" i="8"/>
  <c r="AZ161" i="8"/>
  <c r="M128" i="8"/>
  <c r="N128" i="8" s="1"/>
  <c r="N134" i="8" s="1"/>
  <c r="U161" i="8"/>
  <c r="V161" i="8" s="1"/>
  <c r="Y116" i="8"/>
  <c r="Z116" i="8" s="1"/>
  <c r="AC117" i="8"/>
  <c r="AD117" i="8" s="1"/>
  <c r="AQ126" i="8"/>
  <c r="AQ130" i="8"/>
  <c r="AQ132" i="8"/>
  <c r="AQ133" i="8"/>
  <c r="R117" i="8"/>
  <c r="Z104" i="8"/>
  <c r="AR130" i="8"/>
  <c r="AR132" i="8"/>
  <c r="AG105" i="8"/>
  <c r="AH105" i="8" s="1"/>
  <c r="U160" i="8"/>
  <c r="V160" i="8" s="1"/>
  <c r="U120" i="8"/>
  <c r="V120" i="8" s="1"/>
  <c r="Z106" i="8"/>
  <c r="Z118" i="8"/>
  <c r="U106" i="8"/>
  <c r="V106" i="8" s="1"/>
  <c r="AD109" i="8"/>
  <c r="AS109" i="8" s="1"/>
  <c r="AD102" i="8"/>
  <c r="AC106" i="8"/>
  <c r="AC125" i="8"/>
  <c r="AC161" i="8"/>
  <c r="AP127" i="8"/>
  <c r="AZ130" i="8"/>
  <c r="R114" i="8"/>
  <c r="AP131" i="8"/>
  <c r="AX160" i="8"/>
  <c r="AY160" i="8"/>
  <c r="R126" i="8"/>
  <c r="AX125" i="8"/>
  <c r="AY125" i="8"/>
  <c r="AX133" i="8"/>
  <c r="AZ127" i="8"/>
  <c r="AX130" i="8"/>
  <c r="AL131" i="8"/>
  <c r="AX131" i="8" s="1"/>
  <c r="AY133" i="8"/>
  <c r="AX128" i="8"/>
  <c r="AX127" i="8"/>
  <c r="AY128" i="8"/>
  <c r="AX132" i="8"/>
  <c r="AY132" i="8"/>
  <c r="AW126" i="8"/>
  <c r="AH115" i="8"/>
  <c r="AW115" i="8" s="1"/>
  <c r="AU160" i="8"/>
  <c r="AV160" i="8"/>
  <c r="AH153" i="8"/>
  <c r="AW153" i="8" s="1"/>
  <c r="AX150" i="8" s="1"/>
  <c r="AS118" i="8"/>
  <c r="AS116" i="8"/>
  <c r="AF150" i="8"/>
  <c r="AH150" i="8" s="1"/>
  <c r="AT133" i="8"/>
  <c r="AW128" i="8"/>
  <c r="AW130" i="8"/>
  <c r="AU126" i="8"/>
  <c r="AV126" i="8"/>
  <c r="AU133" i="8"/>
  <c r="AV133" i="8"/>
  <c r="AT130" i="8"/>
  <c r="AU130" i="8"/>
  <c r="AU128" i="8"/>
  <c r="AV128" i="8"/>
  <c r="AT127" i="8"/>
  <c r="AU127" i="8"/>
  <c r="AV127" i="8"/>
  <c r="AV121" i="8"/>
  <c r="AW161" i="8"/>
  <c r="AT161" i="8"/>
  <c r="AU161" i="8"/>
  <c r="AT160" i="8"/>
  <c r="AD128" i="8"/>
  <c r="AQ100" i="8"/>
  <c r="AP100" i="8"/>
  <c r="AQ119" i="8"/>
  <c r="AP121" i="8"/>
  <c r="AP115" i="8"/>
  <c r="AB134" i="8"/>
  <c r="AR116" i="8"/>
  <c r="AR105" i="8"/>
  <c r="AQ105" i="8"/>
  <c r="AR100" i="8"/>
  <c r="AS114" i="8"/>
  <c r="AP105" i="8"/>
  <c r="AR104" i="8"/>
  <c r="V102" i="8"/>
  <c r="Q118" i="8"/>
  <c r="R118" i="8" s="1"/>
  <c r="V114" i="8"/>
  <c r="V115" i="8"/>
  <c r="P134" i="8"/>
  <c r="Q160" i="8"/>
  <c r="R160" i="8" s="1"/>
  <c r="V117" i="8"/>
  <c r="U118" i="8"/>
  <c r="V118" i="8" s="1"/>
  <c r="T134" i="8"/>
  <c r="Q100" i="8"/>
  <c r="R100" i="8" s="1"/>
  <c r="Q115" i="8"/>
  <c r="R115" i="8" s="1"/>
  <c r="U100" i="8"/>
  <c r="V100" i="8" s="1"/>
  <c r="Q110" i="8"/>
  <c r="R110" i="8" s="1"/>
  <c r="Q127" i="8"/>
  <c r="R127" i="8" s="1"/>
  <c r="U134" i="8"/>
  <c r="AZ121" i="8"/>
  <c r="AU110" i="8"/>
  <c r="AX117" i="8"/>
  <c r="AS121" i="8"/>
  <c r="AR121" i="8"/>
  <c r="AQ121" i="8"/>
  <c r="N105" i="8"/>
  <c r="AS104" i="8"/>
  <c r="AR111" i="8"/>
  <c r="AT120" i="8"/>
  <c r="AP104" i="8"/>
  <c r="AV106" i="8"/>
  <c r="AY106" i="8"/>
  <c r="N118" i="8"/>
  <c r="AZ104" i="8"/>
  <c r="AW111" i="8"/>
  <c r="AP118" i="8"/>
  <c r="AX102" i="8"/>
  <c r="AV107" i="8"/>
  <c r="AZ111" i="8"/>
  <c r="AX118" i="8"/>
  <c r="AX108" i="8"/>
  <c r="AX109" i="8"/>
  <c r="AR110" i="8"/>
  <c r="AY115" i="8"/>
  <c r="AU102" i="8"/>
  <c r="AU120" i="8"/>
  <c r="AV120" i="8"/>
  <c r="AT114" i="8"/>
  <c r="AV116" i="8"/>
  <c r="AS108" i="8"/>
  <c r="AU121" i="8"/>
  <c r="AY102" i="8"/>
  <c r="AZ106" i="8"/>
  <c r="AW107" i="8"/>
  <c r="AT108" i="8"/>
  <c r="AY109" i="8"/>
  <c r="AV110" i="8"/>
  <c r="AS111" i="8"/>
  <c r="AU114" i="8"/>
  <c r="AR115" i="8"/>
  <c r="AZ115" i="8"/>
  <c r="AW116" i="8"/>
  <c r="AQ118" i="8"/>
  <c r="AY118" i="8"/>
  <c r="AT121" i="8"/>
  <c r="AU104" i="8"/>
  <c r="AX107" i="8"/>
  <c r="AU108" i="8"/>
  <c r="AW110" i="8"/>
  <c r="AT111" i="8"/>
  <c r="AV114" i="8"/>
  <c r="AS115" i="8"/>
  <c r="AP116" i="8"/>
  <c r="AX116" i="8"/>
  <c r="AR118" i="8"/>
  <c r="AX104" i="8"/>
  <c r="AT106" i="8"/>
  <c r="AY107" i="8"/>
  <c r="AV108" i="8"/>
  <c r="AP110" i="8"/>
  <c r="AX110" i="8"/>
  <c r="AU111" i="8"/>
  <c r="AQ116" i="8"/>
  <c r="AY116" i="8"/>
  <c r="AT102" i="8"/>
  <c r="AX105" i="8"/>
  <c r="AU106" i="8"/>
  <c r="AT109" i="8"/>
  <c r="AQ110" i="8"/>
  <c r="AY110" i="8"/>
  <c r="AP114" i="8"/>
  <c r="AX114" i="8"/>
  <c r="AT118" i="8"/>
  <c r="AY105" i="8"/>
  <c r="AP108" i="8"/>
  <c r="AU109" i="8"/>
  <c r="AY114" i="8"/>
  <c r="AU118" i="8"/>
  <c r="AV102" i="8"/>
  <c r="AT107" i="8"/>
  <c r="AQ108" i="8"/>
  <c r="AY108" i="8"/>
  <c r="AV109" i="8"/>
  <c r="AP111" i="8"/>
  <c r="AX111" i="8"/>
  <c r="AR114" i="8"/>
  <c r="AT116" i="8"/>
  <c r="AY117" i="8"/>
  <c r="AV118" i="8"/>
  <c r="AV104" i="8"/>
  <c r="AW104" i="8"/>
  <c r="AW119" i="8"/>
  <c r="AV119" i="8"/>
  <c r="AU119" i="8"/>
  <c r="O32" i="8"/>
  <c r="O97" i="8" s="1"/>
  <c r="W32" i="8"/>
  <c r="W97" i="8" s="1"/>
  <c r="W122" i="8" s="1"/>
  <c r="AE32" i="8"/>
  <c r="AE97" i="8" s="1"/>
  <c r="AE122" i="8" s="1"/>
  <c r="AE154" i="8" s="1"/>
  <c r="AY121" i="8"/>
  <c r="AQ31" i="8"/>
  <c r="AR31" i="8"/>
  <c r="AU22" i="8"/>
  <c r="AQ22" i="8"/>
  <c r="AS22" i="8"/>
  <c r="AY23" i="8"/>
  <c r="AZ23" i="8"/>
  <c r="AU25" i="8"/>
  <c r="AP22" i="8"/>
  <c r="AV22" i="8"/>
  <c r="BB22" i="8" s="1"/>
  <c r="AP10" i="8"/>
  <c r="AV25" i="8"/>
  <c r="BB25" i="8" s="1"/>
  <c r="AQ10" i="8"/>
  <c r="AW25" i="8"/>
  <c r="AD11" i="8"/>
  <c r="AD14" i="8" s="1"/>
  <c r="AD15" i="8" s="1"/>
  <c r="AR10" i="8"/>
  <c r="AP23" i="8"/>
  <c r="AS24" i="8"/>
  <c r="AW31" i="8"/>
  <c r="AX24" i="8"/>
  <c r="AU10" i="8"/>
  <c r="AR23" i="8"/>
  <c r="AW22" i="8"/>
  <c r="AP17" i="8"/>
  <c r="N14" i="8"/>
  <c r="N15" i="8" s="1"/>
  <c r="AH11" i="8"/>
  <c r="AH14" i="8" s="1"/>
  <c r="AH15" i="8" s="1"/>
  <c r="AV10" i="8"/>
  <c r="AS23" i="8"/>
  <c r="AW10" i="8"/>
  <c r="AU13" i="8"/>
  <c r="AV13" i="8"/>
  <c r="AY25" i="8"/>
  <c r="AY24" i="8"/>
  <c r="AT31" i="8"/>
  <c r="AW13" i="8"/>
  <c r="AP24" i="8"/>
  <c r="AX25" i="8"/>
  <c r="AY26" i="8"/>
  <c r="AW24" i="8"/>
  <c r="AR18" i="8"/>
  <c r="AS31" i="8"/>
  <c r="AY22" i="8"/>
  <c r="AP13" i="8"/>
  <c r="AS13" i="8"/>
  <c r="AV24" i="8"/>
  <c r="BB24" i="8" s="1"/>
  <c r="Z14" i="8"/>
  <c r="Z15" i="8" s="1"/>
  <c r="AP18" i="8"/>
  <c r="AQ18" i="8"/>
  <c r="AX18" i="8"/>
  <c r="AT23" i="8"/>
  <c r="AY18" i="8"/>
  <c r="AU23" i="8"/>
  <c r="AV23" i="8"/>
  <c r="AQ13" i="8"/>
  <c r="AV17" i="8"/>
  <c r="AQ24" i="8"/>
  <c r="AU31" i="8"/>
  <c r="AW17" i="8"/>
  <c r="AX22" i="8"/>
  <c r="AP25" i="8"/>
  <c r="AX26" i="8"/>
  <c r="AT24" i="8"/>
  <c r="AX31" i="8"/>
  <c r="AY31" i="8"/>
  <c r="AP26" i="8"/>
  <c r="AQ26" i="8"/>
  <c r="AR26" i="8"/>
  <c r="V14" i="8"/>
  <c r="V15" i="8" s="1"/>
  <c r="AZ10" i="8"/>
  <c r="AQ25" i="8"/>
  <c r="AX10" i="8"/>
  <c r="AR25" i="8"/>
  <c r="AT17" i="8"/>
  <c r="AX17" i="8"/>
  <c r="AY17" i="8"/>
  <c r="AX13" i="8"/>
  <c r="AY13" i="8"/>
  <c r="AT26" i="8"/>
  <c r="AU26" i="8"/>
  <c r="AV26" i="8"/>
  <c r="BB26" i="8" s="1"/>
  <c r="AT18" i="8"/>
  <c r="AU18" i="8"/>
  <c r="AV18" i="8"/>
  <c r="AQ17" i="8"/>
  <c r="AR17" i="8"/>
  <c r="R14" i="8"/>
  <c r="R15" i="8" s="1"/>
  <c r="AP35" i="8"/>
  <c r="AH82" i="8"/>
  <c r="P72" i="9" s="1"/>
  <c r="AC72" i="9" s="1"/>
  <c r="AH51" i="8"/>
  <c r="AH60" i="8" s="1"/>
  <c r="AL51" i="8"/>
  <c r="AL60" i="8" s="1"/>
  <c r="Z82" i="8"/>
  <c r="V82" i="8"/>
  <c r="V68" i="8"/>
  <c r="V75" i="8" s="1"/>
  <c r="AD68" i="8"/>
  <c r="AD75" i="8" s="1"/>
  <c r="Z68" i="8"/>
  <c r="Z75" i="8" s="1"/>
  <c r="Z51" i="8"/>
  <c r="Z60" i="8" s="1"/>
  <c r="AT47" i="8"/>
  <c r="AH68" i="8"/>
  <c r="AD51" i="8"/>
  <c r="AD60" i="8" s="1"/>
  <c r="AX46" i="8"/>
  <c r="AP49" i="8"/>
  <c r="V51" i="8"/>
  <c r="V60" i="8" s="1"/>
  <c r="R51" i="8"/>
  <c r="R60" i="8" s="1"/>
  <c r="R82" i="8"/>
  <c r="R68" i="8"/>
  <c r="R75" i="8" s="1"/>
  <c r="N82" i="8"/>
  <c r="L83" i="8"/>
  <c r="M83" i="8"/>
  <c r="N51" i="8"/>
  <c r="N60" i="8" s="1"/>
  <c r="N68" i="8"/>
  <c r="N75" i="8" s="1"/>
  <c r="AA83" i="8"/>
  <c r="AA85" i="8" s="1"/>
  <c r="Y83" i="8"/>
  <c r="Y85" i="8" s="1"/>
  <c r="AG83" i="8"/>
  <c r="AG85" i="8" s="1"/>
  <c r="U83" i="8"/>
  <c r="U85" i="8" s="1"/>
  <c r="AC83" i="8"/>
  <c r="AC85" i="8" s="1"/>
  <c r="AE83" i="8"/>
  <c r="AF83" i="8"/>
  <c r="AF85" i="8" s="1"/>
  <c r="AJ15" i="8"/>
  <c r="AJ19" i="8"/>
  <c r="X15" i="8"/>
  <c r="X19" i="8"/>
  <c r="O29" i="8"/>
  <c r="AE29" i="8"/>
  <c r="L15" i="8"/>
  <c r="L19" i="8"/>
  <c r="L28" i="8" s="1"/>
  <c r="T15" i="8"/>
  <c r="T19" i="8"/>
  <c r="AB15" i="8"/>
  <c r="AB19" i="8"/>
  <c r="AB28" i="8" s="1"/>
  <c r="W29" i="8"/>
  <c r="M19" i="8"/>
  <c r="M28" i="8" s="1"/>
  <c r="M15" i="8"/>
  <c r="U15" i="8"/>
  <c r="U19" i="8"/>
  <c r="U28" i="8" s="1"/>
  <c r="AC15" i="8"/>
  <c r="AC19" i="8"/>
  <c r="AC28" i="8" s="1"/>
  <c r="K15" i="8"/>
  <c r="K19" i="8"/>
  <c r="K28" i="8" s="1"/>
  <c r="S15" i="8"/>
  <c r="S19" i="8"/>
  <c r="S28" i="8" s="1"/>
  <c r="AA15" i="8"/>
  <c r="AA19" i="8"/>
  <c r="AA28" i="8" s="1"/>
  <c r="AI15" i="8"/>
  <c r="AI19" i="8"/>
  <c r="AI28" i="8" s="1"/>
  <c r="AF19" i="8"/>
  <c r="P19" i="8"/>
  <c r="Q19" i="8"/>
  <c r="Q28" i="8" s="1"/>
  <c r="Y19" i="8"/>
  <c r="Y28" i="8" s="1"/>
  <c r="AG19" i="8"/>
  <c r="AG28" i="8" s="1"/>
  <c r="O15" i="8"/>
  <c r="W15" i="8"/>
  <c r="AE15" i="8"/>
  <c r="O20" i="8"/>
  <c r="W20" i="8"/>
  <c r="AE20" i="8"/>
  <c r="L202" i="19"/>
  <c r="E52" i="14"/>
  <c r="D52" i="14"/>
  <c r="O204" i="19"/>
  <c r="P202" i="19"/>
  <c r="M208" i="19"/>
  <c r="N206" i="19"/>
  <c r="L204" i="19"/>
  <c r="M198" i="19"/>
  <c r="P204" i="19"/>
  <c r="O206" i="19"/>
  <c r="L22" i="19"/>
  <c r="M22" i="19" s="1"/>
  <c r="M186" i="19"/>
  <c r="H60" i="14" s="1"/>
  <c r="N186" i="19"/>
  <c r="I60" i="14" s="1"/>
  <c r="Q187" i="19"/>
  <c r="O186" i="19"/>
  <c r="J60" i="14" s="1"/>
  <c r="M197" i="19"/>
  <c r="H61" i="14" s="1"/>
  <c r="P187" i="19"/>
  <c r="Q186" i="19"/>
  <c r="P186" i="19"/>
  <c r="K60" i="14" s="1"/>
  <c r="M187" i="19"/>
  <c r="N187" i="19"/>
  <c r="O187" i="19"/>
  <c r="F53" i="14"/>
  <c r="F52" i="14"/>
  <c r="E53" i="14"/>
  <c r="D53" i="14"/>
  <c r="J28" i="19"/>
  <c r="L195" i="19"/>
  <c r="L182" i="19"/>
  <c r="N171" i="19"/>
  <c r="I58" i="14" s="1"/>
  <c r="O171" i="19"/>
  <c r="J58" i="14" s="1"/>
  <c r="L180" i="19"/>
  <c r="P172" i="19"/>
  <c r="Q172" i="19"/>
  <c r="P171" i="19"/>
  <c r="K58" i="14" s="1"/>
  <c r="Q171" i="19"/>
  <c r="L193" i="19"/>
  <c r="L184" i="19"/>
  <c r="L191" i="19"/>
  <c r="N172" i="19"/>
  <c r="L178" i="19"/>
  <c r="O172" i="19"/>
  <c r="N195" i="19"/>
  <c r="N197" i="19" s="1"/>
  <c r="I61" i="14" s="1"/>
  <c r="O195" i="19"/>
  <c r="O198" i="19" s="1"/>
  <c r="G34" i="19"/>
  <c r="E38" i="19"/>
  <c r="H34" i="19"/>
  <c r="H44" i="19"/>
  <c r="J14" i="19"/>
  <c r="E44" i="19"/>
  <c r="F38" i="19"/>
  <c r="D46" i="19"/>
  <c r="D36" i="19"/>
  <c r="G38" i="19"/>
  <c r="E46" i="19"/>
  <c r="F36" i="19"/>
  <c r="D44" i="19"/>
  <c r="G46" i="19"/>
  <c r="D34" i="19"/>
  <c r="G36" i="19"/>
  <c r="E34" i="19"/>
  <c r="F44" i="19"/>
  <c r="F34" i="19"/>
  <c r="G44" i="19"/>
  <c r="H38" i="19"/>
  <c r="J6" i="19"/>
  <c r="J7" i="19"/>
  <c r="E36" i="19"/>
  <c r="F46" i="19"/>
  <c r="H46" i="19"/>
  <c r="J10" i="19"/>
  <c r="D38" i="19"/>
  <c r="J25" i="19"/>
  <c r="J22" i="19"/>
  <c r="J13" i="19"/>
  <c r="C8" i="19"/>
  <c r="C47" i="19" s="1"/>
  <c r="D8" i="19"/>
  <c r="D47" i="19" s="1"/>
  <c r="E8" i="19"/>
  <c r="E47" i="19" s="1"/>
  <c r="F8" i="19"/>
  <c r="F43" i="19" s="1"/>
  <c r="L152" i="19"/>
  <c r="L156" i="19" s="1"/>
  <c r="G8" i="19"/>
  <c r="G43" i="19" s="1"/>
  <c r="L120" i="19"/>
  <c r="N46" i="19"/>
  <c r="N128" i="19"/>
  <c r="M143" i="19"/>
  <c r="L125" i="19"/>
  <c r="M128" i="19"/>
  <c r="Q43" i="19"/>
  <c r="Q152" i="19" s="1"/>
  <c r="Q35" i="19"/>
  <c r="Q120" i="19" s="1"/>
  <c r="N36" i="19"/>
  <c r="O36" i="19" s="1"/>
  <c r="P36" i="19" s="1"/>
  <c r="Q36" i="19" s="1"/>
  <c r="Q45" i="19"/>
  <c r="Q128" i="19" s="1"/>
  <c r="M120" i="19"/>
  <c r="N38" i="19"/>
  <c r="L128" i="19"/>
  <c r="O35" i="19"/>
  <c r="Q37" i="19"/>
  <c r="M125" i="19"/>
  <c r="O38" i="19"/>
  <c r="P38" i="19" s="1"/>
  <c r="Q38" i="19" s="1"/>
  <c r="P35" i="19"/>
  <c r="N125" i="19"/>
  <c r="O125" i="19" s="1"/>
  <c r="P125" i="19" s="1"/>
  <c r="Q125" i="19" s="1"/>
  <c r="O45" i="19"/>
  <c r="O128" i="19" s="1"/>
  <c r="L143" i="19"/>
  <c r="N148" i="19"/>
  <c r="P45" i="19"/>
  <c r="P128" i="19" s="1"/>
  <c r="M144" i="19"/>
  <c r="N120" i="19"/>
  <c r="O43" i="19"/>
  <c r="O152" i="19" s="1"/>
  <c r="N143" i="19"/>
  <c r="M152" i="19"/>
  <c r="P37" i="19"/>
  <c r="P43" i="19"/>
  <c r="P152" i="19" s="1"/>
  <c r="N152" i="19"/>
  <c r="N44" i="19"/>
  <c r="O44" i="19" s="1"/>
  <c r="P44" i="19" s="1"/>
  <c r="Q44" i="19" s="1"/>
  <c r="L144" i="19"/>
  <c r="N144" i="19"/>
  <c r="O135" i="19"/>
  <c r="Q153" i="19"/>
  <c r="Q140" i="19"/>
  <c r="Q141" i="19" s="1"/>
  <c r="P141" i="19"/>
  <c r="P135" i="19"/>
  <c r="Q135" i="19"/>
  <c r="O141" i="19"/>
  <c r="M44" i="19"/>
  <c r="M46" i="19"/>
  <c r="M38" i="19"/>
  <c r="M36" i="19"/>
  <c r="M100" i="19"/>
  <c r="Q100" i="19"/>
  <c r="Q113" i="19"/>
  <c r="M113" i="19"/>
  <c r="D20" i="14"/>
  <c r="F20" i="14"/>
  <c r="E20" i="14"/>
  <c r="C20" i="14"/>
  <c r="N113" i="19"/>
  <c r="P114" i="19"/>
  <c r="M101" i="19"/>
  <c r="O113" i="19"/>
  <c r="Q114" i="19"/>
  <c r="N101" i="19"/>
  <c r="P113" i="19"/>
  <c r="P55" i="19"/>
  <c r="O101" i="19"/>
  <c r="N100" i="19"/>
  <c r="P101" i="19"/>
  <c r="O100" i="19"/>
  <c r="Q101" i="19"/>
  <c r="M114" i="19"/>
  <c r="P100" i="19"/>
  <c r="N114" i="19"/>
  <c r="O114" i="19"/>
  <c r="Q87" i="19"/>
  <c r="M87" i="19"/>
  <c r="H53" i="14" s="1"/>
  <c r="Q88" i="19"/>
  <c r="P87" i="19"/>
  <c r="K53" i="14" s="1"/>
  <c r="O87" i="19"/>
  <c r="J53" i="14" s="1"/>
  <c r="M88" i="19"/>
  <c r="N88" i="19"/>
  <c r="O88" i="19"/>
  <c r="P88" i="19"/>
  <c r="N87" i="19"/>
  <c r="I53" i="14" s="1"/>
  <c r="Q75" i="19"/>
  <c r="Q74" i="19"/>
  <c r="M74" i="19"/>
  <c r="O74" i="19"/>
  <c r="P74" i="19"/>
  <c r="M75" i="19"/>
  <c r="N75" i="19"/>
  <c r="O75" i="19"/>
  <c r="N74" i="19"/>
  <c r="P75" i="19"/>
  <c r="L92" i="19"/>
  <c r="L105" i="19"/>
  <c r="L83" i="19"/>
  <c r="L96" i="19"/>
  <c r="L98" i="19"/>
  <c r="L79" i="19"/>
  <c r="L68" i="19"/>
  <c r="L85" i="19"/>
  <c r="L66" i="19"/>
  <c r="L109" i="19"/>
  <c r="L70" i="19"/>
  <c r="L111" i="19"/>
  <c r="L72" i="19"/>
  <c r="H8" i="19"/>
  <c r="L40" i="19" s="1"/>
  <c r="L57" i="19"/>
  <c r="L59" i="19"/>
  <c r="L55" i="19"/>
  <c r="S19" i="19"/>
  <c r="S18" i="19"/>
  <c r="AF39" i="9" l="1"/>
  <c r="AD39" i="9"/>
  <c r="AE39" i="9"/>
  <c r="AF8" i="9"/>
  <c r="AF13" i="9" s="1"/>
  <c r="AF14" i="9" s="1"/>
  <c r="AI69" i="9"/>
  <c r="AI70" i="9" s="1"/>
  <c r="V70" i="9"/>
  <c r="AI39" i="9"/>
  <c r="AC73" i="9"/>
  <c r="AC82" i="9" s="1"/>
  <c r="AP153" i="8"/>
  <c r="AQ150" i="8" s="1"/>
  <c r="AZ139" i="8"/>
  <c r="AL101" i="8"/>
  <c r="T25" i="9" s="1"/>
  <c r="S25" i="9"/>
  <c r="AS102" i="8"/>
  <c r="AZ126" i="8"/>
  <c r="AU101" i="8"/>
  <c r="P25" i="9"/>
  <c r="AE25" i="9" s="1"/>
  <c r="P51" i="9"/>
  <c r="L51" i="9"/>
  <c r="T51" i="9"/>
  <c r="AG39" i="9"/>
  <c r="AH39" i="9"/>
  <c r="AB39" i="9"/>
  <c r="Y39" i="9"/>
  <c r="Z39" i="9"/>
  <c r="AQ153" i="8"/>
  <c r="AR150" i="8" s="1"/>
  <c r="AW101" i="8"/>
  <c r="L38" i="9"/>
  <c r="Y38" i="9" s="1"/>
  <c r="AP139" i="8"/>
  <c r="AK146" i="8"/>
  <c r="S40" i="9"/>
  <c r="AR139" i="8"/>
  <c r="AY139" i="8"/>
  <c r="AD142" i="8"/>
  <c r="AR142" i="8" s="1"/>
  <c r="K40" i="9"/>
  <c r="X38" i="9"/>
  <c r="AQ139" i="8"/>
  <c r="AG139" i="8"/>
  <c r="N38" i="9"/>
  <c r="AV142" i="8"/>
  <c r="AT142" i="8"/>
  <c r="P40" i="9"/>
  <c r="AW142" i="8"/>
  <c r="T38" i="9"/>
  <c r="Y47" i="9"/>
  <c r="Y51" i="9" s="1"/>
  <c r="AC47" i="9"/>
  <c r="AC51" i="9" s="1"/>
  <c r="AE8" i="9"/>
  <c r="AD8" i="9"/>
  <c r="AH8" i="9"/>
  <c r="Z8" i="9"/>
  <c r="AA8" i="9"/>
  <c r="Y8" i="9"/>
  <c r="AB8" i="9"/>
  <c r="AG8" i="9"/>
  <c r="AC8" i="9"/>
  <c r="X8" i="9"/>
  <c r="AL142" i="8"/>
  <c r="AZ142" i="8" s="1"/>
  <c r="AC146" i="8"/>
  <c r="N59" i="9"/>
  <c r="AA59" i="9" s="1"/>
  <c r="T146" i="8"/>
  <c r="V142" i="8"/>
  <c r="V146" i="8" s="1"/>
  <c r="Y146" i="8"/>
  <c r="V59" i="9"/>
  <c r="AI59" i="9" s="1"/>
  <c r="AF146" i="8"/>
  <c r="AE85" i="8"/>
  <c r="S59" i="9"/>
  <c r="AF59" i="9" s="1"/>
  <c r="R59" i="9"/>
  <c r="AE59" i="9" s="1"/>
  <c r="N146" i="8"/>
  <c r="Z146" i="8"/>
  <c r="R146" i="8"/>
  <c r="Q146" i="8"/>
  <c r="W154" i="8"/>
  <c r="M146" i="8"/>
  <c r="M59" i="9"/>
  <c r="Z59" i="9" s="1"/>
  <c r="U146" i="8"/>
  <c r="Q59" i="9"/>
  <c r="AD59" i="9" s="1"/>
  <c r="O75" i="8"/>
  <c r="O83" i="8" s="1"/>
  <c r="O85" i="8" s="1"/>
  <c r="T75" i="8"/>
  <c r="T83" i="8" s="1"/>
  <c r="T85" i="8" s="1"/>
  <c r="AJ75" i="8"/>
  <c r="AJ83" i="8" s="1"/>
  <c r="AJ85" i="8" s="1"/>
  <c r="P83" i="8"/>
  <c r="P85" i="8" s="1"/>
  <c r="AB75" i="8"/>
  <c r="AB83" i="8" s="1"/>
  <c r="AB85" i="8" s="1"/>
  <c r="W75" i="8"/>
  <c r="W83" i="8" s="1"/>
  <c r="W85" i="8" s="1"/>
  <c r="Q83" i="8"/>
  <c r="Q85" i="8" s="1"/>
  <c r="AI75" i="8"/>
  <c r="AI83" i="8" s="1"/>
  <c r="AI85" i="8" s="1"/>
  <c r="S83" i="8"/>
  <c r="S85" i="8" s="1"/>
  <c r="AH75" i="8"/>
  <c r="P60" i="9" s="1"/>
  <c r="AC60" i="9" s="1"/>
  <c r="AK75" i="8"/>
  <c r="S60" i="9" s="1"/>
  <c r="AF60" i="9" s="1"/>
  <c r="AY119" i="8"/>
  <c r="AH16" i="9"/>
  <c r="AQ102" i="8"/>
  <c r="AT117" i="8"/>
  <c r="AU117" i="8"/>
  <c r="AC17" i="9"/>
  <c r="AV117" i="8"/>
  <c r="X25" i="9"/>
  <c r="AG16" i="9"/>
  <c r="X21" i="9"/>
  <c r="AG51" i="9"/>
  <c r="AD17" i="9"/>
  <c r="AE12" i="9"/>
  <c r="Z21" i="9"/>
  <c r="AE17" i="9"/>
  <c r="AD33" i="9"/>
  <c r="AU153" i="8"/>
  <c r="AV150" i="8" s="1"/>
  <c r="L35" i="9"/>
  <c r="AB35" i="9" s="1"/>
  <c r="AD12" i="9"/>
  <c r="AF16" i="9"/>
  <c r="AG33" i="9"/>
  <c r="AH32" i="9"/>
  <c r="T35" i="9"/>
  <c r="AI35" i="9" s="1"/>
  <c r="AB17" i="9"/>
  <c r="AA17" i="9"/>
  <c r="Y17" i="9"/>
  <c r="AD34" i="9"/>
  <c r="AH12" i="9"/>
  <c r="P59" i="9"/>
  <c r="AC59" i="9" s="1"/>
  <c r="AY126" i="8"/>
  <c r="K35" i="9"/>
  <c r="X35" i="9" s="1"/>
  <c r="AA25" i="9"/>
  <c r="Z25" i="9"/>
  <c r="Y25" i="9"/>
  <c r="AE33" i="9"/>
  <c r="AT153" i="8"/>
  <c r="AU150" i="8" s="1"/>
  <c r="AX126" i="8"/>
  <c r="AD161" i="8"/>
  <c r="L34" i="9" s="1"/>
  <c r="AB34" i="9" s="1"/>
  <c r="K34" i="9"/>
  <c r="AS160" i="8"/>
  <c r="L33" i="9"/>
  <c r="AH17" i="9"/>
  <c r="AG17" i="9"/>
  <c r="AI17" i="9"/>
  <c r="AI34" i="9"/>
  <c r="AH34" i="9"/>
  <c r="AC134" i="8"/>
  <c r="K32" i="9"/>
  <c r="AH33" i="9"/>
  <c r="AA12" i="9"/>
  <c r="Z12" i="9"/>
  <c r="Y21" i="9"/>
  <c r="AE34" i="9"/>
  <c r="AI32" i="9"/>
  <c r="AG12" i="9"/>
  <c r="AC12" i="9"/>
  <c r="AG34" i="9"/>
  <c r="T59" i="9"/>
  <c r="AG59" i="9" s="1"/>
  <c r="AB16" i="9"/>
  <c r="AA16" i="9"/>
  <c r="AD83" i="8"/>
  <c r="L60" i="9"/>
  <c r="Y60" i="9" s="1"/>
  <c r="AP102" i="8"/>
  <c r="AW125" i="8"/>
  <c r="P32" i="9"/>
  <c r="AD16" i="9"/>
  <c r="AC16" i="9"/>
  <c r="AF33" i="9"/>
  <c r="Y12" i="9"/>
  <c r="AG32" i="9"/>
  <c r="AH131" i="8"/>
  <c r="Z16" i="9"/>
  <c r="AV153" i="8"/>
  <c r="AW150" i="8" s="1"/>
  <c r="L59" i="9"/>
  <c r="Y59" i="9" s="1"/>
  <c r="AR102" i="8"/>
  <c r="AH100" i="8"/>
  <c r="P21" i="9" s="1"/>
  <c r="O21" i="9"/>
  <c r="AC34" i="9"/>
  <c r="AB25" i="9"/>
  <c r="AL100" i="8"/>
  <c r="S21" i="9"/>
  <c r="AC33" i="9"/>
  <c r="P35" i="9"/>
  <c r="AC20" i="10"/>
  <c r="AI20" i="10"/>
  <c r="AF20" i="10"/>
  <c r="AM150" i="8"/>
  <c r="AX153" i="8"/>
  <c r="AY150" i="8" s="1"/>
  <c r="AZ153" i="8"/>
  <c r="AY153" i="8"/>
  <c r="AZ150" i="8" s="1"/>
  <c r="AL20" i="10"/>
  <c r="AL15" i="10"/>
  <c r="AS131" i="8"/>
  <c r="AV125" i="8"/>
  <c r="AU125" i="8"/>
  <c r="Q134" i="8"/>
  <c r="AW146" i="8"/>
  <c r="AX129" i="8"/>
  <c r="Z134" i="8"/>
  <c r="AY129" i="8"/>
  <c r="AR107" i="8"/>
  <c r="AS107" i="8"/>
  <c r="AP107" i="8"/>
  <c r="AQ107" i="8"/>
  <c r="AR160" i="8"/>
  <c r="AT115" i="8"/>
  <c r="Y134" i="8"/>
  <c r="AV115" i="8"/>
  <c r="AP109" i="8"/>
  <c r="AP120" i="8"/>
  <c r="AU115" i="8"/>
  <c r="AS120" i="8"/>
  <c r="AQ120" i="8"/>
  <c r="AR109" i="8"/>
  <c r="AP160" i="8"/>
  <c r="AW105" i="8"/>
  <c r="AU105" i="8"/>
  <c r="AV105" i="8"/>
  <c r="AT105" i="8"/>
  <c r="AR117" i="8"/>
  <c r="AS117" i="8"/>
  <c r="AP117" i="8"/>
  <c r="AL134" i="8"/>
  <c r="AQ109" i="8"/>
  <c r="AQ160" i="8"/>
  <c r="AD125" i="8"/>
  <c r="L32" i="9" s="1"/>
  <c r="AB32" i="9" s="1"/>
  <c r="AD106" i="8"/>
  <c r="AS105" i="8"/>
  <c r="AQ117" i="8"/>
  <c r="M134" i="8"/>
  <c r="AS128" i="8"/>
  <c r="AQ128" i="8"/>
  <c r="AP128" i="8"/>
  <c r="AR128" i="8"/>
  <c r="BB121" i="8"/>
  <c r="AZ131" i="8"/>
  <c r="AY131" i="8"/>
  <c r="O122" i="8"/>
  <c r="O154" i="8" s="1"/>
  <c r="R134" i="8"/>
  <c r="AZ119" i="8"/>
  <c r="BB119" i="8" s="1"/>
  <c r="AE33" i="8"/>
  <c r="W33" i="8"/>
  <c r="W36" i="8"/>
  <c r="W39" i="8"/>
  <c r="T20" i="8"/>
  <c r="T28" i="8"/>
  <c r="O33" i="8"/>
  <c r="AJ20" i="8"/>
  <c r="AJ28" i="8"/>
  <c r="AJ29" i="8" s="1"/>
  <c r="P20" i="8"/>
  <c r="P28" i="8"/>
  <c r="O36" i="8"/>
  <c r="X20" i="8"/>
  <c r="X28" i="8"/>
  <c r="X32" i="8" s="1"/>
  <c r="X97" i="8" s="1"/>
  <c r="X122" i="8" s="1"/>
  <c r="X154" i="8" s="1"/>
  <c r="AF20" i="8"/>
  <c r="AF28" i="8"/>
  <c r="AF32" i="8" s="1"/>
  <c r="AF97" i="8" s="1"/>
  <c r="AF122" i="8" s="1"/>
  <c r="O39" i="8"/>
  <c r="AE39" i="8"/>
  <c r="AE36" i="8"/>
  <c r="BB23" i="8"/>
  <c r="N19" i="8"/>
  <c r="AD19" i="8"/>
  <c r="Z19" i="8"/>
  <c r="AH19" i="8"/>
  <c r="V19" i="8"/>
  <c r="V83" i="8"/>
  <c r="V85" i="8" s="1"/>
  <c r="R19" i="8"/>
  <c r="R83" i="8"/>
  <c r="R85" i="8" s="1"/>
  <c r="Z83" i="8"/>
  <c r="Z85" i="8" s="1"/>
  <c r="N83" i="8"/>
  <c r="N85" i="8" s="1"/>
  <c r="L20" i="8"/>
  <c r="AB20" i="8"/>
  <c r="K20" i="8"/>
  <c r="K29" i="8"/>
  <c r="AA20" i="8"/>
  <c r="U20" i="8"/>
  <c r="AI20" i="8"/>
  <c r="S20" i="8"/>
  <c r="AC20" i="8"/>
  <c r="M20" i="8"/>
  <c r="AG20" i="8"/>
  <c r="Y20" i="8"/>
  <c r="Q20" i="8"/>
  <c r="E21" i="14"/>
  <c r="F21" i="14"/>
  <c r="D21" i="14"/>
  <c r="O209" i="19"/>
  <c r="N208" i="19"/>
  <c r="N209" i="19"/>
  <c r="L209" i="19"/>
  <c r="L208" i="19"/>
  <c r="O208" i="19"/>
  <c r="Q206" i="19"/>
  <c r="P206" i="19"/>
  <c r="O197" i="19"/>
  <c r="J61" i="14" s="1"/>
  <c r="N198" i="19"/>
  <c r="L187" i="19"/>
  <c r="L186" i="19"/>
  <c r="L197" i="19"/>
  <c r="L198" i="19"/>
  <c r="N22" i="19"/>
  <c r="O22" i="19" s="1"/>
  <c r="P22" i="19" s="1"/>
  <c r="Q22" i="19" s="1"/>
  <c r="S22" i="19" s="1"/>
  <c r="E51" i="14"/>
  <c r="Q195" i="19"/>
  <c r="P195" i="19"/>
  <c r="M48" i="19"/>
  <c r="H51" i="14" s="1"/>
  <c r="M49" i="19"/>
  <c r="N48" i="19"/>
  <c r="I51" i="14" s="1"/>
  <c r="N49" i="19"/>
  <c r="D37" i="19"/>
  <c r="H47" i="19"/>
  <c r="L42" i="19"/>
  <c r="O46" i="19"/>
  <c r="M156" i="19"/>
  <c r="H57" i="14" s="1"/>
  <c r="F37" i="19"/>
  <c r="H37" i="19"/>
  <c r="G11" i="19"/>
  <c r="G15" i="19" s="1"/>
  <c r="G20" i="19" s="1"/>
  <c r="G23" i="19" s="1"/>
  <c r="G45" i="19"/>
  <c r="G35" i="19"/>
  <c r="G37" i="19"/>
  <c r="H43" i="19"/>
  <c r="C35" i="19"/>
  <c r="H35" i="19"/>
  <c r="G57" i="14"/>
  <c r="F11" i="19"/>
  <c r="F15" i="19" s="1"/>
  <c r="F20" i="19" s="1"/>
  <c r="F23" i="19" s="1"/>
  <c r="F45" i="19"/>
  <c r="F35" i="19"/>
  <c r="G47" i="19"/>
  <c r="F47" i="19"/>
  <c r="G56" i="14"/>
  <c r="E11" i="19"/>
  <c r="E15" i="19" s="1"/>
  <c r="E26" i="19" s="1"/>
  <c r="E29" i="19" s="1"/>
  <c r="E43" i="19"/>
  <c r="E35" i="19"/>
  <c r="E45" i="19"/>
  <c r="C37" i="19"/>
  <c r="C45" i="19"/>
  <c r="H45" i="19"/>
  <c r="H56" i="14"/>
  <c r="D11" i="19"/>
  <c r="D15" i="19" s="1"/>
  <c r="D20" i="19" s="1"/>
  <c r="D23" i="19" s="1"/>
  <c r="D43" i="19"/>
  <c r="D45" i="19"/>
  <c r="D35" i="19"/>
  <c r="E37" i="19"/>
  <c r="I56" i="14"/>
  <c r="C11" i="19"/>
  <c r="C15" i="19" s="1"/>
  <c r="C43" i="19"/>
  <c r="L46" i="19"/>
  <c r="J8" i="19"/>
  <c r="P154" i="19"/>
  <c r="L157" i="19"/>
  <c r="Q130" i="19"/>
  <c r="Q131" i="19"/>
  <c r="M131" i="19"/>
  <c r="M130" i="19"/>
  <c r="H55" i="14" s="1"/>
  <c r="Q154" i="19"/>
  <c r="N130" i="19"/>
  <c r="I55" i="14" s="1"/>
  <c r="N131" i="19"/>
  <c r="L131" i="19"/>
  <c r="L130" i="19"/>
  <c r="G55" i="14" s="1"/>
  <c r="Q148" i="19"/>
  <c r="M157" i="19"/>
  <c r="O154" i="19"/>
  <c r="L44" i="19"/>
  <c r="N156" i="19"/>
  <c r="O120" i="19"/>
  <c r="O130" i="19" s="1"/>
  <c r="J55" i="14" s="1"/>
  <c r="O148" i="19"/>
  <c r="P120" i="19"/>
  <c r="P130" i="19" s="1"/>
  <c r="K55" i="14" s="1"/>
  <c r="P148" i="19"/>
  <c r="N157" i="19"/>
  <c r="Q144" i="19"/>
  <c r="Q143" i="19"/>
  <c r="P143" i="19"/>
  <c r="P144" i="19"/>
  <c r="O143" i="19"/>
  <c r="O144" i="19"/>
  <c r="H11" i="19"/>
  <c r="H15" i="19" s="1"/>
  <c r="H26" i="19" s="1"/>
  <c r="H29" i="19" s="1"/>
  <c r="L38" i="19"/>
  <c r="L36" i="19"/>
  <c r="F51" i="14"/>
  <c r="D51" i="14"/>
  <c r="L113" i="19"/>
  <c r="L114" i="19"/>
  <c r="L100" i="19"/>
  <c r="L101" i="19"/>
  <c r="L88" i="19"/>
  <c r="L87" i="19"/>
  <c r="L74" i="19"/>
  <c r="L75" i="19"/>
  <c r="AF9" i="9" l="1"/>
  <c r="AH25" i="9"/>
  <c r="AC25" i="9"/>
  <c r="AV131" i="8"/>
  <c r="AD25" i="9"/>
  <c r="AF25" i="9"/>
  <c r="AZ101" i="8"/>
  <c r="AG25" i="9"/>
  <c r="AI25" i="9"/>
  <c r="AY101" i="8"/>
  <c r="AX101" i="8"/>
  <c r="Z13" i="9"/>
  <c r="Z14" i="9" s="1"/>
  <c r="AD13" i="9"/>
  <c r="AD14" i="9" s="1"/>
  <c r="AX142" i="8"/>
  <c r="AD146" i="8"/>
  <c r="AE40" i="9"/>
  <c r="AD40" i="9"/>
  <c r="AF40" i="9"/>
  <c r="AC40" i="9"/>
  <c r="AF18" i="9"/>
  <c r="AF19" i="9" s="1"/>
  <c r="X40" i="9"/>
  <c r="L40" i="9"/>
  <c r="AB40" i="9" s="1"/>
  <c r="AS142" i="8"/>
  <c r="AS146" i="8" s="1"/>
  <c r="AP142" i="8"/>
  <c r="AH38" i="9"/>
  <c r="AI38" i="9"/>
  <c r="AG146" i="8"/>
  <c r="O38" i="9"/>
  <c r="AB38" i="9" s="1"/>
  <c r="AS139" i="8"/>
  <c r="AH139" i="8"/>
  <c r="AV139" i="8" s="1"/>
  <c r="AQ142" i="8"/>
  <c r="AG38" i="9"/>
  <c r="Z38" i="9"/>
  <c r="AA38" i="9"/>
  <c r="T40" i="9"/>
  <c r="AI40" i="9" s="1"/>
  <c r="AY142" i="8"/>
  <c r="AY146" i="8" s="1"/>
  <c r="AT139" i="8"/>
  <c r="Y13" i="9"/>
  <c r="Y14" i="9" s="1"/>
  <c r="AE9" i="9"/>
  <c r="AH9" i="9"/>
  <c r="AE13" i="9"/>
  <c r="AE14" i="9" s="1"/>
  <c r="AD9" i="9"/>
  <c r="AC9" i="9"/>
  <c r="AA13" i="9"/>
  <c r="AA14" i="9" s="1"/>
  <c r="AH13" i="9"/>
  <c r="AH14" i="9" s="1"/>
  <c r="AG13" i="9"/>
  <c r="AG18" i="9" s="1"/>
  <c r="AG19" i="9" s="1"/>
  <c r="AB9" i="9"/>
  <c r="AB13" i="9"/>
  <c r="AB14" i="9" s="1"/>
  <c r="AC13" i="9"/>
  <c r="AC14" i="9" s="1"/>
  <c r="AG9" i="9"/>
  <c r="X13" i="9"/>
  <c r="AZ146" i="8"/>
  <c r="AL146" i="8"/>
  <c r="AX146" i="8"/>
  <c r="AF154" i="8"/>
  <c r="J60" i="9"/>
  <c r="R60" i="9"/>
  <c r="AE60" i="9" s="1"/>
  <c r="Q60" i="9"/>
  <c r="AD60" i="9" s="1"/>
  <c r="AK83" i="8"/>
  <c r="AK85" i="8" s="1"/>
  <c r="AH83" i="8"/>
  <c r="AH85" i="8" s="1"/>
  <c r="AV100" i="8"/>
  <c r="AH35" i="9"/>
  <c r="AH134" i="8"/>
  <c r="AT100" i="8"/>
  <c r="AW100" i="8"/>
  <c r="AU100" i="8"/>
  <c r="AG35" i="9"/>
  <c r="AR161" i="8"/>
  <c r="AQ161" i="8"/>
  <c r="AP146" i="8"/>
  <c r="AP161" i="8"/>
  <c r="AS161" i="8"/>
  <c r="AQ146" i="8"/>
  <c r="AR146" i="8"/>
  <c r="AD85" i="8"/>
  <c r="AW131" i="8"/>
  <c r="AU131" i="8"/>
  <c r="AT131" i="8"/>
  <c r="AA32" i="9"/>
  <c r="Z32" i="9"/>
  <c r="X32" i="9"/>
  <c r="Y32" i="9"/>
  <c r="AA34" i="9"/>
  <c r="Z34" i="9"/>
  <c r="X34" i="9"/>
  <c r="Y34" i="9"/>
  <c r="AA35" i="9"/>
  <c r="Y35" i="9"/>
  <c r="Z35" i="9"/>
  <c r="AB33" i="9"/>
  <c r="Z33" i="9"/>
  <c r="AA33" i="9"/>
  <c r="Y33" i="9"/>
  <c r="AE32" i="9"/>
  <c r="AD32" i="9"/>
  <c r="AF32" i="9"/>
  <c r="AC32" i="9"/>
  <c r="AZ100" i="8"/>
  <c r="T21" i="9"/>
  <c r="AI21" i="9" s="1"/>
  <c r="AY100" i="8"/>
  <c r="AX100" i="8"/>
  <c r="AF35" i="9"/>
  <c r="AC35" i="9"/>
  <c r="AD35" i="9"/>
  <c r="AE21" i="9"/>
  <c r="AC21" i="9"/>
  <c r="AD21" i="9"/>
  <c r="AB21" i="9"/>
  <c r="AV146" i="8"/>
  <c r="AF21" i="9"/>
  <c r="AE35" i="9"/>
  <c r="AT146" i="8"/>
  <c r="AU146" i="8"/>
  <c r="AS125" i="8"/>
  <c r="AQ125" i="8"/>
  <c r="AP106" i="8"/>
  <c r="AR106" i="8"/>
  <c r="AS106" i="8"/>
  <c r="AD134" i="8"/>
  <c r="AR125" i="8"/>
  <c r="AQ106" i="8"/>
  <c r="AP125" i="8"/>
  <c r="R20" i="8"/>
  <c r="R28" i="8"/>
  <c r="R32" i="8" s="1"/>
  <c r="V28" i="8"/>
  <c r="V29" i="8" s="1"/>
  <c r="AH20" i="8"/>
  <c r="AH28" i="8"/>
  <c r="AH29" i="8" s="1"/>
  <c r="Z20" i="8"/>
  <c r="Z28" i="8"/>
  <c r="Z32" i="8" s="1"/>
  <c r="AD28" i="8"/>
  <c r="AD29" i="8" s="1"/>
  <c r="N28" i="8"/>
  <c r="N32" i="8" s="1"/>
  <c r="N36" i="8" s="1"/>
  <c r="N20" i="8"/>
  <c r="AD20" i="8"/>
  <c r="V20" i="8"/>
  <c r="X29" i="8"/>
  <c r="AJ32" i="8"/>
  <c r="AF29" i="8"/>
  <c r="U32" i="8"/>
  <c r="U97" i="8" s="1"/>
  <c r="U122" i="8" s="1"/>
  <c r="U154" i="8" s="1"/>
  <c r="U29" i="8"/>
  <c r="T29" i="8"/>
  <c r="T32" i="8"/>
  <c r="T97" i="8" s="1"/>
  <c r="T122" i="8" s="1"/>
  <c r="T154" i="8" s="1"/>
  <c r="M32" i="8"/>
  <c r="M97" i="8" s="1"/>
  <c r="M122" i="8" s="1"/>
  <c r="M154" i="8" s="1"/>
  <c r="M29" i="8"/>
  <c r="Q32" i="8"/>
  <c r="Q97" i="8" s="1"/>
  <c r="Q122" i="8" s="1"/>
  <c r="Q154" i="8" s="1"/>
  <c r="Q29" i="8"/>
  <c r="P32" i="8"/>
  <c r="P97" i="8" s="1"/>
  <c r="P122" i="8" s="1"/>
  <c r="P154" i="8" s="1"/>
  <c r="P29" i="8"/>
  <c r="AA32" i="8"/>
  <c r="AA97" i="8" s="1"/>
  <c r="AA122" i="8" s="1"/>
  <c r="AA154" i="8" s="1"/>
  <c r="AA29" i="8"/>
  <c r="AB29" i="8"/>
  <c r="AB32" i="8"/>
  <c r="AB97" i="8" s="1"/>
  <c r="AB122" i="8" s="1"/>
  <c r="AB154" i="8" s="1"/>
  <c r="Y32" i="8"/>
  <c r="Y97" i="8" s="1"/>
  <c r="Y122" i="8" s="1"/>
  <c r="Y154" i="8" s="1"/>
  <c r="Y29" i="8"/>
  <c r="AC32" i="8"/>
  <c r="AC97" i="8" s="1"/>
  <c r="AC122" i="8" s="1"/>
  <c r="AC154" i="8" s="1"/>
  <c r="AC29" i="8"/>
  <c r="S32" i="8"/>
  <c r="S97" i="8" s="1"/>
  <c r="S122" i="8" s="1"/>
  <c r="S154" i="8" s="1"/>
  <c r="S29" i="8"/>
  <c r="X39" i="8"/>
  <c r="X36" i="8"/>
  <c r="X33" i="8"/>
  <c r="AG32" i="8"/>
  <c r="AG97" i="8" s="1"/>
  <c r="AG122" i="8" s="1"/>
  <c r="AG29" i="8"/>
  <c r="AF39" i="8"/>
  <c r="AF36" i="8"/>
  <c r="AF33" i="8"/>
  <c r="AI32" i="8"/>
  <c r="AI97" i="8" s="1"/>
  <c r="AI122" i="8" s="1"/>
  <c r="AI154" i="8" s="1"/>
  <c r="AI29" i="8"/>
  <c r="L29" i="8"/>
  <c r="L32" i="8"/>
  <c r="L28" i="19"/>
  <c r="M28" i="19" s="1"/>
  <c r="N28" i="19" s="1"/>
  <c r="O28" i="19" s="1"/>
  <c r="G61" i="14"/>
  <c r="L25" i="19"/>
  <c r="M25" i="19" s="1"/>
  <c r="N25" i="19" s="1"/>
  <c r="O25" i="19" s="1"/>
  <c r="P25" i="19" s="1"/>
  <c r="Q25" i="19" s="1"/>
  <c r="S25" i="19" s="1"/>
  <c r="G60" i="14"/>
  <c r="Q209" i="19"/>
  <c r="Q208" i="19"/>
  <c r="P208" i="19"/>
  <c r="P209" i="19"/>
  <c r="Q197" i="19"/>
  <c r="Q198" i="19"/>
  <c r="P197" i="19"/>
  <c r="K61" i="14" s="1"/>
  <c r="P198" i="19"/>
  <c r="O49" i="19"/>
  <c r="O48" i="19"/>
  <c r="J51" i="14" s="1"/>
  <c r="L7" i="19"/>
  <c r="M7" i="19" s="1"/>
  <c r="N7" i="19" s="1"/>
  <c r="O7" i="19" s="1"/>
  <c r="P7" i="19" s="1"/>
  <c r="Q7" i="19" s="1"/>
  <c r="S7" i="19" s="1"/>
  <c r="L48" i="19"/>
  <c r="L17" i="19" s="1"/>
  <c r="M17" i="19" s="1"/>
  <c r="N17" i="19" s="1"/>
  <c r="L49" i="19"/>
  <c r="G53" i="14"/>
  <c r="G19" i="14" s="1"/>
  <c r="H19" i="14" s="1"/>
  <c r="I19" i="14" s="1"/>
  <c r="J19" i="14" s="1"/>
  <c r="K19" i="14" s="1"/>
  <c r="P46" i="19"/>
  <c r="F26" i="19"/>
  <c r="F29" i="19" s="1"/>
  <c r="E20" i="19"/>
  <c r="E23" i="19" s="1"/>
  <c r="K56" i="14"/>
  <c r="I57" i="14"/>
  <c r="G26" i="19"/>
  <c r="G29" i="19" s="1"/>
  <c r="J56" i="14"/>
  <c r="D26" i="19"/>
  <c r="D29" i="19" s="1"/>
  <c r="J11" i="19"/>
  <c r="C26" i="19"/>
  <c r="C29" i="19" s="1"/>
  <c r="J15" i="19"/>
  <c r="C20" i="19"/>
  <c r="O131" i="19"/>
  <c r="P131" i="19"/>
  <c r="H20" i="19"/>
  <c r="H23" i="19" s="1"/>
  <c r="Z18" i="9" l="1"/>
  <c r="Z22" i="9" s="1"/>
  <c r="Z29" i="9" s="1"/>
  <c r="Z79" i="9" s="1"/>
  <c r="AG154" i="8"/>
  <c r="AD18" i="9"/>
  <c r="AD19" i="9" s="1"/>
  <c r="AF22" i="9"/>
  <c r="AF29" i="9" s="1"/>
  <c r="AF79" i="9" s="1"/>
  <c r="Y18" i="9"/>
  <c r="Y22" i="9" s="1"/>
  <c r="Y29" i="9" s="1"/>
  <c r="Y79" i="9" s="1"/>
  <c r="AE18" i="9"/>
  <c r="AE19" i="9" s="1"/>
  <c r="AG40" i="9"/>
  <c r="AH40" i="9"/>
  <c r="Y40" i="9"/>
  <c r="Z40" i="9"/>
  <c r="AH146" i="8"/>
  <c r="AW139" i="8"/>
  <c r="P38" i="9"/>
  <c r="AF38" i="9" s="1"/>
  <c r="AU139" i="8"/>
  <c r="AA40" i="9"/>
  <c r="AH18" i="9"/>
  <c r="AH19" i="9" s="1"/>
  <c r="AA18" i="9"/>
  <c r="AA19" i="9" s="1"/>
  <c r="AG14" i="9"/>
  <c r="AB18" i="9"/>
  <c r="AB22" i="9" s="1"/>
  <c r="AB29" i="9" s="1"/>
  <c r="AB79" i="9" s="1"/>
  <c r="AC18" i="9"/>
  <c r="AC19" i="9" s="1"/>
  <c r="X18" i="9"/>
  <c r="X14" i="9"/>
  <c r="Y19" i="9"/>
  <c r="AH21" i="9"/>
  <c r="AG21" i="9"/>
  <c r="AG22" i="9" s="1"/>
  <c r="AG29" i="9" s="1"/>
  <c r="AG79" i="9" s="1"/>
  <c r="L97" i="8"/>
  <c r="L122" i="8" s="1"/>
  <c r="L154" i="8" s="1"/>
  <c r="V32" i="8"/>
  <c r="AD32" i="8"/>
  <c r="AD36" i="8" s="1"/>
  <c r="N29" i="8"/>
  <c r="N33" i="8"/>
  <c r="N39" i="8"/>
  <c r="N97" i="8"/>
  <c r="N122" i="8" s="1"/>
  <c r="N154" i="8" s="1"/>
  <c r="Z29" i="8"/>
  <c r="R29" i="8"/>
  <c r="AH32" i="8"/>
  <c r="AH39" i="8" s="1"/>
  <c r="Z36" i="8"/>
  <c r="R36" i="8"/>
  <c r="AJ36" i="8"/>
  <c r="AJ97" i="8"/>
  <c r="AJ122" i="8" s="1"/>
  <c r="AJ154" i="8" s="1"/>
  <c r="AJ39" i="8"/>
  <c r="AJ33" i="8"/>
  <c r="R33" i="8"/>
  <c r="R39" i="8"/>
  <c r="AA33" i="8"/>
  <c r="AA39" i="8"/>
  <c r="AA36" i="8"/>
  <c r="P39" i="8"/>
  <c r="P36" i="8"/>
  <c r="P33" i="8"/>
  <c r="U33" i="8"/>
  <c r="U39" i="8"/>
  <c r="U36" i="8"/>
  <c r="AG36" i="8"/>
  <c r="AG33" i="8"/>
  <c r="AG39" i="8"/>
  <c r="AI33" i="8"/>
  <c r="AI39" i="8"/>
  <c r="AI36" i="8"/>
  <c r="AC33" i="8"/>
  <c r="AC36" i="8"/>
  <c r="AC39" i="8"/>
  <c r="Q36" i="8"/>
  <c r="Q33" i="8"/>
  <c r="Q39" i="8"/>
  <c r="S39" i="8"/>
  <c r="S33" i="8"/>
  <c r="S36" i="8"/>
  <c r="M36" i="8"/>
  <c r="M33" i="8"/>
  <c r="M39" i="8"/>
  <c r="L33" i="8"/>
  <c r="L39" i="8"/>
  <c r="L36" i="8"/>
  <c r="Z33" i="8"/>
  <c r="Z39" i="8"/>
  <c r="Y33" i="8"/>
  <c r="Y36" i="8"/>
  <c r="Y39" i="8"/>
  <c r="AB33" i="8"/>
  <c r="AB39" i="8"/>
  <c r="AB36" i="8"/>
  <c r="T33" i="8"/>
  <c r="T39" i="8"/>
  <c r="T36" i="8"/>
  <c r="P28" i="19"/>
  <c r="Q28" i="19" s="1"/>
  <c r="S28" i="19" s="1"/>
  <c r="J29" i="19"/>
  <c r="O17" i="19"/>
  <c r="P49" i="19"/>
  <c r="P48" i="19"/>
  <c r="Q46" i="19"/>
  <c r="J26" i="19"/>
  <c r="C23" i="19"/>
  <c r="J23" i="19" s="1"/>
  <c r="J20" i="19"/>
  <c r="Z23" i="9" l="1"/>
  <c r="Z19" i="9"/>
  <c r="AF23" i="9"/>
  <c r="AD22" i="9"/>
  <c r="AD29" i="9" s="1"/>
  <c r="AH22" i="9"/>
  <c r="AH29" i="9" s="1"/>
  <c r="AH79" i="9" s="1"/>
  <c r="Y23" i="9"/>
  <c r="AH80" i="9" a="1"/>
  <c r="AH80" i="9" s="1"/>
  <c r="AE22" i="9"/>
  <c r="AE29" i="9" s="1"/>
  <c r="AE79" i="9" s="1"/>
  <c r="AC38" i="9"/>
  <c r="AD38" i="9"/>
  <c r="AE38" i="9"/>
  <c r="AB19" i="9"/>
  <c r="AA22" i="9"/>
  <c r="AC22" i="9"/>
  <c r="X22" i="9"/>
  <c r="X29" i="9" s="1"/>
  <c r="X79" i="9" s="1"/>
  <c r="X19" i="9"/>
  <c r="AB23" i="9"/>
  <c r="AG23" i="9"/>
  <c r="Y36" i="9"/>
  <c r="Y80" i="9" a="1"/>
  <c r="Y80" i="9" s="1"/>
  <c r="Y81" i="9" a="1"/>
  <c r="Y81" i="9" s="1"/>
  <c r="Y30" i="9"/>
  <c r="Y78" i="9"/>
  <c r="Y77" i="9"/>
  <c r="AG80" i="9" a="1"/>
  <c r="AG80" i="9" s="1"/>
  <c r="AG36" i="9"/>
  <c r="AG81" i="9" a="1"/>
  <c r="AG81" i="9" s="1"/>
  <c r="AG30" i="9"/>
  <c r="AG78" i="9"/>
  <c r="AG77" i="9"/>
  <c r="Z80" i="9" a="1"/>
  <c r="Z80" i="9" s="1"/>
  <c r="Z81" i="9" a="1"/>
  <c r="Z81" i="9" s="1"/>
  <c r="Z30" i="9"/>
  <c r="Z36" i="9"/>
  <c r="Z77" i="9"/>
  <c r="Z78" i="9"/>
  <c r="AB81" i="9" a="1"/>
  <c r="AB81" i="9" s="1"/>
  <c r="AB30" i="9"/>
  <c r="AB36" i="9"/>
  <c r="AB80" i="9" a="1"/>
  <c r="AB80" i="9" s="1"/>
  <c r="AB78" i="9"/>
  <c r="AB77" i="9"/>
  <c r="AF81" i="9" a="1"/>
  <c r="AF81" i="9" s="1"/>
  <c r="AF36" i="9"/>
  <c r="AF30" i="9"/>
  <c r="AF80" i="9" a="1"/>
  <c r="AF80" i="9" s="1"/>
  <c r="AF77" i="9"/>
  <c r="AF78" i="9"/>
  <c r="V33" i="8"/>
  <c r="V39" i="8"/>
  <c r="V36" i="8"/>
  <c r="AD33" i="8"/>
  <c r="AD39" i="8"/>
  <c r="AH33" i="8"/>
  <c r="AH97" i="8"/>
  <c r="AH36" i="8"/>
  <c r="P17" i="19"/>
  <c r="K51" i="14"/>
  <c r="Q48" i="19"/>
  <c r="Q49" i="19"/>
  <c r="AD36" i="9" l="1"/>
  <c r="AD79" i="9"/>
  <c r="AD80" i="9" a="1"/>
  <c r="AD80" i="9" s="1"/>
  <c r="AD30" i="9"/>
  <c r="AD77" i="9"/>
  <c r="AD78" i="9"/>
  <c r="AD81" i="9" a="1"/>
  <c r="AD81" i="9" s="1"/>
  <c r="AH23" i="9"/>
  <c r="AD23" i="9"/>
  <c r="AC23" i="9"/>
  <c r="AC29" i="9"/>
  <c r="AA23" i="9"/>
  <c r="AA29" i="9"/>
  <c r="AA79" i="9" s="1"/>
  <c r="AE23" i="9"/>
  <c r="AE81" i="9" a="1"/>
  <c r="AE81" i="9" s="1"/>
  <c r="X23" i="9"/>
  <c r="AH77" i="9"/>
  <c r="AH78" i="9"/>
  <c r="AH36" i="9"/>
  <c r="AH30" i="9"/>
  <c r="AH81" i="9" a="1"/>
  <c r="AH81" i="9" s="1"/>
  <c r="AT97" i="8"/>
  <c r="AH122" i="8"/>
  <c r="AH154" i="8" s="1"/>
  <c r="AU97" i="8"/>
  <c r="AV97" i="8"/>
  <c r="Q17" i="19"/>
  <c r="S17" i="19" s="1"/>
  <c r="AC81" i="9" l="1" a="1"/>
  <c r="AC81" i="9" s="1"/>
  <c r="AC79" i="9"/>
  <c r="AA78" i="9"/>
  <c r="AA77" i="9"/>
  <c r="AC80" i="9" a="1"/>
  <c r="AC80" i="9" s="1"/>
  <c r="AA30" i="9"/>
  <c r="AA81" i="9" a="1"/>
  <c r="AA81" i="9" s="1"/>
  <c r="AA80" i="9" a="1"/>
  <c r="AA80" i="9" s="1"/>
  <c r="AC78" i="9"/>
  <c r="AA36" i="9"/>
  <c r="AE78" i="9"/>
  <c r="AE77" i="9"/>
  <c r="AE80" i="9" a="1"/>
  <c r="AE80" i="9" s="1"/>
  <c r="AC30" i="9"/>
  <c r="AE36" i="9"/>
  <c r="AC36" i="9"/>
  <c r="AE30" i="9"/>
  <c r="AC77" i="9"/>
  <c r="X30" i="9"/>
  <c r="X77" i="9"/>
  <c r="X78" i="9"/>
  <c r="X81" i="9" a="1"/>
  <c r="X81" i="9" s="1"/>
  <c r="X36" i="9"/>
  <c r="X80" i="9" a="1"/>
  <c r="X80" i="9" s="1"/>
  <c r="B2" i="16"/>
  <c r="H10" i="12"/>
  <c r="B2" i="12"/>
  <c r="C8" i="12"/>
  <c r="C59" i="12" s="1"/>
  <c r="C6" i="12"/>
  <c r="D14" i="12" s="1"/>
  <c r="E14" i="12" s="1"/>
  <c r="F14" i="12" s="1"/>
  <c r="C11" i="14"/>
  <c r="B94" i="8"/>
  <c r="B93" i="8"/>
  <c r="K94" i="8"/>
  <c r="K93" i="8"/>
  <c r="I94" i="8"/>
  <c r="H94" i="8"/>
  <c r="G94" i="8"/>
  <c r="F94" i="8"/>
  <c r="E94" i="8"/>
  <c r="D94" i="8"/>
  <c r="C94" i="8"/>
  <c r="I93" i="8"/>
  <c r="H93" i="8"/>
  <c r="G93" i="8"/>
  <c r="F93" i="8"/>
  <c r="E93" i="8"/>
  <c r="D93" i="8"/>
  <c r="C93" i="8"/>
  <c r="B43" i="8"/>
  <c r="B42" i="8"/>
  <c r="AZ43" i="8"/>
  <c r="AY43" i="8"/>
  <c r="AX43" i="8"/>
  <c r="AV43" i="8"/>
  <c r="AU43" i="8"/>
  <c r="AT43" i="8"/>
  <c r="AR43" i="8"/>
  <c r="AQ43" i="8"/>
  <c r="AP43" i="8"/>
  <c r="AW43" i="8"/>
  <c r="AS43" i="8"/>
  <c r="AZ42" i="8"/>
  <c r="AY42" i="8"/>
  <c r="AX42" i="8"/>
  <c r="AW42" i="8"/>
  <c r="AV42" i="8"/>
  <c r="AU42" i="8"/>
  <c r="AT42" i="8"/>
  <c r="AS42" i="8"/>
  <c r="AR42" i="8"/>
  <c r="AQ42" i="8"/>
  <c r="AP42" i="8"/>
  <c r="BB113" i="8"/>
  <c r="BB99" i="8"/>
  <c r="AY38" i="8"/>
  <c r="AY35" i="8"/>
  <c r="E6" i="17"/>
  <c r="E12" i="17" s="1"/>
  <c r="H60" i="12"/>
  <c r="E109" i="14"/>
  <c r="D109" i="14"/>
  <c r="E108" i="14"/>
  <c r="D108" i="14"/>
  <c r="E107" i="14"/>
  <c r="D107" i="14"/>
  <c r="E24" i="12"/>
  <c r="D98" i="14"/>
  <c r="F98" i="14"/>
  <c r="E98" i="14"/>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C63" i="12"/>
  <c r="C62" i="12"/>
  <c r="D40" i="12"/>
  <c r="B37" i="12"/>
  <c r="C14" i="12"/>
  <c r="E40" i="17"/>
  <c r="E41" i="17" s="1"/>
  <c r="E31" i="17"/>
  <c r="E30" i="17" s="1"/>
  <c r="C19" i="17"/>
  <c r="B48" i="16"/>
  <c r="C45" i="16"/>
  <c r="G44" i="16"/>
  <c r="F44" i="16"/>
  <c r="G43" i="16"/>
  <c r="F43" i="16"/>
  <c r="G42" i="16"/>
  <c r="F42" i="16"/>
  <c r="C31" i="16"/>
  <c r="C32" i="16" s="1"/>
  <c r="C29" i="16"/>
  <c r="C28" i="16" s="1"/>
  <c r="F27" i="16"/>
  <c r="D27" i="16"/>
  <c r="D21" i="16"/>
  <c r="C20" i="16"/>
  <c r="F45" i="16" s="1"/>
  <c r="C13" i="16"/>
  <c r="C15" i="16" s="1"/>
  <c r="C9" i="16"/>
  <c r="C10" i="16" s="1"/>
  <c r="AP93" i="8" l="1"/>
  <c r="AS93" i="8"/>
  <c r="AT93" i="8"/>
  <c r="AT94" i="8"/>
  <c r="AW93" i="8"/>
  <c r="AX93" i="8"/>
  <c r="AS94" i="8"/>
  <c r="AX94" i="8"/>
  <c r="AY94" i="8"/>
  <c r="AV93" i="8"/>
  <c r="AQ93" i="8"/>
  <c r="AY93" i="8"/>
  <c r="AV94" i="8"/>
  <c r="AU94" i="8"/>
  <c r="AR93" i="8"/>
  <c r="AZ93" i="8"/>
  <c r="AW94" i="8"/>
  <c r="AP94" i="8"/>
  <c r="AQ94" i="8"/>
  <c r="AU93" i="8"/>
  <c r="AR94" i="8"/>
  <c r="AZ94" i="8"/>
  <c r="E33" i="17"/>
  <c r="E34" i="17" s="1"/>
  <c r="E43" i="17"/>
  <c r="E44" i="17" s="1"/>
  <c r="D133" i="12"/>
  <c r="C7" i="12"/>
  <c r="C10" i="12" s="1"/>
  <c r="C41" i="12" s="1"/>
  <c r="P134" i="12"/>
  <c r="P132" i="12"/>
  <c r="B133" i="12"/>
  <c r="G132" i="12"/>
  <c r="G134" i="12"/>
  <c r="P133" i="12"/>
  <c r="I42" i="16"/>
  <c r="I43" i="16"/>
  <c r="I44" i="16"/>
  <c r="G14" i="12"/>
  <c r="F40" i="12"/>
  <c r="E40" i="12"/>
  <c r="E16" i="17"/>
  <c r="E17" i="17"/>
  <c r="E13" i="17"/>
  <c r="E14" i="17"/>
  <c r="E15" i="17"/>
  <c r="E18" i="17"/>
  <c r="H45" i="16"/>
  <c r="E21" i="17" l="1"/>
  <c r="E22" i="17" s="1"/>
  <c r="E19" i="17"/>
  <c r="I62" i="12" s="1"/>
  <c r="I65" i="12" s="1"/>
  <c r="C76" i="12" s="1"/>
  <c r="D76" i="12" s="1"/>
  <c r="G40" i="12"/>
  <c r="H14" i="12"/>
  <c r="E23" i="17" l="1"/>
  <c r="H40" i="12"/>
  <c r="I14" i="12"/>
  <c r="B48" i="12" l="1"/>
  <c r="B47" i="12"/>
  <c r="E48" i="12"/>
  <c r="I40" i="12"/>
  <c r="C177" i="14" l="1"/>
  <c r="G85" i="14"/>
  <c r="H85" i="14" s="1"/>
  <c r="I85" i="14" s="1"/>
  <c r="J85" i="14" s="1"/>
  <c r="K85" i="14" s="1"/>
  <c r="F146" i="14"/>
  <c r="E173" i="14"/>
  <c r="F173" i="14"/>
  <c r="D102" i="14"/>
  <c r="D103" i="14" s="1"/>
  <c r="C127" i="14"/>
  <c r="F102" i="14"/>
  <c r="F103" i="14" s="1"/>
  <c r="C68" i="8"/>
  <c r="C75" i="8" s="1"/>
  <c r="C151" i="8"/>
  <c r="D134" i="8"/>
  <c r="C134" i="8"/>
  <c r="D82" i="8"/>
  <c r="C82" i="8"/>
  <c r="D68" i="8"/>
  <c r="D75" i="8" s="1"/>
  <c r="D51" i="8"/>
  <c r="D60" i="8" s="1"/>
  <c r="C51" i="8"/>
  <c r="C60" i="8" s="1"/>
  <c r="D11" i="8"/>
  <c r="D10" i="10" s="1"/>
  <c r="C11" i="8"/>
  <c r="C10" i="10" s="1"/>
  <c r="D182" i="14"/>
  <c r="E182" i="14" s="1"/>
  <c r="F182" i="14" s="1"/>
  <c r="G182" i="14" s="1"/>
  <c r="H182" i="14" s="1"/>
  <c r="F193" i="14"/>
  <c r="E193" i="14"/>
  <c r="D193" i="14"/>
  <c r="C193" i="14"/>
  <c r="G198" i="14"/>
  <c r="F190" i="14"/>
  <c r="E190" i="14"/>
  <c r="D190" i="14"/>
  <c r="C190" i="14"/>
  <c r="F139" i="14"/>
  <c r="G136" i="14" s="1"/>
  <c r="E139" i="14"/>
  <c r="D139" i="14"/>
  <c r="F125" i="14"/>
  <c r="G122" i="14" s="1"/>
  <c r="E125" i="14"/>
  <c r="F122" i="14" s="1"/>
  <c r="D125" i="14"/>
  <c r="E122" i="14" s="1"/>
  <c r="C125" i="14"/>
  <c r="D122" i="14" s="1"/>
  <c r="C133" i="14"/>
  <c r="C131" i="14" s="1"/>
  <c r="F24" i="14"/>
  <c r="E24" i="14"/>
  <c r="D24" i="14"/>
  <c r="C24" i="14"/>
  <c r="F16" i="14"/>
  <c r="E16" i="14" s="1"/>
  <c r="E187" i="14" s="1"/>
  <c r="C10" i="14"/>
  <c r="K230" i="14"/>
  <c r="J230" i="14"/>
  <c r="I230" i="14"/>
  <c r="H230" i="14"/>
  <c r="G230" i="14"/>
  <c r="K228" i="14"/>
  <c r="K213" i="14" s="1"/>
  <c r="J228" i="14"/>
  <c r="J213" i="14" s="1"/>
  <c r="I228" i="14"/>
  <c r="I213" i="14" s="1"/>
  <c r="H228" i="14"/>
  <c r="H213" i="14" s="1"/>
  <c r="G228" i="14"/>
  <c r="K226" i="14"/>
  <c r="J226" i="14"/>
  <c r="I226" i="14"/>
  <c r="H226" i="14"/>
  <c r="G226" i="14"/>
  <c r="K224" i="14"/>
  <c r="K212" i="14" s="1"/>
  <c r="J224" i="14"/>
  <c r="J212" i="14" s="1"/>
  <c r="I224" i="14"/>
  <c r="H224" i="14"/>
  <c r="H212" i="14" s="1"/>
  <c r="G224" i="14"/>
  <c r="G212" i="14" s="1"/>
  <c r="K222" i="14"/>
  <c r="J222" i="14"/>
  <c r="I222" i="14"/>
  <c r="H222" i="14"/>
  <c r="G222" i="14"/>
  <c r="K220" i="14"/>
  <c r="J220" i="14"/>
  <c r="J211" i="14" s="1"/>
  <c r="I220" i="14"/>
  <c r="I211" i="14" s="1"/>
  <c r="H220" i="14"/>
  <c r="H211" i="14" s="1"/>
  <c r="G220" i="14"/>
  <c r="G211" i="14" s="1"/>
  <c r="H218" i="14"/>
  <c r="G218" i="14"/>
  <c r="I217" i="14"/>
  <c r="I218" i="14" s="1"/>
  <c r="H216" i="14"/>
  <c r="G216" i="14"/>
  <c r="G210" i="14" s="1"/>
  <c r="G213" i="14"/>
  <c r="F213" i="14"/>
  <c r="I212" i="14"/>
  <c r="F212" i="14"/>
  <c r="K211" i="14"/>
  <c r="F211" i="14"/>
  <c r="H210" i="14"/>
  <c r="F210" i="14"/>
  <c r="C208" i="14"/>
  <c r="G201" i="14"/>
  <c r="F183" i="14"/>
  <c r="E183" i="14"/>
  <c r="D183" i="14"/>
  <c r="C183" i="14"/>
  <c r="G172" i="14"/>
  <c r="H172" i="14" s="1"/>
  <c r="I172" i="14" s="1"/>
  <c r="J172" i="14" s="1"/>
  <c r="K172" i="14" s="1"/>
  <c r="F169" i="14"/>
  <c r="E169" i="14"/>
  <c r="D169" i="14"/>
  <c r="C169" i="14"/>
  <c r="B167" i="14"/>
  <c r="B166" i="14"/>
  <c r="B150" i="14"/>
  <c r="B149" i="14"/>
  <c r="B120" i="14"/>
  <c r="B119" i="14"/>
  <c r="B91" i="14"/>
  <c r="B90" i="14"/>
  <c r="B65" i="14"/>
  <c r="B64" i="14"/>
  <c r="B7" i="9"/>
  <c r="B6" i="9"/>
  <c r="H9" i="10"/>
  <c r="G9" i="10"/>
  <c r="F9" i="10"/>
  <c r="E9" i="10"/>
  <c r="X9" i="10"/>
  <c r="X10" i="10" s="1"/>
  <c r="W9" i="10"/>
  <c r="V9" i="10"/>
  <c r="U9" i="10"/>
  <c r="T9" i="10"/>
  <c r="T10" i="10" s="1"/>
  <c r="S9" i="10"/>
  <c r="S10" i="10" s="1"/>
  <c r="R9" i="10"/>
  <c r="R10" i="10" s="1"/>
  <c r="Q9" i="10"/>
  <c r="Q10" i="10" s="1"/>
  <c r="P9" i="10"/>
  <c r="P10" i="10" s="1"/>
  <c r="O9" i="10"/>
  <c r="O10" i="10" s="1"/>
  <c r="N9" i="10"/>
  <c r="N10" i="10" s="1"/>
  <c r="M9" i="10"/>
  <c r="M10" i="10" s="1"/>
  <c r="L9" i="10"/>
  <c r="L10" i="10" s="1"/>
  <c r="K9" i="10"/>
  <c r="K10" i="10" s="1"/>
  <c r="I9" i="10"/>
  <c r="K82" i="8"/>
  <c r="AL82" i="8"/>
  <c r="T72" i="9" s="1"/>
  <c r="AG72" i="9" s="1"/>
  <c r="AG73" i="9" s="1"/>
  <c r="AG82" i="9" s="1"/>
  <c r="AN82" i="8"/>
  <c r="V72" i="9" s="1"/>
  <c r="AI72" i="9" s="1"/>
  <c r="AM51" i="8" l="1"/>
  <c r="AM60" i="8" s="1"/>
  <c r="C14" i="8"/>
  <c r="C19" i="8" s="1"/>
  <c r="C28" i="8" s="1"/>
  <c r="D14" i="8"/>
  <c r="D19" i="8" s="1"/>
  <c r="D28" i="8" s="1"/>
  <c r="F60" i="14"/>
  <c r="E55" i="14"/>
  <c r="E25" i="14"/>
  <c r="F55" i="14"/>
  <c r="F25" i="14"/>
  <c r="C55" i="14"/>
  <c r="C25" i="14"/>
  <c r="D55" i="14"/>
  <c r="D25" i="14"/>
  <c r="E94" i="14"/>
  <c r="E60" i="14"/>
  <c r="D95" i="14"/>
  <c r="D61" i="14"/>
  <c r="E95" i="14"/>
  <c r="E61" i="14"/>
  <c r="F95" i="14"/>
  <c r="F61" i="14"/>
  <c r="D94" i="14"/>
  <c r="D60" i="14"/>
  <c r="D23" i="12"/>
  <c r="F127" i="14"/>
  <c r="F162" i="14"/>
  <c r="G159" i="14" s="1"/>
  <c r="E162" i="14"/>
  <c r="F106" i="14"/>
  <c r="F105" i="14"/>
  <c r="F99" i="14"/>
  <c r="J217" i="14"/>
  <c r="K217" i="14" s="1"/>
  <c r="D106" i="14"/>
  <c r="D105" i="14"/>
  <c r="D96" i="14"/>
  <c r="D133" i="14"/>
  <c r="D131" i="14" s="1"/>
  <c r="D132" i="14" s="1"/>
  <c r="F96" i="14"/>
  <c r="E99" i="14"/>
  <c r="E96" i="14"/>
  <c r="E106" i="14"/>
  <c r="E105" i="14"/>
  <c r="D173" i="14"/>
  <c r="D174" i="14" s="1"/>
  <c r="D179" i="14" s="1"/>
  <c r="F97" i="14"/>
  <c r="D99" i="14"/>
  <c r="AI51" i="9"/>
  <c r="C66" i="12" s="1"/>
  <c r="E97" i="14"/>
  <c r="D97" i="14"/>
  <c r="G145" i="14"/>
  <c r="H145" i="14" s="1"/>
  <c r="H109" i="14" s="1"/>
  <c r="F107" i="14"/>
  <c r="F109" i="14"/>
  <c r="E127" i="14"/>
  <c r="E102" i="14"/>
  <c r="E103" i="14" s="1"/>
  <c r="G102" i="14"/>
  <c r="F94" i="14"/>
  <c r="D27" i="12"/>
  <c r="F8" i="9"/>
  <c r="Q8" i="9"/>
  <c r="O8" i="9"/>
  <c r="J8" i="9"/>
  <c r="R8" i="9"/>
  <c r="K8" i="9"/>
  <c r="S8" i="9"/>
  <c r="C8" i="9"/>
  <c r="L8" i="9"/>
  <c r="D8" i="9"/>
  <c r="I8" i="9"/>
  <c r="M8" i="9"/>
  <c r="U8" i="9"/>
  <c r="G8" i="9"/>
  <c r="D16" i="12" s="1"/>
  <c r="E8" i="9"/>
  <c r="F133" i="14"/>
  <c r="F131" i="14" s="1"/>
  <c r="D56" i="14"/>
  <c r="C86" i="14"/>
  <c r="E133" i="14"/>
  <c r="E131" i="14" s="1"/>
  <c r="D83" i="8"/>
  <c r="D85" i="8" s="1"/>
  <c r="C83" i="8"/>
  <c r="C85" i="8" s="1"/>
  <c r="C29" i="14"/>
  <c r="C56" i="14"/>
  <c r="E56" i="14"/>
  <c r="D57" i="14"/>
  <c r="G76" i="14"/>
  <c r="H76" i="14" s="1"/>
  <c r="F57" i="14"/>
  <c r="C81" i="14"/>
  <c r="E167" i="14"/>
  <c r="D16" i="14"/>
  <c r="C16" i="14" s="1"/>
  <c r="C187" i="14" s="1"/>
  <c r="E65" i="14"/>
  <c r="E91" i="14" s="1"/>
  <c r="E120" i="14"/>
  <c r="E150" i="14"/>
  <c r="D162" i="14"/>
  <c r="F56" i="14"/>
  <c r="D127" i="14"/>
  <c r="I182" i="14"/>
  <c r="J182" i="14" s="1"/>
  <c r="K182" i="14" s="1"/>
  <c r="E86" i="14"/>
  <c r="F86" i="14"/>
  <c r="D73" i="14"/>
  <c r="C73" i="14"/>
  <c r="F174" i="14"/>
  <c r="F179" i="14" s="1"/>
  <c r="C132" i="14"/>
  <c r="E57" i="14"/>
  <c r="C57" i="14"/>
  <c r="F167" i="14"/>
  <c r="F65" i="14"/>
  <c r="F91" i="14" s="1"/>
  <c r="F15" i="14"/>
  <c r="F119" i="14" s="1"/>
  <c r="G80" i="14"/>
  <c r="G99" i="14" s="1"/>
  <c r="G70" i="14"/>
  <c r="H70" i="14" s="1"/>
  <c r="F150" i="14"/>
  <c r="G142" i="14"/>
  <c r="D86" i="14"/>
  <c r="E73" i="14"/>
  <c r="G16" i="14"/>
  <c r="F187" i="14"/>
  <c r="F120" i="14"/>
  <c r="G153" i="14"/>
  <c r="F73" i="14"/>
  <c r="G68" i="14"/>
  <c r="G77" i="14"/>
  <c r="H77" i="14" s="1"/>
  <c r="G72" i="14"/>
  <c r="I216" i="14"/>
  <c r="I210" i="14" s="1"/>
  <c r="V8" i="9"/>
  <c r="T8" i="9"/>
  <c r="D177" i="14"/>
  <c r="P8" i="9"/>
  <c r="N8" i="9"/>
  <c r="E81" i="14"/>
  <c r="G79" i="14"/>
  <c r="G177" i="14" s="1"/>
  <c r="AM82" i="8"/>
  <c r="U72" i="9" s="1"/>
  <c r="AH72" i="9" s="1"/>
  <c r="AH73" i="9" s="1"/>
  <c r="AH82" i="9" s="1"/>
  <c r="U59" i="9" l="1"/>
  <c r="AH59" i="9" s="1"/>
  <c r="AK7" i="9"/>
  <c r="AZ120" i="8"/>
  <c r="AY120" i="8"/>
  <c r="D34" i="12"/>
  <c r="C32" i="8"/>
  <c r="C20" i="8"/>
  <c r="D20" i="8"/>
  <c r="D32" i="8"/>
  <c r="D15" i="8"/>
  <c r="C15" i="8"/>
  <c r="G197" i="14"/>
  <c r="G83" i="14"/>
  <c r="C30" i="14"/>
  <c r="C35" i="14" s="1"/>
  <c r="F110" i="14"/>
  <c r="G127" i="14"/>
  <c r="H127" i="14" s="1"/>
  <c r="I127" i="14" s="1"/>
  <c r="J127" i="14" s="1"/>
  <c r="K127" i="14" s="1"/>
  <c r="I145" i="14"/>
  <c r="J145" i="14" s="1"/>
  <c r="J107" i="14" s="1"/>
  <c r="J196" i="14" s="1"/>
  <c r="D110" i="14"/>
  <c r="J216" i="14"/>
  <c r="J210" i="14" s="1"/>
  <c r="J218" i="14"/>
  <c r="G107" i="14"/>
  <c r="E174" i="14"/>
  <c r="E179" i="14" s="1"/>
  <c r="E29" i="14"/>
  <c r="AI73" i="9"/>
  <c r="AI82" i="9" s="1"/>
  <c r="C61" i="12"/>
  <c r="E110" i="14"/>
  <c r="G109" i="14"/>
  <c r="H107" i="14"/>
  <c r="H196" i="14" s="1"/>
  <c r="G103" i="14"/>
  <c r="E29" i="12"/>
  <c r="AI8" i="9"/>
  <c r="C16" i="12" s="1"/>
  <c r="AK6" i="9"/>
  <c r="F132" i="14"/>
  <c r="G132" i="14" s="1"/>
  <c r="H132" i="14" s="1"/>
  <c r="I132" i="14" s="1"/>
  <c r="F29" i="14"/>
  <c r="C42" i="14"/>
  <c r="C43" i="14" s="1"/>
  <c r="C87" i="14"/>
  <c r="E132" i="14"/>
  <c r="D29" i="14"/>
  <c r="D187" i="14"/>
  <c r="D81" i="14"/>
  <c r="D87" i="14" s="1"/>
  <c r="F186" i="14"/>
  <c r="F166" i="14"/>
  <c r="D178" i="14"/>
  <c r="D167" i="14"/>
  <c r="G105" i="14"/>
  <c r="H79" i="14"/>
  <c r="H177" i="14" s="1"/>
  <c r="F177" i="14"/>
  <c r="E177" i="14"/>
  <c r="F81" i="14"/>
  <c r="F87" i="14" s="1"/>
  <c r="G15" i="14"/>
  <c r="G90" i="14" s="1"/>
  <c r="D120" i="14"/>
  <c r="C65" i="14"/>
  <c r="C91" i="14" s="1"/>
  <c r="D65" i="14"/>
  <c r="D91" i="14" s="1"/>
  <c r="F149" i="14"/>
  <c r="D150" i="14"/>
  <c r="F64" i="14"/>
  <c r="F90" i="14" s="1"/>
  <c r="E15" i="14"/>
  <c r="H80" i="14"/>
  <c r="H99" i="14" s="1"/>
  <c r="G95" i="14"/>
  <c r="H95" i="14"/>
  <c r="I76" i="14"/>
  <c r="G91" i="14"/>
  <c r="G187" i="14"/>
  <c r="G120" i="14"/>
  <c r="G209" i="14"/>
  <c r="H16" i="14"/>
  <c r="G167" i="14"/>
  <c r="G150" i="14"/>
  <c r="G65" i="14"/>
  <c r="K218" i="14"/>
  <c r="K216" i="14"/>
  <c r="K210" i="14" s="1"/>
  <c r="E87" i="14"/>
  <c r="H72" i="14"/>
  <c r="G139" i="14"/>
  <c r="I77" i="14"/>
  <c r="H68" i="14"/>
  <c r="I70" i="14"/>
  <c r="C29" i="8" l="1"/>
  <c r="D29" i="8"/>
  <c r="C46" i="14"/>
  <c r="C47" i="14" s="1"/>
  <c r="C58" i="14"/>
  <c r="C38" i="14"/>
  <c r="D30" i="14"/>
  <c r="D35" i="14" s="1"/>
  <c r="E42" i="14"/>
  <c r="E43" i="14" s="1"/>
  <c r="E30" i="14"/>
  <c r="E35" i="14" s="1"/>
  <c r="E58" i="14" s="1"/>
  <c r="F42" i="14"/>
  <c r="F43" i="14" s="1"/>
  <c r="F30" i="14"/>
  <c r="G196" i="14"/>
  <c r="G190" i="14" s="1"/>
  <c r="G193" i="14" s="1"/>
  <c r="C68" i="12"/>
  <c r="C74" i="12" s="1"/>
  <c r="D74" i="12" s="1"/>
  <c r="C21" i="16"/>
  <c r="G124" i="14"/>
  <c r="G125" i="14" s="1"/>
  <c r="H122" i="14" s="1"/>
  <c r="I109" i="14"/>
  <c r="I107" i="14"/>
  <c r="I196" i="14" s="1"/>
  <c r="J76" i="14"/>
  <c r="K76" i="14" s="1"/>
  <c r="J77" i="14"/>
  <c r="K77" i="14" s="1"/>
  <c r="J70" i="14"/>
  <c r="K70" i="14" s="1"/>
  <c r="E178" i="14"/>
  <c r="H102" i="14"/>
  <c r="H103" i="14" s="1"/>
  <c r="H124" i="14"/>
  <c r="AK8" i="9"/>
  <c r="G64" i="14"/>
  <c r="G119" i="14"/>
  <c r="G186" i="14"/>
  <c r="D42" i="14"/>
  <c r="D43" i="14" s="1"/>
  <c r="I79" i="14"/>
  <c r="I177" i="14" s="1"/>
  <c r="F178" i="14"/>
  <c r="D33" i="8"/>
  <c r="D97" i="8"/>
  <c r="D39" i="8"/>
  <c r="D36" i="8"/>
  <c r="C33" i="8"/>
  <c r="C97" i="8"/>
  <c r="C122" i="8" s="1"/>
  <c r="C154" i="8" s="1"/>
  <c r="C39" i="8"/>
  <c r="C36" i="8"/>
  <c r="G208" i="14"/>
  <c r="G166" i="14"/>
  <c r="H15" i="14"/>
  <c r="H119" i="14" s="1"/>
  <c r="H105" i="14"/>
  <c r="G149" i="14"/>
  <c r="K145" i="14"/>
  <c r="J109" i="14"/>
  <c r="I124" i="14"/>
  <c r="D15" i="14"/>
  <c r="E149" i="14"/>
  <c r="E119" i="14"/>
  <c r="E186" i="14"/>
  <c r="E64" i="14"/>
  <c r="E90" i="14" s="1"/>
  <c r="E166" i="14"/>
  <c r="I80" i="14"/>
  <c r="H83" i="14"/>
  <c r="I197" i="14"/>
  <c r="H197" i="14"/>
  <c r="I102" i="14"/>
  <c r="H136" i="14"/>
  <c r="I68" i="14"/>
  <c r="J132" i="14"/>
  <c r="H120" i="14"/>
  <c r="H209" i="14"/>
  <c r="H91" i="14"/>
  <c r="H187" i="14"/>
  <c r="I16" i="14"/>
  <c r="H167" i="14"/>
  <c r="H150" i="14"/>
  <c r="H65" i="14"/>
  <c r="H139" i="14"/>
  <c r="I72" i="14"/>
  <c r="D122" i="8" l="1"/>
  <c r="D154" i="8" s="1"/>
  <c r="R97" i="8"/>
  <c r="R122" i="8" s="1"/>
  <c r="R154" i="8" s="1"/>
  <c r="C155" i="8"/>
  <c r="D149" i="8" s="1"/>
  <c r="D151" i="8" s="1"/>
  <c r="G178" i="14"/>
  <c r="G179" i="14" s="1"/>
  <c r="D46" i="14"/>
  <c r="D47" i="14" s="1"/>
  <c r="F46" i="14"/>
  <c r="F47" i="14" s="1"/>
  <c r="E46" i="14"/>
  <c r="E47" i="14" s="1"/>
  <c r="G202" i="14"/>
  <c r="G203" i="14" s="1"/>
  <c r="H201" i="14" s="1"/>
  <c r="C189" i="14"/>
  <c r="C39" i="14"/>
  <c r="D58" i="14"/>
  <c r="D38" i="14"/>
  <c r="D39" i="14" s="1"/>
  <c r="G45" i="16"/>
  <c r="I45" i="16" s="1"/>
  <c r="C47" i="16" s="1"/>
  <c r="C48" i="16" s="1"/>
  <c r="C37" i="16" s="1"/>
  <c r="E20" i="16"/>
  <c r="E21" i="16" s="1"/>
  <c r="E23" i="16" s="1"/>
  <c r="E38" i="14"/>
  <c r="H125" i="14"/>
  <c r="I122" i="14" s="1"/>
  <c r="I125" i="14" s="1"/>
  <c r="F29" i="12"/>
  <c r="I103" i="14"/>
  <c r="G29" i="12"/>
  <c r="H90" i="14"/>
  <c r="I105" i="14"/>
  <c r="J79" i="14"/>
  <c r="K79" i="14" s="1"/>
  <c r="I15" i="14"/>
  <c r="I64" i="14" s="1"/>
  <c r="H149" i="14"/>
  <c r="H186" i="14"/>
  <c r="H208" i="14"/>
  <c r="H64" i="14"/>
  <c r="H166" i="14"/>
  <c r="K107" i="14"/>
  <c r="K196" i="14" s="1"/>
  <c r="K109" i="14"/>
  <c r="D64" i="14"/>
  <c r="D90" i="14" s="1"/>
  <c r="D166" i="14"/>
  <c r="D186" i="14"/>
  <c r="D149" i="14"/>
  <c r="D119" i="14"/>
  <c r="C15" i="14"/>
  <c r="I95" i="14"/>
  <c r="I83" i="14"/>
  <c r="I99" i="14"/>
  <c r="J80" i="14"/>
  <c r="I136" i="14"/>
  <c r="J68" i="14"/>
  <c r="J102" i="14"/>
  <c r="K102" i="14"/>
  <c r="J124" i="14"/>
  <c r="J72" i="14"/>
  <c r="I139" i="14"/>
  <c r="I65" i="14"/>
  <c r="I209" i="14"/>
  <c r="I91" i="14"/>
  <c r="I167" i="14"/>
  <c r="I150" i="14"/>
  <c r="I120" i="14"/>
  <c r="I187" i="14"/>
  <c r="J16" i="14"/>
  <c r="K132" i="14"/>
  <c r="D155" i="8" l="1"/>
  <c r="D157" i="8" s="1"/>
  <c r="C157" i="8"/>
  <c r="H178" i="14"/>
  <c r="H179" i="14" s="1"/>
  <c r="G204" i="14"/>
  <c r="C27" i="16"/>
  <c r="H6" i="12"/>
  <c r="D93" i="14"/>
  <c r="D100" i="14" s="1"/>
  <c r="D112" i="14" s="1"/>
  <c r="E93" i="14"/>
  <c r="E100" i="14" s="1"/>
  <c r="E112" i="14" s="1"/>
  <c r="E39" i="14"/>
  <c r="C194" i="14"/>
  <c r="C191" i="14"/>
  <c r="D189" i="14"/>
  <c r="D191" i="14" s="1"/>
  <c r="E189" i="14"/>
  <c r="E191" i="14" s="1"/>
  <c r="J103" i="14"/>
  <c r="H29" i="12"/>
  <c r="K103" i="14"/>
  <c r="I29" i="12"/>
  <c r="J105" i="14"/>
  <c r="J15" i="14"/>
  <c r="K15" i="14" s="1"/>
  <c r="I166" i="14"/>
  <c r="I119" i="14"/>
  <c r="I186" i="14"/>
  <c r="I208" i="14"/>
  <c r="I90" i="14"/>
  <c r="I149" i="14"/>
  <c r="J177" i="14"/>
  <c r="C186" i="14"/>
  <c r="C64" i="14"/>
  <c r="C90" i="14" s="1"/>
  <c r="J197" i="14"/>
  <c r="J95" i="14"/>
  <c r="J83" i="14"/>
  <c r="K83" i="14" s="1"/>
  <c r="K80" i="14"/>
  <c r="K99" i="14" s="1"/>
  <c r="J99" i="14"/>
  <c r="K124" i="14"/>
  <c r="K105" i="14"/>
  <c r="K177" i="14"/>
  <c r="J167" i="14"/>
  <c r="J150" i="14"/>
  <c r="J91" i="14"/>
  <c r="J65" i="14"/>
  <c r="J209" i="14"/>
  <c r="J120" i="14"/>
  <c r="J187" i="14"/>
  <c r="K16" i="14"/>
  <c r="J122" i="14"/>
  <c r="J125" i="14" s="1"/>
  <c r="K95" i="14"/>
  <c r="K197" i="14"/>
  <c r="J136" i="14"/>
  <c r="K72" i="14"/>
  <c r="K139" i="14" s="1"/>
  <c r="J139" i="14"/>
  <c r="K68" i="14"/>
  <c r="E149" i="8" l="1"/>
  <c r="E151" i="8" s="1"/>
  <c r="I178" i="14"/>
  <c r="J178" i="14" s="1"/>
  <c r="K178" i="14" s="1"/>
  <c r="K179" i="14" s="1"/>
  <c r="D194" i="14"/>
  <c r="E194" i="14"/>
  <c r="J64" i="14"/>
  <c r="J186" i="14"/>
  <c r="J208" i="14"/>
  <c r="J90" i="14"/>
  <c r="J119" i="14"/>
  <c r="J149" i="14"/>
  <c r="J166" i="14"/>
  <c r="K136" i="14"/>
  <c r="K122" i="14"/>
  <c r="K125" i="14" s="1"/>
  <c r="K65" i="14"/>
  <c r="K167" i="14"/>
  <c r="K150" i="14"/>
  <c r="K209" i="14"/>
  <c r="K120" i="14"/>
  <c r="K187" i="14"/>
  <c r="K91" i="14"/>
  <c r="K208" i="14"/>
  <c r="K166" i="14"/>
  <c r="K149" i="14"/>
  <c r="K64" i="14"/>
  <c r="K119" i="14"/>
  <c r="K90" i="14"/>
  <c r="K186" i="14"/>
  <c r="I179" i="14" l="1"/>
  <c r="J179" i="14"/>
  <c r="AG8" i="10"/>
  <c r="AU11" i="8"/>
  <c r="H51" i="8"/>
  <c r="H60" i="8" s="1"/>
  <c r="G51" i="8"/>
  <c r="G60" i="8" s="1"/>
  <c r="F51" i="8"/>
  <c r="F60" i="8" s="1"/>
  <c r="E51" i="8"/>
  <c r="E60" i="8" s="1"/>
  <c r="I51" i="8"/>
  <c r="I60" i="8" s="1"/>
  <c r="D59" i="9" l="1"/>
  <c r="F59" i="9"/>
  <c r="C59" i="9"/>
  <c r="E59" i="9"/>
  <c r="G59" i="9"/>
  <c r="AE7" i="10"/>
  <c r="AH8" i="10"/>
  <c r="AJ8" i="10"/>
  <c r="AI8" i="10"/>
  <c r="BB48" i="8"/>
  <c r="BB74" i="8"/>
  <c r="AP68" i="8"/>
  <c r="AP75" i="8" s="1"/>
  <c r="AP51" i="8"/>
  <c r="AP60" i="8" s="1"/>
  <c r="AP82" i="8"/>
  <c r="BB53" i="8"/>
  <c r="BB46" i="8"/>
  <c r="AC7" i="10"/>
  <c r="AD7" i="10"/>
  <c r="AF7" i="10"/>
  <c r="AF8" i="10"/>
  <c r="AR82" i="8"/>
  <c r="AV11" i="8"/>
  <c r="AU14" i="8"/>
  <c r="AU19" i="8" s="1"/>
  <c r="AU28" i="8" s="1"/>
  <c r="AV51" i="8"/>
  <c r="AV60" i="8" s="1"/>
  <c r="AV82" i="8"/>
  <c r="BB31" i="8"/>
  <c r="AS82" i="8"/>
  <c r="AT51" i="8"/>
  <c r="AT60" i="8" s="1"/>
  <c r="AV68" i="8"/>
  <c r="AV75" i="8" s="1"/>
  <c r="AU68" i="8"/>
  <c r="AU75" i="8" s="1"/>
  <c r="AQ68" i="8"/>
  <c r="AQ75" i="8" s="1"/>
  <c r="AS11" i="8"/>
  <c r="AQ51" i="8"/>
  <c r="AQ60" i="8" s="1"/>
  <c r="AU51" i="8"/>
  <c r="AU60" i="8" s="1"/>
  <c r="AT82" i="8"/>
  <c r="AT11" i="8"/>
  <c r="AR51" i="8"/>
  <c r="AR60" i="8" s="1"/>
  <c r="AR68" i="8"/>
  <c r="AR75" i="8" s="1"/>
  <c r="AT68" i="8"/>
  <c r="AT75" i="8" s="1"/>
  <c r="AU82" i="8"/>
  <c r="AQ82" i="8"/>
  <c r="AX82" i="8"/>
  <c r="AX51" i="8"/>
  <c r="AX60" i="8" s="1"/>
  <c r="AY82" i="8"/>
  <c r="AX11" i="8"/>
  <c r="AX68" i="8"/>
  <c r="AX75" i="8" s="1"/>
  <c r="AY68" i="8"/>
  <c r="AY75" i="8" s="1"/>
  <c r="AW11" i="8"/>
  <c r="AY11" i="8"/>
  <c r="AY51" i="8"/>
  <c r="AY60" i="8" s="1"/>
  <c r="AU20" i="8" l="1"/>
  <c r="AU32" i="8"/>
  <c r="AT14" i="8"/>
  <c r="AT19" i="8" s="1"/>
  <c r="AT28" i="8" s="1"/>
  <c r="BB18" i="8"/>
  <c r="AI13" i="9"/>
  <c r="AF9" i="10"/>
  <c r="AF10" i="10" s="1"/>
  <c r="AL8" i="10"/>
  <c r="AG7" i="10"/>
  <c r="AG9" i="10" s="1"/>
  <c r="AC8" i="10"/>
  <c r="AD8" i="10"/>
  <c r="AE8" i="10"/>
  <c r="AP83" i="8"/>
  <c r="AP85" i="8" s="1"/>
  <c r="C13" i="9"/>
  <c r="C18" i="9" s="1"/>
  <c r="C22" i="9" s="1"/>
  <c r="C29" i="9" s="1"/>
  <c r="C79" i="9" s="1"/>
  <c r="AX14" i="8"/>
  <c r="AX19" i="8" s="1"/>
  <c r="AX28" i="8" s="1"/>
  <c r="BB10" i="8"/>
  <c r="AV83" i="8"/>
  <c r="AV85" i="8" s="1"/>
  <c r="AT83" i="8"/>
  <c r="AT85" i="8" s="1"/>
  <c r="AR83" i="8"/>
  <c r="AR85" i="8" s="1"/>
  <c r="BB17" i="8"/>
  <c r="AU83" i="8"/>
  <c r="AU85" i="8" s="1"/>
  <c r="AV14" i="8"/>
  <c r="AV19" i="8" s="1"/>
  <c r="AV28" i="8" s="1"/>
  <c r="AQ83" i="8"/>
  <c r="AQ85" i="8" s="1"/>
  <c r="AS14" i="8"/>
  <c r="AS19" i="8" s="1"/>
  <c r="AS28" i="8" s="1"/>
  <c r="AU15" i="8"/>
  <c r="BB13" i="8"/>
  <c r="AX83" i="8"/>
  <c r="AX85" i="8" s="1"/>
  <c r="AY14" i="8"/>
  <c r="AY19" i="8" s="1"/>
  <c r="AY28" i="8" s="1"/>
  <c r="AW14" i="8"/>
  <c r="AW19" i="8" s="1"/>
  <c r="AW28" i="8" s="1"/>
  <c r="AY83" i="8"/>
  <c r="AY85" i="8" s="1"/>
  <c r="AT20" i="8" l="1"/>
  <c r="AT32" i="8"/>
  <c r="AS20" i="8"/>
  <c r="AS32" i="8"/>
  <c r="AV32" i="8"/>
  <c r="AV20" i="8"/>
  <c r="AX32" i="8"/>
  <c r="AX20" i="8"/>
  <c r="AW32" i="8"/>
  <c r="AW20" i="8"/>
  <c r="AY32" i="8"/>
  <c r="AY20" i="8"/>
  <c r="AX15" i="8"/>
  <c r="AW15" i="8"/>
  <c r="AT15" i="8"/>
  <c r="AY15" i="8"/>
  <c r="AV15" i="8"/>
  <c r="AI14" i="9"/>
  <c r="AI18" i="9"/>
  <c r="C20" i="12" s="1"/>
  <c r="AD9" i="10"/>
  <c r="AD10" i="10" s="1"/>
  <c r="AE9" i="10"/>
  <c r="AE10" i="10" s="1"/>
  <c r="AG10" i="10"/>
  <c r="AH7" i="10"/>
  <c r="AH9" i="10" s="1"/>
  <c r="AJ7" i="10"/>
  <c r="AJ9" i="10" s="1"/>
  <c r="AI7" i="10"/>
  <c r="AC9" i="10"/>
  <c r="AC10" i="10" s="1"/>
  <c r="AA8" i="10"/>
  <c r="Z8" i="10"/>
  <c r="AB8" i="10"/>
  <c r="AA7" i="10"/>
  <c r="AB7" i="10"/>
  <c r="Z7" i="10"/>
  <c r="C14" i="9"/>
  <c r="C19" i="9"/>
  <c r="C23" i="9"/>
  <c r="AU29" i="8"/>
  <c r="AS15" i="8"/>
  <c r="AB9" i="10" l="1"/>
  <c r="AA9" i="10"/>
  <c r="AT29" i="8"/>
  <c r="AS29" i="8"/>
  <c r="AX29" i="8"/>
  <c r="AT33" i="8"/>
  <c r="AI22" i="9"/>
  <c r="AI29" i="9" s="1"/>
  <c r="AI79" i="9" s="1"/>
  <c r="AI19" i="9"/>
  <c r="Z9" i="10"/>
  <c r="AI9" i="10"/>
  <c r="AI10" i="10" s="1"/>
  <c r="AL9" i="10"/>
  <c r="AL7" i="10"/>
  <c r="AH10" i="10"/>
  <c r="AU33" i="8"/>
  <c r="AU36" i="8"/>
  <c r="AU39" i="8"/>
  <c r="AS36" i="8"/>
  <c r="AS39" i="8"/>
  <c r="AS33" i="8"/>
  <c r="AY29" i="8"/>
  <c r="AV29" i="8"/>
  <c r="C81" i="9" a="1"/>
  <c r="C81" i="9" s="1"/>
  <c r="C80" i="9" a="1"/>
  <c r="C80" i="9" s="1"/>
  <c r="C30" i="9"/>
  <c r="C77" i="9"/>
  <c r="C36" i="9"/>
  <c r="C43" i="9" s="1"/>
  <c r="C78" i="9"/>
  <c r="AW29" i="8"/>
  <c r="C18" i="12" l="1"/>
  <c r="AT39" i="8"/>
  <c r="AT36" i="8"/>
  <c r="AI23" i="9"/>
  <c r="AW33" i="8"/>
  <c r="AW39" i="8"/>
  <c r="AW36" i="8"/>
  <c r="AV39" i="8"/>
  <c r="AV33" i="8"/>
  <c r="AV36" i="8"/>
  <c r="AX33" i="8"/>
  <c r="AX36" i="8"/>
  <c r="AX39" i="8"/>
  <c r="AY33" i="8"/>
  <c r="AY36" i="8"/>
  <c r="AY39" i="8"/>
  <c r="AI81" i="9" l="1" a="1"/>
  <c r="AI81" i="9" s="1"/>
  <c r="AI30" i="9"/>
  <c r="AI80" i="9" a="1"/>
  <c r="AI80" i="9" s="1"/>
  <c r="AI77" i="9"/>
  <c r="AI78" i="9"/>
  <c r="AI36" i="9"/>
  <c r="BB100" i="8" l="1"/>
  <c r="BB114" i="8"/>
  <c r="AS68" i="8"/>
  <c r="AW68" i="8"/>
  <c r="AW75" i="8" s="1"/>
  <c r="BB120" i="8"/>
  <c r="AS75" i="8" l="1"/>
  <c r="AS83" i="8" s="1"/>
  <c r="BB118" i="8"/>
  <c r="AQ134" i="8"/>
  <c r="AR134" i="8"/>
  <c r="AP134" i="8"/>
  <c r="AV134" i="8"/>
  <c r="AS134" i="8"/>
  <c r="AT134" i="8"/>
  <c r="AU134" i="8"/>
  <c r="AW134" i="8"/>
  <c r="AY134" i="8"/>
  <c r="AX134" i="8"/>
  <c r="E134" i="8" l="1"/>
  <c r="E82" i="8"/>
  <c r="C72" i="9" s="1"/>
  <c r="E68" i="8"/>
  <c r="E11" i="8"/>
  <c r="E10" i="10" s="1"/>
  <c r="AK11" i="8"/>
  <c r="U10" i="10" s="1"/>
  <c r="I11" i="8"/>
  <c r="I10" i="10" s="1"/>
  <c r="H11" i="8"/>
  <c r="H10" i="10" s="1"/>
  <c r="G11" i="8"/>
  <c r="G10" i="10" s="1"/>
  <c r="F11" i="8"/>
  <c r="F10" i="10" s="1"/>
  <c r="K134" i="8"/>
  <c r="I134" i="8"/>
  <c r="H134" i="8"/>
  <c r="G134" i="8"/>
  <c r="F134" i="8"/>
  <c r="I82" i="8"/>
  <c r="G72" i="9" s="1"/>
  <c r="H82" i="8"/>
  <c r="F72" i="9" s="1"/>
  <c r="G82" i="8"/>
  <c r="E72" i="9" s="1"/>
  <c r="F82" i="8"/>
  <c r="D72" i="9" s="1"/>
  <c r="AN68" i="8"/>
  <c r="AN75" i="8" s="1"/>
  <c r="AL68" i="8"/>
  <c r="AL75" i="8" s="1"/>
  <c r="K68" i="8"/>
  <c r="K75" i="8" s="1"/>
  <c r="G60" i="9"/>
  <c r="H68" i="8"/>
  <c r="G68" i="8"/>
  <c r="F68" i="8"/>
  <c r="AZ11" i="8"/>
  <c r="AJ10" i="10" s="1"/>
  <c r="U73" i="9"/>
  <c r="U82" i="9" s="1"/>
  <c r="M73" i="9"/>
  <c r="M82" i="9" s="1"/>
  <c r="AK35" i="9"/>
  <c r="AK25" i="9"/>
  <c r="D9" i="9"/>
  <c r="F75" i="8" l="1"/>
  <c r="D60" i="9" s="1"/>
  <c r="H75" i="8"/>
  <c r="F60" i="9" s="1"/>
  <c r="E75" i="8"/>
  <c r="C60" i="9" s="1"/>
  <c r="G75" i="8"/>
  <c r="G83" i="8" s="1"/>
  <c r="G85" i="8" s="1"/>
  <c r="C73" i="9"/>
  <c r="C82" i="9" s="1"/>
  <c r="N73" i="9"/>
  <c r="N82" i="9" s="1"/>
  <c r="V73" i="9"/>
  <c r="V82" i="9" s="1"/>
  <c r="E73" i="9"/>
  <c r="E82" i="9" s="1"/>
  <c r="O73" i="9"/>
  <c r="O82" i="9" s="1"/>
  <c r="T60" i="9"/>
  <c r="AG60" i="9" s="1"/>
  <c r="BB11" i="8"/>
  <c r="V60" i="9"/>
  <c r="AI60" i="9" s="1"/>
  <c r="E14" i="8"/>
  <c r="E19" i="8" s="1"/>
  <c r="E28" i="8" s="1"/>
  <c r="K73" i="9"/>
  <c r="AK21" i="9"/>
  <c r="G73" i="9"/>
  <c r="G82" i="9" s="1"/>
  <c r="J73" i="9"/>
  <c r="AK17" i="9"/>
  <c r="AK16" i="9"/>
  <c r="O13" i="9"/>
  <c r="M9" i="9"/>
  <c r="U9" i="9"/>
  <c r="F73" i="9"/>
  <c r="F82" i="9" s="1"/>
  <c r="I73" i="9"/>
  <c r="U10" i="9"/>
  <c r="AW82" i="8"/>
  <c r="AW83" i="8" s="1"/>
  <c r="H14" i="8"/>
  <c r="H19" i="8" s="1"/>
  <c r="H28" i="8" s="1"/>
  <c r="G14" i="8"/>
  <c r="G19" i="8" s="1"/>
  <c r="G28" i="8" s="1"/>
  <c r="AK14" i="8"/>
  <c r="AK19" i="8" s="1"/>
  <c r="AK28" i="8" s="1"/>
  <c r="I14" i="8"/>
  <c r="I19" i="8" s="1"/>
  <c r="I28" i="8" s="1"/>
  <c r="AN14" i="8"/>
  <c r="AN19" i="8" s="1"/>
  <c r="AN28" i="8" s="1"/>
  <c r="F14" i="8"/>
  <c r="F19" i="8" s="1"/>
  <c r="F28" i="8" s="1"/>
  <c r="AM68" i="8"/>
  <c r="AM75" i="8" s="1"/>
  <c r="AZ68" i="8"/>
  <c r="AZ75" i="8" s="1"/>
  <c r="AZ82" i="8"/>
  <c r="BB82" i="8" s="1"/>
  <c r="G13" i="9"/>
  <c r="G9" i="9"/>
  <c r="E13" i="9"/>
  <c r="E9" i="9"/>
  <c r="F13" i="9"/>
  <c r="F9" i="9"/>
  <c r="M10" i="9"/>
  <c r="AK32" i="9"/>
  <c r="Q73" i="9"/>
  <c r="Q82" i="9" s="1"/>
  <c r="D13" i="9"/>
  <c r="R73" i="9"/>
  <c r="R82" i="9" s="1"/>
  <c r="S73" i="9"/>
  <c r="S82" i="9" s="1"/>
  <c r="D73" i="9"/>
  <c r="D82" i="9" s="1"/>
  <c r="F83" i="8" l="1"/>
  <c r="F85" i="8" s="1"/>
  <c r="E60" i="9"/>
  <c r="AK32" i="8"/>
  <c r="AK97" i="8" s="1"/>
  <c r="AK122" i="8" s="1"/>
  <c r="AK20" i="8"/>
  <c r="G20" i="8"/>
  <c r="H20" i="8"/>
  <c r="H32" i="8"/>
  <c r="H97" i="8" s="1"/>
  <c r="E20" i="8"/>
  <c r="F32" i="8"/>
  <c r="F20" i="8"/>
  <c r="K32" i="8"/>
  <c r="AN20" i="8"/>
  <c r="I32" i="8"/>
  <c r="I97" i="8" s="1"/>
  <c r="I20" i="8"/>
  <c r="AK15" i="8"/>
  <c r="F15" i="8"/>
  <c r="E15" i="8"/>
  <c r="T73" i="9"/>
  <c r="T82" i="9" s="1"/>
  <c r="AL83" i="8"/>
  <c r="AL85" i="8" s="1"/>
  <c r="AW51" i="8"/>
  <c r="K83" i="8"/>
  <c r="AS51" i="8"/>
  <c r="AN83" i="8"/>
  <c r="AN85" i="8" s="1"/>
  <c r="H83" i="8"/>
  <c r="H85" i="8" s="1"/>
  <c r="I83" i="8"/>
  <c r="I85" i="8" s="1"/>
  <c r="E83" i="8"/>
  <c r="E85" i="8" s="1"/>
  <c r="U60" i="9"/>
  <c r="AH60" i="9" s="1"/>
  <c r="P73" i="9"/>
  <c r="P82" i="9" s="1"/>
  <c r="BB75" i="8"/>
  <c r="BB68" i="8"/>
  <c r="L73" i="9"/>
  <c r="L82" i="9" s="1"/>
  <c r="P10" i="9"/>
  <c r="T9" i="9"/>
  <c r="Q9" i="9"/>
  <c r="R10" i="9"/>
  <c r="T13" i="9"/>
  <c r="T18" i="9" s="1"/>
  <c r="O10" i="9"/>
  <c r="Q10" i="9"/>
  <c r="N10" i="9"/>
  <c r="R13" i="9"/>
  <c r="R14" i="9" s="1"/>
  <c r="P13" i="9"/>
  <c r="P18" i="9" s="1"/>
  <c r="J10" i="9"/>
  <c r="R9" i="9"/>
  <c r="N9" i="9"/>
  <c r="J13" i="9"/>
  <c r="J14" i="9" s="1"/>
  <c r="AK33" i="9"/>
  <c r="P9" i="9"/>
  <c r="AZ51" i="8"/>
  <c r="AZ60" i="8" s="1"/>
  <c r="H15" i="8"/>
  <c r="I15" i="8"/>
  <c r="G15" i="8"/>
  <c r="AZ14" i="8"/>
  <c r="AZ19" i="8" s="1"/>
  <c r="AN15" i="8"/>
  <c r="O18" i="9"/>
  <c r="O14" i="9"/>
  <c r="AK34" i="9"/>
  <c r="F18" i="9"/>
  <c r="F14" i="9"/>
  <c r="S9" i="9"/>
  <c r="S13" i="9"/>
  <c r="S10" i="9"/>
  <c r="K13" i="9"/>
  <c r="K10" i="9"/>
  <c r="U13" i="9"/>
  <c r="AI9" i="9"/>
  <c r="AK12" i="9"/>
  <c r="N13" i="9"/>
  <c r="T10" i="9"/>
  <c r="D18" i="9"/>
  <c r="D14" i="9"/>
  <c r="V9" i="9"/>
  <c r="V13" i="9"/>
  <c r="V10" i="9"/>
  <c r="L13" i="9"/>
  <c r="L10" i="9"/>
  <c r="O9" i="9"/>
  <c r="M13" i="9"/>
  <c r="G18" i="9"/>
  <c r="D20" i="12" s="1"/>
  <c r="G14" i="9"/>
  <c r="Q13" i="9"/>
  <c r="E18" i="9"/>
  <c r="E14" i="9"/>
  <c r="I13" i="9"/>
  <c r="AS60" i="8" l="1"/>
  <c r="AS85" i="8" s="1"/>
  <c r="AW60" i="8"/>
  <c r="AW85" i="8" s="1"/>
  <c r="BB19" i="8"/>
  <c r="AZ28" i="8"/>
  <c r="AZ32" i="8" s="1"/>
  <c r="AW97" i="8"/>
  <c r="K33" i="8"/>
  <c r="K39" i="8"/>
  <c r="E32" i="8"/>
  <c r="E97" i="8" s="1"/>
  <c r="G29" i="8"/>
  <c r="G32" i="8"/>
  <c r="G39" i="8" s="1"/>
  <c r="AN29" i="8"/>
  <c r="AN32" i="8"/>
  <c r="AN36" i="8" s="1"/>
  <c r="AZ20" i="8"/>
  <c r="I29" i="8"/>
  <c r="H29" i="8"/>
  <c r="D21" i="12"/>
  <c r="D24" i="12"/>
  <c r="D25" i="12"/>
  <c r="E29" i="8"/>
  <c r="BB146" i="8"/>
  <c r="AK29" i="8"/>
  <c r="AZ83" i="8"/>
  <c r="BB83" i="8" s="1"/>
  <c r="AM83" i="8"/>
  <c r="AM85" i="8" s="1"/>
  <c r="BB60" i="8"/>
  <c r="BB51" i="8"/>
  <c r="T14" i="9"/>
  <c r="P14" i="9"/>
  <c r="I36" i="8"/>
  <c r="I39" i="8"/>
  <c r="H39" i="8"/>
  <c r="H36" i="8"/>
  <c r="R18" i="9"/>
  <c r="R19" i="9" s="1"/>
  <c r="J18" i="9"/>
  <c r="J19" i="9" s="1"/>
  <c r="BB14" i="8"/>
  <c r="I33" i="8"/>
  <c r="I122" i="8"/>
  <c r="I154" i="8" s="1"/>
  <c r="H33" i="8"/>
  <c r="H122" i="8"/>
  <c r="H154" i="8" s="1"/>
  <c r="F29" i="8"/>
  <c r="AZ134" i="8"/>
  <c r="BB134" i="8" s="1"/>
  <c r="AZ15" i="8"/>
  <c r="BB15" i="8" s="1"/>
  <c r="I18" i="9"/>
  <c r="I14" i="9"/>
  <c r="E22" i="9"/>
  <c r="E29" i="9" s="1"/>
  <c r="E79" i="9" s="1"/>
  <c r="E19" i="9"/>
  <c r="D22" i="9"/>
  <c r="D29" i="9" s="1"/>
  <c r="D79" i="9" s="1"/>
  <c r="D19" i="9"/>
  <c r="AK13" i="9"/>
  <c r="AK9" i="9"/>
  <c r="K14" i="9"/>
  <c r="K18" i="9"/>
  <c r="Q18" i="9"/>
  <c r="Q14" i="9"/>
  <c r="L14" i="9"/>
  <c r="L18" i="9"/>
  <c r="F22" i="9"/>
  <c r="F29" i="9" s="1"/>
  <c r="F79" i="9" s="1"/>
  <c r="F19" i="9"/>
  <c r="O22" i="9"/>
  <c r="O29" i="9" s="1"/>
  <c r="O19" i="9"/>
  <c r="V18" i="9"/>
  <c r="V14" i="9"/>
  <c r="S14" i="9"/>
  <c r="S18" i="9"/>
  <c r="T22" i="9"/>
  <c r="T29" i="9" s="1"/>
  <c r="T19" i="9"/>
  <c r="P19" i="9"/>
  <c r="P22" i="9"/>
  <c r="P29" i="9" s="1"/>
  <c r="G19" i="9"/>
  <c r="G22" i="9"/>
  <c r="G29" i="9" s="1"/>
  <c r="G79" i="9" s="1"/>
  <c r="U18" i="9"/>
  <c r="U14" i="9"/>
  <c r="M18" i="9"/>
  <c r="M14" i="9"/>
  <c r="N18" i="9"/>
  <c r="N14" i="9"/>
  <c r="D18" i="12" l="1"/>
  <c r="D19" i="12" s="1"/>
  <c r="E122" i="8"/>
  <c r="E154" i="8" s="1"/>
  <c r="V97" i="8"/>
  <c r="V122" i="8" s="1"/>
  <c r="V154" i="8" s="1"/>
  <c r="E36" i="8"/>
  <c r="G33" i="8"/>
  <c r="G97" i="8"/>
  <c r="E33" i="8"/>
  <c r="E39" i="8"/>
  <c r="AN97" i="8"/>
  <c r="AN122" i="8" s="1"/>
  <c r="AN154" i="8" s="1"/>
  <c r="AN33" i="8"/>
  <c r="AN39" i="8"/>
  <c r="G36" i="8"/>
  <c r="K97" i="8"/>
  <c r="K122" i="8" s="1"/>
  <c r="K154" i="8" s="1"/>
  <c r="K36" i="8"/>
  <c r="F97" i="8"/>
  <c r="F33" i="8"/>
  <c r="F39" i="8"/>
  <c r="F36" i="8"/>
  <c r="BB28" i="8"/>
  <c r="AZ85" i="8"/>
  <c r="R22" i="9"/>
  <c r="R29" i="9" s="1"/>
  <c r="AK36" i="8"/>
  <c r="AK39" i="8"/>
  <c r="J22" i="9"/>
  <c r="J29" i="9" s="1"/>
  <c r="AZ29" i="8"/>
  <c r="BB29" i="8" s="1"/>
  <c r="AK33" i="8"/>
  <c r="AK154" i="8"/>
  <c r="G23" i="9"/>
  <c r="N22" i="9"/>
  <c r="N29" i="9" s="1"/>
  <c r="Q79" i="9" s="1" a="1"/>
  <c r="Q79" i="9" s="1"/>
  <c r="N19" i="9"/>
  <c r="T23" i="9"/>
  <c r="F23" i="9"/>
  <c r="D23" i="9"/>
  <c r="AK18" i="9"/>
  <c r="AK14" i="9"/>
  <c r="O23" i="9"/>
  <c r="S19" i="9"/>
  <c r="S22" i="9"/>
  <c r="S29" i="9" s="1"/>
  <c r="E23" i="9"/>
  <c r="U22" i="9"/>
  <c r="U29" i="9" s="1"/>
  <c r="U19" i="9"/>
  <c r="Q19" i="9"/>
  <c r="Q22" i="9"/>
  <c r="Q29" i="9" s="1"/>
  <c r="M22" i="9"/>
  <c r="M29" i="9" s="1"/>
  <c r="M19" i="9"/>
  <c r="P23" i="9"/>
  <c r="L22" i="9"/>
  <c r="L29" i="9" s="1"/>
  <c r="L19" i="9"/>
  <c r="K19" i="9"/>
  <c r="K22" i="9"/>
  <c r="K29" i="9" s="1"/>
  <c r="V22" i="9"/>
  <c r="V29" i="9" s="1"/>
  <c r="V19" i="9"/>
  <c r="I19" i="9"/>
  <c r="I22" i="9"/>
  <c r="I29" i="9" s="1"/>
  <c r="P79" i="9" l="1" a="1"/>
  <c r="P79" i="9" s="1"/>
  <c r="V79" i="9" a="1"/>
  <c r="V79" i="9" s="1"/>
  <c r="L79" i="9" a="1"/>
  <c r="L79" i="9" s="1"/>
  <c r="N79" i="9" a="1"/>
  <c r="N79" i="9" s="1"/>
  <c r="U79" i="9" a="1"/>
  <c r="U79" i="9" s="1"/>
  <c r="T79" i="9" a="1"/>
  <c r="T79" i="9" s="1"/>
  <c r="M79" i="9" a="1"/>
  <c r="M79" i="9" s="1"/>
  <c r="R79" i="9" a="1"/>
  <c r="R79" i="9" s="1"/>
  <c r="O79" i="9" a="1"/>
  <c r="O79" i="9" s="1"/>
  <c r="S79" i="9" a="1"/>
  <c r="S79" i="9" s="1"/>
  <c r="G122" i="8"/>
  <c r="G154" i="8" s="1"/>
  <c r="AD97" i="8"/>
  <c r="F122" i="8"/>
  <c r="F154" i="8" s="1"/>
  <c r="Z97" i="8"/>
  <c r="Z122" i="8" s="1"/>
  <c r="Z154" i="8" s="1"/>
  <c r="AV122" i="8"/>
  <c r="AV154" i="8" s="1"/>
  <c r="AZ39" i="8"/>
  <c r="R23" i="9"/>
  <c r="J23" i="9"/>
  <c r="AW122" i="8"/>
  <c r="AW154" i="8" s="1"/>
  <c r="M23" i="9"/>
  <c r="Q23" i="9"/>
  <c r="R81" i="9" a="1"/>
  <c r="R81" i="9" s="1"/>
  <c r="J36" i="9"/>
  <c r="J42" i="9" s="1"/>
  <c r="J30" i="9"/>
  <c r="N23" i="9"/>
  <c r="D80" i="9" a="1"/>
  <c r="D80" i="9" s="1"/>
  <c r="D81" i="9" a="1"/>
  <c r="D81" i="9" s="1"/>
  <c r="D36" i="9"/>
  <c r="D42" i="9" s="1"/>
  <c r="D30" i="9"/>
  <c r="D78" i="9"/>
  <c r="D77" i="9"/>
  <c r="F81" i="9" a="1"/>
  <c r="F81" i="9" s="1"/>
  <c r="F80" i="9" a="1"/>
  <c r="F80" i="9" s="1"/>
  <c r="F30" i="9"/>
  <c r="F36" i="9"/>
  <c r="F42" i="9" s="1"/>
  <c r="F77" i="9"/>
  <c r="F78" i="9"/>
  <c r="G80" i="9" a="1"/>
  <c r="G80" i="9" s="1"/>
  <c r="G81" i="9" a="1"/>
  <c r="G81" i="9" s="1"/>
  <c r="G30" i="9"/>
  <c r="G78" i="9"/>
  <c r="G36" i="9"/>
  <c r="G42" i="9" s="1"/>
  <c r="G77" i="9"/>
  <c r="R30" i="9"/>
  <c r="R36" i="9"/>
  <c r="R42" i="9" s="1"/>
  <c r="V23" i="9"/>
  <c r="L23" i="9"/>
  <c r="U23" i="9"/>
  <c r="AK22" i="9"/>
  <c r="AK19" i="9"/>
  <c r="P36" i="9"/>
  <c r="P42" i="9" s="1"/>
  <c r="P30" i="9"/>
  <c r="O36" i="9"/>
  <c r="O42" i="9" s="1"/>
  <c r="O30" i="9"/>
  <c r="S23" i="9"/>
  <c r="I23" i="9"/>
  <c r="K23" i="9"/>
  <c r="E81" i="9" a="1"/>
  <c r="E81" i="9" s="1"/>
  <c r="E36" i="9"/>
  <c r="E42" i="9" s="1"/>
  <c r="E30" i="9"/>
  <c r="E80" i="9" a="1"/>
  <c r="E80" i="9" s="1"/>
  <c r="E78" i="9"/>
  <c r="E77" i="9"/>
  <c r="T30" i="9"/>
  <c r="T36" i="9"/>
  <c r="T42" i="9" s="1"/>
  <c r="AD122" i="8" l="1"/>
  <c r="AD154" i="8" s="1"/>
  <c r="AQ97" i="8"/>
  <c r="AR97" i="8"/>
  <c r="AS97" i="8"/>
  <c r="AS122" i="8" s="1"/>
  <c r="AS154" i="8" s="1"/>
  <c r="AP97" i="8"/>
  <c r="AT122" i="8"/>
  <c r="AT154" i="8" s="1"/>
  <c r="AU122" i="8"/>
  <c r="AU154" i="8" s="1"/>
  <c r="BB32" i="8"/>
  <c r="AZ36" i="8"/>
  <c r="AZ33" i="8"/>
  <c r="BB33" i="8" s="1"/>
  <c r="R80" i="9" a="1"/>
  <c r="R80" i="9" s="1"/>
  <c r="D43" i="9"/>
  <c r="U80" i="9" a="1"/>
  <c r="U80" i="9" s="1"/>
  <c r="S80" i="9" a="1"/>
  <c r="S80" i="9" s="1"/>
  <c r="U78" i="9"/>
  <c r="N81" i="9" a="1"/>
  <c r="N81" i="9" s="1"/>
  <c r="N80" i="9" a="1"/>
  <c r="N80" i="9" s="1"/>
  <c r="N77" i="9"/>
  <c r="K36" i="9"/>
  <c r="K42" i="9" s="1"/>
  <c r="K30" i="9"/>
  <c r="N78" i="9"/>
  <c r="M80" i="9" a="1"/>
  <c r="M80" i="9" s="1"/>
  <c r="Q36" i="9"/>
  <c r="Q42" i="9" s="1"/>
  <c r="T80" i="9" a="1"/>
  <c r="T80" i="9" s="1"/>
  <c r="T81" i="9" a="1"/>
  <c r="T81" i="9" s="1"/>
  <c r="Q30" i="9"/>
  <c r="T77" i="9"/>
  <c r="T78" i="9"/>
  <c r="I36" i="9"/>
  <c r="I42" i="9" s="1"/>
  <c r="L80" i="9" a="1"/>
  <c r="L80" i="9" s="1"/>
  <c r="L81" i="9" a="1"/>
  <c r="L81" i="9" s="1"/>
  <c r="I30" i="9"/>
  <c r="L77" i="9"/>
  <c r="L78" i="9"/>
  <c r="R78" i="9"/>
  <c r="S77" i="9"/>
  <c r="G43" i="9"/>
  <c r="J43" i="9"/>
  <c r="R77" i="9"/>
  <c r="O80" i="9" a="1"/>
  <c r="O80" i="9" s="1"/>
  <c r="L36" i="9"/>
  <c r="L42" i="9" s="1"/>
  <c r="L30" i="9"/>
  <c r="O81" i="9" a="1"/>
  <c r="O81" i="9" s="1"/>
  <c r="O77" i="9"/>
  <c r="O78" i="9"/>
  <c r="F43" i="9"/>
  <c r="M77" i="9"/>
  <c r="U36" i="9"/>
  <c r="U42" i="9" s="1"/>
  <c r="U30" i="9"/>
  <c r="Q81" i="9" a="1"/>
  <c r="Q81" i="9" s="1"/>
  <c r="N36" i="9"/>
  <c r="N42" i="9" s="1"/>
  <c r="N30" i="9"/>
  <c r="Q80" i="9" a="1"/>
  <c r="Q80" i="9" s="1"/>
  <c r="Q77" i="9"/>
  <c r="Q78" i="9"/>
  <c r="S81" i="9" a="1"/>
  <c r="S81" i="9" s="1"/>
  <c r="U77" i="9"/>
  <c r="M81" i="9" a="1"/>
  <c r="M81" i="9" s="1"/>
  <c r="E43" i="9"/>
  <c r="V81" i="9" a="1"/>
  <c r="V81" i="9" s="1"/>
  <c r="V80" i="9" a="1"/>
  <c r="V80" i="9" s="1"/>
  <c r="V77" i="9"/>
  <c r="S30" i="9"/>
  <c r="S36" i="9"/>
  <c r="S42" i="9" s="1"/>
  <c r="V78" i="9"/>
  <c r="T43" i="9"/>
  <c r="U81" i="9" a="1"/>
  <c r="U81" i="9" s="1"/>
  <c r="P80" i="9" a="1"/>
  <c r="P80" i="9" s="1"/>
  <c r="P81" i="9" a="1"/>
  <c r="P81" i="9" s="1"/>
  <c r="M36" i="9"/>
  <c r="M42" i="9" s="1"/>
  <c r="M30" i="9"/>
  <c r="P77" i="9"/>
  <c r="P78" i="9"/>
  <c r="S78" i="9"/>
  <c r="AK29" i="9"/>
  <c r="AK23" i="9"/>
  <c r="V30" i="9"/>
  <c r="V36" i="9"/>
  <c r="V42" i="9" s="1"/>
  <c r="M78" i="9"/>
  <c r="AD42" i="9" l="1"/>
  <c r="AD43" i="9" s="1"/>
  <c r="Z42" i="9"/>
  <c r="Z43" i="9" s="1"/>
  <c r="AG42" i="9"/>
  <c r="AG43" i="9" s="1"/>
  <c r="AF42" i="9"/>
  <c r="AF43" i="9" s="1"/>
  <c r="AC42" i="9"/>
  <c r="AC43" i="9" s="1"/>
  <c r="AI42" i="9"/>
  <c r="AI43" i="9" s="1"/>
  <c r="AB42" i="9"/>
  <c r="AB43" i="9" s="1"/>
  <c r="AE42" i="9"/>
  <c r="AE43" i="9" s="1"/>
  <c r="AA42" i="9"/>
  <c r="AA43" i="9" s="1"/>
  <c r="AH42" i="9"/>
  <c r="AH43" i="9" s="1"/>
  <c r="BB36" i="8"/>
  <c r="BB39" i="8"/>
  <c r="U43" i="9"/>
  <c r="V43" i="9"/>
  <c r="S43" i="9"/>
  <c r="K43" i="9"/>
  <c r="R43" i="9"/>
  <c r="AK30" i="9"/>
  <c r="AK36" i="9"/>
  <c r="M43" i="9"/>
  <c r="O43" i="9"/>
  <c r="P43" i="9"/>
  <c r="I43" i="9" l="1"/>
  <c r="Y42" i="9"/>
  <c r="Y43" i="9" s="1"/>
  <c r="X42" i="9"/>
  <c r="X43" i="9" s="1"/>
  <c r="N43" i="9"/>
  <c r="Q43" i="9"/>
  <c r="L43" i="9"/>
  <c r="E155" i="8" l="1"/>
  <c r="E157" i="8" l="1"/>
  <c r="F149" i="8"/>
  <c r="F151" i="8" s="1"/>
  <c r="F155" i="8" s="1"/>
  <c r="K151" i="8" l="1"/>
  <c r="K155" i="8" s="1"/>
  <c r="G149" i="8"/>
  <c r="G151" i="8" s="1"/>
  <c r="G155" i="8" s="1"/>
  <c r="F157" i="8"/>
  <c r="L149" i="8" l="1"/>
  <c r="L151" i="8" s="1"/>
  <c r="L155" i="8" s="1"/>
  <c r="K157" i="8"/>
  <c r="H149" i="8"/>
  <c r="H151" i="8" s="1"/>
  <c r="H155" i="8" s="1"/>
  <c r="I149" i="8" s="1"/>
  <c r="G157" i="8"/>
  <c r="L157" i="8" l="1"/>
  <c r="M149" i="8"/>
  <c r="M151" i="8" s="1"/>
  <c r="M155" i="8" s="1"/>
  <c r="M157" i="8" s="1"/>
  <c r="H157" i="8"/>
  <c r="I151" i="8"/>
  <c r="I155" i="8" s="1"/>
  <c r="I157" i="8" s="1"/>
  <c r="N149" i="8" l="1"/>
  <c r="N151" i="8" s="1"/>
  <c r="N155" i="8" s="1"/>
  <c r="N157" i="8" s="1"/>
  <c r="G34" i="14"/>
  <c r="H34" i="14" s="1"/>
  <c r="I34" i="14" s="1"/>
  <c r="J34" i="14" s="1"/>
  <c r="K34" i="14" s="1"/>
  <c r="F35" i="14"/>
  <c r="F38" i="14" s="1"/>
  <c r="F39" i="14" s="1"/>
  <c r="O149" i="8" l="1"/>
  <c r="O151" i="8" s="1"/>
  <c r="O155" i="8" s="1"/>
  <c r="O157" i="8" s="1"/>
  <c r="F143" i="14"/>
  <c r="F93" i="14"/>
  <c r="F100" i="14" s="1"/>
  <c r="F112" i="14" s="1"/>
  <c r="F58" i="14"/>
  <c r="F24" i="12" s="1"/>
  <c r="F189" i="14"/>
  <c r="P149" i="8" l="1"/>
  <c r="P151" i="8" s="1"/>
  <c r="P155" i="8" s="1"/>
  <c r="P157" i="8" s="1"/>
  <c r="F191" i="14"/>
  <c r="F194" i="14"/>
  <c r="G24" i="12"/>
  <c r="Q149" i="8" l="1"/>
  <c r="Q151" i="8" s="1"/>
  <c r="Q155" i="8" s="1"/>
  <c r="Q157" i="8" s="1"/>
  <c r="H24" i="12"/>
  <c r="R149" i="8" l="1"/>
  <c r="R151" i="8" s="1"/>
  <c r="R155" i="8" s="1"/>
  <c r="R157" i="8" s="1"/>
  <c r="I24" i="12"/>
  <c r="S149" i="8" l="1"/>
  <c r="S151" i="8" s="1"/>
  <c r="S155" i="8" s="1"/>
  <c r="S157" i="8" s="1"/>
  <c r="T149" i="8" l="1"/>
  <c r="T151" i="8" s="1"/>
  <c r="T155" i="8" s="1"/>
  <c r="T157" i="8" s="1"/>
  <c r="U149" i="8" l="1"/>
  <c r="U151" i="8" s="1"/>
  <c r="U155" i="8" s="1"/>
  <c r="U157" i="8" s="1"/>
  <c r="V149" i="8" l="1"/>
  <c r="V151" i="8" s="1"/>
  <c r="V155" i="8" s="1"/>
  <c r="V157" i="8" s="1"/>
  <c r="L53" i="19"/>
  <c r="M53" i="19"/>
  <c r="M61" i="19" s="1"/>
  <c r="H52" i="14" s="1"/>
  <c r="N53" i="19"/>
  <c r="O53" i="19" s="1"/>
  <c r="N61" i="19"/>
  <c r="I52" i="14" s="1"/>
  <c r="N62" i="19"/>
  <c r="W149" i="8" l="1"/>
  <c r="W151" i="8" s="1"/>
  <c r="W155" i="8" s="1"/>
  <c r="W157" i="8" s="1"/>
  <c r="M62" i="19"/>
  <c r="P53" i="19"/>
  <c r="O62" i="19"/>
  <c r="O61" i="19"/>
  <c r="J52" i="14" s="1"/>
  <c r="L62" i="19"/>
  <c r="L61" i="19"/>
  <c r="X149" i="8" l="1"/>
  <c r="X151" i="8" s="1"/>
  <c r="X155" i="8" s="1"/>
  <c r="X157" i="8" s="1"/>
  <c r="G52" i="14"/>
  <c r="G18" i="14" s="1"/>
  <c r="G27" i="14" s="1"/>
  <c r="L6" i="19"/>
  <c r="M6" i="19" s="1"/>
  <c r="N6" i="19" s="1"/>
  <c r="O6" i="19" s="1"/>
  <c r="P61" i="19"/>
  <c r="K52" i="14" s="1"/>
  <c r="Q53" i="19"/>
  <c r="P62" i="19"/>
  <c r="E16" i="12" l="1"/>
  <c r="G28" i="14"/>
  <c r="H18" i="14"/>
  <c r="F16" i="12" s="1"/>
  <c r="G131" i="14"/>
  <c r="G137" i="14" s="1"/>
  <c r="G138" i="14" s="1"/>
  <c r="G98" i="14" s="1"/>
  <c r="G20" i="14"/>
  <c r="G21" i="14" s="1"/>
  <c r="Y149" i="8"/>
  <c r="Y151" i="8" s="1"/>
  <c r="Y155" i="8" s="1"/>
  <c r="Y157" i="8" s="1"/>
  <c r="P6" i="19"/>
  <c r="L8" i="19"/>
  <c r="E30" i="12"/>
  <c r="E17" i="12"/>
  <c r="Q61" i="19"/>
  <c r="Q62" i="19"/>
  <c r="G24" i="14" l="1"/>
  <c r="G25" i="14" s="1"/>
  <c r="H27" i="14"/>
  <c r="H20" i="14"/>
  <c r="H24" i="14" s="1"/>
  <c r="H25" i="14" s="1"/>
  <c r="H28" i="14"/>
  <c r="I18" i="14"/>
  <c r="I27" i="14" s="1"/>
  <c r="H131" i="14"/>
  <c r="H137" i="14" s="1"/>
  <c r="H138" i="14" s="1"/>
  <c r="H98" i="14" s="1"/>
  <c r="G133" i="14"/>
  <c r="G94" i="14" s="1"/>
  <c r="Z149" i="8"/>
  <c r="Z151" i="8" s="1"/>
  <c r="Z155" i="8" s="1"/>
  <c r="Z157" i="8" s="1"/>
  <c r="Q6" i="19"/>
  <c r="L13" i="19"/>
  <c r="L14" i="19"/>
  <c r="L11" i="19"/>
  <c r="E27" i="12"/>
  <c r="M8" i="19"/>
  <c r="F30" i="12"/>
  <c r="F17" i="12"/>
  <c r="G29" i="14" l="1"/>
  <c r="G30" i="14" s="1"/>
  <c r="G23" i="14"/>
  <c r="G69" i="14" s="1"/>
  <c r="G96" i="14" s="1"/>
  <c r="G16" i="12"/>
  <c r="I28" i="14"/>
  <c r="J18" i="14"/>
  <c r="J20" i="14" s="1"/>
  <c r="H21" i="14"/>
  <c r="I20" i="14"/>
  <c r="I24" i="14" s="1"/>
  <c r="I25" i="14" s="1"/>
  <c r="I131" i="14"/>
  <c r="I133" i="14" s="1"/>
  <c r="H133" i="14"/>
  <c r="H94" i="14" s="1"/>
  <c r="H29" i="14"/>
  <c r="H30" i="14" s="1"/>
  <c r="H23" i="14"/>
  <c r="AA149" i="8"/>
  <c r="AA151" i="8" s="1"/>
  <c r="AA155" i="8" s="1"/>
  <c r="AA157" i="8" s="1"/>
  <c r="L15" i="19"/>
  <c r="L26" i="19" s="1"/>
  <c r="L29" i="19" s="1"/>
  <c r="L10" i="19"/>
  <c r="M14" i="19"/>
  <c r="M13" i="19"/>
  <c r="M11" i="19"/>
  <c r="N8" i="19"/>
  <c r="G30" i="12"/>
  <c r="G17" i="12"/>
  <c r="J27" i="14" l="1"/>
  <c r="H16" i="12"/>
  <c r="K18" i="14"/>
  <c r="I16" i="12" s="1"/>
  <c r="J131" i="14"/>
  <c r="J137" i="14" s="1"/>
  <c r="J138" i="14" s="1"/>
  <c r="J98" i="14" s="1"/>
  <c r="I21" i="14"/>
  <c r="G75" i="14"/>
  <c r="G97" i="14" s="1"/>
  <c r="E34" i="12" s="1"/>
  <c r="E20" i="12"/>
  <c r="E23" i="12" s="1"/>
  <c r="G42" i="14"/>
  <c r="G43" i="14" s="1"/>
  <c r="F27" i="12"/>
  <c r="I137" i="14"/>
  <c r="I138" i="14" s="1"/>
  <c r="I98" i="14" s="1"/>
  <c r="F20" i="12"/>
  <c r="F21" i="12" s="1"/>
  <c r="H42" i="14"/>
  <c r="H43" i="14" s="1"/>
  <c r="H69" i="14"/>
  <c r="H96" i="14" s="1"/>
  <c r="I29" i="14"/>
  <c r="I30" i="14" s="1"/>
  <c r="I23" i="14"/>
  <c r="L20" i="19"/>
  <c r="L23" i="19" s="1"/>
  <c r="AB149" i="8"/>
  <c r="AB151" i="8" s="1"/>
  <c r="AB155" i="8" s="1"/>
  <c r="AB157" i="8" s="1"/>
  <c r="J24" i="14"/>
  <c r="J25" i="14" s="1"/>
  <c r="J21" i="14"/>
  <c r="M15" i="19"/>
  <c r="M20" i="19" s="1"/>
  <c r="M23" i="19" s="1"/>
  <c r="M10" i="19"/>
  <c r="N13" i="19"/>
  <c r="N14" i="19"/>
  <c r="N11" i="19"/>
  <c r="H30" i="12"/>
  <c r="H17" i="12"/>
  <c r="O8" i="19"/>
  <c r="O13" i="19" s="1"/>
  <c r="G27" i="12"/>
  <c r="I94" i="14"/>
  <c r="K131" i="14"/>
  <c r="K27" i="14"/>
  <c r="K20" i="14"/>
  <c r="J133" i="14" l="1"/>
  <c r="E18" i="12"/>
  <c r="E19" i="12" s="1"/>
  <c r="G46" i="14"/>
  <c r="G47" i="14" s="1"/>
  <c r="H75" i="14"/>
  <c r="H97" i="14" s="1"/>
  <c r="F34" i="12" s="1"/>
  <c r="F35" i="12" s="1"/>
  <c r="E21" i="12"/>
  <c r="E25" i="12"/>
  <c r="I42" i="14"/>
  <c r="I43" i="14" s="1"/>
  <c r="F23" i="12"/>
  <c r="F25" i="12"/>
  <c r="H46" i="14"/>
  <c r="H47" i="14" s="1"/>
  <c r="G20" i="12"/>
  <c r="G25" i="12" s="1"/>
  <c r="F18" i="12"/>
  <c r="F19" i="12" s="1"/>
  <c r="I69" i="14"/>
  <c r="I96" i="14" s="1"/>
  <c r="J23" i="14"/>
  <c r="N15" i="19"/>
  <c r="N26" i="19" s="1"/>
  <c r="N29" i="19" s="1"/>
  <c r="AC149" i="8"/>
  <c r="AC151" i="8" s="1"/>
  <c r="AC155" i="8" s="1"/>
  <c r="AC157" i="8" s="1"/>
  <c r="K24" i="14"/>
  <c r="K25" i="14" s="1"/>
  <c r="K21" i="14"/>
  <c r="M26" i="19"/>
  <c r="M29" i="19" s="1"/>
  <c r="N10" i="19"/>
  <c r="O11" i="19"/>
  <c r="O10" i="19" s="1"/>
  <c r="K137" i="14"/>
  <c r="K138" i="14" s="1"/>
  <c r="K98" i="14" s="1"/>
  <c r="K133" i="14"/>
  <c r="E35" i="12"/>
  <c r="E28" i="12"/>
  <c r="I17" i="12"/>
  <c r="I30" i="12"/>
  <c r="H27" i="12"/>
  <c r="J94" i="14"/>
  <c r="G18" i="12"/>
  <c r="G19" i="12" s="1"/>
  <c r="P8" i="19"/>
  <c r="P13" i="19" s="1"/>
  <c r="I75" i="14" l="1"/>
  <c r="I46" i="14"/>
  <c r="I47" i="14" s="1"/>
  <c r="E32" i="12"/>
  <c r="E41" i="12" s="1"/>
  <c r="E42" i="12" s="1"/>
  <c r="G21" i="12"/>
  <c r="G23" i="12"/>
  <c r="J75" i="14"/>
  <c r="J97" i="14" s="1"/>
  <c r="I97" i="14"/>
  <c r="G34" i="12" s="1"/>
  <c r="G28" i="12" s="1"/>
  <c r="G32" i="12" s="1"/>
  <c r="G41" i="12" s="1"/>
  <c r="G42" i="12" s="1"/>
  <c r="J69" i="14"/>
  <c r="J96" i="14" s="1"/>
  <c r="F28" i="12"/>
  <c r="F32" i="12" s="1"/>
  <c r="F41" i="12" s="1"/>
  <c r="F42" i="12" s="1"/>
  <c r="N20" i="19"/>
  <c r="N23" i="19" s="1"/>
  <c r="K23" i="14"/>
  <c r="AD149" i="8"/>
  <c r="AD151" i="8" s="1"/>
  <c r="AD155" i="8" s="1"/>
  <c r="P11" i="19"/>
  <c r="Q8" i="19"/>
  <c r="Q13" i="19" s="1"/>
  <c r="S13" i="19" s="1"/>
  <c r="S6" i="19"/>
  <c r="I27" i="12"/>
  <c r="K94" i="14"/>
  <c r="K75" i="14" l="1"/>
  <c r="K97" i="14" s="1"/>
  <c r="G35" i="12"/>
  <c r="AD157" i="8"/>
  <c r="AP149" i="8"/>
  <c r="AP151" i="8" s="1"/>
  <c r="K69" i="14"/>
  <c r="K96" i="14" s="1"/>
  <c r="AE149" i="8"/>
  <c r="AE151" i="8" s="1"/>
  <c r="AE155" i="8" s="1"/>
  <c r="Q11" i="19"/>
  <c r="Q10" i="19" s="1"/>
  <c r="P10" i="19"/>
  <c r="S8" i="19"/>
  <c r="H34" i="12"/>
  <c r="AE157" i="8" l="1"/>
  <c r="AQ149" i="8"/>
  <c r="I34" i="12"/>
  <c r="I35" i="12" s="1"/>
  <c r="AF149" i="8"/>
  <c r="AF151" i="8" s="1"/>
  <c r="AF155" i="8" s="1"/>
  <c r="S10" i="19"/>
  <c r="S11" i="19"/>
  <c r="H35" i="12"/>
  <c r="H28" i="12"/>
  <c r="AF157" i="8" l="1"/>
  <c r="AR149" i="8"/>
  <c r="I28" i="12"/>
  <c r="AG149" i="8"/>
  <c r="AG151" i="8" s="1"/>
  <c r="AG155" i="8" s="1"/>
  <c r="O156" i="19"/>
  <c r="P156" i="19"/>
  <c r="Q156" i="19"/>
  <c r="Q14" i="19" s="1"/>
  <c r="O157" i="19"/>
  <c r="P157" i="19"/>
  <c r="Q157" i="19"/>
  <c r="AG157" i="8" l="1"/>
  <c r="AS149" i="8"/>
  <c r="AH149" i="8"/>
  <c r="AH151" i="8" s="1"/>
  <c r="AH155" i="8" s="1"/>
  <c r="Q15" i="19"/>
  <c r="K57" i="14"/>
  <c r="K28" i="14" s="1"/>
  <c r="K29" i="14" s="1"/>
  <c r="P14" i="19"/>
  <c r="P15" i="19" s="1"/>
  <c r="J57" i="14"/>
  <c r="J28" i="14" s="1"/>
  <c r="J29" i="14" s="1"/>
  <c r="O14" i="19"/>
  <c r="O15" i="19" s="1"/>
  <c r="AH157" i="8" l="1"/>
  <c r="AT149" i="8"/>
  <c r="AI149" i="8"/>
  <c r="AI151" i="8" s="1"/>
  <c r="AI155" i="8" s="1"/>
  <c r="J42" i="14"/>
  <c r="J43" i="14" s="1"/>
  <c r="J46" i="14" s="1"/>
  <c r="J47" i="14" s="1"/>
  <c r="J30" i="14"/>
  <c r="K42" i="14"/>
  <c r="K43" i="14" s="1"/>
  <c r="K30" i="14"/>
  <c r="H20" i="12"/>
  <c r="H25" i="12" s="1"/>
  <c r="H32" i="12" s="1"/>
  <c r="H41" i="12" s="1"/>
  <c r="H42" i="12" s="1"/>
  <c r="O20" i="19"/>
  <c r="O23" i="19" s="1"/>
  <c r="O26" i="19"/>
  <c r="O29" i="19" s="1"/>
  <c r="I20" i="12"/>
  <c r="I21" i="12" s="1"/>
  <c r="S15" i="19"/>
  <c r="Q26" i="19"/>
  <c r="Q29" i="19" s="1"/>
  <c r="Q20" i="19"/>
  <c r="P20" i="19"/>
  <c r="P23" i="19" s="1"/>
  <c r="P26" i="19"/>
  <c r="P29" i="19" s="1"/>
  <c r="S14" i="19"/>
  <c r="AI157" i="8" l="1"/>
  <c r="AU149" i="8"/>
  <c r="AU151" i="8" s="1"/>
  <c r="AU155" i="8" s="1"/>
  <c r="AU157" i="8" s="1"/>
  <c r="AJ149" i="8"/>
  <c r="AJ151" i="8" s="1"/>
  <c r="AJ155" i="8" s="1"/>
  <c r="K46" i="14"/>
  <c r="K47" i="14" s="1"/>
  <c r="H18" i="12"/>
  <c r="H19" i="12" s="1"/>
  <c r="S29" i="19"/>
  <c r="I18" i="12"/>
  <c r="I46" i="12" s="1"/>
  <c r="I48" i="12" s="1"/>
  <c r="I49" i="12" s="1"/>
  <c r="H21" i="12"/>
  <c r="I23" i="12"/>
  <c r="H23" i="12"/>
  <c r="I25" i="12"/>
  <c r="I32" i="12" s="1"/>
  <c r="I41" i="12" s="1"/>
  <c r="I42" i="12" s="1"/>
  <c r="C50" i="12" s="1"/>
  <c r="Q23" i="19"/>
  <c r="S23" i="19" s="1"/>
  <c r="S20" i="19"/>
  <c r="S26" i="19"/>
  <c r="AJ157" i="8" l="1"/>
  <c r="AV149" i="8"/>
  <c r="AV151" i="8" s="1"/>
  <c r="AV155" i="8" s="1"/>
  <c r="AV157" i="8" s="1"/>
  <c r="AK149" i="8"/>
  <c r="AK151" i="8" s="1"/>
  <c r="AK155" i="8" s="1"/>
  <c r="I19" i="12"/>
  <c r="C47" i="12"/>
  <c r="C48" i="12" s="1"/>
  <c r="C55" i="12" s="1"/>
  <c r="I50" i="12"/>
  <c r="I51" i="12" s="1"/>
  <c r="D73" i="12" s="1"/>
  <c r="I55" i="12"/>
  <c r="AK157" i="8" l="1"/>
  <c r="AW149" i="8"/>
  <c r="AW151" i="8" s="1"/>
  <c r="AW155" i="8" s="1"/>
  <c r="AW157" i="8" s="1"/>
  <c r="AQ151" i="8"/>
  <c r="AL149" i="8"/>
  <c r="AL151" i="8" s="1"/>
  <c r="C49" i="12"/>
  <c r="C51" i="12" s="1"/>
  <c r="C73" i="12" s="1"/>
  <c r="I53" i="12"/>
  <c r="I54" i="12" s="1"/>
  <c r="D88" i="12"/>
  <c r="D75" i="12"/>
  <c r="D77" i="12" s="1"/>
  <c r="D103" i="12" s="1"/>
  <c r="D83" i="12"/>
  <c r="D86" i="12"/>
  <c r="D81" i="12"/>
  <c r="D87" i="12"/>
  <c r="D82" i="12"/>
  <c r="L103" i="12" s="1"/>
  <c r="C75" i="12" l="1"/>
  <c r="C77" i="12" s="1"/>
  <c r="D94" i="12" s="1"/>
  <c r="C83" i="12"/>
  <c r="C86" i="12"/>
  <c r="C81" i="12"/>
  <c r="C87" i="12"/>
  <c r="C82" i="12"/>
  <c r="L94" i="12" s="1"/>
  <c r="C88" i="12"/>
  <c r="C53" i="12"/>
  <c r="C54" i="12" s="1"/>
  <c r="AM11" i="8" l="1"/>
  <c r="AM14" i="8" l="1"/>
  <c r="AM19" i="8" s="1"/>
  <c r="AM28" i="8" s="1"/>
  <c r="W10" i="10"/>
  <c r="AM15" i="8" l="1"/>
  <c r="AM20" i="8"/>
  <c r="AM29" i="8" l="1"/>
  <c r="AM32" i="8"/>
  <c r="AM36" i="8" l="1"/>
  <c r="AM97" i="8"/>
  <c r="AM33" i="8"/>
  <c r="AM39" i="8"/>
  <c r="AM122" i="8" l="1"/>
  <c r="AM154" i="8" s="1"/>
  <c r="AR122" i="8"/>
  <c r="AR154" i="8" s="1"/>
  <c r="AP11" i="8"/>
  <c r="Z10" i="10" s="1"/>
  <c r="AR11" i="8"/>
  <c r="AL11" i="8"/>
  <c r="AQ11" i="8"/>
  <c r="AQ14" i="8" s="1"/>
  <c r="AL14" i="8" l="1"/>
  <c r="AL15" i="8" s="1"/>
  <c r="V10" i="10"/>
  <c r="AA10" i="10"/>
  <c r="AQ19" i="8"/>
  <c r="AQ28" i="8" s="1"/>
  <c r="AQ15" i="8"/>
  <c r="AR14" i="8"/>
  <c r="AB10" i="10"/>
  <c r="AP14" i="8"/>
  <c r="AL19" i="8" l="1"/>
  <c r="AL28" i="8" s="1"/>
  <c r="AR19" i="8"/>
  <c r="AR28" i="8" s="1"/>
  <c r="AR15" i="8"/>
  <c r="AP15" i="8"/>
  <c r="AP19" i="8"/>
  <c r="AP28" i="8" s="1"/>
  <c r="AQ20" i="8"/>
  <c r="AL20" i="8" l="1"/>
  <c r="AL29" i="8"/>
  <c r="AL32" i="8"/>
  <c r="AL36" i="8" s="1"/>
  <c r="AQ32" i="8"/>
  <c r="AQ29" i="8"/>
  <c r="AP20" i="8"/>
  <c r="AR20" i="8"/>
  <c r="AL33" i="8" l="1"/>
  <c r="AL39" i="8"/>
  <c r="AL97" i="8"/>
  <c r="AR32" i="8"/>
  <c r="AR29" i="8"/>
  <c r="AP29" i="8"/>
  <c r="AP32" i="8"/>
  <c r="AQ36" i="8"/>
  <c r="AQ33" i="8"/>
  <c r="AQ39" i="8"/>
  <c r="AZ97" i="8" l="1"/>
  <c r="AX97" i="8"/>
  <c r="AX122" i="8" s="1"/>
  <c r="AX154" i="8" s="1"/>
  <c r="AY97" i="8"/>
  <c r="AY122" i="8" s="1"/>
  <c r="AY154" i="8" s="1"/>
  <c r="AQ122" i="8"/>
  <c r="AQ154" i="8" s="1"/>
  <c r="AQ155" i="8" s="1"/>
  <c r="AQ157" i="8" s="1"/>
  <c r="AL122" i="8"/>
  <c r="AL154" i="8" s="1"/>
  <c r="AL155" i="8" s="1"/>
  <c r="AP122" i="8"/>
  <c r="AP33" i="8"/>
  <c r="AP39" i="8"/>
  <c r="AP36" i="8"/>
  <c r="AR36" i="8"/>
  <c r="AR33" i="8"/>
  <c r="AR39" i="8"/>
  <c r="AP154" i="8" l="1"/>
  <c r="AP155" i="8" s="1"/>
  <c r="AP157" i="8" s="1"/>
  <c r="AM149" i="8"/>
  <c r="AM151" i="8" s="1"/>
  <c r="AM155" i="8" s="1"/>
  <c r="AX149" i="8"/>
  <c r="AX151" i="8" s="1"/>
  <c r="AX155" i="8" s="1"/>
  <c r="AX157" i="8" s="1"/>
  <c r="AZ122" i="8"/>
  <c r="BB97" i="8"/>
  <c r="AL157" i="8"/>
  <c r="AR151" i="8"/>
  <c r="AR155" i="8" s="1"/>
  <c r="AR157" i="8" s="1"/>
  <c r="AN149" i="8" l="1"/>
  <c r="AN151" i="8" s="1"/>
  <c r="AN155" i="8" s="1"/>
  <c r="AZ149" i="8" s="1"/>
  <c r="AZ151" i="8" s="1"/>
  <c r="AY149" i="8"/>
  <c r="AY151" i="8" s="1"/>
  <c r="AY155" i="8" s="1"/>
  <c r="AY157" i="8" s="1"/>
  <c r="BB122" i="8"/>
  <c r="AZ154" i="8"/>
  <c r="AS151" i="8"/>
  <c r="AS155" i="8" s="1"/>
  <c r="AS157" i="8" s="1"/>
  <c r="AM157" i="8"/>
  <c r="AZ155" i="8" l="1"/>
  <c r="AZ157" i="8" s="1"/>
  <c r="AT151" i="8"/>
  <c r="AT155" i="8" s="1"/>
  <c r="AT157" i="8" s="1"/>
  <c r="AN157" i="8"/>
  <c r="G81" i="14" l="1"/>
  <c r="H81" i="14" l="1"/>
  <c r="I81" i="14" l="1"/>
  <c r="G86" i="14"/>
  <c r="H86" i="14" l="1"/>
  <c r="J81" i="14"/>
  <c r="K81" i="14" l="1"/>
  <c r="I86" i="14"/>
  <c r="J86" i="14" l="1"/>
  <c r="K35" i="14"/>
  <c r="K38" i="14" s="1"/>
  <c r="H35" i="14"/>
  <c r="H38" i="14"/>
  <c r="H189" i="14" s="1"/>
  <c r="G35" i="14"/>
  <c r="G38" i="14" s="1"/>
  <c r="I35" i="14"/>
  <c r="I38" i="14"/>
  <c r="I93" i="14" s="1"/>
  <c r="I100" i="14" s="1"/>
  <c r="J35" i="14"/>
  <c r="J38" i="14" s="1"/>
  <c r="K86" i="14"/>
  <c r="H39" i="14"/>
  <c r="J189" i="14" l="1"/>
  <c r="J93" i="14"/>
  <c r="J100" i="14" s="1"/>
  <c r="J155" i="14" s="1"/>
  <c r="J143" i="14"/>
  <c r="J39" i="14"/>
  <c r="I189" i="14"/>
  <c r="I199" i="14" s="1"/>
  <c r="I39" i="14"/>
  <c r="H93" i="14"/>
  <c r="H100" i="14" s="1"/>
  <c r="H155" i="14" s="1"/>
  <c r="H143" i="14"/>
  <c r="I143" i="14"/>
  <c r="I155" i="14"/>
  <c r="G39" i="14"/>
  <c r="G189" i="14"/>
  <c r="G93" i="14"/>
  <c r="G100" i="14" s="1"/>
  <c r="H199" i="14"/>
  <c r="H198" i="14" s="1"/>
  <c r="K143" i="14"/>
  <c r="K189" i="14"/>
  <c r="K93" i="14"/>
  <c r="K100" i="14" s="1"/>
  <c r="K39" i="14"/>
  <c r="G143" i="14"/>
  <c r="J199" i="14" l="1"/>
  <c r="G194" i="14"/>
  <c r="G191" i="14"/>
  <c r="K155" i="14"/>
  <c r="K199" i="14"/>
  <c r="I198" i="14"/>
  <c r="H202" i="14"/>
  <c r="H203" i="14" s="1"/>
  <c r="H190" i="14"/>
  <c r="G155" i="14"/>
  <c r="G156" i="14" s="1"/>
  <c r="G160" i="14" s="1"/>
  <c r="G162" i="14" s="1"/>
  <c r="G146" i="14"/>
  <c r="H142" i="14" s="1"/>
  <c r="H146" i="14" s="1"/>
  <c r="I142" i="14" s="1"/>
  <c r="I146" i="14" s="1"/>
  <c r="J142" i="14" s="1"/>
  <c r="J146" i="14" s="1"/>
  <c r="K142" i="14" s="1"/>
  <c r="K146" i="14" s="1"/>
  <c r="G144" i="14"/>
  <c r="I190" i="14" l="1"/>
  <c r="H193" i="14"/>
  <c r="H194" i="14" s="1"/>
  <c r="H191" i="14"/>
  <c r="G108" i="14"/>
  <c r="H144" i="14"/>
  <c r="H159" i="14"/>
  <c r="H162" i="14" s="1"/>
  <c r="G78" i="14"/>
  <c r="G163" i="14"/>
  <c r="I201" i="14"/>
  <c r="I203" i="14" s="1"/>
  <c r="H204" i="14"/>
  <c r="I202" i="14"/>
  <c r="J198" i="14"/>
  <c r="H108" i="14" l="1"/>
  <c r="I144" i="14"/>
  <c r="H163" i="14"/>
  <c r="I159" i="14"/>
  <c r="I162" i="14" s="1"/>
  <c r="H78" i="14"/>
  <c r="G106" i="14"/>
  <c r="G110" i="14" s="1"/>
  <c r="G112" i="14" s="1"/>
  <c r="G67" i="14" s="1"/>
  <c r="G173" i="14"/>
  <c r="K198" i="14"/>
  <c r="K202" i="14" s="1"/>
  <c r="J202" i="14"/>
  <c r="I204" i="14"/>
  <c r="J201" i="14"/>
  <c r="J203" i="14" s="1"/>
  <c r="J190" i="14"/>
  <c r="I193" i="14"/>
  <c r="I194" i="14" s="1"/>
  <c r="I191" i="14"/>
  <c r="H174" i="14" l="1"/>
  <c r="H169" i="14" s="1"/>
  <c r="G174" i="14"/>
  <c r="G169" i="14" s="1"/>
  <c r="H173" i="14"/>
  <c r="I174" i="14" s="1"/>
  <c r="I169" i="14" s="1"/>
  <c r="H106" i="14"/>
  <c r="H110" i="14" s="1"/>
  <c r="H112" i="14" s="1"/>
  <c r="H67" i="14" s="1"/>
  <c r="G183" i="14"/>
  <c r="G73" i="14"/>
  <c r="G87" i="14" s="1"/>
  <c r="H183" i="14"/>
  <c r="H153" i="14"/>
  <c r="H156" i="14" s="1"/>
  <c r="H160" i="14" s="1"/>
  <c r="K190" i="14"/>
  <c r="J191" i="14"/>
  <c r="J193" i="14"/>
  <c r="J194" i="14" s="1"/>
  <c r="J204" i="14"/>
  <c r="K201" i="14"/>
  <c r="K203" i="14" s="1"/>
  <c r="K204" i="14" s="1"/>
  <c r="J144" i="14"/>
  <c r="I108" i="14"/>
  <c r="J159" i="14"/>
  <c r="J162" i="14" s="1"/>
  <c r="I163" i="14"/>
  <c r="I78" i="14"/>
  <c r="I183" i="14" l="1"/>
  <c r="I153" i="14"/>
  <c r="I156" i="14" s="1"/>
  <c r="I160" i="14" s="1"/>
  <c r="H73" i="14"/>
  <c r="H87" i="14" s="1"/>
  <c r="J108" i="14"/>
  <c r="K144" i="14"/>
  <c r="K108" i="14" s="1"/>
  <c r="K193" i="14"/>
  <c r="K194" i="14" s="1"/>
  <c r="K191" i="14"/>
  <c r="I173" i="14"/>
  <c r="J174" i="14" s="1"/>
  <c r="J169" i="14" s="1"/>
  <c r="I106" i="14"/>
  <c r="I110" i="14" s="1"/>
  <c r="I112" i="14" s="1"/>
  <c r="I67" i="14" s="1"/>
  <c r="K159" i="14"/>
  <c r="K162" i="14" s="1"/>
  <c r="J163" i="14"/>
  <c r="J78" i="14"/>
  <c r="J183" i="14" l="1"/>
  <c r="I73" i="14"/>
  <c r="I87" i="14" s="1"/>
  <c r="J153" i="14"/>
  <c r="J156" i="14" s="1"/>
  <c r="J160" i="14" s="1"/>
  <c r="J106" i="14"/>
  <c r="J110" i="14" s="1"/>
  <c r="J112" i="14" s="1"/>
  <c r="J67" i="14" s="1"/>
  <c r="J173" i="14"/>
  <c r="K174" i="14" s="1"/>
  <c r="K169" i="14" s="1"/>
  <c r="K163" i="14"/>
  <c r="K78" i="14"/>
  <c r="K153" i="14" l="1"/>
  <c r="K156" i="14" s="1"/>
  <c r="K160" i="14" s="1"/>
  <c r="J73" i="14"/>
  <c r="J87" i="14" s="1"/>
  <c r="K183" i="14"/>
  <c r="K173" i="14"/>
  <c r="K106" i="14"/>
  <c r="K110" i="14" s="1"/>
  <c r="K112" i="14" s="1"/>
  <c r="K67" i="14" s="1"/>
  <c r="K73" i="14" s="1"/>
  <c r="K8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70" authorId="0" shapeId="0" xr:uid="{6439A3EF-3E3E-42F8-8BFB-2C48CCCD7462}">
      <text>
        <r>
          <rPr>
            <sz val="9"/>
            <color indexed="81"/>
            <rFont val="Tahoma"/>
            <family val="2"/>
          </rPr>
          <t>Includes vendor non-trade receivables</t>
        </r>
      </text>
    </comment>
    <comment ref="B72"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28" authorId="0" shapeId="0" xr:uid="{2219FFFC-2383-4581-B375-CA03D19C612B}">
      <text>
        <r>
          <rPr>
            <sz val="9"/>
            <color indexed="81"/>
            <rFont val="Tahoma"/>
            <family val="2"/>
          </rPr>
          <t>WSP estimate</t>
        </r>
      </text>
    </comment>
    <comment ref="B144" authorId="0" shapeId="0" xr:uid="{7085AA9A-84A7-492A-B8CA-274A5CE6CD98}">
      <text>
        <r>
          <rPr>
            <sz val="9"/>
            <color indexed="81"/>
            <rFont val="Tahoma"/>
            <family val="2"/>
          </rPr>
          <t>Statement of shareholders equity schedule, p.41 Apple 2018 10K</t>
        </r>
      </text>
    </comment>
    <comment ref="B145" authorId="0" shapeId="0" xr:uid="{BBB1E183-5B22-4E4E-B78A-A975E679C8A1}">
      <text>
        <r>
          <rPr>
            <sz val="9"/>
            <color indexed="81"/>
            <rFont val="Tahoma"/>
            <family val="2"/>
          </rPr>
          <t>Statement of shareholders equity schedule, p.41 Apple 2018 10K</t>
        </r>
      </text>
    </comment>
    <comment ref="C172" authorId="0" shapeId="0" xr:uid="{110605DF-1DAD-4A6E-AB14-01845C7B5AC1}">
      <text>
        <r>
          <rPr>
            <sz val="9"/>
            <color indexed="81"/>
            <rFont val="Tahoma"/>
            <family val="2"/>
          </rPr>
          <t>2018 p.27 in the 'Other Income/(Expense), Net' section.</t>
        </r>
      </text>
    </comment>
    <comment ref="D172" authorId="0" shapeId="0" xr:uid="{AF574A06-4322-4208-A98F-41F2F29405E3}">
      <text>
        <r>
          <rPr>
            <sz val="9"/>
            <color indexed="81"/>
            <rFont val="Tahoma"/>
            <family val="2"/>
          </rPr>
          <t>2018 p.27 in the 'Other Income/(Expense), Net' section.</t>
        </r>
      </text>
    </comment>
    <comment ref="E172" authorId="0" shapeId="0" xr:uid="{BC668EE1-261D-4F6A-A05F-BD4073B2ED36}">
      <text>
        <r>
          <rPr>
            <b/>
            <sz val="9"/>
            <color indexed="81"/>
            <rFont val="Tahoma"/>
            <family val="2"/>
          </rPr>
          <t>Matan Feldman:</t>
        </r>
        <r>
          <rPr>
            <sz val="9"/>
            <color indexed="81"/>
            <rFont val="Tahoma"/>
            <family val="2"/>
          </rPr>
          <t xml:space="preserve">
2019 10k p.22</t>
        </r>
      </text>
    </comment>
    <comment ref="F172" authorId="0" shapeId="0" xr:uid="{68B86536-0C60-435E-99F6-503233BBFE42}">
      <text>
        <r>
          <rPr>
            <b/>
            <sz val="9"/>
            <color indexed="81"/>
            <rFont val="Tahoma"/>
            <family val="2"/>
          </rPr>
          <t>Matan Feldman:</t>
        </r>
        <r>
          <rPr>
            <sz val="9"/>
            <color indexed="81"/>
            <rFont val="Tahoma"/>
            <family val="2"/>
          </rPr>
          <t xml:space="preserve">
2019 10k p.22</t>
        </r>
      </text>
    </comment>
    <comment ref="B178" authorId="0" shapeId="0" xr:uid="{7F223A28-3329-4436-AFC1-8E4FCC766138}">
      <text>
        <r>
          <rPr>
            <sz val="9"/>
            <color indexed="81"/>
            <rFont val="Tahoma"/>
            <family val="2"/>
          </rPr>
          <t xml:space="preserve">We estimate the historical interest rate (though not explicitly disclosed by Apple). </t>
        </r>
      </text>
    </comment>
    <comment ref="B179" authorId="0" shapeId="0" xr:uid="{5E192335-BB77-4B46-B48D-320E298F587D}">
      <text>
        <r>
          <rPr>
            <sz val="9"/>
            <color indexed="81"/>
            <rFont val="Tahoma"/>
            <family val="2"/>
          </rPr>
          <t>Although Apple doesn't disclose interest expense specifically, it does disclose the interest rate on commercial paper which enables us to back into interest expense for LTD</t>
        </r>
      </text>
    </comment>
    <comment ref="C182" authorId="0" shapeId="0" xr:uid="{45987C27-27C8-4DBC-8746-8B0C59520E8D}">
      <text>
        <r>
          <rPr>
            <sz val="9"/>
            <color indexed="81"/>
            <rFont val="Tahoma"/>
            <family val="2"/>
          </rPr>
          <t>2018 p.27 in the 'Other Income/(Expense), Net' section.</t>
        </r>
      </text>
    </comment>
    <comment ref="D182" authorId="0" shapeId="0" xr:uid="{3A5F659A-54E2-4911-8170-88B98DAEFFEA}">
      <text>
        <r>
          <rPr>
            <sz val="9"/>
            <color indexed="81"/>
            <rFont val="Tahoma"/>
            <family val="2"/>
          </rPr>
          <t>2018 p.27 in the 'Other Income/(Expense), Net' section.</t>
        </r>
      </text>
    </comment>
    <comment ref="E182" authorId="0" shapeId="0" xr:uid="{E8924D5A-5C99-4123-8271-D32EC6E770A5}">
      <text>
        <r>
          <rPr>
            <sz val="9"/>
            <color indexed="81"/>
            <rFont val="Tahoma"/>
            <family val="2"/>
          </rPr>
          <t>2018 p.27 in the 'Other Income/(Expense), Net' section.</t>
        </r>
      </text>
    </comment>
    <comment ref="F182" authorId="0" shapeId="0" xr:uid="{40B76328-F218-4C3C-9BE2-1150DBE30A65}">
      <text>
        <r>
          <rPr>
            <sz val="9"/>
            <color indexed="81"/>
            <rFont val="Tahoma"/>
            <family val="2"/>
          </rPr>
          <t>2018 p.27 in the 'Other Income/(Expense), Net' section.</t>
        </r>
      </text>
    </comment>
    <comment ref="B193" authorId="0" shapeId="0" xr:uid="{9D4ADC58-48E6-4E77-A52F-7A873A12BC98}">
      <text>
        <r>
          <rPr>
            <sz val="9"/>
            <color indexed="81"/>
            <rFont val="Tahoma"/>
            <family val="2"/>
          </rPr>
          <t>We straight line last actual year's dilutive securities (calculated as diluted - basic shares) and add this number to the basic share count to arrive at diluted shares</t>
        </r>
      </text>
    </comment>
    <comment ref="B197" authorId="0" shapeId="0" xr:uid="{DF0AE5E3-E269-4C6C-9C1F-3C667815E761}">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198" authorId="0" shapeId="0" xr:uid="{CF9C898A-EFFB-4B14-979B-94AF17CC4029}">
      <text>
        <r>
          <rPr>
            <sz val="9"/>
            <color indexed="81"/>
            <rFont val="Tahoma"/>
            <family val="2"/>
          </rPr>
          <t xml:space="preserve">Use latest share count or last 12 month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25" authorId="0" shapeId="0" xr:uid="{23CFCC53-FC78-4992-830A-99469A75382A}">
      <text>
        <r>
          <rPr>
            <b/>
            <sz val="9"/>
            <color indexed="81"/>
            <rFont val="Tahoma"/>
            <family val="2"/>
          </rPr>
          <t>Matan Feldman:</t>
        </r>
        <r>
          <rPr>
            <sz val="9"/>
            <color indexed="81"/>
            <rFont val="Tahoma"/>
            <family val="2"/>
          </rPr>
          <t xml:space="preserve">
NOPAT stands for net operating profit after taxes.  It represents a company's operating profits less tax expense on operations.  This means that the tax deductions due to interest expense are ignored in this buildup and are instead captured in the discount rate.</t>
        </r>
      </text>
    </comment>
    <comment ref="E41" authorId="0" shapeId="0" xr:uid="{C8FFD3DE-1737-4E21-A53D-9D63292850DC}">
      <text>
        <r>
          <rPr>
            <b/>
            <sz val="9"/>
            <color indexed="81"/>
            <rFont val="Tahoma"/>
            <family val="2"/>
          </rPr>
          <t>Matan Feldman:</t>
        </r>
        <r>
          <rPr>
            <sz val="9"/>
            <color indexed="81"/>
            <rFont val="Tahoma"/>
            <family val="2"/>
          </rPr>
          <t xml:space="preserve">
Stub year adjusted</t>
        </r>
      </text>
    </comment>
    <comment ref="I55" authorId="1" shapeId="0" xr:uid="{DA267C1E-5C09-4A7F-BEF3-AAE1C981031E}">
      <text>
        <r>
          <rPr>
            <b/>
            <sz val="9"/>
            <color indexed="81"/>
            <rFont val="Tahoma"/>
            <family val="2"/>
          </rPr>
          <t>Wall Street Prep:</t>
        </r>
        <r>
          <rPr>
            <sz val="9"/>
            <color indexed="81"/>
            <rFont val="Tahoma"/>
            <family val="2"/>
          </rPr>
          <t xml:space="preserve">
Implied g = [r -FCF(t)/TV]/(1+FCF(t)/TV)</t>
        </r>
      </text>
    </comment>
    <comment ref="I61" authorId="0" shapeId="0" xr:uid="{594A4D2E-AF95-49CA-8F35-852D78A79BD9}">
      <text>
        <r>
          <rPr>
            <b/>
            <sz val="9"/>
            <color indexed="81"/>
            <rFont val="Tahoma"/>
            <family val="2"/>
          </rPr>
          <t>Matan Feldman:</t>
        </r>
        <r>
          <rPr>
            <sz val="9"/>
            <color indexed="81"/>
            <rFont val="Tahoma"/>
            <family val="2"/>
          </rPr>
          <t xml:space="preserve">
Source: Q1 2020 10Q p.19 </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Wall Street Prep</author>
  </authors>
  <commentList>
    <comment ref="C20" authorId="0" shapeId="0" xr:uid="{5E52FBF8-39B7-4852-8761-17F73CEDE1D0}">
      <text>
        <r>
          <rPr>
            <b/>
            <sz val="9"/>
            <color indexed="81"/>
            <rFont val="Tahoma"/>
            <family val="2"/>
          </rPr>
          <t>Matan Feldman:</t>
        </r>
        <r>
          <rPr>
            <sz val="9"/>
            <color indexed="81"/>
            <rFont val="Tahoma"/>
            <family val="2"/>
          </rPr>
          <t xml:space="preserve">
Equity was $1,223,044.7 in the video because we ignored the illusrative converts and options (in case you're wondering why your numbers aren't footing with the video)</t>
        </r>
      </text>
    </comment>
    <comment ref="C42" authorId="1" shapeId="0" xr:uid="{6E7AEA12-DE6C-4D5B-9B6F-D45D020CBBDB}">
      <text>
        <r>
          <rPr>
            <b/>
            <sz val="9"/>
            <color indexed="81"/>
            <rFont val="Tahoma"/>
            <family val="2"/>
          </rPr>
          <t>Wall Street Prep:</t>
        </r>
        <r>
          <rPr>
            <sz val="9"/>
            <color indexed="81"/>
            <rFont val="Tahoma"/>
            <family val="2"/>
          </rPr>
          <t xml:space="preserve">
CIQ</t>
        </r>
      </text>
    </comment>
    <comment ref="H42" authorId="1" shapeId="0" xr:uid="{67F2F7F4-8B46-4F4E-B6EE-F13A05DF3E25}">
      <text>
        <r>
          <rPr>
            <b/>
            <sz val="9"/>
            <color indexed="81"/>
            <rFont val="Tahoma"/>
            <family val="2"/>
          </rPr>
          <t>Wall Street Prep:</t>
        </r>
        <r>
          <rPr>
            <sz val="9"/>
            <color indexed="81"/>
            <rFont val="Tahoma"/>
            <family val="2"/>
          </rPr>
          <t xml:space="preserve">
Last 9 month per latest 10Q footnotes</t>
        </r>
      </text>
    </comment>
    <comment ref="C43" authorId="1" shapeId="0" xr:uid="{F3155EB1-B2BA-4E3D-81FF-748A4F6D1B36}">
      <text>
        <r>
          <rPr>
            <b/>
            <sz val="9"/>
            <color indexed="81"/>
            <rFont val="Tahoma"/>
            <family val="2"/>
          </rPr>
          <t>Wall Street Prep:</t>
        </r>
        <r>
          <rPr>
            <sz val="9"/>
            <color indexed="81"/>
            <rFont val="Tahoma"/>
            <family val="2"/>
          </rPr>
          <t xml:space="preserve">
CIQ</t>
        </r>
      </text>
    </comment>
    <comment ref="H43" authorId="1" shapeId="0" xr:uid="{4F7AC0B2-75BF-43E7-8498-2F3EF7D41B87}">
      <text>
        <r>
          <rPr>
            <b/>
            <sz val="9"/>
            <color indexed="81"/>
            <rFont val="Tahoma"/>
            <family val="2"/>
          </rPr>
          <t>Wall Street Prep:</t>
        </r>
        <r>
          <rPr>
            <sz val="9"/>
            <color indexed="81"/>
            <rFont val="Tahoma"/>
            <family val="2"/>
          </rPr>
          <t xml:space="preserve">
Non-GAAP tax rate from latest 10Q</t>
        </r>
      </text>
    </comment>
    <comment ref="C44" authorId="1" shapeId="0" xr:uid="{3A4C3D89-ACC9-456D-9D11-766055CA0097}">
      <text>
        <r>
          <rPr>
            <b/>
            <sz val="9"/>
            <color indexed="81"/>
            <rFont val="Tahoma"/>
            <family val="2"/>
          </rPr>
          <t>Wall Street Prep:</t>
        </r>
        <r>
          <rPr>
            <sz val="9"/>
            <color indexed="81"/>
            <rFont val="Tahoma"/>
            <family val="2"/>
          </rPr>
          <t xml:space="preserve">
CIQ</t>
        </r>
      </text>
    </comment>
    <comment ref="H44" authorId="1" shapeId="0" xr:uid="{109CC5B6-23EA-4B23-A92A-6FE187AE0D49}">
      <text>
        <r>
          <rPr>
            <b/>
            <sz val="9"/>
            <color indexed="81"/>
            <rFont val="Tahoma"/>
            <family val="2"/>
          </rPr>
          <t>Wall Street Prep:</t>
        </r>
        <r>
          <rPr>
            <sz val="9"/>
            <color indexed="81"/>
            <rFont val="Tahoma"/>
            <family val="2"/>
          </rPr>
          <t xml:space="preserve">
Annualized tax rate</t>
        </r>
      </text>
    </comment>
    <comment ref="C45" authorId="1" shapeId="0" xr:uid="{C61D74D3-1240-47FC-A300-42AC2AA86EA1}">
      <text>
        <r>
          <rPr>
            <b/>
            <sz val="9"/>
            <color indexed="81"/>
            <rFont val="Tahoma"/>
            <family val="2"/>
          </rPr>
          <t>Wall Street Prep:</t>
        </r>
        <r>
          <rPr>
            <sz val="9"/>
            <color indexed="81"/>
            <rFont val="Tahoma"/>
            <family val="2"/>
          </rPr>
          <t xml:space="preserve">
Bloomberg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B28" authorId="0" shapeId="0" xr:uid="{64AAAD89-7DBF-4890-BA92-2C4C476CA80B}">
      <text>
        <r>
          <rPr>
            <b/>
            <sz val="9"/>
            <color indexed="81"/>
            <rFont val="Tahoma"/>
            <family val="2"/>
          </rPr>
          <t>Matan Feldman:</t>
        </r>
        <r>
          <rPr>
            <sz val="9"/>
            <color indexed="81"/>
            <rFont val="Tahoma"/>
            <family val="2"/>
          </rPr>
          <t xml:space="preserve">
Usually found in footnotes.  Otherwise, use latest balance sheet value as proxy 
</t>
        </r>
      </text>
    </comment>
    <comment ref="B37" authorId="0" shapeId="0" xr:uid="{A3D61012-F0B0-4CB1-A487-1658148C7EB1}">
      <text>
        <r>
          <rPr>
            <b/>
            <sz val="9"/>
            <color indexed="81"/>
            <rFont val="Tahoma"/>
            <family val="2"/>
          </rPr>
          <t>Matan Feldman:</t>
        </r>
        <r>
          <rPr>
            <sz val="9"/>
            <color indexed="81"/>
            <rFont val="Tahoma"/>
            <family val="2"/>
          </rPr>
          <t xml:space="preserve">
Usually found in footnotes.  Otherwise, use balance sheet value.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<sst xmlns="http://schemas.openxmlformats.org/spreadsheetml/2006/main" count="1076" uniqueCount="626">
  <si>
    <t>FYE</t>
  </si>
  <si>
    <t>Quarterly</t>
  </si>
  <si>
    <t>1Q24</t>
  </si>
  <si>
    <t>2Q24</t>
  </si>
  <si>
    <t>3Q24</t>
  </si>
  <si>
    <t>4Q24</t>
  </si>
  <si>
    <t>1Q23</t>
  </si>
  <si>
    <t>2Q23</t>
  </si>
  <si>
    <t>3Q23</t>
  </si>
  <si>
    <t>4Q23</t>
  </si>
  <si>
    <t>LTM</t>
  </si>
  <si>
    <t>EBITDA</t>
  </si>
  <si>
    <t>Adjusted EBITDA</t>
  </si>
  <si>
    <t>Total Revenue</t>
  </si>
  <si>
    <t>Cost of Sales</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</si>
  <si>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</si>
  <si>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</si>
  <si>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</si>
  <si>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</si>
  <si>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</si>
  <si>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</si>
  <si>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</si>
  <si>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</si>
  <si>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</si>
  <si>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</si>
  <si>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</si>
  <si>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</si>
  <si>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</si>
  <si>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</si>
  <si>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</si>
  <si>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</si>
  <si>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</si>
  <si>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</si>
  <si>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</si>
  <si>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</si>
  <si>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</si>
  <si>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</si>
  <si>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</si>
  <si>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</si>
  <si>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</si>
  <si>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</si>
  <si>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</si>
  <si>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</si>
  <si>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</si>
  <si>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</si>
  <si>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</si>
  <si>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</si>
  <si>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</si>
  <si>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</si>
  <si>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</si>
  <si>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</si>
  <si>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</si>
  <si>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</si>
  <si>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</si>
  <si>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</si>
  <si>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</si>
  <si>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</si>
  <si>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</si>
  <si>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</si>
  <si>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</si>
  <si>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</si>
  <si>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</si>
  <si>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</si>
  <si>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</si>
  <si>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</si>
  <si>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</si>
  <si>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</si>
  <si>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</si>
  <si>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</si>
  <si>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</si>
  <si>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</si>
  <si>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</si>
  <si>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</si>
  <si>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</si>
  <si>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</si>
  <si>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</si>
  <si>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</si>
  <si>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</si>
  <si>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</si>
  <si>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</si>
  <si>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</si>
  <si>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</si>
  <si>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</si>
  <si>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</si>
  <si>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</si>
  <si>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</si>
  <si>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</si>
  <si>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</si>
  <si>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</si>
  <si>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</si>
  <si>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</si>
  <si>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</si>
  <si>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</si>
  <si>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</si>
  <si>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</si>
  <si>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</si>
  <si>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Inventory</t>
  </si>
  <si>
    <t>Cash paid during the period for:</t>
  </si>
  <si>
    <t xml:space="preserve">Provision for taxes </t>
  </si>
  <si>
    <t>Cash BOP</t>
  </si>
  <si>
    <t xml:space="preserve">1) Includes $50MM cash recorded within other current assets on the Consolidated Condensed Balance Sheets relating to Altera cash held for sale. </t>
  </si>
  <si>
    <t>3Q25</t>
  </si>
  <si>
    <t>Net Margin (%)</t>
  </si>
  <si>
    <t>Basic shares</t>
  </si>
  <si>
    <t>Basic EPS</t>
  </si>
  <si>
    <t>Fully Diluted Shares</t>
  </si>
  <si>
    <t>Diluted EPS</t>
  </si>
  <si>
    <t>Segment Anaysis</t>
  </si>
  <si>
    <t>Total Net Revenue</t>
  </si>
  <si>
    <t>(-) Research and Development (R&amp;D)</t>
  </si>
  <si>
    <t xml:space="preserve">(+/-) Other </t>
  </si>
  <si>
    <t>Credit Metrics</t>
  </si>
  <si>
    <t>Company name</t>
  </si>
  <si>
    <t>Select an operating scenario:</t>
  </si>
  <si>
    <t>Base case</t>
  </si>
  <si>
    <t>Ticker</t>
  </si>
  <si>
    <t>Circ break 1=off, 0=on</t>
  </si>
  <si>
    <t>Latest closing share price</t>
  </si>
  <si>
    <t>Latest closing share price date</t>
  </si>
  <si>
    <t>Latest fiscal year end date</t>
  </si>
  <si>
    <t>Shares outstanding (millions)</t>
  </si>
  <si>
    <t xml:space="preserve">Fiscal year  </t>
  </si>
  <si>
    <t>Fiscal year end date</t>
  </si>
  <si>
    <t>Previous year's revenues x (1+revenue growth rate)</t>
  </si>
  <si>
    <t>Plug = Revenue - Gross Profit</t>
  </si>
  <si>
    <t>Revenue x Gross Profit Margin forecast</t>
  </si>
  <si>
    <t>Revenue x R&amp;D % of sales forecast</t>
  </si>
  <si>
    <t>Revenue x SG&amp;A % of sales forecast</t>
  </si>
  <si>
    <t>Operating profit (EBIT)</t>
  </si>
  <si>
    <t>Gross Profit - R&amp;D - SG&amp;A</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</si>
  <si>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</si>
  <si>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</si>
  <si>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</si>
  <si>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</si>
  <si>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</si>
  <si>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</si>
  <si>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</si>
  <si>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</si>
  <si>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</si>
  <si>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</si>
  <si>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</si>
  <si>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</si>
  <si>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</si>
  <si>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</si>
  <si>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</si>
  <si>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</si>
  <si>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</si>
  <si>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</si>
  <si>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</si>
  <si>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</si>
  <si>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</si>
  <si>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</si>
  <si>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</si>
  <si>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</si>
  <si>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</si>
  <si>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</si>
  <si>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</si>
  <si>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</si>
  <si>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</si>
  <si>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</si>
  <si>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</si>
  <si>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WSP assumption: straight-line</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</si>
  <si>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</si>
  <si>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</si>
  <si>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</si>
  <si>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</si>
  <si>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</si>
  <si>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</si>
  <si>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</si>
  <si>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</si>
  <si>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</si>
  <si>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</si>
  <si>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</si>
  <si>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</si>
  <si>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</si>
  <si>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</si>
  <si>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</si>
  <si>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</si>
  <si>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</si>
  <si>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</si>
  <si>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</si>
  <si>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</si>
  <si>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</si>
  <si>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</si>
  <si>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</si>
  <si>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</si>
  <si>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</si>
  <si>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</si>
  <si>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</si>
  <si>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</si>
  <si>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</si>
  <si>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</si>
  <si>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</si>
  <si>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</si>
  <si>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</si>
  <si>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</si>
  <si>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</si>
  <si>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</si>
  <si>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</si>
  <si>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</si>
  <si>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</si>
  <si>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</si>
  <si>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</si>
  <si>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</si>
  <si>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</si>
  <si>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</si>
  <si>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</si>
  <si>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</si>
  <si>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</si>
  <si>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</si>
  <si>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</si>
  <si>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</si>
  <si>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</si>
  <si>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</si>
  <si>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</si>
  <si>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</si>
  <si>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</si>
  <si>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</si>
  <si>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</si>
  <si>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</si>
  <si>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</si>
  <si>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</si>
  <si>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</si>
  <si>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</si>
  <si>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</si>
  <si>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</si>
  <si>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</si>
  <si>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</si>
  <si>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</si>
  <si>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</si>
  <si>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</si>
  <si>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</si>
  <si>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</si>
  <si>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</si>
  <si>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</si>
  <si>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</si>
  <si>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</si>
  <si>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</si>
  <si>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</si>
  <si>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</si>
  <si>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</si>
  <si>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</si>
  <si>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</si>
  <si>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</si>
  <si>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</si>
  <si>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</si>
  <si>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</si>
  <si>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</si>
  <si>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</si>
  <si>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</si>
  <si>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</si>
  <si>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</si>
  <si>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</si>
  <si>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</si>
  <si>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</si>
  <si>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</si>
  <si>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</si>
  <si>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</si>
  <si>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</si>
  <si>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</si>
  <si>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</si>
  <si>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</si>
  <si>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</si>
  <si>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</si>
  <si>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</si>
  <si>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</si>
  <si>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</si>
  <si>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</si>
  <si>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</si>
  <si>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</si>
  <si>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</si>
  <si>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</si>
  <si>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</si>
  <si>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</si>
  <si>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</si>
  <si>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Apple Inc. (NASDAQ: AAPL)</t>
  </si>
  <si>
    <t>Depreciation and Amortization</t>
  </si>
  <si>
    <t>Stock Based Compensation</t>
  </si>
  <si>
    <t>Capital Expenditures</t>
  </si>
  <si>
    <t xml:space="preserve">Research &amp; Development </t>
  </si>
  <si>
    <t>Selling, General &amp; Administrative</t>
  </si>
  <si>
    <t>Cash paid for income taxes, net</t>
  </si>
  <si>
    <t>Cash paid for interest</t>
  </si>
  <si>
    <t>Adjusted Cash Position BOP</t>
  </si>
  <si>
    <t>Adjusted Cash Position EOP</t>
  </si>
  <si>
    <t>iPhone Revenue</t>
  </si>
  <si>
    <t>Mac Revenue</t>
  </si>
  <si>
    <t>iPad Revenue</t>
  </si>
  <si>
    <t>Services Revenue</t>
  </si>
  <si>
    <t>Wearables, Home, and Accessories Revenue</t>
  </si>
  <si>
    <t>(-) Selling, General &amp; Administrative (SG&amp;A)</t>
  </si>
  <si>
    <t xml:space="preserve">(-) Cash Interest </t>
  </si>
  <si>
    <r>
      <t xml:space="preserve">Reference from interest on cash schedule; </t>
    </r>
    <r>
      <rPr>
        <sz val="9"/>
        <color rgb="FFFF0000"/>
        <rFont val="Calibri"/>
        <family val="2"/>
      </rPr>
      <t>Area of Model Mess Up</t>
    </r>
  </si>
  <si>
    <t>WACC Buildup</t>
  </si>
  <si>
    <t>Cost of capital assumptions</t>
  </si>
  <si>
    <t>Source</t>
  </si>
  <si>
    <t>Cost of debt</t>
  </si>
  <si>
    <t>Bloomberg - YTM on 2.2% 9/29 Bond</t>
  </si>
  <si>
    <t>From terminal year of UFCF forecast</t>
  </si>
  <si>
    <t>Cost of debt (after tax)</t>
  </si>
  <si>
    <t>Cost of debt x (1 - tax rate)</t>
  </si>
  <si>
    <t xml:space="preserve">Risk free rate </t>
  </si>
  <si>
    <t>WSJ: 10 Year US Treasury Yield</t>
  </si>
  <si>
    <t>Bloomberg 2 year weekly adjusted beta</t>
  </si>
  <si>
    <t>Market risk premium</t>
  </si>
  <si>
    <t>Market risk premium from D&amp;P May 1, 2019</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</si>
  <si>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</si>
  <si>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</si>
  <si>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</si>
  <si>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</si>
  <si>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</si>
  <si>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</si>
  <si>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</si>
  <si>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</si>
  <si>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</si>
  <si>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</si>
  <si>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</si>
  <si>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</si>
  <si>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</si>
  <si>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</si>
  <si>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</si>
  <si>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</si>
  <si>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</si>
  <si>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</si>
  <si>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</si>
  <si>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</si>
  <si>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Microsoft MSFT</t>
  </si>
  <si>
    <t>Alphabet (GOOG)</t>
  </si>
  <si>
    <t>Amazon (AMZN)</t>
  </si>
  <si>
    <t>Apple (AAPL)</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</si>
  <si>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</si>
  <si>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</si>
  <si>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</si>
  <si>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</si>
  <si>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</si>
  <si>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</si>
  <si>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</si>
  <si>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</si>
  <si>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</si>
  <si>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</si>
  <si>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</si>
  <si>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</si>
  <si>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</si>
  <si>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</si>
  <si>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</si>
  <si>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</si>
  <si>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</si>
  <si>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</si>
  <si>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</si>
  <si>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</si>
  <si>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</si>
  <si>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</si>
  <si>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</si>
  <si>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</si>
  <si>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</si>
  <si>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</si>
  <si>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</si>
  <si>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</si>
  <si>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</si>
  <si>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</si>
  <si>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</si>
  <si>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</si>
  <si>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</si>
  <si>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</si>
  <si>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</si>
  <si>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</si>
  <si>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</si>
  <si>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</si>
  <si>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</si>
  <si>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</si>
  <si>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</si>
  <si>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</si>
  <si>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</si>
  <si>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</si>
  <si>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</si>
  <si>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</si>
  <si>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</si>
  <si>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</si>
  <si>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</si>
  <si>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</si>
  <si>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</si>
  <si>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</si>
  <si>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</si>
  <si>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</si>
  <si>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</si>
  <si>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</si>
  <si>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</si>
  <si>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</si>
  <si>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</si>
  <si>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</si>
  <si>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</si>
  <si>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</si>
  <si>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</si>
  <si>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</si>
  <si>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</si>
  <si>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</si>
  <si>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</si>
  <si>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</si>
  <si>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</si>
  <si>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</si>
  <si>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</si>
  <si>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</si>
  <si>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</si>
  <si>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</si>
  <si>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</si>
  <si>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</si>
  <si>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</si>
  <si>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</si>
  <si>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</si>
  <si>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</si>
  <si>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</si>
  <si>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</si>
  <si>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</si>
  <si>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</si>
  <si>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</si>
  <si>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</si>
  <si>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</si>
  <si>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</si>
  <si>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</si>
  <si>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</si>
  <si>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</si>
  <si>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</si>
  <si>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</si>
  <si>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</si>
  <si>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</si>
  <si>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</si>
  <si>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</si>
  <si>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</si>
  <si>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</si>
  <si>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</si>
  <si>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</si>
  <si>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</si>
  <si>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</si>
  <si>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</si>
  <si>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</si>
  <si>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</si>
  <si>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</si>
  <si>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</si>
  <si>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</si>
  <si>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</si>
  <si>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</si>
  <si>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</si>
  <si>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</si>
  <si>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</si>
  <si>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</si>
  <si>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</si>
  <si>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</si>
  <si>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</si>
  <si>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</si>
  <si>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</si>
  <si>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3Q25 10Q</t>
  </si>
  <si>
    <t>Capital IQ</t>
  </si>
  <si>
    <t>$ mm except per share</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</si>
  <si>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</si>
  <si>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</si>
  <si>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</si>
  <si>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</si>
  <si>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</si>
  <si>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</si>
  <si>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</si>
  <si>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</si>
  <si>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</si>
  <si>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</si>
  <si>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</si>
  <si>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</si>
  <si>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</si>
  <si>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</si>
  <si>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BofA</t>
  </si>
  <si>
    <t>Wells Fargo</t>
  </si>
  <si>
    <t>Margin (%)</t>
  </si>
  <si>
    <t>R&amp;D</t>
  </si>
  <si>
    <t>SG&amp;A</t>
  </si>
  <si>
    <t>CAGR</t>
  </si>
  <si>
    <t xml:space="preserve">Cost of sales </t>
  </si>
  <si>
    <t>5-Year(A)</t>
  </si>
  <si>
    <t xml:space="preserve">Other expense, net </t>
  </si>
  <si>
    <t>Depreciation &amp; Amortization</t>
  </si>
  <si>
    <t>Street Outlook</t>
  </si>
  <si>
    <t>Revenue: iPhone Revenue</t>
  </si>
  <si>
    <t>JP Morgan</t>
  </si>
  <si>
    <t>Revenue: iPad Revenue</t>
  </si>
  <si>
    <t>Revenue: Mac Revenue</t>
  </si>
  <si>
    <t>Revenue: Services Revenue</t>
  </si>
  <si>
    <t>Jefferies</t>
  </si>
  <si>
    <t>Morgan Stanley</t>
  </si>
  <si>
    <t>Revenue: Wearables, Home and Accessories Revenue</t>
  </si>
  <si>
    <t>Median (%)</t>
  </si>
  <si>
    <t>Average (%)</t>
  </si>
  <si>
    <t>Revenue Drivers</t>
  </si>
  <si>
    <t>Operating Drivers</t>
  </si>
  <si>
    <t xml:space="preserve">Cost of Sales </t>
  </si>
  <si>
    <t>Consensus estimates through 2030</t>
  </si>
  <si>
    <t>5-Year(F)</t>
  </si>
  <si>
    <t xml:space="preserve">Taxes </t>
  </si>
  <si>
    <t>(%) of Total Revenue</t>
  </si>
  <si>
    <t>Consensus</t>
  </si>
  <si>
    <t>Interest Income</t>
  </si>
  <si>
    <t>Tax Rate</t>
  </si>
  <si>
    <t>Tax Rate (%)</t>
  </si>
  <si>
    <t>Barclays</t>
  </si>
  <si>
    <t>Evercore ISI</t>
  </si>
  <si>
    <t>D&amp;A</t>
  </si>
  <si>
    <t>Oppenheimer</t>
  </si>
  <si>
    <t>SBC</t>
  </si>
  <si>
    <t>Cash-Flow Items</t>
  </si>
  <si>
    <t>Capital Expenditure</t>
  </si>
  <si>
    <t xml:space="preserve">JP Morgan </t>
  </si>
  <si>
    <t>As of 3Q25 (period ended x/xx/xx)</t>
  </si>
  <si>
    <t>Selling, General &amp; Administrative (SG&amp;A)</t>
  </si>
  <si>
    <t>Research &amp; Development (R&amp;D)</t>
  </si>
  <si>
    <t>D&amp;A related to PP&amp;E as a % of capex Step-Up</t>
  </si>
  <si>
    <t>Research &amp; Development</t>
  </si>
  <si>
    <t>Restructuring Expenses</t>
  </si>
  <si>
    <t>Restructuring Income/expense</t>
  </si>
  <si>
    <t>Interest Expense</t>
  </si>
  <si>
    <t>Other, Net</t>
  </si>
  <si>
    <t>Remeasurement of Warrant Liability</t>
  </si>
  <si>
    <t>NA</t>
  </si>
  <si>
    <t>Beyond Meat, Inc. (NASDAQ: BYND)</t>
  </si>
  <si>
    <t>Operating Profit</t>
  </si>
  <si>
    <t>Earning Before Taxes</t>
  </si>
  <si>
    <t>EBT Margin (%)</t>
  </si>
  <si>
    <t>1Q21</t>
  </si>
  <si>
    <t>2Q21</t>
  </si>
  <si>
    <t>3Q21</t>
  </si>
  <si>
    <t>4Q21</t>
  </si>
  <si>
    <t>1Q18</t>
  </si>
  <si>
    <t>2Q18</t>
  </si>
  <si>
    <t>3Q18</t>
  </si>
  <si>
    <t>4Q18</t>
  </si>
  <si>
    <t>1Q19</t>
  </si>
  <si>
    <t>2Q19</t>
  </si>
  <si>
    <t>3Q19</t>
  </si>
  <si>
    <t>4Q19</t>
  </si>
  <si>
    <t>1Q20</t>
  </si>
  <si>
    <t>2Q20</t>
  </si>
  <si>
    <t>3Q20</t>
  </si>
  <si>
    <t>4Q20</t>
  </si>
  <si>
    <t>Cash and Cash Equivalents</t>
  </si>
  <si>
    <t>Accounts Receivables</t>
  </si>
  <si>
    <t>Current Assets</t>
  </si>
  <si>
    <t>Non-Current Assets</t>
  </si>
  <si>
    <t>Operating Lease Right-of-use Assets</t>
  </si>
  <si>
    <t>Property, Plant and Equipment, Net</t>
  </si>
  <si>
    <t>Investments in Unconsolidated Joint Ventures</t>
  </si>
  <si>
    <t>Other Non-current Assets (Net)</t>
  </si>
  <si>
    <t>Prepaid lease Costs, non-current</t>
  </si>
  <si>
    <t>Accrued Expenses and Other Current Liabilities</t>
  </si>
  <si>
    <t>Current Portion of Operating Lease Liabilities</t>
  </si>
  <si>
    <t>Operating Lease Liabilities, Net of Current Portion</t>
  </si>
  <si>
    <t>Preferred Stock Convertible</t>
  </si>
  <si>
    <t>Common Stock - Par Value</t>
  </si>
  <si>
    <t>Additional Paid in Capital</t>
  </si>
  <si>
    <t>Accumulated Deficit</t>
  </si>
  <si>
    <t>Accumulated Other Comprehensive (Loss) income</t>
  </si>
  <si>
    <t>Convertible Senior Notes, Net</t>
  </si>
  <si>
    <t>Restricted Cash</t>
  </si>
  <si>
    <t>Non-Current Liabilities</t>
  </si>
  <si>
    <t>Loss on Sale of Fixed Assets</t>
  </si>
  <si>
    <t>Equity in Losses of Unconsolidated Joint Ventures</t>
  </si>
  <si>
    <t>Share-based Compensation Expense</t>
  </si>
  <si>
    <t>Provision for Credit Losses</t>
  </si>
  <si>
    <t>Unrealized Gain/loss on Foreign Currency Transactions</t>
  </si>
  <si>
    <t>Long-term Liabilities</t>
  </si>
  <si>
    <t>Loss on Extinguishment of Debt</t>
  </si>
  <si>
    <t>Write-down of Notes Receivable</t>
  </si>
  <si>
    <t>Non-cash Lease Expense</t>
  </si>
  <si>
    <t>Change in Preferred and Common Stock Warrant Liabilities</t>
  </si>
  <si>
    <t>Prepaid Expense and Other Assets</t>
  </si>
  <si>
    <t>Operating Lease Liabilities</t>
  </si>
  <si>
    <t>Purchase of Property Plant, and Equipment</t>
  </si>
  <si>
    <t>Asset Acquisitions</t>
  </si>
  <si>
    <t>Purchases of Property, Plant and Equipment, Held for Sale</t>
  </si>
  <si>
    <t>Proceeds from Sale of Fixed Assets</t>
  </si>
  <si>
    <t>Payments for Investment in Joint Venture</t>
  </si>
  <si>
    <t>Payment of Security Deposit</t>
  </si>
  <si>
    <t>Proceeds from (payments of) Security Deposits</t>
  </si>
  <si>
    <t>Amortization of Debt Issuance Costs</t>
  </si>
  <si>
    <t>Equity in Losses of Unconsolidated Joint Venture</t>
  </si>
  <si>
    <t>BOP Restricted Cash Adjustments (Changes in FX; Restricted Cash)</t>
  </si>
  <si>
    <t>EOP Restricted Cash Adjustments (Changes in FX; Restricted Cash)</t>
  </si>
  <si>
    <t xml:space="preserve">Proceeds from note receivable on assets previously held for sale	</t>
  </si>
  <si>
    <t xml:space="preserve">Prepaid lease costs, non-current	</t>
  </si>
  <si>
    <t>Return on Security Deposit</t>
  </si>
  <si>
    <t xml:space="preserve">Provision for doubtful accounts	</t>
  </si>
  <si>
    <t>BYND</t>
  </si>
  <si>
    <t>Beyond Meat, Inc.</t>
  </si>
  <si>
    <t>Retail</t>
  </si>
  <si>
    <t>Foodservice</t>
  </si>
  <si>
    <t>Total Net U.S Revenue</t>
  </si>
  <si>
    <t>Total Net International Revenue</t>
  </si>
  <si>
    <t>Net Revenues by Channel</t>
  </si>
  <si>
    <t>Revenue by Channel: U.S</t>
  </si>
  <si>
    <t>Revenue by Channel: International</t>
  </si>
  <si>
    <t>Restricted Cash, Current</t>
  </si>
  <si>
    <t>Restricted Cash, Non-Current</t>
  </si>
  <si>
    <r>
      <t xml:space="preserve">Prepaid Expenses and Other Current Assets </t>
    </r>
    <r>
      <rPr>
        <vertAlign val="superscript"/>
        <sz val="9"/>
        <rFont val="Calibri"/>
        <family val="2"/>
      </rPr>
      <t>(1)</t>
    </r>
  </si>
  <si>
    <r>
      <t xml:space="preserve">2) </t>
    </r>
    <r>
      <rPr>
        <b/>
        <i/>
        <sz val="8"/>
        <rFont val="Calibri"/>
        <family val="2"/>
      </rPr>
      <t>Accrued Expenses, Other Current Liabilities, and Other Payables consists of</t>
    </r>
    <r>
      <rPr>
        <i/>
        <sz val="8"/>
        <rFont val="Calibri"/>
        <family val="2"/>
      </rPr>
      <t>: Accrued Expenses and Other Current Liabilities + Accrued Bonus + Stock warrant liability + Accrued Litigation Settlement + Wages Payable.</t>
    </r>
  </si>
  <si>
    <r>
      <t xml:space="preserve">3) </t>
    </r>
    <r>
      <rPr>
        <b/>
        <i/>
        <sz val="8"/>
        <rFont val="Calibri"/>
        <family val="2"/>
      </rPr>
      <t>Consolidated Short-Term Borrowings consists of</t>
    </r>
    <r>
      <rPr>
        <i/>
        <sz val="8"/>
        <rFont val="Calibri"/>
        <family val="2"/>
      </rPr>
      <t>: Short-term borrowings under revolving credit Facility + Short-term borrowings under revolving credit line and bank term loan + Short-term Finance Lease Liabilities.</t>
    </r>
  </si>
  <si>
    <r>
      <t xml:space="preserve">4) </t>
    </r>
    <r>
      <rPr>
        <b/>
        <i/>
        <sz val="8"/>
        <rFont val="Calibri"/>
        <family val="2"/>
      </rPr>
      <t>Consolidated Other Long-Term Borrowings consists of</t>
    </r>
    <r>
      <rPr>
        <i/>
        <sz val="8"/>
        <rFont val="Calibri"/>
        <family val="2"/>
      </rPr>
      <t>: Revolving Credit Line + Long-term Portion of Bank Term Loan, Net + Equipment loan, net + Delayed draw term loan, net + Delayed draw term loan warrants.</t>
    </r>
  </si>
  <si>
    <r>
      <t xml:space="preserve">Consolidated Other Long-Term Borrowings </t>
    </r>
    <r>
      <rPr>
        <vertAlign val="superscript"/>
        <sz val="9"/>
        <rFont val="Calibri"/>
        <family val="2"/>
      </rPr>
      <t>(4)</t>
    </r>
  </si>
  <si>
    <r>
      <t xml:space="preserve">Accrued Expenses, Other Current Liabilities, and Other Payables </t>
    </r>
    <r>
      <rPr>
        <vertAlign val="superscript"/>
        <sz val="9"/>
        <rFont val="Calibri"/>
        <family val="2"/>
      </rPr>
      <t>(2)</t>
    </r>
  </si>
  <si>
    <r>
      <t xml:space="preserve">Consolidated Short-Term Borrowings </t>
    </r>
    <r>
      <rPr>
        <vertAlign val="superscript"/>
        <sz val="9"/>
        <rFont val="Calibri"/>
        <family val="2"/>
      </rPr>
      <t>(3)</t>
    </r>
  </si>
  <si>
    <r>
      <t xml:space="preserve">1) </t>
    </r>
    <r>
      <rPr>
        <b/>
        <i/>
        <sz val="8"/>
        <rFont val="Calibri"/>
        <family val="2"/>
      </rPr>
      <t>Prepaid Expenses and Other Current Assets consists of</t>
    </r>
    <r>
      <rPr>
        <i/>
        <sz val="8"/>
        <rFont val="Calibri"/>
        <family val="2"/>
      </rPr>
      <t>: Prepaid Expenses and Other Current Assets + Asset Held for Sale.</t>
    </r>
  </si>
  <si>
    <t>(+/-) Proceeds / (Purchases) of Other Equity Adjustments</t>
  </si>
  <si>
    <t xml:space="preserve">(+/-) Proceeds / (Repurchases) of Common Stock </t>
  </si>
  <si>
    <t>(+/-) Proceeds / (Repurchases) of Preferred Stock</t>
  </si>
  <si>
    <t xml:space="preserve">(+/-) Issuance / (Repayment) of Convertible Notes, net </t>
  </si>
  <si>
    <t>(+/-) Issuance / (Repayment) of Revolving Credit Lines &amp; Facilities</t>
  </si>
  <si>
    <t>(+/-) Payments of Capital Lease Obligations</t>
  </si>
  <si>
    <t>(+/-) Issuance / (Repayment) of Consolidated Term Loans</t>
  </si>
  <si>
    <t>(+/-) Issuance / (Repayment) of Consolidated Other Borrowings</t>
  </si>
  <si>
    <t>(+/-) Issuance / (Repayment) of Consolidated Other Debt Adjustments</t>
  </si>
  <si>
    <t>(+/-) Issuance / (Repayment) of Debt, net</t>
  </si>
  <si>
    <t>(+/-) Proceeds / (Purchases) of Equity, net</t>
  </si>
  <si>
    <t>(+/-) Other Financing Activities</t>
  </si>
  <si>
    <t>(+) Restructuring Expenses</t>
  </si>
  <si>
    <t>(+) Accrued litigation settlement costs</t>
  </si>
  <si>
    <t>(+) Other</t>
  </si>
  <si>
    <t>Outstanding L/Cs</t>
  </si>
  <si>
    <t>$1.0Bn 0.00% Convertible Senior Notes due  March 15, 2027</t>
  </si>
  <si>
    <t>$150MM Sr. Secured 3.500% RCF due April 21, 2025 (Terminated)</t>
  </si>
  <si>
    <t>Current Portion of Finance Lease Liabilities</t>
  </si>
  <si>
    <t>Finance Lease Obligations and Other Long-term Liabilities</t>
  </si>
  <si>
    <t xml:space="preserve">Finance Lease Obligations </t>
  </si>
  <si>
    <t>$100MM Delayed Draw Term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</si>
</sst>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_(* #,##0.0000_);_(* \(#,##0.0000\);_(* &quot;-&quot;??_);_(@_)"/>
    <numFmt numFmtId="182" formatCode="_(* #,##0.00000_);_(* \(#,##0.00000\);_(* &quot;-&quot;??_);_(@_)"/>
    <numFmt numFmtId="183" formatCode="_(* #,##0.0_);_(* \(#,##0.0\);_(* &quot;-&quot;??_);_(@_)"/>
    <numFmt numFmtId="184" formatCode="#,##0.0_);\(#,##0.0\);@_)"/>
    <numFmt numFmtId="185" formatCode="0.000"/>
    <numFmt numFmtId="186" formatCode="_([$$]#,##0.00_)_%;\([$$]#,##0.00\)_%;_(&quot;–&quot;_)_%;_(@_)_%"/>
    <numFmt numFmtId="187" formatCode="_([$$]#,##0_)_%;\([$$]#,##0\)_%;_(&quot;–&quot;_)_%;_(@_)_%"/>
    <numFmt numFmtId="188" formatCode="[$$-380A]\ #,##0.00;\-[$$-380A]\ #,##0.00"/>
    <numFmt numFmtId="189" formatCode="0000\A"/>
    <numFmt numFmtId="190" formatCode="0000\P"/>
    <numFmt numFmtId="191" formatCode="#,##0_);\(#,##0\);@_)"/>
    <numFmt numFmtId="192" formatCode="0.0\x_);\(0.0\x\);@_)"/>
    <numFmt numFmtId="193" formatCode="0.000%_);\(0.000%\);@_)"/>
    <numFmt numFmtId="194" formatCode="#,##0.000_);\(#,##0.000\);@_)"/>
    <numFmt numFmtId="195" formatCode="#,##0.000"/>
    <numFmt numFmtId="196" formatCode="&quot;$&quot;#,##0.00_);\(&quot;$&quot;#,##0.00\);@_)"/>
    <numFmt numFmtId="197" formatCode="_(0.0\x_)_';_(\(0.0\x\)_';_(&quot;–&quot;_)_%;_(@_)_%"/>
    <numFmt numFmtId="198" formatCode="_(0.0_)_'_x;_(\(0.0\)_';_(&quot;–&quot;_)_%;_(@_)_%"/>
    <numFmt numFmtId="199" formatCode="#,##0.00_);\(#,##0.00\);\-_);@_)"/>
    <numFmt numFmtId="200" formatCode="#,##0.0_);\(#,##0.0\);\-_);@_)"/>
    <numFmt numFmtId="201" formatCode="General&quot;F&quot;"/>
    <numFmt numFmtId="202" formatCode="General&quot;A&quot;"/>
  </numFmts>
  <fonts count="54">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
      <vertAlign val="superscript"/>
      <sz val="9"/>
      <name val="Calibri"/>
      <family val="2"/>
    </font>
    <font>
      <b/>
      <i/>
      <sz val="8"/>
      <name val="Calibri"/>
      <family val="2"/>
    </font>
    <font>
      <b/>
      <sz val="8"/>
      <color theme="0"/>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3">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style="thin">
        <color indexed="64"/>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36" fillId="0" borderId="0" applyNumberFormat="0" applyFont="0" applyFill="0" applyBorder="0" applyAlignment="0" applyProtection="0"/>
    <xf numFmtId="37" fontId="40" fillId="0" borderId="0"/>
    <xf numFmtId="0" fontId="41" fillId="0" borderId="0" applyNumberFormat="0" applyFill="0" applyBorder="0" applyAlignment="0" applyProtection="0"/>
  </cellStyleXfs>
  <cellXfs count="562">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0" fontId="22" fillId="0" borderId="0" xfId="0" applyFont="1" applyAlignment="1">
      <alignment vertical="top" wrapText="1"/>
    </xf>
    <xf numFmtId="43" fontId="22" fillId="0" borderId="0" xfId="0" applyNumberFormat="1" applyFont="1" applyAlignment="1">
      <alignment wrapText="1"/>
    </xf>
    <xf numFmtId="0" fontId="23"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8" fillId="0" borderId="6" xfId="0" applyFont="1" applyBorder="1" applyAlignment="1">
      <alignment vertical="top" wrapText="1"/>
    </xf>
    <xf numFmtId="0" fontId="26" fillId="0" borderId="0" xfId="0" applyFont="1" applyAlignment="1">
      <alignment horizontal="right" vertical="center" wrapText="1"/>
    </xf>
    <xf numFmtId="41" fontId="26"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70" fontId="4" fillId="0" borderId="0" xfId="0" applyNumberFormat="1" applyFont="1"/>
    <xf numFmtId="0" fontId="29" fillId="0" borderId="11" xfId="0" applyFont="1" applyBorder="1" applyAlignment="1">
      <alignment horizontal="left" indent="2"/>
    </xf>
    <xf numFmtId="0" fontId="29" fillId="0" borderId="12" xfId="0" applyFont="1" applyBorder="1" applyAlignment="1">
      <alignment horizontal="left" indent="2"/>
    </xf>
    <xf numFmtId="0" fontId="29"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1" fillId="0" borderId="0" xfId="0" applyFont="1"/>
    <xf numFmtId="0" fontId="15" fillId="0" borderId="8" xfId="0" applyFont="1" applyBorder="1"/>
    <xf numFmtId="0" fontId="4" fillId="0" borderId="8" xfId="0" applyFont="1" applyBorder="1"/>
    <xf numFmtId="0" fontId="16" fillId="0" borderId="0" xfId="0" applyFont="1"/>
    <xf numFmtId="172" fontId="32"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1" fillId="0" borderId="0" xfId="0" applyNumberFormat="1" applyFont="1"/>
    <xf numFmtId="37" fontId="33"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4" fillId="0" borderId="0" xfId="0" applyFont="1"/>
    <xf numFmtId="176" fontId="31" fillId="0" borderId="0" xfId="0" applyNumberFormat="1" applyFont="1"/>
    <xf numFmtId="176" fontId="12" fillId="0" borderId="0" xfId="0" applyNumberFormat="1" applyFont="1"/>
    <xf numFmtId="14" fontId="16" fillId="0" borderId="0" xfId="0" applyNumberFormat="1" applyFont="1"/>
    <xf numFmtId="174" fontId="33" fillId="0" borderId="0" xfId="0" applyNumberFormat="1" applyFont="1"/>
    <xf numFmtId="175" fontId="33" fillId="0" borderId="0" xfId="0" applyNumberFormat="1" applyFont="1"/>
    <xf numFmtId="172" fontId="30"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1" fillId="0" borderId="8" xfId="0" applyNumberFormat="1" applyFont="1" applyBorder="1"/>
    <xf numFmtId="177" fontId="4" fillId="0" borderId="0" xfId="0" applyNumberFormat="1" applyFont="1"/>
    <xf numFmtId="37" fontId="15" fillId="0" borderId="8" xfId="0" applyNumberFormat="1" applyFont="1" applyBorder="1"/>
    <xf numFmtId="37" fontId="31"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1"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1" fillId="0" borderId="12" xfId="0" applyNumberFormat="1" applyFont="1" applyBorder="1" applyAlignment="1">
      <alignment horizontal="right"/>
    </xf>
    <xf numFmtId="37" fontId="21" fillId="0" borderId="0" xfId="0" applyNumberFormat="1" applyFont="1" applyAlignment="1">
      <alignment horizontal="right"/>
    </xf>
    <xf numFmtId="9" fontId="12" fillId="0" borderId="8" xfId="0" applyNumberFormat="1" applyFont="1" applyBorder="1"/>
    <xf numFmtId="3" fontId="31" fillId="0" borderId="0" xfId="0" applyNumberFormat="1" applyFont="1"/>
    <xf numFmtId="37" fontId="4" fillId="0" borderId="9" xfId="0" applyNumberFormat="1" applyFont="1" applyBorder="1"/>
    <xf numFmtId="0" fontId="34" fillId="0" borderId="0" xfId="0" applyFont="1" applyAlignment="1">
      <alignment horizontal="left" indent="1"/>
    </xf>
    <xf numFmtId="0" fontId="35" fillId="0" borderId="0" xfId="0" applyFont="1" applyAlignment="1">
      <alignment horizontal="left"/>
    </xf>
    <xf numFmtId="178" fontId="12" fillId="0" borderId="0" xfId="0" applyNumberFormat="1" applyFont="1"/>
    <xf numFmtId="0" fontId="33" fillId="0" borderId="13" xfId="0" applyFont="1" applyBorder="1" applyAlignment="1">
      <alignment horizontal="left" indent="1"/>
    </xf>
    <xf numFmtId="37" fontId="33" fillId="0" borderId="13" xfId="0" applyNumberFormat="1" applyFont="1" applyBorder="1"/>
    <xf numFmtId="0" fontId="4" fillId="0" borderId="0" xfId="0" applyFont="1" applyAlignment="1">
      <alignment horizontal="left" indent="2"/>
    </xf>
    <xf numFmtId="10" fontId="12" fillId="0" borderId="0" xfId="0" applyNumberFormat="1" applyFont="1"/>
    <xf numFmtId="179" fontId="31" fillId="0" borderId="0" xfId="0" applyNumberFormat="1" applyFont="1"/>
    <xf numFmtId="37" fontId="31" fillId="0" borderId="0" xfId="0" applyNumberFormat="1" applyFont="1" applyAlignment="1">
      <alignment horizontal="left" indent="1"/>
    </xf>
    <xf numFmtId="8" fontId="4" fillId="0" borderId="0" xfId="0" applyNumberFormat="1" applyFont="1"/>
    <xf numFmtId="9" fontId="31"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7" fillId="0" borderId="0" xfId="0" applyNumberFormat="1" applyFont="1"/>
    <xf numFmtId="14" fontId="3" fillId="2" borderId="0" xfId="0" quotePrefix="1" applyNumberFormat="1" applyFont="1" applyFill="1" applyAlignment="1">
      <alignment horizontal="center" vertical="center" wrapText="1"/>
    </xf>
    <xf numFmtId="41" fontId="6" fillId="6" borderId="2" xfId="0" applyNumberFormat="1" applyFont="1" applyFill="1" applyBorder="1" applyAlignment="1">
      <alignment horizontal="right" vertical="top"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2" fillId="0" borderId="20" xfId="0" applyNumberFormat="1" applyFont="1" applyBorder="1" applyAlignment="1">
      <alignment wrapText="1"/>
    </xf>
    <xf numFmtId="182" fontId="22" fillId="0" borderId="20" xfId="0" applyNumberFormat="1" applyFont="1" applyBorder="1" applyAlignment="1">
      <alignment wrapText="1"/>
    </xf>
    <xf numFmtId="181" fontId="22" fillId="0" borderId="20" xfId="0" applyNumberFormat="1" applyFont="1" applyBorder="1" applyAlignment="1">
      <alignment wrapText="1"/>
    </xf>
    <xf numFmtId="41" fontId="6" fillId="0" borderId="20" xfId="0" applyNumberFormat="1" applyFont="1" applyBorder="1" applyAlignment="1">
      <alignment horizontal="right" vertical="top" wrapText="1"/>
    </xf>
    <xf numFmtId="183" fontId="22" fillId="0" borderId="20" xfId="0" applyNumberFormat="1" applyFont="1" applyBorder="1" applyAlignment="1">
      <alignment wrapText="1"/>
    </xf>
    <xf numFmtId="0" fontId="4" fillId="0" borderId="20" xfId="0" applyFont="1" applyBorder="1" applyAlignment="1">
      <alignment wrapText="1"/>
    </xf>
    <xf numFmtId="41" fontId="8" fillId="0" borderId="22" xfId="0" applyNumberFormat="1" applyFont="1" applyBorder="1" applyAlignment="1">
      <alignment horizontal="right" vertical="top" wrapText="1"/>
    </xf>
    <xf numFmtId="0" fontId="8" fillId="0" borderId="22" xfId="0" applyFont="1" applyBorder="1" applyAlignment="1">
      <alignment horizontal="right" vertical="center" wrapText="1"/>
    </xf>
    <xf numFmtId="0" fontId="8" fillId="6" borderId="22" xfId="0" applyFont="1" applyFill="1" applyBorder="1" applyAlignment="1">
      <alignment horizontal="right" vertical="center" wrapText="1"/>
    </xf>
    <xf numFmtId="0" fontId="4" fillId="0" borderId="22" xfId="0" applyFont="1" applyBorder="1"/>
    <xf numFmtId="0" fontId="22" fillId="0" borderId="21" xfId="0" applyFont="1" applyBorder="1" applyAlignment="1">
      <alignment horizontal="right" vertical="top" wrapText="1"/>
    </xf>
    <xf numFmtId="41" fontId="6" fillId="0" borderId="23" xfId="0" applyNumberFormat="1" applyFont="1" applyBorder="1" applyAlignment="1">
      <alignment horizontal="right" vertical="top" wrapText="1"/>
    </xf>
    <xf numFmtId="41" fontId="8" fillId="6" borderId="24" xfId="0" applyNumberFormat="1" applyFont="1" applyFill="1" applyBorder="1" applyAlignment="1">
      <alignment horizontal="right" vertical="top" wrapText="1"/>
    </xf>
    <xf numFmtId="41" fontId="6" fillId="6" borderId="24" xfId="0" applyNumberFormat="1" applyFont="1" applyFill="1" applyBorder="1" applyAlignment="1">
      <alignment horizontal="right" vertical="top" wrapText="1"/>
    </xf>
    <xf numFmtId="37" fontId="4" fillId="0" borderId="23" xfId="0" applyNumberFormat="1" applyFont="1" applyBorder="1" applyAlignment="1">
      <alignment wrapText="1"/>
    </xf>
    <xf numFmtId="41" fontId="8" fillId="0" borderId="26" xfId="0" applyNumberFormat="1" applyFont="1" applyBorder="1" applyAlignment="1">
      <alignment horizontal="right" vertical="top" wrapText="1"/>
    </xf>
    <xf numFmtId="41" fontId="6" fillId="0" borderId="27" xfId="0" applyNumberFormat="1" applyFont="1" applyBorder="1" applyAlignment="1">
      <alignment horizontal="right" vertical="top" wrapText="1"/>
    </xf>
    <xf numFmtId="41" fontId="6" fillId="0" borderId="28" xfId="0" applyNumberFormat="1" applyFont="1" applyBorder="1" applyAlignment="1">
      <alignment horizontal="right" vertical="top" wrapText="1"/>
    </xf>
    <xf numFmtId="41" fontId="27" fillId="0" borderId="0" xfId="0" applyNumberFormat="1" applyFont="1"/>
    <xf numFmtId="0" fontId="15" fillId="0" borderId="27" xfId="0" applyFont="1" applyBorder="1" applyAlignment="1">
      <alignment horizontal="left"/>
    </xf>
    <xf numFmtId="37" fontId="33" fillId="0" borderId="27" xfId="0" applyNumberFormat="1" applyFont="1" applyBorder="1"/>
    <xf numFmtId="0" fontId="15" fillId="0" borderId="27" xfId="0" applyFont="1" applyBorder="1"/>
    <xf numFmtId="0" fontId="4" fillId="0" borderId="27" xfId="0" applyFont="1" applyBorder="1"/>
    <xf numFmtId="0" fontId="4" fillId="7" borderId="27" xfId="0" applyFont="1" applyFill="1" applyBorder="1"/>
    <xf numFmtId="37" fontId="15" fillId="0" borderId="27" xfId="0" applyNumberFormat="1" applyFont="1" applyBorder="1"/>
    <xf numFmtId="37" fontId="4" fillId="6" borderId="0" xfId="0" applyNumberFormat="1" applyFont="1" applyFill="1"/>
    <xf numFmtId="8" fontId="27" fillId="0" borderId="0" xfId="0" applyNumberFormat="1" applyFont="1"/>
    <xf numFmtId="0" fontId="15" fillId="0" borderId="27" xfId="0" applyFont="1" applyBorder="1" applyAlignment="1">
      <alignment horizontal="left" indent="1"/>
    </xf>
    <xf numFmtId="37" fontId="31" fillId="6" borderId="9" xfId="0" applyNumberFormat="1" applyFont="1" applyFill="1" applyBorder="1"/>
    <xf numFmtId="37" fontId="31" fillId="6" borderId="10" xfId="0" applyNumberFormat="1" applyFont="1" applyFill="1" applyBorder="1"/>
    <xf numFmtId="37" fontId="31" fillId="6" borderId="0" xfId="0" applyNumberFormat="1" applyFont="1" applyFill="1"/>
    <xf numFmtId="176" fontId="31" fillId="6" borderId="0" xfId="0" applyNumberFormat="1" applyFont="1" applyFill="1"/>
    <xf numFmtId="37" fontId="33"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1" fillId="6" borderId="0" xfId="0" applyNumberFormat="1" applyFont="1" applyFill="1"/>
    <xf numFmtId="0" fontId="33" fillId="0" borderId="10" xfId="0" applyFont="1" applyBorder="1"/>
    <xf numFmtId="0" fontId="31" fillId="0" borderId="10" xfId="0" applyFont="1" applyBorder="1"/>
    <xf numFmtId="0" fontId="34" fillId="0" borderId="0" xfId="0" applyFont="1" applyAlignment="1">
      <alignment horizontal="left"/>
    </xf>
    <xf numFmtId="166" fontId="31" fillId="0" borderId="0" xfId="0" applyNumberFormat="1" applyFont="1"/>
    <xf numFmtId="166" fontId="37" fillId="0" borderId="0" xfId="0" applyNumberFormat="1" applyFont="1" applyAlignment="1">
      <alignment horizontal="right"/>
    </xf>
    <xf numFmtId="0" fontId="15" fillId="0" borderId="29" xfId="0" applyFont="1" applyBorder="1"/>
    <xf numFmtId="0" fontId="15" fillId="0" borderId="30" xfId="0" applyFont="1" applyBorder="1"/>
    <xf numFmtId="0" fontId="4" fillId="0" borderId="30" xfId="0" applyFont="1" applyBorder="1"/>
    <xf numFmtId="173" fontId="12" fillId="0" borderId="0" xfId="0" applyNumberFormat="1" applyFont="1"/>
    <xf numFmtId="179" fontId="29" fillId="0" borderId="10" xfId="0" applyNumberFormat="1" applyFont="1" applyBorder="1"/>
    <xf numFmtId="173" fontId="31" fillId="0" borderId="0" xfId="0" applyNumberFormat="1" applyFont="1"/>
    <xf numFmtId="184" fontId="29" fillId="0" borderId="0" xfId="0" applyNumberFormat="1" applyFont="1"/>
    <xf numFmtId="9" fontId="12" fillId="8" borderId="0" xfId="0" applyNumberFormat="1" applyFont="1" applyFill="1"/>
    <xf numFmtId="176" fontId="15" fillId="0" borderId="31"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5" fontId="31" fillId="0" borderId="32" xfId="0" applyNumberFormat="1" applyFont="1" applyBorder="1"/>
    <xf numFmtId="173" fontId="12" fillId="0" borderId="33" xfId="0" applyNumberFormat="1" applyFont="1" applyBorder="1"/>
    <xf numFmtId="185" fontId="31" fillId="0" borderId="33" xfId="0" applyNumberFormat="1" applyFont="1" applyBorder="1"/>
    <xf numFmtId="10" fontId="31" fillId="0" borderId="34" xfId="0" applyNumberFormat="1" applyFont="1" applyBorder="1"/>
    <xf numFmtId="177" fontId="4" fillId="0" borderId="9" xfId="0" applyNumberFormat="1" applyFont="1" applyBorder="1"/>
    <xf numFmtId="10" fontId="12" fillId="0" borderId="34" xfId="0" applyNumberFormat="1" applyFont="1" applyBorder="1"/>
    <xf numFmtId="10" fontId="31" fillId="0" borderId="35"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6" xfId="0" applyFont="1" applyBorder="1"/>
    <xf numFmtId="0" fontId="4" fillId="0" borderId="36" xfId="0" applyFont="1" applyBorder="1" applyAlignment="1">
      <alignment wrapText="1"/>
    </xf>
    <xf numFmtId="0" fontId="12" fillId="0" borderId="0" xfId="0" applyFont="1"/>
    <xf numFmtId="39" fontId="12" fillId="0" borderId="0" xfId="0" applyNumberFormat="1" applyFont="1"/>
    <xf numFmtId="39" fontId="29" fillId="0" borderId="0" xfId="0" applyNumberFormat="1" applyFont="1"/>
    <xf numFmtId="37" fontId="29" fillId="0" borderId="0" xfId="0" applyNumberFormat="1" applyFont="1"/>
    <xf numFmtId="176" fontId="31" fillId="0" borderId="37" xfId="0" applyNumberFormat="1" applyFont="1" applyBorder="1"/>
    <xf numFmtId="173" fontId="15" fillId="0" borderId="0" xfId="0" applyNumberFormat="1" applyFont="1"/>
    <xf numFmtId="39" fontId="4" fillId="0" borderId="0" xfId="0" applyNumberFormat="1" applyFont="1"/>
    <xf numFmtId="186" fontId="12" fillId="0" borderId="0" xfId="0" applyNumberFormat="1" applyFont="1"/>
    <xf numFmtId="173" fontId="39" fillId="0" borderId="0" xfId="0" applyNumberFormat="1" applyFont="1"/>
    <xf numFmtId="187" fontId="12" fillId="0" borderId="0" xfId="0" applyNumberFormat="1" applyFont="1"/>
    <xf numFmtId="173" fontId="37" fillId="0" borderId="0" xfId="0" applyNumberFormat="1" applyFont="1"/>
    <xf numFmtId="0" fontId="15" fillId="0" borderId="10" xfId="0" applyFont="1" applyBorder="1"/>
    <xf numFmtId="188" fontId="31" fillId="0" borderId="0" xfId="0" applyNumberFormat="1" applyFont="1"/>
    <xf numFmtId="39" fontId="31" fillId="0" borderId="0" xfId="0" applyNumberFormat="1" applyFont="1"/>
    <xf numFmtId="7" fontId="4" fillId="0" borderId="0" xfId="0" applyNumberFormat="1" applyFont="1"/>
    <xf numFmtId="37" fontId="30" fillId="0" borderId="0" xfId="0" applyNumberFormat="1" applyFont="1"/>
    <xf numFmtId="7" fontId="31" fillId="0" borderId="0" xfId="0" applyNumberFormat="1" applyFont="1"/>
    <xf numFmtId="14" fontId="12" fillId="0" borderId="0" xfId="0" applyNumberFormat="1" applyFont="1" applyAlignment="1">
      <alignment horizontal="right"/>
    </xf>
    <xf numFmtId="0" fontId="42" fillId="0" borderId="0" xfId="6" applyFont="1" applyBorder="1"/>
    <xf numFmtId="177" fontId="31" fillId="0" borderId="0" xfId="0" applyNumberFormat="1" applyFont="1"/>
    <xf numFmtId="7" fontId="29" fillId="0" borderId="0" xfId="0" applyNumberFormat="1" applyFont="1" applyAlignment="1">
      <alignment horizontal="right"/>
    </xf>
    <xf numFmtId="0" fontId="38" fillId="0" borderId="0" xfId="0" applyFont="1" applyAlignment="1">
      <alignment horizontal="centerContinuous"/>
    </xf>
    <xf numFmtId="14" fontId="4" fillId="0" borderId="0" xfId="0" applyNumberFormat="1" applyFont="1" applyAlignment="1">
      <alignment horizontal="center"/>
    </xf>
    <xf numFmtId="172" fontId="4" fillId="0" borderId="38" xfId="0" applyNumberFormat="1" applyFont="1" applyBorder="1" applyAlignment="1">
      <alignment horizontal="center"/>
    </xf>
    <xf numFmtId="172" fontId="4" fillId="0" borderId="35" xfId="0" applyNumberFormat="1" applyFont="1" applyBorder="1" applyAlignment="1">
      <alignment horizontal="center"/>
    </xf>
    <xf numFmtId="172" fontId="4" fillId="0" borderId="0" xfId="0" applyNumberFormat="1" applyFont="1" applyAlignment="1">
      <alignment horizontal="center"/>
    </xf>
    <xf numFmtId="189" fontId="15" fillId="0" borderId="38" xfId="0" applyNumberFormat="1" applyFont="1" applyBorder="1"/>
    <xf numFmtId="190" fontId="15" fillId="0" borderId="0" xfId="0" applyNumberFormat="1" applyFont="1"/>
    <xf numFmtId="191" fontId="29" fillId="0" borderId="0" xfId="0" applyNumberFormat="1" applyFont="1"/>
    <xf numFmtId="191" fontId="31" fillId="0" borderId="0" xfId="0" applyNumberFormat="1" applyFont="1"/>
    <xf numFmtId="191" fontId="4" fillId="0" borderId="0" xfId="0" applyNumberFormat="1" applyFont="1"/>
    <xf numFmtId="191" fontId="33" fillId="0" borderId="0" xfId="0" applyNumberFormat="1" applyFont="1"/>
    <xf numFmtId="14" fontId="4" fillId="0" borderId="0" xfId="0" applyNumberFormat="1" applyFont="1"/>
    <xf numFmtId="177" fontId="4" fillId="0" borderId="0" xfId="0" applyNumberFormat="1" applyFont="1" applyAlignment="1">
      <alignment horizontal="center"/>
    </xf>
    <xf numFmtId="190" fontId="4" fillId="0" borderId="0" xfId="0" applyNumberFormat="1" applyFont="1"/>
    <xf numFmtId="192" fontId="12" fillId="0" borderId="0" xfId="0" applyNumberFormat="1" applyFont="1"/>
    <xf numFmtId="191" fontId="15" fillId="0" borderId="0" xfId="0" applyNumberFormat="1" applyFont="1"/>
    <xf numFmtId="0" fontId="16" fillId="0" borderId="0" xfId="0" applyFont="1" applyAlignment="1">
      <alignment horizontal="left"/>
    </xf>
    <xf numFmtId="177" fontId="16" fillId="0" borderId="0" xfId="0" applyNumberFormat="1" applyFont="1"/>
    <xf numFmtId="193" fontId="16" fillId="0" borderId="0" xfId="0" applyNumberFormat="1" applyFont="1"/>
    <xf numFmtId="192" fontId="16" fillId="0" borderId="0" xfId="0" applyNumberFormat="1" applyFont="1"/>
    <xf numFmtId="176" fontId="4" fillId="0" borderId="0" xfId="0" quotePrefix="1" applyNumberFormat="1" applyFont="1"/>
    <xf numFmtId="0" fontId="34" fillId="0" borderId="0" xfId="0" applyFont="1" applyAlignment="1">
      <alignment horizontal="right"/>
    </xf>
    <xf numFmtId="0" fontId="34" fillId="0" borderId="0" xfId="0" applyFont="1" applyAlignment="1">
      <alignment horizontal="left" vertical="center"/>
    </xf>
    <xf numFmtId="14" fontId="31" fillId="0" borderId="0" xfId="0" applyNumberFormat="1" applyFont="1"/>
    <xf numFmtId="194" fontId="12" fillId="0" borderId="0" xfId="0" applyNumberFormat="1" applyFont="1"/>
    <xf numFmtId="0" fontId="31" fillId="0" borderId="0" xfId="0" applyFont="1" applyAlignment="1">
      <alignment horizontal="left" indent="1"/>
    </xf>
    <xf numFmtId="0" fontId="4" fillId="0" borderId="0" xfId="0" applyFont="1" applyAlignment="1">
      <alignment horizontal="left" vertical="center" indent="1"/>
    </xf>
    <xf numFmtId="191"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7" fontId="4" fillId="9" borderId="0" xfId="0" applyNumberFormat="1" applyFont="1" applyFill="1" applyAlignment="1">
      <alignment horizontal="right"/>
    </xf>
    <xf numFmtId="198" fontId="4" fillId="9" borderId="0" xfId="0" applyNumberFormat="1" applyFont="1" applyFill="1" applyAlignment="1">
      <alignment horizontal="right"/>
    </xf>
    <xf numFmtId="198" fontId="4" fillId="0" borderId="0" xfId="0" applyNumberFormat="1" applyFont="1" applyAlignment="1">
      <alignment horizontal="right"/>
    </xf>
    <xf numFmtId="197" fontId="4" fillId="0" borderId="0" xfId="0" applyNumberFormat="1" applyFont="1" applyAlignment="1">
      <alignment horizontal="right"/>
    </xf>
    <xf numFmtId="0" fontId="31" fillId="10" borderId="0" xfId="0" applyFont="1" applyFill="1"/>
    <xf numFmtId="0" fontId="44" fillId="0" borderId="0" xfId="0" applyFont="1" applyAlignment="1">
      <alignment horizontal="centerContinuous"/>
    </xf>
    <xf numFmtId="0" fontId="38" fillId="0" borderId="35" xfId="0" applyFont="1" applyBorder="1" applyAlignment="1">
      <alignment horizontal="centerContinuous"/>
    </xf>
    <xf numFmtId="0" fontId="4" fillId="0" borderId="35" xfId="0" applyFont="1" applyBorder="1" applyAlignment="1">
      <alignment horizontal="centerContinuous"/>
    </xf>
    <xf numFmtId="196" fontId="4" fillId="0" borderId="8" xfId="0" applyNumberFormat="1" applyFont="1" applyBorder="1" applyAlignment="1">
      <alignment horizontal="right"/>
    </xf>
    <xf numFmtId="166" fontId="31" fillId="11" borderId="29" xfId="0" applyNumberFormat="1" applyFont="1" applyFill="1" applyBorder="1"/>
    <xf numFmtId="166" fontId="31" fillId="11" borderId="30" xfId="0" applyNumberFormat="1" applyFont="1" applyFill="1" applyBorder="1"/>
    <xf numFmtId="166" fontId="12" fillId="11" borderId="30" xfId="0" applyNumberFormat="1" applyFont="1" applyFill="1" applyBorder="1"/>
    <xf numFmtId="166" fontId="31" fillId="11" borderId="35" xfId="0" applyNumberFormat="1" applyFont="1" applyFill="1" applyBorder="1"/>
    <xf numFmtId="192" fontId="4" fillId="0" borderId="39" xfId="0" applyNumberFormat="1" applyFont="1" applyBorder="1" applyAlignment="1">
      <alignment horizontal="right"/>
    </xf>
    <xf numFmtId="166" fontId="31" fillId="11" borderId="31" xfId="0" applyNumberFormat="1" applyFont="1" applyFill="1" applyBorder="1"/>
    <xf numFmtId="166" fontId="31" fillId="11" borderId="40" xfId="0" applyNumberFormat="1" applyFont="1" applyFill="1" applyBorder="1" applyAlignment="1">
      <alignment horizontal="right"/>
    </xf>
    <xf numFmtId="199" fontId="4" fillId="0" borderId="0" xfId="0" applyNumberFormat="1" applyFont="1"/>
    <xf numFmtId="199" fontId="4" fillId="0" borderId="35" xfId="0" applyNumberFormat="1" applyFont="1" applyBorder="1"/>
    <xf numFmtId="192" fontId="4" fillId="0" borderId="0" xfId="0" applyNumberFormat="1" applyFont="1" applyAlignment="1">
      <alignment horizontal="right"/>
    </xf>
    <xf numFmtId="166" fontId="12" fillId="11" borderId="40" xfId="0" applyNumberFormat="1" applyFont="1" applyFill="1" applyBorder="1" applyAlignment="1">
      <alignment horizontal="right"/>
    </xf>
    <xf numFmtId="0" fontId="33" fillId="10" borderId="0" xfId="0" applyFont="1" applyFill="1" applyAlignment="1">
      <alignment horizontal="center"/>
    </xf>
    <xf numFmtId="166" fontId="31" fillId="11" borderId="41" xfId="0" applyNumberFormat="1" applyFont="1" applyFill="1" applyBorder="1" applyAlignment="1">
      <alignment horizontal="right"/>
    </xf>
    <xf numFmtId="200" fontId="4" fillId="0" borderId="0" xfId="0" applyNumberFormat="1" applyFont="1"/>
    <xf numFmtId="200" fontId="4" fillId="0" borderId="35" xfId="0" applyNumberFormat="1" applyFont="1" applyBorder="1"/>
    <xf numFmtId="196" fontId="4" fillId="0" borderId="39" xfId="0" applyNumberFormat="1" applyFont="1" applyBorder="1"/>
    <xf numFmtId="192" fontId="31" fillId="11" borderId="30" xfId="0" applyNumberFormat="1" applyFont="1" applyFill="1" applyBorder="1"/>
    <xf numFmtId="192" fontId="12" fillId="11" borderId="30" xfId="0" applyNumberFormat="1" applyFont="1" applyFill="1" applyBorder="1"/>
    <xf numFmtId="192" fontId="31" fillId="11" borderId="35" xfId="0" applyNumberFormat="1" applyFont="1" applyFill="1" applyBorder="1"/>
    <xf numFmtId="192" fontId="31" fillId="11" borderId="31" xfId="0" applyNumberFormat="1" applyFont="1" applyFill="1" applyBorder="1"/>
    <xf numFmtId="0" fontId="4" fillId="0" borderId="35" xfId="0" applyFont="1" applyBorder="1"/>
    <xf numFmtId="0" fontId="15" fillId="12" borderId="0" xfId="0" applyFont="1" applyFill="1"/>
    <xf numFmtId="0" fontId="15" fillId="12" borderId="35" xfId="0" applyFont="1" applyFill="1" applyBorder="1"/>
    <xf numFmtId="179" fontId="4" fillId="0" borderId="0" xfId="0" applyNumberFormat="1" applyFont="1"/>
    <xf numFmtId="0" fontId="4" fillId="0" borderId="29" xfId="0" applyFont="1" applyBorder="1"/>
    <xf numFmtId="0" fontId="4" fillId="0" borderId="30" xfId="0" applyFont="1" applyBorder="1" applyAlignment="1">
      <alignment horizontal="right"/>
    </xf>
    <xf numFmtId="0" fontId="4" fillId="0" borderId="31" xfId="0" applyFont="1" applyBorder="1" applyAlignment="1">
      <alignment horizontal="right"/>
    </xf>
    <xf numFmtId="0" fontId="4" fillId="0" borderId="42" xfId="0" applyFont="1" applyBorder="1"/>
    <xf numFmtId="0" fontId="4" fillId="0" borderId="43" xfId="0" quotePrefix="1" applyFont="1" applyBorder="1"/>
    <xf numFmtId="39" fontId="4" fillId="0" borderId="44" xfId="0" applyNumberFormat="1" applyFont="1" applyBorder="1"/>
    <xf numFmtId="39" fontId="31" fillId="0" borderId="44" xfId="0" applyNumberFormat="1" applyFont="1" applyBorder="1"/>
    <xf numFmtId="0" fontId="4" fillId="0" borderId="43" xfId="0" applyFont="1" applyBorder="1"/>
    <xf numFmtId="0" fontId="4" fillId="0" borderId="45" xfId="0" applyFont="1" applyBorder="1"/>
    <xf numFmtId="39" fontId="4" fillId="0" borderId="8" xfId="0" applyNumberFormat="1" applyFont="1" applyBorder="1"/>
    <xf numFmtId="39" fontId="31" fillId="0" borderId="8" xfId="0" applyNumberFormat="1" applyFont="1" applyBorder="1"/>
    <xf numFmtId="39" fontId="4" fillId="0" borderId="39" xfId="0" applyNumberFormat="1" applyFont="1" applyBorder="1"/>
    <xf numFmtId="0" fontId="4" fillId="0" borderId="46" xfId="0" applyFont="1" applyBorder="1"/>
    <xf numFmtId="39" fontId="31" fillId="0" borderId="39" xfId="0" applyNumberFormat="1" applyFont="1" applyBorder="1"/>
    <xf numFmtId="37" fontId="4" fillId="1" borderId="0" xfId="0" applyNumberFormat="1" applyFont="1" applyFill="1"/>
    <xf numFmtId="0" fontId="4" fillId="1" borderId="0" xfId="0" applyFont="1" applyFill="1"/>
    <xf numFmtId="195" fontId="15" fillId="0" borderId="27" xfId="0" applyNumberFormat="1" applyFont="1" applyBorder="1"/>
    <xf numFmtId="37" fontId="11" fillId="0" borderId="0" xfId="0" applyNumberFormat="1" applyFont="1" applyAlignment="1">
      <alignment horizontal="right" vertical="top" wrapText="1"/>
    </xf>
    <xf numFmtId="0" fontId="12" fillId="0" borderId="0" xfId="0" applyFont="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72" fontId="12" fillId="0" borderId="0" xfId="0" applyNumberFormat="1" applyFont="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5" xfId="0" applyFont="1" applyBorder="1"/>
    <xf numFmtId="0" fontId="12" fillId="0" borderId="27" xfId="0" applyFont="1" applyBorder="1" applyAlignment="1">
      <alignment horizontal="center"/>
    </xf>
    <xf numFmtId="0" fontId="4" fillId="0" borderId="28" xfId="0" applyFont="1" applyBorder="1"/>
    <xf numFmtId="0" fontId="33" fillId="0" borderId="26" xfId="0" applyFont="1" applyBorder="1"/>
    <xf numFmtId="0" fontId="33"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8"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202" fontId="5" fillId="2" borderId="0" xfId="0" applyNumberFormat="1" applyFont="1" applyFill="1" applyAlignment="1">
      <alignment horizontal="center" vertical="center" wrapText="1"/>
    </xf>
    <xf numFmtId="0" fontId="4" fillId="0" borderId="22" xfId="0" applyFont="1" applyBorder="1" applyAlignment="1">
      <alignment horizontal="left" indent="1"/>
    </xf>
    <xf numFmtId="176" fontId="31" fillId="0" borderId="23" xfId="0" applyNumberFormat="1" applyFont="1" applyBorder="1"/>
    <xf numFmtId="0" fontId="45" fillId="2" borderId="27" xfId="0" applyFont="1" applyFill="1" applyBorder="1"/>
    <xf numFmtId="0" fontId="45" fillId="2" borderId="28" xfId="0" applyFont="1" applyFill="1" applyBorder="1"/>
    <xf numFmtId="0" fontId="2" fillId="2" borderId="26" xfId="0" applyFont="1" applyFill="1" applyBorder="1"/>
    <xf numFmtId="0" fontId="45" fillId="0" borderId="0" xfId="0" applyFont="1"/>
    <xf numFmtId="0" fontId="45" fillId="0" borderId="23" xfId="0" applyFont="1" applyBorder="1"/>
    <xf numFmtId="0" fontId="2" fillId="0" borderId="22" xfId="0" applyFont="1" applyBorder="1"/>
    <xf numFmtId="0" fontId="3" fillId="0" borderId="0" xfId="0" applyFont="1" applyAlignment="1">
      <alignment vertical="center" wrapText="1"/>
    </xf>
    <xf numFmtId="14" fontId="3" fillId="0" borderId="0" xfId="0" applyNumberFormat="1" applyFont="1" applyAlignment="1">
      <alignment horizontal="center" vertical="center" wrapText="1"/>
    </xf>
    <xf numFmtId="0" fontId="15" fillId="13" borderId="27" xfId="0" applyFont="1" applyFill="1" applyBorder="1" applyAlignment="1">
      <alignment horizontal="left"/>
    </xf>
    <xf numFmtId="5" fontId="33" fillId="13" borderId="27" xfId="0" applyNumberFormat="1" applyFont="1" applyFill="1" applyBorder="1"/>
    <xf numFmtId="5" fontId="15" fillId="13" borderId="27" xfId="0" applyNumberFormat="1" applyFont="1" applyFill="1" applyBorder="1"/>
    <xf numFmtId="5" fontId="33" fillId="0" borderId="27"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7"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201"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202" fontId="5" fillId="16" borderId="0" xfId="0" applyNumberFormat="1" applyFont="1" applyFill="1" applyAlignment="1">
      <alignment horizontal="center" vertical="center" wrapText="1"/>
    </xf>
    <xf numFmtId="201"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Alignment="1">
      <alignment vertical="center" wrapText="1"/>
    </xf>
    <xf numFmtId="0" fontId="2" fillId="2" borderId="4" xfId="0" applyFont="1" applyFill="1" applyBorder="1" applyAlignment="1">
      <alignment horizontal="centerContinuous" vertical="center"/>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202" fontId="5" fillId="18" borderId="0" xfId="0" applyNumberFormat="1" applyFont="1" applyFill="1" applyAlignment="1">
      <alignment horizontal="center" vertical="center" wrapText="1"/>
    </xf>
    <xf numFmtId="201"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202" fontId="5" fillId="15" borderId="0" xfId="0" applyNumberFormat="1" applyFont="1" applyFill="1" applyAlignment="1">
      <alignment horizontal="center" vertical="center" wrapText="1"/>
    </xf>
    <xf numFmtId="201" fontId="5" fillId="15" borderId="0" xfId="0" applyNumberFormat="1" applyFont="1" applyFill="1" applyAlignment="1">
      <alignment horizontal="center" vertical="center" wrapText="1"/>
    </xf>
    <xf numFmtId="14" fontId="12" fillId="0" borderId="0" xfId="5" applyNumberFormat="1" applyFont="1" applyAlignment="1">
      <alignment horizontal="right"/>
    </xf>
    <xf numFmtId="14" fontId="31" fillId="0" borderId="0" xfId="5" applyNumberFormat="1" applyFont="1" applyAlignment="1">
      <alignment horizontal="right"/>
    </xf>
    <xf numFmtId="7" fontId="12" fillId="0" borderId="0" xfId="0" applyNumberFormat="1" applyFont="1"/>
    <xf numFmtId="0" fontId="43" fillId="0" borderId="0" xfId="0" applyFont="1" applyAlignment="1">
      <alignment horizontal="center"/>
    </xf>
    <xf numFmtId="177" fontId="31" fillId="0" borderId="20" xfId="0" applyNumberFormat="1" applyFont="1" applyBorder="1"/>
    <xf numFmtId="7" fontId="29" fillId="0" borderId="20" xfId="0" applyNumberFormat="1" applyFont="1" applyBorder="1" applyAlignment="1">
      <alignment horizontal="right"/>
    </xf>
    <xf numFmtId="0" fontId="42" fillId="0" borderId="23" xfId="6" applyFont="1" applyBorder="1"/>
    <xf numFmtId="0" fontId="4" fillId="0" borderId="26" xfId="0" applyFont="1" applyBorder="1"/>
    <xf numFmtId="14" fontId="12" fillId="0" borderId="27" xfId="5" applyNumberFormat="1" applyFont="1" applyBorder="1" applyAlignment="1">
      <alignment horizontal="right"/>
    </xf>
    <xf numFmtId="176" fontId="29" fillId="0" borderId="27" xfId="0" applyNumberFormat="1" applyFont="1" applyBorder="1"/>
    <xf numFmtId="0" fontId="2" fillId="2" borderId="0" xfId="0" applyFont="1" applyFill="1" applyAlignment="1">
      <alignment vertical="center"/>
    </xf>
    <xf numFmtId="14" fontId="3" fillId="2" borderId="0" xfId="0" applyNumberFormat="1" applyFont="1" applyFill="1" applyAlignment="1">
      <alignment horizontal="center" vertical="center"/>
    </xf>
    <xf numFmtId="0" fontId="8" fillId="0" borderId="0" xfId="0" applyFont="1" applyAlignment="1">
      <alignment horizontal="center" vertical="center" wrapText="1"/>
    </xf>
    <xf numFmtId="0" fontId="6" fillId="0" borderId="0" xfId="0" applyFont="1" applyAlignment="1">
      <alignment vertical="center" wrapText="1"/>
    </xf>
    <xf numFmtId="41" fontId="11" fillId="0" borderId="0" xfId="0" applyNumberFormat="1" applyFont="1" applyAlignment="1">
      <alignment vertical="center"/>
    </xf>
    <xf numFmtId="10" fontId="6" fillId="0" borderId="0" xfId="0" applyNumberFormat="1" applyFont="1" applyAlignment="1">
      <alignment vertical="center"/>
    </xf>
    <xf numFmtId="166" fontId="7" fillId="0" borderId="0" xfId="1" applyNumberFormat="1" applyFont="1" applyFill="1" applyBorder="1" applyAlignment="1">
      <alignment vertical="center"/>
    </xf>
    <xf numFmtId="41" fontId="6" fillId="0" borderId="0" xfId="0" applyNumberFormat="1" applyFont="1" applyAlignment="1">
      <alignment vertical="center"/>
    </xf>
    <xf numFmtId="0" fontId="7" fillId="6" borderId="0" xfId="0" applyFont="1" applyFill="1" applyAlignment="1">
      <alignment horizontal="left" vertical="center" wrapText="1"/>
    </xf>
    <xf numFmtId="201" fontId="5" fillId="2" borderId="0" xfId="0" applyNumberFormat="1" applyFont="1" applyFill="1" applyAlignment="1">
      <alignment horizontal="center" vertical="center"/>
    </xf>
    <xf numFmtId="37" fontId="15" fillId="0" borderId="2" xfId="0" applyNumberFormat="1" applyFont="1" applyBorder="1"/>
    <xf numFmtId="166" fontId="4" fillId="0" borderId="0" xfId="1" applyNumberFormat="1" applyFont="1" applyAlignment="1">
      <alignment horizontal="center"/>
    </xf>
    <xf numFmtId="166" fontId="15" fillId="0" borderId="0" xfId="1" applyNumberFormat="1" applyFont="1" applyAlignment="1">
      <alignment horizontal="center"/>
    </xf>
    <xf numFmtId="37" fontId="11" fillId="0" borderId="0" xfId="0" applyNumberFormat="1" applyFont="1"/>
    <xf numFmtId="167" fontId="4" fillId="0" borderId="0" xfId="1" applyNumberFormat="1" applyFont="1" applyAlignment="1">
      <alignment horizontal="center"/>
    </xf>
    <xf numFmtId="167" fontId="15" fillId="0" borderId="0" xfId="1" applyNumberFormat="1" applyFont="1" applyAlignment="1">
      <alignment horizontal="center"/>
    </xf>
    <xf numFmtId="10" fontId="11" fillId="0" borderId="0" xfId="0" applyNumberFormat="1" applyFont="1" applyAlignment="1">
      <alignment vertical="center"/>
    </xf>
    <xf numFmtId="41" fontId="4" fillId="0" borderId="0" xfId="0" applyNumberFormat="1" applyFont="1" applyAlignment="1">
      <alignment vertical="center"/>
    </xf>
    <xf numFmtId="10" fontId="4" fillId="0" borderId="0" xfId="0" applyNumberFormat="1" applyFont="1" applyAlignment="1">
      <alignment vertical="center"/>
    </xf>
    <xf numFmtId="10" fontId="4" fillId="0" borderId="0" xfId="1" applyNumberFormat="1" applyFont="1" applyFill="1" applyBorder="1" applyAlignment="1">
      <alignment vertical="center"/>
    </xf>
    <xf numFmtId="167" fontId="4" fillId="6" borderId="0" xfId="1" applyNumberFormat="1" applyFont="1" applyFill="1" applyAlignment="1">
      <alignment horizontal="right"/>
    </xf>
    <xf numFmtId="202" fontId="5" fillId="2" borderId="0" xfId="0" applyNumberFormat="1" applyFont="1" applyFill="1" applyAlignment="1">
      <alignment horizontal="center" vertical="center"/>
    </xf>
    <xf numFmtId="0" fontId="8" fillId="0" borderId="1" xfId="0" applyFont="1" applyBorder="1" applyAlignment="1">
      <alignment horizontal="centerContinuous" vertical="top" wrapText="1"/>
    </xf>
    <xf numFmtId="0" fontId="4" fillId="0" borderId="1" xfId="0" applyFont="1" applyBorder="1" applyAlignment="1">
      <alignment horizontal="centerContinuous"/>
    </xf>
    <xf numFmtId="0" fontId="7" fillId="0" borderId="0" xfId="0" applyFont="1" applyAlignment="1">
      <alignment horizontal="left" vertical="center" wrapText="1"/>
    </xf>
    <xf numFmtId="167" fontId="4" fillId="0" borderId="0" xfId="1" applyNumberFormat="1" applyFont="1" applyFill="1" applyAlignment="1">
      <alignment horizontal="right"/>
    </xf>
    <xf numFmtId="167" fontId="4" fillId="19" borderId="27" xfId="1" applyNumberFormat="1" applyFont="1" applyFill="1" applyBorder="1" applyAlignment="1">
      <alignment horizontal="right"/>
    </xf>
    <xf numFmtId="167" fontId="4" fillId="19" borderId="28" xfId="1" applyNumberFormat="1" applyFont="1" applyFill="1" applyBorder="1" applyAlignment="1">
      <alignment horizontal="right"/>
    </xf>
    <xf numFmtId="167" fontId="4" fillId="19" borderId="20" xfId="1" applyNumberFormat="1" applyFont="1" applyFill="1" applyBorder="1" applyAlignment="1">
      <alignment horizontal="right"/>
    </xf>
    <xf numFmtId="167" fontId="4" fillId="19" borderId="25" xfId="1" applyNumberFormat="1" applyFont="1" applyFill="1" applyBorder="1" applyAlignment="1">
      <alignment horizontal="right"/>
    </xf>
    <xf numFmtId="0" fontId="7" fillId="19" borderId="0" xfId="0" applyFont="1" applyFill="1" applyAlignment="1">
      <alignment horizontal="left" vertical="center" wrapText="1"/>
    </xf>
    <xf numFmtId="167" fontId="4" fillId="19" borderId="0" xfId="1" applyNumberFormat="1" applyFont="1" applyFill="1" applyBorder="1" applyAlignment="1">
      <alignment horizontal="right"/>
    </xf>
    <xf numFmtId="167" fontId="4" fillId="0" borderId="0" xfId="1" applyNumberFormat="1" applyFont="1" applyFill="1" applyBorder="1" applyAlignment="1">
      <alignment horizontal="right"/>
    </xf>
    <xf numFmtId="37" fontId="6" fillId="0" borderId="0" xfId="0" applyNumberFormat="1" applyFont="1"/>
    <xf numFmtId="0" fontId="16" fillId="0" borderId="22" xfId="0" applyFont="1" applyBorder="1" applyAlignment="1">
      <alignment horizontal="left" indent="2"/>
    </xf>
    <xf numFmtId="176" fontId="27" fillId="0" borderId="0" xfId="0" applyNumberFormat="1" applyFont="1"/>
    <xf numFmtId="167" fontId="6" fillId="6" borderId="0" xfId="1" applyNumberFormat="1" applyFont="1" applyFill="1" applyAlignment="1">
      <alignment horizontal="right"/>
    </xf>
    <xf numFmtId="167" fontId="11" fillId="6" borderId="0" xfId="1" applyNumberFormat="1" applyFont="1" applyFill="1" applyAlignment="1">
      <alignment horizontal="right"/>
    </xf>
    <xf numFmtId="0" fontId="6" fillId="0" borderId="0" xfId="0" applyFont="1" applyAlignment="1">
      <alignment vertical="center"/>
    </xf>
    <xf numFmtId="0" fontId="7" fillId="6" borderId="0" xfId="0" applyFont="1" applyFill="1" applyAlignment="1">
      <alignment horizontal="left" vertical="center"/>
    </xf>
    <xf numFmtId="0" fontId="8" fillId="0" borderId="1" xfId="0" applyFont="1" applyBorder="1" applyAlignment="1">
      <alignment vertical="top"/>
    </xf>
    <xf numFmtId="0" fontId="8" fillId="0" borderId="0" xfId="0" applyFont="1" applyAlignment="1">
      <alignment horizontal="centerContinuous" vertical="top" wrapText="1"/>
    </xf>
    <xf numFmtId="167" fontId="6" fillId="0" borderId="0" xfId="1" applyNumberFormat="1" applyFont="1" applyFill="1" applyAlignment="1">
      <alignment horizontal="right"/>
    </xf>
    <xf numFmtId="0" fontId="24" fillId="0" borderId="0" xfId="0" applyFont="1" applyAlignment="1">
      <alignment horizontal="left" vertical="center" indent="1"/>
    </xf>
    <xf numFmtId="167" fontId="10" fillId="0" borderId="0" xfId="1" applyNumberFormat="1" applyFont="1" applyFill="1" applyAlignment="1">
      <alignment horizontal="right" vertical="center"/>
    </xf>
    <xf numFmtId="0" fontId="7" fillId="0" borderId="0" xfId="0" applyFont="1" applyAlignment="1">
      <alignment horizontal="left" vertical="center"/>
    </xf>
    <xf numFmtId="0" fontId="7" fillId="19" borderId="26" xfId="0" applyFont="1" applyFill="1" applyBorder="1" applyAlignment="1">
      <alignment horizontal="left" vertical="center"/>
    </xf>
    <xf numFmtId="0" fontId="7" fillId="19" borderId="27" xfId="0" applyFont="1" applyFill="1" applyBorder="1" applyAlignment="1">
      <alignment horizontal="left" vertical="center"/>
    </xf>
    <xf numFmtId="0" fontId="7" fillId="19" borderId="21" xfId="0" applyFont="1" applyFill="1" applyBorder="1" applyAlignment="1">
      <alignment horizontal="left" vertical="center"/>
    </xf>
    <xf numFmtId="0" fontId="7" fillId="19" borderId="20" xfId="0" applyFont="1" applyFill="1" applyBorder="1" applyAlignment="1">
      <alignment horizontal="left" vertical="center"/>
    </xf>
    <xf numFmtId="0" fontId="8" fillId="0" borderId="1" xfId="0" applyFont="1" applyBorder="1" applyAlignment="1">
      <alignment horizontal="centerContinuous" vertical="top"/>
    </xf>
    <xf numFmtId="0" fontId="7" fillId="19" borderId="0" xfId="0" applyFont="1" applyFill="1" applyAlignment="1">
      <alignment horizontal="left" vertical="center"/>
    </xf>
    <xf numFmtId="0" fontId="8" fillId="0" borderId="0" xfId="0" applyFont="1" applyAlignment="1">
      <alignment vertical="top"/>
    </xf>
    <xf numFmtId="0" fontId="16" fillId="0" borderId="0" xfId="0" applyFont="1" applyAlignment="1">
      <alignment horizontal="left" vertical="center" indent="1"/>
    </xf>
    <xf numFmtId="0" fontId="2" fillId="2" borderId="0" xfId="0" applyFont="1" applyFill="1" applyAlignment="1">
      <alignment horizontal="centerContinuous" vertical="center"/>
    </xf>
    <xf numFmtId="0" fontId="4" fillId="2" borderId="0" xfId="0" applyFont="1" applyFill="1" applyAlignment="1">
      <alignment horizontal="centerContinuous"/>
    </xf>
    <xf numFmtId="0" fontId="34" fillId="0" borderId="22" xfId="0" applyFont="1" applyBorder="1" applyAlignment="1">
      <alignment horizontal="left" indent="1"/>
    </xf>
    <xf numFmtId="37" fontId="47" fillId="6" borderId="0" xfId="0" applyNumberFormat="1" applyFont="1" applyFill="1"/>
    <xf numFmtId="0" fontId="15" fillId="6" borderId="27" xfId="0" applyFont="1" applyFill="1" applyBorder="1"/>
    <xf numFmtId="7" fontId="33" fillId="6" borderId="27" xfId="0" applyNumberFormat="1" applyFont="1" applyFill="1" applyBorder="1"/>
    <xf numFmtId="173" fontId="29" fillId="0" borderId="0" xfId="0" applyNumberFormat="1" applyFont="1" applyAlignment="1">
      <alignment horizontal="right" vertical="center"/>
    </xf>
    <xf numFmtId="0" fontId="15" fillId="0" borderId="49" xfId="0" applyFont="1" applyBorder="1"/>
    <xf numFmtId="0" fontId="15" fillId="0" borderId="50" xfId="0" applyFont="1" applyBorder="1"/>
    <xf numFmtId="7" fontId="48" fillId="0" borderId="51" xfId="0" applyNumberFormat="1" applyFont="1" applyBorder="1"/>
    <xf numFmtId="0" fontId="2" fillId="2" borderId="0" xfId="0" applyFont="1" applyFill="1" applyAlignment="1">
      <alignment horizontal="centerContinuous"/>
    </xf>
    <xf numFmtId="0" fontId="2"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2" fillId="0" borderId="0" xfId="0" applyFont="1" applyAlignment="1">
      <alignment horizontal="centerContinuous" vertical="center"/>
    </xf>
    <xf numFmtId="0" fontId="44" fillId="0" borderId="0" xfId="0" applyFont="1" applyAlignment="1">
      <alignment horizontal="center"/>
    </xf>
    <xf numFmtId="173" fontId="33" fillId="6" borderId="27" xfId="0" applyNumberFormat="1" applyFont="1" applyFill="1" applyBorder="1"/>
    <xf numFmtId="0" fontId="4" fillId="6" borderId="27"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left" vertical="center"/>
    </xf>
    <xf numFmtId="0" fontId="15" fillId="7" borderId="27" xfId="0" applyFont="1" applyFill="1" applyBorder="1"/>
    <xf numFmtId="191" fontId="15" fillId="7" borderId="27" xfId="0" applyNumberFormat="1" applyFont="1" applyFill="1" applyBorder="1"/>
    <xf numFmtId="191" fontId="31" fillId="0" borderId="0" xfId="0" applyNumberFormat="1" applyFont="1" applyAlignment="1">
      <alignment vertical="center"/>
    </xf>
    <xf numFmtId="0" fontId="15" fillId="7" borderId="27" xfId="0" applyFont="1" applyFill="1" applyBorder="1" applyAlignment="1">
      <alignment vertical="center"/>
    </xf>
    <xf numFmtId="0" fontId="33" fillId="7" borderId="27" xfId="0" applyFont="1" applyFill="1" applyBorder="1" applyAlignment="1">
      <alignment vertical="center"/>
    </xf>
    <xf numFmtId="191" fontId="33" fillId="7" borderId="27" xfId="0" applyNumberFormat="1"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191" fontId="49" fillId="0" borderId="10" xfId="0" applyNumberFormat="1" applyFont="1" applyBorder="1" applyAlignment="1">
      <alignment horizontal="center"/>
    </xf>
    <xf numFmtId="191" fontId="49" fillId="0" borderId="0" xfId="0" applyNumberFormat="1" applyFont="1" applyAlignment="1">
      <alignment horizontal="center"/>
    </xf>
    <xf numFmtId="14" fontId="47" fillId="0" borderId="0" xfId="0" applyNumberFormat="1" applyFont="1" applyAlignment="1">
      <alignment horizontal="center"/>
    </xf>
    <xf numFmtId="0" fontId="2" fillId="0" borderId="0" xfId="0" applyFont="1" applyAlignment="1">
      <alignment horizontal="left" vertical="center"/>
    </xf>
    <xf numFmtId="37" fontId="15" fillId="7" borderId="27" xfId="0" applyNumberFormat="1" applyFont="1" applyFill="1" applyBorder="1"/>
    <xf numFmtId="196" fontId="15" fillId="6" borderId="27" xfId="0" applyNumberFormat="1" applyFont="1" applyFill="1" applyBorder="1" applyAlignment="1">
      <alignment horizontal="right"/>
    </xf>
    <xf numFmtId="191" fontId="29" fillId="0" borderId="38" xfId="0" applyNumberFormat="1" applyFont="1" applyBorder="1"/>
    <xf numFmtId="0" fontId="4" fillId="0" borderId="38" xfId="0" applyFont="1" applyBorder="1"/>
    <xf numFmtId="177" fontId="31" fillId="0" borderId="38" xfId="0" applyNumberFormat="1" applyFont="1" applyBorder="1"/>
    <xf numFmtId="191" fontId="31" fillId="0" borderId="38" xfId="0" applyNumberFormat="1" applyFont="1" applyBorder="1"/>
    <xf numFmtId="176" fontId="29" fillId="0" borderId="35" xfId="0" applyNumberFormat="1" applyFont="1" applyBorder="1" applyAlignment="1">
      <alignment vertical="center"/>
    </xf>
    <xf numFmtId="176" fontId="29" fillId="0" borderId="0" xfId="0" applyNumberFormat="1" applyFont="1" applyAlignment="1">
      <alignment vertical="center"/>
    </xf>
    <xf numFmtId="0" fontId="37" fillId="0" borderId="10" xfId="0" applyFont="1" applyBorder="1" applyAlignment="1">
      <alignment horizontal="centerContinuous"/>
    </xf>
    <xf numFmtId="191" fontId="33" fillId="6" borderId="27" xfId="0" applyNumberFormat="1" applyFont="1" applyFill="1" applyBorder="1"/>
    <xf numFmtId="191" fontId="33" fillId="7" borderId="52" xfId="0" applyNumberFormat="1" applyFont="1" applyFill="1" applyBorder="1"/>
    <xf numFmtId="191" fontId="33" fillId="7" borderId="27" xfId="0" applyNumberFormat="1" applyFont="1" applyFill="1" applyBorder="1"/>
    <xf numFmtId="167" fontId="10" fillId="20" borderId="0" xfId="1" applyNumberFormat="1" applyFont="1" applyFill="1" applyAlignment="1">
      <alignment horizontal="right" vertical="center"/>
    </xf>
    <xf numFmtId="177" fontId="50" fillId="19" borderId="47" xfId="0" applyNumberFormat="1" applyFont="1" applyFill="1" applyBorder="1" applyAlignment="1">
      <alignment horizontal="center" vertical="center"/>
    </xf>
    <xf numFmtId="41" fontId="22" fillId="0" borderId="0" xfId="0" applyNumberFormat="1" applyFont="1" applyAlignment="1">
      <alignment horizontal="right" vertical="center" wrapText="1"/>
    </xf>
    <xf numFmtId="0" fontId="46" fillId="0" borderId="0" xfId="0" applyFont="1" applyAlignment="1">
      <alignment horizontal="left" vertical="center" indent="1"/>
    </xf>
    <xf numFmtId="41" fontId="8" fillId="0" borderId="2" xfId="0" applyNumberFormat="1" applyFont="1" applyBorder="1" applyAlignment="1">
      <alignment horizontal="right" vertical="top" wrapText="1"/>
    </xf>
    <xf numFmtId="41" fontId="11" fillId="20" borderId="0" xfId="0" applyNumberFormat="1" applyFont="1" applyFill="1" applyAlignment="1">
      <alignment horizontal="right" vertical="top" wrapText="1"/>
    </xf>
    <xf numFmtId="5" fontId="6" fillId="0" borderId="0" xfId="0" applyNumberFormat="1" applyFont="1" applyAlignment="1">
      <alignment horizontal="right" vertical="top" wrapText="1"/>
    </xf>
    <xf numFmtId="43" fontId="22" fillId="20" borderId="0" xfId="0" applyNumberFormat="1" applyFont="1" applyFill="1" applyAlignment="1">
      <alignment wrapText="1"/>
    </xf>
    <xf numFmtId="167" fontId="9" fillId="0" borderId="0" xfId="1" applyNumberFormat="1" applyFont="1" applyFill="1" applyBorder="1" applyAlignment="1">
      <alignment horizontal="right" vertical="center" wrapText="1"/>
    </xf>
    <xf numFmtId="167" fontId="10" fillId="20" borderId="0" xfId="1" applyNumberFormat="1" applyFont="1" applyFill="1" applyBorder="1" applyAlignment="1">
      <alignment horizontal="right" vertical="center" wrapText="1"/>
    </xf>
    <xf numFmtId="0" fontId="22" fillId="0" borderId="1" xfId="0" applyFont="1" applyBorder="1" applyAlignment="1">
      <alignment vertical="top" wrapText="1"/>
    </xf>
    <xf numFmtId="43" fontId="22" fillId="0" borderId="1" xfId="0" applyNumberFormat="1" applyFont="1" applyBorder="1" applyAlignment="1">
      <alignment wrapText="1"/>
    </xf>
    <xf numFmtId="0" fontId="23"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41" fontId="11" fillId="20" borderId="0" xfId="0" applyNumberFormat="1" applyFont="1" applyFill="1" applyAlignment="1">
      <alignment horizontal="right" wrapText="1"/>
    </xf>
    <xf numFmtId="167" fontId="7" fillId="5" borderId="0" xfId="1" applyNumberFormat="1" applyFont="1" applyFill="1" applyBorder="1" applyAlignment="1">
      <alignment horizontal="right" wrapText="1"/>
    </xf>
    <xf numFmtId="0" fontId="4" fillId="0" borderId="0" xfId="0" applyFont="1" applyAlignment="1">
      <alignment vertical="center" wrapText="1"/>
    </xf>
    <xf numFmtId="41" fontId="11" fillId="0" borderId="0" xfId="0" applyNumberFormat="1" applyFont="1" applyAlignment="1">
      <alignment horizontal="right" vertical="center" wrapText="1"/>
    </xf>
    <xf numFmtId="41" fontId="11" fillId="20" borderId="0" xfId="0" applyNumberFormat="1" applyFont="1" applyFill="1" applyAlignment="1">
      <alignment horizontal="right" vertical="center" wrapText="1"/>
    </xf>
    <xf numFmtId="37" fontId="4" fillId="0" borderId="0" xfId="0" applyNumberFormat="1" applyFont="1" applyAlignment="1">
      <alignment vertical="center" wrapText="1"/>
    </xf>
    <xf numFmtId="41" fontId="6" fillId="0" borderId="0" xfId="0" applyNumberFormat="1" applyFont="1"/>
    <xf numFmtId="41" fontId="10" fillId="0" borderId="0" xfId="0" applyNumberFormat="1" applyFont="1" applyAlignment="1">
      <alignment horizontal="right"/>
    </xf>
    <xf numFmtId="41" fontId="47" fillId="0" borderId="0" xfId="0" applyNumberFormat="1" applyFont="1"/>
    <xf numFmtId="0" fontId="14" fillId="3" borderId="0" xfId="0" applyFont="1" applyFill="1"/>
    <xf numFmtId="167" fontId="10" fillId="3" borderId="0" xfId="1" applyNumberFormat="1" applyFont="1" applyFill="1" applyBorder="1" applyAlignment="1">
      <alignment horizontal="right" vertical="center" wrapText="1"/>
    </xf>
    <xf numFmtId="167" fontId="52" fillId="3" borderId="0" xfId="1" applyNumberFormat="1" applyFont="1" applyFill="1" applyBorder="1" applyAlignment="1">
      <alignment horizontal="right" vertical="center" wrapText="1"/>
    </xf>
    <xf numFmtId="168" fontId="52" fillId="3" borderId="0" xfId="1" applyNumberFormat="1" applyFont="1" applyFill="1" applyBorder="1" applyAlignment="1">
      <alignment horizontal="right" vertical="center" wrapText="1"/>
    </xf>
    <xf numFmtId="0" fontId="14" fillId="0" borderId="0" xfId="0" applyFont="1"/>
    <xf numFmtId="0" fontId="24" fillId="0" borderId="3" xfId="0" applyFont="1" applyBorder="1" applyAlignment="1">
      <alignment horizontal="left" wrapText="1"/>
    </xf>
    <xf numFmtId="0" fontId="2" fillId="2" borderId="0" xfId="0" applyFont="1" applyFill="1" applyAlignment="1">
      <alignment horizontal="center" vertical="center" wrapText="1"/>
    </xf>
    <xf numFmtId="0" fontId="5" fillId="17" borderId="0" xfId="0" applyFont="1" applyFill="1" applyAlignment="1">
      <alignment horizontal="center" vertical="center" wrapText="1"/>
    </xf>
    <xf numFmtId="0" fontId="5" fillId="14" borderId="0" xfId="0" applyFont="1" applyFill="1" applyAlignment="1">
      <alignment horizontal="center" vertical="center" wrapText="1"/>
    </xf>
    <xf numFmtId="0" fontId="10" fillId="0" borderId="3" xfId="0" quotePrefix="1" applyFont="1" applyBorder="1" applyAlignment="1">
      <alignment horizontal="left" vertical="top" wrapText="1"/>
    </xf>
    <xf numFmtId="0" fontId="10" fillId="0" borderId="3" xfId="0" applyFont="1" applyBorder="1" applyAlignment="1">
      <alignment horizontal="left" vertical="top" wrapText="1"/>
    </xf>
    <xf numFmtId="0" fontId="10" fillId="0" borderId="0" xfId="0" quotePrefix="1" applyFont="1" applyAlignment="1">
      <alignment horizontal="left" vertical="top" wrapText="1"/>
    </xf>
    <xf numFmtId="0" fontId="10" fillId="0" borderId="0" xfId="0" applyFont="1" applyAlignment="1">
      <alignment horizontal="left" vertical="top" wrapText="1"/>
    </xf>
    <xf numFmtId="0" fontId="53" fillId="2" borderId="0" xfId="0" applyFont="1" applyFill="1" applyAlignment="1">
      <alignment horizontal="center" vertical="center" wrapText="1"/>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B03C"/>
      <color rgb="FF0000C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General</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General</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General</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General"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General</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General</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General</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efreshError="1"/>
      <sheetData sheetId="2">
        <row r="5">
          <cell r="H5">
            <v>273.52</v>
          </cell>
        </row>
        <row r="22">
          <cell r="I22">
            <v>0.17299999999999999</v>
          </cell>
        </row>
        <row r="61">
          <cell r="I61">
            <v>4471.5</v>
          </cell>
        </row>
      </sheetData>
      <sheetData sheetId="3" refreshError="1"/>
      <sheetData sheetId="4"/>
      <sheetData sheetId="5" refreshError="1"/>
      <sheetData sheetId="6">
        <row r="25">
          <cell r="E25">
            <v>14543</v>
          </cell>
        </row>
        <row r="31">
          <cell r="E31">
            <v>-14543</v>
          </cell>
        </row>
        <row r="34">
          <cell r="E34">
            <v>34654</v>
          </cell>
        </row>
        <row r="41">
          <cell r="E41">
            <v>-34654</v>
          </cell>
        </row>
      </sheetData>
      <sheetData sheetId="7" refreshError="1"/>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BB176"/>
  <sheetViews>
    <sheetView showGridLines="0" tabSelected="1" zoomScale="115" zoomScaleNormal="115" workbookViewId="0">
      <selection activeCell="B2" sqref="B2"/>
    </sheetView>
  </sheetViews>
  <sheetFormatPr defaultRowHeight="12" outlineLevelCol="2"/>
  <cols>
    <col min="1" max="1" width="1.625" style="5" bestFit="1" customWidth="1"/>
    <col min="2" max="2" width="49.125" style="5" bestFit="1" customWidth="1"/>
    <col min="3" max="4" width="8.625" style="5" customWidth="1" outlineLevel="2"/>
    <col min="5" max="6" width="8.625" style="5" customWidth="1" outlineLevel="1"/>
    <col min="7" max="9" width="8.625" style="5" bestFit="1" customWidth="1"/>
    <col min="10" max="10" width="1.5" style="5" customWidth="1"/>
    <col min="11" max="13" width="7.875" style="5" hidden="1" customWidth="1" outlineLevel="2"/>
    <col min="14" max="14" width="8.625" style="5" hidden="1" customWidth="1" outlineLevel="2"/>
    <col min="15" max="17" width="7.875" style="5" hidden="1" customWidth="1" outlineLevel="2"/>
    <col min="18" max="18" width="8.625" style="5" hidden="1" customWidth="1" outlineLevel="2"/>
    <col min="19" max="21" width="7.875" style="5" hidden="1" customWidth="1" outlineLevel="2"/>
    <col min="22" max="22" width="8.625" style="5" hidden="1" customWidth="1" outlineLevel="2"/>
    <col min="23" max="25" width="8" style="5" hidden="1" customWidth="1" outlineLevel="2"/>
    <col min="26" max="26" width="8.625" style="5" hidden="1" customWidth="1" outlineLevel="2"/>
    <col min="27" max="29" width="8" style="5" hidden="1" customWidth="1" outlineLevel="1"/>
    <col min="30" max="30" width="8.625" style="5" hidden="1" customWidth="1" outlineLevel="1"/>
    <col min="31" max="31" width="8" style="5" bestFit="1" customWidth="1" collapsed="1"/>
    <col min="32" max="33" width="8" style="5" bestFit="1" customWidth="1"/>
    <col min="34" max="34" width="8.625" style="5" bestFit="1" customWidth="1"/>
    <col min="35" max="37" width="8.25" style="5" bestFit="1" customWidth="1"/>
    <col min="38" max="38" width="8.625" style="5" bestFit="1" customWidth="1"/>
    <col min="39" max="39" width="8.25" style="5" bestFit="1" customWidth="1"/>
    <col min="40" max="40" width="8.625" style="5" bestFit="1" customWidth="1"/>
    <col min="41" max="41" width="1.5" style="5" customWidth="1"/>
    <col min="42" max="42" width="8.625" style="5" bestFit="1" customWidth="1"/>
    <col min="43" max="45" width="8" style="5" hidden="1" customWidth="1" outlineLevel="1"/>
    <col min="46" max="46" width="8.625" style="5" hidden="1" customWidth="1" outlineLevel="1"/>
    <col min="47" max="47" width="8.25" style="5" hidden="1" customWidth="1" outlineLevel="1"/>
    <col min="48" max="48" width="8.25" style="5" bestFit="1" customWidth="1" collapsed="1"/>
    <col min="49" max="49" width="8.25" style="5" hidden="1" customWidth="1" outlineLevel="1"/>
    <col min="50" max="50" width="8.625" style="5" hidden="1" customWidth="1" outlineLevel="1"/>
    <col min="51" max="51" width="8.25" style="5" hidden="1" customWidth="1" outlineLevel="1"/>
    <col min="52" max="52" width="8.625" style="5" bestFit="1" customWidth="1" collapsed="1"/>
    <col min="53" max="53" width="1.25" style="5" customWidth="1"/>
    <col min="54" max="54" width="8" style="5" bestFit="1" customWidth="1"/>
    <col min="55" max="55" width="1.375" style="5" customWidth="1"/>
    <col min="56" max="16384" width="9" style="5"/>
  </cols>
  <sheetData>
    <row r="2" spans="1:54" ht="12.75" customHeight="1">
      <c r="B2" s="1" t="s">
        <v>518</v>
      </c>
      <c r="C2" s="388"/>
      <c r="D2" s="388"/>
      <c r="E2" s="388"/>
      <c r="F2" s="388"/>
      <c r="G2" s="388"/>
      <c r="H2" s="388"/>
      <c r="I2" s="388"/>
      <c r="J2" s="3"/>
      <c r="K2" s="388"/>
      <c r="L2" s="388"/>
      <c r="M2" s="388"/>
      <c r="N2" s="388"/>
      <c r="O2" s="388"/>
      <c r="P2" s="388"/>
      <c r="Q2" s="388"/>
      <c r="R2" s="388"/>
      <c r="S2" s="388"/>
      <c r="T2" s="388"/>
      <c r="U2" s="388"/>
      <c r="V2" s="388"/>
      <c r="W2" s="388"/>
      <c r="X2" s="388"/>
      <c r="Y2" s="388"/>
      <c r="Z2" s="388"/>
      <c r="AA2" s="388"/>
      <c r="AB2" s="388"/>
      <c r="AC2" s="388"/>
      <c r="AD2" s="388"/>
      <c r="AE2" s="388"/>
      <c r="AF2" s="388"/>
      <c r="AG2" s="388"/>
      <c r="AH2" s="388"/>
      <c r="AI2" s="388"/>
      <c r="AJ2" s="388"/>
      <c r="AK2" s="388"/>
      <c r="AL2" s="388"/>
      <c r="AM2" s="388"/>
      <c r="AN2" s="388"/>
      <c r="AO2" s="3"/>
      <c r="AP2" s="388"/>
      <c r="AQ2" s="388"/>
      <c r="AR2" s="388"/>
      <c r="AS2" s="388"/>
      <c r="AT2" s="388"/>
      <c r="AU2" s="388"/>
      <c r="AV2" s="388"/>
      <c r="AW2" s="388"/>
      <c r="AX2" s="388"/>
      <c r="AY2" s="388"/>
      <c r="AZ2" s="388"/>
      <c r="BA2" s="3"/>
      <c r="BB2" s="1"/>
    </row>
    <row r="3" spans="1:54" ht="12.75" customHeight="1">
      <c r="B3" s="6" t="s">
        <v>462</v>
      </c>
      <c r="C3" s="7"/>
      <c r="D3" s="7"/>
      <c r="E3" s="7"/>
      <c r="F3" s="7"/>
      <c r="G3" s="7"/>
      <c r="H3" s="7"/>
      <c r="I3" s="7"/>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3"/>
      <c r="AP3" s="4"/>
      <c r="AQ3" s="4"/>
      <c r="AR3" s="4"/>
      <c r="AS3" s="4"/>
      <c r="AT3" s="4"/>
      <c r="AU3" s="4"/>
      <c r="AV3" s="4"/>
      <c r="AW3" s="4"/>
      <c r="AX3" s="4"/>
      <c r="AY3" s="4"/>
      <c r="AZ3" s="4"/>
      <c r="BA3" s="3"/>
      <c r="BB3" s="1"/>
    </row>
    <row r="4" spans="1:54" ht="12.75" customHeight="1">
      <c r="B4" s="6" t="s">
        <v>452</v>
      </c>
      <c r="C4" s="3"/>
      <c r="D4" s="3"/>
      <c r="E4" s="3"/>
      <c r="F4" s="3"/>
      <c r="G4" s="3"/>
      <c r="H4" s="16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1"/>
    </row>
    <row r="6" spans="1:54" ht="12.75" customHeight="1">
      <c r="A6" s="5" t="s">
        <v>25</v>
      </c>
      <c r="B6" s="1" t="s">
        <v>455</v>
      </c>
      <c r="C6" s="2"/>
      <c r="D6" s="2"/>
      <c r="E6" s="2"/>
      <c r="F6" s="2"/>
      <c r="G6" s="2" t="s">
        <v>0</v>
      </c>
      <c r="H6" s="2"/>
      <c r="I6" s="2"/>
      <c r="J6" s="3"/>
      <c r="K6" s="2" t="s">
        <v>1</v>
      </c>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3"/>
      <c r="AP6" s="2"/>
      <c r="AQ6" s="2"/>
      <c r="AR6" s="2"/>
      <c r="AS6" s="2"/>
      <c r="AT6" s="2"/>
      <c r="AU6" s="2"/>
      <c r="AV6" s="2" t="s">
        <v>10</v>
      </c>
      <c r="AW6" s="2"/>
      <c r="AX6" s="2"/>
      <c r="AY6" s="2"/>
      <c r="AZ6" s="2"/>
      <c r="BA6" s="41"/>
      <c r="BB6" s="554" t="s">
        <v>38</v>
      </c>
    </row>
    <row r="7" spans="1:54" ht="12.75" customHeight="1">
      <c r="B7" s="6" t="s">
        <v>463</v>
      </c>
      <c r="C7" s="7">
        <v>2018</v>
      </c>
      <c r="D7" s="7">
        <v>2019</v>
      </c>
      <c r="E7" s="7">
        <v>2020</v>
      </c>
      <c r="F7" s="7">
        <v>2021</v>
      </c>
      <c r="G7" s="7">
        <v>2022</v>
      </c>
      <c r="H7" s="7">
        <v>2023</v>
      </c>
      <c r="I7" s="7">
        <v>2024</v>
      </c>
      <c r="J7" s="3"/>
      <c r="K7" s="4" t="s">
        <v>526</v>
      </c>
      <c r="L7" s="4" t="s">
        <v>527</v>
      </c>
      <c r="M7" s="4" t="s">
        <v>528</v>
      </c>
      <c r="N7" s="4" t="s">
        <v>529</v>
      </c>
      <c r="O7" s="4" t="s">
        <v>530</v>
      </c>
      <c r="P7" s="4" t="s">
        <v>531</v>
      </c>
      <c r="Q7" s="4" t="s">
        <v>532</v>
      </c>
      <c r="R7" s="4" t="s">
        <v>533</v>
      </c>
      <c r="S7" s="4" t="s">
        <v>534</v>
      </c>
      <c r="T7" s="4" t="s">
        <v>535</v>
      </c>
      <c r="U7" s="4" t="s">
        <v>536</v>
      </c>
      <c r="V7" s="4" t="s">
        <v>537</v>
      </c>
      <c r="W7" s="4" t="s">
        <v>522</v>
      </c>
      <c r="X7" s="4" t="s">
        <v>523</v>
      </c>
      <c r="Y7" s="4" t="s">
        <v>524</v>
      </c>
      <c r="Z7" s="4" t="s">
        <v>525</v>
      </c>
      <c r="AA7" s="4" t="s">
        <v>40</v>
      </c>
      <c r="AB7" s="4" t="s">
        <v>41</v>
      </c>
      <c r="AC7" s="4" t="s">
        <v>42</v>
      </c>
      <c r="AD7" s="4" t="s">
        <v>43</v>
      </c>
      <c r="AE7" s="4" t="s">
        <v>6</v>
      </c>
      <c r="AF7" s="4" t="s">
        <v>7</v>
      </c>
      <c r="AG7" s="4" t="s">
        <v>8</v>
      </c>
      <c r="AH7" s="4" t="s">
        <v>9</v>
      </c>
      <c r="AI7" s="4" t="s">
        <v>2</v>
      </c>
      <c r="AJ7" s="4" t="s">
        <v>3</v>
      </c>
      <c r="AK7" s="4" t="s">
        <v>4</v>
      </c>
      <c r="AL7" s="4" t="s">
        <v>5</v>
      </c>
      <c r="AM7" s="4" t="s">
        <v>44</v>
      </c>
      <c r="AN7" s="4" t="s">
        <v>45</v>
      </c>
      <c r="AO7" s="3"/>
      <c r="AP7" s="4" t="str">
        <f t="shared" ref="AP7:AU8" si="0">AD7</f>
        <v>4Q22</v>
      </c>
      <c r="AQ7" s="4" t="str">
        <f t="shared" si="0"/>
        <v>1Q23</v>
      </c>
      <c r="AR7" s="4" t="str">
        <f t="shared" si="0"/>
        <v>2Q23</v>
      </c>
      <c r="AS7" s="4" t="str">
        <f t="shared" si="0"/>
        <v>3Q23</v>
      </c>
      <c r="AT7" s="4" t="str">
        <f t="shared" si="0"/>
        <v>4Q23</v>
      </c>
      <c r="AU7" s="4" t="str">
        <f t="shared" si="0"/>
        <v>1Q24</v>
      </c>
      <c r="AV7" s="4" t="str">
        <f t="shared" ref="AV7:AY8" si="1">AJ7</f>
        <v>2Q24</v>
      </c>
      <c r="AW7" s="4" t="str">
        <f t="shared" si="1"/>
        <v>3Q24</v>
      </c>
      <c r="AX7" s="4" t="str">
        <f t="shared" si="1"/>
        <v>4Q24</v>
      </c>
      <c r="AY7" s="4" t="str">
        <f t="shared" si="1"/>
        <v>1Q25</v>
      </c>
      <c r="AZ7" s="4" t="str">
        <f>AN7</f>
        <v>2Q25</v>
      </c>
      <c r="BA7" s="41"/>
      <c r="BB7" s="554"/>
    </row>
    <row r="8" spans="1:54" ht="12.75" customHeight="1">
      <c r="B8" s="6" t="s">
        <v>464</v>
      </c>
      <c r="C8" s="3">
        <v>43465</v>
      </c>
      <c r="D8" s="3">
        <v>43830</v>
      </c>
      <c r="E8" s="3">
        <v>44196</v>
      </c>
      <c r="F8" s="3">
        <v>44561</v>
      </c>
      <c r="G8" s="3">
        <v>44926</v>
      </c>
      <c r="H8" s="169">
        <v>45291</v>
      </c>
      <c r="I8" s="3">
        <v>45657</v>
      </c>
      <c r="J8" s="3"/>
      <c r="K8" s="3">
        <v>43190</v>
      </c>
      <c r="L8" s="3">
        <v>43281</v>
      </c>
      <c r="M8" s="3">
        <v>43372</v>
      </c>
      <c r="N8" s="3">
        <v>43465</v>
      </c>
      <c r="O8" s="3">
        <v>43554</v>
      </c>
      <c r="P8" s="3">
        <v>43645</v>
      </c>
      <c r="Q8" s="3">
        <v>43736</v>
      </c>
      <c r="R8" s="3">
        <v>43830</v>
      </c>
      <c r="S8" s="3">
        <v>43918</v>
      </c>
      <c r="T8" s="3">
        <v>44009</v>
      </c>
      <c r="U8" s="3">
        <v>44100</v>
      </c>
      <c r="V8" s="3">
        <v>44196</v>
      </c>
      <c r="W8" s="3">
        <v>44289</v>
      </c>
      <c r="X8" s="3">
        <v>44380</v>
      </c>
      <c r="Y8" s="3">
        <v>44471</v>
      </c>
      <c r="Z8" s="3">
        <v>44561</v>
      </c>
      <c r="AA8" s="3">
        <v>44653</v>
      </c>
      <c r="AB8" s="3">
        <v>44744</v>
      </c>
      <c r="AC8" s="3">
        <v>44835</v>
      </c>
      <c r="AD8" s="3">
        <v>44926</v>
      </c>
      <c r="AE8" s="3">
        <v>45017</v>
      </c>
      <c r="AF8" s="3">
        <v>45108</v>
      </c>
      <c r="AG8" s="3">
        <v>45199</v>
      </c>
      <c r="AH8" s="3">
        <v>45291</v>
      </c>
      <c r="AI8" s="3">
        <v>45381</v>
      </c>
      <c r="AJ8" s="3">
        <v>45472</v>
      </c>
      <c r="AK8" s="3">
        <v>45563</v>
      </c>
      <c r="AL8" s="3">
        <v>45657</v>
      </c>
      <c r="AM8" s="3">
        <v>45745</v>
      </c>
      <c r="AN8" s="3">
        <v>45836</v>
      </c>
      <c r="AO8" s="3"/>
      <c r="AP8" s="3">
        <f t="shared" si="0"/>
        <v>44926</v>
      </c>
      <c r="AQ8" s="3">
        <f t="shared" si="0"/>
        <v>45017</v>
      </c>
      <c r="AR8" s="3">
        <f t="shared" si="0"/>
        <v>45108</v>
      </c>
      <c r="AS8" s="3">
        <f t="shared" si="0"/>
        <v>45199</v>
      </c>
      <c r="AT8" s="3">
        <f t="shared" si="0"/>
        <v>45291</v>
      </c>
      <c r="AU8" s="3">
        <f t="shared" si="0"/>
        <v>45381</v>
      </c>
      <c r="AV8" s="3">
        <f t="shared" si="1"/>
        <v>45472</v>
      </c>
      <c r="AW8" s="3">
        <f t="shared" si="1"/>
        <v>45563</v>
      </c>
      <c r="AX8" s="3">
        <f t="shared" si="1"/>
        <v>45657</v>
      </c>
      <c r="AY8" s="3">
        <f t="shared" si="1"/>
        <v>45745</v>
      </c>
      <c r="AZ8" s="3">
        <f>AN8</f>
        <v>45836</v>
      </c>
      <c r="BA8" s="41"/>
      <c r="BB8" s="554"/>
    </row>
    <row r="9" spans="1:54" ht="5.0999999999999996" customHeight="1">
      <c r="BB9" s="387"/>
    </row>
    <row r="10" spans="1:54" ht="12.75" customHeight="1">
      <c r="B10" s="10" t="s">
        <v>92</v>
      </c>
      <c r="C10" s="342">
        <v>87934</v>
      </c>
      <c r="D10" s="342">
        <v>297897</v>
      </c>
      <c r="E10" s="342">
        <v>406785</v>
      </c>
      <c r="F10" s="342">
        <v>464700</v>
      </c>
      <c r="G10" s="342">
        <v>418933</v>
      </c>
      <c r="H10" s="342">
        <v>343376</v>
      </c>
      <c r="I10" s="342">
        <v>326452</v>
      </c>
      <c r="J10" s="12"/>
      <c r="K10" s="342">
        <v>12776</v>
      </c>
      <c r="L10" s="342">
        <v>17367</v>
      </c>
      <c r="M10" s="342">
        <v>26277</v>
      </c>
      <c r="N10" s="26">
        <f>SUM(C10-SUM(K10:M10))</f>
        <v>31514</v>
      </c>
      <c r="O10" s="342">
        <v>40206</v>
      </c>
      <c r="P10" s="342">
        <v>67251</v>
      </c>
      <c r="Q10" s="342">
        <v>91961</v>
      </c>
      <c r="R10" s="34">
        <f>SUM(D10-SUM(O10:Q10))</f>
        <v>98479</v>
      </c>
      <c r="S10" s="342">
        <v>97074</v>
      </c>
      <c r="T10" s="342">
        <v>113338</v>
      </c>
      <c r="U10" s="342">
        <v>94436</v>
      </c>
      <c r="V10" s="34">
        <f>SUM(E10-SUM(S10:U10))</f>
        <v>101937</v>
      </c>
      <c r="W10" s="342">
        <v>108164</v>
      </c>
      <c r="X10" s="342">
        <v>149426</v>
      </c>
      <c r="Y10" s="342">
        <v>106432</v>
      </c>
      <c r="Z10" s="34">
        <f>SUM(F10-SUM(W10:Y10))</f>
        <v>100678</v>
      </c>
      <c r="AA10" s="342">
        <v>109455</v>
      </c>
      <c r="AB10" s="342">
        <v>147040</v>
      </c>
      <c r="AC10" s="342">
        <v>82500</v>
      </c>
      <c r="AD10" s="34">
        <f>SUM(G10-SUM(AA10:AC10))</f>
        <v>79938</v>
      </c>
      <c r="AE10" s="342">
        <v>92236</v>
      </c>
      <c r="AF10" s="342">
        <v>102149</v>
      </c>
      <c r="AG10" s="342">
        <v>75312</v>
      </c>
      <c r="AH10" s="34">
        <f>SUM(H10-SUM(AE10:AG10))</f>
        <v>73679</v>
      </c>
      <c r="AI10" s="342">
        <v>75603</v>
      </c>
      <c r="AJ10" s="342">
        <v>93185</v>
      </c>
      <c r="AK10" s="342">
        <v>81006</v>
      </c>
      <c r="AL10" s="34">
        <f>SUM(I10-SUM(AI10:AK10))</f>
        <v>76658</v>
      </c>
      <c r="AM10" s="92">
        <v>68731</v>
      </c>
      <c r="AN10" s="92">
        <v>74958</v>
      </c>
      <c r="AP10" s="34">
        <f t="shared" ref="AP10:AY10" si="2">SUM(AA10:AD10)</f>
        <v>418933</v>
      </c>
      <c r="AQ10" s="34">
        <f t="shared" si="2"/>
        <v>401714</v>
      </c>
      <c r="AR10" s="34">
        <f t="shared" si="2"/>
        <v>356823</v>
      </c>
      <c r="AS10" s="34">
        <f t="shared" si="2"/>
        <v>349635</v>
      </c>
      <c r="AT10" s="34">
        <f t="shared" si="2"/>
        <v>343376</v>
      </c>
      <c r="AU10" s="34">
        <f t="shared" si="2"/>
        <v>326743</v>
      </c>
      <c r="AV10" s="34">
        <f t="shared" si="2"/>
        <v>317779</v>
      </c>
      <c r="AW10" s="34">
        <f t="shared" si="2"/>
        <v>323473</v>
      </c>
      <c r="AX10" s="34">
        <f t="shared" si="2"/>
        <v>326452</v>
      </c>
      <c r="AY10" s="34">
        <f t="shared" si="2"/>
        <v>319580</v>
      </c>
      <c r="AZ10" s="34">
        <f>SUM(AK10:AN10)</f>
        <v>301353</v>
      </c>
      <c r="BA10" s="43"/>
      <c r="BB10" s="83">
        <f>SUM(AZ10/AV10)-1</f>
        <v>-5.1690010982475276E-2</v>
      </c>
    </row>
    <row r="11" spans="1:54" ht="12.75" customHeight="1">
      <c r="B11" s="14" t="s">
        <v>13</v>
      </c>
      <c r="C11" s="15">
        <f t="shared" ref="C11:I11" si="3">+SUM(C10:C10)</f>
        <v>87934</v>
      </c>
      <c r="D11" s="15">
        <f t="shared" si="3"/>
        <v>297897</v>
      </c>
      <c r="E11" s="15">
        <f t="shared" si="3"/>
        <v>406785</v>
      </c>
      <c r="F11" s="15">
        <f t="shared" si="3"/>
        <v>464700</v>
      </c>
      <c r="G11" s="15">
        <f t="shared" si="3"/>
        <v>418933</v>
      </c>
      <c r="H11" s="15">
        <f t="shared" si="3"/>
        <v>343376</v>
      </c>
      <c r="I11" s="15">
        <f t="shared" si="3"/>
        <v>326452</v>
      </c>
      <c r="J11" s="12"/>
      <c r="K11" s="15">
        <f t="shared" ref="K11:AN11" si="4">+SUM(K10:K10)</f>
        <v>12776</v>
      </c>
      <c r="L11" s="15">
        <f t="shared" si="4"/>
        <v>17367</v>
      </c>
      <c r="M11" s="15">
        <f t="shared" si="4"/>
        <v>26277</v>
      </c>
      <c r="N11" s="15">
        <f t="shared" si="4"/>
        <v>31514</v>
      </c>
      <c r="O11" s="15">
        <f t="shared" si="4"/>
        <v>40206</v>
      </c>
      <c r="P11" s="15">
        <f t="shared" si="4"/>
        <v>67251</v>
      </c>
      <c r="Q11" s="15">
        <f t="shared" si="4"/>
        <v>91961</v>
      </c>
      <c r="R11" s="15">
        <f t="shared" si="4"/>
        <v>98479</v>
      </c>
      <c r="S11" s="15">
        <f t="shared" si="4"/>
        <v>97074</v>
      </c>
      <c r="T11" s="15">
        <f t="shared" si="4"/>
        <v>113338</v>
      </c>
      <c r="U11" s="15">
        <f t="shared" si="4"/>
        <v>94436</v>
      </c>
      <c r="V11" s="15">
        <f t="shared" si="4"/>
        <v>101937</v>
      </c>
      <c r="W11" s="15">
        <f t="shared" si="4"/>
        <v>108164</v>
      </c>
      <c r="X11" s="15">
        <f t="shared" si="4"/>
        <v>149426</v>
      </c>
      <c r="Y11" s="15">
        <f t="shared" si="4"/>
        <v>106432</v>
      </c>
      <c r="Z11" s="15">
        <f t="shared" si="4"/>
        <v>100678</v>
      </c>
      <c r="AA11" s="15">
        <f t="shared" si="4"/>
        <v>109455</v>
      </c>
      <c r="AB11" s="15">
        <f t="shared" si="4"/>
        <v>147040</v>
      </c>
      <c r="AC11" s="15">
        <f t="shared" si="4"/>
        <v>82500</v>
      </c>
      <c r="AD11" s="15">
        <f t="shared" si="4"/>
        <v>79938</v>
      </c>
      <c r="AE11" s="15">
        <f t="shared" si="4"/>
        <v>92236</v>
      </c>
      <c r="AF11" s="15">
        <f t="shared" si="4"/>
        <v>102149</v>
      </c>
      <c r="AG11" s="15">
        <f t="shared" si="4"/>
        <v>75312</v>
      </c>
      <c r="AH11" s="15">
        <f t="shared" si="4"/>
        <v>73679</v>
      </c>
      <c r="AI11" s="15">
        <f t="shared" si="4"/>
        <v>75603</v>
      </c>
      <c r="AJ11" s="15">
        <f t="shared" si="4"/>
        <v>93185</v>
      </c>
      <c r="AK11" s="15">
        <f t="shared" si="4"/>
        <v>81006</v>
      </c>
      <c r="AL11" s="15">
        <f t="shared" si="4"/>
        <v>76658</v>
      </c>
      <c r="AM11" s="15">
        <f t="shared" si="4"/>
        <v>68731</v>
      </c>
      <c r="AN11" s="15">
        <f t="shared" si="4"/>
        <v>74958</v>
      </c>
      <c r="AP11" s="15">
        <f t="shared" ref="AP11:AZ11" si="5">+SUM(AP10:AP10)</f>
        <v>418933</v>
      </c>
      <c r="AQ11" s="15">
        <f t="shared" si="5"/>
        <v>401714</v>
      </c>
      <c r="AR11" s="15">
        <f t="shared" si="5"/>
        <v>356823</v>
      </c>
      <c r="AS11" s="15">
        <f t="shared" si="5"/>
        <v>349635</v>
      </c>
      <c r="AT11" s="15">
        <f t="shared" si="5"/>
        <v>343376</v>
      </c>
      <c r="AU11" s="15">
        <f t="shared" si="5"/>
        <v>326743</v>
      </c>
      <c r="AV11" s="15">
        <f t="shared" si="5"/>
        <v>317779</v>
      </c>
      <c r="AW11" s="15">
        <f t="shared" si="5"/>
        <v>323473</v>
      </c>
      <c r="AX11" s="15">
        <f t="shared" si="5"/>
        <v>326452</v>
      </c>
      <c r="AY11" s="15">
        <f t="shared" si="5"/>
        <v>319580</v>
      </c>
      <c r="AZ11" s="15">
        <f t="shared" si="5"/>
        <v>301353</v>
      </c>
      <c r="BA11" s="43"/>
      <c r="BB11" s="84">
        <f t="shared" ref="BB11:BB32" si="6">SUM(AZ11/AV11)-1</f>
        <v>-5.1690010982475276E-2</v>
      </c>
    </row>
    <row r="12" spans="1:54" s="22" customFormat="1" ht="5.0999999999999996" customHeight="1">
      <c r="B12" s="20"/>
      <c r="C12" s="21"/>
      <c r="D12" s="21"/>
      <c r="E12" s="21"/>
      <c r="F12" s="21"/>
      <c r="G12" s="21"/>
      <c r="H12" s="21"/>
      <c r="I12" s="21"/>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4"/>
      <c r="AN12" s="23"/>
      <c r="BB12" s="83"/>
    </row>
    <row r="13" spans="1:54" ht="12.75" customHeight="1">
      <c r="B13" s="10" t="s">
        <v>14</v>
      </c>
      <c r="C13" s="92">
        <v>-70360</v>
      </c>
      <c r="D13" s="92">
        <v>-198141</v>
      </c>
      <c r="E13" s="92">
        <v>-284510</v>
      </c>
      <c r="F13" s="92">
        <v>-347419</v>
      </c>
      <c r="G13" s="92">
        <v>-442676</v>
      </c>
      <c r="H13" s="92">
        <v>-426031</v>
      </c>
      <c r="I13" s="92">
        <v>-284753</v>
      </c>
      <c r="J13" s="26"/>
      <c r="K13" s="92">
        <v>-10719</v>
      </c>
      <c r="L13" s="92">
        <v>-14755</v>
      </c>
      <c r="M13" s="92">
        <v>-21235</v>
      </c>
      <c r="N13" s="26">
        <f>SUM(C13-SUM(K13:M13))</f>
        <v>-23651</v>
      </c>
      <c r="O13" s="92">
        <v>-29435</v>
      </c>
      <c r="P13" s="92">
        <v>-44510</v>
      </c>
      <c r="Q13" s="92">
        <v>-59178</v>
      </c>
      <c r="R13" s="34">
        <f>SUM(D13-SUM(O13:Q13))</f>
        <v>-65018</v>
      </c>
      <c r="S13" s="92">
        <v>-59383</v>
      </c>
      <c r="T13" s="92">
        <v>-79687</v>
      </c>
      <c r="U13" s="92">
        <v>-68908</v>
      </c>
      <c r="V13" s="34">
        <f>SUM(E13-SUM(S13:U13))</f>
        <v>-76532</v>
      </c>
      <c r="W13" s="92">
        <v>-75456</v>
      </c>
      <c r="X13" s="92">
        <v>-102074</v>
      </c>
      <c r="Y13" s="92">
        <v>-83456</v>
      </c>
      <c r="Z13" s="34">
        <f>SUM(F13-SUM(W13:Y13))</f>
        <v>-86433</v>
      </c>
      <c r="AA13" s="92">
        <v>-109265</v>
      </c>
      <c r="AB13" s="92">
        <v>-153202</v>
      </c>
      <c r="AC13" s="92">
        <v>-97340</v>
      </c>
      <c r="AD13" s="34">
        <f>SUM(G13-SUM(AA13:AC13))</f>
        <v>-82869</v>
      </c>
      <c r="AE13" s="92">
        <v>-86051</v>
      </c>
      <c r="AF13" s="92">
        <v>-99876</v>
      </c>
      <c r="AG13" s="92">
        <v>-82566</v>
      </c>
      <c r="AH13" s="34">
        <f>SUM(H13-SUM(AE13:AG13))</f>
        <v>-157538</v>
      </c>
      <c r="AI13" s="92">
        <v>-71935</v>
      </c>
      <c r="AJ13" s="92">
        <v>-79468</v>
      </c>
      <c r="AK13" s="92">
        <v>-66698</v>
      </c>
      <c r="AL13" s="34">
        <f>SUM(I13-SUM(AI13:AK13))</f>
        <v>-66652</v>
      </c>
      <c r="AM13" s="92">
        <v>-69796</v>
      </c>
      <c r="AN13" s="92">
        <v>-66367</v>
      </c>
      <c r="AP13" s="34">
        <f t="shared" ref="AP13:AZ13" si="7">SUM(AA13:AD13)</f>
        <v>-442676</v>
      </c>
      <c r="AQ13" s="34">
        <f t="shared" si="7"/>
        <v>-419462</v>
      </c>
      <c r="AR13" s="34">
        <f t="shared" si="7"/>
        <v>-366136</v>
      </c>
      <c r="AS13" s="34">
        <f t="shared" si="7"/>
        <v>-351362</v>
      </c>
      <c r="AT13" s="34">
        <f t="shared" si="7"/>
        <v>-426031</v>
      </c>
      <c r="AU13" s="34">
        <f t="shared" si="7"/>
        <v>-411915</v>
      </c>
      <c r="AV13" s="34">
        <f t="shared" si="7"/>
        <v>-391507</v>
      </c>
      <c r="AW13" s="34">
        <f t="shared" si="7"/>
        <v>-375639</v>
      </c>
      <c r="AX13" s="34">
        <f t="shared" si="7"/>
        <v>-284753</v>
      </c>
      <c r="AY13" s="34">
        <f t="shared" si="7"/>
        <v>-282614</v>
      </c>
      <c r="AZ13" s="34">
        <f t="shared" si="7"/>
        <v>-269513</v>
      </c>
      <c r="BA13" s="12"/>
      <c r="BB13" s="83">
        <f t="shared" si="6"/>
        <v>-0.31160106971267432</v>
      </c>
    </row>
    <row r="14" spans="1:54" ht="12.75" customHeight="1">
      <c r="B14" s="27" t="s">
        <v>31</v>
      </c>
      <c r="C14" s="28">
        <f t="shared" ref="C14:I14" si="8">+SUM(C11+SUM(C13:C13))</f>
        <v>17574</v>
      </c>
      <c r="D14" s="28">
        <f t="shared" si="8"/>
        <v>99756</v>
      </c>
      <c r="E14" s="28">
        <f t="shared" si="8"/>
        <v>122275</v>
      </c>
      <c r="F14" s="28">
        <f t="shared" si="8"/>
        <v>117281</v>
      </c>
      <c r="G14" s="28">
        <f t="shared" si="8"/>
        <v>-23743</v>
      </c>
      <c r="H14" s="28">
        <f t="shared" si="8"/>
        <v>-82655</v>
      </c>
      <c r="I14" s="28">
        <f t="shared" si="8"/>
        <v>41699</v>
      </c>
      <c r="K14" s="28">
        <f t="shared" ref="K14:AJ14" si="9">+SUM(K11+SUM(K13:K13))</f>
        <v>2057</v>
      </c>
      <c r="L14" s="28">
        <f t="shared" si="9"/>
        <v>2612</v>
      </c>
      <c r="M14" s="28">
        <f t="shared" si="9"/>
        <v>5042</v>
      </c>
      <c r="N14" s="28">
        <f t="shared" si="9"/>
        <v>7863</v>
      </c>
      <c r="O14" s="28">
        <f t="shared" si="9"/>
        <v>10771</v>
      </c>
      <c r="P14" s="28">
        <f t="shared" si="9"/>
        <v>22741</v>
      </c>
      <c r="Q14" s="28">
        <f t="shared" si="9"/>
        <v>32783</v>
      </c>
      <c r="R14" s="28">
        <f t="shared" si="9"/>
        <v>33461</v>
      </c>
      <c r="S14" s="28">
        <f t="shared" si="9"/>
        <v>37691</v>
      </c>
      <c r="T14" s="28">
        <f t="shared" si="9"/>
        <v>33651</v>
      </c>
      <c r="U14" s="28">
        <f t="shared" si="9"/>
        <v>25528</v>
      </c>
      <c r="V14" s="28">
        <f t="shared" si="9"/>
        <v>25405</v>
      </c>
      <c r="W14" s="28">
        <f t="shared" si="9"/>
        <v>32708</v>
      </c>
      <c r="X14" s="28">
        <f t="shared" si="9"/>
        <v>47352</v>
      </c>
      <c r="Y14" s="28">
        <f t="shared" si="9"/>
        <v>22976</v>
      </c>
      <c r="Z14" s="28">
        <f t="shared" si="9"/>
        <v>14245</v>
      </c>
      <c r="AA14" s="28">
        <f t="shared" si="9"/>
        <v>190</v>
      </c>
      <c r="AB14" s="28">
        <f t="shared" si="9"/>
        <v>-6162</v>
      </c>
      <c r="AC14" s="28">
        <f t="shared" si="9"/>
        <v>-14840</v>
      </c>
      <c r="AD14" s="28">
        <f t="shared" si="9"/>
        <v>-2931</v>
      </c>
      <c r="AE14" s="28">
        <f t="shared" si="9"/>
        <v>6185</v>
      </c>
      <c r="AF14" s="28">
        <f t="shared" si="9"/>
        <v>2273</v>
      </c>
      <c r="AG14" s="28">
        <f t="shared" si="9"/>
        <v>-7254</v>
      </c>
      <c r="AH14" s="28">
        <f t="shared" si="9"/>
        <v>-83859</v>
      </c>
      <c r="AI14" s="28">
        <f t="shared" si="9"/>
        <v>3668</v>
      </c>
      <c r="AJ14" s="28">
        <f t="shared" si="9"/>
        <v>13717</v>
      </c>
      <c r="AK14" s="28">
        <f>+SUM(AK11+SUM(AK13:AK13))</f>
        <v>14308</v>
      </c>
      <c r="AL14" s="28">
        <f>+SUM(AL11+SUM(AL13:AL13))</f>
        <v>10006</v>
      </c>
      <c r="AM14" s="28">
        <f>+SUM(AM11+SUM(AM13:AM13))</f>
        <v>-1065</v>
      </c>
      <c r="AN14" s="28">
        <f>+SUM(AN11+SUM(AN13:AN13))</f>
        <v>8591</v>
      </c>
      <c r="AP14" s="28">
        <f t="shared" ref="AP14:AZ14" si="10">+SUM(AP11+SUM(AP13:AP13))</f>
        <v>-23743</v>
      </c>
      <c r="AQ14" s="28">
        <f t="shared" si="10"/>
        <v>-17748</v>
      </c>
      <c r="AR14" s="28">
        <f t="shared" si="10"/>
        <v>-9313</v>
      </c>
      <c r="AS14" s="28">
        <f t="shared" si="10"/>
        <v>-1727</v>
      </c>
      <c r="AT14" s="28">
        <f t="shared" si="10"/>
        <v>-82655</v>
      </c>
      <c r="AU14" s="28">
        <f t="shared" si="10"/>
        <v>-85172</v>
      </c>
      <c r="AV14" s="28">
        <f t="shared" si="10"/>
        <v>-73728</v>
      </c>
      <c r="AW14" s="28">
        <f t="shared" si="10"/>
        <v>-52166</v>
      </c>
      <c r="AX14" s="28">
        <f t="shared" si="10"/>
        <v>41699</v>
      </c>
      <c r="AY14" s="28">
        <f t="shared" si="10"/>
        <v>36966</v>
      </c>
      <c r="AZ14" s="28">
        <f t="shared" si="10"/>
        <v>31840</v>
      </c>
      <c r="BA14" s="45"/>
      <c r="BB14" s="84">
        <f t="shared" si="6"/>
        <v>-1.4318576388888888</v>
      </c>
    </row>
    <row r="15" spans="1:54" ht="12.75" customHeight="1">
      <c r="B15" s="17" t="s">
        <v>50</v>
      </c>
      <c r="C15" s="19">
        <f t="shared" ref="C15:I15" si="11">C14/C11</f>
        <v>0.19985443628175678</v>
      </c>
      <c r="D15" s="19">
        <f t="shared" si="11"/>
        <v>0.33486742061853592</v>
      </c>
      <c r="E15" s="19">
        <f t="shared" si="11"/>
        <v>0.30058876310581756</v>
      </c>
      <c r="F15" s="19">
        <f t="shared" si="11"/>
        <v>0.25238003012696364</v>
      </c>
      <c r="G15" s="19">
        <f t="shared" si="11"/>
        <v>-5.6674933700615611E-2</v>
      </c>
      <c r="H15" s="19">
        <f t="shared" si="11"/>
        <v>-0.24071280462233818</v>
      </c>
      <c r="I15" s="19">
        <f t="shared" si="11"/>
        <v>0.1277339394459216</v>
      </c>
      <c r="J15" s="29"/>
      <c r="K15" s="19">
        <f t="shared" ref="K15:AJ15" si="12">K14/K11</f>
        <v>0.16100500939261114</v>
      </c>
      <c r="L15" s="19">
        <f t="shared" si="12"/>
        <v>0.15040018425749985</v>
      </c>
      <c r="M15" s="19">
        <f t="shared" si="12"/>
        <v>0.19187882939452752</v>
      </c>
      <c r="N15" s="19">
        <f t="shared" si="12"/>
        <v>0.24950815510566732</v>
      </c>
      <c r="O15" s="19">
        <f t="shared" si="12"/>
        <v>0.26789533900412876</v>
      </c>
      <c r="P15" s="19">
        <f t="shared" si="12"/>
        <v>0.33815110555976863</v>
      </c>
      <c r="Q15" s="19">
        <f t="shared" si="12"/>
        <v>0.35648807646719805</v>
      </c>
      <c r="R15" s="19">
        <f t="shared" si="12"/>
        <v>0.33977802374110216</v>
      </c>
      <c r="S15" s="19">
        <f t="shared" si="12"/>
        <v>0.38827080371675216</v>
      </c>
      <c r="T15" s="19">
        <f t="shared" si="12"/>
        <v>0.29690836259683423</v>
      </c>
      <c r="U15" s="19">
        <f t="shared" si="12"/>
        <v>0.27032064043373288</v>
      </c>
      <c r="V15" s="19">
        <f t="shared" si="12"/>
        <v>0.24922255903155871</v>
      </c>
      <c r="W15" s="19">
        <f t="shared" si="12"/>
        <v>0.30239266299323247</v>
      </c>
      <c r="X15" s="19">
        <f t="shared" si="12"/>
        <v>0.31689264251201266</v>
      </c>
      <c r="Y15" s="19">
        <f t="shared" si="12"/>
        <v>0.21587492483463619</v>
      </c>
      <c r="Z15" s="19">
        <f t="shared" si="12"/>
        <v>0.14149069310077672</v>
      </c>
      <c r="AA15" s="19">
        <f t="shared" si="12"/>
        <v>1.7358731898953908E-3</v>
      </c>
      <c r="AB15" s="19">
        <f t="shared" si="12"/>
        <v>-4.1906964091403702E-2</v>
      </c>
      <c r="AC15" s="19">
        <f t="shared" si="12"/>
        <v>-0.17987878787878789</v>
      </c>
      <c r="AD15" s="19">
        <f t="shared" si="12"/>
        <v>-3.6665916084965847E-2</v>
      </c>
      <c r="AE15" s="19">
        <f t="shared" si="12"/>
        <v>6.7056247018517715E-2</v>
      </c>
      <c r="AF15" s="19">
        <f t="shared" si="12"/>
        <v>2.2251808632487838E-2</v>
      </c>
      <c r="AG15" s="19">
        <f t="shared" si="12"/>
        <v>-9.6319311663479928E-2</v>
      </c>
      <c r="AH15" s="19">
        <f t="shared" si="12"/>
        <v>-1.1381669132317214</v>
      </c>
      <c r="AI15" s="19">
        <f t="shared" si="12"/>
        <v>4.8516593256881339E-2</v>
      </c>
      <c r="AJ15" s="19">
        <f t="shared" si="12"/>
        <v>0.14720180286526802</v>
      </c>
      <c r="AK15" s="19">
        <f>AK14/AK11</f>
        <v>0.17662889168703552</v>
      </c>
      <c r="AL15" s="19">
        <f>AL14/AL11</f>
        <v>0.13052779879464635</v>
      </c>
      <c r="AM15" s="19">
        <f>AM14/AM11</f>
        <v>-1.5495191398350089E-2</v>
      </c>
      <c r="AN15" s="19">
        <f>AN14/AN11</f>
        <v>0.11461084874196216</v>
      </c>
      <c r="AO15" s="30"/>
      <c r="AP15" s="19">
        <f t="shared" ref="AP15:AZ15" si="13">AP14/AP11</f>
        <v>-5.6674933700615611E-2</v>
      </c>
      <c r="AQ15" s="19">
        <f t="shared" si="13"/>
        <v>-4.418068576151192E-2</v>
      </c>
      <c r="AR15" s="19">
        <f t="shared" si="13"/>
        <v>-2.6099774958452792E-2</v>
      </c>
      <c r="AS15" s="19">
        <f t="shared" si="13"/>
        <v>-4.9394368412773318E-3</v>
      </c>
      <c r="AT15" s="19">
        <f t="shared" si="13"/>
        <v>-0.24071280462233818</v>
      </c>
      <c r="AU15" s="19">
        <f t="shared" si="13"/>
        <v>-0.26066970065158246</v>
      </c>
      <c r="AV15" s="19">
        <f t="shared" si="13"/>
        <v>-0.23201029646389473</v>
      </c>
      <c r="AW15" s="19">
        <f t="shared" si="13"/>
        <v>-0.16126848299548957</v>
      </c>
      <c r="AX15" s="19">
        <f t="shared" si="13"/>
        <v>0.1277339394459216</v>
      </c>
      <c r="AY15" s="19">
        <f t="shared" si="13"/>
        <v>0.11567056762000125</v>
      </c>
      <c r="AZ15" s="19">
        <f t="shared" si="13"/>
        <v>0.10565682107030626</v>
      </c>
      <c r="BA15" s="45"/>
      <c r="BB15" s="85">
        <f>SUM(AZ15-AV15)*1000</f>
        <v>337.667117534201</v>
      </c>
    </row>
    <row r="16" spans="1:54" ht="5.0999999999999996" customHeight="1">
      <c r="B16" s="31"/>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P16" s="32"/>
      <c r="AQ16" s="32"/>
      <c r="AR16" s="32"/>
      <c r="AS16" s="32"/>
      <c r="AT16" s="32"/>
      <c r="AU16" s="32"/>
      <c r="AV16" s="32"/>
      <c r="AW16" s="32"/>
      <c r="AX16" s="32"/>
      <c r="AY16" s="32"/>
      <c r="AZ16" s="32"/>
      <c r="BA16" s="45"/>
      <c r="BB16" s="83"/>
    </row>
    <row r="17" spans="2:54" ht="12.75" customHeight="1">
      <c r="B17" s="10" t="s">
        <v>280</v>
      </c>
      <c r="C17" s="92">
        <v>-34461</v>
      </c>
      <c r="D17" s="92">
        <v>-74726</v>
      </c>
      <c r="E17" s="92">
        <v>-133655</v>
      </c>
      <c r="F17" s="92">
        <v>-209474</v>
      </c>
      <c r="G17" s="92">
        <v>-239505</v>
      </c>
      <c r="H17" s="92">
        <v>-220344</v>
      </c>
      <c r="I17" s="92">
        <v>-169674</v>
      </c>
      <c r="J17" s="34"/>
      <c r="K17" s="92">
        <v>-5737</v>
      </c>
      <c r="L17" s="92">
        <v>-7043</v>
      </c>
      <c r="M17" s="92">
        <v>-10353</v>
      </c>
      <c r="N17" s="26">
        <f>SUM(C17-SUM(K17:M17))</f>
        <v>-11328</v>
      </c>
      <c r="O17" s="92">
        <v>-11177</v>
      </c>
      <c r="P17" s="92">
        <v>-15515</v>
      </c>
      <c r="Q17" s="92">
        <v>-20944</v>
      </c>
      <c r="R17" s="34">
        <f>SUM(D17-SUM(O17:Q17))</f>
        <v>-27090</v>
      </c>
      <c r="S17" s="92">
        <v>-27315</v>
      </c>
      <c r="T17" s="92">
        <v>-34292</v>
      </c>
      <c r="U17" s="92">
        <v>-33560</v>
      </c>
      <c r="V17" s="34">
        <f>SUM(E17-SUM(S17:U17))</f>
        <v>-38488</v>
      </c>
      <c r="W17" s="92">
        <v>-38954</v>
      </c>
      <c r="X17" s="92">
        <v>-48286</v>
      </c>
      <c r="Y17" s="92">
        <v>-56362</v>
      </c>
      <c r="Z17" s="34">
        <f>SUM(F17-SUM(W17:Y17))</f>
        <v>-65872</v>
      </c>
      <c r="AA17" s="92">
        <v>-75114</v>
      </c>
      <c r="AB17" s="92">
        <v>-63015</v>
      </c>
      <c r="AC17" s="92">
        <v>-54495</v>
      </c>
      <c r="AD17" s="34">
        <f>SUM(G17-SUM(AA17:AC17))</f>
        <v>-46881</v>
      </c>
      <c r="AE17" s="92">
        <v>-51900</v>
      </c>
      <c r="AF17" s="92">
        <v>-47455</v>
      </c>
      <c r="AG17" s="92">
        <v>-53252</v>
      </c>
      <c r="AH17" s="34">
        <f>SUM(H17-SUM(AE17:AG17))</f>
        <v>-67737</v>
      </c>
      <c r="AI17" s="92">
        <v>-47282</v>
      </c>
      <c r="AJ17" s="92">
        <v>-42163</v>
      </c>
      <c r="AK17" s="92">
        <v>-39084</v>
      </c>
      <c r="AL17" s="34">
        <f>SUM(I17-SUM(AI17:AK17))</f>
        <v>-41145</v>
      </c>
      <c r="AM17" s="92">
        <v>-47672</v>
      </c>
      <c r="AN17" s="92">
        <v>-37696</v>
      </c>
      <c r="AP17" s="34">
        <f t="shared" ref="AP17:AZ18" si="14">SUM(AA17:AD17)</f>
        <v>-239505</v>
      </c>
      <c r="AQ17" s="34">
        <f t="shared" si="14"/>
        <v>-216291</v>
      </c>
      <c r="AR17" s="34">
        <f t="shared" si="14"/>
        <v>-200731</v>
      </c>
      <c r="AS17" s="34">
        <f t="shared" si="14"/>
        <v>-199488</v>
      </c>
      <c r="AT17" s="34">
        <f t="shared" si="14"/>
        <v>-220344</v>
      </c>
      <c r="AU17" s="34">
        <f t="shared" si="14"/>
        <v>-215726</v>
      </c>
      <c r="AV17" s="34">
        <f t="shared" si="14"/>
        <v>-210434</v>
      </c>
      <c r="AW17" s="34">
        <f t="shared" si="14"/>
        <v>-196266</v>
      </c>
      <c r="AX17" s="34">
        <f t="shared" si="14"/>
        <v>-169674</v>
      </c>
      <c r="AY17" s="34">
        <f t="shared" si="14"/>
        <v>-170064</v>
      </c>
      <c r="AZ17" s="34">
        <f t="shared" si="14"/>
        <v>-165597</v>
      </c>
      <c r="BA17" s="12"/>
      <c r="BB17" s="83">
        <f t="shared" si="6"/>
        <v>-0.21306918083579651</v>
      </c>
    </row>
    <row r="18" spans="2:54" ht="12.75" customHeight="1">
      <c r="B18" s="10" t="s">
        <v>511</v>
      </c>
      <c r="C18" s="92">
        <v>-9587</v>
      </c>
      <c r="D18" s="92">
        <v>-20650</v>
      </c>
      <c r="E18" s="92">
        <v>-31535</v>
      </c>
      <c r="F18" s="92">
        <v>-66946</v>
      </c>
      <c r="G18" s="92">
        <v>-62264</v>
      </c>
      <c r="H18" s="92">
        <v>-39530</v>
      </c>
      <c r="I18" s="92">
        <v>-28149</v>
      </c>
      <c r="J18" s="34"/>
      <c r="K18" s="92">
        <v>-1605</v>
      </c>
      <c r="L18" s="92">
        <v>-2497</v>
      </c>
      <c r="M18" s="92">
        <v>-2165</v>
      </c>
      <c r="N18" s="26">
        <f>SUM(C18-SUM(K18:M18))</f>
        <v>-3320</v>
      </c>
      <c r="O18" s="92">
        <v>-4498</v>
      </c>
      <c r="P18" s="92">
        <v>-4212</v>
      </c>
      <c r="Q18" s="92">
        <v>-5951</v>
      </c>
      <c r="R18" s="34">
        <f>SUM(D18-SUM(O18:Q18))</f>
        <v>-5989</v>
      </c>
      <c r="S18" s="92">
        <v>-6194</v>
      </c>
      <c r="T18" s="92">
        <v>-6016</v>
      </c>
      <c r="U18" s="92">
        <v>-8278</v>
      </c>
      <c r="V18" s="34">
        <f>SUM(E18-SUM(S18:U18))</f>
        <v>-11047</v>
      </c>
      <c r="W18" s="92">
        <v>-15925</v>
      </c>
      <c r="X18" s="92">
        <v>-13823</v>
      </c>
      <c r="Y18" s="92">
        <v>-14862</v>
      </c>
      <c r="Z18" s="34">
        <f>SUM(F18-SUM(W18:Y18))</f>
        <v>-22336</v>
      </c>
      <c r="AA18" s="92">
        <v>-19678</v>
      </c>
      <c r="AB18" s="92">
        <v>-16202</v>
      </c>
      <c r="AC18" s="92">
        <v>-13413</v>
      </c>
      <c r="AD18" s="34">
        <f>SUM(G18-SUM(AA18:AC18))</f>
        <v>-12971</v>
      </c>
      <c r="AE18" s="92">
        <v>-12432</v>
      </c>
      <c r="AF18" s="92">
        <v>-8773</v>
      </c>
      <c r="AG18" s="92">
        <v>-9118</v>
      </c>
      <c r="AH18" s="34">
        <f>SUM(H18-SUM(AE18:AG18))</f>
        <v>-9207</v>
      </c>
      <c r="AI18" s="92">
        <v>-9860</v>
      </c>
      <c r="AJ18" s="92">
        <v>-5485</v>
      </c>
      <c r="AK18" s="92">
        <v>-6133</v>
      </c>
      <c r="AL18" s="34">
        <f>SUM(I18-SUM(AI18:AK18))</f>
        <v>-6671</v>
      </c>
      <c r="AM18" s="92">
        <v>-7462</v>
      </c>
      <c r="AN18" s="92">
        <v>-5807</v>
      </c>
      <c r="AP18" s="34">
        <f t="shared" si="14"/>
        <v>-62264</v>
      </c>
      <c r="AQ18" s="34">
        <f t="shared" si="14"/>
        <v>-55018</v>
      </c>
      <c r="AR18" s="34">
        <f t="shared" si="14"/>
        <v>-47589</v>
      </c>
      <c r="AS18" s="34">
        <f t="shared" si="14"/>
        <v>-43294</v>
      </c>
      <c r="AT18" s="34">
        <f t="shared" si="14"/>
        <v>-39530</v>
      </c>
      <c r="AU18" s="34">
        <f t="shared" si="14"/>
        <v>-36958</v>
      </c>
      <c r="AV18" s="34">
        <f t="shared" si="14"/>
        <v>-33670</v>
      </c>
      <c r="AW18" s="34">
        <f t="shared" si="14"/>
        <v>-30685</v>
      </c>
      <c r="AX18" s="34">
        <f t="shared" si="14"/>
        <v>-28149</v>
      </c>
      <c r="AY18" s="34">
        <f t="shared" si="14"/>
        <v>-25751</v>
      </c>
      <c r="AZ18" s="34">
        <f t="shared" si="14"/>
        <v>-26073</v>
      </c>
      <c r="BA18" s="12"/>
      <c r="BB18" s="83">
        <f t="shared" si="6"/>
        <v>-0.22563112563112564</v>
      </c>
    </row>
    <row r="19" spans="2:54" ht="12.75" customHeight="1">
      <c r="B19" s="27" t="s">
        <v>519</v>
      </c>
      <c r="C19" s="28">
        <f t="shared" ref="C19:I19" si="15">+SUM(C14+SUM(C17:C18))</f>
        <v>-26474</v>
      </c>
      <c r="D19" s="28">
        <f t="shared" si="15"/>
        <v>4380</v>
      </c>
      <c r="E19" s="28">
        <f t="shared" si="15"/>
        <v>-42915</v>
      </c>
      <c r="F19" s="28">
        <f t="shared" si="15"/>
        <v>-159139</v>
      </c>
      <c r="G19" s="28">
        <f t="shared" si="15"/>
        <v>-325512</v>
      </c>
      <c r="H19" s="28">
        <f t="shared" si="15"/>
        <v>-342529</v>
      </c>
      <c r="I19" s="28">
        <f t="shared" si="15"/>
        <v>-156124</v>
      </c>
      <c r="J19" s="34"/>
      <c r="K19" s="28">
        <f t="shared" ref="K19:AN19" si="16">+SUM(K14+SUM(K17:K18))</f>
        <v>-5285</v>
      </c>
      <c r="L19" s="28">
        <f t="shared" si="16"/>
        <v>-6928</v>
      </c>
      <c r="M19" s="28">
        <f t="shared" si="16"/>
        <v>-7476</v>
      </c>
      <c r="N19" s="28">
        <f t="shared" si="16"/>
        <v>-6785</v>
      </c>
      <c r="O19" s="28">
        <f t="shared" si="16"/>
        <v>-4904</v>
      </c>
      <c r="P19" s="28">
        <f t="shared" si="16"/>
        <v>3014</v>
      </c>
      <c r="Q19" s="28">
        <f t="shared" si="16"/>
        <v>5888</v>
      </c>
      <c r="R19" s="28">
        <f t="shared" si="16"/>
        <v>382</v>
      </c>
      <c r="S19" s="28">
        <f t="shared" si="16"/>
        <v>4182</v>
      </c>
      <c r="T19" s="28">
        <f t="shared" si="16"/>
        <v>-6657</v>
      </c>
      <c r="U19" s="28">
        <f t="shared" si="16"/>
        <v>-16310</v>
      </c>
      <c r="V19" s="28">
        <f t="shared" si="16"/>
        <v>-24130</v>
      </c>
      <c r="W19" s="28">
        <f t="shared" si="16"/>
        <v>-22171</v>
      </c>
      <c r="X19" s="28">
        <f t="shared" si="16"/>
        <v>-14757</v>
      </c>
      <c r="Y19" s="28">
        <f t="shared" si="16"/>
        <v>-48248</v>
      </c>
      <c r="Z19" s="28">
        <f t="shared" si="16"/>
        <v>-73963</v>
      </c>
      <c r="AA19" s="28">
        <f t="shared" si="16"/>
        <v>-94602</v>
      </c>
      <c r="AB19" s="28">
        <f t="shared" si="16"/>
        <v>-85379</v>
      </c>
      <c r="AC19" s="28">
        <f t="shared" si="16"/>
        <v>-82748</v>
      </c>
      <c r="AD19" s="28">
        <f t="shared" si="16"/>
        <v>-62783</v>
      </c>
      <c r="AE19" s="28">
        <f t="shared" si="16"/>
        <v>-58147</v>
      </c>
      <c r="AF19" s="28">
        <f t="shared" si="16"/>
        <v>-53955</v>
      </c>
      <c r="AG19" s="28">
        <f t="shared" si="16"/>
        <v>-69624</v>
      </c>
      <c r="AH19" s="28">
        <f t="shared" si="16"/>
        <v>-160803</v>
      </c>
      <c r="AI19" s="28">
        <f t="shared" si="16"/>
        <v>-53474</v>
      </c>
      <c r="AJ19" s="28">
        <f t="shared" si="16"/>
        <v>-33931</v>
      </c>
      <c r="AK19" s="28">
        <f t="shared" si="16"/>
        <v>-30909</v>
      </c>
      <c r="AL19" s="28">
        <f t="shared" si="16"/>
        <v>-37810</v>
      </c>
      <c r="AM19" s="28">
        <f t="shared" si="16"/>
        <v>-56199</v>
      </c>
      <c r="AN19" s="28">
        <f t="shared" si="16"/>
        <v>-34912</v>
      </c>
      <c r="AP19" s="28">
        <f t="shared" ref="AP19:AZ19" si="17">+SUM(AP14+SUM(AP17:AP18))</f>
        <v>-325512</v>
      </c>
      <c r="AQ19" s="28">
        <f t="shared" si="17"/>
        <v>-289057</v>
      </c>
      <c r="AR19" s="28">
        <f t="shared" si="17"/>
        <v>-257633</v>
      </c>
      <c r="AS19" s="28">
        <f t="shared" si="17"/>
        <v>-244509</v>
      </c>
      <c r="AT19" s="28">
        <f t="shared" si="17"/>
        <v>-342529</v>
      </c>
      <c r="AU19" s="28">
        <f t="shared" si="17"/>
        <v>-337856</v>
      </c>
      <c r="AV19" s="28">
        <f t="shared" si="17"/>
        <v>-317832</v>
      </c>
      <c r="AW19" s="28">
        <f t="shared" si="17"/>
        <v>-279117</v>
      </c>
      <c r="AX19" s="28">
        <f t="shared" si="17"/>
        <v>-156124</v>
      </c>
      <c r="AY19" s="28">
        <f t="shared" si="17"/>
        <v>-158849</v>
      </c>
      <c r="AZ19" s="28">
        <f t="shared" si="17"/>
        <v>-159830</v>
      </c>
      <c r="BA19" s="12"/>
      <c r="BB19" s="83">
        <f t="shared" si="6"/>
        <v>-0.4971242669083038</v>
      </c>
    </row>
    <row r="20" spans="2:54" ht="12.75" customHeight="1">
      <c r="B20" s="17" t="s">
        <v>52</v>
      </c>
      <c r="C20" s="19">
        <f t="shared" ref="C20:I20" si="18">C19/C11</f>
        <v>-0.30106670912275113</v>
      </c>
      <c r="D20" s="19">
        <f t="shared" si="18"/>
        <v>1.4703068510256901E-2</v>
      </c>
      <c r="E20" s="19">
        <f t="shared" si="18"/>
        <v>-0.1054979903388768</v>
      </c>
      <c r="F20" s="19">
        <f t="shared" si="18"/>
        <v>-0.34245534753604479</v>
      </c>
      <c r="G20" s="19">
        <f t="shared" si="18"/>
        <v>-0.77700252785051549</v>
      </c>
      <c r="H20" s="19">
        <f t="shared" si="18"/>
        <v>-0.99753331624807795</v>
      </c>
      <c r="I20" s="19">
        <f t="shared" si="18"/>
        <v>-0.47824488745665517</v>
      </c>
      <c r="J20" s="34"/>
      <c r="K20" s="19">
        <f t="shared" ref="K20:AN20" si="19">K19/K11</f>
        <v>-0.4136662492172824</v>
      </c>
      <c r="L20" s="19">
        <f t="shared" si="19"/>
        <v>-0.39891748718834569</v>
      </c>
      <c r="M20" s="19">
        <f t="shared" si="19"/>
        <v>-0.28450736385432129</v>
      </c>
      <c r="N20" s="19">
        <f t="shared" si="19"/>
        <v>-0.21530113600304626</v>
      </c>
      <c r="O20" s="19">
        <f t="shared" si="19"/>
        <v>-0.12197184499825897</v>
      </c>
      <c r="P20" s="19">
        <f t="shared" si="19"/>
        <v>4.4817177439740674E-2</v>
      </c>
      <c r="Q20" s="19">
        <f t="shared" si="19"/>
        <v>6.4027141940605256E-2</v>
      </c>
      <c r="R20" s="19">
        <f t="shared" si="19"/>
        <v>3.878999583667584E-3</v>
      </c>
      <c r="S20" s="19">
        <f t="shared" si="19"/>
        <v>4.3080536497929416E-2</v>
      </c>
      <c r="T20" s="19">
        <f t="shared" si="19"/>
        <v>-5.873581676048633E-2</v>
      </c>
      <c r="U20" s="19">
        <f t="shared" si="19"/>
        <v>-0.17270955991359227</v>
      </c>
      <c r="V20" s="19">
        <f t="shared" si="19"/>
        <v>-0.23671483367177767</v>
      </c>
      <c r="W20" s="19">
        <f t="shared" si="19"/>
        <v>-0.2049757775230206</v>
      </c>
      <c r="X20" s="19">
        <f t="shared" si="19"/>
        <v>-9.8757913616104295E-2</v>
      </c>
      <c r="Y20" s="19">
        <f t="shared" si="19"/>
        <v>-0.45332230907997595</v>
      </c>
      <c r="Z20" s="19">
        <f t="shared" si="19"/>
        <v>-0.73464907924273426</v>
      </c>
      <c r="AA20" s="19">
        <f t="shared" si="19"/>
        <v>-0.86430039742359877</v>
      </c>
      <c r="AB20" s="19">
        <f t="shared" si="19"/>
        <v>-0.5806515233949946</v>
      </c>
      <c r="AC20" s="19">
        <f t="shared" si="19"/>
        <v>-1.0030060606060607</v>
      </c>
      <c r="AD20" s="19">
        <f t="shared" si="19"/>
        <v>-0.78539618204108186</v>
      </c>
      <c r="AE20" s="19">
        <f t="shared" si="19"/>
        <v>-0.63041545600416327</v>
      </c>
      <c r="AF20" s="19">
        <f t="shared" si="19"/>
        <v>-0.52819900341657777</v>
      </c>
      <c r="AG20" s="19">
        <f t="shared" si="19"/>
        <v>-0.92447418738049714</v>
      </c>
      <c r="AH20" s="19">
        <f t="shared" si="19"/>
        <v>-2.1824807611395376</v>
      </c>
      <c r="AI20" s="19">
        <f t="shared" si="19"/>
        <v>-0.70729997486872209</v>
      </c>
      <c r="AJ20" s="19">
        <f t="shared" si="19"/>
        <v>-0.36412512743467296</v>
      </c>
      <c r="AK20" s="19">
        <f t="shared" si="19"/>
        <v>-0.38156432856825423</v>
      </c>
      <c r="AL20" s="19">
        <f t="shared" si="19"/>
        <v>-0.4932296694408933</v>
      </c>
      <c r="AM20" s="19">
        <f t="shared" si="19"/>
        <v>-0.81766597314166822</v>
      </c>
      <c r="AN20" s="19">
        <f t="shared" si="19"/>
        <v>-0.46575415566050321</v>
      </c>
      <c r="AP20" s="19">
        <f t="shared" ref="AP20:AZ20" si="20">AP19/AP11</f>
        <v>-0.77700252785051549</v>
      </c>
      <c r="AQ20" s="19">
        <f t="shared" si="20"/>
        <v>-0.71955918887566772</v>
      </c>
      <c r="AR20" s="19">
        <f t="shared" si="20"/>
        <v>-0.72201904025245012</v>
      </c>
      <c r="AS20" s="19">
        <f t="shared" si="20"/>
        <v>-0.69932644043073489</v>
      </c>
      <c r="AT20" s="19">
        <f t="shared" si="20"/>
        <v>-0.99753331624807795</v>
      </c>
      <c r="AU20" s="19">
        <f t="shared" si="20"/>
        <v>-1.0340114401838754</v>
      </c>
      <c r="AV20" s="19">
        <f t="shared" si="20"/>
        <v>-1.0001667825753118</v>
      </c>
      <c r="AW20" s="19">
        <f t="shared" si="20"/>
        <v>-0.86287572687674086</v>
      </c>
      <c r="AX20" s="19">
        <f t="shared" si="20"/>
        <v>-0.47824488745665517</v>
      </c>
      <c r="AY20" s="19">
        <f t="shared" si="20"/>
        <v>-0.49705551035734402</v>
      </c>
      <c r="AZ20" s="19">
        <f t="shared" si="20"/>
        <v>-0.53037467687396511</v>
      </c>
      <c r="BA20" s="12"/>
      <c r="BB20" s="83"/>
    </row>
    <row r="21" spans="2:54" ht="5.0999999999999996" customHeight="1">
      <c r="B21" s="17"/>
      <c r="C21" s="19"/>
      <c r="D21" s="19"/>
      <c r="E21" s="19"/>
      <c r="F21" s="19"/>
      <c r="G21" s="19"/>
      <c r="H21" s="19"/>
      <c r="I21" s="19"/>
      <c r="J21" s="34"/>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34"/>
      <c r="AN21" s="92"/>
      <c r="AP21" s="34"/>
      <c r="AQ21" s="34"/>
      <c r="AR21" s="34"/>
      <c r="AS21" s="34"/>
      <c r="AT21" s="34"/>
      <c r="AU21" s="34"/>
      <c r="AV21" s="34"/>
      <c r="AW21" s="34"/>
      <c r="AX21" s="34"/>
      <c r="AY21" s="34"/>
      <c r="AZ21" s="34"/>
      <c r="BA21" s="12"/>
      <c r="BB21" s="83"/>
    </row>
    <row r="22" spans="2:54" ht="12.75" customHeight="1">
      <c r="B22" s="10" t="s">
        <v>512</v>
      </c>
      <c r="C22" s="92">
        <v>-1515</v>
      </c>
      <c r="D22" s="92">
        <v>-4869</v>
      </c>
      <c r="E22" s="92">
        <v>-6430</v>
      </c>
      <c r="F22" s="92">
        <v>0</v>
      </c>
      <c r="G22" s="92">
        <v>0</v>
      </c>
      <c r="H22" s="92">
        <v>0</v>
      </c>
      <c r="I22" s="92">
        <v>0</v>
      </c>
      <c r="J22" s="34"/>
      <c r="K22" s="92">
        <v>-294</v>
      </c>
      <c r="L22" s="92">
        <v>-348</v>
      </c>
      <c r="M22" s="92">
        <v>-528</v>
      </c>
      <c r="N22" s="26">
        <f>SUM(C22-SUM(K22:M22))</f>
        <v>-345</v>
      </c>
      <c r="O22" s="92">
        <v>-394</v>
      </c>
      <c r="P22" s="92">
        <v>-847</v>
      </c>
      <c r="Q22" s="92">
        <v>-2319</v>
      </c>
      <c r="R22" s="34">
        <f>SUM(D22-SUM(O22:Q22))</f>
        <v>-1309</v>
      </c>
      <c r="S22" s="92">
        <v>-2373</v>
      </c>
      <c r="T22" s="92">
        <v>-1509</v>
      </c>
      <c r="U22" s="92">
        <v>-2146</v>
      </c>
      <c r="V22" s="34">
        <f>SUM(E22-SUM(S22:U22))</f>
        <v>-402</v>
      </c>
      <c r="W22" s="92">
        <v>-2474</v>
      </c>
      <c r="X22" s="92">
        <v>-3844</v>
      </c>
      <c r="Y22" s="92">
        <v>-5750</v>
      </c>
      <c r="Z22" s="34">
        <f>SUM(F22-SUM(W22:Y22))</f>
        <v>12068</v>
      </c>
      <c r="AA22" s="92">
        <v>-3026</v>
      </c>
      <c r="AB22" s="92">
        <v>-4302</v>
      </c>
      <c r="AC22" s="92">
        <v>-6993</v>
      </c>
      <c r="AD22" s="34">
        <f>SUM(G22-SUM(AA22:AC22))</f>
        <v>14321</v>
      </c>
      <c r="AE22" s="92">
        <v>426</v>
      </c>
      <c r="AF22" s="92">
        <v>201</v>
      </c>
      <c r="AG22" s="92">
        <v>4</v>
      </c>
      <c r="AH22" s="34">
        <f>SUM(H22-SUM(AE22:AG22))</f>
        <v>-631</v>
      </c>
      <c r="AI22" s="92">
        <v>0</v>
      </c>
      <c r="AJ22" s="92">
        <v>0</v>
      </c>
      <c r="AK22" s="92">
        <v>0</v>
      </c>
      <c r="AL22" s="34">
        <f>SUM(I22-SUM(AI22:AK22))</f>
        <v>0</v>
      </c>
      <c r="AM22" s="92">
        <v>0</v>
      </c>
      <c r="AN22" s="92">
        <v>0</v>
      </c>
      <c r="AP22" s="34">
        <f t="shared" ref="AP22:AZ27" si="21">SUM(AA22:AD22)</f>
        <v>0</v>
      </c>
      <c r="AQ22" s="34">
        <f t="shared" si="21"/>
        <v>3452</v>
      </c>
      <c r="AR22" s="34">
        <f t="shared" si="21"/>
        <v>7955</v>
      </c>
      <c r="AS22" s="34">
        <f t="shared" si="21"/>
        <v>14952</v>
      </c>
      <c r="AT22" s="34">
        <f t="shared" si="21"/>
        <v>0</v>
      </c>
      <c r="AU22" s="34">
        <f t="shared" si="21"/>
        <v>-426</v>
      </c>
      <c r="AV22" s="34">
        <f t="shared" si="21"/>
        <v>-627</v>
      </c>
      <c r="AW22" s="34">
        <f t="shared" si="21"/>
        <v>-631</v>
      </c>
      <c r="AX22" s="34">
        <f t="shared" si="21"/>
        <v>0</v>
      </c>
      <c r="AY22" s="34">
        <f t="shared" si="21"/>
        <v>0</v>
      </c>
      <c r="AZ22" s="34">
        <f t="shared" si="21"/>
        <v>0</v>
      </c>
      <c r="BA22" s="12"/>
      <c r="BB22" s="83">
        <f t="shared" si="6"/>
        <v>-1</v>
      </c>
    </row>
    <row r="23" spans="2:54" ht="12.75" customHeight="1">
      <c r="B23" s="10" t="s">
        <v>513</v>
      </c>
      <c r="C23" s="92">
        <v>-1128</v>
      </c>
      <c r="D23" s="92">
        <v>0</v>
      </c>
      <c r="E23" s="92">
        <v>0</v>
      </c>
      <c r="F23" s="92">
        <v>-15794</v>
      </c>
      <c r="G23" s="92">
        <v>-17259</v>
      </c>
      <c r="H23" s="92">
        <v>631</v>
      </c>
      <c r="I23" s="92">
        <v>0</v>
      </c>
      <c r="J23" s="34"/>
      <c r="K23" s="92">
        <v>-47</v>
      </c>
      <c r="L23" s="92">
        <v>-28</v>
      </c>
      <c r="M23" s="92">
        <v>-313</v>
      </c>
      <c r="N23" s="26">
        <f>SUM(C23-SUM(K23:M23))</f>
        <v>-740</v>
      </c>
      <c r="O23" s="92">
        <v>-733</v>
      </c>
      <c r="P23" s="92">
        <v>-741</v>
      </c>
      <c r="Q23" s="92">
        <v>-855</v>
      </c>
      <c r="R23" s="34">
        <f>SUM(D23-SUM(O23:Q23))</f>
        <v>2329</v>
      </c>
      <c r="S23" s="92">
        <v>0</v>
      </c>
      <c r="T23" s="92">
        <v>0</v>
      </c>
      <c r="U23" s="92">
        <v>0</v>
      </c>
      <c r="V23" s="34">
        <f>SUM(E23-SUM(S23:U23))</f>
        <v>0</v>
      </c>
      <c r="W23" s="92">
        <v>0</v>
      </c>
      <c r="X23" s="92">
        <v>0</v>
      </c>
      <c r="Y23" s="92">
        <v>0</v>
      </c>
      <c r="Z23" s="34">
        <f>SUM(F23-SUM(W23:Y23))</f>
        <v>-15794</v>
      </c>
      <c r="AA23" s="92">
        <v>0</v>
      </c>
      <c r="AB23" s="92">
        <v>0</v>
      </c>
      <c r="AC23" s="92">
        <v>0</v>
      </c>
      <c r="AD23" s="34">
        <f>SUM(G23-SUM(AA23:AC23))</f>
        <v>-17259</v>
      </c>
      <c r="AE23" s="92">
        <v>0</v>
      </c>
      <c r="AF23" s="92">
        <v>0</v>
      </c>
      <c r="AG23" s="92">
        <v>0</v>
      </c>
      <c r="AH23" s="34">
        <f>SUM(H23-SUM(AE23:AG23))</f>
        <v>631</v>
      </c>
      <c r="AI23" s="92">
        <v>0</v>
      </c>
      <c r="AJ23" s="92">
        <v>0</v>
      </c>
      <c r="AK23" s="92">
        <v>0</v>
      </c>
      <c r="AL23" s="34">
        <f>SUM(I23-SUM(AI23:AK23))</f>
        <v>0</v>
      </c>
      <c r="AM23" s="92">
        <v>0</v>
      </c>
      <c r="AN23" s="92">
        <v>0</v>
      </c>
      <c r="AP23" s="34">
        <f t="shared" si="21"/>
        <v>-17259</v>
      </c>
      <c r="AQ23" s="34">
        <f t="shared" si="21"/>
        <v>-17259</v>
      </c>
      <c r="AR23" s="34">
        <f t="shared" si="21"/>
        <v>-17259</v>
      </c>
      <c r="AS23" s="34">
        <f t="shared" si="21"/>
        <v>-17259</v>
      </c>
      <c r="AT23" s="34">
        <f t="shared" si="21"/>
        <v>631</v>
      </c>
      <c r="AU23" s="34">
        <f t="shared" si="21"/>
        <v>631</v>
      </c>
      <c r="AV23" s="34">
        <f t="shared" si="21"/>
        <v>631</v>
      </c>
      <c r="AW23" s="34">
        <f t="shared" si="21"/>
        <v>631</v>
      </c>
      <c r="AX23" s="34">
        <f t="shared" si="21"/>
        <v>0</v>
      </c>
      <c r="AY23" s="34">
        <f t="shared" si="21"/>
        <v>0</v>
      </c>
      <c r="AZ23" s="34">
        <f t="shared" si="21"/>
        <v>0</v>
      </c>
      <c r="BA23" s="12"/>
      <c r="BB23" s="83">
        <f t="shared" si="6"/>
        <v>-1</v>
      </c>
    </row>
    <row r="24" spans="2:54" ht="12.75" customHeight="1">
      <c r="B24" s="10" t="s">
        <v>514</v>
      </c>
      <c r="C24" s="92">
        <v>352</v>
      </c>
      <c r="D24" s="92">
        <v>-3071</v>
      </c>
      <c r="E24" s="92">
        <v>-2576</v>
      </c>
      <c r="F24" s="92">
        <v>-3648</v>
      </c>
      <c r="G24" s="92">
        <v>-3966</v>
      </c>
      <c r="H24" s="92">
        <v>-3955</v>
      </c>
      <c r="I24" s="92">
        <v>-4097</v>
      </c>
      <c r="J24" s="34"/>
      <c r="K24" s="92">
        <v>-70</v>
      </c>
      <c r="L24" s="92">
        <v>38</v>
      </c>
      <c r="M24" s="92">
        <v>-31</v>
      </c>
      <c r="N24" s="26">
        <f>SUM(C24-SUM(K24:M24))</f>
        <v>415</v>
      </c>
      <c r="O24" s="92">
        <v>141</v>
      </c>
      <c r="P24" s="92">
        <v>898</v>
      </c>
      <c r="Q24" s="92">
        <v>0</v>
      </c>
      <c r="R24" s="34">
        <f>SUM(D24-SUM(O24:Q24))</f>
        <v>-4110</v>
      </c>
      <c r="S24" s="92">
        <v>-705</v>
      </c>
      <c r="T24" s="92">
        <v>-569</v>
      </c>
      <c r="U24" s="92">
        <v>-689</v>
      </c>
      <c r="V24" s="34">
        <f>SUM(E24-SUM(S24:U24))</f>
        <v>-613</v>
      </c>
      <c r="W24" s="92">
        <v>-629</v>
      </c>
      <c r="X24" s="92">
        <v>-1022</v>
      </c>
      <c r="Y24" s="92">
        <v>-1005</v>
      </c>
      <c r="Z24" s="34">
        <f>SUM(F24-SUM(W24:Y24))</f>
        <v>-992</v>
      </c>
      <c r="AA24" s="92">
        <v>-1025</v>
      </c>
      <c r="AB24" s="92">
        <v>-1108</v>
      </c>
      <c r="AC24" s="92">
        <v>-1040</v>
      </c>
      <c r="AD24" s="34">
        <f>SUM(G24-SUM(AA24:AC24))</f>
        <v>-793</v>
      </c>
      <c r="AE24" s="92">
        <v>-989</v>
      </c>
      <c r="AF24" s="92">
        <v>-989</v>
      </c>
      <c r="AG24" s="92">
        <v>-989</v>
      </c>
      <c r="AH24" s="34">
        <f>SUM(H24-SUM(AE24:AG24))</f>
        <v>-988</v>
      </c>
      <c r="AI24" s="92">
        <v>-1015</v>
      </c>
      <c r="AJ24" s="92">
        <v>-1029</v>
      </c>
      <c r="AK24" s="92">
        <v>-1028</v>
      </c>
      <c r="AL24" s="34">
        <f>SUM(I24-SUM(AI24:AK24))</f>
        <v>-1025</v>
      </c>
      <c r="AM24" s="92">
        <v>-1024</v>
      </c>
      <c r="AN24" s="92">
        <v>-2002</v>
      </c>
      <c r="AP24" s="34">
        <f t="shared" si="21"/>
        <v>-3966</v>
      </c>
      <c r="AQ24" s="34">
        <f t="shared" si="21"/>
        <v>-3930</v>
      </c>
      <c r="AR24" s="34">
        <f t="shared" si="21"/>
        <v>-3811</v>
      </c>
      <c r="AS24" s="34">
        <f t="shared" si="21"/>
        <v>-3760</v>
      </c>
      <c r="AT24" s="34">
        <f t="shared" si="21"/>
        <v>-3955</v>
      </c>
      <c r="AU24" s="34">
        <f t="shared" si="21"/>
        <v>-3981</v>
      </c>
      <c r="AV24" s="34">
        <f t="shared" si="21"/>
        <v>-4021</v>
      </c>
      <c r="AW24" s="34">
        <f t="shared" si="21"/>
        <v>-4060</v>
      </c>
      <c r="AX24" s="34">
        <f t="shared" si="21"/>
        <v>-4097</v>
      </c>
      <c r="AY24" s="34">
        <f t="shared" si="21"/>
        <v>-4106</v>
      </c>
      <c r="AZ24" s="34">
        <f t="shared" si="21"/>
        <v>-5079</v>
      </c>
      <c r="BA24" s="12"/>
      <c r="BB24" s="83">
        <f t="shared" si="6"/>
        <v>0.26311862720716239</v>
      </c>
    </row>
    <row r="25" spans="2:54" ht="12.75" customHeight="1">
      <c r="B25" s="10" t="s">
        <v>515</v>
      </c>
      <c r="C25" s="92">
        <v>-1120</v>
      </c>
      <c r="D25" s="92">
        <v>3629</v>
      </c>
      <c r="E25" s="92">
        <v>-759</v>
      </c>
      <c r="F25" s="92">
        <v>-487</v>
      </c>
      <c r="G25" s="92">
        <v>-420</v>
      </c>
      <c r="H25" s="92">
        <v>11616</v>
      </c>
      <c r="I25" s="92">
        <v>-10</v>
      </c>
      <c r="J25" s="34"/>
      <c r="K25" s="92">
        <v>0</v>
      </c>
      <c r="L25" s="92">
        <v>0</v>
      </c>
      <c r="M25" s="92">
        <v>0</v>
      </c>
      <c r="N25" s="26">
        <f>SUM(C25-SUM(K25:M25))</f>
        <v>-1120</v>
      </c>
      <c r="O25" s="92">
        <v>0</v>
      </c>
      <c r="P25" s="92">
        <v>0</v>
      </c>
      <c r="Q25" s="92">
        <v>1385</v>
      </c>
      <c r="R25" s="34">
        <f>SUM(D25-SUM(O25:Q25))</f>
        <v>2244</v>
      </c>
      <c r="S25" s="92">
        <v>0</v>
      </c>
      <c r="T25" s="92">
        <v>0</v>
      </c>
      <c r="U25" s="92">
        <v>0</v>
      </c>
      <c r="V25" s="34">
        <f>SUM(E25-SUM(S25:U25))</f>
        <v>-759</v>
      </c>
      <c r="W25" s="92">
        <v>0</v>
      </c>
      <c r="X25" s="92">
        <v>0</v>
      </c>
      <c r="Y25" s="92">
        <v>0</v>
      </c>
      <c r="Z25" s="34">
        <f>SUM(F25-SUM(W25:Y25))</f>
        <v>-487</v>
      </c>
      <c r="AA25" s="92">
        <v>0</v>
      </c>
      <c r="AB25" s="92">
        <v>0</v>
      </c>
      <c r="AC25" s="92">
        <v>0</v>
      </c>
      <c r="AD25" s="34">
        <f>SUM(G25-SUM(AA25:AC25))</f>
        <v>-420</v>
      </c>
      <c r="AE25" s="92">
        <v>0</v>
      </c>
      <c r="AF25" s="92">
        <v>0</v>
      </c>
      <c r="AG25" s="92">
        <v>0</v>
      </c>
      <c r="AH25" s="34">
        <f>SUM(H25-SUM(AE25:AG25))</f>
        <v>11616</v>
      </c>
      <c r="AI25" s="92">
        <v>0</v>
      </c>
      <c r="AJ25" s="92">
        <v>0</v>
      </c>
      <c r="AK25" s="92">
        <v>0</v>
      </c>
      <c r="AL25" s="34">
        <f>SUM(I25-SUM(AI25:AK25))</f>
        <v>-10</v>
      </c>
      <c r="AM25" s="92">
        <v>0</v>
      </c>
      <c r="AN25" s="92">
        <v>0</v>
      </c>
      <c r="AP25" s="34">
        <f t="shared" si="21"/>
        <v>-420</v>
      </c>
      <c r="AQ25" s="34">
        <f t="shared" si="21"/>
        <v>-420</v>
      </c>
      <c r="AR25" s="34">
        <f t="shared" si="21"/>
        <v>-420</v>
      </c>
      <c r="AS25" s="34">
        <f t="shared" si="21"/>
        <v>-420</v>
      </c>
      <c r="AT25" s="34">
        <f t="shared" si="21"/>
        <v>11616</v>
      </c>
      <c r="AU25" s="34">
        <f t="shared" si="21"/>
        <v>11616</v>
      </c>
      <c r="AV25" s="34">
        <f t="shared" si="21"/>
        <v>11616</v>
      </c>
      <c r="AW25" s="34">
        <f t="shared" si="21"/>
        <v>11616</v>
      </c>
      <c r="AX25" s="34">
        <f t="shared" si="21"/>
        <v>-10</v>
      </c>
      <c r="AY25" s="34">
        <f t="shared" si="21"/>
        <v>-10</v>
      </c>
      <c r="AZ25" s="34">
        <f t="shared" si="21"/>
        <v>-10</v>
      </c>
      <c r="BA25" s="12"/>
      <c r="BB25" s="83">
        <f t="shared" si="6"/>
        <v>-1.0008608815426998</v>
      </c>
    </row>
    <row r="26" spans="2:54" ht="12.75" customHeight="1">
      <c r="B26" s="10" t="s">
        <v>516</v>
      </c>
      <c r="C26" s="92">
        <v>0</v>
      </c>
      <c r="D26" s="92">
        <v>-12503</v>
      </c>
      <c r="E26" s="92">
        <v>0</v>
      </c>
      <c r="F26" s="92">
        <v>0</v>
      </c>
      <c r="G26" s="92">
        <v>0</v>
      </c>
      <c r="H26" s="92">
        <v>0</v>
      </c>
      <c r="I26" s="92">
        <v>0</v>
      </c>
      <c r="J26" s="34"/>
      <c r="K26" s="92">
        <v>0</v>
      </c>
      <c r="L26" s="92">
        <v>-130</v>
      </c>
      <c r="M26" s="92">
        <v>-994</v>
      </c>
      <c r="N26" s="26">
        <f>SUM(C26-SUM(K26:M26))</f>
        <v>1124</v>
      </c>
      <c r="O26" s="92">
        <v>-759</v>
      </c>
      <c r="P26" s="92">
        <v>-11744</v>
      </c>
      <c r="Q26" s="92">
        <v>0</v>
      </c>
      <c r="R26" s="34">
        <f>SUM(D26-SUM(O26:Q26))</f>
        <v>0</v>
      </c>
      <c r="S26" s="92">
        <v>710</v>
      </c>
      <c r="T26" s="92">
        <v>-1454</v>
      </c>
      <c r="U26" s="92">
        <v>-85</v>
      </c>
      <c r="V26" s="34">
        <f>SUM(E26-SUM(S26:U26))</f>
        <v>829</v>
      </c>
      <c r="W26" s="92">
        <v>-1570</v>
      </c>
      <c r="X26" s="92">
        <v>180</v>
      </c>
      <c r="Y26" s="92">
        <v>759</v>
      </c>
      <c r="Z26" s="34">
        <f>SUM(F26-SUM(W26:Y26))</f>
        <v>631</v>
      </c>
      <c r="AA26" s="92">
        <v>-1124</v>
      </c>
      <c r="AB26" s="92">
        <v>-4902</v>
      </c>
      <c r="AC26" s="92">
        <v>-2151</v>
      </c>
      <c r="AD26" s="34">
        <f>SUM(G26-SUM(AA26:AC26))</f>
        <v>8177</v>
      </c>
      <c r="AE26" s="92">
        <v>2908</v>
      </c>
      <c r="AF26" s="92">
        <v>1746</v>
      </c>
      <c r="AG26" s="92">
        <v>243</v>
      </c>
      <c r="AH26" s="34">
        <f>SUM(H26-SUM(AE26:AG26))</f>
        <v>-4897</v>
      </c>
      <c r="AI26" s="92">
        <v>123</v>
      </c>
      <c r="AJ26" s="92">
        <v>477</v>
      </c>
      <c r="AK26" s="92">
        <v>5405</v>
      </c>
      <c r="AL26" s="34">
        <f>SUM(I26-SUM(AI26:AK26))</f>
        <v>-6005</v>
      </c>
      <c r="AM26" s="92">
        <v>4318</v>
      </c>
      <c r="AN26" s="92">
        <v>7731</v>
      </c>
      <c r="AP26" s="34">
        <f t="shared" si="21"/>
        <v>0</v>
      </c>
      <c r="AQ26" s="34">
        <f t="shared" si="21"/>
        <v>4032</v>
      </c>
      <c r="AR26" s="34">
        <f t="shared" si="21"/>
        <v>10680</v>
      </c>
      <c r="AS26" s="34">
        <f t="shared" si="21"/>
        <v>13074</v>
      </c>
      <c r="AT26" s="34">
        <f t="shared" si="21"/>
        <v>0</v>
      </c>
      <c r="AU26" s="34">
        <f t="shared" si="21"/>
        <v>-2785</v>
      </c>
      <c r="AV26" s="34">
        <f t="shared" si="21"/>
        <v>-4054</v>
      </c>
      <c r="AW26" s="34">
        <f t="shared" si="21"/>
        <v>1108</v>
      </c>
      <c r="AX26" s="34">
        <f t="shared" si="21"/>
        <v>0</v>
      </c>
      <c r="AY26" s="34">
        <f t="shared" si="21"/>
        <v>4195</v>
      </c>
      <c r="AZ26" s="34">
        <f t="shared" si="21"/>
        <v>11449</v>
      </c>
      <c r="BA26" s="12"/>
      <c r="BB26" s="83">
        <f t="shared" si="6"/>
        <v>-3.8241243216576222</v>
      </c>
    </row>
    <row r="27" spans="2:54" ht="12.75" customHeight="1">
      <c r="B27" s="10" t="s">
        <v>578</v>
      </c>
      <c r="C27" s="92">
        <v>0</v>
      </c>
      <c r="D27" s="92">
        <v>0</v>
      </c>
      <c r="E27" s="92">
        <v>0</v>
      </c>
      <c r="F27" s="92">
        <v>-2977</v>
      </c>
      <c r="G27" s="92">
        <v>-18948</v>
      </c>
      <c r="H27" s="92">
        <v>-3902</v>
      </c>
      <c r="I27" s="92">
        <v>-73</v>
      </c>
      <c r="J27" s="34"/>
      <c r="K27" s="92">
        <v>0</v>
      </c>
      <c r="L27" s="92">
        <v>0</v>
      </c>
      <c r="M27" s="92">
        <v>0</v>
      </c>
      <c r="N27" s="26" t="s">
        <v>517</v>
      </c>
      <c r="O27" s="92">
        <v>0</v>
      </c>
      <c r="P27" s="92">
        <v>0</v>
      </c>
      <c r="Q27" s="92">
        <v>0</v>
      </c>
      <c r="R27" s="34" t="s">
        <v>517</v>
      </c>
      <c r="S27" s="92">
        <v>0</v>
      </c>
      <c r="T27" s="92">
        <v>0</v>
      </c>
      <c r="U27" s="92">
        <v>0</v>
      </c>
      <c r="V27" s="34" t="s">
        <v>517</v>
      </c>
      <c r="W27" s="92">
        <v>-374</v>
      </c>
      <c r="X27" s="92">
        <v>-207</v>
      </c>
      <c r="Y27" s="92">
        <v>-595</v>
      </c>
      <c r="Z27" s="34">
        <v>-1801</v>
      </c>
      <c r="AA27" s="92">
        <v>-671</v>
      </c>
      <c r="AB27" s="92">
        <v>-1432</v>
      </c>
      <c r="AC27" s="92">
        <v>-8746</v>
      </c>
      <c r="AD27" s="34">
        <v>-8099</v>
      </c>
      <c r="AE27" s="92">
        <v>-3235</v>
      </c>
      <c r="AF27" s="92">
        <v>-503</v>
      </c>
      <c r="AG27" s="92">
        <v>-126</v>
      </c>
      <c r="AH27" s="34">
        <v>-38</v>
      </c>
      <c r="AI27" s="92">
        <v>7</v>
      </c>
      <c r="AJ27" s="92">
        <v>-30</v>
      </c>
      <c r="AK27" s="92">
        <v>-38</v>
      </c>
      <c r="AL27" s="34">
        <v>-12</v>
      </c>
      <c r="AM27" s="92">
        <v>0</v>
      </c>
      <c r="AN27" s="92">
        <v>-59</v>
      </c>
      <c r="AP27" s="34">
        <f t="shared" si="21"/>
        <v>-18948</v>
      </c>
      <c r="AQ27" s="34">
        <f t="shared" si="21"/>
        <v>-21512</v>
      </c>
      <c r="AR27" s="34">
        <f t="shared" si="21"/>
        <v>-20583</v>
      </c>
      <c r="AS27" s="34">
        <f t="shared" si="21"/>
        <v>-11963</v>
      </c>
      <c r="AT27" s="34">
        <f t="shared" si="21"/>
        <v>-3902</v>
      </c>
      <c r="AU27" s="34">
        <f t="shared" si="21"/>
        <v>-660</v>
      </c>
      <c r="AV27" s="34">
        <f t="shared" si="21"/>
        <v>-187</v>
      </c>
      <c r="AW27" s="34">
        <f t="shared" si="21"/>
        <v>-99</v>
      </c>
      <c r="AX27" s="34">
        <f t="shared" si="21"/>
        <v>-73</v>
      </c>
      <c r="AY27" s="34">
        <f t="shared" si="21"/>
        <v>-80</v>
      </c>
      <c r="AZ27" s="34">
        <f t="shared" si="21"/>
        <v>-109</v>
      </c>
      <c r="BA27" s="12"/>
      <c r="BB27" s="83"/>
    </row>
    <row r="28" spans="2:54" ht="12.75" customHeight="1">
      <c r="B28" s="27" t="s">
        <v>520</v>
      </c>
      <c r="C28" s="28">
        <f t="shared" ref="C28:I28" si="22">SUM(C19+SUM(C22:C27))</f>
        <v>-29885</v>
      </c>
      <c r="D28" s="28">
        <f t="shared" si="22"/>
        <v>-12434</v>
      </c>
      <c r="E28" s="28">
        <f t="shared" si="22"/>
        <v>-52680</v>
      </c>
      <c r="F28" s="28">
        <f t="shared" si="22"/>
        <v>-182045</v>
      </c>
      <c r="G28" s="28">
        <f t="shared" si="22"/>
        <v>-366105</v>
      </c>
      <c r="H28" s="28">
        <f t="shared" si="22"/>
        <v>-338139</v>
      </c>
      <c r="I28" s="28">
        <f t="shared" si="22"/>
        <v>-160304</v>
      </c>
      <c r="K28" s="28">
        <f t="shared" ref="K28:AN28" si="23">SUM(K19+SUM(K22:K27))</f>
        <v>-5696</v>
      </c>
      <c r="L28" s="28">
        <f t="shared" si="23"/>
        <v>-7396</v>
      </c>
      <c r="M28" s="28">
        <f t="shared" si="23"/>
        <v>-9342</v>
      </c>
      <c r="N28" s="28">
        <f t="shared" si="23"/>
        <v>-7451</v>
      </c>
      <c r="O28" s="28">
        <f t="shared" si="23"/>
        <v>-6649</v>
      </c>
      <c r="P28" s="28">
        <f t="shared" si="23"/>
        <v>-9420</v>
      </c>
      <c r="Q28" s="28">
        <f t="shared" si="23"/>
        <v>4099</v>
      </c>
      <c r="R28" s="28">
        <f t="shared" si="23"/>
        <v>-464</v>
      </c>
      <c r="S28" s="28">
        <f t="shared" si="23"/>
        <v>1814</v>
      </c>
      <c r="T28" s="28">
        <f t="shared" si="23"/>
        <v>-10189</v>
      </c>
      <c r="U28" s="28">
        <f t="shared" si="23"/>
        <v>-19230</v>
      </c>
      <c r="V28" s="28">
        <f t="shared" si="23"/>
        <v>-25075</v>
      </c>
      <c r="W28" s="28">
        <f t="shared" si="23"/>
        <v>-27218</v>
      </c>
      <c r="X28" s="28">
        <f t="shared" si="23"/>
        <v>-19650</v>
      </c>
      <c r="Y28" s="28">
        <f t="shared" si="23"/>
        <v>-54839</v>
      </c>
      <c r="Z28" s="28">
        <f t="shared" si="23"/>
        <v>-80338</v>
      </c>
      <c r="AA28" s="28">
        <f t="shared" si="23"/>
        <v>-100448</v>
      </c>
      <c r="AB28" s="28">
        <f t="shared" si="23"/>
        <v>-97123</v>
      </c>
      <c r="AC28" s="28">
        <f t="shared" si="23"/>
        <v>-101678</v>
      </c>
      <c r="AD28" s="28">
        <f t="shared" si="23"/>
        <v>-66856</v>
      </c>
      <c r="AE28" s="28">
        <f t="shared" si="23"/>
        <v>-59037</v>
      </c>
      <c r="AF28" s="28">
        <f t="shared" si="23"/>
        <v>-53500</v>
      </c>
      <c r="AG28" s="28">
        <f t="shared" si="23"/>
        <v>-70492</v>
      </c>
      <c r="AH28" s="28">
        <f t="shared" si="23"/>
        <v>-155110</v>
      </c>
      <c r="AI28" s="28">
        <f t="shared" si="23"/>
        <v>-54359</v>
      </c>
      <c r="AJ28" s="28">
        <f t="shared" si="23"/>
        <v>-34513</v>
      </c>
      <c r="AK28" s="28">
        <f t="shared" si="23"/>
        <v>-26570</v>
      </c>
      <c r="AL28" s="28">
        <f t="shared" si="23"/>
        <v>-44862</v>
      </c>
      <c r="AM28" s="28">
        <f t="shared" si="23"/>
        <v>-52905</v>
      </c>
      <c r="AN28" s="28">
        <f t="shared" si="23"/>
        <v>-29242</v>
      </c>
      <c r="AP28" s="28">
        <f t="shared" ref="AP28:AZ28" si="24">SUM(AP19+SUM(AP22:AP27))</f>
        <v>-366105</v>
      </c>
      <c r="AQ28" s="28">
        <f t="shared" si="24"/>
        <v>-324694</v>
      </c>
      <c r="AR28" s="28">
        <f t="shared" si="24"/>
        <v>-281071</v>
      </c>
      <c r="AS28" s="28">
        <f t="shared" si="24"/>
        <v>-249885</v>
      </c>
      <c r="AT28" s="28">
        <f t="shared" si="24"/>
        <v>-338139</v>
      </c>
      <c r="AU28" s="28">
        <f t="shared" si="24"/>
        <v>-333461</v>
      </c>
      <c r="AV28" s="28">
        <f t="shared" si="24"/>
        <v>-314474</v>
      </c>
      <c r="AW28" s="28">
        <f t="shared" si="24"/>
        <v>-270552</v>
      </c>
      <c r="AX28" s="28">
        <f t="shared" si="24"/>
        <v>-160304</v>
      </c>
      <c r="AY28" s="28">
        <f t="shared" si="24"/>
        <v>-158850</v>
      </c>
      <c r="AZ28" s="28">
        <f t="shared" si="24"/>
        <v>-153579</v>
      </c>
      <c r="BA28" s="45"/>
      <c r="BB28" s="83">
        <f t="shared" si="6"/>
        <v>-0.5116321222104212</v>
      </c>
    </row>
    <row r="29" spans="2:54" ht="12.75" customHeight="1">
      <c r="B29" s="17" t="s">
        <v>521</v>
      </c>
      <c r="C29" s="19">
        <f t="shared" ref="C29:I29" si="25">C28/C11</f>
        <v>-0.33985716560147383</v>
      </c>
      <c r="D29" s="19">
        <f t="shared" si="25"/>
        <v>-4.1739258871354865E-2</v>
      </c>
      <c r="E29" s="19">
        <f t="shared" si="25"/>
        <v>-0.12950330026918397</v>
      </c>
      <c r="F29" s="19">
        <f t="shared" si="25"/>
        <v>-0.39174736389068215</v>
      </c>
      <c r="G29" s="19">
        <f t="shared" si="25"/>
        <v>-0.87389869024402467</v>
      </c>
      <c r="H29" s="19">
        <f t="shared" si="25"/>
        <v>-0.98474849727412517</v>
      </c>
      <c r="I29" s="19">
        <f t="shared" si="25"/>
        <v>-0.491049220099739</v>
      </c>
      <c r="J29" s="29"/>
      <c r="K29" s="19">
        <f t="shared" ref="K29:AJ29" si="26">K28/K11</f>
        <v>-0.44583594239198499</v>
      </c>
      <c r="L29" s="19">
        <f t="shared" si="26"/>
        <v>-0.42586514654229285</v>
      </c>
      <c r="M29" s="19">
        <f t="shared" si="26"/>
        <v>-0.35552003653385089</v>
      </c>
      <c r="N29" s="19">
        <f t="shared" si="26"/>
        <v>-0.23643460049501808</v>
      </c>
      <c r="O29" s="19">
        <f t="shared" si="26"/>
        <v>-0.16537332736407501</v>
      </c>
      <c r="P29" s="19">
        <f t="shared" si="26"/>
        <v>-0.14007226658339653</v>
      </c>
      <c r="Q29" s="19">
        <f t="shared" si="26"/>
        <v>4.4573243005186981E-2</v>
      </c>
      <c r="R29" s="19">
        <f t="shared" si="26"/>
        <v>-4.7116644157637671E-3</v>
      </c>
      <c r="S29" s="19">
        <f t="shared" si="26"/>
        <v>1.8686775037600183E-2</v>
      </c>
      <c r="T29" s="19">
        <f t="shared" si="26"/>
        <v>-8.9899239443081758E-2</v>
      </c>
      <c r="U29" s="19">
        <f t="shared" si="26"/>
        <v>-0.203629971620992</v>
      </c>
      <c r="V29" s="19">
        <f t="shared" si="26"/>
        <v>-0.24598526540902715</v>
      </c>
      <c r="W29" s="19">
        <f t="shared" si="26"/>
        <v>-0.25163640397914278</v>
      </c>
      <c r="X29" s="19">
        <f t="shared" si="26"/>
        <v>-0.13150321898464792</v>
      </c>
      <c r="Y29" s="19">
        <f t="shared" si="26"/>
        <v>-0.51524917318099817</v>
      </c>
      <c r="Z29" s="19">
        <f t="shared" si="26"/>
        <v>-0.79796976499334515</v>
      </c>
      <c r="AA29" s="19">
        <f t="shared" si="26"/>
        <v>-0.9177104746242748</v>
      </c>
      <c r="AB29" s="19">
        <f t="shared" si="26"/>
        <v>-0.66052094668117523</v>
      </c>
      <c r="AC29" s="19">
        <f t="shared" si="26"/>
        <v>-1.232460606060606</v>
      </c>
      <c r="AD29" s="19">
        <f t="shared" si="26"/>
        <v>-0.83634816983161953</v>
      </c>
      <c r="AE29" s="19">
        <f t="shared" si="26"/>
        <v>-0.640064616852422</v>
      </c>
      <c r="AF29" s="19">
        <f t="shared" si="26"/>
        <v>-0.52374472584166265</v>
      </c>
      <c r="AG29" s="19">
        <f t="shared" si="26"/>
        <v>-0.93599957510091358</v>
      </c>
      <c r="AH29" s="19">
        <f t="shared" si="26"/>
        <v>-2.1052131543587724</v>
      </c>
      <c r="AI29" s="19">
        <f t="shared" si="26"/>
        <v>-0.71900585955583773</v>
      </c>
      <c r="AJ29" s="19">
        <f t="shared" si="26"/>
        <v>-0.37037076782744005</v>
      </c>
      <c r="AK29" s="19">
        <f>AK28/AK11</f>
        <v>-0.32800039503246675</v>
      </c>
      <c r="AL29" s="19">
        <f>AL28/AL11</f>
        <v>-0.58522267734613476</v>
      </c>
      <c r="AM29" s="19">
        <f>AM28/AM11</f>
        <v>-0.76974000087296857</v>
      </c>
      <c r="AN29" s="19">
        <f>AN28/AN11</f>
        <v>-0.3901117959390592</v>
      </c>
      <c r="AO29" s="30"/>
      <c r="AP29" s="19">
        <f t="shared" ref="AP29:AZ29" si="27">AP28/AP11</f>
        <v>-0.87389869024402467</v>
      </c>
      <c r="AQ29" s="19">
        <f t="shared" si="27"/>
        <v>-0.80827155638090786</v>
      </c>
      <c r="AR29" s="19">
        <f t="shared" si="27"/>
        <v>-0.78770426794236914</v>
      </c>
      <c r="AS29" s="19">
        <f t="shared" si="27"/>
        <v>-0.71470247543867171</v>
      </c>
      <c r="AT29" s="19">
        <f t="shared" si="27"/>
        <v>-0.98474849727412517</v>
      </c>
      <c r="AU29" s="19">
        <f t="shared" si="27"/>
        <v>-1.0205605016786894</v>
      </c>
      <c r="AV29" s="19">
        <f t="shared" si="27"/>
        <v>-0.98959969035084128</v>
      </c>
      <c r="AW29" s="19">
        <f t="shared" si="27"/>
        <v>-0.83639747366859063</v>
      </c>
      <c r="AX29" s="19">
        <f t="shared" si="27"/>
        <v>-0.491049220099739</v>
      </c>
      <c r="AY29" s="19">
        <f t="shared" si="27"/>
        <v>-0.4970586394642969</v>
      </c>
      <c r="AZ29" s="19">
        <f t="shared" si="27"/>
        <v>-0.50963156165692725</v>
      </c>
      <c r="BA29" s="46"/>
      <c r="BB29" s="85">
        <f>SUM(AZ29-AV29)*1000</f>
        <v>479.96812869391403</v>
      </c>
    </row>
    <row r="30" spans="2:54" ht="5.0999999999999996" customHeight="1">
      <c r="B30" s="31"/>
      <c r="C30" s="47"/>
      <c r="D30" s="47"/>
      <c r="E30" s="47"/>
      <c r="F30" s="47"/>
      <c r="G30" s="47"/>
      <c r="H30" s="47"/>
      <c r="I30" s="47"/>
      <c r="J30" s="32"/>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P30" s="47"/>
      <c r="AQ30" s="47"/>
      <c r="AR30" s="47"/>
      <c r="AS30" s="47"/>
      <c r="AT30" s="47"/>
      <c r="AU30" s="47"/>
      <c r="AV30" s="47"/>
      <c r="AW30" s="47"/>
      <c r="AX30" s="47"/>
      <c r="AY30" s="47"/>
      <c r="AZ30" s="47"/>
      <c r="BA30" s="46"/>
      <c r="BB30" s="83"/>
    </row>
    <row r="31" spans="2:54" ht="12.75" customHeight="1">
      <c r="B31" s="49" t="s">
        <v>98</v>
      </c>
      <c r="C31" s="92">
        <v>-1</v>
      </c>
      <c r="D31" s="92">
        <v>-9</v>
      </c>
      <c r="E31" s="92">
        <v>-72</v>
      </c>
      <c r="F31" s="92">
        <v>-60</v>
      </c>
      <c r="G31" s="92">
        <v>-32</v>
      </c>
      <c r="H31" s="92">
        <v>-5</v>
      </c>
      <c r="I31" s="92">
        <v>26</v>
      </c>
      <c r="J31" s="34"/>
      <c r="K31" s="92">
        <v>0</v>
      </c>
      <c r="L31" s="92">
        <v>0</v>
      </c>
      <c r="M31" s="92">
        <v>0</v>
      </c>
      <c r="N31" s="34">
        <f>SUM(C31-SUM(K31:M31))</f>
        <v>-1</v>
      </c>
      <c r="O31" s="92">
        <v>0</v>
      </c>
      <c r="P31" s="92">
        <v>-21</v>
      </c>
      <c r="Q31" s="92">
        <v>0</v>
      </c>
      <c r="R31" s="34">
        <f>SUM(D31-SUM(O31:Q31))</f>
        <v>12</v>
      </c>
      <c r="S31" s="92">
        <v>1</v>
      </c>
      <c r="T31" s="92">
        <v>-16</v>
      </c>
      <c r="U31" s="92">
        <v>-55</v>
      </c>
      <c r="V31" s="34">
        <f>SUM(E31-SUM(S31:U31))</f>
        <v>-2</v>
      </c>
      <c r="W31" s="92">
        <v>-48</v>
      </c>
      <c r="X31" s="92">
        <v>-2</v>
      </c>
      <c r="Y31" s="92">
        <v>23</v>
      </c>
      <c r="Z31" s="34">
        <f>SUM(F31-SUM(W31:Y31))</f>
        <v>-33</v>
      </c>
      <c r="AA31" s="92">
        <v>-10</v>
      </c>
      <c r="AB31" s="92">
        <v>-11</v>
      </c>
      <c r="AC31" s="92">
        <v>0</v>
      </c>
      <c r="AD31" s="34">
        <f>SUM(G31-SUM(AA31:AC31))</f>
        <v>-11</v>
      </c>
      <c r="AE31" s="92">
        <v>0</v>
      </c>
      <c r="AF31" s="92">
        <v>-5</v>
      </c>
      <c r="AG31" s="92">
        <v>0</v>
      </c>
      <c r="AH31" s="34">
        <f>SUM(H31-SUM(AE31:AG31))</f>
        <v>0</v>
      </c>
      <c r="AI31" s="92">
        <v>-2</v>
      </c>
      <c r="AJ31" s="92">
        <v>34</v>
      </c>
      <c r="AK31" s="92">
        <v>-6</v>
      </c>
      <c r="AL31" s="34">
        <f>SUM(I31-SUM(AI31:AK31))</f>
        <v>0</v>
      </c>
      <c r="AM31" s="92">
        <v>0</v>
      </c>
      <c r="AN31" s="92">
        <v>0</v>
      </c>
      <c r="AO31" s="34"/>
      <c r="AP31" s="34">
        <f t="shared" ref="AP31:AZ31" si="28">SUM(AA31:AD31)</f>
        <v>-32</v>
      </c>
      <c r="AQ31" s="34">
        <f t="shared" si="28"/>
        <v>-22</v>
      </c>
      <c r="AR31" s="34">
        <f t="shared" si="28"/>
        <v>-16</v>
      </c>
      <c r="AS31" s="34">
        <f t="shared" si="28"/>
        <v>-16</v>
      </c>
      <c r="AT31" s="34">
        <f t="shared" si="28"/>
        <v>-5</v>
      </c>
      <c r="AU31" s="34">
        <f t="shared" si="28"/>
        <v>-7</v>
      </c>
      <c r="AV31" s="34">
        <f t="shared" si="28"/>
        <v>32</v>
      </c>
      <c r="AW31" s="34">
        <f t="shared" si="28"/>
        <v>26</v>
      </c>
      <c r="AX31" s="34">
        <f t="shared" si="28"/>
        <v>26</v>
      </c>
      <c r="AY31" s="34">
        <f t="shared" si="28"/>
        <v>28</v>
      </c>
      <c r="AZ31" s="34">
        <f t="shared" si="28"/>
        <v>-6</v>
      </c>
      <c r="BA31" s="46"/>
      <c r="BB31" s="83">
        <f t="shared" si="6"/>
        <v>-1.1875</v>
      </c>
    </row>
    <row r="32" spans="2:54" ht="12.75" customHeight="1">
      <c r="B32" s="14" t="s">
        <v>82</v>
      </c>
      <c r="C32" s="15">
        <f t="shared" ref="C32:I32" si="29">SUM(C28+C31)</f>
        <v>-29886</v>
      </c>
      <c r="D32" s="15">
        <f t="shared" si="29"/>
        <v>-12443</v>
      </c>
      <c r="E32" s="15">
        <f t="shared" si="29"/>
        <v>-52752</v>
      </c>
      <c r="F32" s="15">
        <f t="shared" si="29"/>
        <v>-182105</v>
      </c>
      <c r="G32" s="15">
        <f t="shared" si="29"/>
        <v>-366137</v>
      </c>
      <c r="H32" s="15">
        <f t="shared" si="29"/>
        <v>-338144</v>
      </c>
      <c r="I32" s="15">
        <f t="shared" si="29"/>
        <v>-160278</v>
      </c>
      <c r="J32" s="12"/>
      <c r="K32" s="15">
        <f t="shared" ref="K32:AN32" si="30">SUM(K28+K31)</f>
        <v>-5696</v>
      </c>
      <c r="L32" s="15">
        <f t="shared" si="30"/>
        <v>-7396</v>
      </c>
      <c r="M32" s="15">
        <f t="shared" si="30"/>
        <v>-9342</v>
      </c>
      <c r="N32" s="15">
        <f t="shared" si="30"/>
        <v>-7452</v>
      </c>
      <c r="O32" s="15">
        <f t="shared" si="30"/>
        <v>-6649</v>
      </c>
      <c r="P32" s="15">
        <f t="shared" si="30"/>
        <v>-9441</v>
      </c>
      <c r="Q32" s="15">
        <f t="shared" si="30"/>
        <v>4099</v>
      </c>
      <c r="R32" s="15">
        <f t="shared" si="30"/>
        <v>-452</v>
      </c>
      <c r="S32" s="15">
        <f t="shared" si="30"/>
        <v>1815</v>
      </c>
      <c r="T32" s="15">
        <f t="shared" si="30"/>
        <v>-10205</v>
      </c>
      <c r="U32" s="15">
        <f t="shared" si="30"/>
        <v>-19285</v>
      </c>
      <c r="V32" s="15">
        <f t="shared" si="30"/>
        <v>-25077</v>
      </c>
      <c r="W32" s="15">
        <f t="shared" si="30"/>
        <v>-27266</v>
      </c>
      <c r="X32" s="15">
        <f t="shared" si="30"/>
        <v>-19652</v>
      </c>
      <c r="Y32" s="15">
        <f t="shared" si="30"/>
        <v>-54816</v>
      </c>
      <c r="Z32" s="15">
        <f t="shared" si="30"/>
        <v>-80371</v>
      </c>
      <c r="AA32" s="15">
        <f t="shared" si="30"/>
        <v>-100458</v>
      </c>
      <c r="AB32" s="15">
        <f t="shared" si="30"/>
        <v>-97134</v>
      </c>
      <c r="AC32" s="15">
        <f t="shared" si="30"/>
        <v>-101678</v>
      </c>
      <c r="AD32" s="15">
        <f t="shared" si="30"/>
        <v>-66867</v>
      </c>
      <c r="AE32" s="15">
        <f t="shared" si="30"/>
        <v>-59037</v>
      </c>
      <c r="AF32" s="15">
        <f t="shared" si="30"/>
        <v>-53505</v>
      </c>
      <c r="AG32" s="15">
        <f t="shared" si="30"/>
        <v>-70492</v>
      </c>
      <c r="AH32" s="15">
        <f t="shared" si="30"/>
        <v>-155110</v>
      </c>
      <c r="AI32" s="15">
        <f t="shared" si="30"/>
        <v>-54361</v>
      </c>
      <c r="AJ32" s="15">
        <f t="shared" si="30"/>
        <v>-34479</v>
      </c>
      <c r="AK32" s="15">
        <f t="shared" si="30"/>
        <v>-26576</v>
      </c>
      <c r="AL32" s="15">
        <f t="shared" si="30"/>
        <v>-44862</v>
      </c>
      <c r="AM32" s="15">
        <f t="shared" si="30"/>
        <v>-52905</v>
      </c>
      <c r="AN32" s="15">
        <f t="shared" si="30"/>
        <v>-29242</v>
      </c>
      <c r="AO32" s="34"/>
      <c r="AP32" s="15">
        <f t="shared" ref="AP32:AZ32" si="31">SUM(AP28+AP31)</f>
        <v>-366137</v>
      </c>
      <c r="AQ32" s="15">
        <f t="shared" si="31"/>
        <v>-324716</v>
      </c>
      <c r="AR32" s="15">
        <f t="shared" si="31"/>
        <v>-281087</v>
      </c>
      <c r="AS32" s="15">
        <f t="shared" si="31"/>
        <v>-249901</v>
      </c>
      <c r="AT32" s="15">
        <f t="shared" si="31"/>
        <v>-338144</v>
      </c>
      <c r="AU32" s="15">
        <f t="shared" si="31"/>
        <v>-333468</v>
      </c>
      <c r="AV32" s="15">
        <f t="shared" si="31"/>
        <v>-314442</v>
      </c>
      <c r="AW32" s="15">
        <f t="shared" si="31"/>
        <v>-270526</v>
      </c>
      <c r="AX32" s="15">
        <f t="shared" si="31"/>
        <v>-160278</v>
      </c>
      <c r="AY32" s="15">
        <f t="shared" si="31"/>
        <v>-158822</v>
      </c>
      <c r="AZ32" s="15">
        <f t="shared" si="31"/>
        <v>-153585</v>
      </c>
      <c r="BA32" s="38"/>
      <c r="BB32" s="84">
        <f t="shared" si="6"/>
        <v>-0.51156334077508725</v>
      </c>
    </row>
    <row r="33" spans="1:54" ht="12.75" customHeight="1">
      <c r="B33" s="17" t="s">
        <v>102</v>
      </c>
      <c r="C33" s="19">
        <f t="shared" ref="C33:I33" si="32">C32/C11</f>
        <v>-0.33986853776696158</v>
      </c>
      <c r="D33" s="19">
        <f t="shared" si="32"/>
        <v>-4.176947065596498E-2</v>
      </c>
      <c r="E33" s="19">
        <f t="shared" si="32"/>
        <v>-0.12968029794608946</v>
      </c>
      <c r="F33" s="19">
        <f t="shared" si="32"/>
        <v>-0.39187647944910697</v>
      </c>
      <c r="G33" s="19">
        <f t="shared" si="32"/>
        <v>-0.87397507477329306</v>
      </c>
      <c r="H33" s="19">
        <f t="shared" si="32"/>
        <v>-0.98476305857136204</v>
      </c>
      <c r="I33" s="19">
        <f t="shared" si="32"/>
        <v>-0.49096957592540402</v>
      </c>
      <c r="J33" s="29"/>
      <c r="K33" s="19">
        <f t="shared" ref="K33:AJ33" si="33">K32/K11</f>
        <v>-0.44583594239198499</v>
      </c>
      <c r="L33" s="19">
        <f t="shared" si="33"/>
        <v>-0.42586514654229285</v>
      </c>
      <c r="M33" s="19">
        <f t="shared" si="33"/>
        <v>-0.35552003653385089</v>
      </c>
      <c r="N33" s="19">
        <f t="shared" si="33"/>
        <v>-0.2364663324236847</v>
      </c>
      <c r="O33" s="19">
        <f t="shared" si="33"/>
        <v>-0.16537332736407501</v>
      </c>
      <c r="P33" s="19">
        <f t="shared" si="33"/>
        <v>-0.1403845295980729</v>
      </c>
      <c r="Q33" s="19">
        <f t="shared" si="33"/>
        <v>4.4573243005186981E-2</v>
      </c>
      <c r="R33" s="19">
        <f t="shared" si="33"/>
        <v>-4.5898110257009111E-3</v>
      </c>
      <c r="S33" s="19">
        <f t="shared" si="33"/>
        <v>1.8697076457135794E-2</v>
      </c>
      <c r="T33" s="19">
        <f t="shared" si="33"/>
        <v>-9.0040410100760554E-2</v>
      </c>
      <c r="U33" s="19">
        <f t="shared" si="33"/>
        <v>-0.20421237663602862</v>
      </c>
      <c r="V33" s="19">
        <f t="shared" si="33"/>
        <v>-0.24600488537037582</v>
      </c>
      <c r="W33" s="19">
        <f t="shared" si="33"/>
        <v>-0.25208017454975779</v>
      </c>
      <c r="X33" s="19">
        <f t="shared" si="33"/>
        <v>-0.13151660353619851</v>
      </c>
      <c r="Y33" s="19">
        <f t="shared" si="33"/>
        <v>-0.51503307276007215</v>
      </c>
      <c r="Z33" s="19">
        <f t="shared" si="33"/>
        <v>-0.79829754266076003</v>
      </c>
      <c r="AA33" s="19">
        <f t="shared" si="33"/>
        <v>-0.91780183637111146</v>
      </c>
      <c r="AB33" s="19">
        <f t="shared" si="33"/>
        <v>-0.66059575625680089</v>
      </c>
      <c r="AC33" s="19">
        <f t="shared" si="33"/>
        <v>-1.232460606060606</v>
      </c>
      <c r="AD33" s="19">
        <f t="shared" si="33"/>
        <v>-0.83648577647676947</v>
      </c>
      <c r="AE33" s="19">
        <f t="shared" si="33"/>
        <v>-0.640064616852422</v>
      </c>
      <c r="AF33" s="19">
        <f t="shared" si="33"/>
        <v>-0.52379367394688148</v>
      </c>
      <c r="AG33" s="19">
        <f t="shared" si="33"/>
        <v>-0.93599957510091358</v>
      </c>
      <c r="AH33" s="19">
        <f t="shared" si="33"/>
        <v>-2.1052131543587724</v>
      </c>
      <c r="AI33" s="19">
        <f t="shared" si="33"/>
        <v>-0.71903231353253183</v>
      </c>
      <c r="AJ33" s="19">
        <f t="shared" si="33"/>
        <v>-0.37000590223748459</v>
      </c>
      <c r="AK33" s="19">
        <f>AK32/AK11</f>
        <v>-0.32807446361997877</v>
      </c>
      <c r="AL33" s="19">
        <f>AL32/AL11</f>
        <v>-0.58522267734613476</v>
      </c>
      <c r="AM33" s="19">
        <f>AM32/AM11</f>
        <v>-0.76974000087296857</v>
      </c>
      <c r="AN33" s="19">
        <f>AN32/AN11</f>
        <v>-0.3901117959390592</v>
      </c>
      <c r="AO33" s="30"/>
      <c r="AP33" s="19">
        <f t="shared" ref="AP33:AZ33" si="34">AP32/AP11</f>
        <v>-0.87397507477329306</v>
      </c>
      <c r="AQ33" s="19">
        <f t="shared" si="34"/>
        <v>-0.80832632171146634</v>
      </c>
      <c r="AR33" s="19">
        <f t="shared" si="34"/>
        <v>-0.78774910810121546</v>
      </c>
      <c r="AS33" s="19">
        <f t="shared" si="34"/>
        <v>-0.71474823744762395</v>
      </c>
      <c r="AT33" s="19">
        <f t="shared" si="34"/>
        <v>-0.98476305857136204</v>
      </c>
      <c r="AU33" s="19">
        <f t="shared" si="34"/>
        <v>-1.0205819252439992</v>
      </c>
      <c r="AV33" s="19">
        <f t="shared" si="34"/>
        <v>-0.98949899143744557</v>
      </c>
      <c r="AW33" s="19">
        <f t="shared" si="34"/>
        <v>-0.83631709601728743</v>
      </c>
      <c r="AX33" s="19">
        <f t="shared" si="34"/>
        <v>-0.49096957592540402</v>
      </c>
      <c r="AY33" s="19">
        <f t="shared" si="34"/>
        <v>-0.49697102446961638</v>
      </c>
      <c r="AZ33" s="19">
        <f t="shared" si="34"/>
        <v>-0.50965147186190285</v>
      </c>
      <c r="BA33" s="46"/>
      <c r="BB33" s="85">
        <f>SUM(AZ33-AV33)*1000</f>
        <v>479.84751957554272</v>
      </c>
    </row>
    <row r="34" spans="1:54" ht="5.0999999999999996" customHeight="1">
      <c r="B34" s="17"/>
      <c r="C34" s="19"/>
      <c r="D34" s="19"/>
      <c r="E34" s="19"/>
      <c r="F34" s="19"/>
      <c r="G34" s="19"/>
      <c r="H34" s="19"/>
      <c r="I34" s="19"/>
      <c r="J34" s="2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30"/>
      <c r="AP34" s="19"/>
      <c r="AQ34" s="19"/>
      <c r="AR34" s="19"/>
      <c r="AS34" s="19"/>
      <c r="AT34" s="19"/>
      <c r="AU34" s="19"/>
      <c r="AV34" s="19"/>
      <c r="AW34" s="19"/>
      <c r="AX34" s="19"/>
      <c r="AY34" s="19"/>
      <c r="AZ34" s="19"/>
      <c r="BA34" s="46"/>
      <c r="BB34" s="85"/>
    </row>
    <row r="35" spans="1:54" ht="12.75" customHeight="1">
      <c r="B35" s="49" t="s">
        <v>103</v>
      </c>
      <c r="C35" s="92"/>
      <c r="D35" s="92"/>
      <c r="E35" s="92"/>
      <c r="F35" s="92"/>
      <c r="G35" s="92"/>
      <c r="H35" s="92"/>
      <c r="I35" s="92"/>
      <c r="J35" s="29"/>
      <c r="K35" s="92"/>
      <c r="L35" s="92"/>
      <c r="M35" s="92"/>
      <c r="N35" s="92">
        <f>D35</f>
        <v>0</v>
      </c>
      <c r="O35" s="92"/>
      <c r="P35" s="92"/>
      <c r="Q35" s="92"/>
      <c r="R35" s="92">
        <f>H35</f>
        <v>0</v>
      </c>
      <c r="S35" s="92"/>
      <c r="T35" s="92"/>
      <c r="U35" s="92"/>
      <c r="V35" s="92">
        <f>L35</f>
        <v>0</v>
      </c>
      <c r="W35" s="92"/>
      <c r="X35" s="92"/>
      <c r="Y35" s="92"/>
      <c r="Z35" s="92">
        <f>P35</f>
        <v>0</v>
      </c>
      <c r="AA35" s="92"/>
      <c r="AB35" s="92"/>
      <c r="AC35" s="92"/>
      <c r="AD35" s="92">
        <f>T35</f>
        <v>0</v>
      </c>
      <c r="AE35" s="92"/>
      <c r="AF35" s="92"/>
      <c r="AG35" s="92"/>
      <c r="AH35" s="92">
        <f>X35</f>
        <v>0</v>
      </c>
      <c r="AI35" s="92"/>
      <c r="AJ35" s="92"/>
      <c r="AK35" s="92"/>
      <c r="AL35" s="92">
        <f>AB35</f>
        <v>0</v>
      </c>
      <c r="AM35" s="34"/>
      <c r="AN35" s="92"/>
      <c r="AO35" s="30"/>
      <c r="AP35" s="34">
        <f t="shared" ref="AP35:AY35" si="35">AD35</f>
        <v>0</v>
      </c>
      <c r="AQ35" s="34">
        <f t="shared" si="35"/>
        <v>0</v>
      </c>
      <c r="AR35" s="34">
        <f t="shared" si="35"/>
        <v>0</v>
      </c>
      <c r="AS35" s="34">
        <f t="shared" si="35"/>
        <v>0</v>
      </c>
      <c r="AT35" s="34">
        <f t="shared" si="35"/>
        <v>0</v>
      </c>
      <c r="AU35" s="34">
        <f t="shared" si="35"/>
        <v>0</v>
      </c>
      <c r="AV35" s="34">
        <f t="shared" si="35"/>
        <v>0</v>
      </c>
      <c r="AW35" s="34">
        <f t="shared" si="35"/>
        <v>0</v>
      </c>
      <c r="AX35" s="34">
        <f t="shared" si="35"/>
        <v>0</v>
      </c>
      <c r="AY35" s="34">
        <f t="shared" si="35"/>
        <v>0</v>
      </c>
      <c r="AZ35" s="34">
        <f>AN35</f>
        <v>0</v>
      </c>
      <c r="BA35" s="46"/>
      <c r="BB35" s="85"/>
    </row>
    <row r="36" spans="1:54" ht="12.75" customHeight="1">
      <c r="B36" s="14" t="s">
        <v>104</v>
      </c>
      <c r="C36" s="86" t="e">
        <f t="shared" ref="C36:I36" si="36">C32/C35</f>
        <v>#DIV/0!</v>
      </c>
      <c r="D36" s="86" t="e">
        <f t="shared" si="36"/>
        <v>#DIV/0!</v>
      </c>
      <c r="E36" s="86" t="e">
        <f t="shared" si="36"/>
        <v>#DIV/0!</v>
      </c>
      <c r="F36" s="86" t="e">
        <f t="shared" si="36"/>
        <v>#DIV/0!</v>
      </c>
      <c r="G36" s="86" t="e">
        <f t="shared" si="36"/>
        <v>#DIV/0!</v>
      </c>
      <c r="H36" s="86" t="e">
        <f t="shared" si="36"/>
        <v>#DIV/0!</v>
      </c>
      <c r="I36" s="86" t="e">
        <f t="shared" si="36"/>
        <v>#DIV/0!</v>
      </c>
      <c r="J36" s="12"/>
      <c r="K36" s="86" t="e">
        <f t="shared" ref="K36:AJ36" si="37">K32/K35</f>
        <v>#DIV/0!</v>
      </c>
      <c r="L36" s="86" t="e">
        <f t="shared" si="37"/>
        <v>#DIV/0!</v>
      </c>
      <c r="M36" s="86" t="e">
        <f t="shared" si="37"/>
        <v>#DIV/0!</v>
      </c>
      <c r="N36" s="86" t="e">
        <f t="shared" si="37"/>
        <v>#DIV/0!</v>
      </c>
      <c r="O36" s="86" t="e">
        <f t="shared" si="37"/>
        <v>#DIV/0!</v>
      </c>
      <c r="P36" s="86" t="e">
        <f t="shared" si="37"/>
        <v>#DIV/0!</v>
      </c>
      <c r="Q36" s="86" t="e">
        <f t="shared" si="37"/>
        <v>#DIV/0!</v>
      </c>
      <c r="R36" s="86" t="e">
        <f>R32/R35</f>
        <v>#DIV/0!</v>
      </c>
      <c r="S36" s="86" t="e">
        <f t="shared" si="37"/>
        <v>#DIV/0!</v>
      </c>
      <c r="T36" s="86" t="e">
        <f t="shared" si="37"/>
        <v>#DIV/0!</v>
      </c>
      <c r="U36" s="86" t="e">
        <f t="shared" si="37"/>
        <v>#DIV/0!</v>
      </c>
      <c r="V36" s="86" t="e">
        <f>V32/V35</f>
        <v>#DIV/0!</v>
      </c>
      <c r="W36" s="86" t="e">
        <f t="shared" si="37"/>
        <v>#DIV/0!</v>
      </c>
      <c r="X36" s="86" t="e">
        <f t="shared" si="37"/>
        <v>#DIV/0!</v>
      </c>
      <c r="Y36" s="86" t="e">
        <f t="shared" si="37"/>
        <v>#DIV/0!</v>
      </c>
      <c r="Z36" s="86" t="e">
        <f>Z32/Z35</f>
        <v>#DIV/0!</v>
      </c>
      <c r="AA36" s="86" t="e">
        <f t="shared" si="37"/>
        <v>#DIV/0!</v>
      </c>
      <c r="AB36" s="86" t="e">
        <f t="shared" si="37"/>
        <v>#DIV/0!</v>
      </c>
      <c r="AC36" s="86" t="e">
        <f t="shared" si="37"/>
        <v>#DIV/0!</v>
      </c>
      <c r="AD36" s="86" t="e">
        <f>AD32/AD35</f>
        <v>#DIV/0!</v>
      </c>
      <c r="AE36" s="86" t="e">
        <f t="shared" si="37"/>
        <v>#DIV/0!</v>
      </c>
      <c r="AF36" s="86" t="e">
        <f t="shared" si="37"/>
        <v>#DIV/0!</v>
      </c>
      <c r="AG36" s="86" t="e">
        <f t="shared" si="37"/>
        <v>#DIV/0!</v>
      </c>
      <c r="AH36" s="86" t="e">
        <f>AH32/AH35</f>
        <v>#DIV/0!</v>
      </c>
      <c r="AI36" s="86" t="e">
        <f t="shared" si="37"/>
        <v>#DIV/0!</v>
      </c>
      <c r="AJ36" s="86" t="e">
        <f t="shared" si="37"/>
        <v>#DIV/0!</v>
      </c>
      <c r="AK36" s="86" t="e">
        <f>AK32/AK35</f>
        <v>#DIV/0!</v>
      </c>
      <c r="AL36" s="86" t="e">
        <f>AL32/AL35</f>
        <v>#DIV/0!</v>
      </c>
      <c r="AM36" s="86" t="e">
        <f>AM32/AM35</f>
        <v>#DIV/0!</v>
      </c>
      <c r="AN36" s="86" t="e">
        <f>AN32/AN35</f>
        <v>#DIV/0!</v>
      </c>
      <c r="AO36" s="30"/>
      <c r="AP36" s="86" t="e">
        <f t="shared" ref="AP36:AZ36" si="38">AP32/AP35</f>
        <v>#DIV/0!</v>
      </c>
      <c r="AQ36" s="86" t="e">
        <f t="shared" si="38"/>
        <v>#DIV/0!</v>
      </c>
      <c r="AR36" s="86" t="e">
        <f t="shared" si="38"/>
        <v>#DIV/0!</v>
      </c>
      <c r="AS36" s="86" t="e">
        <f t="shared" si="38"/>
        <v>#DIV/0!</v>
      </c>
      <c r="AT36" s="86" t="e">
        <f t="shared" si="38"/>
        <v>#DIV/0!</v>
      </c>
      <c r="AU36" s="86" t="e">
        <f t="shared" si="38"/>
        <v>#DIV/0!</v>
      </c>
      <c r="AV36" s="86" t="e">
        <f t="shared" si="38"/>
        <v>#DIV/0!</v>
      </c>
      <c r="AW36" s="86" t="e">
        <f t="shared" si="38"/>
        <v>#DIV/0!</v>
      </c>
      <c r="AX36" s="86" t="e">
        <f t="shared" si="38"/>
        <v>#DIV/0!</v>
      </c>
      <c r="AY36" s="86" t="e">
        <f t="shared" si="38"/>
        <v>#DIV/0!</v>
      </c>
      <c r="AZ36" s="86" t="e">
        <f t="shared" si="38"/>
        <v>#DIV/0!</v>
      </c>
      <c r="BA36" s="38"/>
      <c r="BB36" s="84" t="e">
        <f>SUM(AZ36/AV36)-1</f>
        <v>#DIV/0!</v>
      </c>
    </row>
    <row r="37" spans="1:54" ht="5.0999999999999996" customHeight="1">
      <c r="B37" s="17"/>
      <c r="C37" s="19"/>
      <c r="D37" s="19"/>
      <c r="E37" s="19"/>
      <c r="F37" s="19"/>
      <c r="G37" s="19"/>
      <c r="H37" s="19"/>
      <c r="I37" s="19"/>
      <c r="J37" s="2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34"/>
      <c r="AN37" s="19"/>
      <c r="AO37" s="30"/>
      <c r="AP37" s="19"/>
      <c r="AQ37" s="19"/>
      <c r="AR37" s="19"/>
      <c r="AS37" s="19"/>
      <c r="AT37" s="19"/>
      <c r="AU37" s="19"/>
      <c r="AV37" s="19"/>
      <c r="AW37" s="19"/>
      <c r="AX37" s="19"/>
      <c r="AY37" s="19"/>
      <c r="AZ37" s="19"/>
      <c r="BA37" s="46"/>
      <c r="BB37" s="85"/>
    </row>
    <row r="38" spans="1:54" ht="12.75" customHeight="1">
      <c r="B38" s="49" t="s">
        <v>105</v>
      </c>
      <c r="C38" s="92">
        <v>6287.1719999999996</v>
      </c>
      <c r="D38" s="92">
        <v>42274.777000000002</v>
      </c>
      <c r="E38" s="92"/>
      <c r="F38" s="92"/>
      <c r="G38" s="92"/>
      <c r="H38" s="92"/>
      <c r="I38" s="92"/>
      <c r="J38" s="29"/>
      <c r="K38" s="92"/>
      <c r="L38" s="92"/>
      <c r="M38" s="92"/>
      <c r="N38" s="34">
        <f>D38</f>
        <v>42274.777000000002</v>
      </c>
      <c r="O38" s="92"/>
      <c r="P38" s="92"/>
      <c r="Q38" s="92"/>
      <c r="R38" s="34">
        <f>H38</f>
        <v>0</v>
      </c>
      <c r="S38" s="92"/>
      <c r="T38" s="92"/>
      <c r="U38" s="92"/>
      <c r="V38" s="34">
        <f>L38</f>
        <v>0</v>
      </c>
      <c r="W38" s="92"/>
      <c r="X38" s="92"/>
      <c r="Y38" s="92"/>
      <c r="Z38" s="34">
        <f>P38</f>
        <v>0</v>
      </c>
      <c r="AA38" s="92"/>
      <c r="AB38" s="92"/>
      <c r="AC38" s="92"/>
      <c r="AD38" s="34">
        <f>T38</f>
        <v>0</v>
      </c>
      <c r="AE38" s="92"/>
      <c r="AF38" s="92"/>
      <c r="AG38" s="92"/>
      <c r="AH38" s="34">
        <f>X38</f>
        <v>0</v>
      </c>
      <c r="AI38" s="92"/>
      <c r="AJ38" s="92"/>
      <c r="AK38" s="92"/>
      <c r="AL38" s="34">
        <f>AB38</f>
        <v>0</v>
      </c>
      <c r="AM38" s="34"/>
      <c r="AN38" s="92"/>
      <c r="AO38" s="34"/>
      <c r="AP38" s="34">
        <f t="shared" ref="AP38:AZ38" si="39">AD38</f>
        <v>0</v>
      </c>
      <c r="AQ38" s="34">
        <f t="shared" si="39"/>
        <v>0</v>
      </c>
      <c r="AR38" s="34">
        <f t="shared" si="39"/>
        <v>0</v>
      </c>
      <c r="AS38" s="34">
        <f t="shared" si="39"/>
        <v>0</v>
      </c>
      <c r="AT38" s="34">
        <f t="shared" si="39"/>
        <v>0</v>
      </c>
      <c r="AU38" s="34">
        <f t="shared" si="39"/>
        <v>0</v>
      </c>
      <c r="AV38" s="34">
        <f t="shared" si="39"/>
        <v>0</v>
      </c>
      <c r="AW38" s="34">
        <f t="shared" si="39"/>
        <v>0</v>
      </c>
      <c r="AX38" s="34">
        <f t="shared" si="39"/>
        <v>0</v>
      </c>
      <c r="AY38" s="34">
        <f t="shared" si="39"/>
        <v>0</v>
      </c>
      <c r="AZ38" s="34">
        <f t="shared" si="39"/>
        <v>0</v>
      </c>
      <c r="BA38" s="46"/>
      <c r="BB38" s="85"/>
    </row>
    <row r="39" spans="1:54" ht="12.75" customHeight="1">
      <c r="B39" s="14" t="s">
        <v>106</v>
      </c>
      <c r="C39" s="86">
        <f t="shared" ref="C39:I39" si="40">C32/C38</f>
        <v>-4.7534885318868332</v>
      </c>
      <c r="D39" s="86">
        <f t="shared" si="40"/>
        <v>-0.29433626580691363</v>
      </c>
      <c r="E39" s="86" t="e">
        <f t="shared" si="40"/>
        <v>#DIV/0!</v>
      </c>
      <c r="F39" s="86" t="e">
        <f t="shared" si="40"/>
        <v>#DIV/0!</v>
      </c>
      <c r="G39" s="86" t="e">
        <f t="shared" si="40"/>
        <v>#DIV/0!</v>
      </c>
      <c r="H39" s="86" t="e">
        <f t="shared" si="40"/>
        <v>#DIV/0!</v>
      </c>
      <c r="I39" s="86" t="e">
        <f t="shared" si="40"/>
        <v>#DIV/0!</v>
      </c>
      <c r="J39" s="29"/>
      <c r="K39" s="86" t="e">
        <f t="shared" ref="K39:AJ39" si="41">K32/K38</f>
        <v>#DIV/0!</v>
      </c>
      <c r="L39" s="86" t="e">
        <f t="shared" si="41"/>
        <v>#DIV/0!</v>
      </c>
      <c r="M39" s="86" t="e">
        <f t="shared" si="41"/>
        <v>#DIV/0!</v>
      </c>
      <c r="N39" s="86">
        <f t="shared" si="41"/>
        <v>-0.17627532369951945</v>
      </c>
      <c r="O39" s="86" t="e">
        <f t="shared" si="41"/>
        <v>#DIV/0!</v>
      </c>
      <c r="P39" s="86" t="e">
        <f t="shared" si="41"/>
        <v>#DIV/0!</v>
      </c>
      <c r="Q39" s="86" t="e">
        <f t="shared" si="41"/>
        <v>#DIV/0!</v>
      </c>
      <c r="R39" s="86" t="e">
        <f t="shared" si="41"/>
        <v>#DIV/0!</v>
      </c>
      <c r="S39" s="86" t="e">
        <f t="shared" si="41"/>
        <v>#DIV/0!</v>
      </c>
      <c r="T39" s="86" t="e">
        <f t="shared" si="41"/>
        <v>#DIV/0!</v>
      </c>
      <c r="U39" s="86" t="e">
        <f t="shared" si="41"/>
        <v>#DIV/0!</v>
      </c>
      <c r="V39" s="86" t="e">
        <f t="shared" si="41"/>
        <v>#DIV/0!</v>
      </c>
      <c r="W39" s="86" t="e">
        <f t="shared" si="41"/>
        <v>#DIV/0!</v>
      </c>
      <c r="X39" s="86" t="e">
        <f t="shared" si="41"/>
        <v>#DIV/0!</v>
      </c>
      <c r="Y39" s="86" t="e">
        <f t="shared" si="41"/>
        <v>#DIV/0!</v>
      </c>
      <c r="Z39" s="86" t="e">
        <f t="shared" si="41"/>
        <v>#DIV/0!</v>
      </c>
      <c r="AA39" s="86" t="e">
        <f t="shared" si="41"/>
        <v>#DIV/0!</v>
      </c>
      <c r="AB39" s="86" t="e">
        <f t="shared" si="41"/>
        <v>#DIV/0!</v>
      </c>
      <c r="AC39" s="86" t="e">
        <f t="shared" si="41"/>
        <v>#DIV/0!</v>
      </c>
      <c r="AD39" s="86" t="e">
        <f t="shared" si="41"/>
        <v>#DIV/0!</v>
      </c>
      <c r="AE39" s="86" t="e">
        <f t="shared" si="41"/>
        <v>#DIV/0!</v>
      </c>
      <c r="AF39" s="86" t="e">
        <f t="shared" si="41"/>
        <v>#DIV/0!</v>
      </c>
      <c r="AG39" s="86" t="e">
        <f t="shared" si="41"/>
        <v>#DIV/0!</v>
      </c>
      <c r="AH39" s="86" t="e">
        <f t="shared" si="41"/>
        <v>#DIV/0!</v>
      </c>
      <c r="AI39" s="86" t="e">
        <f t="shared" si="41"/>
        <v>#DIV/0!</v>
      </c>
      <c r="AJ39" s="86" t="e">
        <f t="shared" si="41"/>
        <v>#DIV/0!</v>
      </c>
      <c r="AK39" s="86" t="e">
        <f>AK32/AK38</f>
        <v>#DIV/0!</v>
      </c>
      <c r="AL39" s="86" t="e">
        <f>AL32/AL38</f>
        <v>#DIV/0!</v>
      </c>
      <c r="AM39" s="86" t="e">
        <f>AM32/AM38</f>
        <v>#DIV/0!</v>
      </c>
      <c r="AN39" s="86" t="e">
        <f>AN32/AN38</f>
        <v>#DIV/0!</v>
      </c>
      <c r="AO39" s="34"/>
      <c r="AP39" s="86" t="e">
        <f t="shared" ref="AP39:AZ39" si="42">AP32/AP38</f>
        <v>#DIV/0!</v>
      </c>
      <c r="AQ39" s="86" t="e">
        <f t="shared" si="42"/>
        <v>#DIV/0!</v>
      </c>
      <c r="AR39" s="86" t="e">
        <f t="shared" si="42"/>
        <v>#DIV/0!</v>
      </c>
      <c r="AS39" s="86" t="e">
        <f t="shared" si="42"/>
        <v>#DIV/0!</v>
      </c>
      <c r="AT39" s="86" t="e">
        <f t="shared" si="42"/>
        <v>#DIV/0!</v>
      </c>
      <c r="AU39" s="86" t="e">
        <f t="shared" si="42"/>
        <v>#DIV/0!</v>
      </c>
      <c r="AV39" s="86" t="e">
        <f t="shared" si="42"/>
        <v>#DIV/0!</v>
      </c>
      <c r="AW39" s="86" t="e">
        <f t="shared" si="42"/>
        <v>#DIV/0!</v>
      </c>
      <c r="AX39" s="86" t="e">
        <f t="shared" si="42"/>
        <v>#DIV/0!</v>
      </c>
      <c r="AY39" s="86" t="e">
        <f t="shared" si="42"/>
        <v>#DIV/0!</v>
      </c>
      <c r="AZ39" s="86" t="e">
        <f t="shared" si="42"/>
        <v>#DIV/0!</v>
      </c>
      <c r="BA39" s="38"/>
      <c r="BB39" s="84" t="e">
        <f>SUM(AZ39/AV39)-1</f>
        <v>#DIV/0!</v>
      </c>
    </row>
    <row r="40" spans="1:54">
      <c r="B40" s="17"/>
      <c r="C40" s="19"/>
      <c r="D40" s="19"/>
      <c r="E40" s="19"/>
      <c r="F40" s="19"/>
      <c r="G40" s="19"/>
      <c r="H40" s="19"/>
      <c r="I40" s="19"/>
      <c r="J40" s="2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30"/>
      <c r="AP40" s="19"/>
      <c r="AQ40" s="19"/>
      <c r="AR40" s="19"/>
      <c r="AS40" s="19"/>
      <c r="AT40" s="19"/>
      <c r="AU40" s="19"/>
      <c r="AV40" s="19"/>
      <c r="AW40" s="19"/>
      <c r="AX40" s="19"/>
      <c r="AY40" s="19"/>
      <c r="AZ40" s="19"/>
      <c r="BA40" s="46"/>
    </row>
    <row r="41" spans="1:54" ht="12.75" customHeight="1">
      <c r="A41" s="5" t="s">
        <v>25</v>
      </c>
      <c r="B41" s="399" t="s">
        <v>456</v>
      </c>
      <c r="C41" s="400"/>
      <c r="D41" s="400"/>
      <c r="E41" s="400"/>
      <c r="F41" s="400"/>
      <c r="G41" s="400"/>
      <c r="H41" s="400"/>
      <c r="I41" s="400"/>
      <c r="J41" s="401"/>
      <c r="K41" s="400" t="s">
        <v>1</v>
      </c>
      <c r="L41" s="400"/>
      <c r="M41" s="400"/>
      <c r="N41" s="400"/>
      <c r="O41" s="400"/>
      <c r="P41" s="400"/>
      <c r="Q41" s="400"/>
      <c r="R41" s="400"/>
      <c r="S41" s="400"/>
      <c r="T41" s="400"/>
      <c r="U41" s="400"/>
      <c r="V41" s="400"/>
      <c r="W41" s="400"/>
      <c r="X41" s="400"/>
      <c r="Y41" s="400"/>
      <c r="Z41" s="400"/>
      <c r="AA41" s="400"/>
      <c r="AB41" s="400"/>
      <c r="AC41" s="400"/>
      <c r="AD41" s="400"/>
      <c r="AE41" s="400"/>
      <c r="AF41" s="400"/>
      <c r="AG41" s="400"/>
      <c r="AH41" s="400"/>
      <c r="AI41" s="400"/>
      <c r="AJ41" s="400"/>
      <c r="AK41" s="400"/>
      <c r="AL41" s="400"/>
      <c r="AM41" s="400"/>
      <c r="AN41" s="400"/>
      <c r="AO41" s="399"/>
      <c r="AP41" s="400"/>
      <c r="AQ41" s="400"/>
      <c r="AR41" s="400"/>
      <c r="AS41" s="400"/>
      <c r="AT41" s="400"/>
      <c r="AU41" s="400"/>
      <c r="AV41" s="400" t="s">
        <v>10</v>
      </c>
      <c r="AW41" s="400"/>
      <c r="AX41" s="400"/>
      <c r="AY41" s="400"/>
      <c r="AZ41" s="400"/>
      <c r="BA41" s="401"/>
      <c r="BB41" s="555" t="s">
        <v>38</v>
      </c>
    </row>
    <row r="42" spans="1:54" ht="12.75" customHeight="1">
      <c r="B42" s="403" t="str">
        <f>B7</f>
        <v>Fiscal Period</v>
      </c>
      <c r="C42" s="402">
        <f t="shared" ref="C42:I42" si="43">C7</f>
        <v>2018</v>
      </c>
      <c r="D42" s="402">
        <f t="shared" si="43"/>
        <v>2019</v>
      </c>
      <c r="E42" s="402">
        <f t="shared" si="43"/>
        <v>2020</v>
      </c>
      <c r="F42" s="402">
        <f t="shared" si="43"/>
        <v>2021</v>
      </c>
      <c r="G42" s="402">
        <f t="shared" si="43"/>
        <v>2022</v>
      </c>
      <c r="H42" s="402">
        <f t="shared" si="43"/>
        <v>2023</v>
      </c>
      <c r="I42" s="402">
        <f t="shared" si="43"/>
        <v>2024</v>
      </c>
      <c r="J42" s="401"/>
      <c r="K42" s="402" t="str">
        <f t="shared" ref="K42:AN42" si="44">K7</f>
        <v>1Q18</v>
      </c>
      <c r="L42" s="402" t="str">
        <f t="shared" si="44"/>
        <v>2Q18</v>
      </c>
      <c r="M42" s="402" t="str">
        <f t="shared" si="44"/>
        <v>3Q18</v>
      </c>
      <c r="N42" s="402" t="str">
        <f t="shared" si="44"/>
        <v>4Q18</v>
      </c>
      <c r="O42" s="402" t="str">
        <f t="shared" si="44"/>
        <v>1Q19</v>
      </c>
      <c r="P42" s="402" t="str">
        <f t="shared" si="44"/>
        <v>2Q19</v>
      </c>
      <c r="Q42" s="402" t="str">
        <f t="shared" si="44"/>
        <v>3Q19</v>
      </c>
      <c r="R42" s="402" t="str">
        <f t="shared" si="44"/>
        <v>4Q19</v>
      </c>
      <c r="S42" s="402" t="str">
        <f t="shared" si="44"/>
        <v>1Q20</v>
      </c>
      <c r="T42" s="402" t="str">
        <f t="shared" si="44"/>
        <v>2Q20</v>
      </c>
      <c r="U42" s="402" t="str">
        <f t="shared" si="44"/>
        <v>3Q20</v>
      </c>
      <c r="V42" s="402" t="str">
        <f t="shared" si="44"/>
        <v>4Q20</v>
      </c>
      <c r="W42" s="402" t="str">
        <f t="shared" si="44"/>
        <v>1Q21</v>
      </c>
      <c r="X42" s="402" t="str">
        <f t="shared" si="44"/>
        <v>2Q21</v>
      </c>
      <c r="Y42" s="402" t="str">
        <f t="shared" si="44"/>
        <v>3Q21</v>
      </c>
      <c r="Z42" s="402" t="str">
        <f t="shared" si="44"/>
        <v>4Q21</v>
      </c>
      <c r="AA42" s="402" t="str">
        <f t="shared" si="44"/>
        <v>1Q22</v>
      </c>
      <c r="AB42" s="402" t="str">
        <f t="shared" si="44"/>
        <v>2Q22</v>
      </c>
      <c r="AC42" s="402" t="str">
        <f t="shared" si="44"/>
        <v>3Q22</v>
      </c>
      <c r="AD42" s="402" t="str">
        <f t="shared" si="44"/>
        <v>4Q22</v>
      </c>
      <c r="AE42" s="402" t="str">
        <f t="shared" si="44"/>
        <v>1Q23</v>
      </c>
      <c r="AF42" s="402" t="str">
        <f t="shared" si="44"/>
        <v>2Q23</v>
      </c>
      <c r="AG42" s="402" t="str">
        <f t="shared" si="44"/>
        <v>3Q23</v>
      </c>
      <c r="AH42" s="402" t="str">
        <f t="shared" si="44"/>
        <v>4Q23</v>
      </c>
      <c r="AI42" s="402" t="str">
        <f t="shared" si="44"/>
        <v>1Q24</v>
      </c>
      <c r="AJ42" s="402" t="str">
        <f t="shared" si="44"/>
        <v>2Q24</v>
      </c>
      <c r="AK42" s="402" t="str">
        <f t="shared" si="44"/>
        <v>3Q24</v>
      </c>
      <c r="AL42" s="402" t="str">
        <f t="shared" si="44"/>
        <v>4Q24</v>
      </c>
      <c r="AM42" s="402" t="str">
        <f t="shared" si="44"/>
        <v>1Q25</v>
      </c>
      <c r="AN42" s="402" t="str">
        <f t="shared" si="44"/>
        <v>2Q25</v>
      </c>
      <c r="AO42" s="404"/>
      <c r="AP42" s="402" t="str">
        <f t="shared" ref="AP42:AZ42" si="45">AP7</f>
        <v>4Q22</v>
      </c>
      <c r="AQ42" s="402" t="str">
        <f t="shared" si="45"/>
        <v>1Q23</v>
      </c>
      <c r="AR42" s="402" t="str">
        <f t="shared" si="45"/>
        <v>2Q23</v>
      </c>
      <c r="AS42" s="402" t="str">
        <f t="shared" si="45"/>
        <v>3Q23</v>
      </c>
      <c r="AT42" s="402" t="str">
        <f t="shared" si="45"/>
        <v>4Q23</v>
      </c>
      <c r="AU42" s="402" t="str">
        <f t="shared" si="45"/>
        <v>1Q24</v>
      </c>
      <c r="AV42" s="402" t="str">
        <f t="shared" si="45"/>
        <v>2Q24</v>
      </c>
      <c r="AW42" s="402" t="str">
        <f t="shared" si="45"/>
        <v>3Q24</v>
      </c>
      <c r="AX42" s="402" t="str">
        <f t="shared" si="45"/>
        <v>4Q24</v>
      </c>
      <c r="AY42" s="402" t="str">
        <f t="shared" si="45"/>
        <v>1Q25</v>
      </c>
      <c r="AZ42" s="402" t="str">
        <f t="shared" si="45"/>
        <v>2Q25</v>
      </c>
      <c r="BA42" s="401"/>
      <c r="BB42" s="555"/>
    </row>
    <row r="43" spans="1:54" ht="12.75" customHeight="1">
      <c r="B43" s="403" t="str">
        <f>B8</f>
        <v>Fiscal Period End Date</v>
      </c>
      <c r="C43" s="405">
        <f t="shared" ref="C43:I43" si="46">C8</f>
        <v>43465</v>
      </c>
      <c r="D43" s="405">
        <f t="shared" si="46"/>
        <v>43830</v>
      </c>
      <c r="E43" s="405">
        <f t="shared" si="46"/>
        <v>44196</v>
      </c>
      <c r="F43" s="405">
        <f t="shared" si="46"/>
        <v>44561</v>
      </c>
      <c r="G43" s="405">
        <f t="shared" si="46"/>
        <v>44926</v>
      </c>
      <c r="H43" s="405">
        <f t="shared" si="46"/>
        <v>45291</v>
      </c>
      <c r="I43" s="405">
        <f t="shared" si="46"/>
        <v>45657</v>
      </c>
      <c r="J43" s="401"/>
      <c r="K43" s="405">
        <f t="shared" ref="K43:AN43" si="47">K8</f>
        <v>43190</v>
      </c>
      <c r="L43" s="405">
        <f t="shared" si="47"/>
        <v>43281</v>
      </c>
      <c r="M43" s="405">
        <f t="shared" si="47"/>
        <v>43372</v>
      </c>
      <c r="N43" s="405">
        <f t="shared" si="47"/>
        <v>43465</v>
      </c>
      <c r="O43" s="405">
        <f t="shared" si="47"/>
        <v>43554</v>
      </c>
      <c r="P43" s="405">
        <f t="shared" si="47"/>
        <v>43645</v>
      </c>
      <c r="Q43" s="405">
        <f t="shared" si="47"/>
        <v>43736</v>
      </c>
      <c r="R43" s="405">
        <f t="shared" si="47"/>
        <v>43830</v>
      </c>
      <c r="S43" s="405">
        <f t="shared" si="47"/>
        <v>43918</v>
      </c>
      <c r="T43" s="405">
        <f t="shared" si="47"/>
        <v>44009</v>
      </c>
      <c r="U43" s="405">
        <f t="shared" si="47"/>
        <v>44100</v>
      </c>
      <c r="V43" s="405">
        <f t="shared" si="47"/>
        <v>44196</v>
      </c>
      <c r="W43" s="405">
        <f t="shared" si="47"/>
        <v>44289</v>
      </c>
      <c r="X43" s="405">
        <f t="shared" si="47"/>
        <v>44380</v>
      </c>
      <c r="Y43" s="405">
        <f t="shared" si="47"/>
        <v>44471</v>
      </c>
      <c r="Z43" s="405">
        <f t="shared" si="47"/>
        <v>44561</v>
      </c>
      <c r="AA43" s="405">
        <f t="shared" si="47"/>
        <v>44653</v>
      </c>
      <c r="AB43" s="405">
        <f t="shared" si="47"/>
        <v>44744</v>
      </c>
      <c r="AC43" s="405">
        <f t="shared" si="47"/>
        <v>44835</v>
      </c>
      <c r="AD43" s="405">
        <f t="shared" si="47"/>
        <v>44926</v>
      </c>
      <c r="AE43" s="405">
        <f t="shared" si="47"/>
        <v>45017</v>
      </c>
      <c r="AF43" s="405">
        <f t="shared" si="47"/>
        <v>45108</v>
      </c>
      <c r="AG43" s="405">
        <f t="shared" si="47"/>
        <v>45199</v>
      </c>
      <c r="AH43" s="405">
        <f t="shared" si="47"/>
        <v>45291</v>
      </c>
      <c r="AI43" s="405">
        <f t="shared" si="47"/>
        <v>45381</v>
      </c>
      <c r="AJ43" s="405">
        <f t="shared" si="47"/>
        <v>45472</v>
      </c>
      <c r="AK43" s="405">
        <f t="shared" si="47"/>
        <v>45563</v>
      </c>
      <c r="AL43" s="405">
        <f t="shared" si="47"/>
        <v>45657</v>
      </c>
      <c r="AM43" s="405">
        <f t="shared" si="47"/>
        <v>45745</v>
      </c>
      <c r="AN43" s="405">
        <f t="shared" si="47"/>
        <v>45836</v>
      </c>
      <c r="AO43" s="406"/>
      <c r="AP43" s="405">
        <f t="shared" ref="AP43:AZ43" si="48">AP8</f>
        <v>44926</v>
      </c>
      <c r="AQ43" s="405">
        <f t="shared" si="48"/>
        <v>45017</v>
      </c>
      <c r="AR43" s="405">
        <f t="shared" si="48"/>
        <v>45108</v>
      </c>
      <c r="AS43" s="405">
        <f t="shared" si="48"/>
        <v>45199</v>
      </c>
      <c r="AT43" s="405">
        <f t="shared" si="48"/>
        <v>45291</v>
      </c>
      <c r="AU43" s="405">
        <f t="shared" si="48"/>
        <v>45381</v>
      </c>
      <c r="AV43" s="405">
        <f t="shared" si="48"/>
        <v>45472</v>
      </c>
      <c r="AW43" s="405">
        <f t="shared" si="48"/>
        <v>45563</v>
      </c>
      <c r="AX43" s="405">
        <f t="shared" si="48"/>
        <v>45657</v>
      </c>
      <c r="AY43" s="405">
        <f t="shared" si="48"/>
        <v>45745</v>
      </c>
      <c r="AZ43" s="405">
        <f t="shared" si="48"/>
        <v>45836</v>
      </c>
      <c r="BA43" s="401"/>
      <c r="BB43" s="555"/>
    </row>
    <row r="44" spans="1:54" ht="5.0999999999999996" customHeight="1">
      <c r="B44" s="51"/>
      <c r="C44" s="52"/>
      <c r="D44" s="52"/>
      <c r="E44" s="52"/>
      <c r="F44" s="52"/>
      <c r="G44" s="52"/>
      <c r="H44" s="52"/>
      <c r="I44" s="52"/>
    </row>
    <row r="45" spans="1:54">
      <c r="B45" s="87" t="s">
        <v>540</v>
      </c>
      <c r="C45" s="52"/>
      <c r="D45" s="52"/>
      <c r="E45" s="52"/>
      <c r="F45" s="52"/>
      <c r="G45" s="52"/>
      <c r="H45" s="52"/>
      <c r="I45" s="52"/>
    </row>
    <row r="46" spans="1:54" s="541" customFormat="1" ht="12.75" customHeight="1">
      <c r="B46" s="429" t="s">
        <v>538</v>
      </c>
      <c r="C46" s="542">
        <v>54271</v>
      </c>
      <c r="D46" s="542">
        <v>275988</v>
      </c>
      <c r="E46" s="542">
        <v>159127</v>
      </c>
      <c r="F46" s="542">
        <v>733294</v>
      </c>
      <c r="G46" s="542">
        <v>309922</v>
      </c>
      <c r="H46" s="542">
        <v>190505</v>
      </c>
      <c r="I46" s="542">
        <v>131913</v>
      </c>
      <c r="K46" s="542">
        <v>29047</v>
      </c>
      <c r="L46" s="542">
        <v>23489</v>
      </c>
      <c r="M46" s="542">
        <v>49780</v>
      </c>
      <c r="N46" s="378">
        <f>C46</f>
        <v>54271</v>
      </c>
      <c r="O46" s="542">
        <v>35409</v>
      </c>
      <c r="P46" s="542">
        <v>276987</v>
      </c>
      <c r="Q46" s="542">
        <v>312451</v>
      </c>
      <c r="R46" s="378">
        <f>D46</f>
        <v>275988</v>
      </c>
      <c r="S46" s="542">
        <v>246410</v>
      </c>
      <c r="T46" s="542">
        <v>222334</v>
      </c>
      <c r="U46" s="542">
        <v>214615</v>
      </c>
      <c r="V46" s="378">
        <f>E46</f>
        <v>159127</v>
      </c>
      <c r="W46" s="542">
        <v>1125017</v>
      </c>
      <c r="X46" s="542">
        <v>1009337</v>
      </c>
      <c r="Y46" s="542">
        <v>886442</v>
      </c>
      <c r="Z46" s="378">
        <f>F46</f>
        <v>733294</v>
      </c>
      <c r="AA46" s="542">
        <v>547858</v>
      </c>
      <c r="AB46" s="542">
        <v>454674</v>
      </c>
      <c r="AC46" s="542">
        <v>390176</v>
      </c>
      <c r="AD46" s="378">
        <f>G46</f>
        <v>309922</v>
      </c>
      <c r="AE46" s="542">
        <v>258566</v>
      </c>
      <c r="AF46" s="542">
        <v>210781</v>
      </c>
      <c r="AG46" s="542">
        <v>217545</v>
      </c>
      <c r="AH46" s="378">
        <f>H46</f>
        <v>190505</v>
      </c>
      <c r="AI46" s="542">
        <v>157913</v>
      </c>
      <c r="AJ46" s="542">
        <v>144873</v>
      </c>
      <c r="AK46" s="542">
        <v>121732</v>
      </c>
      <c r="AL46" s="378">
        <f>I46</f>
        <v>131913</v>
      </c>
      <c r="AM46" s="542">
        <v>102143</v>
      </c>
      <c r="AN46" s="542">
        <v>103497</v>
      </c>
      <c r="AP46" s="378">
        <f t="shared" ref="AP46:AZ50" si="49">AD46</f>
        <v>309922</v>
      </c>
      <c r="AQ46" s="378">
        <f t="shared" si="49"/>
        <v>258566</v>
      </c>
      <c r="AR46" s="378">
        <f t="shared" si="49"/>
        <v>210781</v>
      </c>
      <c r="AS46" s="378">
        <f t="shared" si="49"/>
        <v>217545</v>
      </c>
      <c r="AT46" s="378">
        <f t="shared" si="49"/>
        <v>190505</v>
      </c>
      <c r="AU46" s="378">
        <f t="shared" si="49"/>
        <v>157913</v>
      </c>
      <c r="AV46" s="378">
        <f t="shared" si="49"/>
        <v>144873</v>
      </c>
      <c r="AW46" s="378">
        <f t="shared" si="49"/>
        <v>121732</v>
      </c>
      <c r="AX46" s="378">
        <f t="shared" si="49"/>
        <v>131913</v>
      </c>
      <c r="AY46" s="378">
        <f t="shared" si="49"/>
        <v>102143</v>
      </c>
      <c r="AZ46" s="378">
        <f t="shared" si="49"/>
        <v>103497</v>
      </c>
      <c r="BA46" s="544"/>
      <c r="BB46" s="83">
        <f>SUM(AZ46/AV46)-1</f>
        <v>-0.28560187198442777</v>
      </c>
    </row>
    <row r="47" spans="1:54" s="541" customFormat="1" ht="12.75" customHeight="1">
      <c r="B47" s="429" t="s">
        <v>556</v>
      </c>
      <c r="C47" s="542">
        <v>0</v>
      </c>
      <c r="D47" s="542">
        <v>0</v>
      </c>
      <c r="E47" s="542">
        <v>0</v>
      </c>
      <c r="F47" s="542">
        <v>0</v>
      </c>
      <c r="G47" s="542">
        <v>0</v>
      </c>
      <c r="H47" s="542">
        <v>2830</v>
      </c>
      <c r="I47" s="542">
        <v>1041</v>
      </c>
      <c r="K47" s="543"/>
      <c r="L47" s="543"/>
      <c r="M47" s="543"/>
      <c r="N47" s="378">
        <f>C47</f>
        <v>0</v>
      </c>
      <c r="O47" s="542">
        <v>0</v>
      </c>
      <c r="P47" s="542">
        <v>0</v>
      </c>
      <c r="Q47" s="542">
        <v>0</v>
      </c>
      <c r="R47" s="378">
        <f>D47</f>
        <v>0</v>
      </c>
      <c r="S47" s="542">
        <v>0</v>
      </c>
      <c r="T47" s="542">
        <v>0</v>
      </c>
      <c r="U47" s="542">
        <v>0</v>
      </c>
      <c r="V47" s="378">
        <f>E47</f>
        <v>0</v>
      </c>
      <c r="W47" s="542">
        <v>0</v>
      </c>
      <c r="X47" s="542">
        <v>0</v>
      </c>
      <c r="Y47" s="542">
        <v>0</v>
      </c>
      <c r="Z47" s="378">
        <f>F47</f>
        <v>0</v>
      </c>
      <c r="AA47" s="542">
        <v>0</v>
      </c>
      <c r="AB47" s="542">
        <v>0</v>
      </c>
      <c r="AC47" s="542">
        <v>0</v>
      </c>
      <c r="AD47" s="378">
        <f>G47</f>
        <v>0</v>
      </c>
      <c r="AE47" s="542">
        <v>2426</v>
      </c>
      <c r="AF47" s="542">
        <v>2552</v>
      </c>
      <c r="AG47" s="542">
        <v>2689</v>
      </c>
      <c r="AH47" s="378">
        <f>H47</f>
        <v>2830</v>
      </c>
      <c r="AI47" s="542">
        <v>2971</v>
      </c>
      <c r="AJ47" s="542">
        <v>536</v>
      </c>
      <c r="AK47" s="542">
        <v>558</v>
      </c>
      <c r="AL47" s="378">
        <f>I47</f>
        <v>1041</v>
      </c>
      <c r="AM47" s="542">
        <v>1083</v>
      </c>
      <c r="AN47" s="542">
        <v>1172</v>
      </c>
      <c r="AP47" s="378">
        <f t="shared" si="49"/>
        <v>0</v>
      </c>
      <c r="AQ47" s="378">
        <f t="shared" si="49"/>
        <v>2426</v>
      </c>
      <c r="AR47" s="378">
        <f t="shared" si="49"/>
        <v>2552</v>
      </c>
      <c r="AS47" s="378">
        <f t="shared" si="49"/>
        <v>2689</v>
      </c>
      <c r="AT47" s="378">
        <f t="shared" si="49"/>
        <v>2830</v>
      </c>
      <c r="AU47" s="378">
        <f t="shared" si="49"/>
        <v>2971</v>
      </c>
      <c r="AV47" s="378">
        <f t="shared" si="49"/>
        <v>536</v>
      </c>
      <c r="AW47" s="378">
        <f t="shared" si="49"/>
        <v>558</v>
      </c>
      <c r="AX47" s="378">
        <f t="shared" si="49"/>
        <v>1041</v>
      </c>
      <c r="AY47" s="378">
        <f t="shared" si="49"/>
        <v>1083</v>
      </c>
      <c r="AZ47" s="378">
        <f t="shared" si="49"/>
        <v>1172</v>
      </c>
      <c r="BA47" s="544"/>
      <c r="BB47" s="83"/>
    </row>
    <row r="48" spans="1:54" s="541" customFormat="1" ht="12.75" customHeight="1">
      <c r="B48" s="429" t="s">
        <v>539</v>
      </c>
      <c r="C48" s="542">
        <v>12626</v>
      </c>
      <c r="D48" s="542">
        <v>40080</v>
      </c>
      <c r="E48" s="542">
        <v>35975</v>
      </c>
      <c r="F48" s="542">
        <v>43806</v>
      </c>
      <c r="G48" s="542">
        <v>34198</v>
      </c>
      <c r="H48" s="542">
        <v>31730</v>
      </c>
      <c r="I48" s="542">
        <v>26862</v>
      </c>
      <c r="K48" s="543"/>
      <c r="L48" s="543"/>
      <c r="M48" s="543"/>
      <c r="N48" s="378">
        <f>C48</f>
        <v>12626</v>
      </c>
      <c r="O48" s="542">
        <v>16194</v>
      </c>
      <c r="P48" s="542">
        <v>34388</v>
      </c>
      <c r="Q48" s="542">
        <v>34482</v>
      </c>
      <c r="R48" s="378">
        <f>D48</f>
        <v>40080</v>
      </c>
      <c r="S48" s="542">
        <v>36333</v>
      </c>
      <c r="T48" s="542">
        <v>45986</v>
      </c>
      <c r="U48" s="542">
        <v>29760</v>
      </c>
      <c r="V48" s="378">
        <f>E48</f>
        <v>35975</v>
      </c>
      <c r="W48" s="542">
        <v>36653</v>
      </c>
      <c r="X48" s="542">
        <v>63369</v>
      </c>
      <c r="Y48" s="542">
        <v>48849</v>
      </c>
      <c r="Z48" s="378">
        <f>F48</f>
        <v>43806</v>
      </c>
      <c r="AA48" s="542">
        <v>52675</v>
      </c>
      <c r="AB48" s="542">
        <v>77154</v>
      </c>
      <c r="AC48" s="542">
        <v>34949</v>
      </c>
      <c r="AD48" s="378">
        <f>G48</f>
        <v>34198</v>
      </c>
      <c r="AE48" s="542">
        <v>42395</v>
      </c>
      <c r="AF48" s="542">
        <v>50821</v>
      </c>
      <c r="AG48" s="542">
        <v>35763</v>
      </c>
      <c r="AH48" s="378">
        <f>H48</f>
        <v>31730</v>
      </c>
      <c r="AI48" s="542">
        <v>35648</v>
      </c>
      <c r="AJ48" s="542">
        <v>34463</v>
      </c>
      <c r="AK48" s="542">
        <v>34674</v>
      </c>
      <c r="AL48" s="378">
        <f>I48</f>
        <v>26862</v>
      </c>
      <c r="AM48" s="542">
        <v>33267</v>
      </c>
      <c r="AN48" s="542">
        <v>37338</v>
      </c>
      <c r="AP48" s="378">
        <f t="shared" si="49"/>
        <v>34198</v>
      </c>
      <c r="AQ48" s="378">
        <f t="shared" si="49"/>
        <v>42395</v>
      </c>
      <c r="AR48" s="378">
        <f t="shared" si="49"/>
        <v>50821</v>
      </c>
      <c r="AS48" s="378">
        <f t="shared" si="49"/>
        <v>35763</v>
      </c>
      <c r="AT48" s="378">
        <f t="shared" si="49"/>
        <v>31730</v>
      </c>
      <c r="AU48" s="378">
        <f t="shared" si="49"/>
        <v>35648</v>
      </c>
      <c r="AV48" s="378">
        <f t="shared" si="49"/>
        <v>34463</v>
      </c>
      <c r="AW48" s="378">
        <f t="shared" si="49"/>
        <v>34674</v>
      </c>
      <c r="AX48" s="378">
        <f t="shared" si="49"/>
        <v>26862</v>
      </c>
      <c r="AY48" s="378">
        <f t="shared" si="49"/>
        <v>33267</v>
      </c>
      <c r="AZ48" s="378">
        <f t="shared" si="49"/>
        <v>37338</v>
      </c>
      <c r="BA48" s="544"/>
      <c r="BB48" s="83">
        <f>SUM(AZ48/AV48)-1</f>
        <v>8.3422801265125024E-2</v>
      </c>
    </row>
    <row r="49" spans="2:54" s="541" customFormat="1" ht="12.75" customHeight="1">
      <c r="B49" s="429" t="s">
        <v>96</v>
      </c>
      <c r="C49" s="542">
        <v>30257</v>
      </c>
      <c r="D49" s="542">
        <v>81596</v>
      </c>
      <c r="E49" s="542">
        <v>121717</v>
      </c>
      <c r="F49" s="542">
        <v>241870</v>
      </c>
      <c r="G49" s="542">
        <v>235696</v>
      </c>
      <c r="H49" s="542">
        <v>130336</v>
      </c>
      <c r="I49" s="542">
        <v>113444</v>
      </c>
      <c r="K49" s="543"/>
      <c r="L49" s="543"/>
      <c r="M49" s="543"/>
      <c r="N49" s="378">
        <f>C49</f>
        <v>30257</v>
      </c>
      <c r="O49" s="542">
        <v>34281</v>
      </c>
      <c r="P49" s="542">
        <v>42695</v>
      </c>
      <c r="Q49" s="542">
        <v>60270</v>
      </c>
      <c r="R49" s="378">
        <f>D49</f>
        <v>81596</v>
      </c>
      <c r="S49" s="542">
        <v>120702</v>
      </c>
      <c r="T49" s="542">
        <v>143033</v>
      </c>
      <c r="U49" s="542">
        <v>132359</v>
      </c>
      <c r="V49" s="378">
        <f>E49</f>
        <v>121717</v>
      </c>
      <c r="W49" s="542">
        <v>145524</v>
      </c>
      <c r="X49" s="542">
        <v>165746</v>
      </c>
      <c r="Y49" s="542">
        <v>193490</v>
      </c>
      <c r="Z49" s="378">
        <f>F49</f>
        <v>241870</v>
      </c>
      <c r="AA49" s="542">
        <v>283754</v>
      </c>
      <c r="AB49" s="542">
        <v>254653</v>
      </c>
      <c r="AC49" s="542">
        <v>246987</v>
      </c>
      <c r="AD49" s="378">
        <f>G49</f>
        <v>235696</v>
      </c>
      <c r="AE49" s="542">
        <v>222370</v>
      </c>
      <c r="AF49" s="542">
        <v>207138</v>
      </c>
      <c r="AG49" s="542">
        <v>194570</v>
      </c>
      <c r="AH49" s="378">
        <f>H49</f>
        <v>130336</v>
      </c>
      <c r="AI49" s="542">
        <v>122538</v>
      </c>
      <c r="AJ49" s="542">
        <v>119532</v>
      </c>
      <c r="AK49" s="542">
        <v>125158</v>
      </c>
      <c r="AL49" s="378">
        <f>I49</f>
        <v>113444</v>
      </c>
      <c r="AM49" s="542">
        <v>100068</v>
      </c>
      <c r="AN49" s="542">
        <v>110868</v>
      </c>
      <c r="AP49" s="378">
        <f t="shared" si="49"/>
        <v>235696</v>
      </c>
      <c r="AQ49" s="378">
        <f t="shared" si="49"/>
        <v>222370</v>
      </c>
      <c r="AR49" s="378">
        <f t="shared" si="49"/>
        <v>207138</v>
      </c>
      <c r="AS49" s="378">
        <f t="shared" si="49"/>
        <v>194570</v>
      </c>
      <c r="AT49" s="378">
        <f t="shared" si="49"/>
        <v>130336</v>
      </c>
      <c r="AU49" s="378">
        <f t="shared" si="49"/>
        <v>122538</v>
      </c>
      <c r="AV49" s="378">
        <f t="shared" si="49"/>
        <v>119532</v>
      </c>
      <c r="AW49" s="378">
        <f t="shared" si="49"/>
        <v>125158</v>
      </c>
      <c r="AX49" s="378">
        <f t="shared" si="49"/>
        <v>113444</v>
      </c>
      <c r="AY49" s="378">
        <f t="shared" si="49"/>
        <v>100068</v>
      </c>
      <c r="AZ49" s="378">
        <f t="shared" si="49"/>
        <v>110868</v>
      </c>
      <c r="BA49" s="544"/>
      <c r="BB49" s="83"/>
    </row>
    <row r="50" spans="2:54" s="541" customFormat="1" ht="12.75" customHeight="1">
      <c r="B50" s="429" t="s">
        <v>596</v>
      </c>
      <c r="C50" s="542">
        <v>5672</v>
      </c>
      <c r="D50" s="542">
        <v>5930</v>
      </c>
      <c r="E50" s="542">
        <v>15407</v>
      </c>
      <c r="F50" s="542">
        <v>33078</v>
      </c>
      <c r="G50" s="542">
        <f>20700+5943</f>
        <v>26643</v>
      </c>
      <c r="H50" s="542">
        <f>12904+4539</f>
        <v>17443</v>
      </c>
      <c r="I50" s="542">
        <f>11332+1864</f>
        <v>13196</v>
      </c>
      <c r="K50" s="543"/>
      <c r="L50" s="543"/>
      <c r="M50" s="543"/>
      <c r="N50" s="378">
        <f>C50</f>
        <v>5672</v>
      </c>
      <c r="O50" s="542">
        <v>6525</v>
      </c>
      <c r="P50" s="542">
        <v>7726</v>
      </c>
      <c r="Q50" s="542">
        <v>11742</v>
      </c>
      <c r="R50" s="378">
        <f>D50</f>
        <v>5930</v>
      </c>
      <c r="S50" s="542">
        <v>12498</v>
      </c>
      <c r="T50" s="542">
        <v>17990</v>
      </c>
      <c r="U50" s="542">
        <v>14195</v>
      </c>
      <c r="V50" s="378">
        <f>E50</f>
        <v>15407</v>
      </c>
      <c r="W50" s="542">
        <v>17788</v>
      </c>
      <c r="X50" s="542">
        <v>25630</v>
      </c>
      <c r="Y50" s="542">
        <v>24341</v>
      </c>
      <c r="Z50" s="378">
        <f>F50</f>
        <v>33078</v>
      </c>
      <c r="AA50" s="542">
        <v>33010</v>
      </c>
      <c r="AB50" s="542">
        <v>33029</v>
      </c>
      <c r="AC50" s="542">
        <v>23868</v>
      </c>
      <c r="AD50" s="378">
        <f>G50</f>
        <v>26643</v>
      </c>
      <c r="AE50" s="542">
        <f>16561+4737</f>
        <v>21298</v>
      </c>
      <c r="AF50" s="542">
        <f>26051+98</f>
        <v>26149</v>
      </c>
      <c r="AG50" s="542">
        <f>20938+118</f>
        <v>21056</v>
      </c>
      <c r="AH50" s="378">
        <f>H50</f>
        <v>17443</v>
      </c>
      <c r="AI50" s="542">
        <f>15032+2401</f>
        <v>17433</v>
      </c>
      <c r="AJ50" s="542">
        <f>15538+2323</f>
        <v>17861</v>
      </c>
      <c r="AK50" s="542">
        <f>13016+2275</f>
        <v>15291</v>
      </c>
      <c r="AL50" s="378">
        <f>I50</f>
        <v>13196</v>
      </c>
      <c r="AM50" s="542">
        <f>19135+1576</f>
        <v>20711</v>
      </c>
      <c r="AN50" s="542">
        <f>42596+1664</f>
        <v>44260</v>
      </c>
      <c r="AP50" s="378">
        <f t="shared" si="49"/>
        <v>26643</v>
      </c>
      <c r="AQ50" s="378">
        <f t="shared" si="49"/>
        <v>21298</v>
      </c>
      <c r="AR50" s="378">
        <f t="shared" si="49"/>
        <v>26149</v>
      </c>
      <c r="AS50" s="378">
        <f t="shared" si="49"/>
        <v>21056</v>
      </c>
      <c r="AT50" s="378">
        <f t="shared" si="49"/>
        <v>17443</v>
      </c>
      <c r="AU50" s="378">
        <f t="shared" si="49"/>
        <v>17433</v>
      </c>
      <c r="AV50" s="378">
        <f t="shared" si="49"/>
        <v>17861</v>
      </c>
      <c r="AW50" s="378">
        <f t="shared" si="49"/>
        <v>15291</v>
      </c>
      <c r="AX50" s="378">
        <f t="shared" si="49"/>
        <v>13196</v>
      </c>
      <c r="AY50" s="378">
        <f t="shared" si="49"/>
        <v>20711</v>
      </c>
      <c r="AZ50" s="378">
        <f t="shared" si="49"/>
        <v>44260</v>
      </c>
      <c r="BA50" s="544"/>
      <c r="BB50" s="83"/>
    </row>
    <row r="51" spans="2:54" ht="12.75" customHeight="1">
      <c r="B51" s="27" t="s">
        <v>29</v>
      </c>
      <c r="C51" s="28">
        <f t="shared" ref="C51:I51" si="50">SUM(C46:C50)</f>
        <v>102826</v>
      </c>
      <c r="D51" s="28">
        <f t="shared" si="50"/>
        <v>403594</v>
      </c>
      <c r="E51" s="28">
        <f t="shared" si="50"/>
        <v>332226</v>
      </c>
      <c r="F51" s="28">
        <f t="shared" si="50"/>
        <v>1052048</v>
      </c>
      <c r="G51" s="28">
        <f t="shared" si="50"/>
        <v>606459</v>
      </c>
      <c r="H51" s="28">
        <f t="shared" si="50"/>
        <v>372844</v>
      </c>
      <c r="I51" s="28">
        <f t="shared" si="50"/>
        <v>286456</v>
      </c>
      <c r="J51" s="53"/>
      <c r="K51" s="28">
        <f t="shared" ref="K51:AN51" si="51">SUM(K46:K50)</f>
        <v>29047</v>
      </c>
      <c r="L51" s="28">
        <f t="shared" si="51"/>
        <v>23489</v>
      </c>
      <c r="M51" s="28">
        <f t="shared" si="51"/>
        <v>49780</v>
      </c>
      <c r="N51" s="28">
        <f t="shared" si="51"/>
        <v>102826</v>
      </c>
      <c r="O51" s="28">
        <f t="shared" si="51"/>
        <v>92409</v>
      </c>
      <c r="P51" s="28">
        <f t="shared" si="51"/>
        <v>361796</v>
      </c>
      <c r="Q51" s="28">
        <f t="shared" si="51"/>
        <v>418945</v>
      </c>
      <c r="R51" s="28">
        <f t="shared" si="51"/>
        <v>403594</v>
      </c>
      <c r="S51" s="28">
        <f t="shared" si="51"/>
        <v>415943</v>
      </c>
      <c r="T51" s="28">
        <f t="shared" si="51"/>
        <v>429343</v>
      </c>
      <c r="U51" s="28">
        <f t="shared" si="51"/>
        <v>390929</v>
      </c>
      <c r="V51" s="28">
        <f t="shared" si="51"/>
        <v>332226</v>
      </c>
      <c r="W51" s="28">
        <f t="shared" si="51"/>
        <v>1324982</v>
      </c>
      <c r="X51" s="28">
        <f t="shared" si="51"/>
        <v>1264082</v>
      </c>
      <c r="Y51" s="28">
        <f t="shared" si="51"/>
        <v>1153122</v>
      </c>
      <c r="Z51" s="28">
        <f t="shared" si="51"/>
        <v>1052048</v>
      </c>
      <c r="AA51" s="28">
        <f t="shared" si="51"/>
        <v>917297</v>
      </c>
      <c r="AB51" s="28">
        <f t="shared" si="51"/>
        <v>819510</v>
      </c>
      <c r="AC51" s="28">
        <f t="shared" si="51"/>
        <v>695980</v>
      </c>
      <c r="AD51" s="28">
        <f t="shared" si="51"/>
        <v>606459</v>
      </c>
      <c r="AE51" s="28">
        <f t="shared" si="51"/>
        <v>547055</v>
      </c>
      <c r="AF51" s="28">
        <f t="shared" si="51"/>
        <v>497441</v>
      </c>
      <c r="AG51" s="28">
        <f t="shared" si="51"/>
        <v>471623</v>
      </c>
      <c r="AH51" s="28">
        <f t="shared" si="51"/>
        <v>372844</v>
      </c>
      <c r="AI51" s="28">
        <f t="shared" si="51"/>
        <v>336503</v>
      </c>
      <c r="AJ51" s="28">
        <f t="shared" si="51"/>
        <v>317265</v>
      </c>
      <c r="AK51" s="28">
        <f t="shared" si="51"/>
        <v>297413</v>
      </c>
      <c r="AL51" s="28">
        <f t="shared" si="51"/>
        <v>286456</v>
      </c>
      <c r="AM51" s="28">
        <f t="shared" si="51"/>
        <v>257272</v>
      </c>
      <c r="AN51" s="28">
        <f t="shared" si="51"/>
        <v>297135</v>
      </c>
      <c r="AO51" s="53"/>
      <c r="AP51" s="28">
        <f t="shared" ref="AP51:AZ51" si="52">SUM(AP46:AP50)</f>
        <v>606459</v>
      </c>
      <c r="AQ51" s="28">
        <f t="shared" si="52"/>
        <v>547055</v>
      </c>
      <c r="AR51" s="28">
        <f t="shared" si="52"/>
        <v>497441</v>
      </c>
      <c r="AS51" s="28">
        <f t="shared" si="52"/>
        <v>471623</v>
      </c>
      <c r="AT51" s="28">
        <f t="shared" si="52"/>
        <v>372844</v>
      </c>
      <c r="AU51" s="28">
        <f t="shared" si="52"/>
        <v>336503</v>
      </c>
      <c r="AV51" s="28">
        <f t="shared" si="52"/>
        <v>317265</v>
      </c>
      <c r="AW51" s="28">
        <f t="shared" si="52"/>
        <v>297413</v>
      </c>
      <c r="AX51" s="28">
        <f t="shared" si="52"/>
        <v>286456</v>
      </c>
      <c r="AY51" s="28">
        <f t="shared" si="52"/>
        <v>257272</v>
      </c>
      <c r="AZ51" s="28">
        <f t="shared" si="52"/>
        <v>297135</v>
      </c>
      <c r="BA51" s="45"/>
      <c r="BB51" s="84">
        <f>SUM(AZ51/AV51)-1</f>
        <v>-6.3448536712212178E-2</v>
      </c>
    </row>
    <row r="52" spans="2:54" ht="5.0999999999999996" customHeight="1">
      <c r="B52" s="27"/>
      <c r="C52" s="54"/>
      <c r="D52" s="54"/>
      <c r="E52" s="54"/>
      <c r="F52" s="54"/>
      <c r="G52" s="54"/>
      <c r="H52" s="44"/>
      <c r="I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P52" s="45"/>
      <c r="AQ52" s="45"/>
      <c r="AR52" s="45"/>
      <c r="AS52" s="45"/>
      <c r="AT52" s="45"/>
      <c r="AU52" s="45"/>
      <c r="AV52" s="45"/>
      <c r="AW52" s="45"/>
      <c r="AX52" s="45"/>
      <c r="AY52" s="45"/>
      <c r="AZ52" s="45"/>
      <c r="BA52" s="45"/>
      <c r="BB52" s="42"/>
    </row>
    <row r="53" spans="2:54" ht="12.75" customHeight="1">
      <c r="B53" s="87" t="s">
        <v>541</v>
      </c>
      <c r="C53" s="92"/>
      <c r="D53" s="92"/>
      <c r="E53" s="92"/>
      <c r="F53" s="92"/>
      <c r="G53" s="92"/>
      <c r="H53" s="92"/>
      <c r="I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34"/>
      <c r="AN53" s="92"/>
      <c r="AP53" s="34"/>
      <c r="AQ53" s="34"/>
      <c r="AR53" s="34"/>
      <c r="AS53" s="34"/>
      <c r="AT53" s="34"/>
      <c r="AU53" s="34"/>
      <c r="AV53" s="34"/>
      <c r="AW53" s="34"/>
      <c r="AX53" s="34"/>
      <c r="AY53" s="34"/>
      <c r="AZ53" s="34"/>
      <c r="BA53" s="12"/>
      <c r="BB53" s="83" t="e">
        <f>SUM(AZ53/AV53)-1</f>
        <v>#DIV/0!</v>
      </c>
    </row>
    <row r="54" spans="2:54" ht="12.75" customHeight="1">
      <c r="B54" s="10" t="s">
        <v>595</v>
      </c>
      <c r="C54" s="92">
        <v>0</v>
      </c>
      <c r="D54" s="92">
        <v>0</v>
      </c>
      <c r="E54" s="92">
        <v>0</v>
      </c>
      <c r="F54" s="92">
        <v>0</v>
      </c>
      <c r="G54" s="92">
        <v>12627</v>
      </c>
      <c r="H54" s="92">
        <v>12600</v>
      </c>
      <c r="I54" s="92">
        <v>12600</v>
      </c>
      <c r="K54" s="528"/>
      <c r="L54" s="528"/>
      <c r="M54" s="528"/>
      <c r="N54" s="34">
        <f t="shared" ref="N54:N59" si="53">C54</f>
        <v>0</v>
      </c>
      <c r="O54" s="92">
        <v>0</v>
      </c>
      <c r="P54" s="92">
        <v>0</v>
      </c>
      <c r="Q54" s="92">
        <v>0</v>
      </c>
      <c r="R54" s="34">
        <v>0</v>
      </c>
      <c r="S54" s="92">
        <v>0</v>
      </c>
      <c r="T54" s="92">
        <v>0</v>
      </c>
      <c r="U54" s="92">
        <v>0</v>
      </c>
      <c r="V54" s="34">
        <f t="shared" ref="V54:V59" si="54">E54</f>
        <v>0</v>
      </c>
      <c r="W54" s="92">
        <v>0</v>
      </c>
      <c r="X54" s="92">
        <v>0</v>
      </c>
      <c r="Y54" s="92">
        <v>0</v>
      </c>
      <c r="Z54" s="34">
        <f t="shared" ref="Z54:Z59" si="55">F54</f>
        <v>0</v>
      </c>
      <c r="AA54" s="92">
        <v>0</v>
      </c>
      <c r="AB54" s="92">
        <v>0</v>
      </c>
      <c r="AC54" s="92">
        <v>0</v>
      </c>
      <c r="AD54" s="34">
        <f t="shared" ref="AD54:AD59" si="56">G54</f>
        <v>12627</v>
      </c>
      <c r="AE54" s="92">
        <v>12600</v>
      </c>
      <c r="AF54" s="92">
        <v>12600</v>
      </c>
      <c r="AG54" s="92">
        <v>12600</v>
      </c>
      <c r="AH54" s="34">
        <f t="shared" ref="AH54:AH59" si="57">H54</f>
        <v>12600</v>
      </c>
      <c r="AI54" s="92">
        <v>12600</v>
      </c>
      <c r="AJ54" s="92">
        <v>12600</v>
      </c>
      <c r="AK54" s="92">
        <v>12600</v>
      </c>
      <c r="AL54" s="34">
        <f t="shared" ref="AL54:AL59" si="58">I54</f>
        <v>12600</v>
      </c>
      <c r="AM54" s="92">
        <v>12600</v>
      </c>
      <c r="AN54" s="92">
        <v>12600</v>
      </c>
      <c r="AP54" s="34">
        <f t="shared" ref="AP54:AZ59" si="59">AD54</f>
        <v>12627</v>
      </c>
      <c r="AQ54" s="34">
        <f t="shared" si="59"/>
        <v>12600</v>
      </c>
      <c r="AR54" s="34">
        <f t="shared" si="59"/>
        <v>12600</v>
      </c>
      <c r="AS54" s="34">
        <f t="shared" si="59"/>
        <v>12600</v>
      </c>
      <c r="AT54" s="34">
        <f t="shared" si="59"/>
        <v>12600</v>
      </c>
      <c r="AU54" s="34">
        <f t="shared" si="59"/>
        <v>12600</v>
      </c>
      <c r="AV54" s="34">
        <f t="shared" si="59"/>
        <v>12600</v>
      </c>
      <c r="AW54" s="34">
        <f t="shared" si="59"/>
        <v>12600</v>
      </c>
      <c r="AX54" s="34">
        <f t="shared" si="59"/>
        <v>12600</v>
      </c>
      <c r="AY54" s="34">
        <f t="shared" si="59"/>
        <v>12600</v>
      </c>
      <c r="AZ54" s="34">
        <f t="shared" si="59"/>
        <v>12600</v>
      </c>
      <c r="BA54" s="12"/>
      <c r="BB54" s="83"/>
    </row>
    <row r="55" spans="2:54" ht="12.75" customHeight="1">
      <c r="B55" s="10" t="s">
        <v>542</v>
      </c>
      <c r="C55" s="92">
        <v>396</v>
      </c>
      <c r="D55" s="92">
        <v>855</v>
      </c>
      <c r="E55" s="92">
        <v>14570</v>
      </c>
      <c r="F55" s="92">
        <v>26815</v>
      </c>
      <c r="G55" s="92">
        <v>87595</v>
      </c>
      <c r="H55" s="92">
        <v>130460</v>
      </c>
      <c r="I55" s="92">
        <v>123975</v>
      </c>
      <c r="K55" s="528"/>
      <c r="L55" s="528"/>
      <c r="M55" s="528"/>
      <c r="N55" s="34">
        <f t="shared" si="53"/>
        <v>396</v>
      </c>
      <c r="O55" s="92">
        <v>887</v>
      </c>
      <c r="P55" s="92">
        <v>792</v>
      </c>
      <c r="Q55" s="92">
        <v>846</v>
      </c>
      <c r="R55" s="34">
        <f>D55</f>
        <v>855</v>
      </c>
      <c r="S55" s="92">
        <v>12431</v>
      </c>
      <c r="T55" s="92">
        <v>13793</v>
      </c>
      <c r="U55" s="92">
        <v>13736</v>
      </c>
      <c r="V55" s="34">
        <f t="shared" si="54"/>
        <v>14570</v>
      </c>
      <c r="W55" s="92">
        <v>13938</v>
      </c>
      <c r="X55" s="92">
        <v>14672</v>
      </c>
      <c r="Y55" s="92">
        <v>25444</v>
      </c>
      <c r="Z55" s="34">
        <f t="shared" si="55"/>
        <v>26815</v>
      </c>
      <c r="AA55" s="92">
        <v>25692</v>
      </c>
      <c r="AB55" s="92">
        <v>25464</v>
      </c>
      <c r="AC55" s="92">
        <v>88335</v>
      </c>
      <c r="AD55" s="34">
        <f t="shared" si="56"/>
        <v>87595</v>
      </c>
      <c r="AE55" s="92">
        <v>75056</v>
      </c>
      <c r="AF55" s="92">
        <v>136264</v>
      </c>
      <c r="AG55" s="92">
        <v>132671</v>
      </c>
      <c r="AH55" s="34">
        <f t="shared" si="57"/>
        <v>130460</v>
      </c>
      <c r="AI55" s="92">
        <v>129379</v>
      </c>
      <c r="AJ55" s="92">
        <v>127679</v>
      </c>
      <c r="AK55" s="92">
        <v>126092</v>
      </c>
      <c r="AL55" s="34">
        <f t="shared" si="58"/>
        <v>123975</v>
      </c>
      <c r="AM55" s="92">
        <v>121131</v>
      </c>
      <c r="AN55" s="92">
        <v>6527</v>
      </c>
      <c r="AP55" s="34">
        <f t="shared" si="59"/>
        <v>87595</v>
      </c>
      <c r="AQ55" s="34">
        <f t="shared" si="59"/>
        <v>75056</v>
      </c>
      <c r="AR55" s="34">
        <f t="shared" si="59"/>
        <v>136264</v>
      </c>
      <c r="AS55" s="34">
        <f t="shared" si="59"/>
        <v>132671</v>
      </c>
      <c r="AT55" s="34">
        <f t="shared" si="59"/>
        <v>130460</v>
      </c>
      <c r="AU55" s="34">
        <f t="shared" si="59"/>
        <v>129379</v>
      </c>
      <c r="AV55" s="34">
        <f t="shared" si="59"/>
        <v>127679</v>
      </c>
      <c r="AW55" s="34">
        <f t="shared" si="59"/>
        <v>126092</v>
      </c>
      <c r="AX55" s="34">
        <f t="shared" si="59"/>
        <v>123975</v>
      </c>
      <c r="AY55" s="34">
        <f t="shared" si="59"/>
        <v>121131</v>
      </c>
      <c r="AZ55" s="34">
        <f t="shared" si="59"/>
        <v>6527</v>
      </c>
      <c r="BA55" s="12"/>
      <c r="BB55" s="83"/>
    </row>
    <row r="56" spans="2:54" ht="12.75" customHeight="1">
      <c r="B56" s="10" t="s">
        <v>543</v>
      </c>
      <c r="C56" s="92">
        <v>30527</v>
      </c>
      <c r="D56" s="92">
        <v>47474</v>
      </c>
      <c r="E56" s="92">
        <v>115299</v>
      </c>
      <c r="F56" s="92">
        <v>226489</v>
      </c>
      <c r="G56" s="92">
        <v>257002</v>
      </c>
      <c r="H56" s="92">
        <v>194046</v>
      </c>
      <c r="I56" s="92">
        <v>184887</v>
      </c>
      <c r="K56" s="528"/>
      <c r="L56" s="528"/>
      <c r="M56" s="528"/>
      <c r="N56" s="34">
        <f t="shared" si="53"/>
        <v>30527</v>
      </c>
      <c r="O56" s="92">
        <v>31861</v>
      </c>
      <c r="P56" s="92">
        <v>34473</v>
      </c>
      <c r="Q56" s="92">
        <v>35050</v>
      </c>
      <c r="R56" s="34">
        <f>D56</f>
        <v>47474</v>
      </c>
      <c r="S56" s="92">
        <v>61758</v>
      </c>
      <c r="T56" s="92">
        <v>70286</v>
      </c>
      <c r="U56" s="92">
        <v>77002</v>
      </c>
      <c r="V56" s="34">
        <f t="shared" si="54"/>
        <v>115299</v>
      </c>
      <c r="W56" s="92">
        <v>132094</v>
      </c>
      <c r="X56" s="92">
        <v>157449</v>
      </c>
      <c r="Y56" s="92">
        <v>197290</v>
      </c>
      <c r="Z56" s="34">
        <f t="shared" si="55"/>
        <v>226489</v>
      </c>
      <c r="AA56" s="92">
        <v>241389</v>
      </c>
      <c r="AB56" s="92">
        <v>258075</v>
      </c>
      <c r="AC56" s="92">
        <v>262595</v>
      </c>
      <c r="AD56" s="34">
        <f t="shared" si="56"/>
        <v>257002</v>
      </c>
      <c r="AE56" s="92">
        <v>251218</v>
      </c>
      <c r="AF56" s="92">
        <v>250335</v>
      </c>
      <c r="AG56" s="92">
        <v>245373</v>
      </c>
      <c r="AH56" s="34">
        <f t="shared" si="57"/>
        <v>194046</v>
      </c>
      <c r="AI56" s="92">
        <v>190896</v>
      </c>
      <c r="AJ56" s="92">
        <v>186584</v>
      </c>
      <c r="AK56" s="92">
        <v>188115</v>
      </c>
      <c r="AL56" s="34">
        <f t="shared" si="58"/>
        <v>184887</v>
      </c>
      <c r="AM56" s="92">
        <v>180781</v>
      </c>
      <c r="AN56" s="92">
        <v>320988</v>
      </c>
      <c r="AP56" s="34">
        <f t="shared" si="59"/>
        <v>257002</v>
      </c>
      <c r="AQ56" s="34">
        <f t="shared" si="59"/>
        <v>251218</v>
      </c>
      <c r="AR56" s="34">
        <f t="shared" si="59"/>
        <v>250335</v>
      </c>
      <c r="AS56" s="34">
        <f t="shared" si="59"/>
        <v>245373</v>
      </c>
      <c r="AT56" s="34">
        <f t="shared" si="59"/>
        <v>194046</v>
      </c>
      <c r="AU56" s="34">
        <f t="shared" si="59"/>
        <v>190896</v>
      </c>
      <c r="AV56" s="34">
        <f t="shared" si="59"/>
        <v>186584</v>
      </c>
      <c r="AW56" s="34">
        <f t="shared" si="59"/>
        <v>188115</v>
      </c>
      <c r="AX56" s="34">
        <f t="shared" si="59"/>
        <v>184887</v>
      </c>
      <c r="AY56" s="34">
        <f t="shared" si="59"/>
        <v>180781</v>
      </c>
      <c r="AZ56" s="34">
        <f t="shared" si="59"/>
        <v>320988</v>
      </c>
      <c r="BA56" s="12"/>
      <c r="BB56" s="83"/>
    </row>
    <row r="57" spans="2:54" ht="12.75" customHeight="1">
      <c r="B57" s="10" t="s">
        <v>544</v>
      </c>
      <c r="C57" s="92">
        <v>0</v>
      </c>
      <c r="D57" s="92">
        <v>0</v>
      </c>
      <c r="E57" s="92">
        <v>0</v>
      </c>
      <c r="F57" s="92">
        <v>8023</v>
      </c>
      <c r="G57" s="92">
        <v>2325</v>
      </c>
      <c r="H57" s="92">
        <v>1673</v>
      </c>
      <c r="I57" s="92">
        <v>1601</v>
      </c>
      <c r="K57" s="528"/>
      <c r="L57" s="528"/>
      <c r="M57" s="528"/>
      <c r="N57" s="34">
        <f t="shared" si="53"/>
        <v>0</v>
      </c>
      <c r="O57" s="92">
        <v>0</v>
      </c>
      <c r="P57" s="92">
        <v>0</v>
      </c>
      <c r="Q57" s="92">
        <v>0</v>
      </c>
      <c r="R57" s="34">
        <v>0</v>
      </c>
      <c r="S57" s="92">
        <v>0</v>
      </c>
      <c r="T57" s="92">
        <v>0</v>
      </c>
      <c r="U57" s="92">
        <v>0</v>
      </c>
      <c r="V57" s="34">
        <f t="shared" si="54"/>
        <v>0</v>
      </c>
      <c r="W57" s="92">
        <v>0</v>
      </c>
      <c r="X57" s="92">
        <v>0</v>
      </c>
      <c r="Y57" s="92">
        <v>0</v>
      </c>
      <c r="Z57" s="34">
        <f t="shared" si="55"/>
        <v>8023</v>
      </c>
      <c r="AA57" s="92">
        <v>7353</v>
      </c>
      <c r="AB57" s="92">
        <v>5920</v>
      </c>
      <c r="AC57" s="92">
        <v>7174</v>
      </c>
      <c r="AD57" s="34">
        <f t="shared" si="56"/>
        <v>2325</v>
      </c>
      <c r="AE57" s="92">
        <v>2340</v>
      </c>
      <c r="AF57" s="92">
        <v>1837</v>
      </c>
      <c r="AG57" s="92">
        <v>1711</v>
      </c>
      <c r="AH57" s="34">
        <f t="shared" si="57"/>
        <v>1673</v>
      </c>
      <c r="AI57" s="92">
        <v>1680</v>
      </c>
      <c r="AJ57" s="92">
        <v>1650</v>
      </c>
      <c r="AK57" s="92">
        <v>1612</v>
      </c>
      <c r="AL57" s="34">
        <f t="shared" si="58"/>
        <v>1601</v>
      </c>
      <c r="AM57" s="92">
        <v>1589</v>
      </c>
      <c r="AN57" s="92">
        <v>1531</v>
      </c>
      <c r="AP57" s="34">
        <f t="shared" si="59"/>
        <v>2325</v>
      </c>
      <c r="AQ57" s="34">
        <f t="shared" si="59"/>
        <v>2340</v>
      </c>
      <c r="AR57" s="34">
        <f t="shared" si="59"/>
        <v>1837</v>
      </c>
      <c r="AS57" s="34">
        <f t="shared" si="59"/>
        <v>1711</v>
      </c>
      <c r="AT57" s="34">
        <f t="shared" si="59"/>
        <v>1673</v>
      </c>
      <c r="AU57" s="34">
        <f t="shared" si="59"/>
        <v>1680</v>
      </c>
      <c r="AV57" s="34">
        <f t="shared" si="59"/>
        <v>1650</v>
      </c>
      <c r="AW57" s="34">
        <f t="shared" si="59"/>
        <v>1612</v>
      </c>
      <c r="AX57" s="34">
        <f t="shared" si="59"/>
        <v>1601</v>
      </c>
      <c r="AY57" s="34">
        <f t="shared" si="59"/>
        <v>1589</v>
      </c>
      <c r="AZ57" s="34">
        <f t="shared" si="59"/>
        <v>1531</v>
      </c>
      <c r="BA57" s="12"/>
      <c r="BB57" s="83"/>
    </row>
    <row r="58" spans="2:54" ht="12.75" customHeight="1">
      <c r="B58" s="10" t="s">
        <v>546</v>
      </c>
      <c r="C58" s="92">
        <v>0</v>
      </c>
      <c r="D58" s="92">
        <v>0</v>
      </c>
      <c r="E58" s="92">
        <v>0</v>
      </c>
      <c r="F58" s="92">
        <v>59188</v>
      </c>
      <c r="G58" s="92">
        <v>85472</v>
      </c>
      <c r="H58" s="92">
        <v>61635</v>
      </c>
      <c r="I58" s="92">
        <v>68005</v>
      </c>
      <c r="K58" s="528"/>
      <c r="L58" s="528"/>
      <c r="M58" s="528"/>
      <c r="N58" s="34">
        <f t="shared" si="53"/>
        <v>0</v>
      </c>
      <c r="O58" s="92">
        <v>0</v>
      </c>
      <c r="P58" s="92">
        <v>0</v>
      </c>
      <c r="Q58" s="92">
        <v>0</v>
      </c>
      <c r="R58" s="34">
        <v>0</v>
      </c>
      <c r="S58" s="92">
        <v>0</v>
      </c>
      <c r="T58" s="92">
        <v>0</v>
      </c>
      <c r="U58" s="92">
        <v>0</v>
      </c>
      <c r="V58" s="34">
        <f t="shared" si="54"/>
        <v>0</v>
      </c>
      <c r="W58" s="92">
        <v>0</v>
      </c>
      <c r="X58" s="92">
        <v>26578</v>
      </c>
      <c r="Y58" s="92">
        <v>49456</v>
      </c>
      <c r="Z58" s="34">
        <f t="shared" si="55"/>
        <v>59188</v>
      </c>
      <c r="AA58" s="92">
        <v>96166</v>
      </c>
      <c r="AB58" s="92">
        <v>102839</v>
      </c>
      <c r="AC58" s="92">
        <v>80533</v>
      </c>
      <c r="AD58" s="34">
        <f t="shared" si="56"/>
        <v>85472</v>
      </c>
      <c r="AE58" s="92">
        <v>88035</v>
      </c>
      <c r="AF58" s="92">
        <v>60794</v>
      </c>
      <c r="AG58" s="92">
        <v>60680</v>
      </c>
      <c r="AH58" s="34">
        <f t="shared" si="57"/>
        <v>61635</v>
      </c>
      <c r="AI58" s="92">
        <v>63264</v>
      </c>
      <c r="AJ58" s="92">
        <v>64822</v>
      </c>
      <c r="AK58" s="92">
        <v>66444</v>
      </c>
      <c r="AL58" s="34">
        <f t="shared" si="58"/>
        <v>68005</v>
      </c>
      <c r="AM58" s="92">
        <v>69814</v>
      </c>
      <c r="AN58" s="92">
        <v>52272</v>
      </c>
      <c r="AP58" s="34">
        <f t="shared" si="59"/>
        <v>85472</v>
      </c>
      <c r="AQ58" s="34">
        <f t="shared" si="59"/>
        <v>88035</v>
      </c>
      <c r="AR58" s="34">
        <f t="shared" si="59"/>
        <v>60794</v>
      </c>
      <c r="AS58" s="34">
        <f t="shared" si="59"/>
        <v>60680</v>
      </c>
      <c r="AT58" s="34">
        <f t="shared" si="59"/>
        <v>61635</v>
      </c>
      <c r="AU58" s="34">
        <f t="shared" si="59"/>
        <v>63264</v>
      </c>
      <c r="AV58" s="34">
        <f t="shared" si="59"/>
        <v>64822</v>
      </c>
      <c r="AW58" s="34">
        <f t="shared" si="59"/>
        <v>66444</v>
      </c>
      <c r="AX58" s="34">
        <f t="shared" si="59"/>
        <v>68005</v>
      </c>
      <c r="AY58" s="34">
        <f t="shared" si="59"/>
        <v>69814</v>
      </c>
      <c r="AZ58" s="34">
        <f t="shared" si="59"/>
        <v>52272</v>
      </c>
      <c r="BA58" s="12"/>
      <c r="BB58" s="83"/>
    </row>
    <row r="59" spans="2:54" ht="12.75" customHeight="1">
      <c r="B59" s="10" t="s">
        <v>545</v>
      </c>
      <c r="C59" s="92">
        <v>0</v>
      </c>
      <c r="D59" s="92">
        <v>0</v>
      </c>
      <c r="E59" s="92">
        <v>5911</v>
      </c>
      <c r="F59" s="92">
        <v>6836</v>
      </c>
      <c r="G59" s="92">
        <v>10744</v>
      </c>
      <c r="H59" s="92">
        <v>1192</v>
      </c>
      <c r="I59" s="92">
        <v>622</v>
      </c>
      <c r="K59" s="528"/>
      <c r="L59" s="528"/>
      <c r="M59" s="528"/>
      <c r="N59" s="34">
        <f t="shared" si="53"/>
        <v>0</v>
      </c>
      <c r="O59" s="92">
        <v>0</v>
      </c>
      <c r="P59" s="92">
        <v>0</v>
      </c>
      <c r="Q59" s="92">
        <v>0</v>
      </c>
      <c r="R59" s="34">
        <v>0</v>
      </c>
      <c r="S59" s="92">
        <v>1501</v>
      </c>
      <c r="T59" s="92">
        <v>4552</v>
      </c>
      <c r="U59" s="92">
        <v>4970</v>
      </c>
      <c r="V59" s="34">
        <f t="shared" si="54"/>
        <v>5911</v>
      </c>
      <c r="W59" s="92">
        <v>4505</v>
      </c>
      <c r="X59" s="92">
        <v>3739</v>
      </c>
      <c r="Y59" s="92">
        <v>7062</v>
      </c>
      <c r="Z59" s="34">
        <f t="shared" si="55"/>
        <v>6836</v>
      </c>
      <c r="AA59" s="92">
        <v>6613</v>
      </c>
      <c r="AB59" s="92">
        <v>6301</v>
      </c>
      <c r="AC59" s="92">
        <v>6670</v>
      </c>
      <c r="AD59" s="34">
        <f t="shared" si="56"/>
        <v>10744</v>
      </c>
      <c r="AE59" s="92">
        <v>10273</v>
      </c>
      <c r="AF59" s="92">
        <v>9314</v>
      </c>
      <c r="AG59" s="92">
        <v>4550</v>
      </c>
      <c r="AH59" s="34">
        <f t="shared" si="57"/>
        <v>1192</v>
      </c>
      <c r="AI59" s="92">
        <v>704</v>
      </c>
      <c r="AJ59" s="92">
        <v>634</v>
      </c>
      <c r="AK59" s="92">
        <v>662</v>
      </c>
      <c r="AL59" s="34">
        <f t="shared" si="58"/>
        <v>622</v>
      </c>
      <c r="AM59" s="92">
        <v>643</v>
      </c>
      <c r="AN59" s="92">
        <v>688</v>
      </c>
      <c r="AP59" s="34">
        <f t="shared" si="59"/>
        <v>10744</v>
      </c>
      <c r="AQ59" s="34">
        <f t="shared" si="59"/>
        <v>10273</v>
      </c>
      <c r="AR59" s="34">
        <f t="shared" si="59"/>
        <v>9314</v>
      </c>
      <c r="AS59" s="34">
        <f t="shared" si="59"/>
        <v>4550</v>
      </c>
      <c r="AT59" s="34">
        <f t="shared" si="59"/>
        <v>1192</v>
      </c>
      <c r="AU59" s="34">
        <f t="shared" si="59"/>
        <v>704</v>
      </c>
      <c r="AV59" s="34">
        <f t="shared" si="59"/>
        <v>634</v>
      </c>
      <c r="AW59" s="34">
        <f t="shared" si="59"/>
        <v>662</v>
      </c>
      <c r="AX59" s="34">
        <f t="shared" si="59"/>
        <v>622</v>
      </c>
      <c r="AY59" s="34">
        <f t="shared" si="59"/>
        <v>643</v>
      </c>
      <c r="AZ59" s="34">
        <f t="shared" si="59"/>
        <v>688</v>
      </c>
      <c r="BA59" s="12"/>
      <c r="BB59" s="83"/>
    </row>
    <row r="60" spans="2:54" ht="12.75" customHeight="1">
      <c r="B60" s="14" t="s">
        <v>30</v>
      </c>
      <c r="C60" s="15">
        <f>SUM(C54:C59)+C51</f>
        <v>133749</v>
      </c>
      <c r="D60" s="15">
        <f t="shared" ref="D60:I60" si="60">SUM(D54:D59)+D51</f>
        <v>451923</v>
      </c>
      <c r="E60" s="15">
        <f t="shared" si="60"/>
        <v>468006</v>
      </c>
      <c r="F60" s="15">
        <f t="shared" si="60"/>
        <v>1379399</v>
      </c>
      <c r="G60" s="15">
        <f t="shared" si="60"/>
        <v>1062224</v>
      </c>
      <c r="H60" s="15">
        <f t="shared" si="60"/>
        <v>774450</v>
      </c>
      <c r="I60" s="15">
        <f t="shared" si="60"/>
        <v>678146</v>
      </c>
      <c r="K60" s="15">
        <f t="shared" ref="K60:AN60" si="61">SUM(K54:K59)+K51</f>
        <v>29047</v>
      </c>
      <c r="L60" s="15">
        <f t="shared" si="61"/>
        <v>23489</v>
      </c>
      <c r="M60" s="15">
        <f t="shared" si="61"/>
        <v>49780</v>
      </c>
      <c r="N60" s="15">
        <f t="shared" si="61"/>
        <v>133749</v>
      </c>
      <c r="O60" s="15">
        <f t="shared" si="61"/>
        <v>125157</v>
      </c>
      <c r="P60" s="15">
        <f t="shared" si="61"/>
        <v>397061</v>
      </c>
      <c r="Q60" s="15">
        <f t="shared" si="61"/>
        <v>454841</v>
      </c>
      <c r="R60" s="15">
        <f t="shared" si="61"/>
        <v>451923</v>
      </c>
      <c r="S60" s="15">
        <f t="shared" si="61"/>
        <v>491633</v>
      </c>
      <c r="T60" s="15">
        <f t="shared" si="61"/>
        <v>517974</v>
      </c>
      <c r="U60" s="15">
        <f t="shared" si="61"/>
        <v>486637</v>
      </c>
      <c r="V60" s="15">
        <f t="shared" si="61"/>
        <v>468006</v>
      </c>
      <c r="W60" s="15">
        <f t="shared" si="61"/>
        <v>1475519</v>
      </c>
      <c r="X60" s="15">
        <f t="shared" si="61"/>
        <v>1466520</v>
      </c>
      <c r="Y60" s="15">
        <f t="shared" si="61"/>
        <v>1432374</v>
      </c>
      <c r="Z60" s="15">
        <f t="shared" si="61"/>
        <v>1379399</v>
      </c>
      <c r="AA60" s="15">
        <f t="shared" si="61"/>
        <v>1294510</v>
      </c>
      <c r="AB60" s="15">
        <f t="shared" si="61"/>
        <v>1218109</v>
      </c>
      <c r="AC60" s="15">
        <f t="shared" si="61"/>
        <v>1141287</v>
      </c>
      <c r="AD60" s="15">
        <f t="shared" si="61"/>
        <v>1062224</v>
      </c>
      <c r="AE60" s="15">
        <f t="shared" si="61"/>
        <v>986577</v>
      </c>
      <c r="AF60" s="15">
        <f t="shared" si="61"/>
        <v>968585</v>
      </c>
      <c r="AG60" s="15">
        <f t="shared" si="61"/>
        <v>929208</v>
      </c>
      <c r="AH60" s="15">
        <f t="shared" si="61"/>
        <v>774450</v>
      </c>
      <c r="AI60" s="15">
        <f t="shared" si="61"/>
        <v>735026</v>
      </c>
      <c r="AJ60" s="15">
        <f t="shared" si="61"/>
        <v>711234</v>
      </c>
      <c r="AK60" s="15">
        <f t="shared" si="61"/>
        <v>692938</v>
      </c>
      <c r="AL60" s="15">
        <f t="shared" si="61"/>
        <v>678146</v>
      </c>
      <c r="AM60" s="15">
        <f t="shared" si="61"/>
        <v>643830</v>
      </c>
      <c r="AN60" s="15">
        <f t="shared" si="61"/>
        <v>691741</v>
      </c>
      <c r="AP60" s="15">
        <f t="shared" ref="AP60:AZ60" si="62">SUM(AP54:AP59)+AP51</f>
        <v>1062224</v>
      </c>
      <c r="AQ60" s="15">
        <f t="shared" si="62"/>
        <v>986577</v>
      </c>
      <c r="AR60" s="15">
        <f t="shared" si="62"/>
        <v>968585</v>
      </c>
      <c r="AS60" s="15">
        <f t="shared" si="62"/>
        <v>929208</v>
      </c>
      <c r="AT60" s="15">
        <f t="shared" si="62"/>
        <v>774450</v>
      </c>
      <c r="AU60" s="15">
        <f t="shared" si="62"/>
        <v>735026</v>
      </c>
      <c r="AV60" s="15">
        <f t="shared" si="62"/>
        <v>711234</v>
      </c>
      <c r="AW60" s="15">
        <f t="shared" si="62"/>
        <v>692938</v>
      </c>
      <c r="AX60" s="15">
        <f t="shared" si="62"/>
        <v>678146</v>
      </c>
      <c r="AY60" s="15">
        <f t="shared" si="62"/>
        <v>643830</v>
      </c>
      <c r="AZ60" s="15">
        <f t="shared" si="62"/>
        <v>691741</v>
      </c>
      <c r="BA60" s="45"/>
      <c r="BB60" s="84">
        <f>SUM(AZ60/AV60)-1</f>
        <v>-2.740729492684546E-2</v>
      </c>
    </row>
    <row r="61" spans="2:54" ht="12.75" customHeight="1">
      <c r="B61" s="27"/>
      <c r="C61" s="55"/>
      <c r="D61" s="55"/>
      <c r="E61" s="55"/>
      <c r="F61" s="55"/>
      <c r="G61" s="55"/>
      <c r="H61" s="44"/>
      <c r="I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P61" s="45"/>
      <c r="AQ61" s="45"/>
      <c r="AR61" s="45"/>
      <c r="AS61" s="45"/>
      <c r="AT61" s="45"/>
      <c r="AU61" s="45"/>
      <c r="AV61" s="45"/>
      <c r="AW61" s="45"/>
      <c r="AX61" s="45"/>
      <c r="AY61" s="45"/>
      <c r="AZ61" s="45"/>
      <c r="BA61" s="45"/>
      <c r="BB61" s="42"/>
    </row>
    <row r="62" spans="2:54" ht="12.75" customHeight="1">
      <c r="B62" s="87" t="s">
        <v>70</v>
      </c>
      <c r="C62" s="55"/>
      <c r="D62" s="55"/>
      <c r="E62" s="55"/>
      <c r="F62" s="55"/>
      <c r="G62" s="55"/>
      <c r="H62" s="44"/>
      <c r="I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P62" s="45"/>
      <c r="AQ62" s="45"/>
      <c r="AR62" s="45"/>
      <c r="AS62" s="45"/>
      <c r="AT62" s="45"/>
      <c r="AU62" s="45"/>
      <c r="AV62" s="45"/>
      <c r="AW62" s="45"/>
      <c r="AX62" s="45"/>
      <c r="AY62" s="45"/>
      <c r="AZ62" s="45"/>
      <c r="BA62" s="45"/>
      <c r="BB62" s="42"/>
    </row>
    <row r="63" spans="2:54" ht="12.75" customHeight="1">
      <c r="B63" s="537" t="s">
        <v>68</v>
      </c>
      <c r="C63" s="538">
        <v>17247</v>
      </c>
      <c r="D63" s="538">
        <v>26923</v>
      </c>
      <c r="E63" s="538">
        <v>53071</v>
      </c>
      <c r="F63" s="538">
        <v>69040</v>
      </c>
      <c r="G63" s="538">
        <v>55300</v>
      </c>
      <c r="H63" s="538">
        <v>56032</v>
      </c>
      <c r="I63" s="538">
        <v>37571</v>
      </c>
      <c r="K63" s="539"/>
      <c r="L63" s="539"/>
      <c r="M63" s="539"/>
      <c r="N63" s="379">
        <f>C63</f>
        <v>17247</v>
      </c>
      <c r="O63" s="538">
        <v>11663</v>
      </c>
      <c r="P63" s="538">
        <v>27383</v>
      </c>
      <c r="Q63" s="538">
        <v>38348</v>
      </c>
      <c r="R63" s="379">
        <f>D63</f>
        <v>26923</v>
      </c>
      <c r="S63" s="538">
        <v>48219</v>
      </c>
      <c r="T63" s="538">
        <v>51567</v>
      </c>
      <c r="U63" s="538">
        <v>30531</v>
      </c>
      <c r="V63" s="379">
        <f>E63</f>
        <v>53071</v>
      </c>
      <c r="W63" s="538">
        <v>51456</v>
      </c>
      <c r="X63" s="538">
        <v>49951</v>
      </c>
      <c r="Y63" s="538">
        <v>45387</v>
      </c>
      <c r="Z63" s="379">
        <f>F63</f>
        <v>69040</v>
      </c>
      <c r="AA63" s="538">
        <v>67387</v>
      </c>
      <c r="AB63" s="538">
        <v>74430</v>
      </c>
      <c r="AC63" s="538">
        <v>68676</v>
      </c>
      <c r="AD63" s="379">
        <f>G63</f>
        <v>55300</v>
      </c>
      <c r="AE63" s="538">
        <v>41131</v>
      </c>
      <c r="AF63" s="538">
        <v>39508</v>
      </c>
      <c r="AG63" s="538">
        <v>61861</v>
      </c>
      <c r="AH63" s="379">
        <f>H63</f>
        <v>56032</v>
      </c>
      <c r="AI63" s="538">
        <v>55836</v>
      </c>
      <c r="AJ63" s="538">
        <v>59449</v>
      </c>
      <c r="AK63" s="538">
        <v>59633</v>
      </c>
      <c r="AL63" s="379">
        <f>I63</f>
        <v>37571</v>
      </c>
      <c r="AM63" s="538">
        <v>50512</v>
      </c>
      <c r="AN63" s="538">
        <v>68837</v>
      </c>
      <c r="AP63" s="379">
        <f t="shared" ref="AP63:AZ67" si="63">AD63</f>
        <v>55300</v>
      </c>
      <c r="AQ63" s="379">
        <f t="shared" si="63"/>
        <v>41131</v>
      </c>
      <c r="AR63" s="379">
        <f t="shared" si="63"/>
        <v>39508</v>
      </c>
      <c r="AS63" s="379">
        <f t="shared" si="63"/>
        <v>61861</v>
      </c>
      <c r="AT63" s="379">
        <f t="shared" si="63"/>
        <v>56032</v>
      </c>
      <c r="AU63" s="379">
        <f t="shared" si="63"/>
        <v>55836</v>
      </c>
      <c r="AV63" s="379">
        <f t="shared" si="63"/>
        <v>59449</v>
      </c>
      <c r="AW63" s="379">
        <f t="shared" si="63"/>
        <v>59633</v>
      </c>
      <c r="AX63" s="379">
        <f t="shared" si="63"/>
        <v>37571</v>
      </c>
      <c r="AY63" s="379">
        <f t="shared" si="63"/>
        <v>50512</v>
      </c>
      <c r="AZ63" s="379">
        <f t="shared" si="63"/>
        <v>68837</v>
      </c>
      <c r="BA63" s="12"/>
      <c r="BB63" s="540"/>
    </row>
    <row r="64" spans="2:54" ht="12.75" customHeight="1">
      <c r="B64" s="537" t="s">
        <v>601</v>
      </c>
      <c r="C64" s="538">
        <f>2391+2312+1918+1255</f>
        <v>7876</v>
      </c>
      <c r="D64" s="379">
        <f>3805+4129+1768-D66</f>
        <v>9630</v>
      </c>
      <c r="E64" s="379">
        <f>4830+57+2843-E66</f>
        <v>7659</v>
      </c>
      <c r="F64" s="379">
        <f>20226+128+155-F66</f>
        <v>20327</v>
      </c>
      <c r="G64" s="379">
        <f>16729-G66</f>
        <v>16505</v>
      </c>
      <c r="H64" s="379">
        <f>9855+4790-H66</f>
        <v>14449</v>
      </c>
      <c r="I64" s="379">
        <f>11925+582+7250-I66</f>
        <v>18906</v>
      </c>
      <c r="K64" s="539"/>
      <c r="L64" s="539"/>
      <c r="M64" s="539"/>
      <c r="N64" s="379">
        <f>C64</f>
        <v>7876</v>
      </c>
      <c r="O64" s="538">
        <f>3094+3387+2677+1085</f>
        <v>10243</v>
      </c>
      <c r="P64" s="538">
        <f>3622+2157+1208</f>
        <v>6987</v>
      </c>
      <c r="Q64" s="538">
        <f>4113+3181+1433</f>
        <v>8727</v>
      </c>
      <c r="R64" s="379">
        <f>D64</f>
        <v>9630</v>
      </c>
      <c r="S64" s="538">
        <f>5297+723+1949</f>
        <v>7969</v>
      </c>
      <c r="T64" s="538">
        <f>8829+1416+2024</f>
        <v>12269</v>
      </c>
      <c r="U64" s="538">
        <f>10241+43+2289</f>
        <v>12573</v>
      </c>
      <c r="V64" s="379">
        <f>E64</f>
        <v>7659</v>
      </c>
      <c r="W64" s="538">
        <f>11903+2565+3899</f>
        <v>18367</v>
      </c>
      <c r="X64" s="538">
        <f>14369+2696+648</f>
        <v>17713</v>
      </c>
      <c r="Y64" s="538">
        <f>19091+1400+4269</f>
        <v>24760</v>
      </c>
      <c r="Z64" s="379">
        <f>F64</f>
        <v>20327</v>
      </c>
      <c r="AA64" s="538">
        <f>22807+2754+3406</f>
        <v>28967</v>
      </c>
      <c r="AB64" s="538">
        <f>22975+4333+2984</f>
        <v>30292</v>
      </c>
      <c r="AC64" s="538">
        <f>14693+148+2348</f>
        <v>17189</v>
      </c>
      <c r="AD64" s="379">
        <f>G64</f>
        <v>16505</v>
      </c>
      <c r="AE64" s="379">
        <f>15826-AE66</f>
        <v>15580</v>
      </c>
      <c r="AF64" s="379">
        <f>12009-AF66</f>
        <v>11791</v>
      </c>
      <c r="AG64" s="379">
        <f>13914-AG66</f>
        <v>13705</v>
      </c>
      <c r="AH64" s="379">
        <f>H64</f>
        <v>14449</v>
      </c>
      <c r="AI64" s="379">
        <f>10665+822+7500-AI66</f>
        <v>18224</v>
      </c>
      <c r="AJ64" s="379">
        <f>12051+393+7500-AJ66</f>
        <v>18939</v>
      </c>
      <c r="AK64" s="379">
        <f>15260+345+7250-AK66</f>
        <v>21715</v>
      </c>
      <c r="AL64" s="379">
        <f>I64</f>
        <v>18906</v>
      </c>
      <c r="AM64" s="379">
        <f>14199+7250-AM66</f>
        <v>20620</v>
      </c>
      <c r="AN64" s="538">
        <f>15618</f>
        <v>15618</v>
      </c>
      <c r="AP64" s="379">
        <f t="shared" si="63"/>
        <v>16505</v>
      </c>
      <c r="AQ64" s="379">
        <f t="shared" si="63"/>
        <v>15580</v>
      </c>
      <c r="AR64" s="379">
        <f t="shared" si="63"/>
        <v>11791</v>
      </c>
      <c r="AS64" s="379">
        <f t="shared" si="63"/>
        <v>13705</v>
      </c>
      <c r="AT64" s="379">
        <f t="shared" si="63"/>
        <v>14449</v>
      </c>
      <c r="AU64" s="379">
        <f t="shared" si="63"/>
        <v>18224</v>
      </c>
      <c r="AV64" s="379">
        <f t="shared" si="63"/>
        <v>18939</v>
      </c>
      <c r="AW64" s="379">
        <f t="shared" si="63"/>
        <v>21715</v>
      </c>
      <c r="AX64" s="379">
        <f t="shared" si="63"/>
        <v>18906</v>
      </c>
      <c r="AY64" s="379">
        <f t="shared" si="63"/>
        <v>20620</v>
      </c>
      <c r="AZ64" s="379">
        <f t="shared" si="63"/>
        <v>15618</v>
      </c>
      <c r="BA64" s="12"/>
      <c r="BB64" s="540"/>
    </row>
    <row r="65" spans="2:54" ht="12.75" customHeight="1">
      <c r="B65" s="537" t="s">
        <v>548</v>
      </c>
      <c r="C65" s="538">
        <v>0</v>
      </c>
      <c r="D65" s="538">
        <v>0</v>
      </c>
      <c r="E65" s="538">
        <v>3095</v>
      </c>
      <c r="F65" s="538">
        <v>4458</v>
      </c>
      <c r="G65" s="538">
        <v>3812</v>
      </c>
      <c r="H65" s="538">
        <v>3677</v>
      </c>
      <c r="I65" s="538">
        <v>4125</v>
      </c>
      <c r="K65" s="539"/>
      <c r="L65" s="539"/>
      <c r="M65" s="539"/>
      <c r="N65" s="379">
        <f>C65</f>
        <v>0</v>
      </c>
      <c r="O65" s="538">
        <v>0</v>
      </c>
      <c r="P65" s="538">
        <v>0</v>
      </c>
      <c r="Q65" s="538">
        <v>0</v>
      </c>
      <c r="R65" s="379">
        <f>D65</f>
        <v>0</v>
      </c>
      <c r="S65" s="538">
        <v>1628</v>
      </c>
      <c r="T65" s="538">
        <v>2367</v>
      </c>
      <c r="U65" s="538">
        <v>2481</v>
      </c>
      <c r="V65" s="379">
        <f>E65</f>
        <v>3095</v>
      </c>
      <c r="W65" s="538">
        <v>3101</v>
      </c>
      <c r="X65" s="538">
        <v>3651</v>
      </c>
      <c r="Y65" s="538">
        <v>3962</v>
      </c>
      <c r="Z65" s="379">
        <f>F65</f>
        <v>4458</v>
      </c>
      <c r="AA65" s="538">
        <v>4454</v>
      </c>
      <c r="AB65" s="538">
        <v>4595</v>
      </c>
      <c r="AC65" s="538">
        <v>4585</v>
      </c>
      <c r="AD65" s="379">
        <f>G65</f>
        <v>3812</v>
      </c>
      <c r="AE65" s="538">
        <v>2960</v>
      </c>
      <c r="AF65" s="538">
        <v>3127</v>
      </c>
      <c r="AG65" s="538">
        <v>3083</v>
      </c>
      <c r="AH65" s="379">
        <f>H65</f>
        <v>3677</v>
      </c>
      <c r="AI65" s="538">
        <v>3976</v>
      </c>
      <c r="AJ65" s="538">
        <v>4125</v>
      </c>
      <c r="AK65" s="538">
        <v>4103</v>
      </c>
      <c r="AL65" s="379">
        <f>I65</f>
        <v>4125</v>
      </c>
      <c r="AM65" s="538">
        <v>3941</v>
      </c>
      <c r="AN65" s="538">
        <v>1798</v>
      </c>
      <c r="AP65" s="379">
        <f t="shared" si="63"/>
        <v>3812</v>
      </c>
      <c r="AQ65" s="379">
        <f t="shared" si="63"/>
        <v>2960</v>
      </c>
      <c r="AR65" s="379">
        <f t="shared" si="63"/>
        <v>3127</v>
      </c>
      <c r="AS65" s="379">
        <f t="shared" si="63"/>
        <v>3083</v>
      </c>
      <c r="AT65" s="379">
        <f t="shared" si="63"/>
        <v>3677</v>
      </c>
      <c r="AU65" s="379">
        <f t="shared" si="63"/>
        <v>3976</v>
      </c>
      <c r="AV65" s="379">
        <f t="shared" si="63"/>
        <v>4125</v>
      </c>
      <c r="AW65" s="379">
        <f t="shared" si="63"/>
        <v>4103</v>
      </c>
      <c r="AX65" s="379">
        <f t="shared" si="63"/>
        <v>4125</v>
      </c>
      <c r="AY65" s="379">
        <f t="shared" si="63"/>
        <v>3941</v>
      </c>
      <c r="AZ65" s="379">
        <f t="shared" si="63"/>
        <v>1798</v>
      </c>
      <c r="BA65" s="12"/>
      <c r="BB65" s="540"/>
    </row>
    <row r="66" spans="2:54" ht="12.75" customHeight="1">
      <c r="B66" s="537" t="s">
        <v>622</v>
      </c>
      <c r="C66" s="538">
        <v>44</v>
      </c>
      <c r="D66" s="538">
        <v>72</v>
      </c>
      <c r="E66" s="538">
        <v>71</v>
      </c>
      <c r="F66" s="538">
        <v>182</v>
      </c>
      <c r="G66" s="538">
        <v>224</v>
      </c>
      <c r="H66" s="538">
        <v>196</v>
      </c>
      <c r="I66" s="538">
        <v>851</v>
      </c>
      <c r="K66" s="539"/>
      <c r="L66" s="539"/>
      <c r="M66" s="539"/>
      <c r="N66" s="379">
        <f>C66</f>
        <v>44</v>
      </c>
      <c r="O66" s="538">
        <v>36</v>
      </c>
      <c r="P66" s="538">
        <v>33</v>
      </c>
      <c r="Q66" s="538">
        <v>30</v>
      </c>
      <c r="R66" s="379">
        <f>D66</f>
        <v>72</v>
      </c>
      <c r="S66" s="538">
        <v>73</v>
      </c>
      <c r="T66" s="538">
        <v>72</v>
      </c>
      <c r="U66" s="538">
        <v>72</v>
      </c>
      <c r="V66" s="379">
        <f>E66</f>
        <v>71</v>
      </c>
      <c r="W66" s="538">
        <v>185</v>
      </c>
      <c r="X66" s="538">
        <v>184</v>
      </c>
      <c r="Y66" s="538">
        <v>183</v>
      </c>
      <c r="Z66" s="379">
        <f>F66</f>
        <v>182</v>
      </c>
      <c r="AA66" s="538">
        <v>183</v>
      </c>
      <c r="AB66" s="538">
        <v>210</v>
      </c>
      <c r="AC66" s="538">
        <v>226</v>
      </c>
      <c r="AD66" s="379">
        <f>G66</f>
        <v>224</v>
      </c>
      <c r="AE66" s="538">
        <v>246</v>
      </c>
      <c r="AF66" s="538">
        <v>218</v>
      </c>
      <c r="AG66" s="538">
        <v>209</v>
      </c>
      <c r="AH66" s="379">
        <f>H66</f>
        <v>196</v>
      </c>
      <c r="AI66" s="538">
        <v>763</v>
      </c>
      <c r="AJ66" s="538">
        <v>1005</v>
      </c>
      <c r="AK66" s="538">
        <v>1140</v>
      </c>
      <c r="AL66" s="379">
        <f>I66</f>
        <v>851</v>
      </c>
      <c r="AM66" s="538">
        <v>829</v>
      </c>
      <c r="AN66" s="538">
        <v>3934</v>
      </c>
      <c r="AP66" s="379">
        <f t="shared" si="63"/>
        <v>224</v>
      </c>
      <c r="AQ66" s="379">
        <f t="shared" si="63"/>
        <v>246</v>
      </c>
      <c r="AR66" s="379">
        <f t="shared" si="63"/>
        <v>218</v>
      </c>
      <c r="AS66" s="379">
        <f t="shared" si="63"/>
        <v>209</v>
      </c>
      <c r="AT66" s="379">
        <f t="shared" si="63"/>
        <v>196</v>
      </c>
      <c r="AU66" s="379">
        <f t="shared" si="63"/>
        <v>763</v>
      </c>
      <c r="AV66" s="379">
        <f t="shared" si="63"/>
        <v>1005</v>
      </c>
      <c r="AW66" s="379">
        <f t="shared" si="63"/>
        <v>1140</v>
      </c>
      <c r="AX66" s="379">
        <f t="shared" si="63"/>
        <v>851</v>
      </c>
      <c r="AY66" s="379">
        <f t="shared" si="63"/>
        <v>829</v>
      </c>
      <c r="AZ66" s="379">
        <f t="shared" si="63"/>
        <v>3934</v>
      </c>
      <c r="BA66" s="12"/>
      <c r="BB66" s="540"/>
    </row>
    <row r="67" spans="2:54" ht="12.75" customHeight="1">
      <c r="B67" s="537" t="s">
        <v>602</v>
      </c>
      <c r="C67" s="538">
        <v>0</v>
      </c>
      <c r="D67" s="538">
        <f>11000+72</f>
        <v>11072</v>
      </c>
      <c r="E67" s="538">
        <f>25000+71</f>
        <v>25071</v>
      </c>
      <c r="F67" s="538">
        <v>182</v>
      </c>
      <c r="G67" s="538">
        <v>0</v>
      </c>
      <c r="H67" s="538">
        <v>0</v>
      </c>
      <c r="I67" s="538">
        <v>0</v>
      </c>
      <c r="K67" s="539"/>
      <c r="L67" s="539"/>
      <c r="M67" s="539"/>
      <c r="N67" s="379">
        <f>C67</f>
        <v>0</v>
      </c>
      <c r="O67" s="538">
        <v>0</v>
      </c>
      <c r="P67" s="538">
        <f>6000</f>
        <v>6000</v>
      </c>
      <c r="Q67" s="538">
        <f>9087</f>
        <v>9087</v>
      </c>
      <c r="R67" s="379">
        <f>D67</f>
        <v>11072</v>
      </c>
      <c r="S67" s="538">
        <f>14094</f>
        <v>14094</v>
      </c>
      <c r="T67" s="538">
        <v>0</v>
      </c>
      <c r="U67" s="538">
        <v>0</v>
      </c>
      <c r="V67" s="379">
        <f>E67</f>
        <v>25071</v>
      </c>
      <c r="W67" s="538">
        <v>0</v>
      </c>
      <c r="X67" s="538">
        <v>0</v>
      </c>
      <c r="Y67" s="538">
        <v>0</v>
      </c>
      <c r="Z67" s="379">
        <f>F67</f>
        <v>182</v>
      </c>
      <c r="AA67" s="538">
        <v>0</v>
      </c>
      <c r="AB67" s="538">
        <v>0</v>
      </c>
      <c r="AC67" s="538">
        <v>0</v>
      </c>
      <c r="AD67" s="379">
        <f>G67</f>
        <v>0</v>
      </c>
      <c r="AE67" s="538">
        <v>0</v>
      </c>
      <c r="AF67" s="538">
        <v>0</v>
      </c>
      <c r="AG67" s="538">
        <v>0</v>
      </c>
      <c r="AH67" s="379">
        <f>H67</f>
        <v>0</v>
      </c>
      <c r="AI67" s="538">
        <v>0</v>
      </c>
      <c r="AJ67" s="538">
        <v>0</v>
      </c>
      <c r="AK67" s="538">
        <v>0</v>
      </c>
      <c r="AL67" s="379">
        <f>I67</f>
        <v>0</v>
      </c>
      <c r="AM67" s="538">
        <v>0</v>
      </c>
      <c r="AN67" s="538">
        <v>0</v>
      </c>
      <c r="AP67" s="379">
        <f t="shared" si="63"/>
        <v>0</v>
      </c>
      <c r="AQ67" s="379">
        <f t="shared" si="63"/>
        <v>0</v>
      </c>
      <c r="AR67" s="379">
        <f t="shared" si="63"/>
        <v>0</v>
      </c>
      <c r="AS67" s="379">
        <f t="shared" si="63"/>
        <v>0</v>
      </c>
      <c r="AT67" s="379">
        <f t="shared" si="63"/>
        <v>0</v>
      </c>
      <c r="AU67" s="379">
        <f t="shared" si="63"/>
        <v>0</v>
      </c>
      <c r="AV67" s="379">
        <f t="shared" si="63"/>
        <v>0</v>
      </c>
      <c r="AW67" s="379">
        <f t="shared" si="63"/>
        <v>0</v>
      </c>
      <c r="AX67" s="379">
        <f t="shared" si="63"/>
        <v>0</v>
      </c>
      <c r="AY67" s="379">
        <f t="shared" si="63"/>
        <v>0</v>
      </c>
      <c r="AZ67" s="379">
        <f t="shared" si="63"/>
        <v>0</v>
      </c>
      <c r="BA67" s="12"/>
      <c r="BB67" s="540"/>
    </row>
    <row r="68" spans="2:54" ht="12.75" customHeight="1">
      <c r="B68" s="27" t="s">
        <v>26</v>
      </c>
      <c r="C68" s="28">
        <f t="shared" ref="C68:I68" si="64">SUM(C63:C67)</f>
        <v>25167</v>
      </c>
      <c r="D68" s="28">
        <f t="shared" si="64"/>
        <v>47697</v>
      </c>
      <c r="E68" s="28">
        <f t="shared" si="64"/>
        <v>88967</v>
      </c>
      <c r="F68" s="28">
        <f t="shared" si="64"/>
        <v>94189</v>
      </c>
      <c r="G68" s="28">
        <f t="shared" si="64"/>
        <v>75841</v>
      </c>
      <c r="H68" s="28">
        <f t="shared" si="64"/>
        <v>74354</v>
      </c>
      <c r="I68" s="527">
        <f t="shared" si="64"/>
        <v>61453</v>
      </c>
      <c r="K68" s="28">
        <f t="shared" ref="K68:AN68" si="65">SUM(K63:K67)</f>
        <v>0</v>
      </c>
      <c r="L68" s="28">
        <f t="shared" si="65"/>
        <v>0</v>
      </c>
      <c r="M68" s="28">
        <f t="shared" si="65"/>
        <v>0</v>
      </c>
      <c r="N68" s="28">
        <f t="shared" si="65"/>
        <v>25167</v>
      </c>
      <c r="O68" s="28">
        <f t="shared" si="65"/>
        <v>21942</v>
      </c>
      <c r="P68" s="28">
        <f t="shared" si="65"/>
        <v>40403</v>
      </c>
      <c r="Q68" s="28">
        <f t="shared" si="65"/>
        <v>56192</v>
      </c>
      <c r="R68" s="28">
        <f t="shared" si="65"/>
        <v>47697</v>
      </c>
      <c r="S68" s="28">
        <f t="shared" si="65"/>
        <v>71983</v>
      </c>
      <c r="T68" s="28">
        <f t="shared" si="65"/>
        <v>66275</v>
      </c>
      <c r="U68" s="28">
        <f t="shared" si="65"/>
        <v>45657</v>
      </c>
      <c r="V68" s="28">
        <f t="shared" si="65"/>
        <v>88967</v>
      </c>
      <c r="W68" s="28">
        <f t="shared" si="65"/>
        <v>73109</v>
      </c>
      <c r="X68" s="28">
        <f t="shared" si="65"/>
        <v>71499</v>
      </c>
      <c r="Y68" s="28">
        <f t="shared" si="65"/>
        <v>74292</v>
      </c>
      <c r="Z68" s="28">
        <f t="shared" si="65"/>
        <v>94189</v>
      </c>
      <c r="AA68" s="28">
        <f t="shared" si="65"/>
        <v>100991</v>
      </c>
      <c r="AB68" s="28">
        <f t="shared" si="65"/>
        <v>109527</v>
      </c>
      <c r="AC68" s="28">
        <f t="shared" si="65"/>
        <v>90676</v>
      </c>
      <c r="AD68" s="28">
        <f t="shared" si="65"/>
        <v>75841</v>
      </c>
      <c r="AE68" s="28">
        <f t="shared" si="65"/>
        <v>59917</v>
      </c>
      <c r="AF68" s="28">
        <f t="shared" si="65"/>
        <v>54644</v>
      </c>
      <c r="AG68" s="28">
        <f t="shared" si="65"/>
        <v>78858</v>
      </c>
      <c r="AH68" s="28">
        <f t="shared" si="65"/>
        <v>74354</v>
      </c>
      <c r="AI68" s="28">
        <f t="shared" si="65"/>
        <v>78799</v>
      </c>
      <c r="AJ68" s="28">
        <f t="shared" si="65"/>
        <v>83518</v>
      </c>
      <c r="AK68" s="28">
        <f t="shared" si="65"/>
        <v>86591</v>
      </c>
      <c r="AL68" s="28">
        <f t="shared" si="65"/>
        <v>61453</v>
      </c>
      <c r="AM68" s="28">
        <f t="shared" si="65"/>
        <v>75902</v>
      </c>
      <c r="AN68" s="28">
        <f t="shared" si="65"/>
        <v>90187</v>
      </c>
      <c r="AO68" s="53"/>
      <c r="AP68" s="28">
        <f t="shared" ref="AP68:AZ68" si="66">SUM(AP63:AP67)</f>
        <v>75841</v>
      </c>
      <c r="AQ68" s="28">
        <f t="shared" si="66"/>
        <v>59917</v>
      </c>
      <c r="AR68" s="28">
        <f t="shared" si="66"/>
        <v>54644</v>
      </c>
      <c r="AS68" s="28">
        <f t="shared" si="66"/>
        <v>78858</v>
      </c>
      <c r="AT68" s="28">
        <f t="shared" si="66"/>
        <v>74354</v>
      </c>
      <c r="AU68" s="28">
        <f t="shared" si="66"/>
        <v>78799</v>
      </c>
      <c r="AV68" s="28">
        <f t="shared" si="66"/>
        <v>83518</v>
      </c>
      <c r="AW68" s="28">
        <f t="shared" si="66"/>
        <v>86591</v>
      </c>
      <c r="AX68" s="28">
        <f t="shared" si="66"/>
        <v>61453</v>
      </c>
      <c r="AY68" s="28">
        <f t="shared" si="66"/>
        <v>75902</v>
      </c>
      <c r="AZ68" s="28">
        <f t="shared" si="66"/>
        <v>90187</v>
      </c>
      <c r="BA68" s="45"/>
      <c r="BB68" s="84">
        <f>SUM(AZ68/AV68)-1</f>
        <v>7.9851050073038055E-2</v>
      </c>
    </row>
    <row r="69" spans="2:54" ht="5.0999999999999996" customHeight="1">
      <c r="B69" s="27"/>
      <c r="C69" s="55"/>
      <c r="D69" s="55"/>
      <c r="E69" s="55"/>
      <c r="F69" s="55"/>
      <c r="G69" s="55"/>
      <c r="H69" s="44"/>
      <c r="I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P69" s="45"/>
      <c r="AQ69" s="45"/>
      <c r="AR69" s="45"/>
      <c r="AS69" s="45"/>
      <c r="AT69" s="45"/>
      <c r="AU69" s="45"/>
      <c r="AV69" s="45"/>
      <c r="AW69" s="45"/>
      <c r="AX69" s="45"/>
      <c r="AY69" s="45"/>
      <c r="AZ69" s="45"/>
      <c r="BA69" s="45"/>
      <c r="BB69" s="42"/>
    </row>
    <row r="70" spans="2:54">
      <c r="B70" s="87" t="s">
        <v>557</v>
      </c>
      <c r="C70" s="55"/>
      <c r="D70" s="55"/>
      <c r="E70" s="55"/>
      <c r="F70" s="55"/>
      <c r="G70" s="55"/>
      <c r="H70" s="44"/>
      <c r="I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P70" s="45"/>
      <c r="AQ70" s="45"/>
      <c r="AR70" s="45"/>
      <c r="AS70" s="45"/>
      <c r="AT70" s="45"/>
      <c r="AU70" s="45"/>
      <c r="AV70" s="45"/>
      <c r="AW70" s="45"/>
      <c r="AX70" s="45"/>
      <c r="AY70" s="45"/>
      <c r="AZ70" s="45"/>
      <c r="BA70" s="45"/>
      <c r="BB70" s="42"/>
    </row>
    <row r="71" spans="2:54" ht="12.75" customHeight="1">
      <c r="B71" s="537" t="s">
        <v>555</v>
      </c>
      <c r="C71" s="538">
        <v>0</v>
      </c>
      <c r="D71" s="538">
        <v>0</v>
      </c>
      <c r="E71" s="538">
        <v>0</v>
      </c>
      <c r="F71" s="538">
        <v>1129674</v>
      </c>
      <c r="G71" s="538">
        <v>1133608</v>
      </c>
      <c r="H71" s="538">
        <v>1137542</v>
      </c>
      <c r="I71" s="538">
        <v>1141476</v>
      </c>
      <c r="J71" s="56"/>
      <c r="K71" s="539"/>
      <c r="L71" s="539"/>
      <c r="M71" s="539"/>
      <c r="N71" s="379">
        <f>C71</f>
        <v>0</v>
      </c>
      <c r="O71" s="538">
        <v>0</v>
      </c>
      <c r="P71" s="538">
        <v>0</v>
      </c>
      <c r="Q71" s="538">
        <v>0</v>
      </c>
      <c r="R71" s="379">
        <f>D71</f>
        <v>0</v>
      </c>
      <c r="S71" s="538">
        <v>0</v>
      </c>
      <c r="T71" s="538">
        <v>0</v>
      </c>
      <c r="U71" s="538">
        <v>0</v>
      </c>
      <c r="V71" s="379">
        <f>E71</f>
        <v>0</v>
      </c>
      <c r="W71" s="538">
        <v>1126723</v>
      </c>
      <c r="X71" s="538">
        <v>1127707</v>
      </c>
      <c r="Y71" s="538">
        <v>1128690</v>
      </c>
      <c r="Z71" s="379">
        <f>F71</f>
        <v>1129674</v>
      </c>
      <c r="AA71" s="538">
        <v>1130657</v>
      </c>
      <c r="AB71" s="538">
        <v>1131641</v>
      </c>
      <c r="AC71" s="538">
        <v>1132624</v>
      </c>
      <c r="AD71" s="379">
        <f>G71</f>
        <v>1133608</v>
      </c>
      <c r="AE71" s="538">
        <v>1134591</v>
      </c>
      <c r="AF71" s="538">
        <v>1135575</v>
      </c>
      <c r="AG71" s="538">
        <v>1136558</v>
      </c>
      <c r="AH71" s="379">
        <f>H71</f>
        <v>1137542</v>
      </c>
      <c r="AI71" s="538">
        <v>1138525</v>
      </c>
      <c r="AJ71" s="538">
        <v>1139509</v>
      </c>
      <c r="AK71" s="538">
        <v>1140492</v>
      </c>
      <c r="AL71" s="379">
        <f>I71</f>
        <v>1141476</v>
      </c>
      <c r="AM71" s="538">
        <v>1142459</v>
      </c>
      <c r="AN71" s="538">
        <v>1143443</v>
      </c>
      <c r="AP71" s="379">
        <f t="shared" ref="AP71:AZ74" si="67">AD71</f>
        <v>1133608</v>
      </c>
      <c r="AQ71" s="379">
        <f t="shared" si="67"/>
        <v>1134591</v>
      </c>
      <c r="AR71" s="379">
        <f t="shared" si="67"/>
        <v>1135575</v>
      </c>
      <c r="AS71" s="379">
        <f t="shared" si="67"/>
        <v>1136558</v>
      </c>
      <c r="AT71" s="379">
        <f t="shared" si="67"/>
        <v>1137542</v>
      </c>
      <c r="AU71" s="379">
        <f t="shared" si="67"/>
        <v>1138525</v>
      </c>
      <c r="AV71" s="379">
        <f t="shared" si="67"/>
        <v>1139509</v>
      </c>
      <c r="AW71" s="379">
        <f t="shared" si="67"/>
        <v>1140492</v>
      </c>
      <c r="AX71" s="379">
        <f t="shared" si="67"/>
        <v>1141476</v>
      </c>
      <c r="AY71" s="379">
        <f t="shared" si="67"/>
        <v>1142459</v>
      </c>
      <c r="AZ71" s="379">
        <f t="shared" si="67"/>
        <v>1143443</v>
      </c>
      <c r="BA71" s="45"/>
      <c r="BB71" s="540"/>
    </row>
    <row r="72" spans="2:54" ht="12.75" customHeight="1">
      <c r="B72" s="537" t="s">
        <v>600</v>
      </c>
      <c r="C72" s="538">
        <f>6000+19388+5000</f>
        <v>30388</v>
      </c>
      <c r="D72" s="538">
        <f>4932+14637</f>
        <v>19569</v>
      </c>
      <c r="E72" s="538">
        <v>0</v>
      </c>
      <c r="F72" s="538">
        <v>0</v>
      </c>
      <c r="G72" s="538">
        <v>0</v>
      </c>
      <c r="H72" s="538">
        <v>0</v>
      </c>
      <c r="I72" s="538">
        <v>0</v>
      </c>
      <c r="J72" s="56"/>
      <c r="K72" s="539"/>
      <c r="L72" s="539"/>
      <c r="M72" s="539"/>
      <c r="N72" s="379">
        <f>C72</f>
        <v>30388</v>
      </c>
      <c r="O72" s="538">
        <f>4914+19533+6000</f>
        <v>30447</v>
      </c>
      <c r="P72" s="538">
        <f>4924+19543</f>
        <v>24467</v>
      </c>
      <c r="Q72" s="538">
        <f>4922+16503</f>
        <v>21425</v>
      </c>
      <c r="R72" s="379">
        <f>D72</f>
        <v>19569</v>
      </c>
      <c r="S72" s="538">
        <f>12185+4347</f>
        <v>16532</v>
      </c>
      <c r="T72" s="538">
        <v>50000</v>
      </c>
      <c r="U72" s="538">
        <v>50000</v>
      </c>
      <c r="V72" s="379">
        <f>E72</f>
        <v>0</v>
      </c>
      <c r="W72" s="538">
        <v>0</v>
      </c>
      <c r="X72" s="538">
        <v>0</v>
      </c>
      <c r="Y72" s="538">
        <v>0</v>
      </c>
      <c r="Z72" s="379">
        <f>F72</f>
        <v>0</v>
      </c>
      <c r="AA72" s="538">
        <v>0</v>
      </c>
      <c r="AB72" s="538">
        <v>0</v>
      </c>
      <c r="AC72" s="538">
        <v>0</v>
      </c>
      <c r="AD72" s="379">
        <f>G72</f>
        <v>0</v>
      </c>
      <c r="AE72" s="538">
        <v>0</v>
      </c>
      <c r="AF72" s="538">
        <v>0</v>
      </c>
      <c r="AG72" s="538">
        <v>0</v>
      </c>
      <c r="AH72" s="379">
        <f>H72</f>
        <v>0</v>
      </c>
      <c r="AI72" s="538">
        <v>0</v>
      </c>
      <c r="AJ72" s="538">
        <v>0</v>
      </c>
      <c r="AK72" s="538">
        <v>0</v>
      </c>
      <c r="AL72" s="379">
        <f>I72</f>
        <v>0</v>
      </c>
      <c r="AM72" s="538">
        <v>0</v>
      </c>
      <c r="AN72" s="538">
        <f>30525+20143</f>
        <v>50668</v>
      </c>
      <c r="AO72" s="538"/>
      <c r="AP72" s="379">
        <f t="shared" si="67"/>
        <v>0</v>
      </c>
      <c r="AQ72" s="379">
        <f t="shared" si="67"/>
        <v>0</v>
      </c>
      <c r="AR72" s="379">
        <f t="shared" si="67"/>
        <v>0</v>
      </c>
      <c r="AS72" s="379">
        <f t="shared" si="67"/>
        <v>0</v>
      </c>
      <c r="AT72" s="379">
        <f t="shared" si="67"/>
        <v>0</v>
      </c>
      <c r="AU72" s="379">
        <f t="shared" si="67"/>
        <v>0</v>
      </c>
      <c r="AV72" s="379">
        <f t="shared" si="67"/>
        <v>0</v>
      </c>
      <c r="AW72" s="379">
        <f t="shared" si="67"/>
        <v>0</v>
      </c>
      <c r="AX72" s="379">
        <f t="shared" si="67"/>
        <v>0</v>
      </c>
      <c r="AY72" s="379">
        <f t="shared" si="67"/>
        <v>0</v>
      </c>
      <c r="AZ72" s="379">
        <f t="shared" si="67"/>
        <v>50668</v>
      </c>
      <c r="BA72" s="45"/>
      <c r="BB72" s="540"/>
    </row>
    <row r="73" spans="2:54" ht="12.75" customHeight="1">
      <c r="B73" s="537" t="s">
        <v>623</v>
      </c>
      <c r="C73" s="538">
        <v>404</v>
      </c>
      <c r="D73" s="538">
        <v>567</v>
      </c>
      <c r="E73" s="538">
        <v>149</v>
      </c>
      <c r="F73" s="538">
        <v>442</v>
      </c>
      <c r="G73" s="538">
        <v>469</v>
      </c>
      <c r="H73" s="538">
        <v>274</v>
      </c>
      <c r="I73" s="538">
        <v>2812</v>
      </c>
      <c r="J73" s="56"/>
      <c r="K73" s="539"/>
      <c r="L73" s="539"/>
      <c r="M73" s="539"/>
      <c r="N73" s="379">
        <f>C73</f>
        <v>404</v>
      </c>
      <c r="O73" s="538">
        <v>406</v>
      </c>
      <c r="P73" s="538">
        <v>406</v>
      </c>
      <c r="Q73" s="538">
        <v>396</v>
      </c>
      <c r="R73" s="379">
        <f>D73</f>
        <v>567</v>
      </c>
      <c r="S73" s="538">
        <v>202</v>
      </c>
      <c r="T73" s="538">
        <v>185</v>
      </c>
      <c r="U73" s="538">
        <v>167</v>
      </c>
      <c r="V73" s="379">
        <f>E73</f>
        <v>149</v>
      </c>
      <c r="W73" s="538">
        <v>579</v>
      </c>
      <c r="X73" s="538">
        <v>533</v>
      </c>
      <c r="Y73" s="538">
        <v>488</v>
      </c>
      <c r="Z73" s="379">
        <f>F73</f>
        <v>442</v>
      </c>
      <c r="AA73" s="538">
        <v>396</v>
      </c>
      <c r="AB73" s="538">
        <v>3739</v>
      </c>
      <c r="AC73" s="538">
        <v>3547</v>
      </c>
      <c r="AD73" s="379">
        <f>G73</f>
        <v>469</v>
      </c>
      <c r="AE73" s="538">
        <v>416</v>
      </c>
      <c r="AF73" s="538">
        <v>362</v>
      </c>
      <c r="AG73" s="538">
        <v>316</v>
      </c>
      <c r="AH73" s="379">
        <f>H73</f>
        <v>274</v>
      </c>
      <c r="AI73" s="538">
        <v>3623</v>
      </c>
      <c r="AJ73" s="538">
        <v>3348</v>
      </c>
      <c r="AK73" s="538">
        <v>3273</v>
      </c>
      <c r="AL73" s="379">
        <f>I73</f>
        <v>2812</v>
      </c>
      <c r="AM73" s="538">
        <v>2853</v>
      </c>
      <c r="AN73" s="538">
        <f>80025</f>
        <v>80025</v>
      </c>
      <c r="AP73" s="379">
        <f t="shared" si="67"/>
        <v>469</v>
      </c>
      <c r="AQ73" s="379">
        <f t="shared" si="67"/>
        <v>416</v>
      </c>
      <c r="AR73" s="379">
        <f t="shared" si="67"/>
        <v>362</v>
      </c>
      <c r="AS73" s="379">
        <f t="shared" si="67"/>
        <v>316</v>
      </c>
      <c r="AT73" s="379">
        <f t="shared" si="67"/>
        <v>274</v>
      </c>
      <c r="AU73" s="379">
        <f t="shared" si="67"/>
        <v>3623</v>
      </c>
      <c r="AV73" s="379">
        <f t="shared" si="67"/>
        <v>3348</v>
      </c>
      <c r="AW73" s="379">
        <f t="shared" si="67"/>
        <v>3273</v>
      </c>
      <c r="AX73" s="379">
        <f t="shared" si="67"/>
        <v>2812</v>
      </c>
      <c r="AY73" s="379">
        <f t="shared" si="67"/>
        <v>2853</v>
      </c>
      <c r="AZ73" s="379">
        <f t="shared" si="67"/>
        <v>80025</v>
      </c>
      <c r="BA73" s="45"/>
      <c r="BB73" s="540"/>
    </row>
    <row r="74" spans="2:54" ht="12.75" customHeight="1">
      <c r="B74" s="537" t="s">
        <v>549</v>
      </c>
      <c r="C74" s="538">
        <v>0</v>
      </c>
      <c r="D74" s="538">
        <v>0</v>
      </c>
      <c r="E74" s="538">
        <v>11793</v>
      </c>
      <c r="F74" s="538">
        <v>22599</v>
      </c>
      <c r="G74" s="538">
        <v>55854</v>
      </c>
      <c r="H74" s="538">
        <v>75648</v>
      </c>
      <c r="I74" s="538">
        <v>73613</v>
      </c>
      <c r="J74" s="56"/>
      <c r="K74" s="539"/>
      <c r="L74" s="539"/>
      <c r="M74" s="539"/>
      <c r="N74" s="379">
        <f>C74</f>
        <v>0</v>
      </c>
      <c r="O74" s="538">
        <v>0</v>
      </c>
      <c r="P74" s="538">
        <v>0</v>
      </c>
      <c r="Q74" s="538">
        <v>0</v>
      </c>
      <c r="R74" s="379">
        <f>D74</f>
        <v>0</v>
      </c>
      <c r="S74" s="538">
        <v>10935</v>
      </c>
      <c r="T74" s="538">
        <v>11604</v>
      </c>
      <c r="U74" s="538">
        <v>11413</v>
      </c>
      <c r="V74" s="379">
        <f>E74</f>
        <v>11793</v>
      </c>
      <c r="W74" s="538">
        <v>11061</v>
      </c>
      <c r="X74" s="538">
        <v>11300</v>
      </c>
      <c r="Y74" s="538">
        <v>21799</v>
      </c>
      <c r="Z74" s="379">
        <f>F74</f>
        <v>22599</v>
      </c>
      <c r="AA74" s="538">
        <v>21485</v>
      </c>
      <c r="AB74" s="538">
        <v>21143</v>
      </c>
      <c r="AC74" s="538">
        <v>56484</v>
      </c>
      <c r="AD74" s="379">
        <f>G74</f>
        <v>55854</v>
      </c>
      <c r="AE74" s="538">
        <v>44787</v>
      </c>
      <c r="AF74" s="538">
        <v>77122</v>
      </c>
      <c r="AG74" s="538">
        <v>76382</v>
      </c>
      <c r="AH74" s="379">
        <f>H74</f>
        <v>75648</v>
      </c>
      <c r="AI74" s="538">
        <v>75490</v>
      </c>
      <c r="AJ74" s="538">
        <v>74884</v>
      </c>
      <c r="AK74" s="538">
        <v>74506</v>
      </c>
      <c r="AL74" s="379">
        <f>I74</f>
        <v>73613</v>
      </c>
      <c r="AM74" s="538">
        <v>72147</v>
      </c>
      <c r="AN74" s="538">
        <v>4441</v>
      </c>
      <c r="AP74" s="379">
        <f t="shared" si="67"/>
        <v>55854</v>
      </c>
      <c r="AQ74" s="379">
        <f t="shared" si="67"/>
        <v>44787</v>
      </c>
      <c r="AR74" s="379">
        <f t="shared" si="67"/>
        <v>77122</v>
      </c>
      <c r="AS74" s="379">
        <f t="shared" si="67"/>
        <v>76382</v>
      </c>
      <c r="AT74" s="379">
        <f t="shared" si="67"/>
        <v>75648</v>
      </c>
      <c r="AU74" s="379">
        <f t="shared" si="67"/>
        <v>75490</v>
      </c>
      <c r="AV74" s="379">
        <f t="shared" si="67"/>
        <v>74884</v>
      </c>
      <c r="AW74" s="379">
        <f t="shared" si="67"/>
        <v>74506</v>
      </c>
      <c r="AX74" s="379">
        <f t="shared" si="67"/>
        <v>73613</v>
      </c>
      <c r="AY74" s="379">
        <f t="shared" si="67"/>
        <v>72147</v>
      </c>
      <c r="AZ74" s="379">
        <f t="shared" si="67"/>
        <v>4441</v>
      </c>
      <c r="BA74" s="12"/>
      <c r="BB74" s="540">
        <f>SUM(AZ74/AV74)-1</f>
        <v>-0.9406949415095347</v>
      </c>
    </row>
    <row r="75" spans="2:54" ht="12.75" customHeight="1">
      <c r="B75" s="14" t="s">
        <v>24</v>
      </c>
      <c r="C75" s="15">
        <f t="shared" ref="C75:H75" si="68">SUM(C71:C74)+C68</f>
        <v>55959</v>
      </c>
      <c r="D75" s="15">
        <f t="shared" si="68"/>
        <v>67833</v>
      </c>
      <c r="E75" s="15">
        <f t="shared" si="68"/>
        <v>100909</v>
      </c>
      <c r="F75" s="15">
        <f t="shared" si="68"/>
        <v>1246904</v>
      </c>
      <c r="G75" s="15">
        <f t="shared" si="68"/>
        <v>1265772</v>
      </c>
      <c r="H75" s="15">
        <f t="shared" si="68"/>
        <v>1287818</v>
      </c>
      <c r="I75" s="15">
        <f>SUM(I71:I74)+I68</f>
        <v>1279354</v>
      </c>
      <c r="K75" s="15">
        <f t="shared" ref="K75:AN75" si="69">SUM(K71:K74)+K68</f>
        <v>0</v>
      </c>
      <c r="L75" s="15">
        <f t="shared" si="69"/>
        <v>0</v>
      </c>
      <c r="M75" s="15">
        <f t="shared" si="69"/>
        <v>0</v>
      </c>
      <c r="N75" s="15">
        <f t="shared" si="69"/>
        <v>55959</v>
      </c>
      <c r="O75" s="15">
        <f t="shared" si="69"/>
        <v>52795</v>
      </c>
      <c r="P75" s="15">
        <f t="shared" si="69"/>
        <v>65276</v>
      </c>
      <c r="Q75" s="15">
        <f t="shared" si="69"/>
        <v>78013</v>
      </c>
      <c r="R75" s="15">
        <f t="shared" si="69"/>
        <v>67833</v>
      </c>
      <c r="S75" s="15">
        <f t="shared" si="69"/>
        <v>99652</v>
      </c>
      <c r="T75" s="15">
        <f t="shared" si="69"/>
        <v>128064</v>
      </c>
      <c r="U75" s="15">
        <f t="shared" si="69"/>
        <v>107237</v>
      </c>
      <c r="V75" s="15">
        <f t="shared" si="69"/>
        <v>100909</v>
      </c>
      <c r="W75" s="15">
        <f t="shared" si="69"/>
        <v>1211472</v>
      </c>
      <c r="X75" s="15">
        <f t="shared" si="69"/>
        <v>1211039</v>
      </c>
      <c r="Y75" s="15">
        <f t="shared" si="69"/>
        <v>1225269</v>
      </c>
      <c r="Z75" s="15">
        <f t="shared" si="69"/>
        <v>1246904</v>
      </c>
      <c r="AA75" s="15">
        <f t="shared" si="69"/>
        <v>1253529</v>
      </c>
      <c r="AB75" s="15">
        <f t="shared" si="69"/>
        <v>1266050</v>
      </c>
      <c r="AC75" s="15">
        <f t="shared" si="69"/>
        <v>1283331</v>
      </c>
      <c r="AD75" s="15">
        <f t="shared" si="69"/>
        <v>1265772</v>
      </c>
      <c r="AE75" s="15">
        <f t="shared" si="69"/>
        <v>1239711</v>
      </c>
      <c r="AF75" s="15">
        <f t="shared" si="69"/>
        <v>1267703</v>
      </c>
      <c r="AG75" s="15">
        <f t="shared" si="69"/>
        <v>1292114</v>
      </c>
      <c r="AH75" s="15">
        <f t="shared" si="69"/>
        <v>1287818</v>
      </c>
      <c r="AI75" s="15">
        <f t="shared" si="69"/>
        <v>1296437</v>
      </c>
      <c r="AJ75" s="15">
        <f t="shared" si="69"/>
        <v>1301259</v>
      </c>
      <c r="AK75" s="15">
        <f t="shared" si="69"/>
        <v>1304862</v>
      </c>
      <c r="AL75" s="15">
        <f t="shared" si="69"/>
        <v>1279354</v>
      </c>
      <c r="AM75" s="15">
        <f t="shared" si="69"/>
        <v>1293361</v>
      </c>
      <c r="AN75" s="15">
        <f t="shared" si="69"/>
        <v>1368764</v>
      </c>
      <c r="AP75" s="15">
        <f t="shared" ref="AP75:AZ75" si="70">SUM(AP71:AP74)+AP68</f>
        <v>1265772</v>
      </c>
      <c r="AQ75" s="15">
        <f t="shared" si="70"/>
        <v>1239711</v>
      </c>
      <c r="AR75" s="15">
        <f t="shared" si="70"/>
        <v>1267703</v>
      </c>
      <c r="AS75" s="15">
        <f t="shared" si="70"/>
        <v>1292114</v>
      </c>
      <c r="AT75" s="15">
        <f t="shared" si="70"/>
        <v>1287818</v>
      </c>
      <c r="AU75" s="15">
        <f t="shared" si="70"/>
        <v>1296437</v>
      </c>
      <c r="AV75" s="15">
        <f t="shared" si="70"/>
        <v>1301259</v>
      </c>
      <c r="AW75" s="15">
        <f t="shared" si="70"/>
        <v>1304862</v>
      </c>
      <c r="AX75" s="15">
        <f t="shared" si="70"/>
        <v>1279354</v>
      </c>
      <c r="AY75" s="15">
        <f t="shared" si="70"/>
        <v>1293361</v>
      </c>
      <c r="AZ75" s="15">
        <f t="shared" si="70"/>
        <v>1368764</v>
      </c>
      <c r="BA75" s="45"/>
      <c r="BB75" s="84">
        <f>SUM(AZ75/AV75)-1</f>
        <v>5.1876682505173743E-2</v>
      </c>
    </row>
    <row r="76" spans="2:54" ht="5.0999999999999996" customHeight="1">
      <c r="B76" s="27"/>
      <c r="C76" s="54"/>
      <c r="D76" s="54"/>
      <c r="E76" s="54"/>
      <c r="F76" s="54"/>
      <c r="G76" s="54"/>
      <c r="H76" s="44"/>
      <c r="I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P76" s="45"/>
      <c r="AQ76" s="45"/>
      <c r="AR76" s="45"/>
      <c r="AS76" s="45"/>
      <c r="AT76" s="45"/>
      <c r="AU76" s="45"/>
      <c r="AV76" s="45"/>
      <c r="AW76" s="45"/>
      <c r="AX76" s="45"/>
      <c r="AY76" s="45"/>
      <c r="AZ76" s="45"/>
      <c r="BA76" s="45"/>
      <c r="BB76" s="42"/>
    </row>
    <row r="77" spans="2:54" ht="12.75" customHeight="1">
      <c r="B77" s="10" t="s">
        <v>550</v>
      </c>
      <c r="C77" s="92">
        <f>2000+4999+14882+24948+17214+29840+55658+49999</f>
        <v>199540</v>
      </c>
      <c r="D77" s="92">
        <v>0</v>
      </c>
      <c r="E77" s="92">
        <v>0</v>
      </c>
      <c r="F77" s="92">
        <v>0</v>
      </c>
      <c r="G77" s="92">
        <v>0</v>
      </c>
      <c r="H77" s="92">
        <v>0</v>
      </c>
      <c r="I77" s="92">
        <v>0</v>
      </c>
      <c r="J77" s="34"/>
      <c r="K77" s="528"/>
      <c r="L77" s="528"/>
      <c r="M77" s="528"/>
      <c r="N77" s="34">
        <f>C77</f>
        <v>199540</v>
      </c>
      <c r="O77" s="92">
        <f>2000+4999+14882+24948+17214+29840+55658+49999</f>
        <v>199540</v>
      </c>
      <c r="P77" s="92">
        <v>0</v>
      </c>
      <c r="Q77" s="92">
        <v>0</v>
      </c>
      <c r="R77" s="34">
        <f>D77</f>
        <v>0</v>
      </c>
      <c r="S77" s="92">
        <v>0</v>
      </c>
      <c r="T77" s="92">
        <v>0</v>
      </c>
      <c r="U77" s="92">
        <v>0</v>
      </c>
      <c r="V77" s="34">
        <f>E77</f>
        <v>0</v>
      </c>
      <c r="W77" s="92">
        <v>0</v>
      </c>
      <c r="X77" s="92">
        <v>0</v>
      </c>
      <c r="Y77" s="92">
        <v>0</v>
      </c>
      <c r="Z77" s="34">
        <f>F77</f>
        <v>0</v>
      </c>
      <c r="AA77" s="92">
        <v>0</v>
      </c>
      <c r="AB77" s="92">
        <v>0</v>
      </c>
      <c r="AC77" s="92">
        <v>0</v>
      </c>
      <c r="AD77" s="34">
        <v>0</v>
      </c>
      <c r="AE77" s="92">
        <v>0</v>
      </c>
      <c r="AF77" s="92">
        <v>0</v>
      </c>
      <c r="AG77" s="92">
        <v>0</v>
      </c>
      <c r="AH77" s="34">
        <f>H77</f>
        <v>0</v>
      </c>
      <c r="AI77" s="92">
        <v>0</v>
      </c>
      <c r="AJ77" s="92">
        <v>0</v>
      </c>
      <c r="AK77" s="92">
        <v>0</v>
      </c>
      <c r="AL77" s="34">
        <f>I77</f>
        <v>0</v>
      </c>
      <c r="AM77" s="92">
        <v>0</v>
      </c>
      <c r="AN77" s="92">
        <v>0</v>
      </c>
      <c r="AP77" s="34">
        <f t="shared" ref="AP77:AZ81" si="71">AD77</f>
        <v>0</v>
      </c>
      <c r="AQ77" s="34">
        <f t="shared" si="71"/>
        <v>0</v>
      </c>
      <c r="AR77" s="34">
        <f t="shared" si="71"/>
        <v>0</v>
      </c>
      <c r="AS77" s="34">
        <f t="shared" si="71"/>
        <v>0</v>
      </c>
      <c r="AT77" s="34">
        <f t="shared" si="71"/>
        <v>0</v>
      </c>
      <c r="AU77" s="34">
        <f t="shared" si="71"/>
        <v>0</v>
      </c>
      <c r="AV77" s="34">
        <f t="shared" si="71"/>
        <v>0</v>
      </c>
      <c r="AW77" s="34">
        <f t="shared" si="71"/>
        <v>0</v>
      </c>
      <c r="AX77" s="34">
        <f t="shared" si="71"/>
        <v>0</v>
      </c>
      <c r="AY77" s="34">
        <f t="shared" si="71"/>
        <v>0</v>
      </c>
      <c r="AZ77" s="34">
        <f t="shared" si="71"/>
        <v>0</v>
      </c>
      <c r="BA77" s="12"/>
      <c r="BB77" s="83"/>
    </row>
    <row r="78" spans="2:54" ht="12.75" customHeight="1">
      <c r="B78" s="10" t="s">
        <v>551</v>
      </c>
      <c r="C78" s="92">
        <v>1</v>
      </c>
      <c r="D78" s="92">
        <v>6</v>
      </c>
      <c r="E78" s="92">
        <v>6</v>
      </c>
      <c r="F78" s="92">
        <v>6</v>
      </c>
      <c r="G78" s="92">
        <v>6</v>
      </c>
      <c r="H78" s="92">
        <v>6</v>
      </c>
      <c r="I78" s="92">
        <v>8</v>
      </c>
      <c r="J78" s="34"/>
      <c r="K78" s="528"/>
      <c r="L78" s="528"/>
      <c r="M78" s="528"/>
      <c r="N78" s="34">
        <f>C78</f>
        <v>1</v>
      </c>
      <c r="O78" s="92">
        <v>1</v>
      </c>
      <c r="P78" s="92">
        <v>6</v>
      </c>
      <c r="Q78" s="92">
        <v>6</v>
      </c>
      <c r="R78" s="34">
        <f>D78</f>
        <v>6</v>
      </c>
      <c r="S78" s="92">
        <v>6</v>
      </c>
      <c r="T78" s="92">
        <v>6</v>
      </c>
      <c r="U78" s="92">
        <v>6</v>
      </c>
      <c r="V78" s="34">
        <f>E78</f>
        <v>6</v>
      </c>
      <c r="W78" s="92">
        <v>6</v>
      </c>
      <c r="X78" s="92">
        <v>6</v>
      </c>
      <c r="Y78" s="92">
        <v>6</v>
      </c>
      <c r="Z78" s="34">
        <f>F78</f>
        <v>6</v>
      </c>
      <c r="AA78" s="92">
        <v>6</v>
      </c>
      <c r="AB78" s="92">
        <v>6</v>
      </c>
      <c r="AC78" s="92">
        <v>6</v>
      </c>
      <c r="AD78" s="34">
        <v>6</v>
      </c>
      <c r="AE78" s="92">
        <v>6</v>
      </c>
      <c r="AF78" s="92">
        <v>6</v>
      </c>
      <c r="AG78" s="92">
        <v>6</v>
      </c>
      <c r="AH78" s="34">
        <f>H78</f>
        <v>6</v>
      </c>
      <c r="AI78" s="92">
        <v>6</v>
      </c>
      <c r="AJ78" s="92">
        <v>6</v>
      </c>
      <c r="AK78" s="92">
        <v>6</v>
      </c>
      <c r="AL78" s="34">
        <f>I78</f>
        <v>8</v>
      </c>
      <c r="AM78" s="92">
        <v>8</v>
      </c>
      <c r="AN78" s="92">
        <v>8</v>
      </c>
      <c r="AP78" s="34">
        <f t="shared" si="71"/>
        <v>6</v>
      </c>
      <c r="AQ78" s="34">
        <f t="shared" si="71"/>
        <v>6</v>
      </c>
      <c r="AR78" s="34">
        <f t="shared" si="71"/>
        <v>6</v>
      </c>
      <c r="AS78" s="34">
        <f t="shared" si="71"/>
        <v>6</v>
      </c>
      <c r="AT78" s="34">
        <f t="shared" si="71"/>
        <v>6</v>
      </c>
      <c r="AU78" s="34">
        <f t="shared" si="71"/>
        <v>6</v>
      </c>
      <c r="AV78" s="34">
        <f t="shared" si="71"/>
        <v>6</v>
      </c>
      <c r="AW78" s="34">
        <f t="shared" si="71"/>
        <v>6</v>
      </c>
      <c r="AX78" s="34">
        <f t="shared" si="71"/>
        <v>8</v>
      </c>
      <c r="AY78" s="34">
        <f t="shared" si="71"/>
        <v>8</v>
      </c>
      <c r="AZ78" s="34">
        <f t="shared" si="71"/>
        <v>8</v>
      </c>
      <c r="BA78" s="12"/>
      <c r="BB78" s="83"/>
    </row>
    <row r="79" spans="2:54" ht="12.75" customHeight="1">
      <c r="B79" s="10" t="s">
        <v>552</v>
      </c>
      <c r="C79" s="92">
        <v>7921</v>
      </c>
      <c r="D79" s="92">
        <v>526199</v>
      </c>
      <c r="E79" s="92">
        <v>560210</v>
      </c>
      <c r="F79" s="92">
        <v>510014</v>
      </c>
      <c r="G79" s="92">
        <v>544357</v>
      </c>
      <c r="H79" s="92">
        <v>573128</v>
      </c>
      <c r="I79" s="92">
        <v>644004</v>
      </c>
      <c r="J79" s="34"/>
      <c r="K79" s="528"/>
      <c r="L79" s="528"/>
      <c r="M79" s="528"/>
      <c r="N79" s="34">
        <f>C79</f>
        <v>7921</v>
      </c>
      <c r="O79" s="92">
        <v>9142</v>
      </c>
      <c r="P79" s="92">
        <v>477541</v>
      </c>
      <c r="Q79" s="92">
        <v>518485</v>
      </c>
      <c r="R79" s="34">
        <f>D79</f>
        <v>526199</v>
      </c>
      <c r="S79" s="92">
        <v>532275</v>
      </c>
      <c r="T79" s="92">
        <v>540576</v>
      </c>
      <c r="U79" s="92">
        <v>548706</v>
      </c>
      <c r="V79" s="34">
        <f>E79</f>
        <v>560210</v>
      </c>
      <c r="W79" s="92">
        <v>485684</v>
      </c>
      <c r="X79" s="92">
        <v>496210</v>
      </c>
      <c r="Y79" s="92">
        <v>503690</v>
      </c>
      <c r="Z79" s="34">
        <f>F79</f>
        <v>510014</v>
      </c>
      <c r="AA79" s="92">
        <v>519681</v>
      </c>
      <c r="AB79" s="92">
        <v>530152</v>
      </c>
      <c r="AC79" s="92">
        <v>539399</v>
      </c>
      <c r="AD79" s="34">
        <v>544357</v>
      </c>
      <c r="AE79" s="92">
        <v>553805</v>
      </c>
      <c r="AF79" s="92">
        <v>561484</v>
      </c>
      <c r="AG79" s="92">
        <v>567927</v>
      </c>
      <c r="AH79" s="34">
        <f>H79</f>
        <v>573128</v>
      </c>
      <c r="AI79" s="92">
        <v>578773</v>
      </c>
      <c r="AJ79" s="92">
        <v>584441</v>
      </c>
      <c r="AK79" s="92">
        <v>590282</v>
      </c>
      <c r="AL79" s="34">
        <f>I79</f>
        <v>644004</v>
      </c>
      <c r="AM79" s="92">
        <v>649637</v>
      </c>
      <c r="AN79" s="92">
        <v>653855</v>
      </c>
      <c r="AP79" s="34">
        <f t="shared" si="71"/>
        <v>544357</v>
      </c>
      <c r="AQ79" s="34">
        <f t="shared" si="71"/>
        <v>553805</v>
      </c>
      <c r="AR79" s="34">
        <f t="shared" si="71"/>
        <v>561484</v>
      </c>
      <c r="AS79" s="34">
        <f t="shared" si="71"/>
        <v>567927</v>
      </c>
      <c r="AT79" s="34">
        <f t="shared" si="71"/>
        <v>573128</v>
      </c>
      <c r="AU79" s="34">
        <f t="shared" si="71"/>
        <v>578773</v>
      </c>
      <c r="AV79" s="34">
        <f t="shared" si="71"/>
        <v>584441</v>
      </c>
      <c r="AW79" s="34">
        <f t="shared" si="71"/>
        <v>590282</v>
      </c>
      <c r="AX79" s="34">
        <f t="shared" si="71"/>
        <v>644004</v>
      </c>
      <c r="AY79" s="34">
        <f t="shared" si="71"/>
        <v>649637</v>
      </c>
      <c r="AZ79" s="34">
        <f t="shared" si="71"/>
        <v>653855</v>
      </c>
      <c r="BA79" s="12"/>
      <c r="BB79" s="83"/>
    </row>
    <row r="80" spans="2:54" ht="12.75" customHeight="1">
      <c r="B80" s="10" t="s">
        <v>553</v>
      </c>
      <c r="C80" s="92">
        <v>-129672</v>
      </c>
      <c r="D80" s="92">
        <v>-142115</v>
      </c>
      <c r="E80" s="92">
        <v>-194867</v>
      </c>
      <c r="F80" s="92">
        <v>-376972</v>
      </c>
      <c r="G80" s="92">
        <v>-743109</v>
      </c>
      <c r="H80" s="92">
        <v>-1081253</v>
      </c>
      <c r="I80" s="92">
        <v>-1241531</v>
      </c>
      <c r="J80" s="34"/>
      <c r="K80" s="528"/>
      <c r="L80" s="528"/>
      <c r="M80" s="528"/>
      <c r="N80" s="34">
        <f>C80</f>
        <v>-129672</v>
      </c>
      <c r="O80" s="92">
        <v>-136321</v>
      </c>
      <c r="P80" s="92">
        <v>-145762</v>
      </c>
      <c r="Q80" s="92">
        <v>-141663</v>
      </c>
      <c r="R80" s="34">
        <f>D80</f>
        <v>-142115</v>
      </c>
      <c r="S80" s="92">
        <v>-140300</v>
      </c>
      <c r="T80" s="92">
        <v>-150505</v>
      </c>
      <c r="U80" s="92">
        <v>-169790</v>
      </c>
      <c r="V80" s="34">
        <f>E80</f>
        <v>-194867</v>
      </c>
      <c r="W80" s="92">
        <v>-222133</v>
      </c>
      <c r="X80" s="92">
        <v>-241785</v>
      </c>
      <c r="Y80" s="92">
        <v>-296601</v>
      </c>
      <c r="Z80" s="34">
        <f>F80</f>
        <v>-376972</v>
      </c>
      <c r="AA80" s="92">
        <v>-477430</v>
      </c>
      <c r="AB80" s="92">
        <v>-574564</v>
      </c>
      <c r="AC80" s="92">
        <v>-676242</v>
      </c>
      <c r="AD80" s="34">
        <v>-743109</v>
      </c>
      <c r="AE80" s="92">
        <v>-802146</v>
      </c>
      <c r="AF80" s="92">
        <v>-855651</v>
      </c>
      <c r="AG80" s="92">
        <v>-926143</v>
      </c>
      <c r="AH80" s="34">
        <f>H80</f>
        <v>-1081253</v>
      </c>
      <c r="AI80" s="92">
        <v>-1135614</v>
      </c>
      <c r="AJ80" s="92">
        <v>-1170093</v>
      </c>
      <c r="AK80" s="92">
        <v>-1196669</v>
      </c>
      <c r="AL80" s="34">
        <f>I80</f>
        <v>-1241531</v>
      </c>
      <c r="AM80" s="92">
        <v>-1294447</v>
      </c>
      <c r="AN80" s="92">
        <v>-1323689</v>
      </c>
      <c r="AP80" s="34">
        <f t="shared" si="71"/>
        <v>-743109</v>
      </c>
      <c r="AQ80" s="34">
        <f t="shared" si="71"/>
        <v>-802146</v>
      </c>
      <c r="AR80" s="34">
        <f t="shared" si="71"/>
        <v>-855651</v>
      </c>
      <c r="AS80" s="34">
        <f t="shared" si="71"/>
        <v>-926143</v>
      </c>
      <c r="AT80" s="34">
        <f t="shared" si="71"/>
        <v>-1081253</v>
      </c>
      <c r="AU80" s="34">
        <f t="shared" si="71"/>
        <v>-1135614</v>
      </c>
      <c r="AV80" s="34">
        <f t="shared" si="71"/>
        <v>-1170093</v>
      </c>
      <c r="AW80" s="34">
        <f t="shared" si="71"/>
        <v>-1196669</v>
      </c>
      <c r="AX80" s="34">
        <f t="shared" si="71"/>
        <v>-1241531</v>
      </c>
      <c r="AY80" s="34">
        <f t="shared" si="71"/>
        <v>-1294447</v>
      </c>
      <c r="AZ80" s="34">
        <f t="shared" si="71"/>
        <v>-1323689</v>
      </c>
      <c r="BA80" s="12"/>
      <c r="BB80" s="83"/>
    </row>
    <row r="81" spans="1:54" ht="12.75" customHeight="1">
      <c r="B81" s="10" t="s">
        <v>554</v>
      </c>
      <c r="C81" s="92">
        <v>0</v>
      </c>
      <c r="D81" s="92">
        <v>0</v>
      </c>
      <c r="E81" s="92">
        <v>1748</v>
      </c>
      <c r="F81" s="92">
        <v>-553</v>
      </c>
      <c r="G81" s="92">
        <v>-4802</v>
      </c>
      <c r="H81" s="92">
        <v>-5249</v>
      </c>
      <c r="I81" s="92">
        <v>-3689</v>
      </c>
      <c r="J81" s="34"/>
      <c r="K81" s="528"/>
      <c r="L81" s="528"/>
      <c r="M81" s="528"/>
      <c r="N81" s="34">
        <f>C81</f>
        <v>0</v>
      </c>
      <c r="O81" s="92">
        <v>0</v>
      </c>
      <c r="P81" s="92">
        <v>0</v>
      </c>
      <c r="Q81" s="92"/>
      <c r="R81" s="34">
        <f>D81</f>
        <v>0</v>
      </c>
      <c r="S81" s="92">
        <v>0</v>
      </c>
      <c r="T81" s="92">
        <v>-167</v>
      </c>
      <c r="U81" s="92">
        <v>478</v>
      </c>
      <c r="V81" s="34">
        <f>E81</f>
        <v>1748</v>
      </c>
      <c r="W81" s="92">
        <v>490</v>
      </c>
      <c r="X81" s="92">
        <v>1050</v>
      </c>
      <c r="Y81" s="92">
        <v>10</v>
      </c>
      <c r="Z81" s="34">
        <f>F81</f>
        <v>-553</v>
      </c>
      <c r="AA81" s="92">
        <v>-1276</v>
      </c>
      <c r="AB81" s="92">
        <v>-3535</v>
      </c>
      <c r="AC81" s="92">
        <v>-5207</v>
      </c>
      <c r="AD81" s="34">
        <v>-4802</v>
      </c>
      <c r="AE81" s="92">
        <v>-4799</v>
      </c>
      <c r="AF81" s="92">
        <v>-4957</v>
      </c>
      <c r="AG81" s="92">
        <v>-4696</v>
      </c>
      <c r="AH81" s="34">
        <f>H81</f>
        <v>-5249</v>
      </c>
      <c r="AI81" s="92">
        <v>-4576</v>
      </c>
      <c r="AJ81" s="92">
        <v>-4379</v>
      </c>
      <c r="AK81" s="92">
        <v>-5543</v>
      </c>
      <c r="AL81" s="34">
        <f>I81</f>
        <v>-3689</v>
      </c>
      <c r="AM81" s="92">
        <v>-4729</v>
      </c>
      <c r="AN81" s="92">
        <v>-7197</v>
      </c>
      <c r="AP81" s="34">
        <f t="shared" si="71"/>
        <v>-4802</v>
      </c>
      <c r="AQ81" s="34">
        <f t="shared" si="71"/>
        <v>-4799</v>
      </c>
      <c r="AR81" s="34">
        <f t="shared" si="71"/>
        <v>-4957</v>
      </c>
      <c r="AS81" s="34">
        <f t="shared" si="71"/>
        <v>-4696</v>
      </c>
      <c r="AT81" s="34">
        <f t="shared" si="71"/>
        <v>-5249</v>
      </c>
      <c r="AU81" s="34">
        <f t="shared" si="71"/>
        <v>-4576</v>
      </c>
      <c r="AV81" s="34">
        <f t="shared" si="71"/>
        <v>-4379</v>
      </c>
      <c r="AW81" s="34">
        <f t="shared" si="71"/>
        <v>-5543</v>
      </c>
      <c r="AX81" s="34">
        <f t="shared" si="71"/>
        <v>-3689</v>
      </c>
      <c r="AY81" s="34">
        <f t="shared" si="71"/>
        <v>-4729</v>
      </c>
      <c r="AZ81" s="34">
        <f t="shared" si="71"/>
        <v>-7197</v>
      </c>
      <c r="BA81" s="12"/>
      <c r="BB81" s="83"/>
    </row>
    <row r="82" spans="1:54" ht="12.75" customHeight="1">
      <c r="B82" s="14" t="s">
        <v>23</v>
      </c>
      <c r="C82" s="15">
        <f t="shared" ref="C82:I82" si="72">SUM(C77:C81)</f>
        <v>77790</v>
      </c>
      <c r="D82" s="15">
        <f t="shared" si="72"/>
        <v>384090</v>
      </c>
      <c r="E82" s="15">
        <f t="shared" si="72"/>
        <v>367097</v>
      </c>
      <c r="F82" s="15">
        <f t="shared" si="72"/>
        <v>132495</v>
      </c>
      <c r="G82" s="15">
        <f t="shared" si="72"/>
        <v>-203548</v>
      </c>
      <c r="H82" s="15">
        <f t="shared" si="72"/>
        <v>-513368</v>
      </c>
      <c r="I82" s="15">
        <f t="shared" si="72"/>
        <v>-601208</v>
      </c>
      <c r="J82" s="57"/>
      <c r="K82" s="15">
        <f t="shared" ref="K82:AN82" si="73">SUM(K77:K81)</f>
        <v>0</v>
      </c>
      <c r="L82" s="15">
        <f t="shared" si="73"/>
        <v>0</v>
      </c>
      <c r="M82" s="15">
        <f t="shared" si="73"/>
        <v>0</v>
      </c>
      <c r="N82" s="15">
        <f t="shared" si="73"/>
        <v>77790</v>
      </c>
      <c r="O82" s="15">
        <f t="shared" si="73"/>
        <v>72362</v>
      </c>
      <c r="P82" s="15">
        <f t="shared" si="73"/>
        <v>331785</v>
      </c>
      <c r="Q82" s="15">
        <f t="shared" si="73"/>
        <v>376828</v>
      </c>
      <c r="R82" s="15">
        <f t="shared" si="73"/>
        <v>384090</v>
      </c>
      <c r="S82" s="15">
        <f t="shared" si="73"/>
        <v>391981</v>
      </c>
      <c r="T82" s="15">
        <f t="shared" si="73"/>
        <v>389910</v>
      </c>
      <c r="U82" s="15">
        <f t="shared" si="73"/>
        <v>379400</v>
      </c>
      <c r="V82" s="15">
        <f t="shared" si="73"/>
        <v>367097</v>
      </c>
      <c r="W82" s="15">
        <f t="shared" si="73"/>
        <v>264047</v>
      </c>
      <c r="X82" s="15">
        <f t="shared" si="73"/>
        <v>255481</v>
      </c>
      <c r="Y82" s="15">
        <f t="shared" si="73"/>
        <v>207105</v>
      </c>
      <c r="Z82" s="15">
        <f t="shared" si="73"/>
        <v>132495</v>
      </c>
      <c r="AA82" s="15">
        <f t="shared" si="73"/>
        <v>40981</v>
      </c>
      <c r="AB82" s="15">
        <f t="shared" si="73"/>
        <v>-47941</v>
      </c>
      <c r="AC82" s="15">
        <f t="shared" si="73"/>
        <v>-142044</v>
      </c>
      <c r="AD82" s="15">
        <f t="shared" si="73"/>
        <v>-203548</v>
      </c>
      <c r="AE82" s="15">
        <f t="shared" si="73"/>
        <v>-253134</v>
      </c>
      <c r="AF82" s="15">
        <f t="shared" si="73"/>
        <v>-299118</v>
      </c>
      <c r="AG82" s="15">
        <f t="shared" si="73"/>
        <v>-362906</v>
      </c>
      <c r="AH82" s="15">
        <f t="shared" si="73"/>
        <v>-513368</v>
      </c>
      <c r="AI82" s="15">
        <f t="shared" si="73"/>
        <v>-561411</v>
      </c>
      <c r="AJ82" s="15">
        <f t="shared" si="73"/>
        <v>-590025</v>
      </c>
      <c r="AK82" s="15">
        <f t="shared" si="73"/>
        <v>-611924</v>
      </c>
      <c r="AL82" s="15">
        <f t="shared" si="73"/>
        <v>-601208</v>
      </c>
      <c r="AM82" s="15">
        <f t="shared" si="73"/>
        <v>-649531</v>
      </c>
      <c r="AN82" s="15">
        <f t="shared" si="73"/>
        <v>-677023</v>
      </c>
      <c r="AP82" s="15">
        <f t="shared" ref="AP82:AZ82" si="74">SUM(AP77:AP81)</f>
        <v>-203548</v>
      </c>
      <c r="AQ82" s="15">
        <f t="shared" si="74"/>
        <v>-253134</v>
      </c>
      <c r="AR82" s="15">
        <f t="shared" si="74"/>
        <v>-299118</v>
      </c>
      <c r="AS82" s="15">
        <f t="shared" si="74"/>
        <v>-362906</v>
      </c>
      <c r="AT82" s="15">
        <f t="shared" si="74"/>
        <v>-513368</v>
      </c>
      <c r="AU82" s="15">
        <f t="shared" si="74"/>
        <v>-561411</v>
      </c>
      <c r="AV82" s="15">
        <f t="shared" si="74"/>
        <v>-590025</v>
      </c>
      <c r="AW82" s="15">
        <f t="shared" si="74"/>
        <v>-611924</v>
      </c>
      <c r="AX82" s="15">
        <f t="shared" si="74"/>
        <v>-601208</v>
      </c>
      <c r="AY82" s="15">
        <f t="shared" si="74"/>
        <v>-649531</v>
      </c>
      <c r="AZ82" s="15">
        <f t="shared" si="74"/>
        <v>-677023</v>
      </c>
      <c r="BA82" s="45"/>
      <c r="BB82" s="84">
        <f>SUM(AZ82/AV82)-1</f>
        <v>0.14744798949197069</v>
      </c>
    </row>
    <row r="83" spans="1:54" ht="12.75" customHeight="1">
      <c r="B83" s="27" t="s">
        <v>83</v>
      </c>
      <c r="C83" s="34">
        <f t="shared" ref="C83:I83" si="75">SUM(C82+C75)</f>
        <v>133749</v>
      </c>
      <c r="D83" s="34">
        <f t="shared" si="75"/>
        <v>451923</v>
      </c>
      <c r="E83" s="34">
        <f t="shared" si="75"/>
        <v>468006</v>
      </c>
      <c r="F83" s="34">
        <f t="shared" si="75"/>
        <v>1379399</v>
      </c>
      <c r="G83" s="34">
        <f t="shared" si="75"/>
        <v>1062224</v>
      </c>
      <c r="H83" s="34">
        <f t="shared" si="75"/>
        <v>774450</v>
      </c>
      <c r="I83" s="34">
        <f t="shared" si="75"/>
        <v>678146</v>
      </c>
      <c r="J83" s="34"/>
      <c r="K83" s="34">
        <f t="shared" ref="K83:AN83" si="76">SUM(K82+K75)</f>
        <v>0</v>
      </c>
      <c r="L83" s="34">
        <f t="shared" si="76"/>
        <v>0</v>
      </c>
      <c r="M83" s="34">
        <f t="shared" si="76"/>
        <v>0</v>
      </c>
      <c r="N83" s="34">
        <f t="shared" si="76"/>
        <v>133749</v>
      </c>
      <c r="O83" s="34">
        <f t="shared" si="76"/>
        <v>125157</v>
      </c>
      <c r="P83" s="34">
        <f t="shared" si="76"/>
        <v>397061</v>
      </c>
      <c r="Q83" s="34">
        <f t="shared" si="76"/>
        <v>454841</v>
      </c>
      <c r="R83" s="34">
        <f t="shared" si="76"/>
        <v>451923</v>
      </c>
      <c r="S83" s="34">
        <f t="shared" si="76"/>
        <v>491633</v>
      </c>
      <c r="T83" s="34">
        <f t="shared" si="76"/>
        <v>517974</v>
      </c>
      <c r="U83" s="34">
        <f t="shared" si="76"/>
        <v>486637</v>
      </c>
      <c r="V83" s="34">
        <f t="shared" si="76"/>
        <v>468006</v>
      </c>
      <c r="W83" s="34">
        <f t="shared" si="76"/>
        <v>1475519</v>
      </c>
      <c r="X83" s="34">
        <f t="shared" si="76"/>
        <v>1466520</v>
      </c>
      <c r="Y83" s="34">
        <f t="shared" si="76"/>
        <v>1432374</v>
      </c>
      <c r="Z83" s="34">
        <f t="shared" si="76"/>
        <v>1379399</v>
      </c>
      <c r="AA83" s="34">
        <f t="shared" si="76"/>
        <v>1294510</v>
      </c>
      <c r="AB83" s="34">
        <f t="shared" si="76"/>
        <v>1218109</v>
      </c>
      <c r="AC83" s="34">
        <f t="shared" si="76"/>
        <v>1141287</v>
      </c>
      <c r="AD83" s="34">
        <f t="shared" si="76"/>
        <v>1062224</v>
      </c>
      <c r="AE83" s="34">
        <f t="shared" si="76"/>
        <v>986577</v>
      </c>
      <c r="AF83" s="34">
        <f t="shared" si="76"/>
        <v>968585</v>
      </c>
      <c r="AG83" s="34">
        <f t="shared" si="76"/>
        <v>929208</v>
      </c>
      <c r="AH83" s="34">
        <f t="shared" si="76"/>
        <v>774450</v>
      </c>
      <c r="AI83" s="34">
        <f t="shared" si="76"/>
        <v>735026</v>
      </c>
      <c r="AJ83" s="34">
        <f t="shared" si="76"/>
        <v>711234</v>
      </c>
      <c r="AK83" s="34">
        <f t="shared" si="76"/>
        <v>692938</v>
      </c>
      <c r="AL83" s="34">
        <f t="shared" si="76"/>
        <v>678146</v>
      </c>
      <c r="AM83" s="34">
        <f t="shared" si="76"/>
        <v>643830</v>
      </c>
      <c r="AN83" s="34">
        <f t="shared" si="76"/>
        <v>691741</v>
      </c>
      <c r="AO83" s="34"/>
      <c r="AP83" s="34">
        <f t="shared" ref="AP83:AZ83" si="77">SUM(AP82+AP75)</f>
        <v>1062224</v>
      </c>
      <c r="AQ83" s="34">
        <f t="shared" si="77"/>
        <v>986577</v>
      </c>
      <c r="AR83" s="34">
        <f t="shared" si="77"/>
        <v>968585</v>
      </c>
      <c r="AS83" s="34">
        <f t="shared" si="77"/>
        <v>929208</v>
      </c>
      <c r="AT83" s="34">
        <f t="shared" si="77"/>
        <v>774450</v>
      </c>
      <c r="AU83" s="34">
        <f t="shared" si="77"/>
        <v>735026</v>
      </c>
      <c r="AV83" s="34">
        <f t="shared" si="77"/>
        <v>711234</v>
      </c>
      <c r="AW83" s="34">
        <f t="shared" si="77"/>
        <v>692938</v>
      </c>
      <c r="AX83" s="34">
        <f t="shared" si="77"/>
        <v>678146</v>
      </c>
      <c r="AY83" s="34">
        <f t="shared" si="77"/>
        <v>643830</v>
      </c>
      <c r="AZ83" s="34">
        <f t="shared" si="77"/>
        <v>691741</v>
      </c>
      <c r="BA83" s="12"/>
      <c r="BB83" s="84">
        <f>SUM(AZ83/AV83)-1</f>
        <v>-2.740729492684546E-2</v>
      </c>
    </row>
    <row r="84" spans="1:54" ht="5.0999999999999996" customHeight="1">
      <c r="B84" s="27"/>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12"/>
    </row>
    <row r="85" spans="1:54" ht="12.75" customHeight="1">
      <c r="B85" s="76" t="s">
        <v>94</v>
      </c>
      <c r="C85" s="77">
        <f t="shared" ref="C85:I85" si="78">C83-C60</f>
        <v>0</v>
      </c>
      <c r="D85" s="77">
        <f t="shared" si="78"/>
        <v>0</v>
      </c>
      <c r="E85" s="77">
        <f t="shared" si="78"/>
        <v>0</v>
      </c>
      <c r="F85" s="77">
        <f t="shared" si="78"/>
        <v>0</v>
      </c>
      <c r="G85" s="77">
        <f t="shared" si="78"/>
        <v>0</v>
      </c>
      <c r="H85" s="77">
        <f t="shared" si="78"/>
        <v>0</v>
      </c>
      <c r="I85" s="77">
        <f t="shared" si="78"/>
        <v>0</v>
      </c>
      <c r="J85" s="78"/>
      <c r="K85" s="530"/>
      <c r="L85" s="530"/>
      <c r="M85" s="530"/>
      <c r="N85" s="77">
        <f t="shared" ref="N85:AN85" si="79">N83-N60</f>
        <v>0</v>
      </c>
      <c r="O85" s="77">
        <f t="shared" si="79"/>
        <v>0</v>
      </c>
      <c r="P85" s="77">
        <f t="shared" si="79"/>
        <v>0</v>
      </c>
      <c r="Q85" s="77">
        <f t="shared" si="79"/>
        <v>0</v>
      </c>
      <c r="R85" s="77">
        <f t="shared" si="79"/>
        <v>0</v>
      </c>
      <c r="S85" s="77">
        <f t="shared" si="79"/>
        <v>0</v>
      </c>
      <c r="T85" s="77">
        <f t="shared" si="79"/>
        <v>0</v>
      </c>
      <c r="U85" s="77">
        <f t="shared" si="79"/>
        <v>0</v>
      </c>
      <c r="V85" s="77">
        <f t="shared" si="79"/>
        <v>0</v>
      </c>
      <c r="W85" s="77">
        <f t="shared" si="79"/>
        <v>0</v>
      </c>
      <c r="X85" s="77">
        <f t="shared" si="79"/>
        <v>0</v>
      </c>
      <c r="Y85" s="77">
        <f t="shared" si="79"/>
        <v>0</v>
      </c>
      <c r="Z85" s="77">
        <f t="shared" si="79"/>
        <v>0</v>
      </c>
      <c r="AA85" s="77">
        <f t="shared" si="79"/>
        <v>0</v>
      </c>
      <c r="AB85" s="77">
        <f t="shared" si="79"/>
        <v>0</v>
      </c>
      <c r="AC85" s="77">
        <f t="shared" si="79"/>
        <v>0</v>
      </c>
      <c r="AD85" s="77">
        <f t="shared" si="79"/>
        <v>0</v>
      </c>
      <c r="AE85" s="77">
        <f t="shared" si="79"/>
        <v>0</v>
      </c>
      <c r="AF85" s="77">
        <f t="shared" si="79"/>
        <v>0</v>
      </c>
      <c r="AG85" s="77">
        <f t="shared" si="79"/>
        <v>0</v>
      </c>
      <c r="AH85" s="77">
        <f t="shared" si="79"/>
        <v>0</v>
      </c>
      <c r="AI85" s="77">
        <f t="shared" si="79"/>
        <v>0</v>
      </c>
      <c r="AJ85" s="77">
        <f t="shared" si="79"/>
        <v>0</v>
      </c>
      <c r="AK85" s="77">
        <f t="shared" si="79"/>
        <v>0</v>
      </c>
      <c r="AL85" s="77">
        <f t="shared" si="79"/>
        <v>0</v>
      </c>
      <c r="AM85" s="77">
        <f t="shared" si="79"/>
        <v>0</v>
      </c>
      <c r="AN85" s="77">
        <f t="shared" si="79"/>
        <v>0</v>
      </c>
      <c r="AO85" s="30"/>
      <c r="AP85" s="77">
        <f t="shared" ref="AP85:AZ85" si="80">AP83-AP60</f>
        <v>0</v>
      </c>
      <c r="AQ85" s="77">
        <f t="shared" si="80"/>
        <v>0</v>
      </c>
      <c r="AR85" s="77">
        <f t="shared" si="80"/>
        <v>0</v>
      </c>
      <c r="AS85" s="77">
        <f t="shared" si="80"/>
        <v>0</v>
      </c>
      <c r="AT85" s="77">
        <f t="shared" si="80"/>
        <v>0</v>
      </c>
      <c r="AU85" s="77">
        <f t="shared" si="80"/>
        <v>0</v>
      </c>
      <c r="AV85" s="77">
        <f t="shared" si="80"/>
        <v>0</v>
      </c>
      <c r="AW85" s="77">
        <f t="shared" si="80"/>
        <v>0</v>
      </c>
      <c r="AX85" s="77">
        <f t="shared" si="80"/>
        <v>0</v>
      </c>
      <c r="AY85" s="77">
        <f t="shared" si="80"/>
        <v>0</v>
      </c>
      <c r="AZ85" s="77">
        <f t="shared" si="80"/>
        <v>0</v>
      </c>
    </row>
    <row r="86" spans="1:54" ht="5.0999999999999996" customHeight="1" thickBot="1">
      <c r="B86" s="533"/>
      <c r="C86" s="534"/>
      <c r="D86" s="534"/>
      <c r="E86" s="534"/>
      <c r="F86" s="534"/>
      <c r="G86" s="534"/>
      <c r="H86" s="534"/>
      <c r="I86" s="534"/>
      <c r="J86" s="535"/>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534"/>
      <c r="AM86" s="534"/>
      <c r="AN86" s="534"/>
      <c r="AO86" s="536"/>
      <c r="AP86" s="534"/>
      <c r="AQ86" s="534"/>
      <c r="AR86" s="534"/>
      <c r="AS86" s="534"/>
      <c r="AT86" s="534"/>
      <c r="AU86" s="534"/>
      <c r="AV86" s="534"/>
      <c r="AW86" s="534"/>
      <c r="AX86" s="534"/>
      <c r="AY86" s="534"/>
      <c r="AZ86" s="534"/>
      <c r="BA86" s="81"/>
      <c r="BB86" s="81"/>
    </row>
    <row r="87" spans="1:54" ht="12.75" customHeight="1">
      <c r="B87" s="557" t="s">
        <v>603</v>
      </c>
      <c r="C87" s="558"/>
      <c r="D87" s="558"/>
      <c r="E87" s="558"/>
      <c r="F87" s="558"/>
      <c r="G87" s="558"/>
      <c r="H87" s="558"/>
      <c r="I87" s="558"/>
      <c r="J87" s="558"/>
      <c r="K87" s="558"/>
      <c r="L87" s="558"/>
      <c r="M87" s="558"/>
      <c r="N87" s="558"/>
      <c r="O87" s="558"/>
      <c r="P87" s="558"/>
      <c r="Q87" s="558"/>
      <c r="R87" s="558"/>
      <c r="S87" s="558"/>
      <c r="T87" s="558"/>
      <c r="U87" s="558"/>
      <c r="V87" s="558"/>
      <c r="W87" s="558"/>
      <c r="X87" s="558"/>
      <c r="Y87" s="558"/>
      <c r="Z87" s="558"/>
      <c r="AA87" s="558"/>
      <c r="AB87" s="558"/>
      <c r="AC87" s="558"/>
      <c r="AD87" s="558"/>
      <c r="AE87" s="558"/>
      <c r="AF87" s="558"/>
      <c r="AG87" s="558"/>
      <c r="AH87" s="558"/>
      <c r="AI87" s="558"/>
      <c r="AJ87" s="558"/>
      <c r="AK87" s="558"/>
      <c r="AL87" s="558"/>
      <c r="AM87" s="558"/>
      <c r="AN87" s="558"/>
      <c r="AO87" s="558"/>
      <c r="AP87" s="558"/>
      <c r="AQ87" s="558"/>
      <c r="AR87" s="558"/>
      <c r="AS87" s="558"/>
      <c r="AT87" s="558"/>
      <c r="AU87" s="558"/>
      <c r="AV87" s="558"/>
      <c r="AW87" s="558"/>
      <c r="AX87" s="558"/>
      <c r="AY87" s="558"/>
      <c r="AZ87" s="558"/>
      <c r="BA87" s="558"/>
      <c r="BB87" s="558"/>
    </row>
    <row r="88" spans="1:54" ht="12.75" customHeight="1">
      <c r="B88" s="559" t="s">
        <v>597</v>
      </c>
      <c r="C88" s="560"/>
      <c r="D88" s="560"/>
      <c r="E88" s="560"/>
      <c r="F88" s="560"/>
      <c r="G88" s="560"/>
      <c r="H88" s="560"/>
      <c r="I88" s="560"/>
      <c r="J88" s="560"/>
      <c r="K88" s="560"/>
      <c r="L88" s="560"/>
      <c r="M88" s="560"/>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60"/>
      <c r="AQ88" s="560"/>
      <c r="AR88" s="560"/>
      <c r="AS88" s="560"/>
      <c r="AT88" s="560"/>
      <c r="AU88" s="560"/>
      <c r="AV88" s="560"/>
      <c r="AW88" s="560"/>
      <c r="AX88" s="560"/>
      <c r="AY88" s="560"/>
      <c r="AZ88" s="560"/>
      <c r="BA88" s="560"/>
      <c r="BB88" s="560"/>
    </row>
    <row r="89" spans="1:54" ht="12.75" customHeight="1">
      <c r="B89" s="559" t="s">
        <v>598</v>
      </c>
      <c r="C89" s="560"/>
      <c r="D89" s="560"/>
      <c r="E89" s="560"/>
      <c r="F89" s="560"/>
      <c r="G89" s="560"/>
      <c r="H89" s="560"/>
      <c r="I89" s="560"/>
      <c r="J89" s="560"/>
      <c r="K89" s="560"/>
      <c r="L89" s="560"/>
      <c r="M89" s="560"/>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60"/>
      <c r="AQ89" s="560"/>
      <c r="AR89" s="560"/>
      <c r="AS89" s="560"/>
      <c r="AT89" s="560"/>
      <c r="AU89" s="560"/>
      <c r="AV89" s="560"/>
      <c r="AW89" s="560"/>
      <c r="AX89" s="560"/>
      <c r="AY89" s="560"/>
      <c r="AZ89" s="560"/>
      <c r="BA89" s="560"/>
      <c r="BB89" s="560"/>
    </row>
    <row r="90" spans="1:54" ht="12.75" customHeight="1">
      <c r="B90" s="559" t="s">
        <v>599</v>
      </c>
      <c r="C90" s="560"/>
      <c r="D90" s="560"/>
      <c r="E90" s="560"/>
      <c r="F90" s="560"/>
      <c r="G90" s="560"/>
      <c r="H90" s="560"/>
      <c r="I90" s="560"/>
      <c r="J90" s="560"/>
      <c r="K90" s="560"/>
      <c r="L90" s="560"/>
      <c r="M90" s="560"/>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60"/>
      <c r="AQ90" s="560"/>
      <c r="AR90" s="560"/>
      <c r="AS90" s="560"/>
      <c r="AT90" s="560"/>
      <c r="AU90" s="560"/>
      <c r="AV90" s="560"/>
      <c r="AW90" s="560"/>
      <c r="AX90" s="560"/>
      <c r="AY90" s="560"/>
      <c r="AZ90" s="560"/>
      <c r="BA90" s="560"/>
      <c r="BB90" s="560"/>
    </row>
    <row r="91" spans="1:54">
      <c r="B91" s="74"/>
      <c r="C91" s="75"/>
      <c r="D91" s="75"/>
      <c r="E91" s="75"/>
      <c r="F91" s="58"/>
      <c r="G91" s="26"/>
      <c r="H91" s="26"/>
      <c r="I91" s="26"/>
      <c r="J91" s="58"/>
    </row>
    <row r="92" spans="1:54" ht="12.75" customHeight="1">
      <c r="A92" s="5" t="s">
        <v>25</v>
      </c>
      <c r="B92" s="381" t="s">
        <v>20</v>
      </c>
      <c r="C92" s="389"/>
      <c r="D92" s="389"/>
      <c r="E92" s="389"/>
      <c r="F92" s="389"/>
      <c r="G92" s="389"/>
      <c r="H92" s="389"/>
      <c r="I92" s="389"/>
      <c r="J92" s="390"/>
      <c r="K92" s="389" t="s">
        <v>1</v>
      </c>
      <c r="L92" s="389"/>
      <c r="M92" s="389"/>
      <c r="N92" s="389"/>
      <c r="O92" s="389"/>
      <c r="P92" s="389"/>
      <c r="Q92" s="389"/>
      <c r="R92" s="389"/>
      <c r="S92" s="389"/>
      <c r="T92" s="389"/>
      <c r="U92" s="389"/>
      <c r="V92" s="389"/>
      <c r="W92" s="389"/>
      <c r="X92" s="389"/>
      <c r="Y92" s="389"/>
      <c r="Z92" s="389"/>
      <c r="AA92" s="389"/>
      <c r="AB92" s="389"/>
      <c r="AC92" s="389"/>
      <c r="AD92" s="389"/>
      <c r="AE92" s="389"/>
      <c r="AF92" s="389"/>
      <c r="AG92" s="389"/>
      <c r="AH92" s="389"/>
      <c r="AI92" s="389"/>
      <c r="AJ92" s="389"/>
      <c r="AK92" s="389"/>
      <c r="AL92" s="389"/>
      <c r="AM92" s="389"/>
      <c r="AN92" s="389"/>
      <c r="AO92" s="381"/>
      <c r="AP92" s="389"/>
      <c r="AQ92" s="389"/>
      <c r="AR92" s="389"/>
      <c r="AS92" s="389"/>
      <c r="AT92" s="389"/>
      <c r="AU92" s="389"/>
      <c r="AV92" s="389" t="s">
        <v>10</v>
      </c>
      <c r="AW92" s="389"/>
      <c r="AX92" s="389"/>
      <c r="AY92" s="389"/>
      <c r="AZ92" s="389"/>
      <c r="BA92" s="390"/>
      <c r="BB92" s="556" t="s">
        <v>38</v>
      </c>
    </row>
    <row r="93" spans="1:54" ht="12.75" customHeight="1">
      <c r="B93" s="382" t="str">
        <f t="shared" ref="B93:I94" si="81">B7</f>
        <v>Fiscal Period</v>
      </c>
      <c r="C93" s="391">
        <f t="shared" si="81"/>
        <v>2018</v>
      </c>
      <c r="D93" s="391">
        <f t="shared" si="81"/>
        <v>2019</v>
      </c>
      <c r="E93" s="391">
        <f t="shared" si="81"/>
        <v>2020</v>
      </c>
      <c r="F93" s="391">
        <f t="shared" si="81"/>
        <v>2021</v>
      </c>
      <c r="G93" s="391">
        <f t="shared" si="81"/>
        <v>2022</v>
      </c>
      <c r="H93" s="391">
        <f t="shared" si="81"/>
        <v>2023</v>
      </c>
      <c r="I93" s="391">
        <f t="shared" si="81"/>
        <v>2024</v>
      </c>
      <c r="J93" s="390"/>
      <c r="K93" s="391" t="str">
        <f t="shared" ref="K93:AN93" si="82">K7</f>
        <v>1Q18</v>
      </c>
      <c r="L93" s="391" t="str">
        <f t="shared" si="82"/>
        <v>2Q18</v>
      </c>
      <c r="M93" s="391" t="str">
        <f t="shared" si="82"/>
        <v>3Q18</v>
      </c>
      <c r="N93" s="391" t="str">
        <f t="shared" si="82"/>
        <v>4Q18</v>
      </c>
      <c r="O93" s="391" t="str">
        <f t="shared" si="82"/>
        <v>1Q19</v>
      </c>
      <c r="P93" s="391" t="str">
        <f t="shared" si="82"/>
        <v>2Q19</v>
      </c>
      <c r="Q93" s="391" t="str">
        <f t="shared" si="82"/>
        <v>3Q19</v>
      </c>
      <c r="R93" s="391" t="str">
        <f t="shared" si="82"/>
        <v>4Q19</v>
      </c>
      <c r="S93" s="391" t="str">
        <f t="shared" si="82"/>
        <v>1Q20</v>
      </c>
      <c r="T93" s="391" t="str">
        <f t="shared" si="82"/>
        <v>2Q20</v>
      </c>
      <c r="U93" s="391" t="str">
        <f t="shared" si="82"/>
        <v>3Q20</v>
      </c>
      <c r="V93" s="391" t="str">
        <f t="shared" si="82"/>
        <v>4Q20</v>
      </c>
      <c r="W93" s="391" t="str">
        <f t="shared" si="82"/>
        <v>1Q21</v>
      </c>
      <c r="X93" s="391" t="str">
        <f t="shared" si="82"/>
        <v>2Q21</v>
      </c>
      <c r="Y93" s="391" t="str">
        <f t="shared" si="82"/>
        <v>3Q21</v>
      </c>
      <c r="Z93" s="391" t="str">
        <f t="shared" si="82"/>
        <v>4Q21</v>
      </c>
      <c r="AA93" s="391" t="str">
        <f t="shared" si="82"/>
        <v>1Q22</v>
      </c>
      <c r="AB93" s="391" t="str">
        <f t="shared" si="82"/>
        <v>2Q22</v>
      </c>
      <c r="AC93" s="391" t="str">
        <f t="shared" si="82"/>
        <v>3Q22</v>
      </c>
      <c r="AD93" s="391" t="str">
        <f t="shared" si="82"/>
        <v>4Q22</v>
      </c>
      <c r="AE93" s="391" t="str">
        <f t="shared" si="82"/>
        <v>1Q23</v>
      </c>
      <c r="AF93" s="391" t="str">
        <f t="shared" si="82"/>
        <v>2Q23</v>
      </c>
      <c r="AG93" s="391" t="str">
        <f t="shared" si="82"/>
        <v>3Q23</v>
      </c>
      <c r="AH93" s="391" t="str">
        <f t="shared" si="82"/>
        <v>4Q23</v>
      </c>
      <c r="AI93" s="391" t="str">
        <f t="shared" si="82"/>
        <v>1Q24</v>
      </c>
      <c r="AJ93" s="391" t="str">
        <f t="shared" si="82"/>
        <v>2Q24</v>
      </c>
      <c r="AK93" s="391" t="str">
        <f t="shared" si="82"/>
        <v>3Q24</v>
      </c>
      <c r="AL93" s="391" t="str">
        <f t="shared" si="82"/>
        <v>4Q24</v>
      </c>
      <c r="AM93" s="391" t="str">
        <f t="shared" si="82"/>
        <v>1Q25</v>
      </c>
      <c r="AN93" s="391" t="str">
        <f t="shared" si="82"/>
        <v>2Q25</v>
      </c>
      <c r="AO93" s="391"/>
      <c r="AP93" s="391" t="str">
        <f t="shared" ref="AP93:AZ93" si="83">AP7</f>
        <v>4Q22</v>
      </c>
      <c r="AQ93" s="391" t="str">
        <f t="shared" si="83"/>
        <v>1Q23</v>
      </c>
      <c r="AR93" s="391" t="str">
        <f t="shared" si="83"/>
        <v>2Q23</v>
      </c>
      <c r="AS93" s="391" t="str">
        <f t="shared" si="83"/>
        <v>3Q23</v>
      </c>
      <c r="AT93" s="391" t="str">
        <f t="shared" si="83"/>
        <v>4Q23</v>
      </c>
      <c r="AU93" s="391" t="str">
        <f t="shared" si="83"/>
        <v>1Q24</v>
      </c>
      <c r="AV93" s="391" t="str">
        <f t="shared" si="83"/>
        <v>2Q24</v>
      </c>
      <c r="AW93" s="391" t="str">
        <f t="shared" si="83"/>
        <v>3Q24</v>
      </c>
      <c r="AX93" s="391" t="str">
        <f t="shared" si="83"/>
        <v>4Q24</v>
      </c>
      <c r="AY93" s="391" t="str">
        <f t="shared" si="83"/>
        <v>1Q25</v>
      </c>
      <c r="AZ93" s="391" t="str">
        <f t="shared" si="83"/>
        <v>2Q25</v>
      </c>
      <c r="BA93" s="390"/>
      <c r="BB93" s="556"/>
    </row>
    <row r="94" spans="1:54" ht="12.75" customHeight="1">
      <c r="B94" s="382" t="str">
        <f t="shared" si="81"/>
        <v>Fiscal Period End Date</v>
      </c>
      <c r="C94" s="392">
        <f t="shared" si="81"/>
        <v>43465</v>
      </c>
      <c r="D94" s="392">
        <f t="shared" si="81"/>
        <v>43830</v>
      </c>
      <c r="E94" s="392">
        <f t="shared" si="81"/>
        <v>44196</v>
      </c>
      <c r="F94" s="392">
        <f t="shared" si="81"/>
        <v>44561</v>
      </c>
      <c r="G94" s="392">
        <f t="shared" si="81"/>
        <v>44926</v>
      </c>
      <c r="H94" s="392">
        <f t="shared" si="81"/>
        <v>45291</v>
      </c>
      <c r="I94" s="392">
        <f t="shared" si="81"/>
        <v>45657</v>
      </c>
      <c r="J94" s="390"/>
      <c r="K94" s="392">
        <f t="shared" ref="K94:AN94" si="84">K8</f>
        <v>43190</v>
      </c>
      <c r="L94" s="392">
        <f t="shared" si="84"/>
        <v>43281</v>
      </c>
      <c r="M94" s="392">
        <f t="shared" si="84"/>
        <v>43372</v>
      </c>
      <c r="N94" s="392">
        <f t="shared" si="84"/>
        <v>43465</v>
      </c>
      <c r="O94" s="392">
        <f t="shared" si="84"/>
        <v>43554</v>
      </c>
      <c r="P94" s="392">
        <f t="shared" si="84"/>
        <v>43645</v>
      </c>
      <c r="Q94" s="392">
        <f t="shared" si="84"/>
        <v>43736</v>
      </c>
      <c r="R94" s="392">
        <f t="shared" si="84"/>
        <v>43830</v>
      </c>
      <c r="S94" s="392">
        <f t="shared" si="84"/>
        <v>43918</v>
      </c>
      <c r="T94" s="392">
        <f t="shared" si="84"/>
        <v>44009</v>
      </c>
      <c r="U94" s="392">
        <f t="shared" si="84"/>
        <v>44100</v>
      </c>
      <c r="V94" s="392">
        <f t="shared" si="84"/>
        <v>44196</v>
      </c>
      <c r="W94" s="392">
        <f t="shared" si="84"/>
        <v>44289</v>
      </c>
      <c r="X94" s="392">
        <f t="shared" si="84"/>
        <v>44380</v>
      </c>
      <c r="Y94" s="392">
        <f t="shared" si="84"/>
        <v>44471</v>
      </c>
      <c r="Z94" s="392">
        <f t="shared" si="84"/>
        <v>44561</v>
      </c>
      <c r="AA94" s="392">
        <f t="shared" si="84"/>
        <v>44653</v>
      </c>
      <c r="AB94" s="392">
        <f t="shared" si="84"/>
        <v>44744</v>
      </c>
      <c r="AC94" s="392">
        <f t="shared" si="84"/>
        <v>44835</v>
      </c>
      <c r="AD94" s="392">
        <f t="shared" si="84"/>
        <v>44926</v>
      </c>
      <c r="AE94" s="392">
        <f t="shared" si="84"/>
        <v>45017</v>
      </c>
      <c r="AF94" s="392">
        <f t="shared" si="84"/>
        <v>45108</v>
      </c>
      <c r="AG94" s="392">
        <f t="shared" si="84"/>
        <v>45199</v>
      </c>
      <c r="AH94" s="392">
        <f t="shared" si="84"/>
        <v>45291</v>
      </c>
      <c r="AI94" s="392">
        <f t="shared" si="84"/>
        <v>45381</v>
      </c>
      <c r="AJ94" s="392">
        <f t="shared" si="84"/>
        <v>45472</v>
      </c>
      <c r="AK94" s="392">
        <f t="shared" si="84"/>
        <v>45563</v>
      </c>
      <c r="AL94" s="392">
        <f t="shared" si="84"/>
        <v>45657</v>
      </c>
      <c r="AM94" s="392">
        <f t="shared" si="84"/>
        <v>45745</v>
      </c>
      <c r="AN94" s="392">
        <f t="shared" si="84"/>
        <v>45836</v>
      </c>
      <c r="AO94" s="392"/>
      <c r="AP94" s="392">
        <f t="shared" ref="AP94:AZ94" si="85">AP8</f>
        <v>44926</v>
      </c>
      <c r="AQ94" s="392">
        <f t="shared" si="85"/>
        <v>45017</v>
      </c>
      <c r="AR94" s="392">
        <f t="shared" si="85"/>
        <v>45108</v>
      </c>
      <c r="AS94" s="392">
        <f t="shared" si="85"/>
        <v>45199</v>
      </c>
      <c r="AT94" s="392">
        <f t="shared" si="85"/>
        <v>45291</v>
      </c>
      <c r="AU94" s="392">
        <f t="shared" si="85"/>
        <v>45381</v>
      </c>
      <c r="AV94" s="392">
        <f t="shared" si="85"/>
        <v>45472</v>
      </c>
      <c r="AW94" s="392">
        <f t="shared" si="85"/>
        <v>45563</v>
      </c>
      <c r="AX94" s="392">
        <f t="shared" si="85"/>
        <v>45657</v>
      </c>
      <c r="AY94" s="392">
        <f t="shared" si="85"/>
        <v>45745</v>
      </c>
      <c r="AZ94" s="392">
        <f t="shared" si="85"/>
        <v>45836</v>
      </c>
      <c r="BA94" s="390"/>
      <c r="BB94" s="556"/>
    </row>
    <row r="95" spans="1:54" ht="5.0999999999999996" customHeight="1">
      <c r="B95" s="59"/>
      <c r="C95" s="52"/>
      <c r="D95" s="52"/>
      <c r="E95" s="52"/>
      <c r="F95" s="52"/>
      <c r="G95" s="52"/>
      <c r="H95" s="52"/>
      <c r="I95" s="52"/>
    </row>
    <row r="96" spans="1:54" ht="12.75" customHeight="1">
      <c r="B96" s="60" t="s">
        <v>84</v>
      </c>
      <c r="C96" s="61"/>
      <c r="D96" s="61"/>
      <c r="E96" s="61"/>
      <c r="F96" s="61"/>
      <c r="G96" s="61"/>
      <c r="H96" s="61"/>
      <c r="I96" s="61"/>
    </row>
    <row r="97" spans="2:54" ht="12.75" customHeight="1">
      <c r="B97" s="62" t="s">
        <v>85</v>
      </c>
      <c r="C97" s="34">
        <f t="shared" ref="C97:I97" si="86">C32</f>
        <v>-29886</v>
      </c>
      <c r="D97" s="34">
        <f t="shared" si="86"/>
        <v>-12443</v>
      </c>
      <c r="E97" s="34">
        <f t="shared" si="86"/>
        <v>-52752</v>
      </c>
      <c r="F97" s="34">
        <f t="shared" si="86"/>
        <v>-182105</v>
      </c>
      <c r="G97" s="34">
        <f t="shared" si="86"/>
        <v>-366137</v>
      </c>
      <c r="H97" s="34">
        <f t="shared" si="86"/>
        <v>-338144</v>
      </c>
      <c r="I97" s="34">
        <f t="shared" si="86"/>
        <v>-160278</v>
      </c>
      <c r="J97" s="34"/>
      <c r="K97" s="34">
        <f t="shared" ref="K97:Q97" si="87">K32</f>
        <v>-5696</v>
      </c>
      <c r="L97" s="529">
        <f t="shared" si="87"/>
        <v>-7396</v>
      </c>
      <c r="M97" s="34">
        <f t="shared" si="87"/>
        <v>-9342</v>
      </c>
      <c r="N97" s="34">
        <f t="shared" si="87"/>
        <v>-7452</v>
      </c>
      <c r="O97" s="34">
        <f t="shared" si="87"/>
        <v>-6649</v>
      </c>
      <c r="P97" s="34">
        <f t="shared" si="87"/>
        <v>-9441</v>
      </c>
      <c r="Q97" s="34">
        <f t="shared" si="87"/>
        <v>4099</v>
      </c>
      <c r="R97" s="34">
        <f>SUM(D97-SUM(O97:Q97))</f>
        <v>-452</v>
      </c>
      <c r="S97" s="34">
        <f>S32</f>
        <v>1815</v>
      </c>
      <c r="T97" s="34">
        <f>T32</f>
        <v>-10205</v>
      </c>
      <c r="U97" s="34">
        <f>U32</f>
        <v>-19285</v>
      </c>
      <c r="V97" s="34">
        <f t="shared" ref="V97:V121" si="88">SUM(E97-SUM(S97:U97))</f>
        <v>-25077</v>
      </c>
      <c r="W97" s="34">
        <f>W32</f>
        <v>-27266</v>
      </c>
      <c r="X97" s="34">
        <f>X32</f>
        <v>-19652</v>
      </c>
      <c r="Y97" s="34">
        <f>Y32</f>
        <v>-54816</v>
      </c>
      <c r="Z97" s="34">
        <f>SUM(F97-SUM(W97:Y97))</f>
        <v>-80371</v>
      </c>
      <c r="AA97" s="34">
        <f>AA32</f>
        <v>-100458</v>
      </c>
      <c r="AB97" s="34">
        <f>AB32</f>
        <v>-97134</v>
      </c>
      <c r="AC97" s="34">
        <f>AC32</f>
        <v>-101678</v>
      </c>
      <c r="AD97" s="34">
        <f>SUM(G97-SUM(AA97:AC97))</f>
        <v>-66867</v>
      </c>
      <c r="AE97" s="34">
        <f t="shared" ref="AE97:AN97" si="89">AE32</f>
        <v>-59037</v>
      </c>
      <c r="AF97" s="34">
        <f t="shared" si="89"/>
        <v>-53505</v>
      </c>
      <c r="AG97" s="34">
        <f t="shared" si="89"/>
        <v>-70492</v>
      </c>
      <c r="AH97" s="34">
        <f t="shared" si="89"/>
        <v>-155110</v>
      </c>
      <c r="AI97" s="34">
        <f t="shared" si="89"/>
        <v>-54361</v>
      </c>
      <c r="AJ97" s="34">
        <f t="shared" si="89"/>
        <v>-34479</v>
      </c>
      <c r="AK97" s="34">
        <f t="shared" si="89"/>
        <v>-26576</v>
      </c>
      <c r="AL97" s="34">
        <f t="shared" si="89"/>
        <v>-44862</v>
      </c>
      <c r="AM97" s="34">
        <f t="shared" si="89"/>
        <v>-52905</v>
      </c>
      <c r="AN97" s="34">
        <f t="shared" si="89"/>
        <v>-29242</v>
      </c>
      <c r="AP97" s="34">
        <f t="shared" ref="AP97:AZ97" si="90">SUM(AA97:AD97)</f>
        <v>-366137</v>
      </c>
      <c r="AQ97" s="34">
        <f t="shared" si="90"/>
        <v>-324716</v>
      </c>
      <c r="AR97" s="34">
        <f t="shared" si="90"/>
        <v>-281087</v>
      </c>
      <c r="AS97" s="34">
        <f t="shared" si="90"/>
        <v>-249901</v>
      </c>
      <c r="AT97" s="34">
        <f t="shared" si="90"/>
        <v>-338144</v>
      </c>
      <c r="AU97" s="34">
        <f t="shared" si="90"/>
        <v>-333468</v>
      </c>
      <c r="AV97" s="34">
        <f t="shared" si="90"/>
        <v>-314442</v>
      </c>
      <c r="AW97" s="34">
        <f t="shared" si="90"/>
        <v>-270526</v>
      </c>
      <c r="AX97" s="34">
        <f t="shared" si="90"/>
        <v>-160278</v>
      </c>
      <c r="AY97" s="34">
        <f t="shared" si="90"/>
        <v>-158822</v>
      </c>
      <c r="AZ97" s="34">
        <f t="shared" si="90"/>
        <v>-153585</v>
      </c>
      <c r="BA97" s="12"/>
      <c r="BB97" s="83">
        <f>SUM(AZ97/AV97)-1</f>
        <v>-0.51156334077508725</v>
      </c>
    </row>
    <row r="98" spans="2:54" ht="5.0999999999999996" customHeight="1">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P98" s="34"/>
      <c r="AQ98" s="34"/>
      <c r="AR98" s="34"/>
      <c r="AS98" s="34"/>
      <c r="AT98" s="34"/>
      <c r="AU98" s="34"/>
      <c r="AV98" s="34"/>
      <c r="AW98" s="34"/>
      <c r="AX98" s="34"/>
      <c r="AY98" s="34"/>
      <c r="AZ98" s="34"/>
      <c r="BA98" s="12"/>
      <c r="BB98" s="83"/>
    </row>
    <row r="99" spans="2:54" ht="12.75" customHeight="1">
      <c r="B99" s="38" t="s">
        <v>93</v>
      </c>
      <c r="C99" s="34"/>
      <c r="D99" s="34"/>
      <c r="E99" s="34"/>
      <c r="F99" s="34"/>
      <c r="G99" s="34"/>
      <c r="H99" s="34"/>
      <c r="I99" s="34"/>
      <c r="J99" s="34"/>
      <c r="K99" s="34"/>
      <c r="L99" s="34"/>
      <c r="M99" s="34"/>
      <c r="N99" s="34"/>
      <c r="O99" s="92"/>
      <c r="P99" s="92"/>
      <c r="Q99" s="92"/>
      <c r="R99" s="34"/>
      <c r="S99" s="92"/>
      <c r="T99" s="92"/>
      <c r="U99" s="92"/>
      <c r="V99" s="34"/>
      <c r="W99" s="92"/>
      <c r="X99" s="92"/>
      <c r="Y99" s="92"/>
      <c r="Z99" s="34"/>
      <c r="AA99" s="92"/>
      <c r="AB99" s="92"/>
      <c r="AC99" s="92"/>
      <c r="AD99" s="34"/>
      <c r="AE99" s="92"/>
      <c r="AF99" s="92"/>
      <c r="AG99" s="92"/>
      <c r="AH99" s="34"/>
      <c r="AI99" s="92"/>
      <c r="AJ99" s="92"/>
      <c r="AK99" s="92"/>
      <c r="AL99" s="34"/>
      <c r="AM99" s="92"/>
      <c r="AN99" s="92"/>
      <c r="AP99" s="34"/>
      <c r="AQ99" s="34"/>
      <c r="AR99" s="34"/>
      <c r="AS99" s="34"/>
      <c r="AT99" s="34"/>
      <c r="AU99" s="34"/>
      <c r="AV99" s="34"/>
      <c r="AW99" s="34"/>
      <c r="AX99" s="34"/>
      <c r="AY99" s="34"/>
      <c r="AZ99" s="34"/>
      <c r="BA99" s="64"/>
      <c r="BB99" s="83" t="e">
        <f>SUM(AZ99/AV99)-1</f>
        <v>#DIV/0!</v>
      </c>
    </row>
    <row r="100" spans="2:54" ht="12.75" customHeight="1">
      <c r="B100" s="65" t="s">
        <v>276</v>
      </c>
      <c r="C100" s="92">
        <v>4921</v>
      </c>
      <c r="D100" s="92">
        <v>8106</v>
      </c>
      <c r="E100" s="92">
        <v>13299</v>
      </c>
      <c r="F100" s="92">
        <v>21663</v>
      </c>
      <c r="G100" s="92">
        <v>32582</v>
      </c>
      <c r="H100" s="92">
        <v>48094</v>
      </c>
      <c r="I100" s="92">
        <v>23121</v>
      </c>
      <c r="J100" s="34"/>
      <c r="K100" s="92">
        <v>733</v>
      </c>
      <c r="L100" s="34">
        <f>1620-K100</f>
        <v>887</v>
      </c>
      <c r="M100" s="34">
        <f>3046-L100-K100</f>
        <v>1426</v>
      </c>
      <c r="N100" s="34">
        <f t="shared" ref="N100:N111" si="91">SUM(C100-SUM(K100:M100))</f>
        <v>1875</v>
      </c>
      <c r="O100" s="92">
        <v>1905</v>
      </c>
      <c r="P100" s="34">
        <f>3957-O100</f>
        <v>2052</v>
      </c>
      <c r="Q100" s="34">
        <f>5980-P100-O100</f>
        <v>2023</v>
      </c>
      <c r="R100" s="34">
        <f t="shared" ref="R100:R121" si="92">SUM(D100-SUM(O100:Q100))</f>
        <v>2126</v>
      </c>
      <c r="S100" s="92">
        <v>2583</v>
      </c>
      <c r="T100" s="92">
        <f>5855-S100</f>
        <v>3272</v>
      </c>
      <c r="U100" s="92">
        <f>9276-T100-S100</f>
        <v>3421</v>
      </c>
      <c r="V100" s="34">
        <f t="shared" si="88"/>
        <v>4023</v>
      </c>
      <c r="W100" s="92">
        <v>4326</v>
      </c>
      <c r="X100" s="92">
        <f>9207-W100</f>
        <v>4881</v>
      </c>
      <c r="Y100" s="92">
        <f>14910-X100-W100</f>
        <v>5703</v>
      </c>
      <c r="Z100" s="34">
        <f t="shared" ref="Z100:Z111" si="93">SUM(F100-SUM(W100:Y100))</f>
        <v>6753</v>
      </c>
      <c r="AA100" s="92">
        <v>7091</v>
      </c>
      <c r="AB100" s="92">
        <f>14820-AA100</f>
        <v>7729</v>
      </c>
      <c r="AC100" s="92">
        <f>23255-AB100-AA100</f>
        <v>8435</v>
      </c>
      <c r="AD100" s="34">
        <f t="shared" ref="AD100:AD111" si="94">SUM(G100-SUM(AA100:AC100))</f>
        <v>9327</v>
      </c>
      <c r="AE100" s="92">
        <v>6049</v>
      </c>
      <c r="AF100" s="92">
        <f>11928-AE100</f>
        <v>5879</v>
      </c>
      <c r="AG100" s="92">
        <f>17707-AF100-AE100</f>
        <v>5779</v>
      </c>
      <c r="AH100" s="34">
        <f t="shared" ref="AH100:AH121" si="95">SUM(H100-SUM(AE100:AG100))</f>
        <v>30387</v>
      </c>
      <c r="AI100" s="92">
        <v>6969</v>
      </c>
      <c r="AJ100" s="92">
        <f>12182-AI100</f>
        <v>5213</v>
      </c>
      <c r="AK100" s="92">
        <f>17464-AJ100-AI100</f>
        <v>5282</v>
      </c>
      <c r="AL100" s="34">
        <f t="shared" ref="AL100:AL121" si="96">SUM(I100-SUM(AI100:AK100))</f>
        <v>5657</v>
      </c>
      <c r="AM100" s="92">
        <v>7416</v>
      </c>
      <c r="AN100" s="92">
        <f>15682-AM100</f>
        <v>8266</v>
      </c>
      <c r="AP100" s="34">
        <f t="shared" ref="AP100:AP118" si="97">SUM(AA100:AD100)</f>
        <v>32582</v>
      </c>
      <c r="AQ100" s="34">
        <f t="shared" ref="AQ100:AQ118" si="98">SUM(AB100:AE100)</f>
        <v>31540</v>
      </c>
      <c r="AR100" s="34">
        <f t="shared" ref="AR100:AR118" si="99">SUM(AC100:AF100)</f>
        <v>29690</v>
      </c>
      <c r="AS100" s="34">
        <f t="shared" ref="AS100:AS118" si="100">SUM(AD100:AG100)</f>
        <v>27034</v>
      </c>
      <c r="AT100" s="34">
        <f t="shared" ref="AT100:AT118" si="101">SUM(AE100:AH100)</f>
        <v>48094</v>
      </c>
      <c r="AU100" s="34">
        <f t="shared" ref="AU100:AU118" si="102">SUM(AF100:AI100)</f>
        <v>49014</v>
      </c>
      <c r="AV100" s="34">
        <f t="shared" ref="AV100:AV118" si="103">SUM(AG100:AJ100)</f>
        <v>48348</v>
      </c>
      <c r="AW100" s="34">
        <f t="shared" ref="AW100:AW118" si="104">SUM(AH100:AK100)</f>
        <v>47851</v>
      </c>
      <c r="AX100" s="34">
        <f t="shared" ref="AX100:AX118" si="105">SUM(AI100:AL100)</f>
        <v>23121</v>
      </c>
      <c r="AY100" s="34">
        <f t="shared" ref="AY100:AY118" si="106">SUM(AJ100:AM100)</f>
        <v>23568</v>
      </c>
      <c r="AZ100" s="34">
        <f t="shared" ref="AZ100:AZ118" si="107">SUM(AK100:AN100)</f>
        <v>26621</v>
      </c>
      <c r="BA100" s="12"/>
      <c r="BB100" s="83">
        <f>SUM(AZ100/AV100)-1</f>
        <v>-0.44938777198643165</v>
      </c>
    </row>
    <row r="101" spans="2:54" ht="12.75" customHeight="1">
      <c r="B101" s="65" t="s">
        <v>560</v>
      </c>
      <c r="C101" s="92">
        <v>2241</v>
      </c>
      <c r="D101" s="92">
        <v>12807</v>
      </c>
      <c r="E101" s="92">
        <v>27279</v>
      </c>
      <c r="F101" s="92">
        <v>27698</v>
      </c>
      <c r="G101" s="92">
        <v>33857</v>
      </c>
      <c r="H101" s="92">
        <v>29098</v>
      </c>
      <c r="I101" s="92">
        <v>23923</v>
      </c>
      <c r="J101" s="34"/>
      <c r="K101" s="92">
        <v>260</v>
      </c>
      <c r="L101" s="34">
        <f>710-K101</f>
        <v>450</v>
      </c>
      <c r="M101" s="34">
        <f>1090-L101-K101</f>
        <v>380</v>
      </c>
      <c r="N101" s="34">
        <f>SUM(C101-SUM(K101:M101))</f>
        <v>1151</v>
      </c>
      <c r="O101" s="92">
        <v>855</v>
      </c>
      <c r="P101" s="34">
        <f>2678-O101</f>
        <v>1823</v>
      </c>
      <c r="Q101" s="34">
        <f>5807-P101-O101</f>
        <v>3129</v>
      </c>
      <c r="R101" s="34">
        <f>SUM(D101-SUM(O101:Q101))</f>
        <v>7000</v>
      </c>
      <c r="S101" s="92">
        <v>5949</v>
      </c>
      <c r="T101" s="92">
        <f>13535-S101</f>
        <v>7586</v>
      </c>
      <c r="U101" s="92">
        <f>20377-T101-S101</f>
        <v>6842</v>
      </c>
      <c r="V101" s="34">
        <f>SUM(E101-SUM(S101:U101))</f>
        <v>6902</v>
      </c>
      <c r="W101" s="92">
        <v>7376</v>
      </c>
      <c r="X101" s="92">
        <f>15239-W101</f>
        <v>7863</v>
      </c>
      <c r="Y101" s="92">
        <f>21624-X101-W101</f>
        <v>6385</v>
      </c>
      <c r="Z101" s="34">
        <f>SUM(F101-SUM(W101:Y101))</f>
        <v>6074</v>
      </c>
      <c r="AA101" s="92">
        <v>9292</v>
      </c>
      <c r="AB101" s="92">
        <f>19598-AA101</f>
        <v>10306</v>
      </c>
      <c r="AC101" s="92">
        <f>28848-AB101-AA101</f>
        <v>9250</v>
      </c>
      <c r="AD101" s="34">
        <f>SUM(G101-SUM(AA101:AC101))</f>
        <v>5009</v>
      </c>
      <c r="AE101" s="92">
        <v>9565</v>
      </c>
      <c r="AF101" s="92">
        <f>17313-AE101</f>
        <v>7748</v>
      </c>
      <c r="AG101" s="92">
        <f>23791-AF101-AE101</f>
        <v>6478</v>
      </c>
      <c r="AH101" s="34">
        <f>SUM(H101-SUM(AE101:AG101))</f>
        <v>5307</v>
      </c>
      <c r="AI101" s="92">
        <v>6075</v>
      </c>
      <c r="AJ101" s="92">
        <f>11848-AI101</f>
        <v>5773</v>
      </c>
      <c r="AK101" s="92">
        <f>17753-AJ101-AI101</f>
        <v>5905</v>
      </c>
      <c r="AL101" s="34">
        <f>SUM(I101-SUM(AI101:AK101))</f>
        <v>6170</v>
      </c>
      <c r="AM101" s="92">
        <v>5853</v>
      </c>
      <c r="AN101" s="92">
        <f>10157-AM101</f>
        <v>4304</v>
      </c>
      <c r="AP101" s="34">
        <f t="shared" ref="AP101:AZ101" si="108">SUM(AA101:AD101)</f>
        <v>33857</v>
      </c>
      <c r="AQ101" s="34">
        <f t="shared" si="108"/>
        <v>34130</v>
      </c>
      <c r="AR101" s="34">
        <f t="shared" si="108"/>
        <v>31572</v>
      </c>
      <c r="AS101" s="34">
        <f t="shared" si="108"/>
        <v>28800</v>
      </c>
      <c r="AT101" s="34">
        <f t="shared" si="108"/>
        <v>29098</v>
      </c>
      <c r="AU101" s="34">
        <f t="shared" si="108"/>
        <v>25608</v>
      </c>
      <c r="AV101" s="34">
        <f t="shared" si="108"/>
        <v>23633</v>
      </c>
      <c r="AW101" s="34">
        <f t="shared" si="108"/>
        <v>23060</v>
      </c>
      <c r="AX101" s="34">
        <f t="shared" si="108"/>
        <v>23923</v>
      </c>
      <c r="AY101" s="34">
        <f t="shared" si="108"/>
        <v>23701</v>
      </c>
      <c r="AZ101" s="34">
        <f t="shared" si="108"/>
        <v>22232</v>
      </c>
      <c r="BA101" s="12"/>
      <c r="BB101" s="83"/>
    </row>
    <row r="102" spans="2:54" ht="12.75" customHeight="1">
      <c r="B102" s="65" t="s">
        <v>566</v>
      </c>
      <c r="C102" s="92">
        <v>0</v>
      </c>
      <c r="D102" s="92">
        <v>0</v>
      </c>
      <c r="E102" s="92">
        <v>2341</v>
      </c>
      <c r="F102" s="92">
        <v>3418</v>
      </c>
      <c r="G102" s="92">
        <v>5167</v>
      </c>
      <c r="H102" s="92">
        <v>8140</v>
      </c>
      <c r="I102" s="92">
        <v>8279</v>
      </c>
      <c r="J102" s="34"/>
      <c r="K102" s="92">
        <v>0</v>
      </c>
      <c r="L102" s="34">
        <v>0</v>
      </c>
      <c r="M102" s="34">
        <v>0</v>
      </c>
      <c r="N102" s="34">
        <f t="shared" si="91"/>
        <v>0</v>
      </c>
      <c r="O102" s="92">
        <v>0</v>
      </c>
      <c r="P102" s="34">
        <v>0</v>
      </c>
      <c r="Q102" s="34">
        <v>0</v>
      </c>
      <c r="R102" s="34">
        <f t="shared" si="92"/>
        <v>0</v>
      </c>
      <c r="S102" s="92">
        <v>445</v>
      </c>
      <c r="T102" s="92">
        <f>1193-S102</f>
        <v>748</v>
      </c>
      <c r="U102" s="92">
        <f>1573-T102-S102</f>
        <v>380</v>
      </c>
      <c r="V102" s="34">
        <f t="shared" si="88"/>
        <v>768</v>
      </c>
      <c r="W102" s="92">
        <v>724</v>
      </c>
      <c r="X102" s="92">
        <f>1580-W102</f>
        <v>856</v>
      </c>
      <c r="Y102" s="92">
        <f>2351-X102-W102</f>
        <v>771</v>
      </c>
      <c r="Z102" s="34">
        <f t="shared" si="93"/>
        <v>1067</v>
      </c>
      <c r="AA102" s="92">
        <v>1118</v>
      </c>
      <c r="AB102" s="92">
        <f>2091-AA102</f>
        <v>973</v>
      </c>
      <c r="AC102" s="92">
        <f>3389-AB102-AA102</f>
        <v>1298</v>
      </c>
      <c r="AD102" s="34">
        <f t="shared" si="94"/>
        <v>1778</v>
      </c>
      <c r="AE102" s="92">
        <v>1783</v>
      </c>
      <c r="AF102" s="92">
        <f>3613-AE102</f>
        <v>1830</v>
      </c>
      <c r="AG102" s="92">
        <f>5997-AF102-AE102</f>
        <v>2384</v>
      </c>
      <c r="AH102" s="34">
        <f t="shared" si="95"/>
        <v>2143</v>
      </c>
      <c r="AI102" s="92">
        <v>2074</v>
      </c>
      <c r="AJ102" s="92">
        <f>4130-AI102</f>
        <v>2056</v>
      </c>
      <c r="AK102" s="92">
        <f>6198-AJ102-AI102</f>
        <v>2068</v>
      </c>
      <c r="AL102" s="34">
        <f t="shared" si="96"/>
        <v>2081</v>
      </c>
      <c r="AM102" s="92">
        <v>2079</v>
      </c>
      <c r="AN102" s="92">
        <f>2889-AM102</f>
        <v>810</v>
      </c>
      <c r="AP102" s="34">
        <f t="shared" si="97"/>
        <v>5167</v>
      </c>
      <c r="AQ102" s="34">
        <f t="shared" si="98"/>
        <v>5832</v>
      </c>
      <c r="AR102" s="34">
        <f t="shared" si="99"/>
        <v>6689</v>
      </c>
      <c r="AS102" s="34">
        <f t="shared" si="100"/>
        <v>7775</v>
      </c>
      <c r="AT102" s="34">
        <f t="shared" si="101"/>
        <v>8140</v>
      </c>
      <c r="AU102" s="34">
        <f t="shared" si="102"/>
        <v>8431</v>
      </c>
      <c r="AV102" s="34">
        <f t="shared" si="103"/>
        <v>8657</v>
      </c>
      <c r="AW102" s="34">
        <f t="shared" si="104"/>
        <v>8341</v>
      </c>
      <c r="AX102" s="34">
        <f t="shared" si="105"/>
        <v>8279</v>
      </c>
      <c r="AY102" s="34">
        <f t="shared" si="106"/>
        <v>8284</v>
      </c>
      <c r="AZ102" s="34">
        <f t="shared" si="107"/>
        <v>7038</v>
      </c>
      <c r="BA102" s="12"/>
      <c r="BB102" s="83"/>
    </row>
    <row r="103" spans="2:54" ht="12.75" customHeight="1">
      <c r="B103" s="65" t="s">
        <v>584</v>
      </c>
      <c r="C103" s="92">
        <v>0</v>
      </c>
      <c r="D103" s="92">
        <v>0</v>
      </c>
      <c r="E103" s="92">
        <v>0</v>
      </c>
      <c r="F103" s="92">
        <v>0</v>
      </c>
      <c r="G103" s="92">
        <v>0</v>
      </c>
      <c r="H103" s="92">
        <v>0</v>
      </c>
      <c r="I103" s="92">
        <v>0</v>
      </c>
      <c r="J103" s="34"/>
      <c r="K103" s="92">
        <v>0</v>
      </c>
      <c r="L103" s="92">
        <v>0</v>
      </c>
      <c r="M103" s="92">
        <v>0</v>
      </c>
      <c r="N103" s="34">
        <f t="shared" si="91"/>
        <v>0</v>
      </c>
      <c r="O103" s="92">
        <v>0</v>
      </c>
      <c r="P103" s="34">
        <v>0</v>
      </c>
      <c r="Q103" s="34">
        <v>0</v>
      </c>
      <c r="R103" s="34">
        <f t="shared" si="92"/>
        <v>0</v>
      </c>
      <c r="S103" s="92">
        <v>0</v>
      </c>
      <c r="T103" s="92">
        <v>0</v>
      </c>
      <c r="U103" s="92">
        <v>0</v>
      </c>
      <c r="V103" s="34">
        <f t="shared" si="88"/>
        <v>0</v>
      </c>
      <c r="W103" s="92">
        <v>0</v>
      </c>
      <c r="X103" s="92">
        <v>0</v>
      </c>
      <c r="Y103" s="92">
        <v>0</v>
      </c>
      <c r="Z103" s="34">
        <f t="shared" si="93"/>
        <v>0</v>
      </c>
      <c r="AA103" s="92">
        <v>0</v>
      </c>
      <c r="AB103" s="92">
        <v>0</v>
      </c>
      <c r="AC103" s="92">
        <v>0</v>
      </c>
      <c r="AD103" s="34">
        <f t="shared" si="94"/>
        <v>0</v>
      </c>
      <c r="AE103" s="92">
        <v>0</v>
      </c>
      <c r="AF103" s="92">
        <v>0</v>
      </c>
      <c r="AG103" s="92">
        <v>0</v>
      </c>
      <c r="AH103" s="34">
        <f t="shared" si="95"/>
        <v>0</v>
      </c>
      <c r="AI103" s="92">
        <v>0</v>
      </c>
      <c r="AJ103" s="92">
        <v>232</v>
      </c>
      <c r="AK103" s="92">
        <f>232-AJ103-AI103</f>
        <v>0</v>
      </c>
      <c r="AL103" s="34">
        <f t="shared" si="96"/>
        <v>-232</v>
      </c>
      <c r="AM103" s="92">
        <v>0</v>
      </c>
      <c r="AN103" s="92">
        <v>0</v>
      </c>
      <c r="AP103" s="34"/>
      <c r="AQ103" s="34"/>
      <c r="AR103" s="34"/>
      <c r="AS103" s="34"/>
      <c r="AT103" s="34"/>
      <c r="AU103" s="34"/>
      <c r="AV103" s="34"/>
      <c r="AW103" s="34"/>
      <c r="AX103" s="34"/>
      <c r="AY103" s="34"/>
      <c r="AZ103" s="34"/>
      <c r="BA103" s="12"/>
      <c r="BB103" s="83"/>
    </row>
    <row r="104" spans="2:54" ht="12.75" customHeight="1">
      <c r="B104" s="65" t="s">
        <v>558</v>
      </c>
      <c r="C104" s="92">
        <v>76</v>
      </c>
      <c r="D104" s="92">
        <v>93</v>
      </c>
      <c r="E104" s="92">
        <v>222</v>
      </c>
      <c r="F104" s="92">
        <v>199</v>
      </c>
      <c r="G104" s="92">
        <v>486</v>
      </c>
      <c r="H104" s="92">
        <v>20515</v>
      </c>
      <c r="I104" s="92">
        <v>809</v>
      </c>
      <c r="J104" s="34"/>
      <c r="K104" s="92">
        <v>0</v>
      </c>
      <c r="L104" s="34">
        <v>0</v>
      </c>
      <c r="M104" s="34">
        <f>76-L104-K104</f>
        <v>76</v>
      </c>
      <c r="N104" s="34">
        <f t="shared" si="91"/>
        <v>0</v>
      </c>
      <c r="O104" s="92">
        <v>0</v>
      </c>
      <c r="P104" s="34">
        <v>0</v>
      </c>
      <c r="Q104" s="34">
        <v>0</v>
      </c>
      <c r="R104" s="34">
        <f t="shared" si="92"/>
        <v>93</v>
      </c>
      <c r="S104" s="92">
        <v>0</v>
      </c>
      <c r="T104" s="92">
        <f>183-S104</f>
        <v>183</v>
      </c>
      <c r="U104" s="92">
        <f>218-T104-S104</f>
        <v>35</v>
      </c>
      <c r="V104" s="34">
        <f t="shared" si="88"/>
        <v>4</v>
      </c>
      <c r="W104" s="92">
        <v>3</v>
      </c>
      <c r="X104" s="92">
        <f>111-W104</f>
        <v>108</v>
      </c>
      <c r="Y104" s="92">
        <f>199-X104-W104</f>
        <v>88</v>
      </c>
      <c r="Z104" s="34">
        <f t="shared" si="93"/>
        <v>0</v>
      </c>
      <c r="AA104" s="92">
        <v>315</v>
      </c>
      <c r="AB104" s="92">
        <f>400-AA104</f>
        <v>85</v>
      </c>
      <c r="AC104" s="92">
        <f>946-AB104-AA104</f>
        <v>546</v>
      </c>
      <c r="AD104" s="34">
        <f t="shared" si="94"/>
        <v>-460</v>
      </c>
      <c r="AE104" s="92">
        <v>3907</v>
      </c>
      <c r="AF104" s="92">
        <f>3804-AE104</f>
        <v>-103</v>
      </c>
      <c r="AG104" s="92">
        <f>3876-AF104-AE104</f>
        <v>72</v>
      </c>
      <c r="AH104" s="34">
        <f t="shared" si="95"/>
        <v>16639</v>
      </c>
      <c r="AI104" s="92">
        <v>183</v>
      </c>
      <c r="AJ104" s="92">
        <f>363-AI104</f>
        <v>180</v>
      </c>
      <c r="AK104" s="92">
        <f>493-AJ104-AI104</f>
        <v>130</v>
      </c>
      <c r="AL104" s="34">
        <f t="shared" si="96"/>
        <v>316</v>
      </c>
      <c r="AM104" s="92">
        <v>98</v>
      </c>
      <c r="AN104" s="92">
        <f>223-AM104</f>
        <v>125</v>
      </c>
      <c r="AP104" s="34">
        <f t="shared" si="97"/>
        <v>486</v>
      </c>
      <c r="AQ104" s="34">
        <f t="shared" si="98"/>
        <v>4078</v>
      </c>
      <c r="AR104" s="34">
        <f t="shared" si="99"/>
        <v>3890</v>
      </c>
      <c r="AS104" s="34">
        <f t="shared" si="100"/>
        <v>3416</v>
      </c>
      <c r="AT104" s="34">
        <f t="shared" si="101"/>
        <v>20515</v>
      </c>
      <c r="AU104" s="34">
        <f t="shared" si="102"/>
        <v>16791</v>
      </c>
      <c r="AV104" s="34">
        <f t="shared" si="103"/>
        <v>17074</v>
      </c>
      <c r="AW104" s="34">
        <f t="shared" si="104"/>
        <v>17132</v>
      </c>
      <c r="AX104" s="34">
        <f t="shared" si="105"/>
        <v>809</v>
      </c>
      <c r="AY104" s="34">
        <f t="shared" si="106"/>
        <v>724</v>
      </c>
      <c r="AZ104" s="34">
        <f t="shared" si="107"/>
        <v>669</v>
      </c>
      <c r="BA104" s="12"/>
      <c r="BB104" s="83"/>
    </row>
    <row r="105" spans="2:54" ht="12.75" customHeight="1">
      <c r="B105" s="65" t="s">
        <v>577</v>
      </c>
      <c r="C105" s="92">
        <v>109</v>
      </c>
      <c r="D105" s="92">
        <v>181</v>
      </c>
      <c r="E105" s="92">
        <v>256</v>
      </c>
      <c r="F105" s="92">
        <v>3322</v>
      </c>
      <c r="G105" s="92">
        <v>3934</v>
      </c>
      <c r="H105" s="92">
        <v>3934</v>
      </c>
      <c r="I105" s="92">
        <v>3934</v>
      </c>
      <c r="J105" s="34"/>
      <c r="K105" s="92">
        <v>9</v>
      </c>
      <c r="L105" s="34">
        <f>35-K105</f>
        <v>26</v>
      </c>
      <c r="M105" s="34">
        <f>51-L105-K105</f>
        <v>16</v>
      </c>
      <c r="N105" s="34">
        <f t="shared" si="91"/>
        <v>58</v>
      </c>
      <c r="O105" s="92">
        <v>58</v>
      </c>
      <c r="P105" s="34">
        <f>78-O105</f>
        <v>20</v>
      </c>
      <c r="Q105" s="34">
        <f>124-P105-O105</f>
        <v>46</v>
      </c>
      <c r="R105" s="34">
        <f t="shared" si="92"/>
        <v>57</v>
      </c>
      <c r="S105" s="92">
        <v>57</v>
      </c>
      <c r="T105" s="92">
        <f>93-S105</f>
        <v>36</v>
      </c>
      <c r="U105" s="92">
        <f>195-T105-S105</f>
        <v>102</v>
      </c>
      <c r="V105" s="34">
        <f t="shared" si="88"/>
        <v>61</v>
      </c>
      <c r="W105" s="92">
        <v>369</v>
      </c>
      <c r="X105" s="92">
        <f>1352-W105</f>
        <v>983</v>
      </c>
      <c r="Y105" s="92">
        <f>2338-X105-W105</f>
        <v>986</v>
      </c>
      <c r="Z105" s="34">
        <f t="shared" si="93"/>
        <v>984</v>
      </c>
      <c r="AA105" s="92">
        <v>984</v>
      </c>
      <c r="AB105" s="92">
        <f>1967-AA105</f>
        <v>983</v>
      </c>
      <c r="AC105" s="92">
        <f>2951-AB105-AA105</f>
        <v>984</v>
      </c>
      <c r="AD105" s="34">
        <f t="shared" si="94"/>
        <v>983</v>
      </c>
      <c r="AE105" s="92">
        <v>984</v>
      </c>
      <c r="AF105" s="92">
        <f>1967-AE105</f>
        <v>983</v>
      </c>
      <c r="AG105" s="92">
        <f>2951-AF105-AE105</f>
        <v>984</v>
      </c>
      <c r="AH105" s="34">
        <f t="shared" si="95"/>
        <v>983</v>
      </c>
      <c r="AI105" s="92">
        <v>984</v>
      </c>
      <c r="AJ105" s="92">
        <f>1967-AI105</f>
        <v>983</v>
      </c>
      <c r="AK105" s="92">
        <f>2951-AJ105-AI105</f>
        <v>984</v>
      </c>
      <c r="AL105" s="34">
        <f t="shared" si="96"/>
        <v>983</v>
      </c>
      <c r="AM105" s="92">
        <v>984</v>
      </c>
      <c r="AN105" s="92">
        <f>1970-AM105</f>
        <v>986</v>
      </c>
      <c r="AP105" s="34">
        <f t="shared" si="97"/>
        <v>3934</v>
      </c>
      <c r="AQ105" s="34">
        <f t="shared" si="98"/>
        <v>3934</v>
      </c>
      <c r="AR105" s="34">
        <f t="shared" si="99"/>
        <v>3934</v>
      </c>
      <c r="AS105" s="34">
        <f t="shared" si="100"/>
        <v>3934</v>
      </c>
      <c r="AT105" s="34">
        <f t="shared" si="101"/>
        <v>3934</v>
      </c>
      <c r="AU105" s="34">
        <f t="shared" si="102"/>
        <v>3934</v>
      </c>
      <c r="AV105" s="34">
        <f t="shared" si="103"/>
        <v>3934</v>
      </c>
      <c r="AW105" s="34">
        <f t="shared" si="104"/>
        <v>3934</v>
      </c>
      <c r="AX105" s="34">
        <f t="shared" si="105"/>
        <v>3934</v>
      </c>
      <c r="AY105" s="34">
        <f t="shared" si="106"/>
        <v>3934</v>
      </c>
      <c r="AZ105" s="34">
        <f t="shared" si="107"/>
        <v>3937</v>
      </c>
      <c r="BA105" s="12"/>
      <c r="BB105" s="83"/>
    </row>
    <row r="106" spans="2:54" ht="12.75" customHeight="1">
      <c r="B106" s="65" t="s">
        <v>564</v>
      </c>
      <c r="C106" s="92">
        <v>0</v>
      </c>
      <c r="D106" s="92">
        <v>0</v>
      </c>
      <c r="E106" s="92">
        <v>1538</v>
      </c>
      <c r="F106" s="92">
        <v>1037</v>
      </c>
      <c r="G106" s="92">
        <v>0</v>
      </c>
      <c r="H106" s="92">
        <v>0</v>
      </c>
      <c r="I106" s="92">
        <v>0</v>
      </c>
      <c r="J106" s="34"/>
      <c r="K106" s="92">
        <v>0</v>
      </c>
      <c r="L106" s="34">
        <v>0</v>
      </c>
      <c r="M106" s="34">
        <v>0</v>
      </c>
      <c r="N106" s="34">
        <f t="shared" si="91"/>
        <v>0</v>
      </c>
      <c r="O106" s="92">
        <v>0</v>
      </c>
      <c r="P106" s="34">
        <v>0</v>
      </c>
      <c r="Q106" s="34">
        <v>0</v>
      </c>
      <c r="R106" s="34">
        <f t="shared" si="92"/>
        <v>0</v>
      </c>
      <c r="S106" s="92">
        <v>0</v>
      </c>
      <c r="T106" s="92">
        <f>1538-S106</f>
        <v>1538</v>
      </c>
      <c r="U106" s="92">
        <f>1538-T106-S106</f>
        <v>0</v>
      </c>
      <c r="V106" s="34">
        <f t="shared" si="88"/>
        <v>0</v>
      </c>
      <c r="W106" s="92">
        <v>1037</v>
      </c>
      <c r="X106" s="92">
        <f>1037-W106</f>
        <v>0</v>
      </c>
      <c r="Y106" s="92">
        <f>1037-X106-W106</f>
        <v>0</v>
      </c>
      <c r="Z106" s="34">
        <f t="shared" si="93"/>
        <v>0</v>
      </c>
      <c r="AA106" s="92">
        <v>671</v>
      </c>
      <c r="AB106" s="92">
        <f>0-AA106</f>
        <v>-671</v>
      </c>
      <c r="AC106" s="92">
        <f>0-AB106-AA106</f>
        <v>0</v>
      </c>
      <c r="AD106" s="34">
        <f t="shared" si="94"/>
        <v>0</v>
      </c>
      <c r="AE106" s="92">
        <v>0</v>
      </c>
      <c r="AF106" s="92">
        <v>0</v>
      </c>
      <c r="AG106" s="92">
        <v>0</v>
      </c>
      <c r="AH106" s="34">
        <f t="shared" si="95"/>
        <v>0</v>
      </c>
      <c r="AI106" s="92">
        <v>0</v>
      </c>
      <c r="AJ106" s="92">
        <v>0</v>
      </c>
      <c r="AK106" s="92">
        <v>0</v>
      </c>
      <c r="AL106" s="34">
        <f t="shared" si="96"/>
        <v>0</v>
      </c>
      <c r="AM106" s="92">
        <v>0</v>
      </c>
      <c r="AN106" s="92">
        <v>0</v>
      </c>
      <c r="AP106" s="34">
        <f t="shared" si="97"/>
        <v>0</v>
      </c>
      <c r="AQ106" s="34">
        <f t="shared" si="98"/>
        <v>-671</v>
      </c>
      <c r="AR106" s="34">
        <f t="shared" si="99"/>
        <v>0</v>
      </c>
      <c r="AS106" s="34">
        <f t="shared" si="100"/>
        <v>0</v>
      </c>
      <c r="AT106" s="34">
        <f t="shared" si="101"/>
        <v>0</v>
      </c>
      <c r="AU106" s="34">
        <f t="shared" si="102"/>
        <v>0</v>
      </c>
      <c r="AV106" s="34">
        <f t="shared" si="103"/>
        <v>0</v>
      </c>
      <c r="AW106" s="34">
        <f t="shared" si="104"/>
        <v>0</v>
      </c>
      <c r="AX106" s="34">
        <f t="shared" si="105"/>
        <v>0</v>
      </c>
      <c r="AY106" s="34">
        <f t="shared" si="106"/>
        <v>0</v>
      </c>
      <c r="AZ106" s="34">
        <f t="shared" si="107"/>
        <v>0</v>
      </c>
      <c r="BA106" s="12"/>
      <c r="BB106" s="83"/>
    </row>
    <row r="107" spans="2:54" ht="12.75" customHeight="1">
      <c r="B107" s="65" t="s">
        <v>559</v>
      </c>
      <c r="C107" s="92">
        <v>0</v>
      </c>
      <c r="D107" s="92">
        <v>0</v>
      </c>
      <c r="E107" s="92">
        <v>0</v>
      </c>
      <c r="F107" s="92">
        <v>2977</v>
      </c>
      <c r="G107" s="92">
        <v>18948</v>
      </c>
      <c r="H107" s="92">
        <v>3902</v>
      </c>
      <c r="I107" s="92">
        <v>73</v>
      </c>
      <c r="J107" s="34"/>
      <c r="K107" s="92">
        <v>0</v>
      </c>
      <c r="L107" s="34">
        <v>0</v>
      </c>
      <c r="M107" s="34">
        <v>0</v>
      </c>
      <c r="N107" s="34">
        <f t="shared" si="91"/>
        <v>0</v>
      </c>
      <c r="O107" s="92">
        <v>0</v>
      </c>
      <c r="P107" s="34">
        <v>0</v>
      </c>
      <c r="Q107" s="34">
        <v>0</v>
      </c>
      <c r="R107" s="34">
        <f t="shared" si="92"/>
        <v>0</v>
      </c>
      <c r="S107" s="92">
        <v>0</v>
      </c>
      <c r="T107" s="92">
        <v>0</v>
      </c>
      <c r="U107" s="92">
        <v>0</v>
      </c>
      <c r="V107" s="34">
        <f t="shared" si="88"/>
        <v>0</v>
      </c>
      <c r="W107" s="92">
        <v>374</v>
      </c>
      <c r="X107" s="92">
        <f>581-W107</f>
        <v>207</v>
      </c>
      <c r="Y107" s="92">
        <f>1176-X107-W107</f>
        <v>595</v>
      </c>
      <c r="Z107" s="34">
        <f t="shared" si="93"/>
        <v>1801</v>
      </c>
      <c r="AA107" s="92">
        <v>0</v>
      </c>
      <c r="AB107" s="92">
        <f>2103-AA107</f>
        <v>2103</v>
      </c>
      <c r="AC107" s="92">
        <f>10849-AB107-AA107</f>
        <v>8746</v>
      </c>
      <c r="AD107" s="34">
        <f t="shared" si="94"/>
        <v>8099</v>
      </c>
      <c r="AE107" s="92">
        <v>3235</v>
      </c>
      <c r="AF107" s="92">
        <f>3738-AE107</f>
        <v>503</v>
      </c>
      <c r="AG107" s="92">
        <f>3864-AF107-AE107</f>
        <v>126</v>
      </c>
      <c r="AH107" s="34">
        <f t="shared" si="95"/>
        <v>38</v>
      </c>
      <c r="AI107" s="92">
        <v>-7</v>
      </c>
      <c r="AJ107" s="92">
        <f>23-AI107</f>
        <v>30</v>
      </c>
      <c r="AK107" s="92">
        <f>61-AJ107-AI107</f>
        <v>38</v>
      </c>
      <c r="AL107" s="34">
        <f t="shared" si="96"/>
        <v>12</v>
      </c>
      <c r="AM107" s="92">
        <v>11</v>
      </c>
      <c r="AN107" s="92">
        <f>70-AM107</f>
        <v>59</v>
      </c>
      <c r="AP107" s="34">
        <f t="shared" si="97"/>
        <v>18948</v>
      </c>
      <c r="AQ107" s="34">
        <f t="shared" si="98"/>
        <v>22183</v>
      </c>
      <c r="AR107" s="34">
        <f t="shared" si="99"/>
        <v>20583</v>
      </c>
      <c r="AS107" s="34">
        <f t="shared" si="100"/>
        <v>11963</v>
      </c>
      <c r="AT107" s="34">
        <f t="shared" si="101"/>
        <v>3902</v>
      </c>
      <c r="AU107" s="34">
        <f t="shared" si="102"/>
        <v>660</v>
      </c>
      <c r="AV107" s="34">
        <f t="shared" si="103"/>
        <v>187</v>
      </c>
      <c r="AW107" s="34">
        <f t="shared" si="104"/>
        <v>99</v>
      </c>
      <c r="AX107" s="34">
        <f t="shared" si="105"/>
        <v>73</v>
      </c>
      <c r="AY107" s="34">
        <f t="shared" si="106"/>
        <v>91</v>
      </c>
      <c r="AZ107" s="34">
        <f t="shared" si="107"/>
        <v>120</v>
      </c>
      <c r="BA107" s="12"/>
      <c r="BB107" s="83"/>
    </row>
    <row r="108" spans="2:54" ht="12.75" customHeight="1">
      <c r="B108" s="65" t="s">
        <v>565</v>
      </c>
      <c r="C108" s="92">
        <v>0</v>
      </c>
      <c r="D108" s="92">
        <v>0</v>
      </c>
      <c r="E108" s="92">
        <v>0</v>
      </c>
      <c r="F108" s="92">
        <v>0</v>
      </c>
      <c r="G108" s="92">
        <v>0</v>
      </c>
      <c r="H108" s="92">
        <v>3795</v>
      </c>
      <c r="I108" s="92">
        <v>0</v>
      </c>
      <c r="J108" s="34"/>
      <c r="K108" s="92">
        <v>0</v>
      </c>
      <c r="L108" s="34">
        <v>0</v>
      </c>
      <c r="M108" s="34">
        <v>0</v>
      </c>
      <c r="N108" s="34">
        <f t="shared" si="91"/>
        <v>0</v>
      </c>
      <c r="O108" s="92">
        <v>0</v>
      </c>
      <c r="P108" s="34">
        <v>0</v>
      </c>
      <c r="Q108" s="34">
        <v>0</v>
      </c>
      <c r="R108" s="34">
        <f t="shared" si="92"/>
        <v>0</v>
      </c>
      <c r="S108" s="92">
        <v>0</v>
      </c>
      <c r="T108" s="92">
        <v>0</v>
      </c>
      <c r="U108" s="92">
        <v>0</v>
      </c>
      <c r="V108" s="34">
        <f t="shared" si="88"/>
        <v>0</v>
      </c>
      <c r="W108" s="92">
        <v>0</v>
      </c>
      <c r="X108" s="92">
        <v>0</v>
      </c>
      <c r="Y108" s="92">
        <v>0</v>
      </c>
      <c r="Z108" s="34">
        <f t="shared" si="93"/>
        <v>0</v>
      </c>
      <c r="AA108" s="92">
        <v>0</v>
      </c>
      <c r="AB108" s="92">
        <v>0</v>
      </c>
      <c r="AC108" s="92">
        <v>0</v>
      </c>
      <c r="AD108" s="34">
        <f t="shared" si="94"/>
        <v>0</v>
      </c>
      <c r="AE108" s="92">
        <v>0</v>
      </c>
      <c r="AF108" s="92">
        <v>0</v>
      </c>
      <c r="AG108" s="92">
        <f>3795-AF108-AE108</f>
        <v>3795</v>
      </c>
      <c r="AH108" s="34">
        <f t="shared" si="95"/>
        <v>0</v>
      </c>
      <c r="AI108" s="92">
        <v>0</v>
      </c>
      <c r="AJ108" s="92">
        <v>0</v>
      </c>
      <c r="AK108" s="92">
        <v>0</v>
      </c>
      <c r="AL108" s="34">
        <f t="shared" si="96"/>
        <v>0</v>
      </c>
      <c r="AM108" s="92">
        <v>0</v>
      </c>
      <c r="AN108" s="92">
        <v>0</v>
      </c>
      <c r="AP108" s="34">
        <f t="shared" si="97"/>
        <v>0</v>
      </c>
      <c r="AQ108" s="34">
        <f t="shared" si="98"/>
        <v>0</v>
      </c>
      <c r="AR108" s="34">
        <f t="shared" si="99"/>
        <v>0</v>
      </c>
      <c r="AS108" s="34">
        <f t="shared" si="100"/>
        <v>3795</v>
      </c>
      <c r="AT108" s="34">
        <f t="shared" si="101"/>
        <v>3795</v>
      </c>
      <c r="AU108" s="34">
        <f t="shared" si="102"/>
        <v>3795</v>
      </c>
      <c r="AV108" s="34">
        <f t="shared" si="103"/>
        <v>3795</v>
      </c>
      <c r="AW108" s="34">
        <f t="shared" si="104"/>
        <v>0</v>
      </c>
      <c r="AX108" s="34">
        <f t="shared" si="105"/>
        <v>0</v>
      </c>
      <c r="AY108" s="34">
        <f t="shared" si="106"/>
        <v>0</v>
      </c>
      <c r="AZ108" s="34">
        <f t="shared" si="107"/>
        <v>0</v>
      </c>
      <c r="BA108" s="12"/>
      <c r="BB108" s="83"/>
    </row>
    <row r="109" spans="2:54" ht="12.75" customHeight="1">
      <c r="B109" s="65" t="s">
        <v>562</v>
      </c>
      <c r="C109" s="92">
        <v>0</v>
      </c>
      <c r="D109" s="92">
        <v>0</v>
      </c>
      <c r="E109" s="92">
        <v>0</v>
      </c>
      <c r="F109" s="92">
        <v>0</v>
      </c>
      <c r="G109" s="92">
        <v>5106</v>
      </c>
      <c r="H109" s="92">
        <v>-1822</v>
      </c>
      <c r="I109" s="92">
        <v>5113</v>
      </c>
      <c r="J109" s="34"/>
      <c r="K109" s="92">
        <v>0</v>
      </c>
      <c r="L109" s="34">
        <v>0</v>
      </c>
      <c r="M109" s="34">
        <v>0</v>
      </c>
      <c r="N109" s="34">
        <f t="shared" si="91"/>
        <v>0</v>
      </c>
      <c r="O109" s="92">
        <v>0</v>
      </c>
      <c r="P109" s="34">
        <v>0</v>
      </c>
      <c r="Q109" s="34">
        <v>0</v>
      </c>
      <c r="R109" s="34">
        <f t="shared" si="92"/>
        <v>0</v>
      </c>
      <c r="S109" s="92">
        <v>0</v>
      </c>
      <c r="T109" s="92">
        <v>0</v>
      </c>
      <c r="U109" s="92">
        <v>0</v>
      </c>
      <c r="V109" s="34">
        <f t="shared" si="88"/>
        <v>0</v>
      </c>
      <c r="W109" s="92">
        <v>0</v>
      </c>
      <c r="X109" s="92">
        <v>0</v>
      </c>
      <c r="Y109" s="92">
        <v>0</v>
      </c>
      <c r="Z109" s="34">
        <f t="shared" si="93"/>
        <v>0</v>
      </c>
      <c r="AA109" s="92">
        <v>0</v>
      </c>
      <c r="AB109" s="92">
        <f>7076-AA109</f>
        <v>7076</v>
      </c>
      <c r="AC109" s="92">
        <f>11160-AB109-AA109</f>
        <v>4084</v>
      </c>
      <c r="AD109" s="34">
        <f t="shared" si="94"/>
        <v>-6054</v>
      </c>
      <c r="AE109" s="92">
        <v>-731</v>
      </c>
      <c r="AF109" s="92">
        <f>213-AE109</f>
        <v>944</v>
      </c>
      <c r="AG109" s="92">
        <f>2740-AF109-AE109</f>
        <v>2527</v>
      </c>
      <c r="AH109" s="34">
        <f t="shared" si="95"/>
        <v>-4562</v>
      </c>
      <c r="AI109" s="92">
        <v>2173</v>
      </c>
      <c r="AJ109" s="92">
        <f>2671-AI109</f>
        <v>498</v>
      </c>
      <c r="AK109" s="92">
        <f>-1118-AJ109-AI109</f>
        <v>-3789</v>
      </c>
      <c r="AL109" s="34">
        <f t="shared" si="96"/>
        <v>6231</v>
      </c>
      <c r="AM109" s="92">
        <v>-3571</v>
      </c>
      <c r="AN109" s="92">
        <f>-11161-AM109</f>
        <v>-7590</v>
      </c>
      <c r="AP109" s="34">
        <f t="shared" si="97"/>
        <v>5106</v>
      </c>
      <c r="AQ109" s="34">
        <f t="shared" si="98"/>
        <v>4375</v>
      </c>
      <c r="AR109" s="34">
        <f t="shared" si="99"/>
        <v>-1757</v>
      </c>
      <c r="AS109" s="34">
        <f t="shared" si="100"/>
        <v>-3314</v>
      </c>
      <c r="AT109" s="34">
        <f t="shared" si="101"/>
        <v>-1822</v>
      </c>
      <c r="AU109" s="34">
        <f t="shared" si="102"/>
        <v>1082</v>
      </c>
      <c r="AV109" s="34">
        <f t="shared" si="103"/>
        <v>636</v>
      </c>
      <c r="AW109" s="34">
        <f t="shared" si="104"/>
        <v>-5680</v>
      </c>
      <c r="AX109" s="34">
        <f t="shared" si="105"/>
        <v>5113</v>
      </c>
      <c r="AY109" s="34">
        <f t="shared" si="106"/>
        <v>-631</v>
      </c>
      <c r="AZ109" s="34">
        <f t="shared" si="107"/>
        <v>-8719</v>
      </c>
      <c r="BA109" s="12"/>
      <c r="BB109" s="83"/>
    </row>
    <row r="110" spans="2:54" ht="12.75" customHeight="1">
      <c r="B110" s="65" t="s">
        <v>567</v>
      </c>
      <c r="C110" s="92">
        <v>1120</v>
      </c>
      <c r="D110" s="92">
        <v>12503</v>
      </c>
      <c r="E110" s="92">
        <v>0</v>
      </c>
      <c r="F110" s="92">
        <v>0</v>
      </c>
      <c r="G110" s="92">
        <v>0</v>
      </c>
      <c r="H110" s="92">
        <v>0</v>
      </c>
      <c r="I110" s="92">
        <v>0</v>
      </c>
      <c r="J110" s="34"/>
      <c r="K110" s="92">
        <v>129</v>
      </c>
      <c r="L110" s="34">
        <f>259-K110</f>
        <v>130</v>
      </c>
      <c r="M110" s="34">
        <f>1253-L110-K110</f>
        <v>994</v>
      </c>
      <c r="N110" s="34">
        <f t="shared" si="91"/>
        <v>-133</v>
      </c>
      <c r="O110" s="92">
        <v>759</v>
      </c>
      <c r="P110" s="34">
        <f>12503-O110</f>
        <v>11744</v>
      </c>
      <c r="Q110" s="34">
        <f>12503-P110-O110</f>
        <v>0</v>
      </c>
      <c r="R110" s="34">
        <f t="shared" si="92"/>
        <v>0</v>
      </c>
      <c r="S110" s="92">
        <v>0</v>
      </c>
      <c r="T110" s="92">
        <v>0</v>
      </c>
      <c r="U110" s="92">
        <v>0</v>
      </c>
      <c r="V110" s="34">
        <f t="shared" si="88"/>
        <v>0</v>
      </c>
      <c r="W110" s="92">
        <v>0</v>
      </c>
      <c r="X110" s="92">
        <v>0</v>
      </c>
      <c r="Y110" s="92">
        <v>0</v>
      </c>
      <c r="Z110" s="34">
        <f t="shared" si="93"/>
        <v>0</v>
      </c>
      <c r="AA110" s="92">
        <v>0</v>
      </c>
      <c r="AB110" s="92">
        <v>0</v>
      </c>
      <c r="AC110" s="92">
        <v>0</v>
      </c>
      <c r="AD110" s="34">
        <f t="shared" si="94"/>
        <v>0</v>
      </c>
      <c r="AE110" s="92">
        <v>0</v>
      </c>
      <c r="AF110" s="92">
        <v>0</v>
      </c>
      <c r="AG110" s="92">
        <v>0</v>
      </c>
      <c r="AH110" s="34">
        <f t="shared" si="95"/>
        <v>0</v>
      </c>
      <c r="AI110" s="92">
        <v>0</v>
      </c>
      <c r="AJ110" s="92">
        <v>0</v>
      </c>
      <c r="AK110" s="92">
        <v>0</v>
      </c>
      <c r="AL110" s="34">
        <f t="shared" si="96"/>
        <v>0</v>
      </c>
      <c r="AM110" s="92">
        <v>0</v>
      </c>
      <c r="AN110" s="92">
        <v>0</v>
      </c>
      <c r="AP110" s="34">
        <f t="shared" si="97"/>
        <v>0</v>
      </c>
      <c r="AQ110" s="34">
        <f t="shared" si="98"/>
        <v>0</v>
      </c>
      <c r="AR110" s="34">
        <f t="shared" si="99"/>
        <v>0</v>
      </c>
      <c r="AS110" s="34">
        <f t="shared" si="100"/>
        <v>0</v>
      </c>
      <c r="AT110" s="34">
        <f t="shared" si="101"/>
        <v>0</v>
      </c>
      <c r="AU110" s="34">
        <f t="shared" si="102"/>
        <v>0</v>
      </c>
      <c r="AV110" s="34">
        <f t="shared" si="103"/>
        <v>0</v>
      </c>
      <c r="AW110" s="34">
        <f t="shared" si="104"/>
        <v>0</v>
      </c>
      <c r="AX110" s="34">
        <f t="shared" si="105"/>
        <v>0</v>
      </c>
      <c r="AY110" s="34">
        <f t="shared" si="106"/>
        <v>0</v>
      </c>
      <c r="AZ110" s="34">
        <f t="shared" si="107"/>
        <v>0</v>
      </c>
      <c r="BA110" s="12"/>
      <c r="BB110" s="83"/>
    </row>
    <row r="111" spans="2:54" ht="12.75" customHeight="1">
      <c r="B111" s="65" t="s">
        <v>561</v>
      </c>
      <c r="C111" s="92">
        <v>0</v>
      </c>
      <c r="D111" s="92">
        <v>0</v>
      </c>
      <c r="E111" s="92">
        <v>0</v>
      </c>
      <c r="F111" s="92">
        <v>0</v>
      </c>
      <c r="G111" s="92">
        <v>0</v>
      </c>
      <c r="H111" s="92">
        <v>0</v>
      </c>
      <c r="I111" s="92">
        <v>221</v>
      </c>
      <c r="J111" s="34"/>
      <c r="K111" s="92">
        <v>0</v>
      </c>
      <c r="L111" s="34">
        <v>0</v>
      </c>
      <c r="M111" s="34">
        <v>0</v>
      </c>
      <c r="N111" s="34">
        <f t="shared" si="91"/>
        <v>0</v>
      </c>
      <c r="O111" s="92">
        <v>0</v>
      </c>
      <c r="P111" s="34">
        <v>0</v>
      </c>
      <c r="Q111" s="34">
        <v>0</v>
      </c>
      <c r="R111" s="34">
        <f t="shared" si="92"/>
        <v>0</v>
      </c>
      <c r="S111" s="92">
        <v>0</v>
      </c>
      <c r="T111" s="92">
        <v>0</v>
      </c>
      <c r="U111" s="92">
        <v>0</v>
      </c>
      <c r="V111" s="34">
        <f t="shared" si="88"/>
        <v>0</v>
      </c>
      <c r="W111" s="92">
        <v>0</v>
      </c>
      <c r="X111" s="92">
        <v>0</v>
      </c>
      <c r="Y111" s="92">
        <v>0</v>
      </c>
      <c r="Z111" s="34">
        <f t="shared" si="93"/>
        <v>0</v>
      </c>
      <c r="AA111" s="92">
        <v>0</v>
      </c>
      <c r="AB111" s="92">
        <v>0</v>
      </c>
      <c r="AC111" s="92">
        <v>0</v>
      </c>
      <c r="AD111" s="34">
        <f t="shared" si="94"/>
        <v>0</v>
      </c>
      <c r="AE111" s="92">
        <v>0</v>
      </c>
      <c r="AF111" s="92">
        <v>0</v>
      </c>
      <c r="AG111" s="92">
        <v>0</v>
      </c>
      <c r="AH111" s="34">
        <f t="shared" si="95"/>
        <v>0</v>
      </c>
      <c r="AI111" s="92">
        <v>0</v>
      </c>
      <c r="AJ111" s="92">
        <v>0</v>
      </c>
      <c r="AK111" s="92">
        <v>0</v>
      </c>
      <c r="AL111" s="34">
        <f t="shared" si="96"/>
        <v>221</v>
      </c>
      <c r="AM111" s="92">
        <v>0</v>
      </c>
      <c r="AN111" s="92">
        <v>0</v>
      </c>
      <c r="AP111" s="34">
        <f t="shared" si="97"/>
        <v>0</v>
      </c>
      <c r="AQ111" s="34">
        <f t="shared" si="98"/>
        <v>0</v>
      </c>
      <c r="AR111" s="34">
        <f t="shared" si="99"/>
        <v>0</v>
      </c>
      <c r="AS111" s="34">
        <f t="shared" si="100"/>
        <v>0</v>
      </c>
      <c r="AT111" s="34">
        <f t="shared" si="101"/>
        <v>0</v>
      </c>
      <c r="AU111" s="34">
        <f t="shared" si="102"/>
        <v>0</v>
      </c>
      <c r="AV111" s="34">
        <f t="shared" si="103"/>
        <v>0</v>
      </c>
      <c r="AW111" s="34">
        <f t="shared" si="104"/>
        <v>0</v>
      </c>
      <c r="AX111" s="34">
        <f t="shared" si="105"/>
        <v>221</v>
      </c>
      <c r="AY111" s="34">
        <f t="shared" si="106"/>
        <v>221</v>
      </c>
      <c r="AZ111" s="34">
        <f t="shared" si="107"/>
        <v>221</v>
      </c>
      <c r="BA111" s="12"/>
      <c r="BB111" s="83"/>
    </row>
    <row r="112" spans="2:54" ht="5.0999999999999996" customHeight="1">
      <c r="B112" s="8"/>
      <c r="C112" s="92"/>
      <c r="D112" s="92"/>
      <c r="E112" s="92"/>
      <c r="F112" s="92"/>
      <c r="G112" s="92"/>
      <c r="H112" s="92"/>
      <c r="I112" s="92"/>
      <c r="J112" s="34"/>
      <c r="K112" s="92"/>
      <c r="L112" s="34"/>
      <c r="M112" s="34"/>
      <c r="N112" s="34"/>
      <c r="O112" s="92"/>
      <c r="P112" s="92"/>
      <c r="Q112" s="92"/>
      <c r="R112" s="34"/>
      <c r="S112" s="92"/>
      <c r="T112" s="92"/>
      <c r="U112" s="92"/>
      <c r="V112" s="34"/>
      <c r="W112" s="92"/>
      <c r="X112" s="92"/>
      <c r="Y112" s="92"/>
      <c r="Z112" s="34"/>
      <c r="AA112" s="92"/>
      <c r="AB112" s="92"/>
      <c r="AC112" s="92"/>
      <c r="AD112" s="34"/>
      <c r="AE112" s="92"/>
      <c r="AF112" s="92"/>
      <c r="AG112" s="92"/>
      <c r="AH112" s="34"/>
      <c r="AI112" s="92"/>
      <c r="AJ112" s="92"/>
      <c r="AK112" s="92"/>
      <c r="AL112" s="34"/>
      <c r="AM112" s="92"/>
      <c r="AN112" s="92"/>
      <c r="AP112" s="34"/>
      <c r="AQ112" s="34"/>
      <c r="AR112" s="34"/>
      <c r="AS112" s="34"/>
      <c r="AT112" s="34"/>
      <c r="AU112" s="34"/>
      <c r="AV112" s="34"/>
      <c r="AW112" s="34"/>
      <c r="AX112" s="34"/>
      <c r="AY112" s="34"/>
      <c r="AZ112" s="34"/>
      <c r="BA112" s="12"/>
      <c r="BB112" s="83"/>
    </row>
    <row r="113" spans="2:54" ht="12.75" customHeight="1">
      <c r="B113" s="38" t="s">
        <v>19</v>
      </c>
      <c r="C113" s="92"/>
      <c r="D113" s="92"/>
      <c r="E113" s="92"/>
      <c r="F113" s="92"/>
      <c r="G113" s="92"/>
      <c r="H113" s="92"/>
      <c r="I113" s="92"/>
      <c r="J113" s="34"/>
      <c r="K113" s="92"/>
      <c r="L113" s="34"/>
      <c r="M113" s="34"/>
      <c r="N113" s="34"/>
      <c r="O113" s="92"/>
      <c r="P113" s="92"/>
      <c r="Q113" s="92"/>
      <c r="R113" s="34"/>
      <c r="S113" s="92"/>
      <c r="T113" s="92"/>
      <c r="U113" s="92"/>
      <c r="V113" s="34"/>
      <c r="W113" s="92"/>
      <c r="X113" s="92"/>
      <c r="Y113" s="92"/>
      <c r="Z113" s="34"/>
      <c r="AA113" s="92"/>
      <c r="AB113" s="92"/>
      <c r="AC113" s="92"/>
      <c r="AD113" s="34"/>
      <c r="AE113" s="92"/>
      <c r="AF113" s="92"/>
      <c r="AG113" s="92"/>
      <c r="AH113" s="34"/>
      <c r="AI113" s="92"/>
      <c r="AJ113" s="92"/>
      <c r="AK113" s="92"/>
      <c r="AL113" s="34"/>
      <c r="AM113" s="92"/>
      <c r="AN113" s="92"/>
      <c r="AP113" s="34"/>
      <c r="AQ113" s="34"/>
      <c r="AR113" s="34"/>
      <c r="AS113" s="34"/>
      <c r="AT113" s="34"/>
      <c r="AU113" s="34"/>
      <c r="AV113" s="34"/>
      <c r="AW113" s="34"/>
      <c r="AX113" s="34"/>
      <c r="AY113" s="34"/>
      <c r="AZ113" s="34"/>
      <c r="BA113" s="64"/>
      <c r="BB113" s="83" t="e">
        <f>SUM(AZ113/AV113)-1</f>
        <v>#DIV/0!</v>
      </c>
    </row>
    <row r="114" spans="2:54" ht="12.75" customHeight="1">
      <c r="B114" s="65" t="s">
        <v>67</v>
      </c>
      <c r="C114" s="92">
        <v>-9045</v>
      </c>
      <c r="D114" s="92">
        <v>-27454</v>
      </c>
      <c r="E114" s="92">
        <v>4516</v>
      </c>
      <c r="F114" s="92">
        <v>-8463</v>
      </c>
      <c r="G114" s="92">
        <v>9063</v>
      </c>
      <c r="H114" s="92">
        <v>2717</v>
      </c>
      <c r="I114" s="92">
        <v>4193</v>
      </c>
      <c r="J114" s="34"/>
      <c r="K114" s="92">
        <v>-991</v>
      </c>
      <c r="L114" s="34">
        <f>-2788-K114</f>
        <v>-1797</v>
      </c>
      <c r="M114" s="34">
        <f>-8499-L114-K114</f>
        <v>-5711</v>
      </c>
      <c r="N114" s="34">
        <f t="shared" ref="N114:N121" si="109">SUM(C114-SUM(K114:M114))</f>
        <v>-546</v>
      </c>
      <c r="O114" s="92">
        <v>-3568</v>
      </c>
      <c r="P114" s="34">
        <f>-21762-O114</f>
        <v>-18194</v>
      </c>
      <c r="Q114" s="34">
        <f>-21856-P114-O114</f>
        <v>-94</v>
      </c>
      <c r="R114" s="34">
        <f t="shared" si="92"/>
        <v>-5598</v>
      </c>
      <c r="S114" s="92">
        <v>3746</v>
      </c>
      <c r="T114" s="92">
        <f>-5907-S114</f>
        <v>-9653</v>
      </c>
      <c r="U114" s="92">
        <f>10365-T114-S114</f>
        <v>16272</v>
      </c>
      <c r="V114" s="34">
        <f t="shared" si="88"/>
        <v>-5849</v>
      </c>
      <c r="W114" s="92">
        <v>-963</v>
      </c>
      <c r="X114" s="92">
        <f>-27713-W114</f>
        <v>-26750</v>
      </c>
      <c r="Y114" s="92">
        <f>-13495-X114-W114</f>
        <v>14218</v>
      </c>
      <c r="Z114" s="34">
        <f t="shared" ref="Z114:Z121" si="110">SUM(F114-SUM(W114:Y114))</f>
        <v>5032</v>
      </c>
      <c r="AA114" s="92">
        <v>-9108</v>
      </c>
      <c r="AB114" s="92">
        <f>-30158-AA114</f>
        <v>-21050</v>
      </c>
      <c r="AC114" s="92">
        <f>7703-AB114-AA114</f>
        <v>37861</v>
      </c>
      <c r="AD114" s="34">
        <f t="shared" ref="AD114:AD121" si="111">SUM(G114-SUM(AA114:AC114))</f>
        <v>1360</v>
      </c>
      <c r="AE114" s="92">
        <v>-8078</v>
      </c>
      <c r="AF114" s="92">
        <f>-16462-AE114</f>
        <v>-8384</v>
      </c>
      <c r="AG114" s="92">
        <f>-1806-AF114-AE114</f>
        <v>14656</v>
      </c>
      <c r="AH114" s="34">
        <f t="shared" si="95"/>
        <v>4523</v>
      </c>
      <c r="AI114" s="92">
        <v>-4143</v>
      </c>
      <c r="AJ114" s="92">
        <f>-3273-AI114</f>
        <v>870</v>
      </c>
      <c r="AK114" s="92">
        <f>-2977-AJ114-AI114</f>
        <v>296</v>
      </c>
      <c r="AL114" s="34">
        <f t="shared" si="96"/>
        <v>7170</v>
      </c>
      <c r="AM114" s="92">
        <v>-6038</v>
      </c>
      <c r="AN114" s="92">
        <f>-9291-AM114</f>
        <v>-3253</v>
      </c>
      <c r="AP114" s="34">
        <f t="shared" si="97"/>
        <v>9063</v>
      </c>
      <c r="AQ114" s="34">
        <f t="shared" si="98"/>
        <v>10093</v>
      </c>
      <c r="AR114" s="34">
        <f t="shared" si="99"/>
        <v>22759</v>
      </c>
      <c r="AS114" s="34">
        <f t="shared" si="100"/>
        <v>-446</v>
      </c>
      <c r="AT114" s="34">
        <f t="shared" si="101"/>
        <v>2717</v>
      </c>
      <c r="AU114" s="34">
        <f t="shared" si="102"/>
        <v>6652</v>
      </c>
      <c r="AV114" s="34">
        <f t="shared" si="103"/>
        <v>15906</v>
      </c>
      <c r="AW114" s="34">
        <f t="shared" si="104"/>
        <v>1546</v>
      </c>
      <c r="AX114" s="34">
        <f t="shared" si="105"/>
        <v>4193</v>
      </c>
      <c r="AY114" s="34">
        <f t="shared" si="106"/>
        <v>2298</v>
      </c>
      <c r="AZ114" s="34">
        <f t="shared" si="107"/>
        <v>-1825</v>
      </c>
      <c r="BA114" s="64"/>
      <c r="BB114" s="83">
        <f>SUM(AZ114/AV114)-1</f>
        <v>-1.1147365773921791</v>
      </c>
    </row>
    <row r="115" spans="2:54" ht="12.75" customHeight="1">
      <c r="B115" s="65" t="s">
        <v>16</v>
      </c>
      <c r="C115" s="92">
        <v>-22113</v>
      </c>
      <c r="D115" s="92">
        <v>-51339</v>
      </c>
      <c r="E115" s="92">
        <v>-38863</v>
      </c>
      <c r="F115" s="92">
        <v>-122666</v>
      </c>
      <c r="G115" s="92">
        <v>2572</v>
      </c>
      <c r="H115" s="92">
        <v>106087</v>
      </c>
      <c r="I115" s="92">
        <v>15576</v>
      </c>
      <c r="J115" s="34"/>
      <c r="K115" s="92">
        <v>-1144</v>
      </c>
      <c r="L115" s="34">
        <f>-6178-K115</f>
        <v>-5034</v>
      </c>
      <c r="M115" s="34">
        <f>-9627-L115-K115</f>
        <v>-3449</v>
      </c>
      <c r="N115" s="34">
        <f t="shared" si="109"/>
        <v>-12486</v>
      </c>
      <c r="O115" s="92">
        <v>-4025</v>
      </c>
      <c r="P115" s="34">
        <f>-12438-O115</f>
        <v>-8413</v>
      </c>
      <c r="Q115" s="34">
        <f>-30013-P115-O115</f>
        <v>-17575</v>
      </c>
      <c r="R115" s="34">
        <f t="shared" si="92"/>
        <v>-21326</v>
      </c>
      <c r="S115" s="92">
        <v>-39106</v>
      </c>
      <c r="T115" s="92">
        <f>-61437-S115</f>
        <v>-22331</v>
      </c>
      <c r="U115" s="92">
        <f>-50263-T115-S115</f>
        <v>11174</v>
      </c>
      <c r="V115" s="34">
        <f t="shared" si="88"/>
        <v>11400</v>
      </c>
      <c r="W115" s="92">
        <v>-24729</v>
      </c>
      <c r="X115" s="92">
        <f>-44741-W115</f>
        <v>-20012</v>
      </c>
      <c r="Y115" s="92">
        <f>-73557-X115-W115</f>
        <v>-28816</v>
      </c>
      <c r="Z115" s="34">
        <f t="shared" si="110"/>
        <v>-49109</v>
      </c>
      <c r="AA115" s="92">
        <v>-43043</v>
      </c>
      <c r="AB115" s="92">
        <f>-17036-AA115</f>
        <v>26007</v>
      </c>
      <c r="AC115" s="92">
        <f>-12411-AB115-AA115</f>
        <v>4625</v>
      </c>
      <c r="AD115" s="34">
        <f t="shared" si="111"/>
        <v>14983</v>
      </c>
      <c r="AE115" s="92">
        <v>13779</v>
      </c>
      <c r="AF115" s="92">
        <f>28975-AE115</f>
        <v>15196</v>
      </c>
      <c r="AG115" s="92">
        <f>40470-AF115-AE115</f>
        <v>11495</v>
      </c>
      <c r="AH115" s="34">
        <f t="shared" si="95"/>
        <v>65617</v>
      </c>
      <c r="AI115" s="92">
        <v>7162</v>
      </c>
      <c r="AJ115" s="92">
        <f>10005-AI115</f>
        <v>2843</v>
      </c>
      <c r="AK115" s="92">
        <f>5361-AJ115-AI115</f>
        <v>-4644</v>
      </c>
      <c r="AL115" s="34">
        <f t="shared" si="96"/>
        <v>10215</v>
      </c>
      <c r="AM115" s="92">
        <v>14113</v>
      </c>
      <c r="AN115" s="92">
        <f>4709-AM115</f>
        <v>-9404</v>
      </c>
      <c r="AP115" s="34">
        <f t="shared" si="97"/>
        <v>2572</v>
      </c>
      <c r="AQ115" s="34">
        <f t="shared" si="98"/>
        <v>59394</v>
      </c>
      <c r="AR115" s="34">
        <f t="shared" si="99"/>
        <v>48583</v>
      </c>
      <c r="AS115" s="34">
        <f t="shared" si="100"/>
        <v>55453</v>
      </c>
      <c r="AT115" s="34">
        <f t="shared" si="101"/>
        <v>106087</v>
      </c>
      <c r="AU115" s="34">
        <f t="shared" si="102"/>
        <v>99470</v>
      </c>
      <c r="AV115" s="34">
        <f t="shared" si="103"/>
        <v>87117</v>
      </c>
      <c r="AW115" s="34">
        <f t="shared" si="104"/>
        <v>70978</v>
      </c>
      <c r="AX115" s="34">
        <f t="shared" si="105"/>
        <v>15576</v>
      </c>
      <c r="AY115" s="34">
        <f t="shared" si="106"/>
        <v>22527</v>
      </c>
      <c r="AZ115" s="34">
        <f t="shared" si="107"/>
        <v>10280</v>
      </c>
      <c r="BA115" s="64"/>
      <c r="BB115" s="83"/>
    </row>
    <row r="116" spans="2:54" ht="12.75" customHeight="1">
      <c r="B116" s="65" t="s">
        <v>568</v>
      </c>
      <c r="C116" s="92">
        <v>325</v>
      </c>
      <c r="D116" s="92">
        <v>-2362</v>
      </c>
      <c r="E116" s="92">
        <v>-9699</v>
      </c>
      <c r="F116" s="92">
        <v>-21414</v>
      </c>
      <c r="G116" s="92">
        <v>11595</v>
      </c>
      <c r="H116" s="92">
        <v>12873</v>
      </c>
      <c r="I116" s="92">
        <v>2013</v>
      </c>
      <c r="J116" s="34"/>
      <c r="K116" s="92">
        <v>60</v>
      </c>
      <c r="L116" s="34">
        <f>-154-K116</f>
        <v>-214</v>
      </c>
      <c r="M116" s="34">
        <f>-615-L116-K116</f>
        <v>-461</v>
      </c>
      <c r="N116" s="34">
        <f t="shared" si="109"/>
        <v>940</v>
      </c>
      <c r="O116" s="92">
        <v>122</v>
      </c>
      <c r="P116" s="34">
        <f>-2131-O116</f>
        <v>-2253</v>
      </c>
      <c r="Q116" s="34">
        <f>-1878-P116-O116</f>
        <v>253</v>
      </c>
      <c r="R116" s="34">
        <f t="shared" si="92"/>
        <v>-484</v>
      </c>
      <c r="S116" s="92">
        <v>-6255</v>
      </c>
      <c r="T116" s="92">
        <f>-12192-S116</f>
        <v>-5937</v>
      </c>
      <c r="U116" s="92">
        <f>-9444-T116-S116</f>
        <v>2748</v>
      </c>
      <c r="V116" s="34">
        <f t="shared" si="88"/>
        <v>-255</v>
      </c>
      <c r="W116" s="92">
        <v>-2877</v>
      </c>
      <c r="X116" s="92">
        <f>-9943-W116</f>
        <v>-7066</v>
      </c>
      <c r="Y116" s="92">
        <f>-13249-X116-W116</f>
        <v>-3306</v>
      </c>
      <c r="Z116" s="34">
        <f t="shared" si="110"/>
        <v>-8165</v>
      </c>
      <c r="AA116" s="92">
        <v>-213</v>
      </c>
      <c r="AB116" s="92">
        <f>-992-AA116</f>
        <v>-779</v>
      </c>
      <c r="AC116" s="92">
        <f>7802-AB116-AA116</f>
        <v>8794</v>
      </c>
      <c r="AD116" s="34">
        <f t="shared" si="111"/>
        <v>3793</v>
      </c>
      <c r="AE116" s="92">
        <v>3926</v>
      </c>
      <c r="AF116" s="92">
        <f>-4705-AE116</f>
        <v>-8631</v>
      </c>
      <c r="AG116" s="92">
        <f>1282-AF116-AE116</f>
        <v>5987</v>
      </c>
      <c r="AH116" s="34">
        <f t="shared" si="95"/>
        <v>11591</v>
      </c>
      <c r="AI116" s="92">
        <v>410</v>
      </c>
      <c r="AJ116" s="92">
        <f>-2450-AI116</f>
        <v>-2860</v>
      </c>
      <c r="AK116" s="92">
        <f>144-AJ116-AI116</f>
        <v>2594</v>
      </c>
      <c r="AL116" s="34">
        <f t="shared" si="96"/>
        <v>1869</v>
      </c>
      <c r="AM116" s="92">
        <v>-4425</v>
      </c>
      <c r="AN116" s="92">
        <f>-8473-AM116</f>
        <v>-4048</v>
      </c>
      <c r="AP116" s="34">
        <f t="shared" si="97"/>
        <v>11595</v>
      </c>
      <c r="AQ116" s="34">
        <f t="shared" si="98"/>
        <v>15734</v>
      </c>
      <c r="AR116" s="34">
        <f t="shared" si="99"/>
        <v>7882</v>
      </c>
      <c r="AS116" s="34">
        <f t="shared" si="100"/>
        <v>5075</v>
      </c>
      <c r="AT116" s="34">
        <f t="shared" si="101"/>
        <v>12873</v>
      </c>
      <c r="AU116" s="34">
        <f t="shared" si="102"/>
        <v>9357</v>
      </c>
      <c r="AV116" s="34">
        <f t="shared" si="103"/>
        <v>15128</v>
      </c>
      <c r="AW116" s="34">
        <f t="shared" si="104"/>
        <v>11735</v>
      </c>
      <c r="AX116" s="34">
        <f t="shared" si="105"/>
        <v>2013</v>
      </c>
      <c r="AY116" s="34">
        <f t="shared" si="106"/>
        <v>-2822</v>
      </c>
      <c r="AZ116" s="34">
        <f t="shared" si="107"/>
        <v>-4010</v>
      </c>
      <c r="BA116" s="64"/>
      <c r="BB116" s="83"/>
    </row>
    <row r="117" spans="2:54" ht="12.75" customHeight="1">
      <c r="B117" s="65" t="s">
        <v>68</v>
      </c>
      <c r="C117" s="92">
        <v>10455</v>
      </c>
      <c r="D117" s="92">
        <v>10149</v>
      </c>
      <c r="E117" s="92">
        <v>16027</v>
      </c>
      <c r="F117" s="92">
        <v>21665</v>
      </c>
      <c r="G117" s="92">
        <v>-10826</v>
      </c>
      <c r="H117" s="92">
        <v>3004</v>
      </c>
      <c r="I117" s="92">
        <v>-20564</v>
      </c>
      <c r="J117" s="34"/>
      <c r="K117" s="92">
        <v>1845</v>
      </c>
      <c r="L117" s="34">
        <f>6623-K117</f>
        <v>4778</v>
      </c>
      <c r="M117" s="34">
        <f>7670-L117-K117</f>
        <v>1047</v>
      </c>
      <c r="N117" s="34">
        <f t="shared" si="109"/>
        <v>2785</v>
      </c>
      <c r="O117" s="92">
        <v>-4349</v>
      </c>
      <c r="P117" s="34">
        <f>9799-O117</f>
        <v>14148</v>
      </c>
      <c r="Q117" s="34">
        <f>20206-P117-O117</f>
        <v>10407</v>
      </c>
      <c r="R117" s="34">
        <f t="shared" si="92"/>
        <v>-10057</v>
      </c>
      <c r="S117" s="92">
        <v>16651</v>
      </c>
      <c r="T117" s="92">
        <f>21564-S117</f>
        <v>4913</v>
      </c>
      <c r="U117" s="92">
        <f>2442-T117-S117</f>
        <v>-19122</v>
      </c>
      <c r="V117" s="34">
        <f t="shared" si="88"/>
        <v>13585</v>
      </c>
      <c r="W117" s="92">
        <v>1098</v>
      </c>
      <c r="X117" s="92">
        <f>-2197-W117</f>
        <v>-3295</v>
      </c>
      <c r="Y117" s="92">
        <f>965-X117-W117</f>
        <v>3162</v>
      </c>
      <c r="Z117" s="34">
        <f t="shared" si="110"/>
        <v>20700</v>
      </c>
      <c r="AA117" s="92">
        <v>-2295</v>
      </c>
      <c r="AB117" s="92">
        <f>-206-AA117</f>
        <v>2089</v>
      </c>
      <c r="AC117" s="92">
        <f>-2922-AB117-AA117</f>
        <v>-2716</v>
      </c>
      <c r="AD117" s="34">
        <f t="shared" si="111"/>
        <v>-7904</v>
      </c>
      <c r="AE117" s="92">
        <v>-13271</v>
      </c>
      <c r="AF117" s="92">
        <f>-14177-AE117</f>
        <v>-906</v>
      </c>
      <c r="AG117" s="92">
        <f>8335-AF117-AE117</f>
        <v>22512</v>
      </c>
      <c r="AH117" s="34">
        <f t="shared" si="95"/>
        <v>-5331</v>
      </c>
      <c r="AI117" s="92">
        <v>214</v>
      </c>
      <c r="AJ117" s="92">
        <f>3633-AI117</f>
        <v>3419</v>
      </c>
      <c r="AK117" s="92">
        <f>-797-AJ117-AI117</f>
        <v>-4430</v>
      </c>
      <c r="AL117" s="34">
        <f t="shared" si="96"/>
        <v>-19767</v>
      </c>
      <c r="AM117" s="92">
        <v>13976</v>
      </c>
      <c r="AN117" s="92">
        <f>25710-AM117</f>
        <v>11734</v>
      </c>
      <c r="AP117" s="34">
        <f t="shared" si="97"/>
        <v>-10826</v>
      </c>
      <c r="AQ117" s="34">
        <f t="shared" si="98"/>
        <v>-21802</v>
      </c>
      <c r="AR117" s="34">
        <f t="shared" si="99"/>
        <v>-24797</v>
      </c>
      <c r="AS117" s="34">
        <f t="shared" si="100"/>
        <v>431</v>
      </c>
      <c r="AT117" s="34">
        <f t="shared" si="101"/>
        <v>3004</v>
      </c>
      <c r="AU117" s="34">
        <f t="shared" si="102"/>
        <v>16489</v>
      </c>
      <c r="AV117" s="34">
        <f t="shared" si="103"/>
        <v>20814</v>
      </c>
      <c r="AW117" s="34">
        <f t="shared" si="104"/>
        <v>-6128</v>
      </c>
      <c r="AX117" s="34">
        <f t="shared" si="105"/>
        <v>-20564</v>
      </c>
      <c r="AY117" s="34">
        <f t="shared" si="106"/>
        <v>-6802</v>
      </c>
      <c r="AZ117" s="34">
        <f t="shared" si="107"/>
        <v>1513</v>
      </c>
      <c r="BA117" s="64"/>
      <c r="BB117" s="83"/>
    </row>
    <row r="118" spans="2:54" ht="12.75" customHeight="1">
      <c r="B118" s="65" t="s">
        <v>547</v>
      </c>
      <c r="C118" s="92">
        <v>3798</v>
      </c>
      <c r="D118" s="92">
        <v>2743</v>
      </c>
      <c r="E118" s="92">
        <v>-1965</v>
      </c>
      <c r="F118" s="92">
        <v>13961</v>
      </c>
      <c r="G118" s="92">
        <v>-7148</v>
      </c>
      <c r="H118" s="92">
        <v>-2492</v>
      </c>
      <c r="I118" s="92">
        <v>4511</v>
      </c>
      <c r="J118" s="34"/>
      <c r="K118" s="92">
        <v>-133</v>
      </c>
      <c r="L118" s="34">
        <f>259-K118</f>
        <v>392</v>
      </c>
      <c r="M118" s="34">
        <f>3573-L118-K118</f>
        <v>3314</v>
      </c>
      <c r="N118" s="34">
        <f t="shared" si="109"/>
        <v>225</v>
      </c>
      <c r="O118" s="92">
        <v>1608</v>
      </c>
      <c r="P118" s="34">
        <f>1028-O118</f>
        <v>-580</v>
      </c>
      <c r="Q118" s="34">
        <f>2768-P118-O118</f>
        <v>1740</v>
      </c>
      <c r="R118" s="34">
        <f t="shared" si="92"/>
        <v>-25</v>
      </c>
      <c r="S118" s="92">
        <v>-2608</v>
      </c>
      <c r="T118" s="92">
        <f>818-S118</f>
        <v>3426</v>
      </c>
      <c r="U118" s="92">
        <f>245-T118-S118</f>
        <v>-573</v>
      </c>
      <c r="V118" s="34">
        <f t="shared" si="88"/>
        <v>-2210</v>
      </c>
      <c r="W118" s="92">
        <v>10689</v>
      </c>
      <c r="X118" s="92">
        <f>10157-W118</f>
        <v>-532</v>
      </c>
      <c r="Y118" s="92">
        <f>18176-X118-W118</f>
        <v>8019</v>
      </c>
      <c r="Z118" s="34">
        <f t="shared" si="110"/>
        <v>-4215</v>
      </c>
      <c r="AA118" s="92">
        <v>8527</v>
      </c>
      <c r="AB118" s="92">
        <f>7949-AA118</f>
        <v>-578</v>
      </c>
      <c r="AC118" s="92">
        <f>-3429-AB118-AA118</f>
        <v>-11378</v>
      </c>
      <c r="AD118" s="34">
        <f t="shared" si="111"/>
        <v>-3719</v>
      </c>
      <c r="AE118" s="92">
        <v>-528</v>
      </c>
      <c r="AF118" s="92">
        <f>-4852-AE118</f>
        <v>-4324</v>
      </c>
      <c r="AG118" s="92">
        <f>-2752-AF118-AE118</f>
        <v>2100</v>
      </c>
      <c r="AH118" s="34">
        <f t="shared" si="95"/>
        <v>260</v>
      </c>
      <c r="AI118" s="92">
        <v>2953</v>
      </c>
      <c r="AJ118" s="92">
        <f>4557-AI118</f>
        <v>1604</v>
      </c>
      <c r="AK118" s="92">
        <f>7135-AJ118-AI118</f>
        <v>2578</v>
      </c>
      <c r="AL118" s="34">
        <f t="shared" si="96"/>
        <v>-2624</v>
      </c>
      <c r="AM118" s="92">
        <v>-1031</v>
      </c>
      <c r="AN118" s="92">
        <f>-3638-AM118</f>
        <v>-2607</v>
      </c>
      <c r="AP118" s="34">
        <f t="shared" si="97"/>
        <v>-7148</v>
      </c>
      <c r="AQ118" s="34">
        <f t="shared" si="98"/>
        <v>-16203</v>
      </c>
      <c r="AR118" s="34">
        <f t="shared" si="99"/>
        <v>-19949</v>
      </c>
      <c r="AS118" s="34">
        <f t="shared" si="100"/>
        <v>-6471</v>
      </c>
      <c r="AT118" s="34">
        <f t="shared" si="101"/>
        <v>-2492</v>
      </c>
      <c r="AU118" s="34">
        <f t="shared" si="102"/>
        <v>989</v>
      </c>
      <c r="AV118" s="34">
        <f t="shared" si="103"/>
        <v>6917</v>
      </c>
      <c r="AW118" s="34">
        <f t="shared" si="104"/>
        <v>7395</v>
      </c>
      <c r="AX118" s="34">
        <f t="shared" si="105"/>
        <v>4511</v>
      </c>
      <c r="AY118" s="34">
        <f t="shared" si="106"/>
        <v>527</v>
      </c>
      <c r="AZ118" s="34">
        <f t="shared" si="107"/>
        <v>-3684</v>
      </c>
      <c r="BA118" s="64"/>
      <c r="BB118" s="83">
        <f>SUM(AZ118/AV118)-1</f>
        <v>-1.5326008385138066</v>
      </c>
    </row>
    <row r="119" spans="2:54" ht="12.75" customHeight="1">
      <c r="B119" s="65" t="s">
        <v>582</v>
      </c>
      <c r="C119" s="92">
        <v>0</v>
      </c>
      <c r="D119" s="92">
        <v>0</v>
      </c>
      <c r="E119" s="92">
        <v>0</v>
      </c>
      <c r="F119" s="92">
        <v>-59188</v>
      </c>
      <c r="G119" s="92">
        <v>-55110</v>
      </c>
      <c r="H119" s="92">
        <v>-4245</v>
      </c>
      <c r="I119" s="92">
        <v>-6502</v>
      </c>
      <c r="J119" s="34"/>
      <c r="K119" s="92">
        <v>0</v>
      </c>
      <c r="L119" s="34">
        <v>0</v>
      </c>
      <c r="M119" s="34">
        <v>0</v>
      </c>
      <c r="N119" s="34">
        <f t="shared" si="109"/>
        <v>0</v>
      </c>
      <c r="O119" s="92">
        <v>0</v>
      </c>
      <c r="P119" s="34">
        <v>0</v>
      </c>
      <c r="Q119" s="34">
        <v>0</v>
      </c>
      <c r="R119" s="34">
        <f t="shared" si="92"/>
        <v>0</v>
      </c>
      <c r="S119" s="92">
        <v>0</v>
      </c>
      <c r="T119" s="92">
        <v>0</v>
      </c>
      <c r="U119" s="92">
        <v>0</v>
      </c>
      <c r="V119" s="34">
        <f t="shared" si="88"/>
        <v>0</v>
      </c>
      <c r="W119" s="92">
        <v>0</v>
      </c>
      <c r="X119" s="92">
        <f>-26578-W119</f>
        <v>-26578</v>
      </c>
      <c r="Y119" s="92">
        <f>-49456-X119-W119</f>
        <v>-22878</v>
      </c>
      <c r="Z119" s="34">
        <f t="shared" si="110"/>
        <v>-9732</v>
      </c>
      <c r="AA119" s="92">
        <v>-36978</v>
      </c>
      <c r="AB119" s="92">
        <f>-43651-AA119</f>
        <v>-6673</v>
      </c>
      <c r="AC119" s="92">
        <f>-49063-AB119-AA119</f>
        <v>-5412</v>
      </c>
      <c r="AD119" s="34">
        <f t="shared" si="111"/>
        <v>-6047</v>
      </c>
      <c r="AE119" s="92">
        <v>-3082</v>
      </c>
      <c r="AF119" s="92">
        <f>-4593-AE119</f>
        <v>-1511</v>
      </c>
      <c r="AG119" s="92">
        <f>-3254-AF119-AE119</f>
        <v>1339</v>
      </c>
      <c r="AH119" s="34">
        <f t="shared" si="95"/>
        <v>-991</v>
      </c>
      <c r="AI119" s="92">
        <v>-1669</v>
      </c>
      <c r="AJ119" s="92">
        <f>-3236-AI119</f>
        <v>-1567</v>
      </c>
      <c r="AK119" s="92">
        <f>-4933-AJ119-AI119</f>
        <v>-1697</v>
      </c>
      <c r="AL119" s="34">
        <f t="shared" si="96"/>
        <v>-1569</v>
      </c>
      <c r="AM119" s="92">
        <v>-1768</v>
      </c>
      <c r="AN119" s="92">
        <f>-3888-AM119</f>
        <v>-2120</v>
      </c>
      <c r="AP119" s="34">
        <f t="shared" ref="AP119:AZ121" si="112">SUM(AA119:AD119)</f>
        <v>-55110</v>
      </c>
      <c r="AQ119" s="34">
        <f t="shared" si="112"/>
        <v>-21214</v>
      </c>
      <c r="AR119" s="34">
        <f t="shared" si="112"/>
        <v>-16052</v>
      </c>
      <c r="AS119" s="34">
        <f t="shared" si="112"/>
        <v>-9301</v>
      </c>
      <c r="AT119" s="34">
        <f t="shared" si="112"/>
        <v>-4245</v>
      </c>
      <c r="AU119" s="34">
        <f t="shared" si="112"/>
        <v>-2832</v>
      </c>
      <c r="AV119" s="34">
        <f t="shared" si="112"/>
        <v>-2888</v>
      </c>
      <c r="AW119" s="34">
        <f t="shared" si="112"/>
        <v>-5924</v>
      </c>
      <c r="AX119" s="34">
        <f t="shared" si="112"/>
        <v>-6502</v>
      </c>
      <c r="AY119" s="34">
        <f t="shared" si="112"/>
        <v>-6601</v>
      </c>
      <c r="AZ119" s="34">
        <f t="shared" si="112"/>
        <v>-7154</v>
      </c>
      <c r="BA119" s="64"/>
      <c r="BB119" s="83">
        <f>SUM(AZ119/AV119)-1</f>
        <v>1.4771468144044322</v>
      </c>
    </row>
    <row r="120" spans="2:54" ht="12.75" customHeight="1">
      <c r="B120" s="65" t="s">
        <v>569</v>
      </c>
      <c r="C120" s="92">
        <v>0</v>
      </c>
      <c r="D120" s="92">
        <v>0</v>
      </c>
      <c r="E120" s="92">
        <v>-2194</v>
      </c>
      <c r="F120" s="92">
        <v>-3474</v>
      </c>
      <c r="G120" s="92">
        <v>-4333</v>
      </c>
      <c r="H120" s="92">
        <v>-3281</v>
      </c>
      <c r="I120" s="92">
        <v>-3235</v>
      </c>
      <c r="J120" s="34"/>
      <c r="K120" s="92">
        <v>0</v>
      </c>
      <c r="L120" s="34">
        <v>0</v>
      </c>
      <c r="M120" s="34">
        <v>0</v>
      </c>
      <c r="N120" s="34">
        <f t="shared" si="109"/>
        <v>0</v>
      </c>
      <c r="O120" s="92">
        <v>0</v>
      </c>
      <c r="P120" s="34">
        <v>0</v>
      </c>
      <c r="Q120" s="34">
        <v>0</v>
      </c>
      <c r="R120" s="34">
        <f t="shared" si="92"/>
        <v>0</v>
      </c>
      <c r="S120" s="92">
        <v>-479</v>
      </c>
      <c r="T120" s="92">
        <f>-1188-S120</f>
        <v>-709</v>
      </c>
      <c r="U120" s="92">
        <f>-1584-T120-S120</f>
        <v>-396</v>
      </c>
      <c r="V120" s="34">
        <f t="shared" si="88"/>
        <v>-610</v>
      </c>
      <c r="W120" s="92">
        <v>-818</v>
      </c>
      <c r="X120" s="92">
        <f>-1619-W120</f>
        <v>-801</v>
      </c>
      <c r="Y120" s="92">
        <f>-2332-X120-W120</f>
        <v>-713</v>
      </c>
      <c r="Z120" s="34">
        <f t="shared" si="110"/>
        <v>-1142</v>
      </c>
      <c r="AA120" s="92">
        <v>-1113</v>
      </c>
      <c r="AB120" s="92">
        <f>-2059-AA120</f>
        <v>-946</v>
      </c>
      <c r="AC120" s="92">
        <f>-3177-AB120-AA120</f>
        <v>-1118</v>
      </c>
      <c r="AD120" s="34">
        <f t="shared" si="111"/>
        <v>-1156</v>
      </c>
      <c r="AE120" s="92">
        <v>-678</v>
      </c>
      <c r="AF120" s="92">
        <f>-2556-AE120</f>
        <v>-1878</v>
      </c>
      <c r="AG120" s="92">
        <f>-3244-AF120-AE120</f>
        <v>-688</v>
      </c>
      <c r="AH120" s="34">
        <f t="shared" si="95"/>
        <v>-37</v>
      </c>
      <c r="AI120" s="92">
        <v>-822</v>
      </c>
      <c r="AJ120" s="92">
        <f>-1626-AI120</f>
        <v>-804</v>
      </c>
      <c r="AK120" s="92">
        <f>-2412-AJ120-AI120</f>
        <v>-786</v>
      </c>
      <c r="AL120" s="34">
        <f t="shared" si="96"/>
        <v>-823</v>
      </c>
      <c r="AM120" s="92">
        <v>-927</v>
      </c>
      <c r="AN120" s="92">
        <f>-2156-AM120</f>
        <v>-1229</v>
      </c>
      <c r="AP120" s="34">
        <f t="shared" si="112"/>
        <v>-4333</v>
      </c>
      <c r="AQ120" s="34">
        <f t="shared" si="112"/>
        <v>-3898</v>
      </c>
      <c r="AR120" s="34">
        <f t="shared" si="112"/>
        <v>-4830</v>
      </c>
      <c r="AS120" s="34">
        <f t="shared" si="112"/>
        <v>-4400</v>
      </c>
      <c r="AT120" s="34">
        <f t="shared" si="112"/>
        <v>-3281</v>
      </c>
      <c r="AU120" s="34">
        <f t="shared" si="112"/>
        <v>-3425</v>
      </c>
      <c r="AV120" s="34">
        <f t="shared" si="112"/>
        <v>-2351</v>
      </c>
      <c r="AW120" s="34">
        <f t="shared" si="112"/>
        <v>-2449</v>
      </c>
      <c r="AX120" s="34">
        <f t="shared" si="112"/>
        <v>-3235</v>
      </c>
      <c r="AY120" s="34">
        <f t="shared" si="112"/>
        <v>-3340</v>
      </c>
      <c r="AZ120" s="34">
        <f t="shared" si="112"/>
        <v>-3765</v>
      </c>
      <c r="BA120" s="64"/>
      <c r="BB120" s="83">
        <f>SUM(AZ120/AV120)-1</f>
        <v>0.60144619310931513</v>
      </c>
    </row>
    <row r="121" spans="2:54" ht="12.75" customHeight="1">
      <c r="B121" s="65" t="s">
        <v>563</v>
      </c>
      <c r="C121" s="92">
        <v>278</v>
      </c>
      <c r="D121" s="92">
        <v>21</v>
      </c>
      <c r="E121" s="92">
        <v>0</v>
      </c>
      <c r="F121" s="92">
        <v>0</v>
      </c>
      <c r="G121" s="92">
        <v>0</v>
      </c>
      <c r="H121" s="92">
        <v>0</v>
      </c>
      <c r="I121" s="92">
        <v>0</v>
      </c>
      <c r="J121" s="34"/>
      <c r="K121" s="92">
        <v>40</v>
      </c>
      <c r="L121" s="34">
        <f>39-K121</f>
        <v>-1</v>
      </c>
      <c r="M121" s="34">
        <f>39-L121-K121</f>
        <v>0</v>
      </c>
      <c r="N121" s="34">
        <f t="shared" si="109"/>
        <v>239</v>
      </c>
      <c r="O121" s="92">
        <v>4</v>
      </c>
      <c r="P121" s="34">
        <f>12-O121</f>
        <v>8</v>
      </c>
      <c r="Q121" s="34">
        <f>11-P121-O121</f>
        <v>-1</v>
      </c>
      <c r="R121" s="34">
        <f t="shared" si="92"/>
        <v>10</v>
      </c>
      <c r="S121" s="92">
        <v>0</v>
      </c>
      <c r="T121" s="92">
        <v>0</v>
      </c>
      <c r="U121" s="92">
        <v>0</v>
      </c>
      <c r="V121" s="34">
        <f t="shared" si="88"/>
        <v>0</v>
      </c>
      <c r="W121" s="92">
        <v>0</v>
      </c>
      <c r="X121" s="92">
        <v>0</v>
      </c>
      <c r="Y121" s="92">
        <v>0</v>
      </c>
      <c r="Z121" s="34">
        <f t="shared" si="110"/>
        <v>0</v>
      </c>
      <c r="AA121" s="92">
        <v>0</v>
      </c>
      <c r="AB121" s="92">
        <v>0</v>
      </c>
      <c r="AC121" s="92">
        <f>3022-AB121-AA121</f>
        <v>3022</v>
      </c>
      <c r="AD121" s="34">
        <f t="shared" si="111"/>
        <v>-3022</v>
      </c>
      <c r="AE121" s="92">
        <v>0</v>
      </c>
      <c r="AF121" s="92">
        <v>0</v>
      </c>
      <c r="AG121" s="92">
        <v>0</v>
      </c>
      <c r="AH121" s="34">
        <f t="shared" si="95"/>
        <v>0</v>
      </c>
      <c r="AI121" s="92">
        <v>0</v>
      </c>
      <c r="AJ121" s="92">
        <v>0</v>
      </c>
      <c r="AK121" s="92">
        <v>0</v>
      </c>
      <c r="AL121" s="34">
        <f t="shared" si="96"/>
        <v>0</v>
      </c>
      <c r="AM121" s="92">
        <v>0</v>
      </c>
      <c r="AN121" s="92">
        <v>0</v>
      </c>
      <c r="AP121" s="34">
        <f t="shared" si="112"/>
        <v>0</v>
      </c>
      <c r="AQ121" s="34">
        <f t="shared" si="112"/>
        <v>0</v>
      </c>
      <c r="AR121" s="34">
        <f t="shared" si="112"/>
        <v>0</v>
      </c>
      <c r="AS121" s="34">
        <f t="shared" si="112"/>
        <v>-3022</v>
      </c>
      <c r="AT121" s="34">
        <f t="shared" si="112"/>
        <v>0</v>
      </c>
      <c r="AU121" s="34">
        <f t="shared" si="112"/>
        <v>0</v>
      </c>
      <c r="AV121" s="34">
        <f t="shared" si="112"/>
        <v>0</v>
      </c>
      <c r="AW121" s="34">
        <f t="shared" si="112"/>
        <v>0</v>
      </c>
      <c r="AX121" s="34">
        <f t="shared" si="112"/>
        <v>0</v>
      </c>
      <c r="AY121" s="34">
        <f t="shared" si="112"/>
        <v>0</v>
      </c>
      <c r="AZ121" s="34">
        <f t="shared" si="112"/>
        <v>0</v>
      </c>
      <c r="BA121" s="64"/>
      <c r="BB121" s="83" t="e">
        <f>SUM(AZ121/AV121)-1</f>
        <v>#DIV/0!</v>
      </c>
    </row>
    <row r="122" spans="2:54" ht="12.75" customHeight="1">
      <c r="B122" s="14" t="s">
        <v>87</v>
      </c>
      <c r="C122" s="36">
        <f t="shared" ref="C122:I122" si="113">SUM(C97:C121)</f>
        <v>-37721</v>
      </c>
      <c r="D122" s="36">
        <f t="shared" si="113"/>
        <v>-46995</v>
      </c>
      <c r="E122" s="36">
        <f t="shared" si="113"/>
        <v>-39995</v>
      </c>
      <c r="F122" s="15">
        <f t="shared" si="113"/>
        <v>-301370</v>
      </c>
      <c r="G122" s="15">
        <f t="shared" si="113"/>
        <v>-320244</v>
      </c>
      <c r="H122" s="15">
        <f t="shared" si="113"/>
        <v>-107825</v>
      </c>
      <c r="I122" s="15">
        <f t="shared" si="113"/>
        <v>-98813</v>
      </c>
      <c r="K122" s="15">
        <f t="shared" ref="K122:AN122" si="114">SUM(K97:K121)</f>
        <v>-4888</v>
      </c>
      <c r="L122" s="15">
        <f t="shared" si="114"/>
        <v>-7779</v>
      </c>
      <c r="M122" s="15">
        <f t="shared" si="114"/>
        <v>-11710</v>
      </c>
      <c r="N122" s="15">
        <f t="shared" si="114"/>
        <v>-13344</v>
      </c>
      <c r="O122" s="36">
        <f t="shared" si="114"/>
        <v>-13280</v>
      </c>
      <c r="P122" s="15">
        <f t="shared" si="114"/>
        <v>-9086</v>
      </c>
      <c r="Q122" s="15">
        <f t="shared" si="114"/>
        <v>4027</v>
      </c>
      <c r="R122" s="15">
        <f t="shared" si="114"/>
        <v>-28656</v>
      </c>
      <c r="S122" s="15">
        <f t="shared" si="114"/>
        <v>-17202</v>
      </c>
      <c r="T122" s="15">
        <f t="shared" si="114"/>
        <v>-27133</v>
      </c>
      <c r="U122" s="15">
        <f t="shared" si="114"/>
        <v>1598</v>
      </c>
      <c r="V122" s="15">
        <f t="shared" si="114"/>
        <v>2742</v>
      </c>
      <c r="W122" s="15">
        <f t="shared" si="114"/>
        <v>-30657</v>
      </c>
      <c r="X122" s="15">
        <f t="shared" si="114"/>
        <v>-89788</v>
      </c>
      <c r="Y122" s="15">
        <f t="shared" si="114"/>
        <v>-70602</v>
      </c>
      <c r="Z122" s="15">
        <f t="shared" si="114"/>
        <v>-110323</v>
      </c>
      <c r="AA122" s="15">
        <f t="shared" si="114"/>
        <v>-165210</v>
      </c>
      <c r="AB122" s="15">
        <f t="shared" si="114"/>
        <v>-70480</v>
      </c>
      <c r="AC122" s="15">
        <f t="shared" si="114"/>
        <v>-34657</v>
      </c>
      <c r="AD122" s="15">
        <f t="shared" si="114"/>
        <v>-49897</v>
      </c>
      <c r="AE122" s="15">
        <f t="shared" si="114"/>
        <v>-42177</v>
      </c>
      <c r="AF122" s="15">
        <f t="shared" si="114"/>
        <v>-46159</v>
      </c>
      <c r="AG122" s="15">
        <f t="shared" si="114"/>
        <v>9054</v>
      </c>
      <c r="AH122" s="15">
        <f t="shared" si="114"/>
        <v>-28543</v>
      </c>
      <c r="AI122" s="15">
        <f t="shared" si="114"/>
        <v>-31805</v>
      </c>
      <c r="AJ122" s="15">
        <f t="shared" si="114"/>
        <v>-16009</v>
      </c>
      <c r="AK122" s="15">
        <f t="shared" si="114"/>
        <v>-22047</v>
      </c>
      <c r="AL122" s="15">
        <f t="shared" si="114"/>
        <v>-28952</v>
      </c>
      <c r="AM122" s="15">
        <f t="shared" si="114"/>
        <v>-26135</v>
      </c>
      <c r="AN122" s="15">
        <f t="shared" si="114"/>
        <v>-33209</v>
      </c>
      <c r="AP122" s="15">
        <f t="shared" ref="AP122:AZ122" si="115">SUM(AP97:AP121)</f>
        <v>-320244</v>
      </c>
      <c r="AQ122" s="15">
        <f t="shared" si="115"/>
        <v>-197211</v>
      </c>
      <c r="AR122" s="15">
        <f t="shared" si="115"/>
        <v>-172890</v>
      </c>
      <c r="AS122" s="15">
        <f t="shared" si="115"/>
        <v>-129179</v>
      </c>
      <c r="AT122" s="15">
        <f t="shared" si="115"/>
        <v>-107825</v>
      </c>
      <c r="AU122" s="15">
        <f t="shared" si="115"/>
        <v>-97453</v>
      </c>
      <c r="AV122" s="15">
        <f t="shared" si="115"/>
        <v>-67535</v>
      </c>
      <c r="AW122" s="15">
        <f t="shared" si="115"/>
        <v>-98636</v>
      </c>
      <c r="AX122" s="15">
        <f t="shared" si="115"/>
        <v>-98813</v>
      </c>
      <c r="AY122" s="15">
        <f t="shared" si="115"/>
        <v>-93143</v>
      </c>
      <c r="AZ122" s="15">
        <f t="shared" si="115"/>
        <v>-110111</v>
      </c>
      <c r="BA122" s="45"/>
      <c r="BB122" s="84">
        <f>SUM(AZ122/AV122)-1</f>
        <v>0.63042866661730956</v>
      </c>
    </row>
    <row r="123" spans="2:54" ht="12.75" customHeight="1">
      <c r="B123" s="58"/>
      <c r="C123" s="66"/>
      <c r="D123" s="66"/>
      <c r="E123" s="66"/>
      <c r="F123" s="66"/>
      <c r="G123" s="66"/>
      <c r="H123" s="66"/>
      <c r="I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P123" s="45"/>
      <c r="AQ123" s="45"/>
      <c r="AR123" s="45"/>
      <c r="AS123" s="45"/>
      <c r="AT123" s="45"/>
      <c r="AU123" s="45"/>
      <c r="AV123" s="45"/>
      <c r="AW123" s="45"/>
      <c r="AX123" s="45"/>
      <c r="AY123" s="45"/>
      <c r="AZ123" s="45"/>
      <c r="BA123" s="45"/>
      <c r="BB123" s="42"/>
    </row>
    <row r="124" spans="2:54" ht="12.75" customHeight="1">
      <c r="B124" s="58" t="s">
        <v>88</v>
      </c>
      <c r="C124" s="64"/>
      <c r="D124" s="64"/>
      <c r="E124" s="63"/>
      <c r="F124" s="63"/>
      <c r="G124" s="63"/>
      <c r="H124" s="63"/>
      <c r="I124" s="63"/>
      <c r="K124" s="63"/>
      <c r="L124" s="63"/>
      <c r="M124" s="63"/>
      <c r="N124" s="34"/>
      <c r="O124" s="92"/>
      <c r="P124" s="92"/>
      <c r="Q124" s="92"/>
      <c r="R124" s="34"/>
      <c r="S124" s="92"/>
      <c r="T124" s="92"/>
      <c r="U124" s="92"/>
      <c r="V124" s="34"/>
      <c r="W124" s="92"/>
      <c r="X124" s="92"/>
      <c r="Y124" s="92"/>
      <c r="Z124" s="34"/>
      <c r="AA124" s="92"/>
      <c r="AB124" s="92"/>
      <c r="AC124" s="92"/>
      <c r="AD124" s="34"/>
      <c r="AE124" s="92"/>
      <c r="AF124" s="92"/>
      <c r="AG124" s="92"/>
      <c r="AH124" s="34"/>
      <c r="AI124" s="92"/>
      <c r="AJ124" s="92"/>
      <c r="AK124" s="92"/>
      <c r="AL124" s="34"/>
      <c r="AM124" s="63"/>
      <c r="AN124" s="63"/>
      <c r="AP124" s="63"/>
      <c r="AQ124" s="63"/>
      <c r="AR124" s="63"/>
      <c r="AS124" s="63"/>
      <c r="AT124" s="63"/>
      <c r="AU124" s="63"/>
      <c r="AV124" s="63"/>
      <c r="AW124" s="63"/>
      <c r="AX124" s="63"/>
      <c r="AY124" s="63"/>
      <c r="AZ124" s="63"/>
      <c r="BA124" s="64"/>
      <c r="BB124" s="42"/>
    </row>
    <row r="125" spans="2:54" ht="12.75" customHeight="1">
      <c r="B125" s="65" t="s">
        <v>570</v>
      </c>
      <c r="C125" s="92">
        <v>-22228</v>
      </c>
      <c r="D125" s="92">
        <v>-23795</v>
      </c>
      <c r="E125" s="92">
        <v>-57696</v>
      </c>
      <c r="F125" s="92">
        <v>-135961</v>
      </c>
      <c r="G125" s="92">
        <v>-70475</v>
      </c>
      <c r="H125" s="92">
        <v>-10564</v>
      </c>
      <c r="I125" s="92">
        <v>-11015</v>
      </c>
      <c r="J125" s="34"/>
      <c r="K125" s="92">
        <v>-3719</v>
      </c>
      <c r="L125" s="34">
        <f>-9973-K125</f>
        <v>-6254</v>
      </c>
      <c r="M125" s="34">
        <f>-18250-L125-K125</f>
        <v>-8277</v>
      </c>
      <c r="N125" s="34">
        <f t="shared" ref="N125:N133" si="116">SUM(C125-SUM(K125:M125))</f>
        <v>-3978</v>
      </c>
      <c r="O125" s="92">
        <v>-3795</v>
      </c>
      <c r="P125" s="34">
        <f>-7502-O125</f>
        <v>-3707</v>
      </c>
      <c r="Q125" s="34">
        <f>-9515-P125-O125</f>
        <v>-2013</v>
      </c>
      <c r="R125" s="34">
        <f t="shared" ref="R125:R133" si="117">SUM(D125-SUM(O125:Q125))</f>
        <v>-14280</v>
      </c>
      <c r="S125" s="92">
        <v>-12398</v>
      </c>
      <c r="T125" s="92">
        <f>-26031-S125</f>
        <v>-13633</v>
      </c>
      <c r="U125" s="92">
        <f>-38048-T125-S125</f>
        <v>-12017</v>
      </c>
      <c r="V125" s="34">
        <f t="shared" ref="V125:V133" si="118">SUM(E125-SUM(S125:U125))</f>
        <v>-19648</v>
      </c>
      <c r="W125" s="92">
        <v>-23363</v>
      </c>
      <c r="X125" s="92">
        <f>-51420-W125</f>
        <v>-28057</v>
      </c>
      <c r="Y125" s="92">
        <f>-104301-X125-W125</f>
        <v>-52881</v>
      </c>
      <c r="Z125" s="34">
        <f t="shared" ref="Z125:Z133" si="119">SUM(F125-SUM(W125:Y125))</f>
        <v>-31660</v>
      </c>
      <c r="AA125" s="92">
        <v>-21548</v>
      </c>
      <c r="AB125" s="92">
        <f>-41965-AA125</f>
        <v>-20417</v>
      </c>
      <c r="AC125" s="92">
        <f>-59952-AB125-AA125</f>
        <v>-17987</v>
      </c>
      <c r="AD125" s="34">
        <f t="shared" ref="AD125:AD133" si="120">SUM(G125-SUM(AA125:AC125))</f>
        <v>-10523</v>
      </c>
      <c r="AE125" s="92">
        <v>-5302</v>
      </c>
      <c r="AF125" s="92">
        <f>-7139-AE125</f>
        <v>-1837</v>
      </c>
      <c r="AG125" s="92">
        <f>-8567-AF125-AE125</f>
        <v>-1428</v>
      </c>
      <c r="AH125" s="34">
        <f t="shared" ref="AH125:AH133" si="121">SUM(H125-SUM(AE125:AG125))</f>
        <v>-1997</v>
      </c>
      <c r="AI125" s="92">
        <v>-1197</v>
      </c>
      <c r="AJ125" s="92">
        <f>-2520-AI125</f>
        <v>-1323</v>
      </c>
      <c r="AK125" s="92">
        <f>-4540-AJ125-AI125</f>
        <v>-2020</v>
      </c>
      <c r="AL125" s="34">
        <f t="shared" ref="AL125:AL133" si="122">SUM(I125-SUM(AI125:AK125))</f>
        <v>-6475</v>
      </c>
      <c r="AM125" s="92">
        <v>-4485</v>
      </c>
      <c r="AN125" s="92">
        <f>-6423-AM125</f>
        <v>-1938</v>
      </c>
      <c r="AO125" s="34"/>
      <c r="AP125" s="34">
        <f t="shared" ref="AP125:AP133" si="123">SUM(AA125:AD125)</f>
        <v>-70475</v>
      </c>
      <c r="AQ125" s="34">
        <f t="shared" ref="AQ125:AQ133" si="124">SUM(AB125:AE125)</f>
        <v>-54229</v>
      </c>
      <c r="AR125" s="34">
        <f t="shared" ref="AR125:AR133" si="125">SUM(AC125:AF125)</f>
        <v>-35649</v>
      </c>
      <c r="AS125" s="34">
        <f t="shared" ref="AS125:AS133" si="126">SUM(AD125:AG125)</f>
        <v>-19090</v>
      </c>
      <c r="AT125" s="34">
        <f t="shared" ref="AT125:AT133" si="127">SUM(AE125:AH125)</f>
        <v>-10564</v>
      </c>
      <c r="AU125" s="34">
        <f t="shared" ref="AU125:AU133" si="128">SUM(AF125:AI125)</f>
        <v>-6459</v>
      </c>
      <c r="AV125" s="34">
        <f t="shared" ref="AV125:AV133" si="129">SUM(AG125:AJ125)</f>
        <v>-5945</v>
      </c>
      <c r="AW125" s="34">
        <f t="shared" ref="AW125:AW133" si="130">SUM(AH125:AK125)</f>
        <v>-6537</v>
      </c>
      <c r="AX125" s="34">
        <f t="shared" ref="AX125:AX133" si="131">SUM(AI125:AL125)</f>
        <v>-11015</v>
      </c>
      <c r="AY125" s="34">
        <f t="shared" ref="AY125:AY133" si="132">SUM(AJ125:AM125)</f>
        <v>-14303</v>
      </c>
      <c r="AZ125" s="34">
        <f t="shared" ref="AZ125:AZ133" si="133">SUM(AK125:AN125)</f>
        <v>-14918</v>
      </c>
      <c r="BA125" s="64"/>
      <c r="BB125" s="83"/>
    </row>
    <row r="126" spans="2:54" ht="12.75" customHeight="1">
      <c r="B126" s="65" t="s">
        <v>573</v>
      </c>
      <c r="C126" s="92">
        <v>67</v>
      </c>
      <c r="D126" s="92">
        <v>299</v>
      </c>
      <c r="E126" s="92">
        <v>599</v>
      </c>
      <c r="F126" s="92">
        <v>0</v>
      </c>
      <c r="G126" s="92">
        <v>0</v>
      </c>
      <c r="H126" s="92">
        <v>4323</v>
      </c>
      <c r="I126" s="92">
        <v>4348</v>
      </c>
      <c r="J126" s="34"/>
      <c r="K126" s="92">
        <v>0</v>
      </c>
      <c r="L126" s="34">
        <v>0</v>
      </c>
      <c r="M126" s="34">
        <f>104-L126-K126</f>
        <v>104</v>
      </c>
      <c r="N126" s="34">
        <f t="shared" si="116"/>
        <v>-37</v>
      </c>
      <c r="O126" s="92">
        <v>132</v>
      </c>
      <c r="P126" s="34">
        <f>232-O126</f>
        <v>100</v>
      </c>
      <c r="Q126" s="34">
        <f>307-P126-O126</f>
        <v>75</v>
      </c>
      <c r="R126" s="34">
        <f t="shared" si="117"/>
        <v>-8</v>
      </c>
      <c r="S126" s="92">
        <v>0</v>
      </c>
      <c r="T126" s="92">
        <v>0</v>
      </c>
      <c r="U126" s="92">
        <v>0</v>
      </c>
      <c r="V126" s="34">
        <f t="shared" si="118"/>
        <v>599</v>
      </c>
      <c r="W126" s="92">
        <v>0</v>
      </c>
      <c r="X126" s="92">
        <v>0</v>
      </c>
      <c r="Y126" s="92">
        <v>0</v>
      </c>
      <c r="Z126" s="34">
        <f t="shared" si="119"/>
        <v>0</v>
      </c>
      <c r="AA126" s="92">
        <v>0</v>
      </c>
      <c r="AB126" s="92">
        <v>0</v>
      </c>
      <c r="AC126" s="92">
        <v>0</v>
      </c>
      <c r="AD126" s="34">
        <f t="shared" si="120"/>
        <v>0</v>
      </c>
      <c r="AE126" s="92">
        <v>2250</v>
      </c>
      <c r="AF126" s="92">
        <f>2316-AE126</f>
        <v>66</v>
      </c>
      <c r="AG126" s="92">
        <f>2477-AF126-AE126</f>
        <v>161</v>
      </c>
      <c r="AH126" s="34">
        <f t="shared" si="121"/>
        <v>1846</v>
      </c>
      <c r="AI126" s="92">
        <v>429</v>
      </c>
      <c r="AJ126" s="92">
        <f>3157-AI126</f>
        <v>2728</v>
      </c>
      <c r="AK126" s="92">
        <f>4093-AJ126-AI126</f>
        <v>936</v>
      </c>
      <c r="AL126" s="34">
        <f t="shared" si="122"/>
        <v>255</v>
      </c>
      <c r="AM126" s="92">
        <v>348</v>
      </c>
      <c r="AN126" s="92">
        <f>348-AM126</f>
        <v>0</v>
      </c>
      <c r="AO126" s="34"/>
      <c r="AP126" s="34">
        <f t="shared" si="123"/>
        <v>0</v>
      </c>
      <c r="AQ126" s="34">
        <f t="shared" si="124"/>
        <v>2250</v>
      </c>
      <c r="AR126" s="34">
        <f t="shared" si="125"/>
        <v>2316</v>
      </c>
      <c r="AS126" s="34">
        <f t="shared" si="126"/>
        <v>2477</v>
      </c>
      <c r="AT126" s="34">
        <f t="shared" si="127"/>
        <v>4323</v>
      </c>
      <c r="AU126" s="34">
        <f t="shared" si="128"/>
        <v>2502</v>
      </c>
      <c r="AV126" s="34">
        <f t="shared" si="129"/>
        <v>5164</v>
      </c>
      <c r="AW126" s="34">
        <f t="shared" si="130"/>
        <v>5939</v>
      </c>
      <c r="AX126" s="34">
        <f t="shared" si="131"/>
        <v>4348</v>
      </c>
      <c r="AY126" s="34">
        <f t="shared" si="132"/>
        <v>4267</v>
      </c>
      <c r="AZ126" s="34">
        <f t="shared" si="133"/>
        <v>1539</v>
      </c>
      <c r="BA126" s="64"/>
      <c r="BB126" s="83"/>
    </row>
    <row r="127" spans="2:54" ht="12.75" customHeight="1">
      <c r="B127" s="65" t="s">
        <v>572</v>
      </c>
      <c r="C127" s="92">
        <v>-1022</v>
      </c>
      <c r="D127" s="92">
        <v>-2123</v>
      </c>
      <c r="E127" s="92">
        <v>-2288</v>
      </c>
      <c r="F127" s="92">
        <v>0</v>
      </c>
      <c r="G127" s="92">
        <v>-2821</v>
      </c>
      <c r="H127" s="92">
        <v>0</v>
      </c>
      <c r="I127" s="92">
        <v>0</v>
      </c>
      <c r="J127" s="34"/>
      <c r="K127" s="92">
        <v>0</v>
      </c>
      <c r="L127" s="34">
        <v>0</v>
      </c>
      <c r="M127" s="34">
        <v>0</v>
      </c>
      <c r="N127" s="34">
        <f t="shared" si="116"/>
        <v>-1022</v>
      </c>
      <c r="O127" s="92">
        <v>-829</v>
      </c>
      <c r="P127" s="34">
        <f>-3121-O127</f>
        <v>-2292</v>
      </c>
      <c r="Q127" s="34">
        <f>-7403-P127-O127</f>
        <v>-4282</v>
      </c>
      <c r="R127" s="34">
        <f t="shared" si="117"/>
        <v>5280</v>
      </c>
      <c r="S127" s="92">
        <v>-964</v>
      </c>
      <c r="T127" s="92">
        <f>-2288-S127</f>
        <v>-1324</v>
      </c>
      <c r="U127" s="92">
        <f>-2288-T127-S127</f>
        <v>0</v>
      </c>
      <c r="V127" s="34">
        <f t="shared" si="118"/>
        <v>0</v>
      </c>
      <c r="W127" s="92">
        <v>0</v>
      </c>
      <c r="X127" s="92">
        <v>0</v>
      </c>
      <c r="Y127" s="92">
        <v>0</v>
      </c>
      <c r="Z127" s="34">
        <f t="shared" si="119"/>
        <v>0</v>
      </c>
      <c r="AA127" s="92">
        <v>0</v>
      </c>
      <c r="AB127" s="92">
        <v>0</v>
      </c>
      <c r="AC127" s="92">
        <v>0</v>
      </c>
      <c r="AD127" s="34">
        <f t="shared" si="120"/>
        <v>-2821</v>
      </c>
      <c r="AE127" s="92">
        <v>0</v>
      </c>
      <c r="AF127" s="92">
        <v>0</v>
      </c>
      <c r="AG127" s="92">
        <v>0</v>
      </c>
      <c r="AH127" s="34">
        <f t="shared" si="121"/>
        <v>0</v>
      </c>
      <c r="AI127" s="92">
        <v>0</v>
      </c>
      <c r="AJ127" s="92">
        <v>0</v>
      </c>
      <c r="AK127" s="92">
        <v>0</v>
      </c>
      <c r="AL127" s="34">
        <f t="shared" si="122"/>
        <v>0</v>
      </c>
      <c r="AM127" s="92">
        <v>0</v>
      </c>
      <c r="AN127" s="92">
        <v>0</v>
      </c>
      <c r="AO127" s="34"/>
      <c r="AP127" s="34">
        <f t="shared" si="123"/>
        <v>-2821</v>
      </c>
      <c r="AQ127" s="34">
        <f t="shared" si="124"/>
        <v>-2821</v>
      </c>
      <c r="AR127" s="34">
        <f t="shared" si="125"/>
        <v>-2821</v>
      </c>
      <c r="AS127" s="34">
        <f t="shared" si="126"/>
        <v>-2821</v>
      </c>
      <c r="AT127" s="34">
        <f t="shared" si="127"/>
        <v>0</v>
      </c>
      <c r="AU127" s="34">
        <f t="shared" si="128"/>
        <v>0</v>
      </c>
      <c r="AV127" s="34">
        <f t="shared" si="129"/>
        <v>0</v>
      </c>
      <c r="AW127" s="34">
        <f t="shared" si="130"/>
        <v>0</v>
      </c>
      <c r="AX127" s="34">
        <f t="shared" si="131"/>
        <v>0</v>
      </c>
      <c r="AY127" s="34">
        <f t="shared" si="132"/>
        <v>0</v>
      </c>
      <c r="AZ127" s="34">
        <f t="shared" si="133"/>
        <v>0</v>
      </c>
      <c r="BA127" s="64"/>
      <c r="BB127" s="83"/>
    </row>
    <row r="128" spans="2:54" ht="12.75" customHeight="1">
      <c r="B128" s="65" t="s">
        <v>575</v>
      </c>
      <c r="C128" s="92">
        <v>-59</v>
      </c>
      <c r="D128" s="92">
        <v>-545</v>
      </c>
      <c r="E128" s="92">
        <v>-33</v>
      </c>
      <c r="F128" s="92">
        <v>-518</v>
      </c>
      <c r="G128" s="92">
        <v>0</v>
      </c>
      <c r="H128" s="92">
        <v>0</v>
      </c>
      <c r="I128" s="92">
        <v>0</v>
      </c>
      <c r="J128" s="34"/>
      <c r="K128" s="92">
        <v>-13</v>
      </c>
      <c r="L128" s="34">
        <f>-60-K128</f>
        <v>-47</v>
      </c>
      <c r="M128" s="34">
        <f>-59-L128-K128</f>
        <v>1</v>
      </c>
      <c r="N128" s="34">
        <f t="shared" si="116"/>
        <v>0</v>
      </c>
      <c r="O128" s="92">
        <v>-501</v>
      </c>
      <c r="P128" s="34">
        <f>-487-O128</f>
        <v>14</v>
      </c>
      <c r="Q128" s="34">
        <f>-542-P128-O128</f>
        <v>-55</v>
      </c>
      <c r="R128" s="34">
        <f t="shared" si="117"/>
        <v>-3</v>
      </c>
      <c r="S128" s="92">
        <v>0</v>
      </c>
      <c r="T128" s="92">
        <v>0</v>
      </c>
      <c r="U128" s="92">
        <v>0</v>
      </c>
      <c r="V128" s="34">
        <f t="shared" si="118"/>
        <v>-33</v>
      </c>
      <c r="W128" s="92">
        <v>-18</v>
      </c>
      <c r="X128" s="92">
        <f>-145-W128</f>
        <v>-127</v>
      </c>
      <c r="Y128" s="92">
        <f>-132-X128-W128</f>
        <v>13</v>
      </c>
      <c r="Z128" s="34">
        <f t="shared" si="119"/>
        <v>-386</v>
      </c>
      <c r="AA128" s="92">
        <v>49</v>
      </c>
      <c r="AB128" s="92">
        <f>-23-AA128</f>
        <v>-72</v>
      </c>
      <c r="AC128" s="92">
        <f>-752-AB128-AA128</f>
        <v>-729</v>
      </c>
      <c r="AD128" s="34">
        <f t="shared" si="120"/>
        <v>752</v>
      </c>
      <c r="AE128" s="92">
        <v>0</v>
      </c>
      <c r="AF128" s="92">
        <v>0</v>
      </c>
      <c r="AG128" s="92">
        <v>0</v>
      </c>
      <c r="AH128" s="34">
        <f t="shared" si="121"/>
        <v>0</v>
      </c>
      <c r="AI128" s="92">
        <v>0</v>
      </c>
      <c r="AJ128" s="92">
        <v>0</v>
      </c>
      <c r="AK128" s="92">
        <v>0</v>
      </c>
      <c r="AL128" s="34">
        <f t="shared" si="122"/>
        <v>0</v>
      </c>
      <c r="AM128" s="92">
        <v>0</v>
      </c>
      <c r="AN128" s="92">
        <v>0</v>
      </c>
      <c r="AO128" s="34"/>
      <c r="AP128" s="34">
        <f t="shared" si="123"/>
        <v>0</v>
      </c>
      <c r="AQ128" s="34">
        <f t="shared" si="124"/>
        <v>-49</v>
      </c>
      <c r="AR128" s="34">
        <f t="shared" si="125"/>
        <v>23</v>
      </c>
      <c r="AS128" s="34">
        <f t="shared" si="126"/>
        <v>752</v>
      </c>
      <c r="AT128" s="34">
        <f t="shared" si="127"/>
        <v>0</v>
      </c>
      <c r="AU128" s="34">
        <f t="shared" si="128"/>
        <v>0</v>
      </c>
      <c r="AV128" s="34">
        <f t="shared" si="129"/>
        <v>0</v>
      </c>
      <c r="AW128" s="34">
        <f t="shared" si="130"/>
        <v>0</v>
      </c>
      <c r="AX128" s="34">
        <f t="shared" si="131"/>
        <v>0</v>
      </c>
      <c r="AY128" s="34">
        <f t="shared" si="132"/>
        <v>0</v>
      </c>
      <c r="AZ128" s="34">
        <f t="shared" si="133"/>
        <v>0</v>
      </c>
      <c r="BA128" s="64"/>
      <c r="BB128" s="83"/>
    </row>
    <row r="129" spans="2:54" ht="12.75" customHeight="1">
      <c r="B129" s="65" t="s">
        <v>583</v>
      </c>
      <c r="C129" s="92"/>
      <c r="D129" s="92"/>
      <c r="E129" s="92"/>
      <c r="F129" s="92"/>
      <c r="G129" s="92">
        <v>0</v>
      </c>
      <c r="H129" s="92">
        <v>0</v>
      </c>
      <c r="I129" s="92">
        <v>0</v>
      </c>
      <c r="J129" s="34"/>
      <c r="K129" s="92"/>
      <c r="L129" s="34"/>
      <c r="M129" s="34"/>
      <c r="N129" s="34"/>
      <c r="O129" s="92"/>
      <c r="P129" s="34"/>
      <c r="Q129" s="34"/>
      <c r="R129" s="34"/>
      <c r="S129" s="92"/>
      <c r="T129" s="92"/>
      <c r="U129" s="92"/>
      <c r="V129" s="34"/>
      <c r="W129" s="92"/>
      <c r="X129" s="92"/>
      <c r="Y129" s="92"/>
      <c r="Z129" s="34"/>
      <c r="AA129" s="92"/>
      <c r="AB129" s="92"/>
      <c r="AC129" s="92"/>
      <c r="AD129" s="34"/>
      <c r="AE129" s="92">
        <v>0</v>
      </c>
      <c r="AF129" s="92">
        <v>0</v>
      </c>
      <c r="AG129" s="92">
        <v>0</v>
      </c>
      <c r="AH129" s="34">
        <f t="shared" si="121"/>
        <v>0</v>
      </c>
      <c r="AI129" s="92">
        <v>466</v>
      </c>
      <c r="AJ129" s="92">
        <f>532-AI129</f>
        <v>66</v>
      </c>
      <c r="AK129" s="92">
        <f>437-AJ129-AI129</f>
        <v>-95</v>
      </c>
      <c r="AL129" s="34">
        <f t="shared" si="122"/>
        <v>-437</v>
      </c>
      <c r="AM129" s="92">
        <v>0</v>
      </c>
      <c r="AN129" s="92">
        <v>0</v>
      </c>
      <c r="AO129" s="34"/>
      <c r="AP129" s="34">
        <f t="shared" ref="AP129:AZ129" si="134">SUM(AA129:AD129)</f>
        <v>0</v>
      </c>
      <c r="AQ129" s="34">
        <f t="shared" si="134"/>
        <v>0</v>
      </c>
      <c r="AR129" s="34">
        <f t="shared" si="134"/>
        <v>0</v>
      </c>
      <c r="AS129" s="34">
        <f t="shared" si="134"/>
        <v>0</v>
      </c>
      <c r="AT129" s="34">
        <f t="shared" si="134"/>
        <v>0</v>
      </c>
      <c r="AU129" s="34">
        <f t="shared" si="134"/>
        <v>466</v>
      </c>
      <c r="AV129" s="34">
        <f t="shared" si="134"/>
        <v>532</v>
      </c>
      <c r="AW129" s="34">
        <f t="shared" si="134"/>
        <v>437</v>
      </c>
      <c r="AX129" s="34">
        <f t="shared" si="134"/>
        <v>0</v>
      </c>
      <c r="AY129" s="34">
        <f t="shared" si="134"/>
        <v>-466</v>
      </c>
      <c r="AZ129" s="34">
        <f t="shared" si="134"/>
        <v>-532</v>
      </c>
      <c r="BA129" s="64"/>
      <c r="BB129" s="83"/>
    </row>
    <row r="130" spans="2:54" ht="12.75" customHeight="1">
      <c r="B130" s="65" t="s">
        <v>571</v>
      </c>
      <c r="C130" s="92">
        <v>0</v>
      </c>
      <c r="D130" s="92">
        <v>0</v>
      </c>
      <c r="E130" s="92">
        <v>-15482</v>
      </c>
      <c r="F130" s="92">
        <v>0</v>
      </c>
      <c r="G130" s="92">
        <v>0</v>
      </c>
      <c r="H130" s="92">
        <v>0</v>
      </c>
      <c r="I130" s="92">
        <v>0</v>
      </c>
      <c r="J130" s="34"/>
      <c r="K130" s="92">
        <v>0</v>
      </c>
      <c r="L130" s="34">
        <v>0</v>
      </c>
      <c r="M130" s="34">
        <v>0</v>
      </c>
      <c r="N130" s="34">
        <f t="shared" si="116"/>
        <v>0</v>
      </c>
      <c r="O130" s="92">
        <v>0</v>
      </c>
      <c r="P130" s="34">
        <v>0</v>
      </c>
      <c r="Q130" s="34">
        <v>0</v>
      </c>
      <c r="R130" s="34">
        <f t="shared" si="117"/>
        <v>0</v>
      </c>
      <c r="S130" s="92">
        <v>0</v>
      </c>
      <c r="T130" s="92">
        <v>0</v>
      </c>
      <c r="U130" s="92">
        <v>0</v>
      </c>
      <c r="V130" s="34">
        <f t="shared" si="118"/>
        <v>-15482</v>
      </c>
      <c r="W130" s="92">
        <v>0</v>
      </c>
      <c r="X130" s="92">
        <v>0</v>
      </c>
      <c r="Y130" s="92">
        <v>0</v>
      </c>
      <c r="Z130" s="34">
        <f t="shared" si="119"/>
        <v>0</v>
      </c>
      <c r="AA130" s="92">
        <v>0</v>
      </c>
      <c r="AB130" s="92">
        <v>0</v>
      </c>
      <c r="AC130" s="92">
        <v>0</v>
      </c>
      <c r="AD130" s="34">
        <f t="shared" si="120"/>
        <v>0</v>
      </c>
      <c r="AE130" s="92">
        <v>0</v>
      </c>
      <c r="AF130" s="92">
        <v>0</v>
      </c>
      <c r="AG130" s="92">
        <v>0</v>
      </c>
      <c r="AH130" s="34">
        <f t="shared" si="121"/>
        <v>0</v>
      </c>
      <c r="AI130" s="92">
        <v>0</v>
      </c>
      <c r="AJ130" s="92">
        <v>0</v>
      </c>
      <c r="AK130" s="92">
        <v>0</v>
      </c>
      <c r="AL130" s="34">
        <f t="shared" si="122"/>
        <v>0</v>
      </c>
      <c r="AM130" s="92">
        <v>0</v>
      </c>
      <c r="AN130" s="92">
        <v>0</v>
      </c>
      <c r="AO130" s="34"/>
      <c r="AP130" s="34">
        <f t="shared" si="123"/>
        <v>0</v>
      </c>
      <c r="AQ130" s="34">
        <f t="shared" si="124"/>
        <v>0</v>
      </c>
      <c r="AR130" s="34">
        <f t="shared" si="125"/>
        <v>0</v>
      </c>
      <c r="AS130" s="34">
        <f t="shared" si="126"/>
        <v>0</v>
      </c>
      <c r="AT130" s="34">
        <f t="shared" si="127"/>
        <v>0</v>
      </c>
      <c r="AU130" s="34">
        <f t="shared" si="128"/>
        <v>0</v>
      </c>
      <c r="AV130" s="34">
        <f t="shared" si="129"/>
        <v>0</v>
      </c>
      <c r="AW130" s="34">
        <f t="shared" si="130"/>
        <v>0</v>
      </c>
      <c r="AX130" s="34">
        <f t="shared" si="131"/>
        <v>0</v>
      </c>
      <c r="AY130" s="34">
        <f t="shared" si="132"/>
        <v>0</v>
      </c>
      <c r="AZ130" s="34">
        <f t="shared" si="133"/>
        <v>0</v>
      </c>
      <c r="BA130" s="64"/>
      <c r="BB130" s="83"/>
    </row>
    <row r="131" spans="2:54" ht="12.75" customHeight="1">
      <c r="B131" s="65" t="s">
        <v>574</v>
      </c>
      <c r="C131" s="92">
        <v>0</v>
      </c>
      <c r="D131" s="92">
        <v>0</v>
      </c>
      <c r="E131" s="92">
        <v>0</v>
      </c>
      <c r="F131" s="92">
        <v>-11000</v>
      </c>
      <c r="G131" s="92">
        <v>-13250</v>
      </c>
      <c r="H131" s="92">
        <v>-3250</v>
      </c>
      <c r="I131" s="92">
        <v>0</v>
      </c>
      <c r="J131" s="34"/>
      <c r="K131" s="92">
        <v>0</v>
      </c>
      <c r="L131" s="34">
        <v>0</v>
      </c>
      <c r="M131" s="34">
        <v>0</v>
      </c>
      <c r="N131" s="34">
        <f t="shared" si="116"/>
        <v>0</v>
      </c>
      <c r="O131" s="92">
        <v>0</v>
      </c>
      <c r="P131" s="34">
        <v>0</v>
      </c>
      <c r="Q131" s="34">
        <v>0</v>
      </c>
      <c r="R131" s="34">
        <f t="shared" si="117"/>
        <v>0</v>
      </c>
      <c r="S131" s="92">
        <v>0</v>
      </c>
      <c r="T131" s="92">
        <v>0</v>
      </c>
      <c r="U131" s="92">
        <v>0</v>
      </c>
      <c r="V131" s="34">
        <f t="shared" si="118"/>
        <v>0</v>
      </c>
      <c r="W131" s="92">
        <v>0</v>
      </c>
      <c r="X131" s="92">
        <v>0</v>
      </c>
      <c r="Y131" s="92">
        <v>0</v>
      </c>
      <c r="Z131" s="34">
        <f t="shared" si="119"/>
        <v>-11000</v>
      </c>
      <c r="AA131" s="92">
        <v>0</v>
      </c>
      <c r="AB131" s="92">
        <v>0</v>
      </c>
      <c r="AC131" s="92">
        <f>-10000-AB131-AA131</f>
        <v>-10000</v>
      </c>
      <c r="AD131" s="34">
        <f t="shared" si="120"/>
        <v>-3250</v>
      </c>
      <c r="AE131" s="92">
        <v>-3250</v>
      </c>
      <c r="AF131" s="92">
        <f>-3250-AE131</f>
        <v>0</v>
      </c>
      <c r="AG131" s="92">
        <f>-3250-AF131-AE131</f>
        <v>0</v>
      </c>
      <c r="AH131" s="34">
        <f t="shared" si="121"/>
        <v>0</v>
      </c>
      <c r="AI131" s="92">
        <v>0</v>
      </c>
      <c r="AJ131" s="92">
        <v>0</v>
      </c>
      <c r="AK131" s="92">
        <v>0</v>
      </c>
      <c r="AL131" s="34">
        <f t="shared" si="122"/>
        <v>0</v>
      </c>
      <c r="AM131" s="92">
        <v>0</v>
      </c>
      <c r="AN131" s="92">
        <v>0</v>
      </c>
      <c r="AO131" s="34"/>
      <c r="AP131" s="34">
        <f t="shared" si="123"/>
        <v>-13250</v>
      </c>
      <c r="AQ131" s="34">
        <f t="shared" si="124"/>
        <v>-16500</v>
      </c>
      <c r="AR131" s="34">
        <f t="shared" si="125"/>
        <v>-16500</v>
      </c>
      <c r="AS131" s="34">
        <f t="shared" si="126"/>
        <v>-6500</v>
      </c>
      <c r="AT131" s="34">
        <f t="shared" si="127"/>
        <v>-3250</v>
      </c>
      <c r="AU131" s="34">
        <f t="shared" si="128"/>
        <v>0</v>
      </c>
      <c r="AV131" s="34">
        <f t="shared" si="129"/>
        <v>0</v>
      </c>
      <c r="AW131" s="34">
        <f t="shared" si="130"/>
        <v>0</v>
      </c>
      <c r="AX131" s="34">
        <f t="shared" si="131"/>
        <v>0</v>
      </c>
      <c r="AY131" s="34">
        <f t="shared" si="132"/>
        <v>0</v>
      </c>
      <c r="AZ131" s="34">
        <f t="shared" si="133"/>
        <v>0</v>
      </c>
      <c r="BA131" s="64"/>
      <c r="BB131" s="83"/>
    </row>
    <row r="132" spans="2:54" ht="12.75" customHeight="1">
      <c r="B132" s="65" t="s">
        <v>581</v>
      </c>
      <c r="C132" s="92">
        <v>0</v>
      </c>
      <c r="D132" s="92">
        <v>0</v>
      </c>
      <c r="E132" s="92">
        <v>0</v>
      </c>
      <c r="F132" s="92">
        <v>0</v>
      </c>
      <c r="G132" s="92">
        <v>0</v>
      </c>
      <c r="H132" s="92">
        <v>0</v>
      </c>
      <c r="I132" s="92">
        <v>0</v>
      </c>
      <c r="J132" s="34"/>
      <c r="K132" s="92"/>
      <c r="L132" s="34"/>
      <c r="M132" s="34"/>
      <c r="N132" s="34"/>
      <c r="O132" s="92"/>
      <c r="P132" s="34"/>
      <c r="Q132" s="34"/>
      <c r="R132" s="34"/>
      <c r="S132" s="92">
        <v>0</v>
      </c>
      <c r="T132" s="92">
        <v>0</v>
      </c>
      <c r="U132" s="92">
        <v>599</v>
      </c>
      <c r="V132" s="34">
        <f t="shared" si="118"/>
        <v>-599</v>
      </c>
      <c r="W132" s="92">
        <v>0</v>
      </c>
      <c r="X132" s="92">
        <v>0</v>
      </c>
      <c r="Y132" s="92">
        <v>0</v>
      </c>
      <c r="Z132" s="34">
        <f t="shared" si="119"/>
        <v>0</v>
      </c>
      <c r="AA132" s="92">
        <v>0</v>
      </c>
      <c r="AB132" s="92">
        <v>0</v>
      </c>
      <c r="AC132" s="92">
        <v>0</v>
      </c>
      <c r="AD132" s="34">
        <f t="shared" si="120"/>
        <v>0</v>
      </c>
      <c r="AE132" s="92">
        <v>0</v>
      </c>
      <c r="AF132" s="92">
        <v>0</v>
      </c>
      <c r="AG132" s="92">
        <v>0</v>
      </c>
      <c r="AH132" s="34">
        <f t="shared" si="121"/>
        <v>0</v>
      </c>
      <c r="AI132" s="92">
        <v>0</v>
      </c>
      <c r="AJ132" s="92">
        <v>0</v>
      </c>
      <c r="AK132" s="92">
        <v>0</v>
      </c>
      <c r="AL132" s="34">
        <f t="shared" si="122"/>
        <v>0</v>
      </c>
      <c r="AM132" s="92">
        <v>0</v>
      </c>
      <c r="AN132" s="92">
        <v>0</v>
      </c>
      <c r="AO132" s="34"/>
      <c r="AP132" s="34">
        <f t="shared" si="123"/>
        <v>0</v>
      </c>
      <c r="AQ132" s="34">
        <f t="shared" si="124"/>
        <v>0</v>
      </c>
      <c r="AR132" s="34">
        <f t="shared" si="125"/>
        <v>0</v>
      </c>
      <c r="AS132" s="34">
        <f t="shared" si="126"/>
        <v>0</v>
      </c>
      <c r="AT132" s="34">
        <f t="shared" si="127"/>
        <v>0</v>
      </c>
      <c r="AU132" s="34">
        <f t="shared" si="128"/>
        <v>0</v>
      </c>
      <c r="AV132" s="34">
        <f t="shared" si="129"/>
        <v>0</v>
      </c>
      <c r="AW132" s="34">
        <f t="shared" si="130"/>
        <v>0</v>
      </c>
      <c r="AX132" s="34">
        <f t="shared" si="131"/>
        <v>0</v>
      </c>
      <c r="AY132" s="34">
        <f t="shared" si="132"/>
        <v>0</v>
      </c>
      <c r="AZ132" s="34">
        <f t="shared" si="133"/>
        <v>0</v>
      </c>
      <c r="BA132" s="64"/>
      <c r="BB132" s="83"/>
    </row>
    <row r="133" spans="2:54" ht="12.75" customHeight="1">
      <c r="B133" s="65" t="s">
        <v>576</v>
      </c>
      <c r="C133" s="92">
        <v>0</v>
      </c>
      <c r="D133" s="92">
        <v>0</v>
      </c>
      <c r="E133" s="92">
        <v>0</v>
      </c>
      <c r="F133" s="92">
        <v>0</v>
      </c>
      <c r="G133" s="92">
        <v>-981</v>
      </c>
      <c r="H133" s="92">
        <v>0</v>
      </c>
      <c r="I133" s="92">
        <v>435</v>
      </c>
      <c r="J133" s="34"/>
      <c r="K133" s="92">
        <v>0</v>
      </c>
      <c r="L133" s="34">
        <v>0</v>
      </c>
      <c r="M133" s="34">
        <v>0</v>
      </c>
      <c r="N133" s="34">
        <f t="shared" si="116"/>
        <v>0</v>
      </c>
      <c r="O133" s="92">
        <v>0</v>
      </c>
      <c r="P133" s="34">
        <v>0</v>
      </c>
      <c r="Q133" s="34">
        <v>0</v>
      </c>
      <c r="R133" s="34">
        <f t="shared" si="117"/>
        <v>0</v>
      </c>
      <c r="S133" s="92">
        <v>0</v>
      </c>
      <c r="T133" s="92">
        <f>-9-S133</f>
        <v>-9</v>
      </c>
      <c r="U133" s="92">
        <f>-9-T133-S133</f>
        <v>0</v>
      </c>
      <c r="V133" s="34">
        <f t="shared" si="118"/>
        <v>9</v>
      </c>
      <c r="W133" s="92">
        <v>0</v>
      </c>
      <c r="X133" s="92">
        <v>0</v>
      </c>
      <c r="Y133" s="92">
        <v>0</v>
      </c>
      <c r="Z133" s="34">
        <f t="shared" si="119"/>
        <v>0</v>
      </c>
      <c r="AA133" s="92">
        <v>0</v>
      </c>
      <c r="AB133" s="92">
        <v>0</v>
      </c>
      <c r="AC133" s="92">
        <v>0</v>
      </c>
      <c r="AD133" s="34">
        <f t="shared" si="120"/>
        <v>-981</v>
      </c>
      <c r="AE133" s="92">
        <v>0</v>
      </c>
      <c r="AF133" s="92">
        <v>0</v>
      </c>
      <c r="AG133" s="92">
        <v>0</v>
      </c>
      <c r="AH133" s="34">
        <f t="shared" si="121"/>
        <v>0</v>
      </c>
      <c r="AI133" s="92">
        <v>0</v>
      </c>
      <c r="AJ133" s="92">
        <v>0</v>
      </c>
      <c r="AK133" s="92">
        <v>0</v>
      </c>
      <c r="AL133" s="34">
        <f t="shared" si="122"/>
        <v>435</v>
      </c>
      <c r="AM133" s="92">
        <v>0</v>
      </c>
      <c r="AN133" s="92">
        <v>0</v>
      </c>
      <c r="AO133" s="34"/>
      <c r="AP133" s="34">
        <f t="shared" si="123"/>
        <v>-981</v>
      </c>
      <c r="AQ133" s="34">
        <f t="shared" si="124"/>
        <v>-981</v>
      </c>
      <c r="AR133" s="34">
        <f t="shared" si="125"/>
        <v>-981</v>
      </c>
      <c r="AS133" s="34">
        <f t="shared" si="126"/>
        <v>-981</v>
      </c>
      <c r="AT133" s="34">
        <f t="shared" si="127"/>
        <v>0</v>
      </c>
      <c r="AU133" s="34">
        <f t="shared" si="128"/>
        <v>0</v>
      </c>
      <c r="AV133" s="34">
        <f t="shared" si="129"/>
        <v>0</v>
      </c>
      <c r="AW133" s="34">
        <f t="shared" si="130"/>
        <v>0</v>
      </c>
      <c r="AX133" s="34">
        <f t="shared" si="131"/>
        <v>435</v>
      </c>
      <c r="AY133" s="34">
        <f t="shared" si="132"/>
        <v>435</v>
      </c>
      <c r="AZ133" s="34">
        <f t="shared" si="133"/>
        <v>435</v>
      </c>
      <c r="BA133" s="64"/>
      <c r="BB133" s="83"/>
    </row>
    <row r="134" spans="2:54" ht="12.75" customHeight="1">
      <c r="B134" s="14" t="s">
        <v>89</v>
      </c>
      <c r="C134" s="15">
        <f t="shared" ref="C134:I134" si="135">SUM(C125:C133)</f>
        <v>-23242</v>
      </c>
      <c r="D134" s="15">
        <f t="shared" si="135"/>
        <v>-26164</v>
      </c>
      <c r="E134" s="15">
        <f t="shared" si="135"/>
        <v>-74900</v>
      </c>
      <c r="F134" s="15">
        <f t="shared" si="135"/>
        <v>-147479</v>
      </c>
      <c r="G134" s="15">
        <f t="shared" si="135"/>
        <v>-87527</v>
      </c>
      <c r="H134" s="15">
        <f t="shared" si="135"/>
        <v>-9491</v>
      </c>
      <c r="I134" s="15">
        <f t="shared" si="135"/>
        <v>-6232</v>
      </c>
      <c r="K134" s="15">
        <f t="shared" ref="K134:AN134" si="136">SUM(K125:K133)</f>
        <v>-3732</v>
      </c>
      <c r="L134" s="15">
        <f t="shared" si="136"/>
        <v>-6301</v>
      </c>
      <c r="M134" s="15">
        <f t="shared" si="136"/>
        <v>-8172</v>
      </c>
      <c r="N134" s="15">
        <f t="shared" si="136"/>
        <v>-5037</v>
      </c>
      <c r="O134" s="15">
        <f t="shared" si="136"/>
        <v>-4993</v>
      </c>
      <c r="P134" s="15">
        <f t="shared" si="136"/>
        <v>-5885</v>
      </c>
      <c r="Q134" s="15">
        <f t="shared" si="136"/>
        <v>-6275</v>
      </c>
      <c r="R134" s="15">
        <f t="shared" si="136"/>
        <v>-9011</v>
      </c>
      <c r="S134" s="15">
        <f t="shared" si="136"/>
        <v>-13362</v>
      </c>
      <c r="T134" s="15">
        <f t="shared" si="136"/>
        <v>-14966</v>
      </c>
      <c r="U134" s="15">
        <f t="shared" si="136"/>
        <v>-11418</v>
      </c>
      <c r="V134" s="15">
        <f t="shared" si="136"/>
        <v>-35154</v>
      </c>
      <c r="W134" s="15">
        <f t="shared" si="136"/>
        <v>-23381</v>
      </c>
      <c r="X134" s="15">
        <f t="shared" si="136"/>
        <v>-28184</v>
      </c>
      <c r="Y134" s="15">
        <f t="shared" si="136"/>
        <v>-52868</v>
      </c>
      <c r="Z134" s="15">
        <f t="shared" si="136"/>
        <v>-43046</v>
      </c>
      <c r="AA134" s="15">
        <f t="shared" si="136"/>
        <v>-21499</v>
      </c>
      <c r="AB134" s="15">
        <f t="shared" si="136"/>
        <v>-20489</v>
      </c>
      <c r="AC134" s="15">
        <f t="shared" si="136"/>
        <v>-28716</v>
      </c>
      <c r="AD134" s="15">
        <f t="shared" si="136"/>
        <v>-16823</v>
      </c>
      <c r="AE134" s="15">
        <f t="shared" si="136"/>
        <v>-6302</v>
      </c>
      <c r="AF134" s="15">
        <f t="shared" si="136"/>
        <v>-1771</v>
      </c>
      <c r="AG134" s="15">
        <f t="shared" si="136"/>
        <v>-1267</v>
      </c>
      <c r="AH134" s="15">
        <f t="shared" si="136"/>
        <v>-151</v>
      </c>
      <c r="AI134" s="15">
        <f t="shared" si="136"/>
        <v>-302</v>
      </c>
      <c r="AJ134" s="15">
        <f t="shared" si="136"/>
        <v>1471</v>
      </c>
      <c r="AK134" s="15">
        <f t="shared" si="136"/>
        <v>-1179</v>
      </c>
      <c r="AL134" s="15">
        <f t="shared" si="136"/>
        <v>-6222</v>
      </c>
      <c r="AM134" s="15">
        <f t="shared" si="136"/>
        <v>-4137</v>
      </c>
      <c r="AN134" s="15">
        <f t="shared" si="136"/>
        <v>-1938</v>
      </c>
      <c r="AP134" s="15">
        <f t="shared" ref="AP134:AZ134" si="137">SUM(AP125:AP133)</f>
        <v>-87527</v>
      </c>
      <c r="AQ134" s="15">
        <f t="shared" si="137"/>
        <v>-72330</v>
      </c>
      <c r="AR134" s="15">
        <f t="shared" si="137"/>
        <v>-53612</v>
      </c>
      <c r="AS134" s="15">
        <f t="shared" si="137"/>
        <v>-26163</v>
      </c>
      <c r="AT134" s="15">
        <f t="shared" si="137"/>
        <v>-9491</v>
      </c>
      <c r="AU134" s="15">
        <f t="shared" si="137"/>
        <v>-3491</v>
      </c>
      <c r="AV134" s="15">
        <f t="shared" si="137"/>
        <v>-249</v>
      </c>
      <c r="AW134" s="15">
        <f t="shared" si="137"/>
        <v>-161</v>
      </c>
      <c r="AX134" s="15">
        <f t="shared" si="137"/>
        <v>-6232</v>
      </c>
      <c r="AY134" s="15">
        <f t="shared" si="137"/>
        <v>-10067</v>
      </c>
      <c r="AZ134" s="15">
        <f t="shared" si="137"/>
        <v>-13476</v>
      </c>
      <c r="BA134" s="45"/>
      <c r="BB134" s="84">
        <f>SUM(AZ134/AV134)-1</f>
        <v>53.120481927710841</v>
      </c>
    </row>
    <row r="135" spans="2:54" ht="5.0999999999999996" customHeight="1">
      <c r="B135" s="57"/>
      <c r="C135" s="66"/>
      <c r="D135" s="66"/>
      <c r="E135" s="66"/>
      <c r="F135" s="66"/>
      <c r="G135" s="66"/>
      <c r="H135" s="66"/>
      <c r="I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P135" s="45"/>
      <c r="AQ135" s="45"/>
      <c r="AR135" s="45"/>
      <c r="AS135" s="45"/>
      <c r="AT135" s="45"/>
      <c r="AU135" s="45"/>
      <c r="AV135" s="45"/>
      <c r="AW135" s="45"/>
      <c r="AX135" s="45"/>
      <c r="AY135" s="45"/>
      <c r="AZ135" s="45"/>
      <c r="BA135" s="45"/>
      <c r="BB135" s="42"/>
    </row>
    <row r="136" spans="2:54" ht="12.75" customHeight="1">
      <c r="B136" s="58" t="s">
        <v>90</v>
      </c>
      <c r="C136" s="68"/>
      <c r="D136" s="68"/>
      <c r="E136" s="68"/>
      <c r="F136" s="68"/>
      <c r="G136" s="68"/>
      <c r="H136" s="68"/>
      <c r="I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34"/>
      <c r="AP136" s="34">
        <f t="shared" ref="AP136:AP145" si="138">SUM(AA136:AD136)</f>
        <v>0</v>
      </c>
      <c r="AQ136" s="34">
        <f t="shared" ref="AQ136:AQ145" si="139">SUM(AB136:AE136)</f>
        <v>0</v>
      </c>
      <c r="AR136" s="34">
        <f t="shared" ref="AR136:AR145" si="140">SUM(AC136:AF136)</f>
        <v>0</v>
      </c>
      <c r="AS136" s="34">
        <f t="shared" ref="AS136:AS145" si="141">SUM(AD136:AG136)</f>
        <v>0</v>
      </c>
      <c r="AT136" s="34">
        <f t="shared" ref="AT136:AT145" si="142">SUM(AE136:AH136)</f>
        <v>0</v>
      </c>
      <c r="AU136" s="34">
        <f t="shared" ref="AU136:AU145" si="143">SUM(AF136:AI136)</f>
        <v>0</v>
      </c>
      <c r="AV136" s="34">
        <f t="shared" ref="AV136:AV145" si="144">SUM(AG136:AJ136)</f>
        <v>0</v>
      </c>
      <c r="AW136" s="34">
        <f t="shared" ref="AW136:AW145" si="145">SUM(AH136:AK136)</f>
        <v>0</v>
      </c>
      <c r="AX136" s="34">
        <f t="shared" ref="AX136:AX145" si="146">SUM(AI136:AL136)</f>
        <v>0</v>
      </c>
      <c r="AY136" s="34">
        <f t="shared" ref="AY136:AY145" si="147">SUM(AJ136:AM136)</f>
        <v>0</v>
      </c>
      <c r="AZ136" s="34">
        <f t="shared" ref="AZ136:AZ145" si="148">SUM(AK136:AN136)</f>
        <v>0</v>
      </c>
      <c r="BA136" s="69"/>
      <c r="BB136" s="42"/>
    </row>
    <row r="137" spans="2:54" ht="12.75" customHeight="1">
      <c r="B137" s="122" t="s">
        <v>605</v>
      </c>
      <c r="C137" s="92">
        <v>-514</v>
      </c>
      <c r="D137" s="92">
        <f>254868+37394</f>
        <v>292262</v>
      </c>
      <c r="E137" s="92">
        <v>0</v>
      </c>
      <c r="F137" s="92">
        <v>0</v>
      </c>
      <c r="G137" s="92">
        <v>0</v>
      </c>
      <c r="H137" s="92">
        <v>0</v>
      </c>
      <c r="I137" s="92">
        <v>46725</v>
      </c>
      <c r="K137" s="92">
        <v>0</v>
      </c>
      <c r="L137" s="34">
        <v>0</v>
      </c>
      <c r="M137" s="34">
        <v>-514</v>
      </c>
      <c r="N137" s="34">
        <f t="shared" ref="N137:N145" si="149">SUM(C137-SUM(K137:M137))</f>
        <v>0</v>
      </c>
      <c r="O137" s="92">
        <v>0</v>
      </c>
      <c r="P137" s="34">
        <f>255448-O137</f>
        <v>255448</v>
      </c>
      <c r="Q137" s="34">
        <f>37937+254868-P137-O137</f>
        <v>37357</v>
      </c>
      <c r="R137" s="34">
        <f t="shared" ref="R137:R145" si="150">SUM(D137-SUM(O137:Q137))</f>
        <v>-543</v>
      </c>
      <c r="S137" s="92">
        <v>0</v>
      </c>
      <c r="T137" s="92">
        <v>0</v>
      </c>
      <c r="U137" s="92">
        <v>0</v>
      </c>
      <c r="V137" s="34">
        <f t="shared" ref="V137:V145" si="151">SUM(E137-SUM(S137:U137))</f>
        <v>0</v>
      </c>
      <c r="W137" s="92">
        <v>0</v>
      </c>
      <c r="X137" s="92">
        <v>0</v>
      </c>
      <c r="Y137" s="92">
        <v>0</v>
      </c>
      <c r="Z137" s="34">
        <f t="shared" ref="Z137:Z145" si="152">SUM(F137-SUM(W137:Y137))</f>
        <v>0</v>
      </c>
      <c r="AA137" s="92">
        <v>0</v>
      </c>
      <c r="AB137" s="92">
        <v>0</v>
      </c>
      <c r="AC137" s="92">
        <v>0</v>
      </c>
      <c r="AD137" s="34">
        <f t="shared" ref="AD137:AD145" si="153">SUM(G137-SUM(AA137:AC137))</f>
        <v>0</v>
      </c>
      <c r="AE137" s="92">
        <v>0</v>
      </c>
      <c r="AF137" s="92">
        <v>0</v>
      </c>
      <c r="AG137" s="92">
        <v>0</v>
      </c>
      <c r="AH137" s="34">
        <f t="shared" ref="AH137:AH145" si="154">SUM(H137-SUM(AE137:AG137))</f>
        <v>0</v>
      </c>
      <c r="AI137" s="92">
        <v>0</v>
      </c>
      <c r="AJ137" s="92">
        <v>0</v>
      </c>
      <c r="AK137" s="92">
        <v>0</v>
      </c>
      <c r="AL137" s="34">
        <f t="shared" ref="AL137:AL145" si="155">SUM(I137-SUM(AI137:AK137))</f>
        <v>46725</v>
      </c>
      <c r="AM137" s="92">
        <v>0</v>
      </c>
      <c r="AN137" s="92">
        <v>0</v>
      </c>
      <c r="AO137" s="34"/>
      <c r="AP137" s="34">
        <f t="shared" si="138"/>
        <v>0</v>
      </c>
      <c r="AQ137" s="34">
        <f t="shared" si="139"/>
        <v>0</v>
      </c>
      <c r="AR137" s="34">
        <f t="shared" si="140"/>
        <v>0</v>
      </c>
      <c r="AS137" s="34">
        <f t="shared" si="141"/>
        <v>0</v>
      </c>
      <c r="AT137" s="34">
        <f t="shared" si="142"/>
        <v>0</v>
      </c>
      <c r="AU137" s="34">
        <f t="shared" si="143"/>
        <v>0</v>
      </c>
      <c r="AV137" s="34">
        <f t="shared" si="144"/>
        <v>0</v>
      </c>
      <c r="AW137" s="34">
        <f t="shared" si="145"/>
        <v>0</v>
      </c>
      <c r="AX137" s="34">
        <f t="shared" si="146"/>
        <v>46725</v>
      </c>
      <c r="AY137" s="34">
        <f t="shared" si="147"/>
        <v>46725</v>
      </c>
      <c r="AZ137" s="34">
        <f t="shared" si="148"/>
        <v>46725</v>
      </c>
      <c r="BA137" s="69"/>
      <c r="BB137" s="42"/>
    </row>
    <row r="138" spans="2:54" ht="12.75" customHeight="1">
      <c r="B138" s="122" t="s">
        <v>606</v>
      </c>
      <c r="C138" s="92">
        <f>49999+1347</f>
        <v>51346</v>
      </c>
      <c r="D138" s="92">
        <v>0</v>
      </c>
      <c r="E138" s="92">
        <v>0</v>
      </c>
      <c r="F138" s="92">
        <v>0</v>
      </c>
      <c r="G138" s="92">
        <v>0</v>
      </c>
      <c r="H138" s="92">
        <v>0</v>
      </c>
      <c r="I138" s="92">
        <v>0</v>
      </c>
      <c r="K138" s="92">
        <v>1229</v>
      </c>
      <c r="L138" s="34">
        <v>0</v>
      </c>
      <c r="M138" s="34">
        <f>25000+1347-L138-K138</f>
        <v>25118</v>
      </c>
      <c r="N138" s="34">
        <f t="shared" si="149"/>
        <v>24999</v>
      </c>
      <c r="O138" s="92">
        <v>0</v>
      </c>
      <c r="P138" s="92">
        <v>0</v>
      </c>
      <c r="Q138" s="92">
        <v>0</v>
      </c>
      <c r="R138" s="34">
        <f t="shared" si="150"/>
        <v>0</v>
      </c>
      <c r="S138" s="92">
        <v>0</v>
      </c>
      <c r="T138" s="92">
        <v>0</v>
      </c>
      <c r="U138" s="92">
        <v>0</v>
      </c>
      <c r="V138" s="34">
        <f t="shared" si="151"/>
        <v>0</v>
      </c>
      <c r="W138" s="92">
        <v>0</v>
      </c>
      <c r="X138" s="92">
        <v>0</v>
      </c>
      <c r="Y138" s="92">
        <v>0</v>
      </c>
      <c r="Z138" s="34">
        <f t="shared" si="152"/>
        <v>0</v>
      </c>
      <c r="AA138" s="92">
        <v>0</v>
      </c>
      <c r="AB138" s="92">
        <v>0</v>
      </c>
      <c r="AC138" s="92">
        <v>0</v>
      </c>
      <c r="AD138" s="34">
        <f t="shared" si="153"/>
        <v>0</v>
      </c>
      <c r="AE138" s="92">
        <v>0</v>
      </c>
      <c r="AF138" s="92">
        <v>0</v>
      </c>
      <c r="AG138" s="92">
        <v>0</v>
      </c>
      <c r="AH138" s="34">
        <f t="shared" si="154"/>
        <v>0</v>
      </c>
      <c r="AI138" s="92">
        <v>0</v>
      </c>
      <c r="AJ138" s="92">
        <v>0</v>
      </c>
      <c r="AK138" s="92">
        <v>0</v>
      </c>
      <c r="AL138" s="34">
        <f t="shared" si="155"/>
        <v>0</v>
      </c>
      <c r="AM138" s="92">
        <v>0</v>
      </c>
      <c r="AN138" s="92">
        <v>0</v>
      </c>
      <c r="AO138" s="34"/>
      <c r="AP138" s="34">
        <f t="shared" si="138"/>
        <v>0</v>
      </c>
      <c r="AQ138" s="34">
        <f t="shared" si="139"/>
        <v>0</v>
      </c>
      <c r="AR138" s="34">
        <f t="shared" si="140"/>
        <v>0</v>
      </c>
      <c r="AS138" s="34">
        <f t="shared" si="141"/>
        <v>0</v>
      </c>
      <c r="AT138" s="34">
        <f t="shared" si="142"/>
        <v>0</v>
      </c>
      <c r="AU138" s="34">
        <f t="shared" si="143"/>
        <v>0</v>
      </c>
      <c r="AV138" s="34">
        <f t="shared" si="144"/>
        <v>0</v>
      </c>
      <c r="AW138" s="34">
        <f t="shared" si="145"/>
        <v>0</v>
      </c>
      <c r="AX138" s="34">
        <f t="shared" si="146"/>
        <v>0</v>
      </c>
      <c r="AY138" s="34">
        <f t="shared" si="147"/>
        <v>0</v>
      </c>
      <c r="AZ138" s="34">
        <f t="shared" si="148"/>
        <v>0</v>
      </c>
      <c r="BA138" s="69"/>
      <c r="BB138" s="42"/>
    </row>
    <row r="139" spans="2:54" ht="12.75" customHeight="1">
      <c r="B139" s="122" t="s">
        <v>604</v>
      </c>
      <c r="C139" s="92">
        <f>1369+2+951</f>
        <v>2322</v>
      </c>
      <c r="D139" s="92">
        <v>2669</v>
      </c>
      <c r="E139" s="92">
        <f>9007-2275</f>
        <v>6732</v>
      </c>
      <c r="F139" s="92">
        <f>8135-3081</f>
        <v>5054</v>
      </c>
      <c r="G139" s="92">
        <f>1626-1140</f>
        <v>486</v>
      </c>
      <c r="H139" s="92">
        <f>170-497</f>
        <v>-327</v>
      </c>
      <c r="I139" s="92">
        <f>924-695</f>
        <v>229</v>
      </c>
      <c r="K139" s="92">
        <v>87</v>
      </c>
      <c r="L139" s="34">
        <f>871+951-K139</f>
        <v>1735</v>
      </c>
      <c r="M139" s="34">
        <f>1128+951-L139-K139</f>
        <v>257</v>
      </c>
      <c r="N139" s="34">
        <f t="shared" si="149"/>
        <v>243</v>
      </c>
      <c r="O139" s="92">
        <v>366</v>
      </c>
      <c r="P139" s="34">
        <f>533-O139</f>
        <v>167</v>
      </c>
      <c r="Q139" s="34">
        <f>898-P139-O139</f>
        <v>365</v>
      </c>
      <c r="R139" s="34">
        <f t="shared" si="150"/>
        <v>1771</v>
      </c>
      <c r="S139" s="92">
        <f>1014-12</f>
        <v>1002</v>
      </c>
      <c r="T139" s="92">
        <f>3824-1231-S139</f>
        <v>1591</v>
      </c>
      <c r="U139" s="92">
        <f>6491-1736-T139-S139</f>
        <v>2162</v>
      </c>
      <c r="V139" s="34">
        <f t="shared" si="151"/>
        <v>1977</v>
      </c>
      <c r="W139" s="92">
        <f>2861-812</f>
        <v>2049</v>
      </c>
      <c r="X139" s="92">
        <f>6499-1787-W139</f>
        <v>2663</v>
      </c>
      <c r="Y139" s="92">
        <f>7554-2749 -X139-W139</f>
        <v>93</v>
      </c>
      <c r="Z139" s="34">
        <f t="shared" si="152"/>
        <v>249</v>
      </c>
      <c r="AA139" s="92">
        <f>815-439</f>
        <v>376</v>
      </c>
      <c r="AB139" s="92">
        <f>1309-769-AA139</f>
        <v>164</v>
      </c>
      <c r="AC139" s="92">
        <f>1610-1073-AB139-AA139</f>
        <v>-3</v>
      </c>
      <c r="AD139" s="34">
        <f t="shared" si="153"/>
        <v>-51</v>
      </c>
      <c r="AE139" s="92">
        <f>136-252</f>
        <v>-116</v>
      </c>
      <c r="AF139" s="92">
        <f>152-337-AE139</f>
        <v>-69</v>
      </c>
      <c r="AG139" s="92">
        <f>171-391-AF139-AE139</f>
        <v>-35</v>
      </c>
      <c r="AH139" s="34">
        <f t="shared" si="154"/>
        <v>-107</v>
      </c>
      <c r="AI139" s="92">
        <f>5-435</f>
        <v>-430</v>
      </c>
      <c r="AJ139" s="92">
        <f>5-539-AI139</f>
        <v>-104</v>
      </c>
      <c r="AK139" s="92">
        <f>18-617-AJ139-AI139</f>
        <v>-65</v>
      </c>
      <c r="AL139" s="34">
        <f t="shared" si="155"/>
        <v>828</v>
      </c>
      <c r="AM139" s="92">
        <v>-220</v>
      </c>
      <c r="AN139" s="92">
        <f>6-312-AM139</f>
        <v>-86</v>
      </c>
      <c r="AO139" s="34"/>
      <c r="AP139" s="34">
        <f t="shared" si="138"/>
        <v>486</v>
      </c>
      <c r="AQ139" s="34">
        <f t="shared" si="139"/>
        <v>-6</v>
      </c>
      <c r="AR139" s="34">
        <f t="shared" si="140"/>
        <v>-239</v>
      </c>
      <c r="AS139" s="34">
        <f t="shared" si="141"/>
        <v>-271</v>
      </c>
      <c r="AT139" s="34">
        <f t="shared" si="142"/>
        <v>-327</v>
      </c>
      <c r="AU139" s="34">
        <f t="shared" si="143"/>
        <v>-641</v>
      </c>
      <c r="AV139" s="34">
        <f t="shared" si="144"/>
        <v>-676</v>
      </c>
      <c r="AW139" s="34">
        <f t="shared" si="145"/>
        <v>-706</v>
      </c>
      <c r="AX139" s="34">
        <f t="shared" si="146"/>
        <v>229</v>
      </c>
      <c r="AY139" s="34">
        <f t="shared" si="147"/>
        <v>439</v>
      </c>
      <c r="AZ139" s="34">
        <f t="shared" si="148"/>
        <v>457</v>
      </c>
      <c r="BA139" s="69"/>
      <c r="BB139" s="42"/>
    </row>
    <row r="140" spans="2:54" ht="12.75" customHeight="1">
      <c r="B140" s="122" t="s">
        <v>607</v>
      </c>
      <c r="C140" s="92">
        <v>0</v>
      </c>
      <c r="D140" s="92">
        <v>0</v>
      </c>
      <c r="E140" s="92">
        <v>0</v>
      </c>
      <c r="F140" s="92">
        <f>1150000-83950</f>
        <v>1066050</v>
      </c>
      <c r="G140" s="92">
        <v>0</v>
      </c>
      <c r="H140" s="92">
        <v>0</v>
      </c>
      <c r="I140" s="92">
        <v>0</v>
      </c>
      <c r="K140" s="92">
        <v>0</v>
      </c>
      <c r="L140" s="92">
        <v>0</v>
      </c>
      <c r="M140" s="92">
        <v>0</v>
      </c>
      <c r="N140" s="34">
        <f t="shared" si="149"/>
        <v>0</v>
      </c>
      <c r="O140" s="92">
        <v>0</v>
      </c>
      <c r="P140" s="92">
        <v>0</v>
      </c>
      <c r="Q140" s="92">
        <v>0</v>
      </c>
      <c r="R140" s="34">
        <f t="shared" si="150"/>
        <v>0</v>
      </c>
      <c r="S140" s="92">
        <v>0</v>
      </c>
      <c r="T140" s="92">
        <v>0</v>
      </c>
      <c r="U140" s="92">
        <v>0</v>
      </c>
      <c r="V140" s="34">
        <f t="shared" si="151"/>
        <v>0</v>
      </c>
      <c r="W140" s="92">
        <f>1150000-83950</f>
        <v>1066050</v>
      </c>
      <c r="X140" s="92">
        <f>1150000-83950-W140</f>
        <v>0</v>
      </c>
      <c r="Y140" s="92">
        <f>1150000-83950-X140-W140</f>
        <v>0</v>
      </c>
      <c r="Z140" s="34">
        <f t="shared" si="152"/>
        <v>0</v>
      </c>
      <c r="AA140" s="92">
        <v>0</v>
      </c>
      <c r="AB140" s="92">
        <v>0</v>
      </c>
      <c r="AC140" s="92">
        <v>0</v>
      </c>
      <c r="AD140" s="34">
        <f t="shared" si="153"/>
        <v>0</v>
      </c>
      <c r="AE140" s="92">
        <v>0</v>
      </c>
      <c r="AF140" s="92">
        <v>0</v>
      </c>
      <c r="AG140" s="92">
        <v>0</v>
      </c>
      <c r="AH140" s="34">
        <f t="shared" si="154"/>
        <v>0</v>
      </c>
      <c r="AI140" s="92">
        <v>0</v>
      </c>
      <c r="AJ140" s="92">
        <v>0</v>
      </c>
      <c r="AK140" s="92">
        <v>0</v>
      </c>
      <c r="AL140" s="34">
        <f t="shared" si="155"/>
        <v>0</v>
      </c>
      <c r="AM140" s="92">
        <v>0</v>
      </c>
      <c r="AN140" s="92">
        <v>0</v>
      </c>
      <c r="AO140" s="34"/>
      <c r="AP140" s="34">
        <f t="shared" si="138"/>
        <v>0</v>
      </c>
      <c r="AQ140" s="34">
        <f t="shared" si="139"/>
        <v>0</v>
      </c>
      <c r="AR140" s="34">
        <f t="shared" si="140"/>
        <v>0</v>
      </c>
      <c r="AS140" s="34">
        <f t="shared" si="141"/>
        <v>0</v>
      </c>
      <c r="AT140" s="34">
        <f t="shared" si="142"/>
        <v>0</v>
      </c>
      <c r="AU140" s="34">
        <f t="shared" si="143"/>
        <v>0</v>
      </c>
      <c r="AV140" s="34">
        <f t="shared" si="144"/>
        <v>0</v>
      </c>
      <c r="AW140" s="34">
        <f t="shared" si="145"/>
        <v>0</v>
      </c>
      <c r="AX140" s="34">
        <f t="shared" si="146"/>
        <v>0</v>
      </c>
      <c r="AY140" s="34">
        <f t="shared" si="147"/>
        <v>0</v>
      </c>
      <c r="AZ140" s="34">
        <f t="shared" si="148"/>
        <v>0</v>
      </c>
      <c r="BA140" s="69"/>
      <c r="BB140" s="42"/>
    </row>
    <row r="141" spans="2:54" ht="12.75" customHeight="1">
      <c r="B141" s="122" t="s">
        <v>608</v>
      </c>
      <c r="C141" s="92">
        <f>6000-2500</f>
        <v>3500</v>
      </c>
      <c r="D141" s="92">
        <v>0</v>
      </c>
      <c r="E141" s="92">
        <f>50000-6000-25000</f>
        <v>19000</v>
      </c>
      <c r="F141" s="92">
        <v>-25000</v>
      </c>
      <c r="G141" s="92">
        <v>0</v>
      </c>
      <c r="H141" s="92">
        <v>0</v>
      </c>
      <c r="I141" s="92">
        <v>0</v>
      </c>
      <c r="K141" s="92">
        <v>-2500</v>
      </c>
      <c r="L141" s="34">
        <f>-2500-K141</f>
        <v>0</v>
      </c>
      <c r="M141" s="34">
        <f>6000-2500-L141-K141</f>
        <v>6000</v>
      </c>
      <c r="N141" s="34">
        <f t="shared" si="149"/>
        <v>0</v>
      </c>
      <c r="O141" s="92">
        <v>0</v>
      </c>
      <c r="P141" s="34">
        <v>0</v>
      </c>
      <c r="Q141" s="34">
        <v>0</v>
      </c>
      <c r="R141" s="34">
        <f t="shared" si="150"/>
        <v>0</v>
      </c>
      <c r="S141" s="92">
        <v>0</v>
      </c>
      <c r="T141" s="92">
        <f>50000-6000-S141</f>
        <v>44000</v>
      </c>
      <c r="U141" s="92">
        <f>50000-6000-T141-S141</f>
        <v>0</v>
      </c>
      <c r="V141" s="34">
        <f t="shared" si="151"/>
        <v>-25000</v>
      </c>
      <c r="W141" s="92">
        <v>-25000</v>
      </c>
      <c r="X141" s="92">
        <f>-25000-W141</f>
        <v>0</v>
      </c>
      <c r="Y141" s="92">
        <f>-25000-X141-W141</f>
        <v>0</v>
      </c>
      <c r="Z141" s="34">
        <f t="shared" si="152"/>
        <v>0</v>
      </c>
      <c r="AA141" s="92">
        <v>0</v>
      </c>
      <c r="AB141" s="92">
        <v>0</v>
      </c>
      <c r="AC141" s="92">
        <v>0</v>
      </c>
      <c r="AD141" s="34">
        <f t="shared" si="153"/>
        <v>0</v>
      </c>
      <c r="AE141" s="92">
        <v>0</v>
      </c>
      <c r="AF141" s="92">
        <v>0</v>
      </c>
      <c r="AG141" s="92">
        <v>0</v>
      </c>
      <c r="AH141" s="34">
        <f t="shared" si="154"/>
        <v>0</v>
      </c>
      <c r="AI141" s="92">
        <v>0</v>
      </c>
      <c r="AJ141" s="92">
        <v>0</v>
      </c>
      <c r="AK141" s="92">
        <v>0</v>
      </c>
      <c r="AL141" s="34">
        <f t="shared" si="155"/>
        <v>0</v>
      </c>
      <c r="AM141" s="92">
        <v>0</v>
      </c>
      <c r="AN141" s="92">
        <v>0</v>
      </c>
      <c r="AO141" s="34"/>
      <c r="AP141" s="34">
        <f t="shared" si="138"/>
        <v>0</v>
      </c>
      <c r="AQ141" s="34">
        <f t="shared" si="139"/>
        <v>0</v>
      </c>
      <c r="AR141" s="34">
        <f t="shared" si="140"/>
        <v>0</v>
      </c>
      <c r="AS141" s="34">
        <f t="shared" si="141"/>
        <v>0</v>
      </c>
      <c r="AT141" s="34">
        <f t="shared" si="142"/>
        <v>0</v>
      </c>
      <c r="AU141" s="34">
        <f t="shared" si="143"/>
        <v>0</v>
      </c>
      <c r="AV141" s="34">
        <f t="shared" si="144"/>
        <v>0</v>
      </c>
      <c r="AW141" s="34">
        <f t="shared" si="145"/>
        <v>0</v>
      </c>
      <c r="AX141" s="34">
        <f t="shared" si="146"/>
        <v>0</v>
      </c>
      <c r="AY141" s="34">
        <f t="shared" si="147"/>
        <v>0</v>
      </c>
      <c r="AZ141" s="34">
        <f t="shared" si="148"/>
        <v>0</v>
      </c>
      <c r="BA141" s="69"/>
      <c r="BB141" s="42"/>
    </row>
    <row r="142" spans="2:54" ht="12.75" customHeight="1">
      <c r="B142" s="122" t="s">
        <v>609</v>
      </c>
      <c r="C142" s="92">
        <v>-153</v>
      </c>
      <c r="D142" s="92">
        <v>-55</v>
      </c>
      <c r="E142" s="92">
        <v>-70</v>
      </c>
      <c r="F142" s="92">
        <v>-177</v>
      </c>
      <c r="G142" s="92">
        <v>-210</v>
      </c>
      <c r="H142" s="92">
        <v>-223</v>
      </c>
      <c r="I142" s="92">
        <v>-1177</v>
      </c>
      <c r="K142" s="92">
        <v>-59</v>
      </c>
      <c r="L142" s="34">
        <f>-117-K142</f>
        <v>-58</v>
      </c>
      <c r="M142" s="34">
        <f>-143-L142-K142</f>
        <v>-26</v>
      </c>
      <c r="N142" s="34">
        <f t="shared" si="149"/>
        <v>-10</v>
      </c>
      <c r="O142" s="92">
        <v>-9</v>
      </c>
      <c r="P142" s="34">
        <f>-21-O142</f>
        <v>-12</v>
      </c>
      <c r="Q142" s="34">
        <f>-31-P142-O142</f>
        <v>-10</v>
      </c>
      <c r="R142" s="34">
        <f t="shared" si="150"/>
        <v>-24</v>
      </c>
      <c r="S142" s="92">
        <f>-(16)</f>
        <v>-16</v>
      </c>
      <c r="T142" s="92">
        <f>-34-S142</f>
        <v>-18</v>
      </c>
      <c r="U142" s="92">
        <f>-52-T142-S142</f>
        <v>-18</v>
      </c>
      <c r="V142" s="34">
        <f t="shared" si="151"/>
        <v>-18</v>
      </c>
      <c r="W142" s="92">
        <v>-36</v>
      </c>
      <c r="X142" s="92">
        <f>-83-W142</f>
        <v>-47</v>
      </c>
      <c r="Y142" s="92">
        <f>-130-X142-W142</f>
        <v>-47</v>
      </c>
      <c r="Z142" s="34">
        <f t="shared" si="152"/>
        <v>-47</v>
      </c>
      <c r="AA142" s="92">
        <v>-45</v>
      </c>
      <c r="AB142" s="92">
        <f>-43-AA142</f>
        <v>2</v>
      </c>
      <c r="AC142" s="92">
        <f>-152-AB142-AA142</f>
        <v>-109</v>
      </c>
      <c r="AD142" s="34">
        <f t="shared" si="153"/>
        <v>-58</v>
      </c>
      <c r="AE142" s="92">
        <v>-33</v>
      </c>
      <c r="AF142" s="92">
        <f>-115-AE142</f>
        <v>-82</v>
      </c>
      <c r="AG142" s="92">
        <f>-168-AF142-AE142</f>
        <v>-53</v>
      </c>
      <c r="AH142" s="34">
        <f t="shared" si="154"/>
        <v>-55</v>
      </c>
      <c r="AI142" s="92">
        <v>-511</v>
      </c>
      <c r="AJ142" s="92">
        <f>-514-AI142</f>
        <v>-3</v>
      </c>
      <c r="AK142" s="92">
        <f>-683-AJ142-AI142</f>
        <v>-169</v>
      </c>
      <c r="AL142" s="34">
        <f t="shared" si="155"/>
        <v>-494</v>
      </c>
      <c r="AM142" s="92">
        <v>-244</v>
      </c>
      <c r="AN142" s="92">
        <f>-937-AM142</f>
        <v>-693</v>
      </c>
      <c r="AO142" s="34"/>
      <c r="AP142" s="34">
        <f t="shared" si="138"/>
        <v>-210</v>
      </c>
      <c r="AQ142" s="34">
        <f t="shared" si="139"/>
        <v>-198</v>
      </c>
      <c r="AR142" s="34">
        <f t="shared" si="140"/>
        <v>-282</v>
      </c>
      <c r="AS142" s="34">
        <f t="shared" si="141"/>
        <v>-226</v>
      </c>
      <c r="AT142" s="34">
        <f t="shared" si="142"/>
        <v>-223</v>
      </c>
      <c r="AU142" s="34">
        <f t="shared" si="143"/>
        <v>-701</v>
      </c>
      <c r="AV142" s="34">
        <f t="shared" si="144"/>
        <v>-622</v>
      </c>
      <c r="AW142" s="34">
        <f t="shared" si="145"/>
        <v>-738</v>
      </c>
      <c r="AX142" s="34">
        <f t="shared" si="146"/>
        <v>-1177</v>
      </c>
      <c r="AY142" s="34">
        <f t="shared" si="147"/>
        <v>-910</v>
      </c>
      <c r="AZ142" s="34">
        <f t="shared" si="148"/>
        <v>-1600</v>
      </c>
      <c r="BA142" s="69"/>
      <c r="BB142" s="42"/>
    </row>
    <row r="143" spans="2:54" ht="12.75" customHeight="1">
      <c r="B143" s="122" t="s">
        <v>610</v>
      </c>
      <c r="C143" s="92">
        <f>-1000+20000</f>
        <v>19000</v>
      </c>
      <c r="D143" s="92">
        <v>0</v>
      </c>
      <c r="E143" s="92">
        <v>-20000</v>
      </c>
      <c r="F143" s="92">
        <v>0</v>
      </c>
      <c r="G143" s="92">
        <v>0</v>
      </c>
      <c r="H143" s="92">
        <v>0</v>
      </c>
      <c r="I143" s="92">
        <v>0</v>
      </c>
      <c r="K143" s="92">
        <v>-125</v>
      </c>
      <c r="L143" s="92">
        <f>-1000+10000-K143</f>
        <v>9125</v>
      </c>
      <c r="M143" s="34">
        <f>-1000+20000-L143-K143</f>
        <v>10000</v>
      </c>
      <c r="N143" s="34">
        <f t="shared" si="149"/>
        <v>0</v>
      </c>
      <c r="O143" s="92">
        <v>0</v>
      </c>
      <c r="P143" s="92">
        <v>0</v>
      </c>
      <c r="Q143" s="92">
        <v>0</v>
      </c>
      <c r="R143" s="34">
        <f t="shared" si="150"/>
        <v>0</v>
      </c>
      <c r="S143" s="92">
        <v>0</v>
      </c>
      <c r="T143" s="92">
        <f>-20000-S143</f>
        <v>-20000</v>
      </c>
      <c r="U143" s="92">
        <f>-20000-T143-S143</f>
        <v>0</v>
      </c>
      <c r="V143" s="34">
        <f t="shared" si="151"/>
        <v>0</v>
      </c>
      <c r="W143" s="92">
        <v>0</v>
      </c>
      <c r="X143" s="92">
        <v>0</v>
      </c>
      <c r="Y143" s="92">
        <v>0</v>
      </c>
      <c r="Z143" s="34">
        <f t="shared" si="152"/>
        <v>0</v>
      </c>
      <c r="AA143" s="92">
        <v>0</v>
      </c>
      <c r="AB143" s="92">
        <v>0</v>
      </c>
      <c r="AC143" s="92">
        <v>0</v>
      </c>
      <c r="AD143" s="34">
        <f t="shared" si="153"/>
        <v>0</v>
      </c>
      <c r="AE143" s="92">
        <v>0</v>
      </c>
      <c r="AF143" s="92">
        <v>0</v>
      </c>
      <c r="AG143" s="92">
        <v>0</v>
      </c>
      <c r="AH143" s="34">
        <f t="shared" si="154"/>
        <v>0</v>
      </c>
      <c r="AI143" s="92">
        <v>0</v>
      </c>
      <c r="AJ143" s="92">
        <v>0</v>
      </c>
      <c r="AK143" s="92">
        <v>0</v>
      </c>
      <c r="AL143" s="34">
        <f t="shared" si="155"/>
        <v>0</v>
      </c>
      <c r="AM143" s="92">
        <v>0</v>
      </c>
      <c r="AN143" s="92">
        <f>40000-AM143</f>
        <v>40000</v>
      </c>
      <c r="AO143" s="34"/>
      <c r="AP143" s="34">
        <f t="shared" si="138"/>
        <v>0</v>
      </c>
      <c r="AQ143" s="34">
        <f t="shared" si="139"/>
        <v>0</v>
      </c>
      <c r="AR143" s="34">
        <f t="shared" si="140"/>
        <v>0</v>
      </c>
      <c r="AS143" s="34">
        <f t="shared" si="141"/>
        <v>0</v>
      </c>
      <c r="AT143" s="34">
        <f t="shared" si="142"/>
        <v>0</v>
      </c>
      <c r="AU143" s="34">
        <f t="shared" si="143"/>
        <v>0</v>
      </c>
      <c r="AV143" s="34">
        <f t="shared" si="144"/>
        <v>0</v>
      </c>
      <c r="AW143" s="34">
        <f t="shared" si="145"/>
        <v>0</v>
      </c>
      <c r="AX143" s="34">
        <f t="shared" si="146"/>
        <v>0</v>
      </c>
      <c r="AY143" s="34">
        <f t="shared" si="147"/>
        <v>0</v>
      </c>
      <c r="AZ143" s="34">
        <f t="shared" si="148"/>
        <v>40000</v>
      </c>
      <c r="BA143" s="69"/>
      <c r="BB143" s="42"/>
    </row>
    <row r="144" spans="2:54" ht="12.75" customHeight="1">
      <c r="B144" s="122" t="s">
        <v>611</v>
      </c>
      <c r="C144" s="92">
        <f>5000-1450</f>
        <v>3550</v>
      </c>
      <c r="D144" s="92">
        <v>0</v>
      </c>
      <c r="E144" s="92">
        <v>-5000</v>
      </c>
      <c r="F144" s="92">
        <v>0</v>
      </c>
      <c r="G144" s="92">
        <v>0</v>
      </c>
      <c r="H144" s="92">
        <v>0</v>
      </c>
      <c r="I144" s="92">
        <v>0</v>
      </c>
      <c r="K144" s="92">
        <v>0</v>
      </c>
      <c r="L144" s="34">
        <f>-1450-K144</f>
        <v>-1450</v>
      </c>
      <c r="M144" s="34">
        <f>5000-1450-L144-K144</f>
        <v>5000</v>
      </c>
      <c r="N144" s="34">
        <f t="shared" si="149"/>
        <v>0</v>
      </c>
      <c r="O144" s="92">
        <v>0</v>
      </c>
      <c r="P144" s="92">
        <v>0</v>
      </c>
      <c r="Q144" s="92">
        <v>0</v>
      </c>
      <c r="R144" s="34">
        <f t="shared" si="150"/>
        <v>0</v>
      </c>
      <c r="S144" s="92">
        <v>0</v>
      </c>
      <c r="T144" s="92">
        <f>-5000-S144</f>
        <v>-5000</v>
      </c>
      <c r="U144" s="92">
        <f>-5000-T144-S144</f>
        <v>0</v>
      </c>
      <c r="V144" s="34">
        <f t="shared" si="151"/>
        <v>0</v>
      </c>
      <c r="W144" s="92">
        <v>0</v>
      </c>
      <c r="X144" s="92">
        <v>0</v>
      </c>
      <c r="Y144" s="92">
        <v>0</v>
      </c>
      <c r="Z144" s="34">
        <f t="shared" si="152"/>
        <v>0</v>
      </c>
      <c r="AA144" s="92">
        <v>0</v>
      </c>
      <c r="AB144" s="92">
        <v>0</v>
      </c>
      <c r="AC144" s="92">
        <v>0</v>
      </c>
      <c r="AD144" s="34">
        <f t="shared" si="153"/>
        <v>0</v>
      </c>
      <c r="AE144" s="92">
        <v>0</v>
      </c>
      <c r="AF144" s="92">
        <v>0</v>
      </c>
      <c r="AG144" s="92">
        <v>0</v>
      </c>
      <c r="AH144" s="34">
        <f t="shared" si="154"/>
        <v>0</v>
      </c>
      <c r="AI144" s="92">
        <v>0</v>
      </c>
      <c r="AJ144" s="92">
        <v>0</v>
      </c>
      <c r="AK144" s="92">
        <v>0</v>
      </c>
      <c r="AL144" s="34">
        <f t="shared" si="155"/>
        <v>0</v>
      </c>
      <c r="AM144" s="92">
        <v>0</v>
      </c>
      <c r="AN144" s="92">
        <v>0</v>
      </c>
      <c r="AO144" s="34"/>
      <c r="AP144" s="34">
        <f t="shared" si="138"/>
        <v>0</v>
      </c>
      <c r="AQ144" s="34">
        <f t="shared" si="139"/>
        <v>0</v>
      </c>
      <c r="AR144" s="34">
        <f t="shared" si="140"/>
        <v>0</v>
      </c>
      <c r="AS144" s="34">
        <f t="shared" si="141"/>
        <v>0</v>
      </c>
      <c r="AT144" s="34">
        <f t="shared" si="142"/>
        <v>0</v>
      </c>
      <c r="AU144" s="34">
        <f t="shared" si="143"/>
        <v>0</v>
      </c>
      <c r="AV144" s="34">
        <f t="shared" si="144"/>
        <v>0</v>
      </c>
      <c r="AW144" s="34">
        <f t="shared" si="145"/>
        <v>0</v>
      </c>
      <c r="AX144" s="34">
        <f t="shared" si="146"/>
        <v>0</v>
      </c>
      <c r="AY144" s="34">
        <f t="shared" si="147"/>
        <v>0</v>
      </c>
      <c r="AZ144" s="34">
        <f t="shared" si="148"/>
        <v>0</v>
      </c>
      <c r="BA144" s="69"/>
      <c r="BB144" s="42"/>
    </row>
    <row r="145" spans="2:54" ht="12.75" customHeight="1">
      <c r="B145" s="122" t="s">
        <v>612</v>
      </c>
      <c r="C145" s="92">
        <f>-437-2415</f>
        <v>-2852</v>
      </c>
      <c r="D145" s="92">
        <v>0</v>
      </c>
      <c r="E145" s="92">
        <f>-1224-1200</f>
        <v>-2424</v>
      </c>
      <c r="F145" s="92">
        <v>-23605</v>
      </c>
      <c r="G145" s="92">
        <v>0</v>
      </c>
      <c r="H145" s="92">
        <v>0</v>
      </c>
      <c r="I145" s="92">
        <v>0</v>
      </c>
      <c r="K145" s="92">
        <v>0</v>
      </c>
      <c r="L145" s="34">
        <v>0</v>
      </c>
      <c r="M145" s="34">
        <f>-492-L145-K145</f>
        <v>-492</v>
      </c>
      <c r="N145" s="34">
        <f t="shared" si="149"/>
        <v>-2360</v>
      </c>
      <c r="O145" s="92">
        <v>-946</v>
      </c>
      <c r="P145" s="34">
        <f>0-O145</f>
        <v>946</v>
      </c>
      <c r="Q145" s="34">
        <v>0</v>
      </c>
      <c r="R145" s="34">
        <f t="shared" si="150"/>
        <v>0</v>
      </c>
      <c r="S145" s="92">
        <v>0</v>
      </c>
      <c r="T145" s="92">
        <f>-1183-1200-S145</f>
        <v>-2383</v>
      </c>
      <c r="U145" s="92">
        <f>-1224-1200-T145-S145</f>
        <v>-41</v>
      </c>
      <c r="V145" s="34">
        <f t="shared" si="151"/>
        <v>0</v>
      </c>
      <c r="W145" s="92">
        <v>-23150</v>
      </c>
      <c r="X145" s="92">
        <f>-23605-W145</f>
        <v>-455</v>
      </c>
      <c r="Y145" s="92">
        <f>-23605-X145-W145</f>
        <v>0</v>
      </c>
      <c r="Z145" s="34">
        <f t="shared" si="152"/>
        <v>0</v>
      </c>
      <c r="AA145" s="92">
        <v>0</v>
      </c>
      <c r="AB145" s="92">
        <v>0</v>
      </c>
      <c r="AC145" s="92">
        <v>0</v>
      </c>
      <c r="AD145" s="34">
        <f t="shared" si="153"/>
        <v>0</v>
      </c>
      <c r="AE145" s="92">
        <v>0</v>
      </c>
      <c r="AF145" s="92">
        <v>0</v>
      </c>
      <c r="AG145" s="92">
        <v>0</v>
      </c>
      <c r="AH145" s="34">
        <f t="shared" si="154"/>
        <v>0</v>
      </c>
      <c r="AI145" s="92">
        <v>0</v>
      </c>
      <c r="AJ145" s="92">
        <v>0</v>
      </c>
      <c r="AK145" s="92">
        <v>0</v>
      </c>
      <c r="AL145" s="34">
        <f t="shared" si="155"/>
        <v>0</v>
      </c>
      <c r="AM145" s="92">
        <v>-125</v>
      </c>
      <c r="AN145" s="92">
        <f>-5117-AM145</f>
        <v>-4992</v>
      </c>
      <c r="AO145" s="34"/>
      <c r="AP145" s="34">
        <f t="shared" si="138"/>
        <v>0</v>
      </c>
      <c r="AQ145" s="34">
        <f t="shared" si="139"/>
        <v>0</v>
      </c>
      <c r="AR145" s="34">
        <f t="shared" si="140"/>
        <v>0</v>
      </c>
      <c r="AS145" s="34">
        <f t="shared" si="141"/>
        <v>0</v>
      </c>
      <c r="AT145" s="34">
        <f t="shared" si="142"/>
        <v>0</v>
      </c>
      <c r="AU145" s="34">
        <f t="shared" si="143"/>
        <v>0</v>
      </c>
      <c r="AV145" s="34">
        <f t="shared" si="144"/>
        <v>0</v>
      </c>
      <c r="AW145" s="34">
        <f t="shared" si="145"/>
        <v>0</v>
      </c>
      <c r="AX145" s="34">
        <f t="shared" si="146"/>
        <v>0</v>
      </c>
      <c r="AY145" s="34">
        <f t="shared" si="147"/>
        <v>-125</v>
      </c>
      <c r="AZ145" s="34">
        <f t="shared" si="148"/>
        <v>-5117</v>
      </c>
      <c r="BA145" s="69"/>
      <c r="BB145" s="42"/>
    </row>
    <row r="146" spans="2:54" ht="12.75" customHeight="1">
      <c r="B146" s="14" t="s">
        <v>91</v>
      </c>
      <c r="C146" s="36">
        <f t="shared" ref="C146:I146" si="156">SUM(C137:C145)</f>
        <v>76199</v>
      </c>
      <c r="D146" s="36">
        <f t="shared" si="156"/>
        <v>294876</v>
      </c>
      <c r="E146" s="36">
        <f t="shared" si="156"/>
        <v>-1762</v>
      </c>
      <c r="F146" s="36">
        <f t="shared" si="156"/>
        <v>1022322</v>
      </c>
      <c r="G146" s="36">
        <f t="shared" si="156"/>
        <v>276</v>
      </c>
      <c r="H146" s="36">
        <f t="shared" si="156"/>
        <v>-550</v>
      </c>
      <c r="I146" s="36">
        <f t="shared" si="156"/>
        <v>45777</v>
      </c>
      <c r="J146" s="34"/>
      <c r="K146" s="36">
        <f t="shared" ref="K146:AN146" si="157">SUM(K137:K145)</f>
        <v>-1368</v>
      </c>
      <c r="L146" s="36">
        <f t="shared" si="157"/>
        <v>9352</v>
      </c>
      <c r="M146" s="36">
        <f t="shared" si="157"/>
        <v>45343</v>
      </c>
      <c r="N146" s="36">
        <f t="shared" si="157"/>
        <v>22872</v>
      </c>
      <c r="O146" s="36">
        <f t="shared" si="157"/>
        <v>-589</v>
      </c>
      <c r="P146" s="36">
        <f t="shared" si="157"/>
        <v>256549</v>
      </c>
      <c r="Q146" s="36">
        <f t="shared" si="157"/>
        <v>37712</v>
      </c>
      <c r="R146" s="36">
        <f t="shared" si="157"/>
        <v>1204</v>
      </c>
      <c r="S146" s="36">
        <f t="shared" si="157"/>
        <v>986</v>
      </c>
      <c r="T146" s="36">
        <f t="shared" si="157"/>
        <v>18190</v>
      </c>
      <c r="U146" s="36">
        <f t="shared" si="157"/>
        <v>2103</v>
      </c>
      <c r="V146" s="36">
        <f t="shared" si="157"/>
        <v>-23041</v>
      </c>
      <c r="W146" s="36">
        <f t="shared" si="157"/>
        <v>1019913</v>
      </c>
      <c r="X146" s="36">
        <f t="shared" si="157"/>
        <v>2161</v>
      </c>
      <c r="Y146" s="36">
        <f t="shared" si="157"/>
        <v>46</v>
      </c>
      <c r="Z146" s="36">
        <f t="shared" si="157"/>
        <v>202</v>
      </c>
      <c r="AA146" s="36">
        <f t="shared" si="157"/>
        <v>331</v>
      </c>
      <c r="AB146" s="36">
        <f t="shared" si="157"/>
        <v>166</v>
      </c>
      <c r="AC146" s="36">
        <f t="shared" si="157"/>
        <v>-112</v>
      </c>
      <c r="AD146" s="36">
        <f t="shared" si="157"/>
        <v>-109</v>
      </c>
      <c r="AE146" s="36">
        <f t="shared" si="157"/>
        <v>-149</v>
      </c>
      <c r="AF146" s="36">
        <f t="shared" si="157"/>
        <v>-151</v>
      </c>
      <c r="AG146" s="36">
        <f t="shared" si="157"/>
        <v>-88</v>
      </c>
      <c r="AH146" s="36">
        <f t="shared" si="157"/>
        <v>-162</v>
      </c>
      <c r="AI146" s="36">
        <f t="shared" si="157"/>
        <v>-941</v>
      </c>
      <c r="AJ146" s="36">
        <f t="shared" si="157"/>
        <v>-107</v>
      </c>
      <c r="AK146" s="36">
        <f t="shared" si="157"/>
        <v>-234</v>
      </c>
      <c r="AL146" s="36">
        <f t="shared" si="157"/>
        <v>47059</v>
      </c>
      <c r="AM146" s="36">
        <f t="shared" si="157"/>
        <v>-589</v>
      </c>
      <c r="AN146" s="36">
        <f t="shared" si="157"/>
        <v>34229</v>
      </c>
      <c r="AP146" s="36">
        <f t="shared" ref="AP146:AZ146" si="158">SUM(AP140:AP145)</f>
        <v>-210</v>
      </c>
      <c r="AQ146" s="36">
        <f t="shared" si="158"/>
        <v>-198</v>
      </c>
      <c r="AR146" s="36">
        <f t="shared" si="158"/>
        <v>-282</v>
      </c>
      <c r="AS146" s="36">
        <f t="shared" si="158"/>
        <v>-226</v>
      </c>
      <c r="AT146" s="36">
        <f t="shared" si="158"/>
        <v>-223</v>
      </c>
      <c r="AU146" s="36">
        <f t="shared" si="158"/>
        <v>-701</v>
      </c>
      <c r="AV146" s="36">
        <f t="shared" si="158"/>
        <v>-622</v>
      </c>
      <c r="AW146" s="36">
        <f t="shared" si="158"/>
        <v>-738</v>
      </c>
      <c r="AX146" s="36">
        <f t="shared" si="158"/>
        <v>-1177</v>
      </c>
      <c r="AY146" s="36">
        <f t="shared" si="158"/>
        <v>-1035</v>
      </c>
      <c r="AZ146" s="36">
        <f t="shared" si="158"/>
        <v>33283</v>
      </c>
      <c r="BA146" s="45"/>
      <c r="BB146" s="84">
        <f>SUM(AZ146/AV146)-1</f>
        <v>-54.5096463022508</v>
      </c>
    </row>
    <row r="147" spans="2:54" ht="5.0999999999999996" customHeight="1">
      <c r="B147" s="8"/>
      <c r="C147" s="71"/>
      <c r="D147" s="71"/>
      <c r="E147" s="71"/>
      <c r="F147" s="71"/>
      <c r="G147" s="71"/>
      <c r="H147" s="71"/>
      <c r="I147" s="71"/>
      <c r="J147" s="34"/>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P147" s="12"/>
      <c r="AQ147" s="12"/>
      <c r="AR147" s="12"/>
      <c r="AS147" s="12"/>
      <c r="AT147" s="12"/>
      <c r="AU147" s="12"/>
      <c r="AV147" s="12"/>
      <c r="AW147" s="12"/>
      <c r="AX147" s="12"/>
      <c r="AY147" s="12"/>
      <c r="AZ147" s="12"/>
      <c r="BA147" s="12"/>
      <c r="BB147" s="50"/>
    </row>
    <row r="148" spans="2:54" ht="5.0999999999999996" customHeight="1">
      <c r="B148" s="79"/>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12"/>
      <c r="BB148" s="50"/>
    </row>
    <row r="149" spans="2:54">
      <c r="B149" s="188" t="s">
        <v>99</v>
      </c>
      <c r="C149" s="189">
        <v>39035</v>
      </c>
      <c r="D149" s="189">
        <f t="shared" ref="D149:I149" si="159">C155</f>
        <v>54271</v>
      </c>
      <c r="E149" s="189">
        <f t="shared" si="159"/>
        <v>275988</v>
      </c>
      <c r="F149" s="189">
        <f t="shared" si="159"/>
        <v>159127</v>
      </c>
      <c r="G149" s="189">
        <f t="shared" si="159"/>
        <v>733294</v>
      </c>
      <c r="H149" s="189">
        <f t="shared" si="159"/>
        <v>309922</v>
      </c>
      <c r="I149" s="189">
        <f t="shared" si="159"/>
        <v>193755</v>
      </c>
      <c r="J149" s="189"/>
      <c r="K149" s="189">
        <v>39035</v>
      </c>
      <c r="L149" s="189">
        <f>K155</f>
        <v>29047</v>
      </c>
      <c r="M149" s="189">
        <f t="shared" ref="M149:AN149" si="160">L155</f>
        <v>23489</v>
      </c>
      <c r="N149" s="189">
        <f t="shared" si="160"/>
        <v>49780</v>
      </c>
      <c r="O149" s="189">
        <f t="shared" si="160"/>
        <v>54271</v>
      </c>
      <c r="P149" s="189">
        <f t="shared" si="160"/>
        <v>35409</v>
      </c>
      <c r="Q149" s="189">
        <f t="shared" si="160"/>
        <v>276987</v>
      </c>
      <c r="R149" s="189">
        <f t="shared" si="160"/>
        <v>312451</v>
      </c>
      <c r="S149" s="189">
        <f t="shared" si="160"/>
        <v>275988</v>
      </c>
      <c r="T149" s="189">
        <f t="shared" si="160"/>
        <v>246410</v>
      </c>
      <c r="U149" s="189">
        <f t="shared" si="160"/>
        <v>222334</v>
      </c>
      <c r="V149" s="189">
        <f t="shared" si="160"/>
        <v>214615</v>
      </c>
      <c r="W149" s="189">
        <f t="shared" si="160"/>
        <v>159127</v>
      </c>
      <c r="X149" s="189">
        <f t="shared" si="160"/>
        <v>1125017</v>
      </c>
      <c r="Y149" s="189">
        <f t="shared" si="160"/>
        <v>1009337</v>
      </c>
      <c r="Z149" s="189">
        <f t="shared" si="160"/>
        <v>886442</v>
      </c>
      <c r="AA149" s="189">
        <f t="shared" si="160"/>
        <v>733294</v>
      </c>
      <c r="AB149" s="189">
        <f t="shared" si="160"/>
        <v>547858</v>
      </c>
      <c r="AC149" s="189">
        <f t="shared" si="160"/>
        <v>454674</v>
      </c>
      <c r="AD149" s="189">
        <f t="shared" si="160"/>
        <v>390176</v>
      </c>
      <c r="AE149" s="189">
        <f t="shared" si="160"/>
        <v>309922</v>
      </c>
      <c r="AF149" s="189">
        <f t="shared" si="160"/>
        <v>258566</v>
      </c>
      <c r="AG149" s="189">
        <f t="shared" si="160"/>
        <v>210781</v>
      </c>
      <c r="AH149" s="189">
        <f t="shared" si="160"/>
        <v>217545</v>
      </c>
      <c r="AI149" s="189">
        <f t="shared" si="160"/>
        <v>193755</v>
      </c>
      <c r="AJ149" s="189">
        <f t="shared" si="160"/>
        <v>162214</v>
      </c>
      <c r="AK149" s="189">
        <f t="shared" si="160"/>
        <v>146721</v>
      </c>
      <c r="AL149" s="189">
        <f t="shared" si="160"/>
        <v>123261</v>
      </c>
      <c r="AM149" s="189">
        <f t="shared" si="160"/>
        <v>120392</v>
      </c>
      <c r="AN149" s="189">
        <f t="shared" si="160"/>
        <v>104285</v>
      </c>
      <c r="AO149" s="189"/>
      <c r="AP149" s="190">
        <f t="shared" ref="AP149:AY149" si="161">AD155</f>
        <v>309922</v>
      </c>
      <c r="AQ149" s="190">
        <f t="shared" si="161"/>
        <v>258566</v>
      </c>
      <c r="AR149" s="190">
        <f t="shared" si="161"/>
        <v>210781</v>
      </c>
      <c r="AS149" s="190">
        <f t="shared" si="161"/>
        <v>217545</v>
      </c>
      <c r="AT149" s="190">
        <f t="shared" si="161"/>
        <v>193755</v>
      </c>
      <c r="AU149" s="190">
        <f t="shared" si="161"/>
        <v>162214</v>
      </c>
      <c r="AV149" s="190">
        <f t="shared" si="161"/>
        <v>146721</v>
      </c>
      <c r="AW149" s="190">
        <f t="shared" si="161"/>
        <v>123261</v>
      </c>
      <c r="AX149" s="190">
        <f t="shared" si="161"/>
        <v>120392</v>
      </c>
      <c r="AY149" s="190">
        <f t="shared" si="161"/>
        <v>104285</v>
      </c>
      <c r="AZ149" s="190">
        <f>AN155</f>
        <v>103367</v>
      </c>
      <c r="BA149" s="12"/>
      <c r="BB149" s="50"/>
    </row>
    <row r="150" spans="2:54">
      <c r="B150" s="180" t="s">
        <v>579</v>
      </c>
      <c r="C150" s="34">
        <v>0</v>
      </c>
      <c r="D150" s="34">
        <f>C153</f>
        <v>0</v>
      </c>
      <c r="E150" s="34">
        <f>D153</f>
        <v>0</v>
      </c>
      <c r="F150" s="34">
        <v>0</v>
      </c>
      <c r="G150" s="34">
        <v>0</v>
      </c>
      <c r="H150" s="34">
        <f>-G153</f>
        <v>15877</v>
      </c>
      <c r="I150" s="34">
        <f>-H153</f>
        <v>14178</v>
      </c>
      <c r="J150" s="34"/>
      <c r="K150" s="34"/>
      <c r="L150" s="34"/>
      <c r="M150" s="34">
        <f>-L153</f>
        <v>830</v>
      </c>
      <c r="N150" s="34">
        <f>-M153</f>
        <v>0</v>
      </c>
      <c r="O150" s="34">
        <f>-N153</f>
        <v>0</v>
      </c>
      <c r="P150" s="34">
        <f t="shared" ref="P150:AN150" si="162">-O153</f>
        <v>0</v>
      </c>
      <c r="Q150" s="34">
        <f t="shared" si="162"/>
        <v>0</v>
      </c>
      <c r="R150" s="34">
        <f t="shared" si="162"/>
        <v>0</v>
      </c>
      <c r="S150" s="34">
        <f t="shared" si="162"/>
        <v>0</v>
      </c>
      <c r="T150" s="34">
        <f t="shared" si="162"/>
        <v>0</v>
      </c>
      <c r="U150" s="34"/>
      <c r="V150" s="34">
        <v>0</v>
      </c>
      <c r="W150" s="34">
        <v>0</v>
      </c>
      <c r="X150" s="34">
        <f t="shared" si="162"/>
        <v>-15</v>
      </c>
      <c r="Y150" s="34">
        <f t="shared" si="162"/>
        <v>-146</v>
      </c>
      <c r="Z150" s="34">
        <f>SUM(F150-SUM(W150:Y150))</f>
        <v>161</v>
      </c>
      <c r="AA150" s="34">
        <v>0</v>
      </c>
      <c r="AB150" s="34">
        <f>-AA153</f>
        <v>-942</v>
      </c>
      <c r="AC150" s="34">
        <f t="shared" si="162"/>
        <v>1439</v>
      </c>
      <c r="AD150" s="34">
        <f>SUM(G150-SUM(AA150:AC150))</f>
        <v>-497</v>
      </c>
      <c r="AE150" s="34">
        <v>0</v>
      </c>
      <c r="AF150" s="34">
        <f t="shared" si="162"/>
        <v>2728</v>
      </c>
      <c r="AG150" s="34">
        <f t="shared" si="162"/>
        <v>2432</v>
      </c>
      <c r="AH150" s="34">
        <f>SUM(H150-SUM(AE150:AG150))</f>
        <v>10717</v>
      </c>
      <c r="AI150" s="34">
        <v>1507</v>
      </c>
      <c r="AJ150" s="34">
        <f>-AI153-848</f>
        <v>-848</v>
      </c>
      <c r="AK150" s="34">
        <f t="shared" si="162"/>
        <v>0</v>
      </c>
      <c r="AL150" s="34">
        <f t="shared" si="162"/>
        <v>0</v>
      </c>
      <c r="AM150" s="34">
        <f t="shared" si="162"/>
        <v>14754</v>
      </c>
      <c r="AN150" s="34">
        <f t="shared" si="162"/>
        <v>0</v>
      </c>
      <c r="AO150" s="34"/>
      <c r="AP150" s="184">
        <f t="shared" ref="AP150:AY150" si="163">-AO153</f>
        <v>0</v>
      </c>
      <c r="AQ150" s="184">
        <f t="shared" si="163"/>
        <v>15877</v>
      </c>
      <c r="AR150" s="184">
        <f t="shared" si="163"/>
        <v>19547</v>
      </c>
      <c r="AS150" s="184">
        <f t="shared" si="163"/>
        <v>20540</v>
      </c>
      <c r="AT150" s="184">
        <f t="shared" si="163"/>
        <v>21455</v>
      </c>
      <c r="AU150" s="184">
        <f t="shared" si="163"/>
        <v>14178</v>
      </c>
      <c r="AV150" s="184">
        <f t="shared" si="163"/>
        <v>11450</v>
      </c>
      <c r="AW150" s="184">
        <f t="shared" si="163"/>
        <v>9018</v>
      </c>
      <c r="AX150" s="184">
        <f t="shared" si="163"/>
        <v>5651</v>
      </c>
      <c r="AY150" s="184">
        <f t="shared" si="163"/>
        <v>14754</v>
      </c>
      <c r="AZ150" s="184">
        <f>-AY153</f>
        <v>14754</v>
      </c>
      <c r="BA150" s="12"/>
      <c r="BB150" s="50"/>
    </row>
    <row r="151" spans="2:54">
      <c r="B151" s="181" t="s">
        <v>283</v>
      </c>
      <c r="C151" s="171">
        <f t="shared" ref="C151:I151" si="164">SUM(C149:C150)</f>
        <v>39035</v>
      </c>
      <c r="D151" s="171">
        <f t="shared" si="164"/>
        <v>54271</v>
      </c>
      <c r="E151" s="171">
        <f t="shared" si="164"/>
        <v>275988</v>
      </c>
      <c r="F151" s="171">
        <f t="shared" si="164"/>
        <v>159127</v>
      </c>
      <c r="G151" s="171">
        <f t="shared" si="164"/>
        <v>733294</v>
      </c>
      <c r="H151" s="171">
        <f t="shared" si="164"/>
        <v>325799</v>
      </c>
      <c r="I151" s="171">
        <f t="shared" si="164"/>
        <v>207933</v>
      </c>
      <c r="J151" s="34"/>
      <c r="K151" s="171">
        <f t="shared" ref="K151:AK151" si="165">SUM(K149:K150)</f>
        <v>39035</v>
      </c>
      <c r="L151" s="171">
        <f t="shared" si="165"/>
        <v>29047</v>
      </c>
      <c r="M151" s="171">
        <f t="shared" si="165"/>
        <v>24319</v>
      </c>
      <c r="N151" s="171">
        <f t="shared" si="165"/>
        <v>49780</v>
      </c>
      <c r="O151" s="171">
        <f t="shared" si="165"/>
        <v>54271</v>
      </c>
      <c r="P151" s="171">
        <f t="shared" si="165"/>
        <v>35409</v>
      </c>
      <c r="Q151" s="171">
        <f t="shared" si="165"/>
        <v>276987</v>
      </c>
      <c r="R151" s="171">
        <f t="shared" si="165"/>
        <v>312451</v>
      </c>
      <c r="S151" s="171">
        <f t="shared" si="165"/>
        <v>275988</v>
      </c>
      <c r="T151" s="171">
        <f t="shared" si="165"/>
        <v>246410</v>
      </c>
      <c r="U151" s="171">
        <f t="shared" si="165"/>
        <v>222334</v>
      </c>
      <c r="V151" s="171">
        <f t="shared" si="165"/>
        <v>214615</v>
      </c>
      <c r="W151" s="171">
        <f t="shared" si="165"/>
        <v>159127</v>
      </c>
      <c r="X151" s="171">
        <f t="shared" si="165"/>
        <v>1125002</v>
      </c>
      <c r="Y151" s="171">
        <f t="shared" si="165"/>
        <v>1009191</v>
      </c>
      <c r="Z151" s="171">
        <f t="shared" si="165"/>
        <v>886603</v>
      </c>
      <c r="AA151" s="171">
        <f t="shared" si="165"/>
        <v>733294</v>
      </c>
      <c r="AB151" s="171">
        <f t="shared" si="165"/>
        <v>546916</v>
      </c>
      <c r="AC151" s="171">
        <f t="shared" si="165"/>
        <v>456113</v>
      </c>
      <c r="AD151" s="171">
        <f t="shared" si="165"/>
        <v>389679</v>
      </c>
      <c r="AE151" s="171">
        <f t="shared" si="165"/>
        <v>309922</v>
      </c>
      <c r="AF151" s="171">
        <f t="shared" si="165"/>
        <v>261294</v>
      </c>
      <c r="AG151" s="171">
        <f t="shared" si="165"/>
        <v>213213</v>
      </c>
      <c r="AH151" s="171">
        <f t="shared" si="165"/>
        <v>228262</v>
      </c>
      <c r="AI151" s="171">
        <f t="shared" si="165"/>
        <v>195262</v>
      </c>
      <c r="AJ151" s="171">
        <f t="shared" si="165"/>
        <v>161366</v>
      </c>
      <c r="AK151" s="171">
        <f t="shared" si="165"/>
        <v>146721</v>
      </c>
      <c r="AL151" s="171">
        <f>SUM(AL149:AL150)</f>
        <v>123261</v>
      </c>
      <c r="AM151" s="171">
        <f>SUM(AM149:AM150)</f>
        <v>135146</v>
      </c>
      <c r="AN151" s="171">
        <f>SUM(AN149:AN150)</f>
        <v>104285</v>
      </c>
      <c r="AO151" s="34"/>
      <c r="AP151" s="171">
        <f t="shared" ref="AP151:AZ151" si="166">SUM(AP149:AP150)</f>
        <v>309922</v>
      </c>
      <c r="AQ151" s="171">
        <f t="shared" si="166"/>
        <v>274443</v>
      </c>
      <c r="AR151" s="171">
        <f t="shared" si="166"/>
        <v>230328</v>
      </c>
      <c r="AS151" s="171">
        <f t="shared" si="166"/>
        <v>238085</v>
      </c>
      <c r="AT151" s="171">
        <f t="shared" si="166"/>
        <v>215210</v>
      </c>
      <c r="AU151" s="171">
        <f t="shared" si="166"/>
        <v>176392</v>
      </c>
      <c r="AV151" s="171">
        <f t="shared" si="166"/>
        <v>158171</v>
      </c>
      <c r="AW151" s="171">
        <f t="shared" si="166"/>
        <v>132279</v>
      </c>
      <c r="AX151" s="171">
        <f t="shared" si="166"/>
        <v>126043</v>
      </c>
      <c r="AY151" s="171">
        <f t="shared" si="166"/>
        <v>119039</v>
      </c>
      <c r="AZ151" s="185">
        <f t="shared" si="166"/>
        <v>118121</v>
      </c>
      <c r="BA151" s="12"/>
      <c r="BB151" s="50"/>
    </row>
    <row r="152" spans="2:54">
      <c r="B152" s="179"/>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184"/>
      <c r="BA152" s="12"/>
      <c r="BB152" s="50"/>
    </row>
    <row r="153" spans="2:54">
      <c r="B153" s="180" t="s">
        <v>580</v>
      </c>
      <c r="C153" s="92">
        <v>0</v>
      </c>
      <c r="D153" s="92">
        <v>0</v>
      </c>
      <c r="E153" s="92">
        <v>-204</v>
      </c>
      <c r="F153" s="92">
        <v>694</v>
      </c>
      <c r="G153" s="92">
        <f>-3250-G47-G54</f>
        <v>-15877</v>
      </c>
      <c r="H153" s="92">
        <f>1252-H47-H54</f>
        <v>-14178</v>
      </c>
      <c r="I153" s="92">
        <f>-1113-I47-I54</f>
        <v>-14754</v>
      </c>
      <c r="J153" s="34"/>
      <c r="K153" s="92"/>
      <c r="L153" s="92">
        <v>-830</v>
      </c>
      <c r="M153" s="92">
        <f>M47</f>
        <v>0</v>
      </c>
      <c r="N153" s="92">
        <f>N47</f>
        <v>0</v>
      </c>
      <c r="O153" s="92">
        <f>O47</f>
        <v>0</v>
      </c>
      <c r="P153" s="92">
        <v>0</v>
      </c>
      <c r="Q153" s="92"/>
      <c r="R153" s="92"/>
      <c r="S153" s="92">
        <v>0</v>
      </c>
      <c r="T153" s="92">
        <v>-167</v>
      </c>
      <c r="U153" s="92">
        <f>-169-T153</f>
        <v>-2</v>
      </c>
      <c r="V153" s="34">
        <f>SUM(E153-SUM(S153:U153))</f>
        <v>-35</v>
      </c>
      <c r="W153" s="92">
        <v>15</v>
      </c>
      <c r="X153" s="92">
        <v>146</v>
      </c>
      <c r="Y153" s="92">
        <v>675</v>
      </c>
      <c r="Z153" s="34">
        <f>SUM(F153-SUM(W153:Y153))</f>
        <v>-142</v>
      </c>
      <c r="AA153" s="92">
        <v>942</v>
      </c>
      <c r="AB153" s="92">
        <v>-1439</v>
      </c>
      <c r="AC153" s="92">
        <v>-2452</v>
      </c>
      <c r="AD153" s="34">
        <f>SUM(G153-SUM(AA153:AC153))</f>
        <v>-12928</v>
      </c>
      <c r="AE153" s="92">
        <f>-328-AE47+26</f>
        <v>-2728</v>
      </c>
      <c r="AF153" s="92">
        <f>94-AF47+26</f>
        <v>-2432</v>
      </c>
      <c r="AG153" s="92">
        <f>-704-AG47+26</f>
        <v>-3367</v>
      </c>
      <c r="AH153" s="34">
        <f>SUM(H153-SUM(AE153:AG153))</f>
        <v>-5651</v>
      </c>
      <c r="AI153" s="92"/>
      <c r="AJ153" s="92"/>
      <c r="AK153" s="92"/>
      <c r="AL153" s="34">
        <f>SUM(I153-SUM(AI153:AK153))</f>
        <v>-14754</v>
      </c>
      <c r="AM153" s="92"/>
      <c r="AN153" s="92"/>
      <c r="AO153" s="34"/>
      <c r="AP153" s="34">
        <f t="shared" ref="AP153:AZ153" si="167">SUM(AA153:AD153)</f>
        <v>-15877</v>
      </c>
      <c r="AQ153" s="34">
        <f t="shared" si="167"/>
        <v>-19547</v>
      </c>
      <c r="AR153" s="34">
        <f t="shared" si="167"/>
        <v>-20540</v>
      </c>
      <c r="AS153" s="34">
        <f t="shared" si="167"/>
        <v>-21455</v>
      </c>
      <c r="AT153" s="34">
        <f t="shared" si="167"/>
        <v>-14178</v>
      </c>
      <c r="AU153" s="34">
        <f t="shared" si="167"/>
        <v>-11450</v>
      </c>
      <c r="AV153" s="34">
        <f t="shared" si="167"/>
        <v>-9018</v>
      </c>
      <c r="AW153" s="34">
        <f t="shared" si="167"/>
        <v>-5651</v>
      </c>
      <c r="AX153" s="34">
        <f t="shared" si="167"/>
        <v>-14754</v>
      </c>
      <c r="AY153" s="34">
        <f t="shared" si="167"/>
        <v>-14754</v>
      </c>
      <c r="AZ153" s="34">
        <f t="shared" si="167"/>
        <v>-14754</v>
      </c>
      <c r="BA153" s="12"/>
      <c r="BB153" s="50"/>
    </row>
    <row r="154" spans="2:54">
      <c r="B154" s="179" t="s">
        <v>95</v>
      </c>
      <c r="C154" s="34">
        <f t="shared" ref="C154:I154" si="168">+C146+C134+C122</f>
        <v>15236</v>
      </c>
      <c r="D154" s="34">
        <f t="shared" si="168"/>
        <v>221717</v>
      </c>
      <c r="E154" s="34">
        <f t="shared" si="168"/>
        <v>-116657</v>
      </c>
      <c r="F154" s="34">
        <f t="shared" si="168"/>
        <v>573473</v>
      </c>
      <c r="G154" s="34">
        <f t="shared" si="168"/>
        <v>-407495</v>
      </c>
      <c r="H154" s="34">
        <f t="shared" si="168"/>
        <v>-117866</v>
      </c>
      <c r="I154" s="34">
        <f t="shared" si="168"/>
        <v>-59268</v>
      </c>
      <c r="J154" s="34"/>
      <c r="K154" s="34">
        <f t="shared" ref="K154:AN154" si="169">+K146+K134+K122</f>
        <v>-9988</v>
      </c>
      <c r="L154" s="34">
        <f t="shared" si="169"/>
        <v>-4728</v>
      </c>
      <c r="M154" s="34">
        <f t="shared" si="169"/>
        <v>25461</v>
      </c>
      <c r="N154" s="34">
        <f t="shared" si="169"/>
        <v>4491</v>
      </c>
      <c r="O154" s="34">
        <f t="shared" si="169"/>
        <v>-18862</v>
      </c>
      <c r="P154" s="34">
        <f t="shared" si="169"/>
        <v>241578</v>
      </c>
      <c r="Q154" s="34">
        <f t="shared" si="169"/>
        <v>35464</v>
      </c>
      <c r="R154" s="34">
        <f t="shared" si="169"/>
        <v>-36463</v>
      </c>
      <c r="S154" s="34">
        <f t="shared" si="169"/>
        <v>-29578</v>
      </c>
      <c r="T154" s="34">
        <f t="shared" si="169"/>
        <v>-23909</v>
      </c>
      <c r="U154" s="34">
        <f t="shared" si="169"/>
        <v>-7717</v>
      </c>
      <c r="V154" s="34">
        <f t="shared" si="169"/>
        <v>-55453</v>
      </c>
      <c r="W154" s="34">
        <f t="shared" si="169"/>
        <v>965875</v>
      </c>
      <c r="X154" s="34">
        <f t="shared" si="169"/>
        <v>-115811</v>
      </c>
      <c r="Y154" s="34">
        <f t="shared" si="169"/>
        <v>-123424</v>
      </c>
      <c r="Z154" s="34">
        <f t="shared" si="169"/>
        <v>-153167</v>
      </c>
      <c r="AA154" s="34">
        <f t="shared" si="169"/>
        <v>-186378</v>
      </c>
      <c r="AB154" s="34">
        <f t="shared" si="169"/>
        <v>-90803</v>
      </c>
      <c r="AC154" s="34">
        <f t="shared" si="169"/>
        <v>-63485</v>
      </c>
      <c r="AD154" s="34">
        <f t="shared" si="169"/>
        <v>-66829</v>
      </c>
      <c r="AE154" s="34">
        <f t="shared" si="169"/>
        <v>-48628</v>
      </c>
      <c r="AF154" s="34">
        <f t="shared" si="169"/>
        <v>-48081</v>
      </c>
      <c r="AG154" s="34">
        <f t="shared" si="169"/>
        <v>7699</v>
      </c>
      <c r="AH154" s="34">
        <f t="shared" si="169"/>
        <v>-28856</v>
      </c>
      <c r="AI154" s="34">
        <f t="shared" si="169"/>
        <v>-33048</v>
      </c>
      <c r="AJ154" s="34">
        <f t="shared" si="169"/>
        <v>-14645</v>
      </c>
      <c r="AK154" s="34">
        <f t="shared" si="169"/>
        <v>-23460</v>
      </c>
      <c r="AL154" s="34">
        <f t="shared" si="169"/>
        <v>11885</v>
      </c>
      <c r="AM154" s="34">
        <f t="shared" si="169"/>
        <v>-30861</v>
      </c>
      <c r="AN154" s="34">
        <f t="shared" si="169"/>
        <v>-918</v>
      </c>
      <c r="AO154" s="34"/>
      <c r="AP154" s="34">
        <f t="shared" ref="AP154:AZ154" si="170">+AP146+AP134+AP122</f>
        <v>-407981</v>
      </c>
      <c r="AQ154" s="34">
        <f t="shared" si="170"/>
        <v>-269739</v>
      </c>
      <c r="AR154" s="34">
        <f t="shared" si="170"/>
        <v>-226784</v>
      </c>
      <c r="AS154" s="34">
        <f t="shared" si="170"/>
        <v>-155568</v>
      </c>
      <c r="AT154" s="34">
        <f t="shared" si="170"/>
        <v>-117539</v>
      </c>
      <c r="AU154" s="34">
        <f t="shared" si="170"/>
        <v>-101645</v>
      </c>
      <c r="AV154" s="34">
        <f t="shared" si="170"/>
        <v>-68406</v>
      </c>
      <c r="AW154" s="34">
        <f t="shared" si="170"/>
        <v>-99535</v>
      </c>
      <c r="AX154" s="34">
        <f t="shared" si="170"/>
        <v>-106222</v>
      </c>
      <c r="AY154" s="34">
        <f t="shared" si="170"/>
        <v>-104245</v>
      </c>
      <c r="AZ154" s="184">
        <f t="shared" si="170"/>
        <v>-90304</v>
      </c>
      <c r="BA154" s="12"/>
      <c r="BB154" s="50"/>
    </row>
    <row r="155" spans="2:54">
      <c r="B155" s="181" t="s">
        <v>284</v>
      </c>
      <c r="C155" s="171">
        <f t="shared" ref="C155:I155" si="171">SUM(C151:C154)</f>
        <v>54271</v>
      </c>
      <c r="D155" s="171">
        <f t="shared" si="171"/>
        <v>275988</v>
      </c>
      <c r="E155" s="171">
        <f t="shared" si="171"/>
        <v>159127</v>
      </c>
      <c r="F155" s="171">
        <f t="shared" si="171"/>
        <v>733294</v>
      </c>
      <c r="G155" s="171">
        <f t="shared" si="171"/>
        <v>309922</v>
      </c>
      <c r="H155" s="171">
        <f t="shared" si="171"/>
        <v>193755</v>
      </c>
      <c r="I155" s="171">
        <f t="shared" si="171"/>
        <v>133911</v>
      </c>
      <c r="J155" s="34"/>
      <c r="K155" s="170">
        <f t="shared" ref="K155:AK155" si="172">SUM(K151:K154)</f>
        <v>29047</v>
      </c>
      <c r="L155" s="170">
        <f t="shared" si="172"/>
        <v>23489</v>
      </c>
      <c r="M155" s="170">
        <f t="shared" si="172"/>
        <v>49780</v>
      </c>
      <c r="N155" s="170">
        <f t="shared" si="172"/>
        <v>54271</v>
      </c>
      <c r="O155" s="170">
        <f t="shared" si="172"/>
        <v>35409</v>
      </c>
      <c r="P155" s="170">
        <f t="shared" si="172"/>
        <v>276987</v>
      </c>
      <c r="Q155" s="170">
        <f t="shared" si="172"/>
        <v>312451</v>
      </c>
      <c r="R155" s="170">
        <f t="shared" si="172"/>
        <v>275988</v>
      </c>
      <c r="S155" s="170">
        <f t="shared" si="172"/>
        <v>246410</v>
      </c>
      <c r="T155" s="170">
        <f t="shared" si="172"/>
        <v>222334</v>
      </c>
      <c r="U155" s="170">
        <f t="shared" si="172"/>
        <v>214615</v>
      </c>
      <c r="V155" s="170">
        <f t="shared" si="172"/>
        <v>159127</v>
      </c>
      <c r="W155" s="170">
        <f t="shared" si="172"/>
        <v>1125017</v>
      </c>
      <c r="X155" s="170">
        <f t="shared" si="172"/>
        <v>1009337</v>
      </c>
      <c r="Y155" s="170">
        <f t="shared" si="172"/>
        <v>886442</v>
      </c>
      <c r="Z155" s="170">
        <f t="shared" si="172"/>
        <v>733294</v>
      </c>
      <c r="AA155" s="170">
        <f t="shared" si="172"/>
        <v>547858</v>
      </c>
      <c r="AB155" s="170">
        <f t="shared" si="172"/>
        <v>454674</v>
      </c>
      <c r="AC155" s="170">
        <f t="shared" si="172"/>
        <v>390176</v>
      </c>
      <c r="AD155" s="170">
        <f t="shared" si="172"/>
        <v>309922</v>
      </c>
      <c r="AE155" s="170">
        <f t="shared" si="172"/>
        <v>258566</v>
      </c>
      <c r="AF155" s="170">
        <f t="shared" si="172"/>
        <v>210781</v>
      </c>
      <c r="AG155" s="170">
        <f t="shared" si="172"/>
        <v>217545</v>
      </c>
      <c r="AH155" s="170">
        <f t="shared" si="172"/>
        <v>193755</v>
      </c>
      <c r="AI155" s="170">
        <f t="shared" si="172"/>
        <v>162214</v>
      </c>
      <c r="AJ155" s="170">
        <f t="shared" si="172"/>
        <v>146721</v>
      </c>
      <c r="AK155" s="170">
        <f t="shared" si="172"/>
        <v>123261</v>
      </c>
      <c r="AL155" s="170">
        <f>SUM(AL151:AL154)</f>
        <v>120392</v>
      </c>
      <c r="AM155" s="170">
        <f>SUM(AM151:AM154)</f>
        <v>104285</v>
      </c>
      <c r="AN155" s="170">
        <f>SUM(AN151:AN154)</f>
        <v>103367</v>
      </c>
      <c r="AO155" s="34"/>
      <c r="AP155" s="170">
        <f t="shared" ref="AP155:AZ155" si="173">SUM(AP151:AP154)</f>
        <v>-113936</v>
      </c>
      <c r="AQ155" s="170">
        <f t="shared" si="173"/>
        <v>-14843</v>
      </c>
      <c r="AR155" s="170">
        <f t="shared" si="173"/>
        <v>-16996</v>
      </c>
      <c r="AS155" s="170">
        <f t="shared" si="173"/>
        <v>61062</v>
      </c>
      <c r="AT155" s="170">
        <f t="shared" si="173"/>
        <v>83493</v>
      </c>
      <c r="AU155" s="170">
        <f t="shared" si="173"/>
        <v>63297</v>
      </c>
      <c r="AV155" s="170">
        <f t="shared" si="173"/>
        <v>80747</v>
      </c>
      <c r="AW155" s="170">
        <f t="shared" si="173"/>
        <v>27093</v>
      </c>
      <c r="AX155" s="170">
        <f t="shared" si="173"/>
        <v>5067</v>
      </c>
      <c r="AY155" s="170">
        <f t="shared" si="173"/>
        <v>40</v>
      </c>
      <c r="AZ155" s="186">
        <f t="shared" si="173"/>
        <v>13063</v>
      </c>
      <c r="BA155" s="12"/>
      <c r="BB155" s="50"/>
    </row>
    <row r="156" spans="2:54" ht="5.0999999999999996" customHeight="1">
      <c r="B156" s="182"/>
      <c r="C156" s="71"/>
      <c r="D156" s="71"/>
      <c r="E156" s="71"/>
      <c r="F156" s="71"/>
      <c r="G156" s="71"/>
      <c r="H156" s="71"/>
      <c r="I156" s="71"/>
      <c r="J156" s="34"/>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P156" s="12"/>
      <c r="AQ156" s="12"/>
      <c r="AR156" s="12"/>
      <c r="AS156" s="12"/>
      <c r="AT156" s="12"/>
      <c r="AU156" s="12"/>
      <c r="AV156" s="12"/>
      <c r="AW156" s="12"/>
      <c r="AX156" s="12"/>
      <c r="AY156" s="12"/>
      <c r="AZ156" s="187"/>
      <c r="BA156" s="12"/>
      <c r="BB156" s="50"/>
    </row>
    <row r="157" spans="2:54">
      <c r="B157" s="183" t="s">
        <v>94</v>
      </c>
      <c r="C157" s="173">
        <f t="shared" ref="C157:I157" si="174">C155-C46</f>
        <v>0</v>
      </c>
      <c r="D157" s="173">
        <f t="shared" si="174"/>
        <v>0</v>
      </c>
      <c r="E157" s="173">
        <f t="shared" si="174"/>
        <v>0</v>
      </c>
      <c r="F157" s="173">
        <f t="shared" si="174"/>
        <v>0</v>
      </c>
      <c r="G157" s="173">
        <f t="shared" si="174"/>
        <v>0</v>
      </c>
      <c r="H157" s="174">
        <f t="shared" si="174"/>
        <v>3250</v>
      </c>
      <c r="I157" s="175">
        <f t="shared" si="174"/>
        <v>1998</v>
      </c>
      <c r="J157" s="176"/>
      <c r="K157" s="177">
        <f t="shared" ref="K157:AN157" si="175">K155-K46</f>
        <v>0</v>
      </c>
      <c r="L157" s="177">
        <f t="shared" si="175"/>
        <v>0</v>
      </c>
      <c r="M157" s="177">
        <f t="shared" si="175"/>
        <v>0</v>
      </c>
      <c r="N157" s="177">
        <f t="shared" si="175"/>
        <v>0</v>
      </c>
      <c r="O157" s="177">
        <f t="shared" si="175"/>
        <v>0</v>
      </c>
      <c r="P157" s="177">
        <f t="shared" si="175"/>
        <v>0</v>
      </c>
      <c r="Q157" s="177">
        <f t="shared" si="175"/>
        <v>0</v>
      </c>
      <c r="R157" s="177">
        <f t="shared" si="175"/>
        <v>0</v>
      </c>
      <c r="S157" s="177">
        <f t="shared" si="175"/>
        <v>0</v>
      </c>
      <c r="T157" s="177">
        <f t="shared" si="175"/>
        <v>0</v>
      </c>
      <c r="U157" s="177">
        <f t="shared" si="175"/>
        <v>0</v>
      </c>
      <c r="V157" s="177">
        <f t="shared" si="175"/>
        <v>0</v>
      </c>
      <c r="W157" s="177">
        <f t="shared" si="175"/>
        <v>0</v>
      </c>
      <c r="X157" s="177">
        <f t="shared" si="175"/>
        <v>0</v>
      </c>
      <c r="Y157" s="177">
        <f t="shared" si="175"/>
        <v>0</v>
      </c>
      <c r="Z157" s="177">
        <f t="shared" si="175"/>
        <v>0</v>
      </c>
      <c r="AA157" s="177">
        <f t="shared" si="175"/>
        <v>0</v>
      </c>
      <c r="AB157" s="177">
        <f t="shared" si="175"/>
        <v>0</v>
      </c>
      <c r="AC157" s="177">
        <f t="shared" si="175"/>
        <v>0</v>
      </c>
      <c r="AD157" s="177">
        <f t="shared" si="175"/>
        <v>0</v>
      </c>
      <c r="AE157" s="177">
        <f t="shared" si="175"/>
        <v>0</v>
      </c>
      <c r="AF157" s="177">
        <f t="shared" si="175"/>
        <v>0</v>
      </c>
      <c r="AG157" s="177">
        <f t="shared" si="175"/>
        <v>0</v>
      </c>
      <c r="AH157" s="177">
        <f t="shared" si="175"/>
        <v>3250</v>
      </c>
      <c r="AI157" s="177">
        <f t="shared" si="175"/>
        <v>4301</v>
      </c>
      <c r="AJ157" s="177">
        <f t="shared" si="175"/>
        <v>1848</v>
      </c>
      <c r="AK157" s="177">
        <f t="shared" si="175"/>
        <v>1529</v>
      </c>
      <c r="AL157" s="177">
        <f t="shared" si="175"/>
        <v>-11521</v>
      </c>
      <c r="AM157" s="177">
        <f t="shared" si="175"/>
        <v>2142</v>
      </c>
      <c r="AN157" s="177">
        <f t="shared" si="175"/>
        <v>-130</v>
      </c>
      <c r="AO157" s="178"/>
      <c r="AP157" s="177">
        <f t="shared" ref="AP157:AZ157" si="176">AP155-AP46</f>
        <v>-423858</v>
      </c>
      <c r="AQ157" s="177">
        <f t="shared" si="176"/>
        <v>-273409</v>
      </c>
      <c r="AR157" s="177">
        <f t="shared" si="176"/>
        <v>-227777</v>
      </c>
      <c r="AS157" s="177">
        <f t="shared" si="176"/>
        <v>-156483</v>
      </c>
      <c r="AT157" s="177">
        <f t="shared" si="176"/>
        <v>-107012</v>
      </c>
      <c r="AU157" s="177">
        <f t="shared" si="176"/>
        <v>-94616</v>
      </c>
      <c r="AV157" s="177">
        <f t="shared" si="176"/>
        <v>-64126</v>
      </c>
      <c r="AW157" s="177">
        <f t="shared" si="176"/>
        <v>-94639</v>
      </c>
      <c r="AX157" s="177">
        <f t="shared" si="176"/>
        <v>-126846</v>
      </c>
      <c r="AY157" s="177">
        <f t="shared" si="176"/>
        <v>-102103</v>
      </c>
      <c r="AZ157" s="177">
        <f t="shared" si="176"/>
        <v>-90434</v>
      </c>
      <c r="BA157" s="12"/>
      <c r="BB157" s="50"/>
    </row>
    <row r="158" spans="2:54" ht="5.0999999999999996" customHeight="1">
      <c r="B158" s="8"/>
      <c r="C158" s="71"/>
      <c r="D158" s="71"/>
      <c r="E158" s="71"/>
      <c r="F158" s="71"/>
      <c r="G158" s="71"/>
      <c r="H158" s="71"/>
      <c r="I158" s="71"/>
      <c r="J158" s="34"/>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P158" s="12"/>
      <c r="AQ158" s="12"/>
      <c r="AR158" s="12"/>
      <c r="AS158" s="12"/>
      <c r="AT158" s="12"/>
      <c r="AU158" s="12"/>
      <c r="AV158" s="12"/>
      <c r="AW158" s="12"/>
      <c r="AX158" s="12"/>
      <c r="AY158" s="12"/>
      <c r="AZ158" s="12"/>
      <c r="BA158" s="12"/>
      <c r="BB158" s="50"/>
    </row>
    <row r="159" spans="2:54" ht="12.75" customHeight="1">
      <c r="B159" s="80" t="s">
        <v>97</v>
      </c>
      <c r="C159" s="67"/>
      <c r="D159" s="67"/>
      <c r="E159" s="67"/>
      <c r="F159" s="67"/>
      <c r="G159" s="67"/>
      <c r="H159" s="67"/>
      <c r="I159" s="67"/>
      <c r="J159" s="12"/>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92"/>
      <c r="AN159" s="67"/>
      <c r="AP159" s="67"/>
      <c r="AQ159" s="67"/>
      <c r="AR159" s="67"/>
      <c r="AS159" s="67"/>
      <c r="AT159" s="67"/>
      <c r="AU159" s="67"/>
      <c r="AV159" s="67"/>
      <c r="AW159" s="67"/>
      <c r="AX159" s="67"/>
      <c r="AY159" s="67"/>
      <c r="AZ159" s="67"/>
      <c r="BA159" s="72"/>
      <c r="BB159" s="50"/>
    </row>
    <row r="160" spans="2:54" ht="12.75" customHeight="1">
      <c r="B160" s="8" t="s">
        <v>281</v>
      </c>
      <c r="C160" s="92">
        <v>4</v>
      </c>
      <c r="D160" s="92">
        <v>9</v>
      </c>
      <c r="E160" s="92">
        <v>18</v>
      </c>
      <c r="F160" s="92">
        <v>-10</v>
      </c>
      <c r="G160" s="92">
        <v>38</v>
      </c>
      <c r="H160" s="92">
        <v>-1</v>
      </c>
      <c r="I160" s="92">
        <v>6</v>
      </c>
      <c r="J160" s="34"/>
      <c r="K160" s="92">
        <v>0</v>
      </c>
      <c r="L160" s="92">
        <f>3-K160</f>
        <v>3</v>
      </c>
      <c r="M160" s="92">
        <f>3-L160-K160</f>
        <v>0</v>
      </c>
      <c r="N160" s="34">
        <f>SUM(C160-SUM(K160:M160))</f>
        <v>1</v>
      </c>
      <c r="O160" s="92">
        <v>0</v>
      </c>
      <c r="P160" s="92">
        <f>21-O160</f>
        <v>21</v>
      </c>
      <c r="Q160" s="92">
        <f>21-P160-O160</f>
        <v>0</v>
      </c>
      <c r="R160" s="34">
        <f>SUM(D160-SUM(O160:Q160))</f>
        <v>-12</v>
      </c>
      <c r="S160" s="92">
        <v>0</v>
      </c>
      <c r="T160" s="92">
        <f>15-S160</f>
        <v>15</v>
      </c>
      <c r="U160" s="92">
        <f>15 -T160</f>
        <v>0</v>
      </c>
      <c r="V160" s="34">
        <f>SUM(E160-SUM(S160:U160))</f>
        <v>3</v>
      </c>
      <c r="W160" s="92">
        <v>48</v>
      </c>
      <c r="X160" s="92">
        <f>98 -W160</f>
        <v>50</v>
      </c>
      <c r="Y160" s="92">
        <f>24-X160-W160</f>
        <v>-74</v>
      </c>
      <c r="Z160" s="34">
        <f>SUM(F160-SUM(W160:Y160))</f>
        <v>-34</v>
      </c>
      <c r="AA160" s="92">
        <v>52</v>
      </c>
      <c r="AB160" s="92">
        <f>21-AA160</f>
        <v>-31</v>
      </c>
      <c r="AC160" s="92">
        <f>21 -AB160-AA160</f>
        <v>0</v>
      </c>
      <c r="AD160" s="34">
        <f>SUM(G160-SUM(AA160:AC160))</f>
        <v>17</v>
      </c>
      <c r="AE160" s="92">
        <v>0</v>
      </c>
      <c r="AF160" s="92">
        <v>9</v>
      </c>
      <c r="AG160" s="92">
        <f>9-AF160-AE160</f>
        <v>0</v>
      </c>
      <c r="AH160" s="34">
        <f>SUM(H160-SUM(AE160:AG160))</f>
        <v>-10</v>
      </c>
      <c r="AI160" s="92">
        <v>2</v>
      </c>
      <c r="AJ160" s="92">
        <f>16-AI160</f>
        <v>14</v>
      </c>
      <c r="AK160" s="92">
        <f>16-AJ160-AI160</f>
        <v>0</v>
      </c>
      <c r="AL160" s="34">
        <f>SUM(I160-SUM(AI160:AK160))</f>
        <v>-10</v>
      </c>
      <c r="AM160" s="92">
        <v>0</v>
      </c>
      <c r="AN160" s="92">
        <f>2-AM160</f>
        <v>2</v>
      </c>
      <c r="AO160" s="34"/>
      <c r="AP160" s="34">
        <f t="shared" ref="AP160:AZ161" si="177">SUM(AA160:AD160)</f>
        <v>38</v>
      </c>
      <c r="AQ160" s="34">
        <f t="shared" si="177"/>
        <v>-14</v>
      </c>
      <c r="AR160" s="34">
        <f t="shared" si="177"/>
        <v>26</v>
      </c>
      <c r="AS160" s="34">
        <f t="shared" si="177"/>
        <v>26</v>
      </c>
      <c r="AT160" s="34">
        <f t="shared" si="177"/>
        <v>-1</v>
      </c>
      <c r="AU160" s="34">
        <f t="shared" si="177"/>
        <v>1</v>
      </c>
      <c r="AV160" s="34">
        <f t="shared" si="177"/>
        <v>6</v>
      </c>
      <c r="AW160" s="34">
        <f t="shared" si="177"/>
        <v>6</v>
      </c>
      <c r="AX160" s="34">
        <f t="shared" si="177"/>
        <v>6</v>
      </c>
      <c r="AY160" s="34">
        <f t="shared" si="177"/>
        <v>4</v>
      </c>
      <c r="AZ160" s="34">
        <f t="shared" si="177"/>
        <v>-8</v>
      </c>
      <c r="BA160" s="12"/>
      <c r="BB160" s="50"/>
    </row>
    <row r="161" spans="2:54" ht="12.75" customHeight="1">
      <c r="B161" s="5" t="s">
        <v>282</v>
      </c>
      <c r="C161" s="92">
        <v>924</v>
      </c>
      <c r="D161" s="92">
        <v>3019</v>
      </c>
      <c r="E161" s="92">
        <v>2564</v>
      </c>
      <c r="F161" s="92">
        <v>348</v>
      </c>
      <c r="G161" s="92">
        <v>10</v>
      </c>
      <c r="H161" s="92">
        <v>0</v>
      </c>
      <c r="I161" s="92">
        <v>0</v>
      </c>
      <c r="J161" s="34"/>
      <c r="K161" s="92">
        <v>38</v>
      </c>
      <c r="L161" s="92">
        <f>356-K161</f>
        <v>318</v>
      </c>
      <c r="M161" s="92">
        <f>356-L161-K161</f>
        <v>0</v>
      </c>
      <c r="N161" s="34">
        <f>SUM(C161-SUM(K161:M161))</f>
        <v>568</v>
      </c>
      <c r="O161" s="92">
        <v>715</v>
      </c>
      <c r="P161" s="92">
        <f>1445-O161</f>
        <v>730</v>
      </c>
      <c r="Q161" s="92">
        <f>2261-P161-O161</f>
        <v>816</v>
      </c>
      <c r="R161" s="34">
        <f>SUM(D161-SUM(O161:Q161))</f>
        <v>758</v>
      </c>
      <c r="S161" s="92">
        <v>682</v>
      </c>
      <c r="T161" s="92">
        <f>1265-S161</f>
        <v>583</v>
      </c>
      <c r="U161" s="92">
        <f>2114-T161-S161</f>
        <v>849</v>
      </c>
      <c r="V161" s="34">
        <f>SUM(E161-SUM(S161:U161))</f>
        <v>450</v>
      </c>
      <c r="W161" s="92">
        <v>297</v>
      </c>
      <c r="X161" s="92">
        <f>306 -W161</f>
        <v>9</v>
      </c>
      <c r="Y161" s="92">
        <f>323-X161-W161</f>
        <v>17</v>
      </c>
      <c r="Z161" s="34">
        <f>SUM(F161-SUM(W161:Y161))</f>
        <v>25</v>
      </c>
      <c r="AA161" s="92">
        <v>17</v>
      </c>
      <c r="AB161" s="92">
        <f>153 -AA161</f>
        <v>136</v>
      </c>
      <c r="AC161" s="92">
        <f>3-AB161-AA161</f>
        <v>-150</v>
      </c>
      <c r="AD161" s="34">
        <f>SUM(G161-SUM(AA161:AC161))</f>
        <v>7</v>
      </c>
      <c r="AE161" s="92">
        <v>0</v>
      </c>
      <c r="AF161" s="92">
        <v>0</v>
      </c>
      <c r="AG161" s="92">
        <v>0</v>
      </c>
      <c r="AH161" s="34">
        <f>SUM(H161-SUM(AE161:AG161))</f>
        <v>0</v>
      </c>
      <c r="AI161" s="92">
        <v>0</v>
      </c>
      <c r="AJ161" s="92">
        <v>0</v>
      </c>
      <c r="AK161" s="92">
        <v>0</v>
      </c>
      <c r="AL161" s="34">
        <f>SUM(I161-SUM(AI161:AK161))</f>
        <v>0</v>
      </c>
      <c r="AM161" s="92">
        <v>0</v>
      </c>
      <c r="AN161" s="92">
        <v>0</v>
      </c>
      <c r="AO161" s="34"/>
      <c r="AP161" s="34">
        <f t="shared" si="177"/>
        <v>10</v>
      </c>
      <c r="AQ161" s="34">
        <f t="shared" si="177"/>
        <v>-7</v>
      </c>
      <c r="AR161" s="34">
        <f t="shared" si="177"/>
        <v>-143</v>
      </c>
      <c r="AS161" s="34">
        <f t="shared" si="177"/>
        <v>7</v>
      </c>
      <c r="AT161" s="34">
        <f t="shared" si="177"/>
        <v>0</v>
      </c>
      <c r="AU161" s="34">
        <f t="shared" si="177"/>
        <v>0</v>
      </c>
      <c r="AV161" s="34">
        <f t="shared" si="177"/>
        <v>0</v>
      </c>
      <c r="AW161" s="34">
        <f t="shared" si="177"/>
        <v>0</v>
      </c>
      <c r="AX161" s="34">
        <f t="shared" si="177"/>
        <v>0</v>
      </c>
      <c r="AY161" s="34">
        <f t="shared" si="177"/>
        <v>0</v>
      </c>
      <c r="AZ161" s="34">
        <f t="shared" si="177"/>
        <v>0</v>
      </c>
      <c r="BB161" s="50"/>
    </row>
    <row r="162" spans="2:54" ht="5.0999999999999996" customHeight="1" thickBot="1">
      <c r="B162" s="81"/>
      <c r="C162" s="82"/>
      <c r="D162" s="82"/>
      <c r="E162" s="82"/>
      <c r="F162" s="82"/>
      <c r="G162" s="82"/>
      <c r="H162" s="82"/>
      <c r="I162" s="82"/>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c r="AY162" s="81"/>
      <c r="AZ162" s="81"/>
      <c r="BB162" s="50"/>
    </row>
    <row r="163" spans="2:54" ht="12.75" customHeight="1">
      <c r="B163" s="553" t="s">
        <v>100</v>
      </c>
      <c r="C163" s="553"/>
      <c r="D163" s="553"/>
      <c r="E163" s="553"/>
      <c r="F163" s="553"/>
      <c r="G163" s="553"/>
      <c r="H163" s="553"/>
      <c r="I163" s="553"/>
      <c r="J163" s="553"/>
      <c r="K163" s="553"/>
      <c r="L163" s="553"/>
      <c r="M163" s="553"/>
      <c r="N163" s="553"/>
      <c r="O163" s="553"/>
      <c r="P163" s="553"/>
      <c r="Q163" s="553"/>
      <c r="R163" s="553"/>
      <c r="S163" s="553"/>
      <c r="T163" s="553"/>
      <c r="U163" s="553"/>
      <c r="V163" s="553"/>
      <c r="W163" s="553"/>
      <c r="X163" s="553"/>
      <c r="Y163" s="553"/>
      <c r="Z163" s="553"/>
      <c r="AA163" s="553"/>
      <c r="AB163" s="553"/>
      <c r="AC163" s="553"/>
      <c r="AD163" s="553"/>
      <c r="AE163" s="553"/>
      <c r="AF163" s="553"/>
      <c r="AG163" s="553"/>
      <c r="AH163" s="553"/>
      <c r="AI163" s="553"/>
      <c r="AJ163" s="553"/>
      <c r="AK163" s="553"/>
      <c r="AL163" s="553"/>
      <c r="AM163" s="553"/>
      <c r="AN163" s="553"/>
      <c r="AO163" s="553"/>
      <c r="AP163" s="553"/>
      <c r="AQ163" s="553"/>
      <c r="AR163" s="553"/>
      <c r="AS163" s="553"/>
      <c r="AT163" s="553"/>
      <c r="AU163" s="553"/>
      <c r="AV163" s="553"/>
      <c r="AW163" s="553"/>
      <c r="AX163" s="553"/>
      <c r="AY163" s="553"/>
      <c r="AZ163" s="553"/>
      <c r="BB163" s="50"/>
    </row>
    <row r="164" spans="2:54" ht="12.75" customHeight="1">
      <c r="B164" s="58"/>
      <c r="C164" s="73"/>
      <c r="D164" s="73"/>
      <c r="E164" s="73"/>
      <c r="F164" s="73"/>
      <c r="G164" s="73"/>
      <c r="H164" s="73"/>
      <c r="I164" s="73"/>
    </row>
    <row r="165" spans="2:54" ht="12.75" customHeight="1">
      <c r="C165" s="61"/>
      <c r="D165" s="61"/>
      <c r="E165" s="61"/>
      <c r="F165" s="61"/>
      <c r="G165" s="61"/>
      <c r="H165" s="61"/>
      <c r="I165" s="61"/>
    </row>
    <row r="166" spans="2:54" ht="12.75" customHeight="1">
      <c r="C166" s="61"/>
      <c r="D166" s="61"/>
      <c r="E166" s="61"/>
      <c r="F166" s="61"/>
      <c r="G166" s="61"/>
      <c r="H166" s="61"/>
      <c r="I166" s="61"/>
    </row>
    <row r="167" spans="2:54" ht="12.75" customHeight="1">
      <c r="C167" s="61"/>
      <c r="D167" s="61"/>
      <c r="E167" s="61"/>
      <c r="F167" s="61"/>
      <c r="G167" s="61"/>
      <c r="H167" s="61"/>
      <c r="I167" s="61"/>
    </row>
    <row r="168" spans="2:54" ht="12.75" customHeight="1">
      <c r="C168" s="61"/>
      <c r="D168" s="61"/>
      <c r="E168" s="61"/>
      <c r="F168" s="61"/>
      <c r="G168" s="61"/>
      <c r="H168" s="61"/>
      <c r="I168" s="61"/>
    </row>
    <row r="169" spans="2:54" ht="12.75" customHeight="1">
      <c r="C169" s="61"/>
      <c r="D169" s="61"/>
      <c r="E169" s="61"/>
      <c r="F169" s="61"/>
      <c r="G169" s="61"/>
      <c r="H169" s="61"/>
      <c r="I169" s="61"/>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row>
    <row r="170" spans="2:54" ht="12.75" customHeight="1">
      <c r="C170" s="61"/>
      <c r="D170" s="61"/>
      <c r="E170" s="61"/>
      <c r="F170" s="61"/>
      <c r="G170" s="61"/>
      <c r="H170" s="61"/>
      <c r="I170" s="61"/>
    </row>
    <row r="171" spans="2:54" ht="12.75" customHeight="1">
      <c r="C171" s="61"/>
      <c r="D171" s="61"/>
      <c r="E171" s="61"/>
      <c r="F171" s="61"/>
      <c r="G171" s="61"/>
      <c r="H171" s="61"/>
      <c r="I171" s="61"/>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row>
    <row r="172" spans="2:54">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row>
    <row r="173" spans="2:54">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row>
    <row r="175" spans="2:54">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row>
    <row r="176" spans="2:54">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row>
  </sheetData>
  <mergeCells count="8">
    <mergeCell ref="B163:AZ163"/>
    <mergeCell ref="BB6:BB8"/>
    <mergeCell ref="BB41:BB43"/>
    <mergeCell ref="BB92:BB94"/>
    <mergeCell ref="B87:BB87"/>
    <mergeCell ref="B88:BB88"/>
    <mergeCell ref="B89:BB89"/>
    <mergeCell ref="B90:BB90"/>
  </mergeCells>
  <dataValidations disablePrompts="1"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Z14:AZ16 AZ33 J51 AH104:AH111 AH114:AH120 AH102 AP125:AZ129 AH100" formulaRange="1"/>
    <ignoredError sqref="BB99:BB100 BB112:BB114 BB118:BB124 BB134:BB136" evalError="1"/>
    <ignoredError sqref="R97 S97:AD99 S100:AB100 AD10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L20"/>
  <sheetViews>
    <sheetView showGridLines="0" zoomScale="115" zoomScaleNormal="115" workbookViewId="0">
      <selection activeCell="A10" sqref="A10"/>
    </sheetView>
  </sheetViews>
  <sheetFormatPr defaultRowHeight="12" outlineLevelCol="1"/>
  <cols>
    <col min="1" max="1" width="1.5" style="8" customWidth="1"/>
    <col min="2" max="2" width="46.5" style="8" bestFit="1" customWidth="1"/>
    <col min="3" max="4" width="8.625" style="8" bestFit="1" customWidth="1"/>
    <col min="5" max="6" width="8.625" style="8" bestFit="1" customWidth="1" outlineLevel="1"/>
    <col min="7" max="9" width="8.625" style="8" bestFit="1" customWidth="1"/>
    <col min="10" max="10" width="1.5" style="8" customWidth="1"/>
    <col min="11" max="13" width="7.875" style="8" customWidth="1" outlineLevel="1"/>
    <col min="14" max="14" width="8.75" style="8" customWidth="1" outlineLevel="1"/>
    <col min="15" max="17" width="8" style="8" customWidth="1" outlineLevel="1"/>
    <col min="18" max="18" width="8.75" style="8" customWidth="1" outlineLevel="1"/>
    <col min="19" max="19" width="8.5" style="8" customWidth="1" outlineLevel="1"/>
    <col min="20" max="20" width="8.25" style="8" bestFit="1" customWidth="1"/>
    <col min="21" max="21" width="8.5" style="8" bestFit="1" customWidth="1"/>
    <col min="22" max="24" width="9.125" style="8" bestFit="1" customWidth="1"/>
    <col min="25" max="25" width="1.5" style="8" customWidth="1"/>
    <col min="26" max="31" width="8.75" style="8" hidden="1" customWidth="1" outlineLevel="1"/>
    <col min="32" max="32" width="8.75" style="8" bestFit="1" customWidth="1" collapsed="1"/>
    <col min="33" max="35" width="8.75" style="8" hidden="1" customWidth="1" outlineLevel="1"/>
    <col min="36" max="36" width="8.75" style="8" bestFit="1" customWidth="1" collapsed="1"/>
    <col min="37" max="37" width="1.5" style="8" customWidth="1"/>
    <col min="38" max="38" width="9.875" style="8" bestFit="1" customWidth="1"/>
    <col min="39" max="16384" width="9" style="8"/>
  </cols>
  <sheetData>
    <row r="2" spans="1:38" s="5" customFormat="1" ht="12.75" customHeight="1">
      <c r="B2" s="1" t="s">
        <v>518</v>
      </c>
      <c r="C2" s="2" t="s">
        <v>0</v>
      </c>
      <c r="D2" s="2"/>
      <c r="E2" s="2"/>
      <c r="F2" s="2"/>
      <c r="G2" s="2"/>
      <c r="H2" s="2"/>
      <c r="I2" s="2"/>
      <c r="J2" s="3"/>
      <c r="K2" s="2" t="s">
        <v>1</v>
      </c>
      <c r="L2" s="2"/>
      <c r="M2" s="2"/>
      <c r="N2" s="2"/>
      <c r="O2" s="2"/>
      <c r="P2" s="2"/>
      <c r="Q2" s="2"/>
      <c r="R2" s="2"/>
      <c r="S2" s="2" t="s">
        <v>1</v>
      </c>
      <c r="T2" s="2" t="s">
        <v>1</v>
      </c>
      <c r="U2" s="2"/>
      <c r="V2" s="2"/>
      <c r="W2" s="2"/>
      <c r="X2" s="2"/>
      <c r="Y2" s="3"/>
      <c r="Z2" s="2" t="s">
        <v>10</v>
      </c>
      <c r="AA2" s="2"/>
      <c r="AB2" s="2"/>
      <c r="AC2" s="2"/>
      <c r="AD2" s="2" t="s">
        <v>10</v>
      </c>
      <c r="AE2" s="2"/>
      <c r="AF2" s="2"/>
      <c r="AG2" s="2"/>
      <c r="AH2" s="2"/>
      <c r="AI2" s="2"/>
      <c r="AJ2" s="2"/>
      <c r="AK2" s="3"/>
      <c r="AL2" s="554" t="s">
        <v>38</v>
      </c>
    </row>
    <row r="3" spans="1:38" s="5" customFormat="1" ht="12.75" customHeight="1">
      <c r="B3" s="6" t="s">
        <v>107</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
        <v>40</v>
      </c>
      <c r="L3" s="7" t="s">
        <v>41</v>
      </c>
      <c r="M3" s="7" t="s">
        <v>42</v>
      </c>
      <c r="N3" s="7" t="s">
        <v>43</v>
      </c>
      <c r="O3" s="7" t="s">
        <v>6</v>
      </c>
      <c r="P3" s="7" t="s">
        <v>7</v>
      </c>
      <c r="Q3" s="7" t="s">
        <v>8</v>
      </c>
      <c r="R3" s="7" t="s">
        <v>9</v>
      </c>
      <c r="S3" s="7" t="s">
        <v>2</v>
      </c>
      <c r="T3" s="7" t="s">
        <v>3</v>
      </c>
      <c r="U3" s="7" t="s">
        <v>4</v>
      </c>
      <c r="V3" s="7" t="s">
        <v>5</v>
      </c>
      <c r="W3" s="7" t="s">
        <v>44</v>
      </c>
      <c r="X3" s="7" t="s">
        <v>45</v>
      </c>
      <c r="Y3" s="3"/>
      <c r="Z3" s="4" t="s">
        <v>6</v>
      </c>
      <c r="AA3" s="4" t="s">
        <v>7</v>
      </c>
      <c r="AB3" s="4" t="s">
        <v>8</v>
      </c>
      <c r="AC3" s="4" t="s">
        <v>9</v>
      </c>
      <c r="AD3" s="4" t="s">
        <v>2</v>
      </c>
      <c r="AE3" s="4" t="s">
        <v>3</v>
      </c>
      <c r="AF3" s="4" t="s">
        <v>4</v>
      </c>
      <c r="AG3" s="4" t="s">
        <v>5</v>
      </c>
      <c r="AH3" s="4" t="s">
        <v>44</v>
      </c>
      <c r="AI3" s="4" t="s">
        <v>45</v>
      </c>
      <c r="AJ3" s="4" t="s">
        <v>101</v>
      </c>
      <c r="AK3" s="3"/>
      <c r="AL3" s="554"/>
    </row>
    <row r="4" spans="1:38" s="5" customFormat="1" ht="12.75" customHeight="1">
      <c r="B4" s="6" t="s">
        <v>452</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v>44653</v>
      </c>
      <c r="L4" s="3">
        <v>44744</v>
      </c>
      <c r="M4" s="3">
        <v>44835</v>
      </c>
      <c r="N4" s="3">
        <v>44926</v>
      </c>
      <c r="O4" s="3">
        <v>45017</v>
      </c>
      <c r="P4" s="3">
        <v>45108</v>
      </c>
      <c r="Q4" s="3">
        <v>45199</v>
      </c>
      <c r="R4" s="3">
        <v>45291</v>
      </c>
      <c r="S4" s="3">
        <v>45381</v>
      </c>
      <c r="T4" s="3">
        <v>45472</v>
      </c>
      <c r="U4" s="3">
        <v>45563</v>
      </c>
      <c r="V4" s="3">
        <v>45657</v>
      </c>
      <c r="W4" s="3">
        <v>45745</v>
      </c>
      <c r="X4" s="3">
        <v>45836</v>
      </c>
      <c r="Y4" s="3"/>
      <c r="Z4" s="3">
        <v>44917</v>
      </c>
      <c r="AA4" s="3">
        <v>45008</v>
      </c>
      <c r="AB4" s="3">
        <v>45100</v>
      </c>
      <c r="AC4" s="3">
        <v>45192</v>
      </c>
      <c r="AD4" s="3">
        <v>45283</v>
      </c>
      <c r="AE4" s="3">
        <v>45375</v>
      </c>
      <c r="AF4" s="3">
        <v>45467</v>
      </c>
      <c r="AG4" s="3">
        <v>45559</v>
      </c>
      <c r="AH4" s="3">
        <v>45650</v>
      </c>
      <c r="AI4" s="3">
        <v>45741</v>
      </c>
      <c r="AJ4" s="3">
        <v>45833</v>
      </c>
      <c r="AK4" s="3"/>
      <c r="AL4" s="554"/>
    </row>
    <row r="5" spans="1:38" ht="5.0999999999999996" customHeight="1">
      <c r="AL5" s="9"/>
    </row>
    <row r="6" spans="1:38" ht="12.75" customHeight="1">
      <c r="A6" s="90" t="s">
        <v>25</v>
      </c>
      <c r="B6" s="87" t="s">
        <v>591</v>
      </c>
      <c r="C6" s="27"/>
      <c r="D6" s="27"/>
      <c r="E6" s="11"/>
      <c r="F6" s="11"/>
      <c r="G6" s="11"/>
      <c r="H6" s="11"/>
      <c r="I6" s="11"/>
      <c r="J6" s="11"/>
      <c r="K6" s="11"/>
      <c r="L6" s="11"/>
      <c r="M6" s="11"/>
      <c r="N6" s="11"/>
      <c r="O6" s="11"/>
      <c r="P6" s="11"/>
      <c r="Q6" s="11"/>
      <c r="R6" s="11"/>
      <c r="S6" s="11"/>
      <c r="T6" s="11"/>
      <c r="U6" s="11"/>
      <c r="V6" s="11"/>
      <c r="W6" s="11"/>
      <c r="X6" s="11"/>
      <c r="Y6" s="5"/>
      <c r="Z6" s="12"/>
      <c r="AA6" s="12"/>
      <c r="AB6" s="12"/>
      <c r="AC6" s="12"/>
      <c r="AD6" s="12"/>
      <c r="AE6" s="12"/>
      <c r="AF6" s="12"/>
      <c r="AG6" s="12"/>
      <c r="AH6" s="12"/>
      <c r="AI6" s="12"/>
      <c r="AL6" s="13"/>
    </row>
    <row r="7" spans="1:38" ht="12.75" customHeight="1">
      <c r="B7" s="10" t="s">
        <v>587</v>
      </c>
      <c r="C7" s="91">
        <f t="shared" ref="C7:I7" si="0">+C13+C18</f>
        <v>50779</v>
      </c>
      <c r="D7" s="91">
        <f t="shared" si="0"/>
        <v>144809</v>
      </c>
      <c r="E7" s="91">
        <f t="shared" si="0"/>
        <v>300583</v>
      </c>
      <c r="F7" s="91">
        <f t="shared" si="0"/>
        <v>324843</v>
      </c>
      <c r="G7" s="91">
        <f t="shared" si="0"/>
        <v>295651</v>
      </c>
      <c r="H7" s="91">
        <f t="shared" si="0"/>
        <v>216963</v>
      </c>
      <c r="I7" s="91">
        <f t="shared" si="0"/>
        <v>210595</v>
      </c>
      <c r="J7" s="91"/>
      <c r="K7" s="91">
        <f t="shared" ref="K7:W7" si="1">+K13+K18</f>
        <v>84397</v>
      </c>
      <c r="L7" s="91">
        <f t="shared" si="1"/>
        <v>102553</v>
      </c>
      <c r="M7" s="91">
        <f t="shared" si="1"/>
        <v>56372</v>
      </c>
      <c r="N7" s="91">
        <f t="shared" si="1"/>
        <v>52329</v>
      </c>
      <c r="O7" s="91">
        <f t="shared" si="1"/>
        <v>58448</v>
      </c>
      <c r="P7" s="91">
        <f t="shared" si="1"/>
        <v>68485</v>
      </c>
      <c r="Q7" s="91">
        <f t="shared" si="1"/>
        <v>44671</v>
      </c>
      <c r="R7" s="91">
        <f t="shared" si="1"/>
        <v>45359</v>
      </c>
      <c r="S7" s="91">
        <f t="shared" si="1"/>
        <v>49666</v>
      </c>
      <c r="T7" s="91">
        <f t="shared" si="1"/>
        <v>62454</v>
      </c>
      <c r="U7" s="91">
        <f t="shared" si="1"/>
        <v>51534</v>
      </c>
      <c r="V7" s="91">
        <f t="shared" si="1"/>
        <v>46941</v>
      </c>
      <c r="W7" s="91">
        <f t="shared" si="1"/>
        <v>44042</v>
      </c>
      <c r="X7" s="91">
        <f>+X13+X18</f>
        <v>48776</v>
      </c>
      <c r="Y7" s="5"/>
      <c r="Z7" s="12">
        <f t="shared" ref="Z7:AI8" si="2">SUM(L7:O7)</f>
        <v>269702</v>
      </c>
      <c r="AA7" s="12">
        <f t="shared" si="2"/>
        <v>235634</v>
      </c>
      <c r="AB7" s="12">
        <f t="shared" si="2"/>
        <v>223933</v>
      </c>
      <c r="AC7" s="12">
        <f t="shared" si="2"/>
        <v>216963</v>
      </c>
      <c r="AD7" s="12">
        <f t="shared" si="2"/>
        <v>208181</v>
      </c>
      <c r="AE7" s="12">
        <f t="shared" si="2"/>
        <v>202150</v>
      </c>
      <c r="AF7" s="12">
        <f t="shared" si="2"/>
        <v>209013</v>
      </c>
      <c r="AG7" s="12">
        <f t="shared" si="2"/>
        <v>210595</v>
      </c>
      <c r="AH7" s="12">
        <f t="shared" si="2"/>
        <v>204971</v>
      </c>
      <c r="AI7" s="12">
        <f t="shared" si="2"/>
        <v>191293</v>
      </c>
      <c r="AJ7" s="12">
        <f>SUM(V7:X7)</f>
        <v>139759</v>
      </c>
      <c r="AL7" s="13">
        <f>SUM(AJ7/AF7)-1</f>
        <v>-0.33133824211891127</v>
      </c>
    </row>
    <row r="8" spans="1:38" ht="12.75" customHeight="1">
      <c r="B8" s="10" t="s">
        <v>588</v>
      </c>
      <c r="C8" s="91">
        <f t="shared" ref="C8:I8" si="3">+C14+C19</f>
        <v>37155</v>
      </c>
      <c r="D8" s="91">
        <f t="shared" si="3"/>
        <v>153088</v>
      </c>
      <c r="E8" s="91">
        <f t="shared" si="3"/>
        <v>106202</v>
      </c>
      <c r="F8" s="91">
        <f t="shared" si="3"/>
        <v>139857</v>
      </c>
      <c r="G8" s="91">
        <f t="shared" si="3"/>
        <v>123282</v>
      </c>
      <c r="H8" s="91">
        <f t="shared" si="3"/>
        <v>126413</v>
      </c>
      <c r="I8" s="91">
        <f t="shared" si="3"/>
        <v>115857</v>
      </c>
      <c r="J8" s="91"/>
      <c r="K8" s="91">
        <f t="shared" ref="K8:W8" si="4">+K14+K19</f>
        <v>25058</v>
      </c>
      <c r="L8" s="91">
        <f t="shared" si="4"/>
        <v>44487</v>
      </c>
      <c r="M8" s="91">
        <f t="shared" si="4"/>
        <v>26128</v>
      </c>
      <c r="N8" s="91">
        <f t="shared" si="4"/>
        <v>27609</v>
      </c>
      <c r="O8" s="91">
        <f t="shared" si="4"/>
        <v>33788</v>
      </c>
      <c r="P8" s="91">
        <f t="shared" si="4"/>
        <v>33664</v>
      </c>
      <c r="Q8" s="91">
        <f t="shared" si="4"/>
        <v>30641</v>
      </c>
      <c r="R8" s="91">
        <f t="shared" si="4"/>
        <v>28320</v>
      </c>
      <c r="S8" s="91">
        <f t="shared" si="4"/>
        <v>25937</v>
      </c>
      <c r="T8" s="91">
        <f t="shared" si="4"/>
        <v>30731</v>
      </c>
      <c r="U8" s="91">
        <f t="shared" si="4"/>
        <v>29472</v>
      </c>
      <c r="V8" s="91">
        <f t="shared" si="4"/>
        <v>29717</v>
      </c>
      <c r="W8" s="91">
        <f t="shared" si="4"/>
        <v>24689</v>
      </c>
      <c r="X8" s="91">
        <f>+X14+X19</f>
        <v>26182</v>
      </c>
      <c r="Y8" s="5"/>
      <c r="Z8" s="12">
        <f t="shared" si="2"/>
        <v>132012</v>
      </c>
      <c r="AA8" s="12">
        <f t="shared" si="2"/>
        <v>121189</v>
      </c>
      <c r="AB8" s="12">
        <f t="shared" si="2"/>
        <v>125702</v>
      </c>
      <c r="AC8" s="12">
        <f t="shared" si="2"/>
        <v>126413</v>
      </c>
      <c r="AD8" s="12">
        <f t="shared" si="2"/>
        <v>118562</v>
      </c>
      <c r="AE8" s="12">
        <f t="shared" si="2"/>
        <v>115629</v>
      </c>
      <c r="AF8" s="12">
        <f t="shared" si="2"/>
        <v>114460</v>
      </c>
      <c r="AG8" s="12">
        <f t="shared" si="2"/>
        <v>115857</v>
      </c>
      <c r="AH8" s="12">
        <f t="shared" si="2"/>
        <v>114609</v>
      </c>
      <c r="AI8" s="12">
        <f t="shared" si="2"/>
        <v>110060</v>
      </c>
      <c r="AJ8" s="12">
        <f>SUM(V8:X8)</f>
        <v>80588</v>
      </c>
      <c r="AL8" s="13">
        <f>SUM(AJ8/AF8)-1</f>
        <v>-0.29592870871920318</v>
      </c>
    </row>
    <row r="9" spans="1:38" ht="12.75" customHeight="1">
      <c r="B9" s="14" t="s">
        <v>108</v>
      </c>
      <c r="C9" s="36">
        <f t="shared" ref="C9:I9" si="5">SUM(C7:C8)</f>
        <v>87934</v>
      </c>
      <c r="D9" s="36">
        <f t="shared" si="5"/>
        <v>297897</v>
      </c>
      <c r="E9" s="36">
        <f t="shared" si="5"/>
        <v>406785</v>
      </c>
      <c r="F9" s="36">
        <f t="shared" si="5"/>
        <v>464700</v>
      </c>
      <c r="G9" s="36">
        <f t="shared" si="5"/>
        <v>418933</v>
      </c>
      <c r="H9" s="36">
        <f t="shared" si="5"/>
        <v>343376</v>
      </c>
      <c r="I9" s="36">
        <f t="shared" si="5"/>
        <v>326452</v>
      </c>
      <c r="J9" s="12"/>
      <c r="K9" s="36">
        <f t="shared" ref="K9:X9" si="6">SUM(K7:K8)</f>
        <v>109455</v>
      </c>
      <c r="L9" s="36">
        <f t="shared" si="6"/>
        <v>147040</v>
      </c>
      <c r="M9" s="36">
        <f t="shared" si="6"/>
        <v>82500</v>
      </c>
      <c r="N9" s="36">
        <f t="shared" si="6"/>
        <v>79938</v>
      </c>
      <c r="O9" s="36">
        <f t="shared" si="6"/>
        <v>92236</v>
      </c>
      <c r="P9" s="36">
        <f t="shared" si="6"/>
        <v>102149</v>
      </c>
      <c r="Q9" s="36">
        <f t="shared" si="6"/>
        <v>75312</v>
      </c>
      <c r="R9" s="36">
        <f t="shared" si="6"/>
        <v>73679</v>
      </c>
      <c r="S9" s="36">
        <f t="shared" si="6"/>
        <v>75603</v>
      </c>
      <c r="T9" s="36">
        <f t="shared" si="6"/>
        <v>93185</v>
      </c>
      <c r="U9" s="36">
        <f t="shared" si="6"/>
        <v>81006</v>
      </c>
      <c r="V9" s="36">
        <f t="shared" si="6"/>
        <v>76658</v>
      </c>
      <c r="W9" s="36">
        <f t="shared" si="6"/>
        <v>68731</v>
      </c>
      <c r="X9" s="36">
        <f t="shared" si="6"/>
        <v>74958</v>
      </c>
      <c r="Y9" s="5"/>
      <c r="Z9" s="36">
        <f t="shared" ref="Z9:AJ9" si="7">SUM(Z7:Z8)</f>
        <v>401714</v>
      </c>
      <c r="AA9" s="36">
        <f t="shared" si="7"/>
        <v>356823</v>
      </c>
      <c r="AB9" s="36">
        <f t="shared" si="7"/>
        <v>349635</v>
      </c>
      <c r="AC9" s="36">
        <f t="shared" si="7"/>
        <v>343376</v>
      </c>
      <c r="AD9" s="36">
        <f t="shared" si="7"/>
        <v>326743</v>
      </c>
      <c r="AE9" s="36">
        <f t="shared" si="7"/>
        <v>317779</v>
      </c>
      <c r="AF9" s="36">
        <f t="shared" si="7"/>
        <v>323473</v>
      </c>
      <c r="AG9" s="36">
        <f t="shared" si="7"/>
        <v>326452</v>
      </c>
      <c r="AH9" s="36">
        <f t="shared" si="7"/>
        <v>319580</v>
      </c>
      <c r="AI9" s="36">
        <f t="shared" si="7"/>
        <v>301353</v>
      </c>
      <c r="AJ9" s="36">
        <f t="shared" si="7"/>
        <v>220347</v>
      </c>
      <c r="AL9" s="16">
        <f>SUM(AJ9/AF9)-1</f>
        <v>-0.31880867954976144</v>
      </c>
    </row>
    <row r="10" spans="1:38">
      <c r="B10" s="88" t="s">
        <v>94</v>
      </c>
      <c r="C10" s="89">
        <f>+C9-'Historical Financials'!C11</f>
        <v>0</v>
      </c>
      <c r="D10" s="89">
        <f>+D9-'Historical Financials'!D11</f>
        <v>0</v>
      </c>
      <c r="E10" s="89">
        <f>+E9-'Historical Financials'!E11</f>
        <v>0</v>
      </c>
      <c r="F10" s="89">
        <f>+F9-'Historical Financials'!F11</f>
        <v>0</v>
      </c>
      <c r="G10" s="89">
        <f>+G9-'Historical Financials'!G11</f>
        <v>0</v>
      </c>
      <c r="H10" s="89">
        <f>+H9-'Historical Financials'!H11</f>
        <v>0</v>
      </c>
      <c r="I10" s="89">
        <f>+I9-'Historical Financials'!I11</f>
        <v>0</v>
      </c>
      <c r="J10" s="12"/>
      <c r="K10" s="89">
        <f>K9-'Historical Financials'!AA11</f>
        <v>0</v>
      </c>
      <c r="L10" s="89">
        <f>L9-'Historical Financials'!AB11</f>
        <v>0</v>
      </c>
      <c r="M10" s="89">
        <f>M9-'Historical Financials'!AC11</f>
        <v>0</v>
      </c>
      <c r="N10" s="89">
        <f>N9-'Historical Financials'!AD11</f>
        <v>0</v>
      </c>
      <c r="O10" s="89">
        <f>O9-'Historical Financials'!AE11</f>
        <v>0</v>
      </c>
      <c r="P10" s="89">
        <f>P9-'Historical Financials'!AF11</f>
        <v>0</v>
      </c>
      <c r="Q10" s="89">
        <f>Q9-'Historical Financials'!AG11</f>
        <v>0</v>
      </c>
      <c r="R10" s="89">
        <f>R9-'Historical Financials'!AH11</f>
        <v>0</v>
      </c>
      <c r="S10" s="89">
        <f>S9-'Historical Financials'!AI11</f>
        <v>0</v>
      </c>
      <c r="T10" s="89">
        <f>T9-'Historical Financials'!AJ11</f>
        <v>0</v>
      </c>
      <c r="U10" s="89">
        <f>U9-'Historical Financials'!AK11</f>
        <v>0</v>
      </c>
      <c r="V10" s="89">
        <f>V9-'Historical Financials'!AL11</f>
        <v>0</v>
      </c>
      <c r="W10" s="89">
        <f>W9-'Historical Financials'!AM11</f>
        <v>0</v>
      </c>
      <c r="X10" s="89">
        <f>X9-'Historical Financials'!AN11</f>
        <v>0</v>
      </c>
      <c r="Y10" s="89"/>
      <c r="Z10" s="89">
        <f>Z9-'Historical Financials'!AP11</f>
        <v>-17219</v>
      </c>
      <c r="AA10" s="89">
        <f>AA9-'Historical Financials'!AQ11</f>
        <v>-44891</v>
      </c>
      <c r="AB10" s="89">
        <f>AB9-'Historical Financials'!AR11</f>
        <v>-7188</v>
      </c>
      <c r="AC10" s="89">
        <f>AC9-'Historical Financials'!AS11</f>
        <v>-6259</v>
      </c>
      <c r="AD10" s="89">
        <f>AD9-'Historical Financials'!AT11</f>
        <v>-16633</v>
      </c>
      <c r="AE10" s="89">
        <f>AE9-'Historical Financials'!AU11</f>
        <v>-8964</v>
      </c>
      <c r="AF10" s="89">
        <f>AF9-'Historical Financials'!AV11</f>
        <v>5694</v>
      </c>
      <c r="AG10" s="89">
        <f>AG9-'Historical Financials'!AW11</f>
        <v>2979</v>
      </c>
      <c r="AH10" s="89">
        <f>AH9-'Historical Financials'!AX11</f>
        <v>-6872</v>
      </c>
      <c r="AI10" s="89">
        <f>AI9-'Historical Financials'!AY11</f>
        <v>-18227</v>
      </c>
      <c r="AJ10" s="89">
        <f>AJ9-'Historical Financials'!AZ11</f>
        <v>-81006</v>
      </c>
      <c r="AL10" s="9"/>
    </row>
    <row r="11" spans="1:38">
      <c r="B11" s="20"/>
      <c r="C11" s="20"/>
      <c r="D11" s="20"/>
      <c r="E11" s="21"/>
      <c r="F11" s="21"/>
      <c r="G11" s="21"/>
      <c r="H11" s="21"/>
      <c r="I11" s="21"/>
      <c r="J11" s="22"/>
      <c r="K11" s="23"/>
      <c r="L11" s="23"/>
      <c r="M11" s="23"/>
      <c r="N11" s="24"/>
      <c r="O11" s="23"/>
      <c r="P11" s="23"/>
      <c r="Q11" s="23"/>
      <c r="R11" s="24"/>
      <c r="S11" s="23"/>
      <c r="T11" s="23"/>
      <c r="U11" s="23"/>
      <c r="V11" s="23"/>
      <c r="W11" s="23"/>
      <c r="X11" s="23"/>
      <c r="Y11" s="22"/>
      <c r="Z11" s="22"/>
      <c r="AA11" s="22"/>
      <c r="AB11" s="22"/>
      <c r="AC11" s="22"/>
      <c r="AD11" s="22"/>
      <c r="AE11" s="22"/>
      <c r="AF11" s="22"/>
      <c r="AG11" s="22"/>
      <c r="AH11" s="22"/>
      <c r="AI11" s="22"/>
      <c r="AJ11" s="22"/>
      <c r="AL11" s="9"/>
    </row>
    <row r="12" spans="1:38" ht="12.75" customHeight="1">
      <c r="A12" s="90" t="s">
        <v>25</v>
      </c>
      <c r="B12" s="87" t="s">
        <v>592</v>
      </c>
      <c r="C12" s="27"/>
      <c r="D12" s="27"/>
      <c r="E12" s="11"/>
      <c r="F12" s="11"/>
      <c r="G12" s="11"/>
      <c r="H12" s="11"/>
      <c r="I12" s="11"/>
      <c r="J12" s="11"/>
      <c r="K12" s="11"/>
      <c r="L12" s="11"/>
      <c r="M12" s="11"/>
      <c r="N12" s="11"/>
      <c r="O12" s="11"/>
      <c r="P12" s="11"/>
      <c r="Q12" s="11"/>
      <c r="R12" s="11"/>
      <c r="S12" s="11"/>
      <c r="T12" s="11"/>
      <c r="U12" s="11"/>
      <c r="V12" s="11"/>
      <c r="W12" s="11"/>
      <c r="X12" s="11"/>
      <c r="Y12" s="5"/>
      <c r="Z12" s="12"/>
      <c r="AA12" s="12"/>
      <c r="AB12" s="12"/>
      <c r="AC12" s="12"/>
      <c r="AD12" s="12"/>
      <c r="AE12" s="12"/>
      <c r="AF12" s="12"/>
      <c r="AG12" s="12"/>
      <c r="AH12" s="12"/>
      <c r="AI12" s="12"/>
      <c r="AL12" s="13"/>
    </row>
    <row r="13" spans="1:38" ht="12.75" customHeight="1">
      <c r="B13" s="10" t="s">
        <v>587</v>
      </c>
      <c r="C13" s="91">
        <v>49772</v>
      </c>
      <c r="D13" s="91">
        <v>129383</v>
      </c>
      <c r="E13" s="91">
        <v>264111</v>
      </c>
      <c r="F13" s="91">
        <v>243360</v>
      </c>
      <c r="G13" s="91">
        <v>234744</v>
      </c>
      <c r="H13" s="91">
        <v>155240</v>
      </c>
      <c r="I13" s="91">
        <v>150812</v>
      </c>
      <c r="J13" s="91"/>
      <c r="K13" s="91">
        <v>68260</v>
      </c>
      <c r="L13" s="91">
        <v>78861</v>
      </c>
      <c r="M13" s="91">
        <v>46177</v>
      </c>
      <c r="N13" s="91">
        <f>SUM(G13-SUM(K13:M13))</f>
        <v>41446</v>
      </c>
      <c r="O13" s="91">
        <v>44159</v>
      </c>
      <c r="P13" s="91">
        <v>48490</v>
      </c>
      <c r="Q13" s="91">
        <v>30518</v>
      </c>
      <c r="R13" s="91">
        <f>SUM(H13-SUM(O13:Q13))</f>
        <v>32073</v>
      </c>
      <c r="S13" s="91">
        <v>37088</v>
      </c>
      <c r="T13" s="91">
        <v>44869</v>
      </c>
      <c r="U13" s="91">
        <v>34969</v>
      </c>
      <c r="V13" s="91">
        <f>SUM(I13-SUM(S13:U13))</f>
        <v>33886</v>
      </c>
      <c r="W13" s="91">
        <v>31360</v>
      </c>
      <c r="X13" s="91">
        <v>32909</v>
      </c>
      <c r="Y13" s="5"/>
      <c r="Z13" s="12">
        <f t="shared" ref="Z13:AI14" si="8">SUM(L13:O13)</f>
        <v>210643</v>
      </c>
      <c r="AA13" s="12">
        <f t="shared" si="8"/>
        <v>180272</v>
      </c>
      <c r="AB13" s="12">
        <f t="shared" si="8"/>
        <v>164613</v>
      </c>
      <c r="AC13" s="12">
        <f t="shared" si="8"/>
        <v>155240</v>
      </c>
      <c r="AD13" s="12">
        <f t="shared" si="8"/>
        <v>148169</v>
      </c>
      <c r="AE13" s="12">
        <f t="shared" si="8"/>
        <v>144548</v>
      </c>
      <c r="AF13" s="12">
        <f t="shared" si="8"/>
        <v>148999</v>
      </c>
      <c r="AG13" s="12">
        <f t="shared" si="8"/>
        <v>150812</v>
      </c>
      <c r="AH13" s="12">
        <f t="shared" si="8"/>
        <v>145084</v>
      </c>
      <c r="AI13" s="12">
        <f t="shared" si="8"/>
        <v>133124</v>
      </c>
      <c r="AJ13" s="12">
        <f>SUM(V13:X13)</f>
        <v>98155</v>
      </c>
      <c r="AL13" s="13">
        <f>SUM(AJ13/AF13)-1</f>
        <v>-0.34123718951133897</v>
      </c>
    </row>
    <row r="14" spans="1:38" ht="12.75" customHeight="1">
      <c r="B14" s="10" t="s">
        <v>588</v>
      </c>
      <c r="C14" s="91">
        <v>20717</v>
      </c>
      <c r="D14" s="91">
        <v>70372</v>
      </c>
      <c r="E14" s="91">
        <v>60763</v>
      </c>
      <c r="F14" s="91">
        <v>76475</v>
      </c>
      <c r="G14" s="91">
        <v>69289</v>
      </c>
      <c r="H14" s="91">
        <v>50647</v>
      </c>
      <c r="I14" s="91">
        <v>47584</v>
      </c>
      <c r="J14" s="91"/>
      <c r="K14" s="91">
        <v>15493</v>
      </c>
      <c r="L14" s="91">
        <v>23389</v>
      </c>
      <c r="M14" s="91">
        <v>15994</v>
      </c>
      <c r="N14" s="91">
        <f>SUM(G14-SUM(K14:M14))</f>
        <v>14413</v>
      </c>
      <c r="O14" s="91">
        <v>14675</v>
      </c>
      <c r="P14" s="91">
        <v>12764</v>
      </c>
      <c r="Q14" s="91">
        <v>12535</v>
      </c>
      <c r="R14" s="91">
        <f>SUM(H14-SUM(O14:Q14))</f>
        <v>10673</v>
      </c>
      <c r="S14" s="91">
        <v>12304</v>
      </c>
      <c r="T14" s="91">
        <v>10350</v>
      </c>
      <c r="U14" s="91">
        <v>14478</v>
      </c>
      <c r="V14" s="91">
        <f>SUM(I14-SUM(S14:U14))</f>
        <v>10452</v>
      </c>
      <c r="W14" s="91">
        <v>9413</v>
      </c>
      <c r="X14" s="91">
        <v>11055</v>
      </c>
      <c r="Y14" s="5"/>
      <c r="Z14" s="12">
        <f t="shared" si="8"/>
        <v>68471</v>
      </c>
      <c r="AA14" s="12">
        <f t="shared" si="8"/>
        <v>57846</v>
      </c>
      <c r="AB14" s="12">
        <f t="shared" si="8"/>
        <v>54387</v>
      </c>
      <c r="AC14" s="12">
        <f t="shared" si="8"/>
        <v>50647</v>
      </c>
      <c r="AD14" s="12">
        <f t="shared" si="8"/>
        <v>48276</v>
      </c>
      <c r="AE14" s="12">
        <f t="shared" si="8"/>
        <v>45862</v>
      </c>
      <c r="AF14" s="12">
        <f t="shared" si="8"/>
        <v>47805</v>
      </c>
      <c r="AG14" s="12">
        <f t="shared" si="8"/>
        <v>47584</v>
      </c>
      <c r="AH14" s="12">
        <f t="shared" si="8"/>
        <v>44693</v>
      </c>
      <c r="AI14" s="12">
        <f t="shared" si="8"/>
        <v>45398</v>
      </c>
      <c r="AJ14" s="12">
        <f>SUM(V14:X14)</f>
        <v>30920</v>
      </c>
      <c r="AL14" s="13">
        <f>SUM(AJ14/AF14)-1</f>
        <v>-0.35320573161803159</v>
      </c>
    </row>
    <row r="15" spans="1:38" ht="12.75" customHeight="1">
      <c r="B15" s="14" t="s">
        <v>589</v>
      </c>
      <c r="C15" s="36">
        <f t="shared" ref="C15:I15" si="9">SUM(C13:C14)</f>
        <v>70489</v>
      </c>
      <c r="D15" s="36">
        <f t="shared" si="9"/>
        <v>199755</v>
      </c>
      <c r="E15" s="36">
        <f t="shared" si="9"/>
        <v>324874</v>
      </c>
      <c r="F15" s="36">
        <f t="shared" si="9"/>
        <v>319835</v>
      </c>
      <c r="G15" s="36">
        <f t="shared" si="9"/>
        <v>304033</v>
      </c>
      <c r="H15" s="36">
        <f t="shared" si="9"/>
        <v>205887</v>
      </c>
      <c r="I15" s="36">
        <f t="shared" si="9"/>
        <v>198396</v>
      </c>
      <c r="J15" s="12"/>
      <c r="K15" s="36">
        <f t="shared" ref="K15:X15" si="10">SUM(K13:K14)</f>
        <v>83753</v>
      </c>
      <c r="L15" s="36">
        <f t="shared" si="10"/>
        <v>102250</v>
      </c>
      <c r="M15" s="36">
        <f t="shared" si="10"/>
        <v>62171</v>
      </c>
      <c r="N15" s="36">
        <f t="shared" si="10"/>
        <v>55859</v>
      </c>
      <c r="O15" s="36">
        <f t="shared" si="10"/>
        <v>58834</v>
      </c>
      <c r="P15" s="36">
        <f t="shared" si="10"/>
        <v>61254</v>
      </c>
      <c r="Q15" s="36">
        <f t="shared" si="10"/>
        <v>43053</v>
      </c>
      <c r="R15" s="36">
        <f t="shared" si="10"/>
        <v>42746</v>
      </c>
      <c r="S15" s="36">
        <f t="shared" si="10"/>
        <v>49392</v>
      </c>
      <c r="T15" s="36">
        <f t="shared" si="10"/>
        <v>55219</v>
      </c>
      <c r="U15" s="36">
        <f t="shared" si="10"/>
        <v>49447</v>
      </c>
      <c r="V15" s="36">
        <f t="shared" si="10"/>
        <v>44338</v>
      </c>
      <c r="W15" s="36">
        <f t="shared" si="10"/>
        <v>40773</v>
      </c>
      <c r="X15" s="36">
        <f t="shared" si="10"/>
        <v>43964</v>
      </c>
      <c r="Y15" s="5"/>
      <c r="Z15" s="36">
        <f t="shared" ref="Z15:AJ15" si="11">SUM(Z13:Z14)</f>
        <v>279114</v>
      </c>
      <c r="AA15" s="36">
        <f t="shared" si="11"/>
        <v>238118</v>
      </c>
      <c r="AB15" s="36">
        <f t="shared" si="11"/>
        <v>219000</v>
      </c>
      <c r="AC15" s="36">
        <f t="shared" si="11"/>
        <v>205887</v>
      </c>
      <c r="AD15" s="36">
        <f t="shared" si="11"/>
        <v>196445</v>
      </c>
      <c r="AE15" s="36">
        <f t="shared" si="11"/>
        <v>190410</v>
      </c>
      <c r="AF15" s="36">
        <f t="shared" si="11"/>
        <v>196804</v>
      </c>
      <c r="AG15" s="36">
        <f t="shared" si="11"/>
        <v>198396</v>
      </c>
      <c r="AH15" s="36">
        <f t="shared" si="11"/>
        <v>189777</v>
      </c>
      <c r="AI15" s="36">
        <f t="shared" si="11"/>
        <v>178522</v>
      </c>
      <c r="AJ15" s="36">
        <f t="shared" si="11"/>
        <v>129075</v>
      </c>
      <c r="AL15" s="16">
        <f>SUM(AJ15/AF15)-1</f>
        <v>-0.34414442795878131</v>
      </c>
    </row>
    <row r="16" spans="1:38" ht="12.75" customHeight="1">
      <c r="B16" s="27"/>
      <c r="C16" s="79"/>
      <c r="D16" s="79"/>
      <c r="E16" s="79"/>
      <c r="F16" s="79"/>
      <c r="G16" s="79"/>
      <c r="H16" s="79"/>
      <c r="I16" s="79"/>
      <c r="J16" s="12"/>
      <c r="K16" s="79"/>
      <c r="L16" s="79"/>
      <c r="M16" s="79"/>
      <c r="N16" s="79"/>
      <c r="O16" s="79"/>
      <c r="P16" s="79"/>
      <c r="Q16" s="79"/>
      <c r="R16" s="79"/>
      <c r="S16" s="79"/>
      <c r="T16" s="79"/>
      <c r="U16" s="79"/>
      <c r="V16" s="79"/>
      <c r="W16" s="79"/>
      <c r="X16" s="79"/>
      <c r="Y16" s="5"/>
      <c r="Z16" s="79"/>
      <c r="AA16" s="79"/>
      <c r="AB16" s="79"/>
      <c r="AC16" s="79"/>
      <c r="AD16" s="79"/>
      <c r="AE16" s="79"/>
      <c r="AF16" s="79"/>
      <c r="AG16" s="79"/>
      <c r="AH16" s="79"/>
      <c r="AI16" s="79"/>
      <c r="AJ16" s="79"/>
      <c r="AL16" s="531"/>
    </row>
    <row r="17" spans="1:38" ht="12.75" customHeight="1">
      <c r="A17" s="90" t="s">
        <v>25</v>
      </c>
      <c r="B17" s="87" t="s">
        <v>593</v>
      </c>
      <c r="C17" s="27"/>
      <c r="D17" s="27"/>
      <c r="E17" s="11"/>
      <c r="F17" s="11"/>
      <c r="G17" s="11"/>
      <c r="H17" s="11"/>
      <c r="I17" s="11"/>
      <c r="J17" s="11"/>
      <c r="K17" s="11"/>
      <c r="L17" s="11"/>
      <c r="M17" s="11"/>
      <c r="N17" s="11"/>
      <c r="O17" s="11"/>
      <c r="P17" s="11"/>
      <c r="Q17" s="11"/>
      <c r="R17" s="11"/>
      <c r="S17" s="11"/>
      <c r="T17" s="11"/>
      <c r="U17" s="11"/>
      <c r="V17" s="11"/>
      <c r="W17" s="11"/>
      <c r="X17" s="11"/>
      <c r="Y17" s="5"/>
      <c r="Z17" s="12"/>
      <c r="AA17" s="12"/>
      <c r="AB17" s="12"/>
      <c r="AC17" s="12"/>
      <c r="AD17" s="12"/>
      <c r="AE17" s="12"/>
      <c r="AF17" s="12"/>
      <c r="AG17" s="12"/>
      <c r="AH17" s="12"/>
      <c r="AI17" s="12"/>
      <c r="AL17" s="13"/>
    </row>
    <row r="18" spans="1:38" ht="12.75" customHeight="1">
      <c r="B18" s="10" t="s">
        <v>587</v>
      </c>
      <c r="C18" s="91">
        <v>1007</v>
      </c>
      <c r="D18" s="91">
        <v>15426</v>
      </c>
      <c r="E18" s="91">
        <v>36472</v>
      </c>
      <c r="F18" s="91">
        <v>81483</v>
      </c>
      <c r="G18" s="91">
        <v>60907</v>
      </c>
      <c r="H18" s="91">
        <v>61723</v>
      </c>
      <c r="I18" s="91">
        <v>59783</v>
      </c>
      <c r="J18" s="91"/>
      <c r="K18" s="91">
        <v>16137</v>
      </c>
      <c r="L18" s="91">
        <v>23692</v>
      </c>
      <c r="M18" s="91">
        <v>10195</v>
      </c>
      <c r="N18" s="91">
        <f>SUM(G18-SUM(K18:M18))</f>
        <v>10883</v>
      </c>
      <c r="O18" s="91">
        <v>14289</v>
      </c>
      <c r="P18" s="91">
        <v>19995</v>
      </c>
      <c r="Q18" s="91">
        <v>14153</v>
      </c>
      <c r="R18" s="91">
        <f>SUM(H18-SUM(O18:Q18))</f>
        <v>13286</v>
      </c>
      <c r="S18" s="91">
        <v>12578</v>
      </c>
      <c r="T18" s="91">
        <v>17585</v>
      </c>
      <c r="U18" s="91">
        <v>16565</v>
      </c>
      <c r="V18" s="91">
        <f>SUM(I18-SUM(S18:U18))</f>
        <v>13055</v>
      </c>
      <c r="W18" s="91">
        <v>12682</v>
      </c>
      <c r="X18" s="91">
        <v>15867</v>
      </c>
      <c r="Y18" s="5"/>
      <c r="Z18" s="12">
        <f t="shared" ref="Z18:AI19" si="12">SUM(L18:O18)</f>
        <v>59059</v>
      </c>
      <c r="AA18" s="12">
        <f t="shared" si="12"/>
        <v>55362</v>
      </c>
      <c r="AB18" s="12">
        <f t="shared" si="12"/>
        <v>59320</v>
      </c>
      <c r="AC18" s="12">
        <f t="shared" si="12"/>
        <v>61723</v>
      </c>
      <c r="AD18" s="12">
        <f t="shared" si="12"/>
        <v>60012</v>
      </c>
      <c r="AE18" s="12">
        <f t="shared" si="12"/>
        <v>57602</v>
      </c>
      <c r="AF18" s="12">
        <f t="shared" si="12"/>
        <v>60014</v>
      </c>
      <c r="AG18" s="12">
        <f t="shared" si="12"/>
        <v>59783</v>
      </c>
      <c r="AH18" s="12">
        <f t="shared" si="12"/>
        <v>59887</v>
      </c>
      <c r="AI18" s="12">
        <f t="shared" si="12"/>
        <v>58169</v>
      </c>
      <c r="AJ18" s="12">
        <f>SUM(V18:X18)</f>
        <v>41604</v>
      </c>
      <c r="AL18" s="13">
        <f>SUM(AJ18/AF18)-1</f>
        <v>-0.30676175559036223</v>
      </c>
    </row>
    <row r="19" spans="1:38" ht="12.75" customHeight="1">
      <c r="B19" s="10" t="s">
        <v>588</v>
      </c>
      <c r="C19" s="91">
        <v>16438</v>
      </c>
      <c r="D19" s="91">
        <v>82716</v>
      </c>
      <c r="E19" s="91">
        <v>45439</v>
      </c>
      <c r="F19" s="91">
        <v>63382</v>
      </c>
      <c r="G19" s="91">
        <v>53993</v>
      </c>
      <c r="H19" s="91">
        <v>75766</v>
      </c>
      <c r="I19" s="91">
        <v>68273</v>
      </c>
      <c r="J19" s="91"/>
      <c r="K19" s="91">
        <v>9565</v>
      </c>
      <c r="L19" s="91">
        <v>21098</v>
      </c>
      <c r="M19" s="91">
        <v>10134</v>
      </c>
      <c r="N19" s="91">
        <f>SUM(G19-SUM(K19:M19))</f>
        <v>13196</v>
      </c>
      <c r="O19" s="91">
        <v>19113</v>
      </c>
      <c r="P19" s="91">
        <v>20900</v>
      </c>
      <c r="Q19" s="91">
        <v>18106</v>
      </c>
      <c r="R19" s="91">
        <f>SUM(H19-SUM(O19:Q19))</f>
        <v>17647</v>
      </c>
      <c r="S19" s="91">
        <v>13633</v>
      </c>
      <c r="T19" s="91">
        <v>20381</v>
      </c>
      <c r="U19" s="91">
        <v>14994</v>
      </c>
      <c r="V19" s="91">
        <f>SUM(I19-SUM(S19:U19))</f>
        <v>19265</v>
      </c>
      <c r="W19" s="91">
        <v>15276</v>
      </c>
      <c r="X19" s="91">
        <v>15127</v>
      </c>
      <c r="Y19" s="5"/>
      <c r="Z19" s="12">
        <f t="shared" si="12"/>
        <v>63541</v>
      </c>
      <c r="AA19" s="12">
        <f t="shared" si="12"/>
        <v>63343</v>
      </c>
      <c r="AB19" s="12">
        <f t="shared" si="12"/>
        <v>71315</v>
      </c>
      <c r="AC19" s="12">
        <f t="shared" si="12"/>
        <v>75766</v>
      </c>
      <c r="AD19" s="12">
        <f t="shared" si="12"/>
        <v>70286</v>
      </c>
      <c r="AE19" s="12">
        <f t="shared" si="12"/>
        <v>69767</v>
      </c>
      <c r="AF19" s="12">
        <f t="shared" si="12"/>
        <v>66655</v>
      </c>
      <c r="AG19" s="12">
        <f t="shared" si="12"/>
        <v>68273</v>
      </c>
      <c r="AH19" s="12">
        <f t="shared" si="12"/>
        <v>69916</v>
      </c>
      <c r="AI19" s="12">
        <f t="shared" si="12"/>
        <v>64662</v>
      </c>
      <c r="AJ19" s="12">
        <f>SUM(V19:X19)</f>
        <v>49668</v>
      </c>
      <c r="AL19" s="13">
        <f>SUM(AJ19/AF19)-1</f>
        <v>-0.25484959867976897</v>
      </c>
    </row>
    <row r="20" spans="1:38" ht="12.75" customHeight="1">
      <c r="B20" s="14" t="s">
        <v>590</v>
      </c>
      <c r="C20" s="36">
        <f t="shared" ref="C20:I20" si="13">SUM(C18:C19)</f>
        <v>17445</v>
      </c>
      <c r="D20" s="36">
        <f t="shared" si="13"/>
        <v>98142</v>
      </c>
      <c r="E20" s="36">
        <f t="shared" si="13"/>
        <v>81911</v>
      </c>
      <c r="F20" s="36">
        <f t="shared" si="13"/>
        <v>144865</v>
      </c>
      <c r="G20" s="36">
        <f t="shared" si="13"/>
        <v>114900</v>
      </c>
      <c r="H20" s="36">
        <f t="shared" si="13"/>
        <v>137489</v>
      </c>
      <c r="I20" s="36">
        <f t="shared" si="13"/>
        <v>128056</v>
      </c>
      <c r="J20" s="12"/>
      <c r="K20" s="36">
        <f t="shared" ref="K20:X20" si="14">SUM(K18:K19)</f>
        <v>25702</v>
      </c>
      <c r="L20" s="36">
        <f t="shared" si="14"/>
        <v>44790</v>
      </c>
      <c r="M20" s="36">
        <f t="shared" si="14"/>
        <v>20329</v>
      </c>
      <c r="N20" s="36">
        <f t="shared" si="14"/>
        <v>24079</v>
      </c>
      <c r="O20" s="36">
        <f t="shared" si="14"/>
        <v>33402</v>
      </c>
      <c r="P20" s="36">
        <f t="shared" si="14"/>
        <v>40895</v>
      </c>
      <c r="Q20" s="36">
        <f t="shared" si="14"/>
        <v>32259</v>
      </c>
      <c r="R20" s="36">
        <f t="shared" si="14"/>
        <v>30933</v>
      </c>
      <c r="S20" s="36">
        <f t="shared" si="14"/>
        <v>26211</v>
      </c>
      <c r="T20" s="36">
        <f t="shared" si="14"/>
        <v>37966</v>
      </c>
      <c r="U20" s="36">
        <f t="shared" si="14"/>
        <v>31559</v>
      </c>
      <c r="V20" s="36">
        <f t="shared" si="14"/>
        <v>32320</v>
      </c>
      <c r="W20" s="36">
        <f t="shared" si="14"/>
        <v>27958</v>
      </c>
      <c r="X20" s="36">
        <f t="shared" si="14"/>
        <v>30994</v>
      </c>
      <c r="Y20" s="5"/>
      <c r="Z20" s="36">
        <f t="shared" ref="Z20:AJ20" si="15">SUM(Z18:Z19)</f>
        <v>122600</v>
      </c>
      <c r="AA20" s="36">
        <f t="shared" si="15"/>
        <v>118705</v>
      </c>
      <c r="AB20" s="36">
        <f t="shared" si="15"/>
        <v>130635</v>
      </c>
      <c r="AC20" s="36">
        <f t="shared" si="15"/>
        <v>137489</v>
      </c>
      <c r="AD20" s="36">
        <f t="shared" si="15"/>
        <v>130298</v>
      </c>
      <c r="AE20" s="36">
        <f t="shared" si="15"/>
        <v>127369</v>
      </c>
      <c r="AF20" s="36">
        <f t="shared" si="15"/>
        <v>126669</v>
      </c>
      <c r="AG20" s="36">
        <f t="shared" si="15"/>
        <v>128056</v>
      </c>
      <c r="AH20" s="36">
        <f t="shared" si="15"/>
        <v>129803</v>
      </c>
      <c r="AI20" s="36">
        <f t="shared" si="15"/>
        <v>122831</v>
      </c>
      <c r="AJ20" s="36">
        <f t="shared" si="15"/>
        <v>91272</v>
      </c>
      <c r="AL20" s="16">
        <f>SUM(AJ20/AF20)-1</f>
        <v>-0.2794448523316676</v>
      </c>
    </row>
  </sheetData>
  <mergeCells count="1">
    <mergeCell ref="AL2:AL4"/>
  </mergeCells>
  <dataValidations disablePrompts="1"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ignoredErrors>
    <ignoredError sqref="AF7:AJ8"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K83"/>
  <sheetViews>
    <sheetView showGridLines="0" zoomScale="115" zoomScaleNormal="115" workbookViewId="0">
      <selection activeCell="S67" sqref="S67"/>
    </sheetView>
  </sheetViews>
  <sheetFormatPr defaultRowHeight="12" outlineLevelCol="1"/>
  <cols>
    <col min="1" max="1" width="1.5" style="8" customWidth="1"/>
    <col min="2" max="2" width="41.625" style="8" customWidth="1"/>
    <col min="3" max="4" width="8.625" style="8" hidden="1" customWidth="1" outlineLevel="1"/>
    <col min="5" max="5" width="9" style="8" bestFit="1" customWidth="1" collapsed="1"/>
    <col min="6" max="6" width="9.25" style="8" bestFit="1" customWidth="1"/>
    <col min="7" max="7" width="9" style="8"/>
    <col min="8" max="8" width="1.5" style="8" customWidth="1"/>
    <col min="9" max="11" width="7.875" style="8" hidden="1" customWidth="1" outlineLevel="1"/>
    <col min="12" max="12" width="9" style="8" hidden="1" customWidth="1" outlineLevel="1"/>
    <col min="13" max="13" width="8.5" style="8" hidden="1" customWidth="1" outlineLevel="1"/>
    <col min="14" max="14" width="7.875" style="8" hidden="1" customWidth="1" outlineLevel="1"/>
    <col min="15" max="15" width="9" style="8" hidden="1" customWidth="1" outlineLevel="1"/>
    <col min="16" max="16" width="9.25" style="8" hidden="1" customWidth="1" outlineLevel="1"/>
    <col min="17" max="17" width="9.75" style="8" hidden="1" customWidth="1" outlineLevel="1"/>
    <col min="18" max="18" width="9" style="8" customWidth="1" collapsed="1"/>
    <col min="19" max="21" width="9" style="8" bestFit="1" customWidth="1"/>
    <col min="22" max="22" width="8.5" style="8" bestFit="1" customWidth="1"/>
    <col min="23" max="23" width="1.625" style="8" customWidth="1"/>
    <col min="24" max="24" width="9" style="8" hidden="1" customWidth="1" outlineLevel="1"/>
    <col min="25" max="25" width="8.625" style="8" hidden="1" customWidth="1" outlineLevel="1"/>
    <col min="26" max="26" width="8.5" style="8" hidden="1" customWidth="1" outlineLevel="1"/>
    <col min="27" max="28" width="8.25" style="8" hidden="1" customWidth="1" outlineLevel="1"/>
    <col min="29" max="29" width="9.25" style="8" hidden="1" customWidth="1" outlineLevel="1"/>
    <col min="30" max="30" width="9.75" style="8" hidden="1" customWidth="1" outlineLevel="1"/>
    <col min="31" max="31" width="9" style="8" bestFit="1" customWidth="1" collapsed="1"/>
    <col min="32" max="34" width="9" style="8" hidden="1" customWidth="1" outlineLevel="1"/>
    <col min="35" max="35" width="8.5" style="8" bestFit="1" customWidth="1" collapsed="1"/>
    <col min="36" max="36" width="1.5" style="8" customWidth="1"/>
    <col min="37" max="37" width="8.375" style="552" bestFit="1" customWidth="1"/>
    <col min="38" max="16384" width="9" style="8"/>
  </cols>
  <sheetData>
    <row r="2" spans="2:37" s="5" customFormat="1" ht="12.75" customHeight="1">
      <c r="B2" s="1" t="s">
        <v>518</v>
      </c>
      <c r="C2" s="2" t="s">
        <v>0</v>
      </c>
      <c r="D2" s="2"/>
      <c r="E2" s="2" t="s">
        <v>0</v>
      </c>
      <c r="F2" s="2"/>
      <c r="G2" s="2"/>
      <c r="H2" s="3"/>
      <c r="I2" s="2" t="s">
        <v>1</v>
      </c>
      <c r="J2" s="2"/>
      <c r="K2" s="2"/>
      <c r="L2" s="2"/>
      <c r="M2" s="2"/>
      <c r="N2" s="2"/>
      <c r="O2" s="2"/>
      <c r="P2" s="2"/>
      <c r="Q2" s="2" t="s">
        <v>1</v>
      </c>
      <c r="R2" s="2" t="s">
        <v>1</v>
      </c>
      <c r="S2" s="2"/>
      <c r="T2" s="2"/>
      <c r="U2" s="2"/>
      <c r="V2" s="2"/>
      <c r="W2" s="3"/>
      <c r="X2" s="2" t="s">
        <v>10</v>
      </c>
      <c r="Y2" s="2"/>
      <c r="Z2" s="2"/>
      <c r="AA2" s="2"/>
      <c r="AB2" s="2"/>
      <c r="AC2" s="2"/>
      <c r="AD2" s="2"/>
      <c r="AE2" s="2" t="s">
        <v>10</v>
      </c>
      <c r="AF2" s="2"/>
      <c r="AG2" s="2"/>
      <c r="AH2" s="2"/>
      <c r="AI2" s="2"/>
      <c r="AJ2" s="3"/>
      <c r="AK2" s="561" t="s">
        <v>38</v>
      </c>
    </row>
    <row r="3" spans="2:37" s="5" customFormat="1" ht="12.75" customHeight="1">
      <c r="B3" s="6" t="s">
        <v>39</v>
      </c>
      <c r="C3" s="7">
        <f>'Historical Financials'!E7</f>
        <v>2020</v>
      </c>
      <c r="D3" s="7">
        <f>'Historical Financials'!F7</f>
        <v>2021</v>
      </c>
      <c r="E3" s="7">
        <f>'Historical Financials'!G7</f>
        <v>2022</v>
      </c>
      <c r="F3" s="7">
        <f>'Historical Financials'!H7</f>
        <v>2023</v>
      </c>
      <c r="G3" s="7">
        <f>'Historical Financials'!I7</f>
        <v>2024</v>
      </c>
      <c r="H3" s="3"/>
      <c r="I3" s="7" t="str">
        <f>'Historical Financials'!AA7</f>
        <v>1Q22</v>
      </c>
      <c r="J3" s="7" t="str">
        <f>'Historical Financials'!AB7</f>
        <v>2Q22</v>
      </c>
      <c r="K3" s="7" t="str">
        <f>'Historical Financials'!AC7</f>
        <v>3Q22</v>
      </c>
      <c r="L3" s="7" t="str">
        <f>'Historical Financials'!AD7</f>
        <v>4Q22</v>
      </c>
      <c r="M3" s="7" t="str">
        <f>'Historical Financials'!AE7</f>
        <v>1Q23</v>
      </c>
      <c r="N3" s="7" t="str">
        <f>'Historical Financials'!AF7</f>
        <v>2Q23</v>
      </c>
      <c r="O3" s="7" t="str">
        <f>'Historical Financials'!AG7</f>
        <v>3Q23</v>
      </c>
      <c r="P3" s="7" t="str">
        <f>'Historical Financials'!AH7</f>
        <v>4Q23</v>
      </c>
      <c r="Q3" s="7" t="str">
        <f>'Historical Financials'!AI7</f>
        <v>1Q24</v>
      </c>
      <c r="R3" s="7" t="str">
        <f>'Historical Financials'!AJ7</f>
        <v>2Q24</v>
      </c>
      <c r="S3" s="7" t="str">
        <f>'Historical Financials'!AK7</f>
        <v>3Q24</v>
      </c>
      <c r="T3" s="7" t="str">
        <f>'Historical Financials'!AL7</f>
        <v>4Q24</v>
      </c>
      <c r="U3" s="7" t="str">
        <f>'Historical Financials'!AM7</f>
        <v>1Q25</v>
      </c>
      <c r="V3" s="7" t="str">
        <f>'Historical Financials'!AN7</f>
        <v>2Q25</v>
      </c>
      <c r="W3" s="3"/>
      <c r="X3" s="4" t="str">
        <f t="shared" ref="X3:AH4" si="0">K3</f>
        <v>3Q22</v>
      </c>
      <c r="Y3" s="4" t="str">
        <f t="shared" si="0"/>
        <v>4Q22</v>
      </c>
      <c r="Z3" s="4" t="str">
        <f t="shared" si="0"/>
        <v>1Q23</v>
      </c>
      <c r="AA3" s="4" t="str">
        <f t="shared" si="0"/>
        <v>2Q23</v>
      </c>
      <c r="AB3" s="4" t="str">
        <f t="shared" si="0"/>
        <v>3Q23</v>
      </c>
      <c r="AC3" s="4" t="str">
        <f t="shared" si="0"/>
        <v>4Q23</v>
      </c>
      <c r="AD3" s="4" t="str">
        <f t="shared" si="0"/>
        <v>1Q24</v>
      </c>
      <c r="AE3" s="4" t="str">
        <f t="shared" si="0"/>
        <v>2Q24</v>
      </c>
      <c r="AF3" s="4" t="str">
        <f t="shared" si="0"/>
        <v>3Q24</v>
      </c>
      <c r="AG3" s="4" t="str">
        <f t="shared" si="0"/>
        <v>4Q24</v>
      </c>
      <c r="AH3" s="4" t="str">
        <f t="shared" si="0"/>
        <v>1Q25</v>
      </c>
      <c r="AI3" s="4" t="str">
        <f>V3</f>
        <v>2Q25</v>
      </c>
      <c r="AJ3" s="3"/>
      <c r="AK3" s="561"/>
    </row>
    <row r="4" spans="2:37" s="5" customFormat="1" ht="12.75" customHeight="1">
      <c r="B4" s="6" t="s">
        <v>452</v>
      </c>
      <c r="C4" s="3">
        <f>'Historical Financials'!E8</f>
        <v>44196</v>
      </c>
      <c r="D4" s="3">
        <f>'Historical Financials'!F8</f>
        <v>44561</v>
      </c>
      <c r="E4" s="3">
        <f>'Historical Financials'!G8</f>
        <v>44926</v>
      </c>
      <c r="F4" s="3">
        <f>'Historical Financials'!H8</f>
        <v>45291</v>
      </c>
      <c r="G4" s="3">
        <f>'Historical Financials'!I8</f>
        <v>45657</v>
      </c>
      <c r="H4" s="3"/>
      <c r="I4" s="3">
        <f>'Historical Financials'!AA8</f>
        <v>44653</v>
      </c>
      <c r="J4" s="3">
        <f>'Historical Financials'!AB8</f>
        <v>44744</v>
      </c>
      <c r="K4" s="3">
        <f>'Historical Financials'!AC8</f>
        <v>44835</v>
      </c>
      <c r="L4" s="3">
        <f>'Historical Financials'!AD8</f>
        <v>44926</v>
      </c>
      <c r="M4" s="3">
        <f>'Historical Financials'!AE8</f>
        <v>45017</v>
      </c>
      <c r="N4" s="3">
        <f>'Historical Financials'!AF8</f>
        <v>45108</v>
      </c>
      <c r="O4" s="3">
        <f>'Historical Financials'!AG8</f>
        <v>45199</v>
      </c>
      <c r="P4" s="3">
        <f>'Historical Financials'!AH8</f>
        <v>45291</v>
      </c>
      <c r="Q4" s="3">
        <f>'Historical Financials'!AI8</f>
        <v>45381</v>
      </c>
      <c r="R4" s="3">
        <f>'Historical Financials'!AJ8</f>
        <v>45472</v>
      </c>
      <c r="S4" s="3">
        <f>'Historical Financials'!AK8</f>
        <v>45563</v>
      </c>
      <c r="T4" s="3">
        <f>'Historical Financials'!AL8</f>
        <v>45657</v>
      </c>
      <c r="U4" s="3">
        <f>'Historical Financials'!AM8</f>
        <v>45745</v>
      </c>
      <c r="V4" s="3">
        <f>'Historical Financials'!AN8</f>
        <v>45836</v>
      </c>
      <c r="W4" s="3"/>
      <c r="X4" s="3">
        <f t="shared" si="0"/>
        <v>44835</v>
      </c>
      <c r="Y4" s="3">
        <f t="shared" si="0"/>
        <v>44926</v>
      </c>
      <c r="Z4" s="3">
        <f t="shared" si="0"/>
        <v>45017</v>
      </c>
      <c r="AA4" s="3">
        <f t="shared" si="0"/>
        <v>45108</v>
      </c>
      <c r="AB4" s="3">
        <f t="shared" si="0"/>
        <v>45199</v>
      </c>
      <c r="AC4" s="3">
        <f t="shared" si="0"/>
        <v>45291</v>
      </c>
      <c r="AD4" s="3">
        <f t="shared" si="0"/>
        <v>45381</v>
      </c>
      <c r="AE4" s="3">
        <f t="shared" si="0"/>
        <v>45472</v>
      </c>
      <c r="AF4" s="3">
        <f t="shared" si="0"/>
        <v>45563</v>
      </c>
      <c r="AG4" s="3">
        <f t="shared" si="0"/>
        <v>45657</v>
      </c>
      <c r="AH4" s="3">
        <f t="shared" si="0"/>
        <v>45745</v>
      </c>
      <c r="AI4" s="3">
        <f>V4</f>
        <v>45836</v>
      </c>
      <c r="AJ4" s="3"/>
      <c r="AK4" s="561"/>
    </row>
    <row r="5" spans="2:37" ht="5.0999999999999996" customHeight="1">
      <c r="AK5" s="548"/>
    </row>
    <row r="6" spans="2:37" ht="12.75" customHeight="1">
      <c r="B6" s="10" t="str">
        <f>'Revenue Drivers'!B7</f>
        <v>Retail</v>
      </c>
      <c r="C6" s="191">
        <f>'Revenue Drivers'!E7</f>
        <v>300583</v>
      </c>
      <c r="D6" s="191">
        <f>'Revenue Drivers'!F7</f>
        <v>324843</v>
      </c>
      <c r="E6" s="191">
        <f>'Revenue Drivers'!G7</f>
        <v>295651</v>
      </c>
      <c r="F6" s="191">
        <f>'Revenue Drivers'!H7</f>
        <v>216963</v>
      </c>
      <c r="G6" s="191">
        <f>'Revenue Drivers'!I7</f>
        <v>210595</v>
      </c>
      <c r="H6" s="11"/>
      <c r="I6" s="191">
        <f>'Revenue Drivers'!K7</f>
        <v>84397</v>
      </c>
      <c r="J6" s="191">
        <f>'Revenue Drivers'!L7</f>
        <v>102553</v>
      </c>
      <c r="K6" s="191">
        <f>'Revenue Drivers'!M7</f>
        <v>56372</v>
      </c>
      <c r="L6" s="191">
        <f>'Revenue Drivers'!N7</f>
        <v>52329</v>
      </c>
      <c r="M6" s="191">
        <f>'Revenue Drivers'!O7</f>
        <v>58448</v>
      </c>
      <c r="N6" s="191">
        <f>'Revenue Drivers'!P7</f>
        <v>68485</v>
      </c>
      <c r="O6" s="191">
        <f>'Revenue Drivers'!Q7</f>
        <v>44671</v>
      </c>
      <c r="P6" s="191">
        <f>'Revenue Drivers'!R7</f>
        <v>45359</v>
      </c>
      <c r="Q6" s="191">
        <f>'Revenue Drivers'!S7</f>
        <v>49666</v>
      </c>
      <c r="R6" s="191">
        <f>'Revenue Drivers'!T7</f>
        <v>62454</v>
      </c>
      <c r="S6" s="191">
        <f>'Revenue Drivers'!U7</f>
        <v>51534</v>
      </c>
      <c r="T6" s="191">
        <f>'Revenue Drivers'!V7</f>
        <v>46941</v>
      </c>
      <c r="U6" s="191">
        <f>'Revenue Drivers'!W7</f>
        <v>44042</v>
      </c>
      <c r="V6" s="191">
        <f>'Revenue Drivers'!X7</f>
        <v>48776</v>
      </c>
      <c r="W6" s="5"/>
      <c r="X6" s="11">
        <f t="shared" ref="X6:AH7" si="1">SUM(H6:K6)</f>
        <v>243322</v>
      </c>
      <c r="Y6" s="11">
        <f t="shared" si="1"/>
        <v>295651</v>
      </c>
      <c r="Z6" s="11">
        <f t="shared" si="1"/>
        <v>269702</v>
      </c>
      <c r="AA6" s="11">
        <f t="shared" si="1"/>
        <v>235634</v>
      </c>
      <c r="AB6" s="11">
        <f t="shared" si="1"/>
        <v>223933</v>
      </c>
      <c r="AC6" s="11">
        <f t="shared" si="1"/>
        <v>216963</v>
      </c>
      <c r="AD6" s="11">
        <f t="shared" si="1"/>
        <v>208181</v>
      </c>
      <c r="AE6" s="11">
        <f t="shared" si="1"/>
        <v>202150</v>
      </c>
      <c r="AF6" s="11">
        <f t="shared" si="1"/>
        <v>209013</v>
      </c>
      <c r="AG6" s="11">
        <f t="shared" si="1"/>
        <v>210595</v>
      </c>
      <c r="AH6" s="11">
        <f t="shared" si="1"/>
        <v>204971</v>
      </c>
      <c r="AI6" s="11">
        <f>SUM(S6:V6)</f>
        <v>191293</v>
      </c>
      <c r="AK6" s="549">
        <f>SUM(AI6/AE6)-1</f>
        <v>-5.37076428394756E-2</v>
      </c>
    </row>
    <row r="7" spans="2:37" ht="12.75" customHeight="1">
      <c r="B7" s="10" t="str">
        <f>'Revenue Drivers'!B8</f>
        <v>Foodservice</v>
      </c>
      <c r="C7" s="191">
        <f>'Revenue Drivers'!E8</f>
        <v>106202</v>
      </c>
      <c r="D7" s="191">
        <f>'Revenue Drivers'!F8</f>
        <v>139857</v>
      </c>
      <c r="E7" s="191">
        <f>'Revenue Drivers'!G8</f>
        <v>123282</v>
      </c>
      <c r="F7" s="191">
        <f>'Revenue Drivers'!H8</f>
        <v>126413</v>
      </c>
      <c r="G7" s="191">
        <f>'Revenue Drivers'!I8</f>
        <v>115857</v>
      </c>
      <c r="H7" s="11"/>
      <c r="I7" s="191">
        <f>'Revenue Drivers'!K8</f>
        <v>25058</v>
      </c>
      <c r="J7" s="191">
        <f>'Revenue Drivers'!L8</f>
        <v>44487</v>
      </c>
      <c r="K7" s="191">
        <f>'Revenue Drivers'!M8</f>
        <v>26128</v>
      </c>
      <c r="L7" s="191">
        <f>'Revenue Drivers'!N8</f>
        <v>27609</v>
      </c>
      <c r="M7" s="191">
        <f>'Revenue Drivers'!O8</f>
        <v>33788</v>
      </c>
      <c r="N7" s="191">
        <f>'Revenue Drivers'!P8</f>
        <v>33664</v>
      </c>
      <c r="O7" s="191">
        <f>'Revenue Drivers'!Q8</f>
        <v>30641</v>
      </c>
      <c r="P7" s="191">
        <f>'Revenue Drivers'!R8</f>
        <v>28320</v>
      </c>
      <c r="Q7" s="191">
        <f>'Revenue Drivers'!S8</f>
        <v>25937</v>
      </c>
      <c r="R7" s="191">
        <f>'Revenue Drivers'!T8</f>
        <v>30731</v>
      </c>
      <c r="S7" s="191">
        <f>'Revenue Drivers'!U8</f>
        <v>29472</v>
      </c>
      <c r="T7" s="191">
        <f>'Revenue Drivers'!V8</f>
        <v>29717</v>
      </c>
      <c r="U7" s="191">
        <f>'Revenue Drivers'!W8</f>
        <v>24689</v>
      </c>
      <c r="V7" s="191">
        <f>'Revenue Drivers'!X8</f>
        <v>26182</v>
      </c>
      <c r="W7" s="5"/>
      <c r="X7" s="11">
        <f t="shared" si="1"/>
        <v>95673</v>
      </c>
      <c r="Y7" s="11">
        <f t="shared" si="1"/>
        <v>123282</v>
      </c>
      <c r="Z7" s="11">
        <f t="shared" si="1"/>
        <v>132012</v>
      </c>
      <c r="AA7" s="11">
        <f t="shared" si="1"/>
        <v>121189</v>
      </c>
      <c r="AB7" s="11">
        <f t="shared" si="1"/>
        <v>125702</v>
      </c>
      <c r="AC7" s="11">
        <f t="shared" si="1"/>
        <v>126413</v>
      </c>
      <c r="AD7" s="11">
        <f t="shared" si="1"/>
        <v>118562</v>
      </c>
      <c r="AE7" s="11">
        <f t="shared" si="1"/>
        <v>115629</v>
      </c>
      <c r="AF7" s="11">
        <f t="shared" si="1"/>
        <v>114460</v>
      </c>
      <c r="AG7" s="11">
        <f t="shared" si="1"/>
        <v>115857</v>
      </c>
      <c r="AH7" s="11">
        <f t="shared" si="1"/>
        <v>114609</v>
      </c>
      <c r="AI7" s="11">
        <f>SUM(S7:V7)</f>
        <v>110060</v>
      </c>
      <c r="AK7" s="549">
        <f>SUM(AI7/AE7)-1</f>
        <v>-4.8162658156690741E-2</v>
      </c>
    </row>
    <row r="8" spans="2:37" ht="12.75" customHeight="1">
      <c r="B8" s="14" t="s">
        <v>13</v>
      </c>
      <c r="C8" s="15">
        <f>SUM(C6:C7)</f>
        <v>406785</v>
      </c>
      <c r="D8" s="15">
        <f>SUM(D6:D7)</f>
        <v>464700</v>
      </c>
      <c r="E8" s="15">
        <f>SUM(E6:E7)</f>
        <v>418933</v>
      </c>
      <c r="F8" s="15">
        <f>SUM(F6:F7)</f>
        <v>343376</v>
      </c>
      <c r="G8" s="15">
        <f>SUM(G6:G7)</f>
        <v>326452</v>
      </c>
      <c r="H8" s="11"/>
      <c r="I8" s="15">
        <f t="shared" ref="I8:V8" si="2">SUM(I6:I7)</f>
        <v>109455</v>
      </c>
      <c r="J8" s="15">
        <f t="shared" si="2"/>
        <v>147040</v>
      </c>
      <c r="K8" s="15">
        <f t="shared" si="2"/>
        <v>82500</v>
      </c>
      <c r="L8" s="15">
        <f t="shared" si="2"/>
        <v>79938</v>
      </c>
      <c r="M8" s="15">
        <f t="shared" si="2"/>
        <v>92236</v>
      </c>
      <c r="N8" s="15">
        <f t="shared" si="2"/>
        <v>102149</v>
      </c>
      <c r="O8" s="15">
        <f t="shared" si="2"/>
        <v>75312</v>
      </c>
      <c r="P8" s="15">
        <f t="shared" si="2"/>
        <v>73679</v>
      </c>
      <c r="Q8" s="15">
        <f t="shared" si="2"/>
        <v>75603</v>
      </c>
      <c r="R8" s="15">
        <f t="shared" si="2"/>
        <v>93185</v>
      </c>
      <c r="S8" s="15">
        <f t="shared" si="2"/>
        <v>81006</v>
      </c>
      <c r="T8" s="15">
        <f t="shared" si="2"/>
        <v>76658</v>
      </c>
      <c r="U8" s="15">
        <f t="shared" si="2"/>
        <v>68731</v>
      </c>
      <c r="V8" s="15">
        <f t="shared" si="2"/>
        <v>74958</v>
      </c>
      <c r="W8" s="5"/>
      <c r="X8" s="15">
        <f t="shared" ref="X8:AH8" si="3">SUM(X6:X7)</f>
        <v>338995</v>
      </c>
      <c r="Y8" s="15">
        <f t="shared" si="3"/>
        <v>418933</v>
      </c>
      <c r="Z8" s="15">
        <f t="shared" si="3"/>
        <v>401714</v>
      </c>
      <c r="AA8" s="15">
        <f t="shared" si="3"/>
        <v>356823</v>
      </c>
      <c r="AB8" s="15">
        <f t="shared" si="3"/>
        <v>349635</v>
      </c>
      <c r="AC8" s="15">
        <f t="shared" si="3"/>
        <v>343376</v>
      </c>
      <c r="AD8" s="15">
        <f t="shared" si="3"/>
        <v>326743</v>
      </c>
      <c r="AE8" s="15">
        <f t="shared" si="3"/>
        <v>317779</v>
      </c>
      <c r="AF8" s="15">
        <f t="shared" si="3"/>
        <v>323473</v>
      </c>
      <c r="AG8" s="15">
        <f t="shared" si="3"/>
        <v>326452</v>
      </c>
      <c r="AH8" s="15">
        <f t="shared" si="3"/>
        <v>319580</v>
      </c>
      <c r="AI8" s="15">
        <f>SUM(AI6:AI7)</f>
        <v>301353</v>
      </c>
      <c r="AK8" s="550">
        <f>SUM(AI8/AE8)-1</f>
        <v>-5.1690010982475276E-2</v>
      </c>
    </row>
    <row r="9" spans="2:37" ht="12.75" customHeight="1">
      <c r="B9" s="17" t="s">
        <v>46</v>
      </c>
      <c r="C9" s="18"/>
      <c r="D9" s="19">
        <f>SUM(D8/C8)-1</f>
        <v>0.14237250636085408</v>
      </c>
      <c r="E9" s="19">
        <f>SUM(E8/D8)-1</f>
        <v>-9.8487196040456193E-2</v>
      </c>
      <c r="F9" s="19">
        <f>SUM(F8/E8)-1</f>
        <v>-0.18035580868539836</v>
      </c>
      <c r="G9" s="19">
        <f>SUM(G8/F8)-1</f>
        <v>-4.9287078887283897E-2</v>
      </c>
      <c r="H9" s="12"/>
      <c r="I9" s="18"/>
      <c r="J9" s="18"/>
      <c r="K9" s="18"/>
      <c r="L9" s="18"/>
      <c r="M9" s="19">
        <f>SUM(M8/I8)-1</f>
        <v>-0.15731579187794076</v>
      </c>
      <c r="N9" s="19">
        <f t="shared" ref="N9:V9" si="4">SUM(N8/J8)-1</f>
        <v>-0.30529787812840048</v>
      </c>
      <c r="O9" s="19">
        <f t="shared" si="4"/>
        <v>-8.712727272727272E-2</v>
      </c>
      <c r="P9" s="19">
        <f t="shared" si="4"/>
        <v>-7.8298181090345031E-2</v>
      </c>
      <c r="Q9" s="19">
        <f t="shared" si="4"/>
        <v>-0.18033089032481897</v>
      </c>
      <c r="R9" s="19">
        <f t="shared" si="4"/>
        <v>-8.7754163036348865E-2</v>
      </c>
      <c r="S9" s="19">
        <f t="shared" si="4"/>
        <v>7.5605481198215418E-2</v>
      </c>
      <c r="T9" s="19">
        <f t="shared" si="4"/>
        <v>4.0432144844528395E-2</v>
      </c>
      <c r="U9" s="19">
        <f t="shared" si="4"/>
        <v>-9.0895863920743891E-2</v>
      </c>
      <c r="V9" s="19">
        <f t="shared" si="4"/>
        <v>-0.19560015023877231</v>
      </c>
      <c r="W9" s="5"/>
      <c r="X9" s="532"/>
      <c r="Y9" s="532"/>
      <c r="Z9" s="532"/>
      <c r="AA9" s="532"/>
      <c r="AB9" s="19">
        <f t="shared" ref="AB9:AI9" si="5">SUM(AB8/X8)-1</f>
        <v>3.1386893612000089E-2</v>
      </c>
      <c r="AC9" s="19">
        <f t="shared" si="5"/>
        <v>-0.18035580868539836</v>
      </c>
      <c r="AD9" s="19">
        <f t="shared" si="5"/>
        <v>-0.18662779987752476</v>
      </c>
      <c r="AE9" s="19">
        <f t="shared" si="5"/>
        <v>-0.10942119762459257</v>
      </c>
      <c r="AF9" s="19">
        <f t="shared" si="5"/>
        <v>-7.4826604887954562E-2</v>
      </c>
      <c r="AG9" s="19">
        <f t="shared" si="5"/>
        <v>-4.9287078887283897E-2</v>
      </c>
      <c r="AH9" s="19">
        <f t="shared" si="5"/>
        <v>-2.1922428330522714E-2</v>
      </c>
      <c r="AI9" s="19">
        <f t="shared" si="5"/>
        <v>-5.1690010982475276E-2</v>
      </c>
      <c r="AK9" s="551">
        <f>SUM(AI9-AE9)*10000</f>
        <v>577.31186642117291</v>
      </c>
    </row>
    <row r="10" spans="2:37" ht="12.75" customHeight="1">
      <c r="B10" s="17" t="s">
        <v>47</v>
      </c>
      <c r="C10" s="19" t="s">
        <v>48</v>
      </c>
      <c r="D10" s="19" t="s">
        <v>48</v>
      </c>
      <c r="E10" s="19" t="s">
        <v>48</v>
      </c>
      <c r="F10" s="19" t="s">
        <v>48</v>
      </c>
      <c r="G10" s="19" t="s">
        <v>48</v>
      </c>
      <c r="H10" s="12"/>
      <c r="I10" s="18"/>
      <c r="J10" s="19">
        <f>SUM(J8/I8)-1</f>
        <v>0.34338312548535921</v>
      </c>
      <c r="K10" s="19">
        <f t="shared" ref="K10:V10" si="6">SUM(K8/J8)-1</f>
        <v>-0.43892818280739931</v>
      </c>
      <c r="L10" s="19">
        <f t="shared" si="6"/>
        <v>-3.1054545454545446E-2</v>
      </c>
      <c r="M10" s="19">
        <f t="shared" si="6"/>
        <v>0.15384422927769026</v>
      </c>
      <c r="N10" s="19">
        <f t="shared" si="6"/>
        <v>0.1074743050435838</v>
      </c>
      <c r="O10" s="19">
        <f t="shared" si="6"/>
        <v>-0.26272405995163928</v>
      </c>
      <c r="P10" s="19">
        <f t="shared" si="6"/>
        <v>-2.1683131506267217E-2</v>
      </c>
      <c r="Q10" s="19">
        <f t="shared" si="6"/>
        <v>2.6113275153028637E-2</v>
      </c>
      <c r="R10" s="19">
        <f t="shared" si="6"/>
        <v>0.23255690911736315</v>
      </c>
      <c r="S10" s="19">
        <f t="shared" si="6"/>
        <v>-0.13069700059022371</v>
      </c>
      <c r="T10" s="19">
        <f t="shared" si="6"/>
        <v>-5.3675036417055511E-2</v>
      </c>
      <c r="U10" s="19">
        <f t="shared" si="6"/>
        <v>-0.1034073416994965</v>
      </c>
      <c r="V10" s="19">
        <f t="shared" si="6"/>
        <v>9.0599583885000889E-2</v>
      </c>
      <c r="W10" s="5"/>
      <c r="X10" s="19" t="s">
        <v>48</v>
      </c>
      <c r="Y10" s="19" t="s">
        <v>48</v>
      </c>
      <c r="Z10" s="19" t="s">
        <v>48</v>
      </c>
      <c r="AA10" s="19" t="s">
        <v>48</v>
      </c>
      <c r="AB10" s="19" t="s">
        <v>48</v>
      </c>
      <c r="AC10" s="19" t="s">
        <v>48</v>
      </c>
      <c r="AD10" s="19" t="s">
        <v>48</v>
      </c>
      <c r="AE10" s="19" t="s">
        <v>48</v>
      </c>
      <c r="AF10" s="19" t="s">
        <v>48</v>
      </c>
      <c r="AG10" s="19" t="s">
        <v>48</v>
      </c>
      <c r="AH10" s="19" t="s">
        <v>48</v>
      </c>
      <c r="AI10" s="19" t="s">
        <v>48</v>
      </c>
      <c r="AK10" s="548"/>
    </row>
    <row r="11" spans="2:37" ht="5.0999999999999996" customHeight="1">
      <c r="B11" s="20"/>
      <c r="C11" s="191"/>
      <c r="D11" s="21"/>
      <c r="E11" s="21"/>
      <c r="F11" s="21"/>
      <c r="G11" s="21"/>
      <c r="H11" s="22"/>
      <c r="I11" s="23"/>
      <c r="J11" s="23"/>
      <c r="K11" s="23"/>
      <c r="L11" s="24"/>
      <c r="M11" s="23"/>
      <c r="N11" s="23"/>
      <c r="O11" s="23"/>
      <c r="P11" s="24"/>
      <c r="Q11" s="23"/>
      <c r="R11" s="23"/>
      <c r="S11" s="23"/>
      <c r="T11" s="23"/>
      <c r="U11" s="23"/>
      <c r="V11" s="23"/>
      <c r="W11" s="22"/>
      <c r="X11" s="22"/>
      <c r="Y11" s="22"/>
      <c r="Z11" s="22"/>
      <c r="AA11" s="22"/>
      <c r="AB11" s="22"/>
      <c r="AC11" s="22"/>
      <c r="AD11" s="22"/>
      <c r="AE11" s="22"/>
      <c r="AF11" s="22"/>
      <c r="AG11" s="22"/>
      <c r="AH11" s="22"/>
      <c r="AI11" s="22"/>
      <c r="AK11" s="548"/>
    </row>
    <row r="12" spans="2:37" ht="12.75" customHeight="1">
      <c r="B12" s="25" t="s">
        <v>49</v>
      </c>
      <c r="C12" s="191">
        <f>'Historical Financials'!E13</f>
        <v>-284510</v>
      </c>
      <c r="D12" s="191">
        <f>'Historical Financials'!F13</f>
        <v>-347419</v>
      </c>
      <c r="E12" s="191">
        <f>'Historical Financials'!G13</f>
        <v>-442676</v>
      </c>
      <c r="F12" s="191">
        <f>'Historical Financials'!H13</f>
        <v>-426031</v>
      </c>
      <c r="G12" s="191">
        <f>'Historical Financials'!I13</f>
        <v>-284753</v>
      </c>
      <c r="H12" s="11"/>
      <c r="I12" s="191">
        <f>'Historical Financials'!AA13</f>
        <v>-109265</v>
      </c>
      <c r="J12" s="191">
        <f>'Historical Financials'!AB13</f>
        <v>-153202</v>
      </c>
      <c r="K12" s="191">
        <f>'Historical Financials'!AC13</f>
        <v>-97340</v>
      </c>
      <c r="L12" s="191">
        <f>'Historical Financials'!AD13</f>
        <v>-82869</v>
      </c>
      <c r="M12" s="191">
        <f>'Historical Financials'!AE13</f>
        <v>-86051</v>
      </c>
      <c r="N12" s="191">
        <f>'Historical Financials'!AF13</f>
        <v>-99876</v>
      </c>
      <c r="O12" s="191">
        <f>'Historical Financials'!AG13</f>
        <v>-82566</v>
      </c>
      <c r="P12" s="191">
        <f>'Historical Financials'!AH13</f>
        <v>-157538</v>
      </c>
      <c r="Q12" s="191">
        <f>'Historical Financials'!AI13</f>
        <v>-71935</v>
      </c>
      <c r="R12" s="191">
        <f>'Historical Financials'!AJ13</f>
        <v>-79468</v>
      </c>
      <c r="S12" s="191">
        <f>'Historical Financials'!AK13</f>
        <v>-66698</v>
      </c>
      <c r="T12" s="191">
        <f>'Historical Financials'!AL13</f>
        <v>-66652</v>
      </c>
      <c r="U12" s="191">
        <f>'Historical Financials'!AM13</f>
        <v>-69796</v>
      </c>
      <c r="V12" s="191">
        <f>'Historical Financials'!AN13</f>
        <v>-66367</v>
      </c>
      <c r="W12" s="5"/>
      <c r="X12" s="11">
        <f t="shared" ref="X12:AH12" si="7">SUM(H12:K12)</f>
        <v>-359807</v>
      </c>
      <c r="Y12" s="11">
        <f t="shared" si="7"/>
        <v>-442676</v>
      </c>
      <c r="Z12" s="11">
        <f t="shared" si="7"/>
        <v>-419462</v>
      </c>
      <c r="AA12" s="11">
        <f t="shared" si="7"/>
        <v>-366136</v>
      </c>
      <c r="AB12" s="11">
        <f t="shared" si="7"/>
        <v>-351362</v>
      </c>
      <c r="AC12" s="11">
        <f t="shared" si="7"/>
        <v>-426031</v>
      </c>
      <c r="AD12" s="11">
        <f t="shared" si="7"/>
        <v>-411915</v>
      </c>
      <c r="AE12" s="11">
        <f t="shared" si="7"/>
        <v>-391507</v>
      </c>
      <c r="AF12" s="11">
        <f t="shared" si="7"/>
        <v>-375639</v>
      </c>
      <c r="AG12" s="11">
        <f t="shared" si="7"/>
        <v>-284753</v>
      </c>
      <c r="AH12" s="11">
        <f t="shared" si="7"/>
        <v>-282614</v>
      </c>
      <c r="AI12" s="11">
        <f>SUM(S12:V12)</f>
        <v>-269513</v>
      </c>
      <c r="AK12" s="549">
        <f>SUM(AI12/AE12)-1</f>
        <v>-0.31160106971267432</v>
      </c>
    </row>
    <row r="13" spans="2:37" ht="12.75" customHeight="1">
      <c r="B13" s="27" t="s">
        <v>31</v>
      </c>
      <c r="C13" s="28">
        <f>+C8+C12</f>
        <v>122275</v>
      </c>
      <c r="D13" s="28">
        <f>+D8+D12</f>
        <v>117281</v>
      </c>
      <c r="E13" s="28">
        <f>+E8+E12</f>
        <v>-23743</v>
      </c>
      <c r="F13" s="28">
        <f>+F8+F12</f>
        <v>-82655</v>
      </c>
      <c r="G13" s="28">
        <f>+G8+G12</f>
        <v>41699</v>
      </c>
      <c r="H13" s="5"/>
      <c r="I13" s="28">
        <f t="shared" ref="I13:V13" si="8">+I8+I12</f>
        <v>190</v>
      </c>
      <c r="J13" s="28">
        <f t="shared" si="8"/>
        <v>-6162</v>
      </c>
      <c r="K13" s="28">
        <f t="shared" si="8"/>
        <v>-14840</v>
      </c>
      <c r="L13" s="28">
        <f t="shared" si="8"/>
        <v>-2931</v>
      </c>
      <c r="M13" s="28">
        <f t="shared" si="8"/>
        <v>6185</v>
      </c>
      <c r="N13" s="28">
        <f t="shared" si="8"/>
        <v>2273</v>
      </c>
      <c r="O13" s="28">
        <f t="shared" si="8"/>
        <v>-7254</v>
      </c>
      <c r="P13" s="28">
        <f t="shared" si="8"/>
        <v>-83859</v>
      </c>
      <c r="Q13" s="28">
        <f t="shared" si="8"/>
        <v>3668</v>
      </c>
      <c r="R13" s="28">
        <f t="shared" si="8"/>
        <v>13717</v>
      </c>
      <c r="S13" s="28">
        <f t="shared" si="8"/>
        <v>14308</v>
      </c>
      <c r="T13" s="28">
        <f t="shared" si="8"/>
        <v>10006</v>
      </c>
      <c r="U13" s="28">
        <f t="shared" si="8"/>
        <v>-1065</v>
      </c>
      <c r="V13" s="28">
        <f t="shared" si="8"/>
        <v>8591</v>
      </c>
      <c r="W13" s="5"/>
      <c r="X13" s="28">
        <f t="shared" ref="X13:AH13" si="9">+X8+X12</f>
        <v>-20812</v>
      </c>
      <c r="Y13" s="28">
        <f t="shared" si="9"/>
        <v>-23743</v>
      </c>
      <c r="Z13" s="28">
        <f t="shared" si="9"/>
        <v>-17748</v>
      </c>
      <c r="AA13" s="28">
        <f t="shared" si="9"/>
        <v>-9313</v>
      </c>
      <c r="AB13" s="28">
        <f t="shared" si="9"/>
        <v>-1727</v>
      </c>
      <c r="AC13" s="28">
        <f t="shared" si="9"/>
        <v>-82655</v>
      </c>
      <c r="AD13" s="28">
        <f t="shared" si="9"/>
        <v>-85172</v>
      </c>
      <c r="AE13" s="28">
        <f t="shared" si="9"/>
        <v>-73728</v>
      </c>
      <c r="AF13" s="28">
        <f t="shared" si="9"/>
        <v>-52166</v>
      </c>
      <c r="AG13" s="28">
        <f t="shared" si="9"/>
        <v>41699</v>
      </c>
      <c r="AH13" s="28">
        <f t="shared" si="9"/>
        <v>36966</v>
      </c>
      <c r="AI13" s="28">
        <f>+AI8+AI12</f>
        <v>31840</v>
      </c>
      <c r="AK13" s="550">
        <f>SUM(AI13/AE13)-1</f>
        <v>-1.4318576388888888</v>
      </c>
    </row>
    <row r="14" spans="2:37" ht="12.75" customHeight="1">
      <c r="B14" s="17" t="s">
        <v>50</v>
      </c>
      <c r="C14" s="19">
        <f>C13/C8</f>
        <v>0.30058876310581756</v>
      </c>
      <c r="D14" s="19">
        <f>D13/D8</f>
        <v>0.25238003012696364</v>
      </c>
      <c r="E14" s="19">
        <f>E13/E8</f>
        <v>-5.6674933700615611E-2</v>
      </c>
      <c r="F14" s="19">
        <f>F13/F8</f>
        <v>-0.24071280462233818</v>
      </c>
      <c r="G14" s="19">
        <f>G13/G8</f>
        <v>0.1277339394459216</v>
      </c>
      <c r="H14" s="29"/>
      <c r="I14" s="19">
        <f t="shared" ref="I14:V14" si="10">I13/I8</f>
        <v>1.7358731898953908E-3</v>
      </c>
      <c r="J14" s="19">
        <f t="shared" si="10"/>
        <v>-4.1906964091403702E-2</v>
      </c>
      <c r="K14" s="19">
        <f t="shared" si="10"/>
        <v>-0.17987878787878789</v>
      </c>
      <c r="L14" s="19">
        <f t="shared" si="10"/>
        <v>-3.6665916084965847E-2</v>
      </c>
      <c r="M14" s="19">
        <f t="shared" si="10"/>
        <v>6.7056247018517715E-2</v>
      </c>
      <c r="N14" s="19">
        <f t="shared" si="10"/>
        <v>2.2251808632487838E-2</v>
      </c>
      <c r="O14" s="19">
        <f t="shared" si="10"/>
        <v>-9.6319311663479928E-2</v>
      </c>
      <c r="P14" s="19">
        <f t="shared" si="10"/>
        <v>-1.1381669132317214</v>
      </c>
      <c r="Q14" s="19">
        <f t="shared" si="10"/>
        <v>4.8516593256881339E-2</v>
      </c>
      <c r="R14" s="19">
        <f t="shared" si="10"/>
        <v>0.14720180286526802</v>
      </c>
      <c r="S14" s="19">
        <f t="shared" si="10"/>
        <v>0.17662889168703552</v>
      </c>
      <c r="T14" s="19">
        <f t="shared" si="10"/>
        <v>0.13052779879464635</v>
      </c>
      <c r="U14" s="19">
        <f t="shared" si="10"/>
        <v>-1.5495191398350089E-2</v>
      </c>
      <c r="V14" s="19">
        <f t="shared" si="10"/>
        <v>0.11461084874196216</v>
      </c>
      <c r="W14" s="30"/>
      <c r="X14" s="19">
        <f t="shared" ref="X14:AH14" si="11">X13/X8</f>
        <v>-6.1393235888434934E-2</v>
      </c>
      <c r="Y14" s="19">
        <f t="shared" si="11"/>
        <v>-5.6674933700615611E-2</v>
      </c>
      <c r="Z14" s="19">
        <f t="shared" si="11"/>
        <v>-4.418068576151192E-2</v>
      </c>
      <c r="AA14" s="19">
        <f t="shared" si="11"/>
        <v>-2.6099774958452792E-2</v>
      </c>
      <c r="AB14" s="19">
        <f t="shared" si="11"/>
        <v>-4.9394368412773318E-3</v>
      </c>
      <c r="AC14" s="19">
        <f t="shared" si="11"/>
        <v>-0.24071280462233818</v>
      </c>
      <c r="AD14" s="19">
        <f t="shared" si="11"/>
        <v>-0.26066970065158246</v>
      </c>
      <c r="AE14" s="19">
        <f t="shared" si="11"/>
        <v>-0.23201029646389473</v>
      </c>
      <c r="AF14" s="19">
        <f t="shared" si="11"/>
        <v>-0.16126848299548957</v>
      </c>
      <c r="AG14" s="19">
        <f t="shared" si="11"/>
        <v>0.1277339394459216</v>
      </c>
      <c r="AH14" s="19">
        <f t="shared" si="11"/>
        <v>0.11567056762000125</v>
      </c>
      <c r="AI14" s="19">
        <f>AI13/AI8</f>
        <v>0.10565682107030626</v>
      </c>
      <c r="AK14" s="551">
        <f>SUM(AI14-AE14)*10000</f>
        <v>3376.67117534201</v>
      </c>
    </row>
    <row r="15" spans="2:37" ht="5.0999999999999996" customHeight="1">
      <c r="B15" s="31"/>
      <c r="C15" s="32"/>
      <c r="D15" s="32"/>
      <c r="E15" s="32"/>
      <c r="F15" s="32"/>
      <c r="G15" s="32"/>
      <c r="H15" s="32"/>
      <c r="I15" s="32"/>
      <c r="J15" s="32"/>
      <c r="K15" s="32"/>
      <c r="L15" s="32"/>
      <c r="M15" s="32"/>
      <c r="N15" s="32"/>
      <c r="O15" s="32"/>
      <c r="P15" s="32"/>
      <c r="Q15" s="32"/>
      <c r="R15" s="32"/>
      <c r="S15" s="32"/>
      <c r="T15" s="32"/>
      <c r="U15" s="32"/>
      <c r="V15" s="32"/>
      <c r="W15" s="5"/>
      <c r="X15" s="32"/>
      <c r="Y15" s="32"/>
      <c r="Z15" s="32"/>
      <c r="AA15" s="32"/>
      <c r="AB15" s="32"/>
      <c r="AC15" s="32"/>
      <c r="AD15" s="32"/>
      <c r="AE15" s="32"/>
      <c r="AF15" s="32"/>
      <c r="AG15" s="32"/>
      <c r="AH15" s="32"/>
      <c r="AI15" s="32"/>
      <c r="AK15" s="548"/>
    </row>
    <row r="16" spans="2:37" ht="12.75" customHeight="1">
      <c r="B16" s="25" t="s">
        <v>290</v>
      </c>
      <c r="C16" s="191">
        <f>'Historical Financials'!E17</f>
        <v>-133655</v>
      </c>
      <c r="D16" s="191">
        <f>'Historical Financials'!F17</f>
        <v>-209474</v>
      </c>
      <c r="E16" s="191">
        <f>'Historical Financials'!G17</f>
        <v>-239505</v>
      </c>
      <c r="F16" s="191">
        <f>'Historical Financials'!H17</f>
        <v>-220344</v>
      </c>
      <c r="G16" s="191">
        <f>'Historical Financials'!I17</f>
        <v>-169674</v>
      </c>
      <c r="H16" s="191"/>
      <c r="I16" s="191">
        <f>'Historical Financials'!AA17</f>
        <v>-75114</v>
      </c>
      <c r="J16" s="191">
        <f>'Historical Financials'!AB17</f>
        <v>-63015</v>
      </c>
      <c r="K16" s="191">
        <f>'Historical Financials'!AC17</f>
        <v>-54495</v>
      </c>
      <c r="L16" s="191">
        <f>'Historical Financials'!AD17</f>
        <v>-46881</v>
      </c>
      <c r="M16" s="191">
        <f>'Historical Financials'!AE17</f>
        <v>-51900</v>
      </c>
      <c r="N16" s="191">
        <f>'Historical Financials'!AF17</f>
        <v>-47455</v>
      </c>
      <c r="O16" s="191">
        <f>'Historical Financials'!AG17</f>
        <v>-53252</v>
      </c>
      <c r="P16" s="191">
        <f>'Historical Financials'!AH17</f>
        <v>-67737</v>
      </c>
      <c r="Q16" s="191">
        <f>'Historical Financials'!AI17</f>
        <v>-47282</v>
      </c>
      <c r="R16" s="191">
        <f>'Historical Financials'!AJ17</f>
        <v>-42163</v>
      </c>
      <c r="S16" s="191">
        <f>'Historical Financials'!AK17</f>
        <v>-39084</v>
      </c>
      <c r="T16" s="191">
        <f>'Historical Financials'!AL17</f>
        <v>-41145</v>
      </c>
      <c r="U16" s="191">
        <f>'Historical Financials'!AM17</f>
        <v>-47672</v>
      </c>
      <c r="V16" s="191">
        <f>'Historical Financials'!AN17</f>
        <v>-37696</v>
      </c>
      <c r="W16" s="5"/>
      <c r="X16" s="11">
        <f t="shared" ref="X16:AI17" si="12">SUM(H16:K16)</f>
        <v>-192624</v>
      </c>
      <c r="Y16" s="11">
        <f t="shared" si="12"/>
        <v>-239505</v>
      </c>
      <c r="Z16" s="11">
        <f t="shared" si="12"/>
        <v>-216291</v>
      </c>
      <c r="AA16" s="11">
        <f t="shared" si="12"/>
        <v>-200731</v>
      </c>
      <c r="AB16" s="11">
        <f t="shared" si="12"/>
        <v>-199488</v>
      </c>
      <c r="AC16" s="11">
        <f t="shared" si="12"/>
        <v>-220344</v>
      </c>
      <c r="AD16" s="11">
        <f t="shared" si="12"/>
        <v>-215726</v>
      </c>
      <c r="AE16" s="11">
        <f t="shared" si="12"/>
        <v>-210434</v>
      </c>
      <c r="AF16" s="11">
        <f t="shared" si="12"/>
        <v>-196266</v>
      </c>
      <c r="AG16" s="11">
        <f t="shared" si="12"/>
        <v>-169674</v>
      </c>
      <c r="AH16" s="11">
        <f t="shared" si="12"/>
        <v>-170064</v>
      </c>
      <c r="AI16" s="11">
        <f t="shared" si="12"/>
        <v>-165597</v>
      </c>
      <c r="AK16" s="549">
        <f>SUM(AI16/AE16)-1</f>
        <v>-0.21306918083579651</v>
      </c>
    </row>
    <row r="17" spans="2:37" ht="12.75" customHeight="1">
      <c r="B17" s="25" t="s">
        <v>109</v>
      </c>
      <c r="C17" s="191">
        <f>'Historical Financials'!E18</f>
        <v>-31535</v>
      </c>
      <c r="D17" s="191">
        <f>'Historical Financials'!F18</f>
        <v>-66946</v>
      </c>
      <c r="E17" s="191">
        <f>'Historical Financials'!G18</f>
        <v>-62264</v>
      </c>
      <c r="F17" s="191">
        <f>'Historical Financials'!H18</f>
        <v>-39530</v>
      </c>
      <c r="G17" s="191">
        <f>'Historical Financials'!I18</f>
        <v>-28149</v>
      </c>
      <c r="H17" s="191"/>
      <c r="I17" s="191">
        <f>'Historical Financials'!AA18</f>
        <v>-19678</v>
      </c>
      <c r="J17" s="191">
        <f>'Historical Financials'!AB18</f>
        <v>-16202</v>
      </c>
      <c r="K17" s="191">
        <f>'Historical Financials'!AC18</f>
        <v>-13413</v>
      </c>
      <c r="L17" s="191">
        <f>'Historical Financials'!AD18</f>
        <v>-12971</v>
      </c>
      <c r="M17" s="191">
        <f>'Historical Financials'!AE18</f>
        <v>-12432</v>
      </c>
      <c r="N17" s="191">
        <f>'Historical Financials'!AF18</f>
        <v>-8773</v>
      </c>
      <c r="O17" s="191">
        <f>'Historical Financials'!AG18</f>
        <v>-9118</v>
      </c>
      <c r="P17" s="191">
        <f>'Historical Financials'!AH18</f>
        <v>-9207</v>
      </c>
      <c r="Q17" s="191">
        <f>'Historical Financials'!AI18</f>
        <v>-9860</v>
      </c>
      <c r="R17" s="191">
        <f>'Historical Financials'!AJ18</f>
        <v>-5485</v>
      </c>
      <c r="S17" s="191">
        <f>'Historical Financials'!AK18</f>
        <v>-6133</v>
      </c>
      <c r="T17" s="191">
        <f>'Historical Financials'!AL18</f>
        <v>-6671</v>
      </c>
      <c r="U17" s="191">
        <f>'Historical Financials'!AM18</f>
        <v>-7462</v>
      </c>
      <c r="V17" s="191">
        <f>'Historical Financials'!AN18</f>
        <v>-5807</v>
      </c>
      <c r="W17" s="5"/>
      <c r="X17" s="11">
        <f t="shared" si="12"/>
        <v>-49293</v>
      </c>
      <c r="Y17" s="11">
        <f t="shared" si="12"/>
        <v>-62264</v>
      </c>
      <c r="Z17" s="11">
        <f t="shared" si="12"/>
        <v>-55018</v>
      </c>
      <c r="AA17" s="11">
        <f t="shared" si="12"/>
        <v>-47589</v>
      </c>
      <c r="AB17" s="11">
        <f t="shared" si="12"/>
        <v>-43294</v>
      </c>
      <c r="AC17" s="11">
        <f t="shared" si="12"/>
        <v>-39530</v>
      </c>
      <c r="AD17" s="11">
        <f t="shared" si="12"/>
        <v>-36958</v>
      </c>
      <c r="AE17" s="11">
        <f t="shared" si="12"/>
        <v>-33670</v>
      </c>
      <c r="AF17" s="11">
        <f t="shared" si="12"/>
        <v>-30685</v>
      </c>
      <c r="AG17" s="11">
        <f t="shared" si="12"/>
        <v>-28149</v>
      </c>
      <c r="AH17" s="11">
        <f t="shared" si="12"/>
        <v>-25751</v>
      </c>
      <c r="AI17" s="11">
        <f t="shared" si="12"/>
        <v>-26073</v>
      </c>
      <c r="AK17" s="549">
        <f>SUM(AI17/AE17)-1</f>
        <v>-0.22563112563112564</v>
      </c>
    </row>
    <row r="18" spans="2:37" ht="12.75" customHeight="1">
      <c r="B18" s="14" t="s">
        <v>51</v>
      </c>
      <c r="C18" s="15">
        <f>SUM(C13+SUM(C16:C17))</f>
        <v>-42915</v>
      </c>
      <c r="D18" s="15">
        <f>SUM(D13+SUM(D16:D17))</f>
        <v>-159139</v>
      </c>
      <c r="E18" s="15">
        <f>SUM(E13+SUM(E16:E17))</f>
        <v>-325512</v>
      </c>
      <c r="F18" s="15">
        <f>SUM(F13+SUM(F16:F17))</f>
        <v>-342529</v>
      </c>
      <c r="G18" s="15">
        <f>SUM(G13+SUM(G16:G17))</f>
        <v>-156124</v>
      </c>
      <c r="H18" s="12"/>
      <c r="I18" s="15">
        <f t="shared" ref="I18:V18" si="13">SUM(I13+SUM(I16:I17))</f>
        <v>-94602</v>
      </c>
      <c r="J18" s="15">
        <f t="shared" si="13"/>
        <v>-85379</v>
      </c>
      <c r="K18" s="15">
        <f t="shared" si="13"/>
        <v>-82748</v>
      </c>
      <c r="L18" s="15">
        <f t="shared" si="13"/>
        <v>-62783</v>
      </c>
      <c r="M18" s="15">
        <f t="shared" si="13"/>
        <v>-58147</v>
      </c>
      <c r="N18" s="15">
        <f t="shared" si="13"/>
        <v>-53955</v>
      </c>
      <c r="O18" s="15">
        <f t="shared" si="13"/>
        <v>-69624</v>
      </c>
      <c r="P18" s="15">
        <f t="shared" si="13"/>
        <v>-160803</v>
      </c>
      <c r="Q18" s="15">
        <f t="shared" si="13"/>
        <v>-53474</v>
      </c>
      <c r="R18" s="15">
        <f t="shared" si="13"/>
        <v>-33931</v>
      </c>
      <c r="S18" s="15">
        <f t="shared" si="13"/>
        <v>-30909</v>
      </c>
      <c r="T18" s="15">
        <f t="shared" si="13"/>
        <v>-37810</v>
      </c>
      <c r="U18" s="15">
        <f t="shared" si="13"/>
        <v>-56199</v>
      </c>
      <c r="V18" s="15">
        <f t="shared" si="13"/>
        <v>-34912</v>
      </c>
      <c r="W18" s="5"/>
      <c r="X18" s="15">
        <f t="shared" ref="X18:AH18" si="14">SUM(X13+SUM(X16:X17))</f>
        <v>-262729</v>
      </c>
      <c r="Y18" s="15">
        <f t="shared" si="14"/>
        <v>-325512</v>
      </c>
      <c r="Z18" s="15">
        <f t="shared" si="14"/>
        <v>-289057</v>
      </c>
      <c r="AA18" s="15">
        <f t="shared" si="14"/>
        <v>-257633</v>
      </c>
      <c r="AB18" s="15">
        <f t="shared" si="14"/>
        <v>-244509</v>
      </c>
      <c r="AC18" s="15">
        <f t="shared" si="14"/>
        <v>-342529</v>
      </c>
      <c r="AD18" s="15">
        <f t="shared" si="14"/>
        <v>-337856</v>
      </c>
      <c r="AE18" s="15">
        <f t="shared" si="14"/>
        <v>-317832</v>
      </c>
      <c r="AF18" s="15">
        <f t="shared" si="14"/>
        <v>-279117</v>
      </c>
      <c r="AG18" s="15">
        <f t="shared" si="14"/>
        <v>-156124</v>
      </c>
      <c r="AH18" s="15">
        <f t="shared" si="14"/>
        <v>-158849</v>
      </c>
      <c r="AI18" s="15">
        <f>SUM(AI13+SUM(AI16:AI17))</f>
        <v>-159830</v>
      </c>
      <c r="AK18" s="550">
        <f>SUM(AI18/AE18)-1</f>
        <v>-0.4971242669083038</v>
      </c>
    </row>
    <row r="19" spans="2:37" ht="12.75" customHeight="1">
      <c r="B19" s="17" t="s">
        <v>52</v>
      </c>
      <c r="C19" s="19">
        <f>C18/C8</f>
        <v>-0.1054979903388768</v>
      </c>
      <c r="D19" s="19">
        <f>D18/D8</f>
        <v>-0.34245534753604479</v>
      </c>
      <c r="E19" s="19">
        <f>E18/E8</f>
        <v>-0.77700252785051549</v>
      </c>
      <c r="F19" s="19">
        <f>F18/F8</f>
        <v>-0.99753331624807795</v>
      </c>
      <c r="G19" s="19">
        <f>G18/G8</f>
        <v>-0.47824488745665517</v>
      </c>
      <c r="H19" s="29"/>
      <c r="I19" s="19">
        <f t="shared" ref="I19:V19" si="15">I18/I8</f>
        <v>-0.86430039742359877</v>
      </c>
      <c r="J19" s="19">
        <f t="shared" si="15"/>
        <v>-0.5806515233949946</v>
      </c>
      <c r="K19" s="19">
        <f t="shared" si="15"/>
        <v>-1.0030060606060607</v>
      </c>
      <c r="L19" s="19">
        <f t="shared" si="15"/>
        <v>-0.78539618204108186</v>
      </c>
      <c r="M19" s="19">
        <f t="shared" si="15"/>
        <v>-0.63041545600416327</v>
      </c>
      <c r="N19" s="19">
        <f t="shared" si="15"/>
        <v>-0.52819900341657777</v>
      </c>
      <c r="O19" s="19">
        <f t="shared" si="15"/>
        <v>-0.92447418738049714</v>
      </c>
      <c r="P19" s="19">
        <f t="shared" si="15"/>
        <v>-2.1824807611395376</v>
      </c>
      <c r="Q19" s="19">
        <f t="shared" si="15"/>
        <v>-0.70729997486872209</v>
      </c>
      <c r="R19" s="19">
        <f t="shared" si="15"/>
        <v>-0.36412512743467296</v>
      </c>
      <c r="S19" s="19">
        <f t="shared" si="15"/>
        <v>-0.38156432856825423</v>
      </c>
      <c r="T19" s="19">
        <f t="shared" si="15"/>
        <v>-0.4932296694408933</v>
      </c>
      <c r="U19" s="19">
        <f t="shared" si="15"/>
        <v>-0.81766597314166822</v>
      </c>
      <c r="V19" s="19">
        <f t="shared" si="15"/>
        <v>-0.46575415566050321</v>
      </c>
      <c r="W19" s="30"/>
      <c r="X19" s="19">
        <f t="shared" ref="X19:AH19" si="16">X18/X8</f>
        <v>-0.77502323043112731</v>
      </c>
      <c r="Y19" s="19">
        <f t="shared" si="16"/>
        <v>-0.77700252785051549</v>
      </c>
      <c r="Z19" s="19">
        <f t="shared" si="16"/>
        <v>-0.71955918887566772</v>
      </c>
      <c r="AA19" s="19">
        <f t="shared" si="16"/>
        <v>-0.72201904025245012</v>
      </c>
      <c r="AB19" s="19">
        <f t="shared" si="16"/>
        <v>-0.69932644043073489</v>
      </c>
      <c r="AC19" s="19">
        <f t="shared" si="16"/>
        <v>-0.99753331624807795</v>
      </c>
      <c r="AD19" s="19">
        <f t="shared" si="16"/>
        <v>-1.0340114401838754</v>
      </c>
      <c r="AE19" s="19">
        <f t="shared" si="16"/>
        <v>-1.0001667825753118</v>
      </c>
      <c r="AF19" s="19">
        <f t="shared" si="16"/>
        <v>-0.86287572687674086</v>
      </c>
      <c r="AG19" s="19">
        <f t="shared" si="16"/>
        <v>-0.47824488745665517</v>
      </c>
      <c r="AH19" s="19">
        <f t="shared" si="16"/>
        <v>-0.49705551035734402</v>
      </c>
      <c r="AI19" s="19">
        <f>AI18/AI8</f>
        <v>-0.53037467687396511</v>
      </c>
      <c r="AK19" s="551">
        <f>SUM(AI19-AE19)*10000</f>
        <v>4697.9210570134665</v>
      </c>
    </row>
    <row r="20" spans="2:37" ht="5.0999999999999996" customHeight="1">
      <c r="AK20" s="548"/>
    </row>
    <row r="21" spans="2:37" ht="12.75" customHeight="1">
      <c r="B21" s="33" t="s">
        <v>53</v>
      </c>
      <c r="C21" s="191">
        <f>'Historical Financials'!E100</f>
        <v>13299</v>
      </c>
      <c r="D21" s="191">
        <f>'Historical Financials'!F100</f>
        <v>21663</v>
      </c>
      <c r="E21" s="191">
        <f>'Historical Financials'!G100</f>
        <v>32582</v>
      </c>
      <c r="F21" s="191">
        <f>'Historical Financials'!H100</f>
        <v>48094</v>
      </c>
      <c r="G21" s="191">
        <f>'Historical Financials'!I100</f>
        <v>23121</v>
      </c>
      <c r="I21" s="191">
        <f>'Historical Financials'!AA100</f>
        <v>7091</v>
      </c>
      <c r="J21" s="191">
        <f>'Historical Financials'!AB100</f>
        <v>7729</v>
      </c>
      <c r="K21" s="191">
        <f>'Historical Financials'!AC100</f>
        <v>8435</v>
      </c>
      <c r="L21" s="191">
        <f>'Historical Financials'!AD100</f>
        <v>9327</v>
      </c>
      <c r="M21" s="191">
        <f>'Historical Financials'!AE100</f>
        <v>6049</v>
      </c>
      <c r="N21" s="191">
        <f>'Historical Financials'!AF100</f>
        <v>5879</v>
      </c>
      <c r="O21" s="191">
        <f>'Historical Financials'!AG100</f>
        <v>5779</v>
      </c>
      <c r="P21" s="191">
        <f>'Historical Financials'!AH100</f>
        <v>30387</v>
      </c>
      <c r="Q21" s="191">
        <f>'Historical Financials'!AI100</f>
        <v>6969</v>
      </c>
      <c r="R21" s="191">
        <f>'Historical Financials'!AJ100</f>
        <v>5213</v>
      </c>
      <c r="S21" s="191">
        <f>'Historical Financials'!AK100</f>
        <v>5282</v>
      </c>
      <c r="T21" s="191">
        <f>'Historical Financials'!AL100</f>
        <v>5657</v>
      </c>
      <c r="U21" s="191">
        <f>'Historical Financials'!AM100</f>
        <v>7416</v>
      </c>
      <c r="V21" s="191">
        <f>'Historical Financials'!AN100</f>
        <v>8266</v>
      </c>
      <c r="X21" s="11">
        <f t="shared" ref="X21:AH21" si="17">SUM(H21:K21)</f>
        <v>23255</v>
      </c>
      <c r="Y21" s="11">
        <f t="shared" si="17"/>
        <v>32582</v>
      </c>
      <c r="Z21" s="11">
        <f t="shared" si="17"/>
        <v>31540</v>
      </c>
      <c r="AA21" s="11">
        <f t="shared" si="17"/>
        <v>29690</v>
      </c>
      <c r="AB21" s="11">
        <f t="shared" si="17"/>
        <v>27034</v>
      </c>
      <c r="AC21" s="11">
        <f t="shared" si="17"/>
        <v>48094</v>
      </c>
      <c r="AD21" s="11">
        <f t="shared" si="17"/>
        <v>49014</v>
      </c>
      <c r="AE21" s="11">
        <f t="shared" si="17"/>
        <v>48348</v>
      </c>
      <c r="AF21" s="11">
        <f t="shared" si="17"/>
        <v>47851</v>
      </c>
      <c r="AG21" s="11">
        <f t="shared" si="17"/>
        <v>23121</v>
      </c>
      <c r="AH21" s="11">
        <f t="shared" si="17"/>
        <v>23568</v>
      </c>
      <c r="AI21" s="11">
        <f>SUM(S21:V21)</f>
        <v>26621</v>
      </c>
      <c r="AK21" s="549">
        <f>SUM(AI21/AE21)-1</f>
        <v>-0.44938777198643165</v>
      </c>
    </row>
    <row r="22" spans="2:37" ht="12.75" customHeight="1">
      <c r="B22" s="27" t="s">
        <v>11</v>
      </c>
      <c r="C22" s="28">
        <f>SUM(C18+C21)</f>
        <v>-29616</v>
      </c>
      <c r="D22" s="28">
        <f>SUM(D18+D21)</f>
        <v>-137476</v>
      </c>
      <c r="E22" s="28">
        <f>SUM(E18+E21)</f>
        <v>-292930</v>
      </c>
      <c r="F22" s="28">
        <f>SUM(F18+F21)</f>
        <v>-294435</v>
      </c>
      <c r="G22" s="28">
        <f>SUM(G18+G21)</f>
        <v>-133003</v>
      </c>
      <c r="I22" s="28">
        <f t="shared" ref="I22:R22" si="18">SUM(I18+I21)</f>
        <v>-87511</v>
      </c>
      <c r="J22" s="28">
        <f t="shared" si="18"/>
        <v>-77650</v>
      </c>
      <c r="K22" s="28">
        <f t="shared" si="18"/>
        <v>-74313</v>
      </c>
      <c r="L22" s="28">
        <f t="shared" si="18"/>
        <v>-53456</v>
      </c>
      <c r="M22" s="28">
        <f t="shared" si="18"/>
        <v>-52098</v>
      </c>
      <c r="N22" s="28">
        <f t="shared" si="18"/>
        <v>-48076</v>
      </c>
      <c r="O22" s="28">
        <f t="shared" si="18"/>
        <v>-63845</v>
      </c>
      <c r="P22" s="28">
        <f t="shared" si="18"/>
        <v>-130416</v>
      </c>
      <c r="Q22" s="28">
        <f t="shared" si="18"/>
        <v>-46505</v>
      </c>
      <c r="R22" s="28">
        <f t="shared" si="18"/>
        <v>-28718</v>
      </c>
      <c r="S22" s="28">
        <f>SUM(S18+S21)</f>
        <v>-25627</v>
      </c>
      <c r="T22" s="28">
        <f>SUM(T18+T21)</f>
        <v>-32153</v>
      </c>
      <c r="U22" s="28">
        <f>SUM(U18+U21)</f>
        <v>-48783</v>
      </c>
      <c r="V22" s="28">
        <f>SUM(V18+V21)</f>
        <v>-26646</v>
      </c>
      <c r="X22" s="28">
        <f t="shared" ref="X22:AH22" si="19">SUM(X18+X21)</f>
        <v>-239474</v>
      </c>
      <c r="Y22" s="28">
        <f t="shared" si="19"/>
        <v>-292930</v>
      </c>
      <c r="Z22" s="28">
        <f t="shared" si="19"/>
        <v>-257517</v>
      </c>
      <c r="AA22" s="28">
        <f t="shared" si="19"/>
        <v>-227943</v>
      </c>
      <c r="AB22" s="28">
        <f t="shared" si="19"/>
        <v>-217475</v>
      </c>
      <c r="AC22" s="28">
        <f t="shared" si="19"/>
        <v>-294435</v>
      </c>
      <c r="AD22" s="28">
        <f t="shared" si="19"/>
        <v>-288842</v>
      </c>
      <c r="AE22" s="28">
        <f t="shared" si="19"/>
        <v>-269484</v>
      </c>
      <c r="AF22" s="28">
        <f t="shared" si="19"/>
        <v>-231266</v>
      </c>
      <c r="AG22" s="28">
        <f t="shared" si="19"/>
        <v>-133003</v>
      </c>
      <c r="AH22" s="28">
        <f t="shared" si="19"/>
        <v>-135281</v>
      </c>
      <c r="AI22" s="28">
        <f>SUM(AI18+AI21)</f>
        <v>-133209</v>
      </c>
      <c r="AK22" s="550">
        <f>SUM(AI22/AE22)-1</f>
        <v>-0.50568864941888947</v>
      </c>
    </row>
    <row r="23" spans="2:37" ht="12.75" customHeight="1">
      <c r="B23" s="17" t="s">
        <v>54</v>
      </c>
      <c r="C23" s="19">
        <f>C22/C8</f>
        <v>-7.2805044433791807E-2</v>
      </c>
      <c r="D23" s="19">
        <f>D22/D8</f>
        <v>-0.29583817516677424</v>
      </c>
      <c r="E23" s="19">
        <f>E22/E8</f>
        <v>-0.69922875495604309</v>
      </c>
      <c r="F23" s="19">
        <f>F22/F8</f>
        <v>-0.8574711103862821</v>
      </c>
      <c r="G23" s="19">
        <f>G22/G8</f>
        <v>-0.40741977381054489</v>
      </c>
      <c r="I23" s="19">
        <f t="shared" ref="I23:V23" si="20">I22/I8</f>
        <v>-0.79951578274176605</v>
      </c>
      <c r="J23" s="19">
        <f t="shared" si="20"/>
        <v>-0.52808759521218718</v>
      </c>
      <c r="K23" s="19">
        <f t="shared" si="20"/>
        <v>-0.90076363636363632</v>
      </c>
      <c r="L23" s="19">
        <f t="shared" si="20"/>
        <v>-0.66871825664890294</v>
      </c>
      <c r="M23" s="19">
        <f t="shared" si="20"/>
        <v>-0.56483368749728957</v>
      </c>
      <c r="N23" s="19">
        <f t="shared" si="20"/>
        <v>-0.47064582130025745</v>
      </c>
      <c r="O23" s="19">
        <f t="shared" si="20"/>
        <v>-0.84774006798385382</v>
      </c>
      <c r="P23" s="19">
        <f t="shared" si="20"/>
        <v>-1.7700565968593494</v>
      </c>
      <c r="Q23" s="19">
        <f t="shared" si="20"/>
        <v>-0.61512109307831697</v>
      </c>
      <c r="R23" s="19">
        <f t="shared" si="20"/>
        <v>-0.30818264742179535</v>
      </c>
      <c r="S23" s="19">
        <f t="shared" si="20"/>
        <v>-0.31635928202849173</v>
      </c>
      <c r="T23" s="19">
        <f t="shared" si="20"/>
        <v>-0.41943437084192126</v>
      </c>
      <c r="U23" s="19">
        <f t="shared" si="20"/>
        <v>-0.70976706289738256</v>
      </c>
      <c r="V23" s="19">
        <f t="shared" si="20"/>
        <v>-0.35547906827823583</v>
      </c>
      <c r="X23" s="19">
        <f t="shared" ref="X23:AH23" si="21">X22/X8</f>
        <v>-0.7064233985752002</v>
      </c>
      <c r="Y23" s="19">
        <f t="shared" si="21"/>
        <v>-0.69922875495604309</v>
      </c>
      <c r="Z23" s="19">
        <f t="shared" si="21"/>
        <v>-0.64104561952035533</v>
      </c>
      <c r="AA23" s="19">
        <f t="shared" si="21"/>
        <v>-0.6388125204933538</v>
      </c>
      <c r="AB23" s="19">
        <f t="shared" si="21"/>
        <v>-0.62200580605488576</v>
      </c>
      <c r="AC23" s="19">
        <f t="shared" si="21"/>
        <v>-0.8574711103862821</v>
      </c>
      <c r="AD23" s="19">
        <f t="shared" si="21"/>
        <v>-0.88400363588508402</v>
      </c>
      <c r="AE23" s="19">
        <f t="shared" si="21"/>
        <v>-0.84802331179845114</v>
      </c>
      <c r="AF23" s="19">
        <f t="shared" si="21"/>
        <v>-0.7149468425494554</v>
      </c>
      <c r="AG23" s="19">
        <f t="shared" si="21"/>
        <v>-0.40741977381054489</v>
      </c>
      <c r="AH23" s="19">
        <f t="shared" si="21"/>
        <v>-0.4233087176919707</v>
      </c>
      <c r="AI23" s="19">
        <f>AI22/AI8</f>
        <v>-0.44203641576490033</v>
      </c>
      <c r="AK23" s="551">
        <f>SUM(AI23-AE23)*10000</f>
        <v>4059.8689603355083</v>
      </c>
    </row>
    <row r="24" spans="2:37" ht="5.0999999999999996" customHeight="1">
      <c r="AK24" s="548"/>
    </row>
    <row r="25" spans="2:37" ht="12.75" customHeight="1">
      <c r="B25" s="33" t="s">
        <v>55</v>
      </c>
      <c r="C25" s="191">
        <f>'Historical Financials'!E101</f>
        <v>27279</v>
      </c>
      <c r="D25" s="191">
        <f>'Historical Financials'!F101</f>
        <v>27698</v>
      </c>
      <c r="E25" s="191">
        <f>'Historical Financials'!G101</f>
        <v>33857</v>
      </c>
      <c r="F25" s="191">
        <f>'Historical Financials'!H101</f>
        <v>29098</v>
      </c>
      <c r="G25" s="191">
        <f>'Historical Financials'!I101</f>
        <v>23923</v>
      </c>
      <c r="I25" s="191">
        <f>'Historical Financials'!AA101</f>
        <v>9292</v>
      </c>
      <c r="J25" s="191">
        <f>'Historical Financials'!AB101</f>
        <v>10306</v>
      </c>
      <c r="K25" s="191">
        <f>'Historical Financials'!AC101</f>
        <v>9250</v>
      </c>
      <c r="L25" s="191">
        <f>'Historical Financials'!AD101</f>
        <v>5009</v>
      </c>
      <c r="M25" s="191">
        <f>'Historical Financials'!AE101</f>
        <v>9565</v>
      </c>
      <c r="N25" s="191">
        <f>'Historical Financials'!AF101</f>
        <v>7748</v>
      </c>
      <c r="O25" s="191">
        <f>'Historical Financials'!AG101</f>
        <v>6478</v>
      </c>
      <c r="P25" s="191">
        <f>'Historical Financials'!AH101</f>
        <v>5307</v>
      </c>
      <c r="Q25" s="191">
        <f>'Historical Financials'!AI101</f>
        <v>6075</v>
      </c>
      <c r="R25" s="191">
        <f>'Historical Financials'!AJ101</f>
        <v>5773</v>
      </c>
      <c r="S25" s="191">
        <f>'Historical Financials'!AK101</f>
        <v>5905</v>
      </c>
      <c r="T25" s="191">
        <f>'Historical Financials'!AL101</f>
        <v>6170</v>
      </c>
      <c r="U25" s="191">
        <f>'Historical Financials'!AM101</f>
        <v>5853</v>
      </c>
      <c r="V25" s="191">
        <f>'Historical Financials'!AN101</f>
        <v>4304</v>
      </c>
      <c r="X25" s="11">
        <f t="shared" ref="X25:AH25" si="22">SUM(H25:K25)</f>
        <v>28848</v>
      </c>
      <c r="Y25" s="11">
        <f t="shared" si="22"/>
        <v>33857</v>
      </c>
      <c r="Z25" s="11">
        <f t="shared" si="22"/>
        <v>34130</v>
      </c>
      <c r="AA25" s="11">
        <f t="shared" si="22"/>
        <v>31572</v>
      </c>
      <c r="AB25" s="11">
        <f t="shared" si="22"/>
        <v>28800</v>
      </c>
      <c r="AC25" s="11">
        <f t="shared" si="22"/>
        <v>29098</v>
      </c>
      <c r="AD25" s="11">
        <f t="shared" si="22"/>
        <v>25608</v>
      </c>
      <c r="AE25" s="11">
        <f t="shared" si="22"/>
        <v>23633</v>
      </c>
      <c r="AF25" s="11">
        <f t="shared" si="22"/>
        <v>23060</v>
      </c>
      <c r="AG25" s="11">
        <f t="shared" si="22"/>
        <v>23923</v>
      </c>
      <c r="AH25" s="11">
        <f t="shared" si="22"/>
        <v>23701</v>
      </c>
      <c r="AI25" s="11">
        <f>SUM(S25:V25)</f>
        <v>22232</v>
      </c>
      <c r="AK25" s="549">
        <f>SUM(AI25/AE25)-1</f>
        <v>-5.9281513138408126E-2</v>
      </c>
    </row>
    <row r="26" spans="2:37" ht="12.75" customHeight="1">
      <c r="B26" s="33" t="s">
        <v>616</v>
      </c>
      <c r="C26" s="91">
        <v>6430</v>
      </c>
      <c r="D26" s="91">
        <v>21663</v>
      </c>
      <c r="E26" s="91">
        <v>17259</v>
      </c>
      <c r="F26" s="91">
        <v>-631</v>
      </c>
      <c r="G26" s="91">
        <v>0</v>
      </c>
      <c r="I26" s="91">
        <v>3026</v>
      </c>
      <c r="J26" s="91">
        <v>4302</v>
      </c>
      <c r="K26" s="91">
        <v>6993</v>
      </c>
      <c r="L26" s="545">
        <f>SUM(E26-SUM(I26:K26))</f>
        <v>2938</v>
      </c>
      <c r="M26" s="91">
        <v>426</v>
      </c>
      <c r="N26" s="91">
        <v>-201</v>
      </c>
      <c r="O26" s="91">
        <v>-4</v>
      </c>
      <c r="P26" s="545">
        <f>SUM(F26-SUM(M26:O26))</f>
        <v>-852</v>
      </c>
      <c r="Q26" s="91">
        <v>0</v>
      </c>
      <c r="R26" s="91">
        <v>0</v>
      </c>
      <c r="S26" s="91">
        <v>0</v>
      </c>
      <c r="T26" s="545">
        <f>SUM(G26-SUM(Q26:S26))</f>
        <v>0</v>
      </c>
      <c r="U26" s="91">
        <v>0</v>
      </c>
      <c r="V26" s="91">
        <v>0</v>
      </c>
      <c r="X26" s="11"/>
      <c r="Y26" s="11"/>
      <c r="Z26" s="11"/>
      <c r="AA26" s="11"/>
      <c r="AB26" s="11"/>
      <c r="AC26" s="11"/>
      <c r="AD26" s="11"/>
      <c r="AE26" s="11">
        <f t="shared" ref="AE26:AH28" si="23">SUM(O26:R26)</f>
        <v>-856</v>
      </c>
      <c r="AF26" s="11">
        <f t="shared" si="23"/>
        <v>-852</v>
      </c>
      <c r="AG26" s="11">
        <f t="shared" si="23"/>
        <v>0</v>
      </c>
      <c r="AH26" s="11">
        <f t="shared" si="23"/>
        <v>0</v>
      </c>
      <c r="AI26" s="11">
        <f>SUM(S26:V26)</f>
        <v>0</v>
      </c>
      <c r="AK26" s="549"/>
    </row>
    <row r="27" spans="2:37" ht="12.75" customHeight="1">
      <c r="B27" s="33" t="s">
        <v>617</v>
      </c>
      <c r="C27" s="91">
        <v>0</v>
      </c>
      <c r="D27" s="91">
        <v>0</v>
      </c>
      <c r="E27" s="91">
        <v>0</v>
      </c>
      <c r="F27" s="91">
        <v>0</v>
      </c>
      <c r="G27" s="91">
        <v>7500</v>
      </c>
      <c r="I27" s="91">
        <v>0</v>
      </c>
      <c r="J27" s="91">
        <v>0</v>
      </c>
      <c r="K27" s="91">
        <v>0</v>
      </c>
      <c r="L27" s="545">
        <f>SUM(E27-SUM(I27:K27))</f>
        <v>0</v>
      </c>
      <c r="M27" s="91">
        <v>0</v>
      </c>
      <c r="N27" s="91">
        <v>0</v>
      </c>
      <c r="O27" s="91">
        <v>0</v>
      </c>
      <c r="P27" s="545">
        <f>SUM(F27-SUM(M27:O27))</f>
        <v>0</v>
      </c>
      <c r="Q27" s="91">
        <v>7500</v>
      </c>
      <c r="R27" s="91">
        <v>0</v>
      </c>
      <c r="S27" s="91">
        <v>0</v>
      </c>
      <c r="T27" s="545">
        <f>SUM(G27-SUM(Q27:S27))</f>
        <v>0</v>
      </c>
      <c r="U27" s="91">
        <v>0</v>
      </c>
      <c r="V27" s="91">
        <v>0</v>
      </c>
      <c r="X27" s="11"/>
      <c r="Y27" s="11"/>
      <c r="Z27" s="11"/>
      <c r="AA27" s="11"/>
      <c r="AB27" s="11"/>
      <c r="AC27" s="11"/>
      <c r="AD27" s="11"/>
      <c r="AE27" s="11">
        <f t="shared" si="23"/>
        <v>7500</v>
      </c>
      <c r="AF27" s="11">
        <f t="shared" si="23"/>
        <v>7500</v>
      </c>
      <c r="AG27" s="11">
        <f t="shared" si="23"/>
        <v>7500</v>
      </c>
      <c r="AH27" s="11">
        <f t="shared" si="23"/>
        <v>0</v>
      </c>
      <c r="AI27" s="11">
        <f>SUM(S27:V27)</f>
        <v>0</v>
      </c>
      <c r="AK27" s="549"/>
    </row>
    <row r="28" spans="2:37" ht="12.75" customHeight="1">
      <c r="B28" s="33" t="s">
        <v>618</v>
      </c>
      <c r="C28" s="91">
        <v>0</v>
      </c>
      <c r="D28" s="91">
        <v>0</v>
      </c>
      <c r="E28" s="91">
        <v>0</v>
      </c>
      <c r="F28" s="91">
        <v>0</v>
      </c>
      <c r="G28" s="91">
        <v>0</v>
      </c>
      <c r="I28" s="91">
        <v>0</v>
      </c>
      <c r="J28" s="91">
        <v>0</v>
      </c>
      <c r="K28" s="91">
        <v>0</v>
      </c>
      <c r="L28" s="545">
        <f>SUM(E28-SUM(I28:K28))</f>
        <v>0</v>
      </c>
      <c r="M28" s="91">
        <v>0</v>
      </c>
      <c r="N28" s="91">
        <v>0</v>
      </c>
      <c r="O28" s="91">
        <v>0</v>
      </c>
      <c r="P28" s="545">
        <f>SUM(F28-SUM(M28:O28))</f>
        <v>0</v>
      </c>
      <c r="Q28" s="91">
        <v>0</v>
      </c>
      <c r="R28" s="91">
        <v>0</v>
      </c>
      <c r="S28" s="91">
        <v>0</v>
      </c>
      <c r="T28" s="545">
        <f>SUM(G28-SUM(Q28:S28))</f>
        <v>0</v>
      </c>
      <c r="U28" s="91">
        <v>2083</v>
      </c>
      <c r="V28" s="91">
        <v>1739</v>
      </c>
      <c r="X28" s="11"/>
      <c r="Y28" s="11"/>
      <c r="Z28" s="11"/>
      <c r="AA28" s="11"/>
      <c r="AB28" s="11"/>
      <c r="AC28" s="11"/>
      <c r="AD28" s="11"/>
      <c r="AE28" s="11">
        <f t="shared" si="23"/>
        <v>0</v>
      </c>
      <c r="AF28" s="11">
        <f t="shared" si="23"/>
        <v>0</v>
      </c>
      <c r="AG28" s="11">
        <f t="shared" si="23"/>
        <v>0</v>
      </c>
      <c r="AH28" s="11">
        <f t="shared" si="23"/>
        <v>2083</v>
      </c>
      <c r="AI28" s="11">
        <f>SUM(S28:V28)</f>
        <v>3822</v>
      </c>
      <c r="AK28" s="549"/>
    </row>
    <row r="29" spans="2:37" ht="12.75" customHeight="1">
      <c r="B29" s="14" t="s">
        <v>56</v>
      </c>
      <c r="C29" s="15">
        <f>+SUM(C22+SUM(C25:C28))</f>
        <v>4093</v>
      </c>
      <c r="D29" s="15">
        <f>+SUM(D22+SUM(D25:D28))</f>
        <v>-88115</v>
      </c>
      <c r="E29" s="15">
        <f>+SUM(E22+SUM(E25:E28))</f>
        <v>-241814</v>
      </c>
      <c r="F29" s="15">
        <f>+SUM(F22+SUM(F25:F28))</f>
        <v>-265968</v>
      </c>
      <c r="G29" s="15">
        <f>+SUM(G22+SUM(G25:G28))</f>
        <v>-101580</v>
      </c>
      <c r="H29" s="12"/>
      <c r="I29" s="15">
        <f>+SUM(I22+SUM(I25:I28))</f>
        <v>-75193</v>
      </c>
      <c r="J29" s="15">
        <f t="shared" ref="J29:V29" si="24">+SUM(J22+SUM(J25:J28))</f>
        <v>-63042</v>
      </c>
      <c r="K29" s="15">
        <f t="shared" si="24"/>
        <v>-58070</v>
      </c>
      <c r="L29" s="15">
        <f t="shared" si="24"/>
        <v>-45509</v>
      </c>
      <c r="M29" s="15">
        <f t="shared" si="24"/>
        <v>-42107</v>
      </c>
      <c r="N29" s="15">
        <f t="shared" si="24"/>
        <v>-40529</v>
      </c>
      <c r="O29" s="15">
        <f t="shared" si="24"/>
        <v>-57371</v>
      </c>
      <c r="P29" s="15">
        <f t="shared" si="24"/>
        <v>-125961</v>
      </c>
      <c r="Q29" s="15">
        <f t="shared" si="24"/>
        <v>-32930</v>
      </c>
      <c r="R29" s="15">
        <f t="shared" si="24"/>
        <v>-22945</v>
      </c>
      <c r="S29" s="15">
        <f t="shared" si="24"/>
        <v>-19722</v>
      </c>
      <c r="T29" s="15">
        <f t="shared" si="24"/>
        <v>-25983</v>
      </c>
      <c r="U29" s="15">
        <f t="shared" si="24"/>
        <v>-40847</v>
      </c>
      <c r="V29" s="15">
        <f t="shared" si="24"/>
        <v>-20603</v>
      </c>
      <c r="X29" s="15">
        <f t="shared" ref="X29:AI29" si="25">+SUM(X22+SUM(X25:X28))</f>
        <v>-210626</v>
      </c>
      <c r="Y29" s="15">
        <f t="shared" si="25"/>
        <v>-259073</v>
      </c>
      <c r="Z29" s="15">
        <f t="shared" si="25"/>
        <v>-223387</v>
      </c>
      <c r="AA29" s="15">
        <f t="shared" si="25"/>
        <v>-196371</v>
      </c>
      <c r="AB29" s="15">
        <f t="shared" si="25"/>
        <v>-188675</v>
      </c>
      <c r="AC29" s="15">
        <f t="shared" si="25"/>
        <v>-265337</v>
      </c>
      <c r="AD29" s="15">
        <f t="shared" si="25"/>
        <v>-263234</v>
      </c>
      <c r="AE29" s="15">
        <f t="shared" si="25"/>
        <v>-239207</v>
      </c>
      <c r="AF29" s="15">
        <f t="shared" si="25"/>
        <v>-201558</v>
      </c>
      <c r="AG29" s="15">
        <f t="shared" si="25"/>
        <v>-101580</v>
      </c>
      <c r="AH29" s="15">
        <f t="shared" si="25"/>
        <v>-109497</v>
      </c>
      <c r="AI29" s="15">
        <f t="shared" si="25"/>
        <v>-107155</v>
      </c>
      <c r="AK29" s="550">
        <f>SUM(AI29/AE29)-1</f>
        <v>-0.55204070115004988</v>
      </c>
    </row>
    <row r="30" spans="2:37" ht="12.75" customHeight="1">
      <c r="B30" s="17" t="s">
        <v>57</v>
      </c>
      <c r="C30" s="19">
        <f>C29/C8</f>
        <v>1.0061826271863515E-2</v>
      </c>
      <c r="D30" s="19">
        <f>D29/D8</f>
        <v>-0.18961695717667312</v>
      </c>
      <c r="E30" s="19">
        <f>E29/E8</f>
        <v>-0.57721401751592738</v>
      </c>
      <c r="F30" s="19">
        <f>F29/F8</f>
        <v>-0.77456782069801033</v>
      </c>
      <c r="G30" s="19">
        <f>G29/G8</f>
        <v>-0.31116366265178341</v>
      </c>
      <c r="I30" s="19">
        <f t="shared" ref="I30:V30" si="26">I29/I8</f>
        <v>-0.68697638298844277</v>
      </c>
      <c r="J30" s="19">
        <f t="shared" si="26"/>
        <v>-0.42874047878128402</v>
      </c>
      <c r="K30" s="19">
        <f t="shared" si="26"/>
        <v>-0.70387878787878788</v>
      </c>
      <c r="L30" s="19">
        <f t="shared" si="26"/>
        <v>-0.56930371037554106</v>
      </c>
      <c r="M30" s="19">
        <f t="shared" si="26"/>
        <v>-0.45651372566026283</v>
      </c>
      <c r="N30" s="19">
        <f t="shared" si="26"/>
        <v>-0.39676355128292984</v>
      </c>
      <c r="O30" s="19">
        <f t="shared" si="26"/>
        <v>-0.76177767155300613</v>
      </c>
      <c r="P30" s="19">
        <f t="shared" si="26"/>
        <v>-1.7095916068350547</v>
      </c>
      <c r="Q30" s="19">
        <f t="shared" si="26"/>
        <v>-0.43556472626747617</v>
      </c>
      <c r="R30" s="19">
        <f t="shared" si="26"/>
        <v>-0.24623061651553363</v>
      </c>
      <c r="S30" s="19">
        <f t="shared" si="26"/>
        <v>-0.24346344715206281</v>
      </c>
      <c r="T30" s="19">
        <f t="shared" si="26"/>
        <v>-0.33894701140128886</v>
      </c>
      <c r="U30" s="19">
        <f t="shared" si="26"/>
        <v>-0.59430242539756439</v>
      </c>
      <c r="V30" s="19">
        <f t="shared" si="26"/>
        <v>-0.2748605885962806</v>
      </c>
      <c r="X30" s="19">
        <f t="shared" ref="X30:AI30" si="27">X29/X8</f>
        <v>-0.62132479830085985</v>
      </c>
      <c r="Y30" s="19">
        <f t="shared" si="27"/>
        <v>-0.61841153597353271</v>
      </c>
      <c r="Z30" s="19">
        <f t="shared" si="27"/>
        <v>-0.55608467715837639</v>
      </c>
      <c r="AA30" s="19">
        <f t="shared" si="27"/>
        <v>-0.55033167704996599</v>
      </c>
      <c r="AB30" s="19">
        <f t="shared" si="27"/>
        <v>-0.53963418994093837</v>
      </c>
      <c r="AC30" s="19">
        <f t="shared" si="27"/>
        <v>-0.77273018498672008</v>
      </c>
      <c r="AD30" s="19">
        <f t="shared" si="27"/>
        <v>-0.80563011296339937</v>
      </c>
      <c r="AE30" s="19">
        <f t="shared" si="27"/>
        <v>-0.75274640552081795</v>
      </c>
      <c r="AF30" s="19">
        <f t="shared" si="27"/>
        <v>-0.6231061015911683</v>
      </c>
      <c r="AG30" s="19">
        <f t="shared" si="27"/>
        <v>-0.31116366265178341</v>
      </c>
      <c r="AH30" s="19">
        <f t="shared" si="27"/>
        <v>-0.34262782401902497</v>
      </c>
      <c r="AI30" s="19">
        <f t="shared" si="27"/>
        <v>-0.35557966902602595</v>
      </c>
      <c r="AK30" s="551">
        <f>SUM(AI30-AE30)*10000</f>
        <v>3971.6673649479199</v>
      </c>
    </row>
    <row r="31" spans="2:37" ht="5.0999999999999996" customHeight="1">
      <c r="AK31" s="548"/>
    </row>
    <row r="32" spans="2:37" ht="12.75" customHeight="1">
      <c r="B32" s="25" t="s">
        <v>58</v>
      </c>
      <c r="C32" s="191">
        <f>'Historical Financials'!E125</f>
        <v>-57696</v>
      </c>
      <c r="D32" s="191">
        <f>'Historical Financials'!F125</f>
        <v>-135961</v>
      </c>
      <c r="E32" s="191">
        <f>'Historical Financials'!G125</f>
        <v>-70475</v>
      </c>
      <c r="F32" s="191">
        <f>'Historical Financials'!H125</f>
        <v>-10564</v>
      </c>
      <c r="G32" s="191">
        <f>'Historical Financials'!I125</f>
        <v>-11015</v>
      </c>
      <c r="I32" s="191">
        <f>'Historical Financials'!AA125</f>
        <v>-21548</v>
      </c>
      <c r="J32" s="191">
        <f>'Historical Financials'!AB125</f>
        <v>-20417</v>
      </c>
      <c r="K32" s="191">
        <f>'Historical Financials'!AC125</f>
        <v>-17987</v>
      </c>
      <c r="L32" s="191">
        <f>'Historical Financials'!AD125</f>
        <v>-10523</v>
      </c>
      <c r="M32" s="191">
        <f>'Historical Financials'!AE125</f>
        <v>-5302</v>
      </c>
      <c r="N32" s="191">
        <f>'Historical Financials'!AF125</f>
        <v>-1837</v>
      </c>
      <c r="O32" s="191">
        <f>'Historical Financials'!AG125</f>
        <v>-1428</v>
      </c>
      <c r="P32" s="191">
        <f>'Historical Financials'!AH125</f>
        <v>-1997</v>
      </c>
      <c r="Q32" s="191">
        <f>'Historical Financials'!AI125</f>
        <v>-1197</v>
      </c>
      <c r="R32" s="191">
        <f>'Historical Financials'!AJ125</f>
        <v>-1323</v>
      </c>
      <c r="S32" s="191">
        <f>'Historical Financials'!AK125</f>
        <v>-2020</v>
      </c>
      <c r="T32" s="191">
        <f>'Historical Financials'!AL125</f>
        <v>-6475</v>
      </c>
      <c r="U32" s="191">
        <f>'Historical Financials'!AM125</f>
        <v>-4485</v>
      </c>
      <c r="V32" s="191">
        <f>'Historical Financials'!AN125</f>
        <v>-1938</v>
      </c>
      <c r="X32" s="11">
        <f t="shared" ref="X32:AI35" si="28">SUM(H32:K32)</f>
        <v>-59952</v>
      </c>
      <c r="Y32" s="11">
        <f t="shared" si="28"/>
        <v>-70475</v>
      </c>
      <c r="Z32" s="11">
        <f t="shared" si="28"/>
        <v>-54229</v>
      </c>
      <c r="AA32" s="11">
        <f t="shared" si="28"/>
        <v>-35649</v>
      </c>
      <c r="AB32" s="11">
        <f t="shared" si="28"/>
        <v>-19090</v>
      </c>
      <c r="AC32" s="11">
        <f t="shared" si="28"/>
        <v>-10564</v>
      </c>
      <c r="AD32" s="11">
        <f t="shared" si="28"/>
        <v>-6459</v>
      </c>
      <c r="AE32" s="11">
        <f t="shared" si="28"/>
        <v>-5945</v>
      </c>
      <c r="AF32" s="11">
        <f t="shared" si="28"/>
        <v>-6537</v>
      </c>
      <c r="AG32" s="11">
        <f t="shared" si="28"/>
        <v>-11015</v>
      </c>
      <c r="AH32" s="11">
        <f t="shared" si="28"/>
        <v>-14303</v>
      </c>
      <c r="AI32" s="11">
        <f t="shared" si="28"/>
        <v>-14918</v>
      </c>
      <c r="AK32" s="549">
        <f>SUM(AI32/AE32)-1</f>
        <v>1.5093355761143816</v>
      </c>
    </row>
    <row r="33" spans="1:37" ht="12.75" customHeight="1">
      <c r="B33" s="25" t="s">
        <v>59</v>
      </c>
      <c r="C33" s="191">
        <f>-'Historical Financials'!E160</f>
        <v>-18</v>
      </c>
      <c r="D33" s="191">
        <f>-'Historical Financials'!F160</f>
        <v>10</v>
      </c>
      <c r="E33" s="191">
        <f>-'Historical Financials'!G160</f>
        <v>-38</v>
      </c>
      <c r="F33" s="191">
        <f>-'Historical Financials'!H160</f>
        <v>1</v>
      </c>
      <c r="G33" s="191">
        <f>-'Historical Financials'!I160</f>
        <v>-6</v>
      </c>
      <c r="I33" s="191">
        <f>-'Historical Financials'!AA160</f>
        <v>-52</v>
      </c>
      <c r="J33" s="191">
        <f>-'Historical Financials'!AB160</f>
        <v>31</v>
      </c>
      <c r="K33" s="191">
        <f>-'Historical Financials'!AC160</f>
        <v>0</v>
      </c>
      <c r="L33" s="191">
        <f>-'Historical Financials'!AD160</f>
        <v>-17</v>
      </c>
      <c r="M33" s="191">
        <f>-'Historical Financials'!AE160</f>
        <v>0</v>
      </c>
      <c r="N33" s="191">
        <f>-'Historical Financials'!AF160</f>
        <v>-9</v>
      </c>
      <c r="O33" s="191">
        <f>-'Historical Financials'!AG160</f>
        <v>0</v>
      </c>
      <c r="P33" s="191">
        <f>-'Historical Financials'!AH160</f>
        <v>10</v>
      </c>
      <c r="Q33" s="191">
        <f>-'Historical Financials'!AI160</f>
        <v>-2</v>
      </c>
      <c r="R33" s="191">
        <f>-'Historical Financials'!AJ160</f>
        <v>-14</v>
      </c>
      <c r="S33" s="191">
        <f>-'Historical Financials'!AK160</f>
        <v>0</v>
      </c>
      <c r="T33" s="191">
        <f>-'Historical Financials'!AL160</f>
        <v>10</v>
      </c>
      <c r="U33" s="191">
        <f>-'Historical Financials'!AM160</f>
        <v>0</v>
      </c>
      <c r="V33" s="191">
        <f>-'Historical Financials'!AN160</f>
        <v>-2</v>
      </c>
      <c r="X33" s="11">
        <f t="shared" si="28"/>
        <v>-21</v>
      </c>
      <c r="Y33" s="11">
        <f t="shared" si="28"/>
        <v>-38</v>
      </c>
      <c r="Z33" s="11">
        <f t="shared" si="28"/>
        <v>14</v>
      </c>
      <c r="AA33" s="11">
        <f t="shared" si="28"/>
        <v>-26</v>
      </c>
      <c r="AB33" s="11">
        <f t="shared" si="28"/>
        <v>-26</v>
      </c>
      <c r="AC33" s="11">
        <f t="shared" si="28"/>
        <v>1</v>
      </c>
      <c r="AD33" s="11">
        <f t="shared" si="28"/>
        <v>-1</v>
      </c>
      <c r="AE33" s="11">
        <f t="shared" si="28"/>
        <v>-6</v>
      </c>
      <c r="AF33" s="11">
        <f t="shared" si="28"/>
        <v>-6</v>
      </c>
      <c r="AG33" s="11">
        <f t="shared" si="28"/>
        <v>-6</v>
      </c>
      <c r="AH33" s="11">
        <f t="shared" si="28"/>
        <v>-4</v>
      </c>
      <c r="AI33" s="11">
        <f t="shared" si="28"/>
        <v>8</v>
      </c>
      <c r="AK33" s="549">
        <f>SUM(AI33/AE33)-1</f>
        <v>-2.333333333333333</v>
      </c>
    </row>
    <row r="34" spans="1:37" ht="12.75" customHeight="1">
      <c r="B34" s="25" t="s">
        <v>291</v>
      </c>
      <c r="C34" s="191">
        <f>-'Historical Financials'!E161</f>
        <v>-2564</v>
      </c>
      <c r="D34" s="191">
        <f>-'Historical Financials'!F161</f>
        <v>-348</v>
      </c>
      <c r="E34" s="191">
        <f>-'Historical Financials'!G161</f>
        <v>-10</v>
      </c>
      <c r="F34" s="191">
        <f>-'Historical Financials'!H161</f>
        <v>0</v>
      </c>
      <c r="G34" s="191">
        <f>-'Historical Financials'!I161</f>
        <v>0</v>
      </c>
      <c r="I34" s="191">
        <f>-'Historical Financials'!AA161</f>
        <v>-17</v>
      </c>
      <c r="J34" s="191">
        <f>-'Historical Financials'!AB161</f>
        <v>-136</v>
      </c>
      <c r="K34" s="191">
        <f>-'Historical Financials'!AC161</f>
        <v>150</v>
      </c>
      <c r="L34" s="191">
        <f>-'Historical Financials'!AD161</f>
        <v>-7</v>
      </c>
      <c r="M34" s="191">
        <f>-'Historical Financials'!AE161</f>
        <v>0</v>
      </c>
      <c r="N34" s="191">
        <f>-'Historical Financials'!AF161</f>
        <v>0</v>
      </c>
      <c r="O34" s="191">
        <f>-'Historical Financials'!AG161</f>
        <v>0</v>
      </c>
      <c r="P34" s="191">
        <f>-'Historical Financials'!AH161</f>
        <v>0</v>
      </c>
      <c r="Q34" s="191">
        <f>-'Historical Financials'!AI161</f>
        <v>0</v>
      </c>
      <c r="R34" s="191">
        <f>-'Historical Financials'!AJ161</f>
        <v>0</v>
      </c>
      <c r="S34" s="191">
        <f>-'Historical Financials'!AK161</f>
        <v>0</v>
      </c>
      <c r="T34" s="191">
        <f>-'Historical Financials'!AL161</f>
        <v>0</v>
      </c>
      <c r="U34" s="191">
        <f>-'Historical Financials'!AM161</f>
        <v>0</v>
      </c>
      <c r="V34" s="191">
        <f>-'Historical Financials'!AN161</f>
        <v>0</v>
      </c>
      <c r="X34" s="11">
        <f t="shared" si="28"/>
        <v>-3</v>
      </c>
      <c r="Y34" s="11">
        <f t="shared" si="28"/>
        <v>-10</v>
      </c>
      <c r="Z34" s="11">
        <f t="shared" si="28"/>
        <v>7</v>
      </c>
      <c r="AA34" s="11">
        <f t="shared" si="28"/>
        <v>143</v>
      </c>
      <c r="AB34" s="11">
        <f t="shared" si="28"/>
        <v>-7</v>
      </c>
      <c r="AC34" s="11">
        <f t="shared" si="28"/>
        <v>0</v>
      </c>
      <c r="AD34" s="11">
        <f t="shared" si="28"/>
        <v>0</v>
      </c>
      <c r="AE34" s="11">
        <f t="shared" si="28"/>
        <v>0</v>
      </c>
      <c r="AF34" s="11">
        <f t="shared" si="28"/>
        <v>0</v>
      </c>
      <c r="AG34" s="11">
        <f t="shared" si="28"/>
        <v>0</v>
      </c>
      <c r="AH34" s="11">
        <f t="shared" si="28"/>
        <v>0</v>
      </c>
      <c r="AI34" s="11">
        <f t="shared" si="28"/>
        <v>0</v>
      </c>
      <c r="AK34" s="549" t="e">
        <f>SUM(AI34/AE34)-1</f>
        <v>#DIV/0!</v>
      </c>
    </row>
    <row r="35" spans="1:37" ht="12.75" customHeight="1">
      <c r="B35" s="25" t="s">
        <v>60</v>
      </c>
      <c r="C35" s="191">
        <f>SUM('Historical Financials'!E114:E121)</f>
        <v>-32178</v>
      </c>
      <c r="D35" s="191">
        <f>SUM('Historical Financials'!F114:F121)</f>
        <v>-179579</v>
      </c>
      <c r="E35" s="191">
        <f>SUM('Historical Financials'!G114:G121)</f>
        <v>-54187</v>
      </c>
      <c r="F35" s="191">
        <f>SUM('Historical Financials'!H114:H121)</f>
        <v>114663</v>
      </c>
      <c r="G35" s="191">
        <f>SUM('Historical Financials'!I114:I121)</f>
        <v>-4008</v>
      </c>
      <c r="I35" s="191">
        <f>SUM('Historical Financials'!AA114:AA121)</f>
        <v>-84223</v>
      </c>
      <c r="J35" s="191">
        <f>SUM('Historical Financials'!AB114:AB121)</f>
        <v>-1930</v>
      </c>
      <c r="K35" s="191">
        <f>SUM('Historical Financials'!AC114:AC121)</f>
        <v>33678</v>
      </c>
      <c r="L35" s="191">
        <f>SUM('Historical Financials'!AD114:AD121)</f>
        <v>-1712</v>
      </c>
      <c r="M35" s="191">
        <f>SUM('Historical Financials'!AE114:AE121)</f>
        <v>-7932</v>
      </c>
      <c r="N35" s="191">
        <f>SUM('Historical Financials'!AF114:AF121)</f>
        <v>-10438</v>
      </c>
      <c r="O35" s="191">
        <f>SUM('Historical Financials'!AG114:AG121)</f>
        <v>57401</v>
      </c>
      <c r="P35" s="191">
        <f>SUM('Historical Financials'!AH114:AH121)</f>
        <v>75632</v>
      </c>
      <c r="Q35" s="191">
        <f>SUM('Historical Financials'!AI114:AI121)</f>
        <v>4105</v>
      </c>
      <c r="R35" s="191">
        <f>SUM('Historical Financials'!AJ114:AJ121)</f>
        <v>3505</v>
      </c>
      <c r="S35" s="191">
        <f>SUM('Historical Financials'!AK114:AK121)</f>
        <v>-6089</v>
      </c>
      <c r="T35" s="191">
        <f>SUM('Historical Financials'!AL114:AL121)</f>
        <v>-5529</v>
      </c>
      <c r="U35" s="191">
        <f>SUM('Historical Financials'!AM114:AM121)</f>
        <v>13900</v>
      </c>
      <c r="V35" s="191">
        <f>SUM('Historical Financials'!AN114:AN121)</f>
        <v>-10927</v>
      </c>
      <c r="X35" s="11">
        <f t="shared" si="28"/>
        <v>-52475</v>
      </c>
      <c r="Y35" s="11">
        <f t="shared" si="28"/>
        <v>-54187</v>
      </c>
      <c r="Z35" s="11">
        <f t="shared" si="28"/>
        <v>22104</v>
      </c>
      <c r="AA35" s="11">
        <f t="shared" si="28"/>
        <v>13596</v>
      </c>
      <c r="AB35" s="11">
        <f t="shared" si="28"/>
        <v>37319</v>
      </c>
      <c r="AC35" s="11">
        <f t="shared" si="28"/>
        <v>114663</v>
      </c>
      <c r="AD35" s="11">
        <f t="shared" si="28"/>
        <v>126700</v>
      </c>
      <c r="AE35" s="11">
        <f t="shared" si="28"/>
        <v>140643</v>
      </c>
      <c r="AF35" s="11">
        <f t="shared" si="28"/>
        <v>77153</v>
      </c>
      <c r="AG35" s="11">
        <f t="shared" si="28"/>
        <v>-4008</v>
      </c>
      <c r="AH35" s="11">
        <f t="shared" si="28"/>
        <v>5787</v>
      </c>
      <c r="AI35" s="11">
        <f t="shared" si="28"/>
        <v>-8645</v>
      </c>
      <c r="AK35" s="549">
        <f>SUM(AI35/AE35)-1</f>
        <v>-1.061467687691531</v>
      </c>
    </row>
    <row r="36" spans="1:37" ht="12.75" customHeight="1">
      <c r="B36" s="14" t="s">
        <v>61</v>
      </c>
      <c r="C36" s="15">
        <f>SUM(C29+SUM(C32:C35))</f>
        <v>-88363</v>
      </c>
      <c r="D36" s="15">
        <f>SUM(D29+SUM(D32:D35))</f>
        <v>-403993</v>
      </c>
      <c r="E36" s="15">
        <f>SUM(E29+SUM(E32:E35))</f>
        <v>-366524</v>
      </c>
      <c r="F36" s="15">
        <f>SUM(F29+SUM(F32:F35))</f>
        <v>-161868</v>
      </c>
      <c r="G36" s="15">
        <f>SUM(G29+SUM(G32:G35))</f>
        <v>-116609</v>
      </c>
      <c r="I36" s="15">
        <f t="shared" ref="I36:V36" si="29">SUM(I29+SUM(I32:I35))</f>
        <v>-181033</v>
      </c>
      <c r="J36" s="15">
        <f t="shared" si="29"/>
        <v>-85494</v>
      </c>
      <c r="K36" s="15">
        <f t="shared" si="29"/>
        <v>-42229</v>
      </c>
      <c r="L36" s="15">
        <f t="shared" si="29"/>
        <v>-57768</v>
      </c>
      <c r="M36" s="15">
        <f t="shared" si="29"/>
        <v>-55341</v>
      </c>
      <c r="N36" s="15">
        <f t="shared" si="29"/>
        <v>-52813</v>
      </c>
      <c r="O36" s="15">
        <f t="shared" si="29"/>
        <v>-1398</v>
      </c>
      <c r="P36" s="15">
        <f t="shared" si="29"/>
        <v>-52316</v>
      </c>
      <c r="Q36" s="15">
        <f t="shared" si="29"/>
        <v>-30024</v>
      </c>
      <c r="R36" s="15">
        <f t="shared" si="29"/>
        <v>-20777</v>
      </c>
      <c r="S36" s="15">
        <f t="shared" si="29"/>
        <v>-27831</v>
      </c>
      <c r="T36" s="15">
        <f t="shared" si="29"/>
        <v>-37977</v>
      </c>
      <c r="U36" s="15">
        <f t="shared" si="29"/>
        <v>-31432</v>
      </c>
      <c r="V36" s="15">
        <f t="shared" si="29"/>
        <v>-33470</v>
      </c>
      <c r="X36" s="15">
        <f t="shared" ref="X36:AH36" si="30">SUM(X29+SUM(X32:X35))</f>
        <v>-323077</v>
      </c>
      <c r="Y36" s="15">
        <f t="shared" si="30"/>
        <v>-383783</v>
      </c>
      <c r="Z36" s="15">
        <f t="shared" si="30"/>
        <v>-255491</v>
      </c>
      <c r="AA36" s="15">
        <f t="shared" si="30"/>
        <v>-218307</v>
      </c>
      <c r="AB36" s="15">
        <f t="shared" si="30"/>
        <v>-170479</v>
      </c>
      <c r="AC36" s="15">
        <f t="shared" si="30"/>
        <v>-161237</v>
      </c>
      <c r="AD36" s="15">
        <f t="shared" si="30"/>
        <v>-142994</v>
      </c>
      <c r="AE36" s="15">
        <f t="shared" si="30"/>
        <v>-104515</v>
      </c>
      <c r="AF36" s="15">
        <f t="shared" si="30"/>
        <v>-130948</v>
      </c>
      <c r="AG36" s="15">
        <f t="shared" si="30"/>
        <v>-116609</v>
      </c>
      <c r="AH36" s="15">
        <f t="shared" si="30"/>
        <v>-118017</v>
      </c>
      <c r="AI36" s="15">
        <f>SUM(AI29+SUM(AI32:AI35))</f>
        <v>-130710</v>
      </c>
      <c r="AK36" s="550">
        <f>SUM(AI36/AE36)-1</f>
        <v>0.25063388030426248</v>
      </c>
    </row>
    <row r="37" spans="1:37" ht="5.0999999999999996" customHeight="1"/>
    <row r="38" spans="1:37" ht="12.75" customHeight="1">
      <c r="B38" s="33" t="s">
        <v>614</v>
      </c>
      <c r="C38" s="191">
        <f>SUM('Historical Financials'!E137:E141)</f>
        <v>25732</v>
      </c>
      <c r="D38" s="191">
        <f>SUM('Historical Financials'!F137:F141)</f>
        <v>1046104</v>
      </c>
      <c r="E38" s="191">
        <f>SUM('Historical Financials'!G137:G141)</f>
        <v>486</v>
      </c>
      <c r="F38" s="191">
        <f>SUM('Historical Financials'!H137:H141)</f>
        <v>-327</v>
      </c>
      <c r="G38" s="191">
        <f>SUM('Historical Financials'!I137:I141)</f>
        <v>46954</v>
      </c>
      <c r="H38" s="34"/>
      <c r="I38" s="191">
        <f>SUM('Historical Financials'!AA137:AA141)</f>
        <v>376</v>
      </c>
      <c r="J38" s="191">
        <f>SUM('Historical Financials'!AB137:AB141)</f>
        <v>164</v>
      </c>
      <c r="K38" s="191">
        <f>SUM('Historical Financials'!AC137:AC141)</f>
        <v>-3</v>
      </c>
      <c r="L38" s="191">
        <f>SUM('Historical Financials'!AD137:AD141)</f>
        <v>-51</v>
      </c>
      <c r="M38" s="191">
        <f>SUM('Historical Financials'!AE137:AE141)</f>
        <v>-116</v>
      </c>
      <c r="N38" s="191">
        <f>SUM('Historical Financials'!AF137:AF141)</f>
        <v>-69</v>
      </c>
      <c r="O38" s="191">
        <f>SUM('Historical Financials'!AG137:AG141)</f>
        <v>-35</v>
      </c>
      <c r="P38" s="191">
        <f>SUM('Historical Financials'!AH137:AH141)</f>
        <v>-107</v>
      </c>
      <c r="Q38" s="191">
        <f>SUM('Historical Financials'!AI137:AI141)</f>
        <v>-430</v>
      </c>
      <c r="R38" s="191">
        <f>SUM('Historical Financials'!AJ137:AJ141)</f>
        <v>-104</v>
      </c>
      <c r="S38" s="191">
        <f>SUM('Historical Financials'!AK137:AK141)</f>
        <v>-65</v>
      </c>
      <c r="T38" s="191">
        <f>SUM('Historical Financials'!AL137:AL141)</f>
        <v>47553</v>
      </c>
      <c r="U38" s="191">
        <f>SUM('Historical Financials'!AM137:AM141)</f>
        <v>-220</v>
      </c>
      <c r="V38" s="191">
        <f>SUM('Historical Financials'!AN137:AN141)</f>
        <v>-86</v>
      </c>
      <c r="X38" s="11">
        <f t="shared" ref="X38:AI40" si="31">SUM(H38:K38)</f>
        <v>537</v>
      </c>
      <c r="Y38" s="11">
        <f t="shared" si="31"/>
        <v>486</v>
      </c>
      <c r="Z38" s="11">
        <f t="shared" si="31"/>
        <v>-6</v>
      </c>
      <c r="AA38" s="11">
        <f t="shared" si="31"/>
        <v>-239</v>
      </c>
      <c r="AB38" s="11">
        <f t="shared" si="31"/>
        <v>-271</v>
      </c>
      <c r="AC38" s="11">
        <f t="shared" si="31"/>
        <v>-327</v>
      </c>
      <c r="AD38" s="11">
        <f t="shared" si="31"/>
        <v>-641</v>
      </c>
      <c r="AE38" s="11">
        <f t="shared" si="31"/>
        <v>-676</v>
      </c>
      <c r="AF38" s="11">
        <f t="shared" si="31"/>
        <v>-706</v>
      </c>
      <c r="AG38" s="11">
        <f t="shared" si="31"/>
        <v>46954</v>
      </c>
      <c r="AH38" s="11">
        <f t="shared" si="31"/>
        <v>47164</v>
      </c>
      <c r="AI38" s="11">
        <f t="shared" si="31"/>
        <v>47182</v>
      </c>
    </row>
    <row r="39" spans="1:37" ht="12.75" customHeight="1">
      <c r="B39" s="33" t="s">
        <v>613</v>
      </c>
      <c r="C39" s="191">
        <f>SUM('Historical Financials'!E143:E145)</f>
        <v>-27424</v>
      </c>
      <c r="D39" s="191">
        <f>SUM('Historical Financials'!F143:F145)</f>
        <v>-23605</v>
      </c>
      <c r="E39" s="191">
        <f>SUM('Historical Financials'!G143:G145)</f>
        <v>0</v>
      </c>
      <c r="F39" s="191">
        <f>SUM('Historical Financials'!H143:H145)</f>
        <v>0</v>
      </c>
      <c r="G39" s="191">
        <f>SUM('Historical Financials'!I143:I145)</f>
        <v>0</v>
      </c>
      <c r="H39" s="34"/>
      <c r="I39" s="191">
        <f>SUM('Historical Financials'!AA143:AA145)</f>
        <v>0</v>
      </c>
      <c r="J39" s="191">
        <f>SUM('Historical Financials'!AB143:AB145)</f>
        <v>0</v>
      </c>
      <c r="K39" s="191">
        <f>SUM('Historical Financials'!AC143:AC145)</f>
        <v>0</v>
      </c>
      <c r="L39" s="191">
        <f>SUM('Historical Financials'!AD143:AD145)</f>
        <v>0</v>
      </c>
      <c r="M39" s="191">
        <f>SUM('Historical Financials'!AE143:AE145)</f>
        <v>0</v>
      </c>
      <c r="N39" s="191">
        <f>SUM('Historical Financials'!AF143:AF145)</f>
        <v>0</v>
      </c>
      <c r="O39" s="191">
        <f>SUM('Historical Financials'!AG143:AG145)</f>
        <v>0</v>
      </c>
      <c r="P39" s="191">
        <f>SUM('Historical Financials'!AH143:AH145)</f>
        <v>0</v>
      </c>
      <c r="Q39" s="191">
        <f>SUM('Historical Financials'!AI143:AI145)</f>
        <v>0</v>
      </c>
      <c r="R39" s="191">
        <f>SUM('Historical Financials'!AJ143:AJ145)</f>
        <v>0</v>
      </c>
      <c r="S39" s="191">
        <f>SUM('Historical Financials'!AK143:AK145)</f>
        <v>0</v>
      </c>
      <c r="T39" s="191">
        <f>SUM('Historical Financials'!AL143:AL145)</f>
        <v>0</v>
      </c>
      <c r="U39" s="191">
        <f>SUM('Historical Financials'!AM143:AM145)</f>
        <v>-125</v>
      </c>
      <c r="V39" s="191">
        <f>SUM('Historical Financials'!AN143:AN145)</f>
        <v>35008</v>
      </c>
      <c r="X39" s="11">
        <f t="shared" si="31"/>
        <v>0</v>
      </c>
      <c r="Y39" s="11">
        <f t="shared" si="31"/>
        <v>0</v>
      </c>
      <c r="Z39" s="11">
        <f t="shared" si="31"/>
        <v>0</v>
      </c>
      <c r="AA39" s="11">
        <f t="shared" si="31"/>
        <v>0</v>
      </c>
      <c r="AB39" s="11">
        <f t="shared" si="31"/>
        <v>0</v>
      </c>
      <c r="AC39" s="11">
        <f t="shared" si="31"/>
        <v>0</v>
      </c>
      <c r="AD39" s="11">
        <f t="shared" si="31"/>
        <v>0</v>
      </c>
      <c r="AE39" s="11">
        <f t="shared" si="31"/>
        <v>0</v>
      </c>
      <c r="AF39" s="11">
        <f t="shared" si="31"/>
        <v>0</v>
      </c>
      <c r="AG39" s="11">
        <f t="shared" si="31"/>
        <v>0</v>
      </c>
      <c r="AH39" s="11">
        <f t="shared" si="31"/>
        <v>-125</v>
      </c>
      <c r="AI39" s="11">
        <f t="shared" si="31"/>
        <v>34883</v>
      </c>
    </row>
    <row r="40" spans="1:37" ht="12.75" customHeight="1">
      <c r="B40" s="33" t="s">
        <v>609</v>
      </c>
      <c r="C40" s="191">
        <f>'Historical Financials'!E142</f>
        <v>-70</v>
      </c>
      <c r="D40" s="191">
        <f>'Historical Financials'!F142</f>
        <v>-177</v>
      </c>
      <c r="E40" s="191">
        <f>'Historical Financials'!G142</f>
        <v>-210</v>
      </c>
      <c r="F40" s="191">
        <f>'Historical Financials'!H142</f>
        <v>-223</v>
      </c>
      <c r="G40" s="191">
        <f>'Historical Financials'!I142</f>
        <v>-1177</v>
      </c>
      <c r="H40" s="34"/>
      <c r="I40" s="191">
        <f>'Historical Financials'!AA142</f>
        <v>-45</v>
      </c>
      <c r="J40" s="191">
        <f>'Historical Financials'!AB142</f>
        <v>2</v>
      </c>
      <c r="K40" s="191">
        <f>'Historical Financials'!AC142</f>
        <v>-109</v>
      </c>
      <c r="L40" s="191">
        <f>'Historical Financials'!AD142</f>
        <v>-58</v>
      </c>
      <c r="M40" s="191">
        <f>'Historical Financials'!AE142</f>
        <v>-33</v>
      </c>
      <c r="N40" s="191">
        <f>'Historical Financials'!AF142</f>
        <v>-82</v>
      </c>
      <c r="O40" s="191">
        <f>'Historical Financials'!AG142</f>
        <v>-53</v>
      </c>
      <c r="P40" s="191">
        <f>'Historical Financials'!AH142</f>
        <v>-55</v>
      </c>
      <c r="Q40" s="191">
        <f>'Historical Financials'!AI142</f>
        <v>-511</v>
      </c>
      <c r="R40" s="191">
        <f>'Historical Financials'!AJ142</f>
        <v>-3</v>
      </c>
      <c r="S40" s="191">
        <f>'Historical Financials'!AK142</f>
        <v>-169</v>
      </c>
      <c r="T40" s="191">
        <f>'Historical Financials'!AL142</f>
        <v>-494</v>
      </c>
      <c r="U40" s="191">
        <f>'Historical Financials'!AM142</f>
        <v>-244</v>
      </c>
      <c r="V40" s="191">
        <f>'Historical Financials'!AN142</f>
        <v>-693</v>
      </c>
      <c r="X40" s="11">
        <f t="shared" si="31"/>
        <v>-152</v>
      </c>
      <c r="Y40" s="11">
        <f t="shared" si="31"/>
        <v>-210</v>
      </c>
      <c r="Z40" s="11">
        <f t="shared" si="31"/>
        <v>-198</v>
      </c>
      <c r="AA40" s="11">
        <f t="shared" si="31"/>
        <v>-282</v>
      </c>
      <c r="AB40" s="11">
        <f t="shared" si="31"/>
        <v>-226</v>
      </c>
      <c r="AC40" s="11">
        <f t="shared" si="31"/>
        <v>-223</v>
      </c>
      <c r="AD40" s="11">
        <f t="shared" si="31"/>
        <v>-701</v>
      </c>
      <c r="AE40" s="11">
        <f t="shared" si="31"/>
        <v>-622</v>
      </c>
      <c r="AF40" s="11">
        <f t="shared" si="31"/>
        <v>-738</v>
      </c>
      <c r="AG40" s="11">
        <f t="shared" si="31"/>
        <v>-1177</v>
      </c>
      <c r="AH40" s="11">
        <f t="shared" si="31"/>
        <v>-910</v>
      </c>
      <c r="AI40" s="11">
        <f t="shared" si="31"/>
        <v>-1600</v>
      </c>
    </row>
    <row r="41" spans="1:37" ht="12.75" customHeight="1">
      <c r="B41" s="33" t="s">
        <v>615</v>
      </c>
      <c r="C41" s="191">
        <f>SUM('Historical Financials'!E126:E133)</f>
        <v>-17204</v>
      </c>
      <c r="D41" s="191">
        <f>SUM('Historical Financials'!F126:F133)</f>
        <v>-11518</v>
      </c>
      <c r="E41" s="191">
        <f>SUM('Historical Financials'!G126:G133)</f>
        <v>-17052</v>
      </c>
      <c r="F41" s="191">
        <f>SUM('Historical Financials'!H126:H133)</f>
        <v>1073</v>
      </c>
      <c r="G41" s="191">
        <f>SUM('Historical Financials'!I126:I133)</f>
        <v>4783</v>
      </c>
      <c r="H41" s="34"/>
      <c r="I41" s="191">
        <f>SUM('Historical Financials'!AA126:AA133)</f>
        <v>49</v>
      </c>
      <c r="J41" s="191">
        <f>SUM('Historical Financials'!AB126:AB133)</f>
        <v>-72</v>
      </c>
      <c r="K41" s="191">
        <f>SUM('Historical Financials'!AC126:AC133)</f>
        <v>-10729</v>
      </c>
      <c r="L41" s="191">
        <f>SUM('Historical Financials'!AD126:AD133)</f>
        <v>-6300</v>
      </c>
      <c r="M41" s="191">
        <f>SUM('Historical Financials'!AE126:AE133)</f>
        <v>-1000</v>
      </c>
      <c r="N41" s="191">
        <f>SUM('Historical Financials'!AF126:AF133)</f>
        <v>66</v>
      </c>
      <c r="O41" s="191">
        <f>SUM('Historical Financials'!AG126:AG133)</f>
        <v>161</v>
      </c>
      <c r="P41" s="191">
        <f>SUM('Historical Financials'!AH126:AH133)</f>
        <v>1846</v>
      </c>
      <c r="Q41" s="191">
        <f>SUM('Historical Financials'!AI126:AI133)</f>
        <v>895</v>
      </c>
      <c r="R41" s="191">
        <f>SUM('Historical Financials'!AJ126:AJ133)</f>
        <v>2794</v>
      </c>
      <c r="S41" s="191">
        <f>SUM('Historical Financials'!AK126:AK133)</f>
        <v>841</v>
      </c>
      <c r="T41" s="191">
        <f>SUM('Historical Financials'!AL126:AL133)</f>
        <v>253</v>
      </c>
      <c r="U41" s="191">
        <f>SUM('Historical Financials'!AM126:AM133)</f>
        <v>348</v>
      </c>
      <c r="V41" s="191">
        <f>SUM('Historical Financials'!AN126:AN133)</f>
        <v>0</v>
      </c>
      <c r="X41" s="11"/>
      <c r="Y41" s="11"/>
      <c r="Z41" s="11"/>
      <c r="AA41" s="11"/>
      <c r="AB41" s="11"/>
      <c r="AC41" s="11"/>
      <c r="AD41" s="11"/>
      <c r="AE41" s="11">
        <f t="shared" ref="AE41:AI42" si="32">SUM(O41:R41)</f>
        <v>5696</v>
      </c>
      <c r="AF41" s="11">
        <f t="shared" si="32"/>
        <v>6376</v>
      </c>
      <c r="AG41" s="11">
        <f t="shared" si="32"/>
        <v>4783</v>
      </c>
      <c r="AH41" s="11">
        <f t="shared" si="32"/>
        <v>4236</v>
      </c>
      <c r="AI41" s="11">
        <f t="shared" si="32"/>
        <v>1442</v>
      </c>
    </row>
    <row r="42" spans="1:37" ht="12.75" customHeight="1">
      <c r="B42" s="33" t="s">
        <v>110</v>
      </c>
      <c r="C42" s="34"/>
      <c r="D42" s="34">
        <f>SUM(D47-C47)-SUM(D36:D41)</f>
        <v>-32644</v>
      </c>
      <c r="E42" s="34">
        <f>SUM(E47-D47)-SUM(E36:E41)</f>
        <v>-40072</v>
      </c>
      <c r="F42" s="34">
        <f>SUM(F47-E47)-SUM(F36:F41)</f>
        <v>41928</v>
      </c>
      <c r="G42" s="34">
        <f>SUM(G47-F47)-SUM(G36:G41)</f>
        <v>7457</v>
      </c>
      <c r="H42" s="34"/>
      <c r="I42" s="34">
        <f>SUM(I47-D47)-SUM(I36:I41)</f>
        <v>-4783</v>
      </c>
      <c r="J42" s="34">
        <f t="shared" ref="J42:V42" si="33">SUM(J47-I47)-SUM(J36:J41)</f>
        <v>-7784</v>
      </c>
      <c r="K42" s="34">
        <f t="shared" si="33"/>
        <v>-11428</v>
      </c>
      <c r="L42" s="34">
        <f t="shared" si="33"/>
        <v>-16077</v>
      </c>
      <c r="M42" s="34">
        <f t="shared" si="33"/>
        <v>5134</v>
      </c>
      <c r="N42" s="34">
        <f t="shared" si="33"/>
        <v>5113</v>
      </c>
      <c r="O42" s="34">
        <f t="shared" si="33"/>
        <v>8089</v>
      </c>
      <c r="P42" s="34">
        <f t="shared" si="33"/>
        <v>23592</v>
      </c>
      <c r="Q42" s="34">
        <f t="shared" si="33"/>
        <v>-2522</v>
      </c>
      <c r="R42" s="34">
        <f t="shared" si="33"/>
        <v>5050</v>
      </c>
      <c r="S42" s="34">
        <f t="shared" si="33"/>
        <v>4083</v>
      </c>
      <c r="T42" s="34">
        <f t="shared" si="33"/>
        <v>846</v>
      </c>
      <c r="U42" s="34">
        <f t="shared" si="33"/>
        <v>1903</v>
      </c>
      <c r="V42" s="34">
        <f t="shared" si="33"/>
        <v>595</v>
      </c>
      <c r="X42" s="11">
        <f t="shared" ref="X42:AD42" si="34">SUM(H42:K42)</f>
        <v>-23995</v>
      </c>
      <c r="Y42" s="11">
        <f t="shared" si="34"/>
        <v>-40072</v>
      </c>
      <c r="Z42" s="11">
        <f t="shared" si="34"/>
        <v>-30155</v>
      </c>
      <c r="AA42" s="11">
        <f t="shared" si="34"/>
        <v>-17258</v>
      </c>
      <c r="AB42" s="11">
        <f t="shared" si="34"/>
        <v>2259</v>
      </c>
      <c r="AC42" s="11">
        <f t="shared" si="34"/>
        <v>41928</v>
      </c>
      <c r="AD42" s="11">
        <f t="shared" si="34"/>
        <v>34272</v>
      </c>
      <c r="AE42" s="11">
        <f t="shared" si="32"/>
        <v>34209</v>
      </c>
      <c r="AF42" s="11">
        <f t="shared" si="32"/>
        <v>30203</v>
      </c>
      <c r="AG42" s="11">
        <f t="shared" si="32"/>
        <v>7457</v>
      </c>
      <c r="AH42" s="11">
        <f t="shared" si="32"/>
        <v>11882</v>
      </c>
      <c r="AI42" s="11">
        <f t="shared" si="32"/>
        <v>7427</v>
      </c>
    </row>
    <row r="43" spans="1:37" ht="12.75" customHeight="1">
      <c r="B43" s="14" t="s">
        <v>62</v>
      </c>
      <c r="C43" s="15">
        <f>SUM(C36+SUM(C38:C42))</f>
        <v>-107329</v>
      </c>
      <c r="D43" s="15">
        <f>SUM(D36+SUM(D38:D42))</f>
        <v>574167</v>
      </c>
      <c r="E43" s="15">
        <f>SUM(E36+SUM(E38:E42))</f>
        <v>-423372</v>
      </c>
      <c r="F43" s="15">
        <f>SUM(F36+SUM(F38:F42))</f>
        <v>-119417</v>
      </c>
      <c r="G43" s="15">
        <f>SUM(G36+SUM(G38:G42))</f>
        <v>-58592</v>
      </c>
      <c r="I43" s="15">
        <f t="shared" ref="I43:V43" si="35">SUM(I36+SUM(I38:I42))</f>
        <v>-185436</v>
      </c>
      <c r="J43" s="15">
        <f t="shared" si="35"/>
        <v>-93184</v>
      </c>
      <c r="K43" s="15">
        <f t="shared" si="35"/>
        <v>-64498</v>
      </c>
      <c r="L43" s="15">
        <f t="shared" si="35"/>
        <v>-80254</v>
      </c>
      <c r="M43" s="15">
        <f t="shared" si="35"/>
        <v>-51356</v>
      </c>
      <c r="N43" s="15">
        <f t="shared" si="35"/>
        <v>-47785</v>
      </c>
      <c r="O43" s="15">
        <f t="shared" si="35"/>
        <v>6764</v>
      </c>
      <c r="P43" s="15">
        <f t="shared" si="35"/>
        <v>-27040</v>
      </c>
      <c r="Q43" s="15">
        <f t="shared" si="35"/>
        <v>-32592</v>
      </c>
      <c r="R43" s="15">
        <f t="shared" si="35"/>
        <v>-13040</v>
      </c>
      <c r="S43" s="15">
        <f t="shared" si="35"/>
        <v>-23141</v>
      </c>
      <c r="T43" s="15">
        <f t="shared" si="35"/>
        <v>10181</v>
      </c>
      <c r="U43" s="15">
        <f t="shared" si="35"/>
        <v>-29770</v>
      </c>
      <c r="V43" s="15">
        <f t="shared" si="35"/>
        <v>1354</v>
      </c>
      <c r="X43" s="15">
        <f t="shared" ref="X43:AI43" si="36">SUM(X36+SUM(X38:X42))</f>
        <v>-346687</v>
      </c>
      <c r="Y43" s="15">
        <f t="shared" si="36"/>
        <v>-423579</v>
      </c>
      <c r="Z43" s="15">
        <f t="shared" si="36"/>
        <v>-285850</v>
      </c>
      <c r="AA43" s="15">
        <f t="shared" si="36"/>
        <v>-236086</v>
      </c>
      <c r="AB43" s="15">
        <f t="shared" si="36"/>
        <v>-168717</v>
      </c>
      <c r="AC43" s="15">
        <f t="shared" si="36"/>
        <v>-119859</v>
      </c>
      <c r="AD43" s="15">
        <f t="shared" si="36"/>
        <v>-110064</v>
      </c>
      <c r="AE43" s="15">
        <f t="shared" si="36"/>
        <v>-65908</v>
      </c>
      <c r="AF43" s="15">
        <f t="shared" si="36"/>
        <v>-95813</v>
      </c>
      <c r="AG43" s="15">
        <f t="shared" si="36"/>
        <v>-58592</v>
      </c>
      <c r="AH43" s="15">
        <f t="shared" si="36"/>
        <v>-55770</v>
      </c>
      <c r="AI43" s="15">
        <f t="shared" si="36"/>
        <v>-41376</v>
      </c>
    </row>
    <row r="44" spans="1:37" ht="5.0999999999999996" customHeight="1"/>
    <row r="45" spans="1:37" ht="12.75" customHeight="1">
      <c r="A45" s="5"/>
      <c r="B45" s="35" t="s">
        <v>63</v>
      </c>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row>
    <row r="46" spans="1:37" ht="5.0999999999999996" customHeight="1"/>
    <row r="47" spans="1:37" ht="12.75" customHeight="1">
      <c r="B47" s="8" t="s">
        <v>64</v>
      </c>
      <c r="C47" s="191">
        <f>'Historical Financials'!E46</f>
        <v>159127</v>
      </c>
      <c r="D47" s="191">
        <f>'Historical Financials'!F46</f>
        <v>733294</v>
      </c>
      <c r="E47" s="191">
        <f>'Historical Financials'!G46</f>
        <v>309922</v>
      </c>
      <c r="F47" s="191">
        <f>'Historical Financials'!H46</f>
        <v>190505</v>
      </c>
      <c r="G47" s="191">
        <f>'Historical Financials'!I46</f>
        <v>131913</v>
      </c>
      <c r="H47" s="34"/>
      <c r="I47" s="191">
        <f>'Historical Financials'!AA46</f>
        <v>547858</v>
      </c>
      <c r="J47" s="191">
        <f>'Historical Financials'!AB46</f>
        <v>454674</v>
      </c>
      <c r="K47" s="191">
        <f>'Historical Financials'!AC46</f>
        <v>390176</v>
      </c>
      <c r="L47" s="191">
        <f>'Historical Financials'!AD46</f>
        <v>309922</v>
      </c>
      <c r="M47" s="191">
        <f>'Historical Financials'!AE46</f>
        <v>258566</v>
      </c>
      <c r="N47" s="191">
        <f>'Historical Financials'!AF46</f>
        <v>210781</v>
      </c>
      <c r="O47" s="191">
        <f>'Historical Financials'!AG46</f>
        <v>217545</v>
      </c>
      <c r="P47" s="191">
        <f>'Historical Financials'!AH46</f>
        <v>190505</v>
      </c>
      <c r="Q47" s="191">
        <f>'Historical Financials'!AI46</f>
        <v>157913</v>
      </c>
      <c r="R47" s="191">
        <f>'Historical Financials'!AJ46</f>
        <v>144873</v>
      </c>
      <c r="S47" s="191">
        <f>'Historical Financials'!AK46</f>
        <v>121732</v>
      </c>
      <c r="T47" s="191">
        <f>'Historical Financials'!AL46</f>
        <v>131913</v>
      </c>
      <c r="U47" s="191">
        <f>'Historical Financials'!AM46</f>
        <v>102143</v>
      </c>
      <c r="V47" s="191">
        <f>'Historical Financials'!AN46</f>
        <v>103497</v>
      </c>
      <c r="X47" s="11">
        <f t="shared" ref="X47:AH49" si="37">K47</f>
        <v>390176</v>
      </c>
      <c r="Y47" s="11">
        <f t="shared" si="37"/>
        <v>309922</v>
      </c>
      <c r="Z47" s="11">
        <f t="shared" si="37"/>
        <v>258566</v>
      </c>
      <c r="AA47" s="11">
        <f t="shared" si="37"/>
        <v>210781</v>
      </c>
      <c r="AB47" s="11">
        <f t="shared" si="37"/>
        <v>217545</v>
      </c>
      <c r="AC47" s="11">
        <f t="shared" si="37"/>
        <v>190505</v>
      </c>
      <c r="AD47" s="11">
        <f t="shared" si="37"/>
        <v>157913</v>
      </c>
      <c r="AE47" s="11">
        <f t="shared" si="37"/>
        <v>144873</v>
      </c>
      <c r="AF47" s="11">
        <f t="shared" si="37"/>
        <v>121732</v>
      </c>
      <c r="AG47" s="11">
        <f t="shared" si="37"/>
        <v>131913</v>
      </c>
      <c r="AH47" s="11">
        <f t="shared" si="37"/>
        <v>102143</v>
      </c>
      <c r="AI47" s="11">
        <f>V47</f>
        <v>103497</v>
      </c>
    </row>
    <row r="48" spans="1:37" ht="12.75" customHeight="1">
      <c r="B48" s="8" t="s">
        <v>594</v>
      </c>
      <c r="C48" s="191">
        <f>'Historical Financials'!E47</f>
        <v>0</v>
      </c>
      <c r="D48" s="191">
        <f>'Historical Financials'!F47</f>
        <v>0</v>
      </c>
      <c r="E48" s="191">
        <f>'Historical Financials'!G47</f>
        <v>0</v>
      </c>
      <c r="F48" s="191">
        <f>'Historical Financials'!H47</f>
        <v>2830</v>
      </c>
      <c r="G48" s="191">
        <f>'Historical Financials'!I47</f>
        <v>1041</v>
      </c>
      <c r="H48" s="34"/>
      <c r="I48" s="191">
        <f>'Historical Financials'!AA47</f>
        <v>0</v>
      </c>
      <c r="J48" s="191">
        <f>'Historical Financials'!AB47</f>
        <v>0</v>
      </c>
      <c r="K48" s="191">
        <f>'Historical Financials'!AC47</f>
        <v>0</v>
      </c>
      <c r="L48" s="191">
        <f>'Historical Financials'!AD47</f>
        <v>0</v>
      </c>
      <c r="M48" s="191">
        <f>'Historical Financials'!AE47</f>
        <v>2426</v>
      </c>
      <c r="N48" s="191">
        <f>'Historical Financials'!AF47</f>
        <v>2552</v>
      </c>
      <c r="O48" s="191">
        <f>'Historical Financials'!AG47</f>
        <v>2689</v>
      </c>
      <c r="P48" s="191">
        <f>'Historical Financials'!AH47</f>
        <v>2830</v>
      </c>
      <c r="Q48" s="191">
        <f>'Historical Financials'!AI47</f>
        <v>2971</v>
      </c>
      <c r="R48" s="191">
        <f>'Historical Financials'!AJ47</f>
        <v>536</v>
      </c>
      <c r="S48" s="191">
        <f>'Historical Financials'!AK47</f>
        <v>558</v>
      </c>
      <c r="T48" s="191">
        <f>'Historical Financials'!AL47</f>
        <v>1041</v>
      </c>
      <c r="U48" s="191">
        <f>'Historical Financials'!AM47</f>
        <v>1083</v>
      </c>
      <c r="V48" s="191">
        <f>'Historical Financials'!AN47</f>
        <v>1172</v>
      </c>
      <c r="X48" s="11">
        <f t="shared" si="37"/>
        <v>0</v>
      </c>
      <c r="Y48" s="11">
        <f t="shared" si="37"/>
        <v>0</v>
      </c>
      <c r="Z48" s="11">
        <f t="shared" si="37"/>
        <v>2426</v>
      </c>
      <c r="AA48" s="11">
        <f t="shared" si="37"/>
        <v>2552</v>
      </c>
      <c r="AB48" s="11">
        <f t="shared" si="37"/>
        <v>2689</v>
      </c>
      <c r="AC48" s="11">
        <f t="shared" si="37"/>
        <v>2830</v>
      </c>
      <c r="AD48" s="11">
        <f t="shared" si="37"/>
        <v>2971</v>
      </c>
      <c r="AE48" s="11">
        <f t="shared" si="37"/>
        <v>536</v>
      </c>
      <c r="AF48" s="11">
        <f t="shared" si="37"/>
        <v>558</v>
      </c>
      <c r="AG48" s="11">
        <f t="shared" si="37"/>
        <v>1041</v>
      </c>
      <c r="AH48" s="11">
        <f t="shared" si="37"/>
        <v>1083</v>
      </c>
      <c r="AI48" s="11">
        <f>V48</f>
        <v>1172</v>
      </c>
    </row>
    <row r="49" spans="2:35" ht="12.75" customHeight="1">
      <c r="B49" s="8" t="s">
        <v>595</v>
      </c>
      <c r="C49" s="191">
        <f>'Historical Financials'!E54</f>
        <v>0</v>
      </c>
      <c r="D49" s="191">
        <f>'Historical Financials'!F54</f>
        <v>0</v>
      </c>
      <c r="E49" s="191">
        <f>'Historical Financials'!G54</f>
        <v>12627</v>
      </c>
      <c r="F49" s="191">
        <f>'Historical Financials'!H54</f>
        <v>12600</v>
      </c>
      <c r="G49" s="191">
        <f>'Historical Financials'!I54</f>
        <v>12600</v>
      </c>
      <c r="H49" s="191"/>
      <c r="I49" s="191">
        <f>'Historical Financials'!AA54</f>
        <v>0</v>
      </c>
      <c r="J49" s="191">
        <f>'Historical Financials'!AB54</f>
        <v>0</v>
      </c>
      <c r="K49" s="191">
        <f>'Historical Financials'!AC54</f>
        <v>0</v>
      </c>
      <c r="L49" s="191">
        <f>'Historical Financials'!AD54</f>
        <v>12627</v>
      </c>
      <c r="M49" s="191">
        <f>'Historical Financials'!AE54</f>
        <v>12600</v>
      </c>
      <c r="N49" s="191">
        <f>'Historical Financials'!AF54</f>
        <v>12600</v>
      </c>
      <c r="O49" s="191">
        <f>'Historical Financials'!AG54</f>
        <v>12600</v>
      </c>
      <c r="P49" s="191">
        <f>'Historical Financials'!AH54</f>
        <v>12600</v>
      </c>
      <c r="Q49" s="191">
        <f>'Historical Financials'!AI54</f>
        <v>12600</v>
      </c>
      <c r="R49" s="191">
        <f>'Historical Financials'!AJ54</f>
        <v>12600</v>
      </c>
      <c r="S49" s="191">
        <f>'Historical Financials'!AK54</f>
        <v>12600</v>
      </c>
      <c r="T49" s="191">
        <f>'Historical Financials'!AL54</f>
        <v>12600</v>
      </c>
      <c r="U49" s="191">
        <f>'Historical Financials'!AM54</f>
        <v>12600</v>
      </c>
      <c r="V49" s="191">
        <f>'Historical Financials'!AN54</f>
        <v>12600</v>
      </c>
      <c r="X49" s="11">
        <f t="shared" si="37"/>
        <v>0</v>
      </c>
      <c r="Y49" s="11">
        <f t="shared" si="37"/>
        <v>12627</v>
      </c>
      <c r="Z49" s="11">
        <f t="shared" si="37"/>
        <v>12600</v>
      </c>
      <c r="AA49" s="11">
        <f t="shared" si="37"/>
        <v>12600</v>
      </c>
      <c r="AB49" s="11">
        <f t="shared" si="37"/>
        <v>12600</v>
      </c>
      <c r="AC49" s="11">
        <f t="shared" si="37"/>
        <v>12600</v>
      </c>
      <c r="AD49" s="11">
        <f t="shared" si="37"/>
        <v>12600</v>
      </c>
      <c r="AE49" s="11">
        <f t="shared" si="37"/>
        <v>12600</v>
      </c>
      <c r="AF49" s="11">
        <f t="shared" si="37"/>
        <v>12600</v>
      </c>
      <c r="AG49" s="11">
        <f t="shared" si="37"/>
        <v>12600</v>
      </c>
      <c r="AH49" s="11">
        <f t="shared" si="37"/>
        <v>12600</v>
      </c>
      <c r="AI49" s="11">
        <f>V49</f>
        <v>12600</v>
      </c>
    </row>
    <row r="50" spans="2:35" ht="12.75" customHeight="1">
      <c r="B50" s="33" t="s">
        <v>621</v>
      </c>
      <c r="C50" s="545">
        <f>150000-C66-C52</f>
        <v>112500</v>
      </c>
      <c r="D50" s="545">
        <v>0</v>
      </c>
      <c r="E50" s="545">
        <v>0</v>
      </c>
      <c r="F50" s="545">
        <v>0</v>
      </c>
      <c r="G50" s="545">
        <v>0</v>
      </c>
      <c r="H50" s="191"/>
      <c r="I50" s="91">
        <v>0</v>
      </c>
      <c r="J50" s="91">
        <v>0</v>
      </c>
      <c r="K50" s="91">
        <v>0</v>
      </c>
      <c r="L50" s="545">
        <f>E50</f>
        <v>0</v>
      </c>
      <c r="M50" s="91">
        <v>0</v>
      </c>
      <c r="N50" s="91">
        <v>0</v>
      </c>
      <c r="O50" s="91">
        <v>0</v>
      </c>
      <c r="P50" s="545">
        <f>F50</f>
        <v>0</v>
      </c>
      <c r="Q50" s="91">
        <v>0</v>
      </c>
      <c r="R50" s="91">
        <v>0</v>
      </c>
      <c r="S50" s="91">
        <v>0</v>
      </c>
      <c r="T50" s="545">
        <f>G50</f>
        <v>0</v>
      </c>
      <c r="U50" s="91">
        <v>0</v>
      </c>
      <c r="V50" s="91">
        <v>0</v>
      </c>
      <c r="X50" s="11">
        <f t="shared" ref="X50:AH50" si="38">K50</f>
        <v>0</v>
      </c>
      <c r="Y50" s="11">
        <f t="shared" si="38"/>
        <v>0</v>
      </c>
      <c r="Z50" s="11">
        <f t="shared" si="38"/>
        <v>0</v>
      </c>
      <c r="AA50" s="11">
        <f t="shared" si="38"/>
        <v>0</v>
      </c>
      <c r="AB50" s="11">
        <f t="shared" si="38"/>
        <v>0</v>
      </c>
      <c r="AC50" s="11">
        <f t="shared" si="38"/>
        <v>0</v>
      </c>
      <c r="AD50" s="11">
        <f t="shared" si="38"/>
        <v>0</v>
      </c>
      <c r="AE50" s="11">
        <f t="shared" si="38"/>
        <v>0</v>
      </c>
      <c r="AF50" s="11">
        <f t="shared" si="38"/>
        <v>0</v>
      </c>
      <c r="AG50" s="11">
        <f t="shared" si="38"/>
        <v>0</v>
      </c>
      <c r="AH50" s="11">
        <f t="shared" si="38"/>
        <v>0</v>
      </c>
      <c r="AI50" s="11">
        <f>V50</f>
        <v>0</v>
      </c>
    </row>
    <row r="51" spans="2:35" ht="12.75" customHeight="1">
      <c r="B51" s="14" t="s">
        <v>65</v>
      </c>
      <c r="C51" s="15">
        <f>SUM(C47:C50)</f>
        <v>271627</v>
      </c>
      <c r="D51" s="15">
        <f>SUM(D47:D50)</f>
        <v>733294</v>
      </c>
      <c r="E51" s="15">
        <f>SUM(E47:E50)</f>
        <v>322549</v>
      </c>
      <c r="F51" s="15">
        <f>SUM(F47:F50)</f>
        <v>205935</v>
      </c>
      <c r="G51" s="15">
        <f>SUM(G47:G50)</f>
        <v>145554</v>
      </c>
      <c r="H51" s="34"/>
      <c r="I51" s="15">
        <f t="shared" ref="I51:V51" si="39">SUM(I47:I50)</f>
        <v>547858</v>
      </c>
      <c r="J51" s="15">
        <f t="shared" si="39"/>
        <v>454674</v>
      </c>
      <c r="K51" s="15">
        <f t="shared" si="39"/>
        <v>390176</v>
      </c>
      <c r="L51" s="15">
        <f t="shared" si="39"/>
        <v>322549</v>
      </c>
      <c r="M51" s="15">
        <f t="shared" si="39"/>
        <v>273592</v>
      </c>
      <c r="N51" s="15">
        <f t="shared" si="39"/>
        <v>225933</v>
      </c>
      <c r="O51" s="15">
        <f t="shared" si="39"/>
        <v>232834</v>
      </c>
      <c r="P51" s="15">
        <f t="shared" si="39"/>
        <v>205935</v>
      </c>
      <c r="Q51" s="15">
        <f t="shared" si="39"/>
        <v>173484</v>
      </c>
      <c r="R51" s="15">
        <f t="shared" si="39"/>
        <v>158009</v>
      </c>
      <c r="S51" s="15">
        <f t="shared" si="39"/>
        <v>134890</v>
      </c>
      <c r="T51" s="15">
        <f t="shared" si="39"/>
        <v>145554</v>
      </c>
      <c r="U51" s="15">
        <f t="shared" si="39"/>
        <v>115826</v>
      </c>
      <c r="V51" s="15">
        <f t="shared" si="39"/>
        <v>117269</v>
      </c>
      <c r="X51" s="15">
        <f t="shared" ref="X51:AI51" si="40">SUM(X47:X49)</f>
        <v>390176</v>
      </c>
      <c r="Y51" s="15">
        <f t="shared" si="40"/>
        <v>322549</v>
      </c>
      <c r="Z51" s="15">
        <f t="shared" si="40"/>
        <v>273592</v>
      </c>
      <c r="AA51" s="15">
        <f t="shared" si="40"/>
        <v>225933</v>
      </c>
      <c r="AB51" s="15">
        <f t="shared" si="40"/>
        <v>232834</v>
      </c>
      <c r="AC51" s="15">
        <f t="shared" si="40"/>
        <v>205935</v>
      </c>
      <c r="AD51" s="15">
        <f t="shared" si="40"/>
        <v>173484</v>
      </c>
      <c r="AE51" s="15">
        <f t="shared" si="40"/>
        <v>158009</v>
      </c>
      <c r="AF51" s="15">
        <f t="shared" si="40"/>
        <v>134890</v>
      </c>
      <c r="AG51" s="15">
        <f t="shared" si="40"/>
        <v>145554</v>
      </c>
      <c r="AH51" s="15">
        <f t="shared" si="40"/>
        <v>115826</v>
      </c>
      <c r="AI51" s="15">
        <f t="shared" si="40"/>
        <v>117269</v>
      </c>
    </row>
    <row r="52" spans="2:35" ht="12.75" customHeight="1">
      <c r="B52" s="17" t="s">
        <v>619</v>
      </c>
      <c r="C52" s="546">
        <v>12500</v>
      </c>
      <c r="D52" s="546" t="s">
        <v>48</v>
      </c>
      <c r="E52" s="546" t="s">
        <v>48</v>
      </c>
      <c r="F52" s="546" t="s">
        <v>48</v>
      </c>
      <c r="G52" s="546" t="s">
        <v>48</v>
      </c>
      <c r="H52" s="34"/>
      <c r="I52" s="546" t="s">
        <v>48</v>
      </c>
      <c r="J52" s="546" t="s">
        <v>48</v>
      </c>
      <c r="K52" s="546" t="s">
        <v>48</v>
      </c>
      <c r="L52" s="546" t="s">
        <v>48</v>
      </c>
      <c r="M52" s="546" t="s">
        <v>48</v>
      </c>
      <c r="N52" s="546" t="s">
        <v>48</v>
      </c>
      <c r="O52" s="546" t="s">
        <v>48</v>
      </c>
      <c r="P52" s="546" t="s">
        <v>48</v>
      </c>
      <c r="Q52" s="546" t="s">
        <v>48</v>
      </c>
      <c r="R52" s="546" t="s">
        <v>48</v>
      </c>
      <c r="S52" s="546" t="s">
        <v>48</v>
      </c>
      <c r="T52" s="546" t="s">
        <v>48</v>
      </c>
      <c r="U52" s="546" t="s">
        <v>48</v>
      </c>
      <c r="V52" s="546" t="s">
        <v>48</v>
      </c>
      <c r="W52" s="546"/>
      <c r="X52" s="546" t="s">
        <v>48</v>
      </c>
      <c r="Y52" s="546" t="s">
        <v>48</v>
      </c>
      <c r="Z52" s="546" t="s">
        <v>48</v>
      </c>
      <c r="AA52" s="546" t="s">
        <v>48</v>
      </c>
      <c r="AB52" s="546" t="s">
        <v>48</v>
      </c>
      <c r="AC52" s="546" t="s">
        <v>48</v>
      </c>
      <c r="AD52" s="546" t="s">
        <v>48</v>
      </c>
      <c r="AE52" s="546" t="s">
        <v>48</v>
      </c>
      <c r="AF52" s="546" t="s">
        <v>48</v>
      </c>
      <c r="AG52" s="546" t="s">
        <v>48</v>
      </c>
      <c r="AH52" s="546" t="s">
        <v>48</v>
      </c>
      <c r="AI52" s="546" t="s">
        <v>48</v>
      </c>
    </row>
    <row r="53" spans="2:35" ht="5.0999999999999996" customHeight="1"/>
    <row r="54" spans="2:35" ht="12.75" customHeight="1">
      <c r="B54" s="37" t="s">
        <v>66</v>
      </c>
    </row>
    <row r="55" spans="2:35" ht="12.75" customHeight="1">
      <c r="B55" s="8" t="s">
        <v>67</v>
      </c>
      <c r="C55" s="191">
        <f>'Historical Financials'!E48</f>
        <v>35975</v>
      </c>
      <c r="D55" s="191">
        <f>'Historical Financials'!F48</f>
        <v>43806</v>
      </c>
      <c r="E55" s="191">
        <f>'Historical Financials'!G48</f>
        <v>34198</v>
      </c>
      <c r="F55" s="191">
        <f>'Historical Financials'!H48</f>
        <v>31730</v>
      </c>
      <c r="G55" s="191">
        <f>'Historical Financials'!I48</f>
        <v>26862</v>
      </c>
      <c r="I55" s="191">
        <f>'Historical Financials'!AA48</f>
        <v>52675</v>
      </c>
      <c r="J55" s="191">
        <f>'Historical Financials'!AB48</f>
        <v>77154</v>
      </c>
      <c r="K55" s="191">
        <f>'Historical Financials'!AC48</f>
        <v>34949</v>
      </c>
      <c r="L55" s="191">
        <f>'Historical Financials'!AD48</f>
        <v>34198</v>
      </c>
      <c r="M55" s="191">
        <f>'Historical Financials'!AE48</f>
        <v>42395</v>
      </c>
      <c r="N55" s="191">
        <f>'Historical Financials'!AF48</f>
        <v>50821</v>
      </c>
      <c r="O55" s="191">
        <f>'Historical Financials'!AG48</f>
        <v>35763</v>
      </c>
      <c r="P55" s="191">
        <f>'Historical Financials'!AH48</f>
        <v>31730</v>
      </c>
      <c r="Q55" s="191">
        <f>'Historical Financials'!AI48</f>
        <v>35648</v>
      </c>
      <c r="R55" s="191">
        <f>'Historical Financials'!AJ48</f>
        <v>34463</v>
      </c>
      <c r="S55" s="191">
        <f>'Historical Financials'!AK48</f>
        <v>34674</v>
      </c>
      <c r="T55" s="191">
        <f>'Historical Financials'!AL48</f>
        <v>26862</v>
      </c>
      <c r="U55" s="191">
        <f>'Historical Financials'!AM48</f>
        <v>33267</v>
      </c>
      <c r="V55" s="191">
        <f>'Historical Financials'!AN48</f>
        <v>37338</v>
      </c>
      <c r="W55" s="11"/>
      <c r="X55" s="11">
        <f t="shared" ref="X55:X60" si="41">K55</f>
        <v>34949</v>
      </c>
      <c r="Y55" s="11">
        <f t="shared" ref="Y55:Y60" si="42">L55</f>
        <v>34198</v>
      </c>
      <c r="Z55" s="11">
        <f t="shared" ref="Z55:Z60" si="43">M55</f>
        <v>42395</v>
      </c>
      <c r="AA55" s="11">
        <f t="shared" ref="AA55:AA60" si="44">N55</f>
        <v>50821</v>
      </c>
      <c r="AB55" s="11">
        <f t="shared" ref="AB55:AB60" si="45">O55</f>
        <v>35763</v>
      </c>
      <c r="AC55" s="11">
        <f t="shared" ref="AC55:AC60" si="46">P55</f>
        <v>31730</v>
      </c>
      <c r="AD55" s="11">
        <f t="shared" ref="AD55:AD60" si="47">Q55</f>
        <v>35648</v>
      </c>
      <c r="AE55" s="11">
        <f t="shared" ref="AE55:AE60" si="48">R55</f>
        <v>34463</v>
      </c>
      <c r="AF55" s="11">
        <f t="shared" ref="AF55:AF60" si="49">S55</f>
        <v>34674</v>
      </c>
      <c r="AG55" s="11">
        <f t="shared" ref="AG55:AG60" si="50">T55</f>
        <v>26862</v>
      </c>
      <c r="AH55" s="11">
        <f t="shared" ref="AH55:AH60" si="51">U55</f>
        <v>33267</v>
      </c>
      <c r="AI55" s="11">
        <f t="shared" ref="AI55:AI60" si="52">V55</f>
        <v>37338</v>
      </c>
    </row>
    <row r="56" spans="2:35" ht="12.75" customHeight="1">
      <c r="B56" s="8" t="s">
        <v>68</v>
      </c>
      <c r="C56" s="191">
        <f>'Historical Financials'!E63</f>
        <v>53071</v>
      </c>
      <c r="D56" s="191">
        <f>'Historical Financials'!F63</f>
        <v>69040</v>
      </c>
      <c r="E56" s="191">
        <f>'Historical Financials'!G63</f>
        <v>55300</v>
      </c>
      <c r="F56" s="191">
        <f>'Historical Financials'!H63</f>
        <v>56032</v>
      </c>
      <c r="G56" s="191">
        <f>'Historical Financials'!I63</f>
        <v>37571</v>
      </c>
      <c r="H56" s="191"/>
      <c r="I56" s="191">
        <f>'Historical Financials'!AA63</f>
        <v>67387</v>
      </c>
      <c r="J56" s="191">
        <f>'Historical Financials'!AB63</f>
        <v>74430</v>
      </c>
      <c r="K56" s="191">
        <f>'Historical Financials'!AC63</f>
        <v>68676</v>
      </c>
      <c r="L56" s="191">
        <f>'Historical Financials'!AD63</f>
        <v>55300</v>
      </c>
      <c r="M56" s="191">
        <f>'Historical Financials'!AE63</f>
        <v>41131</v>
      </c>
      <c r="N56" s="191">
        <f>'Historical Financials'!AF63</f>
        <v>39508</v>
      </c>
      <c r="O56" s="191">
        <f>'Historical Financials'!AG63</f>
        <v>61861</v>
      </c>
      <c r="P56" s="191">
        <f>'Historical Financials'!AH63</f>
        <v>56032</v>
      </c>
      <c r="Q56" s="191">
        <f>'Historical Financials'!AI63</f>
        <v>55836</v>
      </c>
      <c r="R56" s="191">
        <f>'Historical Financials'!AJ63</f>
        <v>59449</v>
      </c>
      <c r="S56" s="191">
        <f>'Historical Financials'!AK63</f>
        <v>59633</v>
      </c>
      <c r="T56" s="191">
        <f>'Historical Financials'!AL63</f>
        <v>37571</v>
      </c>
      <c r="U56" s="191">
        <f>'Historical Financials'!AM63</f>
        <v>50512</v>
      </c>
      <c r="V56" s="191">
        <f>'Historical Financials'!AN63</f>
        <v>68837</v>
      </c>
      <c r="X56" s="11">
        <f t="shared" si="41"/>
        <v>68676</v>
      </c>
      <c r="Y56" s="11">
        <f t="shared" si="42"/>
        <v>55300</v>
      </c>
      <c r="Z56" s="11">
        <f t="shared" si="43"/>
        <v>41131</v>
      </c>
      <c r="AA56" s="11">
        <f t="shared" si="44"/>
        <v>39508</v>
      </c>
      <c r="AB56" s="11">
        <f t="shared" si="45"/>
        <v>61861</v>
      </c>
      <c r="AC56" s="11">
        <f t="shared" si="46"/>
        <v>56032</v>
      </c>
      <c r="AD56" s="11">
        <f t="shared" si="47"/>
        <v>55836</v>
      </c>
      <c r="AE56" s="11">
        <f t="shared" si="48"/>
        <v>59449</v>
      </c>
      <c r="AF56" s="11">
        <f t="shared" si="49"/>
        <v>59633</v>
      </c>
      <c r="AG56" s="11">
        <f t="shared" si="50"/>
        <v>37571</v>
      </c>
      <c r="AH56" s="11">
        <f t="shared" si="51"/>
        <v>50512</v>
      </c>
      <c r="AI56" s="11">
        <f t="shared" si="52"/>
        <v>68837</v>
      </c>
    </row>
    <row r="57" spans="2:35" ht="12.75" customHeight="1">
      <c r="B57" s="8" t="s">
        <v>16</v>
      </c>
      <c r="C57" s="191">
        <f>'Historical Financials'!E49</f>
        <v>121717</v>
      </c>
      <c r="D57" s="191">
        <f>'Historical Financials'!F49</f>
        <v>241870</v>
      </c>
      <c r="E57" s="191">
        <f>'Historical Financials'!G49</f>
        <v>235696</v>
      </c>
      <c r="F57" s="191">
        <f>'Historical Financials'!H49</f>
        <v>130336</v>
      </c>
      <c r="G57" s="191">
        <f>'Historical Financials'!I49</f>
        <v>113444</v>
      </c>
      <c r="H57" s="191"/>
      <c r="I57" s="191">
        <f>'Historical Financials'!AA49</f>
        <v>283754</v>
      </c>
      <c r="J57" s="191">
        <f>'Historical Financials'!AB49</f>
        <v>254653</v>
      </c>
      <c r="K57" s="191">
        <f>'Historical Financials'!AC49</f>
        <v>246987</v>
      </c>
      <c r="L57" s="191">
        <f>'Historical Financials'!AD49</f>
        <v>235696</v>
      </c>
      <c r="M57" s="191">
        <f>'Historical Financials'!AE49</f>
        <v>222370</v>
      </c>
      <c r="N57" s="191">
        <f>'Historical Financials'!AF49</f>
        <v>207138</v>
      </c>
      <c r="O57" s="191">
        <f>'Historical Financials'!AG49</f>
        <v>194570</v>
      </c>
      <c r="P57" s="191">
        <f>'Historical Financials'!AH49</f>
        <v>130336</v>
      </c>
      <c r="Q57" s="191">
        <f>'Historical Financials'!AI49</f>
        <v>122538</v>
      </c>
      <c r="R57" s="191">
        <f>'Historical Financials'!AJ49</f>
        <v>119532</v>
      </c>
      <c r="S57" s="191">
        <f>'Historical Financials'!AK49</f>
        <v>125158</v>
      </c>
      <c r="T57" s="191">
        <f>'Historical Financials'!AL49</f>
        <v>113444</v>
      </c>
      <c r="U57" s="191">
        <f>'Historical Financials'!AM49</f>
        <v>100068</v>
      </c>
      <c r="V57" s="191">
        <f>'Historical Financials'!AN49</f>
        <v>110868</v>
      </c>
      <c r="X57" s="11">
        <f t="shared" si="41"/>
        <v>246987</v>
      </c>
      <c r="Y57" s="11">
        <f t="shared" si="42"/>
        <v>235696</v>
      </c>
      <c r="Z57" s="11">
        <f t="shared" si="43"/>
        <v>222370</v>
      </c>
      <c r="AA57" s="11">
        <f t="shared" si="44"/>
        <v>207138</v>
      </c>
      <c r="AB57" s="11">
        <f t="shared" si="45"/>
        <v>194570</v>
      </c>
      <c r="AC57" s="11">
        <f t="shared" si="46"/>
        <v>130336</v>
      </c>
      <c r="AD57" s="11">
        <f t="shared" si="47"/>
        <v>122538</v>
      </c>
      <c r="AE57" s="11">
        <f t="shared" si="48"/>
        <v>119532</v>
      </c>
      <c r="AF57" s="11">
        <f t="shared" si="49"/>
        <v>125158</v>
      </c>
      <c r="AG57" s="11">
        <f t="shared" si="50"/>
        <v>113444</v>
      </c>
      <c r="AH57" s="11">
        <f t="shared" si="51"/>
        <v>100068</v>
      </c>
      <c r="AI57" s="11">
        <f t="shared" si="52"/>
        <v>110868</v>
      </c>
    </row>
    <row r="58" spans="2:35" ht="12.75" customHeight="1">
      <c r="B58" s="8" t="s">
        <v>69</v>
      </c>
      <c r="C58" s="191">
        <f>'Historical Financials'!E56</f>
        <v>115299</v>
      </c>
      <c r="D58" s="191">
        <f>'Historical Financials'!F56</f>
        <v>226489</v>
      </c>
      <c r="E58" s="191">
        <f>'Historical Financials'!G56</f>
        <v>257002</v>
      </c>
      <c r="F58" s="191">
        <f>'Historical Financials'!H56</f>
        <v>194046</v>
      </c>
      <c r="G58" s="191">
        <f>'Historical Financials'!I56</f>
        <v>184887</v>
      </c>
      <c r="H58" s="191"/>
      <c r="I58" s="191">
        <f>'Historical Financials'!AA56</f>
        <v>241389</v>
      </c>
      <c r="J58" s="191">
        <f>'Historical Financials'!AB56</f>
        <v>258075</v>
      </c>
      <c r="K58" s="191">
        <f>'Historical Financials'!AC56</f>
        <v>262595</v>
      </c>
      <c r="L58" s="191">
        <f>'Historical Financials'!AD56</f>
        <v>257002</v>
      </c>
      <c r="M58" s="191">
        <f>'Historical Financials'!AE56</f>
        <v>251218</v>
      </c>
      <c r="N58" s="191">
        <f>'Historical Financials'!AF56</f>
        <v>250335</v>
      </c>
      <c r="O58" s="191">
        <f>'Historical Financials'!AG56</f>
        <v>245373</v>
      </c>
      <c r="P58" s="191">
        <f>'Historical Financials'!AH56</f>
        <v>194046</v>
      </c>
      <c r="Q58" s="191">
        <f>'Historical Financials'!AI56</f>
        <v>190896</v>
      </c>
      <c r="R58" s="191">
        <f>'Historical Financials'!AJ56</f>
        <v>186584</v>
      </c>
      <c r="S58" s="191">
        <f>'Historical Financials'!AK56</f>
        <v>188115</v>
      </c>
      <c r="T58" s="191">
        <f>'Historical Financials'!AL56</f>
        <v>184887</v>
      </c>
      <c r="U58" s="191">
        <f>'Historical Financials'!AM56</f>
        <v>180781</v>
      </c>
      <c r="V58" s="191">
        <f>'Historical Financials'!AN56</f>
        <v>320988</v>
      </c>
      <c r="X58" s="11">
        <f t="shared" si="41"/>
        <v>262595</v>
      </c>
      <c r="Y58" s="11">
        <f t="shared" si="42"/>
        <v>257002</v>
      </c>
      <c r="Z58" s="11">
        <f t="shared" si="43"/>
        <v>251218</v>
      </c>
      <c r="AA58" s="11">
        <f t="shared" si="44"/>
        <v>250335</v>
      </c>
      <c r="AB58" s="11">
        <f t="shared" si="45"/>
        <v>245373</v>
      </c>
      <c r="AC58" s="11">
        <f t="shared" si="46"/>
        <v>194046</v>
      </c>
      <c r="AD58" s="11">
        <f t="shared" si="47"/>
        <v>190896</v>
      </c>
      <c r="AE58" s="11">
        <f t="shared" si="48"/>
        <v>186584</v>
      </c>
      <c r="AF58" s="11">
        <f t="shared" si="49"/>
        <v>188115</v>
      </c>
      <c r="AG58" s="11">
        <f t="shared" si="50"/>
        <v>184887</v>
      </c>
      <c r="AH58" s="11">
        <f t="shared" si="51"/>
        <v>180781</v>
      </c>
      <c r="AI58" s="11">
        <f t="shared" si="52"/>
        <v>320988</v>
      </c>
    </row>
    <row r="59" spans="2:35" ht="12.75" customHeight="1">
      <c r="B59" s="8" t="s">
        <v>70</v>
      </c>
      <c r="C59" s="191">
        <f>'Historical Financials'!E51</f>
        <v>332226</v>
      </c>
      <c r="D59" s="191">
        <f>'Historical Financials'!F51</f>
        <v>1052048</v>
      </c>
      <c r="E59" s="191">
        <f>'Historical Financials'!G51</f>
        <v>606459</v>
      </c>
      <c r="F59" s="191">
        <f>'Historical Financials'!H51</f>
        <v>372844</v>
      </c>
      <c r="G59" s="191">
        <f>'Historical Financials'!I51</f>
        <v>286456</v>
      </c>
      <c r="H59" s="191"/>
      <c r="I59" s="191">
        <f>'Historical Financials'!AA51</f>
        <v>917297</v>
      </c>
      <c r="J59" s="191">
        <f>'Historical Financials'!AB51</f>
        <v>819510</v>
      </c>
      <c r="K59" s="191">
        <f>'Historical Financials'!AC51</f>
        <v>695980</v>
      </c>
      <c r="L59" s="191">
        <f>'Historical Financials'!AD51</f>
        <v>606459</v>
      </c>
      <c r="M59" s="191">
        <f>'Historical Financials'!AE51</f>
        <v>547055</v>
      </c>
      <c r="N59" s="191">
        <f>'Historical Financials'!AF51</f>
        <v>497441</v>
      </c>
      <c r="O59" s="191">
        <f>'Historical Financials'!AG51</f>
        <v>471623</v>
      </c>
      <c r="P59" s="191">
        <f>'Historical Financials'!AH51</f>
        <v>372844</v>
      </c>
      <c r="Q59" s="191">
        <f>'Historical Financials'!AI51</f>
        <v>336503</v>
      </c>
      <c r="R59" s="191">
        <f>'Historical Financials'!AJ51</f>
        <v>317265</v>
      </c>
      <c r="S59" s="191">
        <f>'Historical Financials'!AK51</f>
        <v>297413</v>
      </c>
      <c r="T59" s="191">
        <f>'Historical Financials'!AL51</f>
        <v>286456</v>
      </c>
      <c r="U59" s="191">
        <f>'Historical Financials'!AM51</f>
        <v>257272</v>
      </c>
      <c r="V59" s="191">
        <f>'Historical Financials'!AN51</f>
        <v>297135</v>
      </c>
      <c r="X59" s="11">
        <f t="shared" si="41"/>
        <v>695980</v>
      </c>
      <c r="Y59" s="11">
        <f t="shared" si="42"/>
        <v>606459</v>
      </c>
      <c r="Z59" s="11">
        <f t="shared" si="43"/>
        <v>547055</v>
      </c>
      <c r="AA59" s="11">
        <f t="shared" si="44"/>
        <v>497441</v>
      </c>
      <c r="AB59" s="11">
        <f t="shared" si="45"/>
        <v>471623</v>
      </c>
      <c r="AC59" s="11">
        <f t="shared" si="46"/>
        <v>372844</v>
      </c>
      <c r="AD59" s="11">
        <f t="shared" si="47"/>
        <v>336503</v>
      </c>
      <c r="AE59" s="11">
        <f t="shared" si="48"/>
        <v>317265</v>
      </c>
      <c r="AF59" s="11">
        <f t="shared" si="49"/>
        <v>297413</v>
      </c>
      <c r="AG59" s="11">
        <f t="shared" si="50"/>
        <v>286456</v>
      </c>
      <c r="AH59" s="11">
        <f t="shared" si="51"/>
        <v>257272</v>
      </c>
      <c r="AI59" s="11">
        <f t="shared" si="52"/>
        <v>297135</v>
      </c>
    </row>
    <row r="60" spans="2:35" ht="12.75" customHeight="1">
      <c r="B60" s="8" t="s">
        <v>24</v>
      </c>
      <c r="C60" s="191">
        <f>'Historical Financials'!E75</f>
        <v>100909</v>
      </c>
      <c r="D60" s="191">
        <f>'Historical Financials'!F75</f>
        <v>1246904</v>
      </c>
      <c r="E60" s="191">
        <f>'Historical Financials'!G75</f>
        <v>1265772</v>
      </c>
      <c r="F60" s="191">
        <f>'Historical Financials'!H75</f>
        <v>1287818</v>
      </c>
      <c r="G60" s="191">
        <f>'Historical Financials'!I75</f>
        <v>1279354</v>
      </c>
      <c r="H60" s="191"/>
      <c r="I60" s="191">
        <f>'Historical Financials'!AA75</f>
        <v>1253529</v>
      </c>
      <c r="J60" s="191">
        <f>'Historical Financials'!AB75</f>
        <v>1266050</v>
      </c>
      <c r="K60" s="191">
        <f>'Historical Financials'!AC75</f>
        <v>1283331</v>
      </c>
      <c r="L60" s="191">
        <f>'Historical Financials'!AD75</f>
        <v>1265772</v>
      </c>
      <c r="M60" s="191">
        <f>'Historical Financials'!AE75</f>
        <v>1239711</v>
      </c>
      <c r="N60" s="191">
        <f>'Historical Financials'!AF75</f>
        <v>1267703</v>
      </c>
      <c r="O60" s="191">
        <f>'Historical Financials'!AG75</f>
        <v>1292114</v>
      </c>
      <c r="P60" s="191">
        <f>'Historical Financials'!AH75</f>
        <v>1287818</v>
      </c>
      <c r="Q60" s="191">
        <f>'Historical Financials'!AI75</f>
        <v>1296437</v>
      </c>
      <c r="R60" s="191">
        <f>'Historical Financials'!AJ75</f>
        <v>1301259</v>
      </c>
      <c r="S60" s="191">
        <f>'Historical Financials'!AK75</f>
        <v>1304862</v>
      </c>
      <c r="T60" s="191">
        <f>'Historical Financials'!AL75</f>
        <v>1279354</v>
      </c>
      <c r="U60" s="191">
        <f>'Historical Financials'!AM75</f>
        <v>1293361</v>
      </c>
      <c r="V60" s="191">
        <f>'Historical Financials'!AN75</f>
        <v>1368764</v>
      </c>
      <c r="X60" s="11">
        <f t="shared" si="41"/>
        <v>1283331</v>
      </c>
      <c r="Y60" s="11">
        <f t="shared" si="42"/>
        <v>1265772</v>
      </c>
      <c r="Z60" s="11">
        <f t="shared" si="43"/>
        <v>1239711</v>
      </c>
      <c r="AA60" s="11">
        <f t="shared" si="44"/>
        <v>1267703</v>
      </c>
      <c r="AB60" s="11">
        <f t="shared" si="45"/>
        <v>1292114</v>
      </c>
      <c r="AC60" s="11">
        <f t="shared" si="46"/>
        <v>1287818</v>
      </c>
      <c r="AD60" s="11">
        <f t="shared" si="47"/>
        <v>1296437</v>
      </c>
      <c r="AE60" s="11">
        <f t="shared" si="48"/>
        <v>1301259</v>
      </c>
      <c r="AF60" s="11">
        <f t="shared" si="49"/>
        <v>1304862</v>
      </c>
      <c r="AG60" s="11">
        <f t="shared" si="50"/>
        <v>1279354</v>
      </c>
      <c r="AH60" s="11">
        <f t="shared" si="51"/>
        <v>1293361</v>
      </c>
      <c r="AI60" s="11">
        <f t="shared" si="52"/>
        <v>1368764</v>
      </c>
    </row>
    <row r="61" spans="2:35" ht="5.0999999999999996" customHeight="1"/>
    <row r="62" spans="2:35" ht="12.75" customHeight="1">
      <c r="B62" s="37" t="s">
        <v>71</v>
      </c>
    </row>
    <row r="63" spans="2:35" ht="12.75" customHeight="1">
      <c r="B63" s="8" t="s">
        <v>72</v>
      </c>
      <c r="C63" s="191">
        <f>+'Historical Financials'!E66+'Historical Financials'!E67</f>
        <v>25142</v>
      </c>
      <c r="D63" s="191">
        <f>+'Historical Financials'!F66+'Historical Financials'!F67</f>
        <v>364</v>
      </c>
      <c r="E63" s="191">
        <f>+'Historical Financials'!G66+'Historical Financials'!G67</f>
        <v>224</v>
      </c>
      <c r="F63" s="191">
        <f>+'Historical Financials'!H66+'Historical Financials'!H67</f>
        <v>196</v>
      </c>
      <c r="G63" s="191">
        <f>+'Historical Financials'!I66+'Historical Financials'!I67</f>
        <v>851</v>
      </c>
      <c r="I63" s="191">
        <f>+'Historical Financials'!AA66+'Historical Financials'!AA67</f>
        <v>183</v>
      </c>
      <c r="J63" s="191">
        <f>+'Historical Financials'!AB66+'Historical Financials'!AB67</f>
        <v>210</v>
      </c>
      <c r="K63" s="191">
        <f>+'Historical Financials'!AC66+'Historical Financials'!AC67</f>
        <v>226</v>
      </c>
      <c r="L63" s="191">
        <f>+'Historical Financials'!AD66+'Historical Financials'!AD67</f>
        <v>224</v>
      </c>
      <c r="M63" s="191">
        <f>+'Historical Financials'!AE66+'Historical Financials'!AE67</f>
        <v>246</v>
      </c>
      <c r="N63" s="191">
        <f>+'Historical Financials'!AF66+'Historical Financials'!AF67</f>
        <v>218</v>
      </c>
      <c r="O63" s="191">
        <f>+'Historical Financials'!AG66+'Historical Financials'!AG67</f>
        <v>209</v>
      </c>
      <c r="P63" s="191">
        <f>+'Historical Financials'!AH66+'Historical Financials'!AH67</f>
        <v>196</v>
      </c>
      <c r="Q63" s="191">
        <f>+'Historical Financials'!AI66+'Historical Financials'!AI67</f>
        <v>763</v>
      </c>
      <c r="R63" s="191">
        <f>+'Historical Financials'!AJ66+'Historical Financials'!AJ67</f>
        <v>1005</v>
      </c>
      <c r="S63" s="191">
        <f>+'Historical Financials'!AK66+'Historical Financials'!AK67</f>
        <v>1140</v>
      </c>
      <c r="T63" s="191">
        <f>+'Historical Financials'!AL66+'Historical Financials'!AL67</f>
        <v>851</v>
      </c>
      <c r="U63" s="191">
        <f>+'Historical Financials'!AM66+'Historical Financials'!AM67</f>
        <v>829</v>
      </c>
      <c r="V63" s="191">
        <f>+'Historical Financials'!AN66+'Historical Financials'!AN67</f>
        <v>3934</v>
      </c>
      <c r="X63" s="11">
        <f t="shared" ref="X63:AI64" si="53">K63</f>
        <v>226</v>
      </c>
      <c r="Y63" s="11">
        <f t="shared" si="53"/>
        <v>224</v>
      </c>
      <c r="Z63" s="11">
        <f t="shared" si="53"/>
        <v>246</v>
      </c>
      <c r="AA63" s="11">
        <f t="shared" si="53"/>
        <v>218</v>
      </c>
      <c r="AB63" s="11">
        <f t="shared" si="53"/>
        <v>209</v>
      </c>
      <c r="AC63" s="11">
        <f t="shared" si="53"/>
        <v>196</v>
      </c>
      <c r="AD63" s="11">
        <f t="shared" si="53"/>
        <v>763</v>
      </c>
      <c r="AE63" s="11">
        <f t="shared" si="53"/>
        <v>1005</v>
      </c>
      <c r="AF63" s="11">
        <f t="shared" si="53"/>
        <v>1140</v>
      </c>
      <c r="AG63" s="11">
        <f t="shared" si="53"/>
        <v>851</v>
      </c>
      <c r="AH63" s="11">
        <f t="shared" si="53"/>
        <v>829</v>
      </c>
      <c r="AI63" s="11">
        <f t="shared" si="53"/>
        <v>3934</v>
      </c>
    </row>
    <row r="64" spans="2:35" ht="12.75" customHeight="1">
      <c r="B64" s="8" t="s">
        <v>73</v>
      </c>
      <c r="C64" s="191">
        <f>+'Historical Financials'!E71+'Historical Financials'!E72+'Historical Financials'!E73</f>
        <v>149</v>
      </c>
      <c r="D64" s="191">
        <f>+'Historical Financials'!F71+'Historical Financials'!F72+'Historical Financials'!F73</f>
        <v>1130116</v>
      </c>
      <c r="E64" s="191">
        <f>+'Historical Financials'!G71+'Historical Financials'!G72+'Historical Financials'!G73</f>
        <v>1134077</v>
      </c>
      <c r="F64" s="191">
        <f>+'Historical Financials'!H71+'Historical Financials'!H72+'Historical Financials'!H73</f>
        <v>1137816</v>
      </c>
      <c r="G64" s="191">
        <f>+'Historical Financials'!I71+'Historical Financials'!I72+'Historical Financials'!I73</f>
        <v>1144288</v>
      </c>
      <c r="I64" s="191">
        <f>+'Historical Financials'!AA71+'Historical Financials'!AA72+'Historical Financials'!AA73</f>
        <v>1131053</v>
      </c>
      <c r="J64" s="191">
        <f>+'Historical Financials'!AB71+'Historical Financials'!AB72+'Historical Financials'!AB73</f>
        <v>1135380</v>
      </c>
      <c r="K64" s="191">
        <f>+'Historical Financials'!AC71+'Historical Financials'!AC72+'Historical Financials'!AC73</f>
        <v>1136171</v>
      </c>
      <c r="L64" s="191">
        <f>+'Historical Financials'!AD71+'Historical Financials'!AD72+'Historical Financials'!AD73</f>
        <v>1134077</v>
      </c>
      <c r="M64" s="191">
        <f>+'Historical Financials'!AE71+'Historical Financials'!AE72+'Historical Financials'!AE73</f>
        <v>1135007</v>
      </c>
      <c r="N64" s="191">
        <f>+'Historical Financials'!AF71+'Historical Financials'!AF72+'Historical Financials'!AF73</f>
        <v>1135937</v>
      </c>
      <c r="O64" s="191">
        <f>+'Historical Financials'!AG71+'Historical Financials'!AG72+'Historical Financials'!AG73</f>
        <v>1136874</v>
      </c>
      <c r="P64" s="191">
        <f>+'Historical Financials'!AH71+'Historical Financials'!AH72+'Historical Financials'!AH73</f>
        <v>1137816</v>
      </c>
      <c r="Q64" s="191">
        <f>+'Historical Financials'!AI71+'Historical Financials'!AI72+'Historical Financials'!AI73</f>
        <v>1142148</v>
      </c>
      <c r="R64" s="191">
        <f>+'Historical Financials'!AJ71+'Historical Financials'!AJ72+'Historical Financials'!AJ73</f>
        <v>1142857</v>
      </c>
      <c r="S64" s="191">
        <f>+'Historical Financials'!AK71+'Historical Financials'!AK72+'Historical Financials'!AK73</f>
        <v>1143765</v>
      </c>
      <c r="T64" s="191">
        <f>+'Historical Financials'!AL71+'Historical Financials'!AL72+'Historical Financials'!AL73</f>
        <v>1144288</v>
      </c>
      <c r="U64" s="191">
        <f>+'Historical Financials'!AM71+'Historical Financials'!AM72+'Historical Financials'!AM73</f>
        <v>1145312</v>
      </c>
      <c r="V64" s="191">
        <f>+'Historical Financials'!AN71+'Historical Financials'!AN72+'Historical Financials'!AN73</f>
        <v>1274136</v>
      </c>
      <c r="X64" s="11">
        <f t="shared" si="53"/>
        <v>1136171</v>
      </c>
      <c r="Y64" s="11">
        <f t="shared" si="53"/>
        <v>1134077</v>
      </c>
      <c r="Z64" s="11">
        <f t="shared" si="53"/>
        <v>1135007</v>
      </c>
      <c r="AA64" s="11">
        <f t="shared" si="53"/>
        <v>1135937</v>
      </c>
      <c r="AB64" s="11">
        <f t="shared" si="53"/>
        <v>1136874</v>
      </c>
      <c r="AC64" s="11">
        <f t="shared" si="53"/>
        <v>1137816</v>
      </c>
      <c r="AD64" s="11">
        <f t="shared" si="53"/>
        <v>1142148</v>
      </c>
      <c r="AE64" s="11">
        <f t="shared" si="53"/>
        <v>1142857</v>
      </c>
      <c r="AF64" s="11">
        <f t="shared" si="53"/>
        <v>1143765</v>
      </c>
      <c r="AG64" s="11">
        <f t="shared" si="53"/>
        <v>1144288</v>
      </c>
      <c r="AH64" s="11">
        <f t="shared" si="53"/>
        <v>1145312</v>
      </c>
      <c r="AI64" s="11">
        <f t="shared" si="53"/>
        <v>1274136</v>
      </c>
    </row>
    <row r="65" spans="1:35">
      <c r="G65" s="11"/>
    </row>
    <row r="66" spans="1:35" ht="12.75" customHeight="1">
      <c r="B66" s="33" t="s">
        <v>621</v>
      </c>
      <c r="C66" s="91">
        <v>25000</v>
      </c>
      <c r="D66" s="91">
        <v>0</v>
      </c>
      <c r="E66" s="91">
        <v>0</v>
      </c>
      <c r="F66" s="91">
        <v>0</v>
      </c>
      <c r="G66" s="91">
        <v>0</v>
      </c>
      <c r="I66" s="91">
        <v>0</v>
      </c>
      <c r="J66" s="91">
        <v>0</v>
      </c>
      <c r="K66" s="91">
        <v>0</v>
      </c>
      <c r="L66" s="545">
        <f>E66</f>
        <v>0</v>
      </c>
      <c r="M66" s="91">
        <v>0</v>
      </c>
      <c r="N66" s="91">
        <v>0</v>
      </c>
      <c r="O66" s="91">
        <v>0</v>
      </c>
      <c r="P66" s="545">
        <f>F66</f>
        <v>0</v>
      </c>
      <c r="Q66" s="91">
        <v>0</v>
      </c>
      <c r="R66" s="91">
        <v>0</v>
      </c>
      <c r="S66" s="91">
        <v>0</v>
      </c>
      <c r="T66" s="545">
        <f>G66</f>
        <v>0</v>
      </c>
      <c r="U66" s="91">
        <v>0</v>
      </c>
      <c r="V66" s="91">
        <v>0</v>
      </c>
      <c r="X66" s="11">
        <f t="shared" ref="X66:AI69" si="54">K66</f>
        <v>0</v>
      </c>
      <c r="Y66" s="11">
        <f t="shared" si="54"/>
        <v>0</v>
      </c>
      <c r="Z66" s="11">
        <f t="shared" si="54"/>
        <v>0</v>
      </c>
      <c r="AA66" s="11">
        <f t="shared" si="54"/>
        <v>0</v>
      </c>
      <c r="AB66" s="11">
        <f t="shared" si="54"/>
        <v>0</v>
      </c>
      <c r="AC66" s="11">
        <f t="shared" si="54"/>
        <v>0</v>
      </c>
      <c r="AD66" s="11">
        <f t="shared" si="54"/>
        <v>0</v>
      </c>
      <c r="AE66" s="11">
        <f t="shared" si="54"/>
        <v>0</v>
      </c>
      <c r="AF66" s="11">
        <f t="shared" si="54"/>
        <v>0</v>
      </c>
      <c r="AG66" s="11">
        <f t="shared" si="54"/>
        <v>0</v>
      </c>
      <c r="AH66" s="11">
        <f t="shared" si="54"/>
        <v>0</v>
      </c>
      <c r="AI66" s="11">
        <f t="shared" si="54"/>
        <v>0</v>
      </c>
    </row>
    <row r="67" spans="1:35" ht="12.75" customHeight="1">
      <c r="B67" s="33" t="s">
        <v>620</v>
      </c>
      <c r="C67" s="91">
        <v>0</v>
      </c>
      <c r="D67" s="91">
        <v>1129674</v>
      </c>
      <c r="E67" s="91">
        <v>1133608</v>
      </c>
      <c r="F67" s="91">
        <v>1137542</v>
      </c>
      <c r="G67" s="91">
        <v>1141476</v>
      </c>
      <c r="I67" s="91">
        <v>1130657</v>
      </c>
      <c r="J67" s="91">
        <v>1131641</v>
      </c>
      <c r="K67" s="91">
        <v>1132624</v>
      </c>
      <c r="L67" s="545">
        <f>E67</f>
        <v>1133608</v>
      </c>
      <c r="M67" s="91">
        <v>1134591</v>
      </c>
      <c r="N67" s="91">
        <v>1135575</v>
      </c>
      <c r="O67" s="91">
        <v>1136558</v>
      </c>
      <c r="P67" s="545">
        <f>F67</f>
        <v>1137542</v>
      </c>
      <c r="Q67" s="91">
        <v>1138525</v>
      </c>
      <c r="R67" s="91">
        <v>1139509</v>
      </c>
      <c r="S67" s="91">
        <v>1140493</v>
      </c>
      <c r="T67" s="545">
        <f>G67</f>
        <v>1141476</v>
      </c>
      <c r="U67" s="91">
        <v>1142460</v>
      </c>
      <c r="V67" s="91">
        <v>1143443</v>
      </c>
      <c r="X67" s="11">
        <f t="shared" si="54"/>
        <v>1132624</v>
      </c>
      <c r="Y67" s="11">
        <f t="shared" si="54"/>
        <v>1133608</v>
      </c>
      <c r="Z67" s="11">
        <f t="shared" si="54"/>
        <v>1134591</v>
      </c>
      <c r="AA67" s="11">
        <f t="shared" si="54"/>
        <v>1135575</v>
      </c>
      <c r="AB67" s="11">
        <f t="shared" si="54"/>
        <v>1136558</v>
      </c>
      <c r="AC67" s="11">
        <f t="shared" si="54"/>
        <v>1137542</v>
      </c>
      <c r="AD67" s="11">
        <f t="shared" si="54"/>
        <v>1138525</v>
      </c>
      <c r="AE67" s="11">
        <f t="shared" si="54"/>
        <v>1139509</v>
      </c>
      <c r="AF67" s="11">
        <f t="shared" si="54"/>
        <v>1140493</v>
      </c>
      <c r="AG67" s="11">
        <f t="shared" si="54"/>
        <v>1141476</v>
      </c>
      <c r="AH67" s="11">
        <f t="shared" si="54"/>
        <v>1142460</v>
      </c>
      <c r="AI67" s="11">
        <f t="shared" si="54"/>
        <v>1143443</v>
      </c>
    </row>
    <row r="68" spans="1:35" ht="12.75" customHeight="1">
      <c r="B68" s="33" t="s">
        <v>625</v>
      </c>
      <c r="C68" s="91">
        <v>0</v>
      </c>
      <c r="D68" s="91">
        <v>0</v>
      </c>
      <c r="E68" s="91">
        <v>0</v>
      </c>
      <c r="F68" s="91">
        <v>0</v>
      </c>
      <c r="G68" s="91">
        <v>0</v>
      </c>
      <c r="I68" s="91">
        <v>0</v>
      </c>
      <c r="J68" s="91">
        <v>0</v>
      </c>
      <c r="K68" s="91">
        <v>0</v>
      </c>
      <c r="L68" s="545">
        <f>E68</f>
        <v>0</v>
      </c>
      <c r="M68" s="91">
        <v>0</v>
      </c>
      <c r="N68" s="91">
        <v>0</v>
      </c>
      <c r="O68" s="91">
        <v>0</v>
      </c>
      <c r="P68" s="545">
        <f>F68</f>
        <v>0</v>
      </c>
      <c r="Q68" s="91">
        <v>0</v>
      </c>
      <c r="R68" s="91">
        <v>0</v>
      </c>
      <c r="S68" s="91">
        <v>0</v>
      </c>
      <c r="T68" s="545">
        <f>G68</f>
        <v>0</v>
      </c>
      <c r="U68" s="91">
        <v>0</v>
      </c>
      <c r="V68" s="91">
        <v>30525</v>
      </c>
      <c r="X68" s="11">
        <f t="shared" si="54"/>
        <v>0</v>
      </c>
      <c r="Y68" s="11">
        <f t="shared" si="54"/>
        <v>0</v>
      </c>
      <c r="Z68" s="11">
        <f t="shared" si="54"/>
        <v>0</v>
      </c>
      <c r="AA68" s="11">
        <f t="shared" si="54"/>
        <v>0</v>
      </c>
      <c r="AB68" s="11">
        <f t="shared" si="54"/>
        <v>0</v>
      </c>
      <c r="AC68" s="11">
        <f t="shared" si="54"/>
        <v>0</v>
      </c>
      <c r="AD68" s="11">
        <f t="shared" si="54"/>
        <v>0</v>
      </c>
      <c r="AE68" s="11">
        <f t="shared" si="54"/>
        <v>0</v>
      </c>
      <c r="AF68" s="11">
        <f t="shared" si="54"/>
        <v>0</v>
      </c>
      <c r="AG68" s="11">
        <f t="shared" si="54"/>
        <v>0</v>
      </c>
      <c r="AH68" s="11">
        <f t="shared" si="54"/>
        <v>0</v>
      </c>
      <c r="AI68" s="11">
        <f t="shared" si="54"/>
        <v>30525</v>
      </c>
    </row>
    <row r="69" spans="1:35" ht="12.75" customHeight="1">
      <c r="B69" s="33" t="s">
        <v>624</v>
      </c>
      <c r="C69" s="547">
        <f>+'Historical Financials'!E66+'Historical Financials'!E73</f>
        <v>220</v>
      </c>
      <c r="D69" s="547">
        <f>+'Historical Financials'!F66+'Historical Financials'!F73</f>
        <v>624</v>
      </c>
      <c r="E69" s="547">
        <f>+'Historical Financials'!G66+'Historical Financials'!G73</f>
        <v>693</v>
      </c>
      <c r="F69" s="547">
        <f>+'Historical Financials'!H66+'Historical Financials'!H73</f>
        <v>470</v>
      </c>
      <c r="G69" s="547">
        <f>+'Historical Financials'!I66+'Historical Financials'!I73</f>
        <v>3663</v>
      </c>
      <c r="I69" s="547">
        <f>+'Historical Financials'!AA66+'Historical Financials'!AA73</f>
        <v>579</v>
      </c>
      <c r="J69" s="547">
        <f>+'Historical Financials'!AB66+'Historical Financials'!AB73</f>
        <v>3949</v>
      </c>
      <c r="K69" s="547">
        <f>+'Historical Financials'!AC66+'Historical Financials'!AC73</f>
        <v>3773</v>
      </c>
      <c r="L69" s="547">
        <f>+'Historical Financials'!AD66+'Historical Financials'!AD73</f>
        <v>693</v>
      </c>
      <c r="M69" s="547">
        <f>+'Historical Financials'!AE66+'Historical Financials'!AE73</f>
        <v>662</v>
      </c>
      <c r="N69" s="547">
        <f>+'Historical Financials'!AF66+'Historical Financials'!AF73</f>
        <v>580</v>
      </c>
      <c r="O69" s="547">
        <f>+'Historical Financials'!AG66+'Historical Financials'!AG73</f>
        <v>525</v>
      </c>
      <c r="P69" s="547">
        <f>+'Historical Financials'!AH66+'Historical Financials'!AH73</f>
        <v>470</v>
      </c>
      <c r="Q69" s="547">
        <f>+'Historical Financials'!AI66+'Historical Financials'!AI73</f>
        <v>4386</v>
      </c>
      <c r="R69" s="547">
        <f>+'Historical Financials'!AJ66+'Historical Financials'!AJ73</f>
        <v>4353</v>
      </c>
      <c r="S69" s="547">
        <f>+'Historical Financials'!AK66+'Historical Financials'!AK73</f>
        <v>4413</v>
      </c>
      <c r="T69" s="547">
        <f>+'Historical Financials'!AL66+'Historical Financials'!AL73</f>
        <v>3663</v>
      </c>
      <c r="U69" s="547">
        <f>+'Historical Financials'!AM66+'Historical Financials'!AM73</f>
        <v>3682</v>
      </c>
      <c r="V69" s="547">
        <f>+'Historical Financials'!AN66+'Historical Financials'!AN73</f>
        <v>83959</v>
      </c>
      <c r="W69" s="547">
        <f>+'Historical Financials'!AO66+'Historical Financials'!AO73</f>
        <v>0</v>
      </c>
      <c r="X69" s="11">
        <f t="shared" si="54"/>
        <v>3773</v>
      </c>
      <c r="Y69" s="11">
        <f t="shared" si="54"/>
        <v>693</v>
      </c>
      <c r="Z69" s="11">
        <f t="shared" si="54"/>
        <v>662</v>
      </c>
      <c r="AA69" s="11">
        <f t="shared" si="54"/>
        <v>580</v>
      </c>
      <c r="AB69" s="11">
        <f t="shared" si="54"/>
        <v>525</v>
      </c>
      <c r="AC69" s="11">
        <f t="shared" si="54"/>
        <v>470</v>
      </c>
      <c r="AD69" s="11">
        <f t="shared" si="54"/>
        <v>4386</v>
      </c>
      <c r="AE69" s="11">
        <f t="shared" si="54"/>
        <v>4353</v>
      </c>
      <c r="AF69" s="11">
        <f t="shared" si="54"/>
        <v>4413</v>
      </c>
      <c r="AG69" s="11">
        <f t="shared" si="54"/>
        <v>3663</v>
      </c>
      <c r="AH69" s="11">
        <f t="shared" si="54"/>
        <v>3682</v>
      </c>
      <c r="AI69" s="11">
        <f t="shared" si="54"/>
        <v>83959</v>
      </c>
    </row>
    <row r="70" spans="1:35" ht="12.75" customHeight="1">
      <c r="B70" s="14" t="s">
        <v>35</v>
      </c>
      <c r="C70" s="15">
        <f>SUM(C66:C69)</f>
        <v>25220</v>
      </c>
      <c r="D70" s="15">
        <f>SUM(D66:D69)</f>
        <v>1130298</v>
      </c>
      <c r="E70" s="15">
        <f>SUM(E66:E69)</f>
        <v>1134301</v>
      </c>
      <c r="F70" s="15">
        <f>SUM(F66:F69)</f>
        <v>1138012</v>
      </c>
      <c r="G70" s="15">
        <f>SUM(G66:G69)</f>
        <v>1145139</v>
      </c>
      <c r="I70" s="15">
        <f t="shared" ref="I70:V70" si="55">SUM(I66:I69)</f>
        <v>1131236</v>
      </c>
      <c r="J70" s="15">
        <f t="shared" si="55"/>
        <v>1135590</v>
      </c>
      <c r="K70" s="15">
        <f t="shared" si="55"/>
        <v>1136397</v>
      </c>
      <c r="L70" s="15">
        <f t="shared" si="55"/>
        <v>1134301</v>
      </c>
      <c r="M70" s="15">
        <f t="shared" si="55"/>
        <v>1135253</v>
      </c>
      <c r="N70" s="15">
        <f t="shared" si="55"/>
        <v>1136155</v>
      </c>
      <c r="O70" s="15">
        <f t="shared" si="55"/>
        <v>1137083</v>
      </c>
      <c r="P70" s="15">
        <f t="shared" si="55"/>
        <v>1138012</v>
      </c>
      <c r="Q70" s="15">
        <f t="shared" si="55"/>
        <v>1142911</v>
      </c>
      <c r="R70" s="15">
        <f t="shared" si="55"/>
        <v>1143862</v>
      </c>
      <c r="S70" s="15">
        <f t="shared" si="55"/>
        <v>1144906</v>
      </c>
      <c r="T70" s="15">
        <f t="shared" si="55"/>
        <v>1145139</v>
      </c>
      <c r="U70" s="15">
        <f t="shared" si="55"/>
        <v>1146142</v>
      </c>
      <c r="V70" s="15">
        <f t="shared" si="55"/>
        <v>1257927</v>
      </c>
      <c r="X70" s="15">
        <f t="shared" ref="X70:AI70" si="56">SUM(X66:X69)</f>
        <v>1136397</v>
      </c>
      <c r="Y70" s="15">
        <f t="shared" si="56"/>
        <v>1134301</v>
      </c>
      <c r="Z70" s="15">
        <f t="shared" si="56"/>
        <v>1135253</v>
      </c>
      <c r="AA70" s="15">
        <f t="shared" si="56"/>
        <v>1136155</v>
      </c>
      <c r="AB70" s="15">
        <f t="shared" si="56"/>
        <v>1137083</v>
      </c>
      <c r="AC70" s="15">
        <f t="shared" si="56"/>
        <v>1138012</v>
      </c>
      <c r="AD70" s="15">
        <f t="shared" si="56"/>
        <v>1142911</v>
      </c>
      <c r="AE70" s="15">
        <f t="shared" si="56"/>
        <v>1143862</v>
      </c>
      <c r="AF70" s="15">
        <f t="shared" si="56"/>
        <v>1144906</v>
      </c>
      <c r="AG70" s="15">
        <f t="shared" si="56"/>
        <v>1145139</v>
      </c>
      <c r="AH70" s="15">
        <f t="shared" si="56"/>
        <v>1146142</v>
      </c>
      <c r="AI70" s="15">
        <f t="shared" si="56"/>
        <v>1257927</v>
      </c>
    </row>
    <row r="71" spans="1:35" ht="5.0999999999999996" customHeight="1"/>
    <row r="72" spans="1:35" ht="12.75" customHeight="1">
      <c r="B72" s="8" t="s">
        <v>74</v>
      </c>
      <c r="C72" s="191">
        <f>'Historical Financials'!E82</f>
        <v>367097</v>
      </c>
      <c r="D72" s="191">
        <f>'Historical Financials'!F82</f>
        <v>132495</v>
      </c>
      <c r="E72" s="191">
        <f>'Historical Financials'!G82</f>
        <v>-203548</v>
      </c>
      <c r="F72" s="191">
        <f>'Historical Financials'!H82</f>
        <v>-513368</v>
      </c>
      <c r="G72" s="191">
        <f>'Historical Financials'!I82</f>
        <v>-601208</v>
      </c>
      <c r="I72" s="191">
        <f>'Historical Financials'!AA82</f>
        <v>40981</v>
      </c>
      <c r="J72" s="191">
        <f>'Historical Financials'!AB82</f>
        <v>-47941</v>
      </c>
      <c r="K72" s="191">
        <f>'Historical Financials'!AC82</f>
        <v>-142044</v>
      </c>
      <c r="L72" s="191">
        <f>'Historical Financials'!AD82</f>
        <v>-203548</v>
      </c>
      <c r="M72" s="191">
        <f>'Historical Financials'!AE82</f>
        <v>-253134</v>
      </c>
      <c r="N72" s="191">
        <f>'Historical Financials'!AF82</f>
        <v>-299118</v>
      </c>
      <c r="O72" s="191">
        <f>'Historical Financials'!AG82</f>
        <v>-362906</v>
      </c>
      <c r="P72" s="191">
        <f>'Historical Financials'!AH82</f>
        <v>-513368</v>
      </c>
      <c r="Q72" s="191">
        <f>'Historical Financials'!AI82</f>
        <v>-561411</v>
      </c>
      <c r="R72" s="191">
        <f>'Historical Financials'!AJ82</f>
        <v>-590025</v>
      </c>
      <c r="S72" s="191">
        <f>'Historical Financials'!AK82</f>
        <v>-611924</v>
      </c>
      <c r="T72" s="191">
        <f>'Historical Financials'!AL82</f>
        <v>-601208</v>
      </c>
      <c r="U72" s="191">
        <f>'Historical Financials'!AM82</f>
        <v>-649531</v>
      </c>
      <c r="V72" s="191">
        <f>'Historical Financials'!AN82</f>
        <v>-677023</v>
      </c>
      <c r="X72" s="11">
        <f t="shared" ref="X72:AH72" si="57">K72</f>
        <v>-142044</v>
      </c>
      <c r="Y72" s="11">
        <f t="shared" si="57"/>
        <v>-203548</v>
      </c>
      <c r="Z72" s="11">
        <f t="shared" si="57"/>
        <v>-253134</v>
      </c>
      <c r="AA72" s="11">
        <f t="shared" si="57"/>
        <v>-299118</v>
      </c>
      <c r="AB72" s="11">
        <f t="shared" si="57"/>
        <v>-362906</v>
      </c>
      <c r="AC72" s="11">
        <f t="shared" si="57"/>
        <v>-513368</v>
      </c>
      <c r="AD72" s="11">
        <f t="shared" si="57"/>
        <v>-561411</v>
      </c>
      <c r="AE72" s="11">
        <f t="shared" si="57"/>
        <v>-590025</v>
      </c>
      <c r="AF72" s="11">
        <f t="shared" si="57"/>
        <v>-611924</v>
      </c>
      <c r="AG72" s="11">
        <f t="shared" si="57"/>
        <v>-601208</v>
      </c>
      <c r="AH72" s="11">
        <f t="shared" si="57"/>
        <v>-649531</v>
      </c>
      <c r="AI72" s="11">
        <f>V72</f>
        <v>-677023</v>
      </c>
    </row>
    <row r="73" spans="1:35" ht="12.75" customHeight="1">
      <c r="B73" s="14" t="s">
        <v>75</v>
      </c>
      <c r="C73" s="15">
        <f>SUM(C70:C72)</f>
        <v>392317</v>
      </c>
      <c r="D73" s="15">
        <f>SUM(D70:D72)</f>
        <v>1262793</v>
      </c>
      <c r="E73" s="15">
        <f>SUM(E70:E72)</f>
        <v>930753</v>
      </c>
      <c r="F73" s="15">
        <f>SUM(F70:F72)</f>
        <v>624644</v>
      </c>
      <c r="G73" s="15">
        <f>SUM(G70:G72)</f>
        <v>543931</v>
      </c>
      <c r="I73" s="15">
        <f t="shared" ref="I73:R73" si="58">SUM(I70:I72)</f>
        <v>1172217</v>
      </c>
      <c r="J73" s="15">
        <f t="shared" si="58"/>
        <v>1087649</v>
      </c>
      <c r="K73" s="15">
        <f t="shared" si="58"/>
        <v>994353</v>
      </c>
      <c r="L73" s="15">
        <f t="shared" si="58"/>
        <v>930753</v>
      </c>
      <c r="M73" s="15">
        <f t="shared" si="58"/>
        <v>882119</v>
      </c>
      <c r="N73" s="15">
        <f t="shared" si="58"/>
        <v>837037</v>
      </c>
      <c r="O73" s="15">
        <f t="shared" si="58"/>
        <v>774177</v>
      </c>
      <c r="P73" s="15">
        <f t="shared" si="58"/>
        <v>624644</v>
      </c>
      <c r="Q73" s="15">
        <f t="shared" si="58"/>
        <v>581500</v>
      </c>
      <c r="R73" s="15">
        <f t="shared" si="58"/>
        <v>553837</v>
      </c>
      <c r="S73" s="15">
        <f>SUM(S70:S72)</f>
        <v>532982</v>
      </c>
      <c r="T73" s="15">
        <f>SUM(T70:T72)</f>
        <v>543931</v>
      </c>
      <c r="U73" s="15">
        <f>SUM(U70:U72)</f>
        <v>496611</v>
      </c>
      <c r="V73" s="15">
        <f>SUM(V70:V72)</f>
        <v>580904</v>
      </c>
      <c r="X73" s="15">
        <f t="shared" ref="X73:AH73" si="59">SUM(X70:X72)</f>
        <v>994353</v>
      </c>
      <c r="Y73" s="15">
        <f t="shared" si="59"/>
        <v>930753</v>
      </c>
      <c r="Z73" s="15">
        <f t="shared" si="59"/>
        <v>882119</v>
      </c>
      <c r="AA73" s="15">
        <f t="shared" si="59"/>
        <v>837037</v>
      </c>
      <c r="AB73" s="15">
        <f t="shared" si="59"/>
        <v>774177</v>
      </c>
      <c r="AC73" s="15">
        <f t="shared" si="59"/>
        <v>624644</v>
      </c>
      <c r="AD73" s="15">
        <f t="shared" si="59"/>
        <v>581500</v>
      </c>
      <c r="AE73" s="15">
        <f t="shared" si="59"/>
        <v>553837</v>
      </c>
      <c r="AF73" s="15">
        <f t="shared" si="59"/>
        <v>532982</v>
      </c>
      <c r="AG73" s="15">
        <f t="shared" si="59"/>
        <v>543931</v>
      </c>
      <c r="AH73" s="15">
        <f t="shared" si="59"/>
        <v>496611</v>
      </c>
      <c r="AI73" s="15">
        <f>SUM(AI70:AI72)</f>
        <v>580904</v>
      </c>
    </row>
    <row r="74" spans="1:35" ht="5.0999999999999996" customHeight="1"/>
    <row r="75" spans="1:35" ht="12.75" customHeight="1">
      <c r="A75" s="5"/>
      <c r="B75" s="35" t="s">
        <v>111</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row>
    <row r="76" spans="1:35" ht="5.0999999999999996" customHeight="1"/>
    <row r="77" spans="1:35" ht="12.75" customHeight="1">
      <c r="B77" s="8" t="s">
        <v>76</v>
      </c>
      <c r="C77" s="93">
        <f>C70/C29</f>
        <v>6.1617395553383822</v>
      </c>
      <c r="D77" s="93">
        <f>D70/D29</f>
        <v>-12.827532202235714</v>
      </c>
      <c r="E77" s="93">
        <f>E70/E29</f>
        <v>-4.6907995401424234</v>
      </c>
      <c r="F77" s="93">
        <f>F70/F29</f>
        <v>-4.278755338988149</v>
      </c>
      <c r="G77" s="93">
        <f>G70/G29</f>
        <v>-11.273272297696398</v>
      </c>
      <c r="I77" s="39"/>
      <c r="J77" s="39"/>
      <c r="K77" s="39"/>
      <c r="L77" s="93">
        <f t="shared" ref="L77:V77" si="60">SUM(L70/SUM(I29:L29))</f>
        <v>-4.6907995401424234</v>
      </c>
      <c r="M77" s="93">
        <f t="shared" si="60"/>
        <v>-5.4389109271396263</v>
      </c>
      <c r="N77" s="93">
        <f t="shared" si="60"/>
        <v>-6.1013076282791401</v>
      </c>
      <c r="O77" s="93">
        <f t="shared" si="60"/>
        <v>-6.1292988205869037</v>
      </c>
      <c r="P77" s="93">
        <f t="shared" si="60"/>
        <v>-4.278755338988149</v>
      </c>
      <c r="Q77" s="93">
        <f t="shared" si="60"/>
        <v>-4.4507439902488795</v>
      </c>
      <c r="R77" s="93">
        <f t="shared" si="60"/>
        <v>-4.7818918342690644</v>
      </c>
      <c r="S77" s="93">
        <f t="shared" si="60"/>
        <v>-5.6802806140168087</v>
      </c>
      <c r="T77" s="93">
        <f t="shared" si="60"/>
        <v>-11.273272297696398</v>
      </c>
      <c r="U77" s="93">
        <f t="shared" si="60"/>
        <v>-10.467337004666794</v>
      </c>
      <c r="V77" s="93">
        <f t="shared" si="60"/>
        <v>-11.739321543558397</v>
      </c>
      <c r="X77" s="93">
        <f t="shared" ref="X77:AI77" si="61">X70/X29</f>
        <v>-5.3953310607427385</v>
      </c>
      <c r="Y77" s="93">
        <f t="shared" si="61"/>
        <v>-4.3783065004844195</v>
      </c>
      <c r="Z77" s="93">
        <f t="shared" si="61"/>
        <v>-5.0820011907586382</v>
      </c>
      <c r="AA77" s="93">
        <f t="shared" si="61"/>
        <v>-5.7857575711281202</v>
      </c>
      <c r="AB77" s="93">
        <f t="shared" si="61"/>
        <v>-6.0266755001987544</v>
      </c>
      <c r="AC77" s="93">
        <f t="shared" si="61"/>
        <v>-4.2889306806061729</v>
      </c>
      <c r="AD77" s="93">
        <f t="shared" si="61"/>
        <v>-4.3418061496615179</v>
      </c>
      <c r="AE77" s="93">
        <f t="shared" si="61"/>
        <v>-4.7818918342690644</v>
      </c>
      <c r="AF77" s="93">
        <f t="shared" si="61"/>
        <v>-5.6802806140168087</v>
      </c>
      <c r="AG77" s="93">
        <f t="shared" si="61"/>
        <v>-11.273272297696398</v>
      </c>
      <c r="AH77" s="93">
        <f t="shared" si="61"/>
        <v>-10.467337004666794</v>
      </c>
      <c r="AI77" s="93">
        <f t="shared" si="61"/>
        <v>-11.739321543558397</v>
      </c>
    </row>
    <row r="78" spans="1:35" ht="12.75" customHeight="1">
      <c r="B78" s="8" t="s">
        <v>77</v>
      </c>
      <c r="C78" s="93">
        <f>SUM(C70-C47)/C29</f>
        <v>-32.716100659662843</v>
      </c>
      <c r="D78" s="93">
        <f>SUM(D70-D47)/D29</f>
        <v>-4.5055211938943422</v>
      </c>
      <c r="E78" s="93">
        <f>SUM(E70-E47)/E29</f>
        <v>-3.4091450453654462</v>
      </c>
      <c r="F78" s="93">
        <f>SUM(F70-F47)/F29</f>
        <v>-3.5624849605967635</v>
      </c>
      <c r="G78" s="93">
        <f>SUM(G70-G47)/G29</f>
        <v>-9.974660366213822</v>
      </c>
      <c r="I78" s="39"/>
      <c r="J78" s="39"/>
      <c r="K78" s="39"/>
      <c r="L78" s="93">
        <f t="shared" ref="L78:V78" si="62">SUM(L70-L47)/SUM(I29:L29)</f>
        <v>-3.4091450453654462</v>
      </c>
      <c r="M78" s="93">
        <f t="shared" si="62"/>
        <v>-4.2001408531677589</v>
      </c>
      <c r="N78" s="93">
        <f t="shared" si="62"/>
        <v>-4.9693848508444542</v>
      </c>
      <c r="O78" s="93">
        <f t="shared" si="62"/>
        <v>-4.9566506392979583</v>
      </c>
      <c r="P78" s="93">
        <f t="shared" si="62"/>
        <v>-3.5624849605967635</v>
      </c>
      <c r="Q78" s="93">
        <f t="shared" si="62"/>
        <v>-3.8357964258871999</v>
      </c>
      <c r="R78" s="93">
        <f t="shared" si="62"/>
        <v>-4.1762532032925455</v>
      </c>
      <c r="S78" s="93">
        <f t="shared" si="62"/>
        <v>-5.0763254249397196</v>
      </c>
      <c r="T78" s="93">
        <f t="shared" si="62"/>
        <v>-9.974660366213822</v>
      </c>
      <c r="U78" s="93">
        <f t="shared" si="62"/>
        <v>-9.5344986620638004</v>
      </c>
      <c r="V78" s="93">
        <f t="shared" si="62"/>
        <v>-10.773459007979096</v>
      </c>
      <c r="X78" s="93">
        <f t="shared" ref="X78:AI78" si="63">SUM(X70-X47)/X29</f>
        <v>-3.5428722000132935</v>
      </c>
      <c r="Y78" s="93">
        <f t="shared" si="63"/>
        <v>-3.1820336353074232</v>
      </c>
      <c r="Z78" s="93">
        <f t="shared" si="63"/>
        <v>-3.9245211225362264</v>
      </c>
      <c r="AA78" s="93">
        <f t="shared" si="63"/>
        <v>-4.7123760636753902</v>
      </c>
      <c r="AB78" s="93">
        <f t="shared" si="63"/>
        <v>-4.8736610573737913</v>
      </c>
      <c r="AC78" s="93">
        <f t="shared" si="63"/>
        <v>-3.5709569340122185</v>
      </c>
      <c r="AD78" s="93">
        <f t="shared" si="63"/>
        <v>-3.7419102395587198</v>
      </c>
      <c r="AE78" s="93">
        <f t="shared" si="63"/>
        <v>-4.1762532032925455</v>
      </c>
      <c r="AF78" s="93">
        <f t="shared" si="63"/>
        <v>-5.0763254249397196</v>
      </c>
      <c r="AG78" s="93">
        <f t="shared" si="63"/>
        <v>-9.974660366213822</v>
      </c>
      <c r="AH78" s="93">
        <f t="shared" si="63"/>
        <v>-9.5344986620638004</v>
      </c>
      <c r="AI78" s="93">
        <f t="shared" si="63"/>
        <v>-10.773459007979096</v>
      </c>
    </row>
    <row r="79" spans="1:35" ht="12.75" customHeight="1">
      <c r="B79" s="8" t="s">
        <v>78</v>
      </c>
      <c r="C79" s="93">
        <f>C29/-C34</f>
        <v>1.5963338533541342</v>
      </c>
      <c r="D79" s="93">
        <f>D29/-D34</f>
        <v>-253.20402298850576</v>
      </c>
      <c r="E79" s="93">
        <f>E29/-E34</f>
        <v>-24181.4</v>
      </c>
      <c r="F79" s="93" t="e">
        <f>F29/-F34</f>
        <v>#DIV/0!</v>
      </c>
      <c r="G79" s="93" t="e">
        <f>G29/-G34</f>
        <v>#DIV/0!</v>
      </c>
      <c r="I79" s="39"/>
      <c r="J79" s="39"/>
      <c r="K79" s="39"/>
      <c r="L79" s="93" cm="1">
        <f t="array" ref="L79">SUM(I29:L29)/SUM(-I34:L34)</f>
        <v>-24181.4</v>
      </c>
      <c r="M79" s="93" cm="1">
        <f t="array" ref="M79">SUM(J29:M29)/SUM(-J34:M34)</f>
        <v>29818.285714285714</v>
      </c>
      <c r="N79" s="93" cm="1">
        <f t="array" ref="N79">SUM(K29:N29)/SUM(-K34:N34)</f>
        <v>1302.2027972027972</v>
      </c>
      <c r="O79" s="93" cm="1">
        <f t="array" ref="O79">SUM(L29:O29)/SUM(-L34:O34)</f>
        <v>-26502.285714285714</v>
      </c>
      <c r="P79" s="93" t="e" cm="1">
        <f t="array" ref="P79">SUM(M29:P29)/SUM(-M34:P34)</f>
        <v>#DIV/0!</v>
      </c>
      <c r="Q79" s="93" t="e" cm="1">
        <f t="array" ref="Q79">SUM(N29:Q29)/SUM(-N34:Q34)</f>
        <v>#DIV/0!</v>
      </c>
      <c r="R79" s="93" t="e" cm="1">
        <f t="array" ref="R79">SUM(O29:R29)/SUM(-O34:R34)</f>
        <v>#DIV/0!</v>
      </c>
      <c r="S79" s="93" t="e" cm="1">
        <f t="array" ref="S79">SUM(P29:S29)/SUM(-P34:S34)</f>
        <v>#DIV/0!</v>
      </c>
      <c r="T79" s="93" t="e" cm="1">
        <f t="array" ref="T79">SUM(Q29:T29)/SUM(-Q34:T34)</f>
        <v>#DIV/0!</v>
      </c>
      <c r="U79" s="93" t="e" cm="1">
        <f t="array" ref="U79">SUM(R29:U29)/SUM(-R34:U34)</f>
        <v>#DIV/0!</v>
      </c>
      <c r="V79" s="93" t="e" cm="1">
        <f t="array" ref="V79">SUM(S29:V29)/SUM(-S34:V34)</f>
        <v>#DIV/0!</v>
      </c>
      <c r="X79" s="8">
        <f t="shared" ref="X79:AI79" si="64">X29/-X34</f>
        <v>-70208.666666666672</v>
      </c>
      <c r="Y79" s="8">
        <f t="shared" si="64"/>
        <v>-25907.3</v>
      </c>
      <c r="Z79" s="8">
        <f t="shared" si="64"/>
        <v>31912.428571428572</v>
      </c>
      <c r="AA79" s="8">
        <f t="shared" si="64"/>
        <v>1373.2237762237762</v>
      </c>
      <c r="AB79" s="8">
        <f t="shared" si="64"/>
        <v>-26953.571428571428</v>
      </c>
      <c r="AC79" s="8" t="e">
        <f t="shared" si="64"/>
        <v>#DIV/0!</v>
      </c>
      <c r="AD79" s="8" t="e">
        <f t="shared" si="64"/>
        <v>#DIV/0!</v>
      </c>
      <c r="AE79" s="8" t="e">
        <f t="shared" si="64"/>
        <v>#DIV/0!</v>
      </c>
      <c r="AF79" s="8" t="e">
        <f t="shared" si="64"/>
        <v>#DIV/0!</v>
      </c>
      <c r="AG79" s="8" t="e">
        <f t="shared" si="64"/>
        <v>#DIV/0!</v>
      </c>
      <c r="AH79" s="8" t="e">
        <f t="shared" si="64"/>
        <v>#DIV/0!</v>
      </c>
      <c r="AI79" s="8" t="e">
        <f t="shared" si="64"/>
        <v>#DIV/0!</v>
      </c>
    </row>
    <row r="80" spans="1:35" ht="12.75" customHeight="1">
      <c r="B80" s="8" t="s">
        <v>79</v>
      </c>
      <c r="C80" s="93" cm="1">
        <f t="array" ref="C80">SUM(C29+C32)/SUM(-C33:C34)</f>
        <v>-20.760263361735088</v>
      </c>
      <c r="D80" s="93" cm="1">
        <f t="array" ref="D80">SUM(D29+D32)/SUM(-D33:D34)</f>
        <v>-662.94674556213022</v>
      </c>
      <c r="E80" s="93" cm="1">
        <f t="array" ref="E80">SUM(E29+E32)/SUM(-E33:E34)</f>
        <v>-6506.020833333333</v>
      </c>
      <c r="F80" s="93" cm="1">
        <f t="array" ref="F80">SUM(F29+F32)/SUM(-F33:F34)</f>
        <v>276532</v>
      </c>
      <c r="G80" s="93" cm="1">
        <f t="array" ref="G80">SUM(G29+G32)/SUM(-G33:G34)</f>
        <v>-18765.833333333332</v>
      </c>
      <c r="I80" s="39"/>
      <c r="J80" s="39"/>
      <c r="K80" s="39"/>
      <c r="L80" s="93" cm="1">
        <f t="array" ref="L80">SUM(I29:L29+I32:L32)/SUM(-I33:L34)</f>
        <v>-6506.020833333333</v>
      </c>
      <c r="M80" s="93" cm="1">
        <f t="array" ref="M80">SUM(J29:M29+J32:M32)/SUM(-J33:M34)</f>
        <v>12521.761904761905</v>
      </c>
      <c r="N80" s="93" cm="1">
        <f t="array" ref="N80">SUM(K29:N29+K32:N32)/SUM(-K33:N34)</f>
        <v>1896.2735042735044</v>
      </c>
      <c r="O80" s="93" cm="1">
        <f t="array" ref="O80">SUM(L29:O29+L32:O32)/SUM(-L33:O34)</f>
        <v>-6200.181818181818</v>
      </c>
      <c r="P80" s="93" cm="1">
        <f t="array" ref="P80">SUM(M29:P29+M32:P32)/SUM(-M33:P34)</f>
        <v>276532</v>
      </c>
      <c r="Q80" s="93" cm="1">
        <f t="array" ref="Q80">SUM(N29:Q29+N32:Q32)/SUM(-N33:Q34)</f>
        <v>-263250</v>
      </c>
      <c r="R80" s="93" cm="1">
        <f t="array" ref="R80">SUM(O29:R29+O32:R32)/SUM(-O33:R34)</f>
        <v>-40858.666666666664</v>
      </c>
      <c r="S80" s="93" cm="1">
        <f t="array" ref="S80">SUM(P29:S29+P32:S32)/SUM(-P33:S34)</f>
        <v>-34682.5</v>
      </c>
      <c r="T80" s="93" cm="1">
        <f t="array" ref="T80">SUM(Q29:T29+Q32:T32)/SUM(-Q33:T34)</f>
        <v>-18765.833333333332</v>
      </c>
      <c r="U80" s="93" cm="1">
        <f t="array" ref="U80">SUM(R29:U29+R32:U32)/SUM(-R33:U34)</f>
        <v>-30950</v>
      </c>
      <c r="V80" s="93" cm="1">
        <f t="array" ref="V80">SUM(S29:V29+S32:V32)/SUM(-S33:V34)</f>
        <v>15259.125</v>
      </c>
      <c r="X80" s="93" cm="1">
        <f t="array" ref="X80">SUM(X29+X32)/SUM(-X33:X34)</f>
        <v>-11274.083333333334</v>
      </c>
      <c r="Y80" s="93" cm="1">
        <f t="array" ref="Y80">SUM(Y29+Y32)/SUM(-Y33:Y34)</f>
        <v>-6865.583333333333</v>
      </c>
      <c r="Z80" s="93" cm="1">
        <f t="array" ref="Z80">SUM(Z29+Z32)/SUM(-Z33:Z34)</f>
        <v>13219.809523809523</v>
      </c>
      <c r="AA80" s="93" cm="1">
        <f t="array" ref="AA80">SUM(AA29+AA32)/SUM(-AA33:AA34)</f>
        <v>1983.0769230769231</v>
      </c>
      <c r="AB80" s="93" cm="1">
        <f t="array" ref="AB80">SUM(AB29+AB32)/SUM(-AB33:AB34)</f>
        <v>-6295.909090909091</v>
      </c>
      <c r="AC80" s="93" cm="1">
        <f t="array" ref="AC80">SUM(AC29+AC32)/SUM(-AC33:AC34)</f>
        <v>275901</v>
      </c>
      <c r="AD80" s="93" cm="1">
        <f t="array" ref="AD80">SUM(AD29+AD32)/SUM(-AD33:AD34)</f>
        <v>-269693</v>
      </c>
      <c r="AE80" s="93" cm="1">
        <f t="array" ref="AE80">SUM(AE29+AE32)/SUM(-AE33:AE34)</f>
        <v>-40858.666666666664</v>
      </c>
      <c r="AF80" s="93" cm="1">
        <f t="array" ref="AF80">SUM(AF29+AF32)/SUM(-AF33:AF34)</f>
        <v>-34682.5</v>
      </c>
      <c r="AG80" s="93" cm="1">
        <f t="array" ref="AG80">SUM(AG29+AG32)/SUM(-AG33:AG34)</f>
        <v>-18765.833333333332</v>
      </c>
      <c r="AH80" s="93" cm="1">
        <f t="array" ref="AH80">SUM(AH29+AH32)/SUM(-AH33:AH34)</f>
        <v>-30950</v>
      </c>
      <c r="AI80" s="93" cm="1">
        <f t="array" ref="AI80">SUM(AI29+AI32)/SUM(-AI33:AI34)</f>
        <v>15259.125</v>
      </c>
    </row>
    <row r="81" spans="2:35" ht="12.75" customHeight="1">
      <c r="B81" s="8" t="s">
        <v>80</v>
      </c>
      <c r="C81" s="93" cm="1">
        <f t="array" ref="C81">SUM(C29)/SUM(-C32:C34)</f>
        <v>6.790205381731311E-2</v>
      </c>
      <c r="D81" s="93" cm="1">
        <f t="array" ref="D81">SUM(D29)/SUM(-D32:D34)</f>
        <v>-0.64648309965590356</v>
      </c>
      <c r="E81" s="93" cm="1">
        <f t="array" ref="E81">SUM(E29)/SUM(-E32:E34)</f>
        <v>-3.4288671780837459</v>
      </c>
      <c r="F81" s="93" cm="1">
        <f t="array" ref="F81">SUM(F29)/SUM(-F32:F34)</f>
        <v>-25.179210451576257</v>
      </c>
      <c r="G81" s="93" cm="1">
        <f t="array" ref="G81">SUM(G29)/SUM(-G32:G34)</f>
        <v>-9.2169494601215867</v>
      </c>
      <c r="I81" s="39"/>
      <c r="J81" s="39"/>
      <c r="K81" s="39"/>
      <c r="L81" s="93" cm="1">
        <f t="array" ref="L81">SUM(I29:L29)/SUM(-I32:L34)</f>
        <v>-3.4288671780837459</v>
      </c>
      <c r="M81" s="93" cm="1">
        <f t="array" ref="M81">SUM(J29:M29)/SUM(-J32:M34)</f>
        <v>-3.8505017709563165</v>
      </c>
      <c r="N81" s="93" cm="1">
        <f t="array" ref="N81">SUM(K29:N29)/SUM(-K32:N34)</f>
        <v>-5.2407688843859059</v>
      </c>
      <c r="O81" s="93" cm="1">
        <f t="array" ref="O81">SUM(L29:O29)/SUM(-L32:O34)</f>
        <v>-9.7011975108508075</v>
      </c>
      <c r="P81" s="93" cm="1">
        <f t="array" ref="P81">SUM(M29:P29)/SUM(-M32:P34)</f>
        <v>-25.179210451576257</v>
      </c>
      <c r="Q81" s="93" cm="1">
        <f t="array" ref="Q81">SUM(N29:Q29)/SUM(-N32:Q34)</f>
        <v>-39.75092879256966</v>
      </c>
      <c r="R81" s="93" cm="1">
        <f t="array" ref="R81">SUM(O29:R29)/SUM(-O32:R34)</f>
        <v>-40.196101495546969</v>
      </c>
      <c r="S81" s="93" cm="1">
        <f t="array" ref="S81">SUM(P29:S29)/SUM(-P32:S34)</f>
        <v>-30.805135259055479</v>
      </c>
      <c r="T81" s="93" cm="1">
        <f t="array" ref="T81">SUM(Q29:T29)/SUM(-Q32:T34)</f>
        <v>-9.2169494601215867</v>
      </c>
      <c r="U81" s="93" cm="1">
        <f t="array" ref="U81">SUM(R29:U29)/SUM(-R32:U34)</f>
        <v>-7.6533864541832672</v>
      </c>
      <c r="V81" s="93" cm="1">
        <f t="array" ref="V81">SUM(S29:V29)/SUM(-S32:V34)</f>
        <v>-7.1867873910127429</v>
      </c>
      <c r="X81" s="93" cm="1">
        <f t="array" ref="X81">SUM(X29)/SUM(-X32:X34)</f>
        <v>-3.5118380685607575</v>
      </c>
      <c r="Y81" s="93" cm="1">
        <f t="array" ref="Y81">SUM(Y29)/SUM(-Y32:Y34)</f>
        <v>-3.6735958481630107</v>
      </c>
      <c r="Z81" s="93" cm="1">
        <f t="array" ref="Z81">SUM(Z29)/SUM(-Z32:Z34)</f>
        <v>-4.1209231109799296</v>
      </c>
      <c r="AA81" s="93" cm="1">
        <f t="array" ref="AA81">SUM(AA29)/SUM(-AA32:AA34)</f>
        <v>-5.5265957446808507</v>
      </c>
      <c r="AB81" s="93" cm="1">
        <f t="array" ref="AB81">SUM(AB29)/SUM(-AB32:AB34)</f>
        <v>-9.8663912566019984</v>
      </c>
      <c r="AC81" s="93" cm="1">
        <f t="array" ref="AC81">SUM(AC29)/SUM(-AC32:AC34)</f>
        <v>-25.119473634384171</v>
      </c>
      <c r="AD81" s="93" cm="1">
        <f t="array" ref="AD81">SUM(AD29)/SUM(-AD32:AD34)</f>
        <v>-40.748297213622294</v>
      </c>
      <c r="AE81" s="93" cm="1">
        <f t="array" ref="AE81">SUM(AE29)/SUM(-AE32:AE34)</f>
        <v>-40.196101495546969</v>
      </c>
      <c r="AF81" s="93" cm="1">
        <f t="array" ref="AF81">SUM(AF29)/SUM(-AF32:AF34)</f>
        <v>-30.805135259055479</v>
      </c>
      <c r="AG81" s="93" cm="1">
        <f t="array" ref="AG81">SUM(AG29)/SUM(-AG32:AG34)</f>
        <v>-9.2169494601215867</v>
      </c>
      <c r="AH81" s="93" cm="1">
        <f t="array" ref="AH81">SUM(AH29)/SUM(-AH32:AH34)</f>
        <v>-7.6533864541832672</v>
      </c>
      <c r="AI81" s="93" cm="1">
        <f t="array" ref="AI81">SUM(AI29)/SUM(-AI32:AI34)</f>
        <v>-7.1867873910127429</v>
      </c>
    </row>
    <row r="82" spans="2:35" ht="12.75" customHeight="1">
      <c r="B82" s="8" t="s">
        <v>81</v>
      </c>
      <c r="C82" s="93">
        <f>C73/C70</f>
        <v>15.555789056304521</v>
      </c>
      <c r="D82" s="93">
        <f>D73/D70</f>
        <v>1.117221299161814</v>
      </c>
      <c r="E82" s="93">
        <f>E73/E70</f>
        <v>0.82055204041960639</v>
      </c>
      <c r="F82" s="93">
        <f>F73/F70</f>
        <v>0.54889052136532834</v>
      </c>
      <c r="G82" s="93">
        <f>G73/G70</f>
        <v>0.47499124560424544</v>
      </c>
      <c r="I82" s="39"/>
      <c r="J82" s="39"/>
      <c r="K82" s="39"/>
      <c r="L82" s="93">
        <f t="shared" ref="L82:V82" si="65">L73/L70</f>
        <v>0.82055204041960639</v>
      </c>
      <c r="M82" s="93">
        <f t="shared" si="65"/>
        <v>0.77702415232551691</v>
      </c>
      <c r="N82" s="93">
        <f t="shared" si="65"/>
        <v>0.73672782322834474</v>
      </c>
      <c r="O82" s="93">
        <f t="shared" si="65"/>
        <v>0.68084475803437394</v>
      </c>
      <c r="P82" s="93">
        <f t="shared" si="65"/>
        <v>0.54889052136532834</v>
      </c>
      <c r="Q82" s="93">
        <f t="shared" si="65"/>
        <v>0.50878852334083757</v>
      </c>
      <c r="R82" s="93">
        <f t="shared" si="65"/>
        <v>0.48418165827695997</v>
      </c>
      <c r="S82" s="93">
        <f t="shared" si="65"/>
        <v>0.4655246806288027</v>
      </c>
      <c r="T82" s="93">
        <f t="shared" si="65"/>
        <v>0.47499124560424544</v>
      </c>
      <c r="U82" s="93">
        <f t="shared" si="65"/>
        <v>0.43328924339218</v>
      </c>
      <c r="V82" s="93">
        <f t="shared" si="65"/>
        <v>0.46179468283930625</v>
      </c>
      <c r="X82" s="93">
        <f t="shared" ref="X82:AH82" si="66">X73/X70</f>
        <v>0.87500494985467225</v>
      </c>
      <c r="Y82" s="93">
        <f t="shared" si="66"/>
        <v>0.82055204041960639</v>
      </c>
      <c r="Z82" s="93">
        <f t="shared" si="66"/>
        <v>0.77702415232551691</v>
      </c>
      <c r="AA82" s="93">
        <f t="shared" si="66"/>
        <v>0.73672782322834474</v>
      </c>
      <c r="AB82" s="93">
        <f t="shared" si="66"/>
        <v>0.68084475803437394</v>
      </c>
      <c r="AC82" s="93">
        <f t="shared" si="66"/>
        <v>0.54889052136532834</v>
      </c>
      <c r="AD82" s="93">
        <f t="shared" si="66"/>
        <v>0.50878852334083757</v>
      </c>
      <c r="AE82" s="93">
        <f t="shared" si="66"/>
        <v>0.48418165827695997</v>
      </c>
      <c r="AF82" s="93">
        <f t="shared" si="66"/>
        <v>0.4655246806288027</v>
      </c>
      <c r="AG82" s="93">
        <f t="shared" si="66"/>
        <v>0.47499124560424544</v>
      </c>
      <c r="AH82" s="93">
        <f t="shared" si="66"/>
        <v>0.43328924339218</v>
      </c>
      <c r="AI82" s="93">
        <f>AI73/AI70</f>
        <v>0.46179468283930625</v>
      </c>
    </row>
    <row r="83" spans="2:35" ht="5.0999999999999996" customHeight="1" thickBot="1">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row>
  </sheetData>
  <mergeCells count="1">
    <mergeCell ref="AK2:AK4"/>
  </mergeCells>
  <dataValidations disablePrompts="1"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6:V37 AJ37:AK37 H32:H34 H39 H40 AJ39:AK40 AJ35 AJ36 H35 AJ38:AK38 H38 I38:V39 I40:V40 C38:G40 I41:V41 C41:G41" formulaRange="1"/>
    <ignoredError sqref="E77:O78 W77:W78 AI77:AI78 E80:V82 H79:K79 P77:V78 P79:V79 AI80:AI82 W80:W82" evalError="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30"/>
  <sheetViews>
    <sheetView showGridLines="0" zoomScale="130" zoomScaleNormal="130" workbookViewId="0">
      <selection activeCell="G123" sqref="G123:K123"/>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C6&amp;"(NASDAQ: BYND)"</f>
        <v>Beyond Meat, Inc.(NASDAQ: BYND)</v>
      </c>
      <c r="C2" s="1"/>
      <c r="D2" s="1"/>
      <c r="E2" s="1"/>
      <c r="F2" s="1"/>
      <c r="G2" s="1"/>
      <c r="H2" s="1"/>
      <c r="I2" s="1"/>
      <c r="J2" s="1"/>
      <c r="K2" s="1"/>
    </row>
    <row r="3" spans="1:19">
      <c r="B3" s="6" t="s">
        <v>461</v>
      </c>
      <c r="C3" s="1"/>
      <c r="D3" s="1"/>
      <c r="E3" s="1"/>
      <c r="F3" s="1"/>
      <c r="G3" s="1"/>
      <c r="H3" s="1"/>
      <c r="I3" s="1"/>
      <c r="J3" s="1"/>
      <c r="K3" s="1"/>
    </row>
    <row r="4" spans="1:19">
      <c r="B4" s="6" t="s">
        <v>452</v>
      </c>
      <c r="C4" s="6"/>
      <c r="D4" s="6"/>
      <c r="E4" s="6"/>
      <c r="F4" s="6"/>
      <c r="G4" s="6"/>
      <c r="H4" s="6"/>
      <c r="I4" s="6"/>
      <c r="J4" s="6"/>
      <c r="K4" s="6"/>
    </row>
    <row r="5" spans="1:19" ht="5.0999999999999996" customHeight="1"/>
    <row r="6" spans="1:19">
      <c r="B6" s="354" t="s">
        <v>112</v>
      </c>
      <c r="C6" s="352" t="s">
        <v>586</v>
      </c>
      <c r="D6" s="195"/>
      <c r="E6" s="195"/>
      <c r="F6" s="195"/>
      <c r="G6" s="195"/>
      <c r="H6" s="195"/>
      <c r="I6" s="194" t="s">
        <v>113</v>
      </c>
      <c r="J6" s="195"/>
      <c r="K6" s="360" t="s">
        <v>114</v>
      </c>
    </row>
    <row r="7" spans="1:19">
      <c r="B7" s="355" t="s">
        <v>115</v>
      </c>
      <c r="C7" s="343" t="s">
        <v>585</v>
      </c>
      <c r="K7" s="350"/>
    </row>
    <row r="8" spans="1:19">
      <c r="B8" s="356" t="s">
        <v>116</v>
      </c>
      <c r="C8" s="359">
        <v>1</v>
      </c>
      <c r="K8" s="350"/>
    </row>
    <row r="9" spans="1:19">
      <c r="B9" s="356" t="s">
        <v>117</v>
      </c>
      <c r="C9" s="344">
        <v>262.82</v>
      </c>
      <c r="K9" s="350"/>
    </row>
    <row r="10" spans="1:19">
      <c r="B10" s="356" t="s">
        <v>118</v>
      </c>
      <c r="C10" s="345">
        <f ca="1">NOW()</f>
        <v>45966.749532407404</v>
      </c>
      <c r="K10" s="350"/>
      <c r="O10" s="70"/>
    </row>
    <row r="11" spans="1:19">
      <c r="B11" s="355" t="s">
        <v>119</v>
      </c>
      <c r="C11" s="346">
        <f>'Historical Financials'!I8</f>
        <v>45657</v>
      </c>
      <c r="K11" s="350"/>
    </row>
    <row r="12" spans="1:19">
      <c r="B12" s="357" t="s">
        <v>120</v>
      </c>
      <c r="C12" s="348">
        <v>4443.2650000000003</v>
      </c>
      <c r="D12" s="347"/>
      <c r="E12" s="347"/>
      <c r="F12" s="347"/>
      <c r="G12" s="347"/>
      <c r="H12" s="347"/>
      <c r="I12" s="347"/>
      <c r="J12" s="347"/>
      <c r="K12" s="351"/>
    </row>
    <row r="14" spans="1:19">
      <c r="A14" s="358" t="s">
        <v>25</v>
      </c>
      <c r="B14" s="1" t="s">
        <v>455</v>
      </c>
      <c r="C14" s="2" t="s">
        <v>453</v>
      </c>
      <c r="D14" s="2"/>
      <c r="E14" s="2"/>
      <c r="F14" s="2"/>
      <c r="G14" s="2" t="s">
        <v>182</v>
      </c>
      <c r="H14" s="2"/>
      <c r="I14" s="2"/>
      <c r="J14" s="2"/>
      <c r="K14" s="2"/>
    </row>
    <row r="15" spans="1:19">
      <c r="B15" s="6" t="s">
        <v>121</v>
      </c>
      <c r="C15" s="363">
        <f>D15-1</f>
        <v>2021</v>
      </c>
      <c r="D15" s="363">
        <f>E15-1</f>
        <v>2022</v>
      </c>
      <c r="E15" s="363">
        <f>F15-1</f>
        <v>2023</v>
      </c>
      <c r="F15" s="363">
        <f>YEAR(C11)</f>
        <v>2024</v>
      </c>
      <c r="G15" s="393">
        <f>F15+1</f>
        <v>2025</v>
      </c>
      <c r="H15" s="393">
        <f>G15+1</f>
        <v>2026</v>
      </c>
      <c r="I15" s="393">
        <f>H15+1</f>
        <v>2027</v>
      </c>
      <c r="J15" s="393">
        <f>I15+1</f>
        <v>2028</v>
      </c>
      <c r="K15" s="393">
        <f>J15+1</f>
        <v>2029</v>
      </c>
    </row>
    <row r="16" spans="1:19">
      <c r="B16" s="6" t="s">
        <v>122</v>
      </c>
      <c r="C16" s="3">
        <f>EOMONTH(D16,-12)</f>
        <v>44561</v>
      </c>
      <c r="D16" s="3">
        <f>EOMONTH(E16,-12)</f>
        <v>44926</v>
      </c>
      <c r="E16" s="3">
        <f>EOMONTH(F16,-12)</f>
        <v>45291</v>
      </c>
      <c r="F16" s="3">
        <f>C11</f>
        <v>45657</v>
      </c>
      <c r="G16" s="3">
        <f>EOMONTH(F16,12)</f>
        <v>46022</v>
      </c>
      <c r="H16" s="3">
        <f>EOMONTH(G16,12)</f>
        <v>46387</v>
      </c>
      <c r="I16" s="3">
        <f>EOMONTH(H16,12)</f>
        <v>46752</v>
      </c>
      <c r="J16" s="3">
        <f>EOMONTH(I16,12)</f>
        <v>47118</v>
      </c>
      <c r="K16" s="3">
        <f>EOMONTH(J16,12)</f>
        <v>47483</v>
      </c>
      <c r="M16" s="1" t="s">
        <v>454</v>
      </c>
      <c r="N16" s="1"/>
      <c r="O16" s="1"/>
      <c r="P16" s="1"/>
      <c r="Q16" s="1"/>
      <c r="R16" s="1"/>
      <c r="S16" s="1"/>
    </row>
    <row r="17" spans="2:13" ht="5.0999999999999996" customHeight="1">
      <c r="B17" s="102"/>
      <c r="C17" s="102"/>
      <c r="D17" s="103"/>
      <c r="E17" s="104"/>
      <c r="F17" s="104"/>
      <c r="G17" s="105"/>
      <c r="H17" s="106"/>
      <c r="I17" s="106"/>
      <c r="J17" s="104"/>
      <c r="K17" s="104"/>
    </row>
    <row r="18" spans="2:13" ht="12.75" customHeight="1">
      <c r="B18" s="8" t="str">
        <f>'Revenue Drivers'!B7</f>
        <v>Retail</v>
      </c>
      <c r="C18" s="168">
        <f>'Revenue Drivers'!F7</f>
        <v>324843</v>
      </c>
      <c r="D18" s="168">
        <f>'Revenue Drivers'!G7</f>
        <v>295651</v>
      </c>
      <c r="E18" s="168">
        <f>'Revenue Drivers'!H7</f>
        <v>216963</v>
      </c>
      <c r="F18" s="168">
        <f>'Revenue Drivers'!I7</f>
        <v>210595</v>
      </c>
      <c r="G18" s="108" t="e">
        <f t="shared" ref="G18:K19" si="0">F18*(1+G52)</f>
        <v>#DIV/0!</v>
      </c>
      <c r="H18" s="108" t="e">
        <f t="shared" si="0"/>
        <v>#DIV/0!</v>
      </c>
      <c r="I18" s="108" t="e">
        <f t="shared" si="0"/>
        <v>#DIV/0!</v>
      </c>
      <c r="J18" s="108" t="e">
        <f t="shared" si="0"/>
        <v>#DIV/0!</v>
      </c>
      <c r="K18" s="108" t="e">
        <f t="shared" si="0"/>
        <v>#DIV/0!</v>
      </c>
      <c r="M18" s="8" t="s">
        <v>123</v>
      </c>
    </row>
    <row r="19" spans="2:13" ht="12.75" customHeight="1">
      <c r="B19" s="8" t="str">
        <f>'Revenue Drivers'!B8</f>
        <v>Foodservice</v>
      </c>
      <c r="C19" s="168">
        <f>'Revenue Drivers'!F8</f>
        <v>139857</v>
      </c>
      <c r="D19" s="168">
        <f>'Revenue Drivers'!G8</f>
        <v>123282</v>
      </c>
      <c r="E19" s="168">
        <f>'Revenue Drivers'!H8</f>
        <v>126413</v>
      </c>
      <c r="F19" s="168">
        <f>'Revenue Drivers'!I8</f>
        <v>115857</v>
      </c>
      <c r="G19" s="108" t="e">
        <f t="shared" si="0"/>
        <v>#REF!</v>
      </c>
      <c r="H19" s="108" t="e">
        <f t="shared" si="0"/>
        <v>#REF!</v>
      </c>
      <c r="I19" s="108" t="e">
        <f t="shared" si="0"/>
        <v>#REF!</v>
      </c>
      <c r="J19" s="108" t="e">
        <f t="shared" si="0"/>
        <v>#REF!</v>
      </c>
      <c r="K19" s="108" t="e">
        <f t="shared" si="0"/>
        <v>#REF!</v>
      </c>
    </row>
    <row r="20" spans="2:13" ht="12.75" customHeight="1">
      <c r="B20" s="192" t="s">
        <v>108</v>
      </c>
      <c r="C20" s="377">
        <f t="shared" ref="C20:K20" si="1">SUM(C18:C19)</f>
        <v>464700</v>
      </c>
      <c r="D20" s="377">
        <f t="shared" si="1"/>
        <v>418933</v>
      </c>
      <c r="E20" s="377">
        <f t="shared" si="1"/>
        <v>343376</v>
      </c>
      <c r="F20" s="377">
        <f t="shared" si="1"/>
        <v>326452</v>
      </c>
      <c r="G20" s="377" t="e">
        <f t="shared" si="1"/>
        <v>#DIV/0!</v>
      </c>
      <c r="H20" s="377" t="e">
        <f t="shared" si="1"/>
        <v>#DIV/0!</v>
      </c>
      <c r="I20" s="377" t="e">
        <f t="shared" si="1"/>
        <v>#DIV/0!</v>
      </c>
      <c r="J20" s="377" t="e">
        <f t="shared" si="1"/>
        <v>#DIV/0!</v>
      </c>
      <c r="K20" s="377" t="e">
        <f t="shared" si="1"/>
        <v>#DIV/0!</v>
      </c>
    </row>
    <row r="21" spans="2:13" ht="12.75" customHeight="1">
      <c r="B21" s="469" t="s">
        <v>46</v>
      </c>
      <c r="C21" s="523"/>
      <c r="D21" s="470">
        <f>SUM(D20/C20)-1</f>
        <v>-9.8487196040456193E-2</v>
      </c>
      <c r="E21" s="470">
        <f t="shared" ref="E21:K21" si="2">SUM(E20/D20)-1</f>
        <v>-0.18035580868539836</v>
      </c>
      <c r="F21" s="470">
        <f t="shared" si="2"/>
        <v>-4.9287078887283897E-2</v>
      </c>
      <c r="G21" s="470" t="e">
        <f t="shared" si="2"/>
        <v>#DIV/0!</v>
      </c>
      <c r="H21" s="470" t="e">
        <f t="shared" si="2"/>
        <v>#DIV/0!</v>
      </c>
      <c r="I21" s="470" t="e">
        <f t="shared" si="2"/>
        <v>#DIV/0!</v>
      </c>
      <c r="J21" s="470" t="e">
        <f t="shared" si="2"/>
        <v>#DIV/0!</v>
      </c>
      <c r="K21" s="470" t="e">
        <f t="shared" si="2"/>
        <v>#DIV/0!</v>
      </c>
    </row>
    <row r="22" spans="2:13" ht="5.0999999999999996" customHeight="1">
      <c r="C22" s="168"/>
      <c r="D22" s="168"/>
      <c r="E22" s="168"/>
      <c r="F22" s="168"/>
      <c r="G22" s="108"/>
      <c r="H22" s="108"/>
      <c r="I22" s="108"/>
      <c r="J22" s="108"/>
      <c r="K22" s="108"/>
    </row>
    <row r="23" spans="2:13" ht="12.75" customHeight="1">
      <c r="B23" s="8" t="s">
        <v>490</v>
      </c>
      <c r="C23" s="168"/>
      <c r="D23" s="168"/>
      <c r="E23" s="168"/>
      <c r="F23" s="168"/>
      <c r="G23" s="108" t="e">
        <f>+G24-G20</f>
        <v>#DIV/0!</v>
      </c>
      <c r="H23" s="108" t="e">
        <f>+H24-H20</f>
        <v>#DIV/0!</v>
      </c>
      <c r="I23" s="108" t="e">
        <f>+I24-I20</f>
        <v>#DIV/0!</v>
      </c>
      <c r="J23" s="108" t="e">
        <f>+J24-J20</f>
        <v>#DIV/0!</v>
      </c>
      <c r="K23" s="108" t="e">
        <f>+K24-K20</f>
        <v>#DIV/0!</v>
      </c>
      <c r="M23" s="8" t="s">
        <v>124</v>
      </c>
    </row>
    <row r="24" spans="2:13" ht="12.75" customHeight="1">
      <c r="B24" s="192" t="s">
        <v>31</v>
      </c>
      <c r="C24" s="377">
        <f>+C23+C20</f>
        <v>464700</v>
      </c>
      <c r="D24" s="377">
        <f>+D23+D20</f>
        <v>418933</v>
      </c>
      <c r="E24" s="377">
        <f>+E23+E20</f>
        <v>343376</v>
      </c>
      <c r="F24" s="377">
        <f>+F23+F20</f>
        <v>326452</v>
      </c>
      <c r="G24" s="377" t="e">
        <f>G55*G20</f>
        <v>#DIV/0!</v>
      </c>
      <c r="H24" s="377" t="e">
        <f>H55*H20</f>
        <v>#DIV/0!</v>
      </c>
      <c r="I24" s="377" t="e">
        <f>I55*I20</f>
        <v>#DIV/0!</v>
      </c>
      <c r="J24" s="377" t="e">
        <f>J55*J20</f>
        <v>#DIV/0!</v>
      </c>
      <c r="K24" s="377" t="e">
        <f>K55*K20</f>
        <v>#DIV/0!</v>
      </c>
      <c r="M24" s="33" t="s">
        <v>125</v>
      </c>
    </row>
    <row r="25" spans="2:13" ht="12.75" customHeight="1">
      <c r="B25" s="469" t="s">
        <v>469</v>
      </c>
      <c r="C25" s="470">
        <f>C24/C20</f>
        <v>1</v>
      </c>
      <c r="D25" s="470">
        <f t="shared" ref="D25:K25" si="3">D24/D20</f>
        <v>1</v>
      </c>
      <c r="E25" s="470">
        <f t="shared" si="3"/>
        <v>1</v>
      </c>
      <c r="F25" s="470">
        <f t="shared" si="3"/>
        <v>1</v>
      </c>
      <c r="G25" s="470" t="e">
        <f t="shared" si="3"/>
        <v>#DIV/0!</v>
      </c>
      <c r="H25" s="470" t="e">
        <f t="shared" si="3"/>
        <v>#DIV/0!</v>
      </c>
      <c r="I25" s="470" t="e">
        <f t="shared" si="3"/>
        <v>#DIV/0!</v>
      </c>
      <c r="J25" s="470" t="e">
        <f t="shared" si="3"/>
        <v>#DIV/0!</v>
      </c>
      <c r="K25" s="470" t="e">
        <f t="shared" si="3"/>
        <v>#DIV/0!</v>
      </c>
      <c r="M25" s="33"/>
    </row>
    <row r="26" spans="2:13" ht="5.0999999999999996" customHeight="1">
      <c r="B26" s="38"/>
      <c r="C26" s="109"/>
      <c r="D26" s="109"/>
      <c r="E26" s="109"/>
      <c r="F26" s="109"/>
      <c r="G26" s="109"/>
      <c r="H26" s="109"/>
      <c r="I26" s="109"/>
      <c r="J26" s="109"/>
      <c r="K26" s="109"/>
      <c r="M26" s="33"/>
    </row>
    <row r="27" spans="2:13" ht="12.75" customHeight="1">
      <c r="B27" s="8" t="s">
        <v>509</v>
      </c>
      <c r="C27" s="168"/>
      <c r="D27" s="168"/>
      <c r="E27" s="168"/>
      <c r="F27" s="168"/>
      <c r="G27" s="108" t="e">
        <f>-G56*G18</f>
        <v>#DIV/0!</v>
      </c>
      <c r="H27" s="108" t="e">
        <f>-H56*H18</f>
        <v>#DIV/0!</v>
      </c>
      <c r="I27" s="108" t="e">
        <f>-I56*I18</f>
        <v>#DIV/0!</v>
      </c>
      <c r="J27" s="108" t="e">
        <f>-J56*J18</f>
        <v>#DIV/0!</v>
      </c>
      <c r="K27" s="108" t="e">
        <f>-K56*K18</f>
        <v>#DIV/0!</v>
      </c>
      <c r="M27" s="33" t="s">
        <v>126</v>
      </c>
    </row>
    <row r="28" spans="2:13" ht="12.75" customHeight="1">
      <c r="B28" s="8" t="s">
        <v>508</v>
      </c>
      <c r="C28" s="168"/>
      <c r="D28" s="168"/>
      <c r="E28" s="168"/>
      <c r="F28" s="168"/>
      <c r="G28" s="108" t="e">
        <f>-G18*G57</f>
        <v>#DIV/0!</v>
      </c>
      <c r="H28" s="108" t="e">
        <f>-H18*H57</f>
        <v>#DIV/0!</v>
      </c>
      <c r="I28" s="108" t="e">
        <f>-I18*I57</f>
        <v>#DIV/0!</v>
      </c>
      <c r="J28" s="108" t="e">
        <f>-J18*J57</f>
        <v>#DIV/0!</v>
      </c>
      <c r="K28" s="108" t="e">
        <f>-K18*K57</f>
        <v>#DIV/0!</v>
      </c>
      <c r="M28" s="33" t="s">
        <v>127</v>
      </c>
    </row>
    <row r="29" spans="2:13" ht="12.75" customHeight="1">
      <c r="B29" s="194" t="s">
        <v>128</v>
      </c>
      <c r="C29" s="377">
        <f>C24+C27+C28</f>
        <v>464700</v>
      </c>
      <c r="D29" s="377">
        <f>D24+D27+D28</f>
        <v>418933</v>
      </c>
      <c r="E29" s="377">
        <f>E24+E27+E28</f>
        <v>343376</v>
      </c>
      <c r="F29" s="377">
        <f>+SUM(F24+SUM(F27:F28))</f>
        <v>326452</v>
      </c>
      <c r="G29" s="377" t="e">
        <f>G24+G27+G28</f>
        <v>#DIV/0!</v>
      </c>
      <c r="H29" s="377" t="e">
        <f>H24+H27+H28</f>
        <v>#DIV/0!</v>
      </c>
      <c r="I29" s="377" t="e">
        <f>I24+I27+I28</f>
        <v>#DIV/0!</v>
      </c>
      <c r="J29" s="377" t="e">
        <f>J24+J27+J28</f>
        <v>#DIV/0!</v>
      </c>
      <c r="K29" s="377" t="e">
        <f>K24+K27+K28</f>
        <v>#DIV/0!</v>
      </c>
      <c r="M29" s="38" t="s">
        <v>129</v>
      </c>
    </row>
    <row r="30" spans="2:13" ht="12.75" customHeight="1">
      <c r="B30" s="469" t="s">
        <v>469</v>
      </c>
      <c r="C30" s="470">
        <f>C29/C20</f>
        <v>1</v>
      </c>
      <c r="D30" s="470">
        <f t="shared" ref="D30:K30" si="4">D29/D20</f>
        <v>1</v>
      </c>
      <c r="E30" s="470">
        <f t="shared" si="4"/>
        <v>1</v>
      </c>
      <c r="F30" s="470">
        <f t="shared" si="4"/>
        <v>1</v>
      </c>
      <c r="G30" s="470" t="e">
        <f t="shared" si="4"/>
        <v>#DIV/0!</v>
      </c>
      <c r="H30" s="470" t="e">
        <f t="shared" si="4"/>
        <v>#DIV/0!</v>
      </c>
      <c r="I30" s="470" t="e">
        <f t="shared" si="4"/>
        <v>#DIV/0!</v>
      </c>
      <c r="J30" s="470" t="e">
        <f t="shared" si="4"/>
        <v>#DIV/0!</v>
      </c>
      <c r="K30" s="470" t="e">
        <f t="shared" si="4"/>
        <v>#DIV/0!</v>
      </c>
      <c r="M30" s="38"/>
    </row>
    <row r="31" spans="2:13" ht="5.0999999999999996" customHeight="1">
      <c r="B31" s="38"/>
      <c r="C31" s="109"/>
      <c r="D31" s="109"/>
      <c r="E31" s="109"/>
      <c r="F31" s="109"/>
      <c r="G31" s="109"/>
      <c r="H31" s="109"/>
      <c r="I31" s="109"/>
      <c r="J31" s="109"/>
      <c r="K31" s="109"/>
      <c r="M31" s="33"/>
    </row>
    <row r="32" spans="2:13" ht="12.75" customHeight="1">
      <c r="B32" s="8" t="s">
        <v>496</v>
      </c>
      <c r="C32" s="107"/>
      <c r="D32" s="107"/>
      <c r="E32" s="107"/>
      <c r="F32" s="107"/>
      <c r="G32" s="70"/>
      <c r="H32" s="70"/>
      <c r="I32" s="70"/>
      <c r="J32" s="70"/>
      <c r="K32" s="70"/>
      <c r="M32" s="8" t="s">
        <v>292</v>
      </c>
    </row>
    <row r="33" spans="2:14" ht="12.75" customHeight="1">
      <c r="B33" s="8" t="s">
        <v>234</v>
      </c>
      <c r="C33" s="107"/>
      <c r="D33" s="107"/>
      <c r="E33" s="107"/>
      <c r="F33" s="107"/>
      <c r="G33" s="70"/>
      <c r="H33" s="70"/>
      <c r="I33" s="70"/>
      <c r="J33" s="70"/>
      <c r="K33" s="70"/>
      <c r="M33" s="8" t="s">
        <v>131</v>
      </c>
    </row>
    <row r="34" spans="2:14" ht="12.75" customHeight="1">
      <c r="B34" s="8" t="s">
        <v>475</v>
      </c>
      <c r="C34" s="107"/>
      <c r="D34" s="107"/>
      <c r="E34" s="107"/>
      <c r="F34" s="107"/>
      <c r="G34" s="70">
        <f>F34</f>
        <v>0</v>
      </c>
      <c r="H34" s="70">
        <f>G34</f>
        <v>0</v>
      </c>
      <c r="I34" s="70">
        <f>H34</f>
        <v>0</v>
      </c>
      <c r="J34" s="70">
        <f>I34</f>
        <v>0</v>
      </c>
      <c r="K34" s="70">
        <f>J34</f>
        <v>0</v>
      </c>
      <c r="M34" s="8" t="s">
        <v>132</v>
      </c>
    </row>
    <row r="35" spans="2:14" ht="12.75" customHeight="1">
      <c r="B35" s="194" t="s">
        <v>133</v>
      </c>
      <c r="C35" s="377">
        <f t="shared" ref="C35:K35" si="5">SUM(C29:C34)</f>
        <v>464701</v>
      </c>
      <c r="D35" s="377">
        <f t="shared" si="5"/>
        <v>418934</v>
      </c>
      <c r="E35" s="377">
        <f t="shared" si="5"/>
        <v>343377</v>
      </c>
      <c r="F35" s="377">
        <f t="shared" si="5"/>
        <v>326453</v>
      </c>
      <c r="G35" s="377" t="e">
        <f t="shared" si="5"/>
        <v>#DIV/0!</v>
      </c>
      <c r="H35" s="377" t="e">
        <f t="shared" si="5"/>
        <v>#DIV/0!</v>
      </c>
      <c r="I35" s="377" t="e">
        <f t="shared" si="5"/>
        <v>#DIV/0!</v>
      </c>
      <c r="J35" s="377" t="e">
        <f t="shared" si="5"/>
        <v>#DIV/0!</v>
      </c>
      <c r="K35" s="377" t="e">
        <f t="shared" si="5"/>
        <v>#DIV/0!</v>
      </c>
      <c r="M35" s="38" t="s">
        <v>134</v>
      </c>
      <c r="N35" s="38"/>
    </row>
    <row r="36" spans="2:14" ht="5.0999999999999996" customHeight="1">
      <c r="B36" s="38"/>
      <c r="C36" s="109"/>
      <c r="D36" s="109"/>
      <c r="E36" s="109"/>
      <c r="F36" s="109"/>
      <c r="G36" s="109"/>
      <c r="H36" s="109"/>
      <c r="I36" s="109"/>
      <c r="J36" s="109"/>
      <c r="K36" s="109"/>
      <c r="M36" s="33"/>
    </row>
    <row r="37" spans="2:14" ht="12.75" customHeight="1">
      <c r="B37" s="8" t="s">
        <v>493</v>
      </c>
      <c r="C37" s="168"/>
      <c r="D37" s="168"/>
      <c r="E37" s="168"/>
      <c r="F37" s="168"/>
      <c r="G37" s="108"/>
      <c r="H37" s="108"/>
      <c r="I37" s="108"/>
      <c r="J37" s="108"/>
      <c r="K37" s="108"/>
      <c r="M37" s="8" t="s">
        <v>135</v>
      </c>
    </row>
    <row r="38" spans="2:14" ht="12.75" customHeight="1">
      <c r="B38" s="192" t="s">
        <v>18</v>
      </c>
      <c r="C38" s="377">
        <f t="shared" ref="C38:K38" si="6">SUM(C35:C37)</f>
        <v>464701</v>
      </c>
      <c r="D38" s="377">
        <f t="shared" si="6"/>
        <v>418934</v>
      </c>
      <c r="E38" s="377">
        <f t="shared" si="6"/>
        <v>343377</v>
      </c>
      <c r="F38" s="377">
        <f t="shared" si="6"/>
        <v>326453</v>
      </c>
      <c r="G38" s="377" t="e">
        <f t="shared" si="6"/>
        <v>#DIV/0!</v>
      </c>
      <c r="H38" s="377" t="e">
        <f t="shared" si="6"/>
        <v>#DIV/0!</v>
      </c>
      <c r="I38" s="377" t="e">
        <f t="shared" si="6"/>
        <v>#DIV/0!</v>
      </c>
      <c r="J38" s="377" t="e">
        <f t="shared" si="6"/>
        <v>#DIV/0!</v>
      </c>
      <c r="K38" s="377" t="e">
        <f t="shared" si="6"/>
        <v>#DIV/0!</v>
      </c>
      <c r="M38" s="38" t="s">
        <v>136</v>
      </c>
    </row>
    <row r="39" spans="2:14" ht="12.75" customHeight="1">
      <c r="B39" s="469" t="s">
        <v>469</v>
      </c>
      <c r="C39" s="470">
        <f>C38/C20</f>
        <v>1.0000021519259736</v>
      </c>
      <c r="D39" s="470">
        <f t="shared" ref="D39:K39" si="7">D38/D20</f>
        <v>1.0000023870165395</v>
      </c>
      <c r="E39" s="470">
        <f t="shared" si="7"/>
        <v>1.0000029122594474</v>
      </c>
      <c r="F39" s="470">
        <f t="shared" si="7"/>
        <v>1.0000030632374743</v>
      </c>
      <c r="G39" s="470" t="e">
        <f t="shared" si="7"/>
        <v>#DIV/0!</v>
      </c>
      <c r="H39" s="470" t="e">
        <f t="shared" si="7"/>
        <v>#DIV/0!</v>
      </c>
      <c r="I39" s="470" t="e">
        <f t="shared" si="7"/>
        <v>#DIV/0!</v>
      </c>
      <c r="J39" s="470" t="e">
        <f t="shared" si="7"/>
        <v>#DIV/0!</v>
      </c>
      <c r="K39" s="470" t="e">
        <f t="shared" si="7"/>
        <v>#DIV/0!</v>
      </c>
      <c r="M39" s="38"/>
    </row>
    <row r="40" spans="2:14" ht="5.0999999999999996" customHeight="1">
      <c r="B40" s="38"/>
      <c r="C40" s="109"/>
      <c r="D40" s="109"/>
      <c r="E40" s="109"/>
      <c r="F40" s="109"/>
      <c r="G40" s="109"/>
      <c r="H40" s="109"/>
      <c r="I40" s="109"/>
      <c r="J40" s="109"/>
      <c r="K40" s="109"/>
      <c r="M40" s="33"/>
    </row>
    <row r="41" spans="2:14" ht="12.75" customHeight="1">
      <c r="B41" s="110" t="s">
        <v>137</v>
      </c>
      <c r="C41" s="168"/>
      <c r="D41" s="168"/>
      <c r="E41" s="168"/>
      <c r="F41" s="168"/>
      <c r="G41" s="70"/>
      <c r="H41" s="70"/>
      <c r="I41" s="70"/>
      <c r="J41" s="70"/>
      <c r="K41" s="70"/>
      <c r="M41" s="8" t="s">
        <v>138</v>
      </c>
    </row>
    <row r="42" spans="2:14" ht="12.75" customHeight="1">
      <c r="B42" s="192" t="s">
        <v>11</v>
      </c>
      <c r="C42" s="377">
        <f t="shared" ref="C42:K42" si="8">C29+C41</f>
        <v>464700</v>
      </c>
      <c r="D42" s="377">
        <f t="shared" si="8"/>
        <v>418933</v>
      </c>
      <c r="E42" s="377">
        <f t="shared" si="8"/>
        <v>343376</v>
      </c>
      <c r="F42" s="377">
        <f t="shared" si="8"/>
        <v>326452</v>
      </c>
      <c r="G42" s="377" t="e">
        <f t="shared" si="8"/>
        <v>#DIV/0!</v>
      </c>
      <c r="H42" s="377" t="e">
        <f t="shared" si="8"/>
        <v>#DIV/0!</v>
      </c>
      <c r="I42" s="377" t="e">
        <f t="shared" si="8"/>
        <v>#DIV/0!</v>
      </c>
      <c r="J42" s="377" t="e">
        <f t="shared" si="8"/>
        <v>#DIV/0!</v>
      </c>
      <c r="K42" s="377" t="e">
        <f t="shared" si="8"/>
        <v>#DIV/0!</v>
      </c>
      <c r="M42" s="38" t="s">
        <v>139</v>
      </c>
    </row>
    <row r="43" spans="2:14" ht="12.75" customHeight="1">
      <c r="B43" s="469" t="s">
        <v>469</v>
      </c>
      <c r="C43" s="470">
        <f>C42/C20</f>
        <v>1</v>
      </c>
      <c r="D43" s="470">
        <f t="shared" ref="D43:K43" si="9">D42/D20</f>
        <v>1</v>
      </c>
      <c r="E43" s="470">
        <f t="shared" si="9"/>
        <v>1</v>
      </c>
      <c r="F43" s="470">
        <f t="shared" si="9"/>
        <v>1</v>
      </c>
      <c r="G43" s="470" t="e">
        <f t="shared" si="9"/>
        <v>#DIV/0!</v>
      </c>
      <c r="H43" s="470" t="e">
        <f t="shared" si="9"/>
        <v>#DIV/0!</v>
      </c>
      <c r="I43" s="470" t="e">
        <f t="shared" si="9"/>
        <v>#DIV/0!</v>
      </c>
      <c r="J43" s="470" t="e">
        <f t="shared" si="9"/>
        <v>#DIV/0!</v>
      </c>
      <c r="K43" s="470" t="e">
        <f t="shared" si="9"/>
        <v>#DIV/0!</v>
      </c>
      <c r="M43" s="38"/>
    </row>
    <row r="44" spans="2:14" ht="5.0999999999999996" customHeight="1">
      <c r="B44" s="38"/>
      <c r="C44" s="109"/>
      <c r="D44" s="109"/>
      <c r="E44" s="109"/>
      <c r="F44" s="109"/>
      <c r="G44" s="109"/>
      <c r="H44" s="109"/>
      <c r="I44" s="109"/>
      <c r="J44" s="109"/>
      <c r="K44" s="109"/>
      <c r="M44" s="33"/>
    </row>
    <row r="45" spans="2:14" ht="12.75" customHeight="1">
      <c r="B45" s="110" t="s">
        <v>140</v>
      </c>
      <c r="C45" s="168"/>
      <c r="D45" s="168"/>
      <c r="E45" s="168"/>
      <c r="F45" s="168"/>
      <c r="G45" s="70"/>
      <c r="H45" s="70"/>
      <c r="I45" s="70"/>
      <c r="J45" s="70"/>
      <c r="K45" s="70"/>
      <c r="M45" s="8" t="s">
        <v>141</v>
      </c>
    </row>
    <row r="46" spans="2:14" ht="12.75" customHeight="1">
      <c r="B46" s="374" t="s">
        <v>12</v>
      </c>
      <c r="C46" s="375">
        <f t="shared" ref="C46:K46" si="10">SUM(C42:C45)</f>
        <v>464701</v>
      </c>
      <c r="D46" s="375">
        <f t="shared" si="10"/>
        <v>418934</v>
      </c>
      <c r="E46" s="375">
        <f t="shared" si="10"/>
        <v>343377</v>
      </c>
      <c r="F46" s="375">
        <f t="shared" si="10"/>
        <v>326453</v>
      </c>
      <c r="G46" s="376" t="e">
        <f t="shared" si="10"/>
        <v>#DIV/0!</v>
      </c>
      <c r="H46" s="376" t="e">
        <f t="shared" si="10"/>
        <v>#DIV/0!</v>
      </c>
      <c r="I46" s="376" t="e">
        <f t="shared" si="10"/>
        <v>#DIV/0!</v>
      </c>
      <c r="J46" s="376" t="e">
        <f t="shared" si="10"/>
        <v>#DIV/0!</v>
      </c>
      <c r="K46" s="376" t="e">
        <f t="shared" si="10"/>
        <v>#DIV/0!</v>
      </c>
      <c r="M46" s="38" t="s">
        <v>142</v>
      </c>
    </row>
    <row r="47" spans="2:14" ht="12.75" customHeight="1">
      <c r="B47" s="469" t="s">
        <v>469</v>
      </c>
      <c r="C47" s="470">
        <f>C46/C20</f>
        <v>1.0000021519259736</v>
      </c>
      <c r="D47" s="470">
        <f t="shared" ref="D47:K47" si="11">D46/D20</f>
        <v>1.0000023870165395</v>
      </c>
      <c r="E47" s="470">
        <f t="shared" si="11"/>
        <v>1.0000029122594474</v>
      </c>
      <c r="F47" s="470">
        <f t="shared" si="11"/>
        <v>1.0000030632374743</v>
      </c>
      <c r="G47" s="470" t="e">
        <f t="shared" si="11"/>
        <v>#DIV/0!</v>
      </c>
      <c r="H47" s="470" t="e">
        <f t="shared" si="11"/>
        <v>#DIV/0!</v>
      </c>
      <c r="I47" s="470" t="e">
        <f t="shared" si="11"/>
        <v>#DIV/0!</v>
      </c>
      <c r="J47" s="470" t="e">
        <f t="shared" si="11"/>
        <v>#DIV/0!</v>
      </c>
      <c r="K47" s="470" t="e">
        <f t="shared" si="11"/>
        <v>#DIV/0!</v>
      </c>
      <c r="M47" s="38"/>
    </row>
    <row r="48" spans="2:14">
      <c r="B48" s="65"/>
      <c r="G48" s="112"/>
    </row>
    <row r="49" spans="1:20">
      <c r="B49" s="368" t="s">
        <v>143</v>
      </c>
      <c r="C49" s="366"/>
      <c r="D49" s="366"/>
      <c r="E49" s="366"/>
      <c r="F49" s="366"/>
      <c r="G49" s="366"/>
      <c r="H49" s="366"/>
      <c r="I49" s="366"/>
      <c r="J49" s="366"/>
      <c r="K49" s="367"/>
    </row>
    <row r="50" spans="1:20" ht="5.0999999999999996" customHeight="1">
      <c r="B50" s="371"/>
      <c r="C50" s="369"/>
      <c r="D50" s="369"/>
      <c r="E50" s="369"/>
      <c r="F50" s="369"/>
      <c r="G50" s="369"/>
      <c r="H50" s="369"/>
      <c r="I50" s="369"/>
      <c r="J50" s="369"/>
      <c r="K50" s="370"/>
    </row>
    <row r="51" spans="1:20">
      <c r="B51" s="482" t="s">
        <v>144</v>
      </c>
      <c r="C51" s="114"/>
      <c r="D51" s="114">
        <f>D20/C20-1</f>
        <v>-9.8487196040456193E-2</v>
      </c>
      <c r="E51" s="114">
        <f>E20/D20-1</f>
        <v>-0.18035580868539836</v>
      </c>
      <c r="F51" s="114">
        <f>F20/E20-1</f>
        <v>-4.9287078887283897E-2</v>
      </c>
      <c r="G51" s="461"/>
      <c r="H51" s="461">
        <f>'Street Consensus'!M48</f>
        <v>6.2821838831287224E-2</v>
      </c>
      <c r="I51" s="461">
        <f>'Street Consensus'!N48</f>
        <v>6.8996967425783429E-2</v>
      </c>
      <c r="J51" s="461">
        <f>'Street Consensus'!O48</f>
        <v>5.3095051796145709E-2</v>
      </c>
      <c r="K51" s="461">
        <f>'Street Consensus'!P48</f>
        <v>6.0982129633159632E-2</v>
      </c>
      <c r="M51" s="8" t="s">
        <v>491</v>
      </c>
      <c r="O51" s="115"/>
      <c r="P51" s="115"/>
      <c r="Q51" s="115"/>
      <c r="R51" s="115"/>
      <c r="S51" s="115"/>
      <c r="T51" s="115"/>
    </row>
    <row r="52" spans="1:20">
      <c r="B52" s="460" t="s">
        <v>285</v>
      </c>
      <c r="C52" s="114"/>
      <c r="D52" s="114">
        <f t="shared" ref="D52:F53" si="12">SUM(D18/C18)-1</f>
        <v>-8.986495014514706E-2</v>
      </c>
      <c r="E52" s="114">
        <f t="shared" si="12"/>
        <v>-0.26615164501388466</v>
      </c>
      <c r="F52" s="114">
        <f t="shared" si="12"/>
        <v>-2.9350626604536245E-2</v>
      </c>
      <c r="G52" s="461" t="e">
        <f>'Street Consensus'!L61</f>
        <v>#DIV/0!</v>
      </c>
      <c r="H52" s="461">
        <f>'Street Consensus'!M61</f>
        <v>5.6362565232227158E-2</v>
      </c>
      <c r="I52" s="461">
        <f>'Street Consensus'!N61</f>
        <v>5.6705375179828099E-2</v>
      </c>
      <c r="J52" s="461">
        <f>'Street Consensus'!O61</f>
        <v>3.9855672240646345E-2</v>
      </c>
      <c r="K52" s="461">
        <f>'Street Consensus'!P61</f>
        <v>3.9855672240646345E-2</v>
      </c>
      <c r="M52" s="8" t="s">
        <v>491</v>
      </c>
      <c r="O52" s="115"/>
      <c r="P52" s="115"/>
      <c r="Q52" s="115"/>
      <c r="R52" s="115"/>
      <c r="S52" s="115"/>
      <c r="T52" s="115"/>
    </row>
    <row r="53" spans="1:20">
      <c r="B53" s="460" t="s">
        <v>286</v>
      </c>
      <c r="C53" s="114"/>
      <c r="D53" s="114">
        <f t="shared" si="12"/>
        <v>-0.11851391063729377</v>
      </c>
      <c r="E53" s="114">
        <f t="shared" si="12"/>
        <v>2.5397057153518032E-2</v>
      </c>
      <c r="F53" s="114">
        <f t="shared" si="12"/>
        <v>-8.3504069992801355E-2</v>
      </c>
      <c r="G53" s="461" t="e">
        <f>'Street Consensus'!L87</f>
        <v>#REF!</v>
      </c>
      <c r="H53" s="461">
        <f>'Street Consensus'!M87</f>
        <v>3.0647886772335764E-2</v>
      </c>
      <c r="I53" s="461">
        <f>'Street Consensus'!N87</f>
        <v>3.7322527746396661E-2</v>
      </c>
      <c r="J53" s="461">
        <f>'Street Consensus'!O87</f>
        <v>4.2385207844392481E-2</v>
      </c>
      <c r="K53" s="461">
        <f>'Street Consensus'!P87</f>
        <v>4.2385207844392481E-2</v>
      </c>
      <c r="M53" s="8" t="s">
        <v>491</v>
      </c>
      <c r="O53" s="115"/>
      <c r="P53" s="115"/>
      <c r="Q53" s="115"/>
      <c r="R53" s="115"/>
      <c r="S53" s="115"/>
      <c r="T53" s="115"/>
    </row>
    <row r="54" spans="1:20" ht="5.0999999999999996" customHeight="1">
      <c r="B54" s="364"/>
      <c r="C54" s="114"/>
      <c r="D54" s="114"/>
      <c r="E54" s="114"/>
      <c r="F54" s="114"/>
      <c r="G54" s="114"/>
      <c r="H54" s="114"/>
      <c r="I54" s="114"/>
      <c r="J54" s="114"/>
      <c r="K54" s="365"/>
      <c r="O54" s="115"/>
      <c r="P54" s="115"/>
      <c r="Q54" s="115"/>
      <c r="R54" s="115"/>
      <c r="S54" s="115"/>
      <c r="T54" s="115"/>
    </row>
    <row r="55" spans="1:20">
      <c r="B55" s="364" t="s">
        <v>145</v>
      </c>
      <c r="C55" s="114">
        <f>C24/C20</f>
        <v>1</v>
      </c>
      <c r="D55" s="114">
        <f>D24/D20</f>
        <v>1</v>
      </c>
      <c r="E55" s="114">
        <f>E24/E20</f>
        <v>1</v>
      </c>
      <c r="F55" s="114">
        <f>F24/F20</f>
        <v>1</v>
      </c>
      <c r="G55" s="461">
        <f>'Street Consensus'!L130</f>
        <v>0.46708322798906826</v>
      </c>
      <c r="H55" s="461">
        <f>'Street Consensus'!M130</f>
        <v>0.47099999999999997</v>
      </c>
      <c r="I55" s="461">
        <f>'Street Consensus'!N130</f>
        <v>0.47699999999999998</v>
      </c>
      <c r="J55" s="461">
        <f>'Street Consensus'!O130</f>
        <v>0.48199999999999998</v>
      </c>
      <c r="K55" s="461">
        <f>'Street Consensus'!P130</f>
        <v>0.48199999999999998</v>
      </c>
      <c r="M55" s="8" t="s">
        <v>491</v>
      </c>
      <c r="O55" s="115"/>
      <c r="P55" s="115"/>
      <c r="Q55" s="115"/>
      <c r="R55" s="115"/>
      <c r="S55" s="115"/>
      <c r="T55" s="115"/>
    </row>
    <row r="56" spans="1:20">
      <c r="B56" s="364" t="s">
        <v>146</v>
      </c>
      <c r="C56" s="114">
        <f>-C27/C18</f>
        <v>0</v>
      </c>
      <c r="D56" s="114">
        <f>-D27/D18</f>
        <v>0</v>
      </c>
      <c r="E56" s="114">
        <f>-E27/E18</f>
        <v>0</v>
      </c>
      <c r="F56" s="114">
        <f>-F27/F18</f>
        <v>0</v>
      </c>
      <c r="G56" s="461">
        <f>'Street Consensus'!L143</f>
        <v>0.12356686240856643</v>
      </c>
      <c r="H56" s="461">
        <f>'Street Consensus'!M143</f>
        <v>0.12667183952399469</v>
      </c>
      <c r="I56" s="461">
        <f>'Street Consensus'!N143</f>
        <v>0.13025020422019146</v>
      </c>
      <c r="J56" s="461">
        <f>'Street Consensus'!O143</f>
        <v>0.13438285903375247</v>
      </c>
      <c r="K56" s="461">
        <f>'Street Consensus'!P143</f>
        <v>0.13188285903375246</v>
      </c>
      <c r="M56" s="8" t="s">
        <v>491</v>
      </c>
      <c r="O56" s="115"/>
      <c r="P56" s="115"/>
      <c r="Q56" s="115"/>
      <c r="R56" s="115"/>
      <c r="S56" s="115"/>
      <c r="T56" s="115"/>
    </row>
    <row r="57" spans="1:20">
      <c r="B57" s="364" t="s">
        <v>147</v>
      </c>
      <c r="C57" s="114">
        <f>-C28/C18</f>
        <v>0</v>
      </c>
      <c r="D57" s="114">
        <f>-D28/D18</f>
        <v>0</v>
      </c>
      <c r="E57" s="114">
        <f>-E28/E18</f>
        <v>0</v>
      </c>
      <c r="F57" s="114">
        <f>-F28/F18</f>
        <v>0</v>
      </c>
      <c r="G57" s="461">
        <f>'Street Consensus'!L156</f>
        <v>6.6929088478232396E-2</v>
      </c>
      <c r="H57" s="461">
        <f>'Street Consensus'!M156</f>
        <v>6.8371495351126688E-2</v>
      </c>
      <c r="I57" s="461">
        <f>'Street Consensus'!N156</f>
        <v>6.9180673980490159E-2</v>
      </c>
      <c r="J57" s="461">
        <f>'Street Consensus'!O156</f>
        <v>7.0901907700731889E-2</v>
      </c>
      <c r="K57" s="461">
        <f>'Street Consensus'!P156</f>
        <v>6.9101622530000406E-2</v>
      </c>
      <c r="M57" s="8" t="s">
        <v>491</v>
      </c>
      <c r="O57" s="115"/>
      <c r="P57" s="115"/>
      <c r="Q57" s="115"/>
      <c r="R57" s="115"/>
      <c r="S57" s="115"/>
      <c r="T57" s="115"/>
    </row>
    <row r="58" spans="1:20">
      <c r="B58" s="364" t="s">
        <v>148</v>
      </c>
      <c r="C58" s="114">
        <f>-(C37/C35)</f>
        <v>0</v>
      </c>
      <c r="D58" s="114">
        <f>-(D37/D35)</f>
        <v>0</v>
      </c>
      <c r="E58" s="114">
        <f>-(E37/E35)</f>
        <v>0</v>
      </c>
      <c r="F58" s="114">
        <f>-(F37/F35)</f>
        <v>0</v>
      </c>
      <c r="G58" s="461">
        <f>'Street Consensus'!L171</f>
        <v>0.158</v>
      </c>
      <c r="H58" s="461">
        <f>'Street Consensus'!M171</f>
        <v>0.16</v>
      </c>
      <c r="I58" s="461">
        <f>'Street Consensus'!N171</f>
        <v>0.16</v>
      </c>
      <c r="J58" s="461">
        <f>'Street Consensus'!O171</f>
        <v>0.16</v>
      </c>
      <c r="K58" s="461">
        <f>'Street Consensus'!P171</f>
        <v>0.16</v>
      </c>
      <c r="M58" s="8" t="s">
        <v>491</v>
      </c>
      <c r="O58" s="115"/>
      <c r="P58" s="115"/>
      <c r="Q58" s="115"/>
      <c r="R58" s="115"/>
      <c r="S58" s="115"/>
      <c r="T58" s="115"/>
    </row>
    <row r="59" spans="1:20" ht="5.0999999999999996" customHeight="1">
      <c r="B59" s="65"/>
      <c r="C59" s="65"/>
      <c r="G59" s="112"/>
    </row>
    <row r="60" spans="1:20">
      <c r="B60" s="364" t="s">
        <v>501</v>
      </c>
      <c r="C60" s="114"/>
      <c r="D60" s="114" t="e">
        <f>D41/C41-1</f>
        <v>#DIV/0!</v>
      </c>
      <c r="E60" s="114" t="e">
        <f>E41/D41-1</f>
        <v>#DIV/0!</v>
      </c>
      <c r="F60" s="114" t="e">
        <f>F41/E41-1</f>
        <v>#DIV/0!</v>
      </c>
      <c r="G60" s="461" t="e">
        <f>'Street Consensus'!L186</f>
        <v>#DIV/0!</v>
      </c>
      <c r="H60" s="461">
        <f>'Street Consensus'!M186</f>
        <v>0.14078064485041231</v>
      </c>
      <c r="I60" s="461">
        <f>'Street Consensus'!N186</f>
        <v>7.3981336758025873E-2</v>
      </c>
      <c r="J60" s="461">
        <f>'Street Consensus'!O186</f>
        <v>7.3981336758025873E-2</v>
      </c>
      <c r="K60" s="461">
        <f>'Street Consensus'!P186</f>
        <v>9.1516339729168061E-2</v>
      </c>
      <c r="M60" s="8" t="s">
        <v>491</v>
      </c>
    </row>
    <row r="61" spans="1:20">
      <c r="B61" s="364" t="s">
        <v>503</v>
      </c>
      <c r="C61" s="114"/>
      <c r="D61" s="114" t="e">
        <f>D45/C45-1</f>
        <v>#DIV/0!</v>
      </c>
      <c r="E61" s="114" t="e">
        <f>E45/D45-1</f>
        <v>#DIV/0!</v>
      </c>
      <c r="F61" s="114" t="e">
        <f>F45/E45-1</f>
        <v>#DIV/0!</v>
      </c>
      <c r="G61" s="461" t="e">
        <f>'Street Consensus'!L197</f>
        <v>#DIV/0!</v>
      </c>
      <c r="H61" s="461">
        <f>'Street Consensus'!M197</f>
        <v>6.8349635297257905E-2</v>
      </c>
      <c r="I61" s="461">
        <f>'Street Consensus'!N197</f>
        <v>7.7013517625373895E-2</v>
      </c>
      <c r="J61" s="461">
        <f>'Street Consensus'!O197</f>
        <v>5.0342857624195325E-2</v>
      </c>
      <c r="K61" s="461">
        <f>'Street Consensus'!P197</f>
        <v>4.4944268397854925E-2</v>
      </c>
      <c r="M61" s="8" t="s">
        <v>491</v>
      </c>
    </row>
    <row r="62" spans="1:20">
      <c r="B62" s="65"/>
      <c r="C62" s="65"/>
      <c r="G62" s="112"/>
    </row>
    <row r="63" spans="1:20">
      <c r="A63" s="358" t="s">
        <v>25</v>
      </c>
      <c r="B63" s="394" t="s">
        <v>456</v>
      </c>
      <c r="C63" s="400" t="s">
        <v>453</v>
      </c>
      <c r="D63" s="400"/>
      <c r="E63" s="400"/>
      <c r="F63" s="400"/>
      <c r="G63" s="400" t="s">
        <v>182</v>
      </c>
      <c r="H63" s="400"/>
      <c r="I63" s="400"/>
      <c r="J63" s="400"/>
      <c r="K63" s="400"/>
    </row>
    <row r="64" spans="1:20">
      <c r="B64" s="395" t="str">
        <f t="shared" ref="B64:K64" si="13">B15</f>
        <v xml:space="preserve">Fiscal year  </v>
      </c>
      <c r="C64" s="396">
        <f t="shared" si="13"/>
        <v>2021</v>
      </c>
      <c r="D64" s="396">
        <f t="shared" si="13"/>
        <v>2022</v>
      </c>
      <c r="E64" s="396">
        <f t="shared" si="13"/>
        <v>2023</v>
      </c>
      <c r="F64" s="396">
        <f t="shared" si="13"/>
        <v>2024</v>
      </c>
      <c r="G64" s="397">
        <f t="shared" si="13"/>
        <v>2025</v>
      </c>
      <c r="H64" s="397">
        <f t="shared" si="13"/>
        <v>2026</v>
      </c>
      <c r="I64" s="397">
        <f t="shared" si="13"/>
        <v>2027</v>
      </c>
      <c r="J64" s="397">
        <f t="shared" si="13"/>
        <v>2028</v>
      </c>
      <c r="K64" s="397">
        <f t="shared" si="13"/>
        <v>2029</v>
      </c>
    </row>
    <row r="65" spans="2:14">
      <c r="B65" s="395" t="str">
        <f t="shared" ref="B65:K65" si="14">B16</f>
        <v>Fiscal year end date</v>
      </c>
      <c r="C65" s="398">
        <f t="shared" si="14"/>
        <v>44561</v>
      </c>
      <c r="D65" s="398">
        <f t="shared" si="14"/>
        <v>44926</v>
      </c>
      <c r="E65" s="398">
        <f t="shared" si="14"/>
        <v>45291</v>
      </c>
      <c r="F65" s="398">
        <f t="shared" si="14"/>
        <v>45657</v>
      </c>
      <c r="G65" s="398">
        <f t="shared" si="14"/>
        <v>46022</v>
      </c>
      <c r="H65" s="398">
        <f t="shared" si="14"/>
        <v>46387</v>
      </c>
      <c r="I65" s="398">
        <f t="shared" si="14"/>
        <v>46752</v>
      </c>
      <c r="J65" s="398">
        <f t="shared" si="14"/>
        <v>47118</v>
      </c>
      <c r="K65" s="398">
        <f t="shared" si="14"/>
        <v>47483</v>
      </c>
    </row>
    <row r="66" spans="2:14" ht="5.0999999999999996" customHeight="1">
      <c r="B66" s="372"/>
      <c r="C66" s="373"/>
      <c r="D66" s="373"/>
      <c r="E66" s="373"/>
      <c r="F66" s="373"/>
      <c r="G66" s="373"/>
      <c r="H66" s="373"/>
      <c r="I66" s="373"/>
      <c r="J66" s="373"/>
      <c r="K66" s="373"/>
    </row>
    <row r="67" spans="2:14" ht="12.75" customHeight="1">
      <c r="B67" s="8" t="s">
        <v>149</v>
      </c>
      <c r="C67" s="380"/>
      <c r="D67" s="380"/>
      <c r="E67" s="380"/>
      <c r="F67" s="380"/>
      <c r="G67" s="379" t="e">
        <f>+F67+G112</f>
        <v>#DIV/0!</v>
      </c>
      <c r="H67" s="379" t="e">
        <f>+G67+H112</f>
        <v>#DIV/0!</v>
      </c>
      <c r="I67" s="379" t="e">
        <f>+H67+I112</f>
        <v>#DIV/0!</v>
      </c>
      <c r="J67" s="379" t="e">
        <f>+I67+J112</f>
        <v>#DIV/0!</v>
      </c>
      <c r="K67" s="379" t="e">
        <f>+J67+K112</f>
        <v>#DIV/0!</v>
      </c>
      <c r="M67" s="8" t="s">
        <v>150</v>
      </c>
    </row>
    <row r="68" spans="2:14" ht="12.75" customHeight="1">
      <c r="B68" s="8" t="s">
        <v>15</v>
      </c>
      <c r="C68" s="380"/>
      <c r="D68" s="380"/>
      <c r="E68" s="380"/>
      <c r="F68" s="380"/>
      <c r="G68" s="379">
        <f>F68*(1+G51)</f>
        <v>0</v>
      </c>
      <c r="H68" s="379">
        <f>G68*(1+H51)</f>
        <v>0</v>
      </c>
      <c r="I68" s="379">
        <f>H68*(1+I51)</f>
        <v>0</v>
      </c>
      <c r="J68" s="379">
        <f>I68*(1+J51)</f>
        <v>0</v>
      </c>
      <c r="K68" s="379">
        <f>J68*(1+K51)</f>
        <v>0</v>
      </c>
      <c r="M68" s="8" t="s">
        <v>151</v>
      </c>
    </row>
    <row r="69" spans="2:14" ht="12.75" customHeight="1">
      <c r="B69" s="8" t="s">
        <v>16</v>
      </c>
      <c r="C69" s="380"/>
      <c r="D69" s="380"/>
      <c r="E69" s="380"/>
      <c r="F69" s="380"/>
      <c r="G69" s="379" t="e">
        <f>F69*G23/F23</f>
        <v>#DIV/0!</v>
      </c>
      <c r="H69" s="379" t="e">
        <f>G69*H23/G23</f>
        <v>#DIV/0!</v>
      </c>
      <c r="I69" s="379" t="e">
        <f>H69*I23/H23</f>
        <v>#DIV/0!</v>
      </c>
      <c r="J69" s="379" t="e">
        <f>I69*J23/I23</f>
        <v>#DIV/0!</v>
      </c>
      <c r="K69" s="379" t="e">
        <f>J69*K23/J23</f>
        <v>#DIV/0!</v>
      </c>
      <c r="M69" s="8" t="s">
        <v>152</v>
      </c>
    </row>
    <row r="70" spans="2:14" ht="12.75" customHeight="1">
      <c r="B70" s="8" t="s">
        <v>21</v>
      </c>
      <c r="C70" s="380"/>
      <c r="D70" s="380"/>
      <c r="E70" s="380"/>
      <c r="F70" s="380"/>
      <c r="G70" s="379">
        <f>F70*(1+G51)</f>
        <v>0</v>
      </c>
      <c r="H70" s="379">
        <f>G70*(1+H51)</f>
        <v>0</v>
      </c>
      <c r="I70" s="379">
        <f>H70*(1+I51)</f>
        <v>0</v>
      </c>
      <c r="J70" s="379">
        <f>I70*(1+J51)</f>
        <v>0</v>
      </c>
      <c r="K70" s="379">
        <f>J70*(1+K51)</f>
        <v>0</v>
      </c>
      <c r="M70" s="8" t="s">
        <v>151</v>
      </c>
      <c r="N70" s="70"/>
    </row>
    <row r="71" spans="2:14" ht="12.75" customHeight="1">
      <c r="B71" s="8" t="s">
        <v>153</v>
      </c>
      <c r="C71" s="380"/>
      <c r="D71" s="380"/>
      <c r="E71" s="380"/>
      <c r="F71" s="380"/>
      <c r="G71" s="379"/>
      <c r="H71" s="379"/>
      <c r="I71" s="379"/>
      <c r="J71" s="379"/>
      <c r="K71" s="379"/>
      <c r="M71" s="8" t="s">
        <v>154</v>
      </c>
    </row>
    <row r="72" spans="2:14" ht="12.75" customHeight="1">
      <c r="B72" s="8" t="s">
        <v>155</v>
      </c>
      <c r="C72" s="380"/>
      <c r="D72" s="380"/>
      <c r="E72" s="380"/>
      <c r="F72" s="380"/>
      <c r="G72" s="379">
        <f>F72*(1+G51)</f>
        <v>0</v>
      </c>
      <c r="H72" s="379">
        <f>G72*(1+H51)</f>
        <v>0</v>
      </c>
      <c r="I72" s="379">
        <f>H72*(1+I51)</f>
        <v>0</v>
      </c>
      <c r="J72" s="379">
        <f>I72*(1+J51)</f>
        <v>0</v>
      </c>
      <c r="K72" s="379">
        <f>J72*(1+K51)</f>
        <v>0</v>
      </c>
      <c r="M72" s="8" t="s">
        <v>151</v>
      </c>
    </row>
    <row r="73" spans="2:14" ht="12.75" customHeight="1">
      <c r="B73" s="374" t="s">
        <v>30</v>
      </c>
      <c r="C73" s="375">
        <f>SUM(C67:C72)</f>
        <v>0</v>
      </c>
      <c r="D73" s="375">
        <f>SUM(D67:D72)</f>
        <v>0</v>
      </c>
      <c r="E73" s="375">
        <f>SUM(E67:E72)</f>
        <v>0</v>
      </c>
      <c r="F73" s="375">
        <f t="shared" ref="F73:K73" si="15">SUM(F67:F72)</f>
        <v>0</v>
      </c>
      <c r="G73" s="376" t="e">
        <f t="shared" si="15"/>
        <v>#DIV/0!</v>
      </c>
      <c r="H73" s="376" t="e">
        <f t="shared" si="15"/>
        <v>#DIV/0!</v>
      </c>
      <c r="I73" s="376" t="e">
        <f t="shared" si="15"/>
        <v>#DIV/0!</v>
      </c>
      <c r="J73" s="376" t="e">
        <f t="shared" si="15"/>
        <v>#DIV/0!</v>
      </c>
      <c r="K73" s="376" t="e">
        <f t="shared" si="15"/>
        <v>#DIV/0!</v>
      </c>
    </row>
    <row r="74" spans="2:14" ht="5.0999999999999996" customHeight="1">
      <c r="B74" s="110"/>
      <c r="C74" s="110"/>
      <c r="D74" s="70"/>
      <c r="E74" s="70"/>
      <c r="F74" s="70"/>
      <c r="G74" s="70"/>
      <c r="H74" s="70"/>
      <c r="I74" s="70"/>
      <c r="J74" s="70"/>
      <c r="K74" s="70"/>
    </row>
    <row r="75" spans="2:14" ht="12.75" customHeight="1">
      <c r="B75" s="110" t="s">
        <v>17</v>
      </c>
      <c r="C75" s="380"/>
      <c r="D75" s="380"/>
      <c r="E75" s="380"/>
      <c r="F75" s="380"/>
      <c r="G75" s="379" t="e">
        <f>F75*G23/F23</f>
        <v>#DIV/0!</v>
      </c>
      <c r="H75" s="379" t="e">
        <f>G75*H23/G23</f>
        <v>#DIV/0!</v>
      </c>
      <c r="I75" s="379" t="e">
        <f>H75*I23/H23</f>
        <v>#DIV/0!</v>
      </c>
      <c r="J75" s="379" t="e">
        <f>I75*J23/I23</f>
        <v>#DIV/0!</v>
      </c>
      <c r="K75" s="379" t="e">
        <f>J75*K23/J23</f>
        <v>#DIV/0!</v>
      </c>
      <c r="M75" s="8" t="s">
        <v>152</v>
      </c>
    </row>
    <row r="76" spans="2:14" ht="12.75" customHeight="1">
      <c r="B76" s="110" t="s">
        <v>156</v>
      </c>
      <c r="C76" s="380"/>
      <c r="D76" s="380"/>
      <c r="E76" s="380"/>
      <c r="F76" s="380"/>
      <c r="G76" s="379">
        <f>F76*(1+G51)</f>
        <v>0</v>
      </c>
      <c r="H76" s="379">
        <f>G76*(1+H51)</f>
        <v>0</v>
      </c>
      <c r="I76" s="379">
        <f>H76*(1+I51)</f>
        <v>0</v>
      </c>
      <c r="J76" s="379">
        <f>I76*(1+J51)</f>
        <v>0</v>
      </c>
      <c r="K76" s="379">
        <f>J76*(1+K51)</f>
        <v>0</v>
      </c>
      <c r="M76" s="8" t="s">
        <v>151</v>
      </c>
    </row>
    <row r="77" spans="2:14" ht="12.75" customHeight="1">
      <c r="B77" s="110" t="s">
        <v>157</v>
      </c>
      <c r="C77" s="380"/>
      <c r="D77" s="380"/>
      <c r="E77" s="380"/>
      <c r="F77" s="380"/>
      <c r="G77" s="379">
        <f>F77*(1+G51)</f>
        <v>0</v>
      </c>
      <c r="H77" s="379">
        <f>G77*(1+H51)</f>
        <v>0</v>
      </c>
      <c r="I77" s="379">
        <f>H77*(1+I51)</f>
        <v>0</v>
      </c>
      <c r="J77" s="379">
        <f>I77*(1+J51)</f>
        <v>0</v>
      </c>
      <c r="K77" s="379">
        <f>J77*(1+K51)</f>
        <v>0</v>
      </c>
      <c r="M77" s="8" t="s">
        <v>151</v>
      </c>
      <c r="N77" s="70"/>
    </row>
    <row r="78" spans="2:14" ht="12.75" customHeight="1">
      <c r="B78" s="110" t="s">
        <v>158</v>
      </c>
      <c r="C78" s="380"/>
      <c r="D78" s="380"/>
      <c r="E78" s="380"/>
      <c r="F78" s="380"/>
      <c r="G78" s="379" t="e">
        <f>G162</f>
        <v>#DIV/0!</v>
      </c>
      <c r="H78" s="379" t="e">
        <f>H162</f>
        <v>#DIV/0!</v>
      </c>
      <c r="I78" s="379" t="e">
        <f>I162</f>
        <v>#DIV/0!</v>
      </c>
      <c r="J78" s="379" t="e">
        <f>J162</f>
        <v>#DIV/0!</v>
      </c>
      <c r="K78" s="379" t="e">
        <f>K162</f>
        <v>#DIV/0!</v>
      </c>
      <c r="M78" s="8" t="s">
        <v>159</v>
      </c>
    </row>
    <row r="79" spans="2:14" ht="12.75" customHeight="1">
      <c r="B79" s="110" t="s">
        <v>160</v>
      </c>
      <c r="C79" s="380"/>
      <c r="D79" s="380"/>
      <c r="E79" s="380"/>
      <c r="F79" s="380"/>
      <c r="G79" s="379">
        <f>F79</f>
        <v>0</v>
      </c>
      <c r="H79" s="379">
        <f>G79</f>
        <v>0</v>
      </c>
      <c r="I79" s="379">
        <f>H79</f>
        <v>0</v>
      </c>
      <c r="J79" s="379">
        <f>I79</f>
        <v>0</v>
      </c>
      <c r="K79" s="379">
        <f>J79</f>
        <v>0</v>
      </c>
      <c r="M79" s="8" t="s">
        <v>161</v>
      </c>
    </row>
    <row r="80" spans="2:14" ht="12.75" customHeight="1">
      <c r="B80" s="110" t="s">
        <v>162</v>
      </c>
      <c r="C80" s="380"/>
      <c r="D80" s="380"/>
      <c r="E80" s="380"/>
      <c r="F80" s="380"/>
      <c r="G80" s="379">
        <f>F80*(1+G51)</f>
        <v>0</v>
      </c>
      <c r="H80" s="379">
        <f>G80*(1+H51)</f>
        <v>0</v>
      </c>
      <c r="I80" s="379">
        <f>H80*(1+I51)</f>
        <v>0</v>
      </c>
      <c r="J80" s="379">
        <f>I80*(1+J51)</f>
        <v>0</v>
      </c>
      <c r="K80" s="379">
        <f>J80*(1+K51)</f>
        <v>0</v>
      </c>
      <c r="M80" s="8" t="s">
        <v>151</v>
      </c>
    </row>
    <row r="81" spans="1:14" ht="12.75" customHeight="1">
      <c r="B81" s="374" t="s">
        <v>163</v>
      </c>
      <c r="C81" s="375">
        <f>SUM(C75:C80)</f>
        <v>0</v>
      </c>
      <c r="D81" s="375">
        <f>SUM(D75:D80)</f>
        <v>0</v>
      </c>
      <c r="E81" s="375">
        <f>SUM(E75:E80)</f>
        <v>0</v>
      </c>
      <c r="F81" s="375">
        <f t="shared" ref="F81:K81" si="16">SUM(F75:F80)</f>
        <v>0</v>
      </c>
      <c r="G81" s="376" t="e">
        <f t="shared" si="16"/>
        <v>#DIV/0!</v>
      </c>
      <c r="H81" s="376" t="e">
        <f t="shared" si="16"/>
        <v>#DIV/0!</v>
      </c>
      <c r="I81" s="376" t="e">
        <f t="shared" si="16"/>
        <v>#DIV/0!</v>
      </c>
      <c r="J81" s="376" t="e">
        <f t="shared" si="16"/>
        <v>#DIV/0!</v>
      </c>
      <c r="K81" s="376" t="e">
        <f t="shared" si="16"/>
        <v>#DIV/0!</v>
      </c>
    </row>
    <row r="82" spans="1:14" ht="5.0999999999999996" customHeight="1">
      <c r="B82" s="111"/>
      <c r="C82" s="111"/>
      <c r="D82" s="109"/>
      <c r="E82" s="109"/>
      <c r="F82" s="109"/>
      <c r="G82" s="70"/>
      <c r="H82" s="70"/>
      <c r="I82" s="70"/>
      <c r="J82" s="70"/>
      <c r="K82" s="70"/>
    </row>
    <row r="83" spans="1:14" ht="12.75" customHeight="1">
      <c r="B83" s="110" t="s">
        <v>27</v>
      </c>
      <c r="C83" s="380"/>
      <c r="D83" s="380"/>
      <c r="E83" s="380"/>
      <c r="F83" s="380"/>
      <c r="G83" s="379">
        <f>F83+G45</f>
        <v>0</v>
      </c>
      <c r="H83" s="379">
        <f>G83+H45</f>
        <v>0</v>
      </c>
      <c r="I83" s="379">
        <f>H83+I45</f>
        <v>0</v>
      </c>
      <c r="J83" s="379">
        <f>I83+J45</f>
        <v>0</v>
      </c>
      <c r="K83" s="379">
        <f>J83+K45</f>
        <v>0</v>
      </c>
      <c r="M83" s="8" t="s">
        <v>164</v>
      </c>
    </row>
    <row r="84" spans="1:14" ht="12.75" customHeight="1">
      <c r="B84" s="110" t="s">
        <v>165</v>
      </c>
      <c r="C84" s="380"/>
      <c r="D84" s="380"/>
      <c r="E84" s="380"/>
      <c r="F84" s="380"/>
      <c r="G84" s="379"/>
      <c r="H84" s="379"/>
      <c r="I84" s="379"/>
      <c r="J84" s="379"/>
      <c r="K84" s="379"/>
      <c r="M84" s="8" t="s">
        <v>166</v>
      </c>
      <c r="N84" s="70"/>
    </row>
    <row r="85" spans="1:14" ht="12.75" customHeight="1">
      <c r="B85" s="110" t="s">
        <v>167</v>
      </c>
      <c r="C85" s="380"/>
      <c r="D85" s="380"/>
      <c r="E85" s="380"/>
      <c r="F85" s="380"/>
      <c r="G85" s="379">
        <f>F85</f>
        <v>0</v>
      </c>
      <c r="H85" s="379">
        <f>G85</f>
        <v>0</v>
      </c>
      <c r="I85" s="379">
        <f>H85</f>
        <v>0</v>
      </c>
      <c r="J85" s="379">
        <f>I85</f>
        <v>0</v>
      </c>
      <c r="K85" s="379">
        <f>J85</f>
        <v>0</v>
      </c>
      <c r="M85" s="8" t="s">
        <v>161</v>
      </c>
    </row>
    <row r="86" spans="1:14" ht="12.75" customHeight="1">
      <c r="B86" s="374" t="s">
        <v>168</v>
      </c>
      <c r="C86" s="375">
        <f t="shared" ref="C86:K86" si="17">SUM(C83:C85)</f>
        <v>0</v>
      </c>
      <c r="D86" s="375">
        <f t="shared" si="17"/>
        <v>0</v>
      </c>
      <c r="E86" s="375">
        <f t="shared" si="17"/>
        <v>0</v>
      </c>
      <c r="F86" s="375">
        <f t="shared" si="17"/>
        <v>0</v>
      </c>
      <c r="G86" s="376">
        <f t="shared" si="17"/>
        <v>0</v>
      </c>
      <c r="H86" s="376">
        <f t="shared" si="17"/>
        <v>0</v>
      </c>
      <c r="I86" s="376">
        <f t="shared" si="17"/>
        <v>0</v>
      </c>
      <c r="J86" s="376">
        <f t="shared" si="17"/>
        <v>0</v>
      </c>
      <c r="K86" s="376">
        <f t="shared" si="17"/>
        <v>0</v>
      </c>
    </row>
    <row r="87" spans="1:14">
      <c r="B87" s="526" t="s">
        <v>169</v>
      </c>
      <c r="C87" s="525">
        <f t="shared" ref="C87:K87" si="18">ROUND(C73-C81-C86,3)</f>
        <v>0</v>
      </c>
      <c r="D87" s="525">
        <f t="shared" si="18"/>
        <v>0</v>
      </c>
      <c r="E87" s="525">
        <f t="shared" si="18"/>
        <v>0</v>
      </c>
      <c r="F87" s="525">
        <f t="shared" si="18"/>
        <v>0</v>
      </c>
      <c r="G87" s="525" t="e">
        <f t="shared" si="18"/>
        <v>#DIV/0!</v>
      </c>
      <c r="H87" s="525" t="e">
        <f t="shared" si="18"/>
        <v>#DIV/0!</v>
      </c>
      <c r="I87" s="525" t="e">
        <f t="shared" si="18"/>
        <v>#DIV/0!</v>
      </c>
      <c r="J87" s="525" t="e">
        <f t="shared" si="18"/>
        <v>#DIV/0!</v>
      </c>
      <c r="K87" s="525" t="e">
        <f t="shared" si="18"/>
        <v>#DIV/0!</v>
      </c>
    </row>
    <row r="88" spans="1:14">
      <c r="E88" s="70"/>
      <c r="F88" s="70"/>
      <c r="H88" s="70"/>
      <c r="I88" s="70"/>
      <c r="J88" s="70"/>
      <c r="K88" s="70"/>
    </row>
    <row r="89" spans="1:14">
      <c r="A89" s="358" t="s">
        <v>25</v>
      </c>
      <c r="B89" s="408" t="s">
        <v>20</v>
      </c>
      <c r="C89" s="409" t="s">
        <v>453</v>
      </c>
      <c r="D89" s="409"/>
      <c r="E89" s="409"/>
      <c r="F89" s="409"/>
      <c r="G89" s="409" t="s">
        <v>182</v>
      </c>
      <c r="H89" s="409"/>
      <c r="I89" s="409"/>
      <c r="J89" s="409"/>
      <c r="K89" s="409"/>
    </row>
    <row r="90" spans="1:14">
      <c r="B90" s="410" t="str">
        <f>B15</f>
        <v xml:space="preserve">Fiscal year  </v>
      </c>
      <c r="C90" s="411">
        <f t="shared" ref="C90:F91" si="19">C64</f>
        <v>2021</v>
      </c>
      <c r="D90" s="411">
        <f t="shared" si="19"/>
        <v>2022</v>
      </c>
      <c r="E90" s="411">
        <f t="shared" si="19"/>
        <v>2023</v>
      </c>
      <c r="F90" s="411">
        <f t="shared" si="19"/>
        <v>2024</v>
      </c>
      <c r="G90" s="412">
        <f t="shared" ref="G90:K91" si="20">G15</f>
        <v>2025</v>
      </c>
      <c r="H90" s="412">
        <f t="shared" si="20"/>
        <v>2026</v>
      </c>
      <c r="I90" s="412">
        <f t="shared" si="20"/>
        <v>2027</v>
      </c>
      <c r="J90" s="412">
        <f t="shared" si="20"/>
        <v>2028</v>
      </c>
      <c r="K90" s="412">
        <f t="shared" si="20"/>
        <v>2029</v>
      </c>
    </row>
    <row r="91" spans="1:14">
      <c r="B91" s="410" t="str">
        <f>B16</f>
        <v>Fiscal year end date</v>
      </c>
      <c r="C91" s="413">
        <f t="shared" si="19"/>
        <v>44561</v>
      </c>
      <c r="D91" s="413">
        <f t="shared" si="19"/>
        <v>44926</v>
      </c>
      <c r="E91" s="413">
        <f t="shared" si="19"/>
        <v>45291</v>
      </c>
      <c r="F91" s="413">
        <f t="shared" si="19"/>
        <v>45657</v>
      </c>
      <c r="G91" s="413">
        <f t="shared" si="20"/>
        <v>46022</v>
      </c>
      <c r="H91" s="413">
        <f t="shared" si="20"/>
        <v>46387</v>
      </c>
      <c r="I91" s="413">
        <f t="shared" si="20"/>
        <v>46752</v>
      </c>
      <c r="J91" s="413">
        <f t="shared" si="20"/>
        <v>47118</v>
      </c>
      <c r="K91" s="413">
        <f t="shared" si="20"/>
        <v>47483</v>
      </c>
    </row>
    <row r="92" spans="1:14" ht="5.0999999999999996" customHeight="1"/>
    <row r="93" spans="1:14" ht="12.75" customHeight="1">
      <c r="B93" s="8" t="s">
        <v>18</v>
      </c>
      <c r="C93" s="339"/>
      <c r="D93" s="378">
        <f t="shared" ref="D93:K93" si="21">D38</f>
        <v>418934</v>
      </c>
      <c r="E93" s="378">
        <f t="shared" si="21"/>
        <v>343377</v>
      </c>
      <c r="F93" s="378">
        <f t="shared" si="21"/>
        <v>326453</v>
      </c>
      <c r="G93" s="378" t="e">
        <f t="shared" si="21"/>
        <v>#DIV/0!</v>
      </c>
      <c r="H93" s="378" t="e">
        <f t="shared" si="21"/>
        <v>#DIV/0!</v>
      </c>
      <c r="I93" s="378" t="e">
        <f t="shared" si="21"/>
        <v>#DIV/0!</v>
      </c>
      <c r="J93" s="378" t="e">
        <f t="shared" si="21"/>
        <v>#DIV/0!</v>
      </c>
      <c r="K93" s="378" t="e">
        <f t="shared" si="21"/>
        <v>#DIV/0!</v>
      </c>
      <c r="M93" s="8" t="s">
        <v>170</v>
      </c>
    </row>
    <row r="94" spans="1:14" ht="12.75" customHeight="1">
      <c r="B94" s="8" t="s">
        <v>86</v>
      </c>
      <c r="C94" s="339"/>
      <c r="D94" s="378">
        <f t="shared" ref="D94:K94" si="22">D41</f>
        <v>0</v>
      </c>
      <c r="E94" s="378">
        <f t="shared" si="22"/>
        <v>0</v>
      </c>
      <c r="F94" s="378">
        <f t="shared" si="22"/>
        <v>0</v>
      </c>
      <c r="G94" s="378">
        <f t="shared" si="22"/>
        <v>0</v>
      </c>
      <c r="H94" s="378">
        <f t="shared" si="22"/>
        <v>0</v>
      </c>
      <c r="I94" s="378">
        <f t="shared" si="22"/>
        <v>0</v>
      </c>
      <c r="J94" s="378">
        <f t="shared" si="22"/>
        <v>0</v>
      </c>
      <c r="K94" s="378">
        <f t="shared" si="22"/>
        <v>0</v>
      </c>
      <c r="M94" s="8" t="s">
        <v>170</v>
      </c>
    </row>
    <row r="95" spans="1:14" ht="12.75" customHeight="1">
      <c r="B95" s="8" t="s">
        <v>140</v>
      </c>
      <c r="C95" s="339"/>
      <c r="D95" s="378">
        <f t="shared" ref="D95:K95" si="23">D45</f>
        <v>0</v>
      </c>
      <c r="E95" s="378">
        <f t="shared" si="23"/>
        <v>0</v>
      </c>
      <c r="F95" s="378">
        <f t="shared" si="23"/>
        <v>0</v>
      </c>
      <c r="G95" s="378">
        <f t="shared" si="23"/>
        <v>0</v>
      </c>
      <c r="H95" s="378">
        <f t="shared" si="23"/>
        <v>0</v>
      </c>
      <c r="I95" s="378">
        <f t="shared" si="23"/>
        <v>0</v>
      </c>
      <c r="J95" s="378">
        <f t="shared" si="23"/>
        <v>0</v>
      </c>
      <c r="K95" s="378">
        <f t="shared" si="23"/>
        <v>0</v>
      </c>
    </row>
    <row r="96" spans="1:14" ht="12.75" customHeight="1">
      <c r="B96" s="8" t="s">
        <v>171</v>
      </c>
      <c r="C96" s="340"/>
      <c r="D96" s="378">
        <f t="shared" ref="D96:K96" si="24">SUM(C68:C70)-SUM(D68:D70)</f>
        <v>0</v>
      </c>
      <c r="E96" s="378">
        <f t="shared" si="24"/>
        <v>0</v>
      </c>
      <c r="F96" s="378">
        <f t="shared" si="24"/>
        <v>0</v>
      </c>
      <c r="G96" s="378" t="e">
        <f t="shared" si="24"/>
        <v>#DIV/0!</v>
      </c>
      <c r="H96" s="378" t="e">
        <f t="shared" si="24"/>
        <v>#DIV/0!</v>
      </c>
      <c r="I96" s="378" t="e">
        <f t="shared" si="24"/>
        <v>#DIV/0!</v>
      </c>
      <c r="J96" s="378" t="e">
        <f t="shared" si="24"/>
        <v>#DIV/0!</v>
      </c>
      <c r="K96" s="378" t="e">
        <f t="shared" si="24"/>
        <v>#DIV/0!</v>
      </c>
    </row>
    <row r="97" spans="2:13" ht="12.75" customHeight="1">
      <c r="B97" s="8" t="s">
        <v>172</v>
      </c>
      <c r="C97" s="340"/>
      <c r="D97" s="378">
        <f t="shared" ref="D97:K97" si="25">SUM(D75:D77)-SUM(C75:C77)</f>
        <v>0</v>
      </c>
      <c r="E97" s="378">
        <f t="shared" si="25"/>
        <v>0</v>
      </c>
      <c r="F97" s="378">
        <f t="shared" si="25"/>
        <v>0</v>
      </c>
      <c r="G97" s="378" t="e">
        <f t="shared" si="25"/>
        <v>#DIV/0!</v>
      </c>
      <c r="H97" s="378" t="e">
        <f t="shared" si="25"/>
        <v>#DIV/0!</v>
      </c>
      <c r="I97" s="378" t="e">
        <f t="shared" si="25"/>
        <v>#DIV/0!</v>
      </c>
      <c r="J97" s="378" t="e">
        <f t="shared" si="25"/>
        <v>#DIV/0!</v>
      </c>
      <c r="K97" s="378" t="e">
        <f t="shared" si="25"/>
        <v>#DIV/0!</v>
      </c>
    </row>
    <row r="98" spans="2:13" ht="12.75" customHeight="1">
      <c r="B98" s="8" t="s">
        <v>155</v>
      </c>
      <c r="C98" s="340"/>
      <c r="D98" s="378">
        <f t="shared" ref="D98:K98" si="26">-D138</f>
        <v>0</v>
      </c>
      <c r="E98" s="378">
        <f t="shared" si="26"/>
        <v>0</v>
      </c>
      <c r="F98" s="378">
        <f t="shared" si="26"/>
        <v>0</v>
      </c>
      <c r="G98" s="378" t="e">
        <f t="shared" si="26"/>
        <v>#DIV/0!</v>
      </c>
      <c r="H98" s="378" t="e">
        <f t="shared" si="26"/>
        <v>#DIV/0!</v>
      </c>
      <c r="I98" s="378" t="e">
        <f t="shared" si="26"/>
        <v>#DIV/0!</v>
      </c>
      <c r="J98" s="378" t="e">
        <f t="shared" si="26"/>
        <v>#DIV/0!</v>
      </c>
      <c r="K98" s="378" t="e">
        <f t="shared" si="26"/>
        <v>#DIV/0!</v>
      </c>
      <c r="M98" s="8" t="s">
        <v>173</v>
      </c>
    </row>
    <row r="99" spans="2:13" ht="12.75" customHeight="1">
      <c r="B99" s="8" t="s">
        <v>162</v>
      </c>
      <c r="C99" s="340"/>
      <c r="D99" s="378">
        <f t="shared" ref="D99:K99" si="27">D80-C80</f>
        <v>0</v>
      </c>
      <c r="E99" s="378">
        <f t="shared" si="27"/>
        <v>0</v>
      </c>
      <c r="F99" s="378">
        <f t="shared" si="27"/>
        <v>0</v>
      </c>
      <c r="G99" s="378">
        <f t="shared" si="27"/>
        <v>0</v>
      </c>
      <c r="H99" s="378">
        <f t="shared" si="27"/>
        <v>0</v>
      </c>
      <c r="I99" s="378">
        <f t="shared" si="27"/>
        <v>0</v>
      </c>
      <c r="J99" s="378">
        <f t="shared" si="27"/>
        <v>0</v>
      </c>
      <c r="K99" s="378">
        <f t="shared" si="27"/>
        <v>0</v>
      </c>
      <c r="M99" s="38"/>
    </row>
    <row r="100" spans="2:13" ht="12.75" customHeight="1">
      <c r="B100" s="194" t="s">
        <v>457</v>
      </c>
      <c r="C100" s="197"/>
      <c r="D100" s="197">
        <f t="shared" ref="D100:K100" si="28">SUM(D93:D99)</f>
        <v>418934</v>
      </c>
      <c r="E100" s="197">
        <f t="shared" si="28"/>
        <v>343377</v>
      </c>
      <c r="F100" s="197">
        <f t="shared" si="28"/>
        <v>326453</v>
      </c>
      <c r="G100" s="197" t="e">
        <f t="shared" si="28"/>
        <v>#DIV/0!</v>
      </c>
      <c r="H100" s="197" t="e">
        <f t="shared" si="28"/>
        <v>#DIV/0!</v>
      </c>
      <c r="I100" s="197" t="e">
        <f t="shared" si="28"/>
        <v>#DIV/0!</v>
      </c>
      <c r="J100" s="197" t="e">
        <f t="shared" si="28"/>
        <v>#DIV/0!</v>
      </c>
      <c r="K100" s="197" t="e">
        <f t="shared" si="28"/>
        <v>#DIV/0!</v>
      </c>
    </row>
    <row r="101" spans="2:13" ht="12.75" customHeight="1">
      <c r="G101" s="70"/>
      <c r="H101" s="70"/>
      <c r="I101" s="70"/>
      <c r="J101" s="70"/>
      <c r="K101" s="70"/>
    </row>
    <row r="102" spans="2:13" ht="12.75" customHeight="1">
      <c r="B102" s="8" t="s">
        <v>278</v>
      </c>
      <c r="C102" s="339"/>
      <c r="D102" s="379">
        <f t="shared" ref="D102:K102" si="29">-(D123)</f>
        <v>0</v>
      </c>
      <c r="E102" s="379">
        <f t="shared" si="29"/>
        <v>0</v>
      </c>
      <c r="F102" s="379">
        <f t="shared" si="29"/>
        <v>0</v>
      </c>
      <c r="G102" s="379">
        <f t="shared" si="29"/>
        <v>0</v>
      </c>
      <c r="H102" s="379">
        <f t="shared" si="29"/>
        <v>0</v>
      </c>
      <c r="I102" s="379">
        <f t="shared" si="29"/>
        <v>0</v>
      </c>
      <c r="J102" s="379">
        <f t="shared" si="29"/>
        <v>0</v>
      </c>
      <c r="K102" s="379">
        <f t="shared" si="29"/>
        <v>0</v>
      </c>
      <c r="M102" s="8" t="s">
        <v>154</v>
      </c>
    </row>
    <row r="103" spans="2:13" ht="12.75" customHeight="1">
      <c r="B103" s="194" t="s">
        <v>458</v>
      </c>
      <c r="C103" s="197"/>
      <c r="D103" s="197">
        <f t="shared" ref="D103:K103" si="30">IFERROR(D102,"NA")</f>
        <v>0</v>
      </c>
      <c r="E103" s="197">
        <f t="shared" si="30"/>
        <v>0</v>
      </c>
      <c r="F103" s="197">
        <f t="shared" si="30"/>
        <v>0</v>
      </c>
      <c r="G103" s="197">
        <f t="shared" si="30"/>
        <v>0</v>
      </c>
      <c r="H103" s="197">
        <f t="shared" si="30"/>
        <v>0</v>
      </c>
      <c r="I103" s="197">
        <f t="shared" si="30"/>
        <v>0</v>
      </c>
      <c r="J103" s="197">
        <f t="shared" si="30"/>
        <v>0</v>
      </c>
      <c r="K103" s="197">
        <f t="shared" si="30"/>
        <v>0</v>
      </c>
    </row>
    <row r="104" spans="2:13" ht="12.75" customHeight="1">
      <c r="G104" s="70"/>
      <c r="H104" s="70"/>
      <c r="I104" s="70"/>
      <c r="J104" s="70"/>
      <c r="K104" s="70"/>
    </row>
    <row r="105" spans="2:13" ht="12.75" customHeight="1">
      <c r="B105" s="8" t="s">
        <v>175</v>
      </c>
      <c r="C105" s="339"/>
      <c r="D105" s="379">
        <f t="shared" ref="D105:K105" si="31">D79-C79</f>
        <v>0</v>
      </c>
      <c r="E105" s="379">
        <f t="shared" si="31"/>
        <v>0</v>
      </c>
      <c r="F105" s="379">
        <f t="shared" si="31"/>
        <v>0</v>
      </c>
      <c r="G105" s="379">
        <f t="shared" si="31"/>
        <v>0</v>
      </c>
      <c r="H105" s="379">
        <f t="shared" si="31"/>
        <v>0</v>
      </c>
      <c r="I105" s="379">
        <f t="shared" si="31"/>
        <v>0</v>
      </c>
      <c r="J105" s="379">
        <f t="shared" si="31"/>
        <v>0</v>
      </c>
      <c r="K105" s="379">
        <f t="shared" si="31"/>
        <v>0</v>
      </c>
    </row>
    <row r="106" spans="2:13" ht="12.75" customHeight="1">
      <c r="B106" s="8" t="s">
        <v>176</v>
      </c>
      <c r="C106" s="339"/>
      <c r="D106" s="379">
        <f t="shared" ref="D106:K106" si="32">D78-C78</f>
        <v>0</v>
      </c>
      <c r="E106" s="379">
        <f t="shared" si="32"/>
        <v>0</v>
      </c>
      <c r="F106" s="379">
        <f t="shared" si="32"/>
        <v>0</v>
      </c>
      <c r="G106" s="379" t="e">
        <f t="shared" si="32"/>
        <v>#DIV/0!</v>
      </c>
      <c r="H106" s="379" t="e">
        <f t="shared" si="32"/>
        <v>#DIV/0!</v>
      </c>
      <c r="I106" s="379" t="e">
        <f t="shared" si="32"/>
        <v>#DIV/0!</v>
      </c>
      <c r="J106" s="379" t="e">
        <f t="shared" si="32"/>
        <v>#DIV/0!</v>
      </c>
      <c r="K106" s="379" t="e">
        <f t="shared" si="32"/>
        <v>#DIV/0!</v>
      </c>
      <c r="M106" s="8" t="s">
        <v>177</v>
      </c>
    </row>
    <row r="107" spans="2:13" ht="12.75" customHeight="1">
      <c r="B107" s="8" t="s">
        <v>178</v>
      </c>
      <c r="C107" s="339"/>
      <c r="D107" s="379">
        <f t="shared" ref="D107:K107" si="33">D145</f>
        <v>0</v>
      </c>
      <c r="E107" s="379">
        <f t="shared" si="33"/>
        <v>0</v>
      </c>
      <c r="F107" s="379">
        <f t="shared" si="33"/>
        <v>0</v>
      </c>
      <c r="G107" s="379">
        <f t="shared" si="33"/>
        <v>0</v>
      </c>
      <c r="H107" s="379">
        <f t="shared" si="33"/>
        <v>0</v>
      </c>
      <c r="I107" s="379">
        <f t="shared" si="33"/>
        <v>0</v>
      </c>
      <c r="J107" s="379">
        <f t="shared" si="33"/>
        <v>0</v>
      </c>
      <c r="K107" s="379">
        <f t="shared" si="33"/>
        <v>0</v>
      </c>
      <c r="M107" s="8" t="s">
        <v>166</v>
      </c>
    </row>
    <row r="108" spans="2:13" ht="12.75" customHeight="1">
      <c r="B108" s="8" t="s">
        <v>179</v>
      </c>
      <c r="C108" s="339"/>
      <c r="D108" s="379">
        <f t="shared" ref="D108:G109" si="34">D144</f>
        <v>0</v>
      </c>
      <c r="E108" s="379">
        <f t="shared" si="34"/>
        <v>0</v>
      </c>
      <c r="F108" s="379">
        <f t="shared" si="34"/>
        <v>0</v>
      </c>
      <c r="G108" s="379" t="e">
        <f t="shared" si="34"/>
        <v>#DIV/0!</v>
      </c>
      <c r="H108" s="379" t="e">
        <f t="shared" ref="H108:K109" si="35">H144</f>
        <v>#DIV/0!</v>
      </c>
      <c r="I108" s="379" t="e">
        <f t="shared" si="35"/>
        <v>#DIV/0!</v>
      </c>
      <c r="J108" s="379" t="e">
        <f t="shared" si="35"/>
        <v>#DIV/0!</v>
      </c>
      <c r="K108" s="379" t="e">
        <f t="shared" si="35"/>
        <v>#DIV/0!</v>
      </c>
      <c r="M108" s="8" t="s">
        <v>166</v>
      </c>
    </row>
    <row r="109" spans="2:13" ht="12.75" customHeight="1">
      <c r="B109" s="8" t="s">
        <v>179</v>
      </c>
      <c r="C109" s="339"/>
      <c r="D109" s="379">
        <f t="shared" si="34"/>
        <v>0</v>
      </c>
      <c r="E109" s="379">
        <f t="shared" si="34"/>
        <v>0</v>
      </c>
      <c r="F109" s="379">
        <f t="shared" si="34"/>
        <v>0</v>
      </c>
      <c r="G109" s="379">
        <f t="shared" si="34"/>
        <v>0</v>
      </c>
      <c r="H109" s="379">
        <f t="shared" si="35"/>
        <v>0</v>
      </c>
      <c r="I109" s="379">
        <f t="shared" si="35"/>
        <v>0</v>
      </c>
      <c r="J109" s="379">
        <f t="shared" si="35"/>
        <v>0</v>
      </c>
      <c r="K109" s="379">
        <f t="shared" si="35"/>
        <v>0</v>
      </c>
      <c r="M109" s="8" t="s">
        <v>166</v>
      </c>
    </row>
    <row r="110" spans="2:13" ht="12.75" customHeight="1">
      <c r="B110" s="194" t="s">
        <v>459</v>
      </c>
      <c r="C110" s="197"/>
      <c r="D110" s="197">
        <f t="shared" ref="D110:K110" si="36">SUM(D105:D108)</f>
        <v>0</v>
      </c>
      <c r="E110" s="197">
        <f t="shared" si="36"/>
        <v>0</v>
      </c>
      <c r="F110" s="197">
        <f t="shared" si="36"/>
        <v>0</v>
      </c>
      <c r="G110" s="197" t="e">
        <f t="shared" si="36"/>
        <v>#DIV/0!</v>
      </c>
      <c r="H110" s="197" t="e">
        <f t="shared" si="36"/>
        <v>#DIV/0!</v>
      </c>
      <c r="I110" s="197" t="e">
        <f t="shared" si="36"/>
        <v>#DIV/0!</v>
      </c>
      <c r="J110" s="197" t="e">
        <f t="shared" si="36"/>
        <v>#DIV/0!</v>
      </c>
      <c r="K110" s="197" t="e">
        <f t="shared" si="36"/>
        <v>#DIV/0!</v>
      </c>
    </row>
    <row r="111" spans="2:13" ht="5.0999999999999996" customHeight="1">
      <c r="G111" s="70"/>
      <c r="H111" s="70"/>
      <c r="I111" s="70"/>
      <c r="J111" s="70"/>
      <c r="K111" s="70"/>
    </row>
    <row r="112" spans="2:13" ht="12.75" customHeight="1">
      <c r="B112" s="38" t="s">
        <v>180</v>
      </c>
      <c r="C112" s="339"/>
      <c r="D112" s="48">
        <f t="shared" ref="D112:K112" si="37">D100+D103+D110</f>
        <v>418934</v>
      </c>
      <c r="E112" s="48">
        <f t="shared" si="37"/>
        <v>343377</v>
      </c>
      <c r="F112" s="48">
        <f t="shared" si="37"/>
        <v>326453</v>
      </c>
      <c r="G112" s="48" t="e">
        <f t="shared" si="37"/>
        <v>#DIV/0!</v>
      </c>
      <c r="H112" s="48" t="e">
        <f t="shared" si="37"/>
        <v>#DIV/0!</v>
      </c>
      <c r="I112" s="48" t="e">
        <f t="shared" si="37"/>
        <v>#DIV/0!</v>
      </c>
      <c r="J112" s="48" t="e">
        <f t="shared" si="37"/>
        <v>#DIV/0!</v>
      </c>
      <c r="K112" s="48" t="e">
        <f t="shared" si="37"/>
        <v>#DIV/0!</v>
      </c>
    </row>
    <row r="114" spans="1:17">
      <c r="A114" s="8" t="s">
        <v>25</v>
      </c>
      <c r="B114" s="383" t="s">
        <v>460</v>
      </c>
      <c r="C114" s="384" t="s">
        <v>453</v>
      </c>
      <c r="D114" s="384"/>
      <c r="E114" s="384"/>
      <c r="F114" s="384"/>
      <c r="G114" s="384" t="s">
        <v>182</v>
      </c>
      <c r="H114" s="384"/>
      <c r="I114" s="384"/>
      <c r="J114" s="384"/>
      <c r="K114" s="384"/>
    </row>
    <row r="115" spans="1:17">
      <c r="B115" s="385" t="s">
        <v>121</v>
      </c>
      <c r="C115" s="414">
        <v>2021</v>
      </c>
      <c r="D115" s="414">
        <v>2022</v>
      </c>
      <c r="E115" s="414">
        <v>2023</v>
      </c>
      <c r="F115" s="414">
        <v>2024</v>
      </c>
      <c r="G115" s="415">
        <v>2025</v>
      </c>
      <c r="H115" s="415">
        <v>2026</v>
      </c>
      <c r="I115" s="415">
        <v>2027</v>
      </c>
      <c r="J115" s="415">
        <v>2028</v>
      </c>
      <c r="K115" s="415">
        <v>2029</v>
      </c>
    </row>
    <row r="116" spans="1:17">
      <c r="B116" s="385" t="s">
        <v>122</v>
      </c>
      <c r="C116" s="386">
        <v>44469</v>
      </c>
      <c r="D116" s="386">
        <v>44834</v>
      </c>
      <c r="E116" s="386">
        <v>45199</v>
      </c>
      <c r="F116" s="386">
        <v>45559</v>
      </c>
      <c r="G116" s="386">
        <v>45930</v>
      </c>
      <c r="H116" s="386">
        <v>46295</v>
      </c>
      <c r="I116" s="386">
        <v>46660</v>
      </c>
      <c r="J116" s="386">
        <v>47026</v>
      </c>
      <c r="K116" s="386">
        <v>47391</v>
      </c>
    </row>
    <row r="118" spans="1:17">
      <c r="A118" s="358" t="s">
        <v>25</v>
      </c>
      <c r="B118" s="100" t="s">
        <v>181</v>
      </c>
      <c r="C118" s="100"/>
      <c r="D118" s="101"/>
      <c r="E118" s="101"/>
      <c r="F118" s="101"/>
      <c r="G118" s="101"/>
      <c r="H118" s="101"/>
      <c r="I118" s="101"/>
      <c r="J118" s="101"/>
      <c r="K118" s="101"/>
    </row>
    <row r="119" spans="1:17" hidden="1">
      <c r="B119" s="116" t="str">
        <f>B15</f>
        <v xml:space="preserve">Fiscal year  </v>
      </c>
      <c r="C119" s="116"/>
      <c r="D119" s="117">
        <f t="shared" ref="D119:K120" si="38">D15</f>
        <v>2022</v>
      </c>
      <c r="E119" s="117">
        <f t="shared" si="38"/>
        <v>2023</v>
      </c>
      <c r="F119" s="117">
        <f t="shared" si="38"/>
        <v>2024</v>
      </c>
      <c r="G119" s="118">
        <f t="shared" si="38"/>
        <v>2025</v>
      </c>
      <c r="H119" s="118">
        <f t="shared" si="38"/>
        <v>2026</v>
      </c>
      <c r="I119" s="118">
        <f t="shared" si="38"/>
        <v>2027</v>
      </c>
      <c r="J119" s="118">
        <f t="shared" si="38"/>
        <v>2028</v>
      </c>
      <c r="K119" s="118">
        <f t="shared" si="38"/>
        <v>2029</v>
      </c>
    </row>
    <row r="120" spans="1:17" hidden="1">
      <c r="B120" s="101" t="str">
        <f>B16</f>
        <v>Fiscal year end date</v>
      </c>
      <c r="C120" s="101"/>
      <c r="D120" s="119">
        <f t="shared" si="38"/>
        <v>44926</v>
      </c>
      <c r="E120" s="119">
        <f t="shared" si="38"/>
        <v>45291</v>
      </c>
      <c r="F120" s="119">
        <f t="shared" si="38"/>
        <v>45657</v>
      </c>
      <c r="G120" s="119">
        <f t="shared" si="38"/>
        <v>46022</v>
      </c>
      <c r="H120" s="119">
        <f t="shared" si="38"/>
        <v>46387</v>
      </c>
      <c r="I120" s="119">
        <f t="shared" si="38"/>
        <v>46752</v>
      </c>
      <c r="J120" s="119">
        <f t="shared" si="38"/>
        <v>47118</v>
      </c>
      <c r="K120" s="119">
        <f t="shared" si="38"/>
        <v>47483</v>
      </c>
    </row>
    <row r="121" spans="1:17" hidden="1">
      <c r="B121" s="38"/>
      <c r="C121" s="38"/>
      <c r="G121" s="121" t="s">
        <v>182</v>
      </c>
      <c r="H121" s="121"/>
      <c r="I121" s="121"/>
      <c r="J121" s="121"/>
      <c r="K121" s="121"/>
    </row>
    <row r="122" spans="1:17">
      <c r="B122" s="110" t="s">
        <v>183</v>
      </c>
      <c r="C122" s="110"/>
      <c r="D122" s="70">
        <f t="shared" ref="D122:K122" si="39">C125</f>
        <v>0</v>
      </c>
      <c r="E122" s="70">
        <f t="shared" si="39"/>
        <v>0</v>
      </c>
      <c r="F122" s="70">
        <f t="shared" si="39"/>
        <v>0</v>
      </c>
      <c r="G122" s="198">
        <f t="shared" si="39"/>
        <v>0</v>
      </c>
      <c r="H122" s="198" t="e">
        <f t="shared" si="39"/>
        <v>#DIV/0!</v>
      </c>
      <c r="I122" s="198" t="e">
        <f t="shared" si="39"/>
        <v>#DIV/0!</v>
      </c>
      <c r="J122" s="198" t="e">
        <f t="shared" si="39"/>
        <v>#DIV/0!</v>
      </c>
      <c r="K122" s="198" t="e">
        <f t="shared" si="39"/>
        <v>#DIV/0!</v>
      </c>
      <c r="M122" s="8" t="s">
        <v>184</v>
      </c>
    </row>
    <row r="123" spans="1:17">
      <c r="B123" s="122" t="s">
        <v>185</v>
      </c>
      <c r="C123" s="168"/>
      <c r="D123" s="168"/>
      <c r="E123" s="168"/>
      <c r="F123" s="168"/>
      <c r="G123" s="483"/>
      <c r="H123" s="483"/>
      <c r="I123" s="483"/>
      <c r="J123" s="483"/>
      <c r="K123" s="483"/>
      <c r="M123" s="8" t="s">
        <v>186</v>
      </c>
    </row>
    <row r="124" spans="1:17">
      <c r="B124" s="123" t="s">
        <v>187</v>
      </c>
      <c r="C124" s="124"/>
      <c r="D124" s="124"/>
      <c r="E124" s="124"/>
      <c r="F124" s="124"/>
      <c r="G124" s="207" t="e">
        <f>-(G127*G123)</f>
        <v>#DIV/0!</v>
      </c>
      <c r="H124" s="207" t="e">
        <f>-(H127*H123)</f>
        <v>#DIV/0!</v>
      </c>
      <c r="I124" s="207" t="e">
        <f>-(I127*I123)</f>
        <v>#DIV/0!</v>
      </c>
      <c r="J124" s="207" t="e">
        <f>-(J127*J123)</f>
        <v>#DIV/0!</v>
      </c>
      <c r="K124" s="207" t="e">
        <f>-(K127*K123)</f>
        <v>#DIV/0!</v>
      </c>
      <c r="M124" s="8" t="s">
        <v>188</v>
      </c>
    </row>
    <row r="125" spans="1:17">
      <c r="B125" s="126" t="s">
        <v>189</v>
      </c>
      <c r="C125" s="48">
        <f>C71</f>
        <v>0</v>
      </c>
      <c r="D125" s="48">
        <f>D71</f>
        <v>0</v>
      </c>
      <c r="E125" s="48">
        <f>E71</f>
        <v>0</v>
      </c>
      <c r="F125" s="48">
        <f>F71</f>
        <v>0</v>
      </c>
      <c r="G125" s="48" t="e">
        <f>SUM(G122:G124)</f>
        <v>#DIV/0!</v>
      </c>
      <c r="H125" s="48" t="e">
        <f>SUM(H122:H124)</f>
        <v>#DIV/0!</v>
      </c>
      <c r="I125" s="48" t="e">
        <f>SUM(I122:I124)</f>
        <v>#DIV/0!</v>
      </c>
      <c r="J125" s="48" t="e">
        <f>SUM(J122:J124)</f>
        <v>#DIV/0!</v>
      </c>
      <c r="K125" s="48" t="e">
        <f>SUM(K122:K124)</f>
        <v>#DIV/0!</v>
      </c>
      <c r="M125" s="8" t="s">
        <v>190</v>
      </c>
    </row>
    <row r="126" spans="1:17" ht="5.0999999999999996" customHeight="1">
      <c r="B126" s="110"/>
      <c r="C126" s="110"/>
      <c r="M126" s="113"/>
    </row>
    <row r="127" spans="1:17">
      <c r="B127" s="110" t="s">
        <v>191</v>
      </c>
      <c r="C127" s="127" t="e">
        <f>-(C124/C123)</f>
        <v>#DIV/0!</v>
      </c>
      <c r="D127" s="127" t="e">
        <f>-(D124/D123)</f>
        <v>#DIV/0!</v>
      </c>
      <c r="E127" s="127" t="e">
        <f>-(E124/E123)</f>
        <v>#DIV/0!</v>
      </c>
      <c r="F127" s="127" t="e">
        <f>-(F124/F123)</f>
        <v>#DIV/0!</v>
      </c>
      <c r="G127" s="204" t="e">
        <f>AVERAGE(D127:F127)</f>
        <v>#DIV/0!</v>
      </c>
      <c r="H127" s="204" t="e">
        <f>G127+$C$128</f>
        <v>#DIV/0!</v>
      </c>
      <c r="I127" s="204" t="e">
        <f>H127+$C$128</f>
        <v>#DIV/0!</v>
      </c>
      <c r="J127" s="204" t="e">
        <f>I127+$C$128</f>
        <v>#DIV/0!</v>
      </c>
      <c r="K127" s="204" t="e">
        <f>J127+$C$128</f>
        <v>#DIV/0!</v>
      </c>
      <c r="M127" s="128"/>
      <c r="N127" s="113"/>
      <c r="O127" s="129"/>
      <c r="P127" s="129"/>
      <c r="Q127" s="129"/>
    </row>
    <row r="128" spans="1:17">
      <c r="B128" s="469" t="s">
        <v>510</v>
      </c>
      <c r="C128" s="524">
        <v>0.02</v>
      </c>
      <c r="D128" s="127"/>
      <c r="E128" s="127"/>
      <c r="F128" s="127"/>
      <c r="G128" s="114"/>
      <c r="H128" s="114"/>
      <c r="I128" s="114"/>
      <c r="J128" s="114"/>
      <c r="K128" s="114"/>
      <c r="M128" s="128"/>
      <c r="N128" s="113"/>
      <c r="O128" s="129"/>
      <c r="P128" s="129"/>
      <c r="Q128" s="129"/>
    </row>
    <row r="129" spans="1:17">
      <c r="B129" s="110"/>
      <c r="C129" s="110"/>
      <c r="D129" s="127"/>
      <c r="E129" s="127"/>
      <c r="F129" s="127"/>
      <c r="G129" s="114"/>
      <c r="H129" s="114"/>
      <c r="I129" s="114"/>
      <c r="J129" s="114"/>
      <c r="K129" s="114"/>
      <c r="O129" s="129"/>
      <c r="P129" s="129"/>
      <c r="Q129" s="129"/>
    </row>
    <row r="130" spans="1:17">
      <c r="A130" s="358" t="s">
        <v>25</v>
      </c>
      <c r="B130" s="130" t="s">
        <v>465</v>
      </c>
      <c r="C130" s="130"/>
      <c r="D130" s="131"/>
      <c r="E130" s="131"/>
      <c r="F130" s="131"/>
      <c r="G130" s="132"/>
      <c r="H130" s="132"/>
      <c r="I130" s="132"/>
      <c r="J130" s="132"/>
      <c r="K130" s="132"/>
      <c r="O130" s="129"/>
      <c r="P130" s="129"/>
      <c r="Q130" s="129"/>
    </row>
    <row r="131" spans="1:17">
      <c r="B131" s="110" t="s">
        <v>272</v>
      </c>
      <c r="C131" s="70">
        <f>C133+C124</f>
        <v>0</v>
      </c>
      <c r="D131" s="70">
        <f>D133+D124</f>
        <v>0</v>
      </c>
      <c r="E131" s="70">
        <f>E133+E124</f>
        <v>0</v>
      </c>
      <c r="F131" s="70">
        <f>F133+F124</f>
        <v>0</v>
      </c>
      <c r="G131" s="203" t="e">
        <f>G132*G18</f>
        <v>#DIV/0!</v>
      </c>
      <c r="H131" s="203" t="e">
        <f>H132*H18</f>
        <v>#DIV/0!</v>
      </c>
      <c r="I131" s="203" t="e">
        <f>I132*I18</f>
        <v>#DIV/0!</v>
      </c>
      <c r="J131" s="203" t="e">
        <f>J132*J18</f>
        <v>#DIV/0!</v>
      </c>
      <c r="K131" s="203" t="e">
        <f>K132*K18</f>
        <v>#DIV/0!</v>
      </c>
      <c r="M131" s="8" t="s">
        <v>192</v>
      </c>
      <c r="O131" s="129"/>
      <c r="P131" s="129"/>
      <c r="Q131" s="129"/>
    </row>
    <row r="132" spans="1:17">
      <c r="B132" s="65" t="s">
        <v>193</v>
      </c>
      <c r="C132" s="133">
        <f>C131/C18</f>
        <v>0</v>
      </c>
      <c r="D132" s="133">
        <f>D131/D18</f>
        <v>0</v>
      </c>
      <c r="E132" s="133">
        <f>E131/E18</f>
        <v>0</v>
      </c>
      <c r="F132" s="133">
        <f>F131/F18</f>
        <v>0</v>
      </c>
      <c r="G132" s="204">
        <f>F132</f>
        <v>0</v>
      </c>
      <c r="H132" s="204">
        <f>G132</f>
        <v>0</v>
      </c>
      <c r="I132" s="204">
        <f>H132</f>
        <v>0</v>
      </c>
      <c r="J132" s="204">
        <f>I132</f>
        <v>0</v>
      </c>
      <c r="K132" s="204">
        <f>J132</f>
        <v>0</v>
      </c>
      <c r="M132" s="8" t="s">
        <v>194</v>
      </c>
    </row>
    <row r="133" spans="1:17">
      <c r="B133" s="111" t="s">
        <v>195</v>
      </c>
      <c r="C133" s="48">
        <f>C41</f>
        <v>0</v>
      </c>
      <c r="D133" s="48">
        <f>D41</f>
        <v>0</v>
      </c>
      <c r="E133" s="48">
        <f>E41</f>
        <v>0</v>
      </c>
      <c r="F133" s="48">
        <f>F41</f>
        <v>0</v>
      </c>
      <c r="G133" s="205" t="e">
        <f>-G124+G131</f>
        <v>#DIV/0!</v>
      </c>
      <c r="H133" s="205" t="e">
        <f>-H124+H131</f>
        <v>#DIV/0!</v>
      </c>
      <c r="I133" s="205" t="e">
        <f>-I124+I131</f>
        <v>#DIV/0!</v>
      </c>
      <c r="J133" s="205" t="e">
        <f>-J124+J131</f>
        <v>#DIV/0!</v>
      </c>
      <c r="K133" s="205" t="e">
        <f>-K124+K131</f>
        <v>#DIV/0!</v>
      </c>
      <c r="M133" s="8" t="s">
        <v>196</v>
      </c>
    </row>
    <row r="134" spans="1:17">
      <c r="B134" s="110"/>
      <c r="C134" s="110"/>
      <c r="D134" s="70"/>
      <c r="E134" s="70"/>
      <c r="F134" s="70"/>
      <c r="H134" s="70"/>
      <c r="I134" s="70"/>
      <c r="J134" s="70"/>
      <c r="K134" s="70"/>
    </row>
    <row r="135" spans="1:17">
      <c r="A135" s="358" t="s">
        <v>25</v>
      </c>
      <c r="B135" s="134" t="s">
        <v>197</v>
      </c>
      <c r="C135" s="134"/>
      <c r="D135" s="101"/>
      <c r="E135" s="101"/>
      <c r="F135" s="101"/>
      <c r="H135" s="70"/>
      <c r="I135" s="70"/>
      <c r="J135" s="70"/>
      <c r="K135" s="70"/>
    </row>
    <row r="136" spans="1:17">
      <c r="B136" s="110" t="s">
        <v>183</v>
      </c>
      <c r="C136" s="110"/>
      <c r="D136" s="135"/>
      <c r="E136" s="135"/>
      <c r="F136" s="135"/>
      <c r="G136" s="201">
        <f>F139</f>
        <v>0</v>
      </c>
      <c r="H136" s="201">
        <f>G139</f>
        <v>0</v>
      </c>
      <c r="I136" s="201">
        <f>H139</f>
        <v>0</v>
      </c>
      <c r="J136" s="201">
        <f>I139</f>
        <v>0</v>
      </c>
      <c r="K136" s="201">
        <f>J139</f>
        <v>0</v>
      </c>
      <c r="M136" s="8" t="s">
        <v>184</v>
      </c>
    </row>
    <row r="137" spans="1:17">
      <c r="B137" s="65" t="s">
        <v>198</v>
      </c>
      <c r="C137" s="65"/>
      <c r="D137" s="70"/>
      <c r="E137" s="70"/>
      <c r="F137" s="70"/>
      <c r="G137" s="198" t="e">
        <f>-(G131)</f>
        <v>#DIV/0!</v>
      </c>
      <c r="H137" s="198" t="e">
        <f>-(H131)</f>
        <v>#DIV/0!</v>
      </c>
      <c r="I137" s="198" t="e">
        <f>-(I131)</f>
        <v>#DIV/0!</v>
      </c>
      <c r="J137" s="198" t="e">
        <f>-(J131)</f>
        <v>#DIV/0!</v>
      </c>
      <c r="K137" s="198" t="e">
        <f>-(K131)</f>
        <v>#DIV/0!</v>
      </c>
      <c r="M137" s="8" t="s">
        <v>199</v>
      </c>
    </row>
    <row r="138" spans="1:17">
      <c r="B138" s="136" t="s">
        <v>200</v>
      </c>
      <c r="C138" s="136"/>
      <c r="D138" s="138"/>
      <c r="E138" s="138"/>
      <c r="F138" s="138"/>
      <c r="G138" s="202" t="e">
        <f>G139-G137-G136</f>
        <v>#DIV/0!</v>
      </c>
      <c r="H138" s="202" t="e">
        <f>H139-H137-H136</f>
        <v>#DIV/0!</v>
      </c>
      <c r="I138" s="202" t="e">
        <f>I139-I137-I136</f>
        <v>#DIV/0!</v>
      </c>
      <c r="J138" s="202" t="e">
        <f>J139-J137-J136</f>
        <v>#DIV/0!</v>
      </c>
      <c r="K138" s="202" t="e">
        <f>K139-K137-K136</f>
        <v>#DIV/0!</v>
      </c>
      <c r="M138" s="8" t="s">
        <v>201</v>
      </c>
    </row>
    <row r="139" spans="1:17">
      <c r="B139" s="126" t="s">
        <v>189</v>
      </c>
      <c r="C139" s="48"/>
      <c r="D139" s="48">
        <f t="shared" ref="D139:K139" si="40">D72</f>
        <v>0</v>
      </c>
      <c r="E139" s="48">
        <f t="shared" si="40"/>
        <v>0</v>
      </c>
      <c r="F139" s="48">
        <f t="shared" si="40"/>
        <v>0</v>
      </c>
      <c r="G139" s="48">
        <f t="shared" si="40"/>
        <v>0</v>
      </c>
      <c r="H139" s="48">
        <f t="shared" si="40"/>
        <v>0</v>
      </c>
      <c r="I139" s="48">
        <f t="shared" si="40"/>
        <v>0</v>
      </c>
      <c r="J139" s="48">
        <f t="shared" si="40"/>
        <v>0</v>
      </c>
      <c r="K139" s="48">
        <f t="shared" si="40"/>
        <v>0</v>
      </c>
      <c r="M139" s="8" t="s">
        <v>202</v>
      </c>
    </row>
    <row r="140" spans="1:17">
      <c r="B140" s="65"/>
      <c r="C140" s="65"/>
      <c r="E140" s="70"/>
      <c r="F140" s="70"/>
      <c r="H140" s="70"/>
      <c r="I140" s="70"/>
      <c r="J140" s="70"/>
      <c r="K140" s="70"/>
    </row>
    <row r="141" spans="1:17">
      <c r="A141" s="358" t="s">
        <v>25</v>
      </c>
      <c r="B141" s="139" t="s">
        <v>203</v>
      </c>
      <c r="C141" s="139"/>
      <c r="D141" s="134"/>
      <c r="E141" s="134"/>
      <c r="F141" s="134"/>
      <c r="G141" s="101"/>
      <c r="H141" s="101"/>
      <c r="I141" s="101"/>
      <c r="J141" s="101"/>
      <c r="K141" s="101"/>
    </row>
    <row r="142" spans="1:17">
      <c r="B142" s="110" t="s">
        <v>183</v>
      </c>
      <c r="C142" s="110"/>
      <c r="D142" s="70"/>
      <c r="E142" s="70"/>
      <c r="F142" s="70"/>
      <c r="G142" s="198">
        <f>F146</f>
        <v>0</v>
      </c>
      <c r="H142" s="198" t="e">
        <f>G146</f>
        <v>#DIV/0!</v>
      </c>
      <c r="I142" s="198" t="e">
        <f>H146</f>
        <v>#DIV/0!</v>
      </c>
      <c r="J142" s="198" t="e">
        <f>I146</f>
        <v>#DIV/0!</v>
      </c>
      <c r="K142" s="198" t="e">
        <f>J146</f>
        <v>#DIV/0!</v>
      </c>
      <c r="M142" s="8" t="s">
        <v>184</v>
      </c>
    </row>
    <row r="143" spans="1:17">
      <c r="B143" s="65" t="s">
        <v>204</v>
      </c>
      <c r="C143" s="108"/>
      <c r="D143" s="108"/>
      <c r="E143" s="108"/>
      <c r="F143" s="108">
        <f t="shared" ref="F143:K143" si="41">F38</f>
        <v>326453</v>
      </c>
      <c r="G143" s="198" t="e">
        <f t="shared" si="41"/>
        <v>#DIV/0!</v>
      </c>
      <c r="H143" s="198" t="e">
        <f t="shared" si="41"/>
        <v>#DIV/0!</v>
      </c>
      <c r="I143" s="198" t="e">
        <f t="shared" si="41"/>
        <v>#DIV/0!</v>
      </c>
      <c r="J143" s="198" t="e">
        <f t="shared" si="41"/>
        <v>#DIV/0!</v>
      </c>
      <c r="K143" s="198" t="e">
        <f t="shared" si="41"/>
        <v>#DIV/0!</v>
      </c>
      <c r="M143" s="8" t="s">
        <v>205</v>
      </c>
    </row>
    <row r="144" spans="1:17">
      <c r="B144" s="65" t="s">
        <v>206</v>
      </c>
      <c r="C144" s="168"/>
      <c r="D144" s="168"/>
      <c r="E144" s="168"/>
      <c r="F144" s="168"/>
      <c r="G144" s="198" t="e">
        <f>G143*F144/F143</f>
        <v>#DIV/0!</v>
      </c>
      <c r="H144" s="198" t="e">
        <f>H143*G144/G143</f>
        <v>#DIV/0!</v>
      </c>
      <c r="I144" s="198" t="e">
        <f>I143*H144/H143</f>
        <v>#DIV/0!</v>
      </c>
      <c r="J144" s="198" t="e">
        <f>J143*I144/I143</f>
        <v>#DIV/0!</v>
      </c>
      <c r="K144" s="198" t="e">
        <f>K143*J144/J143</f>
        <v>#DIV/0!</v>
      </c>
      <c r="M144" s="8" t="s">
        <v>207</v>
      </c>
    </row>
    <row r="145" spans="1:17">
      <c r="B145" s="136" t="s">
        <v>208</v>
      </c>
      <c r="C145" s="168"/>
      <c r="D145" s="168"/>
      <c r="E145" s="168"/>
      <c r="F145" s="168"/>
      <c r="G145" s="207">
        <f>F145</f>
        <v>0</v>
      </c>
      <c r="H145" s="207">
        <f>G145</f>
        <v>0</v>
      </c>
      <c r="I145" s="207">
        <f>H145</f>
        <v>0</v>
      </c>
      <c r="J145" s="207">
        <f>I145</f>
        <v>0</v>
      </c>
      <c r="K145" s="207">
        <f>J145</f>
        <v>0</v>
      </c>
      <c r="M145" s="8" t="s">
        <v>209</v>
      </c>
    </row>
    <row r="146" spans="1:17">
      <c r="B146" s="126" t="s">
        <v>189</v>
      </c>
      <c r="C146" s="193"/>
      <c r="D146" s="197"/>
      <c r="E146" s="197"/>
      <c r="F146" s="197">
        <f>F84</f>
        <v>0</v>
      </c>
      <c r="G146" s="48" t="e">
        <f>SUM(G142:G145)</f>
        <v>#DIV/0!</v>
      </c>
      <c r="H146" s="48" t="e">
        <f>SUM(H142:H145)</f>
        <v>#DIV/0!</v>
      </c>
      <c r="I146" s="48" t="e">
        <f>SUM(I142:I145)</f>
        <v>#DIV/0!</v>
      </c>
      <c r="J146" s="48" t="e">
        <f>SUM(J142:J145)</f>
        <v>#DIV/0!</v>
      </c>
      <c r="K146" s="48" t="e">
        <f>SUM(K142:K145)</f>
        <v>#DIV/0!</v>
      </c>
      <c r="M146" s="8" t="s">
        <v>210</v>
      </c>
    </row>
    <row r="147" spans="1:17">
      <c r="E147" s="120"/>
      <c r="F147" s="120"/>
    </row>
    <row r="148" spans="1:17">
      <c r="A148" s="358" t="s">
        <v>25</v>
      </c>
      <c r="B148" s="100" t="s">
        <v>211</v>
      </c>
      <c r="C148" s="100"/>
      <c r="D148" s="101"/>
      <c r="E148" s="101"/>
      <c r="F148" s="101"/>
      <c r="G148" s="101"/>
      <c r="H148" s="101"/>
      <c r="I148" s="101"/>
      <c r="J148" s="101"/>
      <c r="K148" s="101"/>
      <c r="O148" s="129"/>
      <c r="P148" s="129"/>
    </row>
    <row r="149" spans="1:17" hidden="1">
      <c r="B149" s="116" t="str">
        <f>B15</f>
        <v xml:space="preserve">Fiscal year  </v>
      </c>
      <c r="C149" s="116"/>
      <c r="D149" s="117">
        <f t="shared" ref="D149:K150" si="42">D15</f>
        <v>2022</v>
      </c>
      <c r="E149" s="117">
        <f t="shared" si="42"/>
        <v>2023</v>
      </c>
      <c r="F149" s="117">
        <f t="shared" si="42"/>
        <v>2024</v>
      </c>
      <c r="G149" s="118">
        <f t="shared" si="42"/>
        <v>2025</v>
      </c>
      <c r="H149" s="118">
        <f t="shared" si="42"/>
        <v>2026</v>
      </c>
      <c r="I149" s="118">
        <f t="shared" si="42"/>
        <v>2027</v>
      </c>
      <c r="J149" s="118">
        <f t="shared" si="42"/>
        <v>2028</v>
      </c>
      <c r="K149" s="118">
        <f t="shared" si="42"/>
        <v>2029</v>
      </c>
      <c r="O149" s="129"/>
      <c r="P149" s="129"/>
    </row>
    <row r="150" spans="1:17" hidden="1">
      <c r="B150" s="101" t="str">
        <f>B16</f>
        <v>Fiscal year end date</v>
      </c>
      <c r="C150" s="101"/>
      <c r="D150" s="119">
        <f t="shared" si="42"/>
        <v>44926</v>
      </c>
      <c r="E150" s="119">
        <f t="shared" si="42"/>
        <v>45291</v>
      </c>
      <c r="F150" s="119">
        <f t="shared" si="42"/>
        <v>45657</v>
      </c>
      <c r="G150" s="119">
        <f t="shared" si="42"/>
        <v>46022</v>
      </c>
      <c r="H150" s="119">
        <f t="shared" si="42"/>
        <v>46387</v>
      </c>
      <c r="I150" s="119">
        <f t="shared" si="42"/>
        <v>46752</v>
      </c>
      <c r="J150" s="119">
        <f t="shared" si="42"/>
        <v>47118</v>
      </c>
      <c r="K150" s="119">
        <f t="shared" si="42"/>
        <v>47483</v>
      </c>
      <c r="O150" s="129"/>
      <c r="P150" s="129"/>
    </row>
    <row r="151" spans="1:17" hidden="1">
      <c r="B151" s="38"/>
      <c r="C151" s="38"/>
      <c r="O151" s="129"/>
      <c r="P151" s="129"/>
    </row>
    <row r="152" spans="1:17">
      <c r="B152" s="113" t="s">
        <v>212</v>
      </c>
      <c r="C152" s="113"/>
      <c r="O152" s="129"/>
      <c r="P152" s="129"/>
      <c r="Q152" s="129"/>
    </row>
    <row r="153" spans="1:17">
      <c r="B153" s="65" t="s">
        <v>213</v>
      </c>
      <c r="C153" s="65"/>
      <c r="G153" s="198">
        <f>F67</f>
        <v>0</v>
      </c>
      <c r="H153" s="198" t="e">
        <f>G67</f>
        <v>#DIV/0!</v>
      </c>
      <c r="I153" s="198" t="e">
        <f>H67</f>
        <v>#DIV/0!</v>
      </c>
      <c r="J153" s="198" t="e">
        <f>I67</f>
        <v>#DIV/0!</v>
      </c>
      <c r="K153" s="198" t="e">
        <f>J67</f>
        <v>#DIV/0!</v>
      </c>
      <c r="M153" s="8" t="s">
        <v>214</v>
      </c>
      <c r="O153" s="129"/>
      <c r="P153" s="129"/>
    </row>
    <row r="154" spans="1:17">
      <c r="B154" s="65" t="s">
        <v>215</v>
      </c>
      <c r="C154" s="65"/>
      <c r="G154" s="206">
        <v>-50000</v>
      </c>
      <c r="H154" s="206">
        <v>-50000</v>
      </c>
      <c r="I154" s="206">
        <v>-50000</v>
      </c>
      <c r="J154" s="206">
        <v>-50000</v>
      </c>
      <c r="K154" s="206">
        <v>-50000</v>
      </c>
      <c r="M154" s="8" t="s">
        <v>216</v>
      </c>
      <c r="O154" s="129"/>
      <c r="P154" s="129"/>
    </row>
    <row r="155" spans="1:17">
      <c r="B155" s="136" t="s">
        <v>217</v>
      </c>
      <c r="C155" s="136"/>
      <c r="D155" s="137"/>
      <c r="E155" s="137"/>
      <c r="F155" s="137"/>
      <c r="G155" s="207" t="e">
        <f>SUM(G100,G103,G105,G107,G108)</f>
        <v>#DIV/0!</v>
      </c>
      <c r="H155" s="207" t="e">
        <f>SUM(H100,H103,H105,H107,H108)</f>
        <v>#DIV/0!</v>
      </c>
      <c r="I155" s="207" t="e">
        <f>SUM(I100,I103,I105,I107,I108)</f>
        <v>#DIV/0!</v>
      </c>
      <c r="J155" s="207" t="e">
        <f>SUM(J100,J103,J105,J107,J108)</f>
        <v>#DIV/0!</v>
      </c>
      <c r="K155" s="207" t="e">
        <f>SUM(K100,K103,K105,K107,K108)</f>
        <v>#DIV/0!</v>
      </c>
      <c r="M155" s="8" t="s">
        <v>273</v>
      </c>
    </row>
    <row r="156" spans="1:17">
      <c r="B156" s="126" t="s">
        <v>218</v>
      </c>
      <c r="C156" s="126"/>
      <c r="G156" s="48" t="e">
        <f>SUM(G153:G155)</f>
        <v>#DIV/0!</v>
      </c>
      <c r="H156" s="48" t="e">
        <f>SUM(H153:H155)</f>
        <v>#DIV/0!</v>
      </c>
      <c r="I156" s="48" t="e">
        <f>SUM(I153:I155)</f>
        <v>#DIV/0!</v>
      </c>
      <c r="J156" s="48" t="e">
        <f>SUM(J153:J155)</f>
        <v>#DIV/0!</v>
      </c>
      <c r="K156" s="48" t="e">
        <f>SUM(K153:K155)</f>
        <v>#DIV/0!</v>
      </c>
    </row>
    <row r="158" spans="1:17">
      <c r="B158" s="38" t="s">
        <v>219</v>
      </c>
      <c r="C158" s="38"/>
    </row>
    <row r="159" spans="1:17">
      <c r="B159" s="65" t="s">
        <v>183</v>
      </c>
      <c r="C159" s="65"/>
      <c r="G159" s="198">
        <f>F162</f>
        <v>0</v>
      </c>
      <c r="H159" s="198" t="e">
        <f>G162</f>
        <v>#DIV/0!</v>
      </c>
      <c r="I159" s="198" t="e">
        <f>H162</f>
        <v>#DIV/0!</v>
      </c>
      <c r="J159" s="198" t="e">
        <f>I162</f>
        <v>#DIV/0!</v>
      </c>
      <c r="K159" s="198" t="e">
        <f>J162</f>
        <v>#DIV/0!</v>
      </c>
      <c r="M159" s="8" t="s">
        <v>184</v>
      </c>
    </row>
    <row r="160" spans="1:17">
      <c r="B160" s="122" t="s">
        <v>220</v>
      </c>
      <c r="C160" s="122"/>
      <c r="G160" s="198" t="e">
        <f>-MIN(G156,G159)</f>
        <v>#DIV/0!</v>
      </c>
      <c r="H160" s="198" t="e">
        <f>-MIN(H156,H159)</f>
        <v>#DIV/0!</v>
      </c>
      <c r="I160" s="198" t="e">
        <f>-MIN(I156,I159)</f>
        <v>#DIV/0!</v>
      </c>
      <c r="J160" s="198" t="e">
        <f>-MIN(J156,J159)</f>
        <v>#DIV/0!</v>
      </c>
      <c r="K160" s="198" t="e">
        <f>-MIN(K156,K159)</f>
        <v>#DIV/0!</v>
      </c>
      <c r="M160" s="8" t="s">
        <v>221</v>
      </c>
    </row>
    <row r="161" spans="1:19">
      <c r="B161" s="123" t="s">
        <v>222</v>
      </c>
      <c r="C161" s="123"/>
      <c r="D161" s="137"/>
      <c r="E161" s="137"/>
      <c r="F161" s="137"/>
      <c r="G161" s="208">
        <v>12000</v>
      </c>
      <c r="H161" s="208">
        <v>12000</v>
      </c>
      <c r="I161" s="208">
        <v>12000</v>
      </c>
      <c r="J161" s="208">
        <v>12000</v>
      </c>
      <c r="K161" s="208">
        <v>12000</v>
      </c>
      <c r="M161" s="8" t="s">
        <v>216</v>
      </c>
    </row>
    <row r="162" spans="1:19">
      <c r="B162" s="65" t="s">
        <v>189</v>
      </c>
      <c r="C162" s="125"/>
      <c r="D162" s="125">
        <f>D78</f>
        <v>0</v>
      </c>
      <c r="E162" s="125">
        <f>E78</f>
        <v>0</v>
      </c>
      <c r="F162" s="125">
        <f>F78</f>
        <v>0</v>
      </c>
      <c r="G162" s="140" t="e">
        <f>SUM(G159:G161)</f>
        <v>#DIV/0!</v>
      </c>
      <c r="H162" s="140" t="e">
        <f>SUM(H159:H161)</f>
        <v>#DIV/0!</v>
      </c>
      <c r="I162" s="140" t="e">
        <f>SUM(I159:I161)</f>
        <v>#DIV/0!</v>
      </c>
      <c r="J162" s="140" t="e">
        <f>SUM(J159:J161)</f>
        <v>#DIV/0!</v>
      </c>
      <c r="K162" s="140" t="e">
        <f>SUM(K159:K161)</f>
        <v>#DIV/0!</v>
      </c>
    </row>
    <row r="163" spans="1:19">
      <c r="B163" s="94" t="s">
        <v>223</v>
      </c>
      <c r="C163" s="95"/>
      <c r="D163" s="141"/>
      <c r="E163" s="141"/>
      <c r="F163" s="142"/>
      <c r="G163" s="143" t="e">
        <f>IF(G162&lt;0,"Negative Debt","OK")</f>
        <v>#DIV/0!</v>
      </c>
      <c r="H163" s="143" t="e">
        <f>IF(H162&lt;0,"Negative Debt","OK")</f>
        <v>#DIV/0!</v>
      </c>
      <c r="I163" s="143" t="e">
        <f>IF(I162&lt;0,"Negative Debt","OK")</f>
        <v>#DIV/0!</v>
      </c>
      <c r="J163" s="143" t="e">
        <f>IF(J162&lt;0,"Negative Debt","OK")</f>
        <v>#DIV/0!</v>
      </c>
      <c r="K163" s="143" t="e">
        <f>IF(K162&lt;0,"Negative Debt","OK")</f>
        <v>#DIV/0!</v>
      </c>
      <c r="S163" s="120"/>
    </row>
    <row r="164" spans="1:19">
      <c r="D164" s="70"/>
      <c r="E164" s="70"/>
      <c r="F164" s="96"/>
      <c r="G164" s="144"/>
      <c r="H164" s="144"/>
      <c r="I164" s="144"/>
      <c r="J164" s="144"/>
      <c r="K164" s="144"/>
      <c r="S164" s="120"/>
    </row>
    <row r="165" spans="1:19">
      <c r="A165" s="358" t="s">
        <v>25</v>
      </c>
      <c r="B165" s="100" t="s">
        <v>224</v>
      </c>
      <c r="C165" s="100"/>
      <c r="D165" s="131"/>
      <c r="E165" s="131"/>
      <c r="F165" s="131"/>
      <c r="G165" s="145"/>
      <c r="H165" s="145"/>
      <c r="I165" s="145"/>
      <c r="J165" s="145"/>
      <c r="K165" s="145"/>
      <c r="R165" s="146"/>
    </row>
    <row r="166" spans="1:19" hidden="1">
      <c r="B166" s="116" t="str">
        <f>B15</f>
        <v xml:space="preserve">Fiscal year  </v>
      </c>
      <c r="C166" s="116"/>
      <c r="D166" s="117">
        <f t="shared" ref="D166:K167" si="43">D15</f>
        <v>2022</v>
      </c>
      <c r="E166" s="117">
        <f t="shared" si="43"/>
        <v>2023</v>
      </c>
      <c r="F166" s="117">
        <f t="shared" si="43"/>
        <v>2024</v>
      </c>
      <c r="G166" s="118">
        <f t="shared" si="43"/>
        <v>2025</v>
      </c>
      <c r="H166" s="118">
        <f t="shared" si="43"/>
        <v>2026</v>
      </c>
      <c r="I166" s="118">
        <f t="shared" si="43"/>
        <v>2027</v>
      </c>
      <c r="J166" s="118">
        <f t="shared" si="43"/>
        <v>2028</v>
      </c>
      <c r="K166" s="118">
        <f t="shared" si="43"/>
        <v>2029</v>
      </c>
      <c r="R166" s="146"/>
      <c r="S166" s="120"/>
    </row>
    <row r="167" spans="1:19" hidden="1">
      <c r="B167" s="101" t="str">
        <f>B16</f>
        <v>Fiscal year end date</v>
      </c>
      <c r="C167" s="101"/>
      <c r="D167" s="119">
        <f t="shared" si="43"/>
        <v>44926</v>
      </c>
      <c r="E167" s="119">
        <f t="shared" si="43"/>
        <v>45291</v>
      </c>
      <c r="F167" s="119">
        <f t="shared" si="43"/>
        <v>45657</v>
      </c>
      <c r="G167" s="119">
        <f t="shared" si="43"/>
        <v>46022</v>
      </c>
      <c r="H167" s="119">
        <f t="shared" si="43"/>
        <v>46387</v>
      </c>
      <c r="I167" s="119">
        <f t="shared" si="43"/>
        <v>46752</v>
      </c>
      <c r="J167" s="119">
        <f t="shared" si="43"/>
        <v>47118</v>
      </c>
      <c r="K167" s="119">
        <f t="shared" si="43"/>
        <v>47483</v>
      </c>
      <c r="R167" s="146"/>
    </row>
    <row r="168" spans="1:19" ht="5.0999999999999996" customHeight="1">
      <c r="B168" s="65"/>
      <c r="C168" s="65"/>
      <c r="D168" s="70"/>
      <c r="E168" s="70"/>
      <c r="F168" s="70"/>
      <c r="G168" s="147"/>
      <c r="H168" s="147"/>
      <c r="I168" s="147"/>
      <c r="J168" s="147"/>
      <c r="K168" s="147"/>
      <c r="R168" s="146"/>
    </row>
    <row r="169" spans="1:19">
      <c r="B169" s="110" t="s">
        <v>225</v>
      </c>
      <c r="C169" s="70">
        <f>-(C33)</f>
        <v>0</v>
      </c>
      <c r="D169" s="70">
        <f>-(D33)</f>
        <v>0</v>
      </c>
      <c r="E169" s="70">
        <f>-(E33)</f>
        <v>0</v>
      </c>
      <c r="F169" s="70">
        <f>-(F33)</f>
        <v>0</v>
      </c>
      <c r="G169" s="198" t="e">
        <f>G174+G179</f>
        <v>#DIV/0!</v>
      </c>
      <c r="H169" s="198" t="e">
        <f>H174+H179</f>
        <v>#DIV/0!</v>
      </c>
      <c r="I169" s="198" t="e">
        <f>I174+I179</f>
        <v>#DIV/0!</v>
      </c>
      <c r="J169" s="198" t="e">
        <f>J174+J179</f>
        <v>#DIV/0!</v>
      </c>
      <c r="K169" s="198" t="e">
        <f>K174+K179</f>
        <v>#DIV/0!</v>
      </c>
      <c r="M169" s="8" t="s">
        <v>226</v>
      </c>
      <c r="R169" s="120"/>
    </row>
    <row r="170" spans="1:19" ht="5.0999999999999996" customHeight="1">
      <c r="B170" s="148"/>
      <c r="C170" s="148"/>
      <c r="R170" s="120"/>
    </row>
    <row r="171" spans="1:19">
      <c r="B171" s="149" t="s">
        <v>227</v>
      </c>
      <c r="C171" s="149"/>
      <c r="R171" s="120"/>
    </row>
    <row r="172" spans="1:19">
      <c r="B172" s="65" t="s">
        <v>228</v>
      </c>
      <c r="C172" s="154">
        <v>5.9999999999999995E-4</v>
      </c>
      <c r="D172" s="150">
        <v>2.3099999999999999E-2</v>
      </c>
      <c r="E172" s="150">
        <v>5.28E-2</v>
      </c>
      <c r="F172" s="150">
        <v>0.05</v>
      </c>
      <c r="G172" s="209">
        <f>F172</f>
        <v>0.05</v>
      </c>
      <c r="H172" s="209">
        <f>G172</f>
        <v>0.05</v>
      </c>
      <c r="I172" s="209">
        <f>H172</f>
        <v>0.05</v>
      </c>
      <c r="J172" s="209">
        <f>I172</f>
        <v>0.05</v>
      </c>
      <c r="K172" s="209">
        <f>J172</f>
        <v>0.05</v>
      </c>
      <c r="M172" s="8" t="s">
        <v>229</v>
      </c>
    </row>
    <row r="173" spans="1:19">
      <c r="B173" s="65" t="s">
        <v>230</v>
      </c>
      <c r="C173" s="136"/>
      <c r="D173" s="125">
        <f t="shared" ref="D173:K173" si="44">D78</f>
        <v>0</v>
      </c>
      <c r="E173" s="125">
        <f t="shared" si="44"/>
        <v>0</v>
      </c>
      <c r="F173" s="125">
        <f t="shared" si="44"/>
        <v>0</v>
      </c>
      <c r="G173" s="198" t="e">
        <f t="shared" si="44"/>
        <v>#DIV/0!</v>
      </c>
      <c r="H173" s="198" t="e">
        <f t="shared" si="44"/>
        <v>#DIV/0!</v>
      </c>
      <c r="I173" s="198" t="e">
        <f t="shared" si="44"/>
        <v>#DIV/0!</v>
      </c>
      <c r="J173" s="198" t="e">
        <f t="shared" si="44"/>
        <v>#DIV/0!</v>
      </c>
      <c r="K173" s="198" t="e">
        <f t="shared" si="44"/>
        <v>#DIV/0!</v>
      </c>
      <c r="M173" s="8" t="s">
        <v>231</v>
      </c>
    </row>
    <row r="174" spans="1:19">
      <c r="B174" s="151" t="s">
        <v>232</v>
      </c>
      <c r="C174" s="48"/>
      <c r="D174" s="48">
        <f>AVERAGE(C173:D173)*D172</f>
        <v>0</v>
      </c>
      <c r="E174" s="48">
        <f>AVERAGE(D173:E173)*E172</f>
        <v>0</v>
      </c>
      <c r="F174" s="48">
        <f>AVERAGE(E173:F173)*F172</f>
        <v>0</v>
      </c>
      <c r="G174" s="152" t="e">
        <f>IF($C$8=1,AVERAGE(F173,G173)*G172,0)</f>
        <v>#DIV/0!</v>
      </c>
      <c r="H174" s="152" t="e">
        <f>IF($C$8=1,AVERAGE(G173,H173)*H172,0)</f>
        <v>#DIV/0!</v>
      </c>
      <c r="I174" s="152" t="e">
        <f>IF($C$8=1,AVERAGE(H173,I173)*I172,0)</f>
        <v>#DIV/0!</v>
      </c>
      <c r="J174" s="152" t="e">
        <f>IF($C$8=1,AVERAGE(I173,J173)*J172,0)</f>
        <v>#DIV/0!</v>
      </c>
      <c r="K174" s="152" t="e">
        <f>IF($C$8=1,AVERAGE(J173,K173)*K172,0)</f>
        <v>#DIV/0!</v>
      </c>
      <c r="M174" s="8" t="s">
        <v>233</v>
      </c>
    </row>
    <row r="175" spans="1:19" ht="5.0999999999999996" customHeight="1">
      <c r="B175" s="153"/>
      <c r="C175" s="153"/>
      <c r="D175" s="70"/>
      <c r="E175" s="70"/>
      <c r="F175" s="70"/>
    </row>
    <row r="176" spans="1:19">
      <c r="B176" s="149" t="s">
        <v>175</v>
      </c>
      <c r="C176" s="149"/>
      <c r="D176" s="70"/>
      <c r="E176" s="70"/>
      <c r="F176" s="70"/>
    </row>
    <row r="177" spans="1:18">
      <c r="B177" s="65" t="s">
        <v>230</v>
      </c>
      <c r="C177" s="70">
        <f t="shared" ref="C177:K177" si="45">C79</f>
        <v>0</v>
      </c>
      <c r="D177" s="70">
        <f t="shared" si="45"/>
        <v>0</v>
      </c>
      <c r="E177" s="70">
        <f t="shared" si="45"/>
        <v>0</v>
      </c>
      <c r="F177" s="70">
        <f t="shared" si="45"/>
        <v>0</v>
      </c>
      <c r="G177" s="198">
        <f t="shared" si="45"/>
        <v>0</v>
      </c>
      <c r="H177" s="198">
        <f t="shared" si="45"/>
        <v>0</v>
      </c>
      <c r="I177" s="198">
        <f t="shared" si="45"/>
        <v>0</v>
      </c>
      <c r="J177" s="198">
        <f t="shared" si="45"/>
        <v>0</v>
      </c>
      <c r="K177" s="198">
        <f t="shared" si="45"/>
        <v>0</v>
      </c>
      <c r="M177" s="8" t="s">
        <v>177</v>
      </c>
    </row>
    <row r="178" spans="1:18">
      <c r="B178" s="65" t="s">
        <v>228</v>
      </c>
      <c r="C178" s="65"/>
      <c r="D178" s="133" t="e">
        <f>D179/AVERAGE(C177:D177)</f>
        <v>#DIV/0!</v>
      </c>
      <c r="E178" s="133" t="e">
        <f>E179/AVERAGE(D177:E177)</f>
        <v>#DIV/0!</v>
      </c>
      <c r="F178" s="133" t="e">
        <f>F179/AVERAGE(E177:F177)</f>
        <v>#DIV/0!</v>
      </c>
      <c r="G178" s="210" t="e">
        <f>AVERAGE(D178:F178)</f>
        <v>#DIV/0!</v>
      </c>
      <c r="H178" s="210" t="e">
        <f>G178</f>
        <v>#DIV/0!</v>
      </c>
      <c r="I178" s="210" t="e">
        <f>H178</f>
        <v>#DIV/0!</v>
      </c>
      <c r="J178" s="210" t="e">
        <f>I178</f>
        <v>#DIV/0!</v>
      </c>
      <c r="K178" s="210" t="e">
        <f>J178</f>
        <v>#DIV/0!</v>
      </c>
      <c r="M178" s="8" t="s">
        <v>229</v>
      </c>
      <c r="R178" s="146"/>
    </row>
    <row r="179" spans="1:18">
      <c r="B179" s="200" t="s">
        <v>234</v>
      </c>
      <c r="C179" s="200"/>
      <c r="D179" s="197">
        <f>D169-D174</f>
        <v>0</v>
      </c>
      <c r="E179" s="197">
        <f>E169-E174</f>
        <v>0</v>
      </c>
      <c r="F179" s="197">
        <f>F169-F174</f>
        <v>0</v>
      </c>
      <c r="G179" s="193" t="e">
        <f>G178*AVERAGE(F177:G177)</f>
        <v>#DIV/0!</v>
      </c>
      <c r="H179" s="193" t="e">
        <f>H178*AVERAGE(G177:H177)</f>
        <v>#DIV/0!</v>
      </c>
      <c r="I179" s="193" t="e">
        <f>I178*AVERAGE(H177:I177)</f>
        <v>#DIV/0!</v>
      </c>
      <c r="J179" s="193" t="e">
        <f>J178*AVERAGE(I177:J177)</f>
        <v>#DIV/0!</v>
      </c>
      <c r="K179" s="193" t="e">
        <f>K178*AVERAGE(J177:K177)</f>
        <v>#DIV/0!</v>
      </c>
      <c r="M179" s="8" t="s">
        <v>235</v>
      </c>
    </row>
    <row r="180" spans="1:18" ht="5.0999999999999996" customHeight="1">
      <c r="E180" s="70"/>
    </row>
    <row r="181" spans="1:18">
      <c r="B181" s="148" t="s">
        <v>236</v>
      </c>
      <c r="C181" s="148"/>
      <c r="E181" s="70"/>
      <c r="F181" s="70"/>
    </row>
    <row r="182" spans="1:18">
      <c r="B182" s="65" t="s">
        <v>237</v>
      </c>
      <c r="C182" s="154">
        <v>0.01</v>
      </c>
      <c r="D182" s="150">
        <f t="shared" ref="D182:K182" si="46">C182</f>
        <v>0.01</v>
      </c>
      <c r="E182" s="150">
        <f t="shared" si="46"/>
        <v>0.01</v>
      </c>
      <c r="F182" s="150">
        <f t="shared" si="46"/>
        <v>0.01</v>
      </c>
      <c r="G182" s="211">
        <f t="shared" si="46"/>
        <v>0.01</v>
      </c>
      <c r="H182" s="211">
        <f t="shared" si="46"/>
        <v>0.01</v>
      </c>
      <c r="I182" s="211">
        <f t="shared" si="46"/>
        <v>0.01</v>
      </c>
      <c r="J182" s="211">
        <f t="shared" si="46"/>
        <v>0.01</v>
      </c>
      <c r="K182" s="211">
        <f t="shared" si="46"/>
        <v>0.01</v>
      </c>
      <c r="M182" s="8" t="s">
        <v>229</v>
      </c>
    </row>
    <row r="183" spans="1:18">
      <c r="B183" s="65" t="s">
        <v>130</v>
      </c>
      <c r="C183" s="70">
        <f>C32</f>
        <v>0</v>
      </c>
      <c r="D183" s="70">
        <f>D32</f>
        <v>0</v>
      </c>
      <c r="E183" s="70">
        <f>E32</f>
        <v>0</v>
      </c>
      <c r="F183" s="70">
        <f>F32</f>
        <v>0</v>
      </c>
      <c r="G183" s="203" t="e">
        <f>IF($C$8=1,AVERAGE(F67,G67)*G182,0)</f>
        <v>#DIV/0!</v>
      </c>
      <c r="H183" s="203" t="e">
        <f>IF($C$8=1,AVERAGE(G67,H67)*H182,0)</f>
        <v>#DIV/0!</v>
      </c>
      <c r="I183" s="203" t="e">
        <f>IF($C$8=1,AVERAGE(H67,I67)*I182,0)</f>
        <v>#DIV/0!</v>
      </c>
      <c r="J183" s="203" t="e">
        <f>IF($C$8=1,AVERAGE(I67,J67)*J182,0)</f>
        <v>#DIV/0!</v>
      </c>
      <c r="K183" s="203" t="e">
        <f>IF($C$8=1,AVERAGE(J67,K67)*K182,0)</f>
        <v>#DIV/0!</v>
      </c>
      <c r="M183" s="8" t="s">
        <v>238</v>
      </c>
    </row>
    <row r="184" spans="1:18">
      <c r="B184" s="156"/>
      <c r="C184" s="156"/>
      <c r="D184" s="133"/>
      <c r="E184" s="133"/>
      <c r="F184" s="133"/>
      <c r="G184" s="133"/>
      <c r="H184" s="133"/>
    </row>
    <row r="185" spans="1:18">
      <c r="A185" s="358" t="s">
        <v>25</v>
      </c>
      <c r="B185" s="100" t="s">
        <v>239</v>
      </c>
      <c r="C185" s="100"/>
      <c r="D185" s="100"/>
      <c r="E185" s="100"/>
      <c r="F185" s="100"/>
      <c r="G185" s="100"/>
      <c r="H185" s="100"/>
      <c r="I185" s="100"/>
      <c r="J185" s="100"/>
      <c r="K185" s="100"/>
    </row>
    <row r="186" spans="1:18" hidden="1">
      <c r="B186" s="116"/>
      <c r="C186" s="117">
        <f t="shared" ref="C186:K186" si="47">C15</f>
        <v>2021</v>
      </c>
      <c r="D186" s="117">
        <f t="shared" si="47"/>
        <v>2022</v>
      </c>
      <c r="E186" s="117">
        <f t="shared" si="47"/>
        <v>2023</v>
      </c>
      <c r="F186" s="118">
        <f t="shared" si="47"/>
        <v>2024</v>
      </c>
      <c r="G186" s="118">
        <f t="shared" si="47"/>
        <v>2025</v>
      </c>
      <c r="H186" s="118">
        <f t="shared" si="47"/>
        <v>2026</v>
      </c>
      <c r="I186" s="118">
        <f t="shared" si="47"/>
        <v>2027</v>
      </c>
      <c r="J186" s="118">
        <f t="shared" si="47"/>
        <v>2028</v>
      </c>
      <c r="K186" s="118">
        <f t="shared" si="47"/>
        <v>2029</v>
      </c>
    </row>
    <row r="187" spans="1:18" hidden="1">
      <c r="B187" s="101"/>
      <c r="C187" s="119">
        <f t="shared" ref="C187:K187" si="48">C16</f>
        <v>44561</v>
      </c>
      <c r="D187" s="119">
        <f t="shared" si="48"/>
        <v>44926</v>
      </c>
      <c r="E187" s="119">
        <f t="shared" si="48"/>
        <v>45291</v>
      </c>
      <c r="F187" s="119">
        <f t="shared" si="48"/>
        <v>45657</v>
      </c>
      <c r="G187" s="119">
        <f t="shared" si="48"/>
        <v>46022</v>
      </c>
      <c r="H187" s="119">
        <f t="shared" si="48"/>
        <v>46387</v>
      </c>
      <c r="I187" s="119">
        <f t="shared" si="48"/>
        <v>46752</v>
      </c>
      <c r="J187" s="119">
        <f t="shared" si="48"/>
        <v>47118</v>
      </c>
      <c r="K187" s="119">
        <f t="shared" si="48"/>
        <v>47483</v>
      </c>
    </row>
    <row r="188" spans="1:18" ht="5.0999999999999996" customHeight="1">
      <c r="F188" s="115"/>
      <c r="G188" s="115"/>
      <c r="H188" s="115"/>
      <c r="I188" s="114"/>
      <c r="J188" s="114"/>
    </row>
    <row r="189" spans="1:18">
      <c r="B189" s="8" t="s">
        <v>18</v>
      </c>
      <c r="C189" s="70">
        <f t="shared" ref="C189:K189" si="49">C38</f>
        <v>464701</v>
      </c>
      <c r="D189" s="70">
        <f t="shared" si="49"/>
        <v>418934</v>
      </c>
      <c r="E189" s="70">
        <f t="shared" si="49"/>
        <v>343377</v>
      </c>
      <c r="F189" s="70">
        <f t="shared" si="49"/>
        <v>326453</v>
      </c>
      <c r="G189" s="70" t="e">
        <f t="shared" si="49"/>
        <v>#DIV/0!</v>
      </c>
      <c r="H189" s="70" t="e">
        <f t="shared" si="49"/>
        <v>#DIV/0!</v>
      </c>
      <c r="I189" s="70" t="e">
        <f t="shared" si="49"/>
        <v>#DIV/0!</v>
      </c>
      <c r="J189" s="70" t="e">
        <f t="shared" si="49"/>
        <v>#DIV/0!</v>
      </c>
      <c r="K189" s="70" t="e">
        <f t="shared" si="49"/>
        <v>#DIV/0!</v>
      </c>
      <c r="M189" s="8" t="s">
        <v>240</v>
      </c>
    </row>
    <row r="190" spans="1:18">
      <c r="B190" s="8" t="s">
        <v>241</v>
      </c>
      <c r="C190" s="168">
        <f>'Historical Financials'!F35</f>
        <v>0</v>
      </c>
      <c r="D190" s="168">
        <f>'Historical Financials'!G35</f>
        <v>0</v>
      </c>
      <c r="E190" s="168">
        <f>'Historical Financials'!H35</f>
        <v>0</v>
      </c>
      <c r="F190" s="168">
        <f>'Historical Financials'!I35</f>
        <v>0</v>
      </c>
      <c r="G190" s="70">
        <f>F190+(-G196+G197)/G198</f>
        <v>0</v>
      </c>
      <c r="H190" s="70" t="e">
        <f>G190+(-H196+H197)/H198</f>
        <v>#DIV/0!</v>
      </c>
      <c r="I190" s="70" t="e">
        <f>H190+(-I196+I197)/I198</f>
        <v>#DIV/0!</v>
      </c>
      <c r="J190" s="70" t="e">
        <f>I190+(-J196+J197)/J198</f>
        <v>#DIV/0!</v>
      </c>
      <c r="K190" s="70" t="e">
        <f>J190+(-K196+K197)/K198</f>
        <v>#DIV/0!</v>
      </c>
      <c r="M190" s="8" t="s">
        <v>242</v>
      </c>
    </row>
    <row r="191" spans="1:18">
      <c r="B191" s="484" t="s">
        <v>104</v>
      </c>
      <c r="C191" s="485" t="e">
        <f t="shared" ref="C191:K191" si="50">C189/C190</f>
        <v>#DIV/0!</v>
      </c>
      <c r="D191" s="485" t="e">
        <f t="shared" si="50"/>
        <v>#DIV/0!</v>
      </c>
      <c r="E191" s="485" t="e">
        <f t="shared" si="50"/>
        <v>#DIV/0!</v>
      </c>
      <c r="F191" s="485" t="e">
        <f t="shared" si="50"/>
        <v>#DIV/0!</v>
      </c>
      <c r="G191" s="485" t="e">
        <f t="shared" si="50"/>
        <v>#DIV/0!</v>
      </c>
      <c r="H191" s="485" t="e">
        <f t="shared" si="50"/>
        <v>#DIV/0!</v>
      </c>
      <c r="I191" s="485" t="e">
        <f t="shared" si="50"/>
        <v>#DIV/0!</v>
      </c>
      <c r="J191" s="485" t="e">
        <f t="shared" si="50"/>
        <v>#DIV/0!</v>
      </c>
      <c r="K191" s="485" t="e">
        <f t="shared" si="50"/>
        <v>#DIV/0!</v>
      </c>
      <c r="M191" s="8" t="s">
        <v>243</v>
      </c>
    </row>
    <row r="192" spans="1:18">
      <c r="D192" s="107"/>
      <c r="E192" s="107"/>
      <c r="F192" s="107"/>
      <c r="G192" s="70"/>
    </row>
    <row r="193" spans="1:13">
      <c r="B193" s="8" t="s">
        <v>244</v>
      </c>
      <c r="C193" s="168">
        <f>'Historical Financials'!F38</f>
        <v>0</v>
      </c>
      <c r="D193" s="168">
        <f>'Historical Financials'!G38</f>
        <v>0</v>
      </c>
      <c r="E193" s="168">
        <f>'Historical Financials'!H38</f>
        <v>0</v>
      </c>
      <c r="F193" s="168">
        <f>'Historical Financials'!I38</f>
        <v>0</v>
      </c>
      <c r="G193" s="70">
        <f>G190+F193-F190</f>
        <v>0</v>
      </c>
      <c r="H193" s="70" t="e">
        <f>H190+G193-G190</f>
        <v>#DIV/0!</v>
      </c>
      <c r="I193" s="70" t="e">
        <f>I190+H193-H190</f>
        <v>#DIV/0!</v>
      </c>
      <c r="J193" s="70" t="e">
        <f>J190+I193-I190</f>
        <v>#DIV/0!</v>
      </c>
      <c r="K193" s="70" t="e">
        <f>K190+J193-J190</f>
        <v>#DIV/0!</v>
      </c>
      <c r="M193" s="8" t="s">
        <v>245</v>
      </c>
    </row>
    <row r="194" spans="1:13">
      <c r="B194" s="484" t="s">
        <v>106</v>
      </c>
      <c r="C194" s="485" t="e">
        <f t="shared" ref="C194:K194" si="51">C189/C193</f>
        <v>#DIV/0!</v>
      </c>
      <c r="D194" s="485" t="e">
        <f t="shared" si="51"/>
        <v>#DIV/0!</v>
      </c>
      <c r="E194" s="485" t="e">
        <f t="shared" si="51"/>
        <v>#DIV/0!</v>
      </c>
      <c r="F194" s="485" t="e">
        <f t="shared" si="51"/>
        <v>#DIV/0!</v>
      </c>
      <c r="G194" s="485" t="e">
        <f t="shared" si="51"/>
        <v>#DIV/0!</v>
      </c>
      <c r="H194" s="485" t="e">
        <f t="shared" si="51"/>
        <v>#DIV/0!</v>
      </c>
      <c r="I194" s="485" t="e">
        <f t="shared" si="51"/>
        <v>#DIV/0!</v>
      </c>
      <c r="J194" s="485" t="e">
        <f t="shared" si="51"/>
        <v>#DIV/0!</v>
      </c>
      <c r="K194" s="485" t="e">
        <f t="shared" si="51"/>
        <v>#DIV/0!</v>
      </c>
      <c r="M194" s="8" t="s">
        <v>246</v>
      </c>
    </row>
    <row r="195" spans="1:13">
      <c r="G195" s="157"/>
    </row>
    <row r="196" spans="1:13">
      <c r="B196" s="8" t="s">
        <v>247</v>
      </c>
      <c r="G196" s="70">
        <f>-(G107)</f>
        <v>0</v>
      </c>
      <c r="H196" s="70">
        <f>-(H107)</f>
        <v>0</v>
      </c>
      <c r="I196" s="70">
        <f>-(I107)</f>
        <v>0</v>
      </c>
      <c r="J196" s="70">
        <f>-(J107)</f>
        <v>0</v>
      </c>
      <c r="K196" s="70">
        <f>-(K107)</f>
        <v>0</v>
      </c>
      <c r="M196" s="8" t="s">
        <v>248</v>
      </c>
    </row>
    <row r="197" spans="1:13">
      <c r="B197" s="8" t="s">
        <v>249</v>
      </c>
      <c r="G197" s="108">
        <f>G45</f>
        <v>0</v>
      </c>
      <c r="H197" s="108">
        <f>H45</f>
        <v>0</v>
      </c>
      <c r="I197" s="108">
        <f>I45</f>
        <v>0</v>
      </c>
      <c r="J197" s="108">
        <f>J45</f>
        <v>0</v>
      </c>
      <c r="K197" s="108">
        <f>K45</f>
        <v>0</v>
      </c>
      <c r="M197" s="8" t="s">
        <v>250</v>
      </c>
    </row>
    <row r="198" spans="1:13">
      <c r="B198" s="8" t="s">
        <v>251</v>
      </c>
      <c r="G198" s="199">
        <f>C9</f>
        <v>262.82</v>
      </c>
      <c r="H198" s="157" t="e">
        <f>G198*(1+H199)</f>
        <v>#DIV/0!</v>
      </c>
      <c r="I198" s="157" t="e">
        <f>H198*(1+I199)</f>
        <v>#DIV/0!</v>
      </c>
      <c r="J198" s="157" t="e">
        <f>I198*(1+J199)</f>
        <v>#DIV/0!</v>
      </c>
      <c r="K198" s="157" t="e">
        <f>J198*(1+K199)</f>
        <v>#DIV/0!</v>
      </c>
      <c r="M198" s="8" t="s">
        <v>252</v>
      </c>
    </row>
    <row r="199" spans="1:13">
      <c r="B199" s="8" t="s">
        <v>253</v>
      </c>
      <c r="H199" s="158" t="e">
        <f>H189/G189-1</f>
        <v>#DIV/0!</v>
      </c>
      <c r="I199" s="158" t="e">
        <f>I189/H189-1</f>
        <v>#DIV/0!</v>
      </c>
      <c r="J199" s="158" t="e">
        <f>J189/I189-1</f>
        <v>#DIV/0!</v>
      </c>
      <c r="K199" s="158" t="e">
        <f>K189/J189-1</f>
        <v>#DIV/0!</v>
      </c>
      <c r="M199" s="8" t="s">
        <v>254</v>
      </c>
    </row>
    <row r="200" spans="1:13">
      <c r="M200" s="113" t="s">
        <v>255</v>
      </c>
    </row>
    <row r="201" spans="1:13">
      <c r="B201" s="38" t="s">
        <v>256</v>
      </c>
      <c r="D201" s="38"/>
      <c r="E201" s="38"/>
      <c r="F201" s="159" t="s">
        <v>257</v>
      </c>
      <c r="G201" s="160">
        <f>C12</f>
        <v>4443.2650000000003</v>
      </c>
      <c r="H201" s="48">
        <f>G203</f>
        <v>4443.2650000000003</v>
      </c>
      <c r="I201" s="48" t="e">
        <f>H203</f>
        <v>#DIV/0!</v>
      </c>
      <c r="J201" s="48" t="e">
        <f>I203</f>
        <v>#DIV/0!</v>
      </c>
      <c r="K201" s="48" t="e">
        <f>J203</f>
        <v>#DIV/0!</v>
      </c>
      <c r="M201" s="8" t="s">
        <v>258</v>
      </c>
    </row>
    <row r="202" spans="1:13">
      <c r="B202" s="8" t="s">
        <v>259</v>
      </c>
      <c r="G202" s="70">
        <f>(-G196+G197)/G198</f>
        <v>0</v>
      </c>
      <c r="H202" s="70" t="e">
        <f>(-H196+H197)/H198</f>
        <v>#DIV/0!</v>
      </c>
      <c r="I202" s="70" t="e">
        <f>(-I196+I197)/I198</f>
        <v>#DIV/0!</v>
      </c>
      <c r="J202" s="70" t="e">
        <f>(-J196+J197)/J198</f>
        <v>#DIV/0!</v>
      </c>
      <c r="K202" s="70" t="e">
        <f>(-K196+K197)/K198</f>
        <v>#DIV/0!</v>
      </c>
      <c r="M202" s="8" t="s">
        <v>260</v>
      </c>
    </row>
    <row r="203" spans="1:13">
      <c r="B203" s="8" t="s">
        <v>261</v>
      </c>
      <c r="G203" s="70">
        <f>SUM(G201:G202)</f>
        <v>4443.2650000000003</v>
      </c>
      <c r="H203" s="70" t="e">
        <f>SUM(H201:H202)</f>
        <v>#DIV/0!</v>
      </c>
      <c r="I203" s="70" t="e">
        <f>SUM(I201:I202)</f>
        <v>#DIV/0!</v>
      </c>
      <c r="J203" s="70" t="e">
        <f>SUM(J201:J202)</f>
        <v>#DIV/0!</v>
      </c>
      <c r="K203" s="70" t="e">
        <f>SUM(K201:K202)</f>
        <v>#DIV/0!</v>
      </c>
      <c r="M203" s="8" t="s">
        <v>262</v>
      </c>
    </row>
    <row r="204" spans="1:13">
      <c r="B204" s="38" t="s">
        <v>263</v>
      </c>
      <c r="D204" s="38"/>
      <c r="E204" s="38"/>
      <c r="F204" s="38"/>
      <c r="G204" s="48">
        <f>AVERAGE(G203,G201)</f>
        <v>4443.2650000000003</v>
      </c>
      <c r="H204" s="48" t="e">
        <f>AVERAGE(H203,H201)</f>
        <v>#DIV/0!</v>
      </c>
      <c r="I204" s="48" t="e">
        <f>AVERAGE(I203,I201)</f>
        <v>#DIV/0!</v>
      </c>
      <c r="J204" s="48" t="e">
        <f>AVERAGE(J203,J201)</f>
        <v>#DIV/0!</v>
      </c>
      <c r="K204" s="48" t="e">
        <f>AVERAGE(K203,K201)</f>
        <v>#DIV/0!</v>
      </c>
      <c r="M204" s="8" t="s">
        <v>264</v>
      </c>
    </row>
    <row r="205" spans="1:13">
      <c r="M205" s="113"/>
    </row>
    <row r="206" spans="1:13">
      <c r="A206" s="358" t="s">
        <v>25</v>
      </c>
      <c r="B206" s="100" t="s">
        <v>265</v>
      </c>
      <c r="C206" s="100"/>
      <c r="D206" s="100"/>
      <c r="E206" s="100"/>
      <c r="F206" s="100"/>
      <c r="G206" s="100"/>
      <c r="H206" s="100"/>
      <c r="I206" s="100"/>
      <c r="J206" s="100"/>
      <c r="K206" s="100"/>
    </row>
    <row r="207" spans="1:13" ht="5.0999999999999996" customHeight="1" thickBot="1"/>
    <row r="208" spans="1:13" ht="12.75" thickBot="1">
      <c r="B208" s="8" t="s">
        <v>266</v>
      </c>
      <c r="C208" s="161" t="str">
        <f>K6</f>
        <v>Base case</v>
      </c>
      <c r="F208" s="97" t="s">
        <v>267</v>
      </c>
      <c r="G208" s="118">
        <f t="shared" ref="G208:K209" si="52">G15</f>
        <v>2025</v>
      </c>
      <c r="H208" s="118">
        <f t="shared" si="52"/>
        <v>2026</v>
      </c>
      <c r="I208" s="118">
        <f t="shared" si="52"/>
        <v>2027</v>
      </c>
      <c r="J208" s="118">
        <f t="shared" si="52"/>
        <v>2028</v>
      </c>
      <c r="K208" s="118">
        <f t="shared" si="52"/>
        <v>2029</v>
      </c>
    </row>
    <row r="209" spans="2:11">
      <c r="F209" s="98" t="s">
        <v>268</v>
      </c>
      <c r="G209" s="119">
        <f t="shared" si="52"/>
        <v>46022</v>
      </c>
      <c r="H209" s="119">
        <f t="shared" si="52"/>
        <v>46387</v>
      </c>
      <c r="I209" s="119">
        <f t="shared" si="52"/>
        <v>46752</v>
      </c>
      <c r="J209" s="119">
        <f t="shared" si="52"/>
        <v>47118</v>
      </c>
      <c r="K209" s="119">
        <f t="shared" si="52"/>
        <v>47483</v>
      </c>
    </row>
    <row r="210" spans="2:11">
      <c r="B210" s="65" t="s">
        <v>144</v>
      </c>
      <c r="F210" s="162" t="str">
        <f t="shared" ref="F210:K213" ca="1" si="53">OFFSET(F$215,MATCH($K$6,$B$216:$B$218,0)+MATCH($B210,$B$215:$B$230,0)-1,0)</f>
        <v>NM</v>
      </c>
      <c r="G210" s="127">
        <f t="shared" ca="1" si="53"/>
        <v>0.06</v>
      </c>
      <c r="H210" s="127">
        <f t="shared" ca="1" si="53"/>
        <v>6.9000000000000006E-2</v>
      </c>
      <c r="I210" s="127">
        <f t="shared" ca="1" si="53"/>
        <v>6.9000000000000006E-2</v>
      </c>
      <c r="J210" s="127">
        <f t="shared" ca="1" si="53"/>
        <v>6.9000000000000006E-2</v>
      </c>
      <c r="K210" s="127">
        <f t="shared" ca="1" si="53"/>
        <v>6.9000000000000006E-2</v>
      </c>
    </row>
    <row r="211" spans="2:11">
      <c r="B211" s="65" t="s">
        <v>145</v>
      </c>
      <c r="F211" s="162" t="str">
        <f t="shared" ca="1" si="53"/>
        <v>NM</v>
      </c>
      <c r="G211" s="127">
        <f t="shared" ca="1" si="53"/>
        <v>0.378</v>
      </c>
      <c r="H211" s="127">
        <f t="shared" ca="1" si="53"/>
        <v>0.378</v>
      </c>
      <c r="I211" s="127">
        <f t="shared" ca="1" si="53"/>
        <v>0.378</v>
      </c>
      <c r="J211" s="127">
        <f t="shared" ca="1" si="53"/>
        <v>0.378</v>
      </c>
      <c r="K211" s="127">
        <f t="shared" ca="1" si="53"/>
        <v>0.378</v>
      </c>
    </row>
    <row r="212" spans="2:11">
      <c r="B212" s="65" t="s">
        <v>146</v>
      </c>
      <c r="F212" s="162" t="str">
        <f t="shared" ca="1" si="53"/>
        <v>NM</v>
      </c>
      <c r="G212" s="127">
        <f t="shared" ca="1" si="53"/>
        <v>6.2E-2</v>
      </c>
      <c r="H212" s="127">
        <f t="shared" ca="1" si="53"/>
        <v>6.2E-2</v>
      </c>
      <c r="I212" s="127">
        <f t="shared" ca="1" si="53"/>
        <v>6.2E-2</v>
      </c>
      <c r="J212" s="127">
        <f t="shared" ca="1" si="53"/>
        <v>6.2E-2</v>
      </c>
      <c r="K212" s="127">
        <f t="shared" ca="1" si="53"/>
        <v>6.2E-2</v>
      </c>
    </row>
    <row r="213" spans="2:11">
      <c r="B213" s="65" t="s">
        <v>147</v>
      </c>
      <c r="F213" s="162" t="str">
        <f t="shared" ca="1" si="53"/>
        <v>NM</v>
      </c>
      <c r="G213" s="127">
        <f t="shared" ca="1" si="53"/>
        <v>7.0000000000000007E-2</v>
      </c>
      <c r="H213" s="127">
        <f t="shared" ca="1" si="53"/>
        <v>7.0000000000000007E-2</v>
      </c>
      <c r="I213" s="127">
        <f t="shared" ca="1" si="53"/>
        <v>7.0000000000000007E-2</v>
      </c>
      <c r="J213" s="127">
        <f t="shared" ca="1" si="53"/>
        <v>7.0000000000000007E-2</v>
      </c>
      <c r="K213" s="127">
        <f t="shared" ca="1" si="53"/>
        <v>7.0000000000000007E-2</v>
      </c>
    </row>
    <row r="214" spans="2:11">
      <c r="F214" s="163"/>
    </row>
    <row r="215" spans="2:11">
      <c r="B215" s="126" t="s">
        <v>144</v>
      </c>
      <c r="F215" s="163"/>
    </row>
    <row r="216" spans="2:11">
      <c r="B216" s="153" t="s">
        <v>269</v>
      </c>
      <c r="F216" s="164">
        <v>2.5000000000000001E-2</v>
      </c>
      <c r="G216" s="114">
        <f>G217+$F$216</f>
        <v>8.4999999999999992E-2</v>
      </c>
      <c r="H216" s="114">
        <f>H217+$F$216</f>
        <v>9.4E-2</v>
      </c>
      <c r="I216" s="114">
        <f>I217+$F$216</f>
        <v>9.4E-2</v>
      </c>
      <c r="J216" s="114">
        <f>J217+$F$216</f>
        <v>9.4E-2</v>
      </c>
      <c r="K216" s="114">
        <f>K217+$F$216</f>
        <v>9.4E-2</v>
      </c>
    </row>
    <row r="217" spans="2:11">
      <c r="B217" s="153" t="s">
        <v>114</v>
      </c>
      <c r="F217" s="165" t="s">
        <v>270</v>
      </c>
      <c r="G217" s="115">
        <v>0.06</v>
      </c>
      <c r="H217" s="115">
        <v>6.9000000000000006E-2</v>
      </c>
      <c r="I217" s="115">
        <f>H217</f>
        <v>6.9000000000000006E-2</v>
      </c>
      <c r="J217" s="115">
        <f>I217</f>
        <v>6.9000000000000006E-2</v>
      </c>
      <c r="K217" s="115">
        <f>J217</f>
        <v>6.9000000000000006E-2</v>
      </c>
    </row>
    <row r="218" spans="2:11">
      <c r="B218" s="153" t="s">
        <v>271</v>
      </c>
      <c r="F218" s="164">
        <v>-2.5000000000000001E-2</v>
      </c>
      <c r="G218" s="114">
        <f>G217+$F$218</f>
        <v>3.4999999999999996E-2</v>
      </c>
      <c r="H218" s="114">
        <f>H217+$F$218</f>
        <v>4.4000000000000004E-2</v>
      </c>
      <c r="I218" s="114">
        <f>I217+$F$218</f>
        <v>4.4000000000000004E-2</v>
      </c>
      <c r="J218" s="114">
        <f>J217+$F$218</f>
        <v>4.4000000000000004E-2</v>
      </c>
      <c r="K218" s="114">
        <f>K217+$F$218</f>
        <v>4.4000000000000004E-2</v>
      </c>
    </row>
    <row r="219" spans="2:11">
      <c r="B219" s="126" t="s">
        <v>145</v>
      </c>
      <c r="F219" s="165"/>
      <c r="G219" s="115"/>
      <c r="H219" s="115"/>
      <c r="I219" s="115"/>
      <c r="J219" s="115"/>
      <c r="K219" s="115"/>
    </row>
    <row r="220" spans="2:11">
      <c r="B220" s="153" t="s">
        <v>269</v>
      </c>
      <c r="F220" s="164">
        <v>0.01</v>
      </c>
      <c r="G220" s="114">
        <f>G221+$F$220</f>
        <v>0.38800000000000001</v>
      </c>
      <c r="H220" s="114">
        <f>H221+$F$220</f>
        <v>0.38800000000000001</v>
      </c>
      <c r="I220" s="114">
        <f>I221+$F$220</f>
        <v>0.38800000000000001</v>
      </c>
      <c r="J220" s="114">
        <f>J221+$F$220</f>
        <v>0.38800000000000001</v>
      </c>
      <c r="K220" s="114">
        <f>K221+$F$220</f>
        <v>0.38800000000000001</v>
      </c>
    </row>
    <row r="221" spans="2:11">
      <c r="B221" s="153" t="s">
        <v>114</v>
      </c>
      <c r="F221" s="165" t="s">
        <v>270</v>
      </c>
      <c r="G221" s="115">
        <v>0.378</v>
      </c>
      <c r="H221" s="115">
        <v>0.378</v>
      </c>
      <c r="I221" s="115">
        <v>0.378</v>
      </c>
      <c r="J221" s="115">
        <v>0.378</v>
      </c>
      <c r="K221" s="115">
        <v>0.378</v>
      </c>
    </row>
    <row r="222" spans="2:11">
      <c r="B222" s="153" t="s">
        <v>271</v>
      </c>
      <c r="F222" s="164">
        <v>-0.01</v>
      </c>
      <c r="G222" s="114">
        <f>G221+$F$222</f>
        <v>0.36799999999999999</v>
      </c>
      <c r="H222" s="114">
        <f>H221+$F$222</f>
        <v>0.36799999999999999</v>
      </c>
      <c r="I222" s="114">
        <f>I221+$F$222</f>
        <v>0.36799999999999999</v>
      </c>
      <c r="J222" s="114">
        <f>J221+$F$222</f>
        <v>0.36799999999999999</v>
      </c>
      <c r="K222" s="114">
        <f>K221+$F$222</f>
        <v>0.36799999999999999</v>
      </c>
    </row>
    <row r="223" spans="2:11">
      <c r="B223" s="126" t="s">
        <v>146</v>
      </c>
      <c r="F223" s="165"/>
      <c r="G223" s="166"/>
      <c r="H223" s="166"/>
      <c r="I223" s="166"/>
      <c r="J223" s="166"/>
      <c r="K223" s="166"/>
    </row>
    <row r="224" spans="2:11">
      <c r="B224" s="153" t="s">
        <v>269</v>
      </c>
      <c r="F224" s="164">
        <v>-0.01</v>
      </c>
      <c r="G224" s="114">
        <f>G225+$F$224</f>
        <v>5.1999999999999998E-2</v>
      </c>
      <c r="H224" s="114">
        <f>H225+$F$224</f>
        <v>5.1999999999999998E-2</v>
      </c>
      <c r="I224" s="114">
        <f>I225+$F$224</f>
        <v>5.1999999999999998E-2</v>
      </c>
      <c r="J224" s="114">
        <f>J225+$F$224</f>
        <v>5.1999999999999998E-2</v>
      </c>
      <c r="K224" s="114">
        <f>K225+$F$224</f>
        <v>5.1999999999999998E-2</v>
      </c>
    </row>
    <row r="225" spans="2:11">
      <c r="B225" s="153" t="s">
        <v>114</v>
      </c>
      <c r="F225" s="165" t="s">
        <v>270</v>
      </c>
      <c r="G225" s="115">
        <v>6.2E-2</v>
      </c>
      <c r="H225" s="115">
        <v>6.2E-2</v>
      </c>
      <c r="I225" s="115">
        <v>6.2E-2</v>
      </c>
      <c r="J225" s="115">
        <v>6.2E-2</v>
      </c>
      <c r="K225" s="115">
        <v>6.2E-2</v>
      </c>
    </row>
    <row r="226" spans="2:11">
      <c r="B226" s="153" t="s">
        <v>271</v>
      </c>
      <c r="F226" s="164">
        <v>0.01</v>
      </c>
      <c r="G226" s="114">
        <f>G225+$F$226</f>
        <v>7.1999999999999995E-2</v>
      </c>
      <c r="H226" s="114">
        <f>H225+$F$226</f>
        <v>7.1999999999999995E-2</v>
      </c>
      <c r="I226" s="114">
        <f>I225+$F$226</f>
        <v>7.1999999999999995E-2</v>
      </c>
      <c r="J226" s="114">
        <f>J225+$F$226</f>
        <v>7.1999999999999995E-2</v>
      </c>
      <c r="K226" s="114">
        <f>K225+$F$226</f>
        <v>7.1999999999999995E-2</v>
      </c>
    </row>
    <row r="227" spans="2:11">
      <c r="B227" s="126" t="s">
        <v>147</v>
      </c>
      <c r="F227" s="165"/>
      <c r="G227" s="166"/>
      <c r="H227" s="166"/>
      <c r="I227" s="166"/>
      <c r="J227" s="166"/>
      <c r="K227" s="166"/>
    </row>
    <row r="228" spans="2:11">
      <c r="B228" s="153" t="s">
        <v>269</v>
      </c>
      <c r="F228" s="164">
        <v>-0.01</v>
      </c>
      <c r="G228" s="114">
        <f>G229+$F$228</f>
        <v>6.0000000000000005E-2</v>
      </c>
      <c r="H228" s="114">
        <f>H229+$F$228</f>
        <v>6.0000000000000005E-2</v>
      </c>
      <c r="I228" s="114">
        <f>I229+$F$228</f>
        <v>6.0000000000000005E-2</v>
      </c>
      <c r="J228" s="114">
        <f>J229+$F$228</f>
        <v>6.0000000000000005E-2</v>
      </c>
      <c r="K228" s="114">
        <f>K229+$F$228</f>
        <v>6.0000000000000005E-2</v>
      </c>
    </row>
    <row r="229" spans="2:11">
      <c r="B229" s="153" t="s">
        <v>114</v>
      </c>
      <c r="F229" s="165" t="s">
        <v>270</v>
      </c>
      <c r="G229" s="115">
        <v>7.0000000000000007E-2</v>
      </c>
      <c r="H229" s="115">
        <v>7.0000000000000007E-2</v>
      </c>
      <c r="I229" s="115">
        <v>7.0000000000000007E-2</v>
      </c>
      <c r="J229" s="115">
        <v>7.0000000000000007E-2</v>
      </c>
      <c r="K229" s="115">
        <v>7.0000000000000007E-2</v>
      </c>
    </row>
    <row r="230" spans="2:11" ht="12.75" thickBot="1">
      <c r="B230" s="153" t="s">
        <v>271</v>
      </c>
      <c r="F230" s="167">
        <v>0.01</v>
      </c>
      <c r="G230" s="114">
        <f>G229+$F$230</f>
        <v>0.08</v>
      </c>
      <c r="H230" s="114">
        <f>H229+$F$230</f>
        <v>0.08</v>
      </c>
      <c r="I230" s="114">
        <f>I229+$F$230</f>
        <v>0.08</v>
      </c>
      <c r="J230" s="114">
        <f>J229+$F$230</f>
        <v>0.08</v>
      </c>
      <c r="K230" s="114">
        <f>K229+$F$230</f>
        <v>0.08</v>
      </c>
    </row>
  </sheetData>
  <conditionalFormatting sqref="B213">
    <cfRule type="expression" dxfId="4" priority="1">
      <formula>#REF!=$B213</formula>
    </cfRule>
  </conditionalFormatting>
  <conditionalFormatting sqref="B227">
    <cfRule type="expression" dxfId="3" priority="2">
      <formula>#REF!=$B227</formula>
    </cfRule>
  </conditionalFormatting>
  <conditionalFormatting sqref="B57:C57">
    <cfRule type="expression" dxfId="2" priority="3">
      <formula>#REF!=$B57</formula>
    </cfRule>
  </conditionalFormatting>
  <dataValidations disablePrompts="1" count="3">
    <dataValidation type="list" allowBlank="1" showInputMessage="1" showErrorMessage="1" sqref="K6" xr:uid="{316BE8D0-5F80-4150-9F8E-D688FDB5F6FA}">
      <formula1>$B$216:$B$218</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38:K38 G94:K95 G73:K77 H143:K143 G79:K82 H78:K78 G190:K194 H87:K87 G85:K86 B142:B146 G145:K145 H146:K146 G142:K142 G144:K144 F143 G100:K100 H96:K99 G35:K35 H83:K83" evalError="1"/>
    <ignoredError sqref="F29:K29" formula="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topLeftCell="B7" zoomScale="130" zoomScaleNormal="130" workbookViewId="0">
      <selection activeCell="B10" sqref="B10"/>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'3-Statement Model'!C6&amp;"(NASDAQ: AAPL)"</f>
        <v>Beyond Meat, Inc.(NASDAQ: AAPL)</v>
      </c>
      <c r="C2" s="1"/>
      <c r="D2" s="1"/>
      <c r="E2" s="1"/>
      <c r="F2" s="1"/>
      <c r="G2" s="1"/>
      <c r="H2" s="1"/>
      <c r="I2" s="1"/>
    </row>
    <row r="3" spans="2:10">
      <c r="B3" s="6" t="s">
        <v>364</v>
      </c>
      <c r="C3" s="1"/>
      <c r="D3" s="1"/>
      <c r="E3" s="1"/>
      <c r="F3" s="1"/>
      <c r="G3" s="1"/>
      <c r="H3" s="1"/>
      <c r="I3" s="1"/>
    </row>
    <row r="4" spans="2:10">
      <c r="B4" s="6" t="s">
        <v>466</v>
      </c>
      <c r="C4" s="1"/>
      <c r="D4" s="1"/>
      <c r="E4" s="1"/>
      <c r="F4" s="1"/>
      <c r="G4" s="1"/>
      <c r="H4" s="1"/>
      <c r="I4" s="1"/>
    </row>
    <row r="5" spans="2:10" ht="5.0999999999999996" customHeight="1"/>
    <row r="6" spans="2:10">
      <c r="B6" s="423" t="s">
        <v>365</v>
      </c>
      <c r="C6" s="424">
        <f>'Historical Financials'!I8</f>
        <v>45657</v>
      </c>
      <c r="D6" s="195"/>
      <c r="E6" s="195"/>
      <c r="F6" s="195" t="s">
        <v>366</v>
      </c>
      <c r="G6" s="195"/>
      <c r="H6" s="425">
        <f>WACC!E23</f>
        <v>5.5928883807815161E-2</v>
      </c>
      <c r="I6" s="353" t="s">
        <v>367</v>
      </c>
    </row>
    <row r="7" spans="2:10">
      <c r="B7" s="182" t="s">
        <v>368</v>
      </c>
      <c r="C7" s="417">
        <f>EOMONTH(C6,12)</f>
        <v>46022</v>
      </c>
      <c r="F7" s="8" t="s">
        <v>369</v>
      </c>
      <c r="H7" s="418">
        <v>262.82</v>
      </c>
      <c r="I7" s="350" t="s">
        <v>370</v>
      </c>
    </row>
    <row r="8" spans="2:10">
      <c r="B8" s="182" t="s">
        <v>371</v>
      </c>
      <c r="C8" s="416" t="e">
        <f>'Historical Financials'!#REF!</f>
        <v>#REF!</v>
      </c>
      <c r="F8" s="8" t="s">
        <v>372</v>
      </c>
      <c r="H8" s="258">
        <v>45956</v>
      </c>
      <c r="I8" s="350"/>
      <c r="J8" s="259"/>
    </row>
    <row r="9" spans="2:10">
      <c r="B9" s="182" t="s">
        <v>373</v>
      </c>
      <c r="C9" s="416">
        <v>45956</v>
      </c>
      <c r="F9" s="8" t="s">
        <v>374</v>
      </c>
      <c r="H9" s="419">
        <v>1</v>
      </c>
      <c r="I9" s="422"/>
      <c r="J9" s="259"/>
    </row>
    <row r="10" spans="2:10">
      <c r="B10" s="349" t="s">
        <v>375</v>
      </c>
      <c r="C10" s="420">
        <f>YEARFRAC(C9,C7)</f>
        <v>0.18055555555555555</v>
      </c>
      <c r="D10" s="347"/>
      <c r="E10" s="347"/>
      <c r="F10" s="347" t="s">
        <v>376</v>
      </c>
      <c r="G10" s="347"/>
      <c r="H10" s="421" t="str">
        <f>'3-Statement Model'!K6</f>
        <v>Base case</v>
      </c>
      <c r="I10" s="351"/>
    </row>
    <row r="11" spans="2:10">
      <c r="D11" s="261"/>
    </row>
    <row r="12" spans="2:10">
      <c r="B12" s="491" t="s">
        <v>377</v>
      </c>
      <c r="C12" s="388"/>
      <c r="D12" s="388"/>
      <c r="E12" s="388"/>
      <c r="F12" s="388"/>
      <c r="G12" s="388"/>
      <c r="H12" s="388"/>
      <c r="I12" s="388"/>
    </row>
    <row r="13" spans="2:10" ht="17.25" customHeight="1">
      <c r="C13" s="262" t="s">
        <v>10</v>
      </c>
      <c r="D13" s="262" t="s">
        <v>378</v>
      </c>
      <c r="E13" s="519" t="s">
        <v>379</v>
      </c>
      <c r="F13" s="262"/>
      <c r="G13" s="262"/>
      <c r="H13" s="262"/>
      <c r="I13" s="262"/>
    </row>
    <row r="14" spans="2:10">
      <c r="B14" s="102" t="s">
        <v>380</v>
      </c>
      <c r="C14" s="263">
        <f>C9</f>
        <v>45956</v>
      </c>
      <c r="D14" s="264">
        <f>C6</f>
        <v>45657</v>
      </c>
      <c r="E14" s="265">
        <f>EOMONTH(D14,12)</f>
        <v>46022</v>
      </c>
      <c r="F14" s="266">
        <f>EOMONTH(E14,12)</f>
        <v>46387</v>
      </c>
      <c r="G14" s="266">
        <f>EOMONTH(F14,12)</f>
        <v>46752</v>
      </c>
      <c r="H14" s="266">
        <f>EOMONTH(G14,12)</f>
        <v>47118</v>
      </c>
      <c r="I14" s="266">
        <f>EOMONTH(H14,12)</f>
        <v>47483</v>
      </c>
    </row>
    <row r="15" spans="2:10" ht="5.0999999999999996" customHeight="1">
      <c r="B15" s="102"/>
      <c r="D15" s="267"/>
      <c r="E15" s="268"/>
      <c r="F15" s="268"/>
      <c r="G15" s="268"/>
      <c r="H15" s="268"/>
      <c r="I15" s="268"/>
    </row>
    <row r="16" spans="2:10">
      <c r="B16" s="8" t="s">
        <v>32</v>
      </c>
      <c r="C16" s="270">
        <f>FCF!AI8</f>
        <v>301353</v>
      </c>
      <c r="D16" s="513">
        <f>FCF!G8</f>
        <v>326452</v>
      </c>
      <c r="E16" s="269" t="e">
        <f>'3-Statement Model'!G18</f>
        <v>#DIV/0!</v>
      </c>
      <c r="F16" s="269" t="e">
        <f>'3-Statement Model'!H18</f>
        <v>#DIV/0!</v>
      </c>
      <c r="G16" s="269" t="e">
        <f>'3-Statement Model'!I18</f>
        <v>#DIV/0!</v>
      </c>
      <c r="H16" s="269" t="e">
        <f>'3-Statement Model'!J18</f>
        <v>#DIV/0!</v>
      </c>
      <c r="I16" s="269" t="e">
        <f>'3-Statement Model'!K18</f>
        <v>#DIV/0!</v>
      </c>
    </row>
    <row r="17" spans="2:13">
      <c r="B17" s="65" t="s">
        <v>381</v>
      </c>
      <c r="D17" s="514"/>
      <c r="E17" s="260" t="e">
        <f>SUM(E16/D16)-1</f>
        <v>#DIV/0!</v>
      </c>
      <c r="F17" s="260" t="e">
        <f>SUM(F16/E16)-1</f>
        <v>#DIV/0!</v>
      </c>
      <c r="G17" s="260" t="e">
        <f>SUM(G16/F16)-1</f>
        <v>#DIV/0!</v>
      </c>
      <c r="H17" s="260" t="e">
        <f>SUM(H16/G16)-1</f>
        <v>#DIV/0!</v>
      </c>
      <c r="I17" s="260" t="e">
        <f>SUM(I16/H16)-1</f>
        <v>#DIV/0!</v>
      </c>
    </row>
    <row r="18" spans="2:13">
      <c r="B18" s="8" t="s">
        <v>11</v>
      </c>
      <c r="C18" s="270">
        <f>FCF!AI22</f>
        <v>-133209</v>
      </c>
      <c r="D18" s="513">
        <f>FCF!G22</f>
        <v>-133003</v>
      </c>
      <c r="E18" s="269" t="e">
        <f>'3-Statement Model'!G42</f>
        <v>#DIV/0!</v>
      </c>
      <c r="F18" s="269" t="e">
        <f>'3-Statement Model'!H42</f>
        <v>#DIV/0!</v>
      </c>
      <c r="G18" s="269" t="e">
        <f>'3-Statement Model'!I42</f>
        <v>#DIV/0!</v>
      </c>
      <c r="H18" s="269" t="e">
        <f>'3-Statement Model'!J42</f>
        <v>#DIV/0!</v>
      </c>
      <c r="I18" s="269" t="e">
        <f>'3-Statement Model'!K42</f>
        <v>#DIV/0!</v>
      </c>
    </row>
    <row r="19" spans="2:13">
      <c r="B19" s="65" t="s">
        <v>382</v>
      </c>
      <c r="D19" s="515">
        <f t="shared" ref="D19:I19" si="0">D18/D16</f>
        <v>-0.40741977381054489</v>
      </c>
      <c r="E19" s="260" t="e">
        <f t="shared" si="0"/>
        <v>#DIV/0!</v>
      </c>
      <c r="F19" s="260" t="e">
        <f t="shared" si="0"/>
        <v>#DIV/0!</v>
      </c>
      <c r="G19" s="260" t="e">
        <f t="shared" si="0"/>
        <v>#DIV/0!</v>
      </c>
      <c r="H19" s="260" t="e">
        <f t="shared" si="0"/>
        <v>#DIV/0!</v>
      </c>
      <c r="I19" s="260" t="e">
        <f t="shared" si="0"/>
        <v>#DIV/0!</v>
      </c>
    </row>
    <row r="20" spans="2:13">
      <c r="B20" s="8" t="s">
        <v>33</v>
      </c>
      <c r="C20" s="270">
        <f>FCF!AI18</f>
        <v>-159830</v>
      </c>
      <c r="D20" s="513">
        <f>FCF!G18</f>
        <v>-156124</v>
      </c>
      <c r="E20" s="269" t="e">
        <f>'3-Statement Model'!G29</f>
        <v>#DIV/0!</v>
      </c>
      <c r="F20" s="269" t="e">
        <f>'3-Statement Model'!H29</f>
        <v>#DIV/0!</v>
      </c>
      <c r="G20" s="269" t="e">
        <f>'3-Statement Model'!I29</f>
        <v>#DIV/0!</v>
      </c>
      <c r="H20" s="269" t="e">
        <f>'3-Statement Model'!J29</f>
        <v>#DIV/0!</v>
      </c>
      <c r="I20" s="269" t="e">
        <f>'3-Statement Model'!K29</f>
        <v>#DIV/0!</v>
      </c>
    </row>
    <row r="21" spans="2:13">
      <c r="B21" s="65" t="s">
        <v>382</v>
      </c>
      <c r="D21" s="515">
        <f t="shared" ref="D21:I21" si="1">D20/D16</f>
        <v>-0.47824488745665517</v>
      </c>
      <c r="E21" s="260" t="e">
        <f t="shared" si="1"/>
        <v>#DIV/0!</v>
      </c>
      <c r="F21" s="260" t="e">
        <f t="shared" si="1"/>
        <v>#DIV/0!</v>
      </c>
      <c r="G21" s="260" t="e">
        <f t="shared" si="1"/>
        <v>#DIV/0!</v>
      </c>
      <c r="H21" s="260" t="e">
        <f t="shared" si="1"/>
        <v>#DIV/0!</v>
      </c>
      <c r="I21" s="260" t="e">
        <f t="shared" si="1"/>
        <v>#DIV/0!</v>
      </c>
    </row>
    <row r="22" spans="2:13" ht="5.0999999999999996" customHeight="1">
      <c r="B22" s="65"/>
      <c r="D22" s="513"/>
      <c r="E22" s="269"/>
      <c r="F22" s="269"/>
      <c r="G22" s="269"/>
      <c r="H22" s="269"/>
      <c r="I22" s="269"/>
    </row>
    <row r="23" spans="2:13">
      <c r="B23" s="8" t="s">
        <v>383</v>
      </c>
      <c r="D23" s="516">
        <f>'3-Statement Model'!F37</f>
        <v>0</v>
      </c>
      <c r="E23" s="270" t="e">
        <f>+E20*E24</f>
        <v>#DIV/0!</v>
      </c>
      <c r="F23" s="270" t="e">
        <f>+F20*F24</f>
        <v>#DIV/0!</v>
      </c>
      <c r="G23" s="270" t="e">
        <f>+G20*G24</f>
        <v>#DIV/0!</v>
      </c>
      <c r="H23" s="270" t="e">
        <f>+H20*H24</f>
        <v>#DIV/0!</v>
      </c>
      <c r="I23" s="270" t="e">
        <f>+I20*I24</f>
        <v>#DIV/0!</v>
      </c>
    </row>
    <row r="24" spans="2:13" s="361" customFormat="1" ht="15" customHeight="1">
      <c r="B24" s="479" t="s">
        <v>148</v>
      </c>
      <c r="D24" s="517">
        <f>D23/D20</f>
        <v>0</v>
      </c>
      <c r="E24" s="517">
        <f>'3-Statement Model'!G58</f>
        <v>0.158</v>
      </c>
      <c r="F24" s="518">
        <f>'3-Statement Model'!H58</f>
        <v>0.16</v>
      </c>
      <c r="G24" s="518">
        <f>'3-Statement Model'!I58</f>
        <v>0.16</v>
      </c>
      <c r="H24" s="518">
        <f>'3-Statement Model'!J58</f>
        <v>0.16</v>
      </c>
      <c r="I24" s="518">
        <f>'3-Statement Model'!K58</f>
        <v>0.16</v>
      </c>
    </row>
    <row r="25" spans="2:13">
      <c r="B25" s="499" t="s">
        <v>384</v>
      </c>
      <c r="C25" s="499"/>
      <c r="D25" s="521">
        <f>+D23+D20</f>
        <v>-156124</v>
      </c>
      <c r="E25" s="522" t="e">
        <f>E20*(1-E24)</f>
        <v>#DIV/0!</v>
      </c>
      <c r="F25" s="522" t="e">
        <f>F20*(1-F24)</f>
        <v>#DIV/0!</v>
      </c>
      <c r="G25" s="522" t="e">
        <f>G20*(1-G24)</f>
        <v>#DIV/0!</v>
      </c>
      <c r="H25" s="522" t="e">
        <f>H20*(1-H24)</f>
        <v>#DIV/0!</v>
      </c>
      <c r="I25" s="522" t="e">
        <f>I20*(1-I24)</f>
        <v>#DIV/0!</v>
      </c>
    </row>
    <row r="26" spans="2:13" ht="5.0999999999999996" customHeight="1">
      <c r="D26" s="270"/>
      <c r="E26" s="270"/>
      <c r="F26" s="270"/>
      <c r="G26" s="270"/>
      <c r="H26" s="270"/>
      <c r="I26" s="270"/>
    </row>
    <row r="27" spans="2:13">
      <c r="B27" s="8" t="s">
        <v>137</v>
      </c>
      <c r="D27" s="269">
        <f>'3-Statement Model'!F41</f>
        <v>0</v>
      </c>
      <c r="E27" s="269">
        <f>'3-Statement Model'!G41</f>
        <v>0</v>
      </c>
      <c r="F27" s="269">
        <f>'3-Statement Model'!H41</f>
        <v>0</v>
      </c>
      <c r="G27" s="269">
        <f>'3-Statement Model'!I41</f>
        <v>0</v>
      </c>
      <c r="H27" s="269">
        <f>'3-Statement Model'!J41</f>
        <v>0</v>
      </c>
      <c r="I27" s="269">
        <f>'3-Statement Model'!K41</f>
        <v>0</v>
      </c>
      <c r="M27" s="271"/>
    </row>
    <row r="28" spans="2:13">
      <c r="B28" s="8" t="s">
        <v>385</v>
      </c>
      <c r="D28" s="270"/>
      <c r="E28" s="270" t="e">
        <f>D34-E34</f>
        <v>#DIV/0!</v>
      </c>
      <c r="F28" s="270" t="e">
        <f>E34-F34</f>
        <v>#DIV/0!</v>
      </c>
      <c r="G28" s="270" t="e">
        <f>F34-G34</f>
        <v>#DIV/0!</v>
      </c>
      <c r="H28" s="270" t="e">
        <f>G34-H34</f>
        <v>#DIV/0!</v>
      </c>
      <c r="I28" s="270" t="e">
        <f>H34-I34</f>
        <v>#DIV/0!</v>
      </c>
      <c r="M28" s="271"/>
    </row>
    <row r="29" spans="2:13">
      <c r="B29" s="8" t="s">
        <v>174</v>
      </c>
      <c r="D29" s="269"/>
      <c r="E29" s="269">
        <f>-'3-Statement Model'!G102</f>
        <v>0</v>
      </c>
      <c r="F29" s="269">
        <f>-'3-Statement Model'!H102</f>
        <v>0</v>
      </c>
      <c r="G29" s="269">
        <f>-'3-Statement Model'!I102</f>
        <v>0</v>
      </c>
      <c r="H29" s="269">
        <f>-'3-Statement Model'!J102</f>
        <v>0</v>
      </c>
      <c r="I29" s="269">
        <f>-'3-Statement Model'!K102</f>
        <v>0</v>
      </c>
      <c r="M29" s="271"/>
    </row>
    <row r="30" spans="2:13">
      <c r="B30" s="65" t="s">
        <v>193</v>
      </c>
      <c r="D30" s="269"/>
      <c r="E30" s="260" t="e">
        <f>E29/E16</f>
        <v>#DIV/0!</v>
      </c>
      <c r="F30" s="260" t="e">
        <f>F29/F16</f>
        <v>#DIV/0!</v>
      </c>
      <c r="G30" s="260" t="e">
        <f>G29/G16</f>
        <v>#DIV/0!</v>
      </c>
      <c r="H30" s="260" t="e">
        <f>H29/H16</f>
        <v>#DIV/0!</v>
      </c>
      <c r="I30" s="260" t="e">
        <f>I29/I16</f>
        <v>#DIV/0!</v>
      </c>
      <c r="M30" s="271"/>
    </row>
    <row r="31" spans="2:13" ht="5.0999999999999996" customHeight="1">
      <c r="D31" s="269"/>
      <c r="E31" s="269"/>
      <c r="F31" s="269"/>
      <c r="G31" s="269"/>
      <c r="H31" s="269"/>
      <c r="I31" s="269"/>
      <c r="M31" s="271"/>
    </row>
    <row r="32" spans="2:13">
      <c r="B32" s="484" t="s">
        <v>386</v>
      </c>
      <c r="C32" s="484"/>
      <c r="D32" s="520"/>
      <c r="E32" s="520" t="e">
        <f>+E25+E27+E28+E29</f>
        <v>#DIV/0!</v>
      </c>
      <c r="F32" s="520" t="e">
        <f>+F25+F27+F28+F29</f>
        <v>#DIV/0!</v>
      </c>
      <c r="G32" s="520" t="e">
        <f>+G25+G27+G28+G29</f>
        <v>#DIV/0!</v>
      </c>
      <c r="H32" s="520" t="e">
        <f>+H25+H27+H28+H29</f>
        <v>#DIV/0!</v>
      </c>
      <c r="I32" s="520" t="e">
        <f>+I25+I27+I28+I29</f>
        <v>#DIV/0!</v>
      </c>
      <c r="M32" s="272"/>
    </row>
    <row r="33" spans="2:13" ht="5.0999999999999996" customHeight="1">
      <c r="D33" s="269"/>
      <c r="M33" s="271"/>
    </row>
    <row r="34" spans="2:13">
      <c r="B34" s="8" t="s">
        <v>387</v>
      </c>
      <c r="D34" s="269">
        <f>SUM('3-Statement Model'!F97)-SUM('3-Statement Model'!F96)</f>
        <v>0</v>
      </c>
      <c r="E34" s="269" t="e">
        <f>SUM('3-Statement Model'!G97)-SUM('3-Statement Model'!G96)</f>
        <v>#DIV/0!</v>
      </c>
      <c r="F34" s="269" t="e">
        <f>SUM('3-Statement Model'!H97)-SUM('3-Statement Model'!H96)</f>
        <v>#DIV/0!</v>
      </c>
      <c r="G34" s="269" t="e">
        <f>SUM('3-Statement Model'!I97)-SUM('3-Statement Model'!I96)</f>
        <v>#DIV/0!</v>
      </c>
      <c r="H34" s="269" t="e">
        <f>SUM('3-Statement Model'!J97)-SUM('3-Statement Model'!J96)</f>
        <v>#DIV/0!</v>
      </c>
      <c r="I34" s="269" t="e">
        <f>SUM('3-Statement Model'!K97)-SUM('3-Statement Model'!K96)</f>
        <v>#DIV/0!</v>
      </c>
    </row>
    <row r="35" spans="2:13" ht="15" customHeight="1">
      <c r="B35" s="65" t="s">
        <v>193</v>
      </c>
      <c r="D35" s="260"/>
      <c r="E35" s="260" t="e">
        <f>+E34/E16</f>
        <v>#DIV/0!</v>
      </c>
      <c r="F35" s="260" t="e">
        <f>+F34/F16</f>
        <v>#DIV/0!</v>
      </c>
      <c r="G35" s="260" t="e">
        <f>+G34/G16</f>
        <v>#DIV/0!</v>
      </c>
      <c r="H35" s="260" t="e">
        <f>+H34/H16</f>
        <v>#DIV/0!</v>
      </c>
      <c r="I35" s="260" t="e">
        <f>+I34/I16</f>
        <v>#DIV/0!</v>
      </c>
      <c r="J35" s="269"/>
    </row>
    <row r="36" spans="2:13" ht="5.0999999999999996" customHeight="1">
      <c r="D36" s="269"/>
      <c r="E36" s="260"/>
      <c r="F36" s="260"/>
      <c r="G36" s="260"/>
      <c r="H36" s="260"/>
      <c r="I36" s="260"/>
      <c r="J36" s="269"/>
      <c r="K36" s="108"/>
      <c r="M36" s="260"/>
    </row>
    <row r="37" spans="2:13">
      <c r="B37" s="491" t="str">
        <f>"Present value of UFCF on "&amp;TEXT(C9,"mmm dd, yyyy")&amp;" valuation date"</f>
        <v>Present value of UFCF on Oct 26, 2025 valuation date</v>
      </c>
      <c r="C37" s="388"/>
      <c r="D37" s="388"/>
      <c r="E37" s="388"/>
      <c r="F37" s="388"/>
      <c r="G37" s="388"/>
      <c r="H37" s="388"/>
      <c r="I37" s="388"/>
      <c r="J37" s="269"/>
    </row>
    <row r="38" spans="2:13" ht="5.0999999999999996" customHeight="1">
      <c r="B38" s="505"/>
      <c r="C38" s="506"/>
      <c r="D38" s="506"/>
      <c r="E38" s="506"/>
      <c r="F38" s="506"/>
      <c r="G38" s="506"/>
      <c r="H38" s="506"/>
      <c r="I38" s="506"/>
      <c r="J38" s="269"/>
    </row>
    <row r="39" spans="2:13" ht="14.25">
      <c r="B39" s="38"/>
      <c r="D39" s="507" t="s">
        <v>388</v>
      </c>
      <c r="E39" s="507" t="s">
        <v>389</v>
      </c>
      <c r="F39" s="508" t="s">
        <v>390</v>
      </c>
      <c r="G39" s="508" t="s">
        <v>391</v>
      </c>
      <c r="H39" s="508" t="s">
        <v>392</v>
      </c>
      <c r="I39" s="508" t="s">
        <v>393</v>
      </c>
      <c r="J39" s="269"/>
    </row>
    <row r="40" spans="2:13">
      <c r="B40" s="8" t="s">
        <v>394</v>
      </c>
      <c r="D40" s="509">
        <f>C9</f>
        <v>45956</v>
      </c>
      <c r="E40" s="273">
        <f>IF($H$9=1,AVERAGE(E14,D40),E14)</f>
        <v>45989</v>
      </c>
      <c r="F40" s="273">
        <f>IF($H$9=1,AVERAGE(F14,E14),F14)</f>
        <v>46204.5</v>
      </c>
      <c r="G40" s="273">
        <f>IF($H$9=1,AVERAGE(G14,F14),G14)</f>
        <v>46569.5</v>
      </c>
      <c r="H40" s="273">
        <f>IF($H$9=1,AVERAGE(H14,G14),H14)</f>
        <v>46935</v>
      </c>
      <c r="I40" s="273">
        <f>IF($H$9=1,AVERAGE(I14,H14),I14)</f>
        <v>47300.5</v>
      </c>
      <c r="J40" s="269"/>
    </row>
    <row r="41" spans="2:13">
      <c r="B41" s="8" t="s">
        <v>395</v>
      </c>
      <c r="C41" s="274">
        <f>C10</f>
        <v>0.18055555555555555</v>
      </c>
      <c r="D41" s="271"/>
      <c r="E41" s="270" t="e">
        <f>E32*C41</f>
        <v>#DIV/0!</v>
      </c>
      <c r="F41" s="270" t="e">
        <f>F32</f>
        <v>#DIV/0!</v>
      </c>
      <c r="G41" s="270" t="e">
        <f>G32</f>
        <v>#DIV/0!</v>
      </c>
      <c r="H41" s="270" t="e">
        <f>H32</f>
        <v>#DIV/0!</v>
      </c>
      <c r="I41" s="270" t="e">
        <f>I32</f>
        <v>#DIV/0!</v>
      </c>
      <c r="J41" s="270"/>
      <c r="K41" s="8" t="s">
        <v>396</v>
      </c>
    </row>
    <row r="42" spans="2:13" s="361" customFormat="1">
      <c r="B42" s="502" t="s">
        <v>397</v>
      </c>
      <c r="C42" s="503"/>
      <c r="D42" s="504"/>
      <c r="E42" s="504" t="e">
        <f>E41/(1+$H$6)^((E40-$C$9)/365)</f>
        <v>#DIV/0!</v>
      </c>
      <c r="F42" s="504" t="e">
        <f>F41/(1+$H$6)^((F40-$C$9)/365)</f>
        <v>#DIV/0!</v>
      </c>
      <c r="G42" s="504" t="e">
        <f>G41/(1+$H$6)^((G40-$C$9)/365)</f>
        <v>#DIV/0!</v>
      </c>
      <c r="H42" s="504" t="e">
        <f>H41/(1+$H$6)^((H40-$C$9)/365)</f>
        <v>#DIV/0!</v>
      </c>
      <c r="I42" s="504" t="e">
        <f>I41/(1+$H$6)^((I40-$C$9)/365)</f>
        <v>#DIV/0!</v>
      </c>
      <c r="J42" s="501"/>
    </row>
    <row r="44" spans="2:13">
      <c r="B44" s="491" t="s">
        <v>398</v>
      </c>
      <c r="C44" s="388"/>
      <c r="E44" s="498" t="s">
        <v>399</v>
      </c>
      <c r="F44" s="388"/>
      <c r="G44" s="388"/>
      <c r="H44" s="388"/>
      <c r="I44" s="388"/>
    </row>
    <row r="45" spans="2:13" ht="5.0999999999999996" customHeight="1">
      <c r="B45" s="505"/>
      <c r="C45" s="506"/>
      <c r="E45" s="510"/>
      <c r="F45" s="506"/>
      <c r="G45" s="506"/>
      <c r="H45" s="506"/>
      <c r="I45" s="506"/>
    </row>
    <row r="46" spans="2:13">
      <c r="B46" s="8" t="s">
        <v>400</v>
      </c>
      <c r="C46" s="128">
        <v>0.03</v>
      </c>
      <c r="E46" s="8" t="s">
        <v>401</v>
      </c>
      <c r="I46" s="271" t="e">
        <f>I18</f>
        <v>#DIV/0!</v>
      </c>
      <c r="J46" s="271"/>
    </row>
    <row r="47" spans="2:13">
      <c r="B47" s="275" t="str">
        <f>YEAR(I14)&amp;" FCF x (1+g)"</f>
        <v>2029 FCF x (1+g)</v>
      </c>
      <c r="C47" s="271" t="e">
        <f>I41*(1+C46)</f>
        <v>#DIV/0!</v>
      </c>
      <c r="E47" s="8" t="s">
        <v>402</v>
      </c>
      <c r="I47" s="276">
        <v>16.2</v>
      </c>
      <c r="J47" s="276"/>
    </row>
    <row r="48" spans="2:13">
      <c r="B48" s="8" t="str">
        <f>"Terminal value in "&amp;YEAR(I14)</f>
        <v>Terminal value in 2029</v>
      </c>
      <c r="C48" s="271" t="e">
        <f>C47/(H6-C46)</f>
        <v>#DIV/0!</v>
      </c>
      <c r="E48" s="8" t="str">
        <f>"Terminal value in "&amp;YEAR(I14)</f>
        <v>Terminal value in 2029</v>
      </c>
      <c r="I48" s="271" t="e">
        <f>I46*I47</f>
        <v>#DIV/0!</v>
      </c>
      <c r="J48" s="271"/>
    </row>
    <row r="49" spans="2:10">
      <c r="B49" s="8" t="s">
        <v>403</v>
      </c>
      <c r="C49" s="271" t="e">
        <f>C48/(1+H6)^((I40-$D$40)/365)</f>
        <v>#DIV/0!</v>
      </c>
      <c r="E49" s="8" t="s">
        <v>403</v>
      </c>
      <c r="I49" s="271" t="e">
        <f>I48/(1+H6)^((I40-D40)/365)</f>
        <v>#DIV/0!</v>
      </c>
      <c r="J49" s="271"/>
    </row>
    <row r="50" spans="2:10">
      <c r="B50" s="8" t="s">
        <v>404</v>
      </c>
      <c r="C50" s="270" t="e">
        <f>SUM(E42:I42)</f>
        <v>#DIV/0!</v>
      </c>
      <c r="E50" s="8" t="s">
        <v>404</v>
      </c>
      <c r="I50" s="271" t="e">
        <f>C50</f>
        <v>#DIV/0!</v>
      </c>
      <c r="J50" s="271"/>
    </row>
    <row r="51" spans="2:10">
      <c r="B51" s="499" t="s">
        <v>405</v>
      </c>
      <c r="C51" s="500" t="e">
        <f>C50+C49</f>
        <v>#DIV/0!</v>
      </c>
      <c r="E51" s="499" t="s">
        <v>406</v>
      </c>
      <c r="F51" s="196"/>
      <c r="G51" s="196"/>
      <c r="H51" s="196"/>
      <c r="I51" s="500" t="e">
        <f>SUM(I49:I50)</f>
        <v>#DIV/0!</v>
      </c>
      <c r="J51" s="277"/>
    </row>
    <row r="52" spans="2:10" ht="5.0999999999999996" customHeight="1"/>
    <row r="53" spans="2:10">
      <c r="B53" s="278" t="s">
        <v>407</v>
      </c>
      <c r="C53" s="279" t="e">
        <f>C49/$C$51</f>
        <v>#DIV/0!</v>
      </c>
      <c r="E53" s="278" t="s">
        <v>407</v>
      </c>
      <c r="I53" s="279" t="e">
        <f>+I49/I51</f>
        <v>#DIV/0!</v>
      </c>
      <c r="J53" s="279"/>
    </row>
    <row r="54" spans="2:10">
      <c r="B54" s="278" t="s">
        <v>408</v>
      </c>
      <c r="C54" s="279" t="e">
        <f>1-C53</f>
        <v>#DIV/0!</v>
      </c>
      <c r="E54" s="278" t="s">
        <v>409</v>
      </c>
      <c r="G54" s="280"/>
      <c r="I54" s="133" t="e">
        <f>1-I53</f>
        <v>#DIV/0!</v>
      </c>
      <c r="J54" s="133"/>
    </row>
    <row r="55" spans="2:10">
      <c r="B55" s="278" t="s">
        <v>410</v>
      </c>
      <c r="C55" s="281" t="e">
        <f>(C48/I18)</f>
        <v>#DIV/0!</v>
      </c>
      <c r="E55" s="8" t="s">
        <v>411</v>
      </c>
      <c r="I55" s="282" t="e">
        <f>(H6-I41/I48)/(1+I41/I48)</f>
        <v>#DIV/0!</v>
      </c>
      <c r="J55" s="282"/>
    </row>
    <row r="56" spans="2:10">
      <c r="B56" s="278"/>
      <c r="C56" s="102"/>
      <c r="D56" s="281"/>
      <c r="I56" s="282"/>
      <c r="J56" s="282"/>
    </row>
    <row r="57" spans="2:10">
      <c r="B57" s="491" t="s">
        <v>412</v>
      </c>
      <c r="C57" s="388"/>
      <c r="E57" s="498" t="s">
        <v>413</v>
      </c>
      <c r="F57" s="388"/>
      <c r="G57" s="491"/>
      <c r="H57" s="388"/>
      <c r="I57" s="491"/>
    </row>
    <row r="58" spans="2:10">
      <c r="B58" s="8" t="s">
        <v>414</v>
      </c>
      <c r="C58" s="258" t="s">
        <v>450</v>
      </c>
    </row>
    <row r="59" spans="2:10">
      <c r="B59" s="110" t="s">
        <v>415</v>
      </c>
      <c r="C59" s="273" t="e">
        <f>C8</f>
        <v>#REF!</v>
      </c>
      <c r="G59" s="113" t="s">
        <v>414</v>
      </c>
      <c r="H59" s="283" t="s">
        <v>416</v>
      </c>
      <c r="I59" s="283" t="s">
        <v>417</v>
      </c>
    </row>
    <row r="60" spans="2:10">
      <c r="B60" s="284" t="s">
        <v>418</v>
      </c>
      <c r="C60" s="285"/>
      <c r="E60" s="361" t="s">
        <v>103</v>
      </c>
      <c r="G60" s="258" t="s">
        <v>451</v>
      </c>
      <c r="H60" s="258">
        <f ca="1">NOW()</f>
        <v>45966.749532407404</v>
      </c>
      <c r="I60" s="286">
        <v>14840.39</v>
      </c>
      <c r="J60" s="286"/>
    </row>
    <row r="61" spans="2:10">
      <c r="B61" s="65" t="s">
        <v>22</v>
      </c>
      <c r="C61" s="168">
        <f>FCF!AI70</f>
        <v>1257927</v>
      </c>
      <c r="E61" s="362" t="s">
        <v>419</v>
      </c>
      <c r="G61" s="258" t="s">
        <v>450</v>
      </c>
      <c r="H61" s="258">
        <v>45833</v>
      </c>
      <c r="I61" s="286">
        <v>149.976</v>
      </c>
      <c r="J61" s="220"/>
    </row>
    <row r="62" spans="2:10">
      <c r="B62" s="65" t="s">
        <v>420</v>
      </c>
      <c r="C62" s="244">
        <f>[1]Shares!E25+[1]Shares!E31</f>
        <v>0</v>
      </c>
      <c r="E62" s="362" t="s">
        <v>421</v>
      </c>
      <c r="G62" s="258" t="s">
        <v>450</v>
      </c>
      <c r="H62" s="258">
        <v>45833</v>
      </c>
      <c r="I62" s="486">
        <f>Shares!E19</f>
        <v>0</v>
      </c>
    </row>
    <row r="63" spans="2:10">
      <c r="B63" s="65" t="s">
        <v>422</v>
      </c>
      <c r="C63" s="244">
        <f>[1]Shares!E34+[1]Shares!E41</f>
        <v>0</v>
      </c>
      <c r="E63" s="361" t="s">
        <v>420</v>
      </c>
      <c r="G63" s="258" t="s">
        <v>450</v>
      </c>
      <c r="H63" s="258">
        <v>45833</v>
      </c>
      <c r="I63" s="497">
        <f>0</f>
        <v>0</v>
      </c>
    </row>
    <row r="64" spans="2:10">
      <c r="B64" s="287" t="s">
        <v>423</v>
      </c>
      <c r="C64" s="107">
        <v>0</v>
      </c>
      <c r="E64" s="361" t="s">
        <v>424</v>
      </c>
      <c r="G64" s="258" t="s">
        <v>450</v>
      </c>
      <c r="H64" s="258">
        <v>45833</v>
      </c>
      <c r="I64" s="497">
        <v>0</v>
      </c>
    </row>
    <row r="65" spans="2:10">
      <c r="B65" s="284" t="s">
        <v>425</v>
      </c>
      <c r="E65" s="192" t="s">
        <v>426</v>
      </c>
      <c r="F65" s="195"/>
      <c r="G65" s="195"/>
      <c r="H65" s="195"/>
      <c r="I65" s="341">
        <f>SUM(I60:I64)</f>
        <v>14990.366</v>
      </c>
      <c r="J65" s="250"/>
    </row>
    <row r="66" spans="2:10">
      <c r="B66" s="288" t="s">
        <v>427</v>
      </c>
      <c r="C66" s="168">
        <f>FCF!AI51</f>
        <v>117269</v>
      </c>
      <c r="J66" s="238"/>
    </row>
    <row r="67" spans="2:10">
      <c r="B67" s="288" t="s">
        <v>428</v>
      </c>
      <c r="C67" s="107">
        <v>0</v>
      </c>
      <c r="J67" s="238"/>
    </row>
    <row r="68" spans="2:10">
      <c r="B68" s="502" t="s">
        <v>412</v>
      </c>
      <c r="C68" s="511">
        <f>SUM(C61:C64)-SUM(C66:C67)</f>
        <v>1140658</v>
      </c>
    </row>
    <row r="70" spans="2:10">
      <c r="B70" s="491" t="s">
        <v>429</v>
      </c>
      <c r="C70" s="388"/>
      <c r="D70" s="491"/>
    </row>
    <row r="71" spans="2:10" ht="5.0999999999999996" customHeight="1">
      <c r="B71" s="505"/>
      <c r="C71" s="506"/>
      <c r="D71" s="505"/>
    </row>
    <row r="72" spans="2:10" ht="14.25">
      <c r="C72" s="494" t="s">
        <v>36</v>
      </c>
      <c r="D72" s="494" t="s">
        <v>11</v>
      </c>
    </row>
    <row r="73" spans="2:10">
      <c r="B73" s="8" t="s">
        <v>430</v>
      </c>
      <c r="C73" s="289" t="e">
        <f>C51</f>
        <v>#DIV/0!</v>
      </c>
      <c r="D73" s="289" t="e">
        <f>I51</f>
        <v>#DIV/0!</v>
      </c>
    </row>
    <row r="74" spans="2:10">
      <c r="B74" s="8" t="s">
        <v>412</v>
      </c>
      <c r="C74" s="290">
        <f>$C$68</f>
        <v>1140658</v>
      </c>
      <c r="D74" s="290">
        <f>C74</f>
        <v>1140658</v>
      </c>
    </row>
    <row r="75" spans="2:10">
      <c r="B75" s="8" t="s">
        <v>431</v>
      </c>
      <c r="C75" s="291" t="e">
        <f>C73-C74</f>
        <v>#DIV/0!</v>
      </c>
      <c r="D75" s="291" t="e">
        <f>D73-D74</f>
        <v>#DIV/0!</v>
      </c>
    </row>
    <row r="76" spans="2:10">
      <c r="B76" s="8" t="s">
        <v>413</v>
      </c>
      <c r="C76" s="291">
        <f>$I$65</f>
        <v>14990.366</v>
      </c>
      <c r="D76" s="291">
        <f>C76</f>
        <v>14990.366</v>
      </c>
    </row>
    <row r="77" spans="2:10">
      <c r="B77" s="484" t="s">
        <v>432</v>
      </c>
      <c r="C77" s="512" t="e">
        <f>C75/C76</f>
        <v>#DIV/0!</v>
      </c>
      <c r="D77" s="512" t="e">
        <f>D75/D76</f>
        <v>#DIV/0!</v>
      </c>
    </row>
    <row r="79" spans="2:10" ht="14.25">
      <c r="C79" s="262" t="s">
        <v>433</v>
      </c>
      <c r="D79" s="262"/>
    </row>
    <row r="80" spans="2:10">
      <c r="B80" s="113"/>
      <c r="C80" s="283" t="s">
        <v>36</v>
      </c>
      <c r="D80" s="283" t="s">
        <v>11</v>
      </c>
    </row>
    <row r="81" spans="2:17">
      <c r="B81" s="8" t="s">
        <v>434</v>
      </c>
      <c r="C81" s="292" t="e">
        <f>C$73/$C$16</f>
        <v>#DIV/0!</v>
      </c>
      <c r="D81" s="292" t="e">
        <f>D$73/$C$16</f>
        <v>#DIV/0!</v>
      </c>
    </row>
    <row r="82" spans="2:17">
      <c r="B82" s="8" t="s">
        <v>435</v>
      </c>
      <c r="C82" s="293" t="e">
        <f>C73/$C$18</f>
        <v>#DIV/0!</v>
      </c>
      <c r="D82" s="293" t="e">
        <f>D73/$C$18</f>
        <v>#DIV/0!</v>
      </c>
    </row>
    <row r="83" spans="2:17">
      <c r="B83" s="270" t="s">
        <v>436</v>
      </c>
      <c r="C83" s="293" t="e">
        <f>C73/$C$20</f>
        <v>#DIV/0!</v>
      </c>
      <c r="D83" s="293" t="e">
        <f>D73/$C$20</f>
        <v>#DIV/0!</v>
      </c>
    </row>
    <row r="84" spans="2:17" ht="14.25">
      <c r="B84" s="270"/>
      <c r="C84" s="262" t="s">
        <v>437</v>
      </c>
      <c r="D84" s="262"/>
      <c r="E84" s="294"/>
      <c r="F84" s="294"/>
    </row>
    <row r="85" spans="2:17">
      <c r="B85" s="113"/>
      <c r="C85" s="283" t="s">
        <v>36</v>
      </c>
      <c r="D85" s="283" t="s">
        <v>11</v>
      </c>
      <c r="E85" s="294"/>
      <c r="F85" s="294"/>
    </row>
    <row r="86" spans="2:17">
      <c r="B86" s="8" t="s">
        <v>434</v>
      </c>
      <c r="C86" s="295" t="e">
        <f>C73/$E$16</f>
        <v>#DIV/0!</v>
      </c>
      <c r="D86" s="295" t="e">
        <f>D73/$E$16</f>
        <v>#DIV/0!</v>
      </c>
      <c r="E86" s="294"/>
      <c r="F86" s="294"/>
    </row>
    <row r="87" spans="2:17">
      <c r="B87" s="8" t="s">
        <v>435</v>
      </c>
      <c r="C87" s="294" t="e">
        <f>C73/$E$18</f>
        <v>#DIV/0!</v>
      </c>
      <c r="D87" s="294" t="e">
        <f>D73/$E$18</f>
        <v>#DIV/0!</v>
      </c>
      <c r="E87" s="294"/>
      <c r="F87" s="294"/>
    </row>
    <row r="88" spans="2:17">
      <c r="B88" s="270" t="s">
        <v>436</v>
      </c>
      <c r="C88" s="294" t="e">
        <f>C73/$E$20</f>
        <v>#DIV/0!</v>
      </c>
      <c r="D88" s="294" t="e">
        <f>D73/$E$20</f>
        <v>#DIV/0!</v>
      </c>
      <c r="E88" s="294"/>
      <c r="F88" s="294"/>
    </row>
    <row r="90" spans="2:17">
      <c r="B90" s="252" t="s">
        <v>438</v>
      </c>
      <c r="C90" s="252"/>
      <c r="D90" s="252"/>
      <c r="E90" s="252"/>
      <c r="F90" s="252"/>
      <c r="G90" s="252"/>
      <c r="H90" s="252"/>
      <c r="I90" s="252"/>
      <c r="J90" s="252"/>
      <c r="K90" s="252"/>
      <c r="L90" s="252"/>
      <c r="M90" s="252"/>
      <c r="N90" s="252"/>
      <c r="O90" s="252"/>
      <c r="P90" s="252"/>
      <c r="Q90" s="252"/>
    </row>
    <row r="91" spans="2:17">
      <c r="B91" s="38"/>
    </row>
    <row r="92" spans="2:17" ht="17.25" customHeight="1">
      <c r="B92" s="296"/>
      <c r="C92" s="38"/>
      <c r="D92" s="297" t="s">
        <v>432</v>
      </c>
      <c r="E92" s="262"/>
      <c r="F92" s="262"/>
      <c r="G92" s="262"/>
      <c r="H92" s="262"/>
      <c r="I92" s="262"/>
      <c r="J92" s="298"/>
      <c r="L92" s="297" t="s">
        <v>439</v>
      </c>
      <c r="M92" s="262"/>
      <c r="N92" s="262"/>
      <c r="O92" s="262"/>
      <c r="P92" s="262"/>
      <c r="Q92" s="262"/>
    </row>
    <row r="93" spans="2:17" ht="15" customHeight="1">
      <c r="B93" s="296"/>
      <c r="D93" s="110"/>
      <c r="E93" s="227" t="s">
        <v>440</v>
      </c>
      <c r="F93" s="227"/>
      <c r="G93" s="227"/>
      <c r="H93" s="227"/>
      <c r="I93" s="227"/>
      <c r="J93" s="299"/>
      <c r="L93" s="110"/>
      <c r="M93" s="227"/>
      <c r="N93" s="227"/>
      <c r="O93" s="227"/>
      <c r="P93" s="227"/>
      <c r="Q93" s="227"/>
    </row>
    <row r="94" spans="2:17" ht="15" customHeight="1">
      <c r="B94" s="296"/>
      <c r="C94" s="159"/>
      <c r="D94" s="300" t="e">
        <f>C77</f>
        <v>#DIV/0!</v>
      </c>
      <c r="E94" s="301">
        <f>F94-0.005</f>
        <v>1.9999999999999997E-2</v>
      </c>
      <c r="F94" s="302">
        <f>G94-0.005</f>
        <v>2.4999999999999998E-2</v>
      </c>
      <c r="G94" s="303">
        <v>0.03</v>
      </c>
      <c r="H94" s="302">
        <f>G94+0.005</f>
        <v>3.4999999999999996E-2</v>
      </c>
      <c r="I94" s="302">
        <f>H94+0.005</f>
        <v>3.9999999999999994E-2</v>
      </c>
      <c r="J94" s="304"/>
      <c r="L94" s="305" t="e">
        <f>C82</f>
        <v>#DIV/0!</v>
      </c>
      <c r="M94" s="302">
        <f>N94-0.005</f>
        <v>1.9999999999999997E-2</v>
      </c>
      <c r="N94" s="302">
        <f>O94-0.005</f>
        <v>2.4999999999999998E-2</v>
      </c>
      <c r="O94" s="303">
        <v>0.03</v>
      </c>
      <c r="P94" s="302">
        <f>O94+0.005</f>
        <v>3.4999999999999996E-2</v>
      </c>
      <c r="Q94" s="306">
        <f>P94+0.005</f>
        <v>3.9999999999999994E-2</v>
      </c>
    </row>
    <row r="95" spans="2:17" ht="15" customHeight="1">
      <c r="B95" s="296"/>
      <c r="D95" s="307">
        <f>D96+0.01</f>
        <v>0.10999999999999999</v>
      </c>
      <c r="E95" s="308">
        <v>20.680633001583054</v>
      </c>
      <c r="F95" s="308">
        <v>20.680633001583054</v>
      </c>
      <c r="G95" s="308">
        <v>20.680633001583054</v>
      </c>
      <c r="H95" s="308">
        <v>20.680633001583054</v>
      </c>
      <c r="I95" s="308">
        <v>20.680633001583054</v>
      </c>
      <c r="J95" s="309"/>
      <c r="L95" s="307">
        <f>L96+0.01</f>
        <v>0.10999999999999999</v>
      </c>
      <c r="M95" s="310" t="e">
        <v>#DIV/0!</v>
      </c>
      <c r="N95" s="310" t="e">
        <v>#DIV/0!</v>
      </c>
      <c r="O95" s="310" t="e">
        <v>#DIV/0!</v>
      </c>
      <c r="P95" s="310" t="e">
        <v>#DIV/0!</v>
      </c>
      <c r="Q95" s="310" t="e">
        <v>#DIV/0!</v>
      </c>
    </row>
    <row r="96" spans="2:17" ht="15" customHeight="1">
      <c r="B96" s="296"/>
      <c r="D96" s="307">
        <f>D97+0.01</f>
        <v>9.9999999999999992E-2</v>
      </c>
      <c r="E96" s="308">
        <v>20.680633001583054</v>
      </c>
      <c r="F96" s="308">
        <v>20.680633001583054</v>
      </c>
      <c r="G96" s="308">
        <v>20.680633001583054</v>
      </c>
      <c r="H96" s="308">
        <v>20.680633001583054</v>
      </c>
      <c r="I96" s="308">
        <v>20.680633001583054</v>
      </c>
      <c r="J96" s="309"/>
      <c r="L96" s="307">
        <f>L97+0.01</f>
        <v>9.9999999999999992E-2</v>
      </c>
      <c r="M96" s="310" t="e">
        <v>#DIV/0!</v>
      </c>
      <c r="N96" s="310" t="e">
        <v>#DIV/0!</v>
      </c>
      <c r="O96" s="310" t="e">
        <v>#DIV/0!</v>
      </c>
      <c r="P96" s="310" t="e">
        <v>#DIV/0!</v>
      </c>
      <c r="Q96" s="310" t="e">
        <v>#DIV/0!</v>
      </c>
    </row>
    <row r="97" spans="2:17" ht="15" customHeight="1">
      <c r="B97" s="296"/>
      <c r="C97" s="159" t="s">
        <v>441</v>
      </c>
      <c r="D97" s="311">
        <v>0.09</v>
      </c>
      <c r="E97" s="308">
        <v>20.680633001583054</v>
      </c>
      <c r="F97" s="308">
        <v>20.680633001583054</v>
      </c>
      <c r="G97" s="308">
        <v>20.680633001583054</v>
      </c>
      <c r="H97" s="308">
        <v>20.680633001583054</v>
      </c>
      <c r="I97" s="308">
        <v>20.680633001583054</v>
      </c>
      <c r="J97" s="309"/>
      <c r="K97" s="159" t="s">
        <v>441</v>
      </c>
      <c r="L97" s="311">
        <v>0.09</v>
      </c>
      <c r="M97" s="310" t="e">
        <v>#DIV/0!</v>
      </c>
      <c r="N97" s="310" t="e">
        <v>#DIV/0!</v>
      </c>
      <c r="O97" s="310" t="e">
        <v>#DIV/0!</v>
      </c>
      <c r="P97" s="310" t="e">
        <v>#DIV/0!</v>
      </c>
      <c r="Q97" s="310" t="e">
        <v>#DIV/0!</v>
      </c>
    </row>
    <row r="98" spans="2:17" ht="15" customHeight="1">
      <c r="B98" s="296"/>
      <c r="D98" s="307">
        <f>D97-0.01</f>
        <v>0.08</v>
      </c>
      <c r="E98" s="308">
        <v>20.680633001583054</v>
      </c>
      <c r="F98" s="308">
        <v>20.680633001583054</v>
      </c>
      <c r="G98" s="308">
        <v>20.680633001583054</v>
      </c>
      <c r="H98" s="308">
        <v>20.680633001583054</v>
      </c>
      <c r="I98" s="308">
        <v>20.680633001583054</v>
      </c>
      <c r="J98" s="309"/>
      <c r="L98" s="307">
        <f>L97-0.01</f>
        <v>0.08</v>
      </c>
      <c r="M98" s="310" t="e">
        <v>#DIV/0!</v>
      </c>
      <c r="N98" s="310" t="e">
        <v>#DIV/0!</v>
      </c>
      <c r="O98" s="310" t="e">
        <v>#DIV/0!</v>
      </c>
      <c r="P98" s="310" t="e">
        <v>#DIV/0!</v>
      </c>
      <c r="Q98" s="310" t="e">
        <v>#DIV/0!</v>
      </c>
    </row>
    <row r="99" spans="2:17" ht="15" customHeight="1">
      <c r="B99" s="312" t="s">
        <v>442</v>
      </c>
      <c r="D99" s="313">
        <f>D98-0.01</f>
        <v>7.0000000000000007E-2</v>
      </c>
      <c r="E99" s="308">
        <v>20.680633001583054</v>
      </c>
      <c r="F99" s="308">
        <v>20.680633001583054</v>
      </c>
      <c r="G99" s="308">
        <v>20.680633001583054</v>
      </c>
      <c r="H99" s="308">
        <v>20.680633001583054</v>
      </c>
      <c r="I99" s="308">
        <v>20.680633001583054</v>
      </c>
      <c r="J99" s="309"/>
      <c r="L99" s="313">
        <f>L98-0.01</f>
        <v>7.0000000000000007E-2</v>
      </c>
      <c r="M99" s="310" t="e">
        <v>#DIV/0!</v>
      </c>
      <c r="N99" s="310" t="e">
        <v>#DIV/0!</v>
      </c>
      <c r="O99" s="310" t="e">
        <v>#DIV/0!</v>
      </c>
      <c r="P99" s="310" t="e">
        <v>#DIV/0!</v>
      </c>
      <c r="Q99" s="310" t="e">
        <v>#DIV/0!</v>
      </c>
    </row>
    <row r="100" spans="2:17" ht="15" customHeight="1">
      <c r="B100" s="312" t="s">
        <v>443</v>
      </c>
      <c r="E100" s="314"/>
      <c r="F100" s="314"/>
      <c r="G100" s="314"/>
      <c r="H100" s="314"/>
      <c r="I100" s="314"/>
      <c r="J100" s="315"/>
    </row>
    <row r="101" spans="2:17" ht="17.25" customHeight="1">
      <c r="B101" s="296"/>
      <c r="D101" s="297" t="s">
        <v>432</v>
      </c>
      <c r="E101" s="262"/>
      <c r="F101" s="262"/>
      <c r="G101" s="262"/>
      <c r="H101" s="262"/>
      <c r="I101" s="262"/>
      <c r="J101" s="298"/>
      <c r="L101" s="297" t="s">
        <v>439</v>
      </c>
      <c r="M101" s="262"/>
      <c r="N101" s="262"/>
      <c r="O101" s="262"/>
      <c r="P101" s="262"/>
      <c r="Q101" s="262"/>
    </row>
    <row r="102" spans="2:17" ht="15" customHeight="1">
      <c r="B102" s="296"/>
      <c r="E102" s="227" t="s">
        <v>444</v>
      </c>
      <c r="F102" s="227"/>
      <c r="G102" s="227"/>
      <c r="H102" s="227"/>
      <c r="I102" s="227"/>
      <c r="J102" s="299"/>
      <c r="M102" s="227" t="s">
        <v>444</v>
      </c>
      <c r="N102" s="227"/>
      <c r="O102" s="227"/>
      <c r="P102" s="227"/>
      <c r="Q102" s="227"/>
    </row>
    <row r="103" spans="2:17" ht="15" customHeight="1">
      <c r="B103" s="296"/>
      <c r="D103" s="316" t="e">
        <f>D77</f>
        <v>#DIV/0!</v>
      </c>
      <c r="E103" s="317">
        <f>F103-1</f>
        <v>11</v>
      </c>
      <c r="F103" s="317">
        <f>G103-1</f>
        <v>12</v>
      </c>
      <c r="G103" s="318">
        <v>13</v>
      </c>
      <c r="H103" s="317">
        <f>G103+1</f>
        <v>14</v>
      </c>
      <c r="I103" s="317">
        <f>H103+1</f>
        <v>15</v>
      </c>
      <c r="J103" s="319"/>
      <c r="L103" s="305" t="e">
        <f>D82</f>
        <v>#DIV/0!</v>
      </c>
      <c r="M103" s="317">
        <f>N103-1</f>
        <v>11</v>
      </c>
      <c r="N103" s="317">
        <f>O103-1</f>
        <v>12</v>
      </c>
      <c r="O103" s="318">
        <v>13</v>
      </c>
      <c r="P103" s="317">
        <f>O103+1</f>
        <v>14</v>
      </c>
      <c r="Q103" s="320">
        <f>P103+1</f>
        <v>15</v>
      </c>
    </row>
    <row r="104" spans="2:17" ht="15" customHeight="1">
      <c r="B104" s="296"/>
      <c r="D104" s="307">
        <f>D105+0.01</f>
        <v>0.10999999999999999</v>
      </c>
      <c r="E104" s="308">
        <v>20.680633001583054</v>
      </c>
      <c r="F104" s="308">
        <v>20.680633001583054</v>
      </c>
      <c r="G104" s="308">
        <v>20.680633001583054</v>
      </c>
      <c r="H104" s="308">
        <v>20.680633001583054</v>
      </c>
      <c r="I104" s="308">
        <v>20.680633001583054</v>
      </c>
      <c r="J104" s="309"/>
      <c r="L104" s="307">
        <f>L105+0.01</f>
        <v>0.10999999999999999</v>
      </c>
      <c r="M104" s="310" t="e">
        <v>#DIV/0!</v>
      </c>
      <c r="N104" s="310" t="e">
        <v>#DIV/0!</v>
      </c>
      <c r="O104" s="310" t="e">
        <v>#DIV/0!</v>
      </c>
      <c r="P104" s="310" t="e">
        <v>#DIV/0!</v>
      </c>
      <c r="Q104" s="310" t="e">
        <v>#DIV/0!</v>
      </c>
    </row>
    <row r="105" spans="2:17" ht="15" customHeight="1">
      <c r="B105" s="296"/>
      <c r="D105" s="307">
        <f>D106+0.01</f>
        <v>9.9999999999999992E-2</v>
      </c>
      <c r="E105" s="308">
        <v>20.680633001583054</v>
      </c>
      <c r="F105" s="308">
        <v>20.680633001583054</v>
      </c>
      <c r="G105" s="308">
        <v>20.680633001583054</v>
      </c>
      <c r="H105" s="308">
        <v>20.680633001583054</v>
      </c>
      <c r="I105" s="308">
        <v>20.680633001583054</v>
      </c>
      <c r="J105" s="309"/>
      <c r="L105" s="307">
        <f>L106+0.01</f>
        <v>9.9999999999999992E-2</v>
      </c>
      <c r="M105" s="310" t="e">
        <v>#DIV/0!</v>
      </c>
      <c r="N105" s="310" t="e">
        <v>#DIV/0!</v>
      </c>
      <c r="O105" s="310" t="e">
        <v>#DIV/0!</v>
      </c>
      <c r="P105" s="310" t="e">
        <v>#DIV/0!</v>
      </c>
      <c r="Q105" s="310" t="e">
        <v>#DIV/0!</v>
      </c>
    </row>
    <row r="106" spans="2:17" ht="15" customHeight="1">
      <c r="B106" s="296"/>
      <c r="C106" s="159" t="s">
        <v>441</v>
      </c>
      <c r="D106" s="311">
        <v>0.09</v>
      </c>
      <c r="E106" s="308">
        <v>20.680633001583054</v>
      </c>
      <c r="F106" s="308">
        <v>20.680633001583054</v>
      </c>
      <c r="G106" s="308">
        <v>20.680633001583054</v>
      </c>
      <c r="H106" s="308">
        <v>20.680633001583054</v>
      </c>
      <c r="I106" s="308">
        <v>20.680633001583054</v>
      </c>
      <c r="J106" s="309"/>
      <c r="K106" s="159" t="s">
        <v>441</v>
      </c>
      <c r="L106" s="311">
        <v>0.09</v>
      </c>
      <c r="M106" s="310" t="e">
        <v>#DIV/0!</v>
      </c>
      <c r="N106" s="310" t="e">
        <v>#DIV/0!</v>
      </c>
      <c r="O106" s="310" t="e">
        <v>#DIV/0!</v>
      </c>
      <c r="P106" s="310" t="e">
        <v>#DIV/0!</v>
      </c>
      <c r="Q106" s="310" t="e">
        <v>#DIV/0!</v>
      </c>
    </row>
    <row r="107" spans="2:17" ht="15" customHeight="1">
      <c r="B107" s="296"/>
      <c r="D107" s="307">
        <f>D106-0.01</f>
        <v>0.08</v>
      </c>
      <c r="E107" s="308">
        <v>20.680633001583054</v>
      </c>
      <c r="F107" s="308">
        <v>20.680633001583054</v>
      </c>
      <c r="G107" s="308">
        <v>20.680633001583054</v>
      </c>
      <c r="H107" s="308">
        <v>20.680633001583054</v>
      </c>
      <c r="I107" s="308">
        <v>20.680633001583054</v>
      </c>
      <c r="J107" s="309"/>
      <c r="L107" s="307">
        <f>L106-0.01</f>
        <v>0.08</v>
      </c>
      <c r="M107" s="310" t="e">
        <v>#DIV/0!</v>
      </c>
      <c r="N107" s="310" t="e">
        <v>#DIV/0!</v>
      </c>
      <c r="O107" s="310" t="e">
        <v>#DIV/0!</v>
      </c>
      <c r="P107" s="310" t="e">
        <v>#DIV/0!</v>
      </c>
      <c r="Q107" s="310" t="e">
        <v>#DIV/0!</v>
      </c>
    </row>
    <row r="108" spans="2:17" ht="15" customHeight="1">
      <c r="B108" s="296"/>
      <c r="D108" s="313">
        <f>D107-0.01</f>
        <v>7.0000000000000007E-2</v>
      </c>
      <c r="E108" s="308">
        <v>20.680633001583054</v>
      </c>
      <c r="F108" s="308">
        <v>20.680633001583054</v>
      </c>
      <c r="G108" s="308">
        <v>20.680633001583054</v>
      </c>
      <c r="H108" s="308">
        <v>20.680633001583054</v>
      </c>
      <c r="I108" s="308">
        <v>20.680633001583054</v>
      </c>
      <c r="J108" s="309"/>
      <c r="L108" s="313">
        <f>L107-0.01</f>
        <v>7.0000000000000007E-2</v>
      </c>
      <c r="M108" s="310" t="e">
        <v>#DIV/0!</v>
      </c>
      <c r="N108" s="310" t="e">
        <v>#DIV/0!</v>
      </c>
      <c r="O108" s="310" t="e">
        <v>#DIV/0!</v>
      </c>
      <c r="P108" s="310" t="e">
        <v>#DIV/0!</v>
      </c>
      <c r="Q108" s="310" t="e">
        <v>#DIV/0!</v>
      </c>
    </row>
    <row r="109" spans="2:17">
      <c r="J109" s="321"/>
    </row>
    <row r="110" spans="2:17">
      <c r="B110" s="322" t="s">
        <v>445</v>
      </c>
      <c r="C110" s="322"/>
      <c r="D110" s="322"/>
      <c r="E110" s="322"/>
      <c r="G110" s="322" t="s">
        <v>446</v>
      </c>
      <c r="H110" s="322"/>
      <c r="I110" s="322"/>
      <c r="J110" s="323"/>
      <c r="K110" s="322"/>
      <c r="L110" s="322"/>
      <c r="M110" s="322"/>
      <c r="N110" s="322"/>
      <c r="O110" s="322"/>
      <c r="P110" s="322"/>
    </row>
    <row r="111" spans="2:17">
      <c r="J111" s="321"/>
    </row>
    <row r="112" spans="2:17">
      <c r="J112" s="321"/>
    </row>
    <row r="113" spans="10:13">
      <c r="J113" s="321"/>
    </row>
    <row r="114" spans="10:13">
      <c r="J114" s="321"/>
    </row>
    <row r="115" spans="10:13">
      <c r="J115" s="321"/>
    </row>
    <row r="116" spans="10:13">
      <c r="J116" s="321"/>
    </row>
    <row r="117" spans="10:13">
      <c r="J117" s="321"/>
    </row>
    <row r="118" spans="10:13">
      <c r="J118" s="321"/>
    </row>
    <row r="119" spans="10:13">
      <c r="J119" s="321"/>
    </row>
    <row r="120" spans="10:13">
      <c r="J120" s="321"/>
    </row>
    <row r="121" spans="10:13">
      <c r="J121" s="321"/>
    </row>
    <row r="122" spans="10:13">
      <c r="J122" s="321"/>
    </row>
    <row r="123" spans="10:13">
      <c r="J123" s="321"/>
    </row>
    <row r="124" spans="10:13">
      <c r="J124" s="321"/>
      <c r="M124" s="324"/>
    </row>
    <row r="125" spans="10:13">
      <c r="J125" s="321"/>
    </row>
    <row r="126" spans="10:13">
      <c r="J126" s="321"/>
    </row>
    <row r="127" spans="10:13">
      <c r="J127" s="321"/>
    </row>
    <row r="128" spans="10:13">
      <c r="J128" s="321"/>
    </row>
    <row r="129" spans="2:17">
      <c r="J129" s="321"/>
    </row>
    <row r="130" spans="2:17">
      <c r="J130" s="321"/>
    </row>
    <row r="131" spans="2:17">
      <c r="B131" s="325"/>
      <c r="C131" s="326" t="s">
        <v>447</v>
      </c>
      <c r="D131" s="326" t="s">
        <v>448</v>
      </c>
      <c r="E131" s="327" t="s">
        <v>274</v>
      </c>
      <c r="G131" s="325"/>
      <c r="H131" s="219"/>
      <c r="I131" s="219"/>
      <c r="J131" s="328"/>
      <c r="K131" s="219"/>
      <c r="L131" s="219"/>
      <c r="M131" s="219"/>
      <c r="N131" s="219"/>
      <c r="O131" s="326" t="s">
        <v>447</v>
      </c>
      <c r="P131" s="326" t="s">
        <v>448</v>
      </c>
      <c r="Q131" s="327" t="s">
        <v>274</v>
      </c>
    </row>
    <row r="132" spans="2:17">
      <c r="B132" s="329" t="str">
        <f>"DCF Value at "&amp;TEXT(E103,"0.0x")&amp;"-"&amp;TEXT(I103,"0.0x")&amp;" Exit EBITDA Range at "&amp;TEXT(D106,"0.0%")&amp;" WACC"</f>
        <v>DCF Value at 11.0x-15.0x Exit EBITDA Range at 9.0% WACC</v>
      </c>
      <c r="C132" s="247">
        <f>E106</f>
        <v>20.680633001583054</v>
      </c>
      <c r="D132" s="247">
        <f>E132-C132</f>
        <v>0</v>
      </c>
      <c r="E132" s="330">
        <f>I106</f>
        <v>20.680633001583054</v>
      </c>
      <c r="G132" s="329" t="str">
        <f>"LTM EBITDA Purchase Multiple at "&amp;TEXT(M94,"0.0%")&amp;"-"&amp;TEXT(Q94,"0.0%")&amp;" Perpetuity Growth at "&amp;TEXT(L97,"0.0%")&amp;" WACC"</f>
        <v>LTM EBITDA Purchase Multiple at 2.0%-4.0% Perpetuity Growth at 9.0% WACC</v>
      </c>
      <c r="J132" s="321"/>
      <c r="O132" s="254" t="e">
        <f>M97</f>
        <v>#DIV/0!</v>
      </c>
      <c r="P132" s="254" t="e">
        <f>Q132-O132</f>
        <v>#DIV/0!</v>
      </c>
      <c r="Q132" s="331" t="e">
        <f>Q97</f>
        <v>#DIV/0!</v>
      </c>
    </row>
    <row r="133" spans="2:17">
      <c r="B133" s="332" t="str">
        <f>"DCF Value at "&amp;TEXT(E94,"0.0%")&amp;"-"&amp;TEXT(I94,"0.0%")&amp;" Perpetuity Range at "&amp;TEXT(D106,"0.0%")&amp;" WACC"</f>
        <v>DCF Value at 2.0%-4.0% Perpetuity Range at 9.0% WACC</v>
      </c>
      <c r="C133" s="247">
        <f>E97</f>
        <v>20.680633001583054</v>
      </c>
      <c r="D133" s="247">
        <f>E133-C133</f>
        <v>0</v>
      </c>
      <c r="E133" s="330">
        <f>I97</f>
        <v>20.680633001583054</v>
      </c>
      <c r="G133" s="332" t="e">
        <f>"LTM EBITDA Purchase Multiple at "&amp;TEXT(M106,"0.0x")&amp;"-"&amp;TEXT(Q106,"0.0x")&amp;" Exit EBITDA Multiple at "&amp;TEXT(L106,"0.0%")&amp;" WACC"</f>
        <v>#DIV/0!</v>
      </c>
      <c r="J133" s="321"/>
      <c r="O133" s="254" t="e">
        <f>M106</f>
        <v>#DIV/0!</v>
      </c>
      <c r="P133" s="254" t="e">
        <f>Q133-O133</f>
        <v>#DIV/0!</v>
      </c>
      <c r="Q133" s="331" t="e">
        <f>Q106</f>
        <v>#DIV/0!</v>
      </c>
    </row>
    <row r="134" spans="2:17">
      <c r="B134" s="333" t="s">
        <v>449</v>
      </c>
      <c r="C134" s="334">
        <v>169.5</v>
      </c>
      <c r="D134" s="335">
        <f>E134-C134</f>
        <v>158.35000000000002</v>
      </c>
      <c r="E134" s="336">
        <v>327.85</v>
      </c>
      <c r="G134" s="333" t="str">
        <f>"LTM EBITDA Purchase Multiple at "&amp;TEXT(L108,"0.0%")&amp;"-"&amp;TEXT(L104,"0.0%")&amp;" WACC at "&amp;TEXT(O103,"0.0x")&amp;" Exit EBITDA"</f>
        <v>LTM EBITDA Purchase Multiple at 7.0%-11.0% WACC at 13.0x Exit EBITDA</v>
      </c>
      <c r="H134" s="101"/>
      <c r="I134" s="101"/>
      <c r="J134" s="337"/>
      <c r="K134" s="101"/>
      <c r="L134" s="101"/>
      <c r="M134" s="101"/>
      <c r="N134" s="101"/>
      <c r="O134" s="335" t="e">
        <f>O104</f>
        <v>#DIV/0!</v>
      </c>
      <c r="P134" s="335" t="e">
        <f>Q134-O134</f>
        <v>#DIV/0!</v>
      </c>
      <c r="Q134" s="338" t="e">
        <f>O108</f>
        <v>#DIV/0!</v>
      </c>
    </row>
    <row r="135" spans="2:17">
      <c r="J135" s="321"/>
    </row>
    <row r="136" spans="2:17">
      <c r="J136" s="321"/>
    </row>
  </sheetData>
  <conditionalFormatting sqref="E95:J99 E104:J108">
    <cfRule type="cellIs" dxfId="1" priority="4" operator="lessThan">
      <formula>#REF!</formula>
    </cfRule>
  </conditionalFormatting>
  <dataValidations disablePrompts="1"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6BA4-681C-476E-9E14-CBE26B81EC3B}">
  <sheetPr>
    <tabColor theme="2" tint="-0.89999084444715716"/>
  </sheetPr>
  <dimension ref="A2:Y209"/>
  <sheetViews>
    <sheetView showGridLines="0" zoomScale="115" zoomScaleNormal="115" workbookViewId="0">
      <selection activeCell="C18" sqref="C18"/>
    </sheetView>
  </sheetViews>
  <sheetFormatPr defaultRowHeight="12"/>
  <cols>
    <col min="1" max="1" width="1.625" style="8" customWidth="1"/>
    <col min="2" max="2" width="31.75" style="8" bestFit="1" customWidth="1"/>
    <col min="3" max="8" width="7.875" style="8" bestFit="1" customWidth="1"/>
    <col min="9" max="9" width="2" style="8" customWidth="1"/>
    <col min="10" max="10" width="8.875" style="8" customWidth="1"/>
    <col min="11" max="11" width="1.125" style="8" customWidth="1"/>
    <col min="12" max="12" width="10" style="8" bestFit="1" customWidth="1"/>
    <col min="13" max="17" width="7.875" style="8" bestFit="1" customWidth="1"/>
    <col min="18" max="18" width="1.625" style="8" customWidth="1"/>
    <col min="19" max="19" width="7.875" style="8" customWidth="1"/>
    <col min="20" max="20" width="1.625" style="8" customWidth="1"/>
    <col min="21" max="25" width="7.875" style="8" bestFit="1" customWidth="1"/>
    <col min="26" max="16384" width="9" style="8"/>
  </cols>
  <sheetData>
    <row r="2" spans="2:20">
      <c r="B2" s="1" t="s">
        <v>275</v>
      </c>
      <c r="C2" s="2" t="s">
        <v>453</v>
      </c>
      <c r="D2" s="2"/>
      <c r="E2" s="2"/>
      <c r="F2" s="2"/>
      <c r="G2" s="2"/>
      <c r="H2" s="2"/>
      <c r="I2" s="1"/>
      <c r="J2" s="2" t="s">
        <v>472</v>
      </c>
      <c r="K2" s="1"/>
      <c r="L2" s="2" t="s">
        <v>182</v>
      </c>
      <c r="M2" s="407"/>
      <c r="N2" s="407"/>
      <c r="O2" s="407"/>
      <c r="P2" s="407"/>
      <c r="Q2" s="2"/>
      <c r="R2" s="388"/>
      <c r="S2" s="2" t="s">
        <v>472</v>
      </c>
      <c r="T2" s="388"/>
    </row>
    <row r="3" spans="2:20">
      <c r="B3" s="6" t="s">
        <v>477</v>
      </c>
      <c r="C3" s="447">
        <v>2019</v>
      </c>
      <c r="D3" s="447">
        <v>2020</v>
      </c>
      <c r="E3" s="447">
        <v>2021</v>
      </c>
      <c r="F3" s="447">
        <v>2022</v>
      </c>
      <c r="G3" s="447">
        <v>2023</v>
      </c>
      <c r="H3" s="447">
        <v>2024</v>
      </c>
      <c r="I3" s="6"/>
      <c r="J3" s="363" t="s">
        <v>474</v>
      </c>
      <c r="K3" s="6"/>
      <c r="L3" s="435">
        <v>2025</v>
      </c>
      <c r="M3" s="435">
        <v>2026</v>
      </c>
      <c r="N3" s="435">
        <v>2027</v>
      </c>
      <c r="O3" s="435">
        <v>2028</v>
      </c>
      <c r="P3" s="435">
        <v>2029</v>
      </c>
      <c r="Q3" s="435">
        <v>2030</v>
      </c>
      <c r="R3" s="363"/>
      <c r="S3" s="363" t="s">
        <v>492</v>
      </c>
      <c r="T3" s="363"/>
    </row>
    <row r="4" spans="2:20">
      <c r="B4" s="6" t="s">
        <v>452</v>
      </c>
      <c r="C4" s="427">
        <v>43737</v>
      </c>
      <c r="D4" s="427">
        <v>44104</v>
      </c>
      <c r="E4" s="427">
        <v>44469</v>
      </c>
      <c r="F4" s="427">
        <v>44834</v>
      </c>
      <c r="G4" s="427">
        <v>45192</v>
      </c>
      <c r="H4" s="427">
        <v>45559</v>
      </c>
      <c r="I4" s="6"/>
      <c r="J4" s="3">
        <f>H4</f>
        <v>45559</v>
      </c>
      <c r="K4" s="6"/>
      <c r="L4" s="427">
        <v>45930</v>
      </c>
      <c r="M4" s="427">
        <v>46295</v>
      </c>
      <c r="N4" s="427">
        <v>46660</v>
      </c>
      <c r="O4" s="427">
        <v>47026</v>
      </c>
      <c r="P4" s="427">
        <v>47391</v>
      </c>
      <c r="Q4" s="427">
        <v>47756</v>
      </c>
      <c r="R4" s="3"/>
      <c r="S4" s="3">
        <f>Q4</f>
        <v>47756</v>
      </c>
      <c r="T4" s="3"/>
    </row>
    <row r="5" spans="2:20" ht="5.0999999999999996" customHeight="1"/>
    <row r="6" spans="2:20">
      <c r="B6" s="8" t="s">
        <v>285</v>
      </c>
      <c r="C6" s="168"/>
      <c r="D6" s="168"/>
      <c r="E6" s="168"/>
      <c r="F6" s="168"/>
      <c r="G6" s="168"/>
      <c r="H6" s="168"/>
      <c r="J6" s="440" t="e">
        <f>((H6/C6)^(1/COUNT(D6:H6))-1)</f>
        <v>#DIV/0!</v>
      </c>
      <c r="L6" s="459" t="e">
        <f>(H6*L61)+H6</f>
        <v>#DIV/0!</v>
      </c>
      <c r="M6" s="459" t="e">
        <f>(L6*M61)+L6</f>
        <v>#DIV/0!</v>
      </c>
      <c r="N6" s="459" t="e">
        <f>(M6*N61)+M6</f>
        <v>#DIV/0!</v>
      </c>
      <c r="O6" s="459" t="e">
        <f>(N6*O61)+N6</f>
        <v>#DIV/0!</v>
      </c>
      <c r="P6" s="459" t="e">
        <f>(O6*P61)+O6</f>
        <v>#DIV/0!</v>
      </c>
      <c r="Q6" s="459" t="e">
        <f>(P6*Q61)+P6</f>
        <v>#DIV/0!</v>
      </c>
      <c r="S6" s="440" t="e">
        <f>((Q6/H6)^(1/COUNT(L6:Q6))-1)</f>
        <v>#DIV/0!</v>
      </c>
    </row>
    <row r="7" spans="2:20">
      <c r="B7" s="8" t="s">
        <v>287</v>
      </c>
      <c r="C7" s="168"/>
      <c r="D7" s="168"/>
      <c r="E7" s="168"/>
      <c r="F7" s="168"/>
      <c r="G7" s="168"/>
      <c r="H7" s="168"/>
      <c r="J7" s="440" t="e">
        <f>((H7/C7)^(1/COUNT(D7:H7))-1)</f>
        <v>#DIV/0!</v>
      </c>
      <c r="L7" s="459" t="e">
        <f>(H7*L74)+H7</f>
        <v>#DIV/0!</v>
      </c>
      <c r="M7" s="459" t="e">
        <f>(L7*M74)+L7</f>
        <v>#DIV/0!</v>
      </c>
      <c r="N7" s="459" t="e">
        <f>(M7*N74)+M7</f>
        <v>#DIV/0!</v>
      </c>
      <c r="O7" s="459" t="e">
        <f>(N7*O74)+N7</f>
        <v>#DIV/0!</v>
      </c>
      <c r="P7" s="459" t="e">
        <f>(O7*P74)+O7</f>
        <v>#DIV/0!</v>
      </c>
      <c r="Q7" s="459" t="e">
        <f>(P7*Q74)+P7</f>
        <v>#DIV/0!</v>
      </c>
      <c r="S7" s="440" t="e">
        <f>((Q7/H7)^(1/COUNT(L7:Q7))-1)</f>
        <v>#DIV/0!</v>
      </c>
    </row>
    <row r="8" spans="2:20">
      <c r="B8" s="38" t="s">
        <v>13</v>
      </c>
      <c r="C8" s="436">
        <f t="shared" ref="C8:H8" si="0">SUM(C6:C7)</f>
        <v>0</v>
      </c>
      <c r="D8" s="436">
        <f t="shared" si="0"/>
        <v>0</v>
      </c>
      <c r="E8" s="436">
        <f t="shared" si="0"/>
        <v>0</v>
      </c>
      <c r="F8" s="436">
        <f t="shared" si="0"/>
        <v>0</v>
      </c>
      <c r="G8" s="436">
        <f t="shared" si="0"/>
        <v>0</v>
      </c>
      <c r="H8" s="436">
        <f t="shared" si="0"/>
        <v>0</v>
      </c>
      <c r="I8" s="38"/>
      <c r="J8" s="441" t="e">
        <f>((H8/C8)^(1/COUNT(D8:H8))-1)</f>
        <v>#DIV/0!</v>
      </c>
      <c r="K8" s="38"/>
      <c r="L8" s="436" t="e">
        <f t="shared" ref="L8:Q8" si="1">SUM(L6:L7)</f>
        <v>#DIV/0!</v>
      </c>
      <c r="M8" s="436" t="e">
        <f t="shared" si="1"/>
        <v>#DIV/0!</v>
      </c>
      <c r="N8" s="436" t="e">
        <f t="shared" si="1"/>
        <v>#DIV/0!</v>
      </c>
      <c r="O8" s="436" t="e">
        <f t="shared" si="1"/>
        <v>#DIV/0!</v>
      </c>
      <c r="P8" s="436" t="e">
        <f t="shared" si="1"/>
        <v>#DIV/0!</v>
      </c>
      <c r="Q8" s="436" t="e">
        <f t="shared" si="1"/>
        <v>#DIV/0!</v>
      </c>
      <c r="S8" s="441" t="e">
        <f>((Q8/H8)^(1/COUNT(L8:Q8))-1)</f>
        <v>#DIV/0!</v>
      </c>
    </row>
    <row r="9" spans="2:20">
      <c r="C9" s="168"/>
      <c r="D9" s="168"/>
      <c r="E9" s="168"/>
      <c r="F9" s="168"/>
      <c r="G9" s="168"/>
      <c r="H9" s="168"/>
      <c r="L9" s="168"/>
      <c r="M9" s="168"/>
      <c r="N9" s="168"/>
      <c r="O9" s="168"/>
      <c r="P9" s="168"/>
      <c r="Q9" s="168"/>
      <c r="S9" s="440"/>
    </row>
    <row r="10" spans="2:20">
      <c r="B10" s="8" t="s">
        <v>473</v>
      </c>
      <c r="C10" s="168"/>
      <c r="D10" s="168"/>
      <c r="E10" s="168"/>
      <c r="F10" s="168"/>
      <c r="G10" s="168"/>
      <c r="H10" s="168"/>
      <c r="J10" s="440" t="e">
        <f>((H10/C10)^(1/COUNT(D10:H10))-1)</f>
        <v>#DIV/0!</v>
      </c>
      <c r="L10" s="459" t="e">
        <f t="shared" ref="L10:Q10" si="2">-(L8-L11)</f>
        <v>#DIV/0!</v>
      </c>
      <c r="M10" s="459" t="e">
        <f t="shared" si="2"/>
        <v>#DIV/0!</v>
      </c>
      <c r="N10" s="459" t="e">
        <f t="shared" si="2"/>
        <v>#DIV/0!</v>
      </c>
      <c r="O10" s="459" t="e">
        <f t="shared" si="2"/>
        <v>#DIV/0!</v>
      </c>
      <c r="P10" s="459" t="e">
        <f t="shared" si="2"/>
        <v>#DIV/0!</v>
      </c>
      <c r="Q10" s="459" t="e">
        <f t="shared" si="2"/>
        <v>#DIV/0!</v>
      </c>
      <c r="S10" s="440" t="e">
        <f>((Q10/L10)^(1/COUNT(M10:Q10))-1)</f>
        <v>#DIV/0!</v>
      </c>
    </row>
    <row r="11" spans="2:20">
      <c r="B11" s="38" t="s">
        <v>31</v>
      </c>
      <c r="C11" s="436">
        <f t="shared" ref="C11:H11" si="3">+C10+C8</f>
        <v>0</v>
      </c>
      <c r="D11" s="436">
        <f t="shared" si="3"/>
        <v>0</v>
      </c>
      <c r="E11" s="436">
        <f t="shared" si="3"/>
        <v>0</v>
      </c>
      <c r="F11" s="436">
        <f t="shared" si="3"/>
        <v>0</v>
      </c>
      <c r="G11" s="436">
        <f t="shared" si="3"/>
        <v>0</v>
      </c>
      <c r="H11" s="436">
        <f t="shared" si="3"/>
        <v>0</v>
      </c>
      <c r="I11" s="38"/>
      <c r="J11" s="441" t="e">
        <f>((H11/C11)^(1/COUNT(D11:H11))-1)</f>
        <v>#DIV/0!</v>
      </c>
      <c r="K11" s="38"/>
      <c r="L11" s="436" t="e">
        <f t="shared" ref="L11:Q11" si="4">L8*L130</f>
        <v>#DIV/0!</v>
      </c>
      <c r="M11" s="436" t="e">
        <f t="shared" si="4"/>
        <v>#DIV/0!</v>
      </c>
      <c r="N11" s="436" t="e">
        <f t="shared" si="4"/>
        <v>#DIV/0!</v>
      </c>
      <c r="O11" s="436" t="e">
        <f t="shared" si="4"/>
        <v>#DIV/0!</v>
      </c>
      <c r="P11" s="436" t="e">
        <f t="shared" si="4"/>
        <v>#DIV/0!</v>
      </c>
      <c r="Q11" s="436" t="e">
        <f t="shared" si="4"/>
        <v>#DIV/0!</v>
      </c>
      <c r="S11" s="441" t="e">
        <f>((Q11/L11)^(1/COUNT(M11:Q11))-1)</f>
        <v>#DIV/0!</v>
      </c>
    </row>
    <row r="12" spans="2:20" ht="5.0999999999999996" customHeight="1">
      <c r="C12" s="70"/>
      <c r="D12" s="70"/>
      <c r="E12" s="70"/>
      <c r="F12" s="70"/>
      <c r="G12" s="70"/>
      <c r="H12" s="70"/>
      <c r="L12" s="70"/>
      <c r="M12" s="70"/>
      <c r="N12" s="70"/>
      <c r="O12" s="70"/>
      <c r="P12" s="70"/>
      <c r="Q12" s="70"/>
      <c r="S12" s="440"/>
    </row>
    <row r="13" spans="2:20">
      <c r="B13" s="8" t="s">
        <v>279</v>
      </c>
      <c r="C13" s="168"/>
      <c r="D13" s="168"/>
      <c r="E13" s="168"/>
      <c r="F13" s="168"/>
      <c r="G13" s="168"/>
      <c r="H13" s="168"/>
      <c r="J13" s="440" t="e">
        <f t="shared" ref="J13:J26" si="5">((H13/C13)^(1/COUNT(D13:H13))-1)</f>
        <v>#DIV/0!</v>
      </c>
      <c r="L13" s="459" t="e">
        <f t="shared" ref="L13:Q13" si="6">-(L143*L8)</f>
        <v>#DIV/0!</v>
      </c>
      <c r="M13" s="459" t="e">
        <f t="shared" si="6"/>
        <v>#DIV/0!</v>
      </c>
      <c r="N13" s="459" t="e">
        <f t="shared" si="6"/>
        <v>#DIV/0!</v>
      </c>
      <c r="O13" s="459" t="e">
        <f t="shared" si="6"/>
        <v>#DIV/0!</v>
      </c>
      <c r="P13" s="459" t="e">
        <f t="shared" si="6"/>
        <v>#DIV/0!</v>
      </c>
      <c r="Q13" s="459" t="e">
        <f t="shared" si="6"/>
        <v>#DIV/0!</v>
      </c>
      <c r="S13" s="440" t="e">
        <f t="shared" ref="S13:S26" si="7">((Q13/L13)^(1/COUNT(M13:Q13))-1)</f>
        <v>#DIV/0!</v>
      </c>
    </row>
    <row r="14" spans="2:20">
      <c r="B14" s="8" t="s">
        <v>280</v>
      </c>
      <c r="C14" s="168"/>
      <c r="D14" s="168"/>
      <c r="E14" s="168"/>
      <c r="F14" s="168"/>
      <c r="G14" s="168"/>
      <c r="H14" s="168"/>
      <c r="J14" s="440" t="e">
        <f t="shared" si="5"/>
        <v>#DIV/0!</v>
      </c>
      <c r="L14" s="459" t="e">
        <f t="shared" ref="L14:Q14" si="8">-(L156*L8)</f>
        <v>#DIV/0!</v>
      </c>
      <c r="M14" s="459" t="e">
        <f t="shared" si="8"/>
        <v>#DIV/0!</v>
      </c>
      <c r="N14" s="459" t="e">
        <f t="shared" si="8"/>
        <v>#DIV/0!</v>
      </c>
      <c r="O14" s="459" t="e">
        <f t="shared" si="8"/>
        <v>#DIV/0!</v>
      </c>
      <c r="P14" s="459" t="e">
        <f t="shared" si="8"/>
        <v>#DIV/0!</v>
      </c>
      <c r="Q14" s="459" t="e">
        <f t="shared" si="8"/>
        <v>#DIV/0!</v>
      </c>
      <c r="S14" s="440" t="e">
        <f t="shared" si="7"/>
        <v>#DIV/0!</v>
      </c>
    </row>
    <row r="15" spans="2:20">
      <c r="B15" s="38" t="s">
        <v>128</v>
      </c>
      <c r="C15" s="436">
        <f t="shared" ref="C15:H15" si="9">SUM(C13:C14)+C11</f>
        <v>0</v>
      </c>
      <c r="D15" s="436">
        <f t="shared" si="9"/>
        <v>0</v>
      </c>
      <c r="E15" s="436">
        <f t="shared" si="9"/>
        <v>0</v>
      </c>
      <c r="F15" s="436">
        <f t="shared" si="9"/>
        <v>0</v>
      </c>
      <c r="G15" s="436">
        <f t="shared" si="9"/>
        <v>0</v>
      </c>
      <c r="H15" s="436">
        <f t="shared" si="9"/>
        <v>0</v>
      </c>
      <c r="I15" s="38"/>
      <c r="J15" s="441" t="e">
        <f t="shared" si="5"/>
        <v>#DIV/0!</v>
      </c>
      <c r="K15" s="38"/>
      <c r="L15" s="436" t="e">
        <f t="shared" ref="L15:Q15" si="10">SUM(L13:L14)+L11</f>
        <v>#DIV/0!</v>
      </c>
      <c r="M15" s="436" t="e">
        <f t="shared" si="10"/>
        <v>#DIV/0!</v>
      </c>
      <c r="N15" s="436" t="e">
        <f t="shared" si="10"/>
        <v>#DIV/0!</v>
      </c>
      <c r="O15" s="436" t="e">
        <f t="shared" si="10"/>
        <v>#DIV/0!</v>
      </c>
      <c r="P15" s="436" t="e">
        <f t="shared" si="10"/>
        <v>#DIV/0!</v>
      </c>
      <c r="Q15" s="436" t="e">
        <f t="shared" si="10"/>
        <v>#DIV/0!</v>
      </c>
      <c r="S15" s="441" t="e">
        <f t="shared" si="7"/>
        <v>#DIV/0!</v>
      </c>
    </row>
    <row r="16" spans="2:20" ht="5.0999999999999996" customHeight="1"/>
    <row r="17" spans="2:19">
      <c r="B17" s="8" t="s">
        <v>130</v>
      </c>
      <c r="C17" s="439"/>
      <c r="D17" s="439"/>
      <c r="E17" s="439"/>
      <c r="F17" s="439"/>
      <c r="G17" s="439"/>
      <c r="H17" s="439"/>
      <c r="J17" s="440" t="e">
        <f t="shared" si="5"/>
        <v>#DIV/0!</v>
      </c>
      <c r="L17" s="459" t="e">
        <f>+(H17*L48)+H17</f>
        <v>#DIV/0!</v>
      </c>
      <c r="M17" s="459" t="e">
        <f>+(L17*M48)+L17</f>
        <v>#DIV/0!</v>
      </c>
      <c r="N17" s="459" t="e">
        <f>+(M17*N48)+M17</f>
        <v>#DIV/0!</v>
      </c>
      <c r="O17" s="459" t="e">
        <f>+(N17*O48)+N17</f>
        <v>#DIV/0!</v>
      </c>
      <c r="P17" s="459" t="e">
        <f>+(O17*P48)+O17</f>
        <v>#DIV/0!</v>
      </c>
      <c r="Q17" s="459" t="e">
        <f>+(P17*Q48)+P17</f>
        <v>#DIV/0!</v>
      </c>
      <c r="S17" s="440" t="e">
        <f t="shared" si="7"/>
        <v>#DIV/0!</v>
      </c>
    </row>
    <row r="18" spans="2:19">
      <c r="B18" s="8" t="s">
        <v>234</v>
      </c>
      <c r="C18" s="439"/>
      <c r="D18" s="439"/>
      <c r="E18" s="439"/>
      <c r="F18" s="439"/>
      <c r="G18" s="439"/>
      <c r="H18" s="439"/>
      <c r="J18" s="440" t="e">
        <f t="shared" si="5"/>
        <v>#DIV/0!</v>
      </c>
      <c r="L18" s="459">
        <f>H18</f>
        <v>0</v>
      </c>
      <c r="M18" s="459">
        <f t="shared" ref="M18:Q19" si="11">L18</f>
        <v>0</v>
      </c>
      <c r="N18" s="459">
        <f t="shared" si="11"/>
        <v>0</v>
      </c>
      <c r="O18" s="459">
        <f t="shared" si="11"/>
        <v>0</v>
      </c>
      <c r="P18" s="459">
        <f t="shared" si="11"/>
        <v>0</v>
      </c>
      <c r="Q18" s="459">
        <f t="shared" si="11"/>
        <v>0</v>
      </c>
      <c r="S18" s="440" t="e">
        <f t="shared" si="7"/>
        <v>#DIV/0!</v>
      </c>
    </row>
    <row r="19" spans="2:19">
      <c r="B19" s="8" t="s">
        <v>475</v>
      </c>
      <c r="C19" s="439"/>
      <c r="D19" s="439"/>
      <c r="E19" s="439"/>
      <c r="F19" s="439"/>
      <c r="G19" s="439"/>
      <c r="H19" s="439"/>
      <c r="J19" s="440" t="e">
        <f t="shared" si="5"/>
        <v>#DIV/0!</v>
      </c>
      <c r="L19" s="459">
        <f>H19</f>
        <v>0</v>
      </c>
      <c r="M19" s="459">
        <f t="shared" si="11"/>
        <v>0</v>
      </c>
      <c r="N19" s="459">
        <f t="shared" si="11"/>
        <v>0</v>
      </c>
      <c r="O19" s="459">
        <f t="shared" si="11"/>
        <v>0</v>
      </c>
      <c r="P19" s="459">
        <f t="shared" si="11"/>
        <v>0</v>
      </c>
      <c r="Q19" s="459">
        <f t="shared" si="11"/>
        <v>0</v>
      </c>
      <c r="S19" s="440" t="e">
        <f t="shared" si="7"/>
        <v>#DIV/0!</v>
      </c>
    </row>
    <row r="20" spans="2:19">
      <c r="B20" s="38" t="s">
        <v>133</v>
      </c>
      <c r="C20" s="436">
        <f t="shared" ref="C20:H20" si="12">SUM(C17:C19)+C15</f>
        <v>0</v>
      </c>
      <c r="D20" s="436">
        <f t="shared" si="12"/>
        <v>0</v>
      </c>
      <c r="E20" s="436">
        <f t="shared" si="12"/>
        <v>0</v>
      </c>
      <c r="F20" s="436">
        <f t="shared" si="12"/>
        <v>0</v>
      </c>
      <c r="G20" s="436">
        <f t="shared" si="12"/>
        <v>0</v>
      </c>
      <c r="H20" s="436">
        <f t="shared" si="12"/>
        <v>0</v>
      </c>
      <c r="I20" s="38"/>
      <c r="J20" s="441" t="e">
        <f t="shared" si="5"/>
        <v>#DIV/0!</v>
      </c>
      <c r="K20" s="38"/>
      <c r="L20" s="436" t="e">
        <f t="shared" ref="L20:Q20" si="13">SUM(L17:L19)+L15</f>
        <v>#DIV/0!</v>
      </c>
      <c r="M20" s="436" t="e">
        <f t="shared" si="13"/>
        <v>#DIV/0!</v>
      </c>
      <c r="N20" s="436" t="e">
        <f t="shared" si="13"/>
        <v>#DIV/0!</v>
      </c>
      <c r="O20" s="436" t="e">
        <f t="shared" si="13"/>
        <v>#DIV/0!</v>
      </c>
      <c r="P20" s="436" t="e">
        <f t="shared" si="13"/>
        <v>#DIV/0!</v>
      </c>
      <c r="Q20" s="436" t="e">
        <f t="shared" si="13"/>
        <v>#DIV/0!</v>
      </c>
      <c r="S20" s="438" t="e">
        <f t="shared" si="7"/>
        <v>#DIV/0!</v>
      </c>
    </row>
    <row r="21" spans="2:19" ht="5.0999999999999996" customHeight="1">
      <c r="B21" s="38"/>
      <c r="C21" s="38"/>
      <c r="D21" s="38"/>
      <c r="E21" s="38"/>
      <c r="F21" s="38"/>
      <c r="G21" s="38"/>
      <c r="H21" s="38"/>
      <c r="I21" s="38"/>
      <c r="J21" s="38"/>
      <c r="K21" s="38"/>
      <c r="L21" s="38"/>
      <c r="M21" s="38"/>
      <c r="N21" s="38"/>
      <c r="O21" s="38"/>
      <c r="P21" s="38"/>
      <c r="Q21" s="38"/>
      <c r="S21" s="437"/>
    </row>
    <row r="22" spans="2:19">
      <c r="B22" s="8" t="s">
        <v>493</v>
      </c>
      <c r="C22" s="168"/>
      <c r="D22" s="168"/>
      <c r="E22" s="168"/>
      <c r="F22" s="168"/>
      <c r="G22" s="168"/>
      <c r="H22" s="168"/>
      <c r="J22" s="440" t="e">
        <f t="shared" si="5"/>
        <v>#DIV/0!</v>
      </c>
      <c r="L22" s="459">
        <f>+(H22*L171)+H22</f>
        <v>0</v>
      </c>
      <c r="M22" s="459">
        <f>+(L22*M171)+L22</f>
        <v>0</v>
      </c>
      <c r="N22" s="459">
        <f>+(M22*N171)+M22</f>
        <v>0</v>
      </c>
      <c r="O22" s="459">
        <f>+(N22*O171)+N22</f>
        <v>0</v>
      </c>
      <c r="P22" s="459">
        <f>+(O22*P171)+O22</f>
        <v>0</v>
      </c>
      <c r="Q22" s="459">
        <f>+(P22*Q171)+P22</f>
        <v>0</v>
      </c>
      <c r="S22" s="437" t="e">
        <f t="shared" si="7"/>
        <v>#DIV/0!</v>
      </c>
    </row>
    <row r="23" spans="2:19">
      <c r="B23" s="38" t="s">
        <v>18</v>
      </c>
      <c r="C23" s="436">
        <f t="shared" ref="C23:H23" si="14">+C20+C22</f>
        <v>0</v>
      </c>
      <c r="D23" s="436">
        <f t="shared" si="14"/>
        <v>0</v>
      </c>
      <c r="E23" s="436">
        <f t="shared" si="14"/>
        <v>0</v>
      </c>
      <c r="F23" s="436">
        <f t="shared" si="14"/>
        <v>0</v>
      </c>
      <c r="G23" s="436">
        <f t="shared" si="14"/>
        <v>0</v>
      </c>
      <c r="H23" s="436">
        <f t="shared" si="14"/>
        <v>0</v>
      </c>
      <c r="I23" s="38"/>
      <c r="J23" s="441" t="e">
        <f t="shared" si="5"/>
        <v>#DIV/0!</v>
      </c>
      <c r="K23" s="38"/>
      <c r="L23" s="436" t="e">
        <f t="shared" ref="L23:Q23" si="15">+L20+L22</f>
        <v>#DIV/0!</v>
      </c>
      <c r="M23" s="436" t="e">
        <f t="shared" si="15"/>
        <v>#DIV/0!</v>
      </c>
      <c r="N23" s="436" t="e">
        <f t="shared" si="15"/>
        <v>#DIV/0!</v>
      </c>
      <c r="O23" s="436" t="e">
        <f t="shared" si="15"/>
        <v>#DIV/0!</v>
      </c>
      <c r="P23" s="436" t="e">
        <f t="shared" si="15"/>
        <v>#DIV/0!</v>
      </c>
      <c r="Q23" s="436" t="e">
        <f t="shared" si="15"/>
        <v>#DIV/0!</v>
      </c>
      <c r="S23" s="438" t="e">
        <f t="shared" si="7"/>
        <v>#DIV/0!</v>
      </c>
    </row>
    <row r="24" spans="2:19">
      <c r="B24" s="38"/>
      <c r="C24" s="48"/>
      <c r="D24" s="48"/>
      <c r="E24" s="48"/>
      <c r="F24" s="48"/>
      <c r="G24" s="48"/>
      <c r="H24" s="48"/>
      <c r="I24" s="38"/>
      <c r="J24" s="38"/>
      <c r="K24" s="38"/>
      <c r="L24" s="48"/>
      <c r="M24" s="48"/>
      <c r="N24" s="48"/>
      <c r="O24" s="48"/>
      <c r="P24" s="48"/>
      <c r="Q24" s="48"/>
      <c r="S24" s="438"/>
    </row>
    <row r="25" spans="2:19">
      <c r="B25" s="8" t="s">
        <v>476</v>
      </c>
      <c r="C25" s="168"/>
      <c r="D25" s="168"/>
      <c r="E25" s="168"/>
      <c r="F25" s="168"/>
      <c r="G25" s="168"/>
      <c r="H25" s="168"/>
      <c r="J25" s="440" t="e">
        <f t="shared" si="5"/>
        <v>#DIV/0!</v>
      </c>
      <c r="L25" s="459" t="e">
        <f>+(H25*L186)+H25</f>
        <v>#DIV/0!</v>
      </c>
      <c r="M25" s="459" t="e">
        <f>+(L25*M186)+L25</f>
        <v>#DIV/0!</v>
      </c>
      <c r="N25" s="459" t="e">
        <f>+(M25*N186)+M25</f>
        <v>#DIV/0!</v>
      </c>
      <c r="O25" s="459" t="e">
        <f>+(N25*O186)+N25</f>
        <v>#DIV/0!</v>
      </c>
      <c r="P25" s="459" t="e">
        <f>+(O25*P186)+O25</f>
        <v>#DIV/0!</v>
      </c>
      <c r="Q25" s="459" t="e">
        <f>+(P25*Q186)+P25</f>
        <v>#DIV/0!</v>
      </c>
      <c r="S25" s="440" t="e">
        <f t="shared" si="7"/>
        <v>#DIV/0!</v>
      </c>
    </row>
    <row r="26" spans="2:19">
      <c r="B26" s="38" t="s">
        <v>11</v>
      </c>
      <c r="C26" s="436">
        <f t="shared" ref="C26:H26" si="16">+C15+C25</f>
        <v>0</v>
      </c>
      <c r="D26" s="436">
        <f t="shared" si="16"/>
        <v>0</v>
      </c>
      <c r="E26" s="436">
        <f t="shared" si="16"/>
        <v>0</v>
      </c>
      <c r="F26" s="436">
        <f t="shared" si="16"/>
        <v>0</v>
      </c>
      <c r="G26" s="436">
        <f t="shared" si="16"/>
        <v>0</v>
      </c>
      <c r="H26" s="436">
        <f t="shared" si="16"/>
        <v>0</v>
      </c>
      <c r="I26" s="38"/>
      <c r="J26" s="441" t="e">
        <f t="shared" si="5"/>
        <v>#DIV/0!</v>
      </c>
      <c r="K26" s="38"/>
      <c r="L26" s="436" t="e">
        <f t="shared" ref="L26:Q26" si="17">+L15+L25</f>
        <v>#DIV/0!</v>
      </c>
      <c r="M26" s="436" t="e">
        <f t="shared" si="17"/>
        <v>#DIV/0!</v>
      </c>
      <c r="N26" s="436" t="e">
        <f t="shared" si="17"/>
        <v>#DIV/0!</v>
      </c>
      <c r="O26" s="436" t="e">
        <f t="shared" si="17"/>
        <v>#DIV/0!</v>
      </c>
      <c r="P26" s="436" t="e">
        <f t="shared" si="17"/>
        <v>#DIV/0!</v>
      </c>
      <c r="Q26" s="436" t="e">
        <f t="shared" si="17"/>
        <v>#DIV/0!</v>
      </c>
      <c r="S26" s="441" t="e">
        <f t="shared" si="7"/>
        <v>#DIV/0!</v>
      </c>
    </row>
    <row r="27" spans="2:19">
      <c r="B27" s="38"/>
      <c r="C27" s="48"/>
      <c r="D27" s="48"/>
      <c r="E27" s="48"/>
      <c r="F27" s="48"/>
      <c r="G27" s="48"/>
      <c r="H27" s="48"/>
      <c r="I27" s="38"/>
      <c r="J27" s="441"/>
      <c r="K27" s="38"/>
      <c r="L27" s="48"/>
      <c r="M27" s="48"/>
      <c r="N27" s="48"/>
      <c r="O27" s="48"/>
      <c r="P27" s="48"/>
      <c r="Q27" s="48"/>
      <c r="S27" s="441"/>
    </row>
    <row r="28" spans="2:19">
      <c r="B28" s="8" t="s">
        <v>277</v>
      </c>
      <c r="C28" s="168"/>
      <c r="D28" s="168"/>
      <c r="E28" s="168"/>
      <c r="F28" s="168"/>
      <c r="G28" s="168"/>
      <c r="H28" s="168"/>
      <c r="J28" s="440" t="e">
        <f>((H28/C28)^(1/COUNT(D28:H28))-1)</f>
        <v>#DIV/0!</v>
      </c>
      <c r="L28" s="459" t="e">
        <f>+(H28*L197)+H28</f>
        <v>#DIV/0!</v>
      </c>
      <c r="M28" s="459" t="e">
        <f>+(L28*M197)+L28</f>
        <v>#DIV/0!</v>
      </c>
      <c r="N28" s="459" t="e">
        <f>+(M28*N197)+M28</f>
        <v>#DIV/0!</v>
      </c>
      <c r="O28" s="459" t="e">
        <f>+(N28*O197)+N28</f>
        <v>#DIV/0!</v>
      </c>
      <c r="P28" s="459" t="e">
        <f>+(O28*P197)+O28</f>
        <v>#DIV/0!</v>
      </c>
      <c r="Q28" s="459" t="e">
        <f>+(P28*Q197)+P28</f>
        <v>#DIV/0!</v>
      </c>
      <c r="S28" s="440" t="e">
        <f>((Q28/L28)^(1/COUNT(M28:Q28))-1)</f>
        <v>#DIV/0!</v>
      </c>
    </row>
    <row r="29" spans="2:19">
      <c r="B29" s="38" t="s">
        <v>56</v>
      </c>
      <c r="C29" s="436">
        <f t="shared" ref="C29:H29" si="18">+C26+C28</f>
        <v>0</v>
      </c>
      <c r="D29" s="436">
        <f t="shared" si="18"/>
        <v>0</v>
      </c>
      <c r="E29" s="436">
        <f t="shared" si="18"/>
        <v>0</v>
      </c>
      <c r="F29" s="436">
        <f t="shared" si="18"/>
        <v>0</v>
      </c>
      <c r="G29" s="436">
        <f t="shared" si="18"/>
        <v>0</v>
      </c>
      <c r="H29" s="436">
        <f t="shared" si="18"/>
        <v>0</v>
      </c>
      <c r="I29" s="38"/>
      <c r="J29" s="441" t="e">
        <f>((H29/C29)^(1/COUNT(D29:H29))-1)</f>
        <v>#DIV/0!</v>
      </c>
      <c r="K29" s="38"/>
      <c r="L29" s="436" t="e">
        <f t="shared" ref="L29:Q29" si="19">+L26+L28</f>
        <v>#DIV/0!</v>
      </c>
      <c r="M29" s="436" t="e">
        <f t="shared" si="19"/>
        <v>#DIV/0!</v>
      </c>
      <c r="N29" s="436" t="e">
        <f t="shared" si="19"/>
        <v>#DIV/0!</v>
      </c>
      <c r="O29" s="436" t="e">
        <f t="shared" si="19"/>
        <v>#DIV/0!</v>
      </c>
      <c r="P29" s="436" t="e">
        <f t="shared" si="19"/>
        <v>#DIV/0!</v>
      </c>
      <c r="Q29" s="436" t="e">
        <f t="shared" si="19"/>
        <v>#DIV/0!</v>
      </c>
      <c r="S29" s="441" t="e">
        <f>((Q29/L29)^(1/COUNT(M29:Q29))-1)</f>
        <v>#DIV/0!</v>
      </c>
    </row>
    <row r="30" spans="2:19">
      <c r="B30" s="38"/>
      <c r="C30" s="48"/>
      <c r="D30" s="48"/>
      <c r="E30" s="48"/>
      <c r="F30" s="48"/>
      <c r="G30" s="48"/>
      <c r="H30" s="48"/>
      <c r="I30" s="38"/>
      <c r="J30" s="441"/>
      <c r="K30" s="38"/>
      <c r="L30" s="48"/>
      <c r="M30" s="48"/>
      <c r="N30" s="48"/>
      <c r="O30" s="48"/>
      <c r="P30" s="48"/>
      <c r="Q30" s="48"/>
      <c r="S30" s="441"/>
    </row>
    <row r="31" spans="2:19" ht="5.0999999999999996" customHeight="1"/>
    <row r="32" spans="2:19">
      <c r="B32" s="426" t="s">
        <v>488</v>
      </c>
      <c r="C32" s="426"/>
      <c r="D32" s="426"/>
      <c r="E32" s="426"/>
      <c r="F32" s="426"/>
      <c r="G32" s="426"/>
      <c r="H32" s="426"/>
      <c r="I32" s="426"/>
      <c r="J32" s="480" t="s">
        <v>495</v>
      </c>
      <c r="K32" s="481"/>
      <c r="L32" s="481"/>
      <c r="M32" s="481"/>
      <c r="N32" s="481"/>
      <c r="O32" s="481"/>
      <c r="P32" s="481"/>
      <c r="Q32" s="481"/>
    </row>
    <row r="33" spans="1:25" ht="5.0999999999999996" customHeight="1"/>
    <row r="34" spans="1:25" ht="12.75" thickBot="1">
      <c r="A34" s="428" t="s">
        <v>25</v>
      </c>
      <c r="B34" s="10" t="s">
        <v>285</v>
      </c>
      <c r="C34" s="467"/>
      <c r="D34" s="468" t="e">
        <f>SUM(D6/C6)-1</f>
        <v>#DIV/0!</v>
      </c>
      <c r="E34" s="468" t="e">
        <f>SUM(E6/D6)-1</f>
        <v>#DIV/0!</v>
      </c>
      <c r="F34" s="468" t="e">
        <f>SUM(F6/E6)-1</f>
        <v>#DIV/0!</v>
      </c>
      <c r="G34" s="468" t="e">
        <f>SUM(G6/F6)-1</f>
        <v>#DIV/0!</v>
      </c>
      <c r="H34" s="468" t="e">
        <f>SUM(H6/G6)-1</f>
        <v>#DIV/0!</v>
      </c>
      <c r="I34" s="467"/>
      <c r="J34" s="476" t="s">
        <v>13</v>
      </c>
      <c r="K34" s="448"/>
      <c r="L34" s="448"/>
      <c r="M34" s="448"/>
      <c r="N34" s="448"/>
      <c r="O34" s="448"/>
      <c r="P34" s="448"/>
      <c r="Q34" s="449"/>
    </row>
    <row r="35" spans="1:25" ht="12.75" customHeight="1">
      <c r="B35" s="469" t="s">
        <v>494</v>
      </c>
      <c r="C35" s="470" t="e">
        <f t="shared" ref="C35:H35" si="20">C6/C$8</f>
        <v>#DIV/0!</v>
      </c>
      <c r="D35" s="470" t="e">
        <f t="shared" si="20"/>
        <v>#DIV/0!</v>
      </c>
      <c r="E35" s="470" t="e">
        <f t="shared" si="20"/>
        <v>#DIV/0!</v>
      </c>
      <c r="F35" s="470" t="e">
        <f t="shared" si="20"/>
        <v>#DIV/0!</v>
      </c>
      <c r="G35" s="470" t="e">
        <f t="shared" si="20"/>
        <v>#DIV/0!</v>
      </c>
      <c r="H35" s="470" t="e">
        <f t="shared" si="20"/>
        <v>#DIV/0!</v>
      </c>
      <c r="I35" s="429"/>
      <c r="J35" s="464" t="s">
        <v>467</v>
      </c>
      <c r="K35" s="429"/>
      <c r="L35" s="433">
        <f t="shared" ref="L35:Q35" si="21">+L52+L65+L91+L104+L78</f>
        <v>416040.4010646058</v>
      </c>
      <c r="M35" s="433">
        <f t="shared" si="21"/>
        <v>447778.30581824854</v>
      </c>
      <c r="N35" s="433">
        <f t="shared" si="21"/>
        <v>482123.51248766849</v>
      </c>
      <c r="O35" s="433">
        <f t="shared" si="21"/>
        <v>482123.51248766849</v>
      </c>
      <c r="P35" s="433">
        <f t="shared" si="21"/>
        <v>482123.51248766849</v>
      </c>
      <c r="Q35" s="433">
        <f t="shared" si="21"/>
        <v>482123.51248766849</v>
      </c>
      <c r="R35" s="430"/>
      <c r="S35" s="441"/>
      <c r="T35" s="443"/>
      <c r="U35" s="430"/>
      <c r="V35" s="430"/>
      <c r="W35" s="443"/>
      <c r="X35" s="443"/>
      <c r="Y35" s="443"/>
    </row>
    <row r="36" spans="1:25" ht="12.75" customHeight="1">
      <c r="B36" s="10" t="s">
        <v>287</v>
      </c>
      <c r="C36" s="430"/>
      <c r="D36" s="468" t="e">
        <f>SUM(D7/C7)-1</f>
        <v>#DIV/0!</v>
      </c>
      <c r="E36" s="468" t="e">
        <f>SUM(E7/D7)-1</f>
        <v>#DIV/0!</v>
      </c>
      <c r="F36" s="468" t="e">
        <f>SUM(F7/E7)-1</f>
        <v>#DIV/0!</v>
      </c>
      <c r="G36" s="468" t="e">
        <f>SUM(G7/F7)-1</f>
        <v>#DIV/0!</v>
      </c>
      <c r="H36" s="468" t="e">
        <f>SUM(H7/G7)-1</f>
        <v>#DIV/0!</v>
      </c>
      <c r="I36" s="450"/>
      <c r="J36" s="465" t="s">
        <v>46</v>
      </c>
      <c r="K36" s="434"/>
      <c r="L36" s="462" t="e">
        <f>SUM(L35/$H$8)-1</f>
        <v>#DIV/0!</v>
      </c>
      <c r="M36" s="462">
        <f>SUM(M35/L35)-1</f>
        <v>7.6285631569502854E-2</v>
      </c>
      <c r="N36" s="462">
        <f>SUM(N35/M35)-1</f>
        <v>7.6701363650610865E-2</v>
      </c>
      <c r="O36" s="462">
        <f>N36</f>
        <v>7.6701363650610865E-2</v>
      </c>
      <c r="P36" s="462">
        <f>O36</f>
        <v>7.6701363650610865E-2</v>
      </c>
      <c r="Q36" s="462">
        <f>P36</f>
        <v>7.6701363650610865E-2</v>
      </c>
      <c r="R36" s="442"/>
      <c r="S36" s="444"/>
      <c r="T36" s="444"/>
      <c r="U36" s="442"/>
      <c r="V36" s="442"/>
      <c r="W36" s="444"/>
      <c r="X36" s="444"/>
      <c r="Y36" s="444"/>
    </row>
    <row r="37" spans="1:25" ht="12.75" customHeight="1">
      <c r="B37" s="469" t="s">
        <v>494</v>
      </c>
      <c r="C37" s="470" t="e">
        <f t="shared" ref="C37:H37" si="22">C7/C$8</f>
        <v>#DIV/0!</v>
      </c>
      <c r="D37" s="470" t="e">
        <f t="shared" si="22"/>
        <v>#DIV/0!</v>
      </c>
      <c r="E37" s="470" t="e">
        <f t="shared" si="22"/>
        <v>#DIV/0!</v>
      </c>
      <c r="F37" s="470" t="e">
        <f t="shared" si="22"/>
        <v>#DIV/0!</v>
      </c>
      <c r="G37" s="470" t="e">
        <f t="shared" si="22"/>
        <v>#DIV/0!</v>
      </c>
      <c r="H37" s="470" t="e">
        <f t="shared" si="22"/>
        <v>#DIV/0!</v>
      </c>
      <c r="I37" s="429"/>
      <c r="J37" s="464" t="s">
        <v>479</v>
      </c>
      <c r="K37" s="429"/>
      <c r="L37" s="433">
        <f t="shared" ref="L37:Q37" si="23">+L54+L67+L93+L106+L80</f>
        <v>416621</v>
      </c>
      <c r="M37" s="433">
        <f t="shared" si="23"/>
        <v>445334</v>
      </c>
      <c r="N37" s="433">
        <f t="shared" si="23"/>
        <v>489169</v>
      </c>
      <c r="O37" s="433">
        <f t="shared" si="23"/>
        <v>500680</v>
      </c>
      <c r="P37" s="433">
        <f t="shared" si="23"/>
        <v>500680</v>
      </c>
      <c r="Q37" s="433">
        <f t="shared" si="23"/>
        <v>500680</v>
      </c>
      <c r="R37" s="430"/>
      <c r="S37" s="441"/>
      <c r="T37" s="443"/>
      <c r="U37" s="430"/>
      <c r="V37" s="430"/>
      <c r="W37" s="443"/>
      <c r="X37" s="443"/>
      <c r="Y37" s="443"/>
    </row>
    <row r="38" spans="1:25" ht="12.75" customHeight="1">
      <c r="B38" s="10" t="s">
        <v>286</v>
      </c>
      <c r="C38" s="442"/>
      <c r="D38" s="468" t="e">
        <f>SUM(#REF!/#REF!)-1</f>
        <v>#REF!</v>
      </c>
      <c r="E38" s="468" t="e">
        <f>SUM(#REF!/#REF!)-1</f>
        <v>#REF!</v>
      </c>
      <c r="F38" s="468" t="e">
        <f>SUM(#REF!/#REF!)-1</f>
        <v>#REF!</v>
      </c>
      <c r="G38" s="468" t="e">
        <f>SUM(#REF!/#REF!)-1</f>
        <v>#REF!</v>
      </c>
      <c r="H38" s="468" t="e">
        <f>SUM(#REF!/#REF!)-1</f>
        <v>#REF!</v>
      </c>
      <c r="I38" s="450"/>
      <c r="J38" s="465" t="s">
        <v>46</v>
      </c>
      <c r="K38" s="434"/>
      <c r="L38" s="462" t="e">
        <f>SUM(L37/$H$8)-1</f>
        <v>#DIV/0!</v>
      </c>
      <c r="M38" s="462">
        <f>SUM(M37/L37)-1</f>
        <v>6.8918753495383012E-2</v>
      </c>
      <c r="N38" s="462">
        <f>SUM(N37/M37)-1</f>
        <v>9.8431738874642294E-2</v>
      </c>
      <c r="O38" s="462">
        <f>SUM(O37/N37)-1</f>
        <v>2.3531744652665942E-2</v>
      </c>
      <c r="P38" s="462">
        <f t="shared" ref="P38:Q40" si="24">O38</f>
        <v>2.3531744652665942E-2</v>
      </c>
      <c r="Q38" s="462">
        <f t="shared" si="24"/>
        <v>2.3531744652665942E-2</v>
      </c>
      <c r="R38" s="442"/>
      <c r="S38" s="444"/>
      <c r="T38" s="444"/>
      <c r="U38" s="442"/>
      <c r="V38" s="442"/>
      <c r="W38" s="444"/>
      <c r="X38" s="444"/>
      <c r="Y38" s="444"/>
    </row>
    <row r="39" spans="1:25" ht="12.75" customHeight="1">
      <c r="B39" s="10"/>
      <c r="C39" s="442"/>
      <c r="D39" s="468"/>
      <c r="E39" s="468"/>
      <c r="F39" s="468"/>
      <c r="G39" s="468"/>
      <c r="H39" s="468"/>
      <c r="I39" s="450"/>
      <c r="J39" s="464" t="s">
        <v>499</v>
      </c>
      <c r="K39" s="429"/>
      <c r="L39" s="430">
        <v>414847</v>
      </c>
      <c r="M39" s="430">
        <v>438656</v>
      </c>
      <c r="N39" s="430">
        <v>465270</v>
      </c>
      <c r="O39" s="433">
        <f>N39</f>
        <v>465270</v>
      </c>
      <c r="P39" s="433">
        <f t="shared" si="24"/>
        <v>465270</v>
      </c>
      <c r="Q39" s="433">
        <f t="shared" si="24"/>
        <v>465270</v>
      </c>
      <c r="R39" s="442"/>
      <c r="S39" s="444"/>
      <c r="T39" s="444"/>
      <c r="U39" s="442"/>
      <c r="V39" s="442"/>
      <c r="W39" s="444"/>
      <c r="X39" s="444"/>
      <c r="Y39" s="444"/>
    </row>
    <row r="40" spans="1:25" ht="12.75" customHeight="1">
      <c r="B40" s="10"/>
      <c r="C40" s="442"/>
      <c r="D40" s="468"/>
      <c r="E40" s="468"/>
      <c r="F40" s="468"/>
      <c r="G40" s="468"/>
      <c r="H40" s="468"/>
      <c r="I40" s="450"/>
      <c r="J40" s="465" t="s">
        <v>46</v>
      </c>
      <c r="K40" s="434"/>
      <c r="L40" s="462" t="e">
        <f>SUM(L39/$H$8)-1</f>
        <v>#DIV/0!</v>
      </c>
      <c r="M40" s="462">
        <f>SUM(M39/L39)-1</f>
        <v>5.7392243405400167E-2</v>
      </c>
      <c r="N40" s="462">
        <f>SUM(N39/M39)-1</f>
        <v>6.0671688065363272E-2</v>
      </c>
      <c r="O40" s="462">
        <f>N40</f>
        <v>6.0671688065363272E-2</v>
      </c>
      <c r="P40" s="462">
        <f t="shared" si="24"/>
        <v>6.0671688065363272E-2</v>
      </c>
      <c r="Q40" s="462">
        <f t="shared" si="24"/>
        <v>6.0671688065363272E-2</v>
      </c>
      <c r="R40" s="442"/>
      <c r="S40" s="444"/>
      <c r="T40" s="444"/>
      <c r="U40" s="442"/>
      <c r="V40" s="442"/>
      <c r="W40" s="444"/>
      <c r="X40" s="444"/>
      <c r="Y40" s="444"/>
    </row>
    <row r="41" spans="1:25" ht="12.75" customHeight="1">
      <c r="B41" s="10"/>
      <c r="C41" s="442"/>
      <c r="D41" s="468"/>
      <c r="E41" s="468"/>
      <c r="F41" s="468"/>
      <c r="G41" s="468"/>
      <c r="H41" s="468"/>
      <c r="I41" s="450"/>
      <c r="J41" s="464" t="s">
        <v>483</v>
      </c>
      <c r="K41" s="429"/>
      <c r="L41" s="430">
        <v>410074</v>
      </c>
      <c r="M41" s="430">
        <v>425207</v>
      </c>
      <c r="N41" s="430">
        <v>464555</v>
      </c>
      <c r="O41" s="430">
        <v>478922</v>
      </c>
      <c r="P41" s="430">
        <v>535341</v>
      </c>
      <c r="Q41" s="430">
        <v>569147</v>
      </c>
      <c r="R41" s="442"/>
      <c r="S41" s="444"/>
      <c r="T41" s="444"/>
      <c r="U41" s="442"/>
      <c r="V41" s="442"/>
      <c r="W41" s="444"/>
      <c r="X41" s="444"/>
      <c r="Y41" s="444"/>
    </row>
    <row r="42" spans="1:25" ht="12.75" customHeight="1">
      <c r="B42" s="10"/>
      <c r="C42" s="442"/>
      <c r="D42" s="468"/>
      <c r="E42" s="468"/>
      <c r="F42" s="468"/>
      <c r="G42" s="468"/>
      <c r="H42" s="468"/>
      <c r="I42" s="450"/>
      <c r="J42" s="465" t="s">
        <v>46</v>
      </c>
      <c r="K42" s="434"/>
      <c r="L42" s="462" t="e">
        <f>SUM(L41/$H$8)-1</f>
        <v>#DIV/0!</v>
      </c>
      <c r="M42" s="462">
        <f>SUM(M41/L41)-1</f>
        <v>3.6903095538854069E-2</v>
      </c>
      <c r="N42" s="462">
        <f>SUM(N41/M41)-1</f>
        <v>9.2538457739406832E-2</v>
      </c>
      <c r="O42" s="462">
        <f>SUM(O41/N41)-1</f>
        <v>3.0926370397477143E-2</v>
      </c>
      <c r="P42" s="462">
        <f>SUM(P41/O41)-1</f>
        <v>0.11780415182430537</v>
      </c>
      <c r="Q42" s="462">
        <f>SUM(Q41/P41)-1</f>
        <v>6.3148535232683489E-2</v>
      </c>
      <c r="R42" s="442"/>
      <c r="S42" s="444"/>
      <c r="T42" s="444"/>
      <c r="U42" s="442"/>
      <c r="V42" s="442"/>
      <c r="W42" s="444"/>
      <c r="X42" s="444"/>
      <c r="Y42" s="444"/>
    </row>
    <row r="43" spans="1:25" ht="12.75" customHeight="1">
      <c r="B43" s="469" t="s">
        <v>494</v>
      </c>
      <c r="C43" s="470" t="e">
        <f>#REF!/C$8</f>
        <v>#REF!</v>
      </c>
      <c r="D43" s="470" t="e">
        <f>#REF!/D$8</f>
        <v>#REF!</v>
      </c>
      <c r="E43" s="470" t="e">
        <f>#REF!/E$8</f>
        <v>#REF!</v>
      </c>
      <c r="F43" s="470" t="e">
        <f>#REF!/F$8</f>
        <v>#REF!</v>
      </c>
      <c r="G43" s="470" t="e">
        <f>#REF!/G$8</f>
        <v>#REF!</v>
      </c>
      <c r="H43" s="470" t="e">
        <f>#REF!/H$8</f>
        <v>#REF!</v>
      </c>
      <c r="I43" s="429"/>
      <c r="J43" s="464" t="s">
        <v>484</v>
      </c>
      <c r="K43" s="429"/>
      <c r="L43" s="433">
        <f>+L56+L69+L95+L108+L82</f>
        <v>414913</v>
      </c>
      <c r="M43" s="433">
        <f t="shared" ref="M43:Q45" si="25">+M56+M69+M95+M108+M82</f>
        <v>441848</v>
      </c>
      <c r="N43" s="433">
        <f t="shared" si="25"/>
        <v>468930</v>
      </c>
      <c r="O43" s="433">
        <f t="shared" si="25"/>
        <v>468930</v>
      </c>
      <c r="P43" s="433">
        <f t="shared" si="25"/>
        <v>468930</v>
      </c>
      <c r="Q43" s="433">
        <f t="shared" si="25"/>
        <v>468930</v>
      </c>
      <c r="R43" s="430"/>
      <c r="S43" s="441"/>
      <c r="T43" s="443"/>
      <c r="U43" s="430"/>
      <c r="V43" s="430"/>
      <c r="W43" s="443"/>
      <c r="X43" s="443"/>
      <c r="Y43" s="443"/>
    </row>
    <row r="44" spans="1:25" ht="12.75" customHeight="1">
      <c r="B44" s="10" t="s">
        <v>289</v>
      </c>
      <c r="C44" s="430"/>
      <c r="D44" s="468" t="e">
        <f>SUM(#REF!/#REF!)-1</f>
        <v>#REF!</v>
      </c>
      <c r="E44" s="468" t="e">
        <f>SUM(#REF!/#REF!)-1</f>
        <v>#REF!</v>
      </c>
      <c r="F44" s="468" t="e">
        <f>SUM(#REF!/#REF!)-1</f>
        <v>#REF!</v>
      </c>
      <c r="G44" s="468" t="e">
        <f>SUM(#REF!/#REF!)-1</f>
        <v>#REF!</v>
      </c>
      <c r="H44" s="468" t="e">
        <f>SUM(#REF!/#REF!)-1</f>
        <v>#REF!</v>
      </c>
      <c r="I44" s="450"/>
      <c r="J44" s="465" t="s">
        <v>46</v>
      </c>
      <c r="K44" s="434"/>
      <c r="L44" s="462" t="e">
        <f>SUM(L43/$H$8)-1</f>
        <v>#DIV/0!</v>
      </c>
      <c r="M44" s="462">
        <f>SUM(M43/L43)-1</f>
        <v>6.4917223610732933E-2</v>
      </c>
      <c r="N44" s="462">
        <f>SUM(N43/M43)-1</f>
        <v>6.1292571200955992E-2</v>
      </c>
      <c r="O44" s="462">
        <f>N44</f>
        <v>6.1292571200955992E-2</v>
      </c>
      <c r="P44" s="462">
        <f>O44</f>
        <v>6.1292571200955992E-2</v>
      </c>
      <c r="Q44" s="462">
        <f>P44</f>
        <v>6.1292571200955992E-2</v>
      </c>
      <c r="R44" s="431"/>
      <c r="S44" s="445"/>
      <c r="T44" s="445"/>
      <c r="U44" s="431"/>
      <c r="V44" s="431"/>
      <c r="W44" s="445"/>
      <c r="X44" s="445"/>
      <c r="Y44" s="445"/>
    </row>
    <row r="45" spans="1:25" ht="12.75" customHeight="1">
      <c r="B45" s="469" t="s">
        <v>494</v>
      </c>
      <c r="C45" s="470" t="e">
        <f>#REF!/C$8</f>
        <v>#REF!</v>
      </c>
      <c r="D45" s="470" t="e">
        <f>#REF!/D$8</f>
        <v>#REF!</v>
      </c>
      <c r="E45" s="470" t="e">
        <f>#REF!/E$8</f>
        <v>#REF!</v>
      </c>
      <c r="F45" s="470" t="e">
        <f>#REF!/F$8</f>
        <v>#REF!</v>
      </c>
      <c r="G45" s="470" t="e">
        <f>#REF!/G$8</f>
        <v>#REF!</v>
      </c>
      <c r="H45" s="470" t="e">
        <f>#REF!/H$8</f>
        <v>#REF!</v>
      </c>
      <c r="I45" s="429"/>
      <c r="J45" s="464" t="s">
        <v>468</v>
      </c>
      <c r="K45" s="429"/>
      <c r="L45" s="433">
        <f>+L58+L71+L97+L110+L84</f>
        <v>415305</v>
      </c>
      <c r="M45" s="433">
        <f t="shared" si="25"/>
        <v>440525</v>
      </c>
      <c r="N45" s="433">
        <f t="shared" si="25"/>
        <v>460577</v>
      </c>
      <c r="O45" s="433">
        <f t="shared" si="25"/>
        <v>460577</v>
      </c>
      <c r="P45" s="433">
        <f t="shared" si="25"/>
        <v>460577</v>
      </c>
      <c r="Q45" s="433">
        <f t="shared" si="25"/>
        <v>460577</v>
      </c>
      <c r="R45" s="430"/>
      <c r="S45" s="441"/>
      <c r="T45" s="443"/>
      <c r="U45" s="430"/>
      <c r="V45" s="430"/>
      <c r="W45" s="430"/>
      <c r="X45" s="430"/>
      <c r="Y45" s="443"/>
    </row>
    <row r="46" spans="1:25" ht="12.75" customHeight="1">
      <c r="B46" s="10" t="s">
        <v>288</v>
      </c>
      <c r="C46" s="442"/>
      <c r="D46" s="468" t="e">
        <f>SUM(#REF!/#REF!)-1</f>
        <v>#REF!</v>
      </c>
      <c r="E46" s="468" t="e">
        <f>SUM(#REF!/#REF!)-1</f>
        <v>#REF!</v>
      </c>
      <c r="F46" s="468" t="e">
        <f>SUM(#REF!/#REF!)-1</f>
        <v>#REF!</v>
      </c>
      <c r="G46" s="468" t="e">
        <f>SUM(#REF!/#REF!)-1</f>
        <v>#REF!</v>
      </c>
      <c r="H46" s="468" t="e">
        <f>SUM(#REF!/#REF!)-1</f>
        <v>#REF!</v>
      </c>
      <c r="I46" s="450"/>
      <c r="J46" s="465" t="s">
        <v>46</v>
      </c>
      <c r="K46" s="434"/>
      <c r="L46" s="462" t="e">
        <f>SUM(L45/$H$8)-1</f>
        <v>#DIV/0!</v>
      </c>
      <c r="M46" s="462">
        <f>SUM(M45/L45)-1</f>
        <v>6.0726454051841516E-2</v>
      </c>
      <c r="N46" s="462">
        <f>SUM(N45/M45)-1</f>
        <v>4.5518415526928147E-2</v>
      </c>
      <c r="O46" s="462">
        <f>N46</f>
        <v>4.5518415526928147E-2</v>
      </c>
      <c r="P46" s="462">
        <f>O46</f>
        <v>4.5518415526928147E-2</v>
      </c>
      <c r="Q46" s="462">
        <f>P46</f>
        <v>4.5518415526928147E-2</v>
      </c>
      <c r="R46" s="431"/>
      <c r="S46" s="431"/>
      <c r="T46" s="431"/>
      <c r="U46" s="431"/>
      <c r="V46" s="431"/>
      <c r="W46" s="431"/>
      <c r="X46" s="431"/>
      <c r="Y46" s="431"/>
    </row>
    <row r="47" spans="1:25">
      <c r="B47" s="469" t="s">
        <v>494</v>
      </c>
      <c r="C47" s="470" t="e">
        <f>#REF!/C$8</f>
        <v>#REF!</v>
      </c>
      <c r="D47" s="470" t="e">
        <f>#REF!/D$8</f>
        <v>#REF!</v>
      </c>
      <c r="E47" s="470" t="e">
        <f>#REF!/E$8</f>
        <v>#REF!</v>
      </c>
      <c r="F47" s="470" t="e">
        <f>#REF!/F$8</f>
        <v>#REF!</v>
      </c>
      <c r="G47" s="470" t="e">
        <f>#REF!/G$8</f>
        <v>#REF!</v>
      </c>
      <c r="H47" s="470" t="e">
        <f>#REF!/H$8</f>
        <v>#REF!</v>
      </c>
      <c r="I47" s="450"/>
      <c r="J47" s="450"/>
      <c r="K47" s="450"/>
      <c r="L47" s="451"/>
      <c r="M47" s="451"/>
      <c r="N47" s="451"/>
      <c r="O47" s="451"/>
      <c r="P47" s="451"/>
      <c r="Q47" s="451"/>
      <c r="R47" s="431"/>
      <c r="S47" s="431"/>
      <c r="T47" s="431"/>
      <c r="U47" s="431"/>
      <c r="V47" s="431"/>
      <c r="W47" s="431"/>
      <c r="X47" s="431"/>
      <c r="Y47" s="431"/>
    </row>
    <row r="48" spans="1:25" ht="12.75" customHeight="1">
      <c r="C48" s="431"/>
      <c r="D48" s="431"/>
      <c r="E48" s="431"/>
      <c r="F48" s="431"/>
      <c r="G48" s="431"/>
      <c r="H48" s="431"/>
      <c r="I48" s="450"/>
      <c r="J48" s="456" t="s">
        <v>486</v>
      </c>
      <c r="K48" s="456"/>
      <c r="L48" s="457" t="e">
        <f t="shared" ref="L48:Q48" si="26">MEDIAN(L$46,L$36,L$44,L$38,L$42,L$40)</f>
        <v>#DIV/0!</v>
      </c>
      <c r="M48" s="457">
        <f t="shared" si="26"/>
        <v>6.2821838831287224E-2</v>
      </c>
      <c r="N48" s="457">
        <f t="shared" si="26"/>
        <v>6.8996967425783429E-2</v>
      </c>
      <c r="O48" s="457">
        <f t="shared" si="26"/>
        <v>5.3095051796145709E-2</v>
      </c>
      <c r="P48" s="457">
        <f t="shared" si="26"/>
        <v>6.0982129633159632E-2</v>
      </c>
      <c r="Q48" s="457">
        <f t="shared" si="26"/>
        <v>6.0982129633159632E-2</v>
      </c>
      <c r="R48" s="431"/>
      <c r="S48" s="431"/>
      <c r="T48" s="431"/>
      <c r="U48" s="431"/>
      <c r="V48" s="431"/>
      <c r="W48" s="431"/>
      <c r="X48" s="431"/>
      <c r="Y48" s="431"/>
    </row>
    <row r="49" spans="1:25" ht="12.75" customHeight="1">
      <c r="C49" s="431"/>
      <c r="D49" s="431"/>
      <c r="E49" s="431"/>
      <c r="F49" s="431"/>
      <c r="G49" s="431"/>
      <c r="H49" s="431"/>
      <c r="I49" s="450"/>
      <c r="J49" s="456" t="s">
        <v>487</v>
      </c>
      <c r="K49" s="456"/>
      <c r="L49" s="457" t="e">
        <f t="shared" ref="L49:Q49" si="27">AVERAGE(L$46,L$36,L$44,L$38,L$42,L$40)</f>
        <v>#DIV/0!</v>
      </c>
      <c r="M49" s="457">
        <f t="shared" si="27"/>
        <v>6.0857233611952423E-2</v>
      </c>
      <c r="N49" s="457">
        <f t="shared" si="27"/>
        <v>7.2525705842984567E-2</v>
      </c>
      <c r="O49" s="457">
        <f t="shared" si="27"/>
        <v>4.9773692249000225E-2</v>
      </c>
      <c r="P49" s="457">
        <f t="shared" si="27"/>
        <v>6.4253322486804931E-2</v>
      </c>
      <c r="Q49" s="457">
        <f t="shared" si="27"/>
        <v>5.5144053054867949E-2</v>
      </c>
      <c r="R49" s="431"/>
      <c r="S49" s="431"/>
      <c r="T49" s="431"/>
      <c r="U49" s="431"/>
      <c r="V49" s="431"/>
      <c r="W49" s="431"/>
      <c r="X49" s="431"/>
      <c r="Y49" s="431"/>
    </row>
    <row r="51" spans="1:25" ht="12.75" thickBot="1">
      <c r="A51" s="428" t="s">
        <v>25</v>
      </c>
      <c r="B51" s="466" t="s">
        <v>478</v>
      </c>
      <c r="C51" s="478"/>
      <c r="D51" s="478"/>
      <c r="E51" s="478"/>
      <c r="F51" s="478"/>
      <c r="G51" s="478"/>
      <c r="H51" s="478"/>
      <c r="I51" s="478"/>
      <c r="J51" s="476" t="s">
        <v>478</v>
      </c>
      <c r="K51" s="448"/>
      <c r="L51" s="448"/>
      <c r="M51" s="448"/>
      <c r="N51" s="448"/>
      <c r="O51" s="448"/>
      <c r="P51" s="448"/>
      <c r="Q51" s="449"/>
    </row>
    <row r="52" spans="1:25" ht="12.75" customHeight="1">
      <c r="B52" s="464"/>
      <c r="C52" s="430"/>
      <c r="D52" s="430"/>
      <c r="E52" s="430"/>
      <c r="F52" s="430"/>
      <c r="G52" s="430"/>
      <c r="H52" s="430"/>
      <c r="I52" s="464"/>
      <c r="J52" s="464" t="s">
        <v>467</v>
      </c>
      <c r="K52" s="464"/>
      <c r="L52" s="430">
        <v>210271</v>
      </c>
      <c r="M52" s="430">
        <v>224197.5</v>
      </c>
      <c r="N52" s="430">
        <v>237444</v>
      </c>
      <c r="O52" s="433">
        <f t="shared" ref="O52:Q53" si="28">N52</f>
        <v>237444</v>
      </c>
      <c r="P52" s="433">
        <f t="shared" si="28"/>
        <v>237444</v>
      </c>
      <c r="Q52" s="433">
        <f t="shared" si="28"/>
        <v>237444</v>
      </c>
      <c r="R52" s="430"/>
      <c r="S52" s="441"/>
      <c r="T52" s="443"/>
      <c r="U52" s="430"/>
      <c r="V52" s="430"/>
      <c r="W52" s="443"/>
      <c r="X52" s="443"/>
      <c r="Y52" s="443"/>
    </row>
    <row r="53" spans="1:25" ht="12.75" customHeight="1">
      <c r="B53" s="471"/>
      <c r="C53" s="442"/>
      <c r="D53" s="442"/>
      <c r="E53" s="442"/>
      <c r="F53" s="442"/>
      <c r="G53" s="442"/>
      <c r="H53" s="442"/>
      <c r="I53" s="471"/>
      <c r="J53" s="465" t="s">
        <v>46</v>
      </c>
      <c r="K53" s="465"/>
      <c r="L53" s="446" t="e">
        <f>SUM(L52/$H$6)-1</f>
        <v>#DIV/0!</v>
      </c>
      <c r="M53" s="446">
        <f>SUM(M52/L52)-1</f>
        <v>6.6231196884021015E-2</v>
      </c>
      <c r="N53" s="446">
        <f>SUM(N52/M52)-1</f>
        <v>5.9084066503863886E-2</v>
      </c>
      <c r="O53" s="446">
        <f t="shared" si="28"/>
        <v>5.9084066503863886E-2</v>
      </c>
      <c r="P53" s="446">
        <f t="shared" si="28"/>
        <v>5.9084066503863886E-2</v>
      </c>
      <c r="Q53" s="446">
        <f t="shared" si="28"/>
        <v>5.9084066503863886E-2</v>
      </c>
      <c r="R53" s="442"/>
      <c r="S53" s="444"/>
      <c r="T53" s="444"/>
      <c r="U53" s="442"/>
      <c r="V53" s="442"/>
      <c r="W53" s="444"/>
      <c r="X53" s="444"/>
      <c r="Y53" s="444"/>
    </row>
    <row r="54" spans="1:25" ht="12.75" customHeight="1">
      <c r="B54" s="464"/>
      <c r="C54" s="430"/>
      <c r="D54" s="430"/>
      <c r="E54" s="430"/>
      <c r="F54" s="430"/>
      <c r="G54" s="430"/>
      <c r="H54" s="430"/>
      <c r="I54" s="464"/>
      <c r="J54" s="464" t="s">
        <v>479</v>
      </c>
      <c r="K54" s="464"/>
      <c r="L54" s="430">
        <v>210893</v>
      </c>
      <c r="M54" s="430">
        <v>223122</v>
      </c>
      <c r="N54" s="430">
        <v>249550</v>
      </c>
      <c r="O54" s="430">
        <v>240721</v>
      </c>
      <c r="P54" s="433">
        <f>O54</f>
        <v>240721</v>
      </c>
      <c r="Q54" s="433">
        <f>P54</f>
        <v>240721</v>
      </c>
      <c r="R54" s="430"/>
      <c r="S54" s="441"/>
      <c r="T54" s="443"/>
      <c r="U54" s="430"/>
      <c r="V54" s="430"/>
      <c r="W54" s="443"/>
      <c r="X54" s="443"/>
      <c r="Y54" s="443"/>
    </row>
    <row r="55" spans="1:25" ht="12.75" customHeight="1">
      <c r="B55" s="471"/>
      <c r="C55" s="442"/>
      <c r="D55" s="442"/>
      <c r="E55" s="442"/>
      <c r="F55" s="442"/>
      <c r="G55" s="442"/>
      <c r="H55" s="442"/>
      <c r="I55" s="471"/>
      <c r="J55" s="465" t="s">
        <v>46</v>
      </c>
      <c r="K55" s="465"/>
      <c r="L55" s="446" t="e">
        <f>SUM(L54/$H$6)-1</f>
        <v>#DIV/0!</v>
      </c>
      <c r="M55" s="446">
        <f>SUM(M54/L54)-1</f>
        <v>5.7986751575443529E-2</v>
      </c>
      <c r="N55" s="446">
        <f>SUM(N54/M54)-1</f>
        <v>0.11844641048395044</v>
      </c>
      <c r="O55" s="446">
        <f>SUM(O54/N54)-1</f>
        <v>-3.537968343017428E-2</v>
      </c>
      <c r="P55" s="446">
        <f>SUM(P54/O54)-1</f>
        <v>0</v>
      </c>
      <c r="Q55" s="446">
        <f>SUM(Q54/P54)-1</f>
        <v>0</v>
      </c>
      <c r="R55" s="442"/>
      <c r="S55" s="444"/>
      <c r="T55" s="444"/>
      <c r="U55" s="442"/>
      <c r="V55" s="442"/>
      <c r="W55" s="444"/>
      <c r="X55" s="444"/>
      <c r="Y55" s="444"/>
    </row>
    <row r="56" spans="1:25" ht="12.75" customHeight="1">
      <c r="B56" s="464"/>
      <c r="C56" s="430"/>
      <c r="D56" s="430"/>
      <c r="E56" s="430"/>
      <c r="F56" s="430"/>
      <c r="G56" s="430"/>
      <c r="H56" s="430"/>
      <c r="I56" s="464"/>
      <c r="J56" s="464" t="s">
        <v>484</v>
      </c>
      <c r="K56" s="464"/>
      <c r="L56" s="430">
        <v>209597</v>
      </c>
      <c r="M56" s="430">
        <v>221070</v>
      </c>
      <c r="N56" s="430">
        <v>233080</v>
      </c>
      <c r="O56" s="433">
        <f t="shared" ref="O56:Q59" si="29">N56</f>
        <v>233080</v>
      </c>
      <c r="P56" s="433">
        <f t="shared" si="29"/>
        <v>233080</v>
      </c>
      <c r="Q56" s="433">
        <f t="shared" si="29"/>
        <v>233080</v>
      </c>
      <c r="R56" s="430"/>
      <c r="S56" s="441"/>
      <c r="T56" s="443"/>
      <c r="U56" s="430"/>
      <c r="V56" s="430"/>
      <c r="W56" s="443"/>
      <c r="X56" s="443"/>
      <c r="Y56" s="443"/>
    </row>
    <row r="57" spans="1:25" ht="12.75" customHeight="1">
      <c r="B57" s="471"/>
      <c r="C57" s="431"/>
      <c r="D57" s="431"/>
      <c r="E57" s="431"/>
      <c r="F57" s="431"/>
      <c r="G57" s="431"/>
      <c r="H57" s="431"/>
      <c r="I57" s="471"/>
      <c r="J57" s="465" t="s">
        <v>46</v>
      </c>
      <c r="K57" s="465"/>
      <c r="L57" s="446" t="e">
        <f>SUM(L56/$H$6)-1</f>
        <v>#DIV/0!</v>
      </c>
      <c r="M57" s="446">
        <f>SUM(M56/L56)-1</f>
        <v>5.4738378889010786E-2</v>
      </c>
      <c r="N57" s="446">
        <f>SUM(N56/M56)-1</f>
        <v>5.4326683855792313E-2</v>
      </c>
      <c r="O57" s="446">
        <f t="shared" si="29"/>
        <v>5.4326683855792313E-2</v>
      </c>
      <c r="P57" s="446">
        <f t="shared" si="29"/>
        <v>5.4326683855792313E-2</v>
      </c>
      <c r="Q57" s="446">
        <f t="shared" si="29"/>
        <v>5.4326683855792313E-2</v>
      </c>
      <c r="R57" s="431"/>
      <c r="S57" s="445"/>
      <c r="T57" s="445"/>
      <c r="U57" s="431"/>
      <c r="V57" s="431"/>
      <c r="W57" s="445"/>
      <c r="X57" s="445"/>
      <c r="Y57" s="445"/>
    </row>
    <row r="58" spans="1:25" ht="12.75" customHeight="1">
      <c r="B58" s="464"/>
      <c r="C58" s="430"/>
      <c r="D58" s="430"/>
      <c r="E58" s="430"/>
      <c r="F58" s="430"/>
      <c r="G58" s="430"/>
      <c r="H58" s="430"/>
      <c r="I58" s="464"/>
      <c r="J58" s="464" t="s">
        <v>468</v>
      </c>
      <c r="K58" s="464"/>
      <c r="L58" s="430">
        <v>209723</v>
      </c>
      <c r="M58" s="430">
        <v>221039</v>
      </c>
      <c r="N58" s="430">
        <v>226650</v>
      </c>
      <c r="O58" s="433">
        <f t="shared" si="29"/>
        <v>226650</v>
      </c>
      <c r="P58" s="433">
        <f t="shared" si="29"/>
        <v>226650</v>
      </c>
      <c r="Q58" s="433">
        <f t="shared" si="29"/>
        <v>226650</v>
      </c>
      <c r="R58" s="430"/>
      <c r="S58" s="441"/>
      <c r="T58" s="443"/>
      <c r="U58" s="430"/>
      <c r="V58" s="430"/>
      <c r="W58" s="430"/>
      <c r="X58" s="430"/>
      <c r="Y58" s="443"/>
    </row>
    <row r="59" spans="1:25" ht="12.75" customHeight="1">
      <c r="B59" s="471"/>
      <c r="C59" s="431"/>
      <c r="D59" s="431"/>
      <c r="E59" s="431"/>
      <c r="F59" s="431"/>
      <c r="G59" s="431"/>
      <c r="H59" s="431"/>
      <c r="I59" s="471"/>
      <c r="J59" s="465" t="s">
        <v>46</v>
      </c>
      <c r="K59" s="465"/>
      <c r="L59" s="446" t="e">
        <f>SUM(L58/$H$6)-1</f>
        <v>#DIV/0!</v>
      </c>
      <c r="M59" s="446">
        <f>SUM(M58/L58)-1</f>
        <v>5.3956885987707537E-2</v>
      </c>
      <c r="N59" s="446">
        <f>SUM(N58/M58)-1</f>
        <v>2.5384660625500377E-2</v>
      </c>
      <c r="O59" s="446">
        <f t="shared" si="29"/>
        <v>2.5384660625500377E-2</v>
      </c>
      <c r="P59" s="446">
        <f t="shared" si="29"/>
        <v>2.5384660625500377E-2</v>
      </c>
      <c r="Q59" s="446">
        <f t="shared" si="29"/>
        <v>2.5384660625500377E-2</v>
      </c>
      <c r="R59" s="431"/>
      <c r="S59" s="431"/>
      <c r="T59" s="431"/>
      <c r="U59" s="431"/>
      <c r="V59" s="431"/>
      <c r="W59" s="431"/>
      <c r="X59" s="431"/>
      <c r="Y59" s="431"/>
    </row>
    <row r="60" spans="1:25">
      <c r="B60" s="471"/>
      <c r="C60" s="431"/>
      <c r="D60" s="431"/>
      <c r="E60" s="431"/>
      <c r="F60" s="431"/>
      <c r="G60" s="431"/>
      <c r="H60" s="431"/>
      <c r="I60" s="471"/>
      <c r="J60" s="471"/>
      <c r="K60" s="471"/>
      <c r="L60" s="451"/>
      <c r="M60" s="451"/>
      <c r="N60" s="451"/>
      <c r="O60" s="451"/>
      <c r="P60" s="451"/>
      <c r="Q60" s="451"/>
      <c r="R60" s="431"/>
      <c r="S60" s="431"/>
      <c r="T60" s="431"/>
      <c r="U60" s="431"/>
      <c r="V60" s="431"/>
      <c r="W60" s="431"/>
      <c r="X60" s="431"/>
      <c r="Y60" s="431"/>
    </row>
    <row r="61" spans="1:25" ht="12.75" customHeight="1">
      <c r="J61" s="472" t="s">
        <v>486</v>
      </c>
      <c r="K61" s="473"/>
      <c r="L61" s="452" t="e">
        <f t="shared" ref="L61:Q61" si="30">MEDIAN(L$59,L$53,L$57,L$55)</f>
        <v>#DIV/0!</v>
      </c>
      <c r="M61" s="452">
        <f t="shared" si="30"/>
        <v>5.6362565232227158E-2</v>
      </c>
      <c r="N61" s="452">
        <f t="shared" si="30"/>
        <v>5.6705375179828099E-2</v>
      </c>
      <c r="O61" s="452">
        <f t="shared" si="30"/>
        <v>3.9855672240646345E-2</v>
      </c>
      <c r="P61" s="452">
        <f t="shared" si="30"/>
        <v>3.9855672240646345E-2</v>
      </c>
      <c r="Q61" s="453">
        <f t="shared" si="30"/>
        <v>3.9855672240646345E-2</v>
      </c>
      <c r="R61" s="431"/>
      <c r="S61" s="431"/>
      <c r="T61" s="431"/>
      <c r="U61" s="431"/>
      <c r="V61" s="431"/>
      <c r="W61" s="431"/>
      <c r="X61" s="431"/>
      <c r="Y61" s="431"/>
    </row>
    <row r="62" spans="1:25" ht="12.75" customHeight="1">
      <c r="J62" s="474" t="s">
        <v>487</v>
      </c>
      <c r="K62" s="475"/>
      <c r="L62" s="454" t="e">
        <f t="shared" ref="L62:Q62" si="31">AVERAGE(L$59,L$53,L$57,L$55)</f>
        <v>#DIV/0!</v>
      </c>
      <c r="M62" s="454">
        <f t="shared" si="31"/>
        <v>5.8228303334045717E-2</v>
      </c>
      <c r="N62" s="454">
        <f t="shared" si="31"/>
        <v>6.4310455367276753E-2</v>
      </c>
      <c r="O62" s="454">
        <f t="shared" si="31"/>
        <v>2.5853931888745574E-2</v>
      </c>
      <c r="P62" s="454">
        <f t="shared" si="31"/>
        <v>3.4698852746289144E-2</v>
      </c>
      <c r="Q62" s="455">
        <f t="shared" si="31"/>
        <v>3.4698852746289144E-2</v>
      </c>
      <c r="R62" s="431"/>
      <c r="S62" s="431"/>
      <c r="T62" s="431"/>
      <c r="U62" s="431"/>
      <c r="V62" s="431"/>
      <c r="W62" s="431"/>
      <c r="X62" s="431"/>
      <c r="Y62" s="431"/>
    </row>
    <row r="63" spans="1:25" ht="12.75" customHeight="1">
      <c r="B63" s="471"/>
      <c r="C63" s="431"/>
      <c r="D63" s="431"/>
      <c r="E63" s="431"/>
      <c r="F63" s="431"/>
      <c r="G63" s="431"/>
      <c r="H63" s="431"/>
      <c r="I63" s="471"/>
      <c r="J63" s="471"/>
      <c r="K63" s="471"/>
      <c r="L63" s="451"/>
      <c r="M63" s="451"/>
      <c r="N63" s="451"/>
      <c r="O63" s="451"/>
      <c r="P63" s="451"/>
      <c r="Q63" s="451"/>
      <c r="R63" s="431"/>
      <c r="S63" s="431"/>
      <c r="T63" s="431"/>
      <c r="U63" s="431"/>
      <c r="V63" s="431"/>
      <c r="W63" s="431"/>
      <c r="X63" s="431"/>
      <c r="Y63" s="431"/>
    </row>
    <row r="64" spans="1:25" ht="12.75" thickBot="1">
      <c r="A64" s="428" t="s">
        <v>25</v>
      </c>
      <c r="B64" s="466" t="s">
        <v>480</v>
      </c>
      <c r="C64" s="478"/>
      <c r="D64" s="478"/>
      <c r="E64" s="478"/>
      <c r="F64" s="478"/>
      <c r="G64" s="478"/>
      <c r="H64" s="478"/>
      <c r="I64" s="478"/>
      <c r="J64" s="476" t="s">
        <v>480</v>
      </c>
      <c r="K64" s="448"/>
      <c r="L64" s="448"/>
      <c r="M64" s="448"/>
      <c r="N64" s="448"/>
      <c r="O64" s="448"/>
      <c r="P64" s="448"/>
      <c r="Q64" s="449"/>
    </row>
    <row r="65" spans="1:25" ht="12.75" customHeight="1">
      <c r="B65" s="478"/>
      <c r="C65" s="478"/>
      <c r="D65" s="478"/>
      <c r="E65" s="478"/>
      <c r="F65" s="478"/>
      <c r="G65" s="478"/>
      <c r="H65" s="478"/>
      <c r="I65" s="478"/>
      <c r="J65" s="464" t="s">
        <v>467</v>
      </c>
      <c r="K65" s="464"/>
      <c r="L65" s="430">
        <v>28208.284896885856</v>
      </c>
      <c r="M65" s="430">
        <v>29955.430141197139</v>
      </c>
      <c r="N65" s="430">
        <v>32016.946189059046</v>
      </c>
      <c r="O65" s="433">
        <f t="shared" ref="O65:Q66" si="32">N65</f>
        <v>32016.946189059046</v>
      </c>
      <c r="P65" s="433">
        <f t="shared" si="32"/>
        <v>32016.946189059046</v>
      </c>
      <c r="Q65" s="433">
        <f t="shared" si="32"/>
        <v>32016.946189059046</v>
      </c>
      <c r="R65" s="430"/>
      <c r="S65" s="441"/>
      <c r="T65" s="443"/>
      <c r="U65" s="430"/>
      <c r="V65" s="430"/>
      <c r="W65" s="443"/>
      <c r="X65" s="443"/>
      <c r="Y65" s="443"/>
    </row>
    <row r="66" spans="1:25" ht="12.75" customHeight="1">
      <c r="B66" s="478"/>
      <c r="C66" s="478"/>
      <c r="D66" s="478"/>
      <c r="E66" s="478"/>
      <c r="F66" s="478"/>
      <c r="G66" s="478"/>
      <c r="H66" s="478"/>
      <c r="I66" s="478"/>
      <c r="J66" s="465" t="s">
        <v>46</v>
      </c>
      <c r="K66" s="465"/>
      <c r="L66" s="446" t="e">
        <f>SUM(L65/$H$7)-1</f>
        <v>#DIV/0!</v>
      </c>
      <c r="M66" s="446">
        <f>SUM(M65/L65)-1</f>
        <v>6.1937308514072864E-2</v>
      </c>
      <c r="N66" s="446">
        <f>SUM(N65/M65)-1</f>
        <v>6.8819444025500554E-2</v>
      </c>
      <c r="O66" s="446">
        <f t="shared" si="32"/>
        <v>6.8819444025500554E-2</v>
      </c>
      <c r="P66" s="446">
        <f t="shared" si="32"/>
        <v>6.8819444025500554E-2</v>
      </c>
      <c r="Q66" s="446">
        <f t="shared" si="32"/>
        <v>6.8819444025500554E-2</v>
      </c>
      <c r="R66" s="442"/>
      <c r="S66" s="444"/>
      <c r="T66" s="444"/>
      <c r="U66" s="442"/>
      <c r="V66" s="442"/>
      <c r="W66" s="444"/>
      <c r="X66" s="444"/>
      <c r="Y66" s="444"/>
    </row>
    <row r="67" spans="1:25" ht="12.75" customHeight="1">
      <c r="B67" s="478"/>
      <c r="C67" s="478"/>
      <c r="D67" s="478"/>
      <c r="E67" s="478"/>
      <c r="F67" s="478"/>
      <c r="G67" s="478"/>
      <c r="H67" s="478"/>
      <c r="I67" s="478"/>
      <c r="J67" s="464" t="s">
        <v>479</v>
      </c>
      <c r="K67" s="464"/>
      <c r="L67" s="430">
        <v>28399</v>
      </c>
      <c r="M67" s="430">
        <v>29159</v>
      </c>
      <c r="N67" s="430">
        <v>30040</v>
      </c>
      <c r="O67" s="430">
        <v>31253</v>
      </c>
      <c r="P67" s="433">
        <f t="shared" ref="P67:Q72" si="33">O67</f>
        <v>31253</v>
      </c>
      <c r="Q67" s="433">
        <f t="shared" si="33"/>
        <v>31253</v>
      </c>
      <c r="R67" s="430"/>
      <c r="S67" s="441"/>
      <c r="T67" s="443"/>
      <c r="U67" s="430"/>
      <c r="V67" s="430"/>
      <c r="W67" s="443"/>
      <c r="X67" s="443"/>
      <c r="Y67" s="443"/>
    </row>
    <row r="68" spans="1:25" ht="12.75" customHeight="1">
      <c r="B68" s="478"/>
      <c r="C68" s="478"/>
      <c r="D68" s="478"/>
      <c r="E68" s="478"/>
      <c r="F68" s="478"/>
      <c r="G68" s="478"/>
      <c r="H68" s="478"/>
      <c r="I68" s="478"/>
      <c r="J68" s="465" t="s">
        <v>46</v>
      </c>
      <c r="K68" s="465"/>
      <c r="L68" s="446" t="e">
        <f>SUM(L67/$H$7)-1</f>
        <v>#DIV/0!</v>
      </c>
      <c r="M68" s="446">
        <f>SUM(M67/L67)-1</f>
        <v>2.6761505686820009E-2</v>
      </c>
      <c r="N68" s="446">
        <f>SUM(N67/M67)-1</f>
        <v>3.0213656161047986E-2</v>
      </c>
      <c r="O68" s="446">
        <f>SUM(O67/N67)-1</f>
        <v>4.0379494007989347E-2</v>
      </c>
      <c r="P68" s="446">
        <f t="shared" si="33"/>
        <v>4.0379494007989347E-2</v>
      </c>
      <c r="Q68" s="446">
        <f t="shared" si="33"/>
        <v>4.0379494007989347E-2</v>
      </c>
      <c r="R68" s="442"/>
      <c r="S68" s="444"/>
      <c r="T68" s="444"/>
      <c r="U68" s="442"/>
      <c r="V68" s="442"/>
      <c r="W68" s="444"/>
      <c r="X68" s="444"/>
      <c r="Y68" s="444"/>
    </row>
    <row r="69" spans="1:25" ht="12.75" customHeight="1">
      <c r="B69" s="478"/>
      <c r="C69" s="478"/>
      <c r="D69" s="478"/>
      <c r="E69" s="478"/>
      <c r="F69" s="478"/>
      <c r="G69" s="478"/>
      <c r="H69" s="478"/>
      <c r="I69" s="478"/>
      <c r="J69" s="464" t="s">
        <v>484</v>
      </c>
      <c r="K69" s="464"/>
      <c r="L69" s="430">
        <v>27523</v>
      </c>
      <c r="M69" s="430">
        <v>28295</v>
      </c>
      <c r="N69" s="430">
        <v>28599</v>
      </c>
      <c r="O69" s="433">
        <f>N69</f>
        <v>28599</v>
      </c>
      <c r="P69" s="433">
        <f t="shared" si="33"/>
        <v>28599</v>
      </c>
      <c r="Q69" s="433">
        <f t="shared" si="33"/>
        <v>28599</v>
      </c>
      <c r="R69" s="430"/>
      <c r="S69" s="443"/>
      <c r="T69" s="443"/>
      <c r="U69" s="430"/>
      <c r="V69" s="430"/>
      <c r="W69" s="443"/>
      <c r="X69" s="443"/>
      <c r="Y69" s="443"/>
    </row>
    <row r="70" spans="1:25" ht="12.75" customHeight="1">
      <c r="B70" s="478"/>
      <c r="C70" s="478"/>
      <c r="D70" s="478"/>
      <c r="E70" s="478"/>
      <c r="F70" s="478"/>
      <c r="G70" s="478"/>
      <c r="H70" s="478"/>
      <c r="I70" s="478"/>
      <c r="J70" s="465" t="s">
        <v>46</v>
      </c>
      <c r="K70" s="465"/>
      <c r="L70" s="446" t="e">
        <f>SUM(L69/$H$7)-1</f>
        <v>#DIV/0!</v>
      </c>
      <c r="M70" s="446">
        <f>SUM(M69/L69)-1</f>
        <v>2.8049267885041695E-2</v>
      </c>
      <c r="N70" s="446">
        <f>SUM(N69/M69)-1</f>
        <v>1.0743947693938827E-2</v>
      </c>
      <c r="O70" s="446">
        <f>N70</f>
        <v>1.0743947693938827E-2</v>
      </c>
      <c r="P70" s="446">
        <f t="shared" si="33"/>
        <v>1.0743947693938827E-2</v>
      </c>
      <c r="Q70" s="446">
        <f t="shared" si="33"/>
        <v>1.0743947693938827E-2</v>
      </c>
      <c r="R70" s="431"/>
      <c r="S70" s="445"/>
      <c r="T70" s="445"/>
      <c r="U70" s="431"/>
      <c r="V70" s="431"/>
      <c r="W70" s="445"/>
      <c r="X70" s="445"/>
      <c r="Y70" s="445"/>
    </row>
    <row r="71" spans="1:25" ht="12.75" customHeight="1">
      <c r="B71" s="478"/>
      <c r="C71" s="478"/>
      <c r="D71" s="478"/>
      <c r="E71" s="478"/>
      <c r="F71" s="478"/>
      <c r="G71" s="478"/>
      <c r="H71" s="478"/>
      <c r="I71" s="478"/>
      <c r="J71" s="464" t="s">
        <v>468</v>
      </c>
      <c r="K71" s="464"/>
      <c r="L71" s="430">
        <v>27567</v>
      </c>
      <c r="M71" s="430">
        <v>25036</v>
      </c>
      <c r="N71" s="430">
        <v>24466</v>
      </c>
      <c r="O71" s="433">
        <f>N71</f>
        <v>24466</v>
      </c>
      <c r="P71" s="433">
        <f t="shared" si="33"/>
        <v>24466</v>
      </c>
      <c r="Q71" s="433">
        <f t="shared" si="33"/>
        <v>24466</v>
      </c>
      <c r="R71" s="430"/>
      <c r="S71" s="430"/>
      <c r="T71" s="443"/>
      <c r="U71" s="430"/>
      <c r="V71" s="430"/>
      <c r="W71" s="430"/>
      <c r="X71" s="430"/>
      <c r="Y71" s="443"/>
    </row>
    <row r="72" spans="1:25" ht="12.75" customHeight="1">
      <c r="B72" s="478"/>
      <c r="C72" s="478"/>
      <c r="D72" s="478"/>
      <c r="E72" s="478"/>
      <c r="F72" s="478"/>
      <c r="G72" s="478"/>
      <c r="H72" s="478"/>
      <c r="I72" s="478"/>
      <c r="J72" s="465" t="s">
        <v>46</v>
      </c>
      <c r="K72" s="465"/>
      <c r="L72" s="446" t="e">
        <f>SUM(L71/$H$7)-1</f>
        <v>#DIV/0!</v>
      </c>
      <c r="M72" s="446">
        <f>SUM(M71/L71)-1</f>
        <v>-9.181267457467257E-2</v>
      </c>
      <c r="N72" s="446">
        <f>SUM(N71/M71)-1</f>
        <v>-2.2767215210097502E-2</v>
      </c>
      <c r="O72" s="446">
        <v>0</v>
      </c>
      <c r="P72" s="446">
        <f t="shared" si="33"/>
        <v>0</v>
      </c>
      <c r="Q72" s="446">
        <f t="shared" si="33"/>
        <v>0</v>
      </c>
      <c r="R72" s="431"/>
      <c r="S72" s="431"/>
      <c r="T72" s="431"/>
      <c r="U72" s="431"/>
      <c r="V72" s="431"/>
      <c r="W72" s="431"/>
      <c r="X72" s="431"/>
      <c r="Y72" s="431"/>
    </row>
    <row r="73" spans="1:25">
      <c r="B73" s="478"/>
      <c r="C73" s="478"/>
      <c r="D73" s="478"/>
      <c r="E73" s="478"/>
      <c r="F73" s="478"/>
      <c r="G73" s="478"/>
      <c r="H73" s="478"/>
      <c r="I73" s="478"/>
      <c r="J73" s="471"/>
      <c r="K73" s="471"/>
      <c r="L73" s="471"/>
      <c r="M73" s="471"/>
      <c r="N73" s="471"/>
      <c r="O73" s="471"/>
      <c r="P73" s="471"/>
      <c r="Q73" s="431"/>
      <c r="R73" s="431"/>
      <c r="S73" s="431"/>
      <c r="T73" s="431"/>
      <c r="U73" s="431"/>
      <c r="V73" s="431"/>
      <c r="W73" s="431"/>
      <c r="X73" s="431"/>
      <c r="Y73" s="431"/>
    </row>
    <row r="74" spans="1:25">
      <c r="B74" s="478"/>
      <c r="C74" s="478"/>
      <c r="D74" s="478"/>
      <c r="E74" s="478"/>
      <c r="F74" s="478"/>
      <c r="G74" s="478"/>
      <c r="H74" s="478"/>
      <c r="I74" s="478"/>
      <c r="J74" s="472" t="s">
        <v>486</v>
      </c>
      <c r="K74" s="473"/>
      <c r="L74" s="452" t="e">
        <f t="shared" ref="L74:Q74" si="34">MEDIAN(L$72,L$66,L$70,L$68)</f>
        <v>#DIV/0!</v>
      </c>
      <c r="M74" s="452">
        <f t="shared" si="34"/>
        <v>2.7405386785930852E-2</v>
      </c>
      <c r="N74" s="452">
        <f t="shared" si="34"/>
        <v>2.0478801927493406E-2</v>
      </c>
      <c r="O74" s="452">
        <f t="shared" si="34"/>
        <v>2.5561720850964087E-2</v>
      </c>
      <c r="P74" s="452">
        <f t="shared" si="34"/>
        <v>2.5561720850964087E-2</v>
      </c>
      <c r="Q74" s="453">
        <f t="shared" si="34"/>
        <v>2.5561720850964087E-2</v>
      </c>
      <c r="R74" s="431"/>
      <c r="S74" s="431"/>
      <c r="T74" s="431"/>
      <c r="U74" s="431"/>
      <c r="V74" s="431"/>
      <c r="W74" s="431"/>
      <c r="X74" s="431"/>
      <c r="Y74" s="431"/>
    </row>
    <row r="75" spans="1:25">
      <c r="B75" s="478"/>
      <c r="C75" s="478"/>
      <c r="D75" s="478"/>
      <c r="E75" s="478"/>
      <c r="F75" s="478"/>
      <c r="G75" s="478"/>
      <c r="H75" s="478"/>
      <c r="I75" s="478"/>
      <c r="J75" s="474" t="s">
        <v>487</v>
      </c>
      <c r="K75" s="475"/>
      <c r="L75" s="454" t="e">
        <f t="shared" ref="L75:Q75" si="35">AVERAGE(L$72,L$66,L$70,L$68)</f>
        <v>#DIV/0!</v>
      </c>
      <c r="M75" s="454">
        <f t="shared" si="35"/>
        <v>6.2338518778154994E-3</v>
      </c>
      <c r="N75" s="454">
        <f t="shared" si="35"/>
        <v>2.1752458167597466E-2</v>
      </c>
      <c r="O75" s="454">
        <f t="shared" si="35"/>
        <v>2.9985721431857182E-2</v>
      </c>
      <c r="P75" s="454">
        <f t="shared" si="35"/>
        <v>2.9985721431857182E-2</v>
      </c>
      <c r="Q75" s="455">
        <f t="shared" si="35"/>
        <v>2.9985721431857182E-2</v>
      </c>
      <c r="R75" s="431"/>
      <c r="S75" s="431"/>
      <c r="T75" s="431"/>
      <c r="U75" s="431"/>
      <c r="V75" s="431"/>
      <c r="W75" s="431"/>
      <c r="X75" s="431"/>
      <c r="Y75" s="431"/>
    </row>
    <row r="76" spans="1:25">
      <c r="B76" s="471"/>
      <c r="C76" s="471"/>
      <c r="D76" s="471"/>
      <c r="E76" s="471"/>
      <c r="F76" s="471"/>
      <c r="G76" s="471"/>
      <c r="H76" s="471"/>
      <c r="I76" s="471"/>
      <c r="J76" s="471"/>
      <c r="K76" s="471"/>
      <c r="L76" s="471"/>
      <c r="M76" s="471"/>
      <c r="N76" s="471"/>
      <c r="O76" s="471"/>
      <c r="P76" s="471"/>
      <c r="Q76" s="431"/>
      <c r="R76" s="431"/>
      <c r="S76" s="431"/>
      <c r="T76" s="431"/>
      <c r="U76" s="431"/>
      <c r="V76" s="431"/>
      <c r="W76" s="431"/>
      <c r="X76" s="431"/>
      <c r="Y76" s="431"/>
    </row>
    <row r="77" spans="1:25" ht="12.75" thickBot="1">
      <c r="A77" s="428" t="s">
        <v>25</v>
      </c>
      <c r="B77" s="466" t="s">
        <v>481</v>
      </c>
      <c r="C77" s="471"/>
      <c r="D77" s="471"/>
      <c r="E77" s="471"/>
      <c r="F77" s="471"/>
      <c r="G77" s="471"/>
      <c r="H77" s="471"/>
      <c r="I77" s="471"/>
      <c r="J77" s="476" t="s">
        <v>481</v>
      </c>
      <c r="K77" s="448"/>
      <c r="L77" s="448"/>
      <c r="M77" s="448"/>
      <c r="N77" s="448"/>
      <c r="O77" s="448"/>
      <c r="P77" s="448"/>
      <c r="Q77" s="449"/>
    </row>
    <row r="78" spans="1:25" ht="12.75" customHeight="1">
      <c r="B78" s="471"/>
      <c r="C78" s="471"/>
      <c r="D78" s="471"/>
      <c r="E78" s="471"/>
      <c r="F78" s="471"/>
      <c r="G78" s="471"/>
      <c r="H78" s="471"/>
      <c r="I78" s="471"/>
      <c r="J78" s="464" t="s">
        <v>467</v>
      </c>
      <c r="K78" s="464"/>
      <c r="L78" s="430">
        <v>33477.451964625579</v>
      </c>
      <c r="M78" s="430">
        <v>34521.79577849443</v>
      </c>
      <c r="N78" s="430">
        <v>35879.892551795638</v>
      </c>
      <c r="O78" s="433">
        <f t="shared" ref="O78:Q79" si="36">N78</f>
        <v>35879.892551795638</v>
      </c>
      <c r="P78" s="433">
        <f t="shared" si="36"/>
        <v>35879.892551795638</v>
      </c>
      <c r="Q78" s="433">
        <f t="shared" si="36"/>
        <v>35879.892551795638</v>
      </c>
      <c r="R78" s="430"/>
      <c r="S78" s="443"/>
      <c r="T78" s="443"/>
      <c r="U78" s="430"/>
      <c r="V78" s="430"/>
      <c r="W78" s="443"/>
      <c r="X78" s="443"/>
      <c r="Y78" s="443"/>
    </row>
    <row r="79" spans="1:25" ht="12.75" customHeight="1">
      <c r="B79" s="471"/>
      <c r="C79" s="471"/>
      <c r="D79" s="471"/>
      <c r="E79" s="471"/>
      <c r="F79" s="471"/>
      <c r="G79" s="471"/>
      <c r="H79" s="471"/>
      <c r="I79" s="471"/>
      <c r="J79" s="465" t="s">
        <v>46</v>
      </c>
      <c r="K79" s="465"/>
      <c r="L79" s="446" t="e">
        <f>SUM(L78/#REF!)-1</f>
        <v>#REF!</v>
      </c>
      <c r="M79" s="446">
        <f>SUM(M78/L78)-1</f>
        <v>3.1195439096511013E-2</v>
      </c>
      <c r="N79" s="446">
        <f>SUM(N78/M78)-1</f>
        <v>3.934027018800812E-2</v>
      </c>
      <c r="O79" s="446">
        <f t="shared" si="36"/>
        <v>3.934027018800812E-2</v>
      </c>
      <c r="P79" s="446">
        <f t="shared" si="36"/>
        <v>3.934027018800812E-2</v>
      </c>
      <c r="Q79" s="446">
        <f t="shared" si="36"/>
        <v>3.934027018800812E-2</v>
      </c>
      <c r="R79" s="442"/>
      <c r="S79" s="444"/>
      <c r="T79" s="444"/>
      <c r="U79" s="442"/>
      <c r="V79" s="442"/>
      <c r="W79" s="444"/>
      <c r="X79" s="444"/>
      <c r="Y79" s="444"/>
    </row>
    <row r="80" spans="1:25" ht="12.75" customHeight="1">
      <c r="B80" s="471"/>
      <c r="C80" s="471"/>
      <c r="D80" s="471"/>
      <c r="E80" s="471"/>
      <c r="F80" s="471"/>
      <c r="G80" s="471"/>
      <c r="H80" s="471"/>
      <c r="I80" s="471"/>
      <c r="J80" s="464" t="s">
        <v>479</v>
      </c>
      <c r="K80" s="464"/>
      <c r="L80" s="430">
        <v>33189</v>
      </c>
      <c r="M80" s="430">
        <v>34188</v>
      </c>
      <c r="N80" s="430">
        <v>35395</v>
      </c>
      <c r="O80" s="430">
        <v>37003</v>
      </c>
      <c r="P80" s="433">
        <f t="shared" ref="P80:Q85" si="37">O80</f>
        <v>37003</v>
      </c>
      <c r="Q80" s="433">
        <f t="shared" si="37"/>
        <v>37003</v>
      </c>
      <c r="R80" s="430"/>
      <c r="S80" s="443"/>
      <c r="T80" s="443"/>
      <c r="U80" s="430"/>
      <c r="V80" s="430"/>
      <c r="W80" s="443"/>
      <c r="X80" s="443"/>
      <c r="Y80" s="443"/>
    </row>
    <row r="81" spans="1:25" ht="12.75" customHeight="1">
      <c r="B81" s="471"/>
      <c r="C81" s="471"/>
      <c r="D81" s="471"/>
      <c r="E81" s="471"/>
      <c r="F81" s="471"/>
      <c r="G81" s="471"/>
      <c r="H81" s="471"/>
      <c r="I81" s="471"/>
      <c r="J81" s="465" t="s">
        <v>46</v>
      </c>
      <c r="K81" s="465"/>
      <c r="L81" s="446" t="e">
        <f>SUM(L80/#REF!)-1</f>
        <v>#REF!</v>
      </c>
      <c r="M81" s="446">
        <f>SUM(M80/L80)-1</f>
        <v>3.0100334448160515E-2</v>
      </c>
      <c r="N81" s="446">
        <f>SUM(N80/M80)-1</f>
        <v>3.5304785304785202E-2</v>
      </c>
      <c r="O81" s="446">
        <f>SUM(O80/N80)-1</f>
        <v>4.5430145500776842E-2</v>
      </c>
      <c r="P81" s="446">
        <f t="shared" si="37"/>
        <v>4.5430145500776842E-2</v>
      </c>
      <c r="Q81" s="446">
        <f t="shared" si="37"/>
        <v>4.5430145500776842E-2</v>
      </c>
      <c r="R81" s="442"/>
      <c r="S81" s="444"/>
      <c r="T81" s="444"/>
      <c r="U81" s="442"/>
      <c r="V81" s="442"/>
      <c r="W81" s="444"/>
      <c r="X81" s="444"/>
      <c r="Y81" s="444"/>
    </row>
    <row r="82" spans="1:25" ht="12.75" customHeight="1">
      <c r="B82" s="471"/>
      <c r="C82" s="471"/>
      <c r="D82" s="471"/>
      <c r="E82" s="471"/>
      <c r="F82" s="471"/>
      <c r="G82" s="471"/>
      <c r="H82" s="471"/>
      <c r="I82" s="471"/>
      <c r="J82" s="464" t="s">
        <v>484</v>
      </c>
      <c r="K82" s="464"/>
      <c r="L82" s="430">
        <v>34302</v>
      </c>
      <c r="M82" s="430">
        <v>34888</v>
      </c>
      <c r="N82" s="430">
        <v>35155</v>
      </c>
      <c r="O82" s="433">
        <f>N82</f>
        <v>35155</v>
      </c>
      <c r="P82" s="433">
        <f t="shared" si="37"/>
        <v>35155</v>
      </c>
      <c r="Q82" s="433">
        <f t="shared" si="37"/>
        <v>35155</v>
      </c>
      <c r="R82" s="430"/>
      <c r="S82" s="443"/>
      <c r="T82" s="443"/>
      <c r="U82" s="430"/>
      <c r="V82" s="430"/>
      <c r="W82" s="443"/>
      <c r="X82" s="443"/>
      <c r="Y82" s="443"/>
    </row>
    <row r="83" spans="1:25" ht="12.75" customHeight="1">
      <c r="B83" s="471"/>
      <c r="C83" s="471"/>
      <c r="D83" s="471"/>
      <c r="E83" s="471"/>
      <c r="F83" s="471"/>
      <c r="G83" s="471"/>
      <c r="H83" s="471"/>
      <c r="I83" s="471"/>
      <c r="J83" s="465" t="s">
        <v>46</v>
      </c>
      <c r="K83" s="465"/>
      <c r="L83" s="446" t="e">
        <f>SUM(L82/#REF!)-1</f>
        <v>#REF!</v>
      </c>
      <c r="M83" s="446">
        <f>SUM(M82/L82)-1</f>
        <v>1.7083551979476308E-2</v>
      </c>
      <c r="N83" s="446">
        <f>SUM(N82/M82)-1</f>
        <v>7.6530612244898322E-3</v>
      </c>
      <c r="O83" s="446">
        <f>N83</f>
        <v>7.6530612244898322E-3</v>
      </c>
      <c r="P83" s="446">
        <f t="shared" si="37"/>
        <v>7.6530612244898322E-3</v>
      </c>
      <c r="Q83" s="446">
        <f t="shared" si="37"/>
        <v>7.6530612244898322E-3</v>
      </c>
      <c r="R83" s="431"/>
      <c r="S83" s="445"/>
      <c r="T83" s="445"/>
      <c r="U83" s="431"/>
      <c r="V83" s="431"/>
      <c r="W83" s="445"/>
      <c r="X83" s="445"/>
      <c r="Y83" s="445"/>
    </row>
    <row r="84" spans="1:25" ht="12.75" customHeight="1">
      <c r="B84" s="471"/>
      <c r="C84" s="471"/>
      <c r="D84" s="471"/>
      <c r="E84" s="471"/>
      <c r="F84" s="471"/>
      <c r="G84" s="471"/>
      <c r="H84" s="471"/>
      <c r="I84" s="471"/>
      <c r="J84" s="464" t="s">
        <v>468</v>
      </c>
      <c r="K84" s="464"/>
      <c r="L84" s="430">
        <v>34644</v>
      </c>
      <c r="M84" s="430">
        <v>37934</v>
      </c>
      <c r="N84" s="430">
        <v>40252</v>
      </c>
      <c r="O84" s="433">
        <f>N84</f>
        <v>40252</v>
      </c>
      <c r="P84" s="433">
        <f t="shared" si="37"/>
        <v>40252</v>
      </c>
      <c r="Q84" s="433">
        <f t="shared" si="37"/>
        <v>40252</v>
      </c>
      <c r="R84" s="430"/>
      <c r="S84" s="430"/>
      <c r="T84" s="443"/>
      <c r="U84" s="430"/>
      <c r="V84" s="430"/>
      <c r="W84" s="430"/>
      <c r="X84" s="430"/>
      <c r="Y84" s="443"/>
    </row>
    <row r="85" spans="1:25" ht="12.75" customHeight="1">
      <c r="B85" s="471"/>
      <c r="C85" s="471"/>
      <c r="D85" s="471"/>
      <c r="E85" s="471"/>
      <c r="F85" s="471"/>
      <c r="G85" s="471"/>
      <c r="H85" s="471"/>
      <c r="I85" s="471"/>
      <c r="J85" s="465" t="s">
        <v>46</v>
      </c>
      <c r="K85" s="465"/>
      <c r="L85" s="446" t="e">
        <f>SUM(L84/#REF!)-1</f>
        <v>#REF!</v>
      </c>
      <c r="M85" s="446">
        <f>SUM(M84/L84)-1</f>
        <v>9.4965939267982913E-2</v>
      </c>
      <c r="N85" s="446">
        <f>SUM(N84/M84)-1</f>
        <v>6.1106131702430622E-2</v>
      </c>
      <c r="O85" s="446">
        <f>N85</f>
        <v>6.1106131702430622E-2</v>
      </c>
      <c r="P85" s="446">
        <f t="shared" si="37"/>
        <v>6.1106131702430622E-2</v>
      </c>
      <c r="Q85" s="446">
        <f t="shared" si="37"/>
        <v>6.1106131702430622E-2</v>
      </c>
      <c r="R85" s="431"/>
      <c r="S85" s="431"/>
      <c r="T85" s="431"/>
      <c r="U85" s="431"/>
      <c r="V85" s="431"/>
      <c r="W85" s="431"/>
      <c r="X85" s="431"/>
      <c r="Y85" s="431"/>
    </row>
    <row r="86" spans="1:25">
      <c r="B86" s="471"/>
      <c r="C86" s="471"/>
      <c r="D86" s="471"/>
      <c r="E86" s="471"/>
      <c r="F86" s="471"/>
      <c r="G86" s="471"/>
      <c r="H86" s="471"/>
      <c r="I86" s="471"/>
      <c r="J86" s="471"/>
      <c r="K86" s="471"/>
      <c r="L86" s="471"/>
      <c r="M86" s="471"/>
      <c r="N86" s="471"/>
      <c r="O86" s="471"/>
      <c r="P86" s="471"/>
      <c r="Q86" s="432"/>
      <c r="R86" s="432"/>
      <c r="S86" s="432"/>
      <c r="T86" s="432"/>
      <c r="U86" s="432"/>
      <c r="V86" s="432"/>
      <c r="W86" s="432"/>
      <c r="X86" s="432"/>
      <c r="Y86" s="432"/>
    </row>
    <row r="87" spans="1:25">
      <c r="B87" s="471"/>
      <c r="C87" s="471"/>
      <c r="D87" s="471"/>
      <c r="E87" s="471"/>
      <c r="F87" s="471"/>
      <c r="G87" s="471"/>
      <c r="H87" s="471"/>
      <c r="I87" s="471"/>
      <c r="J87" s="472" t="s">
        <v>486</v>
      </c>
      <c r="K87" s="473"/>
      <c r="L87" s="452" t="e">
        <f t="shared" ref="L87:Q87" si="38">MEDIAN(L$85,L$79,L$83,L$81)</f>
        <v>#REF!</v>
      </c>
      <c r="M87" s="452">
        <f t="shared" si="38"/>
        <v>3.0647886772335764E-2</v>
      </c>
      <c r="N87" s="452">
        <f t="shared" si="38"/>
        <v>3.7322527746396661E-2</v>
      </c>
      <c r="O87" s="452">
        <f t="shared" si="38"/>
        <v>4.2385207844392481E-2</v>
      </c>
      <c r="P87" s="452">
        <f t="shared" si="38"/>
        <v>4.2385207844392481E-2</v>
      </c>
      <c r="Q87" s="453">
        <f t="shared" si="38"/>
        <v>4.2385207844392481E-2</v>
      </c>
      <c r="R87" s="432"/>
      <c r="S87" s="432"/>
      <c r="T87" s="432"/>
      <c r="U87" s="432"/>
      <c r="V87" s="432"/>
      <c r="W87" s="432"/>
      <c r="X87" s="432"/>
      <c r="Y87" s="432"/>
    </row>
    <row r="88" spans="1:25">
      <c r="B88" s="471"/>
      <c r="C88" s="471"/>
      <c r="D88" s="471"/>
      <c r="E88" s="471"/>
      <c r="F88" s="471"/>
      <c r="G88" s="471"/>
      <c r="H88" s="471"/>
      <c r="I88" s="471"/>
      <c r="J88" s="474" t="s">
        <v>487</v>
      </c>
      <c r="K88" s="475"/>
      <c r="L88" s="454" t="e">
        <f t="shared" ref="L88:Q88" si="39">AVERAGE(L$85,L$79,L$83,L$81)</f>
        <v>#REF!</v>
      </c>
      <c r="M88" s="454">
        <f t="shared" si="39"/>
        <v>4.3336316198032687E-2</v>
      </c>
      <c r="N88" s="454">
        <f t="shared" si="39"/>
        <v>3.5851062104928444E-2</v>
      </c>
      <c r="O88" s="454">
        <f t="shared" si="39"/>
        <v>3.8382402153926354E-2</v>
      </c>
      <c r="P88" s="454">
        <f t="shared" si="39"/>
        <v>3.8382402153926354E-2</v>
      </c>
      <c r="Q88" s="455">
        <f t="shared" si="39"/>
        <v>3.8382402153926354E-2</v>
      </c>
      <c r="R88" s="432"/>
      <c r="S88" s="432"/>
      <c r="T88" s="432"/>
      <c r="U88" s="432"/>
      <c r="V88" s="432"/>
      <c r="W88" s="432"/>
      <c r="X88" s="432"/>
      <c r="Y88" s="432"/>
    </row>
    <row r="89" spans="1:25">
      <c r="B89" s="471"/>
      <c r="C89" s="471"/>
      <c r="D89" s="471"/>
      <c r="E89" s="471"/>
      <c r="F89" s="471"/>
      <c r="G89" s="471"/>
      <c r="H89" s="471"/>
      <c r="I89" s="471"/>
      <c r="J89" s="471"/>
      <c r="K89" s="471"/>
      <c r="L89" s="471"/>
      <c r="M89" s="471"/>
      <c r="N89" s="471"/>
      <c r="O89" s="471"/>
      <c r="P89" s="471"/>
      <c r="Q89" s="432"/>
      <c r="R89" s="432"/>
      <c r="S89" s="432"/>
      <c r="T89" s="432"/>
      <c r="U89" s="432"/>
      <c r="V89" s="432"/>
      <c r="W89" s="432"/>
      <c r="X89" s="432"/>
      <c r="Y89" s="432"/>
    </row>
    <row r="90" spans="1:25" ht="12.75" thickBot="1">
      <c r="A90" s="428" t="s">
        <v>25</v>
      </c>
      <c r="B90" s="466" t="s">
        <v>485</v>
      </c>
      <c r="C90" s="471"/>
      <c r="D90" s="471"/>
      <c r="E90" s="471"/>
      <c r="F90" s="471"/>
      <c r="G90" s="471"/>
      <c r="H90" s="471"/>
      <c r="I90" s="471"/>
      <c r="J90" s="476" t="s">
        <v>485</v>
      </c>
      <c r="K90" s="448"/>
      <c r="L90" s="448"/>
      <c r="M90" s="448"/>
      <c r="N90" s="448"/>
      <c r="O90" s="448"/>
      <c r="P90" s="448"/>
      <c r="Q90" s="449"/>
    </row>
    <row r="91" spans="1:25" ht="12.75" customHeight="1">
      <c r="B91" s="471"/>
      <c r="C91" s="471"/>
      <c r="D91" s="471"/>
      <c r="E91" s="471"/>
      <c r="F91" s="471"/>
      <c r="G91" s="471"/>
      <c r="H91" s="471"/>
      <c r="I91" s="471"/>
      <c r="J91" s="464" t="s">
        <v>467</v>
      </c>
      <c r="K91" s="464"/>
      <c r="L91" s="430">
        <v>35207.584203094375</v>
      </c>
      <c r="M91" s="430">
        <v>37162.370298556976</v>
      </c>
      <c r="N91" s="430">
        <v>39913.510994813754</v>
      </c>
      <c r="O91" s="433">
        <f t="shared" ref="O91:Q92" si="40">N91</f>
        <v>39913.510994813754</v>
      </c>
      <c r="P91" s="433">
        <f t="shared" si="40"/>
        <v>39913.510994813754</v>
      </c>
      <c r="Q91" s="433">
        <f t="shared" si="40"/>
        <v>39913.510994813754</v>
      </c>
      <c r="R91" s="430"/>
      <c r="S91" s="443"/>
      <c r="T91" s="443"/>
      <c r="U91" s="430"/>
      <c r="V91" s="430"/>
      <c r="W91" s="443"/>
      <c r="X91" s="443"/>
      <c r="Y91" s="443"/>
    </row>
    <row r="92" spans="1:25" ht="12.75" customHeight="1">
      <c r="B92" s="471"/>
      <c r="C92" s="471"/>
      <c r="D92" s="471"/>
      <c r="E92" s="471"/>
      <c r="F92" s="471"/>
      <c r="G92" s="471"/>
      <c r="H92" s="471"/>
      <c r="I92" s="471"/>
      <c r="J92" s="465" t="s">
        <v>46</v>
      </c>
      <c r="K92" s="465"/>
      <c r="L92" s="446" t="e">
        <f>SUM(L91/#REF!)-1</f>
        <v>#REF!</v>
      </c>
      <c r="M92" s="446">
        <f>SUM(M91/L91)-1</f>
        <v>5.5521733163697018E-2</v>
      </c>
      <c r="N92" s="446">
        <f>SUM(N91/M91)-1</f>
        <v>7.4030280473353027E-2</v>
      </c>
      <c r="O92" s="446">
        <f t="shared" si="40"/>
        <v>7.4030280473353027E-2</v>
      </c>
      <c r="P92" s="446">
        <f t="shared" si="40"/>
        <v>7.4030280473353027E-2</v>
      </c>
      <c r="Q92" s="446">
        <f t="shared" si="40"/>
        <v>7.4030280473353027E-2</v>
      </c>
      <c r="R92" s="442"/>
      <c r="S92" s="444"/>
      <c r="T92" s="444"/>
      <c r="U92" s="442"/>
      <c r="V92" s="442"/>
      <c r="W92" s="444"/>
      <c r="X92" s="444"/>
      <c r="Y92" s="444"/>
    </row>
    <row r="93" spans="1:25" ht="12.75" customHeight="1">
      <c r="B93" s="471"/>
      <c r="C93" s="471"/>
      <c r="D93" s="471"/>
      <c r="E93" s="471"/>
      <c r="F93" s="471"/>
      <c r="G93" s="471"/>
      <c r="H93" s="471"/>
      <c r="I93" s="471"/>
      <c r="J93" s="464" t="s">
        <v>479</v>
      </c>
      <c r="K93" s="464"/>
      <c r="L93" s="430">
        <v>35441</v>
      </c>
      <c r="M93" s="430">
        <v>36050</v>
      </c>
      <c r="N93" s="430">
        <v>36689</v>
      </c>
      <c r="O93" s="430">
        <v>38120</v>
      </c>
      <c r="P93" s="433">
        <f t="shared" ref="P93:Q98" si="41">O93</f>
        <v>38120</v>
      </c>
      <c r="Q93" s="433">
        <f t="shared" si="41"/>
        <v>38120</v>
      </c>
      <c r="R93" s="430"/>
      <c r="S93" s="443"/>
      <c r="T93" s="443"/>
      <c r="U93" s="430"/>
      <c r="V93" s="430"/>
      <c r="W93" s="443"/>
      <c r="X93" s="443"/>
      <c r="Y93" s="443"/>
    </row>
    <row r="94" spans="1:25" ht="12.75" customHeight="1">
      <c r="B94" s="471"/>
      <c r="C94" s="471"/>
      <c r="D94" s="471"/>
      <c r="E94" s="471"/>
      <c r="F94" s="471"/>
      <c r="G94" s="471"/>
      <c r="H94" s="471"/>
      <c r="I94" s="471"/>
      <c r="J94" s="465" t="s">
        <v>46</v>
      </c>
      <c r="K94" s="465"/>
      <c r="L94" s="446" t="e">
        <f>SUM(L93/#REF!)-1</f>
        <v>#REF!</v>
      </c>
      <c r="M94" s="446">
        <f>SUM(M93/L93)-1</f>
        <v>1.7183488050562801E-2</v>
      </c>
      <c r="N94" s="446">
        <f>SUM(N93/M93)-1</f>
        <v>1.7725381414701813E-2</v>
      </c>
      <c r="O94" s="446">
        <f>SUM(O93/N93)-1</f>
        <v>3.9003516040230002E-2</v>
      </c>
      <c r="P94" s="446">
        <f t="shared" si="41"/>
        <v>3.9003516040230002E-2</v>
      </c>
      <c r="Q94" s="446">
        <f t="shared" si="41"/>
        <v>3.9003516040230002E-2</v>
      </c>
      <c r="R94" s="442"/>
      <c r="S94" s="444"/>
      <c r="T94" s="444"/>
      <c r="U94" s="442"/>
      <c r="V94" s="442"/>
      <c r="W94" s="444"/>
      <c r="X94" s="444"/>
      <c r="Y94" s="444"/>
    </row>
    <row r="95" spans="1:25" ht="12.75" customHeight="1">
      <c r="B95" s="471"/>
      <c r="C95" s="471"/>
      <c r="D95" s="471"/>
      <c r="E95" s="471"/>
      <c r="F95" s="471"/>
      <c r="G95" s="471"/>
      <c r="H95" s="471"/>
      <c r="I95" s="471"/>
      <c r="J95" s="464" t="s">
        <v>484</v>
      </c>
      <c r="K95" s="464"/>
      <c r="L95" s="430">
        <v>34801</v>
      </c>
      <c r="M95" s="430">
        <v>35867</v>
      </c>
      <c r="N95" s="430">
        <v>37348</v>
      </c>
      <c r="O95" s="433">
        <f>N95</f>
        <v>37348</v>
      </c>
      <c r="P95" s="433">
        <f t="shared" si="41"/>
        <v>37348</v>
      </c>
      <c r="Q95" s="433">
        <f t="shared" si="41"/>
        <v>37348</v>
      </c>
      <c r="R95" s="430"/>
      <c r="S95" s="443"/>
      <c r="T95" s="443"/>
      <c r="U95" s="430"/>
      <c r="V95" s="430"/>
      <c r="W95" s="443"/>
      <c r="X95" s="443"/>
      <c r="Y95" s="443"/>
    </row>
    <row r="96" spans="1:25" ht="12.75" customHeight="1">
      <c r="B96" s="471"/>
      <c r="C96" s="471"/>
      <c r="D96" s="471"/>
      <c r="E96" s="471"/>
      <c r="F96" s="471"/>
      <c r="G96" s="471"/>
      <c r="H96" s="471"/>
      <c r="I96" s="471"/>
      <c r="J96" s="465" t="s">
        <v>46</v>
      </c>
      <c r="K96" s="465"/>
      <c r="L96" s="446" t="e">
        <f>SUM(L95/#REF!)-1</f>
        <v>#REF!</v>
      </c>
      <c r="M96" s="446">
        <f>SUM(M95/L95)-1</f>
        <v>3.0631303698169576E-2</v>
      </c>
      <c r="N96" s="446">
        <f>SUM(N95/M95)-1</f>
        <v>4.1291437811916243E-2</v>
      </c>
      <c r="O96" s="446">
        <f>N96</f>
        <v>4.1291437811916243E-2</v>
      </c>
      <c r="P96" s="446">
        <f t="shared" si="41"/>
        <v>4.1291437811916243E-2</v>
      </c>
      <c r="Q96" s="446">
        <f t="shared" si="41"/>
        <v>4.1291437811916243E-2</v>
      </c>
      <c r="R96" s="431"/>
      <c r="S96" s="445"/>
      <c r="T96" s="445"/>
      <c r="U96" s="431"/>
      <c r="V96" s="431"/>
      <c r="W96" s="445"/>
      <c r="X96" s="445"/>
      <c r="Y96" s="445"/>
    </row>
    <row r="97" spans="1:25" ht="12.75" customHeight="1">
      <c r="B97" s="471"/>
      <c r="C97" s="471"/>
      <c r="D97" s="471"/>
      <c r="E97" s="471"/>
      <c r="F97" s="471"/>
      <c r="G97" s="471"/>
      <c r="H97" s="471"/>
      <c r="I97" s="471"/>
      <c r="J97" s="464" t="s">
        <v>468</v>
      </c>
      <c r="K97" s="464"/>
      <c r="L97" s="430">
        <v>34854</v>
      </c>
      <c r="M97" s="430">
        <v>37710</v>
      </c>
      <c r="N97" s="430">
        <v>41279</v>
      </c>
      <c r="O97" s="433">
        <f>N97</f>
        <v>41279</v>
      </c>
      <c r="P97" s="433">
        <f t="shared" si="41"/>
        <v>41279</v>
      </c>
      <c r="Q97" s="433">
        <f t="shared" si="41"/>
        <v>41279</v>
      </c>
      <c r="R97" s="430"/>
      <c r="S97" s="430"/>
      <c r="T97" s="443"/>
      <c r="U97" s="430"/>
      <c r="V97" s="430"/>
      <c r="W97" s="430"/>
      <c r="X97" s="430"/>
      <c r="Y97" s="443"/>
    </row>
    <row r="98" spans="1:25" ht="12.75" customHeight="1">
      <c r="B98" s="471"/>
      <c r="C98" s="471"/>
      <c r="D98" s="471"/>
      <c r="E98" s="471"/>
      <c r="F98" s="471"/>
      <c r="G98" s="471"/>
      <c r="H98" s="471"/>
      <c r="I98" s="471"/>
      <c r="J98" s="465" t="s">
        <v>46</v>
      </c>
      <c r="K98" s="465"/>
      <c r="L98" s="446" t="e">
        <f>SUM(L97/#REF!)-1</f>
        <v>#REF!</v>
      </c>
      <c r="M98" s="446">
        <f>SUM(M97/L97)-1</f>
        <v>8.1941814425890769E-2</v>
      </c>
      <c r="N98" s="446">
        <f>SUM(N97/M97)-1</f>
        <v>9.4643330681516868E-2</v>
      </c>
      <c r="O98" s="446">
        <f>N98</f>
        <v>9.4643330681516868E-2</v>
      </c>
      <c r="P98" s="446">
        <f t="shared" si="41"/>
        <v>9.4643330681516868E-2</v>
      </c>
      <c r="Q98" s="446">
        <f t="shared" si="41"/>
        <v>9.4643330681516868E-2</v>
      </c>
      <c r="R98" s="431"/>
      <c r="S98" s="431"/>
      <c r="T98" s="431"/>
      <c r="U98" s="431"/>
      <c r="V98" s="431"/>
      <c r="W98" s="431"/>
      <c r="X98" s="431"/>
      <c r="Y98" s="431"/>
    </row>
    <row r="99" spans="1:25">
      <c r="B99" s="471"/>
      <c r="C99" s="471"/>
      <c r="D99" s="471"/>
      <c r="E99" s="471"/>
      <c r="F99" s="471"/>
      <c r="G99" s="471"/>
      <c r="H99" s="471"/>
      <c r="I99" s="471"/>
      <c r="J99" s="471"/>
      <c r="K99" s="471"/>
      <c r="L99" s="471"/>
      <c r="M99" s="471"/>
      <c r="N99" s="471"/>
      <c r="O99" s="471"/>
      <c r="P99" s="471"/>
      <c r="Q99" s="432"/>
      <c r="R99" s="432"/>
      <c r="S99" s="432"/>
      <c r="T99" s="432"/>
      <c r="U99" s="432"/>
      <c r="V99" s="432"/>
      <c r="W99" s="432"/>
      <c r="X99" s="432"/>
      <c r="Y99" s="432"/>
    </row>
    <row r="100" spans="1:25">
      <c r="B100" s="471"/>
      <c r="C100" s="471"/>
      <c r="D100" s="471"/>
      <c r="E100" s="471"/>
      <c r="F100" s="471"/>
      <c r="G100" s="471"/>
      <c r="H100" s="471"/>
      <c r="I100" s="471"/>
      <c r="J100" s="472" t="s">
        <v>486</v>
      </c>
      <c r="K100" s="473"/>
      <c r="L100" s="452" t="e">
        <f t="shared" ref="L100:Q100" si="42">MEDIAN(L$98,L$92,L$96,L$94)</f>
        <v>#REF!</v>
      </c>
      <c r="M100" s="452">
        <f t="shared" si="42"/>
        <v>4.3076518430933297E-2</v>
      </c>
      <c r="N100" s="452">
        <f t="shared" si="42"/>
        <v>5.7660859142634635E-2</v>
      </c>
      <c r="O100" s="452">
        <f t="shared" si="42"/>
        <v>5.7660859142634635E-2</v>
      </c>
      <c r="P100" s="452">
        <f t="shared" si="42"/>
        <v>5.7660859142634635E-2</v>
      </c>
      <c r="Q100" s="453">
        <f t="shared" si="42"/>
        <v>5.7660859142634635E-2</v>
      </c>
      <c r="R100" s="432"/>
      <c r="S100" s="432"/>
      <c r="T100" s="432"/>
      <c r="U100" s="432"/>
      <c r="V100" s="432"/>
      <c r="W100" s="432"/>
      <c r="X100" s="432"/>
      <c r="Y100" s="432"/>
    </row>
    <row r="101" spans="1:25">
      <c r="B101" s="471"/>
      <c r="C101" s="471"/>
      <c r="D101" s="471"/>
      <c r="E101" s="471"/>
      <c r="F101" s="471"/>
      <c r="G101" s="471"/>
      <c r="H101" s="471"/>
      <c r="I101" s="471"/>
      <c r="J101" s="474" t="s">
        <v>487</v>
      </c>
      <c r="K101" s="475"/>
      <c r="L101" s="454" t="e">
        <f t="shared" ref="L101:Q101" si="43">AVERAGE(L$98,L$92,L$96,L$94)</f>
        <v>#REF!</v>
      </c>
      <c r="M101" s="454">
        <f t="shared" si="43"/>
        <v>4.6319584834580041E-2</v>
      </c>
      <c r="N101" s="454">
        <f t="shared" si="43"/>
        <v>5.6922607595371988E-2</v>
      </c>
      <c r="O101" s="454">
        <f t="shared" si="43"/>
        <v>6.2242141251754035E-2</v>
      </c>
      <c r="P101" s="454">
        <f t="shared" si="43"/>
        <v>6.2242141251754035E-2</v>
      </c>
      <c r="Q101" s="455">
        <f t="shared" si="43"/>
        <v>6.2242141251754035E-2</v>
      </c>
      <c r="R101" s="432"/>
      <c r="S101" s="432"/>
      <c r="T101" s="432"/>
      <c r="U101" s="432"/>
      <c r="V101" s="432"/>
      <c r="W101" s="432"/>
      <c r="X101" s="432"/>
      <c r="Y101" s="432"/>
    </row>
    <row r="102" spans="1:25">
      <c r="B102" s="471"/>
      <c r="C102" s="471"/>
      <c r="D102" s="471"/>
      <c r="E102" s="471"/>
      <c r="F102" s="471"/>
      <c r="G102" s="471"/>
      <c r="H102" s="471"/>
      <c r="I102" s="471"/>
      <c r="J102" s="471"/>
      <c r="K102" s="471"/>
      <c r="L102" s="471"/>
      <c r="M102" s="471"/>
      <c r="N102" s="471"/>
      <c r="O102" s="471"/>
      <c r="P102" s="471"/>
      <c r="Q102" s="432"/>
      <c r="R102" s="432"/>
      <c r="S102" s="432"/>
      <c r="T102" s="432"/>
      <c r="U102" s="432"/>
      <c r="V102" s="432"/>
      <c r="W102" s="432"/>
      <c r="X102" s="432"/>
      <c r="Y102" s="432"/>
    </row>
    <row r="103" spans="1:25" ht="12.75" thickBot="1">
      <c r="A103" s="428" t="s">
        <v>25</v>
      </c>
      <c r="B103" s="466" t="s">
        <v>482</v>
      </c>
      <c r="C103" s="471"/>
      <c r="D103" s="471"/>
      <c r="E103" s="471"/>
      <c r="F103" s="471"/>
      <c r="G103" s="471"/>
      <c r="H103" s="471"/>
      <c r="I103" s="471"/>
      <c r="J103" s="476" t="s">
        <v>482</v>
      </c>
      <c r="K103" s="476"/>
      <c r="L103" s="476"/>
      <c r="M103" s="476"/>
      <c r="N103" s="476"/>
      <c r="O103" s="476"/>
      <c r="P103" s="476"/>
      <c r="Q103" s="476"/>
    </row>
    <row r="104" spans="1:25">
      <c r="B104" s="471"/>
      <c r="C104" s="471"/>
      <c r="D104" s="471"/>
      <c r="E104" s="471"/>
      <c r="F104" s="471"/>
      <c r="G104" s="471"/>
      <c r="H104" s="471"/>
      <c r="I104" s="471"/>
      <c r="J104" s="464" t="s">
        <v>467</v>
      </c>
      <c r="K104" s="464"/>
      <c r="L104" s="430">
        <v>108876.08</v>
      </c>
      <c r="M104" s="430">
        <v>121941.20960000002</v>
      </c>
      <c r="N104" s="430">
        <v>136869.16275200003</v>
      </c>
      <c r="O104" s="433">
        <f t="shared" ref="O104:Q105" si="44">N104</f>
        <v>136869.16275200003</v>
      </c>
      <c r="P104" s="433">
        <f t="shared" si="44"/>
        <v>136869.16275200003</v>
      </c>
      <c r="Q104" s="433">
        <f t="shared" si="44"/>
        <v>136869.16275200003</v>
      </c>
    </row>
    <row r="105" spans="1:25">
      <c r="B105" s="471"/>
      <c r="C105" s="471"/>
      <c r="D105" s="471"/>
      <c r="E105" s="471"/>
      <c r="F105" s="471"/>
      <c r="G105" s="471"/>
      <c r="H105" s="471"/>
      <c r="I105" s="471"/>
      <c r="J105" s="465" t="s">
        <v>46</v>
      </c>
      <c r="K105" s="465"/>
      <c r="L105" s="446" t="e">
        <f>SUM(L104/#REF!)-1</f>
        <v>#REF!</v>
      </c>
      <c r="M105" s="446">
        <f>SUM(M104/L104)-1</f>
        <v>0.12000000000000011</v>
      </c>
      <c r="N105" s="446">
        <f>SUM(N104/M104)-1</f>
        <v>0.12241926417630045</v>
      </c>
      <c r="O105" s="446">
        <f t="shared" si="44"/>
        <v>0.12241926417630045</v>
      </c>
      <c r="P105" s="446">
        <f t="shared" si="44"/>
        <v>0.12241926417630045</v>
      </c>
      <c r="Q105" s="446">
        <f t="shared" si="44"/>
        <v>0.12241926417630045</v>
      </c>
    </row>
    <row r="106" spans="1:25">
      <c r="B106" s="471"/>
      <c r="C106" s="471"/>
      <c r="D106" s="471"/>
      <c r="E106" s="471"/>
      <c r="F106" s="471"/>
      <c r="G106" s="471"/>
      <c r="H106" s="471"/>
      <c r="I106" s="471"/>
      <c r="J106" s="464" t="s">
        <v>479</v>
      </c>
      <c r="K106" s="464"/>
      <c r="L106" s="430">
        <v>108699</v>
      </c>
      <c r="M106" s="430">
        <v>122815</v>
      </c>
      <c r="N106" s="430">
        <v>137495</v>
      </c>
      <c r="O106" s="430">
        <v>153583</v>
      </c>
      <c r="P106" s="433">
        <f t="shared" ref="P106:Q111" si="45">O106</f>
        <v>153583</v>
      </c>
      <c r="Q106" s="433">
        <f t="shared" si="45"/>
        <v>153583</v>
      </c>
    </row>
    <row r="107" spans="1:25">
      <c r="B107" s="471"/>
      <c r="C107" s="471"/>
      <c r="D107" s="471"/>
      <c r="E107" s="471"/>
      <c r="F107" s="471"/>
      <c r="G107" s="471"/>
      <c r="H107" s="471"/>
      <c r="I107" s="471"/>
      <c r="J107" s="465" t="s">
        <v>46</v>
      </c>
      <c r="K107" s="465"/>
      <c r="L107" s="446" t="e">
        <f>SUM(L106/#REF!)-1</f>
        <v>#REF!</v>
      </c>
      <c r="M107" s="446">
        <f>SUM(M106/L106)-1</f>
        <v>0.12986320021343345</v>
      </c>
      <c r="N107" s="446">
        <f>SUM(N106/M106)-1</f>
        <v>0.11952937344786885</v>
      </c>
      <c r="O107" s="446">
        <f>SUM(O106/N106)-1</f>
        <v>0.11700789119604349</v>
      </c>
      <c r="P107" s="446">
        <f t="shared" si="45"/>
        <v>0.11700789119604349</v>
      </c>
      <c r="Q107" s="446">
        <f t="shared" si="45"/>
        <v>0.11700789119604349</v>
      </c>
    </row>
    <row r="108" spans="1:25">
      <c r="B108" s="471"/>
      <c r="C108" s="471"/>
      <c r="D108" s="471"/>
      <c r="E108" s="471"/>
      <c r="F108" s="471"/>
      <c r="G108" s="471"/>
      <c r="H108" s="471"/>
      <c r="I108" s="471"/>
      <c r="J108" s="464" t="s">
        <v>484</v>
      </c>
      <c r="K108" s="464"/>
      <c r="L108" s="430">
        <v>108690</v>
      </c>
      <c r="M108" s="430">
        <v>121728</v>
      </c>
      <c r="N108" s="430">
        <v>134748</v>
      </c>
      <c r="O108" s="433">
        <f>N108</f>
        <v>134748</v>
      </c>
      <c r="P108" s="433">
        <f t="shared" si="45"/>
        <v>134748</v>
      </c>
      <c r="Q108" s="433">
        <f t="shared" si="45"/>
        <v>134748</v>
      </c>
    </row>
    <row r="109" spans="1:25">
      <c r="B109" s="471"/>
      <c r="C109" s="471"/>
      <c r="D109" s="471"/>
      <c r="E109" s="471"/>
      <c r="F109" s="471"/>
      <c r="G109" s="471"/>
      <c r="H109" s="471"/>
      <c r="I109" s="471"/>
      <c r="J109" s="465" t="s">
        <v>46</v>
      </c>
      <c r="K109" s="465"/>
      <c r="L109" s="446" t="e">
        <f>SUM(L108/#REF!)-1</f>
        <v>#REF!</v>
      </c>
      <c r="M109" s="446">
        <f>SUM(M108/L108)-1</f>
        <v>0.11995583770356055</v>
      </c>
      <c r="N109" s="446">
        <f>SUM(N108/M108)-1</f>
        <v>0.1069597791798107</v>
      </c>
      <c r="O109" s="446">
        <f>N109</f>
        <v>0.1069597791798107</v>
      </c>
      <c r="P109" s="446">
        <f t="shared" si="45"/>
        <v>0.1069597791798107</v>
      </c>
      <c r="Q109" s="446">
        <f t="shared" si="45"/>
        <v>0.1069597791798107</v>
      </c>
    </row>
    <row r="110" spans="1:25">
      <c r="B110" s="471"/>
      <c r="C110" s="471"/>
      <c r="D110" s="471"/>
      <c r="E110" s="471"/>
      <c r="F110" s="471"/>
      <c r="G110" s="471"/>
      <c r="H110" s="471"/>
      <c r="I110" s="471"/>
      <c r="J110" s="464" t="s">
        <v>468</v>
      </c>
      <c r="K110" s="464"/>
      <c r="L110" s="430">
        <v>108517</v>
      </c>
      <c r="M110" s="430">
        <v>118806</v>
      </c>
      <c r="N110" s="430">
        <v>127930</v>
      </c>
      <c r="O110" s="433">
        <f>N110</f>
        <v>127930</v>
      </c>
      <c r="P110" s="433">
        <f t="shared" si="45"/>
        <v>127930</v>
      </c>
      <c r="Q110" s="433">
        <f t="shared" si="45"/>
        <v>127930</v>
      </c>
    </row>
    <row r="111" spans="1:25">
      <c r="B111" s="471"/>
      <c r="C111" s="471"/>
      <c r="D111" s="471"/>
      <c r="E111" s="471"/>
      <c r="F111" s="471"/>
      <c r="G111" s="471"/>
      <c r="H111" s="471"/>
      <c r="I111" s="471"/>
      <c r="J111" s="465" t="s">
        <v>46</v>
      </c>
      <c r="K111" s="465"/>
      <c r="L111" s="446" t="e">
        <f>SUM(L110/#REF!)-1</f>
        <v>#REF!</v>
      </c>
      <c r="M111" s="446">
        <f>SUM(M110/L110)-1</f>
        <v>9.4814637337928609E-2</v>
      </c>
      <c r="N111" s="446">
        <f>SUM(N110/M110)-1</f>
        <v>7.6797468141339698E-2</v>
      </c>
      <c r="O111" s="446">
        <f>N111</f>
        <v>7.6797468141339698E-2</v>
      </c>
      <c r="P111" s="446">
        <f t="shared" si="45"/>
        <v>7.6797468141339698E-2</v>
      </c>
      <c r="Q111" s="446">
        <f t="shared" si="45"/>
        <v>7.6797468141339698E-2</v>
      </c>
    </row>
    <row r="112" spans="1:25">
      <c r="B112" s="471"/>
      <c r="C112" s="471"/>
      <c r="D112" s="471"/>
      <c r="E112" s="471"/>
      <c r="F112" s="471"/>
      <c r="G112" s="471"/>
      <c r="H112" s="471"/>
      <c r="I112" s="471"/>
      <c r="J112" s="471"/>
      <c r="K112" s="471"/>
      <c r="L112" s="471"/>
      <c r="M112" s="471"/>
      <c r="N112" s="471"/>
      <c r="O112" s="471"/>
      <c r="P112" s="471"/>
      <c r="Q112" s="432"/>
      <c r="R112" s="432"/>
      <c r="S112" s="432"/>
      <c r="T112" s="432"/>
      <c r="U112" s="432"/>
      <c r="V112" s="432"/>
      <c r="W112" s="432"/>
      <c r="X112" s="432"/>
      <c r="Y112" s="432"/>
    </row>
    <row r="113" spans="1:25">
      <c r="B113" s="471"/>
      <c r="C113" s="471"/>
      <c r="D113" s="471"/>
      <c r="E113" s="471"/>
      <c r="F113" s="471"/>
      <c r="G113" s="471"/>
      <c r="H113" s="471"/>
      <c r="I113" s="471"/>
      <c r="J113" s="472" t="s">
        <v>486</v>
      </c>
      <c r="K113" s="477"/>
      <c r="L113" s="457" t="e">
        <f t="shared" ref="L113:Q113" si="46">MEDIAN(L$111,L$105,L$109,L$107)</f>
        <v>#REF!</v>
      </c>
      <c r="M113" s="457">
        <f t="shared" si="46"/>
        <v>0.11997791885178033</v>
      </c>
      <c r="N113" s="457">
        <f t="shared" si="46"/>
        <v>0.11324457631383977</v>
      </c>
      <c r="O113" s="457">
        <f t="shared" si="46"/>
        <v>0.11198383518792709</v>
      </c>
      <c r="P113" s="457">
        <f t="shared" si="46"/>
        <v>0.11198383518792709</v>
      </c>
      <c r="Q113" s="457">
        <f t="shared" si="46"/>
        <v>0.11198383518792709</v>
      </c>
      <c r="R113" s="432"/>
      <c r="S113" s="432"/>
      <c r="T113" s="432"/>
      <c r="U113" s="432"/>
      <c r="V113" s="432"/>
      <c r="W113" s="432"/>
      <c r="X113" s="432"/>
      <c r="Y113" s="432"/>
    </row>
    <row r="114" spans="1:25">
      <c r="B114" s="471"/>
      <c r="C114" s="471"/>
      <c r="D114" s="471"/>
      <c r="E114" s="471"/>
      <c r="F114" s="471"/>
      <c r="G114" s="471"/>
      <c r="H114" s="471"/>
      <c r="I114" s="471"/>
      <c r="J114" s="474" t="s">
        <v>487</v>
      </c>
      <c r="K114" s="477"/>
      <c r="L114" s="457" t="e">
        <f t="shared" ref="L114:Q114" si="47">AVERAGE(L$111,L$105,L$109,L$107)</f>
        <v>#REF!</v>
      </c>
      <c r="M114" s="457">
        <f t="shared" si="47"/>
        <v>0.11615841881373068</v>
      </c>
      <c r="N114" s="457">
        <f t="shared" si="47"/>
        <v>0.10642647123632992</v>
      </c>
      <c r="O114" s="457">
        <f t="shared" si="47"/>
        <v>0.10579610067337358</v>
      </c>
      <c r="P114" s="457">
        <f t="shared" si="47"/>
        <v>0.10579610067337358</v>
      </c>
      <c r="Q114" s="457">
        <f t="shared" si="47"/>
        <v>0.10579610067337358</v>
      </c>
      <c r="R114" s="432"/>
      <c r="S114" s="432"/>
      <c r="T114" s="432"/>
      <c r="U114" s="432"/>
      <c r="V114" s="432"/>
      <c r="W114" s="432"/>
      <c r="X114" s="432"/>
      <c r="Y114" s="432"/>
    </row>
    <row r="115" spans="1:25">
      <c r="B115" s="471"/>
      <c r="C115" s="431"/>
      <c r="D115" s="431"/>
      <c r="E115" s="431"/>
      <c r="F115" s="431"/>
      <c r="G115" s="431"/>
      <c r="H115" s="431"/>
      <c r="I115" s="471"/>
      <c r="J115" s="471"/>
      <c r="K115" s="471"/>
      <c r="L115" s="458"/>
      <c r="M115" s="458"/>
      <c r="N115" s="458"/>
      <c r="O115" s="458"/>
      <c r="P115" s="458"/>
      <c r="Q115" s="458"/>
      <c r="R115" s="432"/>
      <c r="S115" s="432"/>
      <c r="T115" s="432"/>
      <c r="U115" s="432"/>
      <c r="V115" s="432"/>
      <c r="W115" s="432"/>
      <c r="X115" s="432"/>
      <c r="Y115" s="432"/>
    </row>
    <row r="116" spans="1:25">
      <c r="B116" s="480"/>
      <c r="C116" s="480"/>
      <c r="D116" s="480"/>
      <c r="E116" s="480"/>
      <c r="F116" s="480"/>
      <c r="G116" s="480"/>
      <c r="H116" s="480"/>
      <c r="I116" s="480"/>
      <c r="J116" s="480" t="s">
        <v>489</v>
      </c>
      <c r="K116" s="481"/>
      <c r="L116" s="481"/>
      <c r="M116" s="481"/>
      <c r="N116" s="481"/>
      <c r="O116" s="481"/>
      <c r="P116" s="481"/>
      <c r="Q116" s="481"/>
    </row>
    <row r="117" spans="1:25" ht="5.0999999999999996" customHeight="1"/>
    <row r="118" spans="1:25" ht="12.75" thickBot="1">
      <c r="A118" s="428" t="s">
        <v>25</v>
      </c>
      <c r="B118" s="466" t="s">
        <v>31</v>
      </c>
      <c r="J118" s="476" t="s">
        <v>31</v>
      </c>
      <c r="K118" s="476"/>
      <c r="L118" s="476"/>
      <c r="M118" s="476"/>
      <c r="N118" s="476"/>
      <c r="O118" s="476"/>
      <c r="P118" s="476"/>
      <c r="Q118" s="449"/>
    </row>
    <row r="119" spans="1:25">
      <c r="J119" s="464" t="s">
        <v>467</v>
      </c>
      <c r="K119" s="464"/>
      <c r="L119" s="430">
        <v>197662.79410541226</v>
      </c>
      <c r="M119" s="430">
        <v>213719.62594223721</v>
      </c>
      <c r="N119" s="430">
        <v>230225.58563737664</v>
      </c>
      <c r="O119" s="430">
        <v>243949.19440814486</v>
      </c>
      <c r="P119" s="430">
        <v>260139.84615999495</v>
      </c>
      <c r="Q119" s="430">
        <v>279241.89096314792</v>
      </c>
    </row>
    <row r="120" spans="1:25">
      <c r="J120" s="465" t="s">
        <v>469</v>
      </c>
      <c r="K120" s="465"/>
      <c r="L120" s="446">
        <f t="shared" ref="L120:Q120" si="48">L119/L35</f>
        <v>0.47510480616693218</v>
      </c>
      <c r="M120" s="446">
        <f t="shared" si="48"/>
        <v>0.47728892437452108</v>
      </c>
      <c r="N120" s="446">
        <f t="shared" si="48"/>
        <v>0.47752407769837868</v>
      </c>
      <c r="O120" s="446">
        <f t="shared" si="48"/>
        <v>0.50598900092926802</v>
      </c>
      <c r="P120" s="446">
        <f t="shared" si="48"/>
        <v>0.53957095935379973</v>
      </c>
      <c r="Q120" s="446">
        <f t="shared" si="48"/>
        <v>0.57919160491117971</v>
      </c>
    </row>
    <row r="121" spans="1:25">
      <c r="J121" s="464" t="s">
        <v>479</v>
      </c>
      <c r="K121" s="464"/>
      <c r="L121" s="433">
        <f>L122*L37</f>
        <v>194562.00700000001</v>
      </c>
      <c r="M121" s="433">
        <f>M122*M37</f>
        <v>209752.31399999998</v>
      </c>
      <c r="N121" s="433">
        <f>N122*N37</f>
        <v>232844.44399999999</v>
      </c>
      <c r="O121" s="433">
        <f>O122*O37</f>
        <v>241327.75999999998</v>
      </c>
      <c r="P121" s="433">
        <f>O121</f>
        <v>241327.75999999998</v>
      </c>
      <c r="Q121" s="433">
        <f>P121</f>
        <v>241327.75999999998</v>
      </c>
    </row>
    <row r="122" spans="1:25">
      <c r="J122" s="465" t="s">
        <v>469</v>
      </c>
      <c r="K122" s="465"/>
      <c r="L122" s="463">
        <v>0.46700000000000003</v>
      </c>
      <c r="M122" s="463">
        <v>0.47099999999999997</v>
      </c>
      <c r="N122" s="463">
        <v>0.47599999999999998</v>
      </c>
      <c r="O122" s="463">
        <v>0.48199999999999998</v>
      </c>
      <c r="P122" s="446">
        <f>O122</f>
        <v>0.48199999999999998</v>
      </c>
      <c r="Q122" s="446">
        <f>P122</f>
        <v>0.48199999999999998</v>
      </c>
    </row>
    <row r="123" spans="1:25">
      <c r="J123" s="464" t="s">
        <v>483</v>
      </c>
      <c r="K123" s="464"/>
      <c r="L123" s="430">
        <v>191480</v>
      </c>
      <c r="M123" s="430">
        <v>205455</v>
      </c>
      <c r="N123" s="430">
        <v>224639</v>
      </c>
      <c r="O123" s="430">
        <v>235586</v>
      </c>
      <c r="P123" s="430">
        <v>265911</v>
      </c>
      <c r="Q123" s="430">
        <v>288739</v>
      </c>
    </row>
    <row r="124" spans="1:25">
      <c r="J124" s="465" t="s">
        <v>469</v>
      </c>
      <c r="K124" s="465"/>
      <c r="L124" s="463">
        <v>0.47</v>
      </c>
      <c r="M124" s="463">
        <v>0.48</v>
      </c>
      <c r="N124" s="463">
        <v>0.48</v>
      </c>
      <c r="O124" s="463">
        <v>0.49</v>
      </c>
      <c r="P124" s="463">
        <v>0.5</v>
      </c>
      <c r="Q124" s="463">
        <v>0.51</v>
      </c>
    </row>
    <row r="125" spans="1:25">
      <c r="J125" s="464" t="s">
        <v>484</v>
      </c>
      <c r="K125" s="464"/>
      <c r="L125" s="433">
        <f>L126*L43</f>
        <v>193764.37100000001</v>
      </c>
      <c r="M125" s="433">
        <f>M126*M43</f>
        <v>207226.712</v>
      </c>
      <c r="N125" s="433">
        <f>N126*N43</f>
        <v>223679.61</v>
      </c>
      <c r="O125" s="433">
        <f t="shared" ref="O125:Q127" si="49">N125</f>
        <v>223679.61</v>
      </c>
      <c r="P125" s="433">
        <f t="shared" si="49"/>
        <v>223679.61</v>
      </c>
      <c r="Q125" s="433">
        <f t="shared" si="49"/>
        <v>223679.61</v>
      </c>
    </row>
    <row r="126" spans="1:25">
      <c r="J126" s="465" t="s">
        <v>469</v>
      </c>
      <c r="K126" s="465"/>
      <c r="L126" s="463">
        <v>0.46700000000000003</v>
      </c>
      <c r="M126" s="463">
        <v>0.46899999999999997</v>
      </c>
      <c r="N126" s="463">
        <v>0.47699999999999998</v>
      </c>
      <c r="O126" s="446">
        <f t="shared" si="49"/>
        <v>0.47699999999999998</v>
      </c>
      <c r="P126" s="446">
        <f t="shared" si="49"/>
        <v>0.47699999999999998</v>
      </c>
      <c r="Q126" s="446">
        <f t="shared" si="49"/>
        <v>0.47699999999999998</v>
      </c>
    </row>
    <row r="127" spans="1:25">
      <c r="J127" s="464" t="s">
        <v>468</v>
      </c>
      <c r="K127" s="464"/>
      <c r="L127" s="430">
        <v>193982</v>
      </c>
      <c r="M127" s="430">
        <v>205507</v>
      </c>
      <c r="N127" s="430">
        <v>217516</v>
      </c>
      <c r="O127" s="433">
        <f t="shared" si="49"/>
        <v>217516</v>
      </c>
      <c r="P127" s="433">
        <f t="shared" si="49"/>
        <v>217516</v>
      </c>
      <c r="Q127" s="433">
        <f t="shared" si="49"/>
        <v>217516</v>
      </c>
    </row>
    <row r="128" spans="1:25">
      <c r="J128" s="465" t="s">
        <v>469</v>
      </c>
      <c r="K128" s="465"/>
      <c r="L128" s="446">
        <f t="shared" ref="L128:Q128" si="50">L127/L45</f>
        <v>0.46708322798906826</v>
      </c>
      <c r="M128" s="446">
        <f t="shared" si="50"/>
        <v>0.46650473866409398</v>
      </c>
      <c r="N128" s="446">
        <f t="shared" si="50"/>
        <v>0.47226848062321825</v>
      </c>
      <c r="O128" s="446">
        <f t="shared" si="50"/>
        <v>0.47226848062321825</v>
      </c>
      <c r="P128" s="446">
        <f t="shared" si="50"/>
        <v>0.47226848062321825</v>
      </c>
      <c r="Q128" s="446">
        <f t="shared" si="50"/>
        <v>0.47226848062321825</v>
      </c>
    </row>
    <row r="129" spans="1:25">
      <c r="J129" s="471"/>
      <c r="K129" s="471"/>
      <c r="L129" s="471"/>
      <c r="M129" s="471"/>
      <c r="N129" s="471"/>
      <c r="O129" s="471"/>
      <c r="P129" s="471"/>
      <c r="Q129" s="432"/>
      <c r="R129" s="432"/>
      <c r="S129" s="432"/>
      <c r="T129" s="432"/>
      <c r="U129" s="432"/>
      <c r="V129" s="432"/>
      <c r="W129" s="432"/>
      <c r="X129" s="432"/>
      <c r="Y129" s="432"/>
    </row>
    <row r="130" spans="1:25">
      <c r="J130" s="472" t="s">
        <v>486</v>
      </c>
      <c r="K130" s="477"/>
      <c r="L130" s="457">
        <f t="shared" ref="L130:Q130" si="51">MEDIAN(L$128,L$120,L$126,L$122,L$124)</f>
        <v>0.46708322798906826</v>
      </c>
      <c r="M130" s="457">
        <f t="shared" si="51"/>
        <v>0.47099999999999997</v>
      </c>
      <c r="N130" s="457">
        <f t="shared" si="51"/>
        <v>0.47699999999999998</v>
      </c>
      <c r="O130" s="457">
        <f t="shared" si="51"/>
        <v>0.48199999999999998</v>
      </c>
      <c r="P130" s="457">
        <f t="shared" si="51"/>
        <v>0.48199999999999998</v>
      </c>
      <c r="Q130" s="457">
        <f t="shared" si="51"/>
        <v>0.48199999999999998</v>
      </c>
      <c r="R130" s="432"/>
      <c r="S130" s="432"/>
      <c r="T130" s="432"/>
      <c r="U130" s="432"/>
      <c r="V130" s="432"/>
      <c r="W130" s="432"/>
      <c r="X130" s="432"/>
      <c r="Y130" s="432"/>
    </row>
    <row r="131" spans="1:25">
      <c r="J131" s="474" t="s">
        <v>487</v>
      </c>
      <c r="K131" s="477"/>
      <c r="L131" s="457">
        <f t="shared" ref="L131:Q131" si="52">AVERAGE(L$128,L$120,L$126,L$122,L$124)</f>
        <v>0.46923760683120008</v>
      </c>
      <c r="M131" s="457">
        <f t="shared" si="52"/>
        <v>0.472758732607723</v>
      </c>
      <c r="N131" s="457">
        <f t="shared" si="52"/>
        <v>0.47655851166431934</v>
      </c>
      <c r="O131" s="457">
        <f t="shared" si="52"/>
        <v>0.48545149631049728</v>
      </c>
      <c r="P131" s="457">
        <f t="shared" si="52"/>
        <v>0.49416788799540362</v>
      </c>
      <c r="Q131" s="457">
        <f t="shared" si="52"/>
        <v>0.50409201710687945</v>
      </c>
      <c r="R131" s="432"/>
      <c r="S131" s="432"/>
      <c r="T131" s="432"/>
      <c r="U131" s="432"/>
      <c r="V131" s="432"/>
      <c r="W131" s="432"/>
      <c r="X131" s="432"/>
      <c r="Y131" s="432"/>
    </row>
    <row r="133" spans="1:25" ht="12.75" thickBot="1">
      <c r="A133" s="428" t="s">
        <v>25</v>
      </c>
      <c r="B133" s="466" t="s">
        <v>470</v>
      </c>
      <c r="J133" s="476" t="s">
        <v>470</v>
      </c>
      <c r="K133" s="476"/>
      <c r="L133" s="476"/>
      <c r="M133" s="476"/>
      <c r="N133" s="476"/>
      <c r="O133" s="476"/>
      <c r="P133" s="476"/>
      <c r="Q133" s="476"/>
    </row>
    <row r="134" spans="1:25">
      <c r="J134" s="464" t="s">
        <v>467</v>
      </c>
      <c r="K134" s="464"/>
      <c r="L134" s="430">
        <v>35001.918474852791</v>
      </c>
      <c r="M134" s="430">
        <v>37494.149743088921</v>
      </c>
      <c r="N134" s="430">
        <v>40009.410981718276</v>
      </c>
      <c r="O134" s="430">
        <v>42040.735071089141</v>
      </c>
      <c r="P134" s="430">
        <v>43992.097191206311</v>
      </c>
      <c r="Q134" s="430">
        <v>46441.731949942216</v>
      </c>
    </row>
    <row r="135" spans="1:25">
      <c r="J135" s="465" t="s">
        <v>469</v>
      </c>
      <c r="K135" s="465"/>
      <c r="L135" s="446">
        <f t="shared" ref="L135:Q135" si="53">L134/L52</f>
        <v>0.16646098831913478</v>
      </c>
      <c r="M135" s="446">
        <f t="shared" si="53"/>
        <v>0.16723714467417755</v>
      </c>
      <c r="N135" s="446">
        <f t="shared" si="53"/>
        <v>0.16850040844038289</v>
      </c>
      <c r="O135" s="446">
        <f t="shared" si="53"/>
        <v>0.17705536914425776</v>
      </c>
      <c r="P135" s="446">
        <f t="shared" si="53"/>
        <v>0.18527356846753892</v>
      </c>
      <c r="Q135" s="446">
        <f t="shared" si="53"/>
        <v>0.19559025264880231</v>
      </c>
    </row>
    <row r="136" spans="1:25">
      <c r="J136" s="464" t="s">
        <v>483</v>
      </c>
      <c r="K136" s="464"/>
      <c r="L136" s="430">
        <v>33718</v>
      </c>
      <c r="M136" s="430">
        <v>36615</v>
      </c>
      <c r="N136" s="430">
        <v>42791</v>
      </c>
      <c r="O136" s="430">
        <v>45504</v>
      </c>
      <c r="P136" s="430">
        <v>48331</v>
      </c>
      <c r="Q136" s="430">
        <v>49750</v>
      </c>
    </row>
    <row r="137" spans="1:25">
      <c r="J137" s="465" t="s">
        <v>469</v>
      </c>
      <c r="K137" s="465"/>
      <c r="L137" s="463">
        <v>8.2000000000000003E-2</v>
      </c>
      <c r="M137" s="463">
        <v>8.5999999999999993E-2</v>
      </c>
      <c r="N137" s="463">
        <v>9.1999999999999998E-2</v>
      </c>
      <c r="O137" s="463">
        <v>9.5000000000000001E-2</v>
      </c>
      <c r="P137" s="463">
        <v>0.09</v>
      </c>
      <c r="Q137" s="463">
        <v>8.6999999999999994E-2</v>
      </c>
    </row>
    <row r="138" spans="1:25">
      <c r="J138" s="464" t="s">
        <v>484</v>
      </c>
      <c r="K138" s="464"/>
      <c r="L138" s="430">
        <v>34439</v>
      </c>
      <c r="M138" s="430">
        <v>38046</v>
      </c>
      <c r="N138" s="430">
        <v>41538</v>
      </c>
      <c r="O138" s="433">
        <f t="shared" ref="O138:Q140" si="54">N138</f>
        <v>41538</v>
      </c>
      <c r="P138" s="433">
        <f t="shared" si="54"/>
        <v>41538</v>
      </c>
      <c r="Q138" s="433">
        <f t="shared" si="54"/>
        <v>41538</v>
      </c>
    </row>
    <row r="139" spans="1:25">
      <c r="J139" s="465" t="s">
        <v>469</v>
      </c>
      <c r="K139" s="465"/>
      <c r="L139" s="462">
        <f>L138/L43</f>
        <v>8.3002942785596015E-2</v>
      </c>
      <c r="M139" s="462">
        <f>M138/M43</f>
        <v>8.6106534373811813E-2</v>
      </c>
      <c r="N139" s="462">
        <f>N138/N43</f>
        <v>8.8580385132109266E-2</v>
      </c>
      <c r="O139" s="446">
        <f t="shared" si="54"/>
        <v>8.8580385132109266E-2</v>
      </c>
      <c r="P139" s="446">
        <f t="shared" si="54"/>
        <v>8.8580385132109266E-2</v>
      </c>
      <c r="Q139" s="446">
        <f t="shared" si="54"/>
        <v>8.8580385132109266E-2</v>
      </c>
    </row>
    <row r="140" spans="1:25">
      <c r="J140" s="464" t="s">
        <v>468</v>
      </c>
      <c r="K140" s="464"/>
      <c r="L140" s="430">
        <v>34422</v>
      </c>
      <c r="M140" s="430">
        <v>37810</v>
      </c>
      <c r="N140" s="430">
        <v>39384</v>
      </c>
      <c r="O140" s="433">
        <f t="shared" si="54"/>
        <v>39384</v>
      </c>
      <c r="P140" s="433">
        <f t="shared" si="54"/>
        <v>39384</v>
      </c>
      <c r="Q140" s="433">
        <f t="shared" si="54"/>
        <v>39384</v>
      </c>
    </row>
    <row r="141" spans="1:25">
      <c r="J141" s="465" t="s">
        <v>469</v>
      </c>
      <c r="K141" s="465"/>
      <c r="L141" s="446">
        <f t="shared" ref="L141:Q141" si="55">L140/L58</f>
        <v>0.16413078203153683</v>
      </c>
      <c r="M141" s="446">
        <f t="shared" si="55"/>
        <v>0.17105578653540779</v>
      </c>
      <c r="N141" s="446">
        <f t="shared" si="55"/>
        <v>0.17376571806750496</v>
      </c>
      <c r="O141" s="446">
        <f t="shared" si="55"/>
        <v>0.17376571806750496</v>
      </c>
      <c r="P141" s="446">
        <f t="shared" si="55"/>
        <v>0.17376571806750496</v>
      </c>
      <c r="Q141" s="446">
        <f t="shared" si="55"/>
        <v>0.17376571806750496</v>
      </c>
    </row>
    <row r="142" spans="1:25">
      <c r="J142" s="471"/>
      <c r="K142" s="471"/>
      <c r="L142" s="471"/>
      <c r="M142" s="471"/>
      <c r="N142" s="471"/>
      <c r="O142" s="471"/>
      <c r="P142" s="471"/>
      <c r="Q142" s="432"/>
      <c r="R142" s="432"/>
      <c r="S142" s="432"/>
      <c r="T142" s="432"/>
      <c r="U142" s="432"/>
      <c r="V142" s="432"/>
      <c r="W142" s="432"/>
      <c r="X142" s="432"/>
      <c r="Y142" s="432"/>
    </row>
    <row r="143" spans="1:25">
      <c r="J143" s="472" t="s">
        <v>486</v>
      </c>
      <c r="K143" s="477"/>
      <c r="L143" s="457">
        <f t="shared" ref="L143:Q143" si="56">MEDIAN(L$141,L$135,L$139,L$137)</f>
        <v>0.12356686240856643</v>
      </c>
      <c r="M143" s="457">
        <f t="shared" si="56"/>
        <v>0.12667183952399469</v>
      </c>
      <c r="N143" s="457">
        <f t="shared" si="56"/>
        <v>0.13025020422019146</v>
      </c>
      <c r="O143" s="457">
        <f t="shared" si="56"/>
        <v>0.13438285903375247</v>
      </c>
      <c r="P143" s="457">
        <f t="shared" si="56"/>
        <v>0.13188285903375246</v>
      </c>
      <c r="Q143" s="457">
        <f t="shared" si="56"/>
        <v>0.13117305159980711</v>
      </c>
      <c r="R143" s="432"/>
      <c r="S143" s="432"/>
      <c r="T143" s="432"/>
      <c r="U143" s="432"/>
      <c r="V143" s="432"/>
      <c r="W143" s="432"/>
      <c r="X143" s="432"/>
      <c r="Y143" s="432"/>
    </row>
    <row r="144" spans="1:25">
      <c r="J144" s="474" t="s">
        <v>487</v>
      </c>
      <c r="K144" s="477"/>
      <c r="L144" s="457">
        <f t="shared" ref="L144:Q144" si="57">AVERAGE(L$141,L$135,L$139,L$137)</f>
        <v>0.12389867828406691</v>
      </c>
      <c r="M144" s="457">
        <f t="shared" si="57"/>
        <v>0.1275998663958493</v>
      </c>
      <c r="N144" s="457">
        <f t="shared" si="57"/>
        <v>0.13071162790999927</v>
      </c>
      <c r="O144" s="457">
        <f t="shared" si="57"/>
        <v>0.13360036808596801</v>
      </c>
      <c r="P144" s="457">
        <f t="shared" si="57"/>
        <v>0.1344049179167883</v>
      </c>
      <c r="Q144" s="457">
        <f t="shared" si="57"/>
        <v>0.13623408896210412</v>
      </c>
      <c r="R144" s="432"/>
      <c r="S144" s="432"/>
      <c r="T144" s="432"/>
      <c r="U144" s="432"/>
      <c r="V144" s="432"/>
      <c r="W144" s="432"/>
      <c r="X144" s="432"/>
      <c r="Y144" s="432"/>
    </row>
    <row r="146" spans="1:25" ht="12.75" thickBot="1">
      <c r="A146" s="38" t="s">
        <v>25</v>
      </c>
      <c r="B146" s="466" t="s">
        <v>471</v>
      </c>
      <c r="J146" s="476" t="s">
        <v>471</v>
      </c>
      <c r="K146" s="476"/>
      <c r="L146" s="476"/>
      <c r="M146" s="476"/>
      <c r="N146" s="476"/>
      <c r="O146" s="476"/>
      <c r="P146" s="476"/>
      <c r="Q146" s="449"/>
    </row>
    <row r="147" spans="1:25">
      <c r="J147" s="464" t="s">
        <v>467</v>
      </c>
      <c r="K147" s="464"/>
      <c r="L147" s="430">
        <v>28057.565276288697</v>
      </c>
      <c r="M147" s="430">
        <v>30818.924184174273</v>
      </c>
      <c r="N147" s="430">
        <v>32860.623975116185</v>
      </c>
      <c r="O147" s="430">
        <v>34520.318469146499</v>
      </c>
      <c r="P147" s="430">
        <v>36128.10528234097</v>
      </c>
      <c r="Q147" s="430">
        <v>38136.859736785183</v>
      </c>
    </row>
    <row r="148" spans="1:25">
      <c r="J148" s="465" t="s">
        <v>469</v>
      </c>
      <c r="K148" s="465"/>
      <c r="L148" s="446">
        <f t="shared" ref="L148:Q148" si="58">L147/L35</f>
        <v>6.7439520788106611E-2</v>
      </c>
      <c r="M148" s="446">
        <f t="shared" si="58"/>
        <v>6.8826300389558295E-2</v>
      </c>
      <c r="N148" s="446">
        <f t="shared" si="58"/>
        <v>6.8158102900979498E-2</v>
      </c>
      <c r="O148" s="446">
        <f t="shared" si="58"/>
        <v>7.1600570341462957E-2</v>
      </c>
      <c r="P148" s="446">
        <f t="shared" si="58"/>
        <v>7.49353730871299E-2</v>
      </c>
      <c r="Q148" s="446">
        <f t="shared" si="58"/>
        <v>7.9101845790523706E-2</v>
      </c>
    </row>
    <row r="149" spans="1:25">
      <c r="J149" s="464" t="s">
        <v>483</v>
      </c>
      <c r="K149" s="464"/>
      <c r="L149" s="430">
        <v>27778</v>
      </c>
      <c r="M149" s="430">
        <v>30547</v>
      </c>
      <c r="N149" s="430">
        <v>34564</v>
      </c>
      <c r="O149" s="430">
        <v>35606</v>
      </c>
      <c r="P149" s="430">
        <v>36654</v>
      </c>
      <c r="Q149" s="430">
        <v>36587</v>
      </c>
    </row>
    <row r="150" spans="1:25">
      <c r="J150" s="465" t="s">
        <v>469</v>
      </c>
      <c r="K150" s="465"/>
      <c r="L150" s="463">
        <v>6.8000000000000005E-2</v>
      </c>
      <c r="M150" s="463">
        <v>7.1999999999999995E-2</v>
      </c>
      <c r="N150" s="463">
        <v>7.3999999999999996E-2</v>
      </c>
      <c r="O150" s="463">
        <v>7.3999999999999996E-2</v>
      </c>
      <c r="P150" s="463">
        <v>6.8000000000000005E-2</v>
      </c>
      <c r="Q150" s="463">
        <v>6.4000000000000001E-2</v>
      </c>
    </row>
    <row r="151" spans="1:25">
      <c r="J151" s="464" t="s">
        <v>484</v>
      </c>
      <c r="K151" s="464"/>
      <c r="L151" s="430">
        <v>27537</v>
      </c>
      <c r="M151" s="430">
        <v>29301</v>
      </c>
      <c r="N151" s="430">
        <v>31704</v>
      </c>
      <c r="O151" s="433">
        <f>N151</f>
        <v>31704</v>
      </c>
      <c r="P151" s="433">
        <f>O151</f>
        <v>31704</v>
      </c>
      <c r="Q151" s="433">
        <f>P151</f>
        <v>31704</v>
      </c>
    </row>
    <row r="152" spans="1:25">
      <c r="J152" s="465" t="s">
        <v>469</v>
      </c>
      <c r="K152" s="465"/>
      <c r="L152" s="446">
        <f t="shared" ref="L152:Q152" si="59">L151/L43</f>
        <v>6.6368130186328214E-2</v>
      </c>
      <c r="M152" s="446">
        <f t="shared" si="59"/>
        <v>6.6314660245152174E-2</v>
      </c>
      <c r="N152" s="446">
        <f t="shared" si="59"/>
        <v>6.7609238052587811E-2</v>
      </c>
      <c r="O152" s="446">
        <f t="shared" si="59"/>
        <v>6.7609238052587811E-2</v>
      </c>
      <c r="P152" s="446">
        <f t="shared" si="59"/>
        <v>6.7609238052587811E-2</v>
      </c>
      <c r="Q152" s="446">
        <f t="shared" si="59"/>
        <v>6.7609238052587811E-2</v>
      </c>
    </row>
    <row r="153" spans="1:25">
      <c r="J153" s="464" t="s">
        <v>468</v>
      </c>
      <c r="K153" s="464"/>
      <c r="L153" s="430">
        <v>27584</v>
      </c>
      <c r="M153" s="430">
        <v>29919</v>
      </c>
      <c r="N153" s="430">
        <v>32334</v>
      </c>
      <c r="O153" s="433">
        <f>N153</f>
        <v>32334</v>
      </c>
      <c r="P153" s="433">
        <f>O153</f>
        <v>32334</v>
      </c>
      <c r="Q153" s="433">
        <f>P153</f>
        <v>32334</v>
      </c>
    </row>
    <row r="154" spans="1:25">
      <c r="J154" s="465" t="s">
        <v>469</v>
      </c>
      <c r="K154" s="465"/>
      <c r="L154" s="446">
        <f t="shared" ref="L154:Q154" si="60">L153/L45</f>
        <v>6.6418656168358195E-2</v>
      </c>
      <c r="M154" s="446">
        <f t="shared" si="60"/>
        <v>6.791669031269508E-2</v>
      </c>
      <c r="N154" s="446">
        <f t="shared" si="60"/>
        <v>7.0203245060000821E-2</v>
      </c>
      <c r="O154" s="446">
        <f t="shared" si="60"/>
        <v>7.0203245060000821E-2</v>
      </c>
      <c r="P154" s="446">
        <f t="shared" si="60"/>
        <v>7.0203245060000821E-2</v>
      </c>
      <c r="Q154" s="446">
        <f t="shared" si="60"/>
        <v>7.0203245060000821E-2</v>
      </c>
    </row>
    <row r="155" spans="1:25">
      <c r="J155" s="471"/>
      <c r="K155" s="471"/>
      <c r="L155" s="471"/>
      <c r="M155" s="471"/>
      <c r="N155" s="471"/>
      <c r="O155" s="471"/>
      <c r="P155" s="471"/>
      <c r="Q155" s="432"/>
      <c r="R155" s="432"/>
      <c r="S155" s="432"/>
      <c r="T155" s="432"/>
      <c r="U155" s="432"/>
      <c r="V155" s="432"/>
      <c r="W155" s="432"/>
      <c r="X155" s="432"/>
      <c r="Y155" s="432"/>
    </row>
    <row r="156" spans="1:25">
      <c r="J156" s="472" t="s">
        <v>486</v>
      </c>
      <c r="K156" s="477"/>
      <c r="L156" s="457">
        <f t="shared" ref="L156:Q156" si="61">MEDIAN(L$154,L$148,L$152,L$150)</f>
        <v>6.6929088478232396E-2</v>
      </c>
      <c r="M156" s="457">
        <f t="shared" si="61"/>
        <v>6.8371495351126688E-2</v>
      </c>
      <c r="N156" s="457">
        <f t="shared" si="61"/>
        <v>6.9180673980490159E-2</v>
      </c>
      <c r="O156" s="457">
        <f t="shared" si="61"/>
        <v>7.0901907700731889E-2</v>
      </c>
      <c r="P156" s="457">
        <f t="shared" si="61"/>
        <v>6.9101622530000406E-2</v>
      </c>
      <c r="Q156" s="457">
        <f t="shared" si="61"/>
        <v>6.8906241556294323E-2</v>
      </c>
      <c r="R156" s="432"/>
      <c r="S156" s="432"/>
      <c r="T156" s="432"/>
      <c r="U156" s="432"/>
      <c r="V156" s="432"/>
      <c r="W156" s="432"/>
      <c r="X156" s="432"/>
      <c r="Y156" s="432"/>
    </row>
    <row r="157" spans="1:25">
      <c r="J157" s="474" t="s">
        <v>487</v>
      </c>
      <c r="K157" s="477"/>
      <c r="L157" s="457">
        <f t="shared" ref="L157:Q157" si="62">AVERAGE(L$154,L$148,L$152,L$150)</f>
        <v>6.7056576785698249E-2</v>
      </c>
      <c r="M157" s="457">
        <f t="shared" si="62"/>
        <v>6.8764412736851382E-2</v>
      </c>
      <c r="N157" s="457">
        <f t="shared" si="62"/>
        <v>6.9992646503392028E-2</v>
      </c>
      <c r="O157" s="457">
        <f t="shared" si="62"/>
        <v>7.08532633635129E-2</v>
      </c>
      <c r="P157" s="457">
        <f t="shared" si="62"/>
        <v>7.0186964049929634E-2</v>
      </c>
      <c r="Q157" s="457">
        <f t="shared" si="62"/>
        <v>7.0228582225778075E-2</v>
      </c>
      <c r="R157" s="432"/>
      <c r="S157" s="432"/>
      <c r="T157" s="432"/>
      <c r="U157" s="432"/>
      <c r="V157" s="432"/>
      <c r="W157" s="432"/>
      <c r="X157" s="432"/>
      <c r="Y157" s="432"/>
    </row>
    <row r="159" spans="1:25" ht="12.75" thickBot="1">
      <c r="A159" s="38" t="s">
        <v>25</v>
      </c>
      <c r="B159" s="466" t="s">
        <v>497</v>
      </c>
      <c r="J159" s="476" t="s">
        <v>497</v>
      </c>
      <c r="K159" s="476"/>
      <c r="L159" s="476"/>
      <c r="M159" s="476"/>
      <c r="N159" s="476"/>
      <c r="O159" s="476"/>
      <c r="P159" s="476"/>
      <c r="Q159" s="449"/>
    </row>
    <row r="160" spans="1:25">
      <c r="J160" s="464" t="s">
        <v>467</v>
      </c>
      <c r="K160" s="464"/>
      <c r="L160" s="430">
        <v>22790.724101284031</v>
      </c>
      <c r="M160" s="430">
        <v>25532.732152087716</v>
      </c>
      <c r="N160" s="430">
        <v>27696.031650910823</v>
      </c>
      <c r="O160" s="430">
        <v>29563.239535206725</v>
      </c>
      <c r="P160" s="430">
        <v>31857.926844606114</v>
      </c>
      <c r="Q160" s="430">
        <v>34520.888650295034</v>
      </c>
    </row>
    <row r="161" spans="1:25">
      <c r="J161" s="465" t="s">
        <v>498</v>
      </c>
      <c r="K161" s="465"/>
      <c r="L161" s="463">
        <v>0.15523446796354556</v>
      </c>
      <c r="M161" s="463">
        <v>0.16</v>
      </c>
      <c r="N161" s="463">
        <v>0.16</v>
      </c>
      <c r="O161" s="463">
        <v>0.16</v>
      </c>
      <c r="P161" s="463">
        <v>0.16</v>
      </c>
      <c r="Q161" s="463">
        <v>0.16000000000000003</v>
      </c>
    </row>
    <row r="162" spans="1:25">
      <c r="J162" s="464" t="s">
        <v>483</v>
      </c>
      <c r="K162" s="464"/>
      <c r="L162" s="430">
        <v>19544</v>
      </c>
      <c r="M162" s="430">
        <v>20801</v>
      </c>
      <c r="N162" s="430">
        <v>22164</v>
      </c>
      <c r="O162" s="430">
        <v>23275</v>
      </c>
      <c r="P162" s="430">
        <v>27285</v>
      </c>
      <c r="Q162" s="430">
        <v>30561</v>
      </c>
    </row>
    <row r="163" spans="1:25">
      <c r="J163" s="465" t="s">
        <v>498</v>
      </c>
      <c r="K163" s="465"/>
      <c r="L163" s="463">
        <v>0.14999808127710196</v>
      </c>
      <c r="M163" s="463">
        <v>0.15000144225222106</v>
      </c>
      <c r="N163" s="463">
        <v>0.14999695458267631</v>
      </c>
      <c r="O163" s="463">
        <v>0.15000161118809011</v>
      </c>
      <c r="P163" s="463">
        <v>0.14999917537561641</v>
      </c>
      <c r="Q163" s="463">
        <v>0.14999852754954796</v>
      </c>
    </row>
    <row r="164" spans="1:25">
      <c r="J164" s="464" t="s">
        <v>479</v>
      </c>
      <c r="K164" s="464"/>
      <c r="L164" s="430">
        <v>20919</v>
      </c>
      <c r="M164" s="430">
        <v>22306</v>
      </c>
      <c r="N164" s="430">
        <v>25707</v>
      </c>
      <c r="O164" s="433">
        <f t="shared" ref="O164:O169" si="63">N164</f>
        <v>25707</v>
      </c>
      <c r="P164" s="433">
        <f t="shared" ref="P164:Q166" si="64">O164</f>
        <v>25707</v>
      </c>
      <c r="Q164" s="433">
        <f t="shared" si="64"/>
        <v>25707</v>
      </c>
    </row>
    <row r="165" spans="1:25">
      <c r="J165" s="465" t="s">
        <v>498</v>
      </c>
      <c r="K165" s="465"/>
      <c r="L165" s="463">
        <v>0.15832973819849686</v>
      </c>
      <c r="M165" s="463">
        <v>0.15744485618493029</v>
      </c>
      <c r="N165" s="463">
        <v>0.16071796987827522</v>
      </c>
      <c r="O165" s="446">
        <f t="shared" si="63"/>
        <v>0.16071796987827522</v>
      </c>
      <c r="P165" s="446">
        <f>O165</f>
        <v>0.16071796987827522</v>
      </c>
      <c r="Q165" s="446">
        <f>P165</f>
        <v>0.16071796987827522</v>
      </c>
    </row>
    <row r="166" spans="1:25">
      <c r="J166" s="464" t="s">
        <v>484</v>
      </c>
      <c r="K166" s="464"/>
      <c r="L166" s="430">
        <v>20695</v>
      </c>
      <c r="M166" s="430">
        <v>22846</v>
      </c>
      <c r="N166" s="430">
        <v>24064</v>
      </c>
      <c r="O166" s="433">
        <f t="shared" si="63"/>
        <v>24064</v>
      </c>
      <c r="P166" s="433">
        <f t="shared" si="64"/>
        <v>24064</v>
      </c>
      <c r="Q166" s="433">
        <f t="shared" si="64"/>
        <v>24064</v>
      </c>
    </row>
    <row r="167" spans="1:25">
      <c r="J167" s="465" t="s">
        <v>498</v>
      </c>
      <c r="K167" s="465"/>
      <c r="L167" s="446">
        <v>0.158</v>
      </c>
      <c r="M167" s="446">
        <v>0.16300000000000001</v>
      </c>
      <c r="N167" s="446">
        <v>0.16</v>
      </c>
      <c r="O167" s="446">
        <f t="shared" si="63"/>
        <v>0.16</v>
      </c>
      <c r="P167" s="446">
        <f t="shared" ref="P167:Q169" si="65">O167</f>
        <v>0.16</v>
      </c>
      <c r="Q167" s="446">
        <f t="shared" si="65"/>
        <v>0.16</v>
      </c>
    </row>
    <row r="168" spans="1:25">
      <c r="J168" s="464" t="s">
        <v>500</v>
      </c>
      <c r="K168" s="464"/>
      <c r="L168" s="430">
        <v>19503</v>
      </c>
      <c r="M168" s="430">
        <v>20766</v>
      </c>
      <c r="N168" s="433">
        <f>M168</f>
        <v>20766</v>
      </c>
      <c r="O168" s="433">
        <f t="shared" si="63"/>
        <v>20766</v>
      </c>
      <c r="P168" s="433">
        <f t="shared" si="65"/>
        <v>20766</v>
      </c>
      <c r="Q168" s="433">
        <f t="shared" si="65"/>
        <v>20766</v>
      </c>
    </row>
    <row r="169" spans="1:25">
      <c r="J169" s="465" t="s">
        <v>498</v>
      </c>
      <c r="K169" s="465"/>
      <c r="L169" s="446">
        <v>0.158</v>
      </c>
      <c r="M169" s="446">
        <v>0.16</v>
      </c>
      <c r="N169" s="446">
        <f>M169</f>
        <v>0.16</v>
      </c>
      <c r="O169" s="446">
        <f t="shared" si="63"/>
        <v>0.16</v>
      </c>
      <c r="P169" s="446">
        <f t="shared" si="65"/>
        <v>0.16</v>
      </c>
      <c r="Q169" s="446">
        <f t="shared" si="65"/>
        <v>0.16</v>
      </c>
    </row>
    <row r="170" spans="1:25">
      <c r="J170" s="471"/>
      <c r="K170" s="471"/>
      <c r="L170" s="471"/>
      <c r="M170" s="471"/>
      <c r="N170" s="471"/>
      <c r="O170" s="471"/>
      <c r="P170" s="471"/>
      <c r="Q170" s="432"/>
      <c r="R170" s="432"/>
      <c r="S170" s="432"/>
      <c r="T170" s="432"/>
      <c r="U170" s="432"/>
      <c r="V170" s="432"/>
      <c r="W170" s="432"/>
      <c r="X170" s="432"/>
      <c r="Y170" s="432"/>
    </row>
    <row r="171" spans="1:25">
      <c r="J171" s="472" t="s">
        <v>486</v>
      </c>
      <c r="K171" s="473"/>
      <c r="L171" s="452">
        <f t="shared" ref="L171:Q171" si="66">MEDIAN(L$169,L$163,L$167,L$165,L$161)</f>
        <v>0.158</v>
      </c>
      <c r="M171" s="452">
        <f t="shared" si="66"/>
        <v>0.16</v>
      </c>
      <c r="N171" s="452">
        <f t="shared" si="66"/>
        <v>0.16</v>
      </c>
      <c r="O171" s="452">
        <f t="shared" si="66"/>
        <v>0.16</v>
      </c>
      <c r="P171" s="452">
        <f t="shared" si="66"/>
        <v>0.16</v>
      </c>
      <c r="Q171" s="453">
        <f t="shared" si="66"/>
        <v>0.16</v>
      </c>
      <c r="R171" s="432"/>
      <c r="S171" s="432"/>
      <c r="T171" s="432"/>
      <c r="U171" s="432"/>
      <c r="V171" s="432"/>
      <c r="W171" s="432"/>
      <c r="X171" s="432"/>
      <c r="Y171" s="432"/>
    </row>
    <row r="172" spans="1:25">
      <c r="J172" s="474" t="s">
        <v>487</v>
      </c>
      <c r="K172" s="475"/>
      <c r="L172" s="454">
        <f t="shared" ref="L172:Q172" si="67">AVERAGE(L$169,L$163,L$167,L$165,L$161)</f>
        <v>0.15591245748782886</v>
      </c>
      <c r="M172" s="454">
        <f t="shared" si="67"/>
        <v>0.15808925968743029</v>
      </c>
      <c r="N172" s="454">
        <f t="shared" si="67"/>
        <v>0.15814298489219031</v>
      </c>
      <c r="O172" s="454">
        <f t="shared" si="67"/>
        <v>0.15814391621327309</v>
      </c>
      <c r="P172" s="454">
        <f t="shared" si="67"/>
        <v>0.15814342905077833</v>
      </c>
      <c r="Q172" s="455">
        <f t="shared" si="67"/>
        <v>0.15814329948556466</v>
      </c>
      <c r="R172" s="432"/>
      <c r="S172" s="432"/>
      <c r="T172" s="432"/>
      <c r="U172" s="432"/>
      <c r="V172" s="432"/>
      <c r="W172" s="432"/>
      <c r="X172" s="432"/>
      <c r="Y172" s="432"/>
    </row>
    <row r="174" spans="1:25">
      <c r="B174" s="480"/>
      <c r="C174" s="480"/>
      <c r="D174" s="480"/>
      <c r="E174" s="480"/>
      <c r="F174" s="480"/>
      <c r="G174" s="480"/>
      <c r="H174" s="480"/>
      <c r="I174" s="480"/>
      <c r="J174" s="480" t="s">
        <v>504</v>
      </c>
      <c r="K174" s="481"/>
      <c r="L174" s="481"/>
      <c r="M174" s="481"/>
      <c r="N174" s="481"/>
      <c r="O174" s="481"/>
      <c r="P174" s="481"/>
      <c r="Q174" s="481"/>
    </row>
    <row r="175" spans="1:25" ht="5.0999999999999996" customHeight="1"/>
    <row r="176" spans="1:25" ht="12.75" thickBot="1">
      <c r="A176" s="38" t="s">
        <v>25</v>
      </c>
      <c r="B176" s="466" t="s">
        <v>501</v>
      </c>
      <c r="J176" s="476" t="s">
        <v>501</v>
      </c>
      <c r="K176" s="476"/>
      <c r="L176" s="476"/>
      <c r="M176" s="476"/>
      <c r="N176" s="476"/>
      <c r="O176" s="476"/>
      <c r="P176" s="476"/>
      <c r="Q176" s="449"/>
    </row>
    <row r="177" spans="1:25">
      <c r="J177" s="464" t="s">
        <v>467</v>
      </c>
      <c r="K177" s="464"/>
      <c r="L177" s="430">
        <v>11731.260414045522</v>
      </c>
      <c r="M177" s="430">
        <v>14399.73520199626</v>
      </c>
      <c r="N177" s="430">
        <v>17142.007151116424</v>
      </c>
      <c r="O177" s="430">
        <v>19854.655674817121</v>
      </c>
      <c r="P177" s="430">
        <v>22501.196016187929</v>
      </c>
      <c r="Q177" s="430">
        <v>25099.341816982462</v>
      </c>
    </row>
    <row r="178" spans="1:25">
      <c r="J178" s="465" t="s">
        <v>46</v>
      </c>
      <c r="K178" s="465"/>
      <c r="L178" s="446" t="e">
        <f>SUM(L177/$H$25)-1</f>
        <v>#DIV/0!</v>
      </c>
      <c r="M178" s="446">
        <f>SUM(M177/L177)-1</f>
        <v>0.22746701494716159</v>
      </c>
      <c r="N178" s="446">
        <f>SUM(N177/M177)-1</f>
        <v>0.19043905395843663</v>
      </c>
      <c r="O178" s="446">
        <f>SUM(O177/N177)-1</f>
        <v>0.15824567682110824</v>
      </c>
      <c r="P178" s="446">
        <f>SUM(P177/O177)-1</f>
        <v>0.13329570578892369</v>
      </c>
      <c r="Q178" s="446">
        <f>SUM(Q177/P177)-1</f>
        <v>0.11546700890589823</v>
      </c>
    </row>
    <row r="179" spans="1:25">
      <c r="J179" s="464" t="s">
        <v>483</v>
      </c>
      <c r="K179" s="464"/>
      <c r="L179" s="430">
        <v>12068</v>
      </c>
      <c r="M179" s="430">
        <v>11678</v>
      </c>
      <c r="N179" s="430">
        <v>11029</v>
      </c>
      <c r="O179" s="430">
        <v>11666</v>
      </c>
      <c r="P179" s="430">
        <v>12904</v>
      </c>
      <c r="Q179" s="430">
        <v>15129</v>
      </c>
    </row>
    <row r="180" spans="1:25">
      <c r="J180" s="465" t="s">
        <v>46</v>
      </c>
      <c r="K180" s="465"/>
      <c r="L180" s="446" t="e">
        <f>SUM(L179/$H$25)-1</f>
        <v>#DIV/0!</v>
      </c>
      <c r="M180" s="446">
        <f>SUM(M179/L179)-1</f>
        <v>-3.2316871063970853E-2</v>
      </c>
      <c r="N180" s="446">
        <f>SUM(N179/M179)-1</f>
        <v>-5.5574584689159101E-2</v>
      </c>
      <c r="O180" s="446">
        <f>SUM(O179/N179)-1</f>
        <v>5.7756822921389173E-2</v>
      </c>
      <c r="P180" s="446">
        <f>SUM(P179/O179)-1</f>
        <v>0.10612034973427042</v>
      </c>
      <c r="Q180" s="446">
        <f>SUM(Q179/P179)-1</f>
        <v>0.17242715437073786</v>
      </c>
    </row>
    <row r="181" spans="1:25">
      <c r="J181" s="464" t="s">
        <v>479</v>
      </c>
      <c r="K181" s="464"/>
      <c r="L181" s="430">
        <v>11610</v>
      </c>
      <c r="M181" s="430">
        <v>12653</v>
      </c>
      <c r="N181" s="430">
        <v>13552</v>
      </c>
      <c r="O181" s="433">
        <f t="shared" ref="O181:Q184" si="68">N181</f>
        <v>13552</v>
      </c>
      <c r="P181" s="433">
        <f t="shared" si="68"/>
        <v>13552</v>
      </c>
      <c r="Q181" s="433">
        <f t="shared" si="68"/>
        <v>13552</v>
      </c>
    </row>
    <row r="182" spans="1:25">
      <c r="J182" s="465" t="s">
        <v>46</v>
      </c>
      <c r="K182" s="465"/>
      <c r="L182" s="446" t="e">
        <f>SUM(L181/$H$25)-1</f>
        <v>#DIV/0!</v>
      </c>
      <c r="M182" s="446">
        <f>SUM(M181/L181)-1</f>
        <v>8.9836347975882802E-2</v>
      </c>
      <c r="N182" s="446">
        <f>SUM(N181/M181)-1</f>
        <v>7.1050343791986048E-2</v>
      </c>
      <c r="O182" s="446">
        <f t="shared" si="68"/>
        <v>7.1050343791986048E-2</v>
      </c>
      <c r="P182" s="446">
        <f t="shared" si="68"/>
        <v>7.1050343791986048E-2</v>
      </c>
      <c r="Q182" s="446">
        <f t="shared" si="68"/>
        <v>7.1050343791986048E-2</v>
      </c>
    </row>
    <row r="183" spans="1:25">
      <c r="J183" s="464" t="s">
        <v>484</v>
      </c>
      <c r="K183" s="464"/>
      <c r="L183" s="430">
        <v>12012</v>
      </c>
      <c r="M183" s="430">
        <v>14315</v>
      </c>
      <c r="N183" s="430">
        <v>15416</v>
      </c>
      <c r="O183" s="433">
        <f t="shared" si="68"/>
        <v>15416</v>
      </c>
      <c r="P183" s="433">
        <f t="shared" si="68"/>
        <v>15416</v>
      </c>
      <c r="Q183" s="433">
        <f t="shared" si="68"/>
        <v>15416</v>
      </c>
    </row>
    <row r="184" spans="1:25">
      <c r="J184" s="465" t="s">
        <v>46</v>
      </c>
      <c r="K184" s="465"/>
      <c r="L184" s="446" t="e">
        <f>SUM(L183/$H$25)-1</f>
        <v>#DIV/0!</v>
      </c>
      <c r="M184" s="446">
        <f>SUM(M183/L183)-1</f>
        <v>0.19172494172494181</v>
      </c>
      <c r="N184" s="446">
        <f>SUM(N183/M183)-1</f>
        <v>7.6912329724065698E-2</v>
      </c>
      <c r="O184" s="446">
        <f t="shared" si="68"/>
        <v>7.6912329724065698E-2</v>
      </c>
      <c r="P184" s="446">
        <f t="shared" si="68"/>
        <v>7.6912329724065698E-2</v>
      </c>
      <c r="Q184" s="446">
        <f t="shared" si="68"/>
        <v>7.6912329724065698E-2</v>
      </c>
    </row>
    <row r="185" spans="1:25">
      <c r="J185" s="471"/>
      <c r="K185" s="471"/>
      <c r="L185" s="471"/>
      <c r="M185" s="471"/>
      <c r="N185" s="471"/>
      <c r="O185" s="471"/>
      <c r="P185" s="471"/>
      <c r="Q185" s="432"/>
      <c r="R185" s="432"/>
      <c r="S185" s="432"/>
      <c r="T185" s="432"/>
      <c r="U185" s="432"/>
      <c r="V185" s="432"/>
      <c r="W185" s="432"/>
      <c r="X185" s="432"/>
      <c r="Y185" s="432"/>
    </row>
    <row r="186" spans="1:25">
      <c r="J186" s="472" t="s">
        <v>486</v>
      </c>
      <c r="K186" s="473"/>
      <c r="L186" s="452" t="e">
        <f t="shared" ref="L186:Q186" si="69">MEDIAN(L$180,L$184,L$182,L$178)</f>
        <v>#DIV/0!</v>
      </c>
      <c r="M186" s="452">
        <f t="shared" si="69"/>
        <v>0.14078064485041231</v>
      </c>
      <c r="N186" s="452">
        <f t="shared" si="69"/>
        <v>7.3981336758025873E-2</v>
      </c>
      <c r="O186" s="452">
        <f t="shared" si="69"/>
        <v>7.3981336758025873E-2</v>
      </c>
      <c r="P186" s="452">
        <f t="shared" si="69"/>
        <v>9.1516339729168061E-2</v>
      </c>
      <c r="Q186" s="452">
        <f t="shared" si="69"/>
        <v>9.6189669314981963E-2</v>
      </c>
      <c r="R186" s="432"/>
      <c r="S186" s="432"/>
      <c r="T186" s="432"/>
      <c r="U186" s="432"/>
      <c r="V186" s="432"/>
      <c r="W186" s="432"/>
      <c r="X186" s="432"/>
      <c r="Y186" s="432"/>
    </row>
    <row r="187" spans="1:25">
      <c r="J187" s="474" t="s">
        <v>487</v>
      </c>
      <c r="K187" s="475"/>
      <c r="L187" s="457" t="e">
        <f t="shared" ref="L187:Q187" si="70">AVERAGE(L$180,L$184,L$182,L$178)</f>
        <v>#DIV/0!</v>
      </c>
      <c r="M187" s="457">
        <f t="shared" si="70"/>
        <v>0.11917785839600384</v>
      </c>
      <c r="N187" s="457">
        <f t="shared" si="70"/>
        <v>7.0706785696332319E-2</v>
      </c>
      <c r="O187" s="457">
        <f t="shared" si="70"/>
        <v>9.0991293314637289E-2</v>
      </c>
      <c r="P187" s="457">
        <f t="shared" si="70"/>
        <v>9.6844682259811465E-2</v>
      </c>
      <c r="Q187" s="457">
        <f t="shared" si="70"/>
        <v>0.10896420919817196</v>
      </c>
      <c r="R187" s="432"/>
      <c r="S187" s="432"/>
      <c r="T187" s="432"/>
      <c r="U187" s="432"/>
      <c r="V187" s="432"/>
      <c r="W187" s="432"/>
      <c r="X187" s="432"/>
      <c r="Y187" s="432"/>
    </row>
    <row r="189" spans="1:25" ht="12.75" thickBot="1">
      <c r="A189" s="38" t="s">
        <v>25</v>
      </c>
      <c r="B189" s="466" t="s">
        <v>503</v>
      </c>
      <c r="J189" s="476" t="s">
        <v>503</v>
      </c>
      <c r="K189" s="476"/>
      <c r="L189" s="476"/>
      <c r="M189" s="476"/>
      <c r="N189" s="476"/>
      <c r="O189" s="476"/>
      <c r="P189" s="476"/>
      <c r="Q189" s="449"/>
    </row>
    <row r="190" spans="1:25">
      <c r="J190" s="464" t="s">
        <v>467</v>
      </c>
      <c r="K190" s="464"/>
      <c r="L190" s="430">
        <v>12750.362031938173</v>
      </c>
      <c r="M190" s="430">
        <v>13621.844626729151</v>
      </c>
      <c r="N190" s="430">
        <v>14670.910797979861</v>
      </c>
      <c r="O190" s="430">
        <v>15409.486371499832</v>
      </c>
      <c r="P190" s="430">
        <v>16102.054462853608</v>
      </c>
      <c r="Q190" s="430">
        <v>16985.585504485909</v>
      </c>
    </row>
    <row r="191" spans="1:25">
      <c r="J191" s="465" t="s">
        <v>46</v>
      </c>
      <c r="K191" s="465"/>
      <c r="L191" s="446" t="e">
        <f>SUM(L190/$H$25)-1</f>
        <v>#DIV/0!</v>
      </c>
      <c r="M191" s="446">
        <f>SUM(M190/L190)-1</f>
        <v>6.8349635297257905E-2</v>
      </c>
      <c r="N191" s="446">
        <f>SUM(N190/M190)-1</f>
        <v>7.7013517625373895E-2</v>
      </c>
      <c r="O191" s="446">
        <f>SUM(O190/N190)-1</f>
        <v>5.0342857624195325E-2</v>
      </c>
      <c r="P191" s="446">
        <f>SUM(P190/O190)-1</f>
        <v>4.4944268397854925E-2</v>
      </c>
      <c r="Q191" s="446">
        <f>SUM(Q190/P190)-1</f>
        <v>5.4870702597022536E-2</v>
      </c>
    </row>
    <row r="192" spans="1:25">
      <c r="J192" s="464" t="s">
        <v>483</v>
      </c>
      <c r="K192" s="464"/>
      <c r="L192" s="430">
        <v>12605</v>
      </c>
      <c r="M192" s="430">
        <v>13587</v>
      </c>
      <c r="N192" s="430">
        <v>14639</v>
      </c>
      <c r="O192" s="430">
        <v>15765</v>
      </c>
      <c r="P192" s="430">
        <v>16970</v>
      </c>
      <c r="Q192" s="430">
        <v>18258</v>
      </c>
    </row>
    <row r="193" spans="1:25">
      <c r="J193" s="465" t="s">
        <v>46</v>
      </c>
      <c r="K193" s="465"/>
      <c r="L193" s="446" t="e">
        <f>SUM(L192/$H$25)-1</f>
        <v>#DIV/0!</v>
      </c>
      <c r="M193" s="446">
        <f>SUM(M192/L192)-1</f>
        <v>7.7905593018643415E-2</v>
      </c>
      <c r="N193" s="446">
        <f>SUM(N192/M192)-1</f>
        <v>7.7426952233752955E-2</v>
      </c>
      <c r="O193" s="446">
        <f>SUM(O192/N192)-1</f>
        <v>7.6917822255618606E-2</v>
      </c>
      <c r="P193" s="446">
        <f>SUM(P192/O192)-1</f>
        <v>7.6435141135426488E-2</v>
      </c>
      <c r="Q193" s="446">
        <f>SUM(Q192/P192)-1</f>
        <v>7.5898644667059534E-2</v>
      </c>
    </row>
    <row r="194" spans="1:25">
      <c r="J194" s="464" t="s">
        <v>502</v>
      </c>
      <c r="K194" s="464"/>
      <c r="L194" s="430">
        <v>12394</v>
      </c>
      <c r="M194" s="430">
        <v>11372</v>
      </c>
      <c r="N194" s="433">
        <f>M194</f>
        <v>11372</v>
      </c>
      <c r="O194" s="433">
        <f>N194</f>
        <v>11372</v>
      </c>
      <c r="P194" s="433">
        <f>O194</f>
        <v>11372</v>
      </c>
      <c r="Q194" s="433">
        <f>P194</f>
        <v>11372</v>
      </c>
    </row>
    <row r="195" spans="1:25">
      <c r="J195" s="465" t="s">
        <v>46</v>
      </c>
      <c r="K195" s="465"/>
      <c r="L195" s="446" t="e">
        <f>SUM(L194/$H$25)-1</f>
        <v>#DIV/0!</v>
      </c>
      <c r="M195" s="446">
        <f>SUM(M194/L194)-1</f>
        <v>-8.2459254477973198E-2</v>
      </c>
      <c r="N195" s="446">
        <f>SUM(N194/M194)-1</f>
        <v>0</v>
      </c>
      <c r="O195" s="446">
        <f>SUM(O194/N194)-1</f>
        <v>0</v>
      </c>
      <c r="P195" s="446">
        <f>SUM(P194/O194)-1</f>
        <v>0</v>
      </c>
      <c r="Q195" s="446">
        <f>SUM(Q194/P194)-1</f>
        <v>0</v>
      </c>
    </row>
    <row r="196" spans="1:25">
      <c r="J196" s="471"/>
      <c r="K196" s="471"/>
      <c r="L196" s="471"/>
      <c r="M196" s="471"/>
      <c r="N196" s="471"/>
      <c r="O196" s="471"/>
      <c r="P196" s="471"/>
      <c r="Q196" s="432"/>
      <c r="R196" s="432"/>
      <c r="S196" s="432"/>
      <c r="T196" s="432"/>
      <c r="U196" s="432"/>
      <c r="V196" s="432"/>
      <c r="W196" s="432"/>
      <c r="X196" s="432"/>
      <c r="Y196" s="432"/>
    </row>
    <row r="197" spans="1:25">
      <c r="J197" s="472" t="s">
        <v>486</v>
      </c>
      <c r="K197" s="473"/>
      <c r="L197" s="452" t="e">
        <f t="shared" ref="L197:Q197" si="71">MEDIAN(L$191,L$195,L$193)</f>
        <v>#DIV/0!</v>
      </c>
      <c r="M197" s="452">
        <f t="shared" si="71"/>
        <v>6.8349635297257905E-2</v>
      </c>
      <c r="N197" s="452">
        <f t="shared" si="71"/>
        <v>7.7013517625373895E-2</v>
      </c>
      <c r="O197" s="452">
        <f t="shared" si="71"/>
        <v>5.0342857624195325E-2</v>
      </c>
      <c r="P197" s="452">
        <f t="shared" si="71"/>
        <v>4.4944268397854925E-2</v>
      </c>
      <c r="Q197" s="452">
        <f t="shared" si="71"/>
        <v>5.4870702597022536E-2</v>
      </c>
      <c r="R197" s="432"/>
      <c r="S197" s="432"/>
      <c r="T197" s="432"/>
      <c r="U197" s="432"/>
      <c r="V197" s="432"/>
      <c r="W197" s="432"/>
      <c r="X197" s="432"/>
      <c r="Y197" s="432"/>
    </row>
    <row r="198" spans="1:25">
      <c r="J198" s="474" t="s">
        <v>487</v>
      </c>
      <c r="K198" s="475"/>
      <c r="L198" s="457" t="e">
        <f t="shared" ref="L198:Q198" si="72">AVERAGE(L$191,L$195,L$193)</f>
        <v>#DIV/0!</v>
      </c>
      <c r="M198" s="457">
        <f t="shared" si="72"/>
        <v>2.1265324612642706E-2</v>
      </c>
      <c r="N198" s="457">
        <f t="shared" si="72"/>
        <v>5.148015661970895E-2</v>
      </c>
      <c r="O198" s="457">
        <f t="shared" si="72"/>
        <v>4.2420226626604642E-2</v>
      </c>
      <c r="P198" s="457">
        <f t="shared" si="72"/>
        <v>4.0459803177760469E-2</v>
      </c>
      <c r="Q198" s="457">
        <f t="shared" si="72"/>
        <v>4.358978242136069E-2</v>
      </c>
      <c r="R198" s="432"/>
      <c r="S198" s="432"/>
      <c r="T198" s="432"/>
      <c r="U198" s="432"/>
      <c r="V198" s="432"/>
      <c r="W198" s="432"/>
      <c r="X198" s="432"/>
      <c r="Y198" s="432"/>
    </row>
    <row r="200" spans="1:25" ht="12.75" thickBot="1">
      <c r="A200" s="38" t="s">
        <v>25</v>
      </c>
      <c r="B200" s="466" t="s">
        <v>503</v>
      </c>
      <c r="J200" s="476" t="s">
        <v>505</v>
      </c>
      <c r="K200" s="476"/>
      <c r="L200" s="476"/>
      <c r="M200" s="476"/>
      <c r="N200" s="476"/>
      <c r="O200" s="476"/>
      <c r="P200" s="476"/>
      <c r="Q200" s="449"/>
    </row>
    <row r="201" spans="1:25">
      <c r="J201" s="464" t="s">
        <v>467</v>
      </c>
      <c r="K201" s="464"/>
      <c r="L201" s="430">
        <v>13241</v>
      </c>
      <c r="M201" s="430">
        <v>16485</v>
      </c>
      <c r="N201" s="430">
        <v>14670.910797979861</v>
      </c>
      <c r="O201" s="430">
        <v>17750</v>
      </c>
      <c r="P201" s="433">
        <f>O201</f>
        <v>17750</v>
      </c>
      <c r="Q201" s="433">
        <f>P201</f>
        <v>17750</v>
      </c>
    </row>
    <row r="202" spans="1:25">
      <c r="J202" s="465" t="s">
        <v>46</v>
      </c>
      <c r="K202" s="465"/>
      <c r="L202" s="446" t="e">
        <f>SUM(L201/$H$25)-1</f>
        <v>#DIV/0!</v>
      </c>
      <c r="M202" s="446">
        <f>SUM(M201/L201)-1</f>
        <v>0.24499660146514612</v>
      </c>
      <c r="N202" s="446">
        <f>SUM(N201/M201)-1</f>
        <v>-0.11004484088687527</v>
      </c>
      <c r="O202" s="446">
        <f>SUM(O201/N201)-1</f>
        <v>0.20987716743831064</v>
      </c>
      <c r="P202" s="446">
        <f>SUM(P201/O201)-1</f>
        <v>0</v>
      </c>
      <c r="Q202" s="446">
        <f>SUM(Q201/P201)-1</f>
        <v>0</v>
      </c>
    </row>
    <row r="203" spans="1:25">
      <c r="J203" s="464" t="s">
        <v>506</v>
      </c>
      <c r="K203" s="464"/>
      <c r="L203" s="430">
        <v>13384</v>
      </c>
      <c r="M203" s="430">
        <v>19182</v>
      </c>
      <c r="N203" s="430">
        <v>24762</v>
      </c>
      <c r="O203" s="433">
        <f>N203</f>
        <v>24762</v>
      </c>
      <c r="P203" s="433">
        <f>O203</f>
        <v>24762</v>
      </c>
      <c r="Q203" s="433">
        <f>P203</f>
        <v>24762</v>
      </c>
    </row>
    <row r="204" spans="1:25">
      <c r="J204" s="465" t="s">
        <v>46</v>
      </c>
      <c r="K204" s="465"/>
      <c r="L204" s="446" t="e">
        <f>SUM(L203/$H$25)-1</f>
        <v>#DIV/0!</v>
      </c>
      <c r="M204" s="446">
        <f>SUM(M203/L203)-1</f>
        <v>0.43320382546323977</v>
      </c>
      <c r="N204" s="446">
        <f>SUM(N203/M203)-1</f>
        <v>0.29089771660932118</v>
      </c>
      <c r="O204" s="446">
        <f>SUM(O203/N203)-1</f>
        <v>0</v>
      </c>
      <c r="P204" s="446">
        <f>SUM(P203/O203)-1</f>
        <v>0</v>
      </c>
      <c r="Q204" s="446">
        <f>SUM(Q203/P203)-1</f>
        <v>0</v>
      </c>
    </row>
    <row r="205" spans="1:25">
      <c r="J205" s="464" t="s">
        <v>483</v>
      </c>
      <c r="K205" s="464"/>
      <c r="L205" s="430">
        <v>9907</v>
      </c>
      <c r="M205" s="430">
        <v>11678</v>
      </c>
      <c r="N205" s="433">
        <v>11029</v>
      </c>
      <c r="O205" s="433">
        <v>11666</v>
      </c>
      <c r="P205" s="433">
        <v>12904</v>
      </c>
      <c r="Q205" s="433">
        <v>15129</v>
      </c>
    </row>
    <row r="206" spans="1:25">
      <c r="J206" s="465" t="s">
        <v>46</v>
      </c>
      <c r="K206" s="465"/>
      <c r="L206" s="446" t="e">
        <f>SUM(L205/$H$25)-1</f>
        <v>#DIV/0!</v>
      </c>
      <c r="M206" s="446">
        <f>SUM(M205/L205)-1</f>
        <v>0.17876249116786114</v>
      </c>
      <c r="N206" s="446">
        <f>SUM(N205/M205)-1</f>
        <v>-5.5574584689159101E-2</v>
      </c>
      <c r="O206" s="446">
        <f>SUM(O205/N205)-1</f>
        <v>5.7756822921389173E-2</v>
      </c>
      <c r="P206" s="446">
        <f>SUM(P205/O205)-1</f>
        <v>0.10612034973427042</v>
      </c>
      <c r="Q206" s="446">
        <f>SUM(Q205/P205)-1</f>
        <v>0.17242715437073786</v>
      </c>
    </row>
    <row r="207" spans="1:25">
      <c r="J207" s="471"/>
      <c r="K207" s="471"/>
      <c r="L207" s="471"/>
      <c r="M207" s="471"/>
      <c r="N207" s="471"/>
      <c r="O207" s="471"/>
      <c r="P207" s="471"/>
      <c r="Q207" s="432"/>
      <c r="R207" s="432"/>
      <c r="S207" s="432"/>
      <c r="T207" s="432"/>
      <c r="U207" s="432"/>
      <c r="V207" s="432"/>
      <c r="W207" s="432"/>
      <c r="X207" s="432"/>
      <c r="Y207" s="432"/>
    </row>
    <row r="208" spans="1:25">
      <c r="J208" s="472" t="s">
        <v>486</v>
      </c>
      <c r="K208" s="473"/>
      <c r="L208" s="452" t="e">
        <f t="shared" ref="L208:Q208" si="73">MEDIAN(L$191,L$195,L$193)</f>
        <v>#DIV/0!</v>
      </c>
      <c r="M208" s="452">
        <f t="shared" si="73"/>
        <v>6.8349635297257905E-2</v>
      </c>
      <c r="N208" s="452">
        <f t="shared" si="73"/>
        <v>7.7013517625373895E-2</v>
      </c>
      <c r="O208" s="452">
        <f t="shared" si="73"/>
        <v>5.0342857624195325E-2</v>
      </c>
      <c r="P208" s="452">
        <f t="shared" si="73"/>
        <v>4.4944268397854925E-2</v>
      </c>
      <c r="Q208" s="452">
        <f t="shared" si="73"/>
        <v>5.4870702597022536E-2</v>
      </c>
      <c r="R208" s="432"/>
      <c r="S208" s="432"/>
      <c r="T208" s="432"/>
      <c r="U208" s="432"/>
      <c r="V208" s="432"/>
      <c r="W208" s="432"/>
      <c r="X208" s="432"/>
      <c r="Y208" s="432"/>
    </row>
    <row r="209" spans="10:25">
      <c r="J209" s="474" t="s">
        <v>487</v>
      </c>
      <c r="K209" s="475"/>
      <c r="L209" s="457" t="e">
        <f t="shared" ref="L209:Q209" si="74">AVERAGE(L$191,L$195,L$193)</f>
        <v>#DIV/0!</v>
      </c>
      <c r="M209" s="457">
        <f t="shared" si="74"/>
        <v>2.1265324612642706E-2</v>
      </c>
      <c r="N209" s="457">
        <f t="shared" si="74"/>
        <v>5.148015661970895E-2</v>
      </c>
      <c r="O209" s="457">
        <f t="shared" si="74"/>
        <v>4.2420226626604642E-2</v>
      </c>
      <c r="P209" s="457">
        <f t="shared" si="74"/>
        <v>4.0459803177760469E-2</v>
      </c>
      <c r="Q209" s="457">
        <f t="shared" si="74"/>
        <v>4.358978242136069E-2</v>
      </c>
      <c r="R209" s="432"/>
      <c r="S209" s="432"/>
      <c r="T209" s="432"/>
      <c r="U209" s="432"/>
      <c r="V209" s="432"/>
      <c r="W209" s="432"/>
      <c r="X209" s="432"/>
      <c r="Y209" s="432"/>
    </row>
  </sheetData>
  <dataValidations disablePrompts="1" count="1">
    <dataValidation type="list" allowBlank="1" showInputMessage="1" showErrorMessage="1" sqref="B4 I4 K4" xr:uid="{A279E3DC-4BEC-4244-A2F5-B34432A8723D}">
      <formula1>"$ bns except per share, $ mm except per share,$ in thousands except per share"</formula1>
    </dataValidation>
  </dataValidations>
  <pageMargins left="0.7" right="0.7" top="0.75" bottom="0.75" header="0.3" footer="0.3"/>
  <ignoredErrors>
    <ignoredError sqref="M66:M68 M79:M81 M83 M72 M85 S10:S16 J6:Q12 S17:S25 J26:S29 J17:R25 J13:Q14 J15:Q15 S6:S8" evalError="1"/>
    <ignoredError sqref="N95:Q98 L44:N44 L38:N38 L36:N36 L35:N35 L37:N37 L43:N43 L45:Q45 L120:Q120 O147:Q148 O151:Q153 O43:Q43 O37:Q37 O35:Q35 O38 O36:Q36 O44:Q44 P38:Q38 P55:Q55 L178:Q178 L184:N184 L182:N182 L180:Q180 N194:Q194 O202:Q203"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C20" sqref="C20"/>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'3-Statement Model'!C6&amp;"(NASDAQ: AAPL)"</f>
        <v>Beyond Meat, Inc.(NASDAQ: AAPL)</v>
      </c>
      <c r="C2" s="6"/>
      <c r="D2" s="6"/>
      <c r="E2" s="6"/>
      <c r="F2" s="6"/>
      <c r="G2" s="6"/>
      <c r="H2" s="6"/>
      <c r="I2" s="6"/>
    </row>
    <row r="3" spans="2:9">
      <c r="B3" s="6" t="s">
        <v>293</v>
      </c>
      <c r="C3" s="6"/>
      <c r="D3" s="6"/>
      <c r="E3" s="6"/>
      <c r="F3" s="6"/>
      <c r="G3" s="6"/>
      <c r="H3" s="6"/>
      <c r="I3" s="6"/>
    </row>
    <row r="4" spans="2:9">
      <c r="B4" s="6" t="s">
        <v>466</v>
      </c>
      <c r="C4" s="6"/>
      <c r="D4" s="6"/>
      <c r="E4" s="6"/>
      <c r="F4" s="6"/>
      <c r="G4" s="6"/>
      <c r="H4" s="6"/>
      <c r="I4" s="6"/>
    </row>
    <row r="5" spans="2:9" ht="5.0999999999999996" customHeight="1"/>
    <row r="6" spans="2:9">
      <c r="B6" s="212" t="s">
        <v>294</v>
      </c>
      <c r="C6" s="213"/>
      <c r="D6" s="99"/>
      <c r="E6" s="113" t="s">
        <v>295</v>
      </c>
      <c r="F6" s="214"/>
    </row>
    <row r="7" spans="2:9" ht="5.0999999999999996" customHeight="1">
      <c r="E7" s="113"/>
    </row>
    <row r="8" spans="2:9">
      <c r="B8" s="8" t="s">
        <v>296</v>
      </c>
      <c r="C8" s="154">
        <v>2.1999999999999999E-2</v>
      </c>
      <c r="E8" s="8" t="s">
        <v>297</v>
      </c>
    </row>
    <row r="9" spans="2:9">
      <c r="B9" s="8" t="s">
        <v>148</v>
      </c>
      <c r="C9" s="221">
        <f>'[1]Simple DCF Done'!I22</f>
        <v>0.17299999999999999</v>
      </c>
      <c r="E9" s="8" t="s">
        <v>298</v>
      </c>
    </row>
    <row r="10" spans="2:9">
      <c r="B10" s="8" t="s">
        <v>299</v>
      </c>
      <c r="C10" s="155">
        <f>C8*(1-C9)</f>
        <v>1.8193999999999998E-2</v>
      </c>
      <c r="E10" s="8" t="s">
        <v>300</v>
      </c>
    </row>
    <row r="12" spans="2:9">
      <c r="B12" s="8" t="s">
        <v>301</v>
      </c>
      <c r="C12" s="154">
        <v>3.9789999999999999E-2</v>
      </c>
      <c r="E12" s="8" t="s">
        <v>302</v>
      </c>
    </row>
    <row r="13" spans="2:9">
      <c r="B13" s="8" t="s">
        <v>28</v>
      </c>
      <c r="C13" s="222">
        <f>IF(C34="Observed",C36,C37)</f>
        <v>1.099</v>
      </c>
      <c r="E13" s="8" t="s">
        <v>303</v>
      </c>
    </row>
    <row r="14" spans="2:9">
      <c r="B14" s="8" t="s">
        <v>304</v>
      </c>
      <c r="C14" s="154">
        <v>0.05</v>
      </c>
      <c r="E14" s="8" t="s">
        <v>305</v>
      </c>
    </row>
    <row r="15" spans="2:9">
      <c r="B15" s="8" t="s">
        <v>306</v>
      </c>
      <c r="C15" s="215">
        <f>C12+C13*C14</f>
        <v>9.4739999999999991E-2</v>
      </c>
      <c r="E15" s="8" t="s">
        <v>307</v>
      </c>
    </row>
    <row r="17" spans="2:6">
      <c r="B17" s="100" t="s">
        <v>308</v>
      </c>
      <c r="C17" s="101"/>
      <c r="D17" s="101"/>
      <c r="E17" s="101"/>
      <c r="F17" s="38"/>
    </row>
    <row r="18" spans="2:6">
      <c r="B18" s="38"/>
      <c r="C18" s="159"/>
      <c r="D18" s="159" t="s">
        <v>309</v>
      </c>
      <c r="F18" s="38"/>
    </row>
    <row r="19" spans="2:6" ht="14.25">
      <c r="C19" s="216" t="s">
        <v>310</v>
      </c>
      <c r="D19" s="216" t="s">
        <v>311</v>
      </c>
      <c r="E19" s="216" t="s">
        <v>312</v>
      </c>
    </row>
    <row r="20" spans="2:6">
      <c r="B20" s="8" t="s">
        <v>313</v>
      </c>
      <c r="C20" s="223">
        <f>'[1]Simple DCF Done'!H5*'[1]Simple DCF Done'!I61</f>
        <v>1223044.68</v>
      </c>
      <c r="D20" s="224"/>
      <c r="E20" s="127">
        <f>IF(D20,D20,C20/(C20+C21))</f>
        <v>0.49297002858170474</v>
      </c>
    </row>
    <row r="21" spans="2:6">
      <c r="B21" s="8" t="s">
        <v>22</v>
      </c>
      <c r="C21" s="223">
        <f>DCF!C61</f>
        <v>1257927</v>
      </c>
      <c r="D21" s="158">
        <f>1-D20</f>
        <v>1</v>
      </c>
      <c r="E21" s="127">
        <f>1-E20</f>
        <v>0.50702997141829531</v>
      </c>
    </row>
    <row r="23" spans="2:6">
      <c r="B23" s="217" t="s">
        <v>314</v>
      </c>
      <c r="C23" s="218"/>
      <c r="D23" s="219"/>
      <c r="E23" s="225">
        <f>C10*E21+C15*E20</f>
        <v>5.5928883807815161E-2</v>
      </c>
    </row>
    <row r="24" spans="2:6">
      <c r="B24" s="38"/>
      <c r="C24" s="226"/>
    </row>
    <row r="25" spans="2:6">
      <c r="B25" s="100" t="s">
        <v>315</v>
      </c>
      <c r="C25" s="101"/>
      <c r="D25" s="101"/>
      <c r="E25" s="101"/>
      <c r="F25" s="101"/>
    </row>
    <row r="26" spans="2:6">
      <c r="D26" s="227" t="s">
        <v>34</v>
      </c>
      <c r="E26" s="228"/>
      <c r="F26" s="227"/>
    </row>
    <row r="27" spans="2:6">
      <c r="C27" s="229">
        <f>E23</f>
        <v>5.5928883807815161E-2</v>
      </c>
      <c r="D27" s="230">
        <f>E27-0.1</f>
        <v>0.999</v>
      </c>
      <c r="E27" s="231">
        <v>1.099</v>
      </c>
      <c r="F27" s="232">
        <f>E27+0.1</f>
        <v>1.1990000000000001</v>
      </c>
    </row>
    <row r="28" spans="2:6">
      <c r="C28" s="233">
        <f>C29-0.005</f>
        <v>4.5000000000000005E-2</v>
      </c>
      <c r="D28" s="234">
        <v>6.1013495196213796E-2</v>
      </c>
      <c r="E28" s="133">
        <v>6.590882572582199E-2</v>
      </c>
      <c r="F28" s="133">
        <v>7.080415625543017E-2</v>
      </c>
    </row>
    <row r="29" spans="2:6">
      <c r="B29" s="159" t="s">
        <v>316</v>
      </c>
      <c r="C29" s="233">
        <f>C30-0.005</f>
        <v>0.05</v>
      </c>
      <c r="D29" s="133">
        <v>6.6447312084078877E-2</v>
      </c>
      <c r="E29" s="133">
        <v>7.1886568228087977E-2</v>
      </c>
      <c r="F29" s="133">
        <v>7.7325824372097077E-2</v>
      </c>
    </row>
    <row r="30" spans="2:6">
      <c r="B30" s="159" t="s">
        <v>317</v>
      </c>
      <c r="C30" s="235">
        <v>5.5E-2</v>
      </c>
      <c r="D30" s="133">
        <v>7.1881128971943958E-2</v>
      </c>
      <c r="E30" s="133">
        <v>7.7864310730353978E-2</v>
      </c>
      <c r="F30" s="133">
        <v>8.3847492488763983E-2</v>
      </c>
    </row>
    <row r="31" spans="2:6">
      <c r="B31" s="159" t="s">
        <v>318</v>
      </c>
      <c r="C31" s="233">
        <f>C30+0.005</f>
        <v>0.06</v>
      </c>
      <c r="D31" s="133">
        <v>7.7314945859809053E-2</v>
      </c>
      <c r="E31" s="133">
        <v>8.3842053232619965E-2</v>
      </c>
      <c r="F31" s="133">
        <v>9.0369160605430876E-2</v>
      </c>
    </row>
    <row r="32" spans="2:6">
      <c r="C32" s="233">
        <f>C31+0.005</f>
        <v>6.5000000000000002E-2</v>
      </c>
      <c r="D32" s="133">
        <v>8.2748762747674148E-2</v>
      </c>
      <c r="E32" s="133">
        <v>8.9819795734885952E-2</v>
      </c>
      <c r="F32" s="133">
        <v>9.6890828722097783E-2</v>
      </c>
    </row>
    <row r="33" spans="2:9">
      <c r="C33" s="236"/>
      <c r="D33" s="133"/>
      <c r="E33" s="133"/>
      <c r="F33" s="133"/>
    </row>
    <row r="34" spans="2:9">
      <c r="B34" s="8" t="s">
        <v>319</v>
      </c>
      <c r="C34" s="237" t="s">
        <v>320</v>
      </c>
    </row>
    <row r="36" spans="2:9">
      <c r="B36" s="65" t="s">
        <v>320</v>
      </c>
      <c r="C36" s="220">
        <v>1.099</v>
      </c>
      <c r="D36" s="8" t="s">
        <v>303</v>
      </c>
    </row>
    <row r="37" spans="2:9">
      <c r="B37" s="65" t="s">
        <v>321</v>
      </c>
      <c r="C37" s="238">
        <f>C48</f>
        <v>2.0661906845106133</v>
      </c>
      <c r="D37" s="8" t="s">
        <v>322</v>
      </c>
    </row>
    <row r="39" spans="2:9">
      <c r="B39" s="100" t="s">
        <v>321</v>
      </c>
      <c r="C39" s="100"/>
      <c r="D39" s="101"/>
      <c r="E39" s="101"/>
      <c r="F39" s="101"/>
      <c r="G39" s="101"/>
      <c r="H39" s="101"/>
      <c r="I39" s="101"/>
    </row>
    <row r="40" spans="2:9">
      <c r="H40" s="5"/>
    </row>
    <row r="41" spans="2:9" ht="12.75" thickBot="1">
      <c r="C41" s="239" t="s">
        <v>331</v>
      </c>
      <c r="D41" s="239" t="s">
        <v>323</v>
      </c>
      <c r="E41" s="239" t="s">
        <v>324</v>
      </c>
      <c r="F41" s="239" t="s">
        <v>325</v>
      </c>
      <c r="G41" s="240" t="s">
        <v>37</v>
      </c>
      <c r="H41" s="239" t="s">
        <v>148</v>
      </c>
      <c r="I41" s="239" t="s">
        <v>332</v>
      </c>
    </row>
    <row r="42" spans="2:9">
      <c r="B42" s="241" t="s">
        <v>326</v>
      </c>
      <c r="C42" s="220">
        <v>1.21</v>
      </c>
      <c r="D42" s="242">
        <v>136.96</v>
      </c>
      <c r="E42" s="107">
        <v>7662.8</v>
      </c>
      <c r="F42" s="70">
        <f>D42*E42</f>
        <v>1049497.088</v>
      </c>
      <c r="G42" s="107">
        <f>86343-131536</f>
        <v>-45193</v>
      </c>
      <c r="H42" s="115">
        <v>0.16400000000000001</v>
      </c>
      <c r="I42" s="238">
        <f>C42/(1+(1-H42)*(G42)/F42)</f>
        <v>1.2551860431468624</v>
      </c>
    </row>
    <row r="43" spans="2:9">
      <c r="B43" s="241" t="s">
        <v>327</v>
      </c>
      <c r="C43" s="220">
        <v>0.96</v>
      </c>
      <c r="D43" s="242">
        <v>1116.79</v>
      </c>
      <c r="E43" s="107">
        <v>694.2</v>
      </c>
      <c r="F43" s="70">
        <f>D43*E43</f>
        <v>775275.61800000002</v>
      </c>
      <c r="G43" s="107">
        <f>12272-113488</f>
        <v>-101216</v>
      </c>
      <c r="H43" s="115">
        <v>0.13900000000000001</v>
      </c>
      <c r="I43" s="238">
        <f>C43/(1+(1-H43)*(G43)/F43)</f>
        <v>1.0815776990721453</v>
      </c>
    </row>
    <row r="44" spans="2:9">
      <c r="B44" s="241" t="s">
        <v>328</v>
      </c>
      <c r="C44" s="220">
        <v>1.58</v>
      </c>
      <c r="D44" s="242">
        <v>1952.32</v>
      </c>
      <c r="E44" s="107">
        <v>492.3</v>
      </c>
      <c r="F44" s="70">
        <f>D44*E44</f>
        <v>961127.13599999994</v>
      </c>
      <c r="G44" s="107">
        <f>69005-37020</f>
        <v>31985</v>
      </c>
      <c r="H44" s="115">
        <v>0.127</v>
      </c>
      <c r="I44" s="238">
        <f>C44/(1+(1-H44)*(G44)/F44)</f>
        <v>1.5353933693229584</v>
      </c>
    </row>
    <row r="45" spans="2:9">
      <c r="B45" s="241" t="s">
        <v>329</v>
      </c>
      <c r="C45" s="222">
        <f>C36</f>
        <v>1.099</v>
      </c>
      <c r="D45" s="243"/>
      <c r="E45" s="244"/>
      <c r="F45" s="108">
        <f>C20</f>
        <v>1223044.68</v>
      </c>
      <c r="G45" s="108">
        <f>C21</f>
        <v>1257927</v>
      </c>
      <c r="H45" s="245">
        <f>C9</f>
        <v>0.17299999999999999</v>
      </c>
      <c r="I45" s="238">
        <f>C45/(1+(1-H45)*(G45)/F45)</f>
        <v>0.59386569457463512</v>
      </c>
    </row>
    <row r="46" spans="2:9">
      <c r="C46" s="238"/>
      <c r="F46" s="70"/>
      <c r="G46" s="70"/>
      <c r="H46" s="70"/>
      <c r="I46" s="127"/>
    </row>
    <row r="47" spans="2:9">
      <c r="B47" s="8" t="s">
        <v>330</v>
      </c>
      <c r="C47" s="238">
        <f>AVERAGE(I42:I45)</f>
        <v>1.1165057015291502</v>
      </c>
    </row>
    <row r="48" spans="2:9">
      <c r="B48" s="38" t="str">
        <f>B45&amp;" beta"</f>
        <v>Apple (AAPL) beta</v>
      </c>
      <c r="C48" s="246">
        <f>C47*(1+(1-H45)*(G45)/F45)</f>
        <v>2.0661906845106133</v>
      </c>
    </row>
    <row r="49" spans="3:3">
      <c r="C49" s="247"/>
    </row>
  </sheetData>
  <conditionalFormatting sqref="B24:C26">
    <cfRule type="expression" dxfId="0" priority="1">
      <formula>#REF!="Industry"</formula>
    </cfRule>
  </conditionalFormatting>
  <dataValidations disablePrompts="1" count="1">
    <dataValidation type="list" allowBlank="1" showInputMessage="1" showErrorMessage="1" sqref="C34" xr:uid="{5969403F-F59B-4DD9-94A4-15D44B9BB601}">
      <formula1>"Industry, Observed"</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tr">
        <f>'3-Statement Model'!C6&amp;"(NASDAQ: AAPL)"</f>
        <v>Beyond Meat, Inc.(NASDAQ: AAPL)</v>
      </c>
      <c r="C2" s="6"/>
      <c r="D2" s="6"/>
      <c r="E2" s="6"/>
    </row>
    <row r="3" spans="1:5">
      <c r="B3" s="6" t="s">
        <v>333</v>
      </c>
      <c r="C3" s="6"/>
      <c r="D3" s="6"/>
      <c r="E3" s="6"/>
    </row>
    <row r="4" spans="1:5">
      <c r="B4" s="6" t="s">
        <v>466</v>
      </c>
      <c r="C4" s="6"/>
      <c r="D4" s="6"/>
      <c r="E4" s="6"/>
    </row>
    <row r="5" spans="1:5" ht="5.0999999999999996" customHeight="1"/>
    <row r="6" spans="1:5">
      <c r="B6" s="487" t="s">
        <v>334</v>
      </c>
      <c r="C6" s="488"/>
      <c r="D6" s="488"/>
      <c r="E6" s="489">
        <f>DCF!H7</f>
        <v>262.82</v>
      </c>
    </row>
    <row r="7" spans="1:5" ht="5.0999999999999996" customHeight="1"/>
    <row r="8" spans="1:5">
      <c r="B8" s="38"/>
    </row>
    <row r="9" spans="1:5">
      <c r="A9" s="8" t="s">
        <v>25</v>
      </c>
      <c r="B9" s="491" t="s">
        <v>335</v>
      </c>
      <c r="C9" s="490" t="s">
        <v>336</v>
      </c>
      <c r="D9" s="490" t="s">
        <v>337</v>
      </c>
      <c r="E9" s="490" t="s">
        <v>338</v>
      </c>
    </row>
    <row r="10" spans="1:5">
      <c r="B10" s="492" t="s">
        <v>507</v>
      </c>
      <c r="C10" s="480" t="s">
        <v>339</v>
      </c>
      <c r="D10" s="480" t="s">
        <v>340</v>
      </c>
      <c r="E10" s="480" t="s">
        <v>339</v>
      </c>
    </row>
    <row r="11" spans="1:5" ht="5.0999999999999996" customHeight="1">
      <c r="B11" s="51"/>
      <c r="C11" s="493"/>
      <c r="D11" s="494"/>
      <c r="E11" s="494"/>
    </row>
    <row r="12" spans="1:5">
      <c r="B12" s="8" t="s">
        <v>341</v>
      </c>
      <c r="C12" s="220">
        <v>0</v>
      </c>
      <c r="D12" s="248">
        <v>0</v>
      </c>
      <c r="E12" s="222">
        <f>IF(D12&lt;=$E$6,C12,0)</f>
        <v>0</v>
      </c>
    </row>
    <row r="13" spans="1:5">
      <c r="B13" s="8" t="s">
        <v>342</v>
      </c>
      <c r="C13" s="220">
        <v>0</v>
      </c>
      <c r="D13" s="248">
        <v>0</v>
      </c>
      <c r="E13" s="222">
        <f t="shared" ref="E13:E18" si="0">IF(D13&lt;=$E$6,C13,0)</f>
        <v>0</v>
      </c>
    </row>
    <row r="14" spans="1:5">
      <c r="B14" s="8" t="s">
        <v>343</v>
      </c>
      <c r="C14" s="220">
        <v>0</v>
      </c>
      <c r="D14" s="248">
        <v>0</v>
      </c>
      <c r="E14" s="222">
        <f t="shared" si="0"/>
        <v>0</v>
      </c>
    </row>
    <row r="15" spans="1:5">
      <c r="B15" s="8" t="s">
        <v>344</v>
      </c>
      <c r="C15" s="220">
        <v>0</v>
      </c>
      <c r="D15" s="248">
        <v>0</v>
      </c>
      <c r="E15" s="222">
        <f t="shared" si="0"/>
        <v>0</v>
      </c>
    </row>
    <row r="16" spans="1:5">
      <c r="B16" s="8" t="s">
        <v>345</v>
      </c>
      <c r="C16" s="220">
        <v>0</v>
      </c>
      <c r="D16" s="248">
        <v>0</v>
      </c>
      <c r="E16" s="222">
        <f t="shared" si="0"/>
        <v>0</v>
      </c>
    </row>
    <row r="17" spans="1:7">
      <c r="B17" s="8" t="s">
        <v>346</v>
      </c>
      <c r="C17" s="220">
        <v>0</v>
      </c>
      <c r="D17" s="248">
        <v>0</v>
      </c>
      <c r="E17" s="222">
        <f t="shared" si="0"/>
        <v>0</v>
      </c>
    </row>
    <row r="18" spans="1:7" ht="14.25">
      <c r="B18" s="8" t="s">
        <v>347</v>
      </c>
      <c r="C18" s="249">
        <v>0</v>
      </c>
      <c r="D18" s="248">
        <v>0</v>
      </c>
      <c r="E18" s="222">
        <f t="shared" si="0"/>
        <v>0</v>
      </c>
    </row>
    <row r="19" spans="1:7">
      <c r="B19" s="484" t="s">
        <v>348</v>
      </c>
      <c r="C19" s="495">
        <f>SUM(C12:C18)</f>
        <v>0</v>
      </c>
      <c r="D19" s="495"/>
      <c r="E19" s="495">
        <f>SUM(E12:E18)</f>
        <v>0</v>
      </c>
    </row>
    <row r="20" spans="1:7" ht="5.0999999999999996" customHeight="1">
      <c r="C20" s="220"/>
      <c r="D20" s="250"/>
      <c r="E20" s="238"/>
    </row>
    <row r="21" spans="1:7">
      <c r="B21" s="110" t="s">
        <v>349</v>
      </c>
      <c r="C21" s="70"/>
      <c r="E21" s="222">
        <f>SUMPRODUCT(D12:D18,E12:E18)</f>
        <v>0</v>
      </c>
    </row>
    <row r="22" spans="1:7" ht="14.25">
      <c r="B22" s="110" t="s">
        <v>350</v>
      </c>
      <c r="E22" s="251">
        <f>-(E21/E6)</f>
        <v>0</v>
      </c>
    </row>
    <row r="23" spans="1:7">
      <c r="B23" s="484" t="s">
        <v>351</v>
      </c>
      <c r="C23" s="495"/>
      <c r="D23" s="495"/>
      <c r="E23" s="495">
        <f>E19+E22</f>
        <v>0</v>
      </c>
    </row>
    <row r="24" spans="1:7">
      <c r="B24" s="38"/>
      <c r="C24" s="38"/>
      <c r="D24" s="38"/>
      <c r="E24" s="246"/>
    </row>
    <row r="25" spans="1:7">
      <c r="A25" s="8" t="s">
        <v>25</v>
      </c>
      <c r="B25" s="491" t="s">
        <v>352</v>
      </c>
      <c r="C25" s="491"/>
      <c r="D25" s="491"/>
      <c r="E25" s="491"/>
    </row>
    <row r="26" spans="1:7" ht="5.0999999999999996" customHeight="1">
      <c r="E26" s="38"/>
    </row>
    <row r="27" spans="1:7">
      <c r="B27" s="111" t="s">
        <v>353</v>
      </c>
    </row>
    <row r="28" spans="1:7">
      <c r="B28" s="8" t="s">
        <v>354</v>
      </c>
      <c r="E28" s="107">
        <v>0</v>
      </c>
    </row>
    <row r="29" spans="1:7">
      <c r="B29" s="8" t="s">
        <v>355</v>
      </c>
      <c r="E29" s="242">
        <v>0</v>
      </c>
    </row>
    <row r="30" spans="1:7">
      <c r="B30" s="8" t="s">
        <v>356</v>
      </c>
      <c r="E30" s="253" t="e">
        <f>E28/E31</f>
        <v>#DIV/0!</v>
      </c>
    </row>
    <row r="31" spans="1:7">
      <c r="B31" s="8" t="s">
        <v>357</v>
      </c>
      <c r="E31" s="254">
        <f>E29*E28/1000</f>
        <v>0</v>
      </c>
      <c r="G31" s="255"/>
    </row>
    <row r="32" spans="1:7" ht="5.0999999999999996" customHeight="1"/>
    <row r="33" spans="2:7">
      <c r="B33" s="484" t="s">
        <v>358</v>
      </c>
      <c r="C33" s="484"/>
      <c r="D33" s="496"/>
      <c r="E33" s="495" t="e">
        <f>IF(E30&lt;E6,E31,0)</f>
        <v>#DIV/0!</v>
      </c>
    </row>
    <row r="34" spans="2:7">
      <c r="B34" s="102" t="s">
        <v>359</v>
      </c>
      <c r="C34" s="102"/>
      <c r="E34" s="256" t="e">
        <f>IF(E33&gt;0,-E28,0)</f>
        <v>#DIV/0!</v>
      </c>
    </row>
    <row r="35" spans="2:7" ht="5.0999999999999996" customHeight="1"/>
    <row r="36" spans="2:7">
      <c r="B36" s="111" t="s">
        <v>360</v>
      </c>
    </row>
    <row r="37" spans="2:7">
      <c r="B37" s="8" t="s">
        <v>361</v>
      </c>
      <c r="E37" s="107">
        <v>0</v>
      </c>
    </row>
    <row r="38" spans="2:7">
      <c r="B38" s="8" t="s">
        <v>362</v>
      </c>
      <c r="E38" s="220">
        <v>0</v>
      </c>
    </row>
    <row r="39" spans="2:7">
      <c r="B39" s="8" t="s">
        <v>363</v>
      </c>
      <c r="E39" s="242">
        <v>0</v>
      </c>
    </row>
    <row r="40" spans="2:7">
      <c r="B40" s="8" t="s">
        <v>357</v>
      </c>
      <c r="E40" s="222">
        <f>E38*E39</f>
        <v>0</v>
      </c>
      <c r="G40" s="255"/>
    </row>
    <row r="41" spans="2:7">
      <c r="B41" s="8" t="s">
        <v>356</v>
      </c>
      <c r="E41" s="257" t="e">
        <f>E37/E40</f>
        <v>#DIV/0!</v>
      </c>
    </row>
    <row r="42" spans="2:7" ht="5.0999999999999996" customHeight="1">
      <c r="E42" s="257"/>
    </row>
    <row r="43" spans="2:7">
      <c r="B43" s="484" t="s">
        <v>358</v>
      </c>
      <c r="C43" s="484"/>
      <c r="D43" s="496"/>
      <c r="E43" s="495" t="e">
        <f>IF(E41&lt;E6,E40,0)</f>
        <v>#DIV/0!</v>
      </c>
    </row>
    <row r="44" spans="2:7">
      <c r="B44" s="102" t="s">
        <v>359</v>
      </c>
      <c r="E44" s="108" t="e">
        <f>IF(E43&gt;0,-E37,0)</f>
        <v>#DIV/0!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 Financials</vt:lpstr>
      <vt:lpstr>Revenue Drivers</vt:lpstr>
      <vt:lpstr>FCF</vt:lpstr>
      <vt:lpstr>3-Statement Model</vt:lpstr>
      <vt:lpstr>DCF</vt:lpstr>
      <vt:lpstr>Street Consensus</vt:lpstr>
      <vt:lpstr>WACC</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2025-11-06T01:59:19Z</dcterms:modified>
</cp:coreProperties>
</file>