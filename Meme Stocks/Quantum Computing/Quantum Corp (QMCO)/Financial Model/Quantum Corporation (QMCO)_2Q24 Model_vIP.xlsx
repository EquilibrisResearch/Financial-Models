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B2937F0C-E096-4461-839B-A792DF01C4C7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3" i="8" l="1"/>
  <c r="J143" i="8"/>
  <c r="P152" i="8"/>
  <c r="L152" i="8"/>
  <c r="M152" i="8" s="1"/>
  <c r="N152" i="8" s="1"/>
  <c r="H152" i="8"/>
  <c r="P151" i="8"/>
  <c r="L151" i="8"/>
  <c r="M151" i="8" s="1"/>
  <c r="N151" i="8" s="1"/>
  <c r="H151" i="8"/>
  <c r="R152" i="8"/>
  <c r="N135" i="8"/>
  <c r="H135" i="8"/>
  <c r="I135" i="8" s="1"/>
  <c r="J135" i="8" s="1"/>
  <c r="P134" i="8"/>
  <c r="L134" i="8"/>
  <c r="H134" i="8"/>
  <c r="I134" i="8" s="1"/>
  <c r="J134" i="8" s="1"/>
  <c r="P133" i="8"/>
  <c r="L133" i="8"/>
  <c r="M133" i="8" s="1"/>
  <c r="H133" i="8"/>
  <c r="I133" i="8" s="1"/>
  <c r="J133" i="8" s="1"/>
  <c r="P132" i="8"/>
  <c r="L132" i="8"/>
  <c r="H132" i="8"/>
  <c r="L131" i="8"/>
  <c r="M131" i="8" s="1"/>
  <c r="N131" i="8" s="1"/>
  <c r="J131" i="8"/>
  <c r="H127" i="8"/>
  <c r="P126" i="8"/>
  <c r="L126" i="8"/>
  <c r="H126" i="8"/>
  <c r="I126" i="8" s="1"/>
  <c r="J126" i="8" s="1"/>
  <c r="N106" i="8"/>
  <c r="O122" i="8"/>
  <c r="P122" i="8" s="1"/>
  <c r="K122" i="8"/>
  <c r="G122" i="8"/>
  <c r="H122" i="8" s="1"/>
  <c r="I122" i="8" s="1"/>
  <c r="J122" i="8" s="1"/>
  <c r="O121" i="8"/>
  <c r="P121" i="8" s="1"/>
  <c r="K121" i="8"/>
  <c r="H121" i="8"/>
  <c r="I121" i="8" s="1"/>
  <c r="G121" i="8"/>
  <c r="P120" i="8"/>
  <c r="L120" i="8"/>
  <c r="H120" i="8"/>
  <c r="L119" i="8"/>
  <c r="H119" i="8"/>
  <c r="I119" i="8" s="1"/>
  <c r="J119" i="8" s="1"/>
  <c r="P118" i="8"/>
  <c r="L118" i="8"/>
  <c r="M118" i="8" s="1"/>
  <c r="N118" i="8" s="1"/>
  <c r="H118" i="8"/>
  <c r="P117" i="8"/>
  <c r="L117" i="8"/>
  <c r="M117" i="8" s="1"/>
  <c r="H117" i="8"/>
  <c r="P116" i="8"/>
  <c r="L116" i="8"/>
  <c r="H116" i="8"/>
  <c r="P115" i="8"/>
  <c r="L115" i="8"/>
  <c r="M115" i="8" s="1"/>
  <c r="N115" i="8" s="1"/>
  <c r="H115" i="8"/>
  <c r="I115" i="8" s="1"/>
  <c r="P114" i="8"/>
  <c r="L114" i="8"/>
  <c r="M114" i="8" s="1"/>
  <c r="N114" i="8" s="1"/>
  <c r="I114" i="8"/>
  <c r="H114" i="8"/>
  <c r="P113" i="8"/>
  <c r="L113" i="8"/>
  <c r="H113" i="8"/>
  <c r="H110" i="8"/>
  <c r="P109" i="8"/>
  <c r="L109" i="8"/>
  <c r="M109" i="8" s="1"/>
  <c r="N109" i="8" s="1"/>
  <c r="H109" i="8"/>
  <c r="I109" i="8" s="1"/>
  <c r="J109" i="8" s="1"/>
  <c r="N108" i="8"/>
  <c r="J108" i="8"/>
  <c r="P107" i="8"/>
  <c r="M107" i="8"/>
  <c r="N107" i="8" s="1"/>
  <c r="J107" i="8"/>
  <c r="J106" i="8"/>
  <c r="P105" i="8"/>
  <c r="L105" i="8"/>
  <c r="M105" i="8" s="1"/>
  <c r="N105" i="8" s="1"/>
  <c r="H105" i="8"/>
  <c r="P104" i="8"/>
  <c r="L104" i="8"/>
  <c r="H104" i="8"/>
  <c r="P103" i="8"/>
  <c r="N103" i="8"/>
  <c r="H103" i="8"/>
  <c r="P102" i="8"/>
  <c r="L102" i="8"/>
  <c r="H102" i="8"/>
  <c r="I102" i="8" s="1"/>
  <c r="J102" i="8" s="1"/>
  <c r="P101" i="8"/>
  <c r="L101" i="8"/>
  <c r="H101" i="8"/>
  <c r="R67" i="8"/>
  <c r="N67" i="8"/>
  <c r="J67" i="8"/>
  <c r="R66" i="8"/>
  <c r="N66" i="8"/>
  <c r="J66" i="8"/>
  <c r="R65" i="8"/>
  <c r="N65" i="8"/>
  <c r="J65" i="8"/>
  <c r="R51" i="8"/>
  <c r="N51" i="8"/>
  <c r="J51" i="8"/>
  <c r="R50" i="8"/>
  <c r="N50" i="8"/>
  <c r="J50" i="8"/>
  <c r="R49" i="8"/>
  <c r="N49" i="8"/>
  <c r="J49" i="8"/>
  <c r="R48" i="8"/>
  <c r="N48" i="8"/>
  <c r="J48" i="8"/>
  <c r="R47" i="8"/>
  <c r="N47" i="8"/>
  <c r="J47" i="8"/>
  <c r="N8" i="8"/>
  <c r="J8" i="8"/>
  <c r="I151" i="8" l="1"/>
  <c r="J151" i="8" s="1"/>
  <c r="I152" i="8"/>
  <c r="J152" i="8" s="1"/>
  <c r="J115" i="8"/>
  <c r="I132" i="8"/>
  <c r="J132" i="8" s="1"/>
  <c r="N133" i="8"/>
  <c r="M126" i="8"/>
  <c r="N126" i="8" s="1"/>
  <c r="M134" i="8"/>
  <c r="N134" i="8" s="1"/>
  <c r="M132" i="8"/>
  <c r="N132" i="8" s="1"/>
  <c r="I127" i="8"/>
  <c r="J127" i="8" s="1"/>
  <c r="J114" i="8"/>
  <c r="I117" i="8"/>
  <c r="J117" i="8" s="1"/>
  <c r="N117" i="8"/>
  <c r="J121" i="8"/>
  <c r="J104" i="8"/>
  <c r="N104" i="8"/>
  <c r="I103" i="8"/>
  <c r="J103" i="8" s="1"/>
  <c r="M104" i="8"/>
  <c r="M113" i="8"/>
  <c r="N113" i="8" s="1"/>
  <c r="I118" i="8"/>
  <c r="J118" i="8" s="1"/>
  <c r="M120" i="8"/>
  <c r="N120" i="8" s="1"/>
  <c r="L121" i="8"/>
  <c r="M121" i="8" s="1"/>
  <c r="I101" i="8"/>
  <c r="J101" i="8" s="1"/>
  <c r="I110" i="8"/>
  <c r="J110" i="8" s="1"/>
  <c r="I116" i="8"/>
  <c r="J116" i="8" s="1"/>
  <c r="M119" i="8"/>
  <c r="N119" i="8" s="1"/>
  <c r="L122" i="8"/>
  <c r="M122" i="8" s="1"/>
  <c r="M102" i="8"/>
  <c r="N102" i="8" s="1"/>
  <c r="I105" i="8"/>
  <c r="J105" i="8" s="1"/>
  <c r="M101" i="8"/>
  <c r="N101" i="8" s="1"/>
  <c r="I104" i="8"/>
  <c r="I113" i="8"/>
  <c r="J113" i="8" s="1"/>
  <c r="M116" i="8"/>
  <c r="N116" i="8" s="1"/>
  <c r="I120" i="8"/>
  <c r="J120" i="8" s="1"/>
  <c r="N122" i="8" l="1"/>
  <c r="N121" i="8"/>
  <c r="R151" i="8" l="1"/>
  <c r="R135" i="8"/>
  <c r="AF135" i="8" s="1"/>
  <c r="AC135" i="8"/>
  <c r="R132" i="8"/>
  <c r="R131" i="8"/>
  <c r="R85" i="8"/>
  <c r="AD85" i="8" s="1"/>
  <c r="N85" i="8"/>
  <c r="J85" i="8"/>
  <c r="R84" i="8"/>
  <c r="AD84" i="8" s="1"/>
  <c r="N84" i="8"/>
  <c r="J84" i="8"/>
  <c r="R83" i="8"/>
  <c r="AD83" i="8" s="1"/>
  <c r="N83" i="8"/>
  <c r="J83" i="8"/>
  <c r="R82" i="8"/>
  <c r="AD82" i="8" s="1"/>
  <c r="N82" i="8"/>
  <c r="J82" i="8"/>
  <c r="R81" i="8"/>
  <c r="AD81" i="8" s="1"/>
  <c r="N81" i="8"/>
  <c r="J81" i="8"/>
  <c r="R78" i="8"/>
  <c r="AD78" i="8" s="1"/>
  <c r="N78" i="8"/>
  <c r="J78" i="8"/>
  <c r="R77" i="8"/>
  <c r="AD77" i="8" s="1"/>
  <c r="N77" i="8"/>
  <c r="J77" i="8"/>
  <c r="R76" i="8"/>
  <c r="AD76" i="8" s="1"/>
  <c r="N76" i="8"/>
  <c r="J76" i="8"/>
  <c r="R75" i="8"/>
  <c r="AD75" i="8" s="1"/>
  <c r="N75" i="8"/>
  <c r="Y75" i="8" s="1"/>
  <c r="J75" i="8"/>
  <c r="R74" i="8"/>
  <c r="AD74" i="8" s="1"/>
  <c r="N74" i="8"/>
  <c r="J74" i="8"/>
  <c r="R70" i="8"/>
  <c r="AD70" i="8" s="1"/>
  <c r="N70" i="8"/>
  <c r="J70" i="8"/>
  <c r="R69" i="8"/>
  <c r="AD69" i="8" s="1"/>
  <c r="N69" i="8"/>
  <c r="J69" i="8"/>
  <c r="R68" i="8"/>
  <c r="AD68" i="8" s="1"/>
  <c r="N68" i="8"/>
  <c r="J68" i="8"/>
  <c r="AD65" i="8"/>
  <c r="R64" i="8"/>
  <c r="AD64" i="8" s="1"/>
  <c r="N64" i="8"/>
  <c r="J64" i="8"/>
  <c r="R60" i="8"/>
  <c r="N60" i="8"/>
  <c r="J60" i="8"/>
  <c r="R59" i="8"/>
  <c r="N59" i="8"/>
  <c r="J59" i="8"/>
  <c r="R58" i="8"/>
  <c r="N58" i="8"/>
  <c r="J58" i="8"/>
  <c r="R57" i="8"/>
  <c r="AD57" i="8" s="1"/>
  <c r="N57" i="8"/>
  <c r="Y57" i="8" s="1"/>
  <c r="J57" i="8"/>
  <c r="R56" i="8"/>
  <c r="N56" i="8"/>
  <c r="Z56" i="8" s="1"/>
  <c r="J56" i="8"/>
  <c r="V56" i="8" s="1"/>
  <c r="R52" i="8"/>
  <c r="AD52" i="8" s="1"/>
  <c r="N52" i="8"/>
  <c r="Z52" i="8" s="1"/>
  <c r="J52" i="8"/>
  <c r="V52" i="8" s="1"/>
  <c r="AD51" i="8"/>
  <c r="Z51" i="8"/>
  <c r="V51" i="8"/>
  <c r="AD47" i="8"/>
  <c r="Z47" i="8"/>
  <c r="V47" i="8"/>
  <c r="AF85" i="8"/>
  <c r="AE85" i="8"/>
  <c r="AC85" i="8"/>
  <c r="AB85" i="8"/>
  <c r="AF84" i="8"/>
  <c r="AE84" i="8"/>
  <c r="AC84" i="8"/>
  <c r="AB84" i="8"/>
  <c r="AF83" i="8"/>
  <c r="AE83" i="8"/>
  <c r="AC83" i="8"/>
  <c r="AB83" i="8"/>
  <c r="AF82" i="8"/>
  <c r="AE82" i="8"/>
  <c r="AC82" i="8"/>
  <c r="AB82" i="8"/>
  <c r="AF81" i="8"/>
  <c r="AE81" i="8"/>
  <c r="AC81" i="8"/>
  <c r="AB81" i="8"/>
  <c r="AF78" i="8"/>
  <c r="AE78" i="8"/>
  <c r="AC78" i="8"/>
  <c r="AB78" i="8"/>
  <c r="AF77" i="8"/>
  <c r="AE77" i="8"/>
  <c r="AC77" i="8"/>
  <c r="AB77" i="8"/>
  <c r="AF76" i="8"/>
  <c r="AE76" i="8"/>
  <c r="AC76" i="8"/>
  <c r="AB76" i="8"/>
  <c r="AF75" i="8"/>
  <c r="AE75" i="8"/>
  <c r="AC75" i="8"/>
  <c r="AB75" i="8"/>
  <c r="AF74" i="8"/>
  <c r="AE74" i="8"/>
  <c r="AC74" i="8"/>
  <c r="AB74" i="8"/>
  <c r="AF70" i="8"/>
  <c r="AE70" i="8"/>
  <c r="AC70" i="8"/>
  <c r="AB70" i="8"/>
  <c r="AF69" i="8"/>
  <c r="AE69" i="8"/>
  <c r="AC69" i="8"/>
  <c r="AB69" i="8"/>
  <c r="AF68" i="8"/>
  <c r="AE68" i="8"/>
  <c r="AC68" i="8"/>
  <c r="AB68" i="8"/>
  <c r="AF65" i="8"/>
  <c r="AE65" i="8"/>
  <c r="AC65" i="8"/>
  <c r="AB65" i="8"/>
  <c r="AF64" i="8"/>
  <c r="AE64" i="8"/>
  <c r="AC64" i="8"/>
  <c r="AB64" i="8"/>
  <c r="AF60" i="8"/>
  <c r="AE60" i="8"/>
  <c r="AC60" i="8"/>
  <c r="AB60" i="8"/>
  <c r="AF59" i="8"/>
  <c r="AE59" i="8"/>
  <c r="AC59" i="8"/>
  <c r="AB59" i="8"/>
  <c r="AF58" i="8"/>
  <c r="AE58" i="8"/>
  <c r="AC58" i="8"/>
  <c r="AB58" i="8"/>
  <c r="AF57" i="8"/>
  <c r="AE57" i="8"/>
  <c r="AC57" i="8"/>
  <c r="AB57" i="8"/>
  <c r="AF56" i="8"/>
  <c r="AE56" i="8"/>
  <c r="AC56" i="8"/>
  <c r="AB56" i="8"/>
  <c r="AA56" i="8"/>
  <c r="Y56" i="8"/>
  <c r="X56" i="8"/>
  <c r="W56" i="8"/>
  <c r="AE52" i="8"/>
  <c r="AC52" i="8"/>
  <c r="AB52" i="8"/>
  <c r="AA52" i="8"/>
  <c r="Y52" i="8"/>
  <c r="X52" i="8"/>
  <c r="W52" i="8"/>
  <c r="AE51" i="8"/>
  <c r="AC51" i="8"/>
  <c r="AB51" i="8"/>
  <c r="AA51" i="8"/>
  <c r="Y51" i="8"/>
  <c r="X51" i="8"/>
  <c r="W51" i="8"/>
  <c r="AE47" i="8"/>
  <c r="AC47" i="8"/>
  <c r="AB47" i="8"/>
  <c r="AA47" i="8"/>
  <c r="Y47" i="8"/>
  <c r="X47" i="8"/>
  <c r="W47" i="8"/>
  <c r="AE46" i="8"/>
  <c r="AC46" i="8"/>
  <c r="AB46" i="8"/>
  <c r="AA46" i="8"/>
  <c r="Y46" i="8"/>
  <c r="X46" i="8"/>
  <c r="W46" i="8"/>
  <c r="AF52" i="8"/>
  <c r="AF51" i="8"/>
  <c r="AF47" i="8"/>
  <c r="AF46" i="8"/>
  <c r="AH46" i="8" s="1"/>
  <c r="AF38" i="8"/>
  <c r="AE38" i="8"/>
  <c r="AC38" i="8"/>
  <c r="AB38" i="8"/>
  <c r="AE35" i="8"/>
  <c r="AC35" i="8"/>
  <c r="AB35" i="8"/>
  <c r="AA35" i="8"/>
  <c r="Y35" i="8"/>
  <c r="X35" i="8"/>
  <c r="W35" i="8"/>
  <c r="AF35" i="8"/>
  <c r="AE8" i="8"/>
  <c r="AD8" i="8"/>
  <c r="AC8" i="8"/>
  <c r="AB8" i="8"/>
  <c r="AA8" i="8"/>
  <c r="Z8" i="8"/>
  <c r="Y8" i="8"/>
  <c r="X8" i="8"/>
  <c r="W8" i="8"/>
  <c r="V8" i="8"/>
  <c r="AE7" i="8"/>
  <c r="AD7" i="8"/>
  <c r="AC7" i="8"/>
  <c r="AB7" i="8"/>
  <c r="AA7" i="8"/>
  <c r="Z7" i="8"/>
  <c r="Y7" i="8"/>
  <c r="X7" i="8"/>
  <c r="W7" i="8"/>
  <c r="V7" i="8"/>
  <c r="AF8" i="8"/>
  <c r="AF7" i="8"/>
  <c r="E136" i="8"/>
  <c r="R108" i="8"/>
  <c r="AE108" i="8" s="1"/>
  <c r="AC108" i="8"/>
  <c r="AA75" i="8"/>
  <c r="Z75" i="8"/>
  <c r="X75" i="8"/>
  <c r="W75" i="8"/>
  <c r="V75" i="8"/>
  <c r="AA57" i="8"/>
  <c r="Z57" i="8"/>
  <c r="X57" i="8"/>
  <c r="W57" i="8"/>
  <c r="V57" i="8"/>
  <c r="S136" i="8"/>
  <c r="C136" i="8"/>
  <c r="R110" i="8"/>
  <c r="AE110" i="8" s="1"/>
  <c r="R106" i="8"/>
  <c r="AF106" i="8" s="1"/>
  <c r="R105" i="8"/>
  <c r="AE105" i="8" s="1"/>
  <c r="AC110" i="8"/>
  <c r="R46" i="8"/>
  <c r="AD46" i="8" s="1"/>
  <c r="N46" i="8"/>
  <c r="Z46" i="8" s="1"/>
  <c r="J46" i="8"/>
  <c r="V46" i="8" s="1"/>
  <c r="R27" i="8"/>
  <c r="AE27" i="8" s="1"/>
  <c r="R26" i="8"/>
  <c r="AF26" i="8" s="1"/>
  <c r="R25" i="8"/>
  <c r="AF25" i="8" s="1"/>
  <c r="R24" i="8"/>
  <c r="AD24" i="8" s="1"/>
  <c r="J27" i="8"/>
  <c r="J26" i="8"/>
  <c r="J25" i="8"/>
  <c r="J24" i="8"/>
  <c r="N27" i="8"/>
  <c r="AC27" i="8" s="1"/>
  <c r="N26" i="8"/>
  <c r="AB26" i="8" s="1"/>
  <c r="N25" i="8"/>
  <c r="AC25" i="8" s="1"/>
  <c r="N24" i="8"/>
  <c r="AC24" i="8" s="1"/>
  <c r="AH51" i="8" l="1"/>
  <c r="AH83" i="8"/>
  <c r="AH65" i="8"/>
  <c r="AH57" i="8"/>
  <c r="AH59" i="8"/>
  <c r="AH76" i="8"/>
  <c r="AH52" i="8"/>
  <c r="AH56" i="8"/>
  <c r="AH69" i="8"/>
  <c r="AH78" i="8"/>
  <c r="AH81" i="8"/>
  <c r="AH68" i="8"/>
  <c r="AH77" i="8"/>
  <c r="AH84" i="8"/>
  <c r="AH47" i="8"/>
  <c r="AH58" i="8"/>
  <c r="AH60" i="8"/>
  <c r="AH75" i="8"/>
  <c r="AH70" i="8"/>
  <c r="AH74" i="8"/>
  <c r="AH85" i="8"/>
  <c r="AH82" i="8"/>
  <c r="AB135" i="8"/>
  <c r="AH135" i="8" s="1"/>
  <c r="AE135" i="8"/>
  <c r="AD135" i="8"/>
  <c r="AF105" i="8"/>
  <c r="AF108" i="8"/>
  <c r="AD106" i="8"/>
  <c r="AE106" i="8"/>
  <c r="AB108" i="8"/>
  <c r="AD105" i="8"/>
  <c r="AD108" i="8"/>
  <c r="AH26" i="8"/>
  <c r="T136" i="8"/>
  <c r="AF110" i="8"/>
  <c r="AD110" i="8"/>
  <c r="AB110" i="8"/>
  <c r="AB25" i="8"/>
  <c r="AH25" i="8" s="1"/>
  <c r="AE24" i="8"/>
  <c r="AC26" i="8"/>
  <c r="AF27" i="8"/>
  <c r="AF24" i="8"/>
  <c r="AD26" i="8"/>
  <c r="AE26" i="8"/>
  <c r="AD25" i="8"/>
  <c r="AB27" i="8"/>
  <c r="AB24" i="8"/>
  <c r="AE25" i="8"/>
  <c r="AD27" i="8"/>
  <c r="M136" i="8"/>
  <c r="D136" i="8"/>
  <c r="K136" i="8"/>
  <c r="L136" i="8"/>
  <c r="G136" i="8"/>
  <c r="O136" i="8"/>
  <c r="H136" i="8"/>
  <c r="P136" i="8"/>
  <c r="Q136" i="8"/>
  <c r="Y135" i="8"/>
  <c r="Y136" i="8" s="1"/>
  <c r="Z135" i="8"/>
  <c r="Z136" i="8" s="1"/>
  <c r="AA135" i="8"/>
  <c r="AA136" i="8" s="1"/>
  <c r="X135" i="8"/>
  <c r="X136" i="8" s="1"/>
  <c r="R107" i="8"/>
  <c r="AF107" i="8" s="1"/>
  <c r="R109" i="8"/>
  <c r="R102" i="8"/>
  <c r="AF102" i="8" s="1"/>
  <c r="R103" i="8"/>
  <c r="R104" i="8"/>
  <c r="R126" i="8"/>
  <c r="R127" i="8"/>
  <c r="AD127" i="8" s="1"/>
  <c r="AH27" i="8" l="1"/>
  <c r="AH108" i="8"/>
  <c r="AC102" i="8"/>
  <c r="AB102" i="8"/>
  <c r="AC122" i="8"/>
  <c r="AB122" i="8"/>
  <c r="AB126" i="8"/>
  <c r="AC126" i="8"/>
  <c r="AH24" i="8"/>
  <c r="AE104" i="8"/>
  <c r="AD104" i="8"/>
  <c r="AF104" i="8"/>
  <c r="AC106" i="8"/>
  <c r="AB106" i="8"/>
  <c r="AH106" i="8" s="1"/>
  <c r="AE103" i="8"/>
  <c r="AF103" i="8"/>
  <c r="AD103" i="8"/>
  <c r="AB103" i="8"/>
  <c r="AC103" i="8"/>
  <c r="AC121" i="8"/>
  <c r="AB121" i="8"/>
  <c r="AE127" i="8"/>
  <c r="AC105" i="8"/>
  <c r="AC104" i="8"/>
  <c r="AC107" i="8"/>
  <c r="AB107" i="8"/>
  <c r="AH107" i="8" s="1"/>
  <c r="AB101" i="8"/>
  <c r="AC101" i="8"/>
  <c r="AE131" i="8"/>
  <c r="AF131" i="8"/>
  <c r="AD131" i="8"/>
  <c r="AF132" i="8"/>
  <c r="AE132" i="8"/>
  <c r="AD132" i="8"/>
  <c r="AF127" i="8"/>
  <c r="AD102" i="8"/>
  <c r="AE102" i="8"/>
  <c r="AC113" i="8"/>
  <c r="AE109" i="8"/>
  <c r="AD109" i="8"/>
  <c r="AF109" i="8"/>
  <c r="AC131" i="8"/>
  <c r="AB131" i="8"/>
  <c r="AC109" i="8"/>
  <c r="AF126" i="8"/>
  <c r="AE126" i="8"/>
  <c r="AD126" i="8"/>
  <c r="AB127" i="8"/>
  <c r="AC127" i="8"/>
  <c r="AD107" i="8"/>
  <c r="AE107" i="8"/>
  <c r="AC132" i="8"/>
  <c r="AB132" i="8"/>
  <c r="AH110" i="8"/>
  <c r="I136" i="8"/>
  <c r="J136" i="8"/>
  <c r="R136" i="8"/>
  <c r="N136" i="8"/>
  <c r="V135" i="8"/>
  <c r="V136" i="8" s="1"/>
  <c r="W135" i="8"/>
  <c r="W136" i="8" s="1"/>
  <c r="AB136" i="8" l="1"/>
  <c r="AD136" i="8"/>
  <c r="AB109" i="8"/>
  <c r="AH109" i="8" s="1"/>
  <c r="AB104" i="8"/>
  <c r="AH104" i="8" s="1"/>
  <c r="AH132" i="8"/>
  <c r="AB113" i="8"/>
  <c r="AH131" i="8"/>
  <c r="AF136" i="8"/>
  <c r="AB105" i="8"/>
  <c r="AH105" i="8" s="1"/>
  <c r="AE136" i="8"/>
  <c r="AC136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R143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V126" i="8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T86" i="8"/>
  <c r="S86" i="8"/>
  <c r="Q86" i="8"/>
  <c r="P86" i="8"/>
  <c r="Q66" i="9" s="1"/>
  <c r="O86" i="8"/>
  <c r="P66" i="9" s="1"/>
  <c r="M86" i="8"/>
  <c r="N66" i="9" s="1"/>
  <c r="L86" i="8"/>
  <c r="M66" i="9" s="1"/>
  <c r="K86" i="8"/>
  <c r="L66" i="9" s="1"/>
  <c r="I86" i="8"/>
  <c r="J66" i="9" s="1"/>
  <c r="H86" i="8"/>
  <c r="I66" i="9" s="1"/>
  <c r="G86" i="8"/>
  <c r="H66" i="9" s="1"/>
  <c r="E86" i="8"/>
  <c r="D86" i="8"/>
  <c r="C86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X113" i="8"/>
  <c r="V103" i="8"/>
  <c r="K27" i="9"/>
  <c r="K58" i="9"/>
  <c r="X58" i="9" s="1"/>
  <c r="R20" i="8"/>
  <c r="R18" i="8"/>
  <c r="N20" i="8"/>
  <c r="O18" i="9"/>
  <c r="N18" i="8"/>
  <c r="J20" i="8"/>
  <c r="K19" i="9" s="1"/>
  <c r="K23" i="9" s="1"/>
  <c r="J18" i="8"/>
  <c r="X18" i="8" s="1"/>
  <c r="AA85" i="8"/>
  <c r="Z85" i="8"/>
  <c r="X85" i="8"/>
  <c r="W85" i="8"/>
  <c r="V85" i="8"/>
  <c r="AA84" i="8"/>
  <c r="Z84" i="8"/>
  <c r="X84" i="8"/>
  <c r="W84" i="8"/>
  <c r="V84" i="8"/>
  <c r="AA81" i="8"/>
  <c r="Z81" i="8"/>
  <c r="X81" i="8"/>
  <c r="W81" i="8"/>
  <c r="V81" i="8"/>
  <c r="AA74" i="8"/>
  <c r="Z74" i="8"/>
  <c r="X74" i="8"/>
  <c r="W74" i="8"/>
  <c r="V74" i="8"/>
  <c r="AA70" i="8"/>
  <c r="Z70" i="8"/>
  <c r="X70" i="8"/>
  <c r="W70" i="8"/>
  <c r="V70" i="8"/>
  <c r="AA65" i="8"/>
  <c r="Z65" i="8"/>
  <c r="X65" i="8"/>
  <c r="W65" i="8"/>
  <c r="V65" i="8"/>
  <c r="AA64" i="8"/>
  <c r="Z64" i="8"/>
  <c r="X64" i="8"/>
  <c r="W64" i="8"/>
  <c r="V64" i="8"/>
  <c r="AA60" i="8"/>
  <c r="Z60" i="8"/>
  <c r="X60" i="8"/>
  <c r="W60" i="8"/>
  <c r="V60" i="8"/>
  <c r="AA59" i="8"/>
  <c r="Z59" i="8"/>
  <c r="X59" i="8"/>
  <c r="W59" i="8"/>
  <c r="V59" i="8"/>
  <c r="AA58" i="8"/>
  <c r="Z58" i="8"/>
  <c r="X58" i="8"/>
  <c r="W58" i="8"/>
  <c r="V58" i="8"/>
  <c r="AA38" i="8"/>
  <c r="Z38" i="8"/>
  <c r="X38" i="8"/>
  <c r="W38" i="8"/>
  <c r="V38" i="8"/>
  <c r="R31" i="8"/>
  <c r="N31" i="8"/>
  <c r="J31" i="8"/>
  <c r="W31" i="8" s="1"/>
  <c r="V104" i="8"/>
  <c r="Y85" i="8"/>
  <c r="Y84" i="8"/>
  <c r="Y81" i="8"/>
  <c r="Y74" i="8"/>
  <c r="K57" i="9"/>
  <c r="Y70" i="8"/>
  <c r="Y65" i="8"/>
  <c r="K56" i="9"/>
  <c r="AD60" i="8"/>
  <c r="Y60" i="8"/>
  <c r="AD59" i="8"/>
  <c r="Y59" i="8"/>
  <c r="AD58" i="8"/>
  <c r="Y58" i="8"/>
  <c r="K59" i="9"/>
  <c r="AD56" i="8"/>
  <c r="K51" i="9"/>
  <c r="X51" i="9" s="1"/>
  <c r="K55" i="9"/>
  <c r="K50" i="9"/>
  <c r="X50" i="9" s="1"/>
  <c r="K48" i="9"/>
  <c r="R38" i="8"/>
  <c r="AD38" i="8" s="1"/>
  <c r="R35" i="8"/>
  <c r="AD35" i="8" s="1"/>
  <c r="R17" i="8"/>
  <c r="R13" i="8"/>
  <c r="R10" i="8"/>
  <c r="N13" i="8"/>
  <c r="J13" i="8"/>
  <c r="V13" i="8" s="1"/>
  <c r="N10" i="8"/>
  <c r="N17" i="8"/>
  <c r="J38" i="8"/>
  <c r="J35" i="8"/>
  <c r="V35" i="8" s="1"/>
  <c r="W24" i="8"/>
  <c r="J17" i="8"/>
  <c r="X17" i="8" s="1"/>
  <c r="J10" i="8"/>
  <c r="AB33" i="9" l="1"/>
  <c r="AC33" i="9"/>
  <c r="AD33" i="9"/>
  <c r="X33" i="9"/>
  <c r="AF33" i="9"/>
  <c r="Y33" i="9"/>
  <c r="Z33" i="9"/>
  <c r="AD10" i="8"/>
  <c r="AF10" i="8"/>
  <c r="AE10" i="8"/>
  <c r="Y13" i="8"/>
  <c r="AC13" i="8"/>
  <c r="AB13" i="8"/>
  <c r="AF31" i="8"/>
  <c r="AE31" i="8"/>
  <c r="AD31" i="8"/>
  <c r="AF13" i="8"/>
  <c r="AE13" i="8"/>
  <c r="AD13" i="8"/>
  <c r="AC17" i="8"/>
  <c r="AB17" i="8"/>
  <c r="Z20" i="8"/>
  <c r="AC20" i="8"/>
  <c r="AB20" i="8"/>
  <c r="V10" i="8"/>
  <c r="Y10" i="8"/>
  <c r="X10" i="8"/>
  <c r="W10" i="8"/>
  <c r="AC10" i="8"/>
  <c r="Z10" i="8"/>
  <c r="AB10" i="8"/>
  <c r="AA10" i="8"/>
  <c r="AF18" i="8"/>
  <c r="AE18" i="8"/>
  <c r="AD18" i="8"/>
  <c r="AF17" i="8"/>
  <c r="AE17" i="8"/>
  <c r="AD17" i="8"/>
  <c r="AB18" i="8"/>
  <c r="AC18" i="8"/>
  <c r="Y31" i="8"/>
  <c r="AB31" i="8"/>
  <c r="AC31" i="8"/>
  <c r="AE20" i="8"/>
  <c r="AF20" i="8"/>
  <c r="AD20" i="8"/>
  <c r="V52" i="9"/>
  <c r="AH64" i="8"/>
  <c r="AA39" i="9"/>
  <c r="W143" i="8"/>
  <c r="Q52" i="9"/>
  <c r="U52" i="9"/>
  <c r="K52" i="9"/>
  <c r="AE39" i="9"/>
  <c r="X39" i="9"/>
  <c r="Y39" i="9"/>
  <c r="Z39" i="9"/>
  <c r="AH35" i="8"/>
  <c r="AB39" i="9"/>
  <c r="AC39" i="9"/>
  <c r="H67" i="9"/>
  <c r="AD39" i="9"/>
  <c r="W113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H38" i="8"/>
  <c r="Y20" i="8"/>
  <c r="W13" i="8"/>
  <c r="K18" i="9"/>
  <c r="V17" i="8"/>
  <c r="AA20" i="8"/>
  <c r="O17" i="9"/>
  <c r="W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Z143" i="8"/>
  <c r="AC143" i="8"/>
  <c r="AF51" i="9"/>
  <c r="M27" i="9"/>
  <c r="P42" i="9"/>
  <c r="V24" i="8"/>
  <c r="K12" i="9"/>
  <c r="O16" i="9"/>
  <c r="I38" i="9"/>
  <c r="O50" i="9"/>
  <c r="AB50" i="9" s="1"/>
  <c r="O57" i="9"/>
  <c r="AF58" i="9"/>
  <c r="M37" i="9"/>
  <c r="M40" i="9"/>
  <c r="Y18" i="8"/>
  <c r="X24" i="8"/>
  <c r="AA13" i="8"/>
  <c r="Z13" i="8"/>
  <c r="Y64" i="8"/>
  <c r="O56" i="9"/>
  <c r="X20" i="8"/>
  <c r="W20" i="8"/>
  <c r="V20" i="8"/>
  <c r="O58" i="9"/>
  <c r="AB58" i="9" s="1"/>
  <c r="Z126" i="8"/>
  <c r="AA24" i="8"/>
  <c r="O48" i="9"/>
  <c r="V31" i="8"/>
  <c r="K32" i="9"/>
  <c r="Q34" i="9"/>
  <c r="AD143" i="8"/>
  <c r="Q40" i="9"/>
  <c r="W104" i="8"/>
  <c r="Z18" i="8"/>
  <c r="Y24" i="8"/>
  <c r="X31" i="8"/>
  <c r="M38" i="9"/>
  <c r="Q27" i="9"/>
  <c r="Q41" i="9"/>
  <c r="AE143" i="8"/>
  <c r="AF143" i="8"/>
  <c r="AA18" i="8"/>
  <c r="Z24" i="8"/>
  <c r="M31" i="9"/>
  <c r="N34" i="9"/>
  <c r="Z17" i="8"/>
  <c r="Y143" i="8"/>
  <c r="O12" i="9"/>
  <c r="AA143" i="8"/>
  <c r="O32" i="9"/>
  <c r="AA31" i="8"/>
  <c r="Z31" i="8"/>
  <c r="AA17" i="8"/>
  <c r="Y17" i="8"/>
  <c r="K38" i="9"/>
  <c r="W126" i="8"/>
  <c r="X13" i="8"/>
  <c r="AB143" i="8"/>
  <c r="O55" i="9"/>
  <c r="V102" i="8"/>
  <c r="W17" i="8"/>
  <c r="I27" i="9"/>
  <c r="J38" i="9"/>
  <c r="W102" i="8"/>
  <c r="J27" i="9"/>
  <c r="I34" i="9"/>
  <c r="V18" i="8"/>
  <c r="K41" i="9"/>
  <c r="X41" i="9" s="1"/>
  <c r="H42" i="9"/>
  <c r="W103" i="8"/>
  <c r="V113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W86" i="8"/>
  <c r="J86" i="8"/>
  <c r="K66" i="9" s="1"/>
  <c r="Y86" i="8"/>
  <c r="AA86" i="8"/>
  <c r="AB86" i="8"/>
  <c r="AC86" i="8"/>
  <c r="AE86" i="8"/>
  <c r="X86" i="8"/>
  <c r="N86" i="8"/>
  <c r="O66" i="9" s="1"/>
  <c r="Z86" i="8"/>
  <c r="AD86" i="8"/>
  <c r="V86" i="8"/>
  <c r="R86" i="8"/>
  <c r="AF86" i="8"/>
  <c r="J31" i="9"/>
  <c r="J34" i="9"/>
  <c r="R121" i="8"/>
  <c r="Z113" i="8"/>
  <c r="X103" i="8"/>
  <c r="AF121" i="8" l="1"/>
  <c r="AE121" i="8"/>
  <c r="AD121" i="8"/>
  <c r="AH20" i="8"/>
  <c r="AH18" i="8"/>
  <c r="X143" i="8"/>
  <c r="V143" i="8"/>
  <c r="Z41" i="9"/>
  <c r="Y104" i="8"/>
  <c r="Z27" i="9"/>
  <c r="AI39" i="9"/>
  <c r="Z38" i="9"/>
  <c r="AH31" i="8"/>
  <c r="Y41" i="9"/>
  <c r="AH39" i="9"/>
  <c r="AF39" i="9"/>
  <c r="Y38" i="9"/>
  <c r="AG39" i="9"/>
  <c r="X38" i="9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Y127" i="8"/>
  <c r="N27" i="9"/>
  <c r="AA27" i="9" s="1"/>
  <c r="X126" i="8"/>
  <c r="Y126" i="8"/>
  <c r="AA104" i="8"/>
  <c r="X122" i="8"/>
  <c r="Z101" i="8"/>
  <c r="N41" i="9"/>
  <c r="AF140" i="8"/>
  <c r="AE140" i="8"/>
  <c r="Q42" i="9"/>
  <c r="K42" i="9"/>
  <c r="N31" i="9"/>
  <c r="AA126" i="8"/>
  <c r="K37" i="9"/>
  <c r="Z121" i="8"/>
  <c r="M42" i="9"/>
  <c r="Y121" i="8"/>
  <c r="AI40" i="9"/>
  <c r="N38" i="9"/>
  <c r="AA38" i="9" s="1"/>
  <c r="X104" i="8"/>
  <c r="Y113" i="8"/>
  <c r="J40" i="9"/>
  <c r="X101" i="8"/>
  <c r="O37" i="9"/>
  <c r="Y101" i="8"/>
  <c r="AA101" i="8"/>
  <c r="N37" i="9"/>
  <c r="V121" i="8"/>
  <c r="O38" i="9"/>
  <c r="AE38" i="9" s="1"/>
  <c r="AA113" i="8"/>
  <c r="X102" i="8"/>
  <c r="N40" i="9"/>
  <c r="W127" i="8"/>
  <c r="AA121" i="8"/>
  <c r="Z104" i="8"/>
  <c r="AH103" i="8"/>
  <c r="R113" i="8"/>
  <c r="R122" i="8"/>
  <c r="R101" i="8"/>
  <c r="Y102" i="8"/>
  <c r="AE113" i="8" l="1"/>
  <c r="AD113" i="8"/>
  <c r="AF113" i="8"/>
  <c r="AH113" i="8" s="1"/>
  <c r="AE101" i="8"/>
  <c r="AD101" i="8"/>
  <c r="AF101" i="8"/>
  <c r="AH101" i="8" s="1"/>
  <c r="AD122" i="8"/>
  <c r="AE122" i="8"/>
  <c r="AF122" i="8"/>
  <c r="AH122" i="8" s="1"/>
  <c r="W121" i="8"/>
  <c r="Y122" i="8"/>
  <c r="W101" i="8"/>
  <c r="AA41" i="9"/>
  <c r="AI38" i="9"/>
  <c r="AG38" i="9"/>
  <c r="AH40" i="9"/>
  <c r="AH38" i="9"/>
  <c r="AG40" i="9"/>
  <c r="AH127" i="8"/>
  <c r="AF40" i="9"/>
  <c r="AD38" i="9"/>
  <c r="AB38" i="9"/>
  <c r="AF38" i="9"/>
  <c r="AC38" i="9"/>
  <c r="AH121" i="8"/>
  <c r="Z103" i="8"/>
  <c r="V101" i="8"/>
  <c r="AA103" i="8"/>
  <c r="Z42" i="9"/>
  <c r="Y42" i="9"/>
  <c r="X42" i="9"/>
  <c r="Z102" i="8"/>
  <c r="Y103" i="8"/>
  <c r="AK17" i="9"/>
  <c r="AA102" i="8"/>
  <c r="Z122" i="8"/>
  <c r="AH126" i="8"/>
  <c r="AA122" i="8"/>
  <c r="O40" i="9"/>
  <c r="AC40" i="9" s="1"/>
  <c r="AI31" i="9"/>
  <c r="K40" i="9"/>
  <c r="AA40" i="9" s="1"/>
  <c r="N42" i="9"/>
  <c r="AA42" i="9" s="1"/>
  <c r="O41" i="9"/>
  <c r="AE41" i="9" s="1"/>
  <c r="Z127" i="8"/>
  <c r="O27" i="9"/>
  <c r="AA127" i="8"/>
  <c r="X121" i="8"/>
  <c r="K34" i="9"/>
  <c r="V122" i="8"/>
  <c r="O34" i="9"/>
  <c r="O31" i="9"/>
  <c r="AD31" i="9" s="1"/>
  <c r="X127" i="8"/>
  <c r="K31" i="9"/>
  <c r="V127" i="8"/>
  <c r="W122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H102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S71" i="8"/>
  <c r="Q71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S128" i="8"/>
  <c r="O128" i="8"/>
  <c r="K128" i="8"/>
  <c r="R11" i="8"/>
  <c r="N11" i="8"/>
  <c r="O8" i="9" s="1"/>
  <c r="N38" i="8"/>
  <c r="Y38" i="8" s="1"/>
  <c r="N35" i="8"/>
  <c r="Z35" i="8" s="1"/>
  <c r="J11" i="8"/>
  <c r="K8" i="9" s="1"/>
  <c r="AG48" i="9"/>
  <c r="AG52" i="9" s="1"/>
  <c r="Y57" i="9"/>
  <c r="AB66" i="9"/>
  <c r="P53" i="8"/>
  <c r="P61" i="8" s="1"/>
  <c r="O53" i="8"/>
  <c r="O61" i="8" s="1"/>
  <c r="K53" i="8"/>
  <c r="K61" i="8" s="1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AF66" i="9"/>
  <c r="AE66" i="9"/>
  <c r="AD66" i="9"/>
  <c r="AA66" i="9"/>
  <c r="Z66" i="9"/>
  <c r="Y66" i="9"/>
  <c r="X66" i="9"/>
  <c r="I71" i="8"/>
  <c r="H71" i="8"/>
  <c r="G53" i="8"/>
  <c r="G61" i="8" s="1"/>
  <c r="H53" i="8"/>
  <c r="H61" i="8" s="1"/>
  <c r="I53" i="8"/>
  <c r="I61" i="8" s="1"/>
  <c r="L53" i="8"/>
  <c r="L61" i="8" s="1"/>
  <c r="M53" i="8"/>
  <c r="M61" i="8" s="1"/>
  <c r="Q53" i="8"/>
  <c r="Q61" i="8" s="1"/>
  <c r="S53" i="8"/>
  <c r="S61" i="8" s="1"/>
  <c r="T53" i="8"/>
  <c r="T61" i="8" s="1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3" i="8"/>
  <c r="G42" i="8"/>
  <c r="E43" i="8"/>
  <c r="D43" i="8"/>
  <c r="C43" i="8"/>
  <c r="E42" i="8"/>
  <c r="D42" i="8"/>
  <c r="C42" i="8"/>
  <c r="T11" i="8"/>
  <c r="T14" i="8" s="1"/>
  <c r="S11" i="8"/>
  <c r="S14" i="8" s="1"/>
  <c r="S21" i="8" s="1"/>
  <c r="S28" i="8" s="1"/>
  <c r="Q11" i="8"/>
  <c r="Q14" i="8" s="1"/>
  <c r="P11" i="8"/>
  <c r="P14" i="8" s="1"/>
  <c r="O11" i="8"/>
  <c r="O14" i="8" s="1"/>
  <c r="M11" i="8"/>
  <c r="L11" i="8"/>
  <c r="K11" i="8"/>
  <c r="I11" i="8"/>
  <c r="H11" i="8"/>
  <c r="G11" i="8"/>
  <c r="E4" i="10"/>
  <c r="D4" i="10"/>
  <c r="C4" i="10"/>
  <c r="E3" i="10"/>
  <c r="D3" i="10"/>
  <c r="C3" i="10"/>
  <c r="F4" i="10"/>
  <c r="F3" i="10"/>
  <c r="AA140" i="8" l="1"/>
  <c r="AB140" i="8"/>
  <c r="X140" i="8"/>
  <c r="G14" i="8"/>
  <c r="G15" i="8" s="1"/>
  <c r="H8" i="9"/>
  <c r="H13" i="9" s="1"/>
  <c r="Q79" i="8"/>
  <c r="H14" i="8"/>
  <c r="H15" i="8" s="1"/>
  <c r="I8" i="9"/>
  <c r="V140" i="8"/>
  <c r="W140" i="8"/>
  <c r="K14" i="8"/>
  <c r="K21" i="8" s="1"/>
  <c r="K28" i="8" s="1"/>
  <c r="K29" i="8" s="1"/>
  <c r="L8" i="9"/>
  <c r="H79" i="8"/>
  <c r="I61" i="9" s="1"/>
  <c r="I60" i="9"/>
  <c r="L14" i="8"/>
  <c r="L15" i="8" s="1"/>
  <c r="M8" i="9"/>
  <c r="I79" i="8"/>
  <c r="J61" i="9" s="1"/>
  <c r="J60" i="9"/>
  <c r="M14" i="8"/>
  <c r="M15" i="8" s="1"/>
  <c r="N8" i="9"/>
  <c r="AD140" i="8"/>
  <c r="AC140" i="8"/>
  <c r="I14" i="8"/>
  <c r="I21" i="8" s="1"/>
  <c r="I28" i="8" s="1"/>
  <c r="J8" i="9"/>
  <c r="Z140" i="8"/>
  <c r="Y140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O71" i="8"/>
  <c r="T71" i="8"/>
  <c r="L71" i="8"/>
  <c r="K71" i="8"/>
  <c r="L60" i="9" s="1"/>
  <c r="P71" i="8"/>
  <c r="Q60" i="9" s="1"/>
  <c r="E71" i="8"/>
  <c r="M71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T128" i="8"/>
  <c r="H128" i="8"/>
  <c r="R128" i="8"/>
  <c r="J128" i="8"/>
  <c r="L128" i="8"/>
  <c r="P128" i="8"/>
  <c r="Q128" i="8"/>
  <c r="S32" i="8"/>
  <c r="S98" i="8" s="1"/>
  <c r="J14" i="8"/>
  <c r="J15" i="8" s="1"/>
  <c r="R14" i="8"/>
  <c r="R15" i="8" s="1"/>
  <c r="N14" i="8"/>
  <c r="N15" i="8" s="1"/>
  <c r="AC66" i="9"/>
  <c r="R71" i="8"/>
  <c r="R53" i="8"/>
  <c r="R61" i="8" s="1"/>
  <c r="N53" i="8"/>
  <c r="N61" i="8" s="1"/>
  <c r="N71" i="8"/>
  <c r="J53" i="8"/>
  <c r="J61" i="8" s="1"/>
  <c r="J71" i="8"/>
  <c r="T15" i="8"/>
  <c r="T21" i="8"/>
  <c r="P15" i="8"/>
  <c r="P21" i="8"/>
  <c r="S29" i="8"/>
  <c r="Q15" i="8"/>
  <c r="Q21" i="8"/>
  <c r="Q28" i="8" s="1"/>
  <c r="O15" i="8"/>
  <c r="O21" i="8"/>
  <c r="O28" i="8" s="1"/>
  <c r="S15" i="8"/>
  <c r="S22" i="8"/>
  <c r="Y8" i="9" l="1"/>
  <c r="G21" i="8"/>
  <c r="G28" i="8" s="1"/>
  <c r="G29" i="8" s="1"/>
  <c r="X8" i="9"/>
  <c r="AA8" i="9"/>
  <c r="L21" i="8"/>
  <c r="L28" i="8" s="1"/>
  <c r="I87" i="8"/>
  <c r="I89" i="8" s="1"/>
  <c r="Q87" i="8"/>
  <c r="Q89" i="8" s="1"/>
  <c r="H87" i="8"/>
  <c r="H89" i="8" s="1"/>
  <c r="K22" i="8"/>
  <c r="K32" i="8"/>
  <c r="K98" i="8" s="1"/>
  <c r="K123" i="8" s="1"/>
  <c r="K144" i="8" s="1"/>
  <c r="AB8" i="9"/>
  <c r="K15" i="8"/>
  <c r="M21" i="8"/>
  <c r="M28" i="8" s="1"/>
  <c r="Z8" i="9"/>
  <c r="H21" i="8"/>
  <c r="H28" i="8" s="1"/>
  <c r="I15" i="8"/>
  <c r="R79" i="8"/>
  <c r="AF61" i="9" s="1"/>
  <c r="AF60" i="9"/>
  <c r="O79" i="8"/>
  <c r="P61" i="9" s="1"/>
  <c r="AC61" i="9" s="1"/>
  <c r="P60" i="9"/>
  <c r="AC60" i="9" s="1"/>
  <c r="M79" i="8"/>
  <c r="N61" i="9" s="1"/>
  <c r="AA61" i="9" s="1"/>
  <c r="N60" i="9"/>
  <c r="AA60" i="9" s="1"/>
  <c r="E79" i="8"/>
  <c r="L79" i="8"/>
  <c r="M61" i="9" s="1"/>
  <c r="Z61" i="9" s="1"/>
  <c r="M60" i="9"/>
  <c r="Z60" i="9" s="1"/>
  <c r="N79" i="8"/>
  <c r="O61" i="9" s="1"/>
  <c r="AB61" i="9" s="1"/>
  <c r="O60" i="9"/>
  <c r="AB60" i="9" s="1"/>
  <c r="T79" i="8"/>
  <c r="H20" i="9"/>
  <c r="H14" i="9"/>
  <c r="J79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S123" i="8"/>
  <c r="S144" i="8" s="1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K79" i="8"/>
  <c r="P79" i="8"/>
  <c r="S79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M128" i="8"/>
  <c r="I128" i="8"/>
  <c r="N128" i="8"/>
  <c r="S33" i="8"/>
  <c r="S36" i="8"/>
  <c r="S39" i="8"/>
  <c r="P22" i="8"/>
  <c r="P28" i="8"/>
  <c r="T22" i="8"/>
  <c r="T28" i="8"/>
  <c r="T32" i="8" s="1"/>
  <c r="T98" i="8" s="1"/>
  <c r="J21" i="8"/>
  <c r="R21" i="8"/>
  <c r="N21" i="8"/>
  <c r="Q22" i="8"/>
  <c r="O22" i="8"/>
  <c r="I22" i="8"/>
  <c r="G22" i="8" l="1"/>
  <c r="O87" i="8"/>
  <c r="O89" i="8" s="1"/>
  <c r="L22" i="8"/>
  <c r="M22" i="8"/>
  <c r="K39" i="8"/>
  <c r="N87" i="8"/>
  <c r="N89" i="8" s="1"/>
  <c r="R87" i="8"/>
  <c r="R89" i="8" s="1"/>
  <c r="M87" i="8"/>
  <c r="M89" i="8" s="1"/>
  <c r="L87" i="8"/>
  <c r="L89" i="8" s="1"/>
  <c r="J87" i="8"/>
  <c r="J89" i="8" s="1"/>
  <c r="K36" i="8"/>
  <c r="K33" i="8"/>
  <c r="H22" i="8"/>
  <c r="H21" i="9"/>
  <c r="H24" i="9"/>
  <c r="T87" i="8"/>
  <c r="T89" i="8" s="1"/>
  <c r="S87" i="8"/>
  <c r="S89" i="8" s="1"/>
  <c r="P87" i="8"/>
  <c r="P89" i="8" s="1"/>
  <c r="Q61" i="9"/>
  <c r="AD61" i="9" s="1"/>
  <c r="K87" i="8"/>
  <c r="K89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T123" i="8"/>
  <c r="T144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N22" i="8"/>
  <c r="N28" i="8"/>
  <c r="N32" i="8" s="1"/>
  <c r="R28" i="8"/>
  <c r="R29" i="8" s="1"/>
  <c r="J28" i="8"/>
  <c r="J32" i="8" s="1"/>
  <c r="J36" i="8" s="1"/>
  <c r="J22" i="8"/>
  <c r="R22" i="8"/>
  <c r="T29" i="8"/>
  <c r="Q32" i="8"/>
  <c r="Q98" i="8" s="1"/>
  <c r="Q29" i="8"/>
  <c r="P29" i="8"/>
  <c r="P32" i="8"/>
  <c r="P98" i="8" s="1"/>
  <c r="I32" i="8"/>
  <c r="I98" i="8" s="1"/>
  <c r="I29" i="8"/>
  <c r="M32" i="8"/>
  <c r="M98" i="8" s="1"/>
  <c r="M29" i="8"/>
  <c r="L32" i="8"/>
  <c r="L29" i="8"/>
  <c r="O32" i="8"/>
  <c r="O98" i="8" s="1"/>
  <c r="O29" i="8"/>
  <c r="T39" i="8"/>
  <c r="T36" i="8"/>
  <c r="T33" i="8"/>
  <c r="H29" i="8"/>
  <c r="H32" i="8"/>
  <c r="H28" i="9" l="1"/>
  <c r="H25" i="9"/>
  <c r="I123" i="8"/>
  <c r="I144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O123" i="8"/>
  <c r="O144" i="8" s="1"/>
  <c r="P123" i="8"/>
  <c r="P144" i="8" s="1"/>
  <c r="Q123" i="8"/>
  <c r="Q144" i="8" s="1"/>
  <c r="M123" i="8"/>
  <c r="M144" i="8" s="1"/>
  <c r="L98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H98" i="8"/>
  <c r="R32" i="8"/>
  <c r="J29" i="8"/>
  <c r="J33" i="8"/>
  <c r="J39" i="8"/>
  <c r="J98" i="8"/>
  <c r="N29" i="8"/>
  <c r="N36" i="8"/>
  <c r="N33" i="8"/>
  <c r="N39" i="8"/>
  <c r="L39" i="8"/>
  <c r="L36" i="8"/>
  <c r="L33" i="8"/>
  <c r="Q33" i="8"/>
  <c r="Q39" i="8"/>
  <c r="Q36" i="8"/>
  <c r="M36" i="8"/>
  <c r="M33" i="8"/>
  <c r="M39" i="8"/>
  <c r="O39" i="8"/>
  <c r="O33" i="8"/>
  <c r="O36" i="8"/>
  <c r="I36" i="8"/>
  <c r="I33" i="8"/>
  <c r="I39" i="8"/>
  <c r="H33" i="8"/>
  <c r="H39" i="8"/>
  <c r="H36" i="8"/>
  <c r="P33" i="8"/>
  <c r="P39" i="8"/>
  <c r="P36" i="8"/>
  <c r="H29" i="9" l="1"/>
  <c r="H35" i="9"/>
  <c r="H43" i="9" s="1"/>
  <c r="H123" i="8"/>
  <c r="H144" i="8" s="1"/>
  <c r="V98" i="8"/>
  <c r="J123" i="8"/>
  <c r="J144" i="8" s="1"/>
  <c r="X98" i="8"/>
  <c r="W98" i="8"/>
  <c r="AD20" i="9"/>
  <c r="AD21" i="9" s="1"/>
  <c r="Y20" i="9"/>
  <c r="Y24" i="9" s="1"/>
  <c r="Y28" i="9" s="1"/>
  <c r="AG14" i="9"/>
  <c r="AG24" i="9"/>
  <c r="AG28" i="9" s="1"/>
  <c r="L123" i="8"/>
  <c r="L144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R33" i="8"/>
  <c r="R39" i="8"/>
  <c r="R36" i="8"/>
  <c r="V144" i="8" l="1"/>
  <c r="H44" i="9"/>
  <c r="X144" i="8"/>
  <c r="W144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95" i="8"/>
  <c r="B94" i="8"/>
  <c r="G95" i="8"/>
  <c r="G94" i="8"/>
  <c r="E95" i="8"/>
  <c r="D95" i="8"/>
  <c r="C95" i="8"/>
  <c r="E94" i="8"/>
  <c r="D94" i="8"/>
  <c r="C94" i="8"/>
  <c r="B43" i="8"/>
  <c r="B42" i="8"/>
  <c r="AF43" i="8"/>
  <c r="AE43" i="8"/>
  <c r="AD43" i="8"/>
  <c r="AB43" i="8"/>
  <c r="AA43" i="8"/>
  <c r="Z43" i="8"/>
  <c r="X43" i="8"/>
  <c r="W43" i="8"/>
  <c r="V43" i="8"/>
  <c r="AC43" i="8"/>
  <c r="Y43" i="8"/>
  <c r="AF42" i="8"/>
  <c r="AE42" i="8"/>
  <c r="AD42" i="8"/>
  <c r="AC42" i="8"/>
  <c r="AB42" i="8"/>
  <c r="AA42" i="8"/>
  <c r="Z42" i="8"/>
  <c r="Y42" i="8"/>
  <c r="X42" i="8"/>
  <c r="W42" i="8"/>
  <c r="V42" i="8"/>
  <c r="V94" i="8" l="1"/>
  <c r="Y94" i="8"/>
  <c r="Z94" i="8"/>
  <c r="Z95" i="8"/>
  <c r="AC94" i="8"/>
  <c r="AD94" i="8"/>
  <c r="Y95" i="8"/>
  <c r="AD95" i="8"/>
  <c r="AE95" i="8"/>
  <c r="AB94" i="8"/>
  <c r="W94" i="8"/>
  <c r="AE94" i="8"/>
  <c r="AB95" i="8"/>
  <c r="AA95" i="8"/>
  <c r="X94" i="8"/>
  <c r="AF94" i="8"/>
  <c r="AC95" i="8"/>
  <c r="V95" i="8"/>
  <c r="W95" i="8"/>
  <c r="AA94" i="8"/>
  <c r="X95" i="8"/>
  <c r="AF95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A11" i="8" l="1"/>
  <c r="D53" i="8"/>
  <c r="D61" i="8" s="1"/>
  <c r="C53" i="8"/>
  <c r="C61" i="8" s="1"/>
  <c r="E53" i="8"/>
  <c r="E61" i="8" s="1"/>
  <c r="V71" i="8" l="1"/>
  <c r="V79" i="8" s="1"/>
  <c r="V53" i="8"/>
  <c r="V61" i="8" s="1"/>
  <c r="AB11" i="8"/>
  <c r="AA14" i="8"/>
  <c r="AA21" i="8" s="1"/>
  <c r="AA28" i="8" s="1"/>
  <c r="AB53" i="8"/>
  <c r="AB61" i="8" s="1"/>
  <c r="Z53" i="8"/>
  <c r="Z61" i="8" s="1"/>
  <c r="AB71" i="8"/>
  <c r="AB79" i="8" s="1"/>
  <c r="AA71" i="8"/>
  <c r="AA79" i="8" s="1"/>
  <c r="W71" i="8"/>
  <c r="W79" i="8" s="1"/>
  <c r="Y11" i="8"/>
  <c r="W53" i="8"/>
  <c r="W61" i="8" s="1"/>
  <c r="AA53" i="8"/>
  <c r="AA61" i="8" s="1"/>
  <c r="Z11" i="8"/>
  <c r="X53" i="8"/>
  <c r="X61" i="8" s="1"/>
  <c r="X71" i="8"/>
  <c r="X79" i="8" s="1"/>
  <c r="Z71" i="8"/>
  <c r="Z79" i="8" s="1"/>
  <c r="AD53" i="8"/>
  <c r="AD61" i="8" s="1"/>
  <c r="AD11" i="8"/>
  <c r="AD71" i="8"/>
  <c r="AD79" i="8" s="1"/>
  <c r="AE71" i="8"/>
  <c r="AE79" i="8" s="1"/>
  <c r="AC11" i="8"/>
  <c r="AE11" i="8"/>
  <c r="AE53" i="8"/>
  <c r="AE61" i="8" s="1"/>
  <c r="AA22" i="8" l="1"/>
  <c r="AA32" i="8"/>
  <c r="Z14" i="8"/>
  <c r="Z21" i="8" s="1"/>
  <c r="Z28" i="8" s="1"/>
  <c r="AI13" i="9"/>
  <c r="AC9" i="10"/>
  <c r="AC16" i="10" s="1"/>
  <c r="Z8" i="10"/>
  <c r="AA8" i="10"/>
  <c r="AB8" i="10"/>
  <c r="V87" i="8"/>
  <c r="V89" i="8" s="1"/>
  <c r="AD14" i="8"/>
  <c r="AD21" i="8" s="1"/>
  <c r="AD28" i="8" s="1"/>
  <c r="AH10" i="8"/>
  <c r="AB87" i="8"/>
  <c r="AB89" i="8" s="1"/>
  <c r="Z87" i="8"/>
  <c r="Z89" i="8" s="1"/>
  <c r="X87" i="8"/>
  <c r="X89" i="8" s="1"/>
  <c r="AH17" i="8"/>
  <c r="AA87" i="8"/>
  <c r="AA89" i="8" s="1"/>
  <c r="AB14" i="8"/>
  <c r="AB21" i="8" s="1"/>
  <c r="AB28" i="8" s="1"/>
  <c r="W87" i="8"/>
  <c r="W89" i="8" s="1"/>
  <c r="Y14" i="8"/>
  <c r="Y21" i="8" s="1"/>
  <c r="Y28" i="8" s="1"/>
  <c r="AA15" i="8"/>
  <c r="AH13" i="8"/>
  <c r="AD87" i="8"/>
  <c r="AD89" i="8" s="1"/>
  <c r="AE14" i="8"/>
  <c r="AE21" i="8" s="1"/>
  <c r="AE28" i="8" s="1"/>
  <c r="AC14" i="8"/>
  <c r="AC21" i="8" s="1"/>
  <c r="AC28" i="8" s="1"/>
  <c r="AE87" i="8"/>
  <c r="AE89" i="8" s="1"/>
  <c r="Z22" i="8" l="1"/>
  <c r="Z32" i="8"/>
  <c r="Y22" i="8"/>
  <c r="Y32" i="8"/>
  <c r="AB32" i="8"/>
  <c r="AB22" i="8"/>
  <c r="AD32" i="8"/>
  <c r="AD22" i="8"/>
  <c r="AC32" i="8"/>
  <c r="AC22" i="8"/>
  <c r="AE32" i="8"/>
  <c r="AE22" i="8"/>
  <c r="AD15" i="8"/>
  <c r="AC15" i="8"/>
  <c r="Z15" i="8"/>
  <c r="AE15" i="8"/>
  <c r="AB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AA29" i="8"/>
  <c r="Y15" i="8"/>
  <c r="Y9" i="10" l="1"/>
  <c r="X9" i="10"/>
  <c r="Z29" i="8"/>
  <c r="Y29" i="8"/>
  <c r="AD29" i="8"/>
  <c r="Z33" i="8"/>
  <c r="AI24" i="9"/>
  <c r="AI28" i="9" s="1"/>
  <c r="AI21" i="9"/>
  <c r="W9" i="10"/>
  <c r="AE9" i="10"/>
  <c r="AD10" i="10"/>
  <c r="AA33" i="8"/>
  <c r="AA36" i="8"/>
  <c r="AA39" i="8"/>
  <c r="Y36" i="8"/>
  <c r="Y39" i="8"/>
  <c r="Y33" i="8"/>
  <c r="AE29" i="8"/>
  <c r="AB29" i="8"/>
  <c r="AC29" i="8"/>
  <c r="AE10" i="10" l="1"/>
  <c r="AE16" i="10"/>
  <c r="Z39" i="8"/>
  <c r="Z36" i="8"/>
  <c r="AI25" i="9"/>
  <c r="AC33" i="8"/>
  <c r="AC39" i="8"/>
  <c r="AC36" i="8"/>
  <c r="AB39" i="8"/>
  <c r="AB33" i="8"/>
  <c r="AB36" i="8"/>
  <c r="AD33" i="8"/>
  <c r="AD36" i="8"/>
  <c r="AD39" i="8"/>
  <c r="AE33" i="8"/>
  <c r="AE36" i="8"/>
  <c r="AE39" i="8"/>
  <c r="AI29" i="9" l="1"/>
  <c r="AI35" i="9"/>
  <c r="Y71" i="8" l="1"/>
  <c r="AC71" i="8"/>
  <c r="AC79" i="8" s="1"/>
  <c r="Y79" i="8" l="1"/>
  <c r="Y87" i="8" s="1"/>
  <c r="W128" i="8"/>
  <c r="X128" i="8"/>
  <c r="V128" i="8"/>
  <c r="AB128" i="8"/>
  <c r="Y128" i="8"/>
  <c r="Z128" i="8"/>
  <c r="AA128" i="8"/>
  <c r="AC128" i="8"/>
  <c r="AE128" i="8"/>
  <c r="AD128" i="8"/>
  <c r="E11" i="8" l="1"/>
  <c r="F10" i="10" s="1"/>
  <c r="D11" i="8"/>
  <c r="E10" i="10" s="1"/>
  <c r="C11" i="8"/>
  <c r="D10" i="10" s="1"/>
  <c r="C8" i="9"/>
  <c r="G128" i="8"/>
  <c r="E128" i="8"/>
  <c r="D128" i="8"/>
  <c r="C128" i="8"/>
  <c r="G71" i="8"/>
  <c r="D71" i="8"/>
  <c r="C71" i="8"/>
  <c r="C60" i="9"/>
  <c r="AF11" i="8"/>
  <c r="AF10" i="10" s="1"/>
  <c r="U67" i="9"/>
  <c r="M67" i="9"/>
  <c r="AK34" i="9"/>
  <c r="AK27" i="9"/>
  <c r="G79" i="8" l="1"/>
  <c r="H61" i="9" s="1"/>
  <c r="H60" i="9"/>
  <c r="C61" i="9"/>
  <c r="D79" i="8"/>
  <c r="C79" i="8"/>
  <c r="N67" i="9"/>
  <c r="V67" i="9"/>
  <c r="D67" i="9"/>
  <c r="O67" i="9"/>
  <c r="AG61" i="9"/>
  <c r="AH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C87" i="8"/>
  <c r="D14" i="8"/>
  <c r="D21" i="8" s="1"/>
  <c r="D28" i="8" s="1"/>
  <c r="C14" i="8"/>
  <c r="C21" i="8" s="1"/>
  <c r="C28" i="8" s="1"/>
  <c r="E14" i="8"/>
  <c r="E21" i="8" s="1"/>
  <c r="E28" i="8" s="1"/>
  <c r="AF71" i="8"/>
  <c r="AF79" i="8" s="1"/>
  <c r="AH86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C87" i="8" l="1"/>
  <c r="C89" i="8" s="1"/>
  <c r="C22" i="8"/>
  <c r="D22" i="8"/>
  <c r="D32" i="8"/>
  <c r="D98" i="8" s="1"/>
  <c r="N98" i="8" s="1"/>
  <c r="G32" i="8"/>
  <c r="E32" i="8"/>
  <c r="E98" i="8" s="1"/>
  <c r="R98" i="8" s="1"/>
  <c r="E22" i="8"/>
  <c r="T67" i="9"/>
  <c r="AC53" i="8"/>
  <c r="G87" i="8"/>
  <c r="G89" i="8" s="1"/>
  <c r="Y53" i="8"/>
  <c r="D87" i="8"/>
  <c r="D89" i="8" s="1"/>
  <c r="E87" i="8"/>
  <c r="E89" i="8" s="1"/>
  <c r="AH61" i="9"/>
  <c r="P67" i="9"/>
  <c r="AH79" i="8"/>
  <c r="AH71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F53" i="8"/>
  <c r="AF61" i="8" s="1"/>
  <c r="D15" i="8"/>
  <c r="E15" i="8"/>
  <c r="C15" i="8"/>
  <c r="AF14" i="8"/>
  <c r="AF21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D98" i="8" l="1"/>
  <c r="AF98" i="8"/>
  <c r="AE98" i="8"/>
  <c r="AC98" i="8"/>
  <c r="AB98" i="8"/>
  <c r="AA98" i="8"/>
  <c r="Z98" i="8"/>
  <c r="Y98" i="8"/>
  <c r="N123" i="8"/>
  <c r="N144" i="8" s="1"/>
  <c r="Y61" i="8"/>
  <c r="Y89" i="8" s="1"/>
  <c r="AC61" i="8"/>
  <c r="AC89" i="8" s="1"/>
  <c r="AH21" i="8"/>
  <c r="AF28" i="8"/>
  <c r="G33" i="8"/>
  <c r="G39" i="8"/>
  <c r="C29" i="8"/>
  <c r="C32" i="8"/>
  <c r="C39" i="8" s="1"/>
  <c r="AF22" i="8"/>
  <c r="AH22" i="8" s="1"/>
  <c r="E29" i="8"/>
  <c r="D29" i="8"/>
  <c r="AH136" i="8"/>
  <c r="AF87" i="8"/>
  <c r="AH87" i="8" s="1"/>
  <c r="AH61" i="8"/>
  <c r="AH53" i="8"/>
  <c r="T14" i="9"/>
  <c r="P14" i="9"/>
  <c r="E36" i="8"/>
  <c r="E39" i="8"/>
  <c r="D39" i="8"/>
  <c r="D36" i="8"/>
  <c r="R20" i="9"/>
  <c r="R21" i="9" s="1"/>
  <c r="J20" i="9"/>
  <c r="J21" i="9" s="1"/>
  <c r="AH14" i="8"/>
  <c r="E33" i="8"/>
  <c r="E123" i="8"/>
  <c r="E144" i="8" s="1"/>
  <c r="D33" i="8"/>
  <c r="D123" i="8"/>
  <c r="D144" i="8" s="1"/>
  <c r="AF128" i="8"/>
  <c r="AH128" i="8" s="1"/>
  <c r="AF15" i="8"/>
  <c r="AH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F32" i="8" l="1"/>
  <c r="AH28" i="8"/>
  <c r="AB144" i="8"/>
  <c r="AA144" i="8"/>
  <c r="Z144" i="8"/>
  <c r="Y144" i="8"/>
  <c r="R123" i="8"/>
  <c r="R144" i="8" s="1"/>
  <c r="C33" i="8"/>
  <c r="C98" i="8"/>
  <c r="C36" i="8"/>
  <c r="G98" i="8"/>
  <c r="G123" i="8" s="1"/>
  <c r="G144" i="8" s="1"/>
  <c r="G36" i="8"/>
  <c r="AF89" i="8"/>
  <c r="R24" i="9"/>
  <c r="R28" i="9" s="1"/>
  <c r="J24" i="9"/>
  <c r="J28" i="9" s="1"/>
  <c r="AF29" i="8"/>
  <c r="AH29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F144" i="8" l="1"/>
  <c r="AC144" i="8"/>
  <c r="AE144" i="8"/>
  <c r="AD144" i="8"/>
  <c r="C123" i="8"/>
  <c r="C144" i="8" s="1"/>
  <c r="AB123" i="8"/>
  <c r="AF39" i="8"/>
  <c r="R25" i="9"/>
  <c r="J25" i="9"/>
  <c r="AC123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Y123" i="8" l="1"/>
  <c r="Z123" i="8"/>
  <c r="AA123" i="8"/>
  <c r="AH32" i="8"/>
  <c r="AF36" i="8"/>
  <c r="AF33" i="8"/>
  <c r="AH33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H36" i="8"/>
  <c r="AH39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41" i="8" l="1"/>
  <c r="C145" i="8" s="1"/>
  <c r="C147" i="8" s="1"/>
  <c r="G141" i="8"/>
  <c r="G145" i="8" s="1"/>
  <c r="G147" i="8" s="1"/>
  <c r="V139" i="8" l="1"/>
  <c r="H139" i="8"/>
  <c r="H141" i="8" s="1"/>
  <c r="H145" i="8" s="1"/>
  <c r="H147" i="8" s="1"/>
  <c r="D139" i="8"/>
  <c r="D141" i="8" s="1"/>
  <c r="D145" i="8" s="1"/>
  <c r="D147" i="8" s="1"/>
  <c r="W139" i="8" l="1"/>
  <c r="E139" i="8"/>
  <c r="E141" i="8" s="1"/>
  <c r="E145" i="8" s="1"/>
  <c r="E147" i="8" s="1"/>
  <c r="I139" i="8"/>
  <c r="I141" i="8" s="1"/>
  <c r="I145" i="8" s="1"/>
  <c r="I147" i="8" s="1"/>
  <c r="X139" i="8" l="1"/>
  <c r="J139" i="8"/>
  <c r="J141" i="8" s="1"/>
  <c r="J145" i="8" s="1"/>
  <c r="J147" i="8" s="1"/>
  <c r="Y139" i="8" l="1"/>
  <c r="K139" i="8"/>
  <c r="K141" i="8" s="1"/>
  <c r="K145" i="8" s="1"/>
  <c r="K147" i="8" s="1"/>
  <c r="Z139" i="8" l="1"/>
  <c r="L139" i="8"/>
  <c r="L141" i="8" s="1"/>
  <c r="L145" i="8" s="1"/>
  <c r="L147" i="8" s="1"/>
  <c r="AA139" i="8" l="1"/>
  <c r="M139" i="8"/>
  <c r="M141" i="8" s="1"/>
  <c r="M145" i="8" s="1"/>
  <c r="M147" i="8" s="1"/>
  <c r="AB139" i="8" l="1"/>
  <c r="AB141" i="8" s="1"/>
  <c r="N139" i="8"/>
  <c r="N141" i="8" s="1"/>
  <c r="N145" i="8" s="1"/>
  <c r="N147" i="8" s="1"/>
  <c r="AC139" i="8" l="1"/>
  <c r="O139" i="8"/>
  <c r="O141" i="8" s="1"/>
  <c r="O145" i="8" s="1"/>
  <c r="O147" i="8" s="1"/>
  <c r="AD139" i="8" l="1"/>
  <c r="P139" i="8"/>
  <c r="P141" i="8" s="1"/>
  <c r="P145" i="8" s="1"/>
  <c r="P147" i="8" s="1"/>
  <c r="AE139" i="8" l="1"/>
  <c r="Q139" i="8"/>
  <c r="Q141" i="8" s="1"/>
  <c r="Q145" i="8" s="1"/>
  <c r="Q147" i="8" s="1"/>
  <c r="AF139" i="8" l="1"/>
  <c r="R139" i="8"/>
  <c r="R141" i="8" s="1"/>
  <c r="R145" i="8" s="1"/>
  <c r="R147" i="8" s="1"/>
  <c r="S139" i="8" l="1"/>
  <c r="S141" i="8" s="1"/>
  <c r="S145" i="8" s="1"/>
  <c r="S147" i="8" s="1"/>
  <c r="T139" i="8" l="1"/>
  <c r="T141" i="8" s="1"/>
  <c r="T145" i="8" s="1"/>
  <c r="T147" i="8" s="1"/>
  <c r="V141" i="8" l="1"/>
  <c r="AA141" i="8" l="1"/>
  <c r="AA145" i="8" s="1"/>
  <c r="AA147" i="8" s="1"/>
  <c r="AB145" i="8" l="1"/>
  <c r="AB147" i="8" s="1"/>
  <c r="AC141" i="8" l="1"/>
  <c r="AC145" i="8" s="1"/>
  <c r="AC147" i="8" s="1"/>
  <c r="W141" i="8"/>
  <c r="AD141" i="8" l="1"/>
  <c r="X123" i="8"/>
  <c r="V11" i="8"/>
  <c r="W10" i="10" s="1"/>
  <c r="X11" i="8"/>
  <c r="W11" i="8"/>
  <c r="W14" i="8" s="1"/>
  <c r="X10" i="10" l="1"/>
  <c r="W21" i="8"/>
  <c r="W28" i="8" s="1"/>
  <c r="W15" i="8"/>
  <c r="X14" i="8"/>
  <c r="Y10" i="10"/>
  <c r="V14" i="8"/>
  <c r="X21" i="8" l="1"/>
  <c r="X28" i="8" s="1"/>
  <c r="X15" i="8"/>
  <c r="V15" i="8"/>
  <c r="V21" i="8"/>
  <c r="V28" i="8" s="1"/>
  <c r="W22" i="8"/>
  <c r="W32" i="8" l="1"/>
  <c r="W29" i="8"/>
  <c r="V22" i="8"/>
  <c r="X22" i="8"/>
  <c r="X32" i="8" l="1"/>
  <c r="X29" i="8"/>
  <c r="V29" i="8"/>
  <c r="V32" i="8"/>
  <c r="W36" i="8"/>
  <c r="W33" i="8"/>
  <c r="W39" i="8"/>
  <c r="AD123" i="8" l="1"/>
  <c r="AE123" i="8"/>
  <c r="W123" i="8"/>
  <c r="W145" i="8" s="1"/>
  <c r="W147" i="8" s="1"/>
  <c r="V123" i="8"/>
  <c r="V33" i="8"/>
  <c r="V39" i="8"/>
  <c r="V36" i="8"/>
  <c r="X36" i="8"/>
  <c r="X33" i="8"/>
  <c r="X39" i="8"/>
  <c r="V145" i="8" l="1"/>
  <c r="V147" i="8" s="1"/>
  <c r="AD145" i="8"/>
  <c r="AD147" i="8" s="1"/>
  <c r="AF123" i="8"/>
  <c r="AH98" i="8"/>
  <c r="X141" i="8"/>
  <c r="X145" i="8" s="1"/>
  <c r="X147" i="8" s="1"/>
  <c r="AE141" i="8" l="1"/>
  <c r="AE145" i="8" s="1"/>
  <c r="AE147" i="8" s="1"/>
  <c r="AH123" i="8"/>
  <c r="Y141" i="8"/>
  <c r="Y145" i="8" s="1"/>
  <c r="Y147" i="8" s="1"/>
  <c r="AF141" i="8" l="1"/>
  <c r="AF145" i="8" s="1"/>
  <c r="AF147" i="8" s="1"/>
  <c r="Z141" i="8"/>
  <c r="Z145" i="8" s="1"/>
  <c r="Z147" i="8" s="1"/>
</calcChain>
</file>

<file path=xl/sharedStrings.xml><?xml version="1.0" encoding="utf-8"?>
<sst xmlns="http://schemas.openxmlformats.org/spreadsheetml/2006/main" count="332" uniqueCount="186">
  <si>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</si>
  <si>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</si>
  <si>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</si>
  <si>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</si>
  <si>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</si>
  <si>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</si>
  <si>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</si>
  <si>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</si>
  <si>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</si>
  <si>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</si>
  <si>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</si>
  <si>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</si>
  <si>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</si>
  <si>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</si>
  <si>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</si>
  <si>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</si>
  <si>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</si>
  <si>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</si>
  <si>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</si>
  <si>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</si>
  <si>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</si>
  <si>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</si>
  <si>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</si>
  <si>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</si>
  <si>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</si>
  <si>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</si>
  <si>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</si>
  <si>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</si>
  <si>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</si>
  <si>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</si>
  <si>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</si>
  <si>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</si>
  <si>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</si>
  <si>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</si>
  <si>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</si>
  <si>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</si>
  <si>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</si>
  <si>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</si>
  <si>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</si>
  <si>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</si>
  <si>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</si>
  <si>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</si>
  <si>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</si>
  <si>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</si>
  <si>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</si>
  <si>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</si>
  <si>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</si>
  <si>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</si>
  <si>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</si>
  <si>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</si>
  <si>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</si>
  <si>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</si>
  <si>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</si>
  <si>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</si>
  <si>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</si>
  <si>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</si>
  <si>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</si>
  <si>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</si>
  <si>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</si>
  <si>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</si>
  <si>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</si>
  <si>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</si>
  <si>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</si>
  <si>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</si>
  <si>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</si>
  <si>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</si>
  <si>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</si>
  <si>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</si>
  <si>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</si>
  <si>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</si>
  <si>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</si>
  <si>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</si>
  <si>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</si>
  <si>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</si>
  <si>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</si>
  <si>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</si>
  <si>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</si>
  <si>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</si>
  <si>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</si>
  <si>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</si>
  <si>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</si>
  <si>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</si>
  <si>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</si>
  <si>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</si>
  <si>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</si>
  <si>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</si>
  <si>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</si>
  <si>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</si>
  <si>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expense</t>
  </si>
  <si>
    <t>NM</t>
  </si>
  <si>
    <t>Cash paid for interest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</si>
  <si>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</si>
  <si>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</si>
  <si>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</si>
  <si>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</si>
  <si>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</si>
  <si>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</si>
  <si>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</si>
  <si>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</si>
  <si>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</si>
  <si>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</si>
  <si>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</si>
  <si>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</si>
  <si>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</si>
  <si>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</si>
  <si>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</si>
  <si>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</si>
  <si>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</si>
  <si>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</si>
  <si>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</si>
  <si>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</si>
  <si>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</si>
  <si>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</si>
  <si>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Research and development</t>
  </si>
  <si>
    <t>Cash and cash equivalents</t>
  </si>
  <si>
    <t>Property and equipment, net</t>
  </si>
  <si>
    <t>Goodwill</t>
  </si>
  <si>
    <t>Additional paid-in capital</t>
  </si>
  <si>
    <t>Accumulated deficit</t>
  </si>
  <si>
    <t>Stock-based compensation</t>
  </si>
  <si>
    <t>Purchases of property and equipment</t>
  </si>
  <si>
    <t>Provision for taxes</t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</si>
  <si>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</si>
  <si>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</si>
  <si>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</si>
  <si>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</si>
  <si>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</si>
  <si>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</si>
  <si>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</si>
  <si>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</si>
  <si>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</si>
  <si>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</si>
  <si>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</si>
  <si>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</si>
  <si>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</si>
  <si>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</si>
  <si>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Other assets</t>
  </si>
  <si>
    <t>Restricted cash</t>
  </si>
  <si>
    <t>Deferred revenue</t>
  </si>
  <si>
    <t>Other liabilities</t>
  </si>
  <si>
    <t>Supplemental disclosures of other cash flow information:</t>
  </si>
  <si>
    <t>XXX</t>
  </si>
  <si>
    <t>Revenue by Channel</t>
  </si>
  <si>
    <t>Quantum Corporation  (NASDAQ:QMCO)</t>
  </si>
  <si>
    <t>Sales and marketing</t>
  </si>
  <si>
    <t>General and administrative</t>
  </si>
  <si>
    <t>Restructuring charges</t>
  </si>
  <si>
    <t>Other income (expense), net</t>
  </si>
  <si>
    <t>Change in fair value of warrant liability</t>
  </si>
  <si>
    <t>Loss on debt extinguishment, net</t>
  </si>
  <si>
    <t>Manufacturing inventories</t>
  </si>
  <si>
    <t>Service parts inventories</t>
  </si>
  <si>
    <t>Prepaid expenses</t>
  </si>
  <si>
    <t>Other current assets</t>
  </si>
  <si>
    <t>Intangible assets, net</t>
  </si>
  <si>
    <t>Right-of-use assets, net</t>
  </si>
  <si>
    <t>Other long-term assets</t>
  </si>
  <si>
    <t>Accrued compensation</t>
  </si>
  <si>
    <t>Deferred revenue, current portion</t>
  </si>
  <si>
    <t>Term debt, current portion</t>
  </si>
  <si>
    <t>Revolving credit facility</t>
  </si>
  <si>
    <t>Warrant liabilities</t>
  </si>
  <si>
    <t>Other accrued liabilities</t>
  </si>
  <si>
    <t>Deferred revenue, net of current portion</t>
  </si>
  <si>
    <t>Term debt, net of current portion</t>
  </si>
  <si>
    <t>Operating lease liabilities</t>
  </si>
  <si>
    <t>Other long-term liabilities</t>
  </si>
  <si>
    <t>Accumulated other comprehensive loss</t>
  </si>
  <si>
    <t>Amortization of debt issuance costs</t>
  </si>
  <si>
    <t>Long-term debt related costs</t>
  </si>
  <si>
    <t>Provision for manufacturing and service inventories</t>
  </si>
  <si>
    <t>Paid in kind interest</t>
  </si>
  <si>
    <t>Change in fair value of warrant liabilities</t>
  </si>
  <si>
    <t>Other non-cash</t>
  </si>
  <si>
    <t>Unrealized foreign exchange loss</t>
  </si>
  <si>
    <t>Accrued restructuring charges</t>
  </si>
  <si>
    <t>Business acquisitions</t>
  </si>
  <si>
    <t>Borrowings of long-term debt, net of debt issuance costs</t>
  </si>
  <si>
    <t>Repayments of long-term debt and payment of amendment fees</t>
  </si>
  <si>
    <t>Borrowings of credit facility</t>
  </si>
  <si>
    <t>Repayments of credit facility and payment of amendment fees</t>
  </si>
  <si>
    <t>Proceeds from issuance of common stock</t>
  </si>
  <si>
    <t>Cash paid for income taxes, net of refunds</t>
  </si>
  <si>
    <r>
      <t xml:space="preserve">1) </t>
    </r>
    <r>
      <rPr>
        <b/>
        <i/>
        <sz val="8"/>
        <rFont val="Calibri"/>
        <family val="2"/>
      </rPr>
      <t>xxx</t>
    </r>
  </si>
  <si>
    <r>
      <t xml:space="preserve">1) </t>
    </r>
    <r>
      <rPr>
        <b/>
        <i/>
        <sz val="8"/>
        <color theme="1"/>
        <rFont val="Calibri"/>
        <family val="2"/>
      </rPr>
      <t>xxx</t>
    </r>
  </si>
  <si>
    <r>
      <t xml:space="preserve">2) </t>
    </r>
    <r>
      <rPr>
        <b/>
        <i/>
        <sz val="8"/>
        <color theme="1"/>
        <rFont val="Calibri"/>
        <family val="2"/>
      </rPr>
      <t>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</si>
</sst>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H167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8" width="7.875" style="5" customWidth="1" outlineLevel="1"/>
    <col min="9" max="9" width="8.625" style="5" bestFit="1" customWidth="1" outlineLevel="1"/>
    <col min="10" max="10" width="8.625" style="5" customWidth="1" outlineLevel="1"/>
    <col min="11" max="12" width="7.875" style="5" customWidth="1" outlineLevel="1"/>
    <col min="13" max="13" width="8.625" style="5" bestFit="1" customWidth="1" outlineLevel="1"/>
    <col min="14" max="14" width="8.625" style="5" customWidth="1" outlineLevel="1"/>
    <col min="15" max="16" width="7.875" style="5" customWidth="1" outlineLevel="1"/>
    <col min="17" max="17" width="7.875" style="5" customWidth="1"/>
    <col min="18" max="18" width="8.625" style="5" customWidth="1"/>
    <col min="19" max="20" width="8" style="5" customWidth="1"/>
    <col min="21" max="21" width="1.5" style="5" customWidth="1"/>
    <col min="22" max="22" width="8.625" style="5" hidden="1" customWidth="1" outlineLevel="1"/>
    <col min="23" max="25" width="8" style="5" hidden="1" customWidth="1" outlineLevel="1"/>
    <col min="26" max="26" width="8.625" style="5" hidden="1" customWidth="1" outlineLevel="1"/>
    <col min="27" max="27" width="8.25" style="5" hidden="1" customWidth="1" outlineLevel="1"/>
    <col min="28" max="28" width="8.25" style="5" bestFit="1" customWidth="1" collapsed="1"/>
    <col min="29" max="29" width="8.25" style="5" hidden="1" customWidth="1" outlineLevel="1"/>
    <col min="30" max="30" width="8.625" style="5" hidden="1" customWidth="1" outlineLevel="1"/>
    <col min="31" max="31" width="8.25" style="5" hidden="1" customWidth="1" outlineLevel="1"/>
    <col min="32" max="32" width="8.625" style="5" bestFit="1" customWidth="1" collapsed="1"/>
    <col min="33" max="33" width="1.25" style="5" customWidth="1"/>
    <col min="34" max="34" width="10.5" style="5" bestFit="1" customWidth="1"/>
    <col min="35" max="35" width="1.375" style="5" customWidth="1"/>
    <col min="36" max="16384" width="9" style="5"/>
  </cols>
  <sheetData>
    <row r="2" spans="1:34" ht="12.75" customHeight="1">
      <c r="B2" s="1" t="s">
        <v>143</v>
      </c>
      <c r="C2" s="91"/>
      <c r="D2" s="91"/>
      <c r="E2" s="91"/>
      <c r="F2" s="3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3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3"/>
      <c r="AH2" s="1"/>
    </row>
    <row r="3" spans="1:34" ht="12.75" customHeight="1">
      <c r="B3" s="6" t="s">
        <v>97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3"/>
      <c r="AH3" s="1"/>
    </row>
    <row r="4" spans="1:34" ht="12.75" customHeight="1">
      <c r="B4" s="6" t="s">
        <v>135</v>
      </c>
      <c r="C4" s="3"/>
      <c r="D4" s="8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"/>
    </row>
    <row r="6" spans="1:34" ht="12.75" customHeight="1">
      <c r="A6" s="5" t="s">
        <v>20</v>
      </c>
      <c r="B6" s="1" t="s">
        <v>95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2"/>
      <c r="S6" s="2"/>
      <c r="T6" s="2"/>
      <c r="U6" s="3"/>
      <c r="V6" s="2"/>
      <c r="W6" s="2"/>
      <c r="X6" s="2"/>
      <c r="Y6" s="2"/>
      <c r="Z6" s="2"/>
      <c r="AA6" s="2"/>
      <c r="AB6" s="2" t="s">
        <v>10</v>
      </c>
      <c r="AC6" s="2"/>
      <c r="AD6" s="2"/>
      <c r="AE6" s="2"/>
      <c r="AF6" s="2"/>
      <c r="AG6" s="36"/>
      <c r="AH6" s="141" t="s">
        <v>27</v>
      </c>
    </row>
    <row r="7" spans="1:34" ht="12.75" customHeight="1">
      <c r="B7" s="6" t="s">
        <v>98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29</v>
      </c>
      <c r="P7" s="4" t="s">
        <v>30</v>
      </c>
      <c r="Q7" s="4"/>
      <c r="R7" s="4"/>
      <c r="S7" s="4"/>
      <c r="T7" s="4"/>
      <c r="U7" s="4"/>
      <c r="V7" s="4" t="str">
        <f t="shared" ref="V7:AE8" si="0">J7</f>
        <v>4Q23</v>
      </c>
      <c r="W7" s="4" t="str">
        <f t="shared" si="0"/>
        <v>1Q24</v>
      </c>
      <c r="X7" s="4" t="str">
        <f t="shared" si="0"/>
        <v>2Q24</v>
      </c>
      <c r="Y7" s="4" t="str">
        <f t="shared" si="0"/>
        <v>3Q24</v>
      </c>
      <c r="Z7" s="4" t="str">
        <f t="shared" si="0"/>
        <v>4Q24</v>
      </c>
      <c r="AA7" s="4" t="str">
        <f t="shared" si="0"/>
        <v>1Q25</v>
      </c>
      <c r="AB7" s="4" t="str">
        <f t="shared" si="0"/>
        <v>2Q25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>T7</f>
        <v>0</v>
      </c>
      <c r="AG7" s="36"/>
      <c r="AH7" s="141"/>
    </row>
    <row r="8" spans="1:34" ht="12.75" customHeight="1">
      <c r="B8" s="6" t="s">
        <v>99</v>
      </c>
      <c r="C8" s="3">
        <v>44651</v>
      </c>
      <c r="D8" s="3">
        <v>45016</v>
      </c>
      <c r="E8" s="3">
        <v>45382</v>
      </c>
      <c r="F8" s="3"/>
      <c r="G8" s="3">
        <v>44742</v>
      </c>
      <c r="H8" s="3">
        <v>44834</v>
      </c>
      <c r="I8" s="3">
        <v>44926</v>
      </c>
      <c r="J8" s="3">
        <f>D8</f>
        <v>45016</v>
      </c>
      <c r="K8" s="3">
        <v>45107</v>
      </c>
      <c r="L8" s="3">
        <v>45199</v>
      </c>
      <c r="M8" s="3">
        <v>45291</v>
      </c>
      <c r="N8" s="3">
        <f>E8</f>
        <v>45382</v>
      </c>
      <c r="O8" s="3">
        <v>45473</v>
      </c>
      <c r="P8" s="3">
        <v>45565</v>
      </c>
      <c r="Q8" s="3"/>
      <c r="R8" s="3"/>
      <c r="S8" s="3"/>
      <c r="T8" s="3"/>
      <c r="U8" s="3"/>
      <c r="V8" s="3">
        <f t="shared" si="0"/>
        <v>45016</v>
      </c>
      <c r="W8" s="3">
        <f t="shared" si="0"/>
        <v>45107</v>
      </c>
      <c r="X8" s="3">
        <f t="shared" si="0"/>
        <v>45199</v>
      </c>
      <c r="Y8" s="3">
        <f t="shared" si="0"/>
        <v>45291</v>
      </c>
      <c r="Z8" s="3">
        <f t="shared" si="0"/>
        <v>45382</v>
      </c>
      <c r="AA8" s="3">
        <f t="shared" si="0"/>
        <v>45473</v>
      </c>
      <c r="AB8" s="3">
        <f t="shared" si="0"/>
        <v>45565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>T8</f>
        <v>0</v>
      </c>
      <c r="AG8" s="36"/>
      <c r="AH8" s="141"/>
    </row>
    <row r="9" spans="1:34" ht="5.0999999999999996" customHeight="1">
      <c r="AH9" s="90"/>
    </row>
    <row r="10" spans="1:34" ht="12.75" customHeight="1">
      <c r="B10" s="9" t="s">
        <v>74</v>
      </c>
      <c r="C10" s="86">
        <v>383432</v>
      </c>
      <c r="D10" s="86">
        <v>422077</v>
      </c>
      <c r="E10" s="86">
        <v>311600</v>
      </c>
      <c r="F10" s="11"/>
      <c r="G10" s="86">
        <v>97074</v>
      </c>
      <c r="H10" s="86">
        <v>99137</v>
      </c>
      <c r="I10" s="86">
        <v>111196</v>
      </c>
      <c r="J10" s="30">
        <f>SUM(C10-SUM(G10:I10))</f>
        <v>76025</v>
      </c>
      <c r="K10" s="86">
        <v>91787</v>
      </c>
      <c r="L10" s="86">
        <v>75680</v>
      </c>
      <c r="M10" s="86">
        <v>71926</v>
      </c>
      <c r="N10" s="30">
        <f>SUM(D10-SUM(K10:M10))</f>
        <v>182684</v>
      </c>
      <c r="O10" s="86">
        <v>71343</v>
      </c>
      <c r="P10" s="86">
        <v>70469</v>
      </c>
      <c r="Q10" s="86"/>
      <c r="R10" s="30">
        <f>SUM(E10-SUM(O10:Q10))</f>
        <v>169788</v>
      </c>
      <c r="S10" s="86"/>
      <c r="T10" s="86"/>
      <c r="U10" s="30"/>
      <c r="V10" s="30">
        <f t="shared" ref="V10:AE10" si="1">SUM(G10:J10)</f>
        <v>383432</v>
      </c>
      <c r="W10" s="30">
        <f t="shared" si="1"/>
        <v>378145</v>
      </c>
      <c r="X10" s="30">
        <f t="shared" si="1"/>
        <v>354688</v>
      </c>
      <c r="Y10" s="30">
        <f t="shared" si="1"/>
        <v>315418</v>
      </c>
      <c r="Z10" s="30">
        <f t="shared" si="1"/>
        <v>422077</v>
      </c>
      <c r="AA10" s="30">
        <f t="shared" si="1"/>
        <v>401633</v>
      </c>
      <c r="AB10" s="30">
        <f t="shared" si="1"/>
        <v>396422</v>
      </c>
      <c r="AC10" s="30">
        <f t="shared" si="1"/>
        <v>324496</v>
      </c>
      <c r="AD10" s="30">
        <f t="shared" si="1"/>
        <v>311600</v>
      </c>
      <c r="AE10" s="30">
        <f t="shared" si="1"/>
        <v>240257</v>
      </c>
      <c r="AF10" s="30">
        <f>SUM(Q10:T10)</f>
        <v>169788</v>
      </c>
      <c r="AG10" s="38"/>
      <c r="AH10" s="70">
        <f>SUM(AF10/AB10)-1</f>
        <v>-0.57169884617907174</v>
      </c>
    </row>
    <row r="11" spans="1:34" ht="12.75" customHeight="1">
      <c r="B11" s="12" t="s">
        <v>12</v>
      </c>
      <c r="C11" s="13">
        <f t="shared" ref="C11:E11" si="2">+SUM(C10:C10)</f>
        <v>383432</v>
      </c>
      <c r="D11" s="13">
        <f t="shared" si="2"/>
        <v>422077</v>
      </c>
      <c r="E11" s="13">
        <f t="shared" si="2"/>
        <v>311600</v>
      </c>
      <c r="F11" s="11"/>
      <c r="G11" s="13">
        <f t="shared" ref="G11:T11" si="3">+SUM(G10:G10)</f>
        <v>97074</v>
      </c>
      <c r="H11" s="13">
        <f t="shared" si="3"/>
        <v>99137</v>
      </c>
      <c r="I11" s="13">
        <f t="shared" si="3"/>
        <v>111196</v>
      </c>
      <c r="J11" s="13">
        <f t="shared" si="3"/>
        <v>76025</v>
      </c>
      <c r="K11" s="13">
        <f t="shared" si="3"/>
        <v>91787</v>
      </c>
      <c r="L11" s="13">
        <f t="shared" si="3"/>
        <v>75680</v>
      </c>
      <c r="M11" s="13">
        <f t="shared" si="3"/>
        <v>71926</v>
      </c>
      <c r="N11" s="13">
        <f t="shared" si="3"/>
        <v>182684</v>
      </c>
      <c r="O11" s="13">
        <f t="shared" si="3"/>
        <v>71343</v>
      </c>
      <c r="P11" s="13">
        <f t="shared" si="3"/>
        <v>70469</v>
      </c>
      <c r="Q11" s="13">
        <f t="shared" si="3"/>
        <v>0</v>
      </c>
      <c r="R11" s="13">
        <f t="shared" si="3"/>
        <v>169788</v>
      </c>
      <c r="S11" s="13">
        <f t="shared" si="3"/>
        <v>0</v>
      </c>
      <c r="T11" s="13">
        <f t="shared" si="3"/>
        <v>0</v>
      </c>
      <c r="V11" s="13">
        <f t="shared" ref="V11:AF11" si="4">+SUM(V10:V10)</f>
        <v>383432</v>
      </c>
      <c r="W11" s="13">
        <f t="shared" si="4"/>
        <v>378145</v>
      </c>
      <c r="X11" s="13">
        <f t="shared" si="4"/>
        <v>354688</v>
      </c>
      <c r="Y11" s="13">
        <f t="shared" si="4"/>
        <v>315418</v>
      </c>
      <c r="Z11" s="13">
        <f t="shared" si="4"/>
        <v>422077</v>
      </c>
      <c r="AA11" s="13">
        <f t="shared" si="4"/>
        <v>401633</v>
      </c>
      <c r="AB11" s="13">
        <f t="shared" si="4"/>
        <v>396422</v>
      </c>
      <c r="AC11" s="13">
        <f t="shared" si="4"/>
        <v>324496</v>
      </c>
      <c r="AD11" s="13">
        <f t="shared" si="4"/>
        <v>311600</v>
      </c>
      <c r="AE11" s="13">
        <f t="shared" si="4"/>
        <v>240257</v>
      </c>
      <c r="AF11" s="13">
        <f t="shared" si="4"/>
        <v>169788</v>
      </c>
      <c r="AG11" s="38"/>
      <c r="AH11" s="71">
        <f t="shared" ref="AH11:AH32" si="5">SUM(AF11/AB11)-1</f>
        <v>-0.57169884617907174</v>
      </c>
    </row>
    <row r="12" spans="1:34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H12" s="70"/>
    </row>
    <row r="13" spans="1:34" ht="12.75" customHeight="1">
      <c r="B13" s="9" t="s">
        <v>13</v>
      </c>
      <c r="C13" s="79">
        <v>-225792</v>
      </c>
      <c r="D13" s="79">
        <v>-278813</v>
      </c>
      <c r="E13" s="79">
        <v>-186711</v>
      </c>
      <c r="F13" s="22"/>
      <c r="G13" s="79">
        <v>-63026</v>
      </c>
      <c r="H13" s="79">
        <v>-71306</v>
      </c>
      <c r="I13" s="79">
        <v>-70907</v>
      </c>
      <c r="J13" s="30">
        <f>SUM(C13-SUM(G13:I13))</f>
        <v>-20553</v>
      </c>
      <c r="K13" s="86"/>
      <c r="L13" s="86"/>
      <c r="M13" s="86"/>
      <c r="N13" s="30">
        <f>SUM(D13-SUM(K13:M13))</f>
        <v>-278813</v>
      </c>
      <c r="O13" s="79"/>
      <c r="P13" s="79"/>
      <c r="Q13" s="79"/>
      <c r="R13" s="30">
        <f>SUM(E13-SUM(O13:Q13))</f>
        <v>-186711</v>
      </c>
      <c r="S13" s="79"/>
      <c r="T13" s="79"/>
      <c r="V13" s="30">
        <f t="shared" ref="V13:AA13" si="6">SUM(H13:K13)</f>
        <v>-162766</v>
      </c>
      <c r="W13" s="30">
        <f t="shared" si="6"/>
        <v>-91460</v>
      </c>
      <c r="X13" s="30">
        <f t="shared" si="6"/>
        <v>-20553</v>
      </c>
      <c r="Y13" s="30">
        <f t="shared" si="6"/>
        <v>-278813</v>
      </c>
      <c r="Z13" s="30">
        <f t="shared" si="6"/>
        <v>-278813</v>
      </c>
      <c r="AA13" s="30">
        <f t="shared" si="6"/>
        <v>-278813</v>
      </c>
      <c r="AB13" s="30">
        <f t="shared" ref="AB13" si="7">SUM(M13:P13)</f>
        <v>-278813</v>
      </c>
      <c r="AC13" s="30">
        <f t="shared" ref="AC13" si="8">SUM(N13:Q13)</f>
        <v>-278813</v>
      </c>
      <c r="AD13" s="30">
        <f t="shared" ref="AD13" si="9">SUM(O13:R13)</f>
        <v>-186711</v>
      </c>
      <c r="AE13" s="30">
        <f t="shared" ref="AE13" si="10">SUM(P13:S13)</f>
        <v>-186711</v>
      </c>
      <c r="AF13" s="30">
        <f>SUM(Q13:T13)</f>
        <v>-186711</v>
      </c>
      <c r="AG13" s="11"/>
      <c r="AH13" s="70">
        <f t="shared" si="5"/>
        <v>-0.33033610340981234</v>
      </c>
    </row>
    <row r="14" spans="1:34" ht="12.75" customHeight="1">
      <c r="B14" s="23" t="s">
        <v>25</v>
      </c>
      <c r="C14" s="24">
        <f t="shared" ref="C14:E14" si="11">+SUM(C11+SUM(C13:C13))</f>
        <v>157640</v>
      </c>
      <c r="D14" s="24">
        <f t="shared" si="11"/>
        <v>143264</v>
      </c>
      <c r="E14" s="24">
        <f t="shared" si="11"/>
        <v>124889</v>
      </c>
      <c r="G14" s="24">
        <f t="shared" ref="G14:T14" si="12">+SUM(G11+SUM(G13:G13))</f>
        <v>34048</v>
      </c>
      <c r="H14" s="24">
        <f t="shared" si="12"/>
        <v>27831</v>
      </c>
      <c r="I14" s="24">
        <f t="shared" si="12"/>
        <v>40289</v>
      </c>
      <c r="J14" s="24">
        <f t="shared" si="12"/>
        <v>55472</v>
      </c>
      <c r="K14" s="24">
        <f t="shared" si="12"/>
        <v>91787</v>
      </c>
      <c r="L14" s="24">
        <f t="shared" si="12"/>
        <v>75680</v>
      </c>
      <c r="M14" s="24">
        <f t="shared" si="12"/>
        <v>71926</v>
      </c>
      <c r="N14" s="24">
        <f t="shared" si="12"/>
        <v>-96129</v>
      </c>
      <c r="O14" s="24">
        <f t="shared" si="12"/>
        <v>71343</v>
      </c>
      <c r="P14" s="24">
        <f t="shared" si="12"/>
        <v>70469</v>
      </c>
      <c r="Q14" s="24">
        <f t="shared" si="12"/>
        <v>0</v>
      </c>
      <c r="R14" s="24">
        <f t="shared" si="12"/>
        <v>-16923</v>
      </c>
      <c r="S14" s="24">
        <f t="shared" si="12"/>
        <v>0</v>
      </c>
      <c r="T14" s="24">
        <f t="shared" si="12"/>
        <v>0</v>
      </c>
      <c r="V14" s="24">
        <f t="shared" ref="V14:AF14" si="13">+SUM(V11+SUM(V13:V13))</f>
        <v>220666</v>
      </c>
      <c r="W14" s="24">
        <f t="shared" si="13"/>
        <v>286685</v>
      </c>
      <c r="X14" s="24">
        <f t="shared" si="13"/>
        <v>334135</v>
      </c>
      <c r="Y14" s="24">
        <f t="shared" si="13"/>
        <v>36605</v>
      </c>
      <c r="Z14" s="24">
        <f t="shared" si="13"/>
        <v>143264</v>
      </c>
      <c r="AA14" s="24">
        <f t="shared" si="13"/>
        <v>122820</v>
      </c>
      <c r="AB14" s="24">
        <f t="shared" si="13"/>
        <v>117609</v>
      </c>
      <c r="AC14" s="24">
        <f t="shared" si="13"/>
        <v>45683</v>
      </c>
      <c r="AD14" s="24">
        <f t="shared" si="13"/>
        <v>124889</v>
      </c>
      <c r="AE14" s="24">
        <f t="shared" si="13"/>
        <v>53546</v>
      </c>
      <c r="AF14" s="24">
        <f t="shared" si="13"/>
        <v>-16923</v>
      </c>
      <c r="AG14" s="40"/>
      <c r="AH14" s="71">
        <f t="shared" si="5"/>
        <v>-1.1438920490778768</v>
      </c>
    </row>
    <row r="15" spans="1:34" ht="12.75" customHeight="1">
      <c r="B15" s="14" t="s">
        <v>35</v>
      </c>
      <c r="C15" s="15">
        <f t="shared" ref="C15:E15" si="14">C14/C11</f>
        <v>0.41112896158901707</v>
      </c>
      <c r="D15" s="15">
        <f t="shared" si="14"/>
        <v>0.33942621843881565</v>
      </c>
      <c r="E15" s="15">
        <f t="shared" si="14"/>
        <v>0.40079910141206676</v>
      </c>
      <c r="F15" s="25"/>
      <c r="G15" s="15">
        <f t="shared" ref="G15:T15" si="15">G14/G11</f>
        <v>0.35074273234851761</v>
      </c>
      <c r="H15" s="15">
        <f t="shared" si="15"/>
        <v>0.28073272340296762</v>
      </c>
      <c r="I15" s="15">
        <f t="shared" si="15"/>
        <v>0.36232418432317709</v>
      </c>
      <c r="J15" s="15">
        <f t="shared" si="15"/>
        <v>0.72965471884248601</v>
      </c>
      <c r="K15" s="15">
        <f t="shared" si="15"/>
        <v>1</v>
      </c>
      <c r="L15" s="15">
        <f t="shared" si="15"/>
        <v>1</v>
      </c>
      <c r="M15" s="15">
        <f t="shared" si="15"/>
        <v>1</v>
      </c>
      <c r="N15" s="15">
        <f t="shared" si="15"/>
        <v>-0.52620371789538223</v>
      </c>
      <c r="O15" s="15">
        <f t="shared" si="15"/>
        <v>1</v>
      </c>
      <c r="P15" s="15">
        <f t="shared" si="15"/>
        <v>1</v>
      </c>
      <c r="Q15" s="15" t="e">
        <f t="shared" si="15"/>
        <v>#DIV/0!</v>
      </c>
      <c r="R15" s="15">
        <f t="shared" si="15"/>
        <v>-9.9671354866068276E-2</v>
      </c>
      <c r="S15" s="15" t="e">
        <f t="shared" si="15"/>
        <v>#DIV/0!</v>
      </c>
      <c r="T15" s="15" t="e">
        <f t="shared" si="15"/>
        <v>#DIV/0!</v>
      </c>
      <c r="U15" s="26"/>
      <c r="V15" s="15">
        <f t="shared" ref="V15:AF15" si="16">V14/V11</f>
        <v>0.57550230549354253</v>
      </c>
      <c r="W15" s="15">
        <f t="shared" si="16"/>
        <v>0.75813510690343655</v>
      </c>
      <c r="X15" s="15">
        <f t="shared" si="16"/>
        <v>0.9420532975460123</v>
      </c>
      <c r="Y15" s="15">
        <f t="shared" si="16"/>
        <v>0.11605234958055659</v>
      </c>
      <c r="Z15" s="15">
        <f t="shared" si="16"/>
        <v>0.33942621843881565</v>
      </c>
      <c r="AA15" s="15">
        <f t="shared" si="16"/>
        <v>0.30580156511043666</v>
      </c>
      <c r="AB15" s="15">
        <f t="shared" si="16"/>
        <v>0.29667626922824669</v>
      </c>
      <c r="AC15" s="15">
        <f t="shared" si="16"/>
        <v>0.14078139638084908</v>
      </c>
      <c r="AD15" s="15">
        <f t="shared" si="16"/>
        <v>0.40079910141206676</v>
      </c>
      <c r="AE15" s="15">
        <f t="shared" si="16"/>
        <v>0.2228696770541545</v>
      </c>
      <c r="AF15" s="15">
        <f t="shared" si="16"/>
        <v>-9.9671354866068276E-2</v>
      </c>
      <c r="AG15" s="40"/>
      <c r="AH15" s="72">
        <f>SUM(AF15-AB15)*1000</f>
        <v>-396.34762409431494</v>
      </c>
    </row>
    <row r="16" spans="1:34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40"/>
      <c r="AH16" s="70"/>
    </row>
    <row r="17" spans="2:34" ht="12.75" customHeight="1">
      <c r="B17" s="9" t="s">
        <v>144</v>
      </c>
      <c r="C17" s="79">
        <v>-62957</v>
      </c>
      <c r="D17" s="79">
        <v>-66034</v>
      </c>
      <c r="E17" s="79">
        <v>-60893</v>
      </c>
      <c r="F17" s="30"/>
      <c r="G17" s="79">
        <v>-15962</v>
      </c>
      <c r="H17" s="79">
        <v>-15593</v>
      </c>
      <c r="I17" s="79">
        <v>-16339</v>
      </c>
      <c r="J17" s="30">
        <f t="shared" ref="J17:J20" si="17">SUM(C17-SUM(G17:I17))</f>
        <v>-15063</v>
      </c>
      <c r="K17" s="86">
        <v>-15839</v>
      </c>
      <c r="L17" s="86">
        <v>-15717</v>
      </c>
      <c r="M17" s="86">
        <v>-14244</v>
      </c>
      <c r="N17" s="30">
        <f t="shared" ref="N17:N20" si="18">SUM(D17-SUM(K17:M17))</f>
        <v>-20234</v>
      </c>
      <c r="O17" s="79">
        <v>-13295</v>
      </c>
      <c r="P17" s="79">
        <v>-13578</v>
      </c>
      <c r="Q17" s="79"/>
      <c r="R17" s="30">
        <f t="shared" ref="R17:R20" si="19">SUM(E17-SUM(O17:Q17))</f>
        <v>-34020</v>
      </c>
      <c r="S17" s="79"/>
      <c r="T17" s="79"/>
      <c r="V17" s="30">
        <f t="shared" ref="V17:AA20" si="20">SUM(H17:K17)</f>
        <v>-62834</v>
      </c>
      <c r="W17" s="30">
        <f t="shared" si="20"/>
        <v>-62958</v>
      </c>
      <c r="X17" s="30">
        <f t="shared" si="20"/>
        <v>-60863</v>
      </c>
      <c r="Y17" s="30">
        <f t="shared" si="20"/>
        <v>-66034</v>
      </c>
      <c r="Z17" s="30">
        <f t="shared" si="20"/>
        <v>-63490</v>
      </c>
      <c r="AA17" s="30">
        <f t="shared" si="20"/>
        <v>-61351</v>
      </c>
      <c r="AB17" s="30">
        <f t="shared" ref="AB17:AB20" si="21">SUM(M17:P17)</f>
        <v>-61351</v>
      </c>
      <c r="AC17" s="30">
        <f t="shared" ref="AC17:AC20" si="22">SUM(N17:Q17)</f>
        <v>-47107</v>
      </c>
      <c r="AD17" s="30">
        <f t="shared" ref="AD17:AD20" si="23">SUM(O17:R17)</f>
        <v>-60893</v>
      </c>
      <c r="AE17" s="30">
        <f t="shared" ref="AE17:AE20" si="24">SUM(P17:S17)</f>
        <v>-47598</v>
      </c>
      <c r="AF17" s="30">
        <f t="shared" ref="AF17:AF20" si="25">SUM(Q17:T17)</f>
        <v>-34020</v>
      </c>
      <c r="AG17" s="11"/>
      <c r="AH17" s="70">
        <f t="shared" si="5"/>
        <v>-0.44548581115222241</v>
      </c>
    </row>
    <row r="18" spans="2:34" ht="12.75" customHeight="1">
      <c r="B18" s="9" t="s">
        <v>145</v>
      </c>
      <c r="C18" s="79">
        <v>-45256</v>
      </c>
      <c r="D18" s="79">
        <v>-47752</v>
      </c>
      <c r="E18" s="79">
        <v>-51547</v>
      </c>
      <c r="F18" s="30"/>
      <c r="G18" s="79">
        <v>-12314</v>
      </c>
      <c r="H18" s="79">
        <v>-11940</v>
      </c>
      <c r="I18" s="79">
        <v>-10969</v>
      </c>
      <c r="J18" s="30">
        <f t="shared" si="17"/>
        <v>-10033</v>
      </c>
      <c r="K18" s="86">
        <v>-12699</v>
      </c>
      <c r="L18" s="86">
        <v>-10241</v>
      </c>
      <c r="M18" s="86">
        <v>-11893</v>
      </c>
      <c r="N18" s="30">
        <f t="shared" si="18"/>
        <v>-12919</v>
      </c>
      <c r="O18" s="79">
        <v>-21065</v>
      </c>
      <c r="P18" s="79">
        <v>-13977</v>
      </c>
      <c r="Q18" s="79"/>
      <c r="R18" s="30">
        <f t="shared" si="19"/>
        <v>-16505</v>
      </c>
      <c r="S18" s="79"/>
      <c r="T18" s="79"/>
      <c r="V18" s="30">
        <f t="shared" si="20"/>
        <v>-45641</v>
      </c>
      <c r="W18" s="30">
        <f t="shared" si="20"/>
        <v>-43942</v>
      </c>
      <c r="X18" s="30">
        <f t="shared" si="20"/>
        <v>-44866</v>
      </c>
      <c r="Y18" s="30">
        <f t="shared" si="20"/>
        <v>-47752</v>
      </c>
      <c r="Z18" s="30">
        <f t="shared" si="20"/>
        <v>-56118</v>
      </c>
      <c r="AA18" s="30">
        <f t="shared" si="20"/>
        <v>-59854</v>
      </c>
      <c r="AB18" s="30">
        <f t="shared" si="21"/>
        <v>-59854</v>
      </c>
      <c r="AC18" s="30">
        <f t="shared" si="22"/>
        <v>-47961</v>
      </c>
      <c r="AD18" s="30">
        <f t="shared" si="23"/>
        <v>-51547</v>
      </c>
      <c r="AE18" s="30">
        <f t="shared" si="24"/>
        <v>-30482</v>
      </c>
      <c r="AF18" s="30">
        <f t="shared" si="25"/>
        <v>-16505</v>
      </c>
      <c r="AG18" s="11"/>
      <c r="AH18" s="70">
        <f t="shared" si="5"/>
        <v>-0.72424566445016203</v>
      </c>
    </row>
    <row r="19" spans="2:34" ht="12.75" customHeight="1">
      <c r="B19" s="9" t="s">
        <v>113</v>
      </c>
      <c r="C19" s="79">
        <v>-51812</v>
      </c>
      <c r="D19" s="79">
        <v>-44555</v>
      </c>
      <c r="E19" s="79">
        <v>-38046</v>
      </c>
      <c r="F19" s="30"/>
      <c r="G19" s="79">
        <v>-12125</v>
      </c>
      <c r="H19" s="79">
        <v>-10546</v>
      </c>
      <c r="I19" s="79">
        <v>-11254</v>
      </c>
      <c r="J19" s="30"/>
      <c r="K19" s="86">
        <v>-10913</v>
      </c>
      <c r="L19" s="86">
        <v>-9152</v>
      </c>
      <c r="M19" s="86">
        <v>-8763</v>
      </c>
      <c r="N19" s="30"/>
      <c r="O19" s="79">
        <v>-8308</v>
      </c>
      <c r="P19" s="79">
        <v>-8264</v>
      </c>
      <c r="Q19" s="79"/>
      <c r="R19" s="30"/>
      <c r="S19" s="79"/>
      <c r="T19" s="79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1"/>
      <c r="AH19" s="70"/>
    </row>
    <row r="20" spans="2:34" ht="12.75" customHeight="1">
      <c r="B20" s="9" t="s">
        <v>146</v>
      </c>
      <c r="C20" s="79">
        <v>-850</v>
      </c>
      <c r="D20" s="79">
        <v>-1605</v>
      </c>
      <c r="E20" s="79">
        <v>-3280</v>
      </c>
      <c r="F20" s="30"/>
      <c r="G20" s="79">
        <v>-725</v>
      </c>
      <c r="H20" s="79">
        <v>-921</v>
      </c>
      <c r="I20" s="79">
        <v>-41</v>
      </c>
      <c r="J20" s="30">
        <f t="shared" si="17"/>
        <v>837</v>
      </c>
      <c r="K20" s="86">
        <v>-1329</v>
      </c>
      <c r="L20" s="79">
        <v>-1338</v>
      </c>
      <c r="M20" s="79">
        <v>-497</v>
      </c>
      <c r="N20" s="30">
        <f t="shared" si="18"/>
        <v>1559</v>
      </c>
      <c r="O20" s="79">
        <v>-1192</v>
      </c>
      <c r="P20" s="79">
        <v>-383</v>
      </c>
      <c r="Q20" s="79"/>
      <c r="R20" s="30">
        <f t="shared" si="19"/>
        <v>-1705</v>
      </c>
      <c r="S20" s="79"/>
      <c r="T20" s="79"/>
      <c r="V20" s="30">
        <f t="shared" si="20"/>
        <v>-1454</v>
      </c>
      <c r="W20" s="30">
        <f t="shared" si="20"/>
        <v>-1871</v>
      </c>
      <c r="X20" s="30">
        <f t="shared" si="20"/>
        <v>-2327</v>
      </c>
      <c r="Y20" s="30">
        <f t="shared" si="20"/>
        <v>-1605</v>
      </c>
      <c r="Z20" s="30">
        <f t="shared" si="20"/>
        <v>-1468</v>
      </c>
      <c r="AA20" s="30">
        <f t="shared" si="20"/>
        <v>-513</v>
      </c>
      <c r="AB20" s="30">
        <f t="shared" si="21"/>
        <v>-513</v>
      </c>
      <c r="AC20" s="30">
        <f t="shared" si="22"/>
        <v>-16</v>
      </c>
      <c r="AD20" s="30">
        <f t="shared" si="23"/>
        <v>-3280</v>
      </c>
      <c r="AE20" s="30">
        <f t="shared" si="24"/>
        <v>-2088</v>
      </c>
      <c r="AF20" s="30">
        <f t="shared" si="25"/>
        <v>-1705</v>
      </c>
      <c r="AG20" s="11"/>
      <c r="AH20" s="70">
        <f t="shared" si="5"/>
        <v>2.3235867446393761</v>
      </c>
    </row>
    <row r="21" spans="2:34" ht="12.75" customHeight="1">
      <c r="B21" s="23" t="s">
        <v>100</v>
      </c>
      <c r="C21" s="24">
        <f>+SUM(C14+SUM(C17:C20))</f>
        <v>-3235</v>
      </c>
      <c r="D21" s="24">
        <f>+SUM(D14+SUM(D17:D20))</f>
        <v>-16682</v>
      </c>
      <c r="E21" s="24">
        <f>+SUM(E14+SUM(E17:E20))</f>
        <v>-28877</v>
      </c>
      <c r="F21" s="30"/>
      <c r="G21" s="24">
        <f t="shared" ref="G21:T21" si="26">+SUM(G14+SUM(G17:G20))</f>
        <v>-7078</v>
      </c>
      <c r="H21" s="24">
        <f t="shared" si="26"/>
        <v>-11169</v>
      </c>
      <c r="I21" s="24">
        <f t="shared" si="26"/>
        <v>1686</v>
      </c>
      <c r="J21" s="24">
        <f t="shared" si="26"/>
        <v>31213</v>
      </c>
      <c r="K21" s="24">
        <f t="shared" si="26"/>
        <v>51007</v>
      </c>
      <c r="L21" s="24">
        <f t="shared" si="26"/>
        <v>39232</v>
      </c>
      <c r="M21" s="24">
        <f t="shared" si="26"/>
        <v>36529</v>
      </c>
      <c r="N21" s="24">
        <f t="shared" si="26"/>
        <v>-127723</v>
      </c>
      <c r="O21" s="24">
        <f t="shared" si="26"/>
        <v>27483</v>
      </c>
      <c r="P21" s="24">
        <f t="shared" si="26"/>
        <v>34267</v>
      </c>
      <c r="Q21" s="24">
        <f t="shared" si="26"/>
        <v>0</v>
      </c>
      <c r="R21" s="24">
        <f t="shared" si="26"/>
        <v>-69153</v>
      </c>
      <c r="S21" s="24">
        <f t="shared" si="26"/>
        <v>0</v>
      </c>
      <c r="T21" s="24">
        <f t="shared" si="26"/>
        <v>0</v>
      </c>
      <c r="V21" s="24">
        <f t="shared" ref="V21:AF21" si="27">+SUM(V14+SUM(V17:V20))</f>
        <v>110737</v>
      </c>
      <c r="W21" s="24">
        <f t="shared" si="27"/>
        <v>177914</v>
      </c>
      <c r="X21" s="24">
        <f t="shared" si="27"/>
        <v>226079</v>
      </c>
      <c r="Y21" s="24">
        <f t="shared" si="27"/>
        <v>-78786</v>
      </c>
      <c r="Z21" s="24">
        <f t="shared" si="27"/>
        <v>22188</v>
      </c>
      <c r="AA21" s="24">
        <f t="shared" si="27"/>
        <v>1102</v>
      </c>
      <c r="AB21" s="24">
        <f t="shared" si="27"/>
        <v>-4109</v>
      </c>
      <c r="AC21" s="24">
        <f t="shared" si="27"/>
        <v>-49401</v>
      </c>
      <c r="AD21" s="24">
        <f t="shared" si="27"/>
        <v>9169</v>
      </c>
      <c r="AE21" s="24">
        <f t="shared" si="27"/>
        <v>-26622</v>
      </c>
      <c r="AF21" s="24">
        <f t="shared" si="27"/>
        <v>-69153</v>
      </c>
      <c r="AG21" s="11"/>
      <c r="AH21" s="71">
        <f t="shared" si="5"/>
        <v>15.829642248722315</v>
      </c>
    </row>
    <row r="22" spans="2:34" ht="12.75" customHeight="1">
      <c r="B22" s="14" t="s">
        <v>37</v>
      </c>
      <c r="C22" s="15">
        <f>C21/C11</f>
        <v>-8.4369588349433536E-3</v>
      </c>
      <c r="D22" s="15">
        <f>D21/D11</f>
        <v>-3.9523594036159279E-2</v>
      </c>
      <c r="E22" s="15">
        <f>E21/E11</f>
        <v>-9.267329910141206E-2</v>
      </c>
      <c r="F22" s="30"/>
      <c r="G22" s="15">
        <f t="shared" ref="G22:T22" si="28">G21/G11</f>
        <v>-7.291344747306179E-2</v>
      </c>
      <c r="H22" s="15">
        <f t="shared" si="28"/>
        <v>-0.11266227543702149</v>
      </c>
      <c r="I22" s="15">
        <f t="shared" si="28"/>
        <v>1.516241591424152E-2</v>
      </c>
      <c r="J22" s="15">
        <f t="shared" si="28"/>
        <v>0.41056231502795132</v>
      </c>
      <c r="K22" s="15">
        <f t="shared" si="28"/>
        <v>0.55571050366609653</v>
      </c>
      <c r="L22" s="15">
        <f t="shared" si="28"/>
        <v>0.51839323467230447</v>
      </c>
      <c r="M22" s="15">
        <f t="shared" si="28"/>
        <v>0.50786919889886828</v>
      </c>
      <c r="N22" s="15">
        <f t="shared" si="28"/>
        <v>-0.69914716121827858</v>
      </c>
      <c r="O22" s="15">
        <f t="shared" si="28"/>
        <v>0.38522349775030484</v>
      </c>
      <c r="P22" s="15">
        <f t="shared" si="28"/>
        <v>0.48627055868537938</v>
      </c>
      <c r="Q22" s="15" t="e">
        <f t="shared" si="28"/>
        <v>#DIV/0!</v>
      </c>
      <c r="R22" s="15">
        <f t="shared" si="28"/>
        <v>-0.40729026786345324</v>
      </c>
      <c r="S22" s="15" t="e">
        <f t="shared" si="28"/>
        <v>#DIV/0!</v>
      </c>
      <c r="T22" s="15" t="e">
        <f t="shared" si="28"/>
        <v>#DIV/0!</v>
      </c>
      <c r="V22" s="15">
        <f t="shared" ref="V22:AF22" si="29">V21/V11</f>
        <v>0.28880479459200065</v>
      </c>
      <c r="W22" s="15">
        <f t="shared" si="29"/>
        <v>0.47049147813669362</v>
      </c>
      <c r="X22" s="15">
        <f t="shared" si="29"/>
        <v>0.6374024494767232</v>
      </c>
      <c r="Y22" s="15">
        <f t="shared" si="29"/>
        <v>-0.24978282786651365</v>
      </c>
      <c r="Z22" s="15">
        <f t="shared" si="29"/>
        <v>5.2568607149880237E-2</v>
      </c>
      <c r="AA22" s="15">
        <f t="shared" si="29"/>
        <v>2.7437984428570362E-3</v>
      </c>
      <c r="AB22" s="15">
        <f t="shared" si="29"/>
        <v>-1.0365216864856138E-2</v>
      </c>
      <c r="AC22" s="15">
        <f t="shared" si="29"/>
        <v>-0.1522391647354667</v>
      </c>
      <c r="AD22" s="15">
        <f t="shared" si="29"/>
        <v>2.9425545571245187E-2</v>
      </c>
      <c r="AE22" s="15">
        <f t="shared" si="29"/>
        <v>-0.11080634487236585</v>
      </c>
      <c r="AF22" s="15">
        <f t="shared" si="29"/>
        <v>-0.40729026786345324</v>
      </c>
      <c r="AG22" s="11"/>
      <c r="AH22" s="72">
        <f>SUM(AF22-AB22)*1000</f>
        <v>-396.9250509985971</v>
      </c>
    </row>
    <row r="23" spans="2:34" ht="5.0999999999999996" customHeight="1">
      <c r="B23" s="14"/>
      <c r="C23" s="15"/>
      <c r="D23" s="15"/>
      <c r="E23" s="15"/>
      <c r="F23" s="30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1"/>
      <c r="AH23" s="70"/>
    </row>
    <row r="24" spans="2:34" ht="12.75" customHeight="1">
      <c r="B24" s="9" t="s">
        <v>147</v>
      </c>
      <c r="C24" s="79">
        <v>-251</v>
      </c>
      <c r="D24" s="79">
        <v>1956</v>
      </c>
      <c r="E24" s="79">
        <v>-1746</v>
      </c>
      <c r="F24" s="30"/>
      <c r="G24" s="79">
        <v>751</v>
      </c>
      <c r="H24" s="79">
        <v>2431</v>
      </c>
      <c r="I24" s="79">
        <v>-544</v>
      </c>
      <c r="J24" s="30">
        <f t="shared" ref="J24:J27" si="30">SUM(C24-SUM(G24:I24))</f>
        <v>-2889</v>
      </c>
      <c r="K24" s="79">
        <v>-998</v>
      </c>
      <c r="L24" s="79">
        <v>367</v>
      </c>
      <c r="M24" s="79">
        <v>-1419</v>
      </c>
      <c r="N24" s="30">
        <f t="shared" ref="N24:N27" si="31">SUM(D24-SUM(K24:M24))</f>
        <v>4006</v>
      </c>
      <c r="O24" s="79">
        <v>-41</v>
      </c>
      <c r="P24" s="79">
        <v>-1334</v>
      </c>
      <c r="Q24" s="79"/>
      <c r="R24" s="30">
        <f t="shared" ref="R24:R27" si="32">SUM(E24-SUM(O24:Q24))</f>
        <v>-371</v>
      </c>
      <c r="S24" s="79"/>
      <c r="T24" s="79"/>
      <c r="V24" s="30">
        <f t="shared" ref="V24:AA24" si="33">SUM(H24:K24)</f>
        <v>-2000</v>
      </c>
      <c r="W24" s="30">
        <f t="shared" si="33"/>
        <v>-4064</v>
      </c>
      <c r="X24" s="30">
        <f t="shared" si="33"/>
        <v>-4939</v>
      </c>
      <c r="Y24" s="30">
        <f t="shared" si="33"/>
        <v>1956</v>
      </c>
      <c r="Z24" s="30">
        <f t="shared" si="33"/>
        <v>2913</v>
      </c>
      <c r="AA24" s="30">
        <f t="shared" si="33"/>
        <v>1212</v>
      </c>
      <c r="AB24" s="30">
        <f t="shared" ref="AB24:AB27" si="34">SUM(M24:P24)</f>
        <v>1212</v>
      </c>
      <c r="AC24" s="30">
        <f t="shared" ref="AC24:AC27" si="35">SUM(N24:Q24)</f>
        <v>2631</v>
      </c>
      <c r="AD24" s="30">
        <f t="shared" ref="AD24:AD27" si="36">SUM(O24:R24)</f>
        <v>-1746</v>
      </c>
      <c r="AE24" s="30">
        <f t="shared" ref="AE24:AE27" si="37">SUM(P24:S24)</f>
        <v>-1705</v>
      </c>
      <c r="AF24" s="30">
        <f t="shared" ref="AF24:AF27" si="38">SUM(Q24:T24)</f>
        <v>-371</v>
      </c>
      <c r="AG24" s="11"/>
      <c r="AH24" s="70">
        <f t="shared" si="5"/>
        <v>-1.306105610561056</v>
      </c>
    </row>
    <row r="25" spans="2:34" ht="12.75" customHeight="1">
      <c r="B25" s="9" t="s">
        <v>88</v>
      </c>
      <c r="C25" s="79">
        <v>-11888</v>
      </c>
      <c r="D25" s="79">
        <v>-10560</v>
      </c>
      <c r="E25" s="79">
        <v>-15089</v>
      </c>
      <c r="F25" s="30"/>
      <c r="G25" s="79">
        <v>-2091</v>
      </c>
      <c r="H25" s="79">
        <v>-2745</v>
      </c>
      <c r="I25" s="79">
        <v>-2701</v>
      </c>
      <c r="J25" s="30">
        <f t="shared" si="30"/>
        <v>-4351</v>
      </c>
      <c r="K25" s="79">
        <v>-3201</v>
      </c>
      <c r="L25" s="79">
        <v>-3855</v>
      </c>
      <c r="M25" s="79">
        <v>-3937</v>
      </c>
      <c r="N25" s="30">
        <f t="shared" si="31"/>
        <v>433</v>
      </c>
      <c r="O25" s="79">
        <v>-3790</v>
      </c>
      <c r="P25" s="79">
        <v>-6131</v>
      </c>
      <c r="Q25" s="79"/>
      <c r="R25" s="30">
        <f t="shared" si="32"/>
        <v>-5168</v>
      </c>
      <c r="S25" s="79"/>
      <c r="T25" s="79"/>
      <c r="V25" s="30"/>
      <c r="W25" s="30"/>
      <c r="X25" s="30"/>
      <c r="Y25" s="30"/>
      <c r="Z25" s="30"/>
      <c r="AA25" s="30"/>
      <c r="AB25" s="30">
        <f t="shared" si="34"/>
        <v>-13425</v>
      </c>
      <c r="AC25" s="30">
        <f t="shared" si="35"/>
        <v>-9488</v>
      </c>
      <c r="AD25" s="30">
        <f t="shared" si="36"/>
        <v>-15089</v>
      </c>
      <c r="AE25" s="30">
        <f t="shared" si="37"/>
        <v>-11299</v>
      </c>
      <c r="AF25" s="30">
        <f t="shared" si="38"/>
        <v>-5168</v>
      </c>
      <c r="AG25" s="11"/>
      <c r="AH25" s="70">
        <f t="shared" si="5"/>
        <v>-0.61504655493482308</v>
      </c>
    </row>
    <row r="26" spans="2:34" ht="12.75" customHeight="1">
      <c r="B26" s="9" t="s">
        <v>148</v>
      </c>
      <c r="C26" s="79">
        <v>60030</v>
      </c>
      <c r="D26" s="79">
        <v>10250</v>
      </c>
      <c r="E26" s="79">
        <v>5137</v>
      </c>
      <c r="F26" s="30"/>
      <c r="G26" s="79"/>
      <c r="H26" s="79"/>
      <c r="I26" s="79"/>
      <c r="J26" s="30">
        <f t="shared" si="30"/>
        <v>60030</v>
      </c>
      <c r="K26" s="79">
        <v>0</v>
      </c>
      <c r="L26" s="79">
        <v>0</v>
      </c>
      <c r="M26" s="79">
        <v>2213</v>
      </c>
      <c r="N26" s="30">
        <f t="shared" si="31"/>
        <v>8037</v>
      </c>
      <c r="O26" s="79">
        <v>1666</v>
      </c>
      <c r="P26" s="79">
        <v>3550</v>
      </c>
      <c r="Q26" s="79"/>
      <c r="R26" s="30">
        <f t="shared" si="32"/>
        <v>-79</v>
      </c>
      <c r="S26" s="79"/>
      <c r="T26" s="79"/>
      <c r="V26" s="30"/>
      <c r="W26" s="30"/>
      <c r="X26" s="30"/>
      <c r="Y26" s="30"/>
      <c r="Z26" s="30"/>
      <c r="AA26" s="30"/>
      <c r="AB26" s="30">
        <f t="shared" si="34"/>
        <v>15466</v>
      </c>
      <c r="AC26" s="30">
        <f t="shared" si="35"/>
        <v>13253</v>
      </c>
      <c r="AD26" s="30">
        <f t="shared" si="36"/>
        <v>5137</v>
      </c>
      <c r="AE26" s="30">
        <f t="shared" si="37"/>
        <v>3471</v>
      </c>
      <c r="AF26" s="30">
        <f t="shared" si="38"/>
        <v>-79</v>
      </c>
      <c r="AG26" s="11"/>
      <c r="AH26" s="70">
        <f t="shared" si="5"/>
        <v>-1.0051079787921893</v>
      </c>
    </row>
    <row r="27" spans="2:34" ht="12.75" customHeight="1">
      <c r="B27" s="9" t="s">
        <v>149</v>
      </c>
      <c r="C27" s="79">
        <v>-4960</v>
      </c>
      <c r="D27" s="79">
        <v>-1392</v>
      </c>
      <c r="E27" s="79">
        <v>0</v>
      </c>
      <c r="F27" s="30"/>
      <c r="G27" s="79">
        <v>-1392</v>
      </c>
      <c r="H27" s="79"/>
      <c r="I27" s="79"/>
      <c r="J27" s="30">
        <f t="shared" si="30"/>
        <v>-3568</v>
      </c>
      <c r="K27" s="79">
        <v>0</v>
      </c>
      <c r="L27" s="79">
        <v>4402</v>
      </c>
      <c r="M27" s="79">
        <v>0</v>
      </c>
      <c r="N27" s="30">
        <f t="shared" si="31"/>
        <v>-5794</v>
      </c>
      <c r="O27" s="79">
        <v>-695</v>
      </c>
      <c r="P27" s="79">
        <v>-2308</v>
      </c>
      <c r="Q27" s="79"/>
      <c r="R27" s="30">
        <f t="shared" si="32"/>
        <v>3003</v>
      </c>
      <c r="S27" s="79"/>
      <c r="T27" s="79"/>
      <c r="V27" s="30"/>
      <c r="W27" s="30"/>
      <c r="X27" s="30"/>
      <c r="Y27" s="30"/>
      <c r="Z27" s="30"/>
      <c r="AA27" s="30"/>
      <c r="AB27" s="30">
        <f t="shared" si="34"/>
        <v>-8797</v>
      </c>
      <c r="AC27" s="30">
        <f t="shared" si="35"/>
        <v>-8797</v>
      </c>
      <c r="AD27" s="30">
        <f t="shared" si="36"/>
        <v>0</v>
      </c>
      <c r="AE27" s="30">
        <f t="shared" si="37"/>
        <v>695</v>
      </c>
      <c r="AF27" s="30">
        <f t="shared" si="38"/>
        <v>3003</v>
      </c>
      <c r="AG27" s="11"/>
      <c r="AH27" s="70">
        <f t="shared" si="5"/>
        <v>-1.3413663749005342</v>
      </c>
    </row>
    <row r="28" spans="2:34" ht="12.75" customHeight="1">
      <c r="B28" s="23" t="s">
        <v>101</v>
      </c>
      <c r="C28" s="24">
        <f>SUM(C21+SUM(C24:C27))</f>
        <v>39696</v>
      </c>
      <c r="D28" s="24">
        <f>SUM(D21+SUM(D24:D27))</f>
        <v>-16428</v>
      </c>
      <c r="E28" s="24">
        <f>SUM(E21+SUM(E24:E27))</f>
        <v>-40575</v>
      </c>
      <c r="G28" s="24">
        <f>SUM(G21+SUM(G24:G27))</f>
        <v>-9810</v>
      </c>
      <c r="H28" s="24">
        <f>SUM(H21+SUM(H24:H27))</f>
        <v>-11483</v>
      </c>
      <c r="I28" s="24">
        <f>SUM(I21+SUM(I24:I27))</f>
        <v>-1559</v>
      </c>
      <c r="J28" s="24">
        <f>SUM(J21+SUM(J24:J27))</f>
        <v>80435</v>
      </c>
      <c r="K28" s="24">
        <f>SUM(K21+SUM(K24:K27))</f>
        <v>46808</v>
      </c>
      <c r="L28" s="24">
        <f>SUM(L21+SUM(L24:L27))</f>
        <v>40146</v>
      </c>
      <c r="M28" s="24">
        <f>SUM(M21+SUM(M24:M27))</f>
        <v>33386</v>
      </c>
      <c r="N28" s="24">
        <f>SUM(N21+SUM(N24:N27))</f>
        <v>-121041</v>
      </c>
      <c r="O28" s="24">
        <f>SUM(O21+SUM(O24:O27))</f>
        <v>24623</v>
      </c>
      <c r="P28" s="24">
        <f>SUM(P21+SUM(P24:P27))</f>
        <v>28044</v>
      </c>
      <c r="Q28" s="24">
        <f>SUM(Q21+SUM(Q24:Q27))</f>
        <v>0</v>
      </c>
      <c r="R28" s="24">
        <f>SUM(R21+SUM(R24:R27))</f>
        <v>-71768</v>
      </c>
      <c r="S28" s="24">
        <f>SUM(S21+SUM(S24:S27))</f>
        <v>0</v>
      </c>
      <c r="T28" s="24">
        <f>SUM(T21+SUM(T24:T27))</f>
        <v>0</v>
      </c>
      <c r="V28" s="24">
        <f>SUM(V21+SUM(V24:V27))</f>
        <v>108737</v>
      </c>
      <c r="W28" s="24">
        <f>SUM(W21+SUM(W24:W27))</f>
        <v>173850</v>
      </c>
      <c r="X28" s="24">
        <f>SUM(X21+SUM(X24:X27))</f>
        <v>221140</v>
      </c>
      <c r="Y28" s="24">
        <f>SUM(Y21+SUM(Y24:Y27))</f>
        <v>-76830</v>
      </c>
      <c r="Z28" s="24">
        <f>SUM(Z21+SUM(Z24:Z27))</f>
        <v>25101</v>
      </c>
      <c r="AA28" s="24">
        <f>SUM(AA21+SUM(AA24:AA27))</f>
        <v>2314</v>
      </c>
      <c r="AB28" s="24">
        <f>SUM(AB21+SUM(AB24:AB27))</f>
        <v>-9653</v>
      </c>
      <c r="AC28" s="24">
        <f>SUM(AC21+SUM(AC24:AC27))</f>
        <v>-51802</v>
      </c>
      <c r="AD28" s="24">
        <f>SUM(AD21+SUM(AD24:AD27))</f>
        <v>-2529</v>
      </c>
      <c r="AE28" s="24">
        <f>SUM(AE21+SUM(AE24:AE27))</f>
        <v>-35460</v>
      </c>
      <c r="AF28" s="24">
        <f>SUM(AF21+SUM(AF24:AF27))</f>
        <v>-71768</v>
      </c>
      <c r="AG28" s="40"/>
      <c r="AH28" s="71">
        <f t="shared" si="5"/>
        <v>6.4347871128146688</v>
      </c>
    </row>
    <row r="29" spans="2:34" ht="12.75" customHeight="1">
      <c r="B29" s="14" t="s">
        <v>102</v>
      </c>
      <c r="C29" s="15">
        <f>C28/C11</f>
        <v>0.10352813536689687</v>
      </c>
      <c r="D29" s="15">
        <f>D28/D11</f>
        <v>-3.8921808106103864E-2</v>
      </c>
      <c r="E29" s="15">
        <f>E28/E11</f>
        <v>-0.1302150192554557</v>
      </c>
      <c r="F29" s="25"/>
      <c r="G29" s="15">
        <f>G28/G11</f>
        <v>-0.1010569256443538</v>
      </c>
      <c r="H29" s="15">
        <f>H28/H11</f>
        <v>-0.11582960953024603</v>
      </c>
      <c r="I29" s="15">
        <f>I28/I11</f>
        <v>-1.4020288499586316E-2</v>
      </c>
      <c r="J29" s="15">
        <f>J28/J11</f>
        <v>1.0580072344623479</v>
      </c>
      <c r="K29" s="15">
        <f>K28/K11</f>
        <v>0.50996328456099449</v>
      </c>
      <c r="L29" s="15">
        <f>L28/L11</f>
        <v>0.53047040169133197</v>
      </c>
      <c r="M29" s="15">
        <f>M28/M11</f>
        <v>0.46417150960709619</v>
      </c>
      <c r="N29" s="15">
        <f>N28/N11</f>
        <v>-0.66257034004072601</v>
      </c>
      <c r="O29" s="15">
        <f>O28/O11</f>
        <v>0.34513547229581037</v>
      </c>
      <c r="P29" s="15">
        <f>P28/P11</f>
        <v>0.39796222452425889</v>
      </c>
      <c r="Q29" s="15" t="e">
        <f>Q28/Q11</f>
        <v>#DIV/0!</v>
      </c>
      <c r="R29" s="15">
        <f>R28/R11</f>
        <v>-0.422691827455415</v>
      </c>
      <c r="S29" s="15" t="e">
        <f>S28/S11</f>
        <v>#DIV/0!</v>
      </c>
      <c r="T29" s="15" t="e">
        <f>T28/T11</f>
        <v>#DIV/0!</v>
      </c>
      <c r="U29" s="26"/>
      <c r="V29" s="15">
        <f>V28/V11</f>
        <v>0.28358874585324123</v>
      </c>
      <c r="W29" s="15">
        <f>W28/W11</f>
        <v>0.45974427798860223</v>
      </c>
      <c r="X29" s="15">
        <f>X28/X11</f>
        <v>0.62347753518585347</v>
      </c>
      <c r="Y29" s="15">
        <f>Y28/Y11</f>
        <v>-0.2435815330767426</v>
      </c>
      <c r="Z29" s="15">
        <f>Z28/Z11</f>
        <v>5.9470191457956727E-2</v>
      </c>
      <c r="AA29" s="15">
        <f>AA28/AA11</f>
        <v>5.7614787629502555E-3</v>
      </c>
      <c r="AB29" s="15">
        <f>AB28/AB11</f>
        <v>-2.4350313554747215E-2</v>
      </c>
      <c r="AC29" s="15">
        <f>AC28/AC11</f>
        <v>-0.15963833144322273</v>
      </c>
      <c r="AD29" s="15">
        <f>AD28/AD11</f>
        <v>-8.1161745827984591E-3</v>
      </c>
      <c r="AE29" s="15">
        <f>AE28/AE11</f>
        <v>-0.14759195361633584</v>
      </c>
      <c r="AF29" s="15">
        <f>AF28/AF11</f>
        <v>-0.422691827455415</v>
      </c>
      <c r="AG29" s="41"/>
      <c r="AH29" s="72">
        <f>SUM(AF29-AB29)*1000</f>
        <v>-398.34151390066779</v>
      </c>
    </row>
    <row r="30" spans="2:34" ht="5.0999999999999996" customHeight="1">
      <c r="B30" s="27"/>
      <c r="C30" s="42"/>
      <c r="D30" s="42"/>
      <c r="E30" s="42"/>
      <c r="F30" s="28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1"/>
      <c r="AH30" s="70"/>
    </row>
    <row r="31" spans="2:34" ht="12.75" customHeight="1">
      <c r="B31" s="43" t="s">
        <v>121</v>
      </c>
      <c r="C31" s="79">
        <v>-1341</v>
      </c>
      <c r="D31" s="79">
        <v>-1940</v>
      </c>
      <c r="E31" s="79">
        <v>-711</v>
      </c>
      <c r="F31" s="30"/>
      <c r="G31" s="79">
        <v>-410</v>
      </c>
      <c r="H31" s="79">
        <v>-461</v>
      </c>
      <c r="I31" s="79">
        <v>693</v>
      </c>
      <c r="J31" s="30">
        <f t="shared" ref="J31" si="39">SUM(C31-SUM(G31:I31))</f>
        <v>-1163</v>
      </c>
      <c r="K31" s="79">
        <v>-530</v>
      </c>
      <c r="L31" s="79">
        <v>-533</v>
      </c>
      <c r="M31" s="79">
        <v>-510</v>
      </c>
      <c r="N31" s="30">
        <f t="shared" ref="N31" si="40">SUM(D31-SUM(K31:M31))</f>
        <v>-367</v>
      </c>
      <c r="O31" s="79">
        <v>-235</v>
      </c>
      <c r="P31" s="79">
        <v>-370</v>
      </c>
      <c r="Q31" s="79">
        <v>0</v>
      </c>
      <c r="R31" s="30">
        <f t="shared" ref="R31" si="41">SUM(E31-SUM(O31:Q31))</f>
        <v>-106</v>
      </c>
      <c r="S31" s="79">
        <v>0</v>
      </c>
      <c r="T31" s="79"/>
      <c r="U31" s="30"/>
      <c r="V31" s="30">
        <f t="shared" ref="V31:AA31" si="42">SUM(H31:K31)</f>
        <v>-1461</v>
      </c>
      <c r="W31" s="30">
        <f t="shared" si="42"/>
        <v>-1533</v>
      </c>
      <c r="X31" s="30">
        <f t="shared" si="42"/>
        <v>-2736</v>
      </c>
      <c r="Y31" s="30">
        <f t="shared" si="42"/>
        <v>-1940</v>
      </c>
      <c r="Z31" s="30">
        <f t="shared" si="42"/>
        <v>-1645</v>
      </c>
      <c r="AA31" s="30">
        <f t="shared" si="42"/>
        <v>-1482</v>
      </c>
      <c r="AB31" s="30">
        <f t="shared" ref="AB31" si="43">SUM(M31:P31)</f>
        <v>-1482</v>
      </c>
      <c r="AC31" s="30">
        <f t="shared" ref="AC31" si="44">SUM(N31:Q31)</f>
        <v>-972</v>
      </c>
      <c r="AD31" s="30">
        <f t="shared" ref="AD31" si="45">SUM(O31:R31)</f>
        <v>-711</v>
      </c>
      <c r="AE31" s="30">
        <f t="shared" ref="AE31" si="46">SUM(P31:S31)</f>
        <v>-476</v>
      </c>
      <c r="AF31" s="30">
        <f>SUM(Q31:T31)</f>
        <v>-106</v>
      </c>
      <c r="AG31" s="41"/>
      <c r="AH31" s="70">
        <f t="shared" si="5"/>
        <v>-0.92847503373819162</v>
      </c>
    </row>
    <row r="32" spans="2:34" ht="12.75" customHeight="1">
      <c r="B32" s="12" t="s">
        <v>64</v>
      </c>
      <c r="C32" s="13">
        <f t="shared" ref="C32:E32" si="47">SUM(C28+C31)</f>
        <v>38355</v>
      </c>
      <c r="D32" s="13">
        <f t="shared" si="47"/>
        <v>-18368</v>
      </c>
      <c r="E32" s="13">
        <f t="shared" si="47"/>
        <v>-41286</v>
      </c>
      <c r="F32" s="11"/>
      <c r="G32" s="13">
        <f t="shared" ref="G32:T32" si="48">SUM(G28+G31)</f>
        <v>-10220</v>
      </c>
      <c r="H32" s="13">
        <f t="shared" si="48"/>
        <v>-11944</v>
      </c>
      <c r="I32" s="13">
        <f t="shared" si="48"/>
        <v>-866</v>
      </c>
      <c r="J32" s="13">
        <f t="shared" si="48"/>
        <v>79272</v>
      </c>
      <c r="K32" s="13">
        <f t="shared" si="48"/>
        <v>46278</v>
      </c>
      <c r="L32" s="13">
        <f t="shared" si="48"/>
        <v>39613</v>
      </c>
      <c r="M32" s="13">
        <f t="shared" si="48"/>
        <v>32876</v>
      </c>
      <c r="N32" s="13">
        <f t="shared" si="48"/>
        <v>-121408</v>
      </c>
      <c r="O32" s="13">
        <f t="shared" si="48"/>
        <v>24388</v>
      </c>
      <c r="P32" s="13">
        <f t="shared" si="48"/>
        <v>27674</v>
      </c>
      <c r="Q32" s="13">
        <f t="shared" si="48"/>
        <v>0</v>
      </c>
      <c r="R32" s="13">
        <f t="shared" si="48"/>
        <v>-71874</v>
      </c>
      <c r="S32" s="13">
        <f t="shared" si="48"/>
        <v>0</v>
      </c>
      <c r="T32" s="13">
        <f t="shared" si="48"/>
        <v>0</v>
      </c>
      <c r="U32" s="30"/>
      <c r="V32" s="13">
        <f t="shared" ref="V32:AF32" si="49">SUM(V28+V31)</f>
        <v>107276</v>
      </c>
      <c r="W32" s="13">
        <f t="shared" si="49"/>
        <v>172317</v>
      </c>
      <c r="X32" s="13">
        <f t="shared" si="49"/>
        <v>218404</v>
      </c>
      <c r="Y32" s="13">
        <f t="shared" si="49"/>
        <v>-78770</v>
      </c>
      <c r="Z32" s="13">
        <f t="shared" si="49"/>
        <v>23456</v>
      </c>
      <c r="AA32" s="13">
        <f t="shared" si="49"/>
        <v>832</v>
      </c>
      <c r="AB32" s="13">
        <f t="shared" si="49"/>
        <v>-11135</v>
      </c>
      <c r="AC32" s="13">
        <f t="shared" si="49"/>
        <v>-52774</v>
      </c>
      <c r="AD32" s="13">
        <f t="shared" si="49"/>
        <v>-3240</v>
      </c>
      <c r="AE32" s="13">
        <f t="shared" si="49"/>
        <v>-35936</v>
      </c>
      <c r="AF32" s="13">
        <f t="shared" si="49"/>
        <v>-71874</v>
      </c>
      <c r="AG32" s="34"/>
      <c r="AH32" s="71">
        <f t="shared" si="5"/>
        <v>5.4547822182308039</v>
      </c>
    </row>
    <row r="33" spans="1:34" ht="12.75" customHeight="1">
      <c r="B33" s="14" t="s">
        <v>79</v>
      </c>
      <c r="C33" s="15">
        <f>C32/C11</f>
        <v>0.10003077468755868</v>
      </c>
      <c r="D33" s="15">
        <f>D32/D11</f>
        <v>-4.3518125839597986E-2</v>
      </c>
      <c r="E33" s="15">
        <f>E32/E11</f>
        <v>-0.13249679075738124</v>
      </c>
      <c r="F33" s="25"/>
      <c r="G33" s="15">
        <f>G32/G11</f>
        <v>-0.10528050765395472</v>
      </c>
      <c r="H33" s="15">
        <f>H32/H11</f>
        <v>-0.12047974015755974</v>
      </c>
      <c r="I33" s="15">
        <f>I32/I11</f>
        <v>-7.7880499298535917E-3</v>
      </c>
      <c r="J33" s="15">
        <f>J32/J11</f>
        <v>1.0427096349884906</v>
      </c>
      <c r="K33" s="15">
        <f>K32/K11</f>
        <v>0.50418904637911688</v>
      </c>
      <c r="L33" s="15">
        <f>L32/L11</f>
        <v>0.52342758985200843</v>
      </c>
      <c r="M33" s="15">
        <f>M32/M11</f>
        <v>0.45708088869115482</v>
      </c>
      <c r="N33" s="15">
        <f>N32/N11</f>
        <v>-0.66457927349959489</v>
      </c>
      <c r="O33" s="15">
        <f>O32/O11</f>
        <v>0.34184152614832569</v>
      </c>
      <c r="P33" s="15">
        <f>P32/P11</f>
        <v>0.39271168882771146</v>
      </c>
      <c r="Q33" s="15" t="e">
        <f>Q32/Q11</f>
        <v>#DIV/0!</v>
      </c>
      <c r="R33" s="15">
        <f>R32/R11</f>
        <v>-0.42331613541593044</v>
      </c>
      <c r="S33" s="15" t="e">
        <f>S32/S11</f>
        <v>#DIV/0!</v>
      </c>
      <c r="T33" s="15" t="e">
        <f>T32/T11</f>
        <v>#DIV/0!</v>
      </c>
      <c r="U33" s="26"/>
      <c r="V33" s="15">
        <f>V32/V11</f>
        <v>0.2797784222495775</v>
      </c>
      <c r="W33" s="15">
        <f>W32/W11</f>
        <v>0.45569027753903923</v>
      </c>
      <c r="X33" s="15">
        <f>X32/X11</f>
        <v>0.61576371346084446</v>
      </c>
      <c r="Y33" s="15">
        <f>Y32/Y11</f>
        <v>-0.24973210152876502</v>
      </c>
      <c r="Z33" s="15">
        <f>Z32/Z11</f>
        <v>5.5572798328267115E-2</v>
      </c>
      <c r="AA33" s="15">
        <f>AA32/AA11</f>
        <v>2.0715429260045864E-3</v>
      </c>
      <c r="AB33" s="15">
        <f>AB32/AB11</f>
        <v>-2.8088753903668311E-2</v>
      </c>
      <c r="AC33" s="15">
        <f>AC32/AC11</f>
        <v>-0.16263374587051921</v>
      </c>
      <c r="AD33" s="15">
        <f>AD32/AD11</f>
        <v>-1.0397946084724006E-2</v>
      </c>
      <c r="AE33" s="15">
        <f>AE32/AE11</f>
        <v>-0.14957316540204865</v>
      </c>
      <c r="AF33" s="15">
        <f>AF32/AF11</f>
        <v>-0.42331613541593044</v>
      </c>
      <c r="AG33" s="41"/>
      <c r="AH33" s="72">
        <f>SUM(AF33-AB33)*1000</f>
        <v>-395.22738151226213</v>
      </c>
    </row>
    <row r="34" spans="1:34" ht="5.0999999999999996" customHeight="1">
      <c r="B34" s="14"/>
      <c r="C34" s="15"/>
      <c r="D34" s="15"/>
      <c r="E34" s="15"/>
      <c r="F34" s="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6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41"/>
      <c r="AH34" s="72"/>
    </row>
    <row r="35" spans="1:34" ht="12.75" customHeight="1">
      <c r="B35" s="43" t="s">
        <v>80</v>
      </c>
      <c r="C35" s="79"/>
      <c r="D35" s="79"/>
      <c r="E35" s="79"/>
      <c r="F35" s="25"/>
      <c r="G35" s="79"/>
      <c r="H35" s="79"/>
      <c r="I35" s="79"/>
      <c r="J35" s="30">
        <f>C35</f>
        <v>0</v>
      </c>
      <c r="K35" s="79"/>
      <c r="L35" s="79"/>
      <c r="M35" s="79"/>
      <c r="N35" s="30">
        <f>D35</f>
        <v>0</v>
      </c>
      <c r="O35" s="79"/>
      <c r="P35" s="79"/>
      <c r="Q35" s="79"/>
      <c r="R35" s="30">
        <f>E35</f>
        <v>0</v>
      </c>
      <c r="S35" s="79"/>
      <c r="T35" s="79"/>
      <c r="U35" s="30"/>
      <c r="V35" s="30">
        <f t="shared" ref="V35:AE35" si="50">J35</f>
        <v>0</v>
      </c>
      <c r="W35" s="30">
        <f t="shared" si="50"/>
        <v>0</v>
      </c>
      <c r="X35" s="30">
        <f t="shared" si="50"/>
        <v>0</v>
      </c>
      <c r="Y35" s="30">
        <f t="shared" si="50"/>
        <v>0</v>
      </c>
      <c r="Z35" s="30">
        <f t="shared" si="50"/>
        <v>0</v>
      </c>
      <c r="AA35" s="30">
        <f t="shared" si="50"/>
        <v>0</v>
      </c>
      <c r="AB35" s="30">
        <f t="shared" si="50"/>
        <v>0</v>
      </c>
      <c r="AC35" s="30">
        <f t="shared" si="50"/>
        <v>0</v>
      </c>
      <c r="AD35" s="30">
        <f t="shared" si="50"/>
        <v>0</v>
      </c>
      <c r="AE35" s="30">
        <f t="shared" si="50"/>
        <v>0</v>
      </c>
      <c r="AF35" s="30">
        <f>T35</f>
        <v>0</v>
      </c>
      <c r="AG35" s="41"/>
      <c r="AH35" s="70" t="e">
        <f t="shared" ref="AH35" si="51">SUM(AF35/AB35)-1</f>
        <v>#DIV/0!</v>
      </c>
    </row>
    <row r="36" spans="1:34" ht="12.75" customHeight="1">
      <c r="B36" s="12" t="s">
        <v>81</v>
      </c>
      <c r="C36" s="73" t="e">
        <f t="shared" ref="C36:E36" si="52">C32/C35</f>
        <v>#DIV/0!</v>
      </c>
      <c r="D36" s="73" t="e">
        <f t="shared" si="52"/>
        <v>#DIV/0!</v>
      </c>
      <c r="E36" s="73" t="e">
        <f t="shared" si="52"/>
        <v>#DIV/0!</v>
      </c>
      <c r="F36" s="11"/>
      <c r="G36" s="73" t="e">
        <f t="shared" ref="G36:T36" si="53">G32/G35</f>
        <v>#DIV/0!</v>
      </c>
      <c r="H36" s="73" t="e">
        <f t="shared" si="53"/>
        <v>#DIV/0!</v>
      </c>
      <c r="I36" s="73" t="e">
        <f t="shared" si="53"/>
        <v>#DIV/0!</v>
      </c>
      <c r="J36" s="73" t="e">
        <f t="shared" si="53"/>
        <v>#DIV/0!</v>
      </c>
      <c r="K36" s="73" t="e">
        <f t="shared" si="53"/>
        <v>#DIV/0!</v>
      </c>
      <c r="L36" s="73" t="e">
        <f t="shared" si="53"/>
        <v>#DIV/0!</v>
      </c>
      <c r="M36" s="73" t="e">
        <f t="shared" si="53"/>
        <v>#DIV/0!</v>
      </c>
      <c r="N36" s="73" t="e">
        <f>N32/N35</f>
        <v>#DIV/0!</v>
      </c>
      <c r="O36" s="73" t="e">
        <f t="shared" si="53"/>
        <v>#DIV/0!</v>
      </c>
      <c r="P36" s="73" t="e">
        <f t="shared" si="53"/>
        <v>#DIV/0!</v>
      </c>
      <c r="Q36" s="73" t="e">
        <f t="shared" si="53"/>
        <v>#DIV/0!</v>
      </c>
      <c r="R36" s="73" t="e">
        <f>R32/R35</f>
        <v>#DIV/0!</v>
      </c>
      <c r="S36" s="73" t="e">
        <f t="shared" si="53"/>
        <v>#DIV/0!</v>
      </c>
      <c r="T36" s="73" t="e">
        <f t="shared" si="53"/>
        <v>#DIV/0!</v>
      </c>
      <c r="U36" s="26"/>
      <c r="V36" s="73" t="e">
        <f t="shared" ref="V36:AF36" si="54">V32/V35</f>
        <v>#DIV/0!</v>
      </c>
      <c r="W36" s="73" t="e">
        <f t="shared" si="54"/>
        <v>#DIV/0!</v>
      </c>
      <c r="X36" s="73" t="e">
        <f t="shared" si="54"/>
        <v>#DIV/0!</v>
      </c>
      <c r="Y36" s="73" t="e">
        <f t="shared" si="54"/>
        <v>#DIV/0!</v>
      </c>
      <c r="Z36" s="73" t="e">
        <f t="shared" si="54"/>
        <v>#DIV/0!</v>
      </c>
      <c r="AA36" s="73" t="e">
        <f t="shared" si="54"/>
        <v>#DIV/0!</v>
      </c>
      <c r="AB36" s="73" t="e">
        <f t="shared" si="54"/>
        <v>#DIV/0!</v>
      </c>
      <c r="AC36" s="73" t="e">
        <f t="shared" si="54"/>
        <v>#DIV/0!</v>
      </c>
      <c r="AD36" s="73" t="e">
        <f t="shared" si="54"/>
        <v>#DIV/0!</v>
      </c>
      <c r="AE36" s="73" t="e">
        <f t="shared" si="54"/>
        <v>#DIV/0!</v>
      </c>
      <c r="AF36" s="73" t="e">
        <f t="shared" si="54"/>
        <v>#DIV/0!</v>
      </c>
      <c r="AG36" s="34"/>
      <c r="AH36" s="71" t="e">
        <f>SUM(AF36/AB36)-1</f>
        <v>#DIV/0!</v>
      </c>
    </row>
    <row r="37" spans="1:34" ht="5.0999999999999996" customHeight="1">
      <c r="B37" s="14"/>
      <c r="C37" s="15"/>
      <c r="D37" s="15"/>
      <c r="E37" s="15"/>
      <c r="F37" s="2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6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41"/>
      <c r="AH37" s="72"/>
    </row>
    <row r="38" spans="1:34" ht="12.75" customHeight="1">
      <c r="B38" s="43" t="s">
        <v>82</v>
      </c>
      <c r="C38" s="79">
        <v>66017</v>
      </c>
      <c r="D38" s="79">
        <v>91188</v>
      </c>
      <c r="E38" s="79">
        <v>95087</v>
      </c>
      <c r="F38" s="25"/>
      <c r="G38" s="79">
        <v>83641</v>
      </c>
      <c r="H38" s="79">
        <v>91550</v>
      </c>
      <c r="I38" s="79">
        <v>92752</v>
      </c>
      <c r="J38" s="30">
        <f>C38</f>
        <v>66017</v>
      </c>
      <c r="K38" s="79">
        <v>93673</v>
      </c>
      <c r="L38" s="79">
        <v>95010</v>
      </c>
      <c r="M38" s="79">
        <v>95806</v>
      </c>
      <c r="N38" s="30">
        <f>D38</f>
        <v>91188</v>
      </c>
      <c r="O38" s="79">
        <v>95850</v>
      </c>
      <c r="P38" s="79">
        <v>4793</v>
      </c>
      <c r="Q38" s="79"/>
      <c r="R38" s="30">
        <f>E38</f>
        <v>95087</v>
      </c>
      <c r="S38" s="79"/>
      <c r="T38" s="79"/>
      <c r="U38" s="30"/>
      <c r="V38" s="30">
        <f t="shared" ref="V38:AA38" si="55">K38</f>
        <v>93673</v>
      </c>
      <c r="W38" s="30">
        <f t="shared" si="55"/>
        <v>95010</v>
      </c>
      <c r="X38" s="30">
        <f t="shared" si="55"/>
        <v>95806</v>
      </c>
      <c r="Y38" s="30">
        <f t="shared" si="55"/>
        <v>91188</v>
      </c>
      <c r="Z38" s="30">
        <f t="shared" si="55"/>
        <v>95850</v>
      </c>
      <c r="AA38" s="30">
        <f t="shared" si="55"/>
        <v>4793</v>
      </c>
      <c r="AB38" s="30">
        <f t="shared" ref="AB38" si="56">P38</f>
        <v>4793</v>
      </c>
      <c r="AC38" s="30">
        <f t="shared" ref="AC38" si="57">Q38</f>
        <v>0</v>
      </c>
      <c r="AD38" s="30">
        <f t="shared" ref="AD38" si="58">R38</f>
        <v>95087</v>
      </c>
      <c r="AE38" s="30">
        <f t="shared" ref="AE38" si="59">S38</f>
        <v>0</v>
      </c>
      <c r="AF38" s="30">
        <f>T38</f>
        <v>0</v>
      </c>
      <c r="AG38" s="41"/>
      <c r="AH38" s="70">
        <f t="shared" ref="AH38" si="60">SUM(AF38/AB38)-1</f>
        <v>-1</v>
      </c>
    </row>
    <row r="39" spans="1:34" ht="12.75" customHeight="1">
      <c r="B39" s="12" t="s">
        <v>83</v>
      </c>
      <c r="C39" s="73">
        <f t="shared" ref="C39:E39" si="61">C32/C38</f>
        <v>0.58098671554296621</v>
      </c>
      <c r="D39" s="73">
        <f t="shared" si="61"/>
        <v>-0.20143001272097205</v>
      </c>
      <c r="E39" s="73">
        <f t="shared" si="61"/>
        <v>-0.43419184536266786</v>
      </c>
      <c r="F39" s="25"/>
      <c r="G39" s="73">
        <f t="shared" ref="G39:T39" si="62">G32/G38</f>
        <v>-0.12218887865998733</v>
      </c>
      <c r="H39" s="73">
        <f t="shared" si="62"/>
        <v>-0.13046422719825232</v>
      </c>
      <c r="I39" s="73">
        <f t="shared" si="62"/>
        <v>-9.3367258927031221E-3</v>
      </c>
      <c r="J39" s="73">
        <f t="shared" si="62"/>
        <v>1.2007816168562644</v>
      </c>
      <c r="K39" s="73">
        <f t="shared" si="62"/>
        <v>0.49403776968817054</v>
      </c>
      <c r="L39" s="73">
        <f t="shared" si="62"/>
        <v>0.41693505946742448</v>
      </c>
      <c r="M39" s="73">
        <f t="shared" si="62"/>
        <v>0.3431517859006743</v>
      </c>
      <c r="N39" s="73">
        <f t="shared" si="62"/>
        <v>-1.3314032548142301</v>
      </c>
      <c r="O39" s="73">
        <f t="shared" si="62"/>
        <v>0.25443922796035473</v>
      </c>
      <c r="P39" s="73">
        <f t="shared" si="62"/>
        <v>5.7738368453995408</v>
      </c>
      <c r="Q39" s="73" t="e">
        <f t="shared" si="62"/>
        <v>#DIV/0!</v>
      </c>
      <c r="R39" s="73">
        <f t="shared" si="62"/>
        <v>-0.75587619758747249</v>
      </c>
      <c r="S39" s="73" t="e">
        <f t="shared" si="62"/>
        <v>#DIV/0!</v>
      </c>
      <c r="T39" s="73" t="e">
        <f t="shared" si="62"/>
        <v>#DIV/0!</v>
      </c>
      <c r="U39" s="30"/>
      <c r="V39" s="73">
        <f t="shared" ref="V39:AF39" si="63">V32/V38</f>
        <v>1.1452179390005659</v>
      </c>
      <c r="W39" s="73">
        <f t="shared" si="63"/>
        <v>1.8136722450268392</v>
      </c>
      <c r="X39" s="73">
        <f t="shared" si="63"/>
        <v>2.2796484562553494</v>
      </c>
      <c r="Y39" s="73">
        <f t="shared" si="63"/>
        <v>-0.86381980085098919</v>
      </c>
      <c r="Z39" s="73">
        <f t="shared" si="63"/>
        <v>0.24471570161711007</v>
      </c>
      <c r="AA39" s="73">
        <f t="shared" si="63"/>
        <v>0.17358648028374712</v>
      </c>
      <c r="AB39" s="73">
        <f t="shared" si="63"/>
        <v>-2.3231796369705822</v>
      </c>
      <c r="AC39" s="73" t="e">
        <f t="shared" si="63"/>
        <v>#DIV/0!</v>
      </c>
      <c r="AD39" s="73">
        <f t="shared" si="63"/>
        <v>-3.4074058493800415E-2</v>
      </c>
      <c r="AE39" s="73" t="e">
        <f t="shared" si="63"/>
        <v>#DIV/0!</v>
      </c>
      <c r="AF39" s="73" t="e">
        <f t="shared" si="63"/>
        <v>#DIV/0!</v>
      </c>
      <c r="AG39" s="34"/>
      <c r="AH39" s="71" t="e">
        <f>SUM(AF39/AB39)-1</f>
        <v>#DIV/0!</v>
      </c>
    </row>
    <row r="40" spans="1:34">
      <c r="B40" s="14"/>
      <c r="C40" s="15"/>
      <c r="D40" s="15"/>
      <c r="E40" s="79"/>
      <c r="F40" s="2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6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41"/>
    </row>
    <row r="41" spans="1:34" ht="12.75" customHeight="1">
      <c r="A41" s="5" t="s">
        <v>20</v>
      </c>
      <c r="B41" s="96" t="s">
        <v>96</v>
      </c>
      <c r="C41" s="97" t="s">
        <v>0</v>
      </c>
      <c r="D41" s="97"/>
      <c r="E41" s="97"/>
      <c r="F41" s="98"/>
      <c r="G41" s="97" t="s">
        <v>1</v>
      </c>
      <c r="H41" s="97"/>
      <c r="I41" s="97"/>
      <c r="J41" s="97"/>
      <c r="K41" s="97"/>
      <c r="L41" s="97"/>
      <c r="M41" s="97"/>
      <c r="N41" s="97"/>
      <c r="O41" s="97"/>
      <c r="P41" s="97"/>
      <c r="Q41" s="97" t="s">
        <v>1</v>
      </c>
      <c r="R41" s="97"/>
      <c r="S41" s="97"/>
      <c r="T41" s="97"/>
      <c r="U41" s="96"/>
      <c r="V41" s="97"/>
      <c r="W41" s="97"/>
      <c r="X41" s="97"/>
      <c r="Y41" s="97"/>
      <c r="Z41" s="97"/>
      <c r="AA41" s="97"/>
      <c r="AB41" s="97" t="s">
        <v>10</v>
      </c>
      <c r="AC41" s="97"/>
      <c r="AD41" s="97"/>
      <c r="AE41" s="97"/>
      <c r="AF41" s="97"/>
      <c r="AG41" s="98"/>
      <c r="AH41" s="142" t="s">
        <v>27</v>
      </c>
    </row>
    <row r="42" spans="1:34" ht="12.75" customHeight="1">
      <c r="B42" s="100" t="str">
        <f>B7</f>
        <v>Fiscal Period</v>
      </c>
      <c r="C42" s="99">
        <f>C7</f>
        <v>2022</v>
      </c>
      <c r="D42" s="99">
        <f>D7</f>
        <v>2023</v>
      </c>
      <c r="E42" s="99">
        <f>E7</f>
        <v>2024</v>
      </c>
      <c r="F42" s="98"/>
      <c r="G42" s="99" t="str">
        <f>G7</f>
        <v>1Q23</v>
      </c>
      <c r="H42" s="99" t="str">
        <f>H7</f>
        <v>2Q23</v>
      </c>
      <c r="I42" s="99" t="str">
        <f>I7</f>
        <v>3Q23</v>
      </c>
      <c r="J42" s="99" t="str">
        <f>J7</f>
        <v>4Q23</v>
      </c>
      <c r="K42" s="99" t="str">
        <f>K7</f>
        <v>1Q24</v>
      </c>
      <c r="L42" s="99" t="str">
        <f>L7</f>
        <v>2Q24</v>
      </c>
      <c r="M42" s="99" t="str">
        <f>M7</f>
        <v>3Q24</v>
      </c>
      <c r="N42" s="99" t="str">
        <f>N7</f>
        <v>4Q24</v>
      </c>
      <c r="O42" s="99" t="str">
        <f>O7</f>
        <v>1Q25</v>
      </c>
      <c r="P42" s="99" t="str">
        <f>P7</f>
        <v>2Q25</v>
      </c>
      <c r="Q42" s="99">
        <f>Q7</f>
        <v>0</v>
      </c>
      <c r="R42" s="99">
        <f>R7</f>
        <v>0</v>
      </c>
      <c r="S42" s="99">
        <f>S7</f>
        <v>0</v>
      </c>
      <c r="T42" s="99">
        <f>T7</f>
        <v>0</v>
      </c>
      <c r="U42" s="101"/>
      <c r="V42" s="99" t="str">
        <f>V7</f>
        <v>4Q23</v>
      </c>
      <c r="W42" s="99" t="str">
        <f>W7</f>
        <v>1Q24</v>
      </c>
      <c r="X42" s="99" t="str">
        <f>X7</f>
        <v>2Q24</v>
      </c>
      <c r="Y42" s="99" t="str">
        <f>Y7</f>
        <v>3Q24</v>
      </c>
      <c r="Z42" s="99" t="str">
        <f>Z7</f>
        <v>4Q24</v>
      </c>
      <c r="AA42" s="99" t="str">
        <f>AA7</f>
        <v>1Q25</v>
      </c>
      <c r="AB42" s="99" t="str">
        <f>AB7</f>
        <v>2Q25</v>
      </c>
      <c r="AC42" s="99">
        <f>AC7</f>
        <v>0</v>
      </c>
      <c r="AD42" s="99">
        <f>AD7</f>
        <v>0</v>
      </c>
      <c r="AE42" s="99">
        <f>AE7</f>
        <v>0</v>
      </c>
      <c r="AF42" s="99">
        <f>AF7</f>
        <v>0</v>
      </c>
      <c r="AG42" s="98"/>
      <c r="AH42" s="142"/>
    </row>
    <row r="43" spans="1:34" ht="12.75" customHeight="1">
      <c r="B43" s="100" t="str">
        <f>B8</f>
        <v>Fiscal Period End Date</v>
      </c>
      <c r="C43" s="102">
        <f>C8</f>
        <v>44651</v>
      </c>
      <c r="D43" s="102">
        <f>D8</f>
        <v>45016</v>
      </c>
      <c r="E43" s="102">
        <f>E8</f>
        <v>45382</v>
      </c>
      <c r="F43" s="98"/>
      <c r="G43" s="102">
        <f>G8</f>
        <v>44742</v>
      </c>
      <c r="H43" s="102">
        <f>H8</f>
        <v>44834</v>
      </c>
      <c r="I43" s="102">
        <f>I8</f>
        <v>44926</v>
      </c>
      <c r="J43" s="102">
        <f>J8</f>
        <v>45016</v>
      </c>
      <c r="K43" s="102">
        <f>K8</f>
        <v>45107</v>
      </c>
      <c r="L43" s="102">
        <f>L8</f>
        <v>45199</v>
      </c>
      <c r="M43" s="102">
        <f>M8</f>
        <v>45291</v>
      </c>
      <c r="N43" s="102">
        <f>N8</f>
        <v>45382</v>
      </c>
      <c r="O43" s="102">
        <f>O8</f>
        <v>45473</v>
      </c>
      <c r="P43" s="102">
        <f>P8</f>
        <v>45565</v>
      </c>
      <c r="Q43" s="102">
        <f>Q8</f>
        <v>0</v>
      </c>
      <c r="R43" s="102">
        <f>R8</f>
        <v>0</v>
      </c>
      <c r="S43" s="102">
        <f>S8</f>
        <v>0</v>
      </c>
      <c r="T43" s="102">
        <f>T8</f>
        <v>0</v>
      </c>
      <c r="U43" s="103"/>
      <c r="V43" s="102">
        <f>V8</f>
        <v>45016</v>
      </c>
      <c r="W43" s="102">
        <f>W8</f>
        <v>45107</v>
      </c>
      <c r="X43" s="102">
        <f>X8</f>
        <v>45199</v>
      </c>
      <c r="Y43" s="102">
        <f>Y8</f>
        <v>45291</v>
      </c>
      <c r="Z43" s="102">
        <f>Z8</f>
        <v>45382</v>
      </c>
      <c r="AA43" s="102">
        <f>AA8</f>
        <v>45473</v>
      </c>
      <c r="AB43" s="102">
        <f>AB8</f>
        <v>45565</v>
      </c>
      <c r="AC43" s="102">
        <f>AC8</f>
        <v>0</v>
      </c>
      <c r="AD43" s="102">
        <f>AD8</f>
        <v>0</v>
      </c>
      <c r="AE43" s="102">
        <f>AE8</f>
        <v>0</v>
      </c>
      <c r="AF43" s="102">
        <f>AF8</f>
        <v>0</v>
      </c>
      <c r="AG43" s="98"/>
      <c r="AH43" s="142"/>
    </row>
    <row r="44" spans="1:34" ht="5.0999999999999996" customHeight="1">
      <c r="B44" s="45"/>
      <c r="C44" s="46"/>
      <c r="D44" s="46"/>
      <c r="E44" s="46"/>
    </row>
    <row r="45" spans="1:34">
      <c r="B45" s="74" t="s">
        <v>103</v>
      </c>
      <c r="C45" s="46"/>
      <c r="D45" s="46"/>
      <c r="E45" s="46"/>
    </row>
    <row r="46" spans="1:34" ht="12.75" customHeight="1">
      <c r="B46" s="110" t="s">
        <v>114</v>
      </c>
      <c r="C46" s="111">
        <v>5210</v>
      </c>
      <c r="D46" s="111">
        <v>25963</v>
      </c>
      <c r="E46" s="111">
        <v>25692</v>
      </c>
      <c r="G46" s="111">
        <v>26528</v>
      </c>
      <c r="H46" s="111">
        <v>25698</v>
      </c>
      <c r="I46" s="111">
        <v>26028</v>
      </c>
      <c r="J46" s="87">
        <f t="shared" ref="J46" si="64">C46</f>
        <v>5210</v>
      </c>
      <c r="K46" s="111">
        <v>25465</v>
      </c>
      <c r="L46" s="111">
        <v>25574</v>
      </c>
      <c r="M46" s="111">
        <v>24377</v>
      </c>
      <c r="N46" s="87">
        <f t="shared" ref="N46" si="65">D46</f>
        <v>25963</v>
      </c>
      <c r="O46" s="111">
        <v>17287</v>
      </c>
      <c r="P46" s="111">
        <v>16719</v>
      </c>
      <c r="Q46" s="111"/>
      <c r="R46" s="87">
        <f t="shared" ref="R46" si="66">E46</f>
        <v>25692</v>
      </c>
      <c r="S46" s="111"/>
      <c r="T46" s="111"/>
      <c r="U46" s="87"/>
      <c r="V46" s="87">
        <f t="shared" ref="V46:AE52" si="67">J46</f>
        <v>5210</v>
      </c>
      <c r="W46" s="87">
        <f t="shared" si="67"/>
        <v>25465</v>
      </c>
      <c r="X46" s="87">
        <f t="shared" si="67"/>
        <v>25574</v>
      </c>
      <c r="Y46" s="87">
        <f t="shared" si="67"/>
        <v>24377</v>
      </c>
      <c r="Z46" s="87">
        <f t="shared" si="67"/>
        <v>25963</v>
      </c>
      <c r="AA46" s="87">
        <f t="shared" si="67"/>
        <v>17287</v>
      </c>
      <c r="AB46" s="87">
        <f t="shared" si="67"/>
        <v>16719</v>
      </c>
      <c r="AC46" s="87">
        <f t="shared" si="67"/>
        <v>0</v>
      </c>
      <c r="AD46" s="87">
        <f t="shared" si="67"/>
        <v>25692</v>
      </c>
      <c r="AE46" s="87">
        <f t="shared" si="67"/>
        <v>0</v>
      </c>
      <c r="AF46" s="87">
        <f>T46</f>
        <v>0</v>
      </c>
      <c r="AG46" s="11"/>
      <c r="AH46" s="70">
        <f t="shared" ref="AH46:AH52" si="68">SUM(AF46/AB46)-1</f>
        <v>-1</v>
      </c>
    </row>
    <row r="47" spans="1:34" ht="12.75" customHeight="1">
      <c r="B47" s="110" t="s">
        <v>137</v>
      </c>
      <c r="C47" s="111">
        <v>283</v>
      </c>
      <c r="D47" s="111">
        <v>212</v>
      </c>
      <c r="E47" s="111">
        <v>168</v>
      </c>
      <c r="G47" s="111">
        <v>255</v>
      </c>
      <c r="H47" s="111">
        <v>223</v>
      </c>
      <c r="I47" s="111">
        <v>219</v>
      </c>
      <c r="J47" s="87">
        <f t="shared" ref="J47:J51" si="69">C47</f>
        <v>283</v>
      </c>
      <c r="K47" s="111">
        <v>200</v>
      </c>
      <c r="L47" s="111">
        <v>180</v>
      </c>
      <c r="M47" s="111">
        <v>172</v>
      </c>
      <c r="N47" s="87">
        <f t="shared" ref="N47:N51" si="70">D47</f>
        <v>212</v>
      </c>
      <c r="O47" s="111">
        <v>256</v>
      </c>
      <c r="P47" s="111">
        <v>241</v>
      </c>
      <c r="Q47" s="111"/>
      <c r="R47" s="87">
        <f t="shared" ref="R47:R51" si="71">E47</f>
        <v>168</v>
      </c>
      <c r="S47" s="111"/>
      <c r="T47" s="111"/>
      <c r="U47" s="87"/>
      <c r="V47" s="87">
        <f t="shared" si="67"/>
        <v>283</v>
      </c>
      <c r="W47" s="87">
        <f t="shared" si="67"/>
        <v>200</v>
      </c>
      <c r="X47" s="87">
        <f t="shared" si="67"/>
        <v>180</v>
      </c>
      <c r="Y47" s="87">
        <f t="shared" si="67"/>
        <v>172</v>
      </c>
      <c r="Z47" s="87">
        <f t="shared" si="67"/>
        <v>212</v>
      </c>
      <c r="AA47" s="87">
        <f t="shared" si="67"/>
        <v>256</v>
      </c>
      <c r="AB47" s="87">
        <f t="shared" si="67"/>
        <v>241</v>
      </c>
      <c r="AC47" s="87">
        <f t="shared" si="67"/>
        <v>0</v>
      </c>
      <c r="AD47" s="87">
        <f t="shared" si="67"/>
        <v>168</v>
      </c>
      <c r="AE47" s="87">
        <f t="shared" si="67"/>
        <v>0</v>
      </c>
      <c r="AF47" s="87">
        <f t="shared" ref="AF47:AF52" si="72">T47</f>
        <v>0</v>
      </c>
      <c r="AG47" s="11"/>
      <c r="AH47" s="70">
        <f t="shared" si="68"/>
        <v>-1</v>
      </c>
    </row>
    <row r="48" spans="1:34" ht="12.75" customHeight="1">
      <c r="B48" s="110" t="s">
        <v>14</v>
      </c>
      <c r="C48" s="111">
        <v>69354</v>
      </c>
      <c r="D48" s="111">
        <v>72464</v>
      </c>
      <c r="E48" s="111">
        <v>67788</v>
      </c>
      <c r="G48" s="111">
        <v>64909</v>
      </c>
      <c r="H48" s="111">
        <v>61309</v>
      </c>
      <c r="I48" s="111">
        <v>72911</v>
      </c>
      <c r="J48" s="87">
        <f t="shared" si="69"/>
        <v>69354</v>
      </c>
      <c r="K48" s="111">
        <v>66245</v>
      </c>
      <c r="L48" s="111">
        <v>51529</v>
      </c>
      <c r="M48" s="111">
        <v>60020</v>
      </c>
      <c r="N48" s="87">
        <f t="shared" si="70"/>
        <v>72464</v>
      </c>
      <c r="O48" s="111">
        <v>61364</v>
      </c>
      <c r="P48" s="111">
        <v>51073</v>
      </c>
      <c r="Q48" s="111"/>
      <c r="R48" s="87">
        <f t="shared" si="71"/>
        <v>67788</v>
      </c>
      <c r="S48" s="111"/>
      <c r="T48" s="111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11"/>
      <c r="AH48" s="70"/>
    </row>
    <row r="49" spans="2:34" ht="12.75" customHeight="1">
      <c r="B49" s="110" t="s">
        <v>150</v>
      </c>
      <c r="C49" s="111">
        <v>33546</v>
      </c>
      <c r="D49" s="111">
        <v>19441</v>
      </c>
      <c r="E49" s="111">
        <v>17753</v>
      </c>
      <c r="G49" s="111">
        <v>32642</v>
      </c>
      <c r="H49" s="111">
        <v>23671</v>
      </c>
      <c r="I49" s="111">
        <v>32402</v>
      </c>
      <c r="J49" s="87">
        <f t="shared" si="69"/>
        <v>33546</v>
      </c>
      <c r="K49" s="111">
        <v>20017</v>
      </c>
      <c r="L49" s="111">
        <v>21376</v>
      </c>
      <c r="M49" s="111">
        <v>20409</v>
      </c>
      <c r="N49" s="87">
        <f t="shared" si="70"/>
        <v>19441</v>
      </c>
      <c r="O49" s="111">
        <v>18467</v>
      </c>
      <c r="P49" s="111">
        <v>18965</v>
      </c>
      <c r="Q49" s="111"/>
      <c r="R49" s="87">
        <f t="shared" si="71"/>
        <v>17753</v>
      </c>
      <c r="S49" s="111"/>
      <c r="T49" s="111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11"/>
      <c r="AH49" s="70"/>
    </row>
    <row r="50" spans="2:34" ht="12.75" customHeight="1">
      <c r="B50" s="110" t="s">
        <v>151</v>
      </c>
      <c r="C50" s="111">
        <v>24254</v>
      </c>
      <c r="D50" s="111">
        <v>25304</v>
      </c>
      <c r="E50" s="111">
        <v>9783</v>
      </c>
      <c r="G50" s="111">
        <v>25129</v>
      </c>
      <c r="H50" s="111">
        <v>25458</v>
      </c>
      <c r="I50" s="111">
        <v>25822</v>
      </c>
      <c r="J50" s="87">
        <f t="shared" si="69"/>
        <v>24254</v>
      </c>
      <c r="K50" s="111">
        <v>25276</v>
      </c>
      <c r="L50" s="111">
        <v>25880</v>
      </c>
      <c r="M50" s="111">
        <v>25423</v>
      </c>
      <c r="N50" s="87">
        <f t="shared" si="70"/>
        <v>25304</v>
      </c>
      <c r="O50" s="111">
        <v>8513</v>
      </c>
      <c r="P50" s="111">
        <v>9028</v>
      </c>
      <c r="Q50" s="111"/>
      <c r="R50" s="87">
        <f t="shared" si="71"/>
        <v>9783</v>
      </c>
      <c r="S50" s="111"/>
      <c r="T50" s="111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11"/>
      <c r="AH50" s="70"/>
    </row>
    <row r="51" spans="2:34" ht="12.75" customHeight="1">
      <c r="B51" s="110" t="s">
        <v>152</v>
      </c>
      <c r="C51" s="111">
        <v>7853</v>
      </c>
      <c r="D51" s="111">
        <v>4158</v>
      </c>
      <c r="E51" s="111">
        <v>2186</v>
      </c>
      <c r="G51" s="111">
        <v>10715</v>
      </c>
      <c r="H51" s="111">
        <v>9241</v>
      </c>
      <c r="I51" s="111">
        <v>7198</v>
      </c>
      <c r="J51" s="87">
        <f t="shared" si="69"/>
        <v>7853</v>
      </c>
      <c r="K51" s="111">
        <v>6444</v>
      </c>
      <c r="L51" s="111">
        <v>4149</v>
      </c>
      <c r="M51" s="111">
        <v>3763</v>
      </c>
      <c r="N51" s="87">
        <f t="shared" si="70"/>
        <v>4158</v>
      </c>
      <c r="O51" s="111">
        <v>3880</v>
      </c>
      <c r="P51" s="111">
        <v>3632</v>
      </c>
      <c r="Q51" s="111"/>
      <c r="R51" s="87">
        <f t="shared" si="71"/>
        <v>2186</v>
      </c>
      <c r="S51" s="111"/>
      <c r="T51" s="111"/>
      <c r="U51" s="87"/>
      <c r="V51" s="87">
        <f t="shared" si="67"/>
        <v>7853</v>
      </c>
      <c r="W51" s="87">
        <f t="shared" si="67"/>
        <v>6444</v>
      </c>
      <c r="X51" s="87">
        <f t="shared" si="67"/>
        <v>4149</v>
      </c>
      <c r="Y51" s="87">
        <f t="shared" si="67"/>
        <v>3763</v>
      </c>
      <c r="Z51" s="87">
        <f t="shared" si="67"/>
        <v>4158</v>
      </c>
      <c r="AA51" s="87">
        <f t="shared" si="67"/>
        <v>3880</v>
      </c>
      <c r="AB51" s="87">
        <f t="shared" si="67"/>
        <v>3632</v>
      </c>
      <c r="AC51" s="87">
        <f t="shared" si="67"/>
        <v>0</v>
      </c>
      <c r="AD51" s="87">
        <f t="shared" si="67"/>
        <v>2186</v>
      </c>
      <c r="AE51" s="87">
        <f t="shared" si="67"/>
        <v>0</v>
      </c>
      <c r="AF51" s="87">
        <f t="shared" si="72"/>
        <v>0</v>
      </c>
      <c r="AG51" s="11"/>
      <c r="AH51" s="70">
        <f t="shared" si="68"/>
        <v>-1</v>
      </c>
    </row>
    <row r="52" spans="2:34" ht="12.75" customHeight="1">
      <c r="B52" s="110" t="s">
        <v>153</v>
      </c>
      <c r="C52" s="111">
        <v>4697</v>
      </c>
      <c r="D52" s="111">
        <v>5513</v>
      </c>
      <c r="E52" s="111">
        <v>8414</v>
      </c>
      <c r="G52" s="111">
        <v>4574</v>
      </c>
      <c r="H52" s="111">
        <v>4839</v>
      </c>
      <c r="I52" s="111">
        <v>7489</v>
      </c>
      <c r="J52" s="87">
        <f t="shared" ref="J52" si="73">C52</f>
        <v>4697</v>
      </c>
      <c r="K52" s="111">
        <v>6004</v>
      </c>
      <c r="L52" s="111">
        <v>5389</v>
      </c>
      <c r="M52" s="111">
        <v>7224</v>
      </c>
      <c r="N52" s="87">
        <f t="shared" ref="N52" si="74">D52</f>
        <v>5513</v>
      </c>
      <c r="O52" s="111">
        <v>8965</v>
      </c>
      <c r="P52" s="111">
        <v>9195</v>
      </c>
      <c r="Q52" s="111"/>
      <c r="R52" s="87">
        <f t="shared" ref="R52" si="75">E52</f>
        <v>8414</v>
      </c>
      <c r="S52" s="111"/>
      <c r="T52" s="111"/>
      <c r="U52" s="87"/>
      <c r="V52" s="87">
        <f t="shared" si="67"/>
        <v>4697</v>
      </c>
      <c r="W52" s="87">
        <f t="shared" si="67"/>
        <v>6004</v>
      </c>
      <c r="X52" s="87">
        <f t="shared" si="67"/>
        <v>5389</v>
      </c>
      <c r="Y52" s="87">
        <f t="shared" si="67"/>
        <v>7224</v>
      </c>
      <c r="Z52" s="87">
        <f t="shared" si="67"/>
        <v>5513</v>
      </c>
      <c r="AA52" s="87">
        <f t="shared" si="67"/>
        <v>8965</v>
      </c>
      <c r="AB52" s="87">
        <f t="shared" si="67"/>
        <v>9195</v>
      </c>
      <c r="AC52" s="87">
        <f t="shared" si="67"/>
        <v>0</v>
      </c>
      <c r="AD52" s="87">
        <f t="shared" si="67"/>
        <v>8414</v>
      </c>
      <c r="AE52" s="87">
        <f t="shared" si="67"/>
        <v>0</v>
      </c>
      <c r="AF52" s="87">
        <f t="shared" si="72"/>
        <v>0</v>
      </c>
      <c r="AG52" s="11"/>
      <c r="AH52" s="70">
        <f t="shared" si="68"/>
        <v>-1</v>
      </c>
    </row>
    <row r="53" spans="2:34" ht="12.75" customHeight="1">
      <c r="B53" s="23" t="s">
        <v>23</v>
      </c>
      <c r="C53" s="24">
        <f>SUM(C46:C52)</f>
        <v>145197</v>
      </c>
      <c r="D53" s="24">
        <f>SUM(D46:D52)</f>
        <v>153055</v>
      </c>
      <c r="E53" s="24">
        <f>SUM(E46:E52)</f>
        <v>131784</v>
      </c>
      <c r="F53" s="47"/>
      <c r="G53" s="24">
        <f t="shared" ref="G53:T53" si="76">SUM(G46:G52)</f>
        <v>164752</v>
      </c>
      <c r="H53" s="24">
        <f t="shared" si="76"/>
        <v>150439</v>
      </c>
      <c r="I53" s="24">
        <f t="shared" si="76"/>
        <v>172069</v>
      </c>
      <c r="J53" s="24">
        <f t="shared" si="76"/>
        <v>145197</v>
      </c>
      <c r="K53" s="24">
        <f t="shared" si="76"/>
        <v>149651</v>
      </c>
      <c r="L53" s="24">
        <f t="shared" si="76"/>
        <v>134077</v>
      </c>
      <c r="M53" s="24">
        <f t="shared" si="76"/>
        <v>141388</v>
      </c>
      <c r="N53" s="24">
        <f t="shared" si="76"/>
        <v>153055</v>
      </c>
      <c r="O53" s="24">
        <f t="shared" si="76"/>
        <v>118732</v>
      </c>
      <c r="P53" s="24">
        <f t="shared" si="76"/>
        <v>108853</v>
      </c>
      <c r="Q53" s="24">
        <f t="shared" si="76"/>
        <v>0</v>
      </c>
      <c r="R53" s="24">
        <f t="shared" si="76"/>
        <v>131784</v>
      </c>
      <c r="S53" s="24">
        <f t="shared" si="76"/>
        <v>0</v>
      </c>
      <c r="T53" s="24">
        <f t="shared" si="76"/>
        <v>0</v>
      </c>
      <c r="U53" s="47"/>
      <c r="V53" s="24">
        <f t="shared" ref="V53:AF53" si="77">SUM(V46:V52)</f>
        <v>18043</v>
      </c>
      <c r="W53" s="24">
        <f t="shared" si="77"/>
        <v>38113</v>
      </c>
      <c r="X53" s="24">
        <f t="shared" si="77"/>
        <v>35292</v>
      </c>
      <c r="Y53" s="24">
        <f t="shared" si="77"/>
        <v>35536</v>
      </c>
      <c r="Z53" s="24">
        <f t="shared" si="77"/>
        <v>35846</v>
      </c>
      <c r="AA53" s="24">
        <f t="shared" si="77"/>
        <v>30388</v>
      </c>
      <c r="AB53" s="24">
        <f t="shared" si="77"/>
        <v>29787</v>
      </c>
      <c r="AC53" s="24">
        <f t="shared" si="77"/>
        <v>0</v>
      </c>
      <c r="AD53" s="24">
        <f t="shared" si="77"/>
        <v>36460</v>
      </c>
      <c r="AE53" s="24">
        <f t="shared" si="77"/>
        <v>0</v>
      </c>
      <c r="AF53" s="24">
        <f t="shared" si="77"/>
        <v>0</v>
      </c>
      <c r="AG53" s="40"/>
      <c r="AH53" s="71">
        <f>SUM(AF53/AB53)-1</f>
        <v>-1</v>
      </c>
    </row>
    <row r="54" spans="2:34" ht="5.0999999999999996" customHeight="1">
      <c r="B54" s="23"/>
      <c r="C54" s="48"/>
      <c r="D54" s="39"/>
      <c r="E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37"/>
    </row>
    <row r="55" spans="2:34" ht="12.75" customHeight="1">
      <c r="B55" s="74" t="s">
        <v>104</v>
      </c>
      <c r="C55" s="79"/>
      <c r="D55" s="79"/>
      <c r="E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11"/>
      <c r="AH55" s="70"/>
    </row>
    <row r="56" spans="2:34" ht="12.75" customHeight="1">
      <c r="B56" s="9" t="s">
        <v>115</v>
      </c>
      <c r="C56" s="79">
        <v>12853</v>
      </c>
      <c r="D56" s="79">
        <v>16555</v>
      </c>
      <c r="E56" s="79">
        <v>12028</v>
      </c>
      <c r="G56" s="111">
        <v>14093</v>
      </c>
      <c r="H56" s="111">
        <v>15973</v>
      </c>
      <c r="I56" s="111">
        <v>16794</v>
      </c>
      <c r="J56" s="87">
        <f t="shared" ref="J56:J60" si="78">C56</f>
        <v>12853</v>
      </c>
      <c r="K56" s="111">
        <v>15583</v>
      </c>
      <c r="L56" s="111">
        <v>14621</v>
      </c>
      <c r="M56" s="111">
        <v>13251</v>
      </c>
      <c r="N56" s="87">
        <f t="shared" ref="N56:N60" si="79">D56</f>
        <v>16555</v>
      </c>
      <c r="O56" s="111">
        <v>10988</v>
      </c>
      <c r="P56" s="111">
        <v>11334</v>
      </c>
      <c r="Q56" s="111"/>
      <c r="R56" s="87">
        <f t="shared" ref="R56:R60" si="80">E56</f>
        <v>12028</v>
      </c>
      <c r="S56" s="111"/>
      <c r="T56" s="111"/>
      <c r="U56" s="87"/>
      <c r="V56" s="87">
        <f t="shared" ref="V56" si="81">J56</f>
        <v>12853</v>
      </c>
      <c r="W56" s="87">
        <f t="shared" ref="W56" si="82">K56</f>
        <v>15583</v>
      </c>
      <c r="X56" s="87">
        <f t="shared" ref="X56" si="83">L56</f>
        <v>14621</v>
      </c>
      <c r="Y56" s="87">
        <f t="shared" ref="Y56" si="84">M56</f>
        <v>13251</v>
      </c>
      <c r="Z56" s="87">
        <f t="shared" ref="Z56" si="85">N56</f>
        <v>16555</v>
      </c>
      <c r="AA56" s="87">
        <f t="shared" ref="AA56" si="86">O56</f>
        <v>10988</v>
      </c>
      <c r="AB56" s="87">
        <f t="shared" ref="AB56" si="87">P56</f>
        <v>11334</v>
      </c>
      <c r="AC56" s="87">
        <f t="shared" ref="AC56" si="88">Q56</f>
        <v>0</v>
      </c>
      <c r="AD56" s="87">
        <f t="shared" ref="AD56" si="89">R56</f>
        <v>12028</v>
      </c>
      <c r="AE56" s="87">
        <f t="shared" ref="AE56" si="90">S56</f>
        <v>0</v>
      </c>
      <c r="AF56" s="87">
        <f>T56</f>
        <v>0</v>
      </c>
      <c r="AG56" s="11"/>
      <c r="AH56" s="70">
        <f t="shared" ref="AH56:AH60" si="91">SUM(AF56/AB56)-1</f>
        <v>-1</v>
      </c>
    </row>
    <row r="57" spans="2:34" ht="12.75" customHeight="1">
      <c r="B57" s="9" t="s">
        <v>154</v>
      </c>
      <c r="C57" s="79">
        <v>9584</v>
      </c>
      <c r="D57" s="79">
        <v>4941</v>
      </c>
      <c r="E57" s="79">
        <v>1669</v>
      </c>
      <c r="G57" s="111">
        <v>8420</v>
      </c>
      <c r="H57" s="111">
        <v>7245</v>
      </c>
      <c r="I57" s="111">
        <v>6497</v>
      </c>
      <c r="J57" s="87">
        <f t="shared" si="78"/>
        <v>9584</v>
      </c>
      <c r="K57" s="111">
        <v>3801</v>
      </c>
      <c r="L57" s="111">
        <v>2819</v>
      </c>
      <c r="M57" s="111">
        <v>1986</v>
      </c>
      <c r="N57" s="87">
        <f t="shared" si="79"/>
        <v>4941</v>
      </c>
      <c r="O57" s="111">
        <v>1207</v>
      </c>
      <c r="P57" s="111">
        <v>742</v>
      </c>
      <c r="Q57" s="111"/>
      <c r="R57" s="87">
        <f t="shared" si="80"/>
        <v>1669</v>
      </c>
      <c r="S57" s="111"/>
      <c r="T57" s="111"/>
      <c r="V57" s="30">
        <f t="shared" ref="V57:AA60" si="92">K57</f>
        <v>3801</v>
      </c>
      <c r="W57" s="30">
        <f t="shared" si="92"/>
        <v>2819</v>
      </c>
      <c r="X57" s="30">
        <f t="shared" si="92"/>
        <v>1986</v>
      </c>
      <c r="Y57" s="30">
        <f t="shared" si="92"/>
        <v>4941</v>
      </c>
      <c r="Z57" s="30">
        <f t="shared" si="92"/>
        <v>1207</v>
      </c>
      <c r="AA57" s="30">
        <f t="shared" si="92"/>
        <v>742</v>
      </c>
      <c r="AB57" s="87">
        <f t="shared" ref="AB57:AB60" si="93">P57</f>
        <v>742</v>
      </c>
      <c r="AC57" s="87">
        <f t="shared" ref="AC57:AC60" si="94">Q57</f>
        <v>0</v>
      </c>
      <c r="AD57" s="87">
        <f t="shared" ref="AD57:AD60" si="95">R57</f>
        <v>1669</v>
      </c>
      <c r="AE57" s="87">
        <f t="shared" ref="AE57:AE60" si="96">S57</f>
        <v>0</v>
      </c>
      <c r="AF57" s="87">
        <f t="shared" ref="AF57:AF60" si="97">T57</f>
        <v>0</v>
      </c>
      <c r="AG57" s="11"/>
      <c r="AH57" s="70">
        <f t="shared" si="91"/>
        <v>-1</v>
      </c>
    </row>
    <row r="58" spans="2:34" ht="12.75" customHeight="1">
      <c r="B58" s="9" t="s">
        <v>116</v>
      </c>
      <c r="C58" s="79">
        <v>12969</v>
      </c>
      <c r="D58" s="79">
        <v>12969</v>
      </c>
      <c r="E58" s="79">
        <v>12969</v>
      </c>
      <c r="G58" s="111">
        <v>12969</v>
      </c>
      <c r="H58" s="111">
        <v>12969</v>
      </c>
      <c r="I58" s="111">
        <v>12969</v>
      </c>
      <c r="J58" s="87">
        <f t="shared" si="78"/>
        <v>12969</v>
      </c>
      <c r="K58" s="111">
        <v>12969</v>
      </c>
      <c r="L58" s="111">
        <v>12969</v>
      </c>
      <c r="M58" s="111">
        <v>12969</v>
      </c>
      <c r="N58" s="87">
        <f t="shared" si="79"/>
        <v>12969</v>
      </c>
      <c r="O58" s="111">
        <v>12969</v>
      </c>
      <c r="P58" s="111">
        <v>12969</v>
      </c>
      <c r="Q58" s="111"/>
      <c r="R58" s="87">
        <f t="shared" si="80"/>
        <v>12969</v>
      </c>
      <c r="S58" s="111"/>
      <c r="T58" s="111"/>
      <c r="V58" s="30">
        <f t="shared" si="92"/>
        <v>12969</v>
      </c>
      <c r="W58" s="30">
        <f t="shared" si="92"/>
        <v>12969</v>
      </c>
      <c r="X58" s="30">
        <f t="shared" si="92"/>
        <v>12969</v>
      </c>
      <c r="Y58" s="30">
        <f t="shared" si="92"/>
        <v>12969</v>
      </c>
      <c r="Z58" s="30">
        <f t="shared" si="92"/>
        <v>12969</v>
      </c>
      <c r="AA58" s="30">
        <f t="shared" si="92"/>
        <v>12969</v>
      </c>
      <c r="AB58" s="87">
        <f t="shared" si="93"/>
        <v>12969</v>
      </c>
      <c r="AC58" s="87">
        <f t="shared" si="94"/>
        <v>0</v>
      </c>
      <c r="AD58" s="87">
        <f t="shared" si="95"/>
        <v>12969</v>
      </c>
      <c r="AE58" s="87">
        <f t="shared" si="96"/>
        <v>0</v>
      </c>
      <c r="AF58" s="87">
        <f t="shared" si="97"/>
        <v>0</v>
      </c>
      <c r="AG58" s="11"/>
      <c r="AH58" s="70">
        <f t="shared" si="91"/>
        <v>-1</v>
      </c>
    </row>
    <row r="59" spans="2:34" ht="12.75" customHeight="1">
      <c r="B59" s="9" t="s">
        <v>155</v>
      </c>
      <c r="C59" s="79">
        <v>11107</v>
      </c>
      <c r="D59" s="79">
        <v>10291</v>
      </c>
      <c r="E59" s="79">
        <v>9425</v>
      </c>
      <c r="G59" s="111">
        <v>10641</v>
      </c>
      <c r="H59" s="111">
        <v>10579</v>
      </c>
      <c r="I59" s="111">
        <v>10468</v>
      </c>
      <c r="J59" s="87">
        <f t="shared" si="78"/>
        <v>11107</v>
      </c>
      <c r="K59" s="111">
        <v>10017</v>
      </c>
      <c r="L59" s="111">
        <v>9844</v>
      </c>
      <c r="M59" s="111">
        <v>9625</v>
      </c>
      <c r="N59" s="87">
        <f t="shared" si="79"/>
        <v>10291</v>
      </c>
      <c r="O59" s="111">
        <v>9344</v>
      </c>
      <c r="P59" s="111">
        <v>9164</v>
      </c>
      <c r="Q59" s="111"/>
      <c r="R59" s="87">
        <f t="shared" si="80"/>
        <v>9425</v>
      </c>
      <c r="S59" s="111"/>
      <c r="T59" s="111"/>
      <c r="V59" s="30">
        <f t="shared" si="92"/>
        <v>10017</v>
      </c>
      <c r="W59" s="30">
        <f t="shared" si="92"/>
        <v>9844</v>
      </c>
      <c r="X59" s="30">
        <f t="shared" si="92"/>
        <v>9625</v>
      </c>
      <c r="Y59" s="30">
        <f t="shared" si="92"/>
        <v>10291</v>
      </c>
      <c r="Z59" s="30">
        <f t="shared" si="92"/>
        <v>9344</v>
      </c>
      <c r="AA59" s="30">
        <f t="shared" si="92"/>
        <v>9164</v>
      </c>
      <c r="AB59" s="87">
        <f t="shared" si="93"/>
        <v>9164</v>
      </c>
      <c r="AC59" s="87">
        <f t="shared" si="94"/>
        <v>0</v>
      </c>
      <c r="AD59" s="87">
        <f t="shared" si="95"/>
        <v>9425</v>
      </c>
      <c r="AE59" s="87">
        <f t="shared" si="96"/>
        <v>0</v>
      </c>
      <c r="AF59" s="87">
        <f t="shared" si="97"/>
        <v>0</v>
      </c>
      <c r="AG59" s="11"/>
      <c r="AH59" s="70">
        <f t="shared" si="91"/>
        <v>-1</v>
      </c>
    </row>
    <row r="60" spans="2:34" ht="12.75" customHeight="1">
      <c r="B60" s="9" t="s">
        <v>156</v>
      </c>
      <c r="C60" s="79">
        <v>9925</v>
      </c>
      <c r="D60" s="79">
        <v>15846</v>
      </c>
      <c r="E60" s="79">
        <v>19740</v>
      </c>
      <c r="G60" s="111">
        <v>10796</v>
      </c>
      <c r="H60" s="111">
        <v>12477</v>
      </c>
      <c r="I60" s="111">
        <v>13600</v>
      </c>
      <c r="J60" s="87">
        <f t="shared" si="78"/>
        <v>9925</v>
      </c>
      <c r="K60" s="111">
        <v>18463</v>
      </c>
      <c r="L60" s="111">
        <v>20474</v>
      </c>
      <c r="M60" s="111">
        <v>19986</v>
      </c>
      <c r="N60" s="87">
        <f t="shared" si="79"/>
        <v>15846</v>
      </c>
      <c r="O60" s="111">
        <v>19849</v>
      </c>
      <c r="P60" s="111">
        <v>20084</v>
      </c>
      <c r="Q60" s="111"/>
      <c r="R60" s="87">
        <f t="shared" si="80"/>
        <v>19740</v>
      </c>
      <c r="S60" s="111"/>
      <c r="T60" s="111"/>
      <c r="V60" s="30">
        <f t="shared" si="92"/>
        <v>18463</v>
      </c>
      <c r="W60" s="30">
        <f t="shared" si="92"/>
        <v>20474</v>
      </c>
      <c r="X60" s="30">
        <f t="shared" si="92"/>
        <v>19986</v>
      </c>
      <c r="Y60" s="30">
        <f t="shared" si="92"/>
        <v>15846</v>
      </c>
      <c r="Z60" s="30">
        <f t="shared" si="92"/>
        <v>19849</v>
      </c>
      <c r="AA60" s="30">
        <f t="shared" si="92"/>
        <v>20084</v>
      </c>
      <c r="AB60" s="87">
        <f t="shared" si="93"/>
        <v>20084</v>
      </c>
      <c r="AC60" s="87">
        <f t="shared" si="94"/>
        <v>0</v>
      </c>
      <c r="AD60" s="87">
        <f t="shared" si="95"/>
        <v>19740</v>
      </c>
      <c r="AE60" s="87">
        <f t="shared" si="96"/>
        <v>0</v>
      </c>
      <c r="AF60" s="87">
        <f t="shared" si="97"/>
        <v>0</v>
      </c>
      <c r="AG60" s="11"/>
      <c r="AH60" s="70">
        <f t="shared" si="91"/>
        <v>-1</v>
      </c>
    </row>
    <row r="61" spans="2:34" ht="12.75" customHeight="1">
      <c r="B61" s="12" t="s">
        <v>24</v>
      </c>
      <c r="C61" s="13">
        <f>SUM(C56:C60)+C53</f>
        <v>201635</v>
      </c>
      <c r="D61" s="13">
        <f>SUM(D56:D60)+D53</f>
        <v>213657</v>
      </c>
      <c r="E61" s="13">
        <f>SUM(E56:E60)+E53</f>
        <v>187615</v>
      </c>
      <c r="G61" s="13">
        <f>SUM(G56:G60)+G53</f>
        <v>221671</v>
      </c>
      <c r="H61" s="13">
        <f>SUM(H56:H60)+H53</f>
        <v>209682</v>
      </c>
      <c r="I61" s="13">
        <f>SUM(I56:I60)+I53</f>
        <v>232397</v>
      </c>
      <c r="J61" s="13">
        <f>SUM(J56:J60)+J53</f>
        <v>201635</v>
      </c>
      <c r="K61" s="13">
        <f>SUM(K56:K60)+K53</f>
        <v>210484</v>
      </c>
      <c r="L61" s="13">
        <f>SUM(L56:L60)+L53</f>
        <v>194804</v>
      </c>
      <c r="M61" s="13">
        <f>SUM(M56:M60)+M53</f>
        <v>199205</v>
      </c>
      <c r="N61" s="13">
        <f>SUM(N56:N60)+N53</f>
        <v>213657</v>
      </c>
      <c r="O61" s="13">
        <f>SUM(O56:O60)+O53</f>
        <v>173089</v>
      </c>
      <c r="P61" s="13">
        <f>SUM(P56:P60)+P53</f>
        <v>163146</v>
      </c>
      <c r="Q61" s="13">
        <f>SUM(Q56:Q60)+Q53</f>
        <v>0</v>
      </c>
      <c r="R61" s="13">
        <f>SUM(R56:R60)+R53</f>
        <v>187615</v>
      </c>
      <c r="S61" s="13">
        <f>SUM(S56:S60)+S53</f>
        <v>0</v>
      </c>
      <c r="T61" s="13">
        <f>SUM(T56:T60)+T53</f>
        <v>0</v>
      </c>
      <c r="V61" s="13">
        <f>SUM(V56:V60)+V53</f>
        <v>76146</v>
      </c>
      <c r="W61" s="13">
        <f>SUM(W56:W60)+W53</f>
        <v>99802</v>
      </c>
      <c r="X61" s="13">
        <f>SUM(X56:X60)+X53</f>
        <v>94479</v>
      </c>
      <c r="Y61" s="13">
        <f>SUM(Y56:Y60)+Y53</f>
        <v>92834</v>
      </c>
      <c r="Z61" s="13">
        <f>SUM(Z56:Z60)+Z53</f>
        <v>95770</v>
      </c>
      <c r="AA61" s="13">
        <f>SUM(AA56:AA60)+AA53</f>
        <v>84335</v>
      </c>
      <c r="AB61" s="13">
        <f>SUM(AB56:AB60)+AB53</f>
        <v>84080</v>
      </c>
      <c r="AC61" s="13">
        <f>SUM(AC56:AC60)+AC53</f>
        <v>0</v>
      </c>
      <c r="AD61" s="13">
        <f>SUM(AD56:AD60)+AD53</f>
        <v>92291</v>
      </c>
      <c r="AE61" s="13">
        <f>SUM(AE56:AE60)+AE53</f>
        <v>0</v>
      </c>
      <c r="AF61" s="13">
        <f>SUM(AF56:AF60)+AF53</f>
        <v>0</v>
      </c>
      <c r="AG61" s="40"/>
      <c r="AH61" s="71">
        <f>SUM(AF61/AB61)-1</f>
        <v>-1</v>
      </c>
    </row>
    <row r="62" spans="2:34" ht="12.75" customHeight="1">
      <c r="B62" s="23"/>
      <c r="C62" s="49"/>
      <c r="D62" s="39"/>
      <c r="E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37"/>
    </row>
    <row r="63" spans="2:34" ht="12.75" customHeight="1">
      <c r="B63" s="74" t="s">
        <v>55</v>
      </c>
      <c r="C63" s="49"/>
      <c r="D63" s="39"/>
      <c r="E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37"/>
    </row>
    <row r="64" spans="2:34" ht="12.75" customHeight="1">
      <c r="B64" s="110" t="s">
        <v>15</v>
      </c>
      <c r="C64" s="79">
        <v>34220</v>
      </c>
      <c r="D64" s="79">
        <v>35716</v>
      </c>
      <c r="E64" s="79">
        <v>26087</v>
      </c>
      <c r="G64" s="111">
        <v>33867</v>
      </c>
      <c r="H64" s="111">
        <v>34263</v>
      </c>
      <c r="I64" s="111">
        <v>41788</v>
      </c>
      <c r="J64" s="87">
        <f t="shared" ref="J64:J70" si="98">C64</f>
        <v>34220</v>
      </c>
      <c r="K64" s="111">
        <v>30560</v>
      </c>
      <c r="L64" s="111">
        <v>26946</v>
      </c>
      <c r="M64" s="111">
        <v>22426</v>
      </c>
      <c r="N64" s="87">
        <f t="shared" ref="N64:N70" si="99">D64</f>
        <v>35716</v>
      </c>
      <c r="O64" s="111">
        <v>31509</v>
      </c>
      <c r="P64" s="111">
        <v>30789</v>
      </c>
      <c r="Q64" s="111"/>
      <c r="R64" s="87">
        <f t="shared" ref="R64:R70" si="100">E64</f>
        <v>26087</v>
      </c>
      <c r="S64" s="111"/>
      <c r="T64" s="111"/>
      <c r="V64" s="30">
        <f t="shared" ref="V64:AA65" si="101">K64</f>
        <v>30560</v>
      </c>
      <c r="W64" s="30">
        <f t="shared" si="101"/>
        <v>26946</v>
      </c>
      <c r="X64" s="30">
        <f t="shared" si="101"/>
        <v>22426</v>
      </c>
      <c r="Y64" s="30">
        <f t="shared" si="101"/>
        <v>35716</v>
      </c>
      <c r="Z64" s="30">
        <f t="shared" si="101"/>
        <v>31509</v>
      </c>
      <c r="AA64" s="30">
        <f t="shared" si="101"/>
        <v>30789</v>
      </c>
      <c r="AB64" s="87">
        <f t="shared" ref="AB64:AB70" si="102">P64</f>
        <v>30789</v>
      </c>
      <c r="AC64" s="87">
        <f t="shared" ref="AC64:AC70" si="103">Q64</f>
        <v>0</v>
      </c>
      <c r="AD64" s="87">
        <f t="shared" ref="AD64:AD70" si="104">R64</f>
        <v>26087</v>
      </c>
      <c r="AE64" s="87">
        <f t="shared" ref="AE64:AE70" si="105">S64</f>
        <v>0</v>
      </c>
      <c r="AF64" s="87">
        <f t="shared" ref="AF64:AF70" si="106">T64</f>
        <v>0</v>
      </c>
      <c r="AG64" s="11"/>
      <c r="AH64" s="70">
        <f t="shared" ref="AH64" si="107">SUM(AF64/AB64)-1</f>
        <v>-1</v>
      </c>
    </row>
    <row r="65" spans="2:34" ht="12.75" customHeight="1">
      <c r="B65" s="110" t="s">
        <v>157</v>
      </c>
      <c r="C65" s="79">
        <v>16141</v>
      </c>
      <c r="D65" s="79">
        <v>15710</v>
      </c>
      <c r="E65" s="79">
        <v>18214</v>
      </c>
      <c r="G65" s="111">
        <v>14531</v>
      </c>
      <c r="H65" s="111">
        <v>13192</v>
      </c>
      <c r="I65" s="111">
        <v>15527</v>
      </c>
      <c r="J65" s="87">
        <f t="shared" si="98"/>
        <v>16141</v>
      </c>
      <c r="K65" s="111">
        <v>14894</v>
      </c>
      <c r="L65" s="111">
        <v>13746</v>
      </c>
      <c r="M65" s="111">
        <v>15286</v>
      </c>
      <c r="N65" s="87">
        <f t="shared" si="99"/>
        <v>15710</v>
      </c>
      <c r="O65" s="111">
        <v>16091</v>
      </c>
      <c r="P65" s="111">
        <v>13864</v>
      </c>
      <c r="Q65" s="111"/>
      <c r="R65" s="87">
        <f t="shared" si="100"/>
        <v>18214</v>
      </c>
      <c r="S65" s="111"/>
      <c r="T65" s="111"/>
      <c r="V65" s="30">
        <f t="shared" si="101"/>
        <v>14894</v>
      </c>
      <c r="W65" s="30">
        <f t="shared" si="101"/>
        <v>13746</v>
      </c>
      <c r="X65" s="30">
        <f t="shared" si="101"/>
        <v>15286</v>
      </c>
      <c r="Y65" s="30">
        <f t="shared" si="101"/>
        <v>15710</v>
      </c>
      <c r="Z65" s="30">
        <f t="shared" si="101"/>
        <v>16091</v>
      </c>
      <c r="AA65" s="30">
        <f t="shared" si="101"/>
        <v>13864</v>
      </c>
      <c r="AB65" s="87">
        <f t="shared" si="102"/>
        <v>13864</v>
      </c>
      <c r="AC65" s="87">
        <f t="shared" si="103"/>
        <v>0</v>
      </c>
      <c r="AD65" s="87">
        <f t="shared" si="104"/>
        <v>18214</v>
      </c>
      <c r="AE65" s="87">
        <f t="shared" si="105"/>
        <v>0</v>
      </c>
      <c r="AF65" s="87">
        <f t="shared" si="106"/>
        <v>0</v>
      </c>
      <c r="AG65" s="11"/>
      <c r="AH65" s="70">
        <f t="shared" ref="AH65:AH70" si="108">SUM(AF65/AB65)-1</f>
        <v>-1</v>
      </c>
    </row>
    <row r="66" spans="2:34" ht="12.75" customHeight="1">
      <c r="B66" s="110" t="s">
        <v>158</v>
      </c>
      <c r="C66" s="79">
        <v>87128</v>
      </c>
      <c r="D66" s="79">
        <v>79807</v>
      </c>
      <c r="E66" s="79">
        <v>78511</v>
      </c>
      <c r="G66" s="111">
        <v>74267</v>
      </c>
      <c r="H66" s="111">
        <v>70184</v>
      </c>
      <c r="I66" s="111">
        <v>72669</v>
      </c>
      <c r="J66" s="87">
        <f t="shared" si="98"/>
        <v>87128</v>
      </c>
      <c r="K66" s="111">
        <v>79686</v>
      </c>
      <c r="L66" s="111">
        <v>70696</v>
      </c>
      <c r="M66" s="111">
        <v>73240</v>
      </c>
      <c r="N66" s="87">
        <f t="shared" si="99"/>
        <v>79807</v>
      </c>
      <c r="O66" s="111">
        <v>74802</v>
      </c>
      <c r="P66" s="111">
        <v>69369</v>
      </c>
      <c r="Q66" s="111"/>
      <c r="R66" s="87">
        <f t="shared" si="100"/>
        <v>78511</v>
      </c>
      <c r="S66" s="111"/>
      <c r="T66" s="111"/>
      <c r="V66" s="30"/>
      <c r="W66" s="30"/>
      <c r="X66" s="30"/>
      <c r="Y66" s="30"/>
      <c r="Z66" s="30"/>
      <c r="AA66" s="30"/>
      <c r="AB66" s="87"/>
      <c r="AC66" s="87"/>
      <c r="AD66" s="87"/>
      <c r="AE66" s="87"/>
      <c r="AF66" s="87"/>
      <c r="AG66" s="11"/>
      <c r="AH66" s="70"/>
    </row>
    <row r="67" spans="2:34" ht="12.75" customHeight="1">
      <c r="B67" s="110" t="s">
        <v>159</v>
      </c>
      <c r="C67" s="79">
        <v>4375</v>
      </c>
      <c r="D67" s="79">
        <v>5000</v>
      </c>
      <c r="E67" s="79">
        <v>82496</v>
      </c>
      <c r="G67" s="111">
        <v>5000</v>
      </c>
      <c r="H67" s="111">
        <v>5000</v>
      </c>
      <c r="I67" s="111">
        <v>5000</v>
      </c>
      <c r="J67" s="87">
        <f t="shared" si="98"/>
        <v>4375</v>
      </c>
      <c r="K67" s="111">
        <v>5000</v>
      </c>
      <c r="L67" s="111">
        <v>82681</v>
      </c>
      <c r="M67" s="111">
        <v>82587</v>
      </c>
      <c r="N67" s="87">
        <f t="shared" si="99"/>
        <v>5000</v>
      </c>
      <c r="O67" s="111">
        <v>5000</v>
      </c>
      <c r="P67" s="111">
        <v>1579</v>
      </c>
      <c r="Q67" s="111"/>
      <c r="R67" s="87">
        <f t="shared" si="100"/>
        <v>82496</v>
      </c>
      <c r="S67" s="111"/>
      <c r="T67" s="111"/>
      <c r="V67" s="30"/>
      <c r="W67" s="30"/>
      <c r="X67" s="30"/>
      <c r="Y67" s="30"/>
      <c r="Z67" s="30"/>
      <c r="AA67" s="30"/>
      <c r="AB67" s="87"/>
      <c r="AC67" s="87"/>
      <c r="AD67" s="87"/>
      <c r="AE67" s="87"/>
      <c r="AF67" s="87"/>
      <c r="AG67" s="11"/>
      <c r="AH67" s="70"/>
    </row>
    <row r="68" spans="2:34" ht="12.75" customHeight="1">
      <c r="B68" s="110" t="s">
        <v>160</v>
      </c>
      <c r="C68" s="79">
        <v>0</v>
      </c>
      <c r="D68" s="79">
        <v>0</v>
      </c>
      <c r="E68" s="79">
        <v>26604</v>
      </c>
      <c r="G68" s="111">
        <v>0</v>
      </c>
      <c r="H68" s="111">
        <v>0</v>
      </c>
      <c r="I68" s="111">
        <v>0</v>
      </c>
      <c r="J68" s="87">
        <f t="shared" si="98"/>
        <v>0</v>
      </c>
      <c r="K68" s="111">
        <v>0</v>
      </c>
      <c r="L68" s="111">
        <v>21450</v>
      </c>
      <c r="M68" s="111">
        <v>32000</v>
      </c>
      <c r="N68" s="87">
        <f t="shared" si="99"/>
        <v>0</v>
      </c>
      <c r="O68" s="111">
        <v>0</v>
      </c>
      <c r="P68" s="111">
        <v>0</v>
      </c>
      <c r="Q68" s="111"/>
      <c r="R68" s="87">
        <f t="shared" si="100"/>
        <v>26604</v>
      </c>
      <c r="S68" s="111"/>
      <c r="T68" s="111"/>
      <c r="V68" s="30"/>
      <c r="W68" s="30"/>
      <c r="X68" s="30"/>
      <c r="Y68" s="30"/>
      <c r="Z68" s="30"/>
      <c r="AA68" s="30"/>
      <c r="AB68" s="87">
        <f t="shared" si="102"/>
        <v>0</v>
      </c>
      <c r="AC68" s="87">
        <f t="shared" si="103"/>
        <v>0</v>
      </c>
      <c r="AD68" s="87">
        <f t="shared" si="104"/>
        <v>26604</v>
      </c>
      <c r="AE68" s="87">
        <f t="shared" si="105"/>
        <v>0</v>
      </c>
      <c r="AF68" s="87">
        <f t="shared" si="106"/>
        <v>0</v>
      </c>
      <c r="AG68" s="11"/>
      <c r="AH68" s="70" t="e">
        <f t="shared" si="108"/>
        <v>#DIV/0!</v>
      </c>
    </row>
    <row r="69" spans="2:34" ht="12.75" customHeight="1">
      <c r="B69" s="110" t="s">
        <v>161</v>
      </c>
      <c r="C69" s="79">
        <v>18237</v>
      </c>
      <c r="D69" s="79">
        <v>7989</v>
      </c>
      <c r="E69" s="79">
        <v>4046</v>
      </c>
      <c r="G69" s="111">
        <v>0</v>
      </c>
      <c r="H69" s="111">
        <v>0</v>
      </c>
      <c r="I69" s="111">
        <v>0</v>
      </c>
      <c r="J69" s="87">
        <f t="shared" si="98"/>
        <v>18237</v>
      </c>
      <c r="K69" s="111">
        <v>0</v>
      </c>
      <c r="L69" s="111">
        <v>4056</v>
      </c>
      <c r="M69" s="111">
        <v>1843</v>
      </c>
      <c r="N69" s="87">
        <f t="shared" si="99"/>
        <v>7989</v>
      </c>
      <c r="O69" s="111">
        <v>3163</v>
      </c>
      <c r="P69" s="111">
        <v>2499</v>
      </c>
      <c r="Q69" s="111"/>
      <c r="R69" s="87">
        <f t="shared" si="100"/>
        <v>4046</v>
      </c>
      <c r="S69" s="111"/>
      <c r="T69" s="111"/>
      <c r="V69" s="30"/>
      <c r="W69" s="30"/>
      <c r="X69" s="30"/>
      <c r="Y69" s="30"/>
      <c r="Z69" s="30"/>
      <c r="AA69" s="30"/>
      <c r="AB69" s="87">
        <f t="shared" si="102"/>
        <v>2499</v>
      </c>
      <c r="AC69" s="87">
        <f t="shared" si="103"/>
        <v>0</v>
      </c>
      <c r="AD69" s="87">
        <f t="shared" si="104"/>
        <v>4046</v>
      </c>
      <c r="AE69" s="87">
        <f t="shared" si="105"/>
        <v>0</v>
      </c>
      <c r="AF69" s="87">
        <f t="shared" si="106"/>
        <v>0</v>
      </c>
      <c r="AG69" s="11"/>
      <c r="AH69" s="70">
        <f t="shared" si="108"/>
        <v>-1</v>
      </c>
    </row>
    <row r="70" spans="2:34" ht="12.75" customHeight="1">
      <c r="B70" s="110" t="s">
        <v>162</v>
      </c>
      <c r="C70" s="79">
        <v>16562</v>
      </c>
      <c r="D70" s="79">
        <v>13666</v>
      </c>
      <c r="E70" s="79">
        <v>13986</v>
      </c>
      <c r="G70" s="111">
        <v>14157</v>
      </c>
      <c r="H70" s="111">
        <v>14502</v>
      </c>
      <c r="I70" s="111">
        <v>15852</v>
      </c>
      <c r="J70" s="87">
        <f t="shared" si="98"/>
        <v>16562</v>
      </c>
      <c r="K70" s="111">
        <v>12715</v>
      </c>
      <c r="L70" s="111">
        <v>11724</v>
      </c>
      <c r="M70" s="111">
        <v>13854</v>
      </c>
      <c r="N70" s="87">
        <f t="shared" si="99"/>
        <v>13666</v>
      </c>
      <c r="O70" s="111">
        <v>25043</v>
      </c>
      <c r="P70" s="111">
        <v>16501</v>
      </c>
      <c r="Q70" s="111"/>
      <c r="R70" s="87">
        <f t="shared" si="100"/>
        <v>13986</v>
      </c>
      <c r="S70" s="111"/>
      <c r="T70" s="111"/>
      <c r="V70" s="30">
        <f t="shared" ref="V70:AA70" si="109">K70</f>
        <v>12715</v>
      </c>
      <c r="W70" s="30">
        <f t="shared" si="109"/>
        <v>11724</v>
      </c>
      <c r="X70" s="30">
        <f t="shared" si="109"/>
        <v>13854</v>
      </c>
      <c r="Y70" s="30">
        <f t="shared" si="109"/>
        <v>13666</v>
      </c>
      <c r="Z70" s="30">
        <f t="shared" si="109"/>
        <v>25043</v>
      </c>
      <c r="AA70" s="30">
        <f t="shared" si="109"/>
        <v>16501</v>
      </c>
      <c r="AB70" s="87">
        <f t="shared" si="102"/>
        <v>16501</v>
      </c>
      <c r="AC70" s="87">
        <f t="shared" si="103"/>
        <v>0</v>
      </c>
      <c r="AD70" s="87">
        <f t="shared" si="104"/>
        <v>13986</v>
      </c>
      <c r="AE70" s="87">
        <f t="shared" si="105"/>
        <v>0</v>
      </c>
      <c r="AF70" s="87">
        <f t="shared" si="106"/>
        <v>0</v>
      </c>
      <c r="AG70" s="11"/>
      <c r="AH70" s="70">
        <f t="shared" si="108"/>
        <v>-1</v>
      </c>
    </row>
    <row r="71" spans="2:34" ht="12.75" customHeight="1">
      <c r="B71" s="23" t="s">
        <v>21</v>
      </c>
      <c r="C71" s="24">
        <f>SUM(C64:C70)</f>
        <v>176663</v>
      </c>
      <c r="D71" s="24">
        <f>SUM(D64:D70)</f>
        <v>157888</v>
      </c>
      <c r="E71" s="24">
        <f>SUM(E64:E70)</f>
        <v>249944</v>
      </c>
      <c r="G71" s="24">
        <f>SUM(G64:G70)</f>
        <v>141822</v>
      </c>
      <c r="H71" s="24">
        <f>SUM(H64:H70)</f>
        <v>137141</v>
      </c>
      <c r="I71" s="24">
        <f>SUM(I64:I70)</f>
        <v>150836</v>
      </c>
      <c r="J71" s="24">
        <f>SUM(J64:J70)</f>
        <v>176663</v>
      </c>
      <c r="K71" s="24">
        <f>SUM(K64:K70)</f>
        <v>142855</v>
      </c>
      <c r="L71" s="24">
        <f>SUM(L64:L70)</f>
        <v>231299</v>
      </c>
      <c r="M71" s="24">
        <f>SUM(M64:M70)</f>
        <v>241236</v>
      </c>
      <c r="N71" s="24">
        <f>SUM(N64:N70)</f>
        <v>157888</v>
      </c>
      <c r="O71" s="24">
        <f>SUM(O64:O70)</f>
        <v>155608</v>
      </c>
      <c r="P71" s="24">
        <f>SUM(P64:P70)</f>
        <v>134601</v>
      </c>
      <c r="Q71" s="24">
        <f>SUM(Q64:Q70)</f>
        <v>0</v>
      </c>
      <c r="R71" s="24">
        <f>SUM(R64:R70)</f>
        <v>249944</v>
      </c>
      <c r="S71" s="24">
        <f>SUM(S64:S70)</f>
        <v>0</v>
      </c>
      <c r="T71" s="24">
        <f>SUM(T64:T70)</f>
        <v>0</v>
      </c>
      <c r="U71" s="47"/>
      <c r="V71" s="24">
        <f>SUM(V64:V70)</f>
        <v>58169</v>
      </c>
      <c r="W71" s="24">
        <f>SUM(W64:W70)</f>
        <v>52416</v>
      </c>
      <c r="X71" s="24">
        <f>SUM(X64:X70)</f>
        <v>51566</v>
      </c>
      <c r="Y71" s="24">
        <f>SUM(Y64:Y70)</f>
        <v>65092</v>
      </c>
      <c r="Z71" s="24">
        <f>SUM(Z64:Z70)</f>
        <v>72643</v>
      </c>
      <c r="AA71" s="24">
        <f>SUM(AA64:AA70)</f>
        <v>61154</v>
      </c>
      <c r="AB71" s="24">
        <f>SUM(AB64:AB70)</f>
        <v>63653</v>
      </c>
      <c r="AC71" s="24">
        <f>SUM(AC64:AC70)</f>
        <v>0</v>
      </c>
      <c r="AD71" s="24">
        <f>SUM(AD64:AD70)</f>
        <v>88937</v>
      </c>
      <c r="AE71" s="24">
        <f>SUM(AE64:AE70)</f>
        <v>0</v>
      </c>
      <c r="AF71" s="24">
        <f>SUM(AF64:AF70)</f>
        <v>0</v>
      </c>
      <c r="AG71" s="40"/>
      <c r="AH71" s="71">
        <f>SUM(AF71/AB71)-1</f>
        <v>-1</v>
      </c>
    </row>
    <row r="72" spans="2:34" ht="5.0999999999999996" customHeight="1">
      <c r="B72" s="23"/>
      <c r="C72" s="49"/>
      <c r="D72" s="39"/>
      <c r="E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37"/>
    </row>
    <row r="73" spans="2:34">
      <c r="B73" s="74" t="s">
        <v>106</v>
      </c>
      <c r="C73" s="49"/>
      <c r="D73" s="39"/>
      <c r="E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37"/>
    </row>
    <row r="74" spans="2:34" ht="12.75" customHeight="1">
      <c r="B74" s="110" t="s">
        <v>163</v>
      </c>
      <c r="C74" s="79">
        <v>39788</v>
      </c>
      <c r="D74" s="79">
        <v>35495</v>
      </c>
      <c r="E74" s="79">
        <v>38176</v>
      </c>
      <c r="G74" s="111">
        <v>40196</v>
      </c>
      <c r="H74" s="111">
        <v>40165</v>
      </c>
      <c r="I74" s="111">
        <v>41076</v>
      </c>
      <c r="J74" s="87">
        <f t="shared" ref="J74:J78" si="110">C74</f>
        <v>39788</v>
      </c>
      <c r="K74" s="111">
        <v>43903</v>
      </c>
      <c r="L74" s="111">
        <v>35337</v>
      </c>
      <c r="M74" s="111">
        <v>37281</v>
      </c>
      <c r="N74" s="87">
        <f t="shared" ref="N74:N78" si="111">D74</f>
        <v>35495</v>
      </c>
      <c r="O74" s="111">
        <v>36759</v>
      </c>
      <c r="P74" s="111">
        <v>37164</v>
      </c>
      <c r="Q74" s="111"/>
      <c r="R74" s="87">
        <f t="shared" ref="R74:R78" si="112">E74</f>
        <v>38176</v>
      </c>
      <c r="S74" s="111"/>
      <c r="T74" s="111"/>
      <c r="V74" s="30">
        <f t="shared" ref="V74:AA75" si="113">K74</f>
        <v>43903</v>
      </c>
      <c r="W74" s="30">
        <f t="shared" si="113"/>
        <v>35337</v>
      </c>
      <c r="X74" s="30">
        <f t="shared" si="113"/>
        <v>37281</v>
      </c>
      <c r="Y74" s="30">
        <f t="shared" si="113"/>
        <v>35495</v>
      </c>
      <c r="Z74" s="30">
        <f t="shared" si="113"/>
        <v>36759</v>
      </c>
      <c r="AA74" s="30">
        <f t="shared" si="113"/>
        <v>37164</v>
      </c>
      <c r="AB74" s="87">
        <f t="shared" ref="AB74:AB78" si="114">P74</f>
        <v>37164</v>
      </c>
      <c r="AC74" s="87">
        <f t="shared" ref="AC74:AC78" si="115">Q74</f>
        <v>0</v>
      </c>
      <c r="AD74" s="87">
        <f t="shared" ref="AD74:AD78" si="116">R74</f>
        <v>38176</v>
      </c>
      <c r="AE74" s="87">
        <f t="shared" ref="AE74:AE78" si="117">S74</f>
        <v>0</v>
      </c>
      <c r="AF74" s="87">
        <f t="shared" ref="AF74:AF78" si="118">T74</f>
        <v>0</v>
      </c>
      <c r="AG74" s="40"/>
      <c r="AH74" s="70">
        <f t="shared" ref="AH74:AH78" si="119">SUM(AF74/AB74)-1</f>
        <v>-1</v>
      </c>
    </row>
    <row r="75" spans="2:34" ht="12.75" customHeight="1">
      <c r="B75" s="110" t="s">
        <v>160</v>
      </c>
      <c r="C75" s="79">
        <v>17735</v>
      </c>
      <c r="D75" s="79">
        <v>16750</v>
      </c>
      <c r="E75" s="79">
        <v>0</v>
      </c>
      <c r="G75" s="111">
        <v>17300</v>
      </c>
      <c r="H75" s="111">
        <v>21500</v>
      </c>
      <c r="I75" s="111">
        <v>27736</v>
      </c>
      <c r="J75" s="87">
        <f t="shared" si="110"/>
        <v>17735</v>
      </c>
      <c r="K75" s="111">
        <v>17800</v>
      </c>
      <c r="L75" s="111">
        <v>0</v>
      </c>
      <c r="M75" s="111">
        <v>0</v>
      </c>
      <c r="N75" s="87">
        <f t="shared" si="111"/>
        <v>16750</v>
      </c>
      <c r="O75" s="111">
        <v>35800</v>
      </c>
      <c r="P75" s="111">
        <v>28300</v>
      </c>
      <c r="Q75" s="111"/>
      <c r="R75" s="87">
        <f t="shared" si="112"/>
        <v>0</v>
      </c>
      <c r="S75" s="111"/>
      <c r="T75" s="111"/>
      <c r="V75" s="30">
        <f t="shared" si="113"/>
        <v>17800</v>
      </c>
      <c r="W75" s="30">
        <f t="shared" si="113"/>
        <v>0</v>
      </c>
      <c r="X75" s="30">
        <f t="shared" si="113"/>
        <v>0</v>
      </c>
      <c r="Y75" s="30">
        <f t="shared" si="113"/>
        <v>16750</v>
      </c>
      <c r="Z75" s="30">
        <f t="shared" si="113"/>
        <v>35800</v>
      </c>
      <c r="AA75" s="30">
        <f t="shared" si="113"/>
        <v>28300</v>
      </c>
      <c r="AB75" s="87">
        <f t="shared" si="114"/>
        <v>28300</v>
      </c>
      <c r="AC75" s="87">
        <f t="shared" si="115"/>
        <v>0</v>
      </c>
      <c r="AD75" s="87">
        <f t="shared" si="116"/>
        <v>0</v>
      </c>
      <c r="AE75" s="87">
        <f t="shared" si="117"/>
        <v>0</v>
      </c>
      <c r="AF75" s="87">
        <f t="shared" si="118"/>
        <v>0</v>
      </c>
      <c r="AG75" s="40"/>
      <c r="AH75" s="70">
        <f t="shared" si="119"/>
        <v>-1</v>
      </c>
    </row>
    <row r="76" spans="2:34" ht="12.75" customHeight="1">
      <c r="B76" s="110" t="s">
        <v>164</v>
      </c>
      <c r="C76" s="79">
        <v>89448</v>
      </c>
      <c r="D76" s="79">
        <v>66354</v>
      </c>
      <c r="E76" s="79">
        <v>0</v>
      </c>
      <c r="G76" s="111">
        <v>69195</v>
      </c>
      <c r="H76" s="111">
        <v>68250</v>
      </c>
      <c r="I76" s="111">
        <v>67306</v>
      </c>
      <c r="J76" s="87">
        <f t="shared" si="110"/>
        <v>89448</v>
      </c>
      <c r="K76" s="111">
        <v>77814</v>
      </c>
      <c r="L76" s="111">
        <v>0</v>
      </c>
      <c r="M76" s="111">
        <v>0</v>
      </c>
      <c r="N76" s="87">
        <f t="shared" si="111"/>
        <v>66354</v>
      </c>
      <c r="O76" s="111">
        <v>65132</v>
      </c>
      <c r="P76" s="111">
        <v>94746</v>
      </c>
      <c r="Q76" s="111"/>
      <c r="R76" s="87">
        <f t="shared" si="112"/>
        <v>0</v>
      </c>
      <c r="S76" s="111"/>
      <c r="T76" s="111"/>
      <c r="V76" s="30"/>
      <c r="W76" s="30"/>
      <c r="X76" s="30"/>
      <c r="Y76" s="30"/>
      <c r="Z76" s="30"/>
      <c r="AA76" s="30"/>
      <c r="AB76" s="87">
        <f t="shared" si="114"/>
        <v>94746</v>
      </c>
      <c r="AC76" s="87">
        <f t="shared" si="115"/>
        <v>0</v>
      </c>
      <c r="AD76" s="87">
        <f t="shared" si="116"/>
        <v>0</v>
      </c>
      <c r="AE76" s="87">
        <f t="shared" si="117"/>
        <v>0</v>
      </c>
      <c r="AF76" s="87">
        <f t="shared" si="118"/>
        <v>0</v>
      </c>
      <c r="AG76" s="40"/>
      <c r="AH76" s="70">
        <f t="shared" si="119"/>
        <v>-1</v>
      </c>
    </row>
    <row r="77" spans="2:34" ht="12.75" customHeight="1">
      <c r="B77" s="110" t="s">
        <v>165</v>
      </c>
      <c r="C77" s="79">
        <v>9891</v>
      </c>
      <c r="D77" s="79">
        <v>10169</v>
      </c>
      <c r="E77" s="79">
        <v>9621</v>
      </c>
      <c r="G77" s="111">
        <v>9932</v>
      </c>
      <c r="H77" s="111">
        <v>10315</v>
      </c>
      <c r="I77" s="111">
        <v>10346</v>
      </c>
      <c r="J77" s="87">
        <f t="shared" si="110"/>
        <v>9891</v>
      </c>
      <c r="K77" s="111">
        <v>10001</v>
      </c>
      <c r="L77" s="111">
        <v>10079</v>
      </c>
      <c r="M77" s="111">
        <v>9885</v>
      </c>
      <c r="N77" s="87">
        <f t="shared" si="111"/>
        <v>10169</v>
      </c>
      <c r="O77" s="111">
        <v>9464</v>
      </c>
      <c r="P77" s="111">
        <v>9366</v>
      </c>
      <c r="Q77" s="111"/>
      <c r="R77" s="87">
        <f t="shared" si="112"/>
        <v>9621</v>
      </c>
      <c r="S77" s="111"/>
      <c r="T77" s="111"/>
      <c r="V77" s="30"/>
      <c r="W77" s="30"/>
      <c r="X77" s="30"/>
      <c r="Y77" s="30"/>
      <c r="Z77" s="30"/>
      <c r="AA77" s="30"/>
      <c r="AB77" s="87">
        <f t="shared" si="114"/>
        <v>9366</v>
      </c>
      <c r="AC77" s="87">
        <f t="shared" si="115"/>
        <v>0</v>
      </c>
      <c r="AD77" s="87">
        <f t="shared" si="116"/>
        <v>9621</v>
      </c>
      <c r="AE77" s="87">
        <f t="shared" si="117"/>
        <v>0</v>
      </c>
      <c r="AF77" s="87">
        <f t="shared" si="118"/>
        <v>0</v>
      </c>
      <c r="AG77" s="40"/>
      <c r="AH77" s="70">
        <f t="shared" si="119"/>
        <v>-1</v>
      </c>
    </row>
    <row r="78" spans="2:34" ht="12.75" customHeight="1">
      <c r="B78" s="110" t="s">
        <v>166</v>
      </c>
      <c r="C78" s="79">
        <v>11849</v>
      </c>
      <c r="D78" s="79">
        <v>11370</v>
      </c>
      <c r="E78" s="79">
        <v>11372</v>
      </c>
      <c r="G78" s="111">
        <v>12013</v>
      </c>
      <c r="H78" s="111">
        <v>11653</v>
      </c>
      <c r="I78" s="111">
        <v>12150</v>
      </c>
      <c r="J78" s="87">
        <f t="shared" si="110"/>
        <v>11849</v>
      </c>
      <c r="K78" s="111">
        <v>12191</v>
      </c>
      <c r="L78" s="111">
        <v>12522</v>
      </c>
      <c r="M78" s="111">
        <v>12734</v>
      </c>
      <c r="N78" s="87">
        <f t="shared" si="111"/>
        <v>11370</v>
      </c>
      <c r="O78" s="111">
        <v>11577</v>
      </c>
      <c r="P78" s="111">
        <v>12372</v>
      </c>
      <c r="Q78" s="111"/>
      <c r="R78" s="87">
        <f t="shared" si="112"/>
        <v>11372</v>
      </c>
      <c r="S78" s="111"/>
      <c r="T78" s="111"/>
      <c r="V78" s="30"/>
      <c r="W78" s="30"/>
      <c r="X78" s="30"/>
      <c r="Y78" s="30"/>
      <c r="Z78" s="30"/>
      <c r="AA78" s="30"/>
      <c r="AB78" s="87">
        <f t="shared" si="114"/>
        <v>12372</v>
      </c>
      <c r="AC78" s="87">
        <f t="shared" si="115"/>
        <v>0</v>
      </c>
      <c r="AD78" s="87">
        <f t="shared" si="116"/>
        <v>11372</v>
      </c>
      <c r="AE78" s="87">
        <f t="shared" si="117"/>
        <v>0</v>
      </c>
      <c r="AF78" s="87">
        <f t="shared" si="118"/>
        <v>0</v>
      </c>
      <c r="AG78" s="40"/>
      <c r="AH78" s="70">
        <f t="shared" si="119"/>
        <v>-1</v>
      </c>
    </row>
    <row r="79" spans="2:34" ht="12.75" customHeight="1">
      <c r="B79" s="12" t="s">
        <v>19</v>
      </c>
      <c r="C79" s="13">
        <f>SUM(C74:C78)+C71</f>
        <v>345374</v>
      </c>
      <c r="D79" s="13">
        <f>SUM(D74:D78)+D71</f>
        <v>298026</v>
      </c>
      <c r="E79" s="13">
        <f>SUM(E74:E78)+E71</f>
        <v>309113</v>
      </c>
      <c r="G79" s="13">
        <f>SUM(G74:G78)+G71</f>
        <v>290458</v>
      </c>
      <c r="H79" s="13">
        <f>SUM(H74:H78)+H71</f>
        <v>289024</v>
      </c>
      <c r="I79" s="13">
        <f>SUM(I74:I78)+I71</f>
        <v>309450</v>
      </c>
      <c r="J79" s="13">
        <f>SUM(J74:J78)+J71</f>
        <v>345374</v>
      </c>
      <c r="K79" s="13">
        <f>SUM(K74:K78)+K71</f>
        <v>304564</v>
      </c>
      <c r="L79" s="13">
        <f>SUM(L74:L78)+L71</f>
        <v>289237</v>
      </c>
      <c r="M79" s="13">
        <f>SUM(M74:M78)+M71</f>
        <v>301136</v>
      </c>
      <c r="N79" s="13">
        <f>SUM(N74:N78)+N71</f>
        <v>298026</v>
      </c>
      <c r="O79" s="13">
        <f>SUM(O74:O78)+O71</f>
        <v>314340</v>
      </c>
      <c r="P79" s="13">
        <f>SUM(P74:P78)+P71</f>
        <v>316549</v>
      </c>
      <c r="Q79" s="13">
        <f>SUM(Q74:Q78)+Q71</f>
        <v>0</v>
      </c>
      <c r="R79" s="13">
        <f>SUM(R74:R78)+R71</f>
        <v>309113</v>
      </c>
      <c r="S79" s="13">
        <f>SUM(S74:S78)+S71</f>
        <v>0</v>
      </c>
      <c r="T79" s="13">
        <f>SUM(T74:T78)+T71</f>
        <v>0</v>
      </c>
      <c r="V79" s="13">
        <f>SUM(V74:V78)+V71</f>
        <v>119872</v>
      </c>
      <c r="W79" s="13">
        <f>SUM(W74:W78)+W71</f>
        <v>87753</v>
      </c>
      <c r="X79" s="13">
        <f>SUM(X74:X78)+X71</f>
        <v>88847</v>
      </c>
      <c r="Y79" s="13">
        <f>SUM(Y74:Y78)+Y71</f>
        <v>117337</v>
      </c>
      <c r="Z79" s="13">
        <f>SUM(Z74:Z78)+Z71</f>
        <v>145202</v>
      </c>
      <c r="AA79" s="13">
        <f>SUM(AA74:AA78)+AA71</f>
        <v>126618</v>
      </c>
      <c r="AB79" s="13">
        <f>SUM(AB74:AB78)+AB71</f>
        <v>245601</v>
      </c>
      <c r="AC79" s="13">
        <f>SUM(AC74:AC78)+AC71</f>
        <v>0</v>
      </c>
      <c r="AD79" s="13">
        <f>SUM(AD74:AD78)+AD71</f>
        <v>148106</v>
      </c>
      <c r="AE79" s="13">
        <f>SUM(AE74:AE78)+AE71</f>
        <v>0</v>
      </c>
      <c r="AF79" s="13">
        <f>SUM(AF74:AF78)+AF71</f>
        <v>0</v>
      </c>
      <c r="AG79" s="40"/>
      <c r="AH79" s="71">
        <f>SUM(AF79/AB79)-1</f>
        <v>-1</v>
      </c>
    </row>
    <row r="80" spans="2:34" ht="5.0999999999999996" customHeight="1">
      <c r="B80" s="23"/>
      <c r="C80" s="48"/>
      <c r="D80" s="39"/>
      <c r="E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37"/>
    </row>
    <row r="81" spans="1:34" ht="12.75" customHeight="1">
      <c r="B81" s="9" t="s">
        <v>94</v>
      </c>
      <c r="C81" s="79">
        <v>0</v>
      </c>
      <c r="D81" s="79">
        <v>0</v>
      </c>
      <c r="E81" s="79">
        <v>0</v>
      </c>
      <c r="G81" s="111">
        <v>0</v>
      </c>
      <c r="H81" s="111">
        <v>0</v>
      </c>
      <c r="I81" s="111">
        <v>0</v>
      </c>
      <c r="J81" s="87">
        <f t="shared" ref="J81:J85" si="120">C81</f>
        <v>0</v>
      </c>
      <c r="K81" s="111">
        <v>0</v>
      </c>
      <c r="L81" s="111">
        <v>0</v>
      </c>
      <c r="M81" s="111">
        <v>0</v>
      </c>
      <c r="N81" s="87">
        <f t="shared" ref="N81:N85" si="121">D81</f>
        <v>0</v>
      </c>
      <c r="O81" s="111">
        <v>0</v>
      </c>
      <c r="P81" s="111">
        <v>0</v>
      </c>
      <c r="Q81" s="111"/>
      <c r="R81" s="87">
        <f t="shared" ref="R81:R85" si="122">E81</f>
        <v>0</v>
      </c>
      <c r="S81" s="111"/>
      <c r="T81" s="111"/>
      <c r="V81" s="30">
        <f t="shared" ref="V81:AA81" si="123">K81</f>
        <v>0</v>
      </c>
      <c r="W81" s="30">
        <f t="shared" si="123"/>
        <v>0</v>
      </c>
      <c r="X81" s="30">
        <f t="shared" si="123"/>
        <v>0</v>
      </c>
      <c r="Y81" s="30">
        <f t="shared" si="123"/>
        <v>0</v>
      </c>
      <c r="Z81" s="30">
        <f t="shared" si="123"/>
        <v>0</v>
      </c>
      <c r="AA81" s="30">
        <f t="shared" si="123"/>
        <v>0</v>
      </c>
      <c r="AB81" s="87">
        <f t="shared" ref="AB81:AB85" si="124">P81</f>
        <v>0</v>
      </c>
      <c r="AC81" s="87">
        <f t="shared" ref="AC81:AC85" si="125">Q81</f>
        <v>0</v>
      </c>
      <c r="AD81" s="87">
        <f t="shared" ref="AD81:AD85" si="126">R81</f>
        <v>0</v>
      </c>
      <c r="AE81" s="87">
        <f t="shared" ref="AE81:AE85" si="127">S81</f>
        <v>0</v>
      </c>
      <c r="AF81" s="87">
        <f t="shared" ref="AF81:AF85" si="128">T81</f>
        <v>0</v>
      </c>
      <c r="AG81" s="11"/>
      <c r="AH81" s="70" t="e">
        <f t="shared" ref="AH81:AH85" si="129">SUM(AF81/AB81)-1</f>
        <v>#DIV/0!</v>
      </c>
    </row>
    <row r="82" spans="1:34" ht="12.75" customHeight="1">
      <c r="B82" s="9" t="s">
        <v>22</v>
      </c>
      <c r="C82" s="79">
        <v>605</v>
      </c>
      <c r="D82" s="79">
        <v>936</v>
      </c>
      <c r="E82" s="79">
        <v>959</v>
      </c>
      <c r="G82" s="111">
        <v>907</v>
      </c>
      <c r="H82" s="111">
        <v>922</v>
      </c>
      <c r="I82" s="111">
        <v>932</v>
      </c>
      <c r="J82" s="87">
        <f t="shared" si="120"/>
        <v>605</v>
      </c>
      <c r="K82" s="111">
        <v>938</v>
      </c>
      <c r="L82" s="111">
        <v>956</v>
      </c>
      <c r="M82" s="111">
        <v>959</v>
      </c>
      <c r="N82" s="87">
        <f t="shared" si="121"/>
        <v>936</v>
      </c>
      <c r="O82" s="111">
        <v>959</v>
      </c>
      <c r="P82" s="111">
        <v>49</v>
      </c>
      <c r="Q82" s="111"/>
      <c r="R82" s="87">
        <f t="shared" si="122"/>
        <v>959</v>
      </c>
      <c r="S82" s="111"/>
      <c r="T82" s="111"/>
      <c r="V82" s="30"/>
      <c r="W82" s="30"/>
      <c r="X82" s="30"/>
      <c r="Y82" s="30"/>
      <c r="Z82" s="30"/>
      <c r="AA82" s="30"/>
      <c r="AB82" s="87">
        <f t="shared" si="124"/>
        <v>49</v>
      </c>
      <c r="AC82" s="87">
        <f t="shared" si="125"/>
        <v>0</v>
      </c>
      <c r="AD82" s="87">
        <f t="shared" si="126"/>
        <v>959</v>
      </c>
      <c r="AE82" s="87">
        <f t="shared" si="127"/>
        <v>0</v>
      </c>
      <c r="AF82" s="87">
        <f t="shared" si="128"/>
        <v>0</v>
      </c>
      <c r="AG82" s="11"/>
      <c r="AH82" s="70">
        <f t="shared" si="129"/>
        <v>-1</v>
      </c>
    </row>
    <row r="83" spans="1:34" ht="12.75" customHeight="1">
      <c r="B83" s="9" t="s">
        <v>117</v>
      </c>
      <c r="C83" s="79">
        <v>624805</v>
      </c>
      <c r="D83" s="79">
        <v>702370</v>
      </c>
      <c r="E83" s="79">
        <v>707116</v>
      </c>
      <c r="G83" s="111">
        <v>714128</v>
      </c>
      <c r="H83" s="111">
        <v>716800</v>
      </c>
      <c r="I83" s="111">
        <v>719769</v>
      </c>
      <c r="J83" s="87">
        <f t="shared" si="120"/>
        <v>624805</v>
      </c>
      <c r="K83" s="111">
        <v>725736</v>
      </c>
      <c r="L83" s="111">
        <v>705230</v>
      </c>
      <c r="M83" s="111">
        <v>706133</v>
      </c>
      <c r="N83" s="87">
        <f t="shared" si="121"/>
        <v>702370</v>
      </c>
      <c r="O83" s="111">
        <v>708041</v>
      </c>
      <c r="P83" s="111">
        <v>709667</v>
      </c>
      <c r="Q83" s="111"/>
      <c r="R83" s="87">
        <f t="shared" si="122"/>
        <v>707116</v>
      </c>
      <c r="S83" s="111"/>
      <c r="T83" s="111"/>
      <c r="V83" s="30"/>
      <c r="W83" s="30"/>
      <c r="X83" s="30"/>
      <c r="Y83" s="30"/>
      <c r="Z83" s="30"/>
      <c r="AA83" s="30"/>
      <c r="AB83" s="87">
        <f t="shared" si="124"/>
        <v>709667</v>
      </c>
      <c r="AC83" s="87">
        <f t="shared" si="125"/>
        <v>0</v>
      </c>
      <c r="AD83" s="87">
        <f t="shared" si="126"/>
        <v>707116</v>
      </c>
      <c r="AE83" s="87">
        <f t="shared" si="127"/>
        <v>0</v>
      </c>
      <c r="AF83" s="87">
        <f t="shared" si="128"/>
        <v>0</v>
      </c>
      <c r="AG83" s="11"/>
      <c r="AH83" s="70">
        <f t="shared" si="129"/>
        <v>-1</v>
      </c>
    </row>
    <row r="84" spans="1:34" ht="12.75" customHeight="1">
      <c r="B84" s="9" t="s">
        <v>118</v>
      </c>
      <c r="C84" s="79">
        <v>-767726</v>
      </c>
      <c r="D84" s="79">
        <v>-786094</v>
      </c>
      <c r="E84" s="79">
        <v>-827380</v>
      </c>
      <c r="G84" s="111">
        <v>-781123</v>
      </c>
      <c r="H84" s="111">
        <v>-793067</v>
      </c>
      <c r="I84" s="111">
        <v>-795237</v>
      </c>
      <c r="J84" s="87">
        <f t="shared" si="120"/>
        <v>-767726</v>
      </c>
      <c r="K84" s="111">
        <v>-819422</v>
      </c>
      <c r="L84" s="111">
        <v>-798567</v>
      </c>
      <c r="M84" s="111">
        <v>-808436</v>
      </c>
      <c r="N84" s="87">
        <f t="shared" si="121"/>
        <v>-786094</v>
      </c>
      <c r="O84" s="111">
        <v>-848200</v>
      </c>
      <c r="P84" s="111">
        <v>-861727</v>
      </c>
      <c r="Q84" s="111"/>
      <c r="R84" s="87">
        <f t="shared" si="122"/>
        <v>-827380</v>
      </c>
      <c r="S84" s="111"/>
      <c r="T84" s="111"/>
      <c r="V84" s="30">
        <f t="shared" ref="V84:AA85" si="130">K84</f>
        <v>-819422</v>
      </c>
      <c r="W84" s="30">
        <f t="shared" si="130"/>
        <v>-798567</v>
      </c>
      <c r="X84" s="30">
        <f t="shared" si="130"/>
        <v>-808436</v>
      </c>
      <c r="Y84" s="30">
        <f t="shared" si="130"/>
        <v>-786094</v>
      </c>
      <c r="Z84" s="30">
        <f t="shared" si="130"/>
        <v>-848200</v>
      </c>
      <c r="AA84" s="30">
        <f t="shared" si="130"/>
        <v>-861727</v>
      </c>
      <c r="AB84" s="87">
        <f t="shared" si="124"/>
        <v>-861727</v>
      </c>
      <c r="AC84" s="87">
        <f t="shared" si="125"/>
        <v>0</v>
      </c>
      <c r="AD84" s="87">
        <f t="shared" si="126"/>
        <v>-827380</v>
      </c>
      <c r="AE84" s="87">
        <f t="shared" si="127"/>
        <v>0</v>
      </c>
      <c r="AF84" s="87">
        <f t="shared" si="128"/>
        <v>0</v>
      </c>
      <c r="AG84" s="11"/>
      <c r="AH84" s="70">
        <f t="shared" si="129"/>
        <v>-1</v>
      </c>
    </row>
    <row r="85" spans="1:34" ht="12.75" customHeight="1">
      <c r="B85" s="9" t="s">
        <v>167</v>
      </c>
      <c r="C85" s="79">
        <v>-1423</v>
      </c>
      <c r="D85" s="79">
        <v>-1581</v>
      </c>
      <c r="E85" s="79">
        <v>-2193</v>
      </c>
      <c r="G85" s="111">
        <v>-2699</v>
      </c>
      <c r="H85" s="111">
        <v>-3997</v>
      </c>
      <c r="I85" s="111">
        <v>-2517</v>
      </c>
      <c r="J85" s="87">
        <f t="shared" si="120"/>
        <v>-1423</v>
      </c>
      <c r="K85" s="111">
        <v>-1332</v>
      </c>
      <c r="L85" s="111">
        <v>-2052</v>
      </c>
      <c r="M85" s="111">
        <v>-587</v>
      </c>
      <c r="N85" s="87">
        <f t="shared" si="121"/>
        <v>-1581</v>
      </c>
      <c r="O85" s="111">
        <v>-2051</v>
      </c>
      <c r="P85" s="111">
        <v>-1392</v>
      </c>
      <c r="Q85" s="111"/>
      <c r="R85" s="87">
        <f t="shared" si="122"/>
        <v>-2193</v>
      </c>
      <c r="S85" s="111"/>
      <c r="T85" s="111"/>
      <c r="V85" s="30">
        <f t="shared" si="130"/>
        <v>-1332</v>
      </c>
      <c r="W85" s="30">
        <f t="shared" si="130"/>
        <v>-2052</v>
      </c>
      <c r="X85" s="30">
        <f t="shared" si="130"/>
        <v>-587</v>
      </c>
      <c r="Y85" s="30">
        <f t="shared" si="130"/>
        <v>-1581</v>
      </c>
      <c r="Z85" s="30">
        <f t="shared" si="130"/>
        <v>-2051</v>
      </c>
      <c r="AA85" s="30">
        <f t="shared" si="130"/>
        <v>-1392</v>
      </c>
      <c r="AB85" s="87">
        <f t="shared" si="124"/>
        <v>-1392</v>
      </c>
      <c r="AC85" s="87">
        <f t="shared" si="125"/>
        <v>0</v>
      </c>
      <c r="AD85" s="87">
        <f t="shared" si="126"/>
        <v>-2193</v>
      </c>
      <c r="AE85" s="87">
        <f t="shared" si="127"/>
        <v>0</v>
      </c>
      <c r="AF85" s="87">
        <f t="shared" si="128"/>
        <v>0</v>
      </c>
      <c r="AG85" s="11"/>
      <c r="AH85" s="70">
        <f t="shared" si="129"/>
        <v>-1</v>
      </c>
    </row>
    <row r="86" spans="1:34" ht="12.75" customHeight="1">
      <c r="B86" s="12" t="s">
        <v>18</v>
      </c>
      <c r="C86" s="13">
        <f>SUM(C81:C85)</f>
        <v>-143739</v>
      </c>
      <c r="D86" s="13">
        <f>SUM(D81:D85)</f>
        <v>-84369</v>
      </c>
      <c r="E86" s="13">
        <f>SUM(E81:E85)</f>
        <v>-121498</v>
      </c>
      <c r="F86" s="50"/>
      <c r="G86" s="13">
        <f>SUM(G81:G85)</f>
        <v>-68787</v>
      </c>
      <c r="H86" s="13">
        <f>SUM(H81:H85)</f>
        <v>-79342</v>
      </c>
      <c r="I86" s="13">
        <f>SUM(I81:I85)</f>
        <v>-77053</v>
      </c>
      <c r="J86" s="13">
        <f>SUM(J81:J85)</f>
        <v>-143739</v>
      </c>
      <c r="K86" s="13">
        <f>SUM(K81:K85)</f>
        <v>-94080</v>
      </c>
      <c r="L86" s="13">
        <f>SUM(L81:L85)</f>
        <v>-94433</v>
      </c>
      <c r="M86" s="13">
        <f>SUM(M81:M85)</f>
        <v>-101931</v>
      </c>
      <c r="N86" s="13">
        <f>SUM(N81:N85)</f>
        <v>-84369</v>
      </c>
      <c r="O86" s="13">
        <f>SUM(O81:O85)</f>
        <v>-141251</v>
      </c>
      <c r="P86" s="13">
        <f>SUM(P81:P85)</f>
        <v>-153403</v>
      </c>
      <c r="Q86" s="13">
        <f>SUM(Q81:Q85)</f>
        <v>0</v>
      </c>
      <c r="R86" s="13">
        <f>SUM(R81:R85)</f>
        <v>-121498</v>
      </c>
      <c r="S86" s="13">
        <f>SUM(S81:S85)</f>
        <v>0</v>
      </c>
      <c r="T86" s="13">
        <f>SUM(T81:T85)</f>
        <v>0</v>
      </c>
      <c r="V86" s="13">
        <f>SUM(V81:V85)</f>
        <v>-820754</v>
      </c>
      <c r="W86" s="13">
        <f>SUM(W81:W85)</f>
        <v>-800619</v>
      </c>
      <c r="X86" s="13">
        <f>SUM(X81:X85)</f>
        <v>-809023</v>
      </c>
      <c r="Y86" s="13">
        <f>SUM(Y81:Y85)</f>
        <v>-787675</v>
      </c>
      <c r="Z86" s="13">
        <f>SUM(Z81:Z85)</f>
        <v>-850251</v>
      </c>
      <c r="AA86" s="13">
        <f>SUM(AA81:AA85)</f>
        <v>-863119</v>
      </c>
      <c r="AB86" s="13">
        <f>SUM(AB81:AB85)</f>
        <v>-153403</v>
      </c>
      <c r="AC86" s="13">
        <f>SUM(AC81:AC85)</f>
        <v>0</v>
      </c>
      <c r="AD86" s="13">
        <f>SUM(AD81:AD85)</f>
        <v>-121498</v>
      </c>
      <c r="AE86" s="13">
        <f>SUM(AE81:AE85)</f>
        <v>0</v>
      </c>
      <c r="AF86" s="13">
        <f>SUM(AF81:AF85)</f>
        <v>0</v>
      </c>
      <c r="AG86" s="40"/>
      <c r="AH86" s="71">
        <f>SUM(AF86/AB86)-1</f>
        <v>-1</v>
      </c>
    </row>
    <row r="87" spans="1:34" ht="12.75" customHeight="1">
      <c r="B87" s="23" t="s">
        <v>65</v>
      </c>
      <c r="C87" s="30">
        <f>SUM(C86+C79)</f>
        <v>201635</v>
      </c>
      <c r="D87" s="30">
        <f>SUM(D86+D79)</f>
        <v>213657</v>
      </c>
      <c r="E87" s="30">
        <f>SUM(E86+E79)</f>
        <v>187615</v>
      </c>
      <c r="F87" s="30"/>
      <c r="G87" s="30">
        <f>SUM(G86+G79)</f>
        <v>221671</v>
      </c>
      <c r="H87" s="30">
        <f>SUM(H86+H79)</f>
        <v>209682</v>
      </c>
      <c r="I87" s="30">
        <f>SUM(I86+I79)</f>
        <v>232397</v>
      </c>
      <c r="J87" s="30">
        <f>SUM(J86+J79)</f>
        <v>201635</v>
      </c>
      <c r="K87" s="30">
        <f>SUM(K86+K79)</f>
        <v>210484</v>
      </c>
      <c r="L87" s="30">
        <f>SUM(L86+L79)</f>
        <v>194804</v>
      </c>
      <c r="M87" s="30">
        <f>SUM(M86+M79)</f>
        <v>199205</v>
      </c>
      <c r="N87" s="30">
        <f>SUM(N86+N79)</f>
        <v>213657</v>
      </c>
      <c r="O87" s="30">
        <f>SUM(O86+O79)</f>
        <v>173089</v>
      </c>
      <c r="P87" s="30">
        <f>SUM(P86+P79)</f>
        <v>163146</v>
      </c>
      <c r="Q87" s="30">
        <f>SUM(Q86+Q79)</f>
        <v>0</v>
      </c>
      <c r="R87" s="30">
        <f>SUM(R86+R79)</f>
        <v>187615</v>
      </c>
      <c r="S87" s="30">
        <f>SUM(S86+S79)</f>
        <v>0</v>
      </c>
      <c r="T87" s="30">
        <f>SUM(T86+T79)</f>
        <v>0</v>
      </c>
      <c r="U87" s="30"/>
      <c r="V87" s="30">
        <f>SUM(V86+V79)</f>
        <v>-700882</v>
      </c>
      <c r="W87" s="30">
        <f>SUM(W86+W79)</f>
        <v>-712866</v>
      </c>
      <c r="X87" s="30">
        <f>SUM(X86+X79)</f>
        <v>-720176</v>
      </c>
      <c r="Y87" s="30">
        <f>SUM(Y86+Y79)</f>
        <v>-670338</v>
      </c>
      <c r="Z87" s="30">
        <f>SUM(Z86+Z79)</f>
        <v>-705049</v>
      </c>
      <c r="AA87" s="30">
        <f>SUM(AA86+AA79)</f>
        <v>-736501</v>
      </c>
      <c r="AB87" s="30">
        <f>SUM(AB86+AB79)</f>
        <v>92198</v>
      </c>
      <c r="AC87" s="30">
        <f>SUM(AC86+AC79)</f>
        <v>0</v>
      </c>
      <c r="AD87" s="30">
        <f>SUM(AD86+AD79)</f>
        <v>26608</v>
      </c>
      <c r="AE87" s="30">
        <f>SUM(AE86+AE79)</f>
        <v>0</v>
      </c>
      <c r="AF87" s="30">
        <f>SUM(AF86+AF79)</f>
        <v>0</v>
      </c>
      <c r="AG87" s="11"/>
      <c r="AH87" s="71">
        <f>SUM(AF87/AB87)-1</f>
        <v>-1</v>
      </c>
    </row>
    <row r="88" spans="1:34" ht="5.0999999999999996" customHeight="1">
      <c r="B88" s="23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11"/>
    </row>
    <row r="89" spans="1:34" ht="12.75" customHeight="1">
      <c r="B89" s="64" t="s">
        <v>76</v>
      </c>
      <c r="C89" s="65">
        <f>C87-C61</f>
        <v>0</v>
      </c>
      <c r="D89" s="65">
        <f>D87-D61</f>
        <v>0</v>
      </c>
      <c r="E89" s="65">
        <f>E87-E61</f>
        <v>0</v>
      </c>
      <c r="F89" s="66"/>
      <c r="G89" s="65">
        <f>G87-G61</f>
        <v>0</v>
      </c>
      <c r="H89" s="65">
        <f>H87-H61</f>
        <v>0</v>
      </c>
      <c r="I89" s="65">
        <f>I87-I61</f>
        <v>0</v>
      </c>
      <c r="J89" s="65">
        <f>J87-J61</f>
        <v>0</v>
      </c>
      <c r="K89" s="65">
        <f>K87-K61</f>
        <v>0</v>
      </c>
      <c r="L89" s="65">
        <f>L87-L61</f>
        <v>0</v>
      </c>
      <c r="M89" s="65">
        <f>M87-M61</f>
        <v>0</v>
      </c>
      <c r="N89" s="65">
        <f>N87-N61</f>
        <v>0</v>
      </c>
      <c r="O89" s="65">
        <f>O87-O61</f>
        <v>0</v>
      </c>
      <c r="P89" s="65">
        <f>P87-P61</f>
        <v>0</v>
      </c>
      <c r="Q89" s="65">
        <f>Q87-Q61</f>
        <v>0</v>
      </c>
      <c r="R89" s="65">
        <f>R87-R61</f>
        <v>0</v>
      </c>
      <c r="S89" s="65">
        <f>S87-S61</f>
        <v>0</v>
      </c>
      <c r="T89" s="65">
        <f>T87-T61</f>
        <v>0</v>
      </c>
      <c r="U89" s="26"/>
      <c r="V89" s="65">
        <f>V87-V61</f>
        <v>-777028</v>
      </c>
      <c r="W89" s="65">
        <f>W87-W61</f>
        <v>-812668</v>
      </c>
      <c r="X89" s="65">
        <f>X87-X61</f>
        <v>-814655</v>
      </c>
      <c r="Y89" s="65">
        <f>Y87-Y61</f>
        <v>-763172</v>
      </c>
      <c r="Z89" s="65">
        <f>Z87-Z61</f>
        <v>-800819</v>
      </c>
      <c r="AA89" s="65">
        <f>AA87-AA61</f>
        <v>-820836</v>
      </c>
      <c r="AB89" s="65">
        <f>AB87-AB61</f>
        <v>8118</v>
      </c>
      <c r="AC89" s="65">
        <f>AC87-AC61</f>
        <v>0</v>
      </c>
      <c r="AD89" s="65">
        <f>AD87-AD61</f>
        <v>-65683</v>
      </c>
      <c r="AE89" s="65">
        <f>AE87-AE61</f>
        <v>0</v>
      </c>
      <c r="AF89" s="65">
        <f>AF87-AF61</f>
        <v>0</v>
      </c>
    </row>
    <row r="90" spans="1:34" ht="5.0999999999999996" customHeight="1" thickBot="1">
      <c r="B90" s="106"/>
      <c r="C90" s="107"/>
      <c r="D90" s="107"/>
      <c r="E90" s="107"/>
      <c r="F90" s="108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9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68"/>
      <c r="AH90" s="68"/>
    </row>
    <row r="91" spans="1:34" ht="12.75" customHeight="1">
      <c r="B91" s="144" t="s">
        <v>183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</row>
    <row r="92" spans="1:34">
      <c r="B92" s="63"/>
      <c r="C92" s="22"/>
      <c r="D92" s="22"/>
      <c r="E92" s="22"/>
      <c r="F92" s="51"/>
    </row>
    <row r="93" spans="1:34" ht="12.75" customHeight="1">
      <c r="A93" s="5" t="s">
        <v>20</v>
      </c>
      <c r="B93" s="88" t="s">
        <v>17</v>
      </c>
      <c r="C93" s="92" t="s">
        <v>0</v>
      </c>
      <c r="D93" s="92"/>
      <c r="E93" s="92"/>
      <c r="F93" s="93"/>
      <c r="G93" s="92" t="s">
        <v>1</v>
      </c>
      <c r="H93" s="92"/>
      <c r="I93" s="92"/>
      <c r="J93" s="92"/>
      <c r="K93" s="92"/>
      <c r="L93" s="92"/>
      <c r="M93" s="92"/>
      <c r="N93" s="92"/>
      <c r="O93" s="92"/>
      <c r="P93" s="92"/>
      <c r="Q93" s="92" t="s">
        <v>1</v>
      </c>
      <c r="R93" s="92"/>
      <c r="S93" s="92"/>
      <c r="T93" s="92"/>
      <c r="U93" s="88"/>
      <c r="V93" s="92"/>
      <c r="W93" s="92"/>
      <c r="X93" s="92"/>
      <c r="Y93" s="92"/>
      <c r="Z93" s="92"/>
      <c r="AA93" s="92"/>
      <c r="AB93" s="92" t="s">
        <v>10</v>
      </c>
      <c r="AC93" s="92"/>
      <c r="AD93" s="92"/>
      <c r="AE93" s="92"/>
      <c r="AF93" s="92"/>
      <c r="AG93" s="93"/>
      <c r="AH93" s="143" t="s">
        <v>27</v>
      </c>
    </row>
    <row r="94" spans="1:34" ht="12.75" customHeight="1">
      <c r="B94" s="89" t="str">
        <f>B7</f>
        <v>Fiscal Period</v>
      </c>
      <c r="C94" s="94">
        <f>C7</f>
        <v>2022</v>
      </c>
      <c r="D94" s="94">
        <f>D7</f>
        <v>2023</v>
      </c>
      <c r="E94" s="94">
        <f>E7</f>
        <v>2024</v>
      </c>
      <c r="F94" s="93"/>
      <c r="G94" s="94" t="str">
        <f>G7</f>
        <v>1Q23</v>
      </c>
      <c r="H94" s="94" t="str">
        <f>H7</f>
        <v>2Q23</v>
      </c>
      <c r="I94" s="94" t="str">
        <f>I7</f>
        <v>3Q23</v>
      </c>
      <c r="J94" s="94" t="str">
        <f>J7</f>
        <v>4Q23</v>
      </c>
      <c r="K94" s="94" t="str">
        <f>K7</f>
        <v>1Q24</v>
      </c>
      <c r="L94" s="94" t="str">
        <f>L7</f>
        <v>2Q24</v>
      </c>
      <c r="M94" s="94" t="str">
        <f>M7</f>
        <v>3Q24</v>
      </c>
      <c r="N94" s="94" t="str">
        <f>N7</f>
        <v>4Q24</v>
      </c>
      <c r="O94" s="94" t="str">
        <f>O7</f>
        <v>1Q25</v>
      </c>
      <c r="P94" s="94" t="str">
        <f>P7</f>
        <v>2Q25</v>
      </c>
      <c r="Q94" s="94">
        <f>Q7</f>
        <v>0</v>
      </c>
      <c r="R94" s="94">
        <f>R7</f>
        <v>0</v>
      </c>
      <c r="S94" s="94">
        <f>S7</f>
        <v>0</v>
      </c>
      <c r="T94" s="94">
        <f>T7</f>
        <v>0</v>
      </c>
      <c r="U94" s="94"/>
      <c r="V94" s="94" t="str">
        <f>V7</f>
        <v>4Q23</v>
      </c>
      <c r="W94" s="94" t="str">
        <f>W7</f>
        <v>1Q24</v>
      </c>
      <c r="X94" s="94" t="str">
        <f>X7</f>
        <v>2Q24</v>
      </c>
      <c r="Y94" s="94" t="str">
        <f>Y7</f>
        <v>3Q24</v>
      </c>
      <c r="Z94" s="94" t="str">
        <f>Z7</f>
        <v>4Q24</v>
      </c>
      <c r="AA94" s="94" t="str">
        <f>AA7</f>
        <v>1Q25</v>
      </c>
      <c r="AB94" s="94" t="str">
        <f>AB7</f>
        <v>2Q25</v>
      </c>
      <c r="AC94" s="94">
        <f>AC7</f>
        <v>0</v>
      </c>
      <c r="AD94" s="94">
        <f>AD7</f>
        <v>0</v>
      </c>
      <c r="AE94" s="94">
        <f>AE7</f>
        <v>0</v>
      </c>
      <c r="AF94" s="94">
        <f>AF7</f>
        <v>0</v>
      </c>
      <c r="AG94" s="93"/>
      <c r="AH94" s="143"/>
    </row>
    <row r="95" spans="1:34" ht="12.75" customHeight="1">
      <c r="B95" s="89" t="str">
        <f>B8</f>
        <v>Fiscal Period End Date</v>
      </c>
      <c r="C95" s="95">
        <f>C8</f>
        <v>44651</v>
      </c>
      <c r="D95" s="95">
        <f>D8</f>
        <v>45016</v>
      </c>
      <c r="E95" s="95">
        <f>E8</f>
        <v>45382</v>
      </c>
      <c r="F95" s="93"/>
      <c r="G95" s="95">
        <f>G8</f>
        <v>44742</v>
      </c>
      <c r="H95" s="95">
        <f>H8</f>
        <v>44834</v>
      </c>
      <c r="I95" s="95">
        <f>I8</f>
        <v>44926</v>
      </c>
      <c r="J95" s="95">
        <f>J8</f>
        <v>45016</v>
      </c>
      <c r="K95" s="95">
        <f>K8</f>
        <v>45107</v>
      </c>
      <c r="L95" s="95">
        <f>L8</f>
        <v>45199</v>
      </c>
      <c r="M95" s="95">
        <f>M8</f>
        <v>45291</v>
      </c>
      <c r="N95" s="95">
        <f>N8</f>
        <v>45382</v>
      </c>
      <c r="O95" s="95">
        <f>O8</f>
        <v>45473</v>
      </c>
      <c r="P95" s="95">
        <f>P8</f>
        <v>45565</v>
      </c>
      <c r="Q95" s="95">
        <f>Q8</f>
        <v>0</v>
      </c>
      <c r="R95" s="95">
        <f>R8</f>
        <v>0</v>
      </c>
      <c r="S95" s="95">
        <f>S8</f>
        <v>0</v>
      </c>
      <c r="T95" s="95">
        <f>T8</f>
        <v>0</v>
      </c>
      <c r="U95" s="95"/>
      <c r="V95" s="95">
        <f>V8</f>
        <v>45016</v>
      </c>
      <c r="W95" s="95">
        <f>W8</f>
        <v>45107</v>
      </c>
      <c r="X95" s="95">
        <f>X8</f>
        <v>45199</v>
      </c>
      <c r="Y95" s="95">
        <f>Y8</f>
        <v>45291</v>
      </c>
      <c r="Z95" s="95">
        <f>Z8</f>
        <v>45382</v>
      </c>
      <c r="AA95" s="95">
        <f>AA8</f>
        <v>45473</v>
      </c>
      <c r="AB95" s="95">
        <f>AB8</f>
        <v>45565</v>
      </c>
      <c r="AC95" s="95">
        <f>AC8</f>
        <v>0</v>
      </c>
      <c r="AD95" s="95">
        <f>AD8</f>
        <v>0</v>
      </c>
      <c r="AE95" s="95">
        <f>AE8</f>
        <v>0</v>
      </c>
      <c r="AF95" s="95">
        <f>AF8</f>
        <v>0</v>
      </c>
      <c r="AG95" s="93"/>
      <c r="AH95" s="143"/>
    </row>
    <row r="96" spans="1:34" ht="5.0999999999999996" customHeight="1">
      <c r="B96" s="52"/>
      <c r="C96" s="46"/>
      <c r="D96" s="46"/>
      <c r="E96" s="46"/>
    </row>
    <row r="97" spans="2:34" ht="12.75" customHeight="1">
      <c r="B97" s="53" t="s">
        <v>66</v>
      </c>
      <c r="C97" s="54"/>
      <c r="D97" s="54"/>
      <c r="E97" s="54"/>
    </row>
    <row r="98" spans="2:34" ht="12.75" customHeight="1">
      <c r="B98" s="55" t="s">
        <v>67</v>
      </c>
      <c r="C98" s="30">
        <f>C32</f>
        <v>38355</v>
      </c>
      <c r="D98" s="30">
        <f>D32</f>
        <v>-18368</v>
      </c>
      <c r="E98" s="30">
        <f>E32</f>
        <v>-41286</v>
      </c>
      <c r="F98" s="30"/>
      <c r="G98" s="30">
        <f>G32</f>
        <v>-10220</v>
      </c>
      <c r="H98" s="104">
        <f>H32</f>
        <v>-11944</v>
      </c>
      <c r="I98" s="30">
        <f>I32</f>
        <v>-866</v>
      </c>
      <c r="J98" s="30">
        <f>J32</f>
        <v>79272</v>
      </c>
      <c r="K98" s="30">
        <f>K32</f>
        <v>46278</v>
      </c>
      <c r="L98" s="104">
        <f>L32</f>
        <v>39613</v>
      </c>
      <c r="M98" s="30">
        <f>M32</f>
        <v>32876</v>
      </c>
      <c r="N98" s="30">
        <f t="shared" ref="N98" si="131">SUM(D98-SUM(K98:M98))</f>
        <v>-137135</v>
      </c>
      <c r="O98" s="30">
        <f>O32</f>
        <v>24388</v>
      </c>
      <c r="P98" s="30">
        <f>P32</f>
        <v>27674</v>
      </c>
      <c r="Q98" s="30">
        <f>Q32</f>
        <v>0</v>
      </c>
      <c r="R98" s="30">
        <f>SUM(E98-SUM(O98:Q98))</f>
        <v>-93348</v>
      </c>
      <c r="S98" s="30">
        <f>S32</f>
        <v>0</v>
      </c>
      <c r="T98" s="30">
        <f>T32</f>
        <v>0</v>
      </c>
      <c r="V98" s="30">
        <f t="shared" ref="V98:AA98" si="132">SUM(H98:K98)</f>
        <v>112740</v>
      </c>
      <c r="W98" s="30">
        <f t="shared" si="132"/>
        <v>164297</v>
      </c>
      <c r="X98" s="30">
        <f t="shared" si="132"/>
        <v>198039</v>
      </c>
      <c r="Y98" s="30">
        <f t="shared" si="132"/>
        <v>-18368</v>
      </c>
      <c r="Z98" s="30">
        <f t="shared" si="132"/>
        <v>-40258</v>
      </c>
      <c r="AA98" s="30">
        <f t="shared" si="132"/>
        <v>-52197</v>
      </c>
      <c r="AB98" s="30">
        <f t="shared" ref="AB98" si="133">SUM(M98:P98)</f>
        <v>-52197</v>
      </c>
      <c r="AC98" s="30">
        <f t="shared" ref="AC98" si="134">SUM(N98:Q98)</f>
        <v>-85073</v>
      </c>
      <c r="AD98" s="30">
        <f t="shared" ref="AD98" si="135">SUM(O98:R98)</f>
        <v>-41286</v>
      </c>
      <c r="AE98" s="30">
        <f t="shared" ref="AE98" si="136">SUM(P98:S98)</f>
        <v>-65674</v>
      </c>
      <c r="AF98" s="30">
        <f>SUM(Q98:T98)</f>
        <v>-93348</v>
      </c>
      <c r="AG98" s="11"/>
      <c r="AH98" s="70">
        <f>SUM(AF98/AB98)-1</f>
        <v>0.78837864245071554</v>
      </c>
    </row>
    <row r="99" spans="2:34" ht="5.0999999999999996" customHeight="1"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11"/>
      <c r="AH99" s="70"/>
    </row>
    <row r="100" spans="2:34" ht="12.75" customHeight="1">
      <c r="B100" s="34" t="s">
        <v>75</v>
      </c>
      <c r="C100" s="30"/>
      <c r="D100" s="30"/>
      <c r="E100" s="30"/>
      <c r="F100" s="30"/>
      <c r="G100" s="30"/>
      <c r="H100" s="30"/>
      <c r="I100" s="30"/>
      <c r="J100" s="30"/>
      <c r="K100" s="79"/>
      <c r="L100" s="79"/>
      <c r="M100" s="79"/>
      <c r="N100" s="30"/>
      <c r="O100" s="79"/>
      <c r="P100" s="79"/>
      <c r="Q100" s="79"/>
      <c r="R100" s="30"/>
      <c r="S100" s="79"/>
      <c r="T100" s="79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57"/>
      <c r="AH100" s="70"/>
    </row>
    <row r="101" spans="2:34" ht="12.75" customHeight="1">
      <c r="B101" s="58" t="s">
        <v>68</v>
      </c>
      <c r="C101" s="79">
        <v>9418</v>
      </c>
      <c r="D101" s="79">
        <v>10118</v>
      </c>
      <c r="E101" s="79">
        <v>9313</v>
      </c>
      <c r="F101" s="30"/>
      <c r="G101" s="79">
        <v>2586</v>
      </c>
      <c r="H101" s="30">
        <f>5133-G101</f>
        <v>2547</v>
      </c>
      <c r="I101" s="30">
        <f>7235-H101-G101</f>
        <v>2102</v>
      </c>
      <c r="J101" s="30">
        <f t="shared" ref="J101:J110" si="137">SUM(D101-SUM(G101:I101))</f>
        <v>2883</v>
      </c>
      <c r="K101" s="79">
        <v>2752</v>
      </c>
      <c r="L101" s="30">
        <f>5295-K101</f>
        <v>2543</v>
      </c>
      <c r="M101" s="30">
        <f>7593-L101-K101</f>
        <v>2298</v>
      </c>
      <c r="N101" s="30">
        <f t="shared" ref="N101:N109" si="138">SUM(E101-SUM(K101:M101))</f>
        <v>1720</v>
      </c>
      <c r="O101" s="79">
        <v>1780</v>
      </c>
      <c r="P101" s="30">
        <f>3347-O101</f>
        <v>1567</v>
      </c>
      <c r="Q101" s="30"/>
      <c r="R101" s="30">
        <f t="shared" ref="R101:R110" si="139">SUM(E101-SUM(O101:Q101))</f>
        <v>5966</v>
      </c>
      <c r="S101" s="79"/>
      <c r="T101" s="30"/>
      <c r="V101" s="30">
        <f t="shared" ref="V101:AA104" si="140">SUM(H101:K101)</f>
        <v>10284</v>
      </c>
      <c r="W101" s="30">
        <f t="shared" si="140"/>
        <v>10280</v>
      </c>
      <c r="X101" s="30">
        <f t="shared" si="140"/>
        <v>10476</v>
      </c>
      <c r="Y101" s="30">
        <f t="shared" si="140"/>
        <v>9313</v>
      </c>
      <c r="Z101" s="30">
        <f t="shared" si="140"/>
        <v>8341</v>
      </c>
      <c r="AA101" s="30">
        <f t="shared" si="140"/>
        <v>7365</v>
      </c>
      <c r="AB101" s="30">
        <f t="shared" ref="AB101" si="141">SUM(M101:P101)</f>
        <v>7365</v>
      </c>
      <c r="AC101" s="30">
        <f t="shared" ref="AC101" si="142">SUM(N101:Q101)</f>
        <v>5067</v>
      </c>
      <c r="AD101" s="30">
        <f t="shared" ref="AD101" si="143">SUM(O101:R101)</f>
        <v>9313</v>
      </c>
      <c r="AE101" s="30">
        <f t="shared" ref="AE101" si="144">SUM(P101:S101)</f>
        <v>7533</v>
      </c>
      <c r="AF101" s="30">
        <f>SUM(Q101:T101)</f>
        <v>5966</v>
      </c>
      <c r="AG101" s="11"/>
      <c r="AH101" s="70">
        <f t="shared" ref="AH101:AH113" si="145">SUM(AF101/AB101)-1</f>
        <v>-0.18995247793618464</v>
      </c>
    </row>
    <row r="102" spans="2:34" ht="12.75" customHeight="1">
      <c r="B102" s="58" t="s">
        <v>168</v>
      </c>
      <c r="C102" s="79">
        <v>2414</v>
      </c>
      <c r="D102" s="79">
        <v>1624</v>
      </c>
      <c r="E102" s="79">
        <v>2735</v>
      </c>
      <c r="F102" s="30"/>
      <c r="G102" s="79">
        <v>336</v>
      </c>
      <c r="H102" s="30">
        <f>768-G102</f>
        <v>432</v>
      </c>
      <c r="I102" s="30">
        <f>1201-H102-G102</f>
        <v>433</v>
      </c>
      <c r="J102" s="30">
        <f t="shared" si="137"/>
        <v>423</v>
      </c>
      <c r="K102" s="79">
        <v>520</v>
      </c>
      <c r="L102" s="30">
        <f>1234-K102</f>
        <v>714</v>
      </c>
      <c r="M102" s="30">
        <f>1948-L102-K102</f>
        <v>714</v>
      </c>
      <c r="N102" s="30">
        <f t="shared" si="138"/>
        <v>787</v>
      </c>
      <c r="O102" s="79">
        <v>804</v>
      </c>
      <c r="P102" s="30">
        <f>2081-O102</f>
        <v>1277</v>
      </c>
      <c r="Q102" s="30"/>
      <c r="R102" s="30">
        <f t="shared" si="139"/>
        <v>654</v>
      </c>
      <c r="S102" s="79"/>
      <c r="T102" s="30"/>
      <c r="V102" s="30">
        <f t="shared" si="140"/>
        <v>1808</v>
      </c>
      <c r="W102" s="30">
        <f t="shared" si="140"/>
        <v>2090</v>
      </c>
      <c r="X102" s="30">
        <f t="shared" si="140"/>
        <v>2371</v>
      </c>
      <c r="Y102" s="30">
        <f t="shared" si="140"/>
        <v>2735</v>
      </c>
      <c r="Z102" s="30">
        <f t="shared" si="140"/>
        <v>3019</v>
      </c>
      <c r="AA102" s="30">
        <f t="shared" si="140"/>
        <v>3582</v>
      </c>
      <c r="AB102" s="30">
        <f t="shared" ref="AB102:AB110" si="146">SUM(M102:P102)</f>
        <v>3582</v>
      </c>
      <c r="AC102" s="30">
        <f t="shared" ref="AC102:AC110" si="147">SUM(N102:Q102)</f>
        <v>2868</v>
      </c>
      <c r="AD102" s="30">
        <f t="shared" ref="AD102:AD110" si="148">SUM(O102:R102)</f>
        <v>2735</v>
      </c>
      <c r="AE102" s="30">
        <f t="shared" ref="AE102:AE110" si="149">SUM(P102:S102)</f>
        <v>1931</v>
      </c>
      <c r="AF102" s="30">
        <f t="shared" ref="AF102:AF110" si="150">SUM(Q102:T102)</f>
        <v>654</v>
      </c>
      <c r="AG102" s="11"/>
      <c r="AH102" s="70">
        <f t="shared" si="145"/>
        <v>-0.81742043551088783</v>
      </c>
    </row>
    <row r="103" spans="2:34" ht="12.75" customHeight="1">
      <c r="B103" s="58" t="s">
        <v>169</v>
      </c>
      <c r="C103" s="79">
        <v>8471</v>
      </c>
      <c r="D103" s="79">
        <v>992</v>
      </c>
      <c r="E103" s="79">
        <v>0</v>
      </c>
      <c r="F103" s="30"/>
      <c r="G103" s="79">
        <v>992</v>
      </c>
      <c r="H103" s="30">
        <f>992-G103</f>
        <v>0</v>
      </c>
      <c r="I103" s="30">
        <f>992-H103-G103</f>
        <v>0</v>
      </c>
      <c r="J103" s="30">
        <f t="shared" si="137"/>
        <v>0</v>
      </c>
      <c r="K103" s="79">
        <v>0</v>
      </c>
      <c r="L103" s="30">
        <v>0</v>
      </c>
      <c r="M103" s="30">
        <v>0</v>
      </c>
      <c r="N103" s="30">
        <f t="shared" si="138"/>
        <v>0</v>
      </c>
      <c r="O103" s="79">
        <v>695</v>
      </c>
      <c r="P103" s="30">
        <f>3003-O103</f>
        <v>2308</v>
      </c>
      <c r="Q103" s="30"/>
      <c r="R103" s="30">
        <f t="shared" si="139"/>
        <v>-3003</v>
      </c>
      <c r="S103" s="79"/>
      <c r="T103" s="30"/>
      <c r="V103" s="30">
        <f t="shared" si="140"/>
        <v>0</v>
      </c>
      <c r="W103" s="30">
        <f t="shared" si="140"/>
        <v>0</v>
      </c>
      <c r="X103" s="30">
        <f t="shared" si="140"/>
        <v>0</v>
      </c>
      <c r="Y103" s="30">
        <f t="shared" si="140"/>
        <v>0</v>
      </c>
      <c r="Z103" s="30">
        <f t="shared" si="140"/>
        <v>695</v>
      </c>
      <c r="AA103" s="30">
        <f t="shared" si="140"/>
        <v>3003</v>
      </c>
      <c r="AB103" s="30">
        <f t="shared" si="146"/>
        <v>3003</v>
      </c>
      <c r="AC103" s="30">
        <f t="shared" si="147"/>
        <v>3003</v>
      </c>
      <c r="AD103" s="30">
        <f t="shared" si="148"/>
        <v>0</v>
      </c>
      <c r="AE103" s="30">
        <f t="shared" si="149"/>
        <v>-695</v>
      </c>
      <c r="AF103" s="30">
        <f t="shared" si="150"/>
        <v>-3003</v>
      </c>
      <c r="AG103" s="11"/>
      <c r="AH103" s="70">
        <f t="shared" si="145"/>
        <v>-2</v>
      </c>
    </row>
    <row r="104" spans="2:34" ht="12.75" customHeight="1">
      <c r="B104" s="58" t="s">
        <v>170</v>
      </c>
      <c r="C104" s="79">
        <v>5740</v>
      </c>
      <c r="D104" s="79">
        <v>18052</v>
      </c>
      <c r="E104" s="79">
        <v>6490</v>
      </c>
      <c r="F104" s="30"/>
      <c r="G104" s="79">
        <v>1631</v>
      </c>
      <c r="H104" s="30">
        <f>9946-G104</f>
        <v>8315</v>
      </c>
      <c r="I104" s="30">
        <f>11334-H104-G104</f>
        <v>1388</v>
      </c>
      <c r="J104" s="30">
        <f t="shared" si="137"/>
        <v>6718</v>
      </c>
      <c r="K104" s="79">
        <v>516</v>
      </c>
      <c r="L104" s="30">
        <f>892-K104</f>
        <v>376</v>
      </c>
      <c r="M104" s="30">
        <f>3328-L104-K104</f>
        <v>2436</v>
      </c>
      <c r="N104" s="30">
        <f t="shared" si="138"/>
        <v>3162</v>
      </c>
      <c r="O104" s="79">
        <v>407</v>
      </c>
      <c r="P104" s="30">
        <f>1167-O104</f>
        <v>760</v>
      </c>
      <c r="Q104" s="30"/>
      <c r="R104" s="30">
        <f t="shared" si="139"/>
        <v>5323</v>
      </c>
      <c r="S104" s="79"/>
      <c r="T104" s="30"/>
      <c r="V104" s="30">
        <f t="shared" si="140"/>
        <v>16937</v>
      </c>
      <c r="W104" s="30">
        <f t="shared" si="140"/>
        <v>8998</v>
      </c>
      <c r="X104" s="30">
        <f t="shared" si="140"/>
        <v>10046</v>
      </c>
      <c r="Y104" s="30">
        <f t="shared" si="140"/>
        <v>6490</v>
      </c>
      <c r="Z104" s="30">
        <f t="shared" si="140"/>
        <v>6381</v>
      </c>
      <c r="AA104" s="30">
        <f t="shared" si="140"/>
        <v>6765</v>
      </c>
      <c r="AB104" s="30">
        <f t="shared" si="146"/>
        <v>6765</v>
      </c>
      <c r="AC104" s="30">
        <f t="shared" si="147"/>
        <v>4329</v>
      </c>
      <c r="AD104" s="30">
        <f t="shared" si="148"/>
        <v>6490</v>
      </c>
      <c r="AE104" s="30">
        <f t="shared" si="149"/>
        <v>6083</v>
      </c>
      <c r="AF104" s="30">
        <f t="shared" si="150"/>
        <v>5323</v>
      </c>
      <c r="AG104" s="11"/>
      <c r="AH104" s="70">
        <f t="shared" si="145"/>
        <v>-0.21315594974131558</v>
      </c>
    </row>
    <row r="105" spans="2:34" ht="12.75" customHeight="1">
      <c r="B105" s="58" t="s">
        <v>119</v>
      </c>
      <c r="C105" s="79">
        <v>13829</v>
      </c>
      <c r="D105" s="79">
        <v>10750</v>
      </c>
      <c r="E105" s="79">
        <v>4721</v>
      </c>
      <c r="F105" s="30"/>
      <c r="G105" s="79">
        <v>3069</v>
      </c>
      <c r="H105" s="30">
        <f>5357-G105</f>
        <v>2288</v>
      </c>
      <c r="I105" s="30">
        <f>8340-H105-G105</f>
        <v>2983</v>
      </c>
      <c r="J105" s="30">
        <f t="shared" si="137"/>
        <v>2410</v>
      </c>
      <c r="K105" s="79">
        <v>1901</v>
      </c>
      <c r="L105" s="30">
        <f>2831-K105</f>
        <v>930</v>
      </c>
      <c r="M105" s="30">
        <f>3741-L105-K105</f>
        <v>910</v>
      </c>
      <c r="N105" s="30">
        <f t="shared" si="138"/>
        <v>980</v>
      </c>
      <c r="O105" s="79">
        <v>925</v>
      </c>
      <c r="P105" s="30">
        <f>1641-O105</f>
        <v>716</v>
      </c>
      <c r="Q105" s="30"/>
      <c r="R105" s="30">
        <f t="shared" si="139"/>
        <v>3080</v>
      </c>
      <c r="S105" s="79"/>
      <c r="T105" s="30"/>
      <c r="V105" s="30"/>
      <c r="W105" s="30"/>
      <c r="X105" s="30"/>
      <c r="Y105" s="30"/>
      <c r="Z105" s="30"/>
      <c r="AA105" s="30"/>
      <c r="AB105" s="30">
        <f t="shared" si="146"/>
        <v>3531</v>
      </c>
      <c r="AC105" s="30">
        <f t="shared" si="147"/>
        <v>2621</v>
      </c>
      <c r="AD105" s="30">
        <f t="shared" si="148"/>
        <v>4721</v>
      </c>
      <c r="AE105" s="30">
        <f t="shared" si="149"/>
        <v>3796</v>
      </c>
      <c r="AF105" s="30">
        <f t="shared" si="150"/>
        <v>3080</v>
      </c>
      <c r="AG105" s="11"/>
      <c r="AH105" s="70">
        <f t="shared" si="145"/>
        <v>-0.12772585669781933</v>
      </c>
    </row>
    <row r="106" spans="2:34" ht="12.75" customHeight="1">
      <c r="B106" s="58" t="s">
        <v>171</v>
      </c>
      <c r="C106" s="79">
        <v>0</v>
      </c>
      <c r="D106" s="79">
        <v>0</v>
      </c>
      <c r="E106" s="79">
        <v>0</v>
      </c>
      <c r="F106" s="79"/>
      <c r="G106" s="79">
        <v>0</v>
      </c>
      <c r="H106" s="79">
        <v>0</v>
      </c>
      <c r="I106" s="79">
        <v>0</v>
      </c>
      <c r="J106" s="30">
        <f t="shared" si="137"/>
        <v>0</v>
      </c>
      <c r="K106" s="79">
        <v>0</v>
      </c>
      <c r="L106" s="79">
        <v>0</v>
      </c>
      <c r="M106" s="79">
        <v>0</v>
      </c>
      <c r="N106" s="30">
        <f t="shared" si="138"/>
        <v>0</v>
      </c>
      <c r="O106" s="79">
        <v>0</v>
      </c>
      <c r="P106" s="30">
        <v>1844</v>
      </c>
      <c r="Q106" s="30"/>
      <c r="R106" s="30">
        <f t="shared" si="139"/>
        <v>-1844</v>
      </c>
      <c r="S106" s="79"/>
      <c r="T106" s="30"/>
      <c r="V106" s="30"/>
      <c r="W106" s="30"/>
      <c r="X106" s="30"/>
      <c r="Y106" s="30"/>
      <c r="Z106" s="30"/>
      <c r="AA106" s="30"/>
      <c r="AB106" s="30">
        <f t="shared" si="146"/>
        <v>1844</v>
      </c>
      <c r="AC106" s="30">
        <f t="shared" si="147"/>
        <v>1844</v>
      </c>
      <c r="AD106" s="30">
        <f t="shared" si="148"/>
        <v>0</v>
      </c>
      <c r="AE106" s="30">
        <f t="shared" si="149"/>
        <v>0</v>
      </c>
      <c r="AF106" s="30">
        <f t="shared" si="150"/>
        <v>-1844</v>
      </c>
      <c r="AG106" s="11"/>
      <c r="AH106" s="70">
        <f t="shared" si="145"/>
        <v>-2</v>
      </c>
    </row>
    <row r="107" spans="2:34" ht="12.75" customHeight="1">
      <c r="B107" s="58" t="s">
        <v>172</v>
      </c>
      <c r="C107" s="79">
        <v>-60030</v>
      </c>
      <c r="D107" s="79">
        <v>-10250</v>
      </c>
      <c r="E107" s="79">
        <v>-5137</v>
      </c>
      <c r="F107" s="30"/>
      <c r="G107" s="79">
        <v>0</v>
      </c>
      <c r="H107" s="79">
        <v>0</v>
      </c>
      <c r="I107" s="79">
        <v>0</v>
      </c>
      <c r="J107" s="30">
        <f t="shared" si="137"/>
        <v>-10250</v>
      </c>
      <c r="K107" s="79">
        <v>0</v>
      </c>
      <c r="L107" s="30">
        <v>-5127</v>
      </c>
      <c r="M107" s="30">
        <f>-7340-L107-K107</f>
        <v>-2213</v>
      </c>
      <c r="N107" s="30">
        <f t="shared" si="138"/>
        <v>2203</v>
      </c>
      <c r="O107" s="79">
        <v>-1666</v>
      </c>
      <c r="P107" s="30">
        <f>-5216-O107</f>
        <v>-3550</v>
      </c>
      <c r="Q107" s="30"/>
      <c r="R107" s="30">
        <f t="shared" si="139"/>
        <v>79</v>
      </c>
      <c r="S107" s="79"/>
      <c r="T107" s="30"/>
      <c r="V107" s="30"/>
      <c r="W107" s="30"/>
      <c r="X107" s="30"/>
      <c r="Y107" s="30"/>
      <c r="Z107" s="30"/>
      <c r="AA107" s="30"/>
      <c r="AB107" s="30">
        <f t="shared" si="146"/>
        <v>-5226</v>
      </c>
      <c r="AC107" s="30">
        <f t="shared" si="147"/>
        <v>-3013</v>
      </c>
      <c r="AD107" s="30">
        <f t="shared" si="148"/>
        <v>-5137</v>
      </c>
      <c r="AE107" s="30">
        <f t="shared" si="149"/>
        <v>-3471</v>
      </c>
      <c r="AF107" s="30">
        <f t="shared" si="150"/>
        <v>79</v>
      </c>
      <c r="AG107" s="11"/>
      <c r="AH107" s="70">
        <f t="shared" si="145"/>
        <v>-1.0151167240719479</v>
      </c>
    </row>
    <row r="108" spans="2:34" ht="12.75" customHeight="1">
      <c r="B108" s="58" t="s">
        <v>172</v>
      </c>
      <c r="C108" s="79">
        <v>0</v>
      </c>
      <c r="D108" s="79">
        <v>0</v>
      </c>
      <c r="E108" s="79">
        <v>-3943</v>
      </c>
      <c r="F108" s="30"/>
      <c r="G108" s="79">
        <v>0</v>
      </c>
      <c r="H108" s="79">
        <v>0</v>
      </c>
      <c r="I108" s="79">
        <v>0</v>
      </c>
      <c r="J108" s="30">
        <f t="shared" si="137"/>
        <v>0</v>
      </c>
      <c r="K108" s="79">
        <v>0</v>
      </c>
      <c r="L108" s="30">
        <v>0</v>
      </c>
      <c r="M108" s="30">
        <v>0</v>
      </c>
      <c r="N108" s="30">
        <f t="shared" si="138"/>
        <v>-3943</v>
      </c>
      <c r="O108" s="79">
        <v>0</v>
      </c>
      <c r="P108" s="30">
        <v>0</v>
      </c>
      <c r="Q108" s="30"/>
      <c r="R108" s="30">
        <f t="shared" si="139"/>
        <v>-3943</v>
      </c>
      <c r="S108" s="79"/>
      <c r="T108" s="30"/>
      <c r="V108" s="30"/>
      <c r="W108" s="30"/>
      <c r="X108" s="30"/>
      <c r="Y108" s="30"/>
      <c r="Z108" s="30"/>
      <c r="AA108" s="30"/>
      <c r="AB108" s="30">
        <f t="shared" si="146"/>
        <v>-3943</v>
      </c>
      <c r="AC108" s="30">
        <f t="shared" si="147"/>
        <v>-3943</v>
      </c>
      <c r="AD108" s="30">
        <f t="shared" si="148"/>
        <v>-3943</v>
      </c>
      <c r="AE108" s="30">
        <f t="shared" si="149"/>
        <v>-3943</v>
      </c>
      <c r="AF108" s="30">
        <f t="shared" si="150"/>
        <v>-3943</v>
      </c>
      <c r="AG108" s="11"/>
      <c r="AH108" s="70">
        <f t="shared" si="145"/>
        <v>0</v>
      </c>
    </row>
    <row r="109" spans="2:34" ht="12.75" customHeight="1">
      <c r="B109" s="58" t="s">
        <v>173</v>
      </c>
      <c r="C109" s="79">
        <v>-832</v>
      </c>
      <c r="D109" s="79">
        <v>-2067</v>
      </c>
      <c r="E109" s="79">
        <v>3304</v>
      </c>
      <c r="F109" s="30"/>
      <c r="G109" s="79">
        <v>-1469</v>
      </c>
      <c r="H109" s="30">
        <f>-152-G109</f>
        <v>1317</v>
      </c>
      <c r="I109" s="30">
        <f>-2059-H109-G109</f>
        <v>-1907</v>
      </c>
      <c r="J109" s="30">
        <f t="shared" si="137"/>
        <v>-8</v>
      </c>
      <c r="K109" s="79">
        <v>734</v>
      </c>
      <c r="L109" s="30">
        <f>826-K109</f>
        <v>92</v>
      </c>
      <c r="M109" s="30">
        <f>3010-L109-K109</f>
        <v>2184</v>
      </c>
      <c r="N109" s="30">
        <f t="shared" si="138"/>
        <v>294</v>
      </c>
      <c r="O109" s="79">
        <v>275</v>
      </c>
      <c r="P109" s="30">
        <f>851-O109</f>
        <v>576</v>
      </c>
      <c r="Q109" s="30"/>
      <c r="R109" s="30">
        <f t="shared" si="139"/>
        <v>2453</v>
      </c>
      <c r="S109" s="79"/>
      <c r="T109" s="30"/>
      <c r="V109" s="30"/>
      <c r="W109" s="30"/>
      <c r="X109" s="30"/>
      <c r="Y109" s="30"/>
      <c r="Z109" s="30"/>
      <c r="AA109" s="30"/>
      <c r="AB109" s="30">
        <f t="shared" si="146"/>
        <v>3329</v>
      </c>
      <c r="AC109" s="30">
        <f t="shared" si="147"/>
        <v>1145</v>
      </c>
      <c r="AD109" s="30">
        <f t="shared" si="148"/>
        <v>3304</v>
      </c>
      <c r="AE109" s="30">
        <f t="shared" si="149"/>
        <v>3029</v>
      </c>
      <c r="AF109" s="30">
        <f t="shared" si="150"/>
        <v>2453</v>
      </c>
      <c r="AG109" s="11"/>
      <c r="AH109" s="70">
        <f t="shared" si="145"/>
        <v>-0.26314208471012313</v>
      </c>
    </row>
    <row r="110" spans="2:34" ht="12.75" customHeight="1">
      <c r="B110" s="58" t="s">
        <v>174</v>
      </c>
      <c r="C110" s="79"/>
      <c r="D110" s="79"/>
      <c r="E110" s="79"/>
      <c r="F110" s="30"/>
      <c r="G110" s="79"/>
      <c r="H110" s="30">
        <f>-2766-G110</f>
        <v>-2766</v>
      </c>
      <c r="I110" s="30">
        <f>-1134-H110-G110</f>
        <v>1632</v>
      </c>
      <c r="J110" s="30">
        <f t="shared" si="137"/>
        <v>1134</v>
      </c>
      <c r="K110" s="79">
        <v>0</v>
      </c>
      <c r="L110" s="30">
        <v>0</v>
      </c>
      <c r="M110" s="30">
        <v>0</v>
      </c>
      <c r="N110" s="30"/>
      <c r="O110" s="79"/>
      <c r="P110" s="30"/>
      <c r="Q110" s="30"/>
      <c r="R110" s="30">
        <f t="shared" si="139"/>
        <v>0</v>
      </c>
      <c r="S110" s="79"/>
      <c r="T110" s="30"/>
      <c r="V110" s="30"/>
      <c r="W110" s="30"/>
      <c r="X110" s="30"/>
      <c r="Y110" s="30"/>
      <c r="Z110" s="30"/>
      <c r="AA110" s="30"/>
      <c r="AB110" s="30">
        <f t="shared" si="146"/>
        <v>0</v>
      </c>
      <c r="AC110" s="30">
        <f t="shared" si="147"/>
        <v>0</v>
      </c>
      <c r="AD110" s="30">
        <f t="shared" si="148"/>
        <v>0</v>
      </c>
      <c r="AE110" s="30">
        <f t="shared" si="149"/>
        <v>0</v>
      </c>
      <c r="AF110" s="30">
        <f t="shared" si="150"/>
        <v>0</v>
      </c>
      <c r="AG110" s="11"/>
      <c r="AH110" s="70" t="e">
        <f t="shared" si="145"/>
        <v>#DIV/0!</v>
      </c>
    </row>
    <row r="111" spans="2:34" ht="5.0999999999999996" customHeight="1">
      <c r="B111" s="8"/>
      <c r="C111" s="79"/>
      <c r="D111" s="79"/>
      <c r="E111" s="79"/>
      <c r="F111" s="30"/>
      <c r="G111" s="79"/>
      <c r="H111" s="30"/>
      <c r="I111" s="30"/>
      <c r="J111" s="30"/>
      <c r="K111" s="79"/>
      <c r="L111" s="30"/>
      <c r="M111" s="30"/>
      <c r="N111" s="30"/>
      <c r="O111" s="79"/>
      <c r="P111" s="30"/>
      <c r="Q111" s="30"/>
      <c r="R111" s="30"/>
      <c r="S111" s="79"/>
      <c r="T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1"/>
      <c r="AH111" s="70"/>
    </row>
    <row r="112" spans="2:34" ht="12.75" customHeight="1">
      <c r="B112" s="34" t="s">
        <v>16</v>
      </c>
      <c r="C112" s="79"/>
      <c r="D112" s="79"/>
      <c r="E112" s="79"/>
      <c r="F112" s="30"/>
      <c r="G112" s="79"/>
      <c r="H112" s="30"/>
      <c r="I112" s="30"/>
      <c r="J112" s="30"/>
      <c r="K112" s="79"/>
      <c r="L112" s="30"/>
      <c r="M112" s="30"/>
      <c r="N112" s="30"/>
      <c r="O112" s="79"/>
      <c r="P112" s="30"/>
      <c r="Q112" s="30"/>
      <c r="R112" s="30"/>
      <c r="S112" s="79"/>
      <c r="T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57"/>
      <c r="AH112" s="70"/>
    </row>
    <row r="113" spans="2:34" ht="12.75" customHeight="1">
      <c r="B113" s="58" t="s">
        <v>14</v>
      </c>
      <c r="C113" s="79">
        <v>3651</v>
      </c>
      <c r="D113" s="79">
        <v>-2966</v>
      </c>
      <c r="E113" s="79">
        <v>4846</v>
      </c>
      <c r="F113" s="30"/>
      <c r="G113" s="79">
        <v>4677</v>
      </c>
      <c r="H113" s="30">
        <f>8264-G113</f>
        <v>3587</v>
      </c>
      <c r="I113" s="30">
        <f>-3367-H113-G113</f>
        <v>-11631</v>
      </c>
      <c r="J113" s="30">
        <f t="shared" ref="J113:J122" si="151">SUM(D113-SUM(G113:I113))</f>
        <v>401</v>
      </c>
      <c r="K113" s="79">
        <v>6255</v>
      </c>
      <c r="L113" s="30">
        <f>21109-K113</f>
        <v>14854</v>
      </c>
      <c r="M113" s="30">
        <f>12616-L113-K113</f>
        <v>-8493</v>
      </c>
      <c r="N113" s="30">
        <f t="shared" ref="N113:N122" si="152">SUM(E113-SUM(K113:M113))</f>
        <v>-7770</v>
      </c>
      <c r="O113" s="79">
        <v>6346</v>
      </c>
      <c r="P113" s="30">
        <f>16638-O113</f>
        <v>10292</v>
      </c>
      <c r="Q113" s="30"/>
      <c r="R113" s="30">
        <f t="shared" ref="R113:R122" si="153">SUM(E113-SUM(O113:Q113))</f>
        <v>-11792</v>
      </c>
      <c r="S113" s="79"/>
      <c r="T113" s="30"/>
      <c r="V113" s="30">
        <f t="shared" ref="V113:AA122" si="154">SUM(H113:K113)</f>
        <v>-1388</v>
      </c>
      <c r="W113" s="30">
        <f t="shared" si="154"/>
        <v>9879</v>
      </c>
      <c r="X113" s="30">
        <f t="shared" si="154"/>
        <v>13017</v>
      </c>
      <c r="Y113" s="30">
        <f t="shared" si="154"/>
        <v>4846</v>
      </c>
      <c r="Z113" s="30">
        <f t="shared" si="154"/>
        <v>4937</v>
      </c>
      <c r="AA113" s="30">
        <f t="shared" si="154"/>
        <v>375</v>
      </c>
      <c r="AB113" s="30">
        <f t="shared" ref="AB113:AB122" si="155">SUM(M113:P113)</f>
        <v>375</v>
      </c>
      <c r="AC113" s="30">
        <f t="shared" ref="AC113:AC122" si="156">SUM(N113:Q113)</f>
        <v>8868</v>
      </c>
      <c r="AD113" s="30">
        <f t="shared" ref="AD113:AD122" si="157">SUM(O113:R113)</f>
        <v>4846</v>
      </c>
      <c r="AE113" s="30">
        <f t="shared" ref="AE113:AE122" si="158">SUM(P113:S113)</f>
        <v>-1500</v>
      </c>
      <c r="AF113" s="30">
        <f t="shared" ref="AF113:AF122" si="159">SUM(Q113:T113)</f>
        <v>-11792</v>
      </c>
      <c r="AG113" s="57"/>
      <c r="AH113" s="70">
        <f t="shared" si="145"/>
        <v>-32.445333333333338</v>
      </c>
    </row>
    <row r="114" spans="2:34" ht="12.75" customHeight="1">
      <c r="B114" s="58" t="s">
        <v>150</v>
      </c>
      <c r="C114" s="79">
        <v>-12069</v>
      </c>
      <c r="D114" s="79">
        <v>-1839</v>
      </c>
      <c r="E114" s="79">
        <v>-1396</v>
      </c>
      <c r="F114" s="30"/>
      <c r="G114" s="79">
        <v>-412</v>
      </c>
      <c r="H114" s="30">
        <f>416-G114</f>
        <v>828</v>
      </c>
      <c r="I114" s="30">
        <f>-9352-H114-G114</f>
        <v>-9768</v>
      </c>
      <c r="J114" s="30">
        <f t="shared" si="151"/>
        <v>7513</v>
      </c>
      <c r="K114" s="79">
        <v>-692</v>
      </c>
      <c r="L114" s="30">
        <f>-2070-K114</f>
        <v>-1378</v>
      </c>
      <c r="M114" s="30">
        <f>-3099-L114-K114</f>
        <v>-1029</v>
      </c>
      <c r="N114" s="30">
        <f t="shared" si="152"/>
        <v>1703</v>
      </c>
      <c r="O114" s="79">
        <v>-1325</v>
      </c>
      <c r="P114" s="30">
        <f>-2168-O114</f>
        <v>-843</v>
      </c>
      <c r="Q114" s="30"/>
      <c r="R114" s="30"/>
      <c r="S114" s="79"/>
      <c r="T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57"/>
      <c r="AH114" s="70"/>
    </row>
    <row r="115" spans="2:34" ht="12.75" customHeight="1">
      <c r="B115" s="58" t="s">
        <v>151</v>
      </c>
      <c r="C115" s="79">
        <v>-4400</v>
      </c>
      <c r="D115" s="79">
        <v>-3503</v>
      </c>
      <c r="E115" s="79">
        <v>11852</v>
      </c>
      <c r="F115" s="30"/>
      <c r="G115" s="79">
        <v>-1384</v>
      </c>
      <c r="H115" s="30">
        <f>-1971-G115</f>
        <v>-587</v>
      </c>
      <c r="I115" s="30">
        <f>-2671-H115-G115</f>
        <v>-700</v>
      </c>
      <c r="J115" s="30">
        <f t="shared" si="151"/>
        <v>-832</v>
      </c>
      <c r="K115" s="79">
        <v>-516</v>
      </c>
      <c r="L115" s="30">
        <f>-1505-K115</f>
        <v>-989</v>
      </c>
      <c r="M115" s="30">
        <f>-1520-L115-K115</f>
        <v>-15</v>
      </c>
      <c r="N115" s="30">
        <f t="shared" si="152"/>
        <v>13372</v>
      </c>
      <c r="O115" s="79">
        <v>1475</v>
      </c>
      <c r="P115" s="30">
        <f>543-O115</f>
        <v>-932</v>
      </c>
      <c r="Q115" s="30"/>
      <c r="R115" s="30"/>
      <c r="S115" s="79"/>
      <c r="T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57"/>
      <c r="AH115" s="70"/>
    </row>
    <row r="116" spans="2:34" ht="12.75" customHeight="1">
      <c r="B116" s="58" t="s">
        <v>15</v>
      </c>
      <c r="C116" s="79">
        <v>-1939</v>
      </c>
      <c r="D116" s="79">
        <v>1158</v>
      </c>
      <c r="E116" s="79">
        <v>-11193</v>
      </c>
      <c r="F116" s="30"/>
      <c r="G116" s="79">
        <v>-175</v>
      </c>
      <c r="H116" s="30">
        <f>293-G116</f>
        <v>468</v>
      </c>
      <c r="I116" s="30">
        <f>7015-H116-G116</f>
        <v>6722</v>
      </c>
      <c r="J116" s="30">
        <f t="shared" si="151"/>
        <v>-5857</v>
      </c>
      <c r="K116" s="79">
        <v>-5421</v>
      </c>
      <c r="L116" s="30">
        <f>-9073-K116</f>
        <v>-3652</v>
      </c>
      <c r="M116" s="30">
        <f>-13226-L116-K116</f>
        <v>-4153</v>
      </c>
      <c r="N116" s="30">
        <f t="shared" si="152"/>
        <v>2033</v>
      </c>
      <c r="O116" s="79">
        <v>6828</v>
      </c>
      <c r="P116" s="30">
        <f>5253-O116</f>
        <v>-1575</v>
      </c>
      <c r="Q116" s="30"/>
      <c r="R116" s="30"/>
      <c r="S116" s="79"/>
      <c r="T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57"/>
      <c r="AH116" s="70"/>
    </row>
    <row r="117" spans="2:34" ht="12.75" customHeight="1">
      <c r="B117" s="58" t="s">
        <v>152</v>
      </c>
      <c r="C117" s="79">
        <v>-3959</v>
      </c>
      <c r="D117" s="79">
        <v>3695</v>
      </c>
      <c r="E117" s="79">
        <v>1971</v>
      </c>
      <c r="F117" s="30"/>
      <c r="G117" s="79"/>
      <c r="H117" s="30">
        <f>-1208-G117</f>
        <v>-1208</v>
      </c>
      <c r="I117" s="30">
        <f>654-H117-G117</f>
        <v>1862</v>
      </c>
      <c r="J117" s="30">
        <f t="shared" si="151"/>
        <v>3041</v>
      </c>
      <c r="K117" s="79">
        <v>-2287</v>
      </c>
      <c r="L117" s="30">
        <f>8-K117</f>
        <v>2295</v>
      </c>
      <c r="M117" s="30">
        <f>394-L117-K117</f>
        <v>386</v>
      </c>
      <c r="N117" s="30">
        <f t="shared" si="152"/>
        <v>1577</v>
      </c>
      <c r="O117" s="79">
        <v>-1694</v>
      </c>
      <c r="P117" s="30">
        <f>-1446-O117</f>
        <v>248</v>
      </c>
      <c r="Q117" s="30"/>
      <c r="R117" s="30"/>
      <c r="S117" s="79"/>
      <c r="T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57"/>
      <c r="AH117" s="70"/>
    </row>
    <row r="118" spans="2:34" ht="12.75" customHeight="1">
      <c r="B118" s="58" t="s">
        <v>138</v>
      </c>
      <c r="C118" s="79">
        <v>-13119</v>
      </c>
      <c r="D118" s="79">
        <v>-11611</v>
      </c>
      <c r="E118" s="79">
        <v>1386</v>
      </c>
      <c r="F118" s="30"/>
      <c r="G118" s="79">
        <v>-13634</v>
      </c>
      <c r="H118" s="30">
        <f>-17747-G118</f>
        <v>-4113</v>
      </c>
      <c r="I118" s="30">
        <f>-14351-H118-G118</f>
        <v>3396</v>
      </c>
      <c r="J118" s="30">
        <f t="shared" si="151"/>
        <v>2740</v>
      </c>
      <c r="K118" s="79">
        <v>-2221</v>
      </c>
      <c r="L118" s="30">
        <f>-9269-K118</f>
        <v>-7048</v>
      </c>
      <c r="M118" s="30">
        <f>-4780-L118-K118</f>
        <v>4489</v>
      </c>
      <c r="N118" s="30">
        <f t="shared" si="152"/>
        <v>6166</v>
      </c>
      <c r="O118" s="79">
        <v>-5126</v>
      </c>
      <c r="P118" s="30">
        <f>-10153-O118</f>
        <v>-5027</v>
      </c>
      <c r="Q118" s="30"/>
      <c r="R118" s="30"/>
      <c r="S118" s="79"/>
      <c r="T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57"/>
      <c r="AH118" s="70"/>
    </row>
    <row r="119" spans="2:34" ht="12.75" customHeight="1">
      <c r="B119" s="58" t="s">
        <v>175</v>
      </c>
      <c r="C119" s="79">
        <v>-580</v>
      </c>
      <c r="D119" s="79">
        <v>0</v>
      </c>
      <c r="E119" s="79">
        <v>0</v>
      </c>
      <c r="F119" s="30"/>
      <c r="G119" s="79">
        <v>39</v>
      </c>
      <c r="H119" s="30">
        <f>115-G119</f>
        <v>76</v>
      </c>
      <c r="I119" s="30">
        <f>130-H119-G119</f>
        <v>15</v>
      </c>
      <c r="J119" s="30">
        <f t="shared" si="151"/>
        <v>-130</v>
      </c>
      <c r="K119" s="79">
        <v>110</v>
      </c>
      <c r="L119" s="30">
        <f>0-K119</f>
        <v>-110</v>
      </c>
      <c r="M119" s="30">
        <f>0-L119-K119</f>
        <v>0</v>
      </c>
      <c r="N119" s="30">
        <f t="shared" si="152"/>
        <v>0</v>
      </c>
      <c r="O119" s="79"/>
      <c r="P119" s="30"/>
      <c r="Q119" s="30"/>
      <c r="R119" s="30"/>
      <c r="S119" s="79"/>
      <c r="T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57"/>
      <c r="AH119" s="70"/>
    </row>
    <row r="120" spans="2:34" ht="12.75" customHeight="1">
      <c r="B120" s="58" t="s">
        <v>157</v>
      </c>
      <c r="C120" s="79">
        <v>-3073</v>
      </c>
      <c r="D120" s="79">
        <v>-431</v>
      </c>
      <c r="E120" s="79">
        <v>2504</v>
      </c>
      <c r="F120" s="30"/>
      <c r="G120" s="79">
        <v>-1610</v>
      </c>
      <c r="H120" s="30">
        <f>-2949-G120</f>
        <v>-1339</v>
      </c>
      <c r="I120" s="30">
        <f>-614-H120-G120</f>
        <v>2335</v>
      </c>
      <c r="J120" s="30">
        <f t="shared" si="151"/>
        <v>183</v>
      </c>
      <c r="K120" s="79">
        <v>-816</v>
      </c>
      <c r="L120" s="30">
        <f>-1946-K120</f>
        <v>-1130</v>
      </c>
      <c r="M120" s="30">
        <f>-425-L120-K120</f>
        <v>1521</v>
      </c>
      <c r="N120" s="30">
        <f t="shared" si="152"/>
        <v>2929</v>
      </c>
      <c r="O120" s="79">
        <v>-2123</v>
      </c>
      <c r="P120" s="30">
        <f>-4350-O120</f>
        <v>-2227</v>
      </c>
      <c r="Q120" s="30"/>
      <c r="R120" s="30"/>
      <c r="S120" s="79"/>
      <c r="T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57"/>
      <c r="AH120" s="70"/>
    </row>
    <row r="121" spans="2:34" ht="12.75" customHeight="1">
      <c r="B121" s="58" t="s">
        <v>136</v>
      </c>
      <c r="C121" s="79">
        <v>-2602</v>
      </c>
      <c r="D121" s="79">
        <v>-1270</v>
      </c>
      <c r="E121" s="79">
        <v>-2197</v>
      </c>
      <c r="F121" s="30"/>
      <c r="G121" s="79">
        <f>-2739-261</f>
        <v>-3000</v>
      </c>
      <c r="H121" s="30">
        <f>SUM(-486-349)-G121</f>
        <v>2165</v>
      </c>
      <c r="I121" s="30">
        <f>SUM(1357-2812)-H121-G121</f>
        <v>-620</v>
      </c>
      <c r="J121" s="30">
        <f t="shared" si="151"/>
        <v>185</v>
      </c>
      <c r="K121" s="79">
        <f>-487-935</f>
        <v>-1422</v>
      </c>
      <c r="L121" s="30">
        <f>SUM(115-2354)-K121</f>
        <v>-817</v>
      </c>
      <c r="M121" s="30">
        <f>SUM(-1698-1532)-L121-K121</f>
        <v>-991</v>
      </c>
      <c r="N121" s="30">
        <f t="shared" si="152"/>
        <v>1033</v>
      </c>
      <c r="O121" s="79">
        <f>649-551</f>
        <v>98</v>
      </c>
      <c r="P121" s="30">
        <f>SUM(1280-780)-O121</f>
        <v>402</v>
      </c>
      <c r="Q121" s="30"/>
      <c r="R121" s="30">
        <f t="shared" si="153"/>
        <v>-2697</v>
      </c>
      <c r="S121" s="79"/>
      <c r="T121" s="30"/>
      <c r="V121" s="30">
        <f t="shared" si="154"/>
        <v>308</v>
      </c>
      <c r="W121" s="30">
        <f t="shared" si="154"/>
        <v>-2674</v>
      </c>
      <c r="X121" s="30">
        <f t="shared" si="154"/>
        <v>-3045</v>
      </c>
      <c r="Y121" s="30">
        <f t="shared" si="154"/>
        <v>-2197</v>
      </c>
      <c r="Z121" s="30">
        <f t="shared" si="154"/>
        <v>-677</v>
      </c>
      <c r="AA121" s="30">
        <f t="shared" si="154"/>
        <v>542</v>
      </c>
      <c r="AB121" s="30">
        <f t="shared" si="155"/>
        <v>542</v>
      </c>
      <c r="AC121" s="30">
        <f t="shared" si="156"/>
        <v>1533</v>
      </c>
      <c r="AD121" s="30">
        <f t="shared" si="157"/>
        <v>-2197</v>
      </c>
      <c r="AE121" s="30">
        <f t="shared" si="158"/>
        <v>-2295</v>
      </c>
      <c r="AF121" s="30">
        <f t="shared" si="159"/>
        <v>-2697</v>
      </c>
      <c r="AG121" s="57"/>
      <c r="AH121" s="70">
        <f t="shared" ref="AH121:AH122" si="160">SUM(AF121/AB121)-1</f>
        <v>-5.9760147601476019</v>
      </c>
    </row>
    <row r="122" spans="2:34" ht="12.75" customHeight="1">
      <c r="B122" s="58" t="s">
        <v>139</v>
      </c>
      <c r="C122" s="79">
        <v>-3003</v>
      </c>
      <c r="D122" s="79">
        <v>1022</v>
      </c>
      <c r="E122" s="79">
        <v>737</v>
      </c>
      <c r="F122" s="30"/>
      <c r="G122" s="79">
        <f>164+64</f>
        <v>228</v>
      </c>
      <c r="H122" s="30">
        <f>SUM(769-196)-G122</f>
        <v>345</v>
      </c>
      <c r="I122" s="30">
        <f>SUM(2540+300)-H122-G122</f>
        <v>2267</v>
      </c>
      <c r="J122" s="30">
        <f t="shared" si="151"/>
        <v>-1818</v>
      </c>
      <c r="K122" s="79">
        <f>1462-954</f>
        <v>508</v>
      </c>
      <c r="L122" s="30">
        <f>SUM((1764-1602)-K122)</f>
        <v>-346</v>
      </c>
      <c r="M122" s="30">
        <f>SUM(569+2036)-L122-K122</f>
        <v>2443</v>
      </c>
      <c r="N122" s="30">
        <f t="shared" si="152"/>
        <v>-1868</v>
      </c>
      <c r="O122" s="79">
        <f>11017+208</f>
        <v>11225</v>
      </c>
      <c r="P122" s="30">
        <f>SUM(2556+1062)-O122</f>
        <v>-7607</v>
      </c>
      <c r="Q122" s="30"/>
      <c r="R122" s="30">
        <f t="shared" si="153"/>
        <v>-2881</v>
      </c>
      <c r="S122" s="79"/>
      <c r="T122" s="30"/>
      <c r="V122" s="30">
        <f t="shared" si="154"/>
        <v>1302</v>
      </c>
      <c r="W122" s="30">
        <f t="shared" si="154"/>
        <v>611</v>
      </c>
      <c r="X122" s="30">
        <f t="shared" si="154"/>
        <v>787</v>
      </c>
      <c r="Y122" s="30">
        <f t="shared" si="154"/>
        <v>737</v>
      </c>
      <c r="Z122" s="30">
        <f t="shared" si="154"/>
        <v>11454</v>
      </c>
      <c r="AA122" s="30">
        <f t="shared" si="154"/>
        <v>4193</v>
      </c>
      <c r="AB122" s="30">
        <f t="shared" si="155"/>
        <v>4193</v>
      </c>
      <c r="AC122" s="30">
        <f t="shared" si="156"/>
        <v>1750</v>
      </c>
      <c r="AD122" s="30">
        <f t="shared" si="157"/>
        <v>737</v>
      </c>
      <c r="AE122" s="30">
        <f t="shared" si="158"/>
        <v>-10488</v>
      </c>
      <c r="AF122" s="30">
        <f t="shared" si="159"/>
        <v>-2881</v>
      </c>
      <c r="AG122" s="57"/>
      <c r="AH122" s="70">
        <f t="shared" si="160"/>
        <v>-1.6870975435249225</v>
      </c>
    </row>
    <row r="123" spans="2:34" ht="12.75" customHeight="1">
      <c r="B123" s="12" t="s">
        <v>69</v>
      </c>
      <c r="C123" s="13">
        <f>SUM(C98:C122)</f>
        <v>-23728</v>
      </c>
      <c r="D123" s="13">
        <f>SUM(D98:D122)</f>
        <v>-4894</v>
      </c>
      <c r="E123" s="13">
        <f>SUM(E98:E122)</f>
        <v>-15293</v>
      </c>
      <c r="G123" s="13">
        <f>SUM(G98:G122)</f>
        <v>-18346</v>
      </c>
      <c r="H123" s="13">
        <f>SUM(H98:H122)</f>
        <v>411</v>
      </c>
      <c r="I123" s="13">
        <f>SUM(I98:I122)</f>
        <v>-357</v>
      </c>
      <c r="J123" s="13">
        <f>SUM(J98:J122)</f>
        <v>88008</v>
      </c>
      <c r="K123" s="32">
        <f>SUM(K98:K122)</f>
        <v>46199</v>
      </c>
      <c r="L123" s="13">
        <f>SUM(L98:L122)</f>
        <v>40820</v>
      </c>
      <c r="M123" s="13">
        <f>SUM(M98:M122)</f>
        <v>33363</v>
      </c>
      <c r="N123" s="13">
        <f>SUM(N98:N122)</f>
        <v>-112757</v>
      </c>
      <c r="O123" s="13">
        <f>SUM(O98:O122)</f>
        <v>43312</v>
      </c>
      <c r="P123" s="13">
        <f>SUM(P98:P122)</f>
        <v>25903</v>
      </c>
      <c r="Q123" s="13">
        <f>SUM(Q98:Q122)</f>
        <v>0</v>
      </c>
      <c r="R123" s="13">
        <f>SUM(R98:R122)</f>
        <v>-101953</v>
      </c>
      <c r="S123" s="13">
        <f>SUM(S98:S122)</f>
        <v>0</v>
      </c>
      <c r="T123" s="13">
        <f>SUM(T98:T122)</f>
        <v>0</v>
      </c>
      <c r="V123" s="13">
        <f>SUM(V98:V122)</f>
        <v>141991</v>
      </c>
      <c r="W123" s="13">
        <f>SUM(W98:W122)</f>
        <v>193481</v>
      </c>
      <c r="X123" s="13">
        <f>SUM(X98:X122)</f>
        <v>231691</v>
      </c>
      <c r="Y123" s="13">
        <f>SUM(Y98:Y122)</f>
        <v>3556</v>
      </c>
      <c r="Z123" s="13">
        <f>SUM(Z98:Z122)</f>
        <v>-6108</v>
      </c>
      <c r="AA123" s="13">
        <f>SUM(AA98:AA122)</f>
        <v>-26372</v>
      </c>
      <c r="AB123" s="13">
        <f>SUM(AB98:AB122)</f>
        <v>-26837</v>
      </c>
      <c r="AC123" s="13">
        <f>SUM(AC98:AC122)</f>
        <v>-59001</v>
      </c>
      <c r="AD123" s="13">
        <f>SUM(AD98:AD122)</f>
        <v>-20417</v>
      </c>
      <c r="AE123" s="13">
        <f>SUM(AE98:AE122)</f>
        <v>-65694</v>
      </c>
      <c r="AF123" s="13">
        <f>SUM(AF98:AF122)</f>
        <v>-101953</v>
      </c>
      <c r="AG123" s="40"/>
      <c r="AH123" s="71">
        <f>SUM(AF123/AB123)-1</f>
        <v>2.7989715691023589</v>
      </c>
    </row>
    <row r="124" spans="2:34" ht="12.75" customHeight="1">
      <c r="B124" s="51"/>
      <c r="C124" s="59"/>
      <c r="D124" s="59"/>
      <c r="E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37"/>
    </row>
    <row r="125" spans="2:34" ht="12.75" customHeight="1">
      <c r="B125" s="138" t="s">
        <v>70</v>
      </c>
      <c r="C125" s="56"/>
      <c r="D125" s="56"/>
      <c r="E125" s="56"/>
      <c r="G125" s="56"/>
      <c r="H125" s="56"/>
      <c r="I125" s="56"/>
      <c r="J125" s="30"/>
      <c r="K125" s="79"/>
      <c r="L125" s="79"/>
      <c r="M125" s="79"/>
      <c r="N125" s="30"/>
      <c r="O125" s="79"/>
      <c r="P125" s="79"/>
      <c r="Q125" s="79"/>
      <c r="R125" s="30"/>
      <c r="S125" s="79"/>
      <c r="T125" s="79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7"/>
      <c r="AH125" s="37"/>
    </row>
    <row r="126" spans="2:34" ht="12.75" customHeight="1">
      <c r="B126" s="58" t="s">
        <v>120</v>
      </c>
      <c r="C126" s="79">
        <v>-6316</v>
      </c>
      <c r="D126" s="79">
        <v>-12581</v>
      </c>
      <c r="E126" s="79">
        <v>-5869</v>
      </c>
      <c r="F126" s="30"/>
      <c r="G126" s="79">
        <v>-3036</v>
      </c>
      <c r="H126" s="30">
        <f>-7795-G126</f>
        <v>-4759</v>
      </c>
      <c r="I126" s="30">
        <f>-10644-H126-G126</f>
        <v>-2849</v>
      </c>
      <c r="J126" s="30">
        <f>SUM(D126-SUM(G126:I126))</f>
        <v>-1937</v>
      </c>
      <c r="K126" s="79">
        <v>-2299</v>
      </c>
      <c r="L126" s="30">
        <f>-3925-K126</f>
        <v>-1626</v>
      </c>
      <c r="M126" s="30">
        <f>-5025-L126-K126</f>
        <v>-1100</v>
      </c>
      <c r="N126" s="30">
        <f>SUM(E126-SUM(K126:M126))</f>
        <v>-844</v>
      </c>
      <c r="O126" s="79">
        <v>-1620</v>
      </c>
      <c r="P126" s="30">
        <f>-3228-O126</f>
        <v>-1608</v>
      </c>
      <c r="Q126" s="30"/>
      <c r="R126" s="30">
        <f t="shared" ref="R126:R127" si="161">SUM(E126-SUM(O126:Q126))</f>
        <v>-2641</v>
      </c>
      <c r="S126" s="79"/>
      <c r="T126" s="30"/>
      <c r="U126" s="30"/>
      <c r="V126" s="30">
        <f t="shared" ref="V126:AA127" si="162">SUM(H126:K126)</f>
        <v>-11844</v>
      </c>
      <c r="W126" s="30">
        <f t="shared" si="162"/>
        <v>-8711</v>
      </c>
      <c r="X126" s="30">
        <f t="shared" si="162"/>
        <v>-6962</v>
      </c>
      <c r="Y126" s="30">
        <f t="shared" si="162"/>
        <v>-5869</v>
      </c>
      <c r="Z126" s="30">
        <f t="shared" si="162"/>
        <v>-5190</v>
      </c>
      <c r="AA126" s="30">
        <f t="shared" si="162"/>
        <v>-5172</v>
      </c>
      <c r="AB126" s="30">
        <f t="shared" ref="AB126:AB127" si="163">SUM(M126:P126)</f>
        <v>-5172</v>
      </c>
      <c r="AC126" s="30">
        <f t="shared" ref="AC126:AC127" si="164">SUM(N126:Q126)</f>
        <v>-4072</v>
      </c>
      <c r="AD126" s="30">
        <f t="shared" ref="AD126:AD127" si="165">SUM(O126:R126)</f>
        <v>-5869</v>
      </c>
      <c r="AE126" s="30">
        <f t="shared" ref="AE126:AE127" si="166">SUM(P126:S126)</f>
        <v>-4249</v>
      </c>
      <c r="AF126" s="30">
        <f t="shared" ref="AF126:AF127" si="167">SUM(Q126:T126)</f>
        <v>-2641</v>
      </c>
      <c r="AG126" s="57"/>
      <c r="AH126" s="70">
        <f t="shared" ref="AH126:AH127" si="168">SUM(AF126/AB126)-1</f>
        <v>-0.48936581593194117</v>
      </c>
    </row>
    <row r="127" spans="2:34" ht="12.75" customHeight="1">
      <c r="B127" s="58" t="s">
        <v>176</v>
      </c>
      <c r="C127" s="79">
        <v>-7808</v>
      </c>
      <c r="D127" s="79">
        <v>-3020</v>
      </c>
      <c r="E127" s="79">
        <v>0</v>
      </c>
      <c r="F127" s="30"/>
      <c r="G127" s="79">
        <v>-2000</v>
      </c>
      <c r="H127" s="30">
        <f>-2000-G127</f>
        <v>0</v>
      </c>
      <c r="I127" s="30">
        <f>-2000-H127-G127</f>
        <v>0</v>
      </c>
      <c r="J127" s="30">
        <f>SUM(D127-SUM(G127:I127))</f>
        <v>-1020</v>
      </c>
      <c r="K127" s="79"/>
      <c r="L127" s="30"/>
      <c r="M127" s="30"/>
      <c r="N127" s="30"/>
      <c r="O127" s="79">
        <v>0</v>
      </c>
      <c r="P127" s="30">
        <v>0</v>
      </c>
      <c r="Q127" s="30"/>
      <c r="R127" s="30">
        <f t="shared" si="161"/>
        <v>0</v>
      </c>
      <c r="S127" s="79"/>
      <c r="T127" s="30"/>
      <c r="U127" s="30"/>
      <c r="V127" s="30">
        <f t="shared" si="162"/>
        <v>-1020</v>
      </c>
      <c r="W127" s="30">
        <f t="shared" si="162"/>
        <v>-1020</v>
      </c>
      <c r="X127" s="30">
        <f t="shared" si="162"/>
        <v>-1020</v>
      </c>
      <c r="Y127" s="30">
        <f t="shared" si="162"/>
        <v>0</v>
      </c>
      <c r="Z127" s="30">
        <f t="shared" si="162"/>
        <v>0</v>
      </c>
      <c r="AA127" s="30">
        <f t="shared" si="162"/>
        <v>0</v>
      </c>
      <c r="AB127" s="30">
        <f t="shared" si="163"/>
        <v>0</v>
      </c>
      <c r="AC127" s="30">
        <f t="shared" si="164"/>
        <v>0</v>
      </c>
      <c r="AD127" s="30">
        <f t="shared" si="165"/>
        <v>0</v>
      </c>
      <c r="AE127" s="30">
        <f t="shared" si="166"/>
        <v>0</v>
      </c>
      <c r="AF127" s="30">
        <f t="shared" si="167"/>
        <v>0</v>
      </c>
      <c r="AG127" s="57"/>
      <c r="AH127" s="70" t="e">
        <f t="shared" si="168"/>
        <v>#DIV/0!</v>
      </c>
    </row>
    <row r="128" spans="2:34" ht="12.75" customHeight="1">
      <c r="B128" s="12" t="s">
        <v>71</v>
      </c>
      <c r="C128" s="13">
        <f>SUM(C126:C127)</f>
        <v>-14124</v>
      </c>
      <c r="D128" s="13">
        <f>SUM(D126:D127)</f>
        <v>-15601</v>
      </c>
      <c r="E128" s="13">
        <f>SUM(E126:E127)</f>
        <v>-5869</v>
      </c>
      <c r="G128" s="13">
        <f t="shared" ref="G128:T128" si="169">SUM(G126:G127)</f>
        <v>-5036</v>
      </c>
      <c r="H128" s="13">
        <f t="shared" si="169"/>
        <v>-4759</v>
      </c>
      <c r="I128" s="13">
        <f t="shared" si="169"/>
        <v>-2849</v>
      </c>
      <c r="J128" s="13">
        <f t="shared" si="169"/>
        <v>-2957</v>
      </c>
      <c r="K128" s="13">
        <f t="shared" si="169"/>
        <v>-2299</v>
      </c>
      <c r="L128" s="13">
        <f t="shared" si="169"/>
        <v>-1626</v>
      </c>
      <c r="M128" s="13">
        <f t="shared" si="169"/>
        <v>-1100</v>
      </c>
      <c r="N128" s="13">
        <f t="shared" si="169"/>
        <v>-844</v>
      </c>
      <c r="O128" s="13">
        <f t="shared" si="169"/>
        <v>-1620</v>
      </c>
      <c r="P128" s="13">
        <f t="shared" si="169"/>
        <v>-1608</v>
      </c>
      <c r="Q128" s="13">
        <f t="shared" si="169"/>
        <v>0</v>
      </c>
      <c r="R128" s="13">
        <f t="shared" si="169"/>
        <v>-2641</v>
      </c>
      <c r="S128" s="13">
        <f t="shared" si="169"/>
        <v>0</v>
      </c>
      <c r="T128" s="13">
        <f t="shared" si="169"/>
        <v>0</v>
      </c>
      <c r="V128" s="13">
        <f t="shared" ref="V128:AF128" si="170">SUM(V126:V127)</f>
        <v>-12864</v>
      </c>
      <c r="W128" s="13">
        <f t="shared" si="170"/>
        <v>-9731</v>
      </c>
      <c r="X128" s="13">
        <f t="shared" si="170"/>
        <v>-7982</v>
      </c>
      <c r="Y128" s="13">
        <f t="shared" si="170"/>
        <v>-5869</v>
      </c>
      <c r="Z128" s="13">
        <f t="shared" si="170"/>
        <v>-5190</v>
      </c>
      <c r="AA128" s="13">
        <f t="shared" si="170"/>
        <v>-5172</v>
      </c>
      <c r="AB128" s="13">
        <f t="shared" si="170"/>
        <v>-5172</v>
      </c>
      <c r="AC128" s="13">
        <f t="shared" si="170"/>
        <v>-4072</v>
      </c>
      <c r="AD128" s="13">
        <f t="shared" si="170"/>
        <v>-5869</v>
      </c>
      <c r="AE128" s="13">
        <f t="shared" si="170"/>
        <v>-4249</v>
      </c>
      <c r="AF128" s="13">
        <f t="shared" si="170"/>
        <v>-2641</v>
      </c>
      <c r="AG128" s="40"/>
      <c r="AH128" s="71">
        <f>SUM(AF128/AB128)-1</f>
        <v>-0.48936581593194117</v>
      </c>
    </row>
    <row r="129" spans="2:34" ht="5.0999999999999996" customHeight="1">
      <c r="B129" s="50"/>
      <c r="C129" s="59"/>
      <c r="D129" s="59"/>
      <c r="E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37"/>
    </row>
    <row r="130" spans="2:34" ht="12.75" customHeight="1">
      <c r="B130" s="138" t="s">
        <v>72</v>
      </c>
      <c r="C130" s="60"/>
      <c r="D130" s="60"/>
      <c r="E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61"/>
      <c r="AH130" s="37"/>
    </row>
    <row r="131" spans="2:34" ht="12.75" customHeight="1">
      <c r="B131" s="80" t="s">
        <v>177</v>
      </c>
      <c r="C131" s="79">
        <v>94961</v>
      </c>
      <c r="D131" s="79">
        <v>0</v>
      </c>
      <c r="E131" s="79">
        <v>12541</v>
      </c>
      <c r="G131" s="79"/>
      <c r="H131" s="30">
        <v>0</v>
      </c>
      <c r="I131" s="30">
        <v>0</v>
      </c>
      <c r="J131" s="30">
        <f>SUM(D131-SUM(G131:I131))</f>
        <v>0</v>
      </c>
      <c r="K131" s="79">
        <v>14100</v>
      </c>
      <c r="L131" s="30">
        <f>14083-K131</f>
        <v>-17</v>
      </c>
      <c r="M131" s="30">
        <f>14083-L131-K131</f>
        <v>0</v>
      </c>
      <c r="N131" s="30">
        <f>SUM(E131-SUM(K131:M131))</f>
        <v>-1542</v>
      </c>
      <c r="O131" s="79"/>
      <c r="P131" s="30">
        <v>24655</v>
      </c>
      <c r="Q131" s="30"/>
      <c r="R131" s="30">
        <f t="shared" ref="R131:R135" si="171">SUM(E131-SUM(O131:Q131))</f>
        <v>-12114</v>
      </c>
      <c r="S131" s="79"/>
      <c r="T131" s="30"/>
      <c r="U131" s="30"/>
      <c r="V131" s="30"/>
      <c r="W131" s="30"/>
      <c r="X131" s="30"/>
      <c r="Y131" s="30"/>
      <c r="Z131" s="30"/>
      <c r="AA131" s="30"/>
      <c r="AB131" s="30">
        <f t="shared" ref="AB131:AB135" si="172">SUM(M131:P131)</f>
        <v>23113</v>
      </c>
      <c r="AC131" s="30">
        <f t="shared" ref="AC131:AC135" si="173">SUM(N131:Q131)</f>
        <v>23113</v>
      </c>
      <c r="AD131" s="30">
        <f t="shared" ref="AD131:AD135" si="174">SUM(O131:R131)</f>
        <v>12541</v>
      </c>
      <c r="AE131" s="30">
        <f t="shared" ref="AE131:AE135" si="175">SUM(P131:S131)</f>
        <v>12541</v>
      </c>
      <c r="AF131" s="30">
        <f t="shared" ref="AF131:AF135" si="176">SUM(Q131:T131)</f>
        <v>-12114</v>
      </c>
      <c r="AG131" s="61"/>
      <c r="AH131" s="70">
        <f t="shared" ref="AH131:AH132" si="177">SUM(AF131/AB131)-1</f>
        <v>-1.5241206247566303</v>
      </c>
    </row>
    <row r="132" spans="2:34" ht="12.75" customHeight="1">
      <c r="B132" s="80" t="s">
        <v>178</v>
      </c>
      <c r="C132" s="79">
        <v>-94301</v>
      </c>
      <c r="D132" s="79">
        <v>-24596</v>
      </c>
      <c r="E132" s="79">
        <v>-5747</v>
      </c>
      <c r="F132" s="30"/>
      <c r="G132" s="79">
        <v>-20846</v>
      </c>
      <c r="H132" s="30">
        <f>-22096-G132</f>
        <v>-1250</v>
      </c>
      <c r="I132" s="30">
        <f>-23346-H132-G132</f>
        <v>-1250</v>
      </c>
      <c r="J132" s="30">
        <f>SUM(D132-SUM(G132:I132))</f>
        <v>-1250</v>
      </c>
      <c r="K132" s="79">
        <v>-1997</v>
      </c>
      <c r="L132" s="30">
        <f>-3247-K132</f>
        <v>-1250</v>
      </c>
      <c r="M132" s="30">
        <f>-4497-L132</f>
        <v>-3247</v>
      </c>
      <c r="N132" s="30">
        <f>SUM(E132-SUM(K132:M132))</f>
        <v>747</v>
      </c>
      <c r="O132" s="79">
        <v>-13537</v>
      </c>
      <c r="P132" s="30">
        <f>-13537-O132</f>
        <v>0</v>
      </c>
      <c r="Q132" s="30"/>
      <c r="R132" s="30">
        <f t="shared" si="171"/>
        <v>7790</v>
      </c>
      <c r="S132" s="79"/>
      <c r="T132" s="30"/>
      <c r="U132" s="30"/>
      <c r="V132" s="30"/>
      <c r="W132" s="30"/>
      <c r="X132" s="30"/>
      <c r="Y132" s="30"/>
      <c r="Z132" s="30"/>
      <c r="AA132" s="30"/>
      <c r="AB132" s="30">
        <f t="shared" si="172"/>
        <v>-16037</v>
      </c>
      <c r="AC132" s="30">
        <f t="shared" si="173"/>
        <v>-12790</v>
      </c>
      <c r="AD132" s="30">
        <f t="shared" si="174"/>
        <v>-5747</v>
      </c>
      <c r="AE132" s="30">
        <f t="shared" si="175"/>
        <v>7790</v>
      </c>
      <c r="AF132" s="30">
        <f t="shared" si="176"/>
        <v>7790</v>
      </c>
      <c r="AG132" s="61"/>
      <c r="AH132" s="70">
        <f t="shared" si="177"/>
        <v>-1.4857516991956101</v>
      </c>
    </row>
    <row r="133" spans="2:34" ht="12.75" customHeight="1">
      <c r="B133" s="80" t="s">
        <v>179</v>
      </c>
      <c r="C133" s="79">
        <v>309000</v>
      </c>
      <c r="D133" s="79">
        <v>497280</v>
      </c>
      <c r="E133" s="79">
        <v>421623</v>
      </c>
      <c r="F133" s="30"/>
      <c r="G133" s="79">
        <v>109740</v>
      </c>
      <c r="H133" s="30">
        <f>229605-G133</f>
        <v>119865</v>
      </c>
      <c r="I133" s="30">
        <f>363103-H133-G133</f>
        <v>133498</v>
      </c>
      <c r="J133" s="30">
        <f>SUM(D133-SUM(G133:I133))</f>
        <v>134177</v>
      </c>
      <c r="K133" s="79">
        <v>108186</v>
      </c>
      <c r="L133" s="30">
        <f>217084-K133</f>
        <v>108898</v>
      </c>
      <c r="M133" s="30">
        <f>318223-L133-K133</f>
        <v>101139</v>
      </c>
      <c r="N133" s="30">
        <f>SUM(E133-SUM(K133:M133))</f>
        <v>103400</v>
      </c>
      <c r="O133" s="79">
        <v>105568</v>
      </c>
      <c r="P133" s="30">
        <f>209852-O133</f>
        <v>104284</v>
      </c>
      <c r="Q133" s="30"/>
      <c r="R133" s="30"/>
      <c r="S133" s="79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61"/>
      <c r="AH133" s="70"/>
    </row>
    <row r="134" spans="2:34" ht="12.75" customHeight="1">
      <c r="B134" s="80" t="s">
        <v>180</v>
      </c>
      <c r="C134" s="79">
        <v>-291265</v>
      </c>
      <c r="D134" s="79">
        <v>-498665</v>
      </c>
      <c r="E134" s="79">
        <v>-412704</v>
      </c>
      <c r="F134" s="30"/>
      <c r="G134" s="79">
        <v>-110575</v>
      </c>
      <c r="H134" s="30">
        <f>-226240-G134</f>
        <v>-115665</v>
      </c>
      <c r="I134" s="30">
        <f>-353502-H134-G134</f>
        <v>-127262</v>
      </c>
      <c r="J134" s="30">
        <f>SUM(D134-SUM(G134:I134))</f>
        <v>-145163</v>
      </c>
      <c r="K134" s="79">
        <v>-107834</v>
      </c>
      <c r="L134" s="30">
        <f>-213082-K134</f>
        <v>-105248</v>
      </c>
      <c r="M134" s="30">
        <f>-303671-L134-K134</f>
        <v>-90589</v>
      </c>
      <c r="N134" s="30">
        <f>SUM(E134-SUM(K134:M134))</f>
        <v>-109033</v>
      </c>
      <c r="O134" s="79">
        <v>-96829</v>
      </c>
      <c r="P134" s="30">
        <f>-209445-O134</f>
        <v>-112616</v>
      </c>
      <c r="Q134" s="30"/>
      <c r="R134" s="30"/>
      <c r="S134" s="79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61"/>
      <c r="AH134" s="70"/>
    </row>
    <row r="135" spans="2:34" ht="12.75" customHeight="1">
      <c r="B135" s="80" t="s">
        <v>181</v>
      </c>
      <c r="C135" s="79">
        <v>1762</v>
      </c>
      <c r="D135" s="79">
        <v>67146</v>
      </c>
      <c r="E135" s="79">
        <v>0</v>
      </c>
      <c r="F135" s="30"/>
      <c r="G135" s="79">
        <v>66324</v>
      </c>
      <c r="H135" s="30">
        <f>66723-G135</f>
        <v>399</v>
      </c>
      <c r="I135" s="30">
        <f>66718-H135-G135</f>
        <v>-5</v>
      </c>
      <c r="J135" s="30">
        <f>SUM(D135-SUM(G135:I135))</f>
        <v>428</v>
      </c>
      <c r="K135" s="79">
        <v>-9</v>
      </c>
      <c r="L135" s="30"/>
      <c r="M135" s="30"/>
      <c r="N135" s="30">
        <f>SUM(E135-SUM(K135:M135))</f>
        <v>9</v>
      </c>
      <c r="O135" s="79"/>
      <c r="P135" s="30"/>
      <c r="Q135" s="30"/>
      <c r="R135" s="30">
        <f t="shared" si="171"/>
        <v>0</v>
      </c>
      <c r="S135" s="79"/>
      <c r="T135" s="30"/>
      <c r="U135" s="30"/>
      <c r="V135" s="30">
        <f t="shared" ref="V135:AA135" si="178">SUM(H135:K135)</f>
        <v>813</v>
      </c>
      <c r="W135" s="30">
        <f t="shared" si="178"/>
        <v>414</v>
      </c>
      <c r="X135" s="30">
        <f t="shared" si="178"/>
        <v>419</v>
      </c>
      <c r="Y135" s="30">
        <f t="shared" si="178"/>
        <v>0</v>
      </c>
      <c r="Z135" s="30">
        <f t="shared" si="178"/>
        <v>9</v>
      </c>
      <c r="AA135" s="30">
        <f t="shared" si="178"/>
        <v>9</v>
      </c>
      <c r="AB135" s="30">
        <f t="shared" si="172"/>
        <v>9</v>
      </c>
      <c r="AC135" s="30">
        <f t="shared" si="173"/>
        <v>9</v>
      </c>
      <c r="AD135" s="30">
        <f t="shared" si="174"/>
        <v>0</v>
      </c>
      <c r="AE135" s="30">
        <f t="shared" si="175"/>
        <v>0</v>
      </c>
      <c r="AF135" s="30">
        <f t="shared" si="176"/>
        <v>0</v>
      </c>
      <c r="AG135" s="61"/>
      <c r="AH135" s="70">
        <f t="shared" ref="AH135" si="179">SUM(AF135/AB135)-1</f>
        <v>-1</v>
      </c>
    </row>
    <row r="136" spans="2:34" ht="12.75" customHeight="1">
      <c r="B136" s="12" t="s">
        <v>73</v>
      </c>
      <c r="C136" s="32">
        <f>SUM(C131:C135)</f>
        <v>20157</v>
      </c>
      <c r="D136" s="32">
        <f>SUM(D131:D135)</f>
        <v>41165</v>
      </c>
      <c r="E136" s="32">
        <f>SUM(E131:E135)</f>
        <v>15713</v>
      </c>
      <c r="G136" s="32">
        <f>SUM(G131:G135)</f>
        <v>44643</v>
      </c>
      <c r="H136" s="32">
        <f>SUM(H131:H135)</f>
        <v>3349</v>
      </c>
      <c r="I136" s="32">
        <f>SUM(I131:I135)</f>
        <v>4981</v>
      </c>
      <c r="J136" s="32">
        <f>SUM(J131:J135)</f>
        <v>-11808</v>
      </c>
      <c r="K136" s="32">
        <f>SUM(K131:K135)</f>
        <v>12446</v>
      </c>
      <c r="L136" s="32">
        <f>SUM(L131:L135)</f>
        <v>2383</v>
      </c>
      <c r="M136" s="32">
        <f>SUM(M131:M135)</f>
        <v>7303</v>
      </c>
      <c r="N136" s="32">
        <f>SUM(N131:N135)</f>
        <v>-6419</v>
      </c>
      <c r="O136" s="32">
        <f>SUM(O131:O135)</f>
        <v>-4798</v>
      </c>
      <c r="P136" s="32">
        <f>SUM(P131:P135)</f>
        <v>16323</v>
      </c>
      <c r="Q136" s="32">
        <f>SUM(Q131:Q135)</f>
        <v>0</v>
      </c>
      <c r="R136" s="32">
        <f>SUM(R131:R135)</f>
        <v>-4324</v>
      </c>
      <c r="S136" s="32">
        <f>SUM(S131:S135)</f>
        <v>0</v>
      </c>
      <c r="T136" s="32">
        <f>SUM(T131:T135)</f>
        <v>0</v>
      </c>
      <c r="U136" s="30"/>
      <c r="V136" s="32">
        <f>SUM(V131:V135)</f>
        <v>813</v>
      </c>
      <c r="W136" s="32">
        <f>SUM(W131:W135)</f>
        <v>414</v>
      </c>
      <c r="X136" s="32">
        <f>SUM(X131:X135)</f>
        <v>419</v>
      </c>
      <c r="Y136" s="32">
        <f>SUM(Y131:Y135)</f>
        <v>0</v>
      </c>
      <c r="Z136" s="32">
        <f>SUM(Z131:Z135)</f>
        <v>9</v>
      </c>
      <c r="AA136" s="32">
        <f>SUM(AA131:AA135)</f>
        <v>9</v>
      </c>
      <c r="AB136" s="32">
        <f>SUM(AB131:AB135)</f>
        <v>7085</v>
      </c>
      <c r="AC136" s="32">
        <f>SUM(AC131:AC135)</f>
        <v>10332</v>
      </c>
      <c r="AD136" s="32">
        <f>SUM(AD131:AD135)</f>
        <v>6794</v>
      </c>
      <c r="AE136" s="32">
        <f>SUM(AE131:AE135)</f>
        <v>20331</v>
      </c>
      <c r="AF136" s="32">
        <f>SUM(AF131:AF135)</f>
        <v>-4324</v>
      </c>
      <c r="AG136" s="40"/>
      <c r="AH136" s="71">
        <f>SUM(AF136/AB136)-1</f>
        <v>-1.6103034580098801</v>
      </c>
    </row>
    <row r="137" spans="2:34" ht="5.0999999999999996" customHeight="1">
      <c r="B137" s="8"/>
      <c r="C137" s="62"/>
      <c r="D137" s="62"/>
      <c r="E137" s="62"/>
      <c r="F137" s="30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44"/>
    </row>
    <row r="138" spans="2:34" ht="5.0999999999999996" customHeight="1">
      <c r="B138" s="67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11"/>
      <c r="AH138" s="44"/>
    </row>
    <row r="139" spans="2:34">
      <c r="B139" s="129" t="s">
        <v>78</v>
      </c>
      <c r="C139" s="121"/>
      <c r="D139" s="121">
        <f t="shared" ref="D139:E139" si="180">C145</f>
        <v>-17644</v>
      </c>
      <c r="E139" s="121">
        <f t="shared" si="180"/>
        <v>3038</v>
      </c>
      <c r="F139" s="121"/>
      <c r="G139" s="121"/>
      <c r="H139" s="121">
        <f>G145</f>
        <v>21290</v>
      </c>
      <c r="I139" s="121">
        <f t="shared" ref="I139:T139" si="181">H145</f>
        <v>20457</v>
      </c>
      <c r="J139" s="121">
        <f t="shared" si="181"/>
        <v>22253</v>
      </c>
      <c r="K139" s="121">
        <f t="shared" si="181"/>
        <v>95292</v>
      </c>
      <c r="L139" s="121">
        <f t="shared" si="181"/>
        <v>151636</v>
      </c>
      <c r="M139" s="121">
        <f t="shared" si="181"/>
        <v>193224</v>
      </c>
      <c r="N139" s="121">
        <f t="shared" si="181"/>
        <v>232778</v>
      </c>
      <c r="O139" s="121">
        <f t="shared" si="181"/>
        <v>112758</v>
      </c>
      <c r="P139" s="121">
        <f t="shared" si="181"/>
        <v>149649</v>
      </c>
      <c r="Q139" s="121">
        <f t="shared" si="181"/>
        <v>190264</v>
      </c>
      <c r="R139" s="121">
        <f t="shared" si="181"/>
        <v>190264</v>
      </c>
      <c r="S139" s="121">
        <f t="shared" si="181"/>
        <v>81343</v>
      </c>
      <c r="T139" s="121">
        <f t="shared" si="181"/>
        <v>81343</v>
      </c>
      <c r="U139" s="121"/>
      <c r="V139" s="121">
        <f t="shared" ref="V139:AF139" si="182">G145</f>
        <v>21290</v>
      </c>
      <c r="W139" s="121">
        <f t="shared" si="182"/>
        <v>20457</v>
      </c>
      <c r="X139" s="121">
        <f t="shared" si="182"/>
        <v>22253</v>
      </c>
      <c r="Y139" s="121">
        <f t="shared" si="182"/>
        <v>95292</v>
      </c>
      <c r="Z139" s="121">
        <f t="shared" si="182"/>
        <v>151636</v>
      </c>
      <c r="AA139" s="121">
        <f t="shared" si="182"/>
        <v>193224</v>
      </c>
      <c r="AB139" s="121">
        <f t="shared" si="182"/>
        <v>232778</v>
      </c>
      <c r="AC139" s="121">
        <f t="shared" si="182"/>
        <v>112758</v>
      </c>
      <c r="AD139" s="121">
        <f t="shared" si="182"/>
        <v>149649</v>
      </c>
      <c r="AE139" s="121">
        <f t="shared" si="182"/>
        <v>190264</v>
      </c>
      <c r="AF139" s="123">
        <f t="shared" si="182"/>
        <v>190264</v>
      </c>
      <c r="AG139" s="11"/>
      <c r="AH139" s="44"/>
    </row>
    <row r="140" spans="2:34">
      <c r="B140" s="130" t="s">
        <v>107</v>
      </c>
      <c r="C140" s="30"/>
      <c r="D140" s="30">
        <v>0</v>
      </c>
      <c r="E140" s="30">
        <v>0</v>
      </c>
      <c r="F140" s="30"/>
      <c r="G140" s="30"/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/>
      <c r="V140" s="30">
        <f t="shared" ref="V140:AE140" si="183">SUM(H140:K140)</f>
        <v>0</v>
      </c>
      <c r="W140" s="30">
        <f t="shared" si="183"/>
        <v>0</v>
      </c>
      <c r="X140" s="30">
        <f t="shared" si="183"/>
        <v>0</v>
      </c>
      <c r="Y140" s="30">
        <f t="shared" si="183"/>
        <v>0</v>
      </c>
      <c r="Z140" s="30">
        <f t="shared" si="183"/>
        <v>0</v>
      </c>
      <c r="AA140" s="30">
        <f t="shared" si="183"/>
        <v>0</v>
      </c>
      <c r="AB140" s="30">
        <f t="shared" si="183"/>
        <v>0</v>
      </c>
      <c r="AC140" s="30">
        <f t="shared" si="183"/>
        <v>0</v>
      </c>
      <c r="AD140" s="30">
        <f t="shared" si="183"/>
        <v>0</v>
      </c>
      <c r="AE140" s="30">
        <f t="shared" si="183"/>
        <v>0</v>
      </c>
      <c r="AF140" s="124">
        <f>SUM(R140:T140)</f>
        <v>0</v>
      </c>
      <c r="AG140" s="11"/>
      <c r="AH140" s="44"/>
    </row>
    <row r="141" spans="2:34">
      <c r="B141" s="131" t="s">
        <v>91</v>
      </c>
      <c r="C141" s="83">
        <f t="shared" ref="C141:E141" si="184">SUM(C139:C140)</f>
        <v>0</v>
      </c>
      <c r="D141" s="83">
        <f t="shared" si="184"/>
        <v>-17644</v>
      </c>
      <c r="E141" s="83">
        <f t="shared" si="184"/>
        <v>3038</v>
      </c>
      <c r="F141" s="30"/>
      <c r="G141" s="83">
        <f t="shared" ref="G141:T141" si="185">SUM(G139:G140)</f>
        <v>0</v>
      </c>
      <c r="H141" s="83">
        <f t="shared" si="185"/>
        <v>21290</v>
      </c>
      <c r="I141" s="83">
        <f t="shared" si="185"/>
        <v>20457</v>
      </c>
      <c r="J141" s="83">
        <f t="shared" si="185"/>
        <v>22253</v>
      </c>
      <c r="K141" s="83">
        <f t="shared" si="185"/>
        <v>95292</v>
      </c>
      <c r="L141" s="83">
        <f t="shared" si="185"/>
        <v>151636</v>
      </c>
      <c r="M141" s="83">
        <f t="shared" si="185"/>
        <v>193224</v>
      </c>
      <c r="N141" s="83">
        <f t="shared" si="185"/>
        <v>232778</v>
      </c>
      <c r="O141" s="83">
        <f t="shared" si="185"/>
        <v>112758</v>
      </c>
      <c r="P141" s="83">
        <f t="shared" si="185"/>
        <v>149649</v>
      </c>
      <c r="Q141" s="83">
        <f t="shared" si="185"/>
        <v>190264</v>
      </c>
      <c r="R141" s="83">
        <f t="shared" si="185"/>
        <v>190264</v>
      </c>
      <c r="S141" s="83">
        <f t="shared" si="185"/>
        <v>81343</v>
      </c>
      <c r="T141" s="83">
        <f t="shared" si="185"/>
        <v>81343</v>
      </c>
      <c r="U141" s="30"/>
      <c r="V141" s="120">
        <f t="shared" ref="V141:AF141" si="186">SUM(V139:V140)</f>
        <v>21290</v>
      </c>
      <c r="W141" s="120">
        <f t="shared" si="186"/>
        <v>20457</v>
      </c>
      <c r="X141" s="120">
        <f t="shared" si="186"/>
        <v>22253</v>
      </c>
      <c r="Y141" s="120">
        <f t="shared" si="186"/>
        <v>95292</v>
      </c>
      <c r="Z141" s="120">
        <f t="shared" si="186"/>
        <v>151636</v>
      </c>
      <c r="AA141" s="120">
        <f t="shared" si="186"/>
        <v>193224</v>
      </c>
      <c r="AB141" s="120">
        <f t="shared" ref="AB141" si="187">SUM(AB139:AB140)</f>
        <v>232778</v>
      </c>
      <c r="AC141" s="120">
        <f t="shared" ref="AC141" si="188">SUM(AC139:AC140)</f>
        <v>112758</v>
      </c>
      <c r="AD141" s="120">
        <f t="shared" ref="AD141" si="189">SUM(AD139:AD140)</f>
        <v>149649</v>
      </c>
      <c r="AE141" s="120">
        <f t="shared" ref="AE141" si="190">SUM(AE139:AE140)</f>
        <v>190264</v>
      </c>
      <c r="AF141" s="125">
        <f t="shared" si="186"/>
        <v>190264</v>
      </c>
      <c r="AG141" s="11"/>
      <c r="AH141" s="44"/>
    </row>
    <row r="142" spans="2:34">
      <c r="B142" s="132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124"/>
      <c r="AG142" s="11"/>
      <c r="AH142" s="44"/>
    </row>
    <row r="143" spans="2:34">
      <c r="B143" s="130" t="s">
        <v>108</v>
      </c>
      <c r="C143" s="79">
        <v>51</v>
      </c>
      <c r="D143" s="79">
        <v>12</v>
      </c>
      <c r="E143" s="79">
        <v>-3</v>
      </c>
      <c r="F143" s="30"/>
      <c r="G143" s="79">
        <v>29</v>
      </c>
      <c r="H143" s="79">
        <v>166</v>
      </c>
      <c r="I143" s="79">
        <v>21</v>
      </c>
      <c r="J143" s="30">
        <f>SUM(D143-SUM(G143:I143))</f>
        <v>-204</v>
      </c>
      <c r="K143" s="79">
        <v>-2</v>
      </c>
      <c r="L143" s="79">
        <v>11</v>
      </c>
      <c r="M143" s="79">
        <v>-12</v>
      </c>
      <c r="N143" s="30">
        <f>SUM(E143-SUM(K143:M143))</f>
        <v>0</v>
      </c>
      <c r="O143" s="79">
        <v>-3</v>
      </c>
      <c r="P143" s="79">
        <v>-3</v>
      </c>
      <c r="Q143" s="79"/>
      <c r="R143" s="30">
        <f>E143</f>
        <v>-3</v>
      </c>
      <c r="S143" s="79"/>
      <c r="T143" s="79"/>
      <c r="U143" s="30"/>
      <c r="V143" s="30">
        <f t="shared" ref="V143:AE144" si="191">SUM(H143:K143)</f>
        <v>-19</v>
      </c>
      <c r="W143" s="30">
        <f t="shared" si="191"/>
        <v>-174</v>
      </c>
      <c r="X143" s="30">
        <f t="shared" si="191"/>
        <v>-207</v>
      </c>
      <c r="Y143" s="30">
        <f t="shared" si="191"/>
        <v>-3</v>
      </c>
      <c r="Z143" s="30">
        <f t="shared" si="191"/>
        <v>-4</v>
      </c>
      <c r="AA143" s="30">
        <f t="shared" si="191"/>
        <v>-18</v>
      </c>
      <c r="AB143" s="30">
        <f t="shared" si="191"/>
        <v>-6</v>
      </c>
      <c r="AC143" s="30">
        <f t="shared" si="191"/>
        <v>-9</v>
      </c>
      <c r="AD143" s="30">
        <f t="shared" si="191"/>
        <v>-6</v>
      </c>
      <c r="AE143" s="30">
        <f t="shared" si="191"/>
        <v>-3</v>
      </c>
      <c r="AF143" s="124">
        <f>SUM(R143:T143)</f>
        <v>-3</v>
      </c>
      <c r="AG143" s="11"/>
      <c r="AH143" s="44"/>
    </row>
    <row r="144" spans="2:34">
      <c r="B144" s="132" t="s">
        <v>77</v>
      </c>
      <c r="C144" s="30">
        <f>+C136+C128+C123</f>
        <v>-17695</v>
      </c>
      <c r="D144" s="30">
        <f>+D136+D128+D123</f>
        <v>20670</v>
      </c>
      <c r="E144" s="30">
        <f>+E136+E128+E123</f>
        <v>-5449</v>
      </c>
      <c r="F144" s="30"/>
      <c r="G144" s="30">
        <f>+G136+G128+G123</f>
        <v>21261</v>
      </c>
      <c r="H144" s="30">
        <f>+H136+H128+H123</f>
        <v>-999</v>
      </c>
      <c r="I144" s="30">
        <f>+I136+I128+I123</f>
        <v>1775</v>
      </c>
      <c r="J144" s="30">
        <f>+J136+J128+J123</f>
        <v>73243</v>
      </c>
      <c r="K144" s="30">
        <f>+K136+K128+K123</f>
        <v>56346</v>
      </c>
      <c r="L144" s="30">
        <f>+L136+L128+L123</f>
        <v>41577</v>
      </c>
      <c r="M144" s="30">
        <f>+M136+M128+M123</f>
        <v>39566</v>
      </c>
      <c r="N144" s="30">
        <f>+N136+N128+N123</f>
        <v>-120020</v>
      </c>
      <c r="O144" s="30">
        <f>+O136+O128+O123</f>
        <v>36894</v>
      </c>
      <c r="P144" s="30">
        <f>+P136+P128+P123</f>
        <v>40618</v>
      </c>
      <c r="Q144" s="30">
        <f>+Q136+Q128+Q123</f>
        <v>0</v>
      </c>
      <c r="R144" s="30">
        <f>+R136+R128+R123</f>
        <v>-108918</v>
      </c>
      <c r="S144" s="30">
        <f>+S136+S128+S123</f>
        <v>0</v>
      </c>
      <c r="T144" s="30">
        <f>+T136+T128+T123</f>
        <v>0</v>
      </c>
      <c r="U144" s="30"/>
      <c r="V144" s="30">
        <f t="shared" si="191"/>
        <v>130365</v>
      </c>
      <c r="W144" s="30">
        <f t="shared" si="191"/>
        <v>172941</v>
      </c>
      <c r="X144" s="30">
        <f t="shared" si="191"/>
        <v>210732</v>
      </c>
      <c r="Y144" s="30">
        <f t="shared" si="191"/>
        <v>17469</v>
      </c>
      <c r="Z144" s="30">
        <f t="shared" si="191"/>
        <v>-1983</v>
      </c>
      <c r="AA144" s="30">
        <f t="shared" si="191"/>
        <v>-2942</v>
      </c>
      <c r="AB144" s="30">
        <f t="shared" si="191"/>
        <v>-42508</v>
      </c>
      <c r="AC144" s="30">
        <f t="shared" si="191"/>
        <v>-31406</v>
      </c>
      <c r="AD144" s="30">
        <f t="shared" si="191"/>
        <v>-68300</v>
      </c>
      <c r="AE144" s="30">
        <f t="shared" si="191"/>
        <v>-108918</v>
      </c>
      <c r="AF144" s="124">
        <f>SUM(R144:T144)</f>
        <v>-108918</v>
      </c>
      <c r="AG144" s="11"/>
      <c r="AH144" s="44"/>
    </row>
    <row r="145" spans="2:34">
      <c r="B145" s="131" t="s">
        <v>92</v>
      </c>
      <c r="C145" s="83">
        <f t="shared" ref="C145:E145" si="192">SUM(C141:C144)</f>
        <v>-17644</v>
      </c>
      <c r="D145" s="83">
        <f t="shared" si="192"/>
        <v>3038</v>
      </c>
      <c r="E145" s="83">
        <f t="shared" si="192"/>
        <v>-2414</v>
      </c>
      <c r="F145" s="30"/>
      <c r="G145" s="82">
        <f t="shared" ref="G145:T145" si="193">SUM(G141:G144)</f>
        <v>21290</v>
      </c>
      <c r="H145" s="82">
        <f t="shared" si="193"/>
        <v>20457</v>
      </c>
      <c r="I145" s="82">
        <f t="shared" si="193"/>
        <v>22253</v>
      </c>
      <c r="J145" s="82">
        <f t="shared" si="193"/>
        <v>95292</v>
      </c>
      <c r="K145" s="82">
        <f t="shared" si="193"/>
        <v>151636</v>
      </c>
      <c r="L145" s="82">
        <f t="shared" si="193"/>
        <v>193224</v>
      </c>
      <c r="M145" s="82">
        <f t="shared" si="193"/>
        <v>232778</v>
      </c>
      <c r="N145" s="82">
        <f t="shared" si="193"/>
        <v>112758</v>
      </c>
      <c r="O145" s="82">
        <f t="shared" si="193"/>
        <v>149649</v>
      </c>
      <c r="P145" s="82">
        <f t="shared" si="193"/>
        <v>190264</v>
      </c>
      <c r="Q145" s="82">
        <f t="shared" si="193"/>
        <v>190264</v>
      </c>
      <c r="R145" s="82">
        <f t="shared" si="193"/>
        <v>81343</v>
      </c>
      <c r="S145" s="82">
        <f t="shared" si="193"/>
        <v>81343</v>
      </c>
      <c r="T145" s="82">
        <f t="shared" si="193"/>
        <v>81343</v>
      </c>
      <c r="U145" s="30"/>
      <c r="V145" s="82">
        <f t="shared" ref="V145:AF145" si="194">SUM(V141:V144)</f>
        <v>151636</v>
      </c>
      <c r="W145" s="82">
        <f t="shared" si="194"/>
        <v>193224</v>
      </c>
      <c r="X145" s="82">
        <f t="shared" si="194"/>
        <v>232778</v>
      </c>
      <c r="Y145" s="82">
        <f t="shared" si="194"/>
        <v>112758</v>
      </c>
      <c r="Z145" s="82">
        <f t="shared" si="194"/>
        <v>149649</v>
      </c>
      <c r="AA145" s="82">
        <f t="shared" si="194"/>
        <v>190264</v>
      </c>
      <c r="AB145" s="82">
        <f t="shared" si="194"/>
        <v>190264</v>
      </c>
      <c r="AC145" s="82">
        <f t="shared" si="194"/>
        <v>81343</v>
      </c>
      <c r="AD145" s="82">
        <f t="shared" si="194"/>
        <v>81343</v>
      </c>
      <c r="AE145" s="82">
        <f t="shared" si="194"/>
        <v>81343</v>
      </c>
      <c r="AF145" s="126">
        <f t="shared" si="194"/>
        <v>81343</v>
      </c>
      <c r="AG145" s="11"/>
      <c r="AH145" s="44"/>
    </row>
    <row r="146" spans="2:34" ht="5.0999999999999996" customHeight="1">
      <c r="B146" s="133"/>
      <c r="C146" s="62"/>
      <c r="D146" s="62"/>
      <c r="E146" s="62"/>
      <c r="F146" s="30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22"/>
      <c r="AG146" s="11"/>
      <c r="AH146" s="44"/>
    </row>
    <row r="147" spans="2:34">
      <c r="B147" s="134" t="s">
        <v>76</v>
      </c>
      <c r="C147" s="127">
        <f>C145-C46</f>
        <v>-22854</v>
      </c>
      <c r="D147" s="127">
        <f>D145-D46</f>
        <v>-22925</v>
      </c>
      <c r="E147" s="127">
        <f>E145-E46</f>
        <v>-28106</v>
      </c>
      <c r="F147" s="128"/>
      <c r="G147" s="127">
        <f>G145-G46</f>
        <v>-5238</v>
      </c>
      <c r="H147" s="127">
        <f>H145-H46</f>
        <v>-5241</v>
      </c>
      <c r="I147" s="127">
        <f>I145-I46</f>
        <v>-3775</v>
      </c>
      <c r="J147" s="127">
        <f>J145-J46</f>
        <v>90082</v>
      </c>
      <c r="K147" s="127">
        <f>K145-K46</f>
        <v>126171</v>
      </c>
      <c r="L147" s="127">
        <f>L145-L46</f>
        <v>167650</v>
      </c>
      <c r="M147" s="127">
        <f>M145-M46</f>
        <v>208401</v>
      </c>
      <c r="N147" s="127">
        <f>N145-N46</f>
        <v>86795</v>
      </c>
      <c r="O147" s="127">
        <f>O145-O46</f>
        <v>132362</v>
      </c>
      <c r="P147" s="127">
        <f>P145-P46</f>
        <v>173545</v>
      </c>
      <c r="Q147" s="127">
        <f>Q145-Q46</f>
        <v>190264</v>
      </c>
      <c r="R147" s="127">
        <f>R145-R46</f>
        <v>55651</v>
      </c>
      <c r="S147" s="127">
        <f>S145-S46</f>
        <v>81343</v>
      </c>
      <c r="T147" s="127">
        <f>T145-T46</f>
        <v>81343</v>
      </c>
      <c r="U147" s="127"/>
      <c r="V147" s="127">
        <f>V145-V46</f>
        <v>146426</v>
      </c>
      <c r="W147" s="127">
        <f>W145-W46</f>
        <v>167759</v>
      </c>
      <c r="X147" s="127">
        <f>X145-X46</f>
        <v>207204</v>
      </c>
      <c r="Y147" s="127">
        <f>Y145-Y46</f>
        <v>88381</v>
      </c>
      <c r="Z147" s="127">
        <f>Z145-Z46</f>
        <v>123686</v>
      </c>
      <c r="AA147" s="127">
        <f>AA145-AA46</f>
        <v>172977</v>
      </c>
      <c r="AB147" s="127">
        <f>AB145-AB46</f>
        <v>173545</v>
      </c>
      <c r="AC147" s="127">
        <f>AC145-AC46</f>
        <v>81343</v>
      </c>
      <c r="AD147" s="127">
        <f>AD145-AD46</f>
        <v>55651</v>
      </c>
      <c r="AE147" s="127">
        <f>AE145-AE46</f>
        <v>81343</v>
      </c>
      <c r="AF147" s="127">
        <f>AF145-AF46</f>
        <v>81343</v>
      </c>
      <c r="AG147" s="11"/>
      <c r="AH147" s="44"/>
    </row>
    <row r="148" spans="2:34" ht="5.0999999999999996" customHeight="1">
      <c r="B148" s="8"/>
      <c r="C148" s="62"/>
      <c r="D148" s="62"/>
      <c r="E148" s="62"/>
      <c r="F148" s="30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44"/>
    </row>
    <row r="149" spans="2:34">
      <c r="B149" s="8"/>
      <c r="C149" s="62"/>
      <c r="D149" s="62"/>
      <c r="E149" s="62"/>
      <c r="F149" s="30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44"/>
    </row>
    <row r="150" spans="2:34">
      <c r="B150" s="138" t="s">
        <v>140</v>
      </c>
      <c r="C150" s="62"/>
      <c r="D150" s="62"/>
      <c r="E150" s="62"/>
      <c r="F150" s="30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44"/>
    </row>
    <row r="151" spans="2:34">
      <c r="B151" s="80" t="s">
        <v>90</v>
      </c>
      <c r="C151" s="62">
        <v>9140</v>
      </c>
      <c r="D151" s="62">
        <v>8701</v>
      </c>
      <c r="E151" s="62">
        <v>12314</v>
      </c>
      <c r="F151" s="30"/>
      <c r="G151" s="79">
        <v>1863</v>
      </c>
      <c r="H151" s="30">
        <f>4114-G151</f>
        <v>2251</v>
      </c>
      <c r="I151" s="30">
        <f>6270-H151-G151</f>
        <v>2156</v>
      </c>
      <c r="J151" s="30">
        <f t="shared" ref="J151:J152" si="195">SUM(D151-SUM(G151:I151))</f>
        <v>2431</v>
      </c>
      <c r="K151" s="79">
        <v>1863</v>
      </c>
      <c r="L151" s="30">
        <f>6079-K151</f>
        <v>4216</v>
      </c>
      <c r="M151" s="30">
        <f>9154-L151-K151</f>
        <v>3075</v>
      </c>
      <c r="N151" s="30">
        <f>SUM(E151-SUM(K151:M151))</f>
        <v>3160</v>
      </c>
      <c r="O151" s="79">
        <v>2134</v>
      </c>
      <c r="P151" s="30">
        <f>5539-O151</f>
        <v>3405</v>
      </c>
      <c r="Q151" s="30"/>
      <c r="R151" s="30">
        <f t="shared" ref="R151" si="196">SUM(E151-SUM(O151:Q151))</f>
        <v>6775</v>
      </c>
      <c r="S151" s="79"/>
      <c r="T151" s="30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44"/>
    </row>
    <row r="152" spans="2:34">
      <c r="B152" s="80" t="s">
        <v>182</v>
      </c>
      <c r="C152" s="62">
        <v>944</v>
      </c>
      <c r="D152" s="62">
        <v>1418</v>
      </c>
      <c r="E152" s="62">
        <v>1776</v>
      </c>
      <c r="F152" s="30"/>
      <c r="G152" s="79">
        <v>115</v>
      </c>
      <c r="H152" s="30">
        <f>465-G152</f>
        <v>350</v>
      </c>
      <c r="I152" s="30">
        <f>837-H152-G152</f>
        <v>372</v>
      </c>
      <c r="J152" s="30">
        <f t="shared" si="195"/>
        <v>581</v>
      </c>
      <c r="K152" s="79">
        <v>307</v>
      </c>
      <c r="L152" s="30">
        <f>831-K152</f>
        <v>524</v>
      </c>
      <c r="M152" s="30">
        <f>1136-L152-K152</f>
        <v>305</v>
      </c>
      <c r="N152" s="30">
        <f>SUM(E152-SUM(K152:M152))</f>
        <v>640</v>
      </c>
      <c r="O152" s="79">
        <v>495</v>
      </c>
      <c r="P152" s="30">
        <f>1304-O152</f>
        <v>809</v>
      </c>
      <c r="Q152" s="30"/>
      <c r="R152" s="30">
        <f t="shared" ref="R152" si="197">SUM(E152-SUM(O152:Q152))</f>
        <v>472</v>
      </c>
      <c r="S152" s="79"/>
      <c r="T152" s="30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44"/>
    </row>
    <row r="153" spans="2:34" ht="5.0999999999999996" customHeight="1" thickBot="1">
      <c r="B153" s="68"/>
      <c r="C153" s="69"/>
      <c r="D153" s="69"/>
      <c r="E153" s="69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H153" s="44"/>
    </row>
    <row r="154" spans="2:34" ht="12.75" customHeight="1">
      <c r="B154" s="140" t="s">
        <v>184</v>
      </c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H154" s="44"/>
    </row>
    <row r="155" spans="2:34" ht="12.75" customHeight="1">
      <c r="B155" s="139" t="s">
        <v>185</v>
      </c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</row>
    <row r="156" spans="2:34" ht="12.75" customHeight="1">
      <c r="C156" s="54"/>
      <c r="D156" s="54"/>
      <c r="E156" s="54"/>
    </row>
    <row r="157" spans="2:34" ht="12.75" customHeight="1">
      <c r="C157" s="54"/>
      <c r="D157" s="54"/>
      <c r="E157" s="54"/>
    </row>
    <row r="158" spans="2:34" ht="12.75" customHeight="1">
      <c r="C158" s="54"/>
      <c r="D158" s="54"/>
      <c r="E158" s="54"/>
    </row>
    <row r="159" spans="2:34" ht="12.75" customHeight="1">
      <c r="C159" s="54"/>
      <c r="D159" s="54"/>
      <c r="E159" s="54"/>
    </row>
    <row r="160" spans="2:34" ht="12.75" customHeight="1">
      <c r="C160" s="54"/>
      <c r="D160" s="54"/>
      <c r="E160" s="5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</row>
    <row r="161" spans="3:20" ht="12.75" customHeight="1">
      <c r="C161" s="54"/>
      <c r="D161" s="54"/>
      <c r="E161" s="54"/>
    </row>
    <row r="162" spans="3:20" ht="12.75" customHeight="1">
      <c r="C162" s="54"/>
      <c r="D162" s="54"/>
      <c r="E162" s="5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</row>
    <row r="163" spans="3:20"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</row>
    <row r="164" spans="3:20"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</row>
    <row r="166" spans="3:20"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</row>
    <row r="167" spans="3:20"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</row>
  </sheetData>
  <mergeCells count="6">
    <mergeCell ref="B155:AF155"/>
    <mergeCell ref="B154:AF154"/>
    <mergeCell ref="AH6:AH8"/>
    <mergeCell ref="AH41:AH43"/>
    <mergeCell ref="AH93:AH95"/>
    <mergeCell ref="B91:AH91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F14:AF16 AF33 F53" formulaRange="1"/>
    <ignoredError sqref="AH128:AH130 AH123:AH125" evalError="1"/>
    <ignoredError sqref="O99:T100 S98:T98 O98:Q98 N98 R9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6" sqref="B6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141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10</v>
      </c>
      <c r="X2" s="2"/>
      <c r="Y2" s="2"/>
      <c r="Z2" s="2"/>
      <c r="AA2" s="2" t="s">
        <v>10</v>
      </c>
      <c r="AB2" s="2"/>
      <c r="AC2" s="2" t="s">
        <v>10</v>
      </c>
      <c r="AD2" s="2"/>
      <c r="AE2" s="2"/>
      <c r="AF2" s="2"/>
    </row>
    <row r="3" spans="1:32" s="5" customFormat="1" ht="12.75" customHeight="1">
      <c r="B3" s="6" t="s">
        <v>84</v>
      </c>
      <c r="C3" s="7" t="e">
        <f>'Historical Financials'!#REF!</f>
        <v>#REF!</v>
      </c>
      <c r="D3" s="7">
        <f>'Historical Financials'!C7</f>
        <v>2022</v>
      </c>
      <c r="E3" s="7">
        <f>'Historical Financials'!D7</f>
        <v>2023</v>
      </c>
      <c r="F3" s="7">
        <f>'Historical Financials'!E7</f>
        <v>2024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>
        <f>'Historical Financials'!Q7</f>
        <v>0</v>
      </c>
      <c r="S3" s="7">
        <f>'Historical Financials'!R7</f>
        <v>0</v>
      </c>
      <c r="T3" s="7">
        <f>'Historical Financials'!S7</f>
        <v>0</v>
      </c>
      <c r="U3" s="7">
        <f>'Historical Financials'!T7</f>
        <v>0</v>
      </c>
      <c r="V3" s="4"/>
      <c r="W3" s="4" t="str">
        <f t="shared" ref="W3:AB4" si="0">L3</f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>
        <f t="shared" ref="AC3:AE4" si="1">S3</f>
        <v>0</v>
      </c>
      <c r="AD3" s="4">
        <f t="shared" si="1"/>
        <v>0</v>
      </c>
      <c r="AE3" s="4">
        <f t="shared" si="1"/>
        <v>0</v>
      </c>
      <c r="AF3" s="4" t="e">
        <f>#REF!</f>
        <v>#REF!</v>
      </c>
    </row>
    <row r="4" spans="1:32" s="5" customFormat="1" ht="12.75" customHeight="1">
      <c r="B4" s="6" t="s">
        <v>135</v>
      </c>
      <c r="C4" s="3" t="e">
        <f>'Historical Financials'!#REF!</f>
        <v>#REF!</v>
      </c>
      <c r="D4" s="3">
        <f>'Historical Financials'!C8</f>
        <v>44651</v>
      </c>
      <c r="E4" s="3">
        <f>'Historical Financials'!D8</f>
        <v>45016</v>
      </c>
      <c r="F4" s="3">
        <f>'Historical Financials'!E8</f>
        <v>45382</v>
      </c>
      <c r="G4" s="3"/>
      <c r="H4" s="3">
        <f>'Historical Financials'!G8</f>
        <v>44742</v>
      </c>
      <c r="I4" s="3">
        <f>'Historical Financials'!H8</f>
        <v>44834</v>
      </c>
      <c r="J4" s="3">
        <f>'Historical Financials'!I8</f>
        <v>44926</v>
      </c>
      <c r="K4" s="3">
        <f>'Historical Financials'!J8</f>
        <v>45016</v>
      </c>
      <c r="L4" s="3">
        <f>'Historical Financials'!K8</f>
        <v>45107</v>
      </c>
      <c r="M4" s="3">
        <f>'Historical Financials'!L8</f>
        <v>45199</v>
      </c>
      <c r="N4" s="3">
        <f>'Historical Financials'!M8</f>
        <v>45291</v>
      </c>
      <c r="O4" s="3">
        <f>'Historical Financials'!N8</f>
        <v>45382</v>
      </c>
      <c r="P4" s="3">
        <f>'Historical Financials'!O8</f>
        <v>45473</v>
      </c>
      <c r="Q4" s="3">
        <f>'Historical Financials'!P8</f>
        <v>45565</v>
      </c>
      <c r="R4" s="3">
        <f>'Historical Financials'!Q8</f>
        <v>0</v>
      </c>
      <c r="S4" s="3">
        <f>'Historical Financials'!R8</f>
        <v>0</v>
      </c>
      <c r="T4" s="3">
        <f>'Historical Financials'!S8</f>
        <v>0</v>
      </c>
      <c r="U4" s="3">
        <f>'Historical Financials'!T8</f>
        <v>0</v>
      </c>
      <c r="V4" s="3"/>
      <c r="W4" s="3">
        <f t="shared" si="0"/>
        <v>45107</v>
      </c>
      <c r="X4" s="3">
        <f t="shared" si="0"/>
        <v>45199</v>
      </c>
      <c r="Y4" s="3">
        <f t="shared" si="0"/>
        <v>45291</v>
      </c>
      <c r="Z4" s="3">
        <f t="shared" si="0"/>
        <v>45382</v>
      </c>
      <c r="AA4" s="3">
        <f t="shared" si="0"/>
        <v>45473</v>
      </c>
      <c r="AB4" s="3">
        <f t="shared" si="0"/>
        <v>45565</v>
      </c>
      <c r="AC4" s="3">
        <f t="shared" si="1"/>
        <v>0</v>
      </c>
      <c r="AD4" s="3">
        <f t="shared" si="1"/>
        <v>0</v>
      </c>
      <c r="AE4" s="3">
        <f t="shared" si="1"/>
        <v>0</v>
      </c>
      <c r="AF4" s="3" t="e">
        <f>#REF!</f>
        <v>#REF!</v>
      </c>
    </row>
    <row r="5" spans="1:32" ht="5.0999999999999996" customHeight="1"/>
    <row r="6" spans="1:32" ht="12.75" customHeight="1">
      <c r="A6" s="77" t="s">
        <v>20</v>
      </c>
      <c r="B6" s="74" t="s">
        <v>110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85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5" t="s">
        <v>76</v>
      </c>
      <c r="C10" s="119"/>
      <c r="D10" s="76">
        <f>+D9-'Historical Financials'!C11</f>
        <v>-383432</v>
      </c>
      <c r="E10" s="76">
        <f>+E9-'Historical Financials'!D11</f>
        <v>-422077</v>
      </c>
      <c r="F10" s="76">
        <f>+F9-'Historical Financials'!E11</f>
        <v>-311600</v>
      </c>
      <c r="G10" s="11"/>
      <c r="H10" s="119"/>
      <c r="I10" s="119"/>
      <c r="J10" s="119"/>
      <c r="K10" s="119"/>
      <c r="L10" s="119"/>
      <c r="M10" s="119"/>
      <c r="N10" s="119"/>
      <c r="O10" s="119"/>
      <c r="P10" s="76">
        <f>+P9-'Historical Financials'!O11</f>
        <v>-71343</v>
      </c>
      <c r="Q10" s="76">
        <f>+Q9-'Historical Financials'!P11</f>
        <v>-70469</v>
      </c>
      <c r="R10" s="76">
        <f>+R9-'Historical Financials'!Q11</f>
        <v>0</v>
      </c>
      <c r="S10" s="76">
        <f>+S9-'Historical Financials'!R11</f>
        <v>-169788</v>
      </c>
      <c r="T10" s="76">
        <f>+T9-'Historical Financials'!S11</f>
        <v>0</v>
      </c>
      <c r="U10" s="76">
        <f>+U9-'Historical Financials'!T11</f>
        <v>0</v>
      </c>
      <c r="V10" s="76"/>
      <c r="W10" s="76">
        <f>W9-'Historical Financials'!V11</f>
        <v>-383432</v>
      </c>
      <c r="X10" s="76">
        <f>X9-'Historical Financials'!W11</f>
        <v>-378145</v>
      </c>
      <c r="Y10" s="76">
        <f>Y9-'Historical Financials'!X11</f>
        <v>-354688</v>
      </c>
      <c r="Z10" s="76">
        <f>Z9-'Historical Financials'!Y11</f>
        <v>-315418</v>
      </c>
      <c r="AA10" s="76">
        <f>AA9-'Historical Financials'!Z11</f>
        <v>-422077</v>
      </c>
      <c r="AB10" s="76">
        <f>AB9-'Historical Financials'!AA11</f>
        <v>-401633</v>
      </c>
      <c r="AC10" s="76">
        <f>AC9-'Historical Financials'!AC11</f>
        <v>-324496</v>
      </c>
      <c r="AD10" s="76">
        <f>AD9-'Historical Financials'!AD11</f>
        <v>-311600</v>
      </c>
      <c r="AE10" s="76">
        <f>AE9-'Historical Financials'!AE11</f>
        <v>-240257</v>
      </c>
      <c r="AF10" s="76">
        <f>AF9-'Historical Financials'!AF11</f>
        <v>-169788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20</v>
      </c>
      <c r="B12" s="74" t="s">
        <v>142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109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5" t="s">
        <v>76</v>
      </c>
      <c r="C16" s="76"/>
      <c r="D16" s="76">
        <f t="shared" ref="D16:F16" si="12">+D15-D9</f>
        <v>0</v>
      </c>
      <c r="E16" s="76">
        <f t="shared" si="12"/>
        <v>0</v>
      </c>
      <c r="F16" s="76">
        <f t="shared" si="12"/>
        <v>0</v>
      </c>
      <c r="G16" s="11"/>
      <c r="H16" s="119"/>
      <c r="I16" s="119"/>
      <c r="J16" s="119"/>
      <c r="K16" s="119"/>
      <c r="L16" s="119"/>
      <c r="M16" s="119"/>
      <c r="N16" s="119"/>
      <c r="O16" s="119"/>
      <c r="P16" s="76">
        <f t="shared" ref="P16" si="13">+P15-P9</f>
        <v>0</v>
      </c>
      <c r="Q16" s="76">
        <f t="shared" ref="Q16" si="14">+Q15-Q9</f>
        <v>0</v>
      </c>
      <c r="R16" s="76">
        <f t="shared" ref="R16" si="15">+R15-R9</f>
        <v>0</v>
      </c>
      <c r="S16" s="76">
        <f t="shared" ref="S16" si="16">+S15-S9</f>
        <v>0</v>
      </c>
      <c r="T16" s="76">
        <f t="shared" ref="T16" si="17">+T15-T9</f>
        <v>0</v>
      </c>
      <c r="U16" s="76">
        <f t="shared" ref="U16" si="18">+U15-U9</f>
        <v>0</v>
      </c>
      <c r="V16" s="76"/>
      <c r="W16" s="76">
        <f>W15-'Historical Financials'!V17</f>
        <v>62834</v>
      </c>
      <c r="X16" s="76">
        <f>X15-'Historical Financials'!W17</f>
        <v>62958</v>
      </c>
      <c r="Y16" s="76">
        <f>Y15-'Historical Financials'!X17</f>
        <v>60863</v>
      </c>
      <c r="Z16" s="76">
        <f>Z15-'Historical Financials'!Y17</f>
        <v>66034</v>
      </c>
      <c r="AA16" s="76">
        <f>AA15-'Historical Financials'!Z17</f>
        <v>63490</v>
      </c>
      <c r="AB16" s="76">
        <f>AB15-'Historical Financials'!AA17</f>
        <v>61351</v>
      </c>
      <c r="AC16" s="76">
        <f t="shared" ref="AC16" si="19">+AC15-AC9</f>
        <v>0</v>
      </c>
      <c r="AD16" s="76">
        <f t="shared" ref="AD16" si="20">+AD15-AD9</f>
        <v>0</v>
      </c>
      <c r="AE16" s="76">
        <f t="shared" ref="AE16" si="21">+AE15-AE9</f>
        <v>0</v>
      </c>
      <c r="AF16" s="76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1" sqref="B1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141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46" t="s">
        <v>27</v>
      </c>
    </row>
    <row r="3" spans="2:37" s="5" customFormat="1" ht="12.75" customHeight="1">
      <c r="B3" s="6" t="s">
        <v>28</v>
      </c>
      <c r="C3" s="7" t="e">
        <f>'Historical Financials'!#REF!</f>
        <v>#REF!</v>
      </c>
      <c r="D3" s="7">
        <f>'Historical Financials'!C7</f>
        <v>2022</v>
      </c>
      <c r="E3" s="7">
        <f>'Historical Financials'!D7</f>
        <v>2023</v>
      </c>
      <c r="F3" s="7">
        <f>'Historical Financials'!E7</f>
        <v>2024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>
        <f>'Historical Financials'!Q7</f>
        <v>0</v>
      </c>
      <c r="S3" s="7">
        <f>'Historical Financials'!R7</f>
        <v>0</v>
      </c>
      <c r="T3" s="7">
        <f>'Historical Financials'!S7</f>
        <v>0</v>
      </c>
      <c r="U3" s="7">
        <f>'Historical Financials'!T7</f>
        <v>0</v>
      </c>
      <c r="V3" s="7" t="e">
        <f>'Historical Financials'!#REF!</f>
        <v>#REF!</v>
      </c>
      <c r="W3" s="3"/>
      <c r="X3" s="4" t="str">
        <f t="shared" ref="X3:AH4" si="0">K3</f>
        <v>4Q23</v>
      </c>
      <c r="Y3" s="4" t="str">
        <f t="shared" si="0"/>
        <v>1Q24</v>
      </c>
      <c r="Z3" s="4" t="str">
        <f t="shared" si="0"/>
        <v>2Q24</v>
      </c>
      <c r="AA3" s="4" t="str">
        <f t="shared" si="0"/>
        <v>3Q24</v>
      </c>
      <c r="AB3" s="4" t="str">
        <f t="shared" si="0"/>
        <v>4Q24</v>
      </c>
      <c r="AC3" s="4" t="str">
        <f t="shared" si="0"/>
        <v>1Q25</v>
      </c>
      <c r="AD3" s="4" t="str">
        <f t="shared" si="0"/>
        <v>2Q25</v>
      </c>
      <c r="AE3" s="4">
        <f t="shared" si="0"/>
        <v>0</v>
      </c>
      <c r="AF3" s="4">
        <f t="shared" si="0"/>
        <v>0</v>
      </c>
      <c r="AG3" s="4">
        <f t="shared" si="0"/>
        <v>0</v>
      </c>
      <c r="AH3" s="4">
        <f t="shared" si="0"/>
        <v>0</v>
      </c>
      <c r="AI3" s="4" t="e">
        <f>V3</f>
        <v>#REF!</v>
      </c>
      <c r="AJ3" s="3"/>
      <c r="AK3" s="146"/>
    </row>
    <row r="4" spans="2:37" s="5" customFormat="1" ht="12.75" customHeight="1">
      <c r="B4" s="6" t="s">
        <v>135</v>
      </c>
      <c r="C4" s="3" t="e">
        <f>'Historical Financials'!#REF!</f>
        <v>#REF!</v>
      </c>
      <c r="D4" s="3">
        <f>'Historical Financials'!C8</f>
        <v>44651</v>
      </c>
      <c r="E4" s="3">
        <f>'Historical Financials'!D8</f>
        <v>45016</v>
      </c>
      <c r="F4" s="3">
        <f>'Historical Financials'!E8</f>
        <v>45382</v>
      </c>
      <c r="G4" s="3"/>
      <c r="H4" s="3">
        <f>'Historical Financials'!G8</f>
        <v>44742</v>
      </c>
      <c r="I4" s="3">
        <f>'Historical Financials'!H8</f>
        <v>44834</v>
      </c>
      <c r="J4" s="3">
        <f>'Historical Financials'!I8</f>
        <v>44926</v>
      </c>
      <c r="K4" s="3">
        <f>'Historical Financials'!J8</f>
        <v>45016</v>
      </c>
      <c r="L4" s="3">
        <f>'Historical Financials'!K8</f>
        <v>45107</v>
      </c>
      <c r="M4" s="3">
        <f>'Historical Financials'!L8</f>
        <v>45199</v>
      </c>
      <c r="N4" s="3">
        <f>'Historical Financials'!M8</f>
        <v>45291</v>
      </c>
      <c r="O4" s="3">
        <f>'Historical Financials'!N8</f>
        <v>45382</v>
      </c>
      <c r="P4" s="3">
        <f>'Historical Financials'!O8</f>
        <v>45473</v>
      </c>
      <c r="Q4" s="3">
        <f>'Historical Financials'!P8</f>
        <v>45565</v>
      </c>
      <c r="R4" s="3">
        <f>'Historical Financials'!Q8</f>
        <v>0</v>
      </c>
      <c r="S4" s="3">
        <f>'Historical Financials'!R8</f>
        <v>0</v>
      </c>
      <c r="T4" s="3">
        <f>'Historical Financials'!S8</f>
        <v>0</v>
      </c>
      <c r="U4" s="3">
        <f>'Historical Financials'!T8</f>
        <v>0</v>
      </c>
      <c r="V4" s="3" t="e">
        <f>'Historical Financials'!#REF!</f>
        <v>#REF!</v>
      </c>
      <c r="W4" s="3"/>
      <c r="X4" s="3">
        <f t="shared" si="0"/>
        <v>45016</v>
      </c>
      <c r="Y4" s="3">
        <f t="shared" si="0"/>
        <v>45107</v>
      </c>
      <c r="Z4" s="3">
        <f t="shared" si="0"/>
        <v>45199</v>
      </c>
      <c r="AA4" s="3">
        <f t="shared" si="0"/>
        <v>45291</v>
      </c>
      <c r="AB4" s="3">
        <f t="shared" si="0"/>
        <v>45382</v>
      </c>
      <c r="AC4" s="3">
        <f t="shared" si="0"/>
        <v>45473</v>
      </c>
      <c r="AD4" s="3">
        <f t="shared" si="0"/>
        <v>45565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 t="e">
        <f>V4</f>
        <v>#REF!</v>
      </c>
      <c r="AJ4" s="3"/>
      <c r="AK4" s="146"/>
    </row>
    <row r="5" spans="2:37" ht="5.0999999999999996" customHeight="1">
      <c r="AK5" s="114"/>
    </row>
    <row r="6" spans="2:37" ht="12.75" customHeight="1">
      <c r="B6" s="9"/>
      <c r="C6" s="135"/>
      <c r="D6" s="85"/>
      <c r="E6" s="85"/>
      <c r="F6" s="85"/>
      <c r="G6" s="10"/>
      <c r="H6" s="135"/>
      <c r="I6" s="135"/>
      <c r="J6" s="135"/>
      <c r="K6" s="135"/>
      <c r="L6" s="135"/>
      <c r="M6" s="135"/>
      <c r="N6" s="135"/>
      <c r="O6" s="135"/>
      <c r="P6" s="85">
        <f>'Revenue Drivers'!P7</f>
        <v>0</v>
      </c>
      <c r="Q6" s="85">
        <f>'Revenue Drivers'!Q7</f>
        <v>0</v>
      </c>
      <c r="R6" s="85"/>
      <c r="S6" s="85"/>
      <c r="T6" s="85"/>
      <c r="U6" s="85"/>
      <c r="V6" s="85"/>
      <c r="W6" s="5"/>
      <c r="X6" s="135"/>
      <c r="Y6" s="135"/>
      <c r="Z6" s="135"/>
      <c r="AA6" s="135"/>
      <c r="AB6" s="135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5" t="e">
        <f>SUM(AI6/AE6)-1</f>
        <v>#DIV/0!</v>
      </c>
    </row>
    <row r="7" spans="2:37" ht="12.75" customHeight="1">
      <c r="B7" s="9"/>
      <c r="C7" s="135"/>
      <c r="D7" s="85"/>
      <c r="E7" s="85"/>
      <c r="F7" s="85"/>
      <c r="G7" s="10"/>
      <c r="H7" s="135"/>
      <c r="I7" s="135"/>
      <c r="J7" s="135"/>
      <c r="K7" s="135"/>
      <c r="L7" s="135"/>
      <c r="M7" s="135"/>
      <c r="N7" s="135"/>
      <c r="O7" s="135"/>
      <c r="P7" s="85">
        <f>'Revenue Drivers'!P8</f>
        <v>0</v>
      </c>
      <c r="Q7" s="85">
        <f>'Revenue Drivers'!Q8</f>
        <v>0</v>
      </c>
      <c r="R7" s="85"/>
      <c r="S7" s="85"/>
      <c r="T7" s="85"/>
      <c r="U7" s="85"/>
      <c r="V7" s="85"/>
      <c r="W7" s="5"/>
      <c r="X7" s="135"/>
      <c r="Y7" s="135"/>
      <c r="Z7" s="135"/>
      <c r="AA7" s="135"/>
      <c r="AB7" s="135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5" t="e">
        <f>SUM(AI7/AE7)-1</f>
        <v>#DIV/0!</v>
      </c>
    </row>
    <row r="8" spans="2:37" ht="12.75" customHeight="1">
      <c r="B8" s="12" t="s">
        <v>12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Financials'!G11</f>
        <v>97074</v>
      </c>
      <c r="I8" s="13">
        <f>'Historical Financials'!H11</f>
        <v>99137</v>
      </c>
      <c r="J8" s="13">
        <f>'Historical Financials'!I11</f>
        <v>111196</v>
      </c>
      <c r="K8" s="13">
        <f>'Historical Financials'!J11</f>
        <v>76025</v>
      </c>
      <c r="L8" s="13">
        <f>'Historical Financials'!K11</f>
        <v>91787</v>
      </c>
      <c r="M8" s="13">
        <f>'Historical Financials'!L11</f>
        <v>75680</v>
      </c>
      <c r="N8" s="13">
        <f>'Historical Financials'!M11</f>
        <v>71926</v>
      </c>
      <c r="O8" s="13">
        <f>'Historical Financials'!N11</f>
        <v>182684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383432</v>
      </c>
      <c r="Y8" s="13">
        <f t="shared" ref="Y8" si="4">SUM(I8:L8)</f>
        <v>378145</v>
      </c>
      <c r="Z8" s="13">
        <f t="shared" ref="Z8" si="5">SUM(J8:M8)</f>
        <v>354688</v>
      </c>
      <c r="AA8" s="13">
        <f t="shared" ref="AA8" si="6">SUM(K8:N8)</f>
        <v>315418</v>
      </c>
      <c r="AB8" s="13">
        <f t="shared" si="1"/>
        <v>422077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6" t="e">
        <f>SUM(AI8/AE8)-1</f>
        <v>#DIV/0!</v>
      </c>
    </row>
    <row r="9" spans="2:37" ht="12.75" customHeight="1">
      <c r="B9" s="14" t="s">
        <v>31</v>
      </c>
      <c r="C9" s="135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5"/>
      <c r="I9" s="135"/>
      <c r="J9" s="135"/>
      <c r="K9" s="135"/>
      <c r="L9" s="135"/>
      <c r="M9" s="15">
        <f>SUM(M8/I8)-1</f>
        <v>-0.23661196122537498</v>
      </c>
      <c r="N9" s="15">
        <f t="shared" ref="N9:V9" si="8">SUM(N8/J8)-1</f>
        <v>-0.35316018561818774</v>
      </c>
      <c r="O9" s="15">
        <f t="shared" si="8"/>
        <v>1.4029463992107858</v>
      </c>
      <c r="P9" s="15">
        <f t="shared" si="8"/>
        <v>-1</v>
      </c>
      <c r="Q9" s="15">
        <f t="shared" si="8"/>
        <v>-1</v>
      </c>
      <c r="R9" s="15">
        <f t="shared" si="8"/>
        <v>-1</v>
      </c>
      <c r="S9" s="15">
        <f t="shared" si="8"/>
        <v>-1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5"/>
      <c r="Y9" s="105"/>
      <c r="Z9" s="105"/>
      <c r="AA9" s="105"/>
      <c r="AB9" s="15">
        <f t="shared" ref="AB9:AI9" si="9">SUM(AB8/X8)-1</f>
        <v>0.10078710175467887</v>
      </c>
      <c r="AC9" s="15">
        <f t="shared" si="9"/>
        <v>-1</v>
      </c>
      <c r="AD9" s="15">
        <f t="shared" si="9"/>
        <v>-1</v>
      </c>
      <c r="AE9" s="15">
        <f t="shared" si="9"/>
        <v>-1</v>
      </c>
      <c r="AF9" s="15">
        <f t="shared" si="9"/>
        <v>-1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7" t="e">
        <f>SUM(AI9-AE9)*10000</f>
        <v>#DIV/0!</v>
      </c>
    </row>
    <row r="10" spans="2:37" ht="12.75" customHeight="1">
      <c r="B10" s="14" t="s">
        <v>32</v>
      </c>
      <c r="C10" s="15" t="s">
        <v>33</v>
      </c>
      <c r="D10" s="15" t="s">
        <v>33</v>
      </c>
      <c r="E10" s="15" t="s">
        <v>33</v>
      </c>
      <c r="F10" s="15" t="s">
        <v>33</v>
      </c>
      <c r="G10" s="11"/>
      <c r="H10" s="135"/>
      <c r="I10" s="135"/>
      <c r="J10" s="15">
        <f>SUM(J8/I8)-1</f>
        <v>0.12163975105157498</v>
      </c>
      <c r="K10" s="15">
        <f t="shared" ref="K10:V10" si="10">SUM(K8/J8)-1</f>
        <v>-0.31629734882549732</v>
      </c>
      <c r="L10" s="15">
        <f t="shared" si="10"/>
        <v>0.20732653732324891</v>
      </c>
      <c r="M10" s="15">
        <f t="shared" si="10"/>
        <v>-0.17548236678396723</v>
      </c>
      <c r="N10" s="15">
        <f t="shared" si="10"/>
        <v>-4.960359408033832E-2</v>
      </c>
      <c r="O10" s="15">
        <f t="shared" si="10"/>
        <v>1.5398882184467371</v>
      </c>
      <c r="P10" s="15">
        <f t="shared" si="10"/>
        <v>-1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33</v>
      </c>
      <c r="Y10" s="15" t="s">
        <v>33</v>
      </c>
      <c r="Z10" s="15" t="s">
        <v>33</v>
      </c>
      <c r="AA10" s="15" t="s">
        <v>33</v>
      </c>
      <c r="AB10" s="15" t="s">
        <v>33</v>
      </c>
      <c r="AC10" s="15" t="s">
        <v>33</v>
      </c>
      <c r="AD10" s="15" t="s">
        <v>33</v>
      </c>
      <c r="AE10" s="15" t="s">
        <v>33</v>
      </c>
      <c r="AF10" s="15" t="s">
        <v>33</v>
      </c>
      <c r="AG10" s="15" t="s">
        <v>33</v>
      </c>
      <c r="AH10" s="15" t="s">
        <v>33</v>
      </c>
      <c r="AI10" s="15" t="s">
        <v>33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34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Financials'!G13</f>
        <v>-63026</v>
      </c>
      <c r="I12" s="85">
        <f>'Historical Financials'!H13</f>
        <v>-71306</v>
      </c>
      <c r="J12" s="85">
        <f>'Historical Financials'!I13</f>
        <v>-70907</v>
      </c>
      <c r="K12" s="85">
        <f>'Historical Financials'!J13</f>
        <v>-20553</v>
      </c>
      <c r="L12" s="85">
        <f>'Historical Financials'!K13</f>
        <v>0</v>
      </c>
      <c r="M12" s="85">
        <f>'Historical Financials'!L13</f>
        <v>0</v>
      </c>
      <c r="N12" s="85">
        <f>'Historical Financials'!M13</f>
        <v>0</v>
      </c>
      <c r="O12" s="85">
        <f>'Historical Financials'!N13</f>
        <v>-278813</v>
      </c>
      <c r="P12" s="85">
        <f>'Historical Financials'!O13</f>
        <v>0</v>
      </c>
      <c r="Q12" s="85">
        <f>'Historical Financials'!P13</f>
        <v>0</v>
      </c>
      <c r="R12" s="85"/>
      <c r="S12" s="85"/>
      <c r="T12" s="85"/>
      <c r="U12" s="85"/>
      <c r="V12" s="85"/>
      <c r="W12" s="5"/>
      <c r="X12" s="10">
        <f>SUM(G12:K12)</f>
        <v>-225792</v>
      </c>
      <c r="Y12" s="10">
        <f t="shared" ref="Y12:AH12" si="11">SUM(I12:L12)</f>
        <v>-162766</v>
      </c>
      <c r="Z12" s="10">
        <f t="shared" si="11"/>
        <v>-91460</v>
      </c>
      <c r="AA12" s="10">
        <f t="shared" si="11"/>
        <v>-20553</v>
      </c>
      <c r="AB12" s="10">
        <f t="shared" si="11"/>
        <v>-278813</v>
      </c>
      <c r="AC12" s="10">
        <f t="shared" si="11"/>
        <v>-278813</v>
      </c>
      <c r="AD12" s="10">
        <f t="shared" si="11"/>
        <v>-278813</v>
      </c>
      <c r="AE12" s="10">
        <f t="shared" si="11"/>
        <v>-278813</v>
      </c>
      <c r="AF12" s="10">
        <f t="shared" si="11"/>
        <v>0</v>
      </c>
      <c r="AG12" s="10">
        <f t="shared" si="11"/>
        <v>0</v>
      </c>
      <c r="AH12" s="10">
        <f t="shared" si="11"/>
        <v>0</v>
      </c>
      <c r="AI12" s="10">
        <f>SUM(S12:V12)</f>
        <v>0</v>
      </c>
      <c r="AK12" s="115">
        <f>SUM(AI12/AE12)-1</f>
        <v>-1</v>
      </c>
    </row>
    <row r="13" spans="2:37" ht="12.75" customHeight="1">
      <c r="B13" s="23" t="s">
        <v>25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34048</v>
      </c>
      <c r="I13" s="24">
        <f t="shared" ref="I13:V13" si="13">+I8+I12</f>
        <v>27831</v>
      </c>
      <c r="J13" s="24">
        <f t="shared" si="13"/>
        <v>40289</v>
      </c>
      <c r="K13" s="24">
        <f t="shared" si="13"/>
        <v>55472</v>
      </c>
      <c r="L13" s="24">
        <f t="shared" si="13"/>
        <v>91787</v>
      </c>
      <c r="M13" s="24">
        <f t="shared" si="13"/>
        <v>75680</v>
      </c>
      <c r="N13" s="24">
        <f t="shared" si="13"/>
        <v>71926</v>
      </c>
      <c r="O13" s="24">
        <f t="shared" si="13"/>
        <v>-96129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157640</v>
      </c>
      <c r="Y13" s="24">
        <f t="shared" si="14"/>
        <v>215379</v>
      </c>
      <c r="Z13" s="24">
        <f t="shared" si="14"/>
        <v>263228</v>
      </c>
      <c r="AA13" s="24">
        <f t="shared" si="14"/>
        <v>294865</v>
      </c>
      <c r="AB13" s="24">
        <f t="shared" si="14"/>
        <v>143264</v>
      </c>
      <c r="AC13" s="24">
        <f t="shared" si="14"/>
        <v>-278813</v>
      </c>
      <c r="AD13" s="24">
        <f t="shared" si="14"/>
        <v>-278813</v>
      </c>
      <c r="AE13" s="24">
        <f t="shared" si="14"/>
        <v>-278813</v>
      </c>
      <c r="AF13" s="24">
        <f t="shared" si="14"/>
        <v>0</v>
      </c>
      <c r="AG13" s="24">
        <f t="shared" si="14"/>
        <v>0</v>
      </c>
      <c r="AH13" s="24">
        <f t="shared" si="14"/>
        <v>0</v>
      </c>
      <c r="AI13" s="24">
        <f>+AI8+AI12</f>
        <v>0</v>
      </c>
      <c r="AK13" s="116">
        <f>SUM(AI13/AE13)-1</f>
        <v>-1</v>
      </c>
    </row>
    <row r="14" spans="2:37" ht="12.75" customHeight="1">
      <c r="B14" s="14" t="s">
        <v>35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>
        <f t="shared" ref="H14" si="15">H13/H8</f>
        <v>0.35074273234851761</v>
      </c>
      <c r="I14" s="15">
        <f t="shared" ref="I14:V14" si="16">I13/I8</f>
        <v>0.28073272340296762</v>
      </c>
      <c r="J14" s="15">
        <f t="shared" si="16"/>
        <v>0.36232418432317709</v>
      </c>
      <c r="K14" s="15">
        <f t="shared" si="16"/>
        <v>0.72965471884248601</v>
      </c>
      <c r="L14" s="15">
        <f t="shared" si="16"/>
        <v>1</v>
      </c>
      <c r="M14" s="15">
        <f t="shared" si="16"/>
        <v>1</v>
      </c>
      <c r="N14" s="15">
        <f t="shared" si="16"/>
        <v>1</v>
      </c>
      <c r="O14" s="15">
        <f t="shared" si="16"/>
        <v>-0.52620371789538223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>
        <f t="shared" ref="X14:AH14" si="17">X13/X8</f>
        <v>0.41112896158901707</v>
      </c>
      <c r="Y14" s="15">
        <f t="shared" si="17"/>
        <v>0.56956722950191063</v>
      </c>
      <c r="Z14" s="15">
        <f t="shared" si="17"/>
        <v>0.74213957055214719</v>
      </c>
      <c r="AA14" s="15">
        <f t="shared" si="17"/>
        <v>0.93483884876576484</v>
      </c>
      <c r="AB14" s="15">
        <f t="shared" si="17"/>
        <v>0.33942621843881565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122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Financials'!G17</f>
        <v>-15962</v>
      </c>
      <c r="I16" s="85">
        <f>'Historical Financials'!H17</f>
        <v>-15593</v>
      </c>
      <c r="J16" s="85">
        <f>'Historical Financials'!I17</f>
        <v>-16339</v>
      </c>
      <c r="K16" s="85">
        <f>'Historical Financials'!J17</f>
        <v>-15063</v>
      </c>
      <c r="L16" s="85">
        <f>'Historical Financials'!K17</f>
        <v>-15839</v>
      </c>
      <c r="M16" s="85">
        <f>'Historical Financials'!L17</f>
        <v>-15717</v>
      </c>
      <c r="N16" s="85">
        <f>'Historical Financials'!M17</f>
        <v>-14244</v>
      </c>
      <c r="O16" s="85">
        <f>'Historical Financials'!N17</f>
        <v>-20234</v>
      </c>
      <c r="P16" s="85">
        <f>'Historical Financials'!O17</f>
        <v>-13295</v>
      </c>
      <c r="Q16" s="85">
        <f>'Historical Financials'!P17</f>
        <v>-13578</v>
      </c>
      <c r="R16" s="85"/>
      <c r="S16" s="85"/>
      <c r="T16" s="85"/>
      <c r="U16" s="85"/>
      <c r="V16" s="85"/>
      <c r="W16" s="5"/>
      <c r="X16" s="10">
        <f t="shared" ref="X16:X19" si="18">SUM(G16:K16)</f>
        <v>-62957</v>
      </c>
      <c r="Y16" s="10">
        <f t="shared" ref="Y16:Y19" si="19">SUM(I16:L16)</f>
        <v>-62834</v>
      </c>
      <c r="Z16" s="10">
        <f t="shared" ref="Z16:Z19" si="20">SUM(J16:M16)</f>
        <v>-62958</v>
      </c>
      <c r="AA16" s="10">
        <f t="shared" ref="AA16:AA19" si="21">SUM(K16:N16)</f>
        <v>-60863</v>
      </c>
      <c r="AB16" s="10">
        <f t="shared" ref="AB16:AB19" si="22">SUM(L16:O16)</f>
        <v>-66034</v>
      </c>
      <c r="AC16" s="10">
        <f t="shared" ref="AC16:AC19" si="23">SUM(M16:P16)</f>
        <v>-63490</v>
      </c>
      <c r="AD16" s="10">
        <f t="shared" ref="AD16:AD19" si="24">SUM(N16:Q16)</f>
        <v>-61351</v>
      </c>
      <c r="AE16" s="10">
        <f t="shared" ref="AE16:AE19" si="25">SUM(O16:R16)</f>
        <v>-47107</v>
      </c>
      <c r="AF16" s="10">
        <f t="shared" ref="AF16:AF19" si="26">SUM(P16:S16)</f>
        <v>-26873</v>
      </c>
      <c r="AG16" s="10">
        <f t="shared" ref="AG16:AG19" si="27">SUM(Q16:T16)</f>
        <v>-13578</v>
      </c>
      <c r="AH16" s="10">
        <f t="shared" ref="AH16:AH19" si="28">SUM(R16:U16)</f>
        <v>0</v>
      </c>
      <c r="AI16" s="10">
        <f t="shared" ref="AI16:AI19" si="29">SUM(S16:V16)</f>
        <v>0</v>
      </c>
      <c r="AK16" s="115">
        <f>SUM(AI16/AE16)-1</f>
        <v>-1</v>
      </c>
    </row>
    <row r="17" spans="2:37" ht="12.75" customHeight="1">
      <c r="B17" s="21" t="s">
        <v>123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Financials'!G18</f>
        <v>-12314</v>
      </c>
      <c r="I17" s="85">
        <f>'Historical Financials'!H18</f>
        <v>-11940</v>
      </c>
      <c r="J17" s="85">
        <f>'Historical Financials'!I18</f>
        <v>-10969</v>
      </c>
      <c r="K17" s="85">
        <f>'Historical Financials'!J18</f>
        <v>-10033</v>
      </c>
      <c r="L17" s="85">
        <f>'Historical Financials'!K18</f>
        <v>-12699</v>
      </c>
      <c r="M17" s="85">
        <f>'Historical Financials'!L18</f>
        <v>-10241</v>
      </c>
      <c r="N17" s="85">
        <f>'Historical Financials'!M18</f>
        <v>-11893</v>
      </c>
      <c r="O17" s="85">
        <f>'Historical Financials'!N18</f>
        <v>-12919</v>
      </c>
      <c r="P17" s="85">
        <f>'Historical Financials'!O18</f>
        <v>-21065</v>
      </c>
      <c r="Q17" s="85">
        <f>'Historical Financials'!P18</f>
        <v>-13977</v>
      </c>
      <c r="R17" s="85"/>
      <c r="S17" s="85"/>
      <c r="T17" s="85"/>
      <c r="U17" s="85"/>
      <c r="V17" s="85"/>
      <c r="W17" s="5"/>
      <c r="X17" s="10">
        <f t="shared" si="18"/>
        <v>-45256</v>
      </c>
      <c r="Y17" s="10">
        <f t="shared" si="19"/>
        <v>-45641</v>
      </c>
      <c r="Z17" s="10">
        <f t="shared" si="20"/>
        <v>-43942</v>
      </c>
      <c r="AA17" s="10">
        <f t="shared" si="21"/>
        <v>-44866</v>
      </c>
      <c r="AB17" s="10">
        <f t="shared" si="22"/>
        <v>-47752</v>
      </c>
      <c r="AC17" s="10">
        <f t="shared" si="23"/>
        <v>-56118</v>
      </c>
      <c r="AD17" s="10">
        <f t="shared" si="24"/>
        <v>-59854</v>
      </c>
      <c r="AE17" s="10">
        <f t="shared" si="25"/>
        <v>-47961</v>
      </c>
      <c r="AF17" s="10">
        <f t="shared" si="26"/>
        <v>-35042</v>
      </c>
      <c r="AG17" s="10">
        <f t="shared" si="27"/>
        <v>-13977</v>
      </c>
      <c r="AH17" s="10">
        <f t="shared" si="28"/>
        <v>0</v>
      </c>
      <c r="AI17" s="10">
        <f t="shared" si="29"/>
        <v>0</v>
      </c>
      <c r="AK17" s="115">
        <f t="shared" ref="AK17:AK18" si="30">SUM(AI17/AE17)-1</f>
        <v>-1</v>
      </c>
    </row>
    <row r="18" spans="2:37" ht="12.75" customHeight="1">
      <c r="B18" s="21" t="s">
        <v>124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125</v>
      </c>
      <c r="C19" s="85" t="e">
        <f>'Historical Financials'!#REF!</f>
        <v>#REF!</v>
      </c>
      <c r="D19" s="85"/>
      <c r="E19" s="85"/>
      <c r="F19" s="85"/>
      <c r="G19" s="85"/>
      <c r="H19" s="85">
        <f>'Historical Financials'!G20</f>
        <v>-725</v>
      </c>
      <c r="I19" s="85">
        <f>'Historical Financials'!H20</f>
        <v>-921</v>
      </c>
      <c r="J19" s="85">
        <f>'Historical Financials'!I20</f>
        <v>-41</v>
      </c>
      <c r="K19" s="85">
        <f>'Historical Financials'!J20</f>
        <v>837</v>
      </c>
      <c r="L19" s="85">
        <f>'Historical Financials'!K20</f>
        <v>-1329</v>
      </c>
      <c r="M19" s="85">
        <f>'Historical Financials'!L20</f>
        <v>-1338</v>
      </c>
      <c r="N19" s="85">
        <f>'Historical Financials'!M20</f>
        <v>-497</v>
      </c>
      <c r="O19" s="85">
        <f>'Historical Financials'!N20</f>
        <v>1559</v>
      </c>
      <c r="P19" s="85">
        <f>'Historical Financials'!O20</f>
        <v>-1192</v>
      </c>
      <c r="Q19" s="85">
        <f>'Historical Financials'!P20</f>
        <v>-383</v>
      </c>
      <c r="R19" s="85"/>
      <c r="S19" s="85"/>
      <c r="T19" s="85"/>
      <c r="U19" s="85"/>
      <c r="V19" s="85"/>
      <c r="W19" s="5"/>
      <c r="X19" s="10">
        <f t="shared" si="18"/>
        <v>-850</v>
      </c>
      <c r="Y19" s="10">
        <f t="shared" si="19"/>
        <v>-1454</v>
      </c>
      <c r="Z19" s="10">
        <f t="shared" si="20"/>
        <v>-1871</v>
      </c>
      <c r="AA19" s="10">
        <f t="shared" si="21"/>
        <v>-2327</v>
      </c>
      <c r="AB19" s="10">
        <f t="shared" si="22"/>
        <v>-1605</v>
      </c>
      <c r="AC19" s="10">
        <f t="shared" si="23"/>
        <v>-1468</v>
      </c>
      <c r="AD19" s="10">
        <f t="shared" si="24"/>
        <v>-513</v>
      </c>
      <c r="AE19" s="10">
        <f t="shared" si="25"/>
        <v>-16</v>
      </c>
      <c r="AF19" s="10">
        <f t="shared" si="26"/>
        <v>-1575</v>
      </c>
      <c r="AG19" s="10">
        <f t="shared" si="27"/>
        <v>-383</v>
      </c>
      <c r="AH19" s="10">
        <f t="shared" si="28"/>
        <v>0</v>
      </c>
      <c r="AI19" s="10">
        <f t="shared" si="29"/>
        <v>0</v>
      </c>
      <c r="AK19" s="115">
        <f>SUM(AI19/AE19)-1</f>
        <v>-1</v>
      </c>
    </row>
    <row r="20" spans="2:37" ht="12.75" customHeight="1">
      <c r="B20" s="12" t="s">
        <v>36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37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38</v>
      </c>
      <c r="C23" s="112" t="e">
        <f>-C19</f>
        <v>#REF!</v>
      </c>
      <c r="D23" s="112"/>
      <c r="E23" s="112"/>
      <c r="F23" s="112"/>
      <c r="G23" s="136"/>
      <c r="H23" s="112">
        <f t="shared" ref="D23:V23" si="37">-H19</f>
        <v>725</v>
      </c>
      <c r="I23" s="112">
        <f t="shared" si="37"/>
        <v>921</v>
      </c>
      <c r="J23" s="112">
        <f t="shared" si="37"/>
        <v>41</v>
      </c>
      <c r="K23" s="112">
        <f t="shared" si="37"/>
        <v>-837</v>
      </c>
      <c r="L23" s="112">
        <f t="shared" si="37"/>
        <v>1329</v>
      </c>
      <c r="M23" s="112">
        <f t="shared" si="37"/>
        <v>1338</v>
      </c>
      <c r="N23" s="112">
        <f t="shared" si="37"/>
        <v>497</v>
      </c>
      <c r="O23" s="112">
        <f t="shared" si="37"/>
        <v>-1559</v>
      </c>
      <c r="P23" s="112">
        <f t="shared" si="37"/>
        <v>1192</v>
      </c>
      <c r="Q23" s="112">
        <f t="shared" si="37"/>
        <v>383</v>
      </c>
      <c r="R23" s="112"/>
      <c r="S23" s="112"/>
      <c r="T23" s="112"/>
      <c r="U23" s="112"/>
      <c r="V23" s="112"/>
      <c r="X23" s="10">
        <f>SUM(G23:K23)</f>
        <v>850</v>
      </c>
      <c r="Y23" s="10">
        <f t="shared" ref="Y23:AH23" si="38">SUM(I23:L23)</f>
        <v>1454</v>
      </c>
      <c r="Z23" s="10">
        <f t="shared" si="38"/>
        <v>1871</v>
      </c>
      <c r="AA23" s="10">
        <f t="shared" si="38"/>
        <v>2327</v>
      </c>
      <c r="AB23" s="10">
        <f t="shared" si="38"/>
        <v>1605</v>
      </c>
      <c r="AC23" s="10">
        <f t="shared" si="38"/>
        <v>1468</v>
      </c>
      <c r="AD23" s="10">
        <f t="shared" si="38"/>
        <v>513</v>
      </c>
      <c r="AE23" s="10">
        <f t="shared" si="38"/>
        <v>16</v>
      </c>
      <c r="AF23" s="10">
        <f t="shared" si="38"/>
        <v>1575</v>
      </c>
      <c r="AG23" s="10">
        <f t="shared" si="38"/>
        <v>383</v>
      </c>
      <c r="AH23" s="10">
        <f t="shared" si="38"/>
        <v>0</v>
      </c>
      <c r="AI23" s="10">
        <f>SUM(S23:V23)</f>
        <v>0</v>
      </c>
      <c r="AK23" s="115">
        <f>SUM(AI23/AE23)-1</f>
        <v>-1</v>
      </c>
    </row>
    <row r="24" spans="2:37" ht="12.75" customHeight="1">
      <c r="B24" s="23" t="s">
        <v>11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39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40</v>
      </c>
      <c r="C27" s="85" t="e">
        <f>'Historical Financials'!#REF!</f>
        <v>#REF!</v>
      </c>
      <c r="D27" s="85"/>
      <c r="E27" s="85"/>
      <c r="F27" s="85"/>
      <c r="H27" s="85">
        <f>'Historical Financials'!G102</f>
        <v>336</v>
      </c>
      <c r="I27" s="85">
        <f>'Historical Financials'!H102</f>
        <v>432</v>
      </c>
      <c r="J27" s="85">
        <f>'Historical Financials'!I102</f>
        <v>433</v>
      </c>
      <c r="K27" s="85">
        <f>'Historical Financials'!J102</f>
        <v>423</v>
      </c>
      <c r="L27" s="85">
        <f>'Historical Financials'!K102</f>
        <v>520</v>
      </c>
      <c r="M27" s="85">
        <f>'Historical Financials'!L102</f>
        <v>714</v>
      </c>
      <c r="N27" s="85">
        <f>'Historical Financials'!M102</f>
        <v>714</v>
      </c>
      <c r="O27" s="85">
        <f>'Historical Financials'!N102</f>
        <v>787</v>
      </c>
      <c r="P27" s="85">
        <f>'Historical Financials'!O102</f>
        <v>804</v>
      </c>
      <c r="Q27" s="85">
        <f>'Historical Financials'!P102</f>
        <v>1277</v>
      </c>
      <c r="R27" s="85"/>
      <c r="S27" s="85"/>
      <c r="T27" s="85"/>
      <c r="U27" s="85"/>
      <c r="V27" s="85"/>
      <c r="X27" s="10">
        <f>SUM(G27:K27)</f>
        <v>1624</v>
      </c>
      <c r="Y27" s="10">
        <f t="shared" ref="Y27" si="45">SUM(I27:L27)</f>
        <v>1808</v>
      </c>
      <c r="Z27" s="10">
        <f t="shared" ref="Z27" si="46">SUM(J27:M27)</f>
        <v>2090</v>
      </c>
      <c r="AA27" s="10">
        <f t="shared" ref="AA27" si="47">SUM(K27:N27)</f>
        <v>2371</v>
      </c>
      <c r="AB27" s="10">
        <f t="shared" ref="AB27" si="48">SUM(L27:O27)</f>
        <v>2735</v>
      </c>
      <c r="AC27" s="10">
        <f t="shared" ref="AC27" si="49">SUM(M27:P27)</f>
        <v>3019</v>
      </c>
      <c r="AD27" s="10">
        <f t="shared" ref="AD27" si="50">SUM(N27:Q27)</f>
        <v>3582</v>
      </c>
      <c r="AE27" s="10">
        <f t="shared" ref="AE27" si="51">SUM(O27:R27)</f>
        <v>2868</v>
      </c>
      <c r="AF27" s="10">
        <f t="shared" ref="AF27" si="52">SUM(P27:S27)</f>
        <v>2081</v>
      </c>
      <c r="AG27" s="10">
        <f t="shared" ref="AG27" si="53">SUM(Q27:T27)</f>
        <v>1277</v>
      </c>
      <c r="AH27" s="10">
        <f t="shared" ref="AH27" si="54">SUM(R27:U27)</f>
        <v>0</v>
      </c>
      <c r="AI27" s="10">
        <f t="shared" ref="AI27" si="55">SUM(S27:V27)</f>
        <v>0</v>
      </c>
      <c r="AK27" s="115">
        <f>SUM(AI27/AE27)-1</f>
        <v>-1</v>
      </c>
    </row>
    <row r="28" spans="2:37" ht="12.75" customHeight="1">
      <c r="B28" s="12" t="s">
        <v>41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42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43</v>
      </c>
      <c r="C31" s="85" t="e">
        <f>SUM('Historical Financials'!#REF!+'Historical Financials'!#REF!)</f>
        <v>#REF!</v>
      </c>
      <c r="D31" s="85"/>
      <c r="E31" s="85"/>
      <c r="F31" s="85"/>
      <c r="H31" s="85">
        <f>SUM('Historical Financials'!G126+'Historical Financials'!G127)</f>
        <v>-5036</v>
      </c>
      <c r="I31" s="85">
        <f>SUM('Historical Financials'!H126+'Historical Financials'!H127)</f>
        <v>-4759</v>
      </c>
      <c r="J31" s="85">
        <f>SUM('Historical Financials'!I126+'Historical Financials'!I127)</f>
        <v>-2849</v>
      </c>
      <c r="K31" s="85">
        <f>SUM('Historical Financials'!J126+'Historical Financials'!J127)</f>
        <v>-2957</v>
      </c>
      <c r="L31" s="85">
        <f>SUM('Historical Financials'!K126+'Historical Financials'!K127)</f>
        <v>-2299</v>
      </c>
      <c r="M31" s="85">
        <f>SUM('Historical Financials'!L126+'Historical Financials'!L127)</f>
        <v>-1626</v>
      </c>
      <c r="N31" s="85">
        <f>SUM('Historical Financials'!M126+'Historical Financials'!M127)</f>
        <v>-1100</v>
      </c>
      <c r="O31" s="85">
        <f>SUM('Historical Financials'!N126+'Historical Financials'!N127)</f>
        <v>-844</v>
      </c>
      <c r="P31" s="85">
        <f>SUM('Historical Financials'!O126+'Historical Financials'!O127)</f>
        <v>-1620</v>
      </c>
      <c r="Q31" s="85">
        <f>SUM('Historical Financials'!P126+'Historical Financials'!P127)</f>
        <v>-1608</v>
      </c>
      <c r="R31" s="85"/>
      <c r="S31" s="85"/>
      <c r="T31" s="85"/>
      <c r="U31" s="85"/>
      <c r="V31" s="85"/>
      <c r="X31" s="10">
        <f t="shared" ref="X31:X34" si="60">SUM(G31:K31)</f>
        <v>-15601</v>
      </c>
      <c r="Y31" s="10">
        <f t="shared" ref="Y31:Y34" si="61">SUM(I31:L31)</f>
        <v>-12864</v>
      </c>
      <c r="Z31" s="10">
        <f t="shared" ref="Z31:Z34" si="62">SUM(J31:M31)</f>
        <v>-9731</v>
      </c>
      <c r="AA31" s="10">
        <f t="shared" ref="AA31:AA34" si="63">SUM(K31:N31)</f>
        <v>-7982</v>
      </c>
      <c r="AB31" s="10">
        <f t="shared" ref="AB31:AB34" si="64">SUM(L31:O31)</f>
        <v>-5869</v>
      </c>
      <c r="AC31" s="10">
        <f t="shared" ref="AC31:AC34" si="65">SUM(M31:P31)</f>
        <v>-5190</v>
      </c>
      <c r="AD31" s="10">
        <f t="shared" ref="AD31:AD34" si="66">SUM(N31:Q31)</f>
        <v>-5172</v>
      </c>
      <c r="AE31" s="10">
        <f t="shared" ref="AE31:AE34" si="67">SUM(O31:R31)</f>
        <v>-4072</v>
      </c>
      <c r="AF31" s="10">
        <f t="shared" ref="AF31:AF34" si="68">SUM(P31:S31)</f>
        <v>-3228</v>
      </c>
      <c r="AG31" s="10">
        <f t="shared" ref="AG31:AG34" si="69">SUM(Q31:T31)</f>
        <v>-1608</v>
      </c>
      <c r="AH31" s="10">
        <f t="shared" ref="AH31:AH34" si="70">SUM(R31:U31)</f>
        <v>0</v>
      </c>
      <c r="AI31" s="10">
        <f t="shared" ref="AI31:AI34" si="71">SUM(S31:V31)</f>
        <v>0</v>
      </c>
      <c r="AK31" s="115">
        <f>SUM(AI31/AE31)-1</f>
        <v>-1</v>
      </c>
    </row>
    <row r="32" spans="2:37" ht="12.75" customHeight="1">
      <c r="B32" s="21" t="s">
        <v>44</v>
      </c>
      <c r="C32" s="85" t="e">
        <f>'Historical Financials'!#REF!</f>
        <v>#REF!</v>
      </c>
      <c r="D32" s="85"/>
      <c r="E32" s="85"/>
      <c r="F32" s="85"/>
      <c r="H32" s="85">
        <f>'Historical Financials'!G31</f>
        <v>-410</v>
      </c>
      <c r="I32" s="85">
        <f>'Historical Financials'!H31</f>
        <v>-461</v>
      </c>
      <c r="J32" s="85">
        <f>'Historical Financials'!I31</f>
        <v>693</v>
      </c>
      <c r="K32" s="85">
        <f>'Historical Financials'!J31</f>
        <v>-1163</v>
      </c>
      <c r="L32" s="85">
        <f>'Historical Financials'!K31</f>
        <v>-530</v>
      </c>
      <c r="M32" s="85">
        <f>'Historical Financials'!L31</f>
        <v>-533</v>
      </c>
      <c r="N32" s="85">
        <f>'Historical Financials'!M31</f>
        <v>-510</v>
      </c>
      <c r="O32" s="85">
        <f>'Historical Financials'!N31</f>
        <v>-367</v>
      </c>
      <c r="P32" s="85">
        <f>'Historical Financials'!O31</f>
        <v>-235</v>
      </c>
      <c r="Q32" s="85">
        <f>'Historical Financials'!P31</f>
        <v>-370</v>
      </c>
      <c r="R32" s="85"/>
      <c r="S32" s="85"/>
      <c r="T32" s="85"/>
      <c r="U32" s="85"/>
      <c r="V32" s="85"/>
      <c r="X32" s="10">
        <f t="shared" si="60"/>
        <v>-1341</v>
      </c>
      <c r="Y32" s="10">
        <f t="shared" si="61"/>
        <v>-1461</v>
      </c>
      <c r="Z32" s="10">
        <f t="shared" si="62"/>
        <v>-1533</v>
      </c>
      <c r="AA32" s="10">
        <f t="shared" si="63"/>
        <v>-2736</v>
      </c>
      <c r="AB32" s="10">
        <f t="shared" si="64"/>
        <v>-1940</v>
      </c>
      <c r="AC32" s="10">
        <f t="shared" si="65"/>
        <v>-1645</v>
      </c>
      <c r="AD32" s="10">
        <f t="shared" si="66"/>
        <v>-1482</v>
      </c>
      <c r="AE32" s="10">
        <f t="shared" si="67"/>
        <v>-972</v>
      </c>
      <c r="AF32" s="10">
        <f t="shared" si="68"/>
        <v>-605</v>
      </c>
      <c r="AG32" s="10">
        <f t="shared" si="69"/>
        <v>-370</v>
      </c>
      <c r="AH32" s="10">
        <f t="shared" si="70"/>
        <v>0</v>
      </c>
      <c r="AI32" s="10">
        <f t="shared" si="71"/>
        <v>0</v>
      </c>
      <c r="AK32" s="115">
        <f>SUM(AI32/AE32)-1</f>
        <v>-1</v>
      </c>
    </row>
    <row r="33" spans="1:37" ht="12.75" customHeight="1">
      <c r="B33" s="21" t="s">
        <v>93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45</v>
      </c>
      <c r="C34" s="85" t="e">
        <f>SUM('Historical Financials'!#REF!)</f>
        <v>#REF!</v>
      </c>
      <c r="D34" s="85"/>
      <c r="E34" s="85"/>
      <c r="F34" s="85"/>
      <c r="H34" s="85">
        <f>SUM('Historical Financials'!G113:G122)</f>
        <v>-15271</v>
      </c>
      <c r="I34" s="85">
        <f>SUM('Historical Financials'!H113:H122)</f>
        <v>222</v>
      </c>
      <c r="J34" s="85">
        <f>SUM('Historical Financials'!I113:I122)</f>
        <v>-6122</v>
      </c>
      <c r="K34" s="85">
        <f>SUM('Historical Financials'!J113:J122)</f>
        <v>5426</v>
      </c>
      <c r="L34" s="85">
        <f>SUM('Historical Financials'!K113:K122)</f>
        <v>-6502</v>
      </c>
      <c r="M34" s="85">
        <f>SUM('Historical Financials'!L113:L122)</f>
        <v>1679</v>
      </c>
      <c r="N34" s="85">
        <f>SUM('Historical Financials'!M113:M122)</f>
        <v>-5842</v>
      </c>
      <c r="O34" s="85">
        <f>SUM('Historical Financials'!N113:N122)</f>
        <v>19175</v>
      </c>
      <c r="P34" s="85">
        <f>SUM('Historical Financials'!O113:O122)</f>
        <v>15704</v>
      </c>
      <c r="Q34" s="85">
        <f>SUM('Historical Financials'!P113:P122)</f>
        <v>-7269</v>
      </c>
      <c r="R34" s="85"/>
      <c r="S34" s="85"/>
      <c r="T34" s="85"/>
      <c r="U34" s="85"/>
      <c r="V34" s="85"/>
      <c r="X34" s="10">
        <f t="shared" si="60"/>
        <v>-15745</v>
      </c>
      <c r="Y34" s="10">
        <f t="shared" si="61"/>
        <v>-6976</v>
      </c>
      <c r="Z34" s="10">
        <f t="shared" si="62"/>
        <v>-5519</v>
      </c>
      <c r="AA34" s="10">
        <f t="shared" si="63"/>
        <v>-5239</v>
      </c>
      <c r="AB34" s="10">
        <f t="shared" si="64"/>
        <v>8510</v>
      </c>
      <c r="AC34" s="10">
        <f t="shared" si="65"/>
        <v>30716</v>
      </c>
      <c r="AD34" s="10">
        <f t="shared" si="66"/>
        <v>21768</v>
      </c>
      <c r="AE34" s="10">
        <f t="shared" si="67"/>
        <v>27610</v>
      </c>
      <c r="AF34" s="10">
        <f t="shared" si="68"/>
        <v>8435</v>
      </c>
      <c r="AG34" s="10">
        <f t="shared" si="69"/>
        <v>-7269</v>
      </c>
      <c r="AH34" s="10">
        <f t="shared" si="70"/>
        <v>0</v>
      </c>
      <c r="AI34" s="10">
        <f t="shared" si="71"/>
        <v>0</v>
      </c>
      <c r="AK34" s="115">
        <f>SUM(AI34/AE34)-1</f>
        <v>-1</v>
      </c>
    </row>
    <row r="35" spans="1:37" ht="12.75" customHeight="1">
      <c r="B35" s="12" t="s">
        <v>46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111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126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127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128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112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129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86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F43:U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47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48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49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Financials'!G46</f>
        <v>26528</v>
      </c>
      <c r="I48" s="85">
        <f>'Historical Financials'!H46</f>
        <v>25698</v>
      </c>
      <c r="J48" s="85">
        <f>'Historical Financials'!I46</f>
        <v>26028</v>
      </c>
      <c r="K48" s="85">
        <f>'Historical Financials'!J46</f>
        <v>5210</v>
      </c>
      <c r="L48" s="85">
        <f>'Historical Financials'!K46</f>
        <v>25465</v>
      </c>
      <c r="M48" s="85">
        <f>'Historical Financials'!L46</f>
        <v>25574</v>
      </c>
      <c r="N48" s="85">
        <f>'Historical Financials'!M46</f>
        <v>24377</v>
      </c>
      <c r="O48" s="85">
        <f>'Historical Financials'!N46</f>
        <v>25963</v>
      </c>
      <c r="P48" s="85">
        <f>'Historical Financials'!O46</f>
        <v>17287</v>
      </c>
      <c r="Q48" s="85">
        <f>'Historical Financials'!P46</f>
        <v>16719</v>
      </c>
      <c r="R48" s="85"/>
      <c r="S48" s="85"/>
      <c r="T48" s="85"/>
      <c r="U48" s="85"/>
      <c r="V48" s="85"/>
      <c r="X48" s="10">
        <f t="shared" ref="X48:AH48" si="91">K48</f>
        <v>5210</v>
      </c>
      <c r="Y48" s="10">
        <f t="shared" si="91"/>
        <v>25465</v>
      </c>
      <c r="Z48" s="10">
        <f t="shared" si="91"/>
        <v>25574</v>
      </c>
      <c r="AA48" s="10">
        <f t="shared" si="91"/>
        <v>24377</v>
      </c>
      <c r="AB48" s="10">
        <f t="shared" si="91"/>
        <v>25963</v>
      </c>
      <c r="AC48" s="10">
        <f t="shared" si="91"/>
        <v>17287</v>
      </c>
      <c r="AD48" s="10">
        <f t="shared" si="91"/>
        <v>16719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105</v>
      </c>
      <c r="C49" s="85" t="e">
        <f>'Historical Financials'!#REF!</f>
        <v>#REF!</v>
      </c>
      <c r="D49" s="85"/>
      <c r="E49" s="85"/>
      <c r="F49" s="85"/>
      <c r="G49" s="30"/>
      <c r="H49" s="85">
        <f>'Historical Financials'!G52</f>
        <v>4574</v>
      </c>
      <c r="I49" s="85">
        <f>'Historical Financials'!H52</f>
        <v>4839</v>
      </c>
      <c r="J49" s="85">
        <f>'Historical Financials'!I52</f>
        <v>7489</v>
      </c>
      <c r="K49" s="85">
        <f>'Historical Financials'!J52</f>
        <v>4697</v>
      </c>
      <c r="L49" s="85">
        <f>'Historical Financials'!K52</f>
        <v>6004</v>
      </c>
      <c r="M49" s="85">
        <f>'Historical Financials'!L52</f>
        <v>5389</v>
      </c>
      <c r="N49" s="85">
        <f>'Historical Financials'!M52</f>
        <v>7224</v>
      </c>
      <c r="O49" s="85">
        <f>'Historical Financials'!N52</f>
        <v>5513</v>
      </c>
      <c r="P49" s="85">
        <f>'Historical Financials'!O52</f>
        <v>8965</v>
      </c>
      <c r="Q49" s="85">
        <f>'Historical Financials'!P52</f>
        <v>9195</v>
      </c>
      <c r="R49" s="85"/>
      <c r="S49" s="85"/>
      <c r="T49" s="85"/>
      <c r="U49" s="85"/>
      <c r="V49" s="85"/>
      <c r="X49" s="10">
        <f t="shared" ref="X49:X51" si="92">K49</f>
        <v>4697</v>
      </c>
      <c r="Y49" s="10">
        <f t="shared" ref="Y49:Y51" si="93">L49</f>
        <v>6004</v>
      </c>
      <c r="Z49" s="10">
        <f t="shared" ref="Z49:Z51" si="94">M49</f>
        <v>5389</v>
      </c>
      <c r="AA49" s="10">
        <f t="shared" ref="AA49:AA51" si="95">N49</f>
        <v>7224</v>
      </c>
      <c r="AB49" s="10">
        <f t="shared" ref="AB49:AB51" si="96">O49</f>
        <v>5513</v>
      </c>
      <c r="AC49" s="10">
        <f t="shared" ref="AC49:AC51" si="97">P49</f>
        <v>8965</v>
      </c>
      <c r="AD49" s="10">
        <f t="shared" ref="AD49:AD51" si="98">Q49</f>
        <v>9195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130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131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Financials'!G56</f>
        <v>14093</v>
      </c>
      <c r="I51" s="85">
        <f>'Historical Financials'!H56</f>
        <v>15973</v>
      </c>
      <c r="J51" s="85">
        <f>'Historical Financials'!I56</f>
        <v>16794</v>
      </c>
      <c r="K51" s="85">
        <f>'Historical Financials'!J56</f>
        <v>12853</v>
      </c>
      <c r="L51" s="85">
        <f>'Historical Financials'!K56</f>
        <v>15583</v>
      </c>
      <c r="M51" s="85">
        <f>'Historical Financials'!L56</f>
        <v>14621</v>
      </c>
      <c r="N51" s="85">
        <f>'Historical Financials'!M56</f>
        <v>13251</v>
      </c>
      <c r="O51" s="85">
        <f>'Historical Financials'!N56</f>
        <v>16555</v>
      </c>
      <c r="P51" s="85">
        <f>'Historical Financials'!O56</f>
        <v>10988</v>
      </c>
      <c r="Q51" s="85">
        <f>'Historical Financials'!P56</f>
        <v>11334</v>
      </c>
      <c r="R51" s="85"/>
      <c r="S51" s="85"/>
      <c r="T51" s="85"/>
      <c r="U51" s="85"/>
      <c r="V51" s="85"/>
      <c r="X51" s="10">
        <f t="shared" si="92"/>
        <v>12853</v>
      </c>
      <c r="Y51" s="10">
        <f t="shared" si="93"/>
        <v>15583</v>
      </c>
      <c r="Z51" s="10">
        <f t="shared" si="94"/>
        <v>14621</v>
      </c>
      <c r="AA51" s="10">
        <f t="shared" si="95"/>
        <v>13251</v>
      </c>
      <c r="AB51" s="10">
        <f t="shared" si="96"/>
        <v>16555</v>
      </c>
      <c r="AC51" s="10">
        <f t="shared" si="97"/>
        <v>10988</v>
      </c>
      <c r="AD51" s="10">
        <f t="shared" si="98"/>
        <v>11334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50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51</v>
      </c>
    </row>
    <row r="55" spans="2:35" ht="12.75" customHeight="1">
      <c r="B55" s="8" t="s">
        <v>52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53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Financials'!G64</f>
        <v>33867</v>
      </c>
      <c r="I56" s="85">
        <f>'Historical Financials'!H64</f>
        <v>34263</v>
      </c>
      <c r="J56" s="85">
        <f>'Historical Financials'!I64</f>
        <v>41788</v>
      </c>
      <c r="K56" s="85">
        <f>'Historical Financials'!J64</f>
        <v>34220</v>
      </c>
      <c r="L56" s="85">
        <f>'Historical Financials'!K64</f>
        <v>30560</v>
      </c>
      <c r="M56" s="85">
        <f>'Historical Financials'!L64</f>
        <v>26946</v>
      </c>
      <c r="N56" s="85">
        <f>'Historical Financials'!M64</f>
        <v>22426</v>
      </c>
      <c r="O56" s="85">
        <f>'Historical Financials'!N64</f>
        <v>35716</v>
      </c>
      <c r="P56" s="85">
        <f>'Historical Financials'!O64</f>
        <v>31509</v>
      </c>
      <c r="Q56" s="85">
        <f>'Historical Financials'!P64</f>
        <v>30789</v>
      </c>
      <c r="R56" s="85"/>
      <c r="S56" s="85"/>
      <c r="T56" s="85"/>
      <c r="U56" s="85"/>
      <c r="V56" s="85"/>
      <c r="X56" s="10">
        <f t="shared" si="105"/>
        <v>34220</v>
      </c>
      <c r="Y56" s="10">
        <f t="shared" si="106"/>
        <v>30560</v>
      </c>
      <c r="Z56" s="10">
        <f t="shared" si="107"/>
        <v>26946</v>
      </c>
      <c r="AA56" s="10">
        <f t="shared" si="108"/>
        <v>22426</v>
      </c>
      <c r="AB56" s="10">
        <f t="shared" si="109"/>
        <v>35716</v>
      </c>
      <c r="AC56" s="10">
        <f t="shared" si="110"/>
        <v>31509</v>
      </c>
      <c r="AD56" s="10">
        <f t="shared" si="111"/>
        <v>30789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132</v>
      </c>
      <c r="C57" s="85" t="e">
        <f>'Historical Financials'!#REF!</f>
        <v>#REF!</v>
      </c>
      <c r="D57" s="85"/>
      <c r="E57" s="85"/>
      <c r="F57" s="85"/>
      <c r="G57" s="85"/>
      <c r="H57" s="85" t="e">
        <f>'Historical Financials'!#REF!</f>
        <v>#REF!</v>
      </c>
      <c r="I57" s="85" t="e">
        <f>'Historical Financials'!#REF!</f>
        <v>#REF!</v>
      </c>
      <c r="J57" s="85" t="e">
        <f>'Historical Financials'!#REF!</f>
        <v>#REF!</v>
      </c>
      <c r="K57" s="85" t="e">
        <f>'Historical Financials'!#REF!</f>
        <v>#REF!</v>
      </c>
      <c r="L57" s="85" t="e">
        <f>'Historical Financials'!#REF!</f>
        <v>#REF!</v>
      </c>
      <c r="M57" s="85" t="e">
        <f>'Historical Financials'!#REF!</f>
        <v>#REF!</v>
      </c>
      <c r="N57" s="85" t="e">
        <f>'Historical Financials'!#REF!</f>
        <v>#REF!</v>
      </c>
      <c r="O57" s="85" t="e">
        <f>'Historical Financials'!#REF!</f>
        <v>#REF!</v>
      </c>
      <c r="P57" s="85" t="e">
        <f>'Historical Financials'!#REF!</f>
        <v>#REF!</v>
      </c>
      <c r="Q57" s="85" t="e">
        <f>'Historical Financials'!#REF!</f>
        <v>#REF!</v>
      </c>
      <c r="R57" s="85"/>
      <c r="S57" s="85"/>
      <c r="T57" s="85"/>
      <c r="U57" s="85"/>
      <c r="V57" s="85"/>
      <c r="X57" s="10" t="e">
        <f t="shared" si="105"/>
        <v>#REF!</v>
      </c>
      <c r="Y57" s="10" t="e">
        <f t="shared" si="106"/>
        <v>#REF!</v>
      </c>
      <c r="Z57" s="10" t="e">
        <f t="shared" si="107"/>
        <v>#REF!</v>
      </c>
      <c r="AA57" s="10" t="e">
        <f t="shared" si="108"/>
        <v>#REF!</v>
      </c>
      <c r="AB57" s="10" t="e">
        <f t="shared" si="109"/>
        <v>#REF!</v>
      </c>
      <c r="AC57" s="10" t="e">
        <f t="shared" si="110"/>
        <v>#REF!</v>
      </c>
      <c r="AD57" s="10" t="e">
        <f t="shared" si="111"/>
        <v>#REF!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133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54</v>
      </c>
      <c r="C59" s="85" t="e">
        <f>'Historical Financials'!#REF!</f>
        <v>#REF!</v>
      </c>
      <c r="D59" s="85"/>
      <c r="E59" s="85"/>
      <c r="F59" s="85"/>
      <c r="G59" s="85"/>
      <c r="H59" s="85">
        <f>'Historical Financials'!G58</f>
        <v>12969</v>
      </c>
      <c r="I59" s="85">
        <f>'Historical Financials'!H58</f>
        <v>12969</v>
      </c>
      <c r="J59" s="85">
        <f>'Historical Financials'!I58</f>
        <v>12969</v>
      </c>
      <c r="K59" s="85">
        <f>'Historical Financials'!J58</f>
        <v>12969</v>
      </c>
      <c r="L59" s="85">
        <f>'Historical Financials'!K58</f>
        <v>12969</v>
      </c>
      <c r="M59" s="85">
        <f>'Historical Financials'!L58</f>
        <v>12969</v>
      </c>
      <c r="N59" s="85">
        <f>'Historical Financials'!M58</f>
        <v>12969</v>
      </c>
      <c r="O59" s="85">
        <f>'Historical Financials'!N58</f>
        <v>12969</v>
      </c>
      <c r="P59" s="85">
        <f>'Historical Financials'!O58</f>
        <v>12969</v>
      </c>
      <c r="Q59" s="85">
        <f>'Historical Financials'!P58</f>
        <v>12969</v>
      </c>
      <c r="R59" s="85"/>
      <c r="S59" s="85"/>
      <c r="T59" s="85"/>
      <c r="U59" s="85"/>
      <c r="V59" s="85"/>
      <c r="X59" s="10">
        <f t="shared" si="105"/>
        <v>12969</v>
      </c>
      <c r="Y59" s="10">
        <f t="shared" si="106"/>
        <v>12969</v>
      </c>
      <c r="Z59" s="10">
        <f t="shared" si="107"/>
        <v>12969</v>
      </c>
      <c r="AA59" s="10">
        <f t="shared" si="108"/>
        <v>12969</v>
      </c>
      <c r="AB59" s="10">
        <f t="shared" si="109"/>
        <v>12969</v>
      </c>
      <c r="AC59" s="10">
        <f t="shared" si="110"/>
        <v>12969</v>
      </c>
      <c r="AD59" s="10">
        <f t="shared" si="111"/>
        <v>12969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55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Financials'!G71</f>
        <v>141822</v>
      </c>
      <c r="I60" s="85">
        <f>'Historical Financials'!H71</f>
        <v>137141</v>
      </c>
      <c r="J60" s="85">
        <f>'Historical Financials'!I71</f>
        <v>150836</v>
      </c>
      <c r="K60" s="85">
        <f>'Historical Financials'!J71</f>
        <v>176663</v>
      </c>
      <c r="L60" s="85">
        <f>'Historical Financials'!K71</f>
        <v>142855</v>
      </c>
      <c r="M60" s="85">
        <f>'Historical Financials'!L71</f>
        <v>231299</v>
      </c>
      <c r="N60" s="85">
        <f>'Historical Financials'!M71</f>
        <v>241236</v>
      </c>
      <c r="O60" s="85">
        <f>'Historical Financials'!N71</f>
        <v>157888</v>
      </c>
      <c r="P60" s="85">
        <f>'Historical Financials'!O71</f>
        <v>155608</v>
      </c>
      <c r="Q60" s="85">
        <f>'Historical Financials'!P71</f>
        <v>134601</v>
      </c>
      <c r="R60" s="85"/>
      <c r="S60" s="85"/>
      <c r="T60" s="85"/>
      <c r="U60" s="85"/>
      <c r="V60" s="85"/>
      <c r="X60" s="10">
        <f t="shared" si="105"/>
        <v>176663</v>
      </c>
      <c r="Y60" s="10">
        <f t="shared" si="106"/>
        <v>142855</v>
      </c>
      <c r="Z60" s="10">
        <f t="shared" si="107"/>
        <v>231299</v>
      </c>
      <c r="AA60" s="10">
        <f t="shared" si="108"/>
        <v>241236</v>
      </c>
      <c r="AB60" s="10">
        <f t="shared" si="109"/>
        <v>157888</v>
      </c>
      <c r="AC60" s="10">
        <f t="shared" si="110"/>
        <v>155608</v>
      </c>
      <c r="AD60" s="10">
        <f t="shared" si="111"/>
        <v>134601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19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Financials'!G79</f>
        <v>290458</v>
      </c>
      <c r="I61" s="85">
        <f>'Historical Financials'!H79</f>
        <v>289024</v>
      </c>
      <c r="J61" s="85">
        <f>'Historical Financials'!I79</f>
        <v>309450</v>
      </c>
      <c r="K61" s="85">
        <f>'Historical Financials'!J79</f>
        <v>345374</v>
      </c>
      <c r="L61" s="85">
        <f>'Historical Financials'!K79</f>
        <v>304564</v>
      </c>
      <c r="M61" s="85">
        <f>'Historical Financials'!L79</f>
        <v>289237</v>
      </c>
      <c r="N61" s="85">
        <f>'Historical Financials'!M79</f>
        <v>301136</v>
      </c>
      <c r="O61" s="85">
        <f>'Historical Financials'!N79</f>
        <v>298026</v>
      </c>
      <c r="P61" s="85">
        <f>'Historical Financials'!O79</f>
        <v>314340</v>
      </c>
      <c r="Q61" s="85">
        <f>'Historical Financials'!P79</f>
        <v>316549</v>
      </c>
      <c r="R61" s="85"/>
      <c r="S61" s="85"/>
      <c r="T61" s="85"/>
      <c r="U61" s="85"/>
      <c r="V61" s="85"/>
      <c r="X61" s="10">
        <f t="shared" si="105"/>
        <v>345374</v>
      </c>
      <c r="Y61" s="10">
        <f t="shared" si="106"/>
        <v>304564</v>
      </c>
      <c r="Z61" s="10">
        <f t="shared" si="107"/>
        <v>289237</v>
      </c>
      <c r="AA61" s="10">
        <f t="shared" si="108"/>
        <v>301136</v>
      </c>
      <c r="AB61" s="10">
        <f t="shared" si="109"/>
        <v>298026</v>
      </c>
      <c r="AC61" s="10">
        <f t="shared" si="110"/>
        <v>314340</v>
      </c>
      <c r="AD61" s="10">
        <f t="shared" si="111"/>
        <v>316549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134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26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56</v>
      </c>
      <c r="C66" s="85" t="e">
        <f>'Historical Financials'!#REF!</f>
        <v>#REF!</v>
      </c>
      <c r="D66" s="85"/>
      <c r="E66" s="85"/>
      <c r="F66" s="85"/>
      <c r="H66" s="85">
        <f>'Historical Financials'!G86</f>
        <v>-68787</v>
      </c>
      <c r="I66" s="85">
        <f>'Historical Financials'!H86</f>
        <v>-79342</v>
      </c>
      <c r="J66" s="85">
        <f>'Historical Financials'!I86</f>
        <v>-77053</v>
      </c>
      <c r="K66" s="85">
        <f>'Historical Financials'!J86</f>
        <v>-143739</v>
      </c>
      <c r="L66" s="85">
        <f>'Historical Financials'!K86</f>
        <v>-94080</v>
      </c>
      <c r="M66" s="85">
        <f>'Historical Financials'!L86</f>
        <v>-94433</v>
      </c>
      <c r="N66" s="85">
        <f>'Historical Financials'!M86</f>
        <v>-101931</v>
      </c>
      <c r="O66" s="85">
        <f>'Historical Financials'!N86</f>
        <v>-84369</v>
      </c>
      <c r="P66" s="85">
        <f>'Historical Financials'!O86</f>
        <v>-141251</v>
      </c>
      <c r="Q66" s="85">
        <f>'Historical Financials'!P86</f>
        <v>-153403</v>
      </c>
      <c r="R66" s="85"/>
      <c r="S66" s="85"/>
      <c r="T66" s="85"/>
      <c r="U66" s="85"/>
      <c r="V66" s="85"/>
      <c r="X66" s="10">
        <f t="shared" ref="X66:AH66" si="132">K66</f>
        <v>-143739</v>
      </c>
      <c r="Y66" s="10">
        <f t="shared" si="132"/>
        <v>-94080</v>
      </c>
      <c r="Z66" s="10">
        <f t="shared" si="132"/>
        <v>-94433</v>
      </c>
      <c r="AA66" s="10">
        <f t="shared" si="132"/>
        <v>-101931</v>
      </c>
      <c r="AB66" s="10">
        <f t="shared" si="132"/>
        <v>-84369</v>
      </c>
      <c r="AC66" s="10">
        <f t="shared" si="132"/>
        <v>-141251</v>
      </c>
      <c r="AD66" s="10">
        <f t="shared" si="132"/>
        <v>-153403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57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-68787</v>
      </c>
      <c r="I67" s="13">
        <f t="shared" ref="I67:R67" si="134">SUM(I64:I66)</f>
        <v>-79342</v>
      </c>
      <c r="J67" s="13">
        <f t="shared" si="134"/>
        <v>-77053</v>
      </c>
      <c r="K67" s="13">
        <f t="shared" si="134"/>
        <v>-143739</v>
      </c>
      <c r="L67" s="13">
        <f t="shared" si="134"/>
        <v>-94080</v>
      </c>
      <c r="M67" s="13">
        <f t="shared" si="134"/>
        <v>-94433</v>
      </c>
      <c r="N67" s="13">
        <f t="shared" si="134"/>
        <v>-101931</v>
      </c>
      <c r="O67" s="13">
        <f t="shared" si="134"/>
        <v>-84369</v>
      </c>
      <c r="P67" s="13">
        <f t="shared" si="134"/>
        <v>-141251</v>
      </c>
      <c r="Q67" s="13">
        <f t="shared" si="134"/>
        <v>-153403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-143739</v>
      </c>
      <c r="Y67" s="13">
        <f t="shared" si="135"/>
        <v>-94080</v>
      </c>
      <c r="Z67" s="13">
        <f t="shared" si="135"/>
        <v>-94433</v>
      </c>
      <c r="AA67" s="13">
        <f t="shared" si="135"/>
        <v>-101931</v>
      </c>
      <c r="AB67" s="13">
        <f t="shared" si="135"/>
        <v>-84369</v>
      </c>
      <c r="AC67" s="13">
        <f t="shared" si="135"/>
        <v>-141251</v>
      </c>
      <c r="AD67" s="13">
        <f t="shared" si="135"/>
        <v>-153403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87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58</v>
      </c>
      <c r="C71" s="137" t="s">
        <v>89</v>
      </c>
      <c r="D71" s="137"/>
      <c r="E71" s="137"/>
      <c r="F71" s="137"/>
      <c r="H71" s="135"/>
      <c r="I71" s="135"/>
      <c r="J71" s="135"/>
      <c r="K71" s="135"/>
      <c r="L71" s="137" t="s">
        <v>89</v>
      </c>
      <c r="M71" s="137" t="s">
        <v>89</v>
      </c>
      <c r="N71" s="137" t="s">
        <v>89</v>
      </c>
      <c r="O71" s="137" t="s">
        <v>89</v>
      </c>
      <c r="P71" s="137" t="s">
        <v>89</v>
      </c>
      <c r="Q71" s="137" t="s">
        <v>89</v>
      </c>
      <c r="R71" s="137"/>
      <c r="S71" s="137"/>
      <c r="T71" s="137"/>
      <c r="U71" s="137"/>
      <c r="V71" s="137"/>
      <c r="W71" s="137"/>
      <c r="X71" s="137" t="s">
        <v>89</v>
      </c>
      <c r="Y71" s="137" t="s">
        <v>89</v>
      </c>
      <c r="Z71" s="137" t="s">
        <v>89</v>
      </c>
      <c r="AA71" s="137" t="s">
        <v>89</v>
      </c>
      <c r="AB71" s="137" t="s">
        <v>89</v>
      </c>
      <c r="AC71" s="137" t="s">
        <v>89</v>
      </c>
      <c r="AD71" s="137" t="s">
        <v>89</v>
      </c>
      <c r="AE71" s="137"/>
      <c r="AF71" s="137"/>
      <c r="AG71" s="137"/>
      <c r="AH71" s="137"/>
      <c r="AI71" s="137"/>
    </row>
    <row r="72" spans="1:35" ht="12.75" customHeight="1">
      <c r="B72" s="8" t="s">
        <v>59</v>
      </c>
      <c r="C72" s="137" t="s">
        <v>89</v>
      </c>
      <c r="D72" s="137"/>
      <c r="E72" s="137"/>
      <c r="F72" s="137"/>
      <c r="H72" s="135"/>
      <c r="I72" s="135"/>
      <c r="J72" s="135"/>
      <c r="K72" s="135"/>
      <c r="L72" s="137" t="s">
        <v>89</v>
      </c>
      <c r="M72" s="137" t="s">
        <v>89</v>
      </c>
      <c r="N72" s="137" t="s">
        <v>89</v>
      </c>
      <c r="O72" s="137" t="s">
        <v>89</v>
      </c>
      <c r="P72" s="137" t="s">
        <v>89</v>
      </c>
      <c r="Q72" s="137" t="s">
        <v>89</v>
      </c>
      <c r="R72" s="137"/>
      <c r="S72" s="137"/>
      <c r="T72" s="137"/>
      <c r="U72" s="137"/>
      <c r="V72" s="137"/>
      <c r="W72" s="137"/>
      <c r="X72" s="137" t="s">
        <v>89</v>
      </c>
      <c r="Y72" s="137" t="s">
        <v>89</v>
      </c>
      <c r="Z72" s="137" t="s">
        <v>89</v>
      </c>
      <c r="AA72" s="137" t="s">
        <v>89</v>
      </c>
      <c r="AB72" s="137" t="s">
        <v>89</v>
      </c>
      <c r="AC72" s="137" t="s">
        <v>89</v>
      </c>
      <c r="AD72" s="137" t="s">
        <v>89</v>
      </c>
      <c r="AE72" s="137"/>
      <c r="AF72" s="137"/>
      <c r="AG72" s="137"/>
      <c r="AH72" s="137"/>
      <c r="AI72" s="137"/>
    </row>
    <row r="73" spans="1:35" ht="12.75" customHeight="1">
      <c r="B73" s="8" t="s">
        <v>60</v>
      </c>
      <c r="C73" s="137" t="s">
        <v>89</v>
      </c>
      <c r="D73" s="137"/>
      <c r="E73" s="137"/>
      <c r="F73" s="137"/>
      <c r="H73" s="135"/>
      <c r="I73" s="135"/>
      <c r="J73" s="135"/>
      <c r="K73" s="135"/>
      <c r="L73" s="137" t="s">
        <v>89</v>
      </c>
      <c r="M73" s="137" t="s">
        <v>89</v>
      </c>
      <c r="N73" s="137" t="s">
        <v>89</v>
      </c>
      <c r="O73" s="137" t="s">
        <v>89</v>
      </c>
      <c r="P73" s="137" t="s">
        <v>89</v>
      </c>
      <c r="Q73" s="137" t="s">
        <v>89</v>
      </c>
      <c r="R73" s="137"/>
      <c r="S73" s="137"/>
      <c r="T73" s="137"/>
      <c r="U73" s="137"/>
      <c r="V73" s="137"/>
      <c r="X73" s="137" t="s">
        <v>89</v>
      </c>
      <c r="Y73" s="137" t="s">
        <v>89</v>
      </c>
      <c r="Z73" s="137" t="s">
        <v>89</v>
      </c>
      <c r="AA73" s="137" t="s">
        <v>89</v>
      </c>
      <c r="AB73" s="137" t="s">
        <v>89</v>
      </c>
      <c r="AC73" s="137" t="s">
        <v>89</v>
      </c>
      <c r="AD73" s="137" t="s">
        <v>89</v>
      </c>
      <c r="AE73" s="137"/>
      <c r="AF73" s="137"/>
      <c r="AG73" s="137"/>
      <c r="AH73" s="137"/>
      <c r="AI73" s="137"/>
    </row>
    <row r="74" spans="1:35" ht="12.75" customHeight="1">
      <c r="B74" s="8" t="s">
        <v>61</v>
      </c>
      <c r="C74" s="137" t="s">
        <v>89</v>
      </c>
      <c r="D74" s="137"/>
      <c r="E74" s="137"/>
      <c r="F74" s="137"/>
      <c r="H74" s="135"/>
      <c r="I74" s="135"/>
      <c r="J74" s="135"/>
      <c r="K74" s="135"/>
      <c r="L74" s="137" t="s">
        <v>89</v>
      </c>
      <c r="M74" s="137" t="s">
        <v>89</v>
      </c>
      <c r="N74" s="137" t="s">
        <v>89</v>
      </c>
      <c r="O74" s="137" t="s">
        <v>89</v>
      </c>
      <c r="P74" s="137" t="s">
        <v>89</v>
      </c>
      <c r="Q74" s="137" t="s">
        <v>89</v>
      </c>
      <c r="R74" s="137"/>
      <c r="S74" s="137"/>
      <c r="T74" s="137"/>
      <c r="U74" s="137"/>
      <c r="V74" s="137"/>
      <c r="X74" s="137" t="s">
        <v>89</v>
      </c>
      <c r="Y74" s="137" t="s">
        <v>89</v>
      </c>
      <c r="Z74" s="137" t="s">
        <v>89</v>
      </c>
      <c r="AA74" s="137" t="s">
        <v>89</v>
      </c>
      <c r="AB74" s="137" t="s">
        <v>89</v>
      </c>
      <c r="AC74" s="137" t="s">
        <v>89</v>
      </c>
      <c r="AD74" s="137" t="s">
        <v>89</v>
      </c>
      <c r="AE74" s="137"/>
      <c r="AF74" s="137"/>
      <c r="AG74" s="137"/>
      <c r="AH74" s="137"/>
      <c r="AI74" s="137"/>
    </row>
    <row r="75" spans="1:35" ht="12.75" customHeight="1">
      <c r="B75" s="8" t="s">
        <v>62</v>
      </c>
      <c r="C75" s="137" t="s">
        <v>89</v>
      </c>
      <c r="D75" s="137"/>
      <c r="E75" s="137"/>
      <c r="F75" s="137"/>
      <c r="H75" s="135"/>
      <c r="I75" s="135"/>
      <c r="J75" s="135"/>
      <c r="K75" s="135"/>
      <c r="L75" s="137" t="s">
        <v>89</v>
      </c>
      <c r="M75" s="137" t="s">
        <v>89</v>
      </c>
      <c r="N75" s="137" t="s">
        <v>89</v>
      </c>
      <c r="O75" s="137" t="s">
        <v>89</v>
      </c>
      <c r="P75" s="137" t="s">
        <v>89</v>
      </c>
      <c r="Q75" s="137" t="s">
        <v>89</v>
      </c>
      <c r="R75" s="137"/>
      <c r="S75" s="137"/>
      <c r="T75" s="137"/>
      <c r="U75" s="137"/>
      <c r="V75" s="137"/>
      <c r="X75" s="137" t="s">
        <v>89</v>
      </c>
      <c r="Y75" s="137" t="s">
        <v>89</v>
      </c>
      <c r="Z75" s="137" t="s">
        <v>89</v>
      </c>
      <c r="AA75" s="137" t="s">
        <v>89</v>
      </c>
      <c r="AB75" s="137" t="s">
        <v>89</v>
      </c>
      <c r="AC75" s="137" t="s">
        <v>89</v>
      </c>
      <c r="AD75" s="137" t="s">
        <v>89</v>
      </c>
      <c r="AE75" s="137"/>
      <c r="AF75" s="137"/>
      <c r="AG75" s="137"/>
      <c r="AH75" s="137"/>
      <c r="AI75" s="137"/>
    </row>
    <row r="76" spans="1:35" ht="12.75" customHeight="1">
      <c r="B76" s="8" t="s">
        <v>63</v>
      </c>
      <c r="C76" s="137" t="s">
        <v>89</v>
      </c>
      <c r="D76" s="137"/>
      <c r="E76" s="137"/>
      <c r="F76" s="137"/>
      <c r="H76" s="135"/>
      <c r="I76" s="135"/>
      <c r="J76" s="135"/>
      <c r="K76" s="135"/>
      <c r="L76" s="137" t="s">
        <v>89</v>
      </c>
      <c r="M76" s="137" t="s">
        <v>89</v>
      </c>
      <c r="N76" s="137" t="s">
        <v>89</v>
      </c>
      <c r="O76" s="137" t="s">
        <v>89</v>
      </c>
      <c r="P76" s="137" t="s">
        <v>89</v>
      </c>
      <c r="Q76" s="137" t="s">
        <v>89</v>
      </c>
      <c r="R76" s="137"/>
      <c r="S76" s="137"/>
      <c r="T76" s="137"/>
      <c r="U76" s="137"/>
      <c r="V76" s="137"/>
      <c r="X76" s="137" t="s">
        <v>89</v>
      </c>
      <c r="Y76" s="137" t="s">
        <v>89</v>
      </c>
      <c r="Z76" s="137" t="s">
        <v>89</v>
      </c>
      <c r="AA76" s="137" t="s">
        <v>89</v>
      </c>
      <c r="AB76" s="137" t="s">
        <v>89</v>
      </c>
      <c r="AC76" s="137" t="s">
        <v>89</v>
      </c>
      <c r="AD76" s="137" t="s">
        <v>89</v>
      </c>
      <c r="AE76" s="137"/>
      <c r="AF76" s="137"/>
      <c r="AG76" s="137"/>
      <c r="AH76" s="137"/>
      <c r="AI76" s="137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2025-11-08T07:47:32Z</dcterms:modified>
</cp:coreProperties>
</file>