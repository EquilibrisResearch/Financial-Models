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0A37E8E1-05F7-46B0-93B3-2EB90D7A733E}" xr6:coauthVersionLast="47" xr6:coauthVersionMax="47" xr10:uidLastSave="{00000000-0000-0000-0000-000000000000}"/>
  <bookViews>
    <workbookView xWindow="-120" yWindow="-120" windowWidth="29040" windowHeight="15720" xr2:uid="{6D905B35-45B3-4831-AB13-BBDA40E00EFC}"/>
  </bookViews>
  <sheets>
    <sheet name="ULTA Beauty " sheetId="1" r:id="rId1"/>
    <sheet name="Segmentation " sheetId="2" r:id="rId2"/>
    <sheet name="Peer Comparables " sheetId="5" r:id="rId3"/>
    <sheet name="Debt Structure" sheetId="3" r:id="rId4"/>
    <sheet name="Share Repo Progra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D4" i="2"/>
  <c r="D116" i="1"/>
  <c r="D117" i="1" s="1"/>
  <c r="C116" i="1"/>
  <c r="G4" i="2"/>
  <c r="F4" i="2"/>
  <c r="E4" i="2"/>
  <c r="G116" i="1"/>
  <c r="F116" i="1"/>
  <c r="E116" i="1"/>
  <c r="E117" i="1" s="1"/>
  <c r="I116" i="1"/>
  <c r="J116" i="1"/>
  <c r="K116" i="1"/>
  <c r="L116" i="1"/>
  <c r="M116" i="1"/>
  <c r="N116" i="1"/>
  <c r="O116" i="1"/>
  <c r="P116" i="1"/>
  <c r="Q116" i="1"/>
  <c r="R116" i="1"/>
  <c r="T116" i="1"/>
  <c r="U116" i="1"/>
  <c r="G117" i="1" l="1"/>
  <c r="F117" i="1"/>
  <c r="W116" i="1"/>
</calcChain>
</file>

<file path=xl/sharedStrings.xml><?xml version="1.0" encoding="utf-8"?>
<sst xmlns="http://schemas.openxmlformats.org/spreadsheetml/2006/main" count="977" uniqueCount="384">
  <si>
    <t>(In Thousands)</t>
  </si>
  <si>
    <t>FYE</t>
  </si>
  <si>
    <t>Quarterly</t>
  </si>
  <si>
    <t>LTM</t>
  </si>
  <si>
    <t>LTM VAR</t>
  </si>
  <si>
    <t>Forecast</t>
  </si>
  <si>
    <t>X</t>
  </si>
  <si>
    <t xml:space="preserve">Income Statement </t>
  </si>
  <si>
    <t>FY2021</t>
  </si>
  <si>
    <t>FY2022</t>
  </si>
  <si>
    <t>FY2023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</si>
  <si>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</si>
  <si>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</si>
  <si>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</si>
  <si>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</si>
  <si>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</si>
  <si>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</si>
  <si>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</si>
  <si>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</si>
  <si>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</si>
  <si>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</si>
  <si>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VAR</t>
  </si>
  <si>
    <t>3Q24F</t>
  </si>
  <si>
    <t>4Q24F</t>
  </si>
  <si>
    <t>1Q25</t>
  </si>
  <si>
    <t>Consolidated Statements of Income - USD ($) shares in Millions, $ in Thousands</t>
  </si>
  <si>
    <t>3-Months Ended</t>
  </si>
  <si>
    <t>12-Months Ended</t>
  </si>
  <si>
    <t>Gross profit</t>
  </si>
  <si>
    <t>-</t>
  </si>
  <si>
    <t>EBITDA</t>
  </si>
  <si>
    <t xml:space="preserve">Balance Sheet Statement </t>
  </si>
  <si>
    <t>Consolidated Balance Sheets - USD ($) $ in Thousands</t>
  </si>
  <si>
    <t>Current assets:</t>
  </si>
  <si>
    <t>Cash and cash equivalents</t>
  </si>
  <si>
    <t>Prepaid expenses and other current assets</t>
  </si>
  <si>
    <t>Total current assets</t>
  </si>
  <si>
    <t>Property and equipment, net</t>
  </si>
  <si>
    <t>Goodwill</t>
  </si>
  <si>
    <t>Current liabilities:</t>
  </si>
  <si>
    <t>Accounts payable</t>
  </si>
  <si>
    <t>Total current liabilities</t>
  </si>
  <si>
    <t>Additional paid-in capital</t>
  </si>
  <si>
    <t>Cash-Flows Statement</t>
  </si>
  <si>
    <t>Consolidated Statements of Cash Flows - USD ($) $ in Millions</t>
  </si>
  <si>
    <t>Depreciation and amortization</t>
  </si>
  <si>
    <t>Net cash used in investing activities</t>
  </si>
  <si>
    <t>FCF</t>
  </si>
  <si>
    <t>Jan. 29, 2022</t>
  </si>
  <si>
    <t>Jan. 28, 2023</t>
  </si>
  <si>
    <t>Feb. 03, 2024</t>
  </si>
  <si>
    <t> </t>
  </si>
  <si>
    <t>Net sales</t>
  </si>
  <si>
    <t>Cost of sales</t>
  </si>
  <si>
    <t>Selling, general and administrative expenses</t>
  </si>
  <si>
    <t>Pre-opening expenses</t>
  </si>
  <si>
    <t>Operating income</t>
  </si>
  <si>
    <t>Interest (income) expense, net</t>
  </si>
  <si>
    <t>Income before income taxes</t>
  </si>
  <si>
    <t>Income tax expense</t>
  </si>
  <si>
    <t>Net income</t>
  </si>
  <si>
    <t>Net income per common share:</t>
  </si>
  <si>
    <t>Basic</t>
  </si>
  <si>
    <t>Diluted</t>
  </si>
  <si>
    <t>Weighted average common shares outstanding:</t>
  </si>
  <si>
    <t>Receivables, net</t>
  </si>
  <si>
    <t>Merchandise inventories, net</t>
  </si>
  <si>
    <t>Prepaid income taxes</t>
  </si>
  <si>
    <t>Operating lease assets</t>
  </si>
  <si>
    <t>Other intangible assets, net</t>
  </si>
  <si>
    <t>Deferred compensation plan assets</t>
  </si>
  <si>
    <t>Other long-term assets</t>
  </si>
  <si>
    <t>Total assets</t>
  </si>
  <si>
    <t>Accrued liabilities</t>
  </si>
  <si>
    <t>Deferred revenue</t>
  </si>
  <si>
    <t>Current operating lease liabilities</t>
  </si>
  <si>
    <t>Accrued income taxes</t>
  </si>
  <si>
    <t>Non-current operating lease liabilities</t>
  </si>
  <si>
    <t>Deferred income taxes</t>
  </si>
  <si>
    <t>Other long-term liabilities</t>
  </si>
  <si>
    <t>Total liabilities</t>
  </si>
  <si>
    <t>Commitments and contingencies (Note 9)</t>
  </si>
  <si>
    <t xml:space="preserve"> </t>
  </si>
  <si>
    <t>Stockholders' equity:</t>
  </si>
  <si>
    <t>Common stock, $0.01 par value, 400,000 shares authorized; 49,123 and 51,120 shares issued; 48,324 and 50,364 shares outstanding; at February 3, 2024 and January 28, 2023, respectively</t>
  </si>
  <si>
    <t>Treasury stock-common, at cost</t>
  </si>
  <si>
    <t>Retained earnings</t>
  </si>
  <si>
    <t>Total stockholders' equity</t>
  </si>
  <si>
    <t>Total liabilities and stockholders' equity</t>
  </si>
  <si>
    <t>Operating activities</t>
  </si>
  <si>
    <t>Adjustments to reconcile net income to net cash provided by operating activities:</t>
  </si>
  <si>
    <t>Non-cash lease expense</t>
  </si>
  <si>
    <t>Stock-based compensation expense</t>
  </si>
  <si>
    <t>Loss on disposal of property and equipment</t>
  </si>
  <si>
    <t>Change in operating assets and liabilities:</t>
  </si>
  <si>
    <t>Receivables</t>
  </si>
  <si>
    <t>Merchandise inventories</t>
  </si>
  <si>
    <t>Income taxes</t>
  </si>
  <si>
    <t>Operating lease liabilities</t>
  </si>
  <si>
    <t>Other assets and liabilities</t>
  </si>
  <si>
    <t>Net cash provided by operating activities</t>
  </si>
  <si>
    <t>Investing activities</t>
  </si>
  <si>
    <t>Capital expenditures</t>
  </si>
  <si>
    <t>Other investments</t>
  </si>
  <si>
    <t>Financing activities</t>
  </si>
  <si>
    <t>Borrowings from credit facility</t>
  </si>
  <si>
    <t>Payments on credit facility</t>
  </si>
  <si>
    <t>Repurchase of common shares</t>
  </si>
  <si>
    <t>Stock options exercised</t>
  </si>
  <si>
    <t>Purchase of treasury shares</t>
  </si>
  <si>
    <t>Net cash used in financing activities</t>
  </si>
  <si>
    <t>Effect of exchange rate changes on cash and cash equivalents</t>
  </si>
  <si>
    <t>Net increase (decrease) in cash and cash equivalents</t>
  </si>
  <si>
    <t>Cash and cash equivalents at beginning of year</t>
  </si>
  <si>
    <t>Cash and cash equivalents at end of year</t>
  </si>
  <si>
    <t>Supplemental information</t>
  </si>
  <si>
    <t>Cash paid for interest</t>
  </si>
  <si>
    <t>Income taxes paid, net of refunds</t>
  </si>
  <si>
    <t>Non-cash capital expenditures</t>
  </si>
  <si>
    <t>Repurchase of common shares in accrued liabilities</t>
  </si>
  <si>
    <t xml:space="preserve">
Ulta Beauty Inc. (NASDAQ: ULTA)</t>
  </si>
  <si>
    <t>Debt (Details) $ in Thousands</t>
  </si>
  <si>
    <t>Feb. 27, 2023 USD ($)</t>
  </si>
  <si>
    <t>Feb. 03, 2024 USD ($)</t>
  </si>
  <si>
    <t>Jan. 28, 2023 USD ($)</t>
  </si>
  <si>
    <t>Notes payable</t>
  </si>
  <si>
    <t>Interest rate margin (as a percent)</t>
  </si>
  <si>
    <t>Unused line fee (as a percent)</t>
  </si>
  <si>
    <t>Outstanding borrowings under credit facility</t>
  </si>
  <si>
    <t>Minimum</t>
  </si>
  <si>
    <t>Fixed charge coverage ratio covenant</t>
  </si>
  <si>
    <t>Base Rate | Minimum</t>
  </si>
  <si>
    <t>Base Rate | Maximum</t>
  </si>
  <si>
    <t>SOFR | Minimum</t>
  </si>
  <si>
    <t>SOFR | Maximum</t>
  </si>
  <si>
    <t>Revolving Credit Facility</t>
  </si>
  <si>
    <t>Maximum borrowing capacity</t>
  </si>
  <si>
    <t>Contingent increase to revolving facility</t>
  </si>
  <si>
    <t>Letters of credit</t>
  </si>
  <si>
    <t>Subsequent events (Details) - USD ($) $ in Thousands</t>
  </si>
  <si>
    <t>Mar. 13, 2024</t>
  </si>
  <si>
    <t>Feb. 27, 2023</t>
  </si>
  <si>
    <t>Mar. 12, 2024</t>
  </si>
  <si>
    <t>Subsequent events</t>
  </si>
  <si>
    <t>Amendment No. 3 to the Second Amended and Restated Loan Agreement [Member]</t>
  </si>
  <si>
    <t>Amendment No. 3 to the Second Amended and Restated Loan Agreement [Member] | Maximum</t>
  </si>
  <si>
    <t>Amendment No. 3 to the Second Amended and Restated Loan Agreement [Member] | Letters of credit</t>
  </si>
  <si>
    <t>2024 Share Repurchase Program | Maximum</t>
  </si>
  <si>
    <t>Authorized amount of share repurchase program</t>
  </si>
  <si>
    <t>Share repurchase program (Details) - USD ($) shares in Thousands, $ in Thousands</t>
  </si>
  <si>
    <t>12 Months Ended</t>
  </si>
  <si>
    <t>Mar. 31, 2022</t>
  </si>
  <si>
    <t>Mar. 31, 2020</t>
  </si>
  <si>
    <t>Share repurchase program</t>
  </si>
  <si>
    <t>Shares repurchased (in shares)</t>
  </si>
  <si>
    <t>Total cost of shares repurchased, including excise tax</t>
  </si>
  <si>
    <t>2020 Share Repurchase Program</t>
  </si>
  <si>
    <t>2022 Share Repurchase Program</t>
  </si>
  <si>
    <t>Revenue - Disaggregated revenue (Details) - Sales Revenue - Product concentration</t>
  </si>
  <si>
    <t>Concentration (as a percent)</t>
  </si>
  <si>
    <t>Cosmetics</t>
  </si>
  <si>
    <t>Haircare products and styling tools</t>
  </si>
  <si>
    <t>Skincare</t>
  </si>
  <si>
    <t>Fragrance and bath</t>
  </si>
  <si>
    <t>Services</t>
  </si>
  <si>
    <t>Accessories and other</t>
  </si>
  <si>
    <t>Business and basis of presentation</t>
  </si>
  <si>
    <t>Number of stores operated | store</t>
  </si>
  <si>
    <t>Number of states in which entity operates | state</t>
  </si>
  <si>
    <t>Number of Reportable Segments | segment</t>
  </si>
  <si>
    <t>Business and basis of presentation (Details) - state segment store</t>
  </si>
  <si>
    <t>Jan. 30, 2021</t>
  </si>
  <si>
    <t>FY2020</t>
  </si>
  <si>
    <t>FY2019</t>
  </si>
  <si>
    <t>Feb. 01, 2020</t>
  </si>
  <si>
    <t>Impairment, restructuring and other costs</t>
  </si>
  <si>
    <t>Long-lived asset impairment charge</t>
  </si>
  <si>
    <t>Purchases of short-term investments</t>
  </si>
  <si>
    <t>Proceeds from short-term investments</t>
  </si>
  <si>
    <t>Acquisitions, net of cash acquired</t>
  </si>
  <si>
    <t>Proceeds from long-term debt</t>
  </si>
  <si>
    <t>Payments on long-term debt</t>
  </si>
  <si>
    <t>Debt issuance costs</t>
  </si>
  <si>
    <t>Short-term investments</t>
  </si>
  <si>
    <t>Deferred rent</t>
  </si>
  <si>
    <t>ULTA</t>
  </si>
  <si>
    <t>BBWI</t>
  </si>
  <si>
    <t>SBH</t>
  </si>
  <si>
    <t>EL</t>
  </si>
  <si>
    <t>ELF</t>
  </si>
  <si>
    <t>SSDOY</t>
  </si>
  <si>
    <t>LRLCY</t>
  </si>
  <si>
    <t>COTY</t>
  </si>
  <si>
    <t>Company Name</t>
  </si>
  <si>
    <t>Ulta Beauty, Inc.</t>
  </si>
  <si>
    <t>Bath &amp; Body Works, Inc.</t>
  </si>
  <si>
    <t>Sally Beauty Holdings, Inc.</t>
  </si>
  <si>
    <t>The Estée Lauder Companies Inc.</t>
  </si>
  <si>
    <t>e.l.f. Beauty, Inc.</t>
  </si>
  <si>
    <t>Shiseido Company, Limited</t>
  </si>
  <si>
    <t>L'Oréal S.A.</t>
  </si>
  <si>
    <t>Coty Inc.</t>
  </si>
  <si>
    <t>Sector</t>
  </si>
  <si>
    <t>Consumer Discretionary</t>
  </si>
  <si>
    <t>Consumer Staples</t>
  </si>
  <si>
    <t>Industry</t>
  </si>
  <si>
    <t>Other Specialty Retail</t>
  </si>
  <si>
    <t>Personal Care Products</t>
  </si>
  <si>
    <t>Market Cap</t>
  </si>
  <si>
    <t>Enterprise Value</t>
  </si>
  <si>
    <t>Employees</t>
  </si>
  <si>
    <t>SA Analysts Covering</t>
  </si>
  <si>
    <t>Wall St. Analysts</t>
  </si>
  <si>
    <t>Profile</t>
  </si>
  <si>
    <t>Quant Rating</t>
  </si>
  <si>
    <t>Hold</t>
  </si>
  <si>
    <t>Strong Sell</t>
  </si>
  <si>
    <t>Sell</t>
  </si>
  <si>
    <t>SA Analysts Rating</t>
  </si>
  <si>
    <t>Buy</t>
  </si>
  <si>
    <t>Not Covered</t>
  </si>
  <si>
    <t>Wall St. Analysts Rating</t>
  </si>
  <si>
    <t>Strong Buy</t>
  </si>
  <si>
    <t>Target Ratings</t>
  </si>
  <si>
    <t>Sector Ratings</t>
  </si>
  <si>
    <t>Sector Rank</t>
  </si>
  <si>
    <t>299 out of 494</t>
  </si>
  <si>
    <t>358 out of 494</t>
  </si>
  <si>
    <t>229 out of 494</t>
  </si>
  <si>
    <t>174 out of 190</t>
  </si>
  <si>
    <t>93 out of 190</t>
  </si>
  <si>
    <t>172 out of 190</t>
  </si>
  <si>
    <t>144 out of 190</t>
  </si>
  <si>
    <t>167 out of 190</t>
  </si>
  <si>
    <t>Industry Rank</t>
  </si>
  <si>
    <t>15 out of 28</t>
  </si>
  <si>
    <t>20 out of 28</t>
  </si>
  <si>
    <t>13 out of 28</t>
  </si>
  <si>
    <t>28 out of 33</t>
  </si>
  <si>
    <t>12 out of 33</t>
  </si>
  <si>
    <t>27 out of 33</t>
  </si>
  <si>
    <t>20 out of 33</t>
  </si>
  <si>
    <t>25 out of 33</t>
  </si>
  <si>
    <t>Valuation</t>
  </si>
  <si>
    <t>C-</t>
  </si>
  <si>
    <t>A-</t>
  </si>
  <si>
    <t>C</t>
  </si>
  <si>
    <t>F</t>
  </si>
  <si>
    <t>D-</t>
  </si>
  <si>
    <t>B-</t>
  </si>
  <si>
    <t>Growth</t>
  </si>
  <si>
    <t>D+</t>
  </si>
  <si>
    <t>A+</t>
  </si>
  <si>
    <t>D</t>
  </si>
  <si>
    <t>Profitability</t>
  </si>
  <si>
    <t>B+</t>
  </si>
  <si>
    <t>C+</t>
  </si>
  <si>
    <t>Momentum</t>
  </si>
  <si>
    <t>EPS Revisions</t>
  </si>
  <si>
    <t>Peer Ratings</t>
  </si>
  <si>
    <t>Last Close</t>
  </si>
  <si>
    <t>52 Week High</t>
  </si>
  <si>
    <t>52 Week Low</t>
  </si>
  <si>
    <t>Price vs. 52 Week High</t>
  </si>
  <si>
    <t>Price vs. 52 Week Low</t>
  </si>
  <si>
    <t>Week Volume/Shares</t>
  </si>
  <si>
    <t>1 Month Return</t>
  </si>
  <si>
    <t>3 Month Return</t>
  </si>
  <si>
    <t>6 Month Return</t>
  </si>
  <si>
    <t>9 Month Return</t>
  </si>
  <si>
    <t>YTD Return</t>
  </si>
  <si>
    <t>1 Year Return</t>
  </si>
  <si>
    <t>3 Year Return</t>
  </si>
  <si>
    <t>5 Year Return</t>
  </si>
  <si>
    <t>10 Year Return</t>
  </si>
  <si>
    <t>Equity Peer Performance</t>
  </si>
  <si>
    <t>Dividend Yield (FWD)</t>
  </si>
  <si>
    <t>Dividend Yield (TTM)</t>
  </si>
  <si>
    <t>4 Year Average Yield</t>
  </si>
  <si>
    <t>Dividend Rate (FWD)</t>
  </si>
  <si>
    <t>Dividend Rate (TTM)</t>
  </si>
  <si>
    <t>Payout Ratio</t>
  </si>
  <si>
    <t>Dividend Growth 3 Yr (CAGR)</t>
  </si>
  <si>
    <t>Dividend Growth 5 Yr (CAGR)</t>
  </si>
  <si>
    <t>Consecutive Years of Dividend Growth</t>
  </si>
  <si>
    <t>0 Years</t>
  </si>
  <si>
    <t>2 Years</t>
  </si>
  <si>
    <t>7 Years</t>
  </si>
  <si>
    <t>Dividend Frequency</t>
  </si>
  <si>
    <t>Semiannual</t>
  </si>
  <si>
    <t>Annual</t>
  </si>
  <si>
    <t>Dividend Peer Performance</t>
  </si>
  <si>
    <t>P/E Non-GAAP (FY1)</t>
  </si>
  <si>
    <t>P/E Non-GAAP (FY2)</t>
  </si>
  <si>
    <t>P/E Non-GAAP (FY3)</t>
  </si>
  <si>
    <t>P/E Non-GAAP (TTM)</t>
  </si>
  <si>
    <t>NM</t>
  </si>
  <si>
    <t>P/E GAAP (FWD)</t>
  </si>
  <si>
    <t>P/E GAAP (TTM)</t>
  </si>
  <si>
    <t>PEG Non-GAAP (FWD)</t>
  </si>
  <si>
    <t>PEG GAAP (TTM)</t>
  </si>
  <si>
    <t>Price/Sales (TTM)</t>
  </si>
  <si>
    <t>EV/Sales (FWD)</t>
  </si>
  <si>
    <t>EV/Sales (TTM)</t>
  </si>
  <si>
    <t>EV/EBITDA (FWD)</t>
  </si>
  <si>
    <t>EV/EBITDA (TTM)</t>
  </si>
  <si>
    <t>Price to Book (TTM)</t>
  </si>
  <si>
    <t>Price/Cash Flow (TTM)</t>
  </si>
  <si>
    <t>Revenue Growth (YoY)</t>
  </si>
  <si>
    <t>Revenue Growth (FWD)</t>
  </si>
  <si>
    <t>Revenue 3 Year (CAGR)</t>
  </si>
  <si>
    <t>Revenue 5 Year (CAGR)</t>
  </si>
  <si>
    <t>EBITDA Growth (YoY)</t>
  </si>
  <si>
    <t>EBITDA Growth (FWD)</t>
  </si>
  <si>
    <t>EBITDA 3 Year (CAGR)</t>
  </si>
  <si>
    <t>EBIT 3 Year (CAGR)</t>
  </si>
  <si>
    <t>Net Income 3 Year (CAGR)</t>
  </si>
  <si>
    <t>EPS Growth Diluted (YoY)</t>
  </si>
  <si>
    <t>EPS Growth Diluted (FWD)</t>
  </si>
  <si>
    <t>EPS Diluted 3 Year (CAGR)</t>
  </si>
  <si>
    <t>Tang Book Value 3 Year (CAGR)</t>
  </si>
  <si>
    <t>Total Assets 3 Year (CAGR)</t>
  </si>
  <si>
    <t>Levered FCF 3 Year (CAGR)</t>
  </si>
  <si>
    <t>Gross Profit Margin</t>
  </si>
  <si>
    <t>EBIT Margin</t>
  </si>
  <si>
    <t>EBITDA Margin</t>
  </si>
  <si>
    <t>Net Income Margin</t>
  </si>
  <si>
    <t>Levered FCF Margin</t>
  </si>
  <si>
    <t>Return on Equity</t>
  </si>
  <si>
    <t>Return on Assets</t>
  </si>
  <si>
    <t>Return on Total Capital</t>
  </si>
  <si>
    <t>Cash From Operations</t>
  </si>
  <si>
    <t>Revenue Per Employee</t>
  </si>
  <si>
    <t>Net Income Per Employee</t>
  </si>
  <si>
    <t>Asset Turnover</t>
  </si>
  <si>
    <t>Shares Outstanding</t>
  </si>
  <si>
    <t>Float %</t>
  </si>
  <si>
    <t>Insider Shares</t>
  </si>
  <si>
    <t>Insider %</t>
  </si>
  <si>
    <t>Institutional Shares</t>
  </si>
  <si>
    <t>Institutional %</t>
  </si>
  <si>
    <t>1 Month Price Performance</t>
  </si>
  <si>
    <t>3 Month Price Performance</t>
  </si>
  <si>
    <t>6 Month Price Performance</t>
  </si>
  <si>
    <t>9 Month Price Performance</t>
  </si>
  <si>
    <t>YTD Price Performance</t>
  </si>
  <si>
    <t>1Y Price Performance</t>
  </si>
  <si>
    <t>3 Year Price Performance</t>
  </si>
  <si>
    <t>5 Year Price Performance</t>
  </si>
  <si>
    <t>10 Year Price Performance</t>
  </si>
  <si>
    <t>Short Interest</t>
  </si>
  <si>
    <t>24M Beta</t>
  </si>
  <si>
    <t>60M Beta</t>
  </si>
  <si>
    <t>Altman Z Score</t>
  </si>
  <si>
    <t>EPS: FQ1 Up Revisions</t>
  </si>
  <si>
    <t>EPS: FQ1 Down Revisions</t>
  </si>
  <si>
    <t>Revenue: FQ1 Up Revisions</t>
  </si>
  <si>
    <t>Revenue: FQ1 Down Revisions</t>
  </si>
  <si>
    <t>EPS Beats (last 2 years)</t>
  </si>
  <si>
    <t>Revenue Beats (last 2 years)</t>
  </si>
  <si>
    <t>Revenue</t>
  </si>
  <si>
    <t>Revenue Per Share</t>
  </si>
  <si>
    <t>EPS Diluted</t>
  </si>
  <si>
    <t>Net Income</t>
  </si>
  <si>
    <t>Gross Profit</t>
  </si>
  <si>
    <t>Operating Income</t>
  </si>
  <si>
    <t>Net Income Avail. to Comm.</t>
  </si>
  <si>
    <t>Total Cash</t>
  </si>
  <si>
    <t>Total Cash Per Share</t>
  </si>
  <si>
    <t>Total Debt</t>
  </si>
  <si>
    <t>Net Debt</t>
  </si>
  <si>
    <t>Total Debt to Equity</t>
  </si>
  <si>
    <t>Short Term Debt</t>
  </si>
  <si>
    <t>Long Term Debt</t>
  </si>
  <si>
    <t>Current Ratio</t>
  </si>
  <si>
    <t>Quick Ratio</t>
  </si>
  <si>
    <t>Covered Ratio</t>
  </si>
  <si>
    <t>Book Value Per Share</t>
  </si>
  <si>
    <t>Debt/Free Cash Flow</t>
  </si>
  <si>
    <t>Long Term Debt/Total Capital</t>
  </si>
  <si>
    <t>Net Operating Cash Flow</t>
  </si>
  <si>
    <t>Levered Free Cash Flow</t>
  </si>
  <si>
    <t>Cash from Operations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</si>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</sst>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i/>
      <sz val="12"/>
      <color theme="0"/>
      <name val="Calibri"/>
      <family val="2"/>
    </font>
    <font>
      <i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9"/>
      <color theme="1"/>
      <name val="Calibri"/>
      <family val="2"/>
      <scheme val="minor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E1"/>
      <name val="Calibri"/>
      <family val="2"/>
      <scheme val="minor"/>
    </font>
    <font>
      <sz val="11"/>
      <color rgb="FF0000E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</font>
    <font>
      <b/>
      <sz val="11"/>
      <color rgb="FF0000E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5" fillId="0" borderId="0" xfId="0" applyFont="1" applyAlignment="1">
      <alignment horizontal="center"/>
    </xf>
    <xf numFmtId="0" fontId="0" fillId="2" borderId="0" xfId="0" applyFill="1"/>
    <xf numFmtId="0" fontId="7" fillId="2" borderId="0" xfId="0" applyFont="1" applyFill="1"/>
    <xf numFmtId="0" fontId="8" fillId="0" borderId="0" xfId="0" applyFont="1"/>
    <xf numFmtId="0" fontId="3" fillId="0" borderId="1" xfId="0" applyFont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0" fillId="2" borderId="0" xfId="0" applyFont="1" applyFill="1" applyAlignment="1">
      <alignment vertical="center"/>
    </xf>
    <xf numFmtId="14" fontId="8" fillId="2" borderId="0" xfId="0" applyNumberFormat="1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0" fontId="12" fillId="0" borderId="0" xfId="0" applyFont="1"/>
    <xf numFmtId="9" fontId="0" fillId="0" borderId="0" xfId="3" applyFont="1"/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8" fillId="2" borderId="0" xfId="0" applyFont="1" applyFill="1"/>
    <xf numFmtId="0" fontId="13" fillId="4" borderId="3" xfId="0" applyFont="1" applyFill="1" applyBorder="1"/>
    <xf numFmtId="37" fontId="11" fillId="4" borderId="4" xfId="1" applyNumberFormat="1" applyFont="1" applyFill="1" applyBorder="1"/>
    <xf numFmtId="37" fontId="11" fillId="4" borderId="5" xfId="1" applyNumberFormat="1" applyFont="1" applyFill="1" applyBorder="1"/>
    <xf numFmtId="37" fontId="11" fillId="4" borderId="3" xfId="1" applyNumberFormat="1" applyFont="1" applyFill="1" applyBorder="1"/>
    <xf numFmtId="37" fontId="17" fillId="0" borderId="0" xfId="1" applyNumberFormat="1" applyFont="1" applyFill="1" applyBorder="1"/>
    <xf numFmtId="10" fontId="18" fillId="3" borderId="0" xfId="3" applyNumberFormat="1" applyFont="1" applyFill="1" applyAlignment="1">
      <alignment horizontal="center"/>
    </xf>
    <xf numFmtId="0" fontId="3" fillId="0" borderId="0" xfId="0" applyFont="1"/>
    <xf numFmtId="164" fontId="3" fillId="0" borderId="0" xfId="1" applyNumberFormat="1" applyFont="1" applyBorder="1"/>
    <xf numFmtId="10" fontId="18" fillId="0" borderId="0" xfId="3" applyNumberFormat="1" applyFont="1" applyFill="1" applyAlignment="1">
      <alignment horizontal="center"/>
    </xf>
    <xf numFmtId="164" fontId="0" fillId="0" borderId="0" xfId="1" applyNumberFormat="1" applyFont="1" applyBorder="1"/>
    <xf numFmtId="0" fontId="19" fillId="0" borderId="0" xfId="0" applyFont="1" applyAlignment="1">
      <alignment vertical="center"/>
    </xf>
    <xf numFmtId="14" fontId="20" fillId="0" borderId="0" xfId="0" applyNumberFormat="1" applyFont="1" applyAlignment="1">
      <alignment horizontal="center"/>
    </xf>
    <xf numFmtId="0" fontId="21" fillId="0" borderId="0" xfId="0" applyFont="1"/>
    <xf numFmtId="14" fontId="16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6" fillId="2" borderId="0" xfId="0" applyFont="1" applyFill="1"/>
    <xf numFmtId="37" fontId="21" fillId="0" borderId="0" xfId="0" applyNumberFormat="1" applyFont="1" applyAlignment="1">
      <alignment horizontal="right"/>
    </xf>
    <xf numFmtId="37" fontId="16" fillId="0" borderId="2" xfId="0" applyNumberFormat="1" applyFont="1" applyBorder="1" applyAlignment="1">
      <alignment horizontal="right"/>
    </xf>
    <xf numFmtId="39" fontId="22" fillId="0" borderId="0" xfId="0" applyNumberFormat="1" applyFont="1" applyAlignment="1">
      <alignment horizontal="right"/>
    </xf>
    <xf numFmtId="37" fontId="22" fillId="0" borderId="0" xfId="0" applyNumberFormat="1" applyFont="1" applyAlignment="1">
      <alignment horizontal="right"/>
    </xf>
    <xf numFmtId="165" fontId="22" fillId="0" borderId="0" xfId="2" applyNumberFormat="1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37" fontId="15" fillId="0" borderId="2" xfId="0" applyNumberFormat="1" applyFont="1" applyBorder="1" applyAlignment="1">
      <alignment horizontal="center" vertical="center"/>
    </xf>
    <xf numFmtId="37" fontId="23" fillId="0" borderId="0" xfId="0" applyNumberFormat="1" applyFont="1" applyAlignment="1">
      <alignment horizontal="center" vertical="center"/>
    </xf>
    <xf numFmtId="37" fontId="23" fillId="0" borderId="0" xfId="0" applyNumberFormat="1" applyFont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37" fontId="15" fillId="0" borderId="2" xfId="0" applyNumberFormat="1" applyFont="1" applyBorder="1" applyAlignment="1">
      <alignment horizontal="right" vertical="center"/>
    </xf>
    <xf numFmtId="37" fontId="14" fillId="0" borderId="0" xfId="0" applyNumberFormat="1" applyFont="1" applyAlignment="1">
      <alignment horizontal="right" vertical="center"/>
    </xf>
    <xf numFmtId="37" fontId="23" fillId="0" borderId="0" xfId="0" applyNumberFormat="1" applyFont="1" applyAlignment="1">
      <alignment horizontal="right"/>
    </xf>
    <xf numFmtId="37" fontId="15" fillId="0" borderId="2" xfId="0" applyNumberFormat="1" applyFont="1" applyBorder="1" applyAlignment="1">
      <alignment horizontal="right"/>
    </xf>
    <xf numFmtId="37" fontId="14" fillId="0" borderId="0" xfId="0" applyNumberFormat="1" applyFont="1" applyAlignment="1">
      <alignment horizontal="right"/>
    </xf>
    <xf numFmtId="0" fontId="16" fillId="0" borderId="0" xfId="0" applyFont="1"/>
    <xf numFmtId="0" fontId="16" fillId="0" borderId="2" xfId="0" applyFont="1" applyBorder="1"/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165" fontId="23" fillId="0" borderId="0" xfId="2" applyNumberFormat="1" applyFont="1" applyAlignment="1">
      <alignment horizontal="right"/>
    </xf>
    <xf numFmtId="166" fontId="3" fillId="0" borderId="0" xfId="3" applyNumberFormat="1" applyFont="1" applyBorder="1"/>
    <xf numFmtId="0" fontId="4" fillId="2" borderId="0" xfId="0" applyFont="1" applyFill="1"/>
    <xf numFmtId="9" fontId="3" fillId="0" borderId="0" xfId="0" applyNumberFormat="1" applyFont="1"/>
    <xf numFmtId="0" fontId="2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26" fillId="2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7" fontId="23" fillId="0" borderId="0" xfId="0" applyNumberFormat="1" applyFont="1" applyAlignment="1">
      <alignment vertical="center"/>
    </xf>
    <xf numFmtId="37" fontId="15" fillId="0" borderId="2" xfId="0" applyNumberFormat="1" applyFont="1" applyBorder="1" applyAlignment="1">
      <alignment vertical="center"/>
    </xf>
    <xf numFmtId="37" fontId="15" fillId="0" borderId="0" xfId="0" applyNumberFormat="1" applyFont="1" applyAlignment="1">
      <alignment vertical="center"/>
    </xf>
    <xf numFmtId="44" fontId="23" fillId="0" borderId="0" xfId="2" applyFont="1" applyAlignment="1">
      <alignment vertical="center"/>
    </xf>
    <xf numFmtId="44" fontId="22" fillId="0" borderId="0" xfId="2" applyFont="1" applyAlignment="1">
      <alignment horizontal="right"/>
    </xf>
    <xf numFmtId="37" fontId="22" fillId="0" borderId="0" xfId="2" applyNumberFormat="1" applyFont="1" applyAlignment="1">
      <alignment horizontal="right"/>
    </xf>
    <xf numFmtId="37" fontId="27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37" fontId="16" fillId="0" borderId="0" xfId="0" applyNumberFormat="1" applyFont="1" applyAlignment="1">
      <alignment horizontal="right"/>
    </xf>
    <xf numFmtId="37" fontId="13" fillId="4" borderId="4" xfId="0" applyNumberFormat="1" applyFont="1" applyFill="1" applyBorder="1"/>
    <xf numFmtId="37" fontId="15" fillId="0" borderId="0" xfId="0" applyNumberFormat="1" applyFont="1" applyAlignment="1">
      <alignment horizontal="right"/>
    </xf>
    <xf numFmtId="38" fontId="23" fillId="0" borderId="0" xfId="0" applyNumberFormat="1" applyFont="1" applyAlignment="1">
      <alignment horizontal="right"/>
    </xf>
    <xf numFmtId="165" fontId="14" fillId="0" borderId="0" xfId="2" applyNumberFormat="1" applyFont="1" applyAlignment="1">
      <alignment horizontal="right" vertical="center"/>
    </xf>
    <xf numFmtId="38" fontId="23" fillId="0" borderId="0" xfId="0" applyNumberFormat="1" applyFont="1" applyAlignment="1">
      <alignment horizontal="right" vertical="center"/>
    </xf>
    <xf numFmtId="37" fontId="23" fillId="0" borderId="0" xfId="0" applyNumberFormat="1" applyFont="1"/>
    <xf numFmtId="37" fontId="15" fillId="0" borderId="2" xfId="0" applyNumberFormat="1" applyFont="1" applyBorder="1"/>
    <xf numFmtId="37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9" fillId="2" borderId="0" xfId="0" applyFont="1" applyFill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AEFB-1860-4F25-808A-8B2496797D15}">
  <dimension ref="A2:AA138"/>
  <sheetViews>
    <sheetView showGridLines="0" tabSelected="1" zoomScaleNormal="100" workbookViewId="0">
      <selection activeCell="E22" sqref="E22"/>
    </sheetView>
  </sheetViews>
  <sheetFormatPr defaultRowHeight="15.75" x14ac:dyDescent="0.25"/>
  <cols>
    <col min="1" max="1" width="5.28515625" style="1" customWidth="1"/>
    <col min="2" max="2" width="74.7109375" bestFit="1" customWidth="1"/>
    <col min="3" max="3" width="13" bestFit="1" customWidth="1"/>
    <col min="4" max="4" width="12.7109375" bestFit="1" customWidth="1"/>
    <col min="5" max="5" width="14.140625" bestFit="1" customWidth="1"/>
    <col min="6" max="7" width="16.5703125" bestFit="1" customWidth="1"/>
    <col min="8" max="8" width="2.42578125" customWidth="1"/>
    <col min="9" max="11" width="14.28515625" bestFit="1" customWidth="1"/>
    <col min="12" max="12" width="11.28515625" bestFit="1" customWidth="1"/>
    <col min="13" max="13" width="14.42578125" bestFit="1" customWidth="1"/>
    <col min="14" max="14" width="14.85546875" customWidth="1"/>
    <col min="15" max="15" width="14.42578125" bestFit="1" customWidth="1"/>
    <col min="16" max="17" width="13.7109375" bestFit="1" customWidth="1"/>
    <col min="18" max="18" width="13.140625" bestFit="1" customWidth="1"/>
    <col min="19" max="19" width="0.7109375" customWidth="1"/>
    <col min="20" max="20" width="15.42578125" bestFit="1" customWidth="1"/>
    <col min="21" max="21" width="12.140625" bestFit="1" customWidth="1"/>
    <col min="22" max="22" width="1.42578125" customWidth="1"/>
    <col min="23" max="23" width="12.42578125" bestFit="1" customWidth="1"/>
    <col min="24" max="24" width="1.5703125" customWidth="1"/>
    <col min="25" max="25" width="16.28515625" bestFit="1" customWidth="1"/>
    <col min="26" max="26" width="17.28515625" bestFit="1" customWidth="1"/>
    <col min="27" max="27" width="16.28515625" bestFit="1" customWidth="1"/>
  </cols>
  <sheetData>
    <row r="2" spans="1:27" x14ac:dyDescent="0.25">
      <c r="B2" s="40" t="s">
        <v>120</v>
      </c>
      <c r="C2" s="40"/>
      <c r="D2" s="40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B3" s="3" t="s">
        <v>0</v>
      </c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9.75" customHeight="1" x14ac:dyDescent="0.25">
      <c r="B4" s="4"/>
      <c r="C4" s="4"/>
      <c r="D4" s="4"/>
    </row>
    <row r="5" spans="1:27" ht="16.5" thickBot="1" x14ac:dyDescent="0.3">
      <c r="B5" s="5"/>
      <c r="C5" s="5"/>
      <c r="D5" s="5" t="s">
        <v>1</v>
      </c>
      <c r="E5" s="5"/>
      <c r="F5" s="5"/>
      <c r="G5" s="5"/>
      <c r="I5" s="5" t="s">
        <v>2</v>
      </c>
      <c r="J5" s="5"/>
      <c r="K5" s="5"/>
      <c r="L5" s="5"/>
      <c r="M5" s="5"/>
      <c r="N5" s="5"/>
      <c r="O5" s="5"/>
      <c r="P5" s="5"/>
      <c r="Q5" s="5"/>
      <c r="R5" s="5"/>
      <c r="T5" s="5" t="s">
        <v>3</v>
      </c>
      <c r="U5" s="5"/>
      <c r="V5" s="6"/>
      <c r="W5" s="5" t="s">
        <v>4</v>
      </c>
      <c r="Y5" s="5" t="s">
        <v>5</v>
      </c>
      <c r="Z5" s="5"/>
      <c r="AA5" s="5"/>
    </row>
    <row r="6" spans="1:27" ht="3" customHeight="1" x14ac:dyDescent="0.25"/>
    <row r="7" spans="1:27" x14ac:dyDescent="0.25">
      <c r="A7" s="1" t="s">
        <v>6</v>
      </c>
      <c r="B7" s="7" t="s">
        <v>7</v>
      </c>
      <c r="C7" s="8" t="s">
        <v>173</v>
      </c>
      <c r="D7" s="8" t="s">
        <v>172</v>
      </c>
      <c r="E7" s="8" t="s">
        <v>8</v>
      </c>
      <c r="F7" s="8" t="s">
        <v>9</v>
      </c>
      <c r="G7" s="8" t="s">
        <v>10</v>
      </c>
      <c r="I7" s="8" t="s">
        <v>11</v>
      </c>
      <c r="J7" s="8" t="s">
        <v>12</v>
      </c>
      <c r="K7" s="8" t="s">
        <v>13</v>
      </c>
      <c r="L7" s="8" t="s">
        <v>14</v>
      </c>
      <c r="M7" s="8" t="s">
        <v>15</v>
      </c>
      <c r="N7" s="8" t="s">
        <v>16</v>
      </c>
      <c r="O7" s="8" t="s">
        <v>17</v>
      </c>
      <c r="P7" s="8" t="s">
        <v>18</v>
      </c>
      <c r="Q7" s="8" t="s">
        <v>19</v>
      </c>
      <c r="R7" s="8" t="s">
        <v>20</v>
      </c>
      <c r="T7" s="8" t="s">
        <v>16</v>
      </c>
      <c r="U7" s="8" t="s">
        <v>20</v>
      </c>
      <c r="V7" s="9"/>
      <c r="W7" s="89" t="s">
        <v>21</v>
      </c>
      <c r="Y7" s="8" t="s">
        <v>22</v>
      </c>
      <c r="Z7" s="8" t="s">
        <v>23</v>
      </c>
      <c r="AA7" s="8" t="s">
        <v>24</v>
      </c>
    </row>
    <row r="8" spans="1:27" x14ac:dyDescent="0.25">
      <c r="B8" s="10" t="s">
        <v>25</v>
      </c>
      <c r="C8" s="67" t="s">
        <v>174</v>
      </c>
      <c r="D8" s="67" t="s">
        <v>171</v>
      </c>
      <c r="E8" s="12" t="s">
        <v>48</v>
      </c>
      <c r="F8" s="12" t="s">
        <v>49</v>
      </c>
      <c r="G8" s="12" t="s">
        <v>50</v>
      </c>
      <c r="I8" s="12"/>
      <c r="J8" s="12"/>
      <c r="K8" s="12"/>
      <c r="L8" s="12"/>
      <c r="M8" s="12"/>
      <c r="N8" s="12"/>
      <c r="O8" s="12"/>
      <c r="P8" s="12"/>
      <c r="Q8" s="12"/>
      <c r="R8" s="12"/>
      <c r="T8" s="11"/>
      <c r="U8" s="11"/>
      <c r="V8" s="13"/>
      <c r="W8" s="89"/>
      <c r="Y8" s="11" t="s">
        <v>26</v>
      </c>
      <c r="Z8" s="11" t="s">
        <v>27</v>
      </c>
      <c r="AA8" s="11" t="s">
        <v>26</v>
      </c>
    </row>
    <row r="9" spans="1:27" s="34" customFormat="1" ht="4.5" customHeight="1" x14ac:dyDescent="0.25">
      <c r="A9" s="1"/>
      <c r="B9" s="32"/>
      <c r="C9" s="32"/>
      <c r="D9" s="32"/>
      <c r="E9" s="33"/>
      <c r="F9" s="33"/>
      <c r="G9" s="33"/>
      <c r="I9" s="35"/>
      <c r="J9" s="35"/>
      <c r="K9" s="35"/>
      <c r="L9" s="35"/>
      <c r="M9" s="35"/>
      <c r="N9" s="35"/>
      <c r="O9" s="35"/>
      <c r="P9" s="35"/>
      <c r="Q9" s="35"/>
      <c r="R9" s="35"/>
      <c r="T9" s="35"/>
      <c r="U9" s="35"/>
      <c r="V9" s="35"/>
    </row>
    <row r="10" spans="1:27" s="34" customFormat="1" ht="15" x14ac:dyDescent="0.25">
      <c r="A10" s="68"/>
      <c r="B10" s="16" t="s">
        <v>52</v>
      </c>
      <c r="C10" s="50">
        <v>7398068</v>
      </c>
      <c r="D10" s="50">
        <v>6151953</v>
      </c>
      <c r="E10" s="75">
        <v>8630889</v>
      </c>
      <c r="F10" s="75">
        <v>10208580</v>
      </c>
      <c r="G10" s="75">
        <v>11207303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35"/>
      <c r="U10" s="35"/>
      <c r="V10" s="35"/>
    </row>
    <row r="11" spans="1:27" s="34" customFormat="1" ht="15" x14ac:dyDescent="0.25">
      <c r="A11" s="68"/>
      <c r="B11" s="16" t="s">
        <v>53</v>
      </c>
      <c r="C11" s="70">
        <v>4717004</v>
      </c>
      <c r="D11" s="70">
        <v>4202794</v>
      </c>
      <c r="E11" s="44">
        <v>5262335</v>
      </c>
      <c r="F11" s="44">
        <v>6164070</v>
      </c>
      <c r="G11" s="44">
        <v>6826203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35"/>
      <c r="U11" s="35"/>
      <c r="V11" s="35"/>
    </row>
    <row r="12" spans="1:27" s="34" customFormat="1" ht="15" x14ac:dyDescent="0.25">
      <c r="A12" s="68"/>
      <c r="B12" s="17" t="s">
        <v>28</v>
      </c>
      <c r="C12" s="71">
        <v>2681064</v>
      </c>
      <c r="D12" s="71">
        <v>1949159</v>
      </c>
      <c r="E12" s="42">
        <v>3368554</v>
      </c>
      <c r="F12" s="42">
        <v>4044510</v>
      </c>
      <c r="G12" s="42">
        <v>4381100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35"/>
      <c r="U12" s="35"/>
      <c r="V12" s="35"/>
    </row>
    <row r="13" spans="1:27" s="34" customFormat="1" ht="15" x14ac:dyDescent="0.25">
      <c r="A13" s="68"/>
      <c r="B13" s="16" t="s">
        <v>54</v>
      </c>
      <c r="C13" s="70">
        <v>1760716</v>
      </c>
      <c r="D13" s="70">
        <v>1583017</v>
      </c>
      <c r="E13" s="44">
        <v>2061545</v>
      </c>
      <c r="F13" s="44">
        <v>2395299</v>
      </c>
      <c r="G13" s="44">
        <v>2694561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35"/>
      <c r="U13" s="35"/>
      <c r="V13" s="35"/>
    </row>
    <row r="14" spans="1:27" s="34" customFormat="1" ht="15" x14ac:dyDescent="0.25">
      <c r="A14" s="68"/>
      <c r="B14" s="69" t="s">
        <v>175</v>
      </c>
      <c r="C14" s="70"/>
      <c r="D14" s="70">
        <v>114322</v>
      </c>
      <c r="E14" s="44"/>
      <c r="F14" s="44"/>
      <c r="G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35"/>
      <c r="U14" s="35"/>
      <c r="V14" s="35"/>
    </row>
    <row r="15" spans="1:27" s="34" customFormat="1" ht="15" x14ac:dyDescent="0.25">
      <c r="A15" s="68"/>
      <c r="B15" s="16" t="s">
        <v>55</v>
      </c>
      <c r="C15" s="70">
        <v>19254</v>
      </c>
      <c r="D15" s="70">
        <v>15000</v>
      </c>
      <c r="E15" s="44">
        <v>9517</v>
      </c>
      <c r="F15" s="44">
        <v>10601</v>
      </c>
      <c r="G15" s="44">
        <v>8510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35"/>
      <c r="U15" s="35"/>
      <c r="V15" s="35"/>
    </row>
    <row r="16" spans="1:27" s="34" customFormat="1" ht="15" x14ac:dyDescent="0.25">
      <c r="A16" s="68"/>
      <c r="B16" s="16" t="s">
        <v>56</v>
      </c>
      <c r="C16" s="70">
        <v>901094</v>
      </c>
      <c r="D16" s="70">
        <v>236820</v>
      </c>
      <c r="E16" s="44">
        <v>1297492</v>
      </c>
      <c r="F16" s="44">
        <v>1638610</v>
      </c>
      <c r="G16" s="44">
        <v>1678029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35"/>
      <c r="U16" s="35"/>
      <c r="V16" s="35"/>
    </row>
    <row r="17" spans="1:22" s="34" customFormat="1" ht="15" x14ac:dyDescent="0.25">
      <c r="A17" s="68"/>
      <c r="B17" s="16" t="s">
        <v>57</v>
      </c>
      <c r="C17" s="70">
        <v>5056</v>
      </c>
      <c r="D17" s="70">
        <v>-5735</v>
      </c>
      <c r="E17" s="44">
        <v>1663</v>
      </c>
      <c r="F17" s="44">
        <v>-4934</v>
      </c>
      <c r="G17" s="44">
        <v>-17622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35"/>
      <c r="U17" s="35"/>
      <c r="V17" s="35"/>
    </row>
    <row r="18" spans="1:22" s="34" customFormat="1" ht="15" x14ac:dyDescent="0.25">
      <c r="A18" s="68"/>
      <c r="B18" s="16" t="s">
        <v>58</v>
      </c>
      <c r="C18" s="70">
        <v>906150</v>
      </c>
      <c r="D18" s="70">
        <v>231085</v>
      </c>
      <c r="E18" s="44">
        <v>1295829</v>
      </c>
      <c r="F18" s="44">
        <v>1643544</v>
      </c>
      <c r="G18" s="44">
        <v>1695651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35"/>
      <c r="U18" s="35"/>
      <c r="V18" s="35"/>
    </row>
    <row r="19" spans="1:22" s="34" customFormat="1" ht="15" x14ac:dyDescent="0.25">
      <c r="A19" s="68"/>
      <c r="B19" s="16" t="s">
        <v>59</v>
      </c>
      <c r="C19" s="70">
        <v>200205</v>
      </c>
      <c r="D19" s="70">
        <v>55250</v>
      </c>
      <c r="E19" s="44">
        <v>309992</v>
      </c>
      <c r="F19" s="44">
        <v>401136</v>
      </c>
      <c r="G19" s="44">
        <v>404646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35"/>
      <c r="U19" s="35"/>
      <c r="V19" s="35"/>
    </row>
    <row r="20" spans="1:22" s="34" customFormat="1" ht="15" x14ac:dyDescent="0.25">
      <c r="A20" s="68"/>
      <c r="B20" s="17" t="s">
        <v>60</v>
      </c>
      <c r="C20" s="71">
        <v>705945</v>
      </c>
      <c r="D20" s="71">
        <v>175835</v>
      </c>
      <c r="E20" s="42">
        <v>985837</v>
      </c>
      <c r="F20" s="42">
        <v>1242408</v>
      </c>
      <c r="G20" s="42">
        <v>1291005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5"/>
      <c r="U20" s="35"/>
      <c r="V20" s="35"/>
    </row>
    <row r="21" spans="1:22" s="34" customFormat="1" ht="15" x14ac:dyDescent="0.25">
      <c r="A21" s="68"/>
      <c r="B21" s="36" t="s">
        <v>61</v>
      </c>
      <c r="C21" s="72"/>
      <c r="D21" s="72"/>
      <c r="E21" s="41" t="s">
        <v>51</v>
      </c>
      <c r="F21" s="41" t="s">
        <v>51</v>
      </c>
      <c r="G21" s="41" t="s">
        <v>51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35"/>
      <c r="U21" s="35"/>
      <c r="V21" s="35"/>
    </row>
    <row r="22" spans="1:22" s="34" customFormat="1" ht="15" x14ac:dyDescent="0.25">
      <c r="A22" s="68"/>
      <c r="B22" s="16" t="s">
        <v>62</v>
      </c>
      <c r="C22" s="73">
        <v>12.21</v>
      </c>
      <c r="D22" s="73">
        <v>3.12</v>
      </c>
      <c r="E22" s="74">
        <v>18.09</v>
      </c>
      <c r="F22" s="74">
        <v>24.17</v>
      </c>
      <c r="G22" s="74">
        <v>26.18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35"/>
      <c r="U22" s="35"/>
      <c r="V22" s="35"/>
    </row>
    <row r="23" spans="1:22" s="34" customFormat="1" ht="15" x14ac:dyDescent="0.25">
      <c r="A23" s="68"/>
      <c r="B23" s="16" t="s">
        <v>63</v>
      </c>
      <c r="C23" s="73">
        <v>12.15</v>
      </c>
      <c r="D23" s="73">
        <v>3.11</v>
      </c>
      <c r="E23" s="74">
        <v>17.98</v>
      </c>
      <c r="F23" s="74">
        <v>24.01</v>
      </c>
      <c r="G23" s="74">
        <v>26.03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35"/>
      <c r="U23" s="35"/>
      <c r="V23" s="35"/>
    </row>
    <row r="24" spans="1:22" s="34" customFormat="1" ht="15" x14ac:dyDescent="0.25">
      <c r="A24" s="68"/>
      <c r="B24" s="36" t="s">
        <v>64</v>
      </c>
      <c r="C24" s="70"/>
      <c r="D24" s="70"/>
      <c r="E24" s="44" t="s">
        <v>51</v>
      </c>
      <c r="F24" s="44" t="s">
        <v>51</v>
      </c>
      <c r="G24" s="44" t="s">
        <v>51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35"/>
      <c r="U24" s="35"/>
      <c r="V24" s="35"/>
    </row>
    <row r="25" spans="1:22" s="34" customFormat="1" ht="15" x14ac:dyDescent="0.25">
      <c r="A25" s="68"/>
      <c r="B25" s="16" t="s">
        <v>62</v>
      </c>
      <c r="C25" s="70">
        <v>57840</v>
      </c>
      <c r="D25" s="70">
        <v>56351</v>
      </c>
      <c r="E25" s="44">
        <v>54482</v>
      </c>
      <c r="F25" s="44">
        <v>51403</v>
      </c>
      <c r="G25" s="44">
        <v>49304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35"/>
      <c r="U25" s="35"/>
      <c r="V25" s="35"/>
    </row>
    <row r="26" spans="1:22" s="34" customFormat="1" ht="15" x14ac:dyDescent="0.25">
      <c r="A26" s="68"/>
      <c r="B26" s="16" t="s">
        <v>63</v>
      </c>
      <c r="C26" s="70">
        <v>58105</v>
      </c>
      <c r="D26" s="70">
        <v>56558</v>
      </c>
      <c r="E26" s="44">
        <v>54841</v>
      </c>
      <c r="F26" s="44">
        <v>51738</v>
      </c>
      <c r="G26" s="44">
        <v>49596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35"/>
      <c r="U26" s="35"/>
      <c r="V26" s="35"/>
    </row>
    <row r="27" spans="1:22" s="34" customFormat="1" ht="15" x14ac:dyDescent="0.25">
      <c r="B27" s="32"/>
      <c r="C27" s="32"/>
      <c r="D27" s="32"/>
      <c r="E27" s="33"/>
      <c r="F27" s="33"/>
      <c r="G27" s="33"/>
      <c r="I27" s="35"/>
      <c r="J27" s="35"/>
      <c r="K27" s="35"/>
      <c r="L27" s="35"/>
      <c r="M27" s="35"/>
      <c r="N27" s="35"/>
      <c r="O27" s="35"/>
      <c r="P27" s="35"/>
      <c r="Q27" s="35"/>
      <c r="R27" s="35"/>
      <c r="T27" s="35"/>
      <c r="U27" s="35"/>
      <c r="V27" s="35"/>
    </row>
    <row r="28" spans="1:22" x14ac:dyDescent="0.25">
      <c r="A28" s="1" t="s">
        <v>6</v>
      </c>
      <c r="B28" s="7" t="s">
        <v>31</v>
      </c>
      <c r="C28" s="8" t="s">
        <v>173</v>
      </c>
      <c r="D28" s="8" t="s">
        <v>172</v>
      </c>
      <c r="E28" s="8" t="s">
        <v>8</v>
      </c>
      <c r="F28" s="8" t="s">
        <v>9</v>
      </c>
      <c r="G28" s="8" t="s">
        <v>10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2" x14ac:dyDescent="0.25">
      <c r="B29" s="18" t="s">
        <v>32</v>
      </c>
      <c r="C29" s="67" t="s">
        <v>174</v>
      </c>
      <c r="D29" s="67" t="s">
        <v>171</v>
      </c>
      <c r="E29" s="12" t="s">
        <v>48</v>
      </c>
      <c r="F29" s="12" t="s">
        <v>49</v>
      </c>
      <c r="G29" s="12" t="s">
        <v>50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2" ht="3" customHeight="1" x14ac:dyDescent="0.25">
      <c r="B30" s="19"/>
      <c r="C30" s="19"/>
      <c r="D30" s="19"/>
      <c r="E30" s="20"/>
      <c r="F30" s="20"/>
      <c r="G30" s="20"/>
    </row>
    <row r="31" spans="1:22" x14ac:dyDescent="0.25">
      <c r="A31" s="60"/>
      <c r="B31" s="46" t="s">
        <v>33</v>
      </c>
      <c r="C31" s="46"/>
      <c r="D31" s="46"/>
      <c r="E31" s="38"/>
      <c r="F31" s="38" t="s">
        <v>51</v>
      </c>
      <c r="G31" s="38" t="s">
        <v>51</v>
      </c>
    </row>
    <row r="32" spans="1:22" x14ac:dyDescent="0.25">
      <c r="A32" s="59"/>
      <c r="B32" s="39" t="s">
        <v>34</v>
      </c>
      <c r="C32" s="82">
        <v>409251</v>
      </c>
      <c r="D32" s="61">
        <v>1046051</v>
      </c>
      <c r="E32" s="61">
        <v>431560</v>
      </c>
      <c r="F32" s="61">
        <v>737877</v>
      </c>
      <c r="G32" s="61">
        <v>766594</v>
      </c>
      <c r="I32" s="54"/>
      <c r="J32" s="54"/>
      <c r="K32" s="54"/>
      <c r="L32" s="54"/>
      <c r="M32" s="54"/>
      <c r="N32" s="54"/>
      <c r="O32" s="54"/>
      <c r="P32" s="54"/>
      <c r="Q32" s="54"/>
      <c r="R32" s="54"/>
    </row>
    <row r="33" spans="1:18" x14ac:dyDescent="0.25">
      <c r="A33" s="59"/>
      <c r="B33" s="39" t="s">
        <v>183</v>
      </c>
      <c r="C33" s="50">
        <v>0</v>
      </c>
      <c r="D33" s="61"/>
      <c r="E33" s="61"/>
      <c r="F33" s="61"/>
      <c r="G33" s="61"/>
      <c r="I33" s="54"/>
      <c r="J33" s="54"/>
      <c r="K33" s="54"/>
      <c r="L33" s="54"/>
      <c r="M33" s="54"/>
      <c r="N33" s="54"/>
      <c r="O33" s="54"/>
      <c r="P33" s="54"/>
      <c r="Q33" s="54"/>
      <c r="R33" s="54"/>
    </row>
    <row r="34" spans="1:18" x14ac:dyDescent="0.25">
      <c r="A34" s="59"/>
      <c r="B34" s="39" t="s">
        <v>65</v>
      </c>
      <c r="C34" s="50">
        <v>136168</v>
      </c>
      <c r="D34" s="54">
        <v>193109</v>
      </c>
      <c r="E34" s="54">
        <v>233682</v>
      </c>
      <c r="F34" s="54">
        <v>199422</v>
      </c>
      <c r="G34" s="54">
        <v>207939</v>
      </c>
      <c r="I34" s="54"/>
      <c r="J34" s="54"/>
      <c r="K34" s="54"/>
      <c r="L34" s="54"/>
      <c r="M34" s="54"/>
      <c r="N34" s="54"/>
      <c r="O34" s="54"/>
      <c r="P34" s="54"/>
      <c r="Q34" s="54"/>
      <c r="R34" s="54"/>
    </row>
    <row r="35" spans="1:18" x14ac:dyDescent="0.25">
      <c r="A35" s="59"/>
      <c r="B35" s="39" t="s">
        <v>66</v>
      </c>
      <c r="C35" s="50">
        <v>1214329</v>
      </c>
      <c r="D35" s="54">
        <v>1168215</v>
      </c>
      <c r="E35" s="54">
        <v>1499218</v>
      </c>
      <c r="F35" s="54">
        <v>1603451</v>
      </c>
      <c r="G35" s="54">
        <v>1742136</v>
      </c>
      <c r="I35" s="54"/>
      <c r="J35" s="54"/>
      <c r="K35" s="54"/>
      <c r="L35" s="54"/>
      <c r="M35" s="54"/>
      <c r="N35" s="54"/>
      <c r="O35" s="54"/>
      <c r="P35" s="54"/>
      <c r="Q35" s="54"/>
      <c r="R35" s="54"/>
    </row>
    <row r="36" spans="1:18" x14ac:dyDescent="0.25">
      <c r="A36" s="59"/>
      <c r="B36" s="39" t="s">
        <v>35</v>
      </c>
      <c r="C36" s="50">
        <v>138116</v>
      </c>
      <c r="D36" s="54">
        <v>107402</v>
      </c>
      <c r="E36" s="54">
        <v>110814</v>
      </c>
      <c r="F36" s="54">
        <v>130246</v>
      </c>
      <c r="G36" s="54">
        <v>115598</v>
      </c>
      <c r="I36" s="54"/>
      <c r="J36" s="54"/>
      <c r="K36" s="54"/>
      <c r="L36" s="54"/>
      <c r="M36" s="54"/>
      <c r="N36" s="54"/>
      <c r="O36" s="54"/>
      <c r="P36" s="54"/>
      <c r="Q36" s="54"/>
      <c r="R36" s="54"/>
    </row>
    <row r="37" spans="1:18" x14ac:dyDescent="0.25">
      <c r="A37" s="59"/>
      <c r="B37" s="39" t="s">
        <v>67</v>
      </c>
      <c r="C37" s="50">
        <v>16997</v>
      </c>
      <c r="D37" s="54"/>
      <c r="E37" s="54">
        <v>5909</v>
      </c>
      <c r="F37" s="54">
        <v>38308</v>
      </c>
      <c r="G37" s="54">
        <v>4251</v>
      </c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x14ac:dyDescent="0.25">
      <c r="A38" s="59"/>
      <c r="B38" s="47" t="s">
        <v>36</v>
      </c>
      <c r="C38" s="51">
        <v>1914861</v>
      </c>
      <c r="D38" s="55">
        <v>2514777</v>
      </c>
      <c r="E38" s="55">
        <v>2281183</v>
      </c>
      <c r="F38" s="55">
        <v>2709304</v>
      </c>
      <c r="G38" s="55">
        <v>2836518</v>
      </c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spans="1:18" x14ac:dyDescent="0.25">
      <c r="A39" s="59"/>
      <c r="B39" s="39" t="s">
        <v>37</v>
      </c>
      <c r="C39" s="83">
        <v>1226029</v>
      </c>
      <c r="D39" s="81">
        <v>995795</v>
      </c>
      <c r="E39" s="81">
        <v>914476</v>
      </c>
      <c r="F39" s="81">
        <v>1009273</v>
      </c>
      <c r="G39" s="81">
        <v>1182335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</row>
    <row r="40" spans="1:18" x14ac:dyDescent="0.25">
      <c r="A40" s="59"/>
      <c r="B40" s="39" t="s">
        <v>68</v>
      </c>
      <c r="C40" s="83"/>
      <c r="D40" s="81">
        <v>1504614</v>
      </c>
      <c r="E40" s="81">
        <v>1482256</v>
      </c>
      <c r="F40" s="81">
        <v>1561263</v>
      </c>
      <c r="G40" s="81">
        <v>1574530</v>
      </c>
      <c r="I40" s="54"/>
      <c r="J40" s="54"/>
      <c r="K40" s="54"/>
      <c r="L40" s="54"/>
      <c r="M40" s="54"/>
      <c r="N40" s="54"/>
      <c r="O40" s="54"/>
      <c r="P40" s="54"/>
      <c r="Q40" s="54"/>
      <c r="R40" s="54"/>
    </row>
    <row r="41" spans="1:18" x14ac:dyDescent="0.25">
      <c r="A41" s="59"/>
      <c r="B41" s="39" t="s">
        <v>38</v>
      </c>
      <c r="C41" s="83">
        <v>10870</v>
      </c>
      <c r="D41" s="81">
        <v>10870</v>
      </c>
      <c r="E41" s="81">
        <v>10870</v>
      </c>
      <c r="F41" s="81">
        <v>10870</v>
      </c>
      <c r="G41" s="81">
        <v>10870</v>
      </c>
      <c r="I41" s="54"/>
      <c r="J41" s="54"/>
      <c r="K41" s="54"/>
      <c r="L41" s="54"/>
      <c r="M41" s="54"/>
      <c r="N41" s="54"/>
      <c r="O41" s="54"/>
      <c r="P41" s="54"/>
      <c r="Q41" s="54"/>
      <c r="R41" s="54"/>
    </row>
    <row r="42" spans="1:18" x14ac:dyDescent="0.25">
      <c r="A42" s="59"/>
      <c r="B42" s="39" t="s">
        <v>69</v>
      </c>
      <c r="C42" s="83">
        <v>4317</v>
      </c>
      <c r="D42" s="81">
        <v>2465</v>
      </c>
      <c r="E42" s="81">
        <v>1538</v>
      </c>
      <c r="F42" s="81">
        <v>1312</v>
      </c>
      <c r="G42" s="81">
        <v>510</v>
      </c>
      <c r="I42" s="54"/>
      <c r="J42" s="54"/>
      <c r="K42" s="54"/>
      <c r="L42" s="54"/>
      <c r="M42" s="54"/>
      <c r="N42" s="54"/>
      <c r="O42" s="54"/>
      <c r="P42" s="54"/>
      <c r="Q42" s="54"/>
      <c r="R42" s="54"/>
    </row>
    <row r="43" spans="1:18" x14ac:dyDescent="0.25">
      <c r="A43" s="59"/>
      <c r="B43" s="39" t="s">
        <v>70</v>
      </c>
      <c r="C43" s="83">
        <v>20511</v>
      </c>
      <c r="D43" s="81">
        <v>33223</v>
      </c>
      <c r="E43" s="81">
        <v>38409</v>
      </c>
      <c r="F43" s="81">
        <v>35382</v>
      </c>
      <c r="G43" s="81">
        <v>43516</v>
      </c>
      <c r="I43" s="54"/>
      <c r="J43" s="54"/>
      <c r="K43" s="54"/>
      <c r="L43" s="54"/>
      <c r="M43" s="54"/>
      <c r="N43" s="54"/>
      <c r="O43" s="54"/>
      <c r="P43" s="54"/>
      <c r="Q43" s="54"/>
      <c r="R43" s="54"/>
    </row>
    <row r="44" spans="1:18" x14ac:dyDescent="0.25">
      <c r="A44" s="59"/>
      <c r="B44" s="39" t="s">
        <v>71</v>
      </c>
      <c r="C44" s="83">
        <v>14584</v>
      </c>
      <c r="D44" s="81">
        <v>28225</v>
      </c>
      <c r="E44" s="81">
        <v>35647</v>
      </c>
      <c r="F44" s="81">
        <v>43007</v>
      </c>
      <c r="G44" s="81">
        <v>58732</v>
      </c>
      <c r="I44" s="54"/>
      <c r="J44" s="54"/>
      <c r="K44" s="54"/>
      <c r="L44" s="54"/>
      <c r="M44" s="54"/>
      <c r="N44" s="54"/>
      <c r="O44" s="54"/>
      <c r="P44" s="54"/>
      <c r="Q44" s="54"/>
      <c r="R44" s="54"/>
    </row>
    <row r="45" spans="1:18" x14ac:dyDescent="0.25">
      <c r="A45" s="59"/>
      <c r="B45" s="47" t="s">
        <v>72</v>
      </c>
      <c r="C45" s="51">
        <v>3191172</v>
      </c>
      <c r="D45" s="55">
        <v>5089969</v>
      </c>
      <c r="E45" s="55">
        <v>4764379</v>
      </c>
      <c r="F45" s="55">
        <v>5370411</v>
      </c>
      <c r="G45" s="55">
        <v>5707011</v>
      </c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spans="1:18" x14ac:dyDescent="0.25">
      <c r="A46" s="59"/>
      <c r="B46" s="39" t="s">
        <v>39</v>
      </c>
      <c r="C46" s="39"/>
      <c r="D46" s="56"/>
      <c r="E46" s="56"/>
      <c r="F46" s="56" t="s">
        <v>51</v>
      </c>
      <c r="G46" s="56" t="s">
        <v>51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</row>
    <row r="47" spans="1:18" x14ac:dyDescent="0.25">
      <c r="A47" s="59"/>
      <c r="B47" s="39" t="s">
        <v>40</v>
      </c>
      <c r="C47" s="70">
        <v>404016</v>
      </c>
      <c r="D47" s="84">
        <v>477052</v>
      </c>
      <c r="E47" s="84">
        <v>552730</v>
      </c>
      <c r="F47" s="84">
        <v>559527</v>
      </c>
      <c r="G47" s="84">
        <v>544001</v>
      </c>
      <c r="I47" s="54"/>
      <c r="J47" s="54"/>
      <c r="K47" s="54"/>
      <c r="L47" s="54"/>
      <c r="M47" s="54"/>
      <c r="N47" s="54"/>
      <c r="O47" s="54"/>
      <c r="P47" s="54"/>
      <c r="Q47" s="54"/>
      <c r="R47" s="54"/>
    </row>
    <row r="48" spans="1:18" x14ac:dyDescent="0.25">
      <c r="A48" s="59"/>
      <c r="B48" s="39" t="s">
        <v>73</v>
      </c>
      <c r="C48" s="70">
        <v>220666</v>
      </c>
      <c r="D48" s="84">
        <v>296334</v>
      </c>
      <c r="E48" s="84">
        <v>364797</v>
      </c>
      <c r="F48" s="84">
        <v>444278</v>
      </c>
      <c r="G48" s="84">
        <v>382468</v>
      </c>
      <c r="I48" s="54"/>
      <c r="J48" s="54"/>
      <c r="K48" s="54"/>
      <c r="L48" s="54"/>
      <c r="M48" s="54"/>
      <c r="N48" s="54"/>
      <c r="O48" s="54"/>
      <c r="P48" s="54"/>
      <c r="Q48" s="54"/>
      <c r="R48" s="54"/>
    </row>
    <row r="49" spans="1:18" x14ac:dyDescent="0.25">
      <c r="A49" s="59"/>
      <c r="B49" s="39" t="s">
        <v>74</v>
      </c>
      <c r="C49" s="70">
        <v>199054</v>
      </c>
      <c r="D49" s="84">
        <v>274383</v>
      </c>
      <c r="E49" s="84">
        <v>353579</v>
      </c>
      <c r="F49" s="84">
        <v>394677</v>
      </c>
      <c r="G49" s="84">
        <v>436591</v>
      </c>
      <c r="I49" s="54"/>
      <c r="J49" s="54"/>
      <c r="K49" s="54"/>
      <c r="L49" s="54"/>
      <c r="M49" s="54"/>
      <c r="N49" s="54"/>
      <c r="O49" s="54"/>
      <c r="P49" s="54"/>
      <c r="Q49" s="54"/>
      <c r="R49" s="54"/>
    </row>
    <row r="50" spans="1:18" x14ac:dyDescent="0.25">
      <c r="A50" s="59"/>
      <c r="B50" s="39" t="s">
        <v>75</v>
      </c>
      <c r="C50" s="70"/>
      <c r="D50" s="84">
        <v>253415</v>
      </c>
      <c r="E50" s="84">
        <v>274118</v>
      </c>
      <c r="F50" s="84">
        <v>283293</v>
      </c>
      <c r="G50" s="84">
        <v>283821</v>
      </c>
      <c r="I50" s="54"/>
      <c r="J50" s="54"/>
      <c r="K50" s="54"/>
      <c r="L50" s="54"/>
      <c r="M50" s="54"/>
      <c r="N50" s="54"/>
      <c r="O50" s="54"/>
      <c r="P50" s="54"/>
      <c r="Q50" s="54"/>
      <c r="R50" s="54"/>
    </row>
    <row r="51" spans="1:18" x14ac:dyDescent="0.25">
      <c r="A51" s="59"/>
      <c r="B51" s="39" t="s">
        <v>76</v>
      </c>
      <c r="C51" s="70"/>
      <c r="D51" s="84">
        <v>42529</v>
      </c>
      <c r="E51" s="84">
        <v>12786</v>
      </c>
      <c r="F51" s="84" t="s">
        <v>51</v>
      </c>
      <c r="G51" s="84">
        <v>11310</v>
      </c>
      <c r="I51" s="54"/>
      <c r="J51" s="54"/>
      <c r="K51" s="54"/>
      <c r="L51" s="54"/>
      <c r="M51" s="54"/>
      <c r="N51" s="54"/>
      <c r="O51" s="54"/>
      <c r="P51" s="54"/>
      <c r="Q51" s="54"/>
      <c r="R51" s="54"/>
    </row>
    <row r="52" spans="1:18" x14ac:dyDescent="0.25">
      <c r="A52" s="59"/>
      <c r="B52" s="47" t="s">
        <v>41</v>
      </c>
      <c r="C52" s="71">
        <v>823736</v>
      </c>
      <c r="D52" s="85">
        <v>1343713</v>
      </c>
      <c r="E52" s="85">
        <v>1558010</v>
      </c>
      <c r="F52" s="85">
        <v>1681775</v>
      </c>
      <c r="G52" s="85">
        <v>1658191</v>
      </c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spans="1:18" x14ac:dyDescent="0.25">
      <c r="A53" s="59"/>
      <c r="B53" s="39" t="s">
        <v>184</v>
      </c>
      <c r="C53" s="50">
        <v>434980</v>
      </c>
      <c r="D53" s="80"/>
      <c r="E53" s="80"/>
      <c r="F53" s="80"/>
      <c r="G53" s="80"/>
      <c r="I53" s="80"/>
      <c r="J53" s="80"/>
      <c r="K53" s="80"/>
      <c r="L53" s="80"/>
      <c r="M53" s="80"/>
      <c r="N53" s="80"/>
      <c r="O53" s="80"/>
      <c r="P53" s="80"/>
      <c r="Q53" s="80"/>
      <c r="R53" s="80"/>
    </row>
    <row r="54" spans="1:18" x14ac:dyDescent="0.25">
      <c r="A54" s="59"/>
      <c r="B54" s="39" t="s">
        <v>77</v>
      </c>
      <c r="C54" s="53"/>
      <c r="D54" s="54">
        <v>1643386</v>
      </c>
      <c r="E54" s="54">
        <v>1572638</v>
      </c>
      <c r="F54" s="54">
        <v>1619883</v>
      </c>
      <c r="G54" s="54">
        <v>1627271</v>
      </c>
      <c r="I54" s="54"/>
      <c r="J54" s="54"/>
      <c r="K54" s="54"/>
      <c r="L54" s="54"/>
      <c r="M54" s="54"/>
      <c r="N54" s="54"/>
      <c r="O54" s="54"/>
      <c r="P54" s="54"/>
      <c r="Q54" s="54"/>
      <c r="R54" s="54"/>
    </row>
    <row r="55" spans="1:18" x14ac:dyDescent="0.25">
      <c r="A55" s="59"/>
      <c r="B55" s="39" t="s">
        <v>78</v>
      </c>
      <c r="C55" s="50">
        <v>83864</v>
      </c>
      <c r="D55" s="54">
        <v>65359</v>
      </c>
      <c r="E55" s="54">
        <v>39693</v>
      </c>
      <c r="F55" s="54">
        <v>55346</v>
      </c>
      <c r="G55" s="54">
        <v>85921</v>
      </c>
      <c r="I55" s="54"/>
      <c r="J55" s="54"/>
      <c r="K55" s="54"/>
      <c r="L55" s="54"/>
      <c r="M55" s="54"/>
      <c r="N55" s="54"/>
      <c r="O55" s="54"/>
      <c r="P55" s="54"/>
      <c r="Q55" s="54"/>
      <c r="R55" s="54"/>
    </row>
    <row r="56" spans="1:18" x14ac:dyDescent="0.25">
      <c r="A56" s="59"/>
      <c r="B56" s="39" t="s">
        <v>79</v>
      </c>
      <c r="C56" s="50">
        <v>28374</v>
      </c>
      <c r="D56" s="54">
        <v>37962</v>
      </c>
      <c r="E56" s="54">
        <v>58665</v>
      </c>
      <c r="F56" s="54">
        <v>53596</v>
      </c>
      <c r="G56" s="54">
        <v>56300</v>
      </c>
      <c r="I56" s="54"/>
      <c r="J56" s="54"/>
      <c r="K56" s="54"/>
      <c r="L56" s="54"/>
      <c r="M56" s="54"/>
      <c r="N56" s="54"/>
      <c r="O56" s="54"/>
      <c r="P56" s="54"/>
      <c r="Q56" s="54"/>
      <c r="R56" s="54"/>
    </row>
    <row r="57" spans="1:18" x14ac:dyDescent="0.25">
      <c r="A57" s="59"/>
      <c r="B57" s="47" t="s">
        <v>80</v>
      </c>
      <c r="C57" s="52">
        <v>1370954</v>
      </c>
      <c r="D57" s="55">
        <v>3090420</v>
      </c>
      <c r="E57" s="55">
        <v>3229006</v>
      </c>
      <c r="F57" s="55">
        <v>3410600</v>
      </c>
      <c r="G57" s="55">
        <v>3427683</v>
      </c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spans="1:18" x14ac:dyDescent="0.25">
      <c r="A58" s="59"/>
      <c r="B58" s="39" t="s">
        <v>81</v>
      </c>
      <c r="C58" s="39"/>
      <c r="D58" s="56" t="s">
        <v>82</v>
      </c>
      <c r="E58" s="56"/>
      <c r="F58" s="56" t="s">
        <v>82</v>
      </c>
      <c r="G58" s="56" t="s">
        <v>82</v>
      </c>
      <c r="I58" s="56"/>
      <c r="J58" s="56"/>
      <c r="K58" s="56"/>
      <c r="L58" s="56"/>
      <c r="M58" s="56"/>
      <c r="N58" s="56"/>
      <c r="O58" s="56"/>
      <c r="P58" s="56"/>
      <c r="Q58" s="56"/>
      <c r="R58" s="56"/>
    </row>
    <row r="59" spans="1:18" x14ac:dyDescent="0.25">
      <c r="A59" s="59"/>
      <c r="B59" s="46" t="s">
        <v>83</v>
      </c>
      <c r="C59" s="46"/>
      <c r="D59" s="56"/>
      <c r="E59" s="56"/>
      <c r="F59" s="56" t="s">
        <v>51</v>
      </c>
      <c r="G59" s="56" t="s">
        <v>51</v>
      </c>
      <c r="I59" s="56"/>
      <c r="J59" s="56"/>
      <c r="K59" s="56"/>
      <c r="L59" s="56"/>
      <c r="M59" s="56"/>
      <c r="N59" s="56"/>
      <c r="O59" s="56"/>
      <c r="P59" s="56"/>
      <c r="Q59" s="56"/>
      <c r="R59" s="56"/>
    </row>
    <row r="60" spans="1:18" x14ac:dyDescent="0.25">
      <c r="A60" s="59"/>
      <c r="B60" s="39" t="s">
        <v>84</v>
      </c>
      <c r="C60" s="50">
        <v>592</v>
      </c>
      <c r="D60" s="54">
        <v>569</v>
      </c>
      <c r="E60" s="54">
        <v>530</v>
      </c>
      <c r="F60" s="54">
        <v>511</v>
      </c>
      <c r="G60" s="54">
        <v>491</v>
      </c>
      <c r="I60" s="54"/>
      <c r="J60" s="54"/>
      <c r="K60" s="54"/>
      <c r="L60" s="54"/>
      <c r="M60" s="54"/>
      <c r="N60" s="54"/>
      <c r="O60" s="54"/>
      <c r="P60" s="54"/>
      <c r="Q60" s="54"/>
      <c r="R60" s="54"/>
    </row>
    <row r="61" spans="1:18" x14ac:dyDescent="0.25">
      <c r="A61" s="59"/>
      <c r="B61" s="39" t="s">
        <v>85</v>
      </c>
      <c r="C61" s="50">
        <v>-24908</v>
      </c>
      <c r="D61" s="54">
        <v>-37801</v>
      </c>
      <c r="E61" s="54">
        <v>-53478</v>
      </c>
      <c r="F61" s="54">
        <v>-60470</v>
      </c>
      <c r="G61" s="54">
        <v>-83032</v>
      </c>
      <c r="I61" s="54"/>
      <c r="J61" s="54"/>
      <c r="K61" s="54"/>
      <c r="L61" s="54"/>
      <c r="M61" s="54"/>
      <c r="N61" s="54"/>
      <c r="O61" s="54"/>
      <c r="P61" s="54"/>
      <c r="Q61" s="54"/>
      <c r="R61" s="54"/>
    </row>
    <row r="62" spans="1:18" x14ac:dyDescent="0.25">
      <c r="A62" s="59"/>
      <c r="B62" s="39" t="s">
        <v>42</v>
      </c>
      <c r="C62" s="50">
        <v>738671</v>
      </c>
      <c r="D62" s="54">
        <v>847303</v>
      </c>
      <c r="E62" s="54">
        <v>934945</v>
      </c>
      <c r="F62" s="54">
        <v>1023997</v>
      </c>
      <c r="G62" s="54">
        <v>1075104</v>
      </c>
      <c r="I62" s="54"/>
      <c r="J62" s="54"/>
      <c r="K62" s="54"/>
      <c r="L62" s="54"/>
      <c r="M62" s="54"/>
      <c r="N62" s="54"/>
      <c r="O62" s="54"/>
      <c r="P62" s="54"/>
      <c r="Q62" s="54"/>
      <c r="R62" s="54"/>
    </row>
    <row r="63" spans="1:18" x14ac:dyDescent="0.25">
      <c r="A63" s="59"/>
      <c r="B63" s="39" t="s">
        <v>86</v>
      </c>
      <c r="C63" s="50">
        <v>1105863</v>
      </c>
      <c r="D63" s="54">
        <v>1189422</v>
      </c>
      <c r="E63" s="54">
        <v>653376</v>
      </c>
      <c r="F63" s="54">
        <v>995773</v>
      </c>
      <c r="G63" s="54">
        <v>1286765</v>
      </c>
      <c r="I63" s="54"/>
      <c r="J63" s="54"/>
      <c r="K63" s="54"/>
      <c r="L63" s="54"/>
      <c r="M63" s="54"/>
      <c r="N63" s="54"/>
      <c r="O63" s="54"/>
      <c r="P63" s="54"/>
      <c r="Q63" s="54"/>
      <c r="R63" s="54"/>
    </row>
    <row r="64" spans="1:18" x14ac:dyDescent="0.25">
      <c r="A64" s="59"/>
      <c r="B64" s="47" t="s">
        <v>87</v>
      </c>
      <c r="C64" s="52">
        <v>1820218</v>
      </c>
      <c r="D64" s="55">
        <v>56</v>
      </c>
      <c r="E64" s="55">
        <v>1535373</v>
      </c>
      <c r="F64" s="55">
        <v>1959811</v>
      </c>
      <c r="G64" s="55">
        <v>2279328</v>
      </c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spans="1:21" x14ac:dyDescent="0.25">
      <c r="B65" s="39" t="s">
        <v>88</v>
      </c>
      <c r="C65" s="53">
        <v>3191172</v>
      </c>
      <c r="D65" s="56">
        <v>1999549</v>
      </c>
      <c r="E65" s="56">
        <v>4764379</v>
      </c>
      <c r="F65" s="56">
        <v>5370411</v>
      </c>
      <c r="G65" s="56">
        <v>5707011</v>
      </c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 spans="1:21" x14ac:dyDescent="0.25">
      <c r="B66" s="19"/>
      <c r="C66" s="19"/>
      <c r="D66" s="19">
        <v>5089969</v>
      </c>
      <c r="E66" s="20"/>
      <c r="F66" s="20"/>
      <c r="G66" s="20"/>
    </row>
    <row r="67" spans="1:21" x14ac:dyDescent="0.25">
      <c r="A67" s="1" t="s">
        <v>6</v>
      </c>
      <c r="B67" s="7" t="s">
        <v>43</v>
      </c>
      <c r="C67" s="8" t="s">
        <v>173</v>
      </c>
      <c r="D67" s="8" t="s">
        <v>172</v>
      </c>
      <c r="E67" s="8" t="s">
        <v>8</v>
      </c>
      <c r="F67" s="8" t="s">
        <v>9</v>
      </c>
      <c r="G67" s="8" t="s">
        <v>10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B68" s="21" t="s">
        <v>44</v>
      </c>
      <c r="C68" s="67" t="s">
        <v>174</v>
      </c>
      <c r="D68" s="67" t="s">
        <v>171</v>
      </c>
      <c r="E68" s="12" t="s">
        <v>48</v>
      </c>
      <c r="F68" s="12" t="s">
        <v>49</v>
      </c>
      <c r="G68" s="12" t="s">
        <v>50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6" customHeight="1" x14ac:dyDescent="0.25">
      <c r="B69" s="4"/>
      <c r="C69" s="4"/>
      <c r="D69" s="4"/>
      <c r="E69" s="20"/>
      <c r="F69" s="20"/>
      <c r="G69" s="20"/>
    </row>
    <row r="70" spans="1:21" x14ac:dyDescent="0.25">
      <c r="A70" s="59"/>
      <c r="B70" s="57" t="s">
        <v>89</v>
      </c>
      <c r="C70" s="57"/>
      <c r="D70" s="57"/>
      <c r="E70" s="37" t="s">
        <v>51</v>
      </c>
      <c r="F70" s="37" t="s">
        <v>51</v>
      </c>
      <c r="G70" s="37" t="s">
        <v>51</v>
      </c>
    </row>
    <row r="71" spans="1:21" x14ac:dyDescent="0.25">
      <c r="A71" s="59"/>
      <c r="B71" s="34" t="s">
        <v>60</v>
      </c>
      <c r="C71" s="44">
        <v>705945</v>
      </c>
      <c r="D71" s="44">
        <v>175835</v>
      </c>
      <c r="E71" s="50">
        <v>985837</v>
      </c>
      <c r="F71" s="50">
        <v>1242408</v>
      </c>
      <c r="G71" s="50">
        <v>1291005</v>
      </c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 spans="1:21" x14ac:dyDescent="0.25">
      <c r="A72" s="59"/>
      <c r="B72" s="57" t="s">
        <v>90</v>
      </c>
      <c r="C72" s="76"/>
      <c r="D72" s="76"/>
      <c r="E72" s="50" t="s">
        <v>51</v>
      </c>
      <c r="F72" s="50" t="s">
        <v>51</v>
      </c>
      <c r="G72" s="50" t="s">
        <v>51</v>
      </c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21" x14ac:dyDescent="0.25">
      <c r="A73" s="59"/>
      <c r="B73" s="34" t="s">
        <v>45</v>
      </c>
      <c r="C73" s="44">
        <v>295599</v>
      </c>
      <c r="D73" s="44">
        <v>297772</v>
      </c>
      <c r="E73" s="50">
        <v>268460</v>
      </c>
      <c r="F73" s="50">
        <v>241372</v>
      </c>
      <c r="G73" s="50">
        <v>243840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21" x14ac:dyDescent="0.25">
      <c r="A74" s="59"/>
      <c r="B74" s="34" t="s">
        <v>91</v>
      </c>
      <c r="C74" s="44">
        <v>278820</v>
      </c>
      <c r="D74" s="44">
        <v>268071</v>
      </c>
      <c r="E74" s="50">
        <v>276229</v>
      </c>
      <c r="F74" s="50">
        <v>301912</v>
      </c>
      <c r="G74" s="50">
        <v>332754</v>
      </c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 spans="1:21" x14ac:dyDescent="0.25">
      <c r="A75" s="59"/>
      <c r="B75" s="34" t="s">
        <v>176</v>
      </c>
      <c r="C75" s="44"/>
      <c r="D75" s="44">
        <v>72533</v>
      </c>
      <c r="E75" s="50"/>
      <c r="F75" s="50"/>
      <c r="G75" s="50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 spans="1:21" x14ac:dyDescent="0.25">
      <c r="A76" s="59"/>
      <c r="B76" s="34" t="s">
        <v>78</v>
      </c>
      <c r="C76" s="44">
        <v>5503</v>
      </c>
      <c r="D76" s="44">
        <v>-24008</v>
      </c>
      <c r="E76" s="50">
        <v>-25666</v>
      </c>
      <c r="F76" s="50">
        <v>15653</v>
      </c>
      <c r="G76" s="50">
        <v>30575</v>
      </c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21" x14ac:dyDescent="0.25">
      <c r="A77" s="59"/>
      <c r="B77" s="34" t="s">
        <v>92</v>
      </c>
      <c r="C77" s="44">
        <v>25045</v>
      </c>
      <c r="D77" s="44">
        <v>27583</v>
      </c>
      <c r="E77" s="50">
        <v>47259</v>
      </c>
      <c r="F77" s="50">
        <v>43044</v>
      </c>
      <c r="G77" s="50">
        <v>48246</v>
      </c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 spans="1:21" x14ac:dyDescent="0.25">
      <c r="A78" s="59"/>
      <c r="B78" s="34" t="s">
        <v>93</v>
      </c>
      <c r="C78" s="44">
        <v>5850</v>
      </c>
      <c r="D78" s="44">
        <v>6827</v>
      </c>
      <c r="E78" s="50">
        <v>5358</v>
      </c>
      <c r="F78" s="50">
        <v>6688</v>
      </c>
      <c r="G78" s="50">
        <v>11419</v>
      </c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 spans="1:21" x14ac:dyDescent="0.25">
      <c r="A79" s="59"/>
      <c r="B79" s="57" t="s">
        <v>94</v>
      </c>
      <c r="C79" s="76"/>
      <c r="D79" s="76"/>
      <c r="E79" s="50" t="s">
        <v>51</v>
      </c>
      <c r="F79" s="50" t="s">
        <v>51</v>
      </c>
      <c r="G79" s="50" t="s">
        <v>51</v>
      </c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21" x14ac:dyDescent="0.25">
      <c r="A80" s="59"/>
      <c r="B80" s="34" t="s">
        <v>95</v>
      </c>
      <c r="C80" s="44">
        <v>-20637</v>
      </c>
      <c r="D80" s="44">
        <v>-53772</v>
      </c>
      <c r="E80" s="50">
        <v>-40573</v>
      </c>
      <c r="F80" s="50">
        <v>34260</v>
      </c>
      <c r="G80" s="50">
        <v>-8517</v>
      </c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 x14ac:dyDescent="0.25">
      <c r="A81" s="59"/>
      <c r="B81" s="34" t="s">
        <v>96</v>
      </c>
      <c r="C81" s="44">
        <v>-79372</v>
      </c>
      <c r="D81" s="44">
        <v>125486</v>
      </c>
      <c r="E81" s="50">
        <v>-331003</v>
      </c>
      <c r="F81" s="50">
        <v>-104233</v>
      </c>
      <c r="G81" s="50">
        <v>-138685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 x14ac:dyDescent="0.25">
      <c r="A82" s="59"/>
      <c r="B82" s="34" t="s">
        <v>35</v>
      </c>
      <c r="C82" s="44">
        <v>9289</v>
      </c>
      <c r="D82" s="44">
        <v>-4363</v>
      </c>
      <c r="E82" s="50">
        <v>-3412</v>
      </c>
      <c r="F82" s="50">
        <v>-19432</v>
      </c>
      <c r="G82" s="50">
        <v>14648</v>
      </c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 x14ac:dyDescent="0.25">
      <c r="A83" s="59"/>
      <c r="B83" s="34" t="s">
        <v>97</v>
      </c>
      <c r="C83" s="44">
        <v>610</v>
      </c>
      <c r="D83" s="44">
        <v>58916</v>
      </c>
      <c r="E83" s="50">
        <v>-35652</v>
      </c>
      <c r="F83" s="50">
        <v>-45182</v>
      </c>
      <c r="G83" s="50">
        <v>45367</v>
      </c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8" x14ac:dyDescent="0.25">
      <c r="A84" s="59"/>
      <c r="B84" s="34" t="s">
        <v>40</v>
      </c>
      <c r="C84" s="44">
        <v>9993</v>
      </c>
      <c r="D84" s="44">
        <v>62324</v>
      </c>
      <c r="E84" s="50">
        <v>66156</v>
      </c>
      <c r="F84" s="50">
        <v>8309</v>
      </c>
      <c r="G84" s="50">
        <v>-20873</v>
      </c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8" x14ac:dyDescent="0.25">
      <c r="A85" s="59"/>
      <c r="B85" s="34" t="s">
        <v>73</v>
      </c>
      <c r="C85" s="44">
        <v>28183</v>
      </c>
      <c r="D85" s="44">
        <v>58599</v>
      </c>
      <c r="E85" s="50">
        <v>58598</v>
      </c>
      <c r="F85" s="50">
        <v>48249</v>
      </c>
      <c r="G85" s="50">
        <v>-62238</v>
      </c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 spans="1:18" x14ac:dyDescent="0.25">
      <c r="A86" s="59"/>
      <c r="B86" s="34" t="s">
        <v>74</v>
      </c>
      <c r="C86" s="44">
        <v>38481</v>
      </c>
      <c r="D86" s="44">
        <v>36848</v>
      </c>
      <c r="E86" s="50">
        <v>79196</v>
      </c>
      <c r="F86" s="50">
        <v>41098</v>
      </c>
      <c r="G86" s="50">
        <v>41914</v>
      </c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 spans="1:18" x14ac:dyDescent="0.25">
      <c r="A87" s="59"/>
      <c r="B87" s="34" t="s">
        <v>98</v>
      </c>
      <c r="C87" s="44">
        <v>-256910</v>
      </c>
      <c r="D87" s="44">
        <v>-297513</v>
      </c>
      <c r="E87" s="50">
        <v>-303914</v>
      </c>
      <c r="F87" s="50">
        <v>-324500</v>
      </c>
      <c r="G87" s="50">
        <v>-338105</v>
      </c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 x14ac:dyDescent="0.25">
      <c r="A88" s="59"/>
      <c r="B88" s="34" t="s">
        <v>99</v>
      </c>
      <c r="C88" s="44">
        <v>54894</v>
      </c>
      <c r="D88" s="44">
        <v>-783</v>
      </c>
      <c r="E88" s="50">
        <v>12392</v>
      </c>
      <c r="F88" s="50">
        <v>-7731</v>
      </c>
      <c r="G88" s="50">
        <v>-15084</v>
      </c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x14ac:dyDescent="0.25">
      <c r="A89" s="59"/>
      <c r="B89" s="58" t="s">
        <v>100</v>
      </c>
      <c r="C89" s="42">
        <v>1101293</v>
      </c>
      <c r="D89" s="42">
        <v>810355</v>
      </c>
      <c r="E89" s="52">
        <v>1059265</v>
      </c>
      <c r="F89" s="52">
        <v>1481915</v>
      </c>
      <c r="G89" s="52">
        <v>1476266</v>
      </c>
      <c r="I89" s="48"/>
      <c r="J89" s="48"/>
      <c r="K89" s="48"/>
      <c r="L89" s="48"/>
      <c r="M89" s="48"/>
      <c r="N89" s="48"/>
      <c r="O89" s="48"/>
      <c r="P89" s="48"/>
      <c r="Q89" s="48"/>
      <c r="R89" s="48"/>
    </row>
    <row r="90" spans="1:18" x14ac:dyDescent="0.25">
      <c r="A90" s="59"/>
      <c r="B90" s="57" t="s">
        <v>101</v>
      </c>
      <c r="C90" s="77"/>
      <c r="D90" s="77"/>
      <c r="E90" s="50" t="s">
        <v>51</v>
      </c>
      <c r="F90" s="50" t="s">
        <v>51</v>
      </c>
      <c r="G90" s="50" t="s">
        <v>51</v>
      </c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 x14ac:dyDescent="0.25">
      <c r="A91" s="59"/>
      <c r="B91" s="34" t="s">
        <v>177</v>
      </c>
      <c r="C91" s="44">
        <v>-110000</v>
      </c>
      <c r="D91" s="44"/>
      <c r="E91" s="50"/>
      <c r="F91" s="50"/>
      <c r="G91" s="50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 x14ac:dyDescent="0.25">
      <c r="A92" s="59"/>
      <c r="B92" s="34" t="s">
        <v>178</v>
      </c>
      <c r="C92" s="44"/>
      <c r="D92" s="44">
        <v>110000</v>
      </c>
      <c r="E92" s="50"/>
      <c r="F92" s="50"/>
      <c r="G92" s="50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 spans="1:18" x14ac:dyDescent="0.25">
      <c r="A93" s="59"/>
      <c r="B93" s="34" t="s">
        <v>102</v>
      </c>
      <c r="C93" s="44">
        <v>-298534</v>
      </c>
      <c r="D93" s="44">
        <v>-151866</v>
      </c>
      <c r="E93" s="50">
        <v>-172187</v>
      </c>
      <c r="F93" s="50">
        <v>-312126</v>
      </c>
      <c r="G93" s="50">
        <v>-435267</v>
      </c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 spans="1:18" x14ac:dyDescent="0.25">
      <c r="A94" s="59"/>
      <c r="B94" s="34" t="s">
        <v>179</v>
      </c>
      <c r="C94" s="44"/>
      <c r="D94" s="44">
        <v>-1220</v>
      </c>
      <c r="E94" s="50"/>
      <c r="F94" s="50"/>
      <c r="G94" s="50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 x14ac:dyDescent="0.25">
      <c r="A95" s="59"/>
      <c r="B95" s="34" t="s">
        <v>103</v>
      </c>
      <c r="C95" s="44">
        <v>-62946</v>
      </c>
      <c r="D95" s="44">
        <v>-5665</v>
      </c>
      <c r="E95" s="50">
        <v>-4297</v>
      </c>
      <c r="F95" s="50">
        <v>-2458</v>
      </c>
      <c r="G95" s="50">
        <v>-6158</v>
      </c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 x14ac:dyDescent="0.25">
      <c r="A96" s="59"/>
      <c r="B96" s="58" t="s">
        <v>46</v>
      </c>
      <c r="C96" s="42">
        <v>-471480</v>
      </c>
      <c r="D96" s="42">
        <v>-48751</v>
      </c>
      <c r="E96" s="52">
        <v>-176484</v>
      </c>
      <c r="F96" s="52">
        <v>-314584</v>
      </c>
      <c r="G96" s="52">
        <v>-441425</v>
      </c>
      <c r="I96" s="48"/>
      <c r="J96" s="48"/>
      <c r="K96" s="48"/>
      <c r="L96" s="48"/>
      <c r="M96" s="48"/>
      <c r="N96" s="48"/>
      <c r="O96" s="48"/>
      <c r="P96" s="48"/>
      <c r="Q96" s="48"/>
      <c r="R96" s="48"/>
    </row>
    <row r="97" spans="1:18" x14ac:dyDescent="0.25">
      <c r="A97" s="59"/>
      <c r="B97" s="57" t="s">
        <v>104</v>
      </c>
      <c r="C97" s="78"/>
      <c r="D97" s="78"/>
      <c r="E97" s="50" t="s">
        <v>51</v>
      </c>
      <c r="F97" s="50" t="s">
        <v>51</v>
      </c>
      <c r="G97" s="50" t="s">
        <v>51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 x14ac:dyDescent="0.25">
      <c r="A98" s="59"/>
      <c r="B98" s="34" t="s">
        <v>180</v>
      </c>
      <c r="C98" s="44"/>
      <c r="D98" s="44">
        <v>800000</v>
      </c>
      <c r="E98" s="50"/>
      <c r="F98" s="50"/>
      <c r="G98" s="50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18" x14ac:dyDescent="0.25">
      <c r="A99" s="59"/>
      <c r="B99" s="34" t="s">
        <v>181</v>
      </c>
      <c r="C99" s="44"/>
      <c r="D99" s="44">
        <v>-800000</v>
      </c>
      <c r="E99" s="50"/>
      <c r="F99" s="50"/>
      <c r="G99" s="50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 x14ac:dyDescent="0.25">
      <c r="A100" s="59"/>
      <c r="B100" s="34" t="s">
        <v>105</v>
      </c>
      <c r="C100" s="44"/>
      <c r="D100" s="44"/>
      <c r="E100" s="50" t="s">
        <v>51</v>
      </c>
      <c r="F100" s="50" t="s">
        <v>51</v>
      </c>
      <c r="G100" s="50">
        <v>195400</v>
      </c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 spans="1:18" x14ac:dyDescent="0.25">
      <c r="A101" s="59"/>
      <c r="B101" s="34" t="s">
        <v>106</v>
      </c>
      <c r="C101" s="44"/>
      <c r="D101" s="44"/>
      <c r="E101" s="50" t="s">
        <v>51</v>
      </c>
      <c r="F101" s="50" t="s">
        <v>51</v>
      </c>
      <c r="G101" s="50">
        <v>-195400</v>
      </c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25">
      <c r="A102" s="59"/>
      <c r="B102" s="34" t="s">
        <v>107</v>
      </c>
      <c r="C102" s="44">
        <v>-680979</v>
      </c>
      <c r="D102" s="44">
        <v>-114895</v>
      </c>
      <c r="E102" s="50">
        <v>-1521925</v>
      </c>
      <c r="F102" s="50">
        <v>-900033</v>
      </c>
      <c r="G102" s="50">
        <v>-995738</v>
      </c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25">
      <c r="A103" s="59"/>
      <c r="B103" s="34" t="s">
        <v>108</v>
      </c>
      <c r="C103" s="44">
        <v>43780</v>
      </c>
      <c r="D103" s="44">
        <v>12229</v>
      </c>
      <c r="E103" s="50">
        <v>40386</v>
      </c>
      <c r="F103" s="50">
        <v>46011</v>
      </c>
      <c r="G103" s="50">
        <v>12176</v>
      </c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x14ac:dyDescent="0.25">
      <c r="A104" s="59"/>
      <c r="B104" s="34" t="s">
        <v>109</v>
      </c>
      <c r="C104" s="44">
        <v>-9540</v>
      </c>
      <c r="D104" s="44">
        <v>-3353</v>
      </c>
      <c r="E104" s="50">
        <v>-15677</v>
      </c>
      <c r="F104" s="50">
        <v>-6992</v>
      </c>
      <c r="G104" s="50">
        <v>-22562</v>
      </c>
      <c r="I104" s="49"/>
      <c r="J104" s="49"/>
      <c r="K104" s="49"/>
      <c r="L104" s="49"/>
      <c r="M104" s="49"/>
      <c r="N104" s="49"/>
      <c r="O104" s="49"/>
      <c r="P104" s="49"/>
      <c r="Q104" s="49"/>
      <c r="R104" s="49"/>
    </row>
    <row r="105" spans="1:18" x14ac:dyDescent="0.25">
      <c r="A105" s="59"/>
      <c r="B105" s="34" t="s">
        <v>182</v>
      </c>
      <c r="C105" s="44"/>
      <c r="D105" s="44">
        <v>-1915</v>
      </c>
      <c r="E105" s="50"/>
      <c r="F105" s="50"/>
      <c r="G105" s="50"/>
      <c r="I105" s="49"/>
      <c r="J105" s="49"/>
      <c r="K105" s="49"/>
      <c r="L105" s="49"/>
      <c r="M105" s="49"/>
      <c r="N105" s="49"/>
      <c r="O105" s="49"/>
      <c r="P105" s="49"/>
      <c r="Q105" s="49"/>
      <c r="R105" s="49"/>
    </row>
    <row r="106" spans="1:18" x14ac:dyDescent="0.25">
      <c r="A106" s="59"/>
      <c r="B106" s="58" t="s">
        <v>110</v>
      </c>
      <c r="C106" s="42">
        <v>-646739</v>
      </c>
      <c r="D106" s="42">
        <v>-107934</v>
      </c>
      <c r="E106" s="52">
        <v>-1497216</v>
      </c>
      <c r="F106" s="52">
        <v>-861014</v>
      </c>
      <c r="G106" s="52">
        <v>-1006124</v>
      </c>
      <c r="I106" s="48"/>
      <c r="J106" s="48"/>
      <c r="K106" s="48"/>
      <c r="L106" s="48"/>
      <c r="M106" s="48"/>
      <c r="N106" s="48"/>
      <c r="O106" s="48"/>
      <c r="P106" s="48"/>
      <c r="Q106" s="48"/>
      <c r="R106" s="48"/>
    </row>
    <row r="107" spans="1:18" x14ac:dyDescent="0.25">
      <c r="A107" s="59"/>
      <c r="B107" s="34" t="s">
        <v>111</v>
      </c>
      <c r="C107" s="44"/>
      <c r="D107" s="44">
        <v>56</v>
      </c>
      <c r="E107" s="50">
        <v>-56</v>
      </c>
      <c r="F107" s="50" t="s">
        <v>51</v>
      </c>
      <c r="G107" s="50" t="s">
        <v>51</v>
      </c>
      <c r="I107" s="49"/>
      <c r="J107" s="49"/>
      <c r="K107" s="49"/>
      <c r="L107" s="49"/>
      <c r="M107" s="49"/>
      <c r="N107" s="49"/>
      <c r="O107" s="49"/>
      <c r="P107" s="49"/>
      <c r="Q107" s="49"/>
      <c r="R107" s="49"/>
    </row>
    <row r="108" spans="1:18" x14ac:dyDescent="0.25">
      <c r="A108" s="59"/>
      <c r="B108" s="34" t="s">
        <v>112</v>
      </c>
      <c r="C108" s="44">
        <v>-16926</v>
      </c>
      <c r="D108" s="44">
        <v>653726</v>
      </c>
      <c r="E108" s="50">
        <v>-614491</v>
      </c>
      <c r="F108" s="50">
        <v>306317</v>
      </c>
      <c r="G108" s="50">
        <v>28717</v>
      </c>
      <c r="I108" s="49"/>
      <c r="J108" s="49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25">
      <c r="A109" s="59"/>
      <c r="B109" s="34" t="s">
        <v>113</v>
      </c>
      <c r="C109" s="44">
        <v>409251</v>
      </c>
      <c r="D109" s="44">
        <v>392325</v>
      </c>
      <c r="E109" s="50">
        <v>1046051</v>
      </c>
      <c r="F109" s="50">
        <v>431560</v>
      </c>
      <c r="G109" s="50">
        <v>737877</v>
      </c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25">
      <c r="A110" s="59"/>
      <c r="B110" s="34" t="s">
        <v>114</v>
      </c>
      <c r="C110" s="44">
        <v>392325</v>
      </c>
      <c r="D110" s="44">
        <v>1046051</v>
      </c>
      <c r="E110" s="50">
        <v>431560</v>
      </c>
      <c r="F110" s="50">
        <v>737877</v>
      </c>
      <c r="G110" s="50">
        <v>766594</v>
      </c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1:18" x14ac:dyDescent="0.25">
      <c r="A111" s="59"/>
      <c r="B111" s="57" t="s">
        <v>115</v>
      </c>
      <c r="C111" s="76"/>
      <c r="D111" s="76"/>
      <c r="E111" s="50" t="s">
        <v>51</v>
      </c>
      <c r="F111" s="50" t="s">
        <v>51</v>
      </c>
      <c r="G111" s="50" t="s">
        <v>51</v>
      </c>
      <c r="I111" s="49"/>
      <c r="J111" s="49"/>
      <c r="K111" s="49"/>
      <c r="L111" s="49"/>
      <c r="M111" s="49"/>
      <c r="N111" s="49"/>
      <c r="O111" s="49"/>
      <c r="P111" s="49"/>
      <c r="Q111" s="49"/>
      <c r="R111" s="49"/>
    </row>
    <row r="112" spans="1:18" x14ac:dyDescent="0.25">
      <c r="A112" s="59"/>
      <c r="B112" s="34" t="s">
        <v>116</v>
      </c>
      <c r="C112" s="44"/>
      <c r="D112" s="44">
        <v>6987</v>
      </c>
      <c r="E112" s="50">
        <v>2132</v>
      </c>
      <c r="F112" s="50">
        <v>2138</v>
      </c>
      <c r="G112" s="50">
        <v>3327</v>
      </c>
      <c r="I112" s="49"/>
      <c r="J112" s="49"/>
      <c r="K112" s="49"/>
      <c r="L112" s="49"/>
      <c r="M112" s="49"/>
      <c r="N112" s="49"/>
      <c r="O112" s="49"/>
      <c r="P112" s="49"/>
      <c r="Q112" s="49"/>
      <c r="R112" s="49"/>
    </row>
    <row r="113" spans="1:23" x14ac:dyDescent="0.25">
      <c r="A113" s="59"/>
      <c r="B113" s="34" t="s">
        <v>117</v>
      </c>
      <c r="C113" s="44">
        <v>133861</v>
      </c>
      <c r="D113" s="44">
        <v>19454</v>
      </c>
      <c r="E113" s="50">
        <v>370646</v>
      </c>
      <c r="F113" s="50">
        <v>429846</v>
      </c>
      <c r="G113" s="50">
        <v>328215</v>
      </c>
      <c r="I113" s="49"/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23" x14ac:dyDescent="0.25">
      <c r="A114" s="59"/>
      <c r="B114" s="34" t="s">
        <v>118</v>
      </c>
      <c r="C114" s="44">
        <v>26901</v>
      </c>
      <c r="D114" s="44">
        <v>20487</v>
      </c>
      <c r="E114" s="50">
        <v>39874</v>
      </c>
      <c r="F114" s="50">
        <v>69591</v>
      </c>
      <c r="G114" s="50">
        <v>61757</v>
      </c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1:23" ht="16.5" thickBot="1" x14ac:dyDescent="0.3">
      <c r="A115" s="59"/>
      <c r="B115" s="34" t="s">
        <v>119</v>
      </c>
      <c r="C115" s="44"/>
      <c r="D115" s="44"/>
      <c r="E115" s="50" t="s">
        <v>51</v>
      </c>
      <c r="F115" s="50" t="s">
        <v>51</v>
      </c>
      <c r="G115" s="50">
        <v>4297</v>
      </c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 spans="1:23" ht="16.5" thickBot="1" x14ac:dyDescent="0.3">
      <c r="A116" s="59"/>
      <c r="B116" s="22" t="s">
        <v>47</v>
      </c>
      <c r="C116" s="79">
        <f>SUM(C89-C93)</f>
        <v>1399827</v>
      </c>
      <c r="D116" s="79">
        <f>SUM(D89-D93)</f>
        <v>962221</v>
      </c>
      <c r="E116" s="23">
        <f>SUM(E89-E93)</f>
        <v>1231452</v>
      </c>
      <c r="F116" s="23">
        <f>SUM(F89-F93)</f>
        <v>1794041</v>
      </c>
      <c r="G116" s="23">
        <f>SUM(G89-G93)</f>
        <v>1911533</v>
      </c>
      <c r="H116" s="14"/>
      <c r="I116" s="25" t="e">
        <f>#REF!-#REF!</f>
        <v>#REF!</v>
      </c>
      <c r="J116" s="23" t="e">
        <f>#REF!-#REF!</f>
        <v>#REF!</v>
      </c>
      <c r="K116" s="23" t="e">
        <f>#REF!-#REF!</f>
        <v>#REF!</v>
      </c>
      <c r="L116" s="23" t="e">
        <f>#REF!-#REF!</f>
        <v>#REF!</v>
      </c>
      <c r="M116" s="23" t="e">
        <f>#REF!-#REF!</f>
        <v>#REF!</v>
      </c>
      <c r="N116" s="23" t="e">
        <f>#REF!-#REF!</f>
        <v>#REF!</v>
      </c>
      <c r="O116" s="23" t="e">
        <f>#REF!-#REF!</f>
        <v>#REF!</v>
      </c>
      <c r="P116" s="23" t="e">
        <f>#REF!-#REF!</f>
        <v>#REF!</v>
      </c>
      <c r="Q116" s="23" t="e">
        <f>#REF!-#REF!</f>
        <v>#REF!</v>
      </c>
      <c r="R116" s="24" t="e">
        <f>#REF!-#REF!</f>
        <v>#REF!</v>
      </c>
      <c r="S116" s="14"/>
      <c r="T116" s="25" t="e">
        <f>#REF!-#REF!</f>
        <v>#REF!</v>
      </c>
      <c r="U116" s="24" t="e">
        <f>#REF!-#REF!</f>
        <v>#REF!</v>
      </c>
      <c r="V116" s="26"/>
      <c r="W116" s="27" t="e">
        <f>SUM(U116/T116)-1</f>
        <v>#REF!</v>
      </c>
    </row>
    <row r="117" spans="1:23" x14ac:dyDescent="0.25">
      <c r="A117" s="59"/>
      <c r="B117" s="28"/>
      <c r="C117" s="28"/>
      <c r="D117" s="62">
        <f t="shared" ref="D117:E117" si="0">D116/C116-1</f>
        <v>-0.31261434448685443</v>
      </c>
      <c r="E117" s="62">
        <f t="shared" si="0"/>
        <v>0.27980162561407407</v>
      </c>
      <c r="F117" s="62">
        <f>F116/E116-1</f>
        <v>0.45685012489321553</v>
      </c>
      <c r="G117" s="62">
        <f>G116/F116-1</f>
        <v>6.5490142087053727E-2</v>
      </c>
      <c r="W117" s="30"/>
    </row>
    <row r="118" spans="1:23" x14ac:dyDescent="0.25">
      <c r="A118" s="59"/>
      <c r="B118" s="28"/>
      <c r="C118" s="28"/>
      <c r="D118" s="28"/>
      <c r="E118" s="31"/>
      <c r="F118" s="31"/>
      <c r="G118" s="31"/>
    </row>
    <row r="119" spans="1:23" x14ac:dyDescent="0.25">
      <c r="A119" s="59"/>
      <c r="E119" s="31"/>
      <c r="F119" s="31"/>
      <c r="G119" s="31"/>
    </row>
    <row r="120" spans="1:23" x14ac:dyDescent="0.25">
      <c r="E120" s="31"/>
      <c r="F120" s="31"/>
      <c r="G120" s="31"/>
    </row>
    <row r="121" spans="1:23" x14ac:dyDescent="0.25">
      <c r="E121" s="31"/>
      <c r="F121" s="31"/>
      <c r="G121" s="31"/>
    </row>
    <row r="122" spans="1:23" x14ac:dyDescent="0.25">
      <c r="E122" s="31"/>
      <c r="F122" s="31"/>
      <c r="G122" s="31"/>
    </row>
    <row r="123" spans="1:23" x14ac:dyDescent="0.25">
      <c r="E123" s="31"/>
      <c r="F123" s="31"/>
      <c r="G123" s="31"/>
    </row>
    <row r="124" spans="1:23" x14ac:dyDescent="0.25">
      <c r="E124" s="31"/>
      <c r="F124" s="31"/>
      <c r="G124" s="31"/>
    </row>
    <row r="125" spans="1:23" x14ac:dyDescent="0.25">
      <c r="E125" s="31"/>
      <c r="F125" s="31"/>
      <c r="G125" s="31"/>
    </row>
    <row r="126" spans="1:23" x14ac:dyDescent="0.25">
      <c r="E126" s="31"/>
      <c r="F126" s="31"/>
      <c r="G126" s="31"/>
    </row>
    <row r="127" spans="1:23" x14ac:dyDescent="0.25">
      <c r="E127" s="31"/>
      <c r="F127" s="31"/>
      <c r="G127" s="31"/>
    </row>
    <row r="128" spans="1:23" x14ac:dyDescent="0.25">
      <c r="E128" s="31"/>
      <c r="F128" s="31"/>
      <c r="G128" s="31"/>
    </row>
    <row r="129" spans="2:7" x14ac:dyDescent="0.25">
      <c r="E129" s="31"/>
      <c r="F129" s="31"/>
      <c r="G129" s="31"/>
    </row>
    <row r="130" spans="2:7" x14ac:dyDescent="0.25">
      <c r="B130" s="28"/>
      <c r="C130" s="28"/>
      <c r="D130" s="28"/>
      <c r="E130" s="29"/>
      <c r="F130" s="29"/>
      <c r="G130" s="29"/>
    </row>
    <row r="131" spans="2:7" x14ac:dyDescent="0.25">
      <c r="B131" s="28"/>
      <c r="C131" s="28"/>
      <c r="D131" s="28"/>
      <c r="E131" s="29"/>
      <c r="F131" s="29"/>
      <c r="G131" s="29"/>
    </row>
    <row r="132" spans="2:7" x14ac:dyDescent="0.25">
      <c r="E132" s="31"/>
      <c r="F132" s="31"/>
      <c r="G132" s="31"/>
    </row>
    <row r="133" spans="2:7" x14ac:dyDescent="0.25">
      <c r="E133" s="31"/>
      <c r="F133" s="31"/>
      <c r="G133" s="31"/>
    </row>
    <row r="134" spans="2:7" x14ac:dyDescent="0.25">
      <c r="E134" s="31"/>
      <c r="F134" s="31"/>
      <c r="G134" s="31"/>
    </row>
    <row r="135" spans="2:7" x14ac:dyDescent="0.25">
      <c r="E135" s="31"/>
      <c r="F135" s="31"/>
      <c r="G135" s="31"/>
    </row>
    <row r="136" spans="2:7" x14ac:dyDescent="0.25">
      <c r="E136" s="31"/>
      <c r="F136" s="31"/>
      <c r="G136" s="31"/>
    </row>
    <row r="137" spans="2:7" x14ac:dyDescent="0.25">
      <c r="E137" s="31"/>
      <c r="F137" s="31"/>
      <c r="G137" s="31"/>
    </row>
    <row r="138" spans="2:7" x14ac:dyDescent="0.25">
      <c r="E138" s="31"/>
      <c r="F138" s="31"/>
      <c r="G138" s="31"/>
    </row>
  </sheetData>
  <mergeCells count="1">
    <mergeCell ref="W7:W8"/>
  </mergeCells>
  <conditionalFormatting sqref="E29:G29">
    <cfRule type="timePeriod" dxfId="2" priority="2" timePeriod="lastWeek">
      <formula>AND(TODAY()-ROUNDDOWN(E29,0)&gt;=(WEEKDAY(TODAY())),TODAY()-ROUNDDOWN(E29,0)&lt;(WEEKDAY(TODAY())+7))</formula>
    </cfRule>
  </conditionalFormatting>
  <conditionalFormatting sqref="E68:G68">
    <cfRule type="timePeriod" dxfId="1" priority="1" timePeriod="lastWeek">
      <formula>AND(TODAY()-ROUNDDOWN(E68,0)&gt;=(WEEKDAY(TODAY())),TODAY()-ROUNDDOWN(E68,0)&lt;(WEEKDAY(TODAY())+7))</formula>
    </cfRule>
  </conditionalFormatting>
  <conditionalFormatting sqref="E8:R9 E10:S26 E27:R27">
    <cfRule type="timePeriod" dxfId="0" priority="7" timePeriod="lastWeek">
      <formula>AND(TODAY()-ROUNDDOWN(E8,0)&gt;=(WEEKDAY(TODAY())),TODAY()-ROUNDDOWN(E8,0)&lt;(WEEKDAY(TODAY())+7))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0FA5-EA8A-4F6F-B171-1A39872992DA}">
  <dimension ref="B2:G16"/>
  <sheetViews>
    <sheetView showGridLines="0" zoomScale="145" zoomScaleNormal="145" workbookViewId="0">
      <selection activeCell="B26" sqref="B26"/>
    </sheetView>
  </sheetViews>
  <sheetFormatPr defaultRowHeight="15" x14ac:dyDescent="0.25"/>
  <cols>
    <col min="1" max="1" width="4.85546875" customWidth="1"/>
    <col min="2" max="2" width="76.7109375" bestFit="1" customWidth="1"/>
    <col min="3" max="3" width="12.7109375" bestFit="1" customWidth="1"/>
    <col min="4" max="6" width="12.28515625" bestFit="1" customWidth="1"/>
    <col min="7" max="7" width="12.7109375" bestFit="1" customWidth="1"/>
  </cols>
  <sheetData>
    <row r="2" spans="2:7" x14ac:dyDescent="0.25">
      <c r="B2" s="63" t="s">
        <v>158</v>
      </c>
      <c r="C2" s="63"/>
      <c r="D2" s="63"/>
      <c r="E2" s="63"/>
      <c r="F2" s="63"/>
      <c r="G2" s="63"/>
    </row>
    <row r="3" spans="2:7" x14ac:dyDescent="0.25">
      <c r="B3" s="7"/>
      <c r="C3" s="63" t="s">
        <v>174</v>
      </c>
      <c r="D3" s="63" t="s">
        <v>171</v>
      </c>
      <c r="E3" s="63" t="s">
        <v>48</v>
      </c>
      <c r="F3" s="63" t="s">
        <v>49</v>
      </c>
      <c r="G3" s="63" t="s">
        <v>50</v>
      </c>
    </row>
    <row r="4" spans="2:7" x14ac:dyDescent="0.25">
      <c r="B4" t="s">
        <v>159</v>
      </c>
      <c r="C4" s="64">
        <f>SUM(C5:C10)</f>
        <v>1</v>
      </c>
      <c r="D4" s="64">
        <f>SUM(D5:D10)</f>
        <v>1</v>
      </c>
      <c r="E4" s="64">
        <f>SUM(E5:E10)</f>
        <v>1</v>
      </c>
      <c r="F4" s="64">
        <f t="shared" ref="F4:G4" si="0">SUM(F5:F10)</f>
        <v>1</v>
      </c>
      <c r="G4" s="64">
        <f t="shared" si="0"/>
        <v>1</v>
      </c>
    </row>
    <row r="5" spans="2:7" x14ac:dyDescent="0.25">
      <c r="B5" t="s">
        <v>160</v>
      </c>
      <c r="C5" s="15">
        <v>0.51</v>
      </c>
      <c r="D5" s="15">
        <v>0.45</v>
      </c>
      <c r="E5" s="15">
        <v>0.43</v>
      </c>
      <c r="F5" s="15">
        <v>0.42</v>
      </c>
      <c r="G5" s="15">
        <v>0.41</v>
      </c>
    </row>
    <row r="6" spans="2:7" x14ac:dyDescent="0.25">
      <c r="B6" t="s">
        <v>161</v>
      </c>
      <c r="C6" s="15">
        <v>0.18</v>
      </c>
      <c r="D6" s="15">
        <v>0.2</v>
      </c>
      <c r="E6" s="15">
        <v>0.2</v>
      </c>
      <c r="F6" s="15">
        <v>0.21</v>
      </c>
      <c r="G6" s="15">
        <v>0.19</v>
      </c>
    </row>
    <row r="7" spans="2:7" x14ac:dyDescent="0.25">
      <c r="B7" t="s">
        <v>162</v>
      </c>
      <c r="C7" s="15">
        <v>0.14000000000000001</v>
      </c>
      <c r="D7" s="15">
        <v>0.16</v>
      </c>
      <c r="E7" s="15">
        <v>0.17</v>
      </c>
      <c r="F7" s="15">
        <v>0.17</v>
      </c>
      <c r="G7" s="15">
        <v>0.19</v>
      </c>
    </row>
    <row r="8" spans="2:7" x14ac:dyDescent="0.25">
      <c r="B8" t="s">
        <v>163</v>
      </c>
      <c r="C8" s="15">
        <v>0.09</v>
      </c>
      <c r="D8" s="15">
        <v>0.12</v>
      </c>
      <c r="E8" s="15">
        <v>0.14000000000000001</v>
      </c>
      <c r="F8" s="15">
        <v>0.14000000000000001</v>
      </c>
      <c r="G8" s="15">
        <v>0.15</v>
      </c>
    </row>
    <row r="9" spans="2:7" x14ac:dyDescent="0.25">
      <c r="B9" t="s">
        <v>164</v>
      </c>
      <c r="C9" s="15">
        <v>0.05</v>
      </c>
      <c r="D9" s="15">
        <v>0.03</v>
      </c>
      <c r="E9" s="15">
        <v>0.03</v>
      </c>
      <c r="F9" s="15">
        <v>0.03</v>
      </c>
      <c r="G9" s="15">
        <v>0.03</v>
      </c>
    </row>
    <row r="10" spans="2:7" x14ac:dyDescent="0.25">
      <c r="B10" t="s">
        <v>165</v>
      </c>
      <c r="C10" s="15">
        <v>0.03</v>
      </c>
      <c r="D10" s="15">
        <v>0.04</v>
      </c>
      <c r="E10" s="15">
        <v>0.03</v>
      </c>
      <c r="F10" s="15">
        <v>0.03</v>
      </c>
      <c r="G10" s="15">
        <v>0.03</v>
      </c>
    </row>
    <row r="12" spans="2:7" x14ac:dyDescent="0.25">
      <c r="B12" s="63" t="s">
        <v>170</v>
      </c>
      <c r="C12" s="63"/>
      <c r="D12" s="63"/>
      <c r="E12" s="66"/>
      <c r="F12" s="65"/>
      <c r="G12" s="65"/>
    </row>
    <row r="13" spans="2:7" x14ac:dyDescent="0.25">
      <c r="B13" s="63" t="s">
        <v>166</v>
      </c>
      <c r="C13" s="63"/>
      <c r="D13" s="63"/>
      <c r="E13" s="63" t="s">
        <v>48</v>
      </c>
      <c r="F13" s="63"/>
      <c r="G13" s="63">
        <v>2023</v>
      </c>
    </row>
    <row r="14" spans="2:7" x14ac:dyDescent="0.25">
      <c r="B14" t="s">
        <v>167</v>
      </c>
      <c r="E14">
        <v>1308</v>
      </c>
      <c r="G14">
        <v>1385</v>
      </c>
    </row>
    <row r="15" spans="2:7" x14ac:dyDescent="0.25">
      <c r="B15" t="s">
        <v>168</v>
      </c>
      <c r="E15">
        <v>50</v>
      </c>
      <c r="G15">
        <v>50</v>
      </c>
    </row>
    <row r="16" spans="2:7" x14ac:dyDescent="0.25">
      <c r="B16" t="s">
        <v>169</v>
      </c>
      <c r="G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F1F9-17A5-4314-ACBE-6CB026596573}">
  <dimension ref="B2:J209"/>
  <sheetViews>
    <sheetView showGridLines="0" zoomScale="85" zoomScaleNormal="85" workbookViewId="0">
      <selection activeCell="C44" sqref="C44"/>
    </sheetView>
  </sheetViews>
  <sheetFormatPr defaultRowHeight="15" x14ac:dyDescent="0.25"/>
  <cols>
    <col min="1" max="1" width="5" customWidth="1"/>
    <col min="2" max="2" width="19.7109375" bestFit="1" customWidth="1"/>
    <col min="3" max="4" width="22.5703125" bestFit="1" customWidth="1"/>
    <col min="5" max="5" width="24.42578125" bestFit="1" customWidth="1"/>
    <col min="6" max="6" width="30.5703125" bestFit="1" customWidth="1"/>
    <col min="7" max="7" width="21.7109375" bestFit="1" customWidth="1"/>
    <col min="8" max="8" width="25.5703125" bestFit="1" customWidth="1"/>
    <col min="9" max="10" width="21.7109375" bestFit="1" customWidth="1"/>
  </cols>
  <sheetData>
    <row r="2" spans="2:10" x14ac:dyDescent="0.25">
      <c r="B2" s="7" t="s">
        <v>213</v>
      </c>
      <c r="C2" s="63"/>
      <c r="D2" s="63"/>
      <c r="E2" s="63"/>
      <c r="F2" s="63"/>
      <c r="G2" s="63"/>
      <c r="H2" s="63"/>
      <c r="I2" s="63"/>
      <c r="J2" s="63"/>
    </row>
    <row r="3" spans="2:10" x14ac:dyDescent="0.25">
      <c r="B3" t="s">
        <v>82</v>
      </c>
      <c r="C3" t="s">
        <v>185</v>
      </c>
      <c r="D3" t="s">
        <v>186</v>
      </c>
      <c r="E3" t="s">
        <v>187</v>
      </c>
      <c r="F3" t="s">
        <v>188</v>
      </c>
      <c r="G3" t="s">
        <v>189</v>
      </c>
      <c r="H3" t="s">
        <v>190</v>
      </c>
      <c r="I3" t="s">
        <v>191</v>
      </c>
      <c r="J3" t="s">
        <v>192</v>
      </c>
    </row>
    <row r="4" spans="2:10" x14ac:dyDescent="0.25">
      <c r="B4" t="s">
        <v>193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</row>
    <row r="5" spans="2:10" x14ac:dyDescent="0.25">
      <c r="B5" t="s">
        <v>202</v>
      </c>
      <c r="C5" t="s">
        <v>203</v>
      </c>
      <c r="D5" t="s">
        <v>203</v>
      </c>
      <c r="E5" t="s">
        <v>203</v>
      </c>
      <c r="F5" t="s">
        <v>204</v>
      </c>
      <c r="G5" t="s">
        <v>204</v>
      </c>
      <c r="H5" t="s">
        <v>204</v>
      </c>
      <c r="I5" t="s">
        <v>204</v>
      </c>
      <c r="J5" t="s">
        <v>204</v>
      </c>
    </row>
    <row r="6" spans="2:10" x14ac:dyDescent="0.25">
      <c r="B6" t="s">
        <v>205</v>
      </c>
      <c r="C6" t="s">
        <v>206</v>
      </c>
      <c r="D6" t="s">
        <v>206</v>
      </c>
      <c r="E6" t="s">
        <v>206</v>
      </c>
      <c r="F6" t="s">
        <v>207</v>
      </c>
      <c r="G6" t="s">
        <v>207</v>
      </c>
      <c r="H6" t="s">
        <v>207</v>
      </c>
      <c r="I6" t="s">
        <v>207</v>
      </c>
      <c r="J6" t="s">
        <v>207</v>
      </c>
    </row>
    <row r="7" spans="2:10" x14ac:dyDescent="0.25">
      <c r="B7" t="s">
        <v>208</v>
      </c>
      <c r="C7" s="86">
        <v>18528337900</v>
      </c>
      <c r="D7" s="86">
        <v>6956804100</v>
      </c>
      <c r="E7" s="86">
        <v>1342565120</v>
      </c>
      <c r="F7" s="86">
        <v>23803832300</v>
      </c>
      <c r="G7" s="86">
        <v>6538343400</v>
      </c>
      <c r="H7" s="86">
        <v>7753595400</v>
      </c>
      <c r="I7" s="86">
        <v>192875545000</v>
      </c>
      <c r="J7" s="86">
        <v>6306763300</v>
      </c>
    </row>
    <row r="8" spans="2:10" x14ac:dyDescent="0.25">
      <c r="B8" t="s">
        <v>209</v>
      </c>
      <c r="C8" s="86">
        <v>20043374600</v>
      </c>
      <c r="D8" s="86">
        <v>11807804400</v>
      </c>
      <c r="E8" s="86">
        <v>2866911230</v>
      </c>
      <c r="F8" s="86">
        <v>31463833600</v>
      </c>
      <c r="G8" s="86">
        <v>6734649300</v>
      </c>
      <c r="H8" s="86">
        <v>9481478100</v>
      </c>
      <c r="I8" s="86">
        <v>199846216000</v>
      </c>
      <c r="J8" s="86">
        <v>10612663300</v>
      </c>
    </row>
    <row r="9" spans="2:10" x14ac:dyDescent="0.25">
      <c r="B9" t="s">
        <v>210</v>
      </c>
      <c r="C9" s="87">
        <v>38000</v>
      </c>
      <c r="D9" s="87">
        <v>33069</v>
      </c>
      <c r="E9" s="87">
        <v>20000</v>
      </c>
      <c r="F9" s="87">
        <v>48050</v>
      </c>
      <c r="G9" s="87">
        <v>475</v>
      </c>
      <c r="H9" s="87">
        <v>30540</v>
      </c>
      <c r="I9" s="87">
        <v>94605</v>
      </c>
      <c r="J9" s="87">
        <v>11791</v>
      </c>
    </row>
    <row r="10" spans="2:10" x14ac:dyDescent="0.25">
      <c r="B10" t="s">
        <v>211</v>
      </c>
      <c r="C10">
        <v>10</v>
      </c>
      <c r="D10">
        <v>3</v>
      </c>
      <c r="E10">
        <v>1</v>
      </c>
      <c r="F10">
        <v>7</v>
      </c>
      <c r="G10">
        <v>5</v>
      </c>
      <c r="H10" t="s">
        <v>29</v>
      </c>
      <c r="I10">
        <v>2</v>
      </c>
      <c r="J10">
        <v>1</v>
      </c>
    </row>
    <row r="11" spans="2:10" x14ac:dyDescent="0.25">
      <c r="B11" t="s">
        <v>212</v>
      </c>
      <c r="C11">
        <v>31</v>
      </c>
      <c r="D11">
        <v>20</v>
      </c>
      <c r="E11">
        <v>6</v>
      </c>
      <c r="F11">
        <v>30</v>
      </c>
      <c r="G11">
        <v>16</v>
      </c>
      <c r="H11">
        <v>1</v>
      </c>
      <c r="I11">
        <v>3</v>
      </c>
      <c r="J11">
        <v>20</v>
      </c>
    </row>
    <row r="13" spans="2:10" x14ac:dyDescent="0.25">
      <c r="B13" s="7" t="s">
        <v>223</v>
      </c>
      <c r="C13" s="63"/>
      <c r="D13" s="63"/>
      <c r="E13" s="63"/>
      <c r="F13" s="63"/>
      <c r="G13" s="63"/>
      <c r="H13" s="63"/>
      <c r="I13" s="63"/>
      <c r="J13" s="63"/>
    </row>
    <row r="14" spans="2:10" x14ac:dyDescent="0.25">
      <c r="B14" t="s">
        <v>82</v>
      </c>
      <c r="C14" t="s">
        <v>185</v>
      </c>
      <c r="D14" t="s">
        <v>186</v>
      </c>
      <c r="E14" t="s">
        <v>187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</row>
    <row r="15" spans="2:10" x14ac:dyDescent="0.25">
      <c r="B15" t="s">
        <v>214</v>
      </c>
      <c r="C15" t="s">
        <v>215</v>
      </c>
      <c r="D15" t="s">
        <v>215</v>
      </c>
      <c r="E15" t="s">
        <v>215</v>
      </c>
      <c r="F15" t="s">
        <v>216</v>
      </c>
      <c r="G15" t="s">
        <v>215</v>
      </c>
      <c r="H15" t="s">
        <v>216</v>
      </c>
      <c r="I15" t="s">
        <v>215</v>
      </c>
      <c r="J15" t="s">
        <v>217</v>
      </c>
    </row>
    <row r="16" spans="2:10" x14ac:dyDescent="0.25">
      <c r="B16" t="s">
        <v>218</v>
      </c>
      <c r="C16" t="s">
        <v>219</v>
      </c>
      <c r="D16" t="s">
        <v>219</v>
      </c>
      <c r="E16" t="s">
        <v>215</v>
      </c>
      <c r="F16" t="s">
        <v>215</v>
      </c>
      <c r="G16" t="s">
        <v>219</v>
      </c>
      <c r="H16" t="s">
        <v>220</v>
      </c>
      <c r="I16" t="s">
        <v>215</v>
      </c>
      <c r="J16" t="s">
        <v>215</v>
      </c>
    </row>
    <row r="17" spans="2:10" x14ac:dyDescent="0.25">
      <c r="B17" t="s">
        <v>221</v>
      </c>
      <c r="C17" t="s">
        <v>219</v>
      </c>
      <c r="D17" t="s">
        <v>219</v>
      </c>
      <c r="E17" t="s">
        <v>215</v>
      </c>
      <c r="F17" t="s">
        <v>215</v>
      </c>
      <c r="G17" t="s">
        <v>222</v>
      </c>
      <c r="H17" t="s">
        <v>222</v>
      </c>
      <c r="I17" t="s">
        <v>222</v>
      </c>
      <c r="J17" t="s">
        <v>219</v>
      </c>
    </row>
    <row r="19" spans="2:10" x14ac:dyDescent="0.25">
      <c r="B19" s="7" t="s">
        <v>224</v>
      </c>
      <c r="C19" s="63"/>
      <c r="D19" s="63"/>
      <c r="E19" s="63"/>
      <c r="F19" s="63"/>
      <c r="G19" s="63"/>
      <c r="H19" s="63"/>
      <c r="I19" s="63"/>
      <c r="J19" s="63"/>
    </row>
    <row r="20" spans="2:10" x14ac:dyDescent="0.25">
      <c r="B20" s="88"/>
      <c r="C20" s="34" t="s">
        <v>185</v>
      </c>
      <c r="D20" s="34" t="s">
        <v>186</v>
      </c>
      <c r="E20" s="34" t="s">
        <v>187</v>
      </c>
      <c r="F20" s="34" t="s">
        <v>188</v>
      </c>
      <c r="G20" s="34" t="s">
        <v>189</v>
      </c>
      <c r="H20" s="34" t="s">
        <v>190</v>
      </c>
      <c r="I20" s="34" t="s">
        <v>191</v>
      </c>
      <c r="J20" s="34" t="s">
        <v>192</v>
      </c>
    </row>
    <row r="21" spans="2:10" x14ac:dyDescent="0.25">
      <c r="B21" t="s">
        <v>202</v>
      </c>
      <c r="C21" t="s">
        <v>203</v>
      </c>
      <c r="D21" t="s">
        <v>203</v>
      </c>
      <c r="E21" t="s">
        <v>203</v>
      </c>
      <c r="F21" t="s">
        <v>204</v>
      </c>
      <c r="G21" t="s">
        <v>204</v>
      </c>
      <c r="H21" t="s">
        <v>204</v>
      </c>
      <c r="I21" t="s">
        <v>204</v>
      </c>
      <c r="J21" t="s">
        <v>204</v>
      </c>
    </row>
    <row r="22" spans="2:10" x14ac:dyDescent="0.25">
      <c r="B22" t="s">
        <v>225</v>
      </c>
      <c r="C22" t="s">
        <v>226</v>
      </c>
      <c r="D22" t="s">
        <v>227</v>
      </c>
      <c r="E22" t="s">
        <v>228</v>
      </c>
      <c r="F22" t="s">
        <v>229</v>
      </c>
      <c r="G22" t="s">
        <v>230</v>
      </c>
      <c r="H22" t="s">
        <v>231</v>
      </c>
      <c r="I22" t="s">
        <v>232</v>
      </c>
      <c r="J22" t="s">
        <v>233</v>
      </c>
    </row>
    <row r="23" spans="2:10" x14ac:dyDescent="0.25">
      <c r="B23" t="s">
        <v>205</v>
      </c>
      <c r="C23" t="s">
        <v>206</v>
      </c>
      <c r="D23" t="s">
        <v>206</v>
      </c>
      <c r="E23" t="s">
        <v>206</v>
      </c>
      <c r="F23" t="s">
        <v>207</v>
      </c>
      <c r="G23" t="s">
        <v>207</v>
      </c>
      <c r="H23" t="s">
        <v>207</v>
      </c>
      <c r="I23" t="s">
        <v>207</v>
      </c>
      <c r="J23" t="s">
        <v>207</v>
      </c>
    </row>
    <row r="24" spans="2:10" x14ac:dyDescent="0.25">
      <c r="B24" t="s">
        <v>234</v>
      </c>
      <c r="C24" t="s">
        <v>235</v>
      </c>
      <c r="D24" t="s">
        <v>236</v>
      </c>
      <c r="E24" t="s">
        <v>237</v>
      </c>
      <c r="F24" t="s">
        <v>238</v>
      </c>
      <c r="G24" t="s">
        <v>239</v>
      </c>
      <c r="H24" t="s">
        <v>240</v>
      </c>
      <c r="I24" t="s">
        <v>241</v>
      </c>
      <c r="J24" t="s">
        <v>242</v>
      </c>
    </row>
    <row r="27" spans="2:10" x14ac:dyDescent="0.25">
      <c r="B27" s="7" t="s">
        <v>259</v>
      </c>
      <c r="C27" s="63"/>
      <c r="D27" s="63"/>
      <c r="E27" s="63"/>
      <c r="F27" s="63"/>
      <c r="G27" s="63"/>
      <c r="H27" s="63"/>
      <c r="I27" s="63"/>
      <c r="J27" s="63"/>
    </row>
    <row r="28" spans="2:10" x14ac:dyDescent="0.25">
      <c r="B28" t="s">
        <v>82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  <c r="H28" t="s">
        <v>190</v>
      </c>
      <c r="I28" t="s">
        <v>191</v>
      </c>
      <c r="J28" t="s">
        <v>192</v>
      </c>
    </row>
    <row r="29" spans="2:10" x14ac:dyDescent="0.25">
      <c r="B29" t="s">
        <v>243</v>
      </c>
      <c r="C29" t="s">
        <v>244</v>
      </c>
      <c r="D29" t="s">
        <v>245</v>
      </c>
      <c r="E29" t="s">
        <v>245</v>
      </c>
      <c r="F29" t="s">
        <v>246</v>
      </c>
      <c r="G29" t="s">
        <v>247</v>
      </c>
      <c r="H29" t="s">
        <v>248</v>
      </c>
      <c r="I29" t="s">
        <v>247</v>
      </c>
      <c r="J29" t="s">
        <v>249</v>
      </c>
    </row>
    <row r="30" spans="2:10" x14ac:dyDescent="0.25">
      <c r="B30" t="s">
        <v>250</v>
      </c>
      <c r="C30" t="s">
        <v>251</v>
      </c>
      <c r="D30" t="s">
        <v>251</v>
      </c>
      <c r="E30" t="s">
        <v>251</v>
      </c>
      <c r="F30" t="s">
        <v>248</v>
      </c>
      <c r="G30" t="s">
        <v>252</v>
      </c>
      <c r="H30" t="s">
        <v>245</v>
      </c>
      <c r="I30" t="s">
        <v>253</v>
      </c>
      <c r="J30" t="s">
        <v>249</v>
      </c>
    </row>
    <row r="31" spans="2:10" x14ac:dyDescent="0.25">
      <c r="B31" t="s">
        <v>254</v>
      </c>
      <c r="C31" t="s">
        <v>245</v>
      </c>
      <c r="D31" t="s">
        <v>255</v>
      </c>
      <c r="E31" t="s">
        <v>256</v>
      </c>
      <c r="F31" t="s">
        <v>255</v>
      </c>
      <c r="G31" t="s">
        <v>246</v>
      </c>
      <c r="H31" t="s">
        <v>256</v>
      </c>
      <c r="I31" t="s">
        <v>252</v>
      </c>
      <c r="J31" t="s">
        <v>246</v>
      </c>
    </row>
    <row r="32" spans="2:10" x14ac:dyDescent="0.25">
      <c r="B32" t="s">
        <v>257</v>
      </c>
      <c r="C32" t="s">
        <v>246</v>
      </c>
      <c r="D32" t="s">
        <v>253</v>
      </c>
      <c r="E32" t="s">
        <v>255</v>
      </c>
      <c r="F32" t="s">
        <v>247</v>
      </c>
      <c r="G32" t="s">
        <v>248</v>
      </c>
      <c r="H32" t="s">
        <v>248</v>
      </c>
      <c r="I32" t="s">
        <v>253</v>
      </c>
      <c r="J32" t="s">
        <v>248</v>
      </c>
    </row>
    <row r="33" spans="2:10" x14ac:dyDescent="0.25">
      <c r="B33" t="s">
        <v>258</v>
      </c>
      <c r="C33" t="s">
        <v>244</v>
      </c>
      <c r="D33" t="s">
        <v>246</v>
      </c>
      <c r="E33" t="s">
        <v>244</v>
      </c>
      <c r="F33" t="s">
        <v>248</v>
      </c>
      <c r="G33" t="s">
        <v>245</v>
      </c>
      <c r="H33" t="s">
        <v>256</v>
      </c>
      <c r="I33" t="s">
        <v>251</v>
      </c>
      <c r="J33" t="s">
        <v>244</v>
      </c>
    </row>
    <row r="35" spans="2:10" x14ac:dyDescent="0.25">
      <c r="B35" s="7" t="s">
        <v>275</v>
      </c>
      <c r="C35" s="63"/>
      <c r="D35" s="63"/>
      <c r="E35" s="63"/>
      <c r="F35" s="63"/>
      <c r="G35" s="63"/>
      <c r="H35" s="63"/>
      <c r="I35" s="63"/>
      <c r="J35" s="63"/>
    </row>
    <row r="36" spans="2:10" x14ac:dyDescent="0.25">
      <c r="B36" t="s">
        <v>82</v>
      </c>
      <c r="C36" t="s">
        <v>185</v>
      </c>
      <c r="D36" t="s">
        <v>186</v>
      </c>
      <c r="E36" t="s">
        <v>187</v>
      </c>
      <c r="F36" t="s">
        <v>188</v>
      </c>
      <c r="G36" t="s">
        <v>189</v>
      </c>
      <c r="H36" t="s">
        <v>190</v>
      </c>
      <c r="I36" t="s">
        <v>191</v>
      </c>
      <c r="J36" t="s">
        <v>192</v>
      </c>
    </row>
    <row r="37" spans="2:10" x14ac:dyDescent="0.25">
      <c r="B37" t="s">
        <v>260</v>
      </c>
      <c r="C37">
        <v>393.26</v>
      </c>
      <c r="D37">
        <v>31.75</v>
      </c>
      <c r="E37">
        <v>13.08</v>
      </c>
      <c r="F37">
        <v>66.31</v>
      </c>
      <c r="G37">
        <v>116.07</v>
      </c>
      <c r="H37">
        <v>19.420000000000002</v>
      </c>
      <c r="I37">
        <v>74.7</v>
      </c>
      <c r="J37">
        <v>7.25</v>
      </c>
    </row>
    <row r="38" spans="2:10" x14ac:dyDescent="0.25">
      <c r="B38" t="s">
        <v>261</v>
      </c>
      <c r="C38">
        <v>574.76</v>
      </c>
      <c r="D38">
        <v>52.984999999999999</v>
      </c>
      <c r="E38">
        <v>13.96</v>
      </c>
      <c r="F38">
        <v>159.75</v>
      </c>
      <c r="G38">
        <v>221.82990000000001</v>
      </c>
      <c r="H38">
        <v>33.880000000000003</v>
      </c>
      <c r="I38">
        <v>100.28</v>
      </c>
      <c r="J38">
        <v>13.3</v>
      </c>
    </row>
    <row r="39" spans="2:10" x14ac:dyDescent="0.25">
      <c r="B39" t="s">
        <v>262</v>
      </c>
      <c r="C39">
        <v>318.17</v>
      </c>
      <c r="D39">
        <v>26.204999999999998</v>
      </c>
      <c r="E39">
        <v>8.1201000000000008</v>
      </c>
      <c r="F39">
        <v>62.88</v>
      </c>
      <c r="G39">
        <v>92.16</v>
      </c>
      <c r="H39">
        <v>19.3</v>
      </c>
      <c r="I39">
        <v>72.2</v>
      </c>
      <c r="J39">
        <v>7.02</v>
      </c>
    </row>
    <row r="40" spans="2:10" x14ac:dyDescent="0.25">
      <c r="B40" t="s">
        <v>263</v>
      </c>
      <c r="C40">
        <v>-0.31578397940009745</v>
      </c>
      <c r="D40">
        <v>-0.40077380390676604</v>
      </c>
      <c r="E40">
        <v>-6.3037249283667676E-2</v>
      </c>
      <c r="F40">
        <v>-0.58491392801251951</v>
      </c>
      <c r="G40">
        <v>-0.47676124814553861</v>
      </c>
      <c r="H40">
        <v>-0.42680047225501772</v>
      </c>
      <c r="I40">
        <v>-0.25508575987235738</v>
      </c>
      <c r="J40">
        <v>-0.45488721804511278</v>
      </c>
    </row>
    <row r="41" spans="2:10" x14ac:dyDescent="0.25">
      <c r="B41" t="s">
        <v>264</v>
      </c>
      <c r="C41">
        <v>0.23600590879089786</v>
      </c>
      <c r="D41">
        <v>0.21160083953444006</v>
      </c>
      <c r="E41">
        <v>0.61081760076846325</v>
      </c>
      <c r="F41">
        <v>5.4548346055979635E-2</v>
      </c>
      <c r="G41">
        <v>0.25944010416666663</v>
      </c>
      <c r="H41">
        <v>6.2176165803109317E-3</v>
      </c>
      <c r="I41">
        <v>3.462603878116343E-2</v>
      </c>
      <c r="J41">
        <v>3.2763532763532825E-2</v>
      </c>
    </row>
    <row r="42" spans="2:10" x14ac:dyDescent="0.25">
      <c r="B42" t="s">
        <v>265</v>
      </c>
      <c r="C42">
        <v>1.501391840106951E-2</v>
      </c>
      <c r="D42">
        <v>2.212503587853976E-2</v>
      </c>
      <c r="E42">
        <v>9.4213159214330232E-3</v>
      </c>
      <c r="F42">
        <v>2.4788646348323659E-2</v>
      </c>
      <c r="G42">
        <v>6.4124429353967644E-2</v>
      </c>
      <c r="H42">
        <v>2.8385878274716852E-4</v>
      </c>
      <c r="I42">
        <v>4.9080099237259675E-4</v>
      </c>
      <c r="J42">
        <v>7.9971555527475653E-3</v>
      </c>
    </row>
    <row r="44" spans="2:10" x14ac:dyDescent="0.25">
      <c r="B44" t="s">
        <v>82</v>
      </c>
      <c r="C44" t="s">
        <v>185</v>
      </c>
      <c r="D44" t="s">
        <v>186</v>
      </c>
      <c r="E44" t="s">
        <v>187</v>
      </c>
      <c r="F44" t="s">
        <v>188</v>
      </c>
      <c r="G44" t="s">
        <v>189</v>
      </c>
      <c r="H44" t="s">
        <v>190</v>
      </c>
      <c r="I44" t="s">
        <v>191</v>
      </c>
      <c r="J44" t="s">
        <v>192</v>
      </c>
    </row>
    <row r="45" spans="2:10" x14ac:dyDescent="0.25">
      <c r="B45" t="s">
        <v>266</v>
      </c>
      <c r="C45">
        <v>4.1215102294532582E-2</v>
      </c>
      <c r="D45">
        <v>7.3875083948958652E-3</v>
      </c>
      <c r="E45">
        <v>-3.2477341389728076E-2</v>
      </c>
      <c r="F45">
        <v>-0.33465222823823415</v>
      </c>
      <c r="G45">
        <v>0.1841197911535809</v>
      </c>
      <c r="H45">
        <v>-0.25627655465430671</v>
      </c>
      <c r="I45">
        <v>-0.16542093979952494</v>
      </c>
      <c r="J45">
        <v>-0.23504273504273498</v>
      </c>
    </row>
    <row r="46" spans="2:10" x14ac:dyDescent="0.25">
      <c r="B46" t="s">
        <v>267</v>
      </c>
      <c r="C46">
        <v>0.19902897513304904</v>
      </c>
      <c r="D46">
        <v>-1.2522758470275312E-2</v>
      </c>
      <c r="E46">
        <v>0.36421725239616604</v>
      </c>
      <c r="F46">
        <v>-0.29705068318478023</v>
      </c>
      <c r="G46">
        <v>-0.3386519944979367</v>
      </c>
      <c r="H46">
        <v>-0.29981818181818187</v>
      </c>
      <c r="I46">
        <v>-0.14597414917585677</v>
      </c>
      <c r="J46">
        <v>-0.2166301969365427</v>
      </c>
    </row>
    <row r="47" spans="2:10" x14ac:dyDescent="0.25">
      <c r="B47" t="s">
        <v>268</v>
      </c>
      <c r="C47">
        <v>-2.1363070592120371E-2</v>
      </c>
      <c r="D47">
        <v>-0.35815273962233535</v>
      </c>
      <c r="E47">
        <v>0.20963172804532582</v>
      </c>
      <c r="F47">
        <v>-0.50018566655450702</v>
      </c>
      <c r="G47">
        <v>-0.26532608031293936</v>
      </c>
      <c r="H47">
        <v>-0.31305743845879419</v>
      </c>
      <c r="I47">
        <v>-0.24681029073415611</v>
      </c>
      <c r="J47">
        <v>-0.35495495495495499</v>
      </c>
    </row>
    <row r="48" spans="2:10" x14ac:dyDescent="0.25">
      <c r="B48" t="s">
        <v>269</v>
      </c>
      <c r="C48">
        <v>-0.25052525095323319</v>
      </c>
      <c r="D48">
        <v>-0.30961273140400464</v>
      </c>
      <c r="E48">
        <v>-6.2063615205585777E-3</v>
      </c>
      <c r="F48">
        <v>-0.5419582086540351</v>
      </c>
      <c r="G48">
        <v>-0.27071957286737042</v>
      </c>
      <c r="H48">
        <v>-0.31744062389223687</v>
      </c>
      <c r="I48">
        <v>-0.24952709369749063</v>
      </c>
      <c r="J48">
        <v>-0.41215106732348111</v>
      </c>
    </row>
    <row r="49" spans="2:10" x14ac:dyDescent="0.25">
      <c r="B49" t="s">
        <v>270</v>
      </c>
      <c r="C49">
        <v>-0.21373905589910003</v>
      </c>
      <c r="D49">
        <v>-0.2947364535916604</v>
      </c>
      <c r="E49">
        <v>-3.5391566265060154E-2</v>
      </c>
      <c r="F49">
        <v>-0.55548805713972149</v>
      </c>
      <c r="G49">
        <v>-0.16724400720520993</v>
      </c>
      <c r="H49">
        <v>-0.35902130492676432</v>
      </c>
      <c r="I49">
        <v>-0.26455014573742525</v>
      </c>
      <c r="J49">
        <v>-0.42351046698872785</v>
      </c>
    </row>
    <row r="50" spans="2:10" x14ac:dyDescent="0.25">
      <c r="B50" t="s">
        <v>271</v>
      </c>
      <c r="C50">
        <v>-2.6088275443652342E-2</v>
      </c>
      <c r="D50">
        <v>-2.8926687881597371E-2</v>
      </c>
      <c r="E50">
        <v>0.42333333333333345</v>
      </c>
      <c r="F50">
        <v>-0.43432778891648427</v>
      </c>
      <c r="G50">
        <v>0.17831585138711892</v>
      </c>
      <c r="H50">
        <v>-0.40146098849860123</v>
      </c>
      <c r="I50">
        <v>-0.1581914731482075</v>
      </c>
      <c r="J50">
        <v>-0.27749747729566093</v>
      </c>
    </row>
    <row r="51" spans="2:10" x14ac:dyDescent="0.25">
      <c r="B51" t="s">
        <v>272</v>
      </c>
      <c r="C51">
        <v>-1.6817659818808298E-2</v>
      </c>
      <c r="D51">
        <v>-0.57767079615938888</v>
      </c>
      <c r="E51">
        <v>-0.30456026058631924</v>
      </c>
      <c r="F51">
        <v>-0.80885835570792364</v>
      </c>
      <c r="G51">
        <v>2.8365783593999363</v>
      </c>
      <c r="H51">
        <v>-0.72286989061600471</v>
      </c>
      <c r="I51">
        <v>-0.21470656374575861</v>
      </c>
      <c r="J51">
        <v>-0.22927879440258334</v>
      </c>
    </row>
    <row r="52" spans="2:10" x14ac:dyDescent="0.25">
      <c r="B52" t="s">
        <v>273</v>
      </c>
      <c r="C52">
        <v>0.58042417032448612</v>
      </c>
      <c r="D52">
        <v>1.2566082516039971</v>
      </c>
      <c r="E52">
        <v>-0.35949999999999993</v>
      </c>
      <c r="F52">
        <v>-0.63782685297601494</v>
      </c>
      <c r="G52">
        <v>5.9519953730480051</v>
      </c>
      <c r="H52">
        <v>-0.74992804018637571</v>
      </c>
      <c r="I52">
        <v>0.32211968278233011</v>
      </c>
      <c r="J52">
        <v>-0.43744034098029483</v>
      </c>
    </row>
    <row r="53" spans="2:10" x14ac:dyDescent="0.25">
      <c r="B53" t="s">
        <v>274</v>
      </c>
      <c r="C53">
        <v>2.1643531827515399</v>
      </c>
      <c r="D53">
        <v>-0.29693145969941981</v>
      </c>
      <c r="E53">
        <v>-0.55979381443298959</v>
      </c>
      <c r="F53">
        <v>-6.3197442245250535E-3</v>
      </c>
      <c r="G53" t="s">
        <v>29</v>
      </c>
      <c r="H53">
        <v>0.31151868960109058</v>
      </c>
      <c r="I53">
        <v>1.6724660887727776</v>
      </c>
      <c r="J53">
        <v>-0.54724401233368014</v>
      </c>
    </row>
    <row r="55" spans="2:10" x14ac:dyDescent="0.25">
      <c r="B55" s="7" t="s">
        <v>291</v>
      </c>
      <c r="C55" s="63"/>
      <c r="D55" s="63"/>
      <c r="E55" s="63"/>
      <c r="F55" s="63"/>
      <c r="G55" s="63"/>
      <c r="H55" s="63"/>
      <c r="I55" s="63"/>
      <c r="J55" s="63"/>
    </row>
    <row r="56" spans="2:10" x14ac:dyDescent="0.25">
      <c r="B56" t="s">
        <v>82</v>
      </c>
      <c r="C56" t="s">
        <v>185</v>
      </c>
      <c r="D56" t="s">
        <v>186</v>
      </c>
      <c r="E56" t="s">
        <v>187</v>
      </c>
      <c r="F56" t="s">
        <v>188</v>
      </c>
      <c r="G56" t="s">
        <v>189</v>
      </c>
      <c r="H56" t="s">
        <v>190</v>
      </c>
      <c r="I56" t="s">
        <v>191</v>
      </c>
      <c r="J56" t="s">
        <v>192</v>
      </c>
    </row>
    <row r="57" spans="2:10" x14ac:dyDescent="0.25">
      <c r="B57" t="s">
        <v>276</v>
      </c>
      <c r="C57" t="s">
        <v>29</v>
      </c>
      <c r="D57">
        <v>2.519685E-2</v>
      </c>
      <c r="E57" t="s">
        <v>29</v>
      </c>
      <c r="F57">
        <v>2.1112955000000003E-2</v>
      </c>
      <c r="G57" t="s">
        <v>29</v>
      </c>
      <c r="H57">
        <v>2.0958649999999999E-2</v>
      </c>
      <c r="I57">
        <v>1.8859099000000001E-2</v>
      </c>
      <c r="J57" t="s">
        <v>29</v>
      </c>
    </row>
    <row r="58" spans="2:10" x14ac:dyDescent="0.25">
      <c r="B58" t="s">
        <v>277</v>
      </c>
      <c r="C58" t="s">
        <v>29</v>
      </c>
      <c r="D58">
        <v>2.519685E-2</v>
      </c>
      <c r="E58" t="s">
        <v>29</v>
      </c>
      <c r="F58">
        <v>3.9812998999999995E-2</v>
      </c>
      <c r="G58" t="s">
        <v>29</v>
      </c>
      <c r="H58">
        <v>2.0958649999999999E-2</v>
      </c>
      <c r="I58">
        <v>1.8859099000000001E-2</v>
      </c>
      <c r="J58" t="s">
        <v>29</v>
      </c>
    </row>
    <row r="59" spans="2:10" x14ac:dyDescent="0.25">
      <c r="B59" t="s">
        <v>278</v>
      </c>
      <c r="C59" t="s">
        <v>29</v>
      </c>
      <c r="D59">
        <v>1.5131924999999999E-2</v>
      </c>
      <c r="E59" t="s">
        <v>29</v>
      </c>
      <c r="F59">
        <v>1.2685785999999999E-2</v>
      </c>
      <c r="G59" t="s">
        <v>29</v>
      </c>
      <c r="H59">
        <v>1.2003268000000001E-2</v>
      </c>
      <c r="I59">
        <v>1.3938031E-2</v>
      </c>
      <c r="J59" t="s">
        <v>29</v>
      </c>
    </row>
    <row r="60" spans="2:10" x14ac:dyDescent="0.25">
      <c r="B60" t="s">
        <v>279</v>
      </c>
      <c r="C60" t="s">
        <v>29</v>
      </c>
      <c r="D60">
        <v>0.8</v>
      </c>
      <c r="E60" t="s">
        <v>29</v>
      </c>
      <c r="F60">
        <v>1.4</v>
      </c>
      <c r="G60" t="s">
        <v>29</v>
      </c>
      <c r="H60">
        <v>0.40701700000000002</v>
      </c>
      <c r="I60">
        <v>1.4087746999999999</v>
      </c>
      <c r="J60" t="s">
        <v>29</v>
      </c>
    </row>
    <row r="61" spans="2:10" x14ac:dyDescent="0.25">
      <c r="B61" t="s">
        <v>280</v>
      </c>
      <c r="C61" t="s">
        <v>29</v>
      </c>
      <c r="D61">
        <v>0.8</v>
      </c>
      <c r="E61" t="s">
        <v>29</v>
      </c>
      <c r="F61">
        <v>2.64</v>
      </c>
      <c r="G61" t="s">
        <v>29</v>
      </c>
      <c r="H61">
        <v>0.40701700000000002</v>
      </c>
      <c r="I61">
        <v>1.4087746999999999</v>
      </c>
      <c r="J61" t="s">
        <v>29</v>
      </c>
    </row>
    <row r="62" spans="2:10" x14ac:dyDescent="0.25">
      <c r="B62" t="s">
        <v>281</v>
      </c>
      <c r="C62" t="s">
        <v>29</v>
      </c>
      <c r="D62">
        <v>0.24316109422492399</v>
      </c>
      <c r="E62" t="s">
        <v>29</v>
      </c>
      <c r="F62">
        <v>1.003802281368821</v>
      </c>
      <c r="G62" t="s">
        <v>29</v>
      </c>
      <c r="H62" t="s">
        <v>29</v>
      </c>
      <c r="I62" t="s">
        <v>29</v>
      </c>
      <c r="J62" t="s">
        <v>29</v>
      </c>
    </row>
    <row r="63" spans="2:10" x14ac:dyDescent="0.25">
      <c r="B63" t="s">
        <v>282</v>
      </c>
      <c r="C63" t="s">
        <v>29</v>
      </c>
      <c r="D63">
        <v>0.43411976534729368</v>
      </c>
      <c r="E63" t="s">
        <v>29</v>
      </c>
      <c r="F63">
        <v>7.5860646672289311E-2</v>
      </c>
      <c r="G63" t="s">
        <v>29</v>
      </c>
      <c r="H63">
        <v>3.7941256189527588E-2</v>
      </c>
      <c r="I63">
        <v>-8.4149120740882891E-2</v>
      </c>
      <c r="J63" t="s">
        <v>29</v>
      </c>
    </row>
    <row r="64" spans="2:10" x14ac:dyDescent="0.25">
      <c r="B64" t="s">
        <v>283</v>
      </c>
      <c r="C64" t="s">
        <v>29</v>
      </c>
      <c r="D64">
        <v>-7.9767077303988909E-2</v>
      </c>
      <c r="E64" t="s">
        <v>29</v>
      </c>
      <c r="F64">
        <v>8.9469548752426409E-2</v>
      </c>
      <c r="G64" t="s">
        <v>29</v>
      </c>
      <c r="H64">
        <v>-0.1113983351388903</v>
      </c>
      <c r="I64">
        <v>0.1045547487517846</v>
      </c>
      <c r="J64" t="s">
        <v>29</v>
      </c>
    </row>
    <row r="65" spans="2:10" x14ac:dyDescent="0.25">
      <c r="B65" t="s">
        <v>284</v>
      </c>
      <c r="C65" t="s">
        <v>29</v>
      </c>
      <c r="D65" t="s">
        <v>285</v>
      </c>
      <c r="E65" t="s">
        <v>285</v>
      </c>
      <c r="F65" t="s">
        <v>286</v>
      </c>
      <c r="G65" t="s">
        <v>29</v>
      </c>
      <c r="H65" t="s">
        <v>285</v>
      </c>
      <c r="I65" t="s">
        <v>287</v>
      </c>
      <c r="J65" t="s">
        <v>285</v>
      </c>
    </row>
    <row r="66" spans="2:10" x14ac:dyDescent="0.25">
      <c r="B66" t="s">
        <v>288</v>
      </c>
      <c r="C66" t="s">
        <v>29</v>
      </c>
      <c r="D66" t="s">
        <v>2</v>
      </c>
      <c r="E66" t="s">
        <v>2</v>
      </c>
      <c r="F66" t="s">
        <v>2</v>
      </c>
      <c r="G66" t="s">
        <v>29</v>
      </c>
      <c r="H66" t="s">
        <v>289</v>
      </c>
      <c r="I66" t="s">
        <v>290</v>
      </c>
      <c r="J66" t="s">
        <v>2</v>
      </c>
    </row>
    <row r="80" spans="2:10" x14ac:dyDescent="0.25">
      <c r="B80" t="s">
        <v>82</v>
      </c>
      <c r="C80" t="s">
        <v>185</v>
      </c>
      <c r="D80" t="s">
        <v>186</v>
      </c>
      <c r="E80" t="s">
        <v>187</v>
      </c>
      <c r="F80" t="s">
        <v>188</v>
      </c>
      <c r="G80" t="s">
        <v>189</v>
      </c>
      <c r="H80" t="s">
        <v>190</v>
      </c>
      <c r="I80" t="s">
        <v>191</v>
      </c>
      <c r="J80" t="s">
        <v>192</v>
      </c>
    </row>
    <row r="81" spans="2:10" x14ac:dyDescent="0.25">
      <c r="B81" t="s">
        <v>292</v>
      </c>
      <c r="C81">
        <v>17.011126999999998</v>
      </c>
      <c r="D81">
        <v>9.9162970000000001</v>
      </c>
      <c r="E81">
        <v>7.8715989999999998</v>
      </c>
      <c r="F81">
        <v>38.376953</v>
      </c>
      <c r="G81">
        <v>32.377921999999998</v>
      </c>
      <c r="H81" t="s">
        <v>29</v>
      </c>
      <c r="I81">
        <v>29.400074</v>
      </c>
      <c r="J81">
        <v>13.534452</v>
      </c>
    </row>
    <row r="82" spans="2:10" x14ac:dyDescent="0.25">
      <c r="B82" t="s">
        <v>293</v>
      </c>
      <c r="C82">
        <v>17.31592963372621</v>
      </c>
      <c r="D82">
        <v>8.8899217686884349</v>
      </c>
      <c r="E82">
        <v>7.4957020057306591</v>
      </c>
      <c r="F82">
        <v>23.78893819755115</v>
      </c>
      <c r="G82">
        <v>26.81046270973464</v>
      </c>
      <c r="H82" t="s">
        <v>29</v>
      </c>
      <c r="I82">
        <v>23.506532739219089</v>
      </c>
      <c r="J82">
        <v>11.497898659900089</v>
      </c>
    </row>
    <row r="83" spans="2:10" x14ac:dyDescent="0.25">
      <c r="B83" t="s">
        <v>294</v>
      </c>
      <c r="C83">
        <v>15.460180776319181</v>
      </c>
      <c r="D83">
        <v>8.1849093472953705</v>
      </c>
      <c r="E83">
        <v>6.5182615975720974</v>
      </c>
      <c r="F83">
        <v>17.843207956386259</v>
      </c>
      <c r="G83">
        <v>22.385253157599362</v>
      </c>
      <c r="H83" t="s">
        <v>29</v>
      </c>
      <c r="I83" t="s">
        <v>29</v>
      </c>
      <c r="J83">
        <v>10.357438783965261</v>
      </c>
    </row>
    <row r="84" spans="2:10" x14ac:dyDescent="0.25">
      <c r="B84" t="s">
        <v>295</v>
      </c>
      <c r="C84">
        <v>15.780899</v>
      </c>
      <c r="D84">
        <v>9.6504549999999991</v>
      </c>
      <c r="E84">
        <v>8.1242239999999999</v>
      </c>
      <c r="F84">
        <v>25.212927000000001</v>
      </c>
      <c r="G84">
        <v>36.964970000000001</v>
      </c>
      <c r="H84" t="s">
        <v>29</v>
      </c>
      <c r="I84" t="s">
        <v>29</v>
      </c>
      <c r="J84" t="s">
        <v>296</v>
      </c>
    </row>
    <row r="85" spans="2:10" x14ac:dyDescent="0.25">
      <c r="B85" t="s">
        <v>297</v>
      </c>
      <c r="C85">
        <v>16.981128999999999</v>
      </c>
      <c r="D85">
        <v>9.34145</v>
      </c>
      <c r="E85">
        <v>8.9896910000000005</v>
      </c>
      <c r="F85">
        <v>61.904850000000003</v>
      </c>
      <c r="G85">
        <v>45.66431</v>
      </c>
      <c r="H85">
        <v>38.228347999999997</v>
      </c>
      <c r="I85">
        <v>30.401197</v>
      </c>
      <c r="J85">
        <v>20.644684000000002</v>
      </c>
    </row>
    <row r="86" spans="2:10" x14ac:dyDescent="0.25">
      <c r="B86" t="s">
        <v>298</v>
      </c>
      <c r="C86">
        <v>15.776627</v>
      </c>
      <c r="D86">
        <v>7.6629534000000001</v>
      </c>
      <c r="E86">
        <v>9.5440660000000008</v>
      </c>
      <c r="F86">
        <v>118.019775</v>
      </c>
      <c r="G86">
        <v>62.490139999999997</v>
      </c>
      <c r="H86">
        <v>129.59784999999999</v>
      </c>
      <c r="I86">
        <v>28.842375000000001</v>
      </c>
      <c r="J86">
        <v>40.406857000000002</v>
      </c>
    </row>
    <row r="87" spans="2:10" x14ac:dyDescent="0.25">
      <c r="B87" t="s">
        <v>299</v>
      </c>
      <c r="C87">
        <v>2.0975573000000001</v>
      </c>
      <c r="D87">
        <v>0.82635809999999998</v>
      </c>
      <c r="E87" t="s">
        <v>29</v>
      </c>
      <c r="F87">
        <v>1.3878573999999999</v>
      </c>
      <c r="G87">
        <v>1.988513</v>
      </c>
      <c r="H87" t="s">
        <v>29</v>
      </c>
      <c r="I87">
        <v>5.2956405000000002</v>
      </c>
      <c r="J87">
        <v>0.72126040000000002</v>
      </c>
    </row>
    <row r="88" spans="2:10" x14ac:dyDescent="0.25">
      <c r="B88" t="s">
        <v>300</v>
      </c>
      <c r="C88">
        <v>150.25359</v>
      </c>
      <c r="D88">
        <v>0.21000895</v>
      </c>
      <c r="E88" t="s">
        <v>296</v>
      </c>
      <c r="F88" t="s">
        <v>296</v>
      </c>
      <c r="G88" t="s">
        <v>296</v>
      </c>
      <c r="H88" t="s">
        <v>296</v>
      </c>
      <c r="I88">
        <v>2.5470130000000002</v>
      </c>
      <c r="J88" t="s">
        <v>296</v>
      </c>
    </row>
    <row r="89" spans="2:10" x14ac:dyDescent="0.25">
      <c r="B89" t="s">
        <v>301</v>
      </c>
      <c r="C89">
        <v>1.676706</v>
      </c>
      <c r="D89">
        <v>0.96961339999999996</v>
      </c>
      <c r="E89">
        <v>0.37139115</v>
      </c>
      <c r="F89">
        <v>1.5419832</v>
      </c>
      <c r="G89">
        <v>5.3130474000000003</v>
      </c>
      <c r="H89">
        <v>1.3135204</v>
      </c>
      <c r="I89">
        <v>4.3660807999999998</v>
      </c>
      <c r="J89">
        <v>1.0351246999999999</v>
      </c>
    </row>
    <row r="90" spans="2:10" x14ac:dyDescent="0.25">
      <c r="B90" t="s">
        <v>302</v>
      </c>
      <c r="C90">
        <v>1.7953163000000001</v>
      </c>
      <c r="D90">
        <v>1.6299458</v>
      </c>
      <c r="E90">
        <v>0.77117290000000005</v>
      </c>
      <c r="F90">
        <v>2.1029422000000002</v>
      </c>
      <c r="G90">
        <v>5.0500344999999998</v>
      </c>
      <c r="H90">
        <v>1.4523736</v>
      </c>
      <c r="I90">
        <v>4.2529130000000004</v>
      </c>
      <c r="J90">
        <v>1.6997148</v>
      </c>
    </row>
    <row r="91" spans="2:10" x14ac:dyDescent="0.25">
      <c r="B91" t="s">
        <v>303</v>
      </c>
      <c r="C91">
        <v>1.7704337999999999</v>
      </c>
      <c r="D91">
        <v>1.5991067999999999</v>
      </c>
      <c r="E91">
        <v>0.77413810000000005</v>
      </c>
      <c r="F91">
        <v>2.0363622000000001</v>
      </c>
      <c r="G91">
        <v>5.530913</v>
      </c>
      <c r="H91">
        <v>1.5447344000000001</v>
      </c>
      <c r="I91">
        <v>4.3660180000000004</v>
      </c>
      <c r="J91">
        <v>1.7261696</v>
      </c>
    </row>
    <row r="92" spans="2:10" x14ac:dyDescent="0.25">
      <c r="B92" t="s">
        <v>304</v>
      </c>
      <c r="C92">
        <v>11.79935</v>
      </c>
      <c r="D92">
        <v>7.7573366000000004</v>
      </c>
      <c r="E92">
        <v>6.5702100000000003</v>
      </c>
      <c r="F92">
        <v>16.265598000000001</v>
      </c>
      <c r="G92">
        <v>21.716282</v>
      </c>
      <c r="H92">
        <v>13.474235999999999</v>
      </c>
      <c r="I92">
        <v>18.017140999999999</v>
      </c>
      <c r="J92">
        <v>9.0002849999999999</v>
      </c>
    </row>
    <row r="93" spans="2:10" x14ac:dyDescent="0.25">
      <c r="B93" t="s">
        <v>305</v>
      </c>
      <c r="C93">
        <v>10.966998999999999</v>
      </c>
      <c r="D93">
        <v>7.5304874999999996</v>
      </c>
      <c r="E93">
        <v>7.3997599999999997</v>
      </c>
      <c r="F93">
        <v>12.905592</v>
      </c>
      <c r="G93">
        <v>39.433266000000003</v>
      </c>
      <c r="H93">
        <v>19.515425</v>
      </c>
      <c r="I93">
        <v>19.854668</v>
      </c>
      <c r="J93">
        <v>10.462009999999999</v>
      </c>
    </row>
    <row r="94" spans="2:10" x14ac:dyDescent="0.25">
      <c r="B94" t="s">
        <v>306</v>
      </c>
      <c r="C94">
        <v>7.9216059999999997</v>
      </c>
      <c r="D94" t="s">
        <v>296</v>
      </c>
      <c r="E94">
        <v>2.3241130999999999</v>
      </c>
      <c r="F94">
        <v>4.6821003000000001</v>
      </c>
      <c r="G94">
        <v>8.9850049999999992</v>
      </c>
      <c r="H94">
        <v>1.9630350000000001</v>
      </c>
      <c r="I94">
        <v>6.2930574000000004</v>
      </c>
      <c r="J94">
        <v>1.5553128000000001</v>
      </c>
    </row>
    <row r="95" spans="2:10" x14ac:dyDescent="0.25">
      <c r="B95" t="s">
        <v>307</v>
      </c>
      <c r="C95">
        <v>13.174891000000001</v>
      </c>
      <c r="D95">
        <v>7.6701259999999998</v>
      </c>
      <c r="E95">
        <v>5.3193016000000002</v>
      </c>
      <c r="F95">
        <v>11.345964</v>
      </c>
      <c r="G95">
        <v>202.21889999999999</v>
      </c>
      <c r="H95" t="s">
        <v>29</v>
      </c>
      <c r="I95">
        <v>24.672180000000001</v>
      </c>
      <c r="J95">
        <v>12.720376999999999</v>
      </c>
    </row>
    <row r="102" spans="2:10" x14ac:dyDescent="0.25">
      <c r="B102" t="s">
        <v>82</v>
      </c>
      <c r="C102" t="s">
        <v>185</v>
      </c>
      <c r="D102" t="s">
        <v>186</v>
      </c>
      <c r="E102" t="s">
        <v>187</v>
      </c>
      <c r="F102" t="s">
        <v>188</v>
      </c>
      <c r="G102" t="s">
        <v>189</v>
      </c>
      <c r="H102" t="s">
        <v>190</v>
      </c>
      <c r="I102" t="s">
        <v>191</v>
      </c>
      <c r="J102" t="s">
        <v>192</v>
      </c>
    </row>
    <row r="103" spans="2:10" x14ac:dyDescent="0.25">
      <c r="B103" t="s">
        <v>308</v>
      </c>
      <c r="C103">
        <v>5.5129999999999998E-2</v>
      </c>
      <c r="D103">
        <v>-8.5929999999999999E-3</v>
      </c>
      <c r="E103">
        <v>-1.7478E-2</v>
      </c>
      <c r="F103">
        <v>-3.0330000000000001E-3</v>
      </c>
      <c r="G103">
        <v>0.59014500000000003</v>
      </c>
      <c r="H103">
        <v>-7.5608000000000009E-2</v>
      </c>
      <c r="I103">
        <v>5.5864999999999998E-2</v>
      </c>
      <c r="J103">
        <v>5.9013000000000003E-2</v>
      </c>
    </row>
    <row r="104" spans="2:10" x14ac:dyDescent="0.25">
      <c r="B104" t="s">
        <v>309</v>
      </c>
      <c r="C104">
        <v>4.2475657E-2</v>
      </c>
      <c r="D104">
        <v>-4.4167724000000004E-3</v>
      </c>
      <c r="E104">
        <v>-5.3944850000000001E-3</v>
      </c>
      <c r="F104">
        <v>-8.5680866000000001E-3</v>
      </c>
      <c r="G104">
        <v>0.39051740000000001</v>
      </c>
      <c r="H104">
        <v>0.43724260000000004</v>
      </c>
      <c r="I104">
        <v>6.5090159999999994E-2</v>
      </c>
      <c r="J104">
        <v>6.065715E-2</v>
      </c>
    </row>
    <row r="105" spans="2:10" x14ac:dyDescent="0.25">
      <c r="B105" t="s">
        <v>310</v>
      </c>
      <c r="C105">
        <v>0.13925499999999999</v>
      </c>
      <c r="D105">
        <v>-9.2610000000000001E-3</v>
      </c>
      <c r="E105">
        <v>-1.2222999999999999E-2</v>
      </c>
      <c r="F105">
        <v>-3.2198000000000004E-2</v>
      </c>
      <c r="G105">
        <v>0.48725700000000005</v>
      </c>
      <c r="H105">
        <v>-7.77E-3</v>
      </c>
      <c r="I105">
        <v>0.123727</v>
      </c>
      <c r="J105">
        <v>8.0226000000000006E-2</v>
      </c>
    </row>
    <row r="106" spans="2:10" x14ac:dyDescent="0.25">
      <c r="B106" t="s">
        <v>311</v>
      </c>
      <c r="C106">
        <v>9.7982999999999987E-2</v>
      </c>
      <c r="D106">
        <v>-0.10910399999999999</v>
      </c>
      <c r="E106">
        <v>-9.0959999999999999E-3</v>
      </c>
      <c r="F106">
        <v>2.833E-3</v>
      </c>
      <c r="G106">
        <v>0.34946199999999999</v>
      </c>
      <c r="H106">
        <v>-2.6082999999999999E-2</v>
      </c>
      <c r="I106">
        <v>8.544800000000001E-2</v>
      </c>
      <c r="J106">
        <v>1.6400999999999999E-2</v>
      </c>
    </row>
    <row r="107" spans="2:10" x14ac:dyDescent="0.25">
      <c r="B107" t="s">
        <v>312</v>
      </c>
      <c r="C107">
        <v>-2.7705999999999998E-2</v>
      </c>
      <c r="D107">
        <v>6.8846999999999992E-2</v>
      </c>
      <c r="E107">
        <v>-0.146618</v>
      </c>
      <c r="F107">
        <v>0.222055</v>
      </c>
      <c r="G107">
        <v>0.135937</v>
      </c>
      <c r="H107">
        <v>-0.18034300000000003</v>
      </c>
      <c r="I107">
        <v>7.0329000000000003E-2</v>
      </c>
      <c r="J107">
        <v>-6.8539999999999998E-3</v>
      </c>
    </row>
    <row r="108" spans="2:10" x14ac:dyDescent="0.25">
      <c r="B108" t="s">
        <v>313</v>
      </c>
      <c r="C108">
        <v>-4.5373659999999996E-2</v>
      </c>
      <c r="D108">
        <v>-6.3313715000000003E-4</v>
      </c>
      <c r="E108">
        <v>-4.6371454999999999E-2</v>
      </c>
      <c r="F108">
        <v>2.0494199000000001E-3</v>
      </c>
      <c r="G108">
        <v>0.47413719999999998</v>
      </c>
      <c r="H108">
        <v>7.5480260000000002E-3</v>
      </c>
      <c r="I108">
        <v>6.9829189999999999E-2</v>
      </c>
      <c r="J108">
        <v>9.169571E-2</v>
      </c>
    </row>
    <row r="109" spans="2:10" x14ac:dyDescent="0.25">
      <c r="B109" t="s">
        <v>314</v>
      </c>
      <c r="C109">
        <v>0.12157800000000001</v>
      </c>
      <c r="D109">
        <v>-0.158886</v>
      </c>
      <c r="E109">
        <v>-8.2499000000000003E-2</v>
      </c>
      <c r="F109">
        <v>-0.146338</v>
      </c>
      <c r="G109">
        <v>0.54299399999999998</v>
      </c>
      <c r="H109">
        <v>-0.10696799999999999</v>
      </c>
      <c r="I109">
        <v>0.11000799999999999</v>
      </c>
      <c r="J109">
        <v>0.10291800000000001</v>
      </c>
    </row>
    <row r="110" spans="2:10" x14ac:dyDescent="0.25">
      <c r="B110" t="s">
        <v>315</v>
      </c>
      <c r="C110">
        <v>0.158362</v>
      </c>
      <c r="D110">
        <v>-0.17376800000000001</v>
      </c>
      <c r="E110">
        <v>-0.113207</v>
      </c>
      <c r="F110">
        <v>-0.20834599999999998</v>
      </c>
      <c r="G110">
        <v>0.73606700000000003</v>
      </c>
      <c r="H110">
        <v>-0.66514099999999998</v>
      </c>
      <c r="I110">
        <v>0.13331300000000001</v>
      </c>
      <c r="J110">
        <v>0.49227200000000004</v>
      </c>
    </row>
    <row r="111" spans="2:10" x14ac:dyDescent="0.25">
      <c r="B111" t="s">
        <v>316</v>
      </c>
      <c r="C111">
        <v>0.184673</v>
      </c>
      <c r="D111">
        <v>-0.20172999999999999</v>
      </c>
      <c r="E111">
        <v>-0.15117700000000001</v>
      </c>
      <c r="F111">
        <v>-0.59425400000000006</v>
      </c>
      <c r="G111">
        <v>0.80796999999999997</v>
      </c>
      <c r="H111" t="s">
        <v>296</v>
      </c>
      <c r="I111">
        <v>0.16453800000000002</v>
      </c>
      <c r="J111" t="s">
        <v>296</v>
      </c>
    </row>
    <row r="112" spans="2:10" x14ac:dyDescent="0.25">
      <c r="B112" t="s">
        <v>317</v>
      </c>
      <c r="C112">
        <v>1.0499999999999999E-3</v>
      </c>
      <c r="D112">
        <v>0.36488700000000002</v>
      </c>
      <c r="E112">
        <v>-8.4437999999999999E-2</v>
      </c>
      <c r="F112">
        <v>-0.63253100000000007</v>
      </c>
      <c r="G112">
        <v>-0.130355</v>
      </c>
      <c r="H112">
        <v>-0.66298500000000005</v>
      </c>
      <c r="I112">
        <v>0.11323999999999999</v>
      </c>
      <c r="J112">
        <v>-0.58240599999999998</v>
      </c>
    </row>
    <row r="113" spans="2:10" x14ac:dyDescent="0.25">
      <c r="B113" t="s">
        <v>318</v>
      </c>
      <c r="C113">
        <v>-1.8371254E-2</v>
      </c>
      <c r="D113">
        <v>1.6534895000000001E-2</v>
      </c>
      <c r="E113">
        <v>-6.8647910000000006E-2</v>
      </c>
      <c r="F113">
        <v>-6.9515184999999993E-2</v>
      </c>
      <c r="G113">
        <v>0.37647774000000001</v>
      </c>
      <c r="H113" t="s">
        <v>29</v>
      </c>
      <c r="I113" t="s">
        <v>29</v>
      </c>
      <c r="J113">
        <v>5.9614487000000001E-2</v>
      </c>
    </row>
    <row r="114" spans="2:10" x14ac:dyDescent="0.25">
      <c r="B114" t="s">
        <v>319</v>
      </c>
      <c r="C114">
        <v>0.24371600000000002</v>
      </c>
      <c r="D114">
        <v>-0.13991199999999998</v>
      </c>
      <c r="E114">
        <v>-0.13638500000000001</v>
      </c>
      <c r="F114">
        <v>-0.59160299999999999</v>
      </c>
      <c r="G114">
        <v>0.75961600000000007</v>
      </c>
      <c r="H114" t="s">
        <v>296</v>
      </c>
      <c r="I114">
        <v>0.18310899999999999</v>
      </c>
      <c r="J114" t="s">
        <v>296</v>
      </c>
    </row>
    <row r="115" spans="2:10" x14ac:dyDescent="0.25">
      <c r="B115" t="s">
        <v>320</v>
      </c>
      <c r="C115">
        <v>7.7717999999999995E-2</v>
      </c>
      <c r="D115" t="s">
        <v>296</v>
      </c>
      <c r="E115" t="s">
        <v>296</v>
      </c>
      <c r="F115" t="s">
        <v>296</v>
      </c>
      <c r="G115">
        <v>0.742842</v>
      </c>
      <c r="H115">
        <v>7.9808000000000004E-2</v>
      </c>
      <c r="I115">
        <v>-8.5305000000000006E-2</v>
      </c>
      <c r="J115" t="s">
        <v>296</v>
      </c>
    </row>
    <row r="116" spans="2:10" x14ac:dyDescent="0.25">
      <c r="B116" t="s">
        <v>321</v>
      </c>
      <c r="C116">
        <v>5.0113000000000005E-2</v>
      </c>
      <c r="D116">
        <v>-0.219134</v>
      </c>
      <c r="E116">
        <v>-6.8849999999999996E-3</v>
      </c>
      <c r="F116">
        <v>-4.0790000000000002E-3</v>
      </c>
      <c r="G116">
        <v>0.35885300000000003</v>
      </c>
      <c r="H116">
        <v>5.8390999999999998E-2</v>
      </c>
      <c r="I116">
        <v>6.4250000000000002E-2</v>
      </c>
      <c r="J116">
        <v>-3.7539999999999997E-2</v>
      </c>
    </row>
    <row r="117" spans="2:10" x14ac:dyDescent="0.25">
      <c r="B117" t="s">
        <v>322</v>
      </c>
      <c r="C117">
        <v>-0.11273999999999999</v>
      </c>
      <c r="D117">
        <v>0.16245999999999999</v>
      </c>
      <c r="E117">
        <v>-0.112414</v>
      </c>
      <c r="F117">
        <v>-1.4008E-2</v>
      </c>
      <c r="G117">
        <v>0.17772500000000002</v>
      </c>
      <c r="H117">
        <v>-0.44518200000000002</v>
      </c>
      <c r="I117">
        <v>9.8923999999999998E-2</v>
      </c>
      <c r="J117">
        <v>-0.58071399999999995</v>
      </c>
    </row>
    <row r="121" spans="2:10" x14ac:dyDescent="0.25">
      <c r="B121" t="s">
        <v>82</v>
      </c>
      <c r="C121" t="s">
        <v>185</v>
      </c>
      <c r="D121" t="s">
        <v>186</v>
      </c>
      <c r="E121" t="s">
        <v>187</v>
      </c>
      <c r="F121" t="s">
        <v>188</v>
      </c>
      <c r="G121" t="s">
        <v>189</v>
      </c>
      <c r="H121" t="s">
        <v>190</v>
      </c>
      <c r="I121" t="s">
        <v>191</v>
      </c>
      <c r="J121" t="s">
        <v>192</v>
      </c>
    </row>
    <row r="122" spans="2:10" x14ac:dyDescent="0.25">
      <c r="B122" t="s">
        <v>323</v>
      </c>
      <c r="C122">
        <v>0.42518300000000003</v>
      </c>
      <c r="D122">
        <v>0.440276</v>
      </c>
      <c r="E122">
        <v>0.50702399999999992</v>
      </c>
      <c r="F122">
        <v>0.72357699999999991</v>
      </c>
      <c r="G122">
        <v>0.70998099999999997</v>
      </c>
      <c r="H122">
        <v>0.74855800000000006</v>
      </c>
      <c r="I122">
        <v>0.74153000000000002</v>
      </c>
      <c r="J122">
        <v>0.64929000000000003</v>
      </c>
    </row>
    <row r="123" spans="2:10" x14ac:dyDescent="0.25">
      <c r="B123" t="s">
        <v>324</v>
      </c>
      <c r="C123">
        <v>0.139072</v>
      </c>
      <c r="D123">
        <v>0.17416000000000001</v>
      </c>
      <c r="E123">
        <v>7.486799999999999E-2</v>
      </c>
      <c r="F123">
        <v>0.10407</v>
      </c>
      <c r="G123">
        <v>0.11069000000000001</v>
      </c>
      <c r="H123">
        <v>1.5740000000000001E-3</v>
      </c>
      <c r="I123">
        <v>0.198494</v>
      </c>
      <c r="J123">
        <v>9.6859000000000001E-2</v>
      </c>
    </row>
    <row r="124" spans="2:10" x14ac:dyDescent="0.25">
      <c r="B124" t="s">
        <v>325</v>
      </c>
      <c r="C124">
        <v>0.16143199999999999</v>
      </c>
      <c r="D124">
        <v>0.21235099999999998</v>
      </c>
      <c r="E124">
        <v>0.104616</v>
      </c>
      <c r="F124">
        <v>0.15778900000000001</v>
      </c>
      <c r="G124">
        <v>0.14026</v>
      </c>
      <c r="H124">
        <v>7.9154000000000002E-2</v>
      </c>
      <c r="I124">
        <v>0.21989799999999998</v>
      </c>
      <c r="J124">
        <v>0.164994</v>
      </c>
    </row>
    <row r="125" spans="2:10" x14ac:dyDescent="0.25">
      <c r="B125" t="s">
        <v>326</v>
      </c>
      <c r="C125">
        <v>0.106837</v>
      </c>
      <c r="D125">
        <v>0.12689500000000001</v>
      </c>
      <c r="E125">
        <v>3.9946999999999996E-2</v>
      </c>
      <c r="F125">
        <v>1.3138E-2</v>
      </c>
      <c r="G125">
        <v>8.8688000000000003E-2</v>
      </c>
      <c r="H125">
        <v>1.0138000000000001E-2</v>
      </c>
      <c r="I125">
        <v>0.151666</v>
      </c>
      <c r="J125">
        <v>2.7764E-2</v>
      </c>
    </row>
    <row r="126" spans="2:10" x14ac:dyDescent="0.25">
      <c r="B126" t="s">
        <v>327</v>
      </c>
      <c r="C126">
        <v>6.3525999999999999E-2</v>
      </c>
      <c r="D126">
        <v>8.5200999999999999E-2</v>
      </c>
      <c r="E126">
        <v>3.8169000000000002E-2</v>
      </c>
      <c r="F126">
        <v>0.128381</v>
      </c>
      <c r="G126">
        <v>3.7336999999999995E-2</v>
      </c>
      <c r="H126">
        <v>1.3849E-2</v>
      </c>
      <c r="I126">
        <v>0.109705</v>
      </c>
      <c r="J126">
        <v>5.3697000000000002E-2</v>
      </c>
    </row>
    <row r="127" spans="2:10" x14ac:dyDescent="0.25">
      <c r="B127" t="s">
        <v>328</v>
      </c>
      <c r="C127">
        <v>0.54977699999999996</v>
      </c>
      <c r="D127" t="s">
        <v>296</v>
      </c>
      <c r="E127">
        <v>0.27771999999999997</v>
      </c>
      <c r="F127">
        <v>3.857E-2</v>
      </c>
      <c r="G127">
        <v>0.1736</v>
      </c>
      <c r="H127">
        <v>1.8086000000000001E-2</v>
      </c>
      <c r="I127">
        <v>0.22523099999999999</v>
      </c>
      <c r="J127">
        <v>4.4046000000000002E-2</v>
      </c>
    </row>
    <row r="128" spans="2:10" x14ac:dyDescent="0.25">
      <c r="B128" t="s">
        <v>329</v>
      </c>
      <c r="C128">
        <v>0.21104600000000001</v>
      </c>
      <c r="D128">
        <v>0.20958599999999999</v>
      </c>
      <c r="E128">
        <v>8.3247599999999991E-2</v>
      </c>
      <c r="F128">
        <v>5.4884099999999998E-2</v>
      </c>
      <c r="G128">
        <v>0.13706599999999999</v>
      </c>
      <c r="H128" t="s">
        <v>29</v>
      </c>
      <c r="I128">
        <v>0.121502</v>
      </c>
      <c r="J128">
        <v>4.6589200000000004E-2</v>
      </c>
    </row>
    <row r="129" spans="2:10" x14ac:dyDescent="0.25">
      <c r="B129" t="s">
        <v>330</v>
      </c>
      <c r="C129">
        <v>0.239734</v>
      </c>
      <c r="D129">
        <v>0.21772900000000001</v>
      </c>
      <c r="E129">
        <v>7.9170999999999991E-2</v>
      </c>
      <c r="F129">
        <v>6.3658999999999993E-2</v>
      </c>
      <c r="G129">
        <v>0.10406800000000001</v>
      </c>
      <c r="H129">
        <v>1.0040000000000001E-3</v>
      </c>
      <c r="I129">
        <v>0.138405</v>
      </c>
      <c r="J129">
        <v>4.3057999999999999E-2</v>
      </c>
    </row>
    <row r="130" spans="2:10" x14ac:dyDescent="0.25">
      <c r="B130" t="s">
        <v>331</v>
      </c>
      <c r="C130">
        <v>1406337020</v>
      </c>
      <c r="D130">
        <v>907000000</v>
      </c>
      <c r="E130">
        <v>252395008</v>
      </c>
      <c r="F130">
        <v>2098000000</v>
      </c>
      <c r="G130">
        <v>32333000</v>
      </c>
      <c r="H130" t="s">
        <v>29</v>
      </c>
      <c r="I130">
        <v>8089019900</v>
      </c>
      <c r="J130">
        <v>495800000</v>
      </c>
    </row>
    <row r="131" spans="2:10" x14ac:dyDescent="0.25">
      <c r="B131" t="s">
        <v>332</v>
      </c>
      <c r="C131" t="s">
        <v>29</v>
      </c>
      <c r="D131" t="s">
        <v>29</v>
      </c>
      <c r="E131" t="s">
        <v>29</v>
      </c>
      <c r="F131">
        <v>324828</v>
      </c>
      <c r="G131">
        <v>2155646</v>
      </c>
      <c r="H131" t="s">
        <v>29</v>
      </c>
      <c r="I131" t="s">
        <v>29</v>
      </c>
      <c r="J131">
        <v>518870</v>
      </c>
    </row>
    <row r="132" spans="2:10" x14ac:dyDescent="0.25">
      <c r="B132" t="s">
        <v>333</v>
      </c>
      <c r="C132">
        <v>31829.5</v>
      </c>
      <c r="D132">
        <v>28334.692999999999</v>
      </c>
      <c r="E132">
        <v>7396.95</v>
      </c>
      <c r="F132">
        <v>4224.7655999999997</v>
      </c>
      <c r="G132">
        <v>227347.38</v>
      </c>
      <c r="H132">
        <v>2037.7184</v>
      </c>
      <c r="I132">
        <v>73381.539999999994</v>
      </c>
      <c r="J132">
        <v>14477.144</v>
      </c>
    </row>
    <row r="133" spans="2:10" x14ac:dyDescent="0.25">
      <c r="B133" t="s">
        <v>334</v>
      </c>
      <c r="C133">
        <v>2.0609850000000001</v>
      </c>
      <c r="D133">
        <v>1.4559789999999999</v>
      </c>
      <c r="E133">
        <v>1.3724780000000001</v>
      </c>
      <c r="F133">
        <v>0.70284500000000005</v>
      </c>
      <c r="G133">
        <v>1.227487</v>
      </c>
      <c r="H133">
        <v>0.75386299999999995</v>
      </c>
      <c r="I133">
        <v>0.82098899999999997</v>
      </c>
      <c r="J133">
        <v>0.48924699999999999</v>
      </c>
    </row>
    <row r="137" spans="2:10" x14ac:dyDescent="0.25">
      <c r="B137" t="s">
        <v>82</v>
      </c>
      <c r="C137" t="s">
        <v>185</v>
      </c>
      <c r="D137" t="s">
        <v>186</v>
      </c>
      <c r="E137" t="s">
        <v>187</v>
      </c>
      <c r="F137" t="s">
        <v>188</v>
      </c>
      <c r="G137" t="s">
        <v>189</v>
      </c>
      <c r="H137" t="s">
        <v>190</v>
      </c>
      <c r="I137" t="s">
        <v>191</v>
      </c>
      <c r="J137" t="s">
        <v>192</v>
      </c>
    </row>
    <row r="138" spans="2:10" x14ac:dyDescent="0.25">
      <c r="B138" t="s">
        <v>335</v>
      </c>
      <c r="C138">
        <v>47114728</v>
      </c>
      <c r="D138">
        <v>219111952</v>
      </c>
      <c r="E138">
        <v>102642600</v>
      </c>
      <c r="F138">
        <v>358978016</v>
      </c>
      <c r="G138">
        <v>56331040</v>
      </c>
      <c r="H138">
        <v>399411040</v>
      </c>
      <c r="I138">
        <v>534311936</v>
      </c>
      <c r="J138">
        <v>869898370</v>
      </c>
    </row>
    <row r="139" spans="2:10" x14ac:dyDescent="0.25">
      <c r="B139" t="s">
        <v>336</v>
      </c>
      <c r="C139">
        <v>0.98232029999999992</v>
      </c>
      <c r="D139">
        <v>0.94271490000000002</v>
      </c>
      <c r="E139">
        <v>0.99320089999999994</v>
      </c>
      <c r="F139">
        <v>0.64680449999999989</v>
      </c>
      <c r="G139">
        <v>0.97920299999999993</v>
      </c>
      <c r="H139">
        <v>0.95950210000000002</v>
      </c>
      <c r="I139">
        <v>0.43816440000000001</v>
      </c>
      <c r="J139">
        <v>0.41814469999999998</v>
      </c>
    </row>
    <row r="140" spans="2:10" x14ac:dyDescent="0.25">
      <c r="B140" t="s">
        <v>337</v>
      </c>
      <c r="C140">
        <v>88394</v>
      </c>
      <c r="D140">
        <v>1004295</v>
      </c>
      <c r="E140">
        <v>638254</v>
      </c>
      <c r="F140">
        <v>45856379</v>
      </c>
      <c r="G140">
        <v>1123329</v>
      </c>
      <c r="H140">
        <v>45300</v>
      </c>
      <c r="I140">
        <v>7039384</v>
      </c>
      <c r="J140">
        <v>51765028</v>
      </c>
    </row>
    <row r="141" spans="2:10" x14ac:dyDescent="0.25">
      <c r="B141" t="s">
        <v>338</v>
      </c>
      <c r="C141">
        <v>1.8761437373923451E-3</v>
      </c>
      <c r="D141">
        <v>4.3911068847608233E-3</v>
      </c>
      <c r="E141">
        <v>5.4086506327047749E-3</v>
      </c>
      <c r="F141">
        <v>0.1277414651558644</v>
      </c>
      <c r="G141">
        <v>1.9444374677143522E-2</v>
      </c>
      <c r="H141">
        <v>1.13416993479945E-4</v>
      </c>
      <c r="I141">
        <v>1.3174670812993582E-2</v>
      </c>
      <c r="J141">
        <v>5.964776585066877E-2</v>
      </c>
    </row>
    <row r="142" spans="2:10" x14ac:dyDescent="0.25">
      <c r="B142" t="s">
        <v>339</v>
      </c>
      <c r="C142">
        <v>44554530</v>
      </c>
      <c r="D142">
        <v>216159284</v>
      </c>
      <c r="E142">
        <v>117308267</v>
      </c>
      <c r="F142">
        <v>215079043</v>
      </c>
      <c r="G142">
        <v>56598705</v>
      </c>
      <c r="H142">
        <v>242512185</v>
      </c>
      <c r="I142">
        <v>85940164</v>
      </c>
      <c r="J142">
        <v>351354361</v>
      </c>
    </row>
    <row r="143" spans="2:10" x14ac:dyDescent="0.25">
      <c r="B143" t="s">
        <v>340</v>
      </c>
      <c r="C143">
        <v>0.94566036644975138</v>
      </c>
      <c r="D143">
        <v>0.94511923307132861</v>
      </c>
      <c r="E143">
        <v>0.99408610448356061</v>
      </c>
      <c r="F143">
        <v>0.59914264222958324</v>
      </c>
      <c r="G143">
        <v>0.97970089462759025</v>
      </c>
      <c r="H143">
        <v>0.60717445706296269</v>
      </c>
      <c r="I143">
        <v>0.16084267747215972</v>
      </c>
      <c r="J143">
        <v>0.40485832743178174</v>
      </c>
    </row>
    <row r="149" spans="2:10" x14ac:dyDescent="0.25">
      <c r="B149" t="s">
        <v>82</v>
      </c>
      <c r="C149" t="s">
        <v>185</v>
      </c>
      <c r="D149" t="s">
        <v>186</v>
      </c>
      <c r="E149" t="s">
        <v>187</v>
      </c>
      <c r="F149" t="s">
        <v>188</v>
      </c>
      <c r="G149" t="s">
        <v>189</v>
      </c>
      <c r="H149" t="s">
        <v>190</v>
      </c>
      <c r="I149" t="s">
        <v>191</v>
      </c>
      <c r="J149" t="s">
        <v>192</v>
      </c>
    </row>
    <row r="150" spans="2:10" x14ac:dyDescent="0.25">
      <c r="B150" t="s">
        <v>341</v>
      </c>
      <c r="C150">
        <v>4.1215102294532582E-2</v>
      </c>
      <c r="D150">
        <v>7.3875083948958652E-3</v>
      </c>
      <c r="E150">
        <v>-3.2477341389728076E-2</v>
      </c>
      <c r="F150">
        <v>-0.33465222823823415</v>
      </c>
      <c r="G150">
        <v>0.1841197911535809</v>
      </c>
      <c r="H150">
        <v>-0.25627655465430671</v>
      </c>
      <c r="I150">
        <v>-0.16542093979952494</v>
      </c>
      <c r="J150">
        <v>-0.23504273504273498</v>
      </c>
    </row>
    <row r="151" spans="2:10" x14ac:dyDescent="0.25">
      <c r="B151" t="s">
        <v>342</v>
      </c>
      <c r="C151">
        <v>0.19902897513304904</v>
      </c>
      <c r="D151">
        <v>-1.8324607329842892E-2</v>
      </c>
      <c r="E151">
        <v>0.36421725239616604</v>
      </c>
      <c r="F151">
        <v>-0.30217320082996613</v>
      </c>
      <c r="G151">
        <v>-0.3386519944979367</v>
      </c>
      <c r="H151">
        <v>-0.29981818181818187</v>
      </c>
      <c r="I151">
        <v>-0.14597414917585677</v>
      </c>
      <c r="J151">
        <v>-0.2166301969365427</v>
      </c>
    </row>
    <row r="152" spans="2:10" x14ac:dyDescent="0.25">
      <c r="B152" t="s">
        <v>343</v>
      </c>
      <c r="C152">
        <v>-2.1363070592120371E-2</v>
      </c>
      <c r="D152">
        <v>-0.36467598475222363</v>
      </c>
      <c r="E152">
        <v>0.20963172804532582</v>
      </c>
      <c r="F152">
        <v>-0.50652560043246586</v>
      </c>
      <c r="G152">
        <v>-0.26532608031293936</v>
      </c>
      <c r="H152">
        <v>-0.31305743845879419</v>
      </c>
      <c r="I152">
        <v>-0.24681029073415611</v>
      </c>
      <c r="J152">
        <v>-0.35495495495495499</v>
      </c>
    </row>
    <row r="153" spans="2:10" x14ac:dyDescent="0.25">
      <c r="B153" t="s">
        <v>344</v>
      </c>
      <c r="C153">
        <v>-0.25052525095323319</v>
      </c>
      <c r="D153">
        <v>-0.31957359945565894</v>
      </c>
      <c r="E153">
        <v>-6.2063615205585777E-3</v>
      </c>
      <c r="F153">
        <v>-0.54977805960684845</v>
      </c>
      <c r="G153">
        <v>-0.27071957286737042</v>
      </c>
      <c r="H153">
        <v>-0.31744062389223687</v>
      </c>
      <c r="I153">
        <v>-0.26072675015397256</v>
      </c>
      <c r="J153">
        <v>-0.41215106732348111</v>
      </c>
    </row>
    <row r="154" spans="2:10" x14ac:dyDescent="0.25">
      <c r="B154" t="s">
        <v>345</v>
      </c>
      <c r="C154">
        <v>-0.21373905589910003</v>
      </c>
      <c r="D154">
        <v>-0.30491195551436512</v>
      </c>
      <c r="E154">
        <v>-3.5391566265060154E-2</v>
      </c>
      <c r="F154">
        <v>-0.56307692307692303</v>
      </c>
      <c r="G154">
        <v>-0.16724400720520993</v>
      </c>
      <c r="H154">
        <v>-0.35902130492676432</v>
      </c>
      <c r="I154">
        <v>-0.27552560104617241</v>
      </c>
      <c r="J154">
        <v>-0.42351046698872785</v>
      </c>
    </row>
    <row r="155" spans="2:10" x14ac:dyDescent="0.25">
      <c r="B155" t="s">
        <v>346</v>
      </c>
      <c r="C155">
        <v>-2.6088275443652342E-2</v>
      </c>
      <c r="D155">
        <v>-4.8826886493341763E-2</v>
      </c>
      <c r="E155">
        <v>0.42333333333333345</v>
      </c>
      <c r="F155">
        <v>-0.44689690989353414</v>
      </c>
      <c r="G155">
        <v>0.17831585138711892</v>
      </c>
      <c r="H155">
        <v>-0.40146098849860123</v>
      </c>
      <c r="I155">
        <v>-0.17075417386298214</v>
      </c>
      <c r="J155">
        <v>-0.27749747729566093</v>
      </c>
    </row>
    <row r="156" spans="2:10" x14ac:dyDescent="0.25">
      <c r="B156" t="s">
        <v>347</v>
      </c>
      <c r="C156">
        <v>-1.6817659818808298E-2</v>
      </c>
      <c r="D156">
        <v>-0.60164652768556637</v>
      </c>
      <c r="E156">
        <v>-0.30456026058631924</v>
      </c>
      <c r="F156">
        <v>-0.81716738197424899</v>
      </c>
      <c r="G156">
        <v>2.8365783593999363</v>
      </c>
      <c r="H156">
        <v>-0.72286989061600471</v>
      </c>
      <c r="I156">
        <v>-0.24720393017664896</v>
      </c>
      <c r="J156">
        <v>-0.22927879440258334</v>
      </c>
    </row>
    <row r="157" spans="2:10" x14ac:dyDescent="0.25">
      <c r="B157" t="s">
        <v>348</v>
      </c>
      <c r="C157">
        <v>0.58042417032448612</v>
      </c>
      <c r="D157">
        <v>0.65929203539823023</v>
      </c>
      <c r="E157">
        <v>-0.35949999999999993</v>
      </c>
      <c r="F157">
        <v>-0.65854440525809532</v>
      </c>
      <c r="G157">
        <v>5.9519953730480051</v>
      </c>
      <c r="H157">
        <v>-0.75058290155440421</v>
      </c>
      <c r="I157">
        <v>0.23597048223785813</v>
      </c>
      <c r="J157">
        <v>-0.44923076923076921</v>
      </c>
    </row>
    <row r="158" spans="2:10" x14ac:dyDescent="0.25">
      <c r="B158" t="s">
        <v>349</v>
      </c>
      <c r="C158">
        <v>2.1643531827515399</v>
      </c>
      <c r="D158">
        <v>-0.6032270863642375</v>
      </c>
      <c r="E158">
        <v>-0.55979381443298959</v>
      </c>
      <c r="F158">
        <v>-0.11959217415265913</v>
      </c>
      <c r="G158" t="s">
        <v>29</v>
      </c>
      <c r="H158">
        <v>0.30808423913043465</v>
      </c>
      <c r="I158">
        <v>1.2878017789072425</v>
      </c>
      <c r="J158">
        <v>-0.6100025627624891</v>
      </c>
    </row>
    <row r="161" spans="2:10" x14ac:dyDescent="0.25">
      <c r="B161" t="s">
        <v>82</v>
      </c>
      <c r="C161" t="s">
        <v>185</v>
      </c>
      <c r="D161" t="s">
        <v>186</v>
      </c>
      <c r="E161" t="s">
        <v>187</v>
      </c>
      <c r="F161" t="s">
        <v>188</v>
      </c>
      <c r="G161" t="s">
        <v>189</v>
      </c>
      <c r="H161" t="s">
        <v>190</v>
      </c>
      <c r="I161" t="s">
        <v>191</v>
      </c>
      <c r="J161" t="s">
        <v>192</v>
      </c>
    </row>
    <row r="162" spans="2:10" x14ac:dyDescent="0.25">
      <c r="B162" t="s">
        <v>350</v>
      </c>
      <c r="C162">
        <v>4.3683708493100264E-2</v>
      </c>
      <c r="D162">
        <v>4.7489774929934676E-2</v>
      </c>
      <c r="E162">
        <v>0.1196080609690731</v>
      </c>
      <c r="F162">
        <v>1.923055594549113E-2</v>
      </c>
      <c r="G162">
        <v>7.9576325222340122E-2</v>
      </c>
      <c r="H162" t="s">
        <v>29</v>
      </c>
      <c r="I162" t="s">
        <v>29</v>
      </c>
      <c r="J162">
        <v>1.680680832643483E-2</v>
      </c>
    </row>
    <row r="163" spans="2:10" x14ac:dyDescent="0.25">
      <c r="B163" t="s">
        <v>351</v>
      </c>
      <c r="C163">
        <v>0.80538900000000002</v>
      </c>
      <c r="D163">
        <v>1.2455080000000001</v>
      </c>
      <c r="E163">
        <v>1.389221</v>
      </c>
      <c r="F163">
        <v>1.0988020000000001</v>
      </c>
      <c r="G163">
        <v>1.413173</v>
      </c>
      <c r="H163">
        <v>0.86904700000000001</v>
      </c>
      <c r="I163">
        <v>0.92105199999999998</v>
      </c>
      <c r="J163">
        <v>1.101796</v>
      </c>
    </row>
    <row r="164" spans="2:10" x14ac:dyDescent="0.25">
      <c r="B164" t="s">
        <v>352</v>
      </c>
      <c r="C164">
        <v>1.326454</v>
      </c>
      <c r="D164">
        <v>1.775984</v>
      </c>
      <c r="E164">
        <v>1.5335829999999999</v>
      </c>
      <c r="F164">
        <v>1.0435270000000001</v>
      </c>
      <c r="G164">
        <v>1.4356469999999999</v>
      </c>
      <c r="H164">
        <v>0.50209000000000004</v>
      </c>
      <c r="I164">
        <v>0.75446500000000005</v>
      </c>
      <c r="J164">
        <v>1.9136960000000001</v>
      </c>
    </row>
    <row r="165" spans="2:10" x14ac:dyDescent="0.25">
      <c r="B165" t="s">
        <v>353</v>
      </c>
      <c r="C165">
        <v>7.2263950000000001</v>
      </c>
      <c r="D165">
        <v>2.663942</v>
      </c>
      <c r="E165">
        <v>2.6756989999999998</v>
      </c>
      <c r="F165">
        <v>3.5807389999999999</v>
      </c>
      <c r="G165">
        <v>11.585557</v>
      </c>
      <c r="H165">
        <v>2.901885</v>
      </c>
      <c r="I165">
        <v>7.7287710000000001</v>
      </c>
      <c r="J165">
        <v>0.78186900000000004</v>
      </c>
    </row>
    <row r="167" spans="2:10" x14ac:dyDescent="0.25">
      <c r="B167" t="s">
        <v>82</v>
      </c>
      <c r="C167" t="s">
        <v>185</v>
      </c>
      <c r="D167" t="s">
        <v>186</v>
      </c>
      <c r="E167" t="s">
        <v>187</v>
      </c>
      <c r="F167" t="s">
        <v>188</v>
      </c>
      <c r="G167" t="s">
        <v>189</v>
      </c>
      <c r="H167" t="s">
        <v>190</v>
      </c>
      <c r="I167" t="s">
        <v>191</v>
      </c>
      <c r="J167" t="s">
        <v>192</v>
      </c>
    </row>
    <row r="168" spans="2:10" x14ac:dyDescent="0.25">
      <c r="B168" t="s">
        <v>354</v>
      </c>
      <c r="C168">
        <v>0</v>
      </c>
      <c r="D168" t="s">
        <v>29</v>
      </c>
      <c r="E168">
        <v>0</v>
      </c>
      <c r="F168" t="s">
        <v>29</v>
      </c>
      <c r="G168" t="s">
        <v>29</v>
      </c>
      <c r="H168" t="s">
        <v>29</v>
      </c>
      <c r="I168">
        <v>0</v>
      </c>
      <c r="J168" t="s">
        <v>29</v>
      </c>
    </row>
    <row r="169" spans="2:10" x14ac:dyDescent="0.25">
      <c r="B169" t="s">
        <v>355</v>
      </c>
      <c r="C169">
        <v>26</v>
      </c>
      <c r="D169" t="s">
        <v>29</v>
      </c>
      <c r="E169">
        <v>6</v>
      </c>
      <c r="F169" t="s">
        <v>29</v>
      </c>
      <c r="G169" t="s">
        <v>29</v>
      </c>
      <c r="H169" t="s">
        <v>29</v>
      </c>
      <c r="I169">
        <v>1</v>
      </c>
      <c r="J169" t="s">
        <v>29</v>
      </c>
    </row>
    <row r="170" spans="2:10" x14ac:dyDescent="0.25">
      <c r="B170" t="s">
        <v>356</v>
      </c>
      <c r="C170">
        <v>0</v>
      </c>
      <c r="D170">
        <v>5</v>
      </c>
      <c r="E170">
        <v>1</v>
      </c>
      <c r="F170" t="s">
        <v>29</v>
      </c>
      <c r="G170">
        <v>6</v>
      </c>
      <c r="H170">
        <v>0</v>
      </c>
      <c r="I170">
        <v>0</v>
      </c>
      <c r="J170" t="s">
        <v>29</v>
      </c>
    </row>
    <row r="171" spans="2:10" x14ac:dyDescent="0.25">
      <c r="B171" t="s">
        <v>357</v>
      </c>
      <c r="C171">
        <v>24</v>
      </c>
      <c r="D171">
        <v>9</v>
      </c>
      <c r="E171">
        <v>4</v>
      </c>
      <c r="F171" t="s">
        <v>29</v>
      </c>
      <c r="G171">
        <v>5</v>
      </c>
      <c r="H171">
        <v>11</v>
      </c>
      <c r="I171">
        <v>19</v>
      </c>
      <c r="J171" t="s">
        <v>29</v>
      </c>
    </row>
    <row r="172" spans="2:10" x14ac:dyDescent="0.25">
      <c r="B172" t="s">
        <v>358</v>
      </c>
      <c r="C172">
        <v>7</v>
      </c>
      <c r="D172">
        <v>8</v>
      </c>
      <c r="E172">
        <v>5</v>
      </c>
      <c r="F172">
        <v>7</v>
      </c>
      <c r="G172">
        <v>8</v>
      </c>
      <c r="H172">
        <v>2</v>
      </c>
      <c r="I172" t="s">
        <v>29</v>
      </c>
      <c r="J172">
        <v>3</v>
      </c>
    </row>
    <row r="173" spans="2:10" x14ac:dyDescent="0.25">
      <c r="B173" t="s">
        <v>359</v>
      </c>
      <c r="C173">
        <v>7</v>
      </c>
      <c r="D173">
        <v>6</v>
      </c>
      <c r="E173">
        <v>5</v>
      </c>
      <c r="F173">
        <v>6</v>
      </c>
      <c r="G173">
        <v>8</v>
      </c>
      <c r="H173">
        <v>4</v>
      </c>
      <c r="I173">
        <v>5</v>
      </c>
      <c r="J173">
        <v>6</v>
      </c>
    </row>
    <row r="177" spans="2:10" x14ac:dyDescent="0.25">
      <c r="B177" t="s">
        <v>82</v>
      </c>
      <c r="C177" t="s">
        <v>185</v>
      </c>
      <c r="D177" t="s">
        <v>186</v>
      </c>
      <c r="E177" t="s">
        <v>187</v>
      </c>
      <c r="F177" t="s">
        <v>188</v>
      </c>
      <c r="G177" t="s">
        <v>189</v>
      </c>
      <c r="H177" t="s">
        <v>190</v>
      </c>
      <c r="I177" t="s">
        <v>191</v>
      </c>
      <c r="J177" t="s">
        <v>192</v>
      </c>
    </row>
    <row r="178" spans="2:10" x14ac:dyDescent="0.25">
      <c r="B178" t="s">
        <v>360</v>
      </c>
      <c r="C178">
        <v>11321165800</v>
      </c>
      <c r="D178">
        <v>7384000000</v>
      </c>
      <c r="E178">
        <v>3703358980</v>
      </c>
      <c r="F178">
        <v>15450999800</v>
      </c>
      <c r="G178">
        <v>1217638020</v>
      </c>
      <c r="H178">
        <v>6137934800</v>
      </c>
      <c r="I178">
        <v>45773111000</v>
      </c>
      <c r="J178">
        <v>6148100100</v>
      </c>
    </row>
    <row r="179" spans="2:10" x14ac:dyDescent="0.25">
      <c r="B179" t="s">
        <v>361</v>
      </c>
      <c r="C179">
        <v>234.54320000000001</v>
      </c>
      <c r="D179">
        <v>32.745010000000001</v>
      </c>
      <c r="E179">
        <v>35.218933</v>
      </c>
      <c r="F179">
        <v>43.003059999999998</v>
      </c>
      <c r="G179">
        <v>21.846218</v>
      </c>
      <c r="H179">
        <v>15.357967</v>
      </c>
      <c r="I179">
        <v>85.549369999999996</v>
      </c>
      <c r="J179">
        <v>7.0039870000000004</v>
      </c>
    </row>
    <row r="180" spans="2:10" x14ac:dyDescent="0.25">
      <c r="B180" t="s">
        <v>362</v>
      </c>
      <c r="C180">
        <v>24.926749000000001</v>
      </c>
      <c r="D180">
        <v>4.1433109999999997</v>
      </c>
      <c r="E180">
        <v>1.370485</v>
      </c>
      <c r="F180">
        <v>0.56185499999999999</v>
      </c>
      <c r="G180">
        <v>1.857413</v>
      </c>
      <c r="H180">
        <v>0.15565846729576169</v>
      </c>
      <c r="I180">
        <v>12.950231387252281</v>
      </c>
      <c r="J180">
        <v>0.179425</v>
      </c>
    </row>
    <row r="181" spans="2:10" x14ac:dyDescent="0.25">
      <c r="B181" t="s">
        <v>363</v>
      </c>
      <c r="C181">
        <v>1209521020</v>
      </c>
      <c r="D181">
        <v>937000000</v>
      </c>
      <c r="E181">
        <v>147939008</v>
      </c>
      <c r="F181">
        <v>203000000</v>
      </c>
      <c r="G181">
        <v>107990000</v>
      </c>
      <c r="H181">
        <v>62231920</v>
      </c>
      <c r="I181">
        <v>6942260200</v>
      </c>
      <c r="J181">
        <v>170700000</v>
      </c>
    </row>
    <row r="182" spans="2:10" x14ac:dyDescent="0.25">
      <c r="B182" t="s">
        <v>364</v>
      </c>
      <c r="C182">
        <v>4813569000</v>
      </c>
      <c r="D182">
        <v>3251000000</v>
      </c>
      <c r="E182">
        <v>1877693000</v>
      </c>
      <c r="F182">
        <v>11180000000</v>
      </c>
      <c r="G182">
        <v>864501000</v>
      </c>
      <c r="H182">
        <v>4594600474.9294443</v>
      </c>
      <c r="I182">
        <v>33942153186.930901</v>
      </c>
      <c r="J182">
        <v>3991900000</v>
      </c>
    </row>
    <row r="183" spans="2:10" x14ac:dyDescent="0.25">
      <c r="B183" t="s">
        <v>30</v>
      </c>
      <c r="C183">
        <v>1827608060</v>
      </c>
      <c r="D183">
        <v>1568000000</v>
      </c>
      <c r="E183">
        <v>387432992</v>
      </c>
      <c r="F183">
        <v>2438000130</v>
      </c>
      <c r="G183">
        <v>170786000</v>
      </c>
      <c r="H183">
        <v>485845376</v>
      </c>
      <c r="I183">
        <v>10065453100</v>
      </c>
      <c r="J183">
        <v>1014400000</v>
      </c>
    </row>
    <row r="184" spans="2:10" x14ac:dyDescent="0.25">
      <c r="B184" t="s">
        <v>365</v>
      </c>
      <c r="C184">
        <v>1574466000</v>
      </c>
      <c r="D184">
        <v>1286000000</v>
      </c>
      <c r="E184">
        <v>277264000</v>
      </c>
      <c r="F184">
        <v>1608000000</v>
      </c>
      <c r="G184">
        <v>134781000</v>
      </c>
      <c r="H184">
        <v>9666430.4452152718</v>
      </c>
      <c r="I184">
        <v>9085698982.324585</v>
      </c>
      <c r="J184">
        <v>595500000</v>
      </c>
    </row>
    <row r="185" spans="2:10" x14ac:dyDescent="0.25">
      <c r="B185" t="s">
        <v>366</v>
      </c>
      <c r="C185">
        <v>1209521000</v>
      </c>
      <c r="D185">
        <v>937000000</v>
      </c>
      <c r="E185">
        <v>147939000</v>
      </c>
      <c r="F185">
        <v>203000000</v>
      </c>
      <c r="G185">
        <v>107990000</v>
      </c>
      <c r="H185">
        <v>62231919.734437361</v>
      </c>
      <c r="I185">
        <v>6942260310.6588106</v>
      </c>
      <c r="J185">
        <v>157500000</v>
      </c>
    </row>
    <row r="189" spans="2:10" x14ac:dyDescent="0.25">
      <c r="B189" t="s">
        <v>82</v>
      </c>
      <c r="C189" t="s">
        <v>185</v>
      </c>
      <c r="D189" t="s">
        <v>186</v>
      </c>
      <c r="E189" t="s">
        <v>187</v>
      </c>
      <c r="F189" t="s">
        <v>188</v>
      </c>
      <c r="G189" t="s">
        <v>189</v>
      </c>
      <c r="H189" t="s">
        <v>190</v>
      </c>
      <c r="I189" t="s">
        <v>191</v>
      </c>
      <c r="J189" t="s">
        <v>192</v>
      </c>
    </row>
    <row r="190" spans="2:10" x14ac:dyDescent="0.25">
      <c r="B190" t="s">
        <v>367</v>
      </c>
      <c r="C190">
        <v>413962000</v>
      </c>
      <c r="D190">
        <v>514000000</v>
      </c>
      <c r="E190">
        <v>97375000</v>
      </c>
      <c r="F190">
        <v>2350000000</v>
      </c>
      <c r="G190">
        <v>96768000</v>
      </c>
      <c r="H190">
        <v>571015627.91391587</v>
      </c>
      <c r="I190">
        <v>2922656668.4520621</v>
      </c>
      <c r="J190">
        <v>283600000</v>
      </c>
    </row>
    <row r="191" spans="2:10" x14ac:dyDescent="0.25">
      <c r="B191" t="s">
        <v>368</v>
      </c>
      <c r="C191">
        <v>8.7518390000000004</v>
      </c>
      <c r="D191">
        <v>2.336363</v>
      </c>
      <c r="E191">
        <v>0.94867599999999996</v>
      </c>
      <c r="F191">
        <v>6.5463709999999997</v>
      </c>
      <c r="G191">
        <v>1.7178450000000001</v>
      </c>
      <c r="H191">
        <v>1.4285710467096839</v>
      </c>
      <c r="I191">
        <v>5.465713979646492</v>
      </c>
      <c r="J191">
        <v>0.32680300000000001</v>
      </c>
    </row>
    <row r="192" spans="2:10" x14ac:dyDescent="0.25">
      <c r="B192" t="s">
        <v>369</v>
      </c>
      <c r="C192">
        <v>1928999040</v>
      </c>
      <c r="D192">
        <v>5363999700</v>
      </c>
      <c r="E192">
        <v>1621720960</v>
      </c>
      <c r="F192">
        <v>10010000400</v>
      </c>
      <c r="G192">
        <v>293073984</v>
      </c>
      <c r="H192">
        <v>1959282940</v>
      </c>
      <c r="I192">
        <v>9842634800</v>
      </c>
      <c r="J192">
        <v>4224199940</v>
      </c>
    </row>
    <row r="193" spans="2:10" x14ac:dyDescent="0.25">
      <c r="B193" t="s">
        <v>370</v>
      </c>
      <c r="C193">
        <v>1515037000</v>
      </c>
      <c r="D193">
        <v>4850000000</v>
      </c>
      <c r="E193">
        <v>1524346000</v>
      </c>
      <c r="F193">
        <v>7660000000</v>
      </c>
      <c r="G193">
        <v>196306000</v>
      </c>
      <c r="H193">
        <v>1388267253.490483</v>
      </c>
      <c r="I193">
        <v>6919978575.2544193</v>
      </c>
      <c r="J193">
        <v>3940600000</v>
      </c>
    </row>
    <row r="194" spans="2:10" x14ac:dyDescent="0.25">
      <c r="B194" t="s">
        <v>371</v>
      </c>
      <c r="C194">
        <v>0.82149299999999992</v>
      </c>
      <c r="D194" t="s">
        <v>296</v>
      </c>
      <c r="E194">
        <v>2.8073480000000002</v>
      </c>
      <c r="F194">
        <v>1.9689220000000001</v>
      </c>
      <c r="G194">
        <v>0.40274199999999999</v>
      </c>
      <c r="H194">
        <v>0.46231499999999998</v>
      </c>
      <c r="I194">
        <v>0.310087</v>
      </c>
      <c r="J194">
        <v>0.94435599999999997</v>
      </c>
    </row>
    <row r="195" spans="2:10" x14ac:dyDescent="0.25">
      <c r="B195" t="s">
        <v>372</v>
      </c>
      <c r="C195" t="s">
        <v>29</v>
      </c>
      <c r="D195" t="s">
        <v>29</v>
      </c>
      <c r="E195" t="s">
        <v>29</v>
      </c>
      <c r="F195">
        <v>4000000</v>
      </c>
      <c r="G195" t="s">
        <v>29</v>
      </c>
      <c r="H195" t="s">
        <v>29</v>
      </c>
      <c r="I195">
        <v>2266845206.2131758</v>
      </c>
      <c r="J195">
        <v>6600000</v>
      </c>
    </row>
    <row r="196" spans="2:10" x14ac:dyDescent="0.25">
      <c r="B196" t="s">
        <v>373</v>
      </c>
      <c r="C196" t="s">
        <v>29</v>
      </c>
      <c r="D196">
        <v>3881000000</v>
      </c>
      <c r="E196">
        <v>978865000</v>
      </c>
      <c r="F196">
        <v>7311000000</v>
      </c>
      <c r="G196">
        <v>156648000</v>
      </c>
      <c r="H196">
        <v>563406810.63742495</v>
      </c>
      <c r="I196">
        <v>4074986609.5340118</v>
      </c>
      <c r="J196">
        <v>3934400000</v>
      </c>
    </row>
    <row r="197" spans="2:10" x14ac:dyDescent="0.25">
      <c r="B197" t="s">
        <v>374</v>
      </c>
      <c r="C197">
        <v>1.7588490000000001</v>
      </c>
      <c r="D197">
        <v>1.112892</v>
      </c>
      <c r="E197">
        <v>2.122223</v>
      </c>
      <c r="F197">
        <v>1.3151649999999999</v>
      </c>
      <c r="G197">
        <v>1.7820659999999999</v>
      </c>
      <c r="H197">
        <v>1.1474279999999999</v>
      </c>
      <c r="I197">
        <v>1.0139279999999999</v>
      </c>
      <c r="J197">
        <v>0.84686799999999995</v>
      </c>
    </row>
    <row r="198" spans="2:10" x14ac:dyDescent="0.25">
      <c r="B198" t="s">
        <v>375</v>
      </c>
      <c r="C198">
        <v>0.386382</v>
      </c>
      <c r="D198">
        <v>0.44088100000000002</v>
      </c>
      <c r="E198">
        <v>0.31733</v>
      </c>
      <c r="F198">
        <v>0.78873400000000005</v>
      </c>
      <c r="G198">
        <v>0.78266100000000005</v>
      </c>
      <c r="H198">
        <v>0.58765400000000001</v>
      </c>
      <c r="I198">
        <v>0.57186499999999996</v>
      </c>
      <c r="J198">
        <v>0.37424099999999999</v>
      </c>
    </row>
    <row r="199" spans="2:10" x14ac:dyDescent="0.25">
      <c r="B199" t="s">
        <v>376</v>
      </c>
      <c r="C199" t="s">
        <v>29</v>
      </c>
      <c r="D199">
        <v>3.908814</v>
      </c>
      <c r="E199">
        <v>3.5428109999999999</v>
      </c>
      <c r="F199">
        <v>4.2880000000000003</v>
      </c>
      <c r="G199">
        <v>6.9957950000000002</v>
      </c>
      <c r="H199">
        <v>7.9743579999999996</v>
      </c>
      <c r="I199">
        <v>25.569790999999999</v>
      </c>
      <c r="J199">
        <v>2.4445809999999999</v>
      </c>
    </row>
    <row r="200" spans="2:10" x14ac:dyDescent="0.25">
      <c r="B200" t="s">
        <v>377</v>
      </c>
      <c r="C200">
        <v>49.643974</v>
      </c>
      <c r="D200">
        <v>-7.8136359999999998</v>
      </c>
      <c r="E200">
        <v>5.6279529999999998</v>
      </c>
      <c r="F200">
        <v>14.162447</v>
      </c>
      <c r="G200">
        <v>12.918189</v>
      </c>
      <c r="H200">
        <v>10.27643625750625</v>
      </c>
      <c r="I200">
        <v>59.353573647562932</v>
      </c>
      <c r="J200">
        <v>4.6614420000000001</v>
      </c>
    </row>
    <row r="201" spans="2:10" x14ac:dyDescent="0.25">
      <c r="B201" t="s">
        <v>378</v>
      </c>
      <c r="C201">
        <v>4.7125823624800773</v>
      </c>
      <c r="D201">
        <v>10.59566858732366</v>
      </c>
      <c r="E201">
        <v>15.16426061896075</v>
      </c>
      <c r="F201">
        <v>8.1835024261138063</v>
      </c>
      <c r="G201">
        <v>11.20274063748416</v>
      </c>
      <c r="H201">
        <v>48.86968921389397</v>
      </c>
      <c r="I201">
        <v>4.9819044825471321</v>
      </c>
      <c r="J201">
        <v>24.3622732952179</v>
      </c>
    </row>
    <row r="202" spans="2:10" x14ac:dyDescent="0.25">
      <c r="B202" t="s">
        <v>379</v>
      </c>
      <c r="C202">
        <v>0.38523099999999999</v>
      </c>
      <c r="D202">
        <v>1.3343389999999999</v>
      </c>
      <c r="E202">
        <v>0.65292299999999992</v>
      </c>
      <c r="F202">
        <v>0.60374899999999998</v>
      </c>
      <c r="G202">
        <v>0.18890000000000001</v>
      </c>
      <c r="H202">
        <v>0.191524</v>
      </c>
      <c r="I202">
        <v>0.13450100000000001</v>
      </c>
      <c r="J202">
        <v>0.47811300000000001</v>
      </c>
    </row>
    <row r="205" spans="2:10" x14ac:dyDescent="0.25">
      <c r="B205" t="s">
        <v>82</v>
      </c>
      <c r="C205" t="s">
        <v>185</v>
      </c>
      <c r="D205" t="s">
        <v>186</v>
      </c>
      <c r="E205" t="s">
        <v>187</v>
      </c>
      <c r="F205" t="s">
        <v>188</v>
      </c>
      <c r="G205" t="s">
        <v>189</v>
      </c>
      <c r="H205" t="s">
        <v>190</v>
      </c>
      <c r="I205" t="s">
        <v>191</v>
      </c>
      <c r="J205" t="s">
        <v>192</v>
      </c>
    </row>
    <row r="206" spans="2:10" x14ac:dyDescent="0.25">
      <c r="B206" t="s">
        <v>380</v>
      </c>
      <c r="C206">
        <v>1406337020</v>
      </c>
      <c r="D206">
        <v>907000000</v>
      </c>
      <c r="E206">
        <v>252395008</v>
      </c>
      <c r="F206">
        <v>2098000000</v>
      </c>
      <c r="G206">
        <v>32333000</v>
      </c>
      <c r="H206">
        <v>478404384</v>
      </c>
      <c r="I206">
        <v>8089019900</v>
      </c>
      <c r="J206">
        <v>495800000</v>
      </c>
    </row>
    <row r="207" spans="2:10" x14ac:dyDescent="0.25">
      <c r="B207" t="s">
        <v>381</v>
      </c>
      <c r="C207">
        <v>719191250</v>
      </c>
      <c r="D207">
        <v>629125000</v>
      </c>
      <c r="E207">
        <v>141353875</v>
      </c>
      <c r="F207">
        <v>1983625000</v>
      </c>
      <c r="G207">
        <v>45463875</v>
      </c>
      <c r="H207">
        <v>85008640.732037842</v>
      </c>
      <c r="I207">
        <v>5021558650.2410288</v>
      </c>
      <c r="J207">
        <v>330137500</v>
      </c>
    </row>
    <row r="208" spans="2:10" x14ac:dyDescent="0.25">
      <c r="B208" t="s">
        <v>382</v>
      </c>
      <c r="C208">
        <v>1406337020</v>
      </c>
      <c r="D208">
        <v>907000000</v>
      </c>
      <c r="E208">
        <v>252395008</v>
      </c>
      <c r="F208">
        <v>2098000000</v>
      </c>
      <c r="G208">
        <v>32333000</v>
      </c>
      <c r="H208" t="s">
        <v>29</v>
      </c>
      <c r="I208">
        <v>8089019900</v>
      </c>
      <c r="J208">
        <v>495800000</v>
      </c>
    </row>
    <row r="209" spans="2:10" x14ac:dyDescent="0.25">
      <c r="B209" t="s">
        <v>383</v>
      </c>
      <c r="C209">
        <v>-416820000</v>
      </c>
      <c r="D209">
        <v>-221000000</v>
      </c>
      <c r="E209">
        <v>-90754000</v>
      </c>
      <c r="F209">
        <v>-765000000</v>
      </c>
      <c r="G209">
        <v>-9603000</v>
      </c>
      <c r="H209">
        <v>-170893787.3758283</v>
      </c>
      <c r="I209">
        <v>-1655811462.2388861</v>
      </c>
      <c r="J209">
        <v>-258300000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5888-2E51-47AB-A76B-1B714BF104DB}">
  <dimension ref="B2:E51"/>
  <sheetViews>
    <sheetView workbookViewId="0">
      <selection activeCell="B37" sqref="B37"/>
    </sheetView>
  </sheetViews>
  <sheetFormatPr defaultRowHeight="15" x14ac:dyDescent="0.25"/>
  <cols>
    <col min="2" max="2" width="41" bestFit="1" customWidth="1"/>
    <col min="3" max="4" width="19.42578125" bestFit="1" customWidth="1"/>
    <col min="5" max="5" width="19" bestFit="1" customWidth="1"/>
  </cols>
  <sheetData>
    <row r="2" spans="2:5" x14ac:dyDescent="0.25">
      <c r="B2" t="s">
        <v>121</v>
      </c>
      <c r="C2" t="s">
        <v>122</v>
      </c>
      <c r="D2" t="s">
        <v>123</v>
      </c>
      <c r="E2" t="s">
        <v>124</v>
      </c>
    </row>
    <row r="3" spans="2:5" x14ac:dyDescent="0.25">
      <c r="B3" t="s">
        <v>125</v>
      </c>
      <c r="C3" t="s">
        <v>51</v>
      </c>
      <c r="D3" t="s">
        <v>51</v>
      </c>
      <c r="E3" t="s">
        <v>51</v>
      </c>
    </row>
    <row r="4" spans="2:5" x14ac:dyDescent="0.25">
      <c r="B4" t="s">
        <v>126</v>
      </c>
      <c r="C4">
        <v>1E-3</v>
      </c>
      <c r="D4" t="s">
        <v>51</v>
      </c>
      <c r="E4" t="s">
        <v>51</v>
      </c>
    </row>
    <row r="5" spans="2:5" x14ac:dyDescent="0.25">
      <c r="B5" t="s">
        <v>127</v>
      </c>
      <c r="C5">
        <v>2E-3</v>
      </c>
      <c r="D5" t="s">
        <v>51</v>
      </c>
      <c r="E5" t="s">
        <v>51</v>
      </c>
    </row>
    <row r="6" spans="2:5" x14ac:dyDescent="0.25">
      <c r="B6" t="s">
        <v>128</v>
      </c>
      <c r="C6" t="s">
        <v>51</v>
      </c>
      <c r="D6">
        <v>0</v>
      </c>
      <c r="E6">
        <v>0</v>
      </c>
    </row>
    <row r="7" spans="2:5" x14ac:dyDescent="0.25">
      <c r="B7" t="s">
        <v>129</v>
      </c>
      <c r="C7" t="s">
        <v>51</v>
      </c>
      <c r="D7" t="s">
        <v>51</v>
      </c>
      <c r="E7" t="s">
        <v>51</v>
      </c>
    </row>
    <row r="8" spans="2:5" x14ac:dyDescent="0.25">
      <c r="B8" t="s">
        <v>125</v>
      </c>
      <c r="C8" t="s">
        <v>51</v>
      </c>
      <c r="D8" t="s">
        <v>51</v>
      </c>
      <c r="E8" t="s">
        <v>51</v>
      </c>
    </row>
    <row r="9" spans="2:5" x14ac:dyDescent="0.25">
      <c r="B9" t="s">
        <v>130</v>
      </c>
      <c r="C9">
        <v>1</v>
      </c>
      <c r="D9" t="s">
        <v>51</v>
      </c>
      <c r="E9" t="s">
        <v>51</v>
      </c>
    </row>
    <row r="10" spans="2:5" x14ac:dyDescent="0.25">
      <c r="B10" t="s">
        <v>131</v>
      </c>
      <c r="C10" t="s">
        <v>51</v>
      </c>
      <c r="D10" t="s">
        <v>51</v>
      </c>
      <c r="E10" t="s">
        <v>51</v>
      </c>
    </row>
    <row r="11" spans="2:5" x14ac:dyDescent="0.25">
      <c r="B11" t="s">
        <v>125</v>
      </c>
      <c r="C11" t="s">
        <v>51</v>
      </c>
      <c r="D11" t="s">
        <v>51</v>
      </c>
      <c r="E11" t="s">
        <v>51</v>
      </c>
    </row>
    <row r="12" spans="2:5" x14ac:dyDescent="0.25">
      <c r="B12" t="s">
        <v>126</v>
      </c>
      <c r="C12">
        <v>0</v>
      </c>
      <c r="D12" t="s">
        <v>51</v>
      </c>
      <c r="E12" t="s">
        <v>51</v>
      </c>
    </row>
    <row r="13" spans="2:5" x14ac:dyDescent="0.25">
      <c r="B13" t="s">
        <v>132</v>
      </c>
      <c r="C13" t="s">
        <v>51</v>
      </c>
      <c r="D13" t="s">
        <v>51</v>
      </c>
      <c r="E13" t="s">
        <v>51</v>
      </c>
    </row>
    <row r="14" spans="2:5" x14ac:dyDescent="0.25">
      <c r="B14" t="s">
        <v>125</v>
      </c>
      <c r="C14" t="s">
        <v>51</v>
      </c>
      <c r="D14" t="s">
        <v>51</v>
      </c>
      <c r="E14" t="s">
        <v>51</v>
      </c>
    </row>
    <row r="15" spans="2:5" x14ac:dyDescent="0.25">
      <c r="B15" t="s">
        <v>126</v>
      </c>
      <c r="C15">
        <v>1.25E-3</v>
      </c>
      <c r="D15" t="s">
        <v>51</v>
      </c>
      <c r="E15" t="s">
        <v>51</v>
      </c>
    </row>
    <row r="16" spans="2:5" x14ac:dyDescent="0.25">
      <c r="B16" t="s">
        <v>133</v>
      </c>
      <c r="C16" t="s">
        <v>51</v>
      </c>
      <c r="D16" t="s">
        <v>51</v>
      </c>
      <c r="E16" t="s">
        <v>51</v>
      </c>
    </row>
    <row r="17" spans="2:5" x14ac:dyDescent="0.25">
      <c r="B17" t="s">
        <v>125</v>
      </c>
      <c r="C17" t="s">
        <v>51</v>
      </c>
      <c r="D17" t="s">
        <v>51</v>
      </c>
      <c r="E17" t="s">
        <v>51</v>
      </c>
    </row>
    <row r="18" spans="2:5" x14ac:dyDescent="0.25">
      <c r="B18" t="s">
        <v>126</v>
      </c>
      <c r="C18">
        <v>1.125E-2</v>
      </c>
      <c r="D18" t="s">
        <v>51</v>
      </c>
      <c r="E18" t="s">
        <v>51</v>
      </c>
    </row>
    <row r="19" spans="2:5" x14ac:dyDescent="0.25">
      <c r="B19" t="s">
        <v>134</v>
      </c>
      <c r="C19" t="s">
        <v>51</v>
      </c>
      <c r="D19" t="s">
        <v>51</v>
      </c>
      <c r="E19" t="s">
        <v>51</v>
      </c>
    </row>
    <row r="20" spans="2:5" x14ac:dyDescent="0.25">
      <c r="B20" t="s">
        <v>125</v>
      </c>
      <c r="C20" t="s">
        <v>51</v>
      </c>
      <c r="D20" t="s">
        <v>51</v>
      </c>
      <c r="E20" t="s">
        <v>51</v>
      </c>
    </row>
    <row r="21" spans="2:5" x14ac:dyDescent="0.25">
      <c r="B21" t="s">
        <v>126</v>
      </c>
      <c r="C21">
        <v>1.2500000000000001E-2</v>
      </c>
      <c r="D21" t="s">
        <v>51</v>
      </c>
      <c r="E21" t="s">
        <v>51</v>
      </c>
    </row>
    <row r="22" spans="2:5" x14ac:dyDescent="0.25">
      <c r="B22" t="s">
        <v>135</v>
      </c>
      <c r="C22" t="s">
        <v>51</v>
      </c>
      <c r="D22" t="s">
        <v>51</v>
      </c>
      <c r="E22" t="s">
        <v>51</v>
      </c>
    </row>
    <row r="23" spans="2:5" x14ac:dyDescent="0.25">
      <c r="B23" t="s">
        <v>125</v>
      </c>
      <c r="C23" t="s">
        <v>51</v>
      </c>
      <c r="D23" t="s">
        <v>51</v>
      </c>
      <c r="E23" t="s">
        <v>51</v>
      </c>
    </row>
    <row r="24" spans="2:5" x14ac:dyDescent="0.25">
      <c r="B24" t="s">
        <v>136</v>
      </c>
      <c r="C24">
        <v>1000000</v>
      </c>
      <c r="D24" t="s">
        <v>51</v>
      </c>
      <c r="E24" t="s">
        <v>51</v>
      </c>
    </row>
    <row r="25" spans="2:5" x14ac:dyDescent="0.25">
      <c r="B25" t="s">
        <v>137</v>
      </c>
      <c r="C25">
        <v>100000</v>
      </c>
      <c r="D25" t="s">
        <v>51</v>
      </c>
      <c r="E25" t="s">
        <v>51</v>
      </c>
    </row>
    <row r="26" spans="2:5" x14ac:dyDescent="0.25">
      <c r="B26" t="s">
        <v>128</v>
      </c>
      <c r="C26" t="s">
        <v>51</v>
      </c>
      <c r="D26">
        <v>0</v>
      </c>
      <c r="E26">
        <v>0</v>
      </c>
    </row>
    <row r="27" spans="2:5" x14ac:dyDescent="0.25">
      <c r="B27" t="s">
        <v>138</v>
      </c>
      <c r="C27" t="s">
        <v>51</v>
      </c>
      <c r="D27" t="s">
        <v>51</v>
      </c>
      <c r="E27" t="s">
        <v>51</v>
      </c>
    </row>
    <row r="28" spans="2:5" x14ac:dyDescent="0.25">
      <c r="B28" t="s">
        <v>125</v>
      </c>
      <c r="C28" t="s">
        <v>51</v>
      </c>
      <c r="D28" t="s">
        <v>51</v>
      </c>
      <c r="E28" t="s">
        <v>51</v>
      </c>
    </row>
    <row r="29" spans="2:5" x14ac:dyDescent="0.25">
      <c r="B29" t="s">
        <v>136</v>
      </c>
      <c r="C29">
        <v>50000</v>
      </c>
      <c r="D29" t="s">
        <v>51</v>
      </c>
      <c r="E29" t="s">
        <v>51</v>
      </c>
    </row>
    <row r="32" spans="2:5" x14ac:dyDescent="0.25">
      <c r="B32" t="s">
        <v>139</v>
      </c>
      <c r="C32" t="s">
        <v>140</v>
      </c>
      <c r="D32" t="s">
        <v>141</v>
      </c>
      <c r="E32" t="s">
        <v>142</v>
      </c>
    </row>
    <row r="33" spans="2:5" x14ac:dyDescent="0.25">
      <c r="B33" t="s">
        <v>135</v>
      </c>
      <c r="C33" t="s">
        <v>51</v>
      </c>
      <c r="D33" t="s">
        <v>51</v>
      </c>
      <c r="E33" t="s">
        <v>51</v>
      </c>
    </row>
    <row r="34" spans="2:5" x14ac:dyDescent="0.25">
      <c r="B34" t="s">
        <v>143</v>
      </c>
      <c r="C34" t="s">
        <v>51</v>
      </c>
      <c r="D34" t="s">
        <v>51</v>
      </c>
      <c r="E34" t="s">
        <v>51</v>
      </c>
    </row>
    <row r="35" spans="2:5" x14ac:dyDescent="0.25">
      <c r="B35" t="s">
        <v>136</v>
      </c>
      <c r="C35" t="s">
        <v>51</v>
      </c>
      <c r="D35">
        <v>1000000</v>
      </c>
      <c r="E35" t="s">
        <v>51</v>
      </c>
    </row>
    <row r="36" spans="2:5" x14ac:dyDescent="0.25">
      <c r="B36" t="s">
        <v>137</v>
      </c>
      <c r="C36" t="s">
        <v>51</v>
      </c>
      <c r="D36">
        <v>100000</v>
      </c>
      <c r="E36" t="s">
        <v>51</v>
      </c>
    </row>
    <row r="37" spans="2:5" x14ac:dyDescent="0.25">
      <c r="B37" t="s">
        <v>138</v>
      </c>
      <c r="C37" t="s">
        <v>51</v>
      </c>
      <c r="D37" t="s">
        <v>51</v>
      </c>
      <c r="E37" t="s">
        <v>51</v>
      </c>
    </row>
    <row r="38" spans="2:5" x14ac:dyDescent="0.25">
      <c r="B38" t="s">
        <v>143</v>
      </c>
      <c r="C38" t="s">
        <v>51</v>
      </c>
      <c r="D38" t="s">
        <v>51</v>
      </c>
      <c r="E38" t="s">
        <v>51</v>
      </c>
    </row>
    <row r="39" spans="2:5" x14ac:dyDescent="0.25">
      <c r="B39" t="s">
        <v>136</v>
      </c>
      <c r="C39" t="s">
        <v>51</v>
      </c>
      <c r="D39">
        <v>50000</v>
      </c>
      <c r="E39" t="s">
        <v>51</v>
      </c>
    </row>
    <row r="40" spans="2:5" x14ac:dyDescent="0.25">
      <c r="B40" t="s">
        <v>144</v>
      </c>
      <c r="C40" t="s">
        <v>51</v>
      </c>
      <c r="D40" t="s">
        <v>51</v>
      </c>
      <c r="E40" t="s">
        <v>51</v>
      </c>
    </row>
    <row r="41" spans="2:5" x14ac:dyDescent="0.25">
      <c r="B41" t="s">
        <v>143</v>
      </c>
      <c r="C41" t="s">
        <v>51</v>
      </c>
      <c r="D41" t="s">
        <v>51</v>
      </c>
      <c r="E41" t="s">
        <v>51</v>
      </c>
    </row>
    <row r="42" spans="2:5" x14ac:dyDescent="0.25">
      <c r="B42" t="s">
        <v>137</v>
      </c>
      <c r="C42">
        <v>200000</v>
      </c>
      <c r="D42" t="s">
        <v>51</v>
      </c>
      <c r="E42" t="s">
        <v>51</v>
      </c>
    </row>
    <row r="43" spans="2:5" x14ac:dyDescent="0.25">
      <c r="B43" t="s">
        <v>145</v>
      </c>
      <c r="C43" t="s">
        <v>51</v>
      </c>
      <c r="D43" t="s">
        <v>51</v>
      </c>
      <c r="E43" t="s">
        <v>51</v>
      </c>
    </row>
    <row r="44" spans="2:5" x14ac:dyDescent="0.25">
      <c r="B44" t="s">
        <v>143</v>
      </c>
      <c r="C44" t="s">
        <v>51</v>
      </c>
      <c r="D44" t="s">
        <v>51</v>
      </c>
      <c r="E44" t="s">
        <v>51</v>
      </c>
    </row>
    <row r="45" spans="2:5" x14ac:dyDescent="0.25">
      <c r="B45" t="s">
        <v>136</v>
      </c>
      <c r="C45">
        <v>800000</v>
      </c>
      <c r="D45" t="s">
        <v>51</v>
      </c>
      <c r="E45" t="s">
        <v>51</v>
      </c>
    </row>
    <row r="46" spans="2:5" x14ac:dyDescent="0.25">
      <c r="B46" t="s">
        <v>146</v>
      </c>
      <c r="C46" t="s">
        <v>51</v>
      </c>
      <c r="D46" t="s">
        <v>51</v>
      </c>
      <c r="E46" t="s">
        <v>51</v>
      </c>
    </row>
    <row r="47" spans="2:5" x14ac:dyDescent="0.25">
      <c r="B47" t="s">
        <v>143</v>
      </c>
      <c r="C47" t="s">
        <v>51</v>
      </c>
      <c r="D47" t="s">
        <v>51</v>
      </c>
      <c r="E47" t="s">
        <v>51</v>
      </c>
    </row>
    <row r="48" spans="2:5" x14ac:dyDescent="0.25">
      <c r="B48" t="s">
        <v>136</v>
      </c>
      <c r="C48">
        <v>50000</v>
      </c>
      <c r="D48" t="s">
        <v>51</v>
      </c>
      <c r="E48" t="s">
        <v>51</v>
      </c>
    </row>
    <row r="49" spans="2:5" x14ac:dyDescent="0.25">
      <c r="B49" t="s">
        <v>147</v>
      </c>
      <c r="C49" t="s">
        <v>51</v>
      </c>
      <c r="D49" t="s">
        <v>51</v>
      </c>
      <c r="E49" t="s">
        <v>51</v>
      </c>
    </row>
    <row r="50" spans="2:5" x14ac:dyDescent="0.25">
      <c r="B50" t="s">
        <v>143</v>
      </c>
      <c r="C50" t="s">
        <v>51</v>
      </c>
      <c r="D50" t="s">
        <v>51</v>
      </c>
      <c r="E50" t="s">
        <v>51</v>
      </c>
    </row>
    <row r="51" spans="2:5" x14ac:dyDescent="0.25">
      <c r="B51" t="s">
        <v>148</v>
      </c>
      <c r="C51" t="s">
        <v>51</v>
      </c>
      <c r="D51" t="s">
        <v>51</v>
      </c>
      <c r="E51">
        <v>2000000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6EAD-BF93-49F0-8A91-8E4CE86A0EC0}">
  <dimension ref="B2:G12"/>
  <sheetViews>
    <sheetView zoomScale="130" zoomScaleNormal="130" workbookViewId="0">
      <selection activeCell="C5" sqref="C5"/>
    </sheetView>
  </sheetViews>
  <sheetFormatPr defaultRowHeight="15" x14ac:dyDescent="0.25"/>
  <cols>
    <col min="2" max="2" width="74.42578125" bestFit="1" customWidth="1"/>
    <col min="3" max="3" width="16.28515625" bestFit="1" customWidth="1"/>
    <col min="4" max="5" width="11.85546875" bestFit="1" customWidth="1"/>
    <col min="6" max="7" width="12.42578125" bestFit="1" customWidth="1"/>
  </cols>
  <sheetData>
    <row r="2" spans="2:7" x14ac:dyDescent="0.25">
      <c r="B2" t="s">
        <v>149</v>
      </c>
      <c r="C2" t="s">
        <v>150</v>
      </c>
    </row>
    <row r="3" spans="2:7" x14ac:dyDescent="0.25">
      <c r="C3" t="s">
        <v>50</v>
      </c>
      <c r="D3" t="s">
        <v>49</v>
      </c>
      <c r="E3" t="s">
        <v>48</v>
      </c>
      <c r="F3" t="s">
        <v>151</v>
      </c>
      <c r="G3" t="s">
        <v>152</v>
      </c>
    </row>
    <row r="4" spans="2:7" x14ac:dyDescent="0.25">
      <c r="B4" t="s">
        <v>153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</row>
    <row r="5" spans="2:7" x14ac:dyDescent="0.25">
      <c r="B5" t="s">
        <v>154</v>
      </c>
      <c r="C5">
        <v>2173</v>
      </c>
      <c r="D5">
        <v>2193</v>
      </c>
      <c r="E5">
        <v>4250</v>
      </c>
      <c r="F5" t="s">
        <v>51</v>
      </c>
      <c r="G5" t="s">
        <v>51</v>
      </c>
    </row>
    <row r="6" spans="2:7" x14ac:dyDescent="0.25">
      <c r="B6" t="s">
        <v>155</v>
      </c>
      <c r="C6">
        <v>1009348</v>
      </c>
      <c r="D6">
        <v>900033</v>
      </c>
      <c r="E6">
        <v>1521925</v>
      </c>
      <c r="F6" t="s">
        <v>51</v>
      </c>
      <c r="G6" t="s">
        <v>51</v>
      </c>
    </row>
    <row r="7" spans="2:7" x14ac:dyDescent="0.25">
      <c r="B7" t="s">
        <v>156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</row>
    <row r="8" spans="2:7" x14ac:dyDescent="0.25">
      <c r="B8" t="s">
        <v>153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</row>
    <row r="9" spans="2:7" x14ac:dyDescent="0.25">
      <c r="B9" t="s">
        <v>148</v>
      </c>
      <c r="C9" t="s">
        <v>51</v>
      </c>
      <c r="D9" t="s">
        <v>51</v>
      </c>
      <c r="E9" t="s">
        <v>51</v>
      </c>
      <c r="F9" t="s">
        <v>51</v>
      </c>
      <c r="G9">
        <v>1600000</v>
      </c>
    </row>
    <row r="10" spans="2:7" x14ac:dyDescent="0.25">
      <c r="B10" t="s">
        <v>157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</row>
    <row r="11" spans="2:7" x14ac:dyDescent="0.25">
      <c r="B11" t="s">
        <v>153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</row>
    <row r="12" spans="2:7" x14ac:dyDescent="0.25">
      <c r="B12" t="s">
        <v>148</v>
      </c>
      <c r="C12" t="s">
        <v>51</v>
      </c>
      <c r="D12" t="s">
        <v>51</v>
      </c>
      <c r="E12" t="s">
        <v>51</v>
      </c>
      <c r="F12">
        <v>2000000</v>
      </c>
      <c r="G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ULTA Beauty </vt:lpstr>
      <vt:lpstr>Segmentation </vt:lpstr>
      <vt:lpstr>Peer Comparables </vt:lpstr>
      <vt:lpstr>Debt Structure</vt:lpstr>
      <vt:lpstr>Share Repo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2024-11-08T23:49:29Z</dcterms:created>
  <dcterms:modified xsi:type="dcterms:W3CDTF">2024-12-03T08:52:54Z</dcterms:modified>
</cp:coreProperties>
</file>