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Felix\Downloads\"/>
    </mc:Choice>
  </mc:AlternateContent>
  <xr:revisionPtr revIDLastSave="0" documentId="8_{2FF7243E-4115-40B1-9706-79D6ADC09852}" xr6:coauthVersionLast="47" xr6:coauthVersionMax="47" xr10:uidLastSave="{00000000-0000-0000-0000-000000000000}"/>
  <bookViews>
    <workbookView xWindow="-120" yWindow="-120" windowWidth="29040" windowHeight="15720" xr2:uid="{BC9106CE-9107-4097-8948-317996376CB5}"/>
  </bookViews>
  <sheets>
    <sheet name="Historical Financials" sheetId="8" r:id="rId1"/>
    <sheet name="Revenue Drivers" sheetId="10" r:id="rId2"/>
    <sheet name="FCF" sheetId="11" r:id="rId3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36" i="8" l="1"/>
  <c r="S135" i="8"/>
  <c r="Y140" i="8"/>
  <c r="X140" i="8"/>
  <c r="V140" i="8"/>
  <c r="U140" i="8"/>
  <c r="T140" i="8"/>
  <c r="S140" i="8"/>
  <c r="Y139" i="8"/>
  <c r="X139" i="8"/>
  <c r="V139" i="8"/>
  <c r="U139" i="8"/>
  <c r="T139" i="8"/>
  <c r="Z140" i="8"/>
  <c r="Z139" i="8"/>
  <c r="U131" i="8"/>
  <c r="U130" i="8"/>
  <c r="U129" i="8"/>
  <c r="U128" i="8"/>
  <c r="U127" i="8"/>
  <c r="U126" i="8"/>
  <c r="U122" i="8"/>
  <c r="U121" i="8"/>
  <c r="U120" i="8"/>
  <c r="U119" i="8"/>
  <c r="U118" i="8"/>
  <c r="U117" i="8"/>
  <c r="U116" i="8"/>
  <c r="U112" i="8"/>
  <c r="U111" i="8"/>
  <c r="U110" i="8"/>
  <c r="U109" i="8"/>
  <c r="U108" i="8"/>
  <c r="U104" i="8"/>
  <c r="U103" i="8"/>
  <c r="U102" i="8"/>
  <c r="U101" i="8"/>
  <c r="U100" i="8"/>
  <c r="U99" i="8"/>
  <c r="U98" i="8"/>
  <c r="Z82" i="8"/>
  <c r="Y82" i="8"/>
  <c r="X82" i="8"/>
  <c r="V82" i="8"/>
  <c r="U82" i="8"/>
  <c r="T82" i="8"/>
  <c r="Z81" i="8"/>
  <c r="Y81" i="8"/>
  <c r="X81" i="8"/>
  <c r="V81" i="8"/>
  <c r="U81" i="8"/>
  <c r="T81" i="8"/>
  <c r="Z80" i="8"/>
  <c r="Y80" i="8"/>
  <c r="X80" i="8"/>
  <c r="V80" i="8"/>
  <c r="U80" i="8"/>
  <c r="T80" i="8"/>
  <c r="Z79" i="8"/>
  <c r="Y79" i="8"/>
  <c r="X79" i="8"/>
  <c r="V79" i="8"/>
  <c r="U79" i="8"/>
  <c r="T79" i="8"/>
  <c r="Z78" i="8"/>
  <c r="Y78" i="8"/>
  <c r="X78" i="8"/>
  <c r="V78" i="8"/>
  <c r="U78" i="8"/>
  <c r="T78" i="8"/>
  <c r="Z75" i="8"/>
  <c r="Y75" i="8"/>
  <c r="X75" i="8"/>
  <c r="V75" i="8"/>
  <c r="U75" i="8"/>
  <c r="T75" i="8"/>
  <c r="Z74" i="8"/>
  <c r="Y74" i="8"/>
  <c r="X74" i="8"/>
  <c r="V74" i="8"/>
  <c r="U74" i="8"/>
  <c r="T74" i="8"/>
  <c r="Z73" i="8"/>
  <c r="Y73" i="8"/>
  <c r="X73" i="8"/>
  <c r="V73" i="8"/>
  <c r="U73" i="8"/>
  <c r="T73" i="8"/>
  <c r="Z69" i="8"/>
  <c r="Y69" i="8"/>
  <c r="X69" i="8"/>
  <c r="V69" i="8"/>
  <c r="U69" i="8"/>
  <c r="T69" i="8"/>
  <c r="Z68" i="8"/>
  <c r="Y68" i="8"/>
  <c r="X68" i="8"/>
  <c r="V68" i="8"/>
  <c r="U68" i="8"/>
  <c r="T68" i="8"/>
  <c r="Z67" i="8"/>
  <c r="Y67" i="8"/>
  <c r="X67" i="8"/>
  <c r="V67" i="8"/>
  <c r="U67" i="8"/>
  <c r="T67" i="8"/>
  <c r="Z66" i="8"/>
  <c r="Y66" i="8"/>
  <c r="X66" i="8"/>
  <c r="V66" i="8"/>
  <c r="U66" i="8"/>
  <c r="T66" i="8"/>
  <c r="Z62" i="8"/>
  <c r="Y62" i="8"/>
  <c r="X62" i="8"/>
  <c r="V62" i="8"/>
  <c r="U62" i="8"/>
  <c r="T62" i="8"/>
  <c r="Z61" i="8"/>
  <c r="Y61" i="8"/>
  <c r="X61" i="8"/>
  <c r="V61" i="8"/>
  <c r="U61" i="8"/>
  <c r="T61" i="8"/>
  <c r="Z60" i="8"/>
  <c r="Y60" i="8"/>
  <c r="X60" i="8"/>
  <c r="V60" i="8"/>
  <c r="U60" i="8"/>
  <c r="T60" i="8"/>
  <c r="Z59" i="8"/>
  <c r="Y59" i="8"/>
  <c r="X59" i="8"/>
  <c r="V59" i="8"/>
  <c r="U59" i="8"/>
  <c r="T59" i="8"/>
  <c r="Z58" i="8"/>
  <c r="Y58" i="8"/>
  <c r="X58" i="8"/>
  <c r="V58" i="8"/>
  <c r="U58" i="8"/>
  <c r="T58" i="8"/>
  <c r="Z57" i="8"/>
  <c r="Y57" i="8"/>
  <c r="X57" i="8"/>
  <c r="V57" i="8"/>
  <c r="U57" i="8"/>
  <c r="T57" i="8"/>
  <c r="Z53" i="8"/>
  <c r="Y53" i="8"/>
  <c r="X53" i="8"/>
  <c r="V53" i="8"/>
  <c r="U53" i="8"/>
  <c r="T53" i="8"/>
  <c r="Z52" i="8"/>
  <c r="Y52" i="8"/>
  <c r="X52" i="8"/>
  <c r="V52" i="8"/>
  <c r="U52" i="8"/>
  <c r="T52" i="8"/>
  <c r="Z51" i="8"/>
  <c r="Y51" i="8"/>
  <c r="X51" i="8"/>
  <c r="V51" i="8"/>
  <c r="U51" i="8"/>
  <c r="T51" i="8"/>
  <c r="Z50" i="8"/>
  <c r="Y50" i="8"/>
  <c r="X50" i="8"/>
  <c r="V50" i="8"/>
  <c r="U50" i="8"/>
  <c r="T50" i="8"/>
  <c r="Z49" i="8"/>
  <c r="Y49" i="8"/>
  <c r="X49" i="8"/>
  <c r="V49" i="8"/>
  <c r="U49" i="8"/>
  <c r="T49" i="8"/>
  <c r="Y48" i="8"/>
  <c r="X48" i="8"/>
  <c r="V48" i="8"/>
  <c r="U48" i="8"/>
  <c r="T48" i="8"/>
  <c r="Z48" i="8"/>
  <c r="Z40" i="8"/>
  <c r="Y40" i="8"/>
  <c r="X40" i="8"/>
  <c r="V40" i="8"/>
  <c r="U40" i="8"/>
  <c r="T40" i="8"/>
  <c r="Y37" i="8"/>
  <c r="X37" i="8"/>
  <c r="V37" i="8"/>
  <c r="U37" i="8"/>
  <c r="T37" i="8"/>
  <c r="Z37" i="8"/>
  <c r="Z33" i="8"/>
  <c r="Y33" i="8"/>
  <c r="U33" i="8"/>
  <c r="Z24" i="8"/>
  <c r="Y24" i="8"/>
  <c r="U24" i="8"/>
  <c r="U19" i="8"/>
  <c r="U18" i="8"/>
  <c r="Y8" i="8"/>
  <c r="X8" i="8"/>
  <c r="V8" i="8"/>
  <c r="U8" i="8"/>
  <c r="T8" i="8"/>
  <c r="Y7" i="8"/>
  <c r="X7" i="8"/>
  <c r="W7" i="8"/>
  <c r="V7" i="8"/>
  <c r="U7" i="8"/>
  <c r="T7" i="8"/>
  <c r="S7" i="8"/>
  <c r="Z8" i="8"/>
  <c r="Z7" i="8"/>
  <c r="Z136" i="8"/>
  <c r="N140" i="8"/>
  <c r="W140" i="8" s="1"/>
  <c r="J140" i="8"/>
  <c r="N131" i="8"/>
  <c r="Z131" i="8" s="1"/>
  <c r="J131" i="8"/>
  <c r="V131" i="8" s="1"/>
  <c r="N130" i="8"/>
  <c r="Z130" i="8" s="1"/>
  <c r="J130" i="8"/>
  <c r="V130" i="8" s="1"/>
  <c r="N122" i="8"/>
  <c r="Z122" i="8" s="1"/>
  <c r="J122" i="8"/>
  <c r="V122" i="8" s="1"/>
  <c r="N121" i="8"/>
  <c r="Z121" i="8" s="1"/>
  <c r="J121" i="8"/>
  <c r="V121" i="8" s="1"/>
  <c r="N120" i="8"/>
  <c r="Z120" i="8" s="1"/>
  <c r="J120" i="8"/>
  <c r="V120" i="8" s="1"/>
  <c r="N110" i="8"/>
  <c r="Z110" i="8" s="1"/>
  <c r="J110" i="8"/>
  <c r="V110" i="8" s="1"/>
  <c r="N109" i="8"/>
  <c r="Z109" i="8" s="1"/>
  <c r="J109" i="8"/>
  <c r="V109" i="8" s="1"/>
  <c r="N58" i="8"/>
  <c r="W58" i="8" s="1"/>
  <c r="J58" i="8"/>
  <c r="S58" i="8" s="1"/>
  <c r="N49" i="8"/>
  <c r="W49" i="8" s="1"/>
  <c r="J49" i="8"/>
  <c r="S49" i="8" s="1"/>
  <c r="N33" i="8"/>
  <c r="X33" i="8" s="1"/>
  <c r="J33" i="8"/>
  <c r="V33" i="8" s="1"/>
  <c r="N18" i="8"/>
  <c r="Z18" i="8" s="1"/>
  <c r="J18" i="8"/>
  <c r="V18" i="8" s="1"/>
  <c r="AE40" i="11"/>
  <c r="AG40" i="11" s="1"/>
  <c r="AD40" i="11"/>
  <c r="AC40" i="11"/>
  <c r="AB40" i="11"/>
  <c r="AA40" i="11"/>
  <c r="Z40" i="11"/>
  <c r="Y40" i="11"/>
  <c r="X40" i="11"/>
  <c r="W40" i="11"/>
  <c r="V40" i="11"/>
  <c r="AE23" i="11"/>
  <c r="AD23" i="11"/>
  <c r="AC23" i="11"/>
  <c r="AB23" i="11"/>
  <c r="AA23" i="11"/>
  <c r="Z23" i="11"/>
  <c r="Y23" i="11"/>
  <c r="X23" i="11"/>
  <c r="W23" i="11"/>
  <c r="V23" i="11"/>
  <c r="AE22" i="11"/>
  <c r="AD22" i="11"/>
  <c r="AC22" i="11"/>
  <c r="AB22" i="11"/>
  <c r="AA22" i="11"/>
  <c r="Z22" i="11"/>
  <c r="Y22" i="11"/>
  <c r="X22" i="11"/>
  <c r="W22" i="11"/>
  <c r="V22" i="11"/>
  <c r="AE21" i="11"/>
  <c r="AD21" i="11"/>
  <c r="AC21" i="11"/>
  <c r="AB21" i="11"/>
  <c r="AA21" i="11"/>
  <c r="Z21" i="11"/>
  <c r="Y21" i="11"/>
  <c r="X21" i="11"/>
  <c r="W21" i="11"/>
  <c r="V21" i="11"/>
  <c r="W54" i="11"/>
  <c r="AC54" i="11"/>
  <c r="W55" i="11"/>
  <c r="AA55" i="11"/>
  <c r="AB55" i="11"/>
  <c r="K56" i="11"/>
  <c r="O56" i="11"/>
  <c r="Z56" i="11" s="1"/>
  <c r="S56" i="11"/>
  <c r="AD56" i="11" s="1"/>
  <c r="X54" i="11"/>
  <c r="Y54" i="11"/>
  <c r="AC55" i="11"/>
  <c r="AD78" i="11"/>
  <c r="AC78" i="11"/>
  <c r="AB78" i="11"/>
  <c r="AA78" i="11"/>
  <c r="Z78" i="11"/>
  <c r="Y78" i="11"/>
  <c r="X78" i="11"/>
  <c r="W78" i="11"/>
  <c r="V78" i="11"/>
  <c r="AE78" i="11"/>
  <c r="AC75" i="11"/>
  <c r="AB75" i="11"/>
  <c r="AA75" i="11"/>
  <c r="Y75" i="11"/>
  <c r="X75" i="11"/>
  <c r="W75" i="11"/>
  <c r="AC74" i="11"/>
  <c r="AB74" i="11"/>
  <c r="AA74" i="11"/>
  <c r="Y74" i="11"/>
  <c r="X74" i="11"/>
  <c r="W74" i="11"/>
  <c r="AC73" i="11"/>
  <c r="AB73" i="11"/>
  <c r="AA73" i="11"/>
  <c r="Y73" i="11"/>
  <c r="X73" i="11"/>
  <c r="W73" i="11"/>
  <c r="AC72" i="11"/>
  <c r="AB72" i="11"/>
  <c r="AA72" i="11"/>
  <c r="Y72" i="11"/>
  <c r="X72" i="11"/>
  <c r="W72" i="11"/>
  <c r="AE75" i="11"/>
  <c r="AE74" i="11"/>
  <c r="AE73" i="11"/>
  <c r="AE72" i="11"/>
  <c r="AD70" i="11"/>
  <c r="AC70" i="11"/>
  <c r="AB70" i="11"/>
  <c r="AA70" i="11"/>
  <c r="Z70" i="11"/>
  <c r="Y70" i="11"/>
  <c r="X70" i="11"/>
  <c r="W70" i="11"/>
  <c r="V70" i="11"/>
  <c r="AD69" i="11"/>
  <c r="AC69" i="11"/>
  <c r="AB69" i="11"/>
  <c r="AA69" i="11"/>
  <c r="Z69" i="11"/>
  <c r="Y69" i="11"/>
  <c r="X69" i="11"/>
  <c r="W69" i="11"/>
  <c r="V69" i="11"/>
  <c r="AE70" i="11"/>
  <c r="AE69" i="11"/>
  <c r="AD66" i="11"/>
  <c r="AC66" i="11"/>
  <c r="AB66" i="11"/>
  <c r="AA66" i="11"/>
  <c r="Z66" i="11"/>
  <c r="Y66" i="11"/>
  <c r="X66" i="11"/>
  <c r="W66" i="11"/>
  <c r="V66" i="11"/>
  <c r="AD65" i="11"/>
  <c r="AC65" i="11"/>
  <c r="AB65" i="11"/>
  <c r="AA65" i="11"/>
  <c r="Z65" i="11"/>
  <c r="Y65" i="11"/>
  <c r="X65" i="11"/>
  <c r="W65" i="11"/>
  <c r="V65" i="11"/>
  <c r="AD64" i="11"/>
  <c r="AC64" i="11"/>
  <c r="AB64" i="11"/>
  <c r="AA64" i="11"/>
  <c r="Z64" i="11"/>
  <c r="Y64" i="11"/>
  <c r="X64" i="11"/>
  <c r="W64" i="11"/>
  <c r="V64" i="11"/>
  <c r="AD63" i="11"/>
  <c r="AC63" i="11"/>
  <c r="AB63" i="11"/>
  <c r="AA63" i="11"/>
  <c r="Z63" i="11"/>
  <c r="Y63" i="11"/>
  <c r="X63" i="11"/>
  <c r="W63" i="11"/>
  <c r="V63" i="11"/>
  <c r="AD62" i="11"/>
  <c r="AC62" i="11"/>
  <c r="AB62" i="11"/>
  <c r="AA62" i="11"/>
  <c r="Z62" i="11"/>
  <c r="Y62" i="11"/>
  <c r="X62" i="11"/>
  <c r="W62" i="11"/>
  <c r="V62" i="11"/>
  <c r="AD61" i="11"/>
  <c r="AC61" i="11"/>
  <c r="AB61" i="11"/>
  <c r="AA61" i="11"/>
  <c r="Z61" i="11"/>
  <c r="Y61" i="11"/>
  <c r="X61" i="11"/>
  <c r="W61" i="11"/>
  <c r="V61" i="11"/>
  <c r="AD60" i="11"/>
  <c r="AC60" i="11"/>
  <c r="AB60" i="11"/>
  <c r="AA60" i="11"/>
  <c r="Z60" i="11"/>
  <c r="Y60" i="11"/>
  <c r="X60" i="11"/>
  <c r="W60" i="11"/>
  <c r="V60" i="11"/>
  <c r="AE66" i="11"/>
  <c r="AE65" i="11"/>
  <c r="AE64" i="11"/>
  <c r="AE63" i="11"/>
  <c r="AE62" i="11"/>
  <c r="AE61" i="11"/>
  <c r="AE60" i="11"/>
  <c r="AC56" i="11"/>
  <c r="AB56" i="11"/>
  <c r="AA56" i="11"/>
  <c r="Y56" i="11"/>
  <c r="X56" i="11"/>
  <c r="W56" i="11"/>
  <c r="V56" i="11"/>
  <c r="Y55" i="11"/>
  <c r="X55" i="11"/>
  <c r="AB54" i="11"/>
  <c r="AA54" i="11"/>
  <c r="AE56" i="11"/>
  <c r="AE55" i="11"/>
  <c r="AE54" i="11"/>
  <c r="S25" i="10"/>
  <c r="AD25" i="10" s="1"/>
  <c r="S24" i="10"/>
  <c r="AE24" i="10" s="1"/>
  <c r="S23" i="10"/>
  <c r="AD23" i="10" s="1"/>
  <c r="S22" i="10"/>
  <c r="S21" i="10"/>
  <c r="AE21" i="10" s="1"/>
  <c r="S20" i="10"/>
  <c r="O25" i="10"/>
  <c r="AA25" i="10" s="1"/>
  <c r="O24" i="10"/>
  <c r="AA24" i="10" s="1"/>
  <c r="O23" i="10"/>
  <c r="AB23" i="10" s="1"/>
  <c r="O22" i="10"/>
  <c r="AA22" i="10" s="1"/>
  <c r="O21" i="10"/>
  <c r="AC21" i="10" s="1"/>
  <c r="O20" i="10"/>
  <c r="AA20" i="10" s="1"/>
  <c r="K25" i="10"/>
  <c r="X25" i="10" s="1"/>
  <c r="K24" i="10"/>
  <c r="Y24" i="10" s="1"/>
  <c r="K23" i="10"/>
  <c r="X23" i="10" s="1"/>
  <c r="K22" i="10"/>
  <c r="Y22" i="10" s="1"/>
  <c r="K21" i="10"/>
  <c r="W21" i="10" s="1"/>
  <c r="K20" i="10"/>
  <c r="Y20" i="10" s="1"/>
  <c r="AE25" i="10"/>
  <c r="W25" i="10"/>
  <c r="V25" i="10"/>
  <c r="W24" i="10"/>
  <c r="V24" i="10"/>
  <c r="Z23" i="10"/>
  <c r="AE22" i="10"/>
  <c r="AD22" i="10"/>
  <c r="AD21" i="10"/>
  <c r="Y21" i="10"/>
  <c r="AE20" i="10"/>
  <c r="AD20" i="10"/>
  <c r="AB20" i="10"/>
  <c r="Y10" i="10"/>
  <c r="W10" i="10"/>
  <c r="V10" i="10"/>
  <c r="Z9" i="10"/>
  <c r="X9" i="10"/>
  <c r="W9" i="10"/>
  <c r="Y136" i="8"/>
  <c r="W136" i="8"/>
  <c r="U136" i="8"/>
  <c r="N129" i="8"/>
  <c r="Z129" i="8" s="1"/>
  <c r="J129" i="8"/>
  <c r="V129" i="8" s="1"/>
  <c r="N128" i="8"/>
  <c r="Z128" i="8" s="1"/>
  <c r="J128" i="8"/>
  <c r="V128" i="8" s="1"/>
  <c r="N127" i="8"/>
  <c r="Z127" i="8" s="1"/>
  <c r="J127" i="8"/>
  <c r="V127" i="8" s="1"/>
  <c r="N119" i="8"/>
  <c r="Z119" i="8" s="1"/>
  <c r="J119" i="8"/>
  <c r="V119" i="8" s="1"/>
  <c r="N118" i="8"/>
  <c r="Z118" i="8" s="1"/>
  <c r="J118" i="8"/>
  <c r="V118" i="8" s="1"/>
  <c r="N117" i="8"/>
  <c r="Z117" i="8" s="1"/>
  <c r="J117" i="8"/>
  <c r="V117" i="8" s="1"/>
  <c r="N112" i="8"/>
  <c r="Z112" i="8" s="1"/>
  <c r="J112" i="8"/>
  <c r="V112" i="8" s="1"/>
  <c r="N111" i="8"/>
  <c r="Z111" i="8" s="1"/>
  <c r="J111" i="8"/>
  <c r="V111" i="8" s="1"/>
  <c r="N108" i="8"/>
  <c r="Z108" i="8" s="1"/>
  <c r="J108" i="8"/>
  <c r="V108" i="8" s="1"/>
  <c r="N104" i="8"/>
  <c r="Z104" i="8" s="1"/>
  <c r="J104" i="8"/>
  <c r="V104" i="8" s="1"/>
  <c r="N103" i="8"/>
  <c r="Z103" i="8" s="1"/>
  <c r="J103" i="8"/>
  <c r="V103" i="8" s="1"/>
  <c r="N102" i="8"/>
  <c r="Z102" i="8" s="1"/>
  <c r="J102" i="8"/>
  <c r="V102" i="8" s="1"/>
  <c r="N101" i="8"/>
  <c r="Z101" i="8" s="1"/>
  <c r="J101" i="8"/>
  <c r="V101" i="8" s="1"/>
  <c r="N100" i="8"/>
  <c r="Z100" i="8" s="1"/>
  <c r="J100" i="8"/>
  <c r="V100" i="8" s="1"/>
  <c r="N99" i="8"/>
  <c r="Z99" i="8" s="1"/>
  <c r="J99" i="8"/>
  <c r="V99" i="8" s="1"/>
  <c r="N98" i="8"/>
  <c r="Z98" i="8" s="1"/>
  <c r="J98" i="8"/>
  <c r="V98" i="8" s="1"/>
  <c r="N75" i="8"/>
  <c r="W75" i="8" s="1"/>
  <c r="J75" i="8"/>
  <c r="S75" i="8" s="1"/>
  <c r="N74" i="8"/>
  <c r="W74" i="8" s="1"/>
  <c r="J74" i="8"/>
  <c r="S74" i="8" s="1"/>
  <c r="N51" i="8"/>
  <c r="W51" i="8" s="1"/>
  <c r="J51" i="8"/>
  <c r="S51" i="8" s="1"/>
  <c r="N61" i="8"/>
  <c r="W61" i="8" s="1"/>
  <c r="J61" i="8"/>
  <c r="S61" i="8" s="1"/>
  <c r="N60" i="8"/>
  <c r="W60" i="8" s="1"/>
  <c r="J60" i="8"/>
  <c r="S60" i="8" s="1"/>
  <c r="N24" i="8"/>
  <c r="X24" i="8" s="1"/>
  <c r="J24" i="8"/>
  <c r="V24" i="8" s="1"/>
  <c r="N19" i="8"/>
  <c r="Z19" i="8" s="1"/>
  <c r="J19" i="8"/>
  <c r="V19" i="8" s="1"/>
  <c r="V48" i="11"/>
  <c r="N126" i="8"/>
  <c r="Z126" i="8" s="1"/>
  <c r="J126" i="8"/>
  <c r="V126" i="8" s="1"/>
  <c r="N116" i="8"/>
  <c r="Z116" i="8" s="1"/>
  <c r="J116" i="8"/>
  <c r="V116" i="8" s="1"/>
  <c r="N82" i="8"/>
  <c r="W82" i="8" s="1"/>
  <c r="J82" i="8"/>
  <c r="S82" i="8" s="1"/>
  <c r="N81" i="8"/>
  <c r="W81" i="8" s="1"/>
  <c r="J81" i="8"/>
  <c r="S81" i="8" s="1"/>
  <c r="N80" i="8"/>
  <c r="W80" i="8" s="1"/>
  <c r="J80" i="8"/>
  <c r="S80" i="8" s="1"/>
  <c r="N79" i="8"/>
  <c r="W79" i="8" s="1"/>
  <c r="J79" i="8"/>
  <c r="S79" i="8" s="1"/>
  <c r="N78" i="8"/>
  <c r="W78" i="8" s="1"/>
  <c r="J78" i="8"/>
  <c r="S78" i="8" s="1"/>
  <c r="N73" i="8"/>
  <c r="W73" i="8" s="1"/>
  <c r="J73" i="8"/>
  <c r="S73" i="8" s="1"/>
  <c r="N69" i="8"/>
  <c r="W69" i="8" s="1"/>
  <c r="J69" i="8"/>
  <c r="S69" i="8" s="1"/>
  <c r="N68" i="8"/>
  <c r="W68" i="8" s="1"/>
  <c r="J68" i="8"/>
  <c r="S68" i="8" s="1"/>
  <c r="N67" i="8"/>
  <c r="W67" i="8" s="1"/>
  <c r="J67" i="8"/>
  <c r="S67" i="8" s="1"/>
  <c r="N66" i="8"/>
  <c r="W66" i="8" s="1"/>
  <c r="J66" i="8"/>
  <c r="S66" i="8" s="1"/>
  <c r="N62" i="8"/>
  <c r="W62" i="8" s="1"/>
  <c r="J62" i="8"/>
  <c r="S62" i="8" s="1"/>
  <c r="N59" i="8"/>
  <c r="W59" i="8" s="1"/>
  <c r="J59" i="8"/>
  <c r="S59" i="8" s="1"/>
  <c r="N57" i="8"/>
  <c r="W57" i="8" s="1"/>
  <c r="J57" i="8"/>
  <c r="S57" i="8" s="1"/>
  <c r="T4" i="11"/>
  <c r="AE4" i="11" s="1"/>
  <c r="T3" i="11"/>
  <c r="AE3" i="11" s="1"/>
  <c r="B34" i="10"/>
  <c r="B33" i="10"/>
  <c r="B32" i="10"/>
  <c r="B31" i="10"/>
  <c r="B30" i="10"/>
  <c r="B29" i="10"/>
  <c r="S9" i="10"/>
  <c r="AD9" i="10" s="1"/>
  <c r="T11" i="10"/>
  <c r="T15" i="10" s="1"/>
  <c r="T4" i="10"/>
  <c r="AE4" i="10" s="1"/>
  <c r="T3" i="10"/>
  <c r="AE3" i="10" s="1"/>
  <c r="Q70" i="8"/>
  <c r="S74" i="11"/>
  <c r="AD74" i="11" s="1"/>
  <c r="S73" i="11"/>
  <c r="AD73" i="11" s="1"/>
  <c r="S72" i="11"/>
  <c r="AD72" i="11" s="1"/>
  <c r="S3" i="11"/>
  <c r="AD3" i="11" s="1"/>
  <c r="R4" i="11"/>
  <c r="AC4" i="11" s="1"/>
  <c r="R3" i="11"/>
  <c r="AC3" i="11" s="1"/>
  <c r="S10" i="10"/>
  <c r="AE10" i="10" s="1"/>
  <c r="S3" i="10"/>
  <c r="AD3" i="10" s="1"/>
  <c r="R11" i="10"/>
  <c r="R15" i="10" s="1"/>
  <c r="R4" i="10"/>
  <c r="AC4" i="10" s="1"/>
  <c r="R3" i="10"/>
  <c r="AC3" i="10" s="1"/>
  <c r="S54" i="11"/>
  <c r="AD54" i="11" s="1"/>
  <c r="S4" i="10"/>
  <c r="AD4" i="10" s="1"/>
  <c r="Q91" i="8"/>
  <c r="Q90" i="8"/>
  <c r="Q83" i="8"/>
  <c r="Q54" i="8"/>
  <c r="Q63" i="8" s="1"/>
  <c r="Q45" i="8"/>
  <c r="Q44" i="8"/>
  <c r="Q11" i="8"/>
  <c r="Q14" i="8" s="1"/>
  <c r="Q20" i="8" s="1"/>
  <c r="N8" i="8"/>
  <c r="O4" i="11" s="1"/>
  <c r="Z4" i="11" s="1"/>
  <c r="J8" i="8"/>
  <c r="K4" i="10" s="1"/>
  <c r="V4" i="10" s="1"/>
  <c r="J76" i="11"/>
  <c r="N139" i="8"/>
  <c r="W139" i="8" s="1"/>
  <c r="H76" i="11"/>
  <c r="X48" i="11"/>
  <c r="W48" i="11"/>
  <c r="W44" i="11"/>
  <c r="O74" i="11"/>
  <c r="Z74" i="11" s="1"/>
  <c r="O73" i="11"/>
  <c r="Z73" i="11" s="1"/>
  <c r="O72" i="11"/>
  <c r="Z72" i="11" s="1"/>
  <c r="K74" i="11"/>
  <c r="V74" i="11" s="1"/>
  <c r="K73" i="11"/>
  <c r="V73" i="11" s="1"/>
  <c r="K72" i="11"/>
  <c r="V72" i="11" s="1"/>
  <c r="AE20" i="11"/>
  <c r="AD20" i="11"/>
  <c r="AE16" i="11"/>
  <c r="AD16" i="11"/>
  <c r="M76" i="11"/>
  <c r="E76" i="11"/>
  <c r="D76" i="11"/>
  <c r="C76" i="11"/>
  <c r="F76" i="11"/>
  <c r="Q4" i="11"/>
  <c r="AB4" i="11" s="1"/>
  <c r="P4" i="11"/>
  <c r="AA4" i="11" s="1"/>
  <c r="N4" i="11"/>
  <c r="Y4" i="11" s="1"/>
  <c r="M4" i="11"/>
  <c r="X4" i="11" s="1"/>
  <c r="L4" i="11"/>
  <c r="W4" i="11" s="1"/>
  <c r="J4" i="11"/>
  <c r="I4" i="11"/>
  <c r="Q3" i="11"/>
  <c r="AB3" i="11" s="1"/>
  <c r="P3" i="11"/>
  <c r="AA3" i="11" s="1"/>
  <c r="O3" i="11"/>
  <c r="Z3" i="11" s="1"/>
  <c r="N3" i="11"/>
  <c r="Y3" i="11" s="1"/>
  <c r="M3" i="11"/>
  <c r="X3" i="11" s="1"/>
  <c r="L3" i="11"/>
  <c r="W3" i="11" s="1"/>
  <c r="K3" i="11"/>
  <c r="V3" i="11" s="1"/>
  <c r="J3" i="11"/>
  <c r="I3" i="11"/>
  <c r="H4" i="11"/>
  <c r="H3" i="11"/>
  <c r="E4" i="11"/>
  <c r="D4" i="11"/>
  <c r="C4" i="11"/>
  <c r="E3" i="11"/>
  <c r="D3" i="11"/>
  <c r="C3" i="11"/>
  <c r="F3" i="11"/>
  <c r="F4" i="11"/>
  <c r="B2" i="11"/>
  <c r="F11" i="10"/>
  <c r="F15" i="10" s="1"/>
  <c r="F4" i="10"/>
  <c r="F3" i="10"/>
  <c r="Q136" i="8"/>
  <c r="P136" i="8"/>
  <c r="N136" i="8"/>
  <c r="M136" i="8"/>
  <c r="L136" i="8"/>
  <c r="J136" i="8"/>
  <c r="I136" i="8"/>
  <c r="H136" i="8"/>
  <c r="N50" i="8"/>
  <c r="W50" i="8" s="1"/>
  <c r="J50" i="8"/>
  <c r="S50" i="8" s="1"/>
  <c r="Q4" i="10"/>
  <c r="AB4" i="10" s="1"/>
  <c r="P4" i="10"/>
  <c r="AA4" i="10" s="1"/>
  <c r="N4" i="10"/>
  <c r="Y4" i="10" s="1"/>
  <c r="M4" i="10"/>
  <c r="X4" i="10" s="1"/>
  <c r="L4" i="10"/>
  <c r="W4" i="10" s="1"/>
  <c r="J4" i="10"/>
  <c r="I4" i="10"/>
  <c r="Q3" i="10"/>
  <c r="AB3" i="10" s="1"/>
  <c r="P3" i="10"/>
  <c r="AA3" i="10" s="1"/>
  <c r="O3" i="10"/>
  <c r="Z3" i="10" s="1"/>
  <c r="N3" i="10"/>
  <c r="Y3" i="10" s="1"/>
  <c r="M3" i="10"/>
  <c r="X3" i="10" s="1"/>
  <c r="L3" i="10"/>
  <c r="W3" i="10" s="1"/>
  <c r="K3" i="10"/>
  <c r="V3" i="10" s="1"/>
  <c r="J3" i="10"/>
  <c r="I3" i="10"/>
  <c r="H4" i="10"/>
  <c r="H3" i="10"/>
  <c r="D4" i="10"/>
  <c r="C4" i="10"/>
  <c r="D3" i="10"/>
  <c r="C3" i="10"/>
  <c r="E4" i="10"/>
  <c r="E3" i="10"/>
  <c r="O9" i="10"/>
  <c r="AC9" i="10" s="1"/>
  <c r="K9" i="10"/>
  <c r="Y9" i="10" s="1"/>
  <c r="O10" i="10"/>
  <c r="AC10" i="10" s="1"/>
  <c r="K10" i="10"/>
  <c r="X10" i="10" s="1"/>
  <c r="S18" i="8" l="1"/>
  <c r="S19" i="8"/>
  <c r="S24" i="8"/>
  <c r="S33" i="8"/>
  <c r="S98" i="8"/>
  <c r="S99" i="8"/>
  <c r="S100" i="8"/>
  <c r="S101" i="8"/>
  <c r="S102" i="8"/>
  <c r="S103" i="8"/>
  <c r="S104" i="8"/>
  <c r="S108" i="8"/>
  <c r="S109" i="8"/>
  <c r="S110" i="8"/>
  <c r="S111" i="8"/>
  <c r="S112" i="8"/>
  <c r="S116" i="8"/>
  <c r="S117" i="8"/>
  <c r="S118" i="8"/>
  <c r="S119" i="8"/>
  <c r="S120" i="8"/>
  <c r="S121" i="8"/>
  <c r="S122" i="8"/>
  <c r="S126" i="8"/>
  <c r="S127" i="8"/>
  <c r="S128" i="8"/>
  <c r="S129" i="8"/>
  <c r="S130" i="8"/>
  <c r="S131" i="8"/>
  <c r="T18" i="8"/>
  <c r="T19" i="8"/>
  <c r="T24" i="8"/>
  <c r="T33" i="8"/>
  <c r="T98" i="8"/>
  <c r="T99" i="8"/>
  <c r="T100" i="8"/>
  <c r="T101" i="8"/>
  <c r="T102" i="8"/>
  <c r="T103" i="8"/>
  <c r="T104" i="8"/>
  <c r="T108" i="8"/>
  <c r="T109" i="8"/>
  <c r="T110" i="8"/>
  <c r="T111" i="8"/>
  <c r="T112" i="8"/>
  <c r="T116" i="8"/>
  <c r="T117" i="8"/>
  <c r="T118" i="8"/>
  <c r="T119" i="8"/>
  <c r="T120" i="8"/>
  <c r="T121" i="8"/>
  <c r="T122" i="8"/>
  <c r="T126" i="8"/>
  <c r="T127" i="8"/>
  <c r="T128" i="8"/>
  <c r="T129" i="8"/>
  <c r="T130" i="8"/>
  <c r="T131" i="8"/>
  <c r="W18" i="8"/>
  <c r="W19" i="8"/>
  <c r="W24" i="8"/>
  <c r="W33" i="8"/>
  <c r="W98" i="8"/>
  <c r="W99" i="8"/>
  <c r="W100" i="8"/>
  <c r="W101" i="8"/>
  <c r="W102" i="8"/>
  <c r="W103" i="8"/>
  <c r="W104" i="8"/>
  <c r="W108" i="8"/>
  <c r="W109" i="8"/>
  <c r="W110" i="8"/>
  <c r="W111" i="8"/>
  <c r="W112" i="8"/>
  <c r="W116" i="8"/>
  <c r="W117" i="8"/>
  <c r="W118" i="8"/>
  <c r="W119" i="8"/>
  <c r="W120" i="8"/>
  <c r="W121" i="8"/>
  <c r="W122" i="8"/>
  <c r="W126" i="8"/>
  <c r="W127" i="8"/>
  <c r="W128" i="8"/>
  <c r="W129" i="8"/>
  <c r="W130" i="8"/>
  <c r="W131" i="8"/>
  <c r="X18" i="8"/>
  <c r="X19" i="8"/>
  <c r="X98" i="8"/>
  <c r="X99" i="8"/>
  <c r="X100" i="8"/>
  <c r="X101" i="8"/>
  <c r="X102" i="8"/>
  <c r="X103" i="8"/>
  <c r="X104" i="8"/>
  <c r="X108" i="8"/>
  <c r="X109" i="8"/>
  <c r="X110" i="8"/>
  <c r="X111" i="8"/>
  <c r="X112" i="8"/>
  <c r="X116" i="8"/>
  <c r="X117" i="8"/>
  <c r="X118" i="8"/>
  <c r="X119" i="8"/>
  <c r="X120" i="8"/>
  <c r="X121" i="8"/>
  <c r="X122" i="8"/>
  <c r="X126" i="8"/>
  <c r="X127" i="8"/>
  <c r="X128" i="8"/>
  <c r="X129" i="8"/>
  <c r="X130" i="8"/>
  <c r="X131" i="8"/>
  <c r="Y18" i="8"/>
  <c r="Y19" i="8"/>
  <c r="Y98" i="8"/>
  <c r="Y99" i="8"/>
  <c r="Y100" i="8"/>
  <c r="Y101" i="8"/>
  <c r="Y102" i="8"/>
  <c r="Y103" i="8"/>
  <c r="Y104" i="8"/>
  <c r="Y108" i="8"/>
  <c r="Y109" i="8"/>
  <c r="Y110" i="8"/>
  <c r="Y111" i="8"/>
  <c r="Y112" i="8"/>
  <c r="Y116" i="8"/>
  <c r="Y117" i="8"/>
  <c r="Y118" i="8"/>
  <c r="Y119" i="8"/>
  <c r="Y120" i="8"/>
  <c r="Y121" i="8"/>
  <c r="Y122" i="8"/>
  <c r="Y126" i="8"/>
  <c r="Y127" i="8"/>
  <c r="Y128" i="8"/>
  <c r="Y129" i="8"/>
  <c r="Y130" i="8"/>
  <c r="Y131" i="8"/>
  <c r="S8" i="8"/>
  <c r="W8" i="8"/>
  <c r="V136" i="8"/>
  <c r="K136" i="8"/>
  <c r="AB120" i="8"/>
  <c r="AB121" i="8"/>
  <c r="AB109" i="8"/>
  <c r="AB110" i="8"/>
  <c r="AB58" i="8"/>
  <c r="AB49" i="8"/>
  <c r="AB101" i="8"/>
  <c r="AB129" i="8"/>
  <c r="AB18" i="8"/>
  <c r="AB112" i="8"/>
  <c r="AB117" i="8"/>
  <c r="O55" i="11"/>
  <c r="Z55" i="11" s="1"/>
  <c r="AB24" i="8"/>
  <c r="AB102" i="8"/>
  <c r="AB118" i="8"/>
  <c r="AB127" i="8"/>
  <c r="K55" i="11"/>
  <c r="V55" i="11" s="1"/>
  <c r="S55" i="11"/>
  <c r="AD55" i="11" s="1"/>
  <c r="AD57" i="11" s="1"/>
  <c r="AB100" i="8"/>
  <c r="AB104" i="8"/>
  <c r="AB111" i="8"/>
  <c r="AB128" i="8"/>
  <c r="AG21" i="11"/>
  <c r="AG22" i="11"/>
  <c r="AG23" i="11"/>
  <c r="AE48" i="11"/>
  <c r="AD38" i="11"/>
  <c r="X44" i="11"/>
  <c r="V44" i="11"/>
  <c r="Y48" i="11"/>
  <c r="AC22" i="10"/>
  <c r="AA9" i="10"/>
  <c r="Z10" i="10"/>
  <c r="AB9" i="10"/>
  <c r="AA10" i="10"/>
  <c r="AB10" i="10"/>
  <c r="W23" i="10"/>
  <c r="V9" i="10"/>
  <c r="AB21" i="10"/>
  <c r="Y23" i="10"/>
  <c r="Z25" i="10"/>
  <c r="AD10" i="10"/>
  <c r="Z22" i="10"/>
  <c r="V20" i="10"/>
  <c r="AB22" i="10"/>
  <c r="AC23" i="10"/>
  <c r="AE23" i="10"/>
  <c r="AB25" i="10"/>
  <c r="V22" i="10"/>
  <c r="AC25" i="10"/>
  <c r="W22" i="10"/>
  <c r="V23" i="10"/>
  <c r="X22" i="10"/>
  <c r="X21" i="10"/>
  <c r="Z21" i="10"/>
  <c r="AA21" i="10"/>
  <c r="Z24" i="10"/>
  <c r="AB24" i="10"/>
  <c r="AC24" i="10"/>
  <c r="AD24" i="10"/>
  <c r="AC20" i="10"/>
  <c r="AA23" i="10"/>
  <c r="Z20" i="10"/>
  <c r="Y25" i="10"/>
  <c r="W20" i="10"/>
  <c r="X20" i="10"/>
  <c r="V21" i="10"/>
  <c r="X24" i="10"/>
  <c r="AE9" i="10"/>
  <c r="D26" i="10"/>
  <c r="D30" i="10" s="1"/>
  <c r="W11" i="10"/>
  <c r="X11" i="10"/>
  <c r="D33" i="10"/>
  <c r="J26" i="10"/>
  <c r="J34" i="10" s="1"/>
  <c r="D31" i="10"/>
  <c r="N26" i="10"/>
  <c r="N30" i="10" s="1"/>
  <c r="Y11" i="10"/>
  <c r="AD11" i="10"/>
  <c r="T136" i="8"/>
  <c r="AD48" i="11"/>
  <c r="AC48" i="11"/>
  <c r="AD44" i="11"/>
  <c r="AB51" i="8"/>
  <c r="AB75" i="8"/>
  <c r="AB74" i="8"/>
  <c r="AB61" i="8"/>
  <c r="AB60" i="8"/>
  <c r="O4" i="10"/>
  <c r="Z4" i="10" s="1"/>
  <c r="X136" i="8"/>
  <c r="AE28" i="11"/>
  <c r="R76" i="11"/>
  <c r="R79" i="11" s="1"/>
  <c r="R88" i="11" s="1"/>
  <c r="AE37" i="11"/>
  <c r="K4" i="11"/>
  <c r="V4" i="11" s="1"/>
  <c r="Q132" i="8"/>
  <c r="Q76" i="8"/>
  <c r="AE38" i="11"/>
  <c r="AE39" i="11"/>
  <c r="AE76" i="11"/>
  <c r="AE79" i="11" s="1"/>
  <c r="T57" i="11"/>
  <c r="T76" i="11"/>
  <c r="T79" i="11" s="1"/>
  <c r="T88" i="11" s="1"/>
  <c r="M26" i="10"/>
  <c r="M32" i="10" s="1"/>
  <c r="AC11" i="10"/>
  <c r="E26" i="10"/>
  <c r="E32" i="10" s="1"/>
  <c r="I26" i="10"/>
  <c r="I31" i="10" s="1"/>
  <c r="D34" i="10"/>
  <c r="P26" i="10"/>
  <c r="P34" i="10" s="1"/>
  <c r="C26" i="10"/>
  <c r="C29" i="10" s="1"/>
  <c r="T12" i="11"/>
  <c r="T17" i="11" s="1"/>
  <c r="R26" i="10"/>
  <c r="R31" i="10" s="1"/>
  <c r="Q26" i="10"/>
  <c r="Q29" i="10" s="1"/>
  <c r="AD32" i="11"/>
  <c r="T26" i="10"/>
  <c r="T30" i="10" s="1"/>
  <c r="L26" i="10"/>
  <c r="H26" i="10"/>
  <c r="F26" i="10"/>
  <c r="T12" i="10"/>
  <c r="T14" i="10"/>
  <c r="AB57" i="11"/>
  <c r="S75" i="11"/>
  <c r="S4" i="11"/>
  <c r="AD4" i="11" s="1"/>
  <c r="R57" i="11"/>
  <c r="S11" i="10"/>
  <c r="S15" i="10" s="1"/>
  <c r="R12" i="10"/>
  <c r="R14" i="10"/>
  <c r="Q21" i="8"/>
  <c r="Q27" i="8"/>
  <c r="Q15" i="8"/>
  <c r="I76" i="11"/>
  <c r="J139" i="8"/>
  <c r="S139" i="8" s="1"/>
  <c r="H12" i="11"/>
  <c r="H17" i="11" s="1"/>
  <c r="H25" i="11" s="1"/>
  <c r="E12" i="11"/>
  <c r="E17" i="11" s="1"/>
  <c r="F12" i="11"/>
  <c r="F17" i="11" s="1"/>
  <c r="K75" i="11"/>
  <c r="V75" i="11" s="1"/>
  <c r="V76" i="11" s="1"/>
  <c r="O75" i="11"/>
  <c r="Z75" i="11" s="1"/>
  <c r="Z76" i="11" s="1"/>
  <c r="AB50" i="8"/>
  <c r="C12" i="11"/>
  <c r="I57" i="11"/>
  <c r="J57" i="11"/>
  <c r="D57" i="11"/>
  <c r="Y76" i="11"/>
  <c r="C57" i="11"/>
  <c r="H57" i="11"/>
  <c r="P76" i="11"/>
  <c r="Q76" i="11"/>
  <c r="M57" i="11"/>
  <c r="E57" i="11"/>
  <c r="L57" i="11"/>
  <c r="AC57" i="11"/>
  <c r="AC76" i="11"/>
  <c r="AE57" i="11"/>
  <c r="Y57" i="11"/>
  <c r="F79" i="11"/>
  <c r="F88" i="11" s="1"/>
  <c r="F57" i="11"/>
  <c r="Q57" i="11"/>
  <c r="N57" i="11"/>
  <c r="P57" i="11"/>
  <c r="O136" i="8"/>
  <c r="F12" i="10"/>
  <c r="F14" i="10"/>
  <c r="AB130" i="8" l="1"/>
  <c r="AB131" i="8"/>
  <c r="AB122" i="8"/>
  <c r="AB33" i="8"/>
  <c r="AB108" i="8"/>
  <c r="AB119" i="8"/>
  <c r="AB99" i="8"/>
  <c r="AB19" i="8"/>
  <c r="AB103" i="8"/>
  <c r="V11" i="11"/>
  <c r="AA48" i="11"/>
  <c r="AB8" i="11"/>
  <c r="AB48" i="11"/>
  <c r="Z48" i="11"/>
  <c r="AD39" i="11"/>
  <c r="AE7" i="11"/>
  <c r="AD37" i="11"/>
  <c r="X11" i="11"/>
  <c r="W45" i="11"/>
  <c r="AB76" i="11"/>
  <c r="AD75" i="11"/>
  <c r="AD76" i="11" s="1"/>
  <c r="AD79" i="11" s="1"/>
  <c r="AD88" i="11" s="1"/>
  <c r="X10" i="11"/>
  <c r="AE32" i="11"/>
  <c r="AD28" i="11"/>
  <c r="Y44" i="11"/>
  <c r="AE44" i="11"/>
  <c r="Z11" i="11"/>
  <c r="D12" i="11"/>
  <c r="D17" i="11" s="1"/>
  <c r="D18" i="11" s="1"/>
  <c r="Q12" i="11"/>
  <c r="Q17" i="11" s="1"/>
  <c r="Q25" i="11" s="1"/>
  <c r="J12" i="11"/>
  <c r="J17" i="11" s="1"/>
  <c r="J18" i="11" s="1"/>
  <c r="N31" i="10"/>
  <c r="D32" i="10"/>
  <c r="D29" i="10"/>
  <c r="I29" i="10"/>
  <c r="N34" i="10"/>
  <c r="I34" i="10"/>
  <c r="I33" i="10"/>
  <c r="P12" i="11"/>
  <c r="I30" i="10"/>
  <c r="I32" i="10"/>
  <c r="N12" i="11"/>
  <c r="J32" i="10"/>
  <c r="I12" i="11"/>
  <c r="I17" i="11" s="1"/>
  <c r="I25" i="11" s="1"/>
  <c r="M12" i="11"/>
  <c r="P31" i="10"/>
  <c r="P33" i="10"/>
  <c r="J30" i="10"/>
  <c r="J33" i="10"/>
  <c r="N29" i="10"/>
  <c r="L12" i="11"/>
  <c r="L17" i="11" s="1"/>
  <c r="N32" i="10"/>
  <c r="M29" i="10"/>
  <c r="N33" i="10"/>
  <c r="M31" i="10"/>
  <c r="Z11" i="10"/>
  <c r="AD9" i="11"/>
  <c r="P32" i="10"/>
  <c r="AD7" i="11"/>
  <c r="J29" i="10"/>
  <c r="AD11" i="11"/>
  <c r="Y11" i="11"/>
  <c r="E33" i="10"/>
  <c r="AC8" i="11"/>
  <c r="AC7" i="11"/>
  <c r="E30" i="10"/>
  <c r="R12" i="11"/>
  <c r="R17" i="11" s="1"/>
  <c r="R18" i="11" s="1"/>
  <c r="P30" i="10"/>
  <c r="W7" i="11"/>
  <c r="P29" i="10"/>
  <c r="AA9" i="11"/>
  <c r="AE6" i="11"/>
  <c r="AE10" i="11"/>
  <c r="J31" i="10"/>
  <c r="AB98" i="8"/>
  <c r="Q84" i="8"/>
  <c r="Q86" i="8" s="1"/>
  <c r="AA76" i="11"/>
  <c r="AD41" i="11"/>
  <c r="X76" i="11"/>
  <c r="Q123" i="8"/>
  <c r="N76" i="11"/>
  <c r="W76" i="11"/>
  <c r="S76" i="11"/>
  <c r="S79" i="11" s="1"/>
  <c r="S88" i="11" s="1"/>
  <c r="S57" i="11"/>
  <c r="F27" i="10"/>
  <c r="F34" i="10"/>
  <c r="F31" i="10"/>
  <c r="M30" i="10"/>
  <c r="E31" i="10"/>
  <c r="F30" i="10"/>
  <c r="V11" i="10"/>
  <c r="E29" i="10"/>
  <c r="AA11" i="10"/>
  <c r="C30" i="10"/>
  <c r="F33" i="10"/>
  <c r="M33" i="10"/>
  <c r="AB11" i="10"/>
  <c r="K26" i="10"/>
  <c r="K30" i="10" s="1"/>
  <c r="F29" i="10"/>
  <c r="E34" i="10"/>
  <c r="M34" i="10"/>
  <c r="F32" i="10"/>
  <c r="C32" i="10"/>
  <c r="C33" i="10"/>
  <c r="C31" i="10"/>
  <c r="C34" i="10"/>
  <c r="S26" i="10"/>
  <c r="S32" i="10" s="1"/>
  <c r="R27" i="10"/>
  <c r="R32" i="10"/>
  <c r="R29" i="10"/>
  <c r="R30" i="10"/>
  <c r="R34" i="10"/>
  <c r="R33" i="10"/>
  <c r="Q32" i="10"/>
  <c r="Q31" i="10"/>
  <c r="Q34" i="10"/>
  <c r="Q30" i="10"/>
  <c r="Q33" i="10"/>
  <c r="T25" i="11"/>
  <c r="T18" i="11"/>
  <c r="L29" i="10"/>
  <c r="L32" i="10"/>
  <c r="L33" i="10"/>
  <c r="L31" i="10"/>
  <c r="L34" i="10"/>
  <c r="L30" i="10"/>
  <c r="T29" i="10"/>
  <c r="T32" i="10"/>
  <c r="T27" i="10"/>
  <c r="T33" i="10"/>
  <c r="T31" i="10"/>
  <c r="T34" i="10"/>
  <c r="H32" i="10"/>
  <c r="H31" i="10"/>
  <c r="H30" i="10"/>
  <c r="H34" i="10"/>
  <c r="H33" i="10"/>
  <c r="H29" i="10"/>
  <c r="O26" i="10"/>
  <c r="S14" i="10"/>
  <c r="Y46" i="11"/>
  <c r="V45" i="11"/>
  <c r="S12" i="10"/>
  <c r="C17" i="11"/>
  <c r="C18" i="11" s="1"/>
  <c r="C13" i="11"/>
  <c r="Q31" i="8"/>
  <c r="Q34" i="8" s="1"/>
  <c r="Q28" i="8"/>
  <c r="L76" i="11"/>
  <c r="F13" i="11"/>
  <c r="K76" i="11"/>
  <c r="H18" i="11"/>
  <c r="O76" i="11"/>
  <c r="E18" i="11"/>
  <c r="E25" i="11"/>
  <c r="F18" i="11"/>
  <c r="F25" i="11"/>
  <c r="AE88" i="11"/>
  <c r="I18" i="11"/>
  <c r="H29" i="11"/>
  <c r="H26" i="11"/>
  <c r="Q35" i="8" l="1"/>
  <c r="Q38" i="8"/>
  <c r="Q41" i="8"/>
  <c r="E13" i="11"/>
  <c r="L13" i="11"/>
  <c r="AE45" i="11"/>
  <c r="AD45" i="11"/>
  <c r="AB9" i="11"/>
  <c r="Z8" i="11"/>
  <c r="AC6" i="11"/>
  <c r="AA6" i="11"/>
  <c r="AB6" i="11"/>
  <c r="AB11" i="11"/>
  <c r="AC11" i="11"/>
  <c r="AC46" i="11"/>
  <c r="AB46" i="11"/>
  <c r="Y9" i="11"/>
  <c r="V9" i="11"/>
  <c r="Y6" i="11"/>
  <c r="X6" i="11"/>
  <c r="V6" i="11"/>
  <c r="W6" i="11"/>
  <c r="AA46" i="11"/>
  <c r="AE11" i="11"/>
  <c r="AA7" i="11"/>
  <c r="Z46" i="11"/>
  <c r="AD10" i="11"/>
  <c r="W9" i="11"/>
  <c r="AE9" i="11"/>
  <c r="Z6" i="11"/>
  <c r="AB7" i="11"/>
  <c r="AE24" i="11"/>
  <c r="AD24" i="11"/>
  <c r="AC10" i="11"/>
  <c r="Z10" i="11"/>
  <c r="AB10" i="11"/>
  <c r="AA10" i="11"/>
  <c r="AC44" i="11"/>
  <c r="AB44" i="11"/>
  <c r="AE8" i="11"/>
  <c r="AD8" i="11"/>
  <c r="Y10" i="11"/>
  <c r="W10" i="11"/>
  <c r="V10" i="11"/>
  <c r="AA11" i="11"/>
  <c r="Y45" i="11"/>
  <c r="X45" i="11"/>
  <c r="AC9" i="11"/>
  <c r="Z9" i="11"/>
  <c r="AE46" i="11"/>
  <c r="AD46" i="11"/>
  <c r="AA8" i="11"/>
  <c r="Z44" i="11"/>
  <c r="AE41" i="11"/>
  <c r="AD6" i="11"/>
  <c r="Y7" i="11"/>
  <c r="X7" i="11"/>
  <c r="V7" i="11"/>
  <c r="X46" i="11"/>
  <c r="V46" i="11"/>
  <c r="W46" i="11"/>
  <c r="Y8" i="11"/>
  <c r="X8" i="11"/>
  <c r="V8" i="11"/>
  <c r="W8" i="11"/>
  <c r="W11" i="11"/>
  <c r="X9" i="11"/>
  <c r="AA44" i="11"/>
  <c r="Z7" i="11"/>
  <c r="D13" i="11"/>
  <c r="Q18" i="11"/>
  <c r="M13" i="11"/>
  <c r="P13" i="11"/>
  <c r="K33" i="10"/>
  <c r="I14" i="11"/>
  <c r="M14" i="11"/>
  <c r="J14" i="11"/>
  <c r="J25" i="11"/>
  <c r="J26" i="11" s="1"/>
  <c r="N13" i="11"/>
  <c r="K31" i="10"/>
  <c r="Q14" i="11"/>
  <c r="T13" i="11"/>
  <c r="P17" i="11"/>
  <c r="P25" i="11" s="1"/>
  <c r="P26" i="11" s="1"/>
  <c r="R14" i="11"/>
  <c r="Q13" i="11"/>
  <c r="N17" i="11"/>
  <c r="N18" i="11" s="1"/>
  <c r="M17" i="11"/>
  <c r="M18" i="11" s="1"/>
  <c r="O12" i="11"/>
  <c r="O14" i="11" s="1"/>
  <c r="Y26" i="10"/>
  <c r="Y27" i="10" s="1"/>
  <c r="N14" i="11"/>
  <c r="X26" i="10"/>
  <c r="X27" i="10" s="1"/>
  <c r="R13" i="11"/>
  <c r="V26" i="10"/>
  <c r="AB26" i="10"/>
  <c r="R25" i="11"/>
  <c r="R26" i="11" s="1"/>
  <c r="W26" i="10"/>
  <c r="W27" i="10" s="1"/>
  <c r="AA26" i="10"/>
  <c r="AA27" i="10" s="1"/>
  <c r="K34" i="10"/>
  <c r="AG6" i="11"/>
  <c r="K12" i="11"/>
  <c r="L14" i="11" s="1"/>
  <c r="S12" i="11"/>
  <c r="T14" i="11" s="1"/>
  <c r="K29" i="10"/>
  <c r="K32" i="10"/>
  <c r="AB126" i="8"/>
  <c r="S31" i="10"/>
  <c r="S27" i="10"/>
  <c r="S33" i="10"/>
  <c r="S30" i="10"/>
  <c r="S29" i="10"/>
  <c r="S34" i="10"/>
  <c r="T26" i="11"/>
  <c r="T29" i="11"/>
  <c r="O31" i="10"/>
  <c r="O29" i="10"/>
  <c r="O32" i="10"/>
  <c r="O30" i="10"/>
  <c r="O33" i="10"/>
  <c r="O34" i="10"/>
  <c r="Z26" i="10"/>
  <c r="Z27" i="10" s="1"/>
  <c r="AE26" i="10"/>
  <c r="AD26" i="10"/>
  <c r="AD27" i="10" s="1"/>
  <c r="AC26" i="10"/>
  <c r="AC27" i="10" s="1"/>
  <c r="AC45" i="11"/>
  <c r="C25" i="11"/>
  <c r="C29" i="11" s="1"/>
  <c r="C30" i="11" s="1"/>
  <c r="Q94" i="8"/>
  <c r="Q113" i="8" s="1"/>
  <c r="Q141" i="8" s="1"/>
  <c r="Z141" i="8" s="1"/>
  <c r="D25" i="11"/>
  <c r="D29" i="11" s="1"/>
  <c r="E29" i="11"/>
  <c r="E26" i="11"/>
  <c r="H34" i="11"/>
  <c r="H30" i="11"/>
  <c r="F29" i="11"/>
  <c r="F26" i="11"/>
  <c r="Q29" i="11"/>
  <c r="Q26" i="11"/>
  <c r="L25" i="11"/>
  <c r="L18" i="11"/>
  <c r="I29" i="11"/>
  <c r="I26" i="11"/>
  <c r="J29" i="11" l="1"/>
  <c r="AD33" i="11"/>
  <c r="AE33" i="11"/>
  <c r="AA45" i="11"/>
  <c r="Z45" i="11"/>
  <c r="M25" i="11"/>
  <c r="M29" i="11" s="1"/>
  <c r="AE47" i="11"/>
  <c r="AD47" i="11"/>
  <c r="AB45" i="11"/>
  <c r="P29" i="11"/>
  <c r="P30" i="11" s="1"/>
  <c r="AD12" i="11"/>
  <c r="P18" i="11"/>
  <c r="P14" i="11"/>
  <c r="W29" i="10"/>
  <c r="W32" i="10"/>
  <c r="W33" i="10"/>
  <c r="N25" i="11"/>
  <c r="N26" i="11" s="1"/>
  <c r="AA32" i="10"/>
  <c r="Y31" i="10"/>
  <c r="Y32" i="10"/>
  <c r="Y33" i="10"/>
  <c r="Y34" i="10"/>
  <c r="Y29" i="10"/>
  <c r="W34" i="10"/>
  <c r="Y30" i="10"/>
  <c r="W30" i="10"/>
  <c r="AA33" i="10"/>
  <c r="AA30" i="10"/>
  <c r="AA34" i="10"/>
  <c r="S14" i="11"/>
  <c r="W31" i="10"/>
  <c r="AA29" i="10"/>
  <c r="X30" i="10"/>
  <c r="X31" i="10"/>
  <c r="AA31" i="10"/>
  <c r="V33" i="10"/>
  <c r="V27" i="10"/>
  <c r="AB30" i="10"/>
  <c r="AB27" i="10"/>
  <c r="V29" i="10"/>
  <c r="AB32" i="10"/>
  <c r="AB29" i="10"/>
  <c r="AB33" i="10"/>
  <c r="AB34" i="10"/>
  <c r="AB12" i="11"/>
  <c r="AB31" i="10"/>
  <c r="S13" i="11"/>
  <c r="X12" i="11"/>
  <c r="X33" i="10"/>
  <c r="X34" i="10"/>
  <c r="X32" i="10"/>
  <c r="X29" i="10"/>
  <c r="S17" i="11"/>
  <c r="S18" i="11" s="1"/>
  <c r="AA12" i="11"/>
  <c r="V32" i="10"/>
  <c r="R29" i="11"/>
  <c r="R30" i="11" s="1"/>
  <c r="V31" i="10"/>
  <c r="V30" i="10"/>
  <c r="V34" i="10"/>
  <c r="Z12" i="11"/>
  <c r="V12" i="11"/>
  <c r="AC12" i="11"/>
  <c r="AG11" i="11"/>
  <c r="Y12" i="11"/>
  <c r="K14" i="11"/>
  <c r="AG7" i="11"/>
  <c r="AE12" i="11"/>
  <c r="AE17" i="11" s="1"/>
  <c r="AE18" i="11" s="1"/>
  <c r="W12" i="11"/>
  <c r="O13" i="11"/>
  <c r="AG8" i="11"/>
  <c r="AG9" i="11"/>
  <c r="AG10" i="11"/>
  <c r="AC29" i="10"/>
  <c r="AE29" i="10"/>
  <c r="T34" i="11"/>
  <c r="T30" i="11"/>
  <c r="AC30" i="10"/>
  <c r="AC32" i="10"/>
  <c r="AC31" i="10"/>
  <c r="AC33" i="10"/>
  <c r="AC34" i="10"/>
  <c r="AD33" i="10"/>
  <c r="AD32" i="10"/>
  <c r="AD31" i="10"/>
  <c r="AD34" i="10"/>
  <c r="AD30" i="10"/>
  <c r="AE34" i="10"/>
  <c r="AE32" i="10"/>
  <c r="AE33" i="10"/>
  <c r="AE31" i="10"/>
  <c r="AE30" i="10"/>
  <c r="AD29" i="10"/>
  <c r="Z29" i="10"/>
  <c r="Z34" i="10"/>
  <c r="Z30" i="10"/>
  <c r="Z32" i="10"/>
  <c r="Z31" i="10"/>
  <c r="Z33" i="10"/>
  <c r="C26" i="11"/>
  <c r="C34" i="11"/>
  <c r="C83" i="11" s="1"/>
  <c r="D26" i="11"/>
  <c r="H35" i="11"/>
  <c r="H42" i="11"/>
  <c r="J34" i="11"/>
  <c r="J30" i="11"/>
  <c r="D30" i="11"/>
  <c r="D34" i="11"/>
  <c r="Q30" i="11"/>
  <c r="Q34" i="11"/>
  <c r="I34" i="11"/>
  <c r="I30" i="11"/>
  <c r="E30" i="11"/>
  <c r="E34" i="11"/>
  <c r="L29" i="11"/>
  <c r="L26" i="11"/>
  <c r="F30" i="11"/>
  <c r="F34" i="11"/>
  <c r="P34" i="11" l="1"/>
  <c r="P35" i="11" s="1"/>
  <c r="M26" i="11"/>
  <c r="H49" i="11"/>
  <c r="H50" i="11" s="1"/>
  <c r="AD13" i="11"/>
  <c r="N29" i="11"/>
  <c r="N30" i="11" s="1"/>
  <c r="AB13" i="11"/>
  <c r="Z13" i="11"/>
  <c r="AA13" i="11"/>
  <c r="R34" i="11"/>
  <c r="R35" i="11" s="1"/>
  <c r="S25" i="11"/>
  <c r="S29" i="11" s="1"/>
  <c r="S30" i="11" s="1"/>
  <c r="AE25" i="11"/>
  <c r="AE29" i="11" s="1"/>
  <c r="AE34" i="11" s="1"/>
  <c r="AE13" i="11"/>
  <c r="AG12" i="11"/>
  <c r="AC13" i="11"/>
  <c r="T35" i="11"/>
  <c r="T42" i="11"/>
  <c r="T49" i="11" s="1"/>
  <c r="C87" i="11" a="1"/>
  <c r="C87" i="11" s="1"/>
  <c r="C84" i="11"/>
  <c r="C86" i="11" a="1"/>
  <c r="C86" i="11" s="1"/>
  <c r="C35" i="11"/>
  <c r="C42" i="11"/>
  <c r="C85" i="11"/>
  <c r="F87" i="11" a="1"/>
  <c r="F87" i="11" s="1"/>
  <c r="F86" i="11" a="1"/>
  <c r="F86" i="11" s="1"/>
  <c r="F42" i="11"/>
  <c r="F49" i="11" s="1"/>
  <c r="F35" i="11"/>
  <c r="F85" i="11"/>
  <c r="F83" i="11"/>
  <c r="F84" i="11"/>
  <c r="Q42" i="11"/>
  <c r="Q49" i="11" s="1"/>
  <c r="Q35" i="11"/>
  <c r="D87" i="11" a="1"/>
  <c r="D87" i="11" s="1"/>
  <c r="D42" i="11"/>
  <c r="D49" i="11" s="1"/>
  <c r="D83" i="11"/>
  <c r="D86" i="11" a="1"/>
  <c r="D86" i="11" s="1"/>
  <c r="D35" i="11"/>
  <c r="D85" i="11"/>
  <c r="D84" i="11"/>
  <c r="L30" i="11"/>
  <c r="L34" i="11"/>
  <c r="E42" i="11"/>
  <c r="E49" i="11" s="1"/>
  <c r="E35" i="11"/>
  <c r="E87" i="11" a="1"/>
  <c r="E87" i="11" s="1"/>
  <c r="E85" i="11"/>
  <c r="E86" i="11" a="1"/>
  <c r="E86" i="11" s="1"/>
  <c r="E84" i="11"/>
  <c r="E83" i="11"/>
  <c r="M30" i="11"/>
  <c r="M34" i="11"/>
  <c r="P42" i="11"/>
  <c r="I35" i="11"/>
  <c r="I42" i="11"/>
  <c r="I49" i="11" s="1"/>
  <c r="J42" i="11"/>
  <c r="J49" i="11" s="1"/>
  <c r="J35" i="11"/>
  <c r="N34" i="11" l="1"/>
  <c r="N35" i="11" s="1"/>
  <c r="C50" i="11"/>
  <c r="R42" i="11"/>
  <c r="R49" i="11" s="1"/>
  <c r="AG13" i="11"/>
  <c r="AE30" i="11"/>
  <c r="S26" i="11"/>
  <c r="S34" i="11"/>
  <c r="S85" i="11" s="1" a="1"/>
  <c r="S85" i="11" s="1"/>
  <c r="AE26" i="11"/>
  <c r="T50" i="11"/>
  <c r="L42" i="11"/>
  <c r="L35" i="11"/>
  <c r="I50" i="11"/>
  <c r="F50" i="11"/>
  <c r="J50" i="11"/>
  <c r="M42" i="11"/>
  <c r="M49" i="11" s="1"/>
  <c r="M35" i="11"/>
  <c r="AE87" i="11" a="1"/>
  <c r="AE87" i="11" s="1"/>
  <c r="AE42" i="11"/>
  <c r="AE86" i="11" a="1"/>
  <c r="AE86" i="11" s="1"/>
  <c r="AE85" i="11"/>
  <c r="AE35" i="11"/>
  <c r="AE83" i="11"/>
  <c r="AE84" i="11"/>
  <c r="Q50" i="11"/>
  <c r="N42" i="11"/>
  <c r="N49" i="11" s="1"/>
  <c r="E50" i="11"/>
  <c r="D50" i="11"/>
  <c r="S35" i="11" l="1"/>
  <c r="T84" i="11"/>
  <c r="S86" i="11" a="1"/>
  <c r="S86" i="11" s="1"/>
  <c r="S87" i="11" a="1"/>
  <c r="S87" i="11" s="1"/>
  <c r="S83" i="11"/>
  <c r="S84" i="11"/>
  <c r="T86" i="11" a="1"/>
  <c r="T86" i="11" s="1"/>
  <c r="T83" i="11"/>
  <c r="T85" i="11" a="1"/>
  <c r="T85" i="11" s="1"/>
  <c r="S42" i="11"/>
  <c r="T87" i="11" a="1"/>
  <c r="T87" i="11" s="1"/>
  <c r="R50" i="11"/>
  <c r="M50" i="11"/>
  <c r="S49" i="11" l="1"/>
  <c r="AE49" i="11" s="1"/>
  <c r="N50" i="11"/>
  <c r="S50" i="11" l="1"/>
  <c r="B2" i="10"/>
  <c r="B15" i="10"/>
  <c r="B14" i="10"/>
  <c r="J11" i="10"/>
  <c r="J27" i="10" s="1"/>
  <c r="D11" i="10"/>
  <c r="D27" i="10" s="1"/>
  <c r="P11" i="10"/>
  <c r="P27" i="10" s="1"/>
  <c r="E11" i="10"/>
  <c r="E27" i="10" s="1"/>
  <c r="Q11" i="10"/>
  <c r="Q27" i="10" s="1"/>
  <c r="O11" i="10"/>
  <c r="O27" i="10" s="1"/>
  <c r="N11" i="10"/>
  <c r="N27" i="10" s="1"/>
  <c r="M11" i="10"/>
  <c r="M27" i="10" s="1"/>
  <c r="I11" i="10"/>
  <c r="I27" i="10" s="1"/>
  <c r="C11" i="10"/>
  <c r="C27" i="10" s="1"/>
  <c r="N148" i="8"/>
  <c r="J148" i="8"/>
  <c r="E136" i="8"/>
  <c r="D136" i="8"/>
  <c r="G136" i="8" s="1"/>
  <c r="U148" i="8" l="1"/>
  <c r="V148" i="8"/>
  <c r="T148" i="8"/>
  <c r="S148" i="8"/>
  <c r="Z148" i="8"/>
  <c r="Y148" i="8"/>
  <c r="X148" i="8"/>
  <c r="W148" i="8"/>
  <c r="AB57" i="8"/>
  <c r="AB62" i="8"/>
  <c r="AB66" i="8"/>
  <c r="AB59" i="8"/>
  <c r="AB67" i="8"/>
  <c r="C14" i="10"/>
  <c r="C15" i="10"/>
  <c r="I14" i="10"/>
  <c r="V14" i="10" s="1"/>
  <c r="I15" i="10"/>
  <c r="V15" i="10" s="1"/>
  <c r="E15" i="10"/>
  <c r="E14" i="10"/>
  <c r="M15" i="10"/>
  <c r="Z15" i="10" s="1"/>
  <c r="M14" i="10"/>
  <c r="Z14" i="10" s="1"/>
  <c r="N15" i="10"/>
  <c r="AA15" i="10" s="1"/>
  <c r="N14" i="10"/>
  <c r="AA14" i="10" s="1"/>
  <c r="P14" i="10"/>
  <c r="AC14" i="10" s="1"/>
  <c r="P15" i="10"/>
  <c r="AC15" i="10" s="1"/>
  <c r="D14" i="10"/>
  <c r="D15" i="10"/>
  <c r="O14" i="10"/>
  <c r="AB14" i="10" s="1"/>
  <c r="O15" i="10"/>
  <c r="AB15" i="10" s="1"/>
  <c r="J15" i="10"/>
  <c r="W15" i="10" s="1"/>
  <c r="J14" i="10"/>
  <c r="W14" i="10" s="1"/>
  <c r="Q14" i="10"/>
  <c r="AD14" i="10" s="1"/>
  <c r="Q15" i="10"/>
  <c r="AD15" i="10" s="1"/>
  <c r="AE15" i="10"/>
  <c r="AE14" i="10"/>
  <c r="K11" i="10"/>
  <c r="K27" i="10" s="1"/>
  <c r="AE11" i="10"/>
  <c r="AE27" i="10" s="1"/>
  <c r="H11" i="10"/>
  <c r="H27" i="10" s="1"/>
  <c r="L11" i="10"/>
  <c r="L27" i="10" s="1"/>
  <c r="AC47" i="11" l="1"/>
  <c r="AB47" i="11"/>
  <c r="AA47" i="11"/>
  <c r="Z47" i="11"/>
  <c r="X47" i="11"/>
  <c r="Y47" i="11"/>
  <c r="W47" i="11"/>
  <c r="V47" i="11"/>
  <c r="H15" i="10"/>
  <c r="H14" i="10"/>
  <c r="L15" i="10"/>
  <c r="Y15" i="10" s="1"/>
  <c r="L14" i="10"/>
  <c r="Y14" i="10" s="1"/>
  <c r="K15" i="10"/>
  <c r="X15" i="10" s="1"/>
  <c r="K14" i="10"/>
  <c r="X14" i="10" s="1"/>
  <c r="N30" i="8" l="1"/>
  <c r="J30" i="8"/>
  <c r="N26" i="8"/>
  <c r="J26" i="8"/>
  <c r="N25" i="8"/>
  <c r="J25" i="8"/>
  <c r="N147" i="8"/>
  <c r="J147" i="8"/>
  <c r="N53" i="8"/>
  <c r="W53" i="8" s="1"/>
  <c r="J53" i="8"/>
  <c r="S53" i="8" s="1"/>
  <c r="N52" i="8"/>
  <c r="W52" i="8" s="1"/>
  <c r="J52" i="8"/>
  <c r="S52" i="8" s="1"/>
  <c r="AB48" i="8"/>
  <c r="E132" i="8"/>
  <c r="O132" i="8"/>
  <c r="C132" i="8"/>
  <c r="N48" i="8"/>
  <c r="W48" i="8" s="1"/>
  <c r="J48" i="8"/>
  <c r="S48" i="8" s="1"/>
  <c r="N23" i="8"/>
  <c r="J23" i="8"/>
  <c r="Z30" i="8" l="1"/>
  <c r="Y30" i="8"/>
  <c r="X30" i="8"/>
  <c r="W30" i="8"/>
  <c r="Z147" i="8"/>
  <c r="Y147" i="8"/>
  <c r="X147" i="8"/>
  <c r="W147" i="8"/>
  <c r="Z25" i="8"/>
  <c r="AB25" i="8" s="1"/>
  <c r="Y25" i="8"/>
  <c r="X25" i="8"/>
  <c r="W25" i="8"/>
  <c r="U23" i="8"/>
  <c r="V23" i="8"/>
  <c r="T23" i="8"/>
  <c r="S23" i="8"/>
  <c r="U26" i="8"/>
  <c r="V26" i="8"/>
  <c r="T26" i="8"/>
  <c r="S26" i="8"/>
  <c r="U147" i="8"/>
  <c r="V147" i="8"/>
  <c r="T147" i="8"/>
  <c r="S147" i="8"/>
  <c r="V25" i="8"/>
  <c r="T25" i="8"/>
  <c r="U25" i="8"/>
  <c r="S25" i="8"/>
  <c r="Z23" i="8"/>
  <c r="Y23" i="8"/>
  <c r="X23" i="8"/>
  <c r="W23" i="8"/>
  <c r="Z26" i="8"/>
  <c r="AB26" i="8" s="1"/>
  <c r="Y26" i="8"/>
  <c r="X26" i="8"/>
  <c r="W26" i="8"/>
  <c r="U30" i="8"/>
  <c r="V30" i="8"/>
  <c r="T30" i="8"/>
  <c r="S30" i="8"/>
  <c r="K54" i="11"/>
  <c r="O54" i="11"/>
  <c r="U132" i="8"/>
  <c r="T132" i="8"/>
  <c r="S132" i="8"/>
  <c r="X57" i="11"/>
  <c r="AB52" i="8"/>
  <c r="AB80" i="8"/>
  <c r="AB53" i="8"/>
  <c r="AB68" i="8"/>
  <c r="AB82" i="8"/>
  <c r="AB79" i="8"/>
  <c r="AB73" i="8"/>
  <c r="AB81" i="8"/>
  <c r="AB78" i="8"/>
  <c r="P132" i="8"/>
  <c r="I132" i="8"/>
  <c r="D132" i="8"/>
  <c r="G132" i="8"/>
  <c r="H132" i="8"/>
  <c r="K132" i="8"/>
  <c r="L132" i="8"/>
  <c r="M132" i="8"/>
  <c r="J97" i="8"/>
  <c r="V97" i="8" l="1"/>
  <c r="U97" i="8"/>
  <c r="T97" i="8"/>
  <c r="S97" i="8"/>
  <c r="Z54" i="11"/>
  <c r="Z57" i="11" s="1"/>
  <c r="P49" i="11"/>
  <c r="AD49" i="11" s="1"/>
  <c r="V54" i="11"/>
  <c r="V57" i="11" s="1"/>
  <c r="L49" i="11"/>
  <c r="Z39" i="11"/>
  <c r="AC39" i="11"/>
  <c r="AA39" i="11"/>
  <c r="AG39" i="11" s="1"/>
  <c r="AB39" i="11"/>
  <c r="AC37" i="11"/>
  <c r="AA37" i="11"/>
  <c r="AG37" i="11" s="1"/>
  <c r="Z37" i="11"/>
  <c r="AB37" i="11"/>
  <c r="Y39" i="11"/>
  <c r="W39" i="11"/>
  <c r="V39" i="11"/>
  <c r="X39" i="11"/>
  <c r="AB38" i="11"/>
  <c r="AC38" i="11"/>
  <c r="Z38" i="11"/>
  <c r="AA38" i="11"/>
  <c r="AG38" i="11" s="1"/>
  <c r="Y37" i="11"/>
  <c r="V37" i="11"/>
  <c r="X37" i="11"/>
  <c r="W37" i="11"/>
  <c r="Y38" i="11"/>
  <c r="W38" i="11"/>
  <c r="V38" i="11"/>
  <c r="X38" i="11"/>
  <c r="AB30" i="8"/>
  <c r="O57" i="11"/>
  <c r="W57" i="11"/>
  <c r="K57" i="11"/>
  <c r="AB23" i="8"/>
  <c r="J107" i="8"/>
  <c r="N132" i="8"/>
  <c r="J132" i="8"/>
  <c r="V107" i="8" l="1"/>
  <c r="U107" i="8"/>
  <c r="T107" i="8"/>
  <c r="S107" i="8"/>
  <c r="Y28" i="11"/>
  <c r="X28" i="11"/>
  <c r="V28" i="11"/>
  <c r="W28" i="11"/>
  <c r="Y32" i="11"/>
  <c r="V32" i="11"/>
  <c r="X32" i="11"/>
  <c r="W32" i="11"/>
  <c r="AC32" i="11"/>
  <c r="AB32" i="11"/>
  <c r="Z32" i="11"/>
  <c r="AA32" i="11"/>
  <c r="AG32" i="11" s="1"/>
  <c r="AE50" i="11"/>
  <c r="P50" i="11"/>
  <c r="L50" i="11"/>
  <c r="AA57" i="11"/>
  <c r="V132" i="8"/>
  <c r="X132" i="8"/>
  <c r="Z132" i="8"/>
  <c r="Y132" i="8"/>
  <c r="W132" i="8"/>
  <c r="Y41" i="11" l="1"/>
  <c r="W41" i="11"/>
  <c r="X41" i="11"/>
  <c r="V41" i="11"/>
  <c r="P83" i="8"/>
  <c r="O83" i="8"/>
  <c r="M83" i="8"/>
  <c r="L83" i="8"/>
  <c r="V79" i="11" s="1"/>
  <c r="V88" i="11" s="1"/>
  <c r="K83" i="8"/>
  <c r="I83" i="8"/>
  <c r="J79" i="11" s="1"/>
  <c r="H83" i="8"/>
  <c r="I79" i="11" s="1"/>
  <c r="G83" i="8"/>
  <c r="H79" i="11" s="1"/>
  <c r="E83" i="8"/>
  <c r="E79" i="11" s="1"/>
  <c r="E88" i="11" s="1"/>
  <c r="D83" i="8"/>
  <c r="D79" i="11" s="1"/>
  <c r="D88" i="11" s="1"/>
  <c r="C83" i="8"/>
  <c r="C79" i="11" s="1"/>
  <c r="C88" i="11" s="1"/>
  <c r="N40" i="8"/>
  <c r="W40" i="8" s="1"/>
  <c r="N37" i="8"/>
  <c r="W37" i="8" s="1"/>
  <c r="N17" i="8"/>
  <c r="N13" i="8"/>
  <c r="N10" i="8"/>
  <c r="J13" i="8"/>
  <c r="J10" i="8"/>
  <c r="J17" i="8"/>
  <c r="U17" i="8" l="1"/>
  <c r="V17" i="8"/>
  <c r="T17" i="8"/>
  <c r="S17" i="8"/>
  <c r="T10" i="8"/>
  <c r="V10" i="8"/>
  <c r="U10" i="8"/>
  <c r="S10" i="8"/>
  <c r="V13" i="8"/>
  <c r="U13" i="8"/>
  <c r="T13" i="8"/>
  <c r="S13" i="8"/>
  <c r="Y10" i="8"/>
  <c r="X10" i="8"/>
  <c r="W10" i="8"/>
  <c r="Z10" i="8"/>
  <c r="Z13" i="8"/>
  <c r="Y13" i="8"/>
  <c r="X13" i="8"/>
  <c r="W13" i="8"/>
  <c r="Z17" i="8"/>
  <c r="Y17" i="8"/>
  <c r="X17" i="8"/>
  <c r="W17" i="8"/>
  <c r="AD17" i="11"/>
  <c r="AD25" i="11" s="1"/>
  <c r="Y79" i="11"/>
  <c r="Y88" i="11" s="1"/>
  <c r="M79" i="11"/>
  <c r="M88" i="11" s="1"/>
  <c r="N79" i="11"/>
  <c r="N88" i="11" s="1"/>
  <c r="Z79" i="11"/>
  <c r="Z88" i="11" s="1"/>
  <c r="AC79" i="11"/>
  <c r="AC88" i="11" s="1"/>
  <c r="Q79" i="11"/>
  <c r="Q88" i="11" s="1"/>
  <c r="AB79" i="11"/>
  <c r="AB88" i="11" s="1"/>
  <c r="P79" i="11"/>
  <c r="P88" i="11" s="1"/>
  <c r="L79" i="11"/>
  <c r="L88" i="11" s="1"/>
  <c r="AB37" i="8"/>
  <c r="AB40" i="8"/>
  <c r="S83" i="8"/>
  <c r="U83" i="8"/>
  <c r="V83" i="8"/>
  <c r="W83" i="8"/>
  <c r="Y83" i="8"/>
  <c r="J83" i="8"/>
  <c r="T83" i="8"/>
  <c r="X83" i="8"/>
  <c r="N83" i="8"/>
  <c r="X79" i="11" s="1"/>
  <c r="X88" i="11" s="1"/>
  <c r="Z83" i="8"/>
  <c r="Y16" i="11" l="1"/>
  <c r="X16" i="11"/>
  <c r="W16" i="11"/>
  <c r="W17" i="11" s="1"/>
  <c r="W18" i="11" s="1"/>
  <c r="V16" i="11"/>
  <c r="V17" i="11" s="1"/>
  <c r="X20" i="11"/>
  <c r="Y20" i="11"/>
  <c r="V20" i="11"/>
  <c r="W20" i="11"/>
  <c r="AC24" i="11"/>
  <c r="AA24" i="11"/>
  <c r="AG24" i="11" s="1"/>
  <c r="AB24" i="11"/>
  <c r="Z24" i="11"/>
  <c r="O17" i="11"/>
  <c r="O25" i="11" s="1"/>
  <c r="Z16" i="11"/>
  <c r="Z17" i="11" s="1"/>
  <c r="Z18" i="11" s="1"/>
  <c r="AC16" i="11"/>
  <c r="AC17" i="11" s="1"/>
  <c r="AC25" i="11" s="1"/>
  <c r="AA16" i="11"/>
  <c r="AA17" i="11" s="1"/>
  <c r="AB16" i="11"/>
  <c r="AB17" i="11" s="1"/>
  <c r="AC20" i="11"/>
  <c r="Z20" i="11"/>
  <c r="AB20" i="11"/>
  <c r="AA20" i="11"/>
  <c r="AG20" i="11" s="1"/>
  <c r="V24" i="11"/>
  <c r="Y24" i="11"/>
  <c r="W24" i="11"/>
  <c r="X24" i="11"/>
  <c r="X17" i="11"/>
  <c r="X18" i="11" s="1"/>
  <c r="Y17" i="11"/>
  <c r="Y18" i="11" s="1"/>
  <c r="K17" i="11"/>
  <c r="K25" i="11" s="1"/>
  <c r="AD18" i="11"/>
  <c r="W79" i="11"/>
  <c r="W88" i="11" s="1"/>
  <c r="K79" i="11"/>
  <c r="K88" i="11" s="1"/>
  <c r="AA79" i="11"/>
  <c r="AA88" i="11" s="1"/>
  <c r="O79" i="11"/>
  <c r="O88" i="11" s="1"/>
  <c r="AB18" i="11"/>
  <c r="N107" i="8"/>
  <c r="N97" i="8"/>
  <c r="Z107" i="8" l="1"/>
  <c r="Y107" i="8"/>
  <c r="X107" i="8"/>
  <c r="W107" i="8"/>
  <c r="Z97" i="8"/>
  <c r="AB97" i="8" s="1"/>
  <c r="Y97" i="8"/>
  <c r="X97" i="8"/>
  <c r="W97" i="8"/>
  <c r="AB107" i="8"/>
  <c r="O18" i="11"/>
  <c r="AC33" i="11"/>
  <c r="AB33" i="11"/>
  <c r="AA33" i="11"/>
  <c r="AG33" i="11" s="1"/>
  <c r="Z33" i="11"/>
  <c r="AB25" i="11"/>
  <c r="AB26" i="11" s="1"/>
  <c r="X33" i="11"/>
  <c r="Y33" i="11"/>
  <c r="V33" i="11"/>
  <c r="W33" i="11"/>
  <c r="AC18" i="11"/>
  <c r="X25" i="11"/>
  <c r="X26" i="11" s="1"/>
  <c r="AG16" i="11"/>
  <c r="Y25" i="11"/>
  <c r="Y26" i="11" s="1"/>
  <c r="K18" i="11"/>
  <c r="Z25" i="11"/>
  <c r="Z26" i="11" s="1"/>
  <c r="AA25" i="11"/>
  <c r="W25" i="11"/>
  <c r="W26" i="11" s="1"/>
  <c r="V25" i="11"/>
  <c r="V18" i="11"/>
  <c r="AD29" i="11"/>
  <c r="O26" i="11"/>
  <c r="K26" i="11"/>
  <c r="K29" i="11"/>
  <c r="AG17" i="11"/>
  <c r="AA18" i="11"/>
  <c r="AG18" i="11" s="1"/>
  <c r="AD26" i="11"/>
  <c r="AC26" i="11"/>
  <c r="AB116" i="8"/>
  <c r="AC41" i="11" l="1"/>
  <c r="AA41" i="11"/>
  <c r="AG41" i="11" s="1"/>
  <c r="Z41" i="11"/>
  <c r="AB41" i="11"/>
  <c r="AB28" i="11"/>
  <c r="AB29" i="11" s="1"/>
  <c r="AC28" i="11"/>
  <c r="AC29" i="11" s="1"/>
  <c r="AC34" i="11" s="1"/>
  <c r="Z28" i="11"/>
  <c r="Z29" i="11" s="1"/>
  <c r="Z30" i="11" s="1"/>
  <c r="AA28" i="11"/>
  <c r="AA29" i="11" s="1"/>
  <c r="Y29" i="11"/>
  <c r="O29" i="11"/>
  <c r="O30" i="11" s="1"/>
  <c r="X29" i="11"/>
  <c r="X30" i="11" s="1"/>
  <c r="W29" i="11"/>
  <c r="W30" i="11" s="1"/>
  <c r="V26" i="11"/>
  <c r="V29" i="11"/>
  <c r="AD30" i="11"/>
  <c r="AD34" i="11"/>
  <c r="K30" i="11"/>
  <c r="K34" i="11"/>
  <c r="AA26" i="11"/>
  <c r="AG26" i="11" s="1"/>
  <c r="AG25" i="11"/>
  <c r="AG28" i="11" l="1"/>
  <c r="N83" i="11"/>
  <c r="N86" i="11" a="1"/>
  <c r="N86" i="11" s="1"/>
  <c r="N87" i="11" a="1"/>
  <c r="N87" i="11" s="1"/>
  <c r="N85" i="11" a="1"/>
  <c r="N85" i="11" s="1"/>
  <c r="N84" i="11"/>
  <c r="K87" i="11" a="1"/>
  <c r="K87" i="11" s="1"/>
  <c r="K85" i="11" a="1"/>
  <c r="K85" i="11" s="1"/>
  <c r="M87" i="11" a="1"/>
  <c r="M87" i="11" s="1"/>
  <c r="K84" i="11"/>
  <c r="M84" i="11"/>
  <c r="M83" i="11"/>
  <c r="L85" i="11" a="1"/>
  <c r="L85" i="11" s="1"/>
  <c r="L83" i="11"/>
  <c r="M85" i="11" a="1"/>
  <c r="M85" i="11" s="1"/>
  <c r="L84" i="11"/>
  <c r="L86" i="11" a="1"/>
  <c r="L86" i="11" s="1"/>
  <c r="M86" i="11" a="1"/>
  <c r="M86" i="11" s="1"/>
  <c r="L87" i="11" a="1"/>
  <c r="L87" i="11" s="1"/>
  <c r="K86" i="11" a="1"/>
  <c r="K86" i="11" s="1"/>
  <c r="K83" i="11"/>
  <c r="AB34" i="11"/>
  <c r="AB35" i="11" s="1"/>
  <c r="AB30" i="11"/>
  <c r="AC30" i="11"/>
  <c r="Y34" i="11"/>
  <c r="Y84" i="11" s="1"/>
  <c r="Y30" i="11"/>
  <c r="O34" i="11"/>
  <c r="X34" i="11"/>
  <c r="X42" i="11" s="1"/>
  <c r="W34" i="11"/>
  <c r="W84" i="11" s="1"/>
  <c r="Z34" i="11"/>
  <c r="Z83" i="11" s="1"/>
  <c r="V30" i="11"/>
  <c r="V34" i="11"/>
  <c r="AD35" i="11"/>
  <c r="AD85" i="11"/>
  <c r="AD86" i="11" a="1"/>
  <c r="AD86" i="11" s="1"/>
  <c r="AD42" i="11"/>
  <c r="AD87" i="11" a="1"/>
  <c r="AD87" i="11" s="1"/>
  <c r="AD84" i="11"/>
  <c r="AD83" i="11"/>
  <c r="AA34" i="11"/>
  <c r="AA30" i="11"/>
  <c r="AG30" i="11" s="1"/>
  <c r="AG29" i="11"/>
  <c r="K35" i="11"/>
  <c r="K42" i="11"/>
  <c r="K49" i="11" s="1"/>
  <c r="AC87" i="11" a="1"/>
  <c r="AC87" i="11" s="1"/>
  <c r="AC42" i="11"/>
  <c r="AC85" i="11"/>
  <c r="AC86" i="11" a="1"/>
  <c r="AC86" i="11" s="1"/>
  <c r="AC35" i="11"/>
  <c r="AC83" i="11"/>
  <c r="AC84" i="11"/>
  <c r="O70" i="8"/>
  <c r="M70" i="8"/>
  <c r="O123" i="8"/>
  <c r="K123" i="8"/>
  <c r="G123" i="8"/>
  <c r="N11" i="8"/>
  <c r="O12" i="10" s="1"/>
  <c r="J11" i="8"/>
  <c r="K12" i="10" s="1"/>
  <c r="J40" i="8"/>
  <c r="S40" i="8" s="1"/>
  <c r="J37" i="8"/>
  <c r="S37" i="8" s="1"/>
  <c r="L54" i="8"/>
  <c r="L63" i="8" s="1"/>
  <c r="K54" i="8"/>
  <c r="K63" i="8" s="1"/>
  <c r="G54" i="8"/>
  <c r="G63" i="8" s="1"/>
  <c r="P91" i="8"/>
  <c r="O91" i="8"/>
  <c r="N91" i="8"/>
  <c r="M91" i="8"/>
  <c r="L91" i="8"/>
  <c r="K91" i="8"/>
  <c r="J91" i="8"/>
  <c r="I91" i="8"/>
  <c r="H91" i="8"/>
  <c r="G91" i="8"/>
  <c r="P90" i="8"/>
  <c r="O90" i="8"/>
  <c r="N90" i="8"/>
  <c r="M90" i="8"/>
  <c r="L90" i="8"/>
  <c r="K90" i="8"/>
  <c r="J90" i="8"/>
  <c r="I90" i="8"/>
  <c r="H90" i="8"/>
  <c r="G90" i="8"/>
  <c r="H54" i="8"/>
  <c r="H63" i="8" s="1"/>
  <c r="I54" i="8"/>
  <c r="I63" i="8" s="1"/>
  <c r="M54" i="8"/>
  <c r="M63" i="8" s="1"/>
  <c r="O54" i="8"/>
  <c r="O63" i="8" s="1"/>
  <c r="P54" i="8"/>
  <c r="P63" i="8" s="1"/>
  <c r="P45" i="8"/>
  <c r="O45" i="8"/>
  <c r="N45" i="8"/>
  <c r="M45" i="8"/>
  <c r="L45" i="8"/>
  <c r="K45" i="8"/>
  <c r="J45" i="8"/>
  <c r="I45" i="8"/>
  <c r="H45" i="8"/>
  <c r="G45" i="8"/>
  <c r="P44" i="8"/>
  <c r="O44" i="8"/>
  <c r="N44" i="8"/>
  <c r="M44" i="8"/>
  <c r="L44" i="8"/>
  <c r="K44" i="8"/>
  <c r="J44" i="8"/>
  <c r="I44" i="8"/>
  <c r="H44" i="8"/>
  <c r="G44" i="8"/>
  <c r="E45" i="8"/>
  <c r="D45" i="8"/>
  <c r="C45" i="8"/>
  <c r="E44" i="8"/>
  <c r="D44" i="8"/>
  <c r="C44" i="8"/>
  <c r="P11" i="8"/>
  <c r="O11" i="8"/>
  <c r="M11" i="8"/>
  <c r="L11" i="8"/>
  <c r="K11" i="8"/>
  <c r="I11" i="8"/>
  <c r="J12" i="10" s="1"/>
  <c r="H11" i="8"/>
  <c r="I12" i="10" s="1"/>
  <c r="G11" i="8"/>
  <c r="H12" i="10" s="1"/>
  <c r="AB86" i="11" l="1" a="1"/>
  <c r="AB86" i="11" s="1"/>
  <c r="AB87" i="11" a="1"/>
  <c r="AB87" i="11" s="1"/>
  <c r="AB84" i="11"/>
  <c r="AB83" i="11"/>
  <c r="AB85" i="11"/>
  <c r="AB42" i="11"/>
  <c r="R85" i="11" a="1"/>
  <c r="R85" i="11" s="1"/>
  <c r="R87" i="11" a="1"/>
  <c r="R87" i="11" s="1"/>
  <c r="R84" i="11"/>
  <c r="R83" i="11"/>
  <c r="R86" i="11" a="1"/>
  <c r="R86" i="11" s="1"/>
  <c r="Q84" i="11"/>
  <c r="P86" i="11" a="1"/>
  <c r="P86" i="11" s="1"/>
  <c r="Q86" i="11" a="1"/>
  <c r="Q86" i="11" s="1"/>
  <c r="P85" i="11" a="1"/>
  <c r="P85" i="11" s="1"/>
  <c r="O87" i="11" a="1"/>
  <c r="O87" i="11" s="1"/>
  <c r="Q87" i="11" a="1"/>
  <c r="Q87" i="11" s="1"/>
  <c r="O84" i="11"/>
  <c r="Q83" i="11"/>
  <c r="P87" i="11" a="1"/>
  <c r="P87" i="11" s="1"/>
  <c r="P83" i="11"/>
  <c r="Q85" i="11" a="1"/>
  <c r="Q85" i="11" s="1"/>
  <c r="O86" i="11" a="1"/>
  <c r="O86" i="11" s="1"/>
  <c r="P84" i="11"/>
  <c r="O83" i="11"/>
  <c r="O85" i="11" a="1"/>
  <c r="O85" i="11" s="1"/>
  <c r="W83" i="11"/>
  <c r="W87" i="11" a="1"/>
  <c r="W87" i="11" s="1"/>
  <c r="Y42" i="11"/>
  <c r="Y86" i="11" a="1"/>
  <c r="Y86" i="11" s="1"/>
  <c r="Y85" i="11"/>
  <c r="O42" i="11"/>
  <c r="O49" i="11" s="1"/>
  <c r="W86" i="11" a="1"/>
  <c r="W86" i="11" s="1"/>
  <c r="W85" i="11"/>
  <c r="W35" i="11"/>
  <c r="O35" i="11"/>
  <c r="Y87" i="11" a="1"/>
  <c r="Y87" i="11" s="1"/>
  <c r="Y83" i="11"/>
  <c r="Y35" i="11"/>
  <c r="W42" i="11"/>
  <c r="X87" i="11" a="1"/>
  <c r="X87" i="11" s="1"/>
  <c r="Z84" i="11"/>
  <c r="Z42" i="11"/>
  <c r="Z35" i="11"/>
  <c r="Z85" i="11"/>
  <c r="Z86" i="11" a="1"/>
  <c r="Z86" i="11" s="1"/>
  <c r="Z87" i="11" a="1"/>
  <c r="Z87" i="11" s="1"/>
  <c r="X86" i="11" a="1"/>
  <c r="X86" i="11" s="1"/>
  <c r="X83" i="11"/>
  <c r="X85" i="11"/>
  <c r="X84" i="11"/>
  <c r="X35" i="11"/>
  <c r="V86" i="11" a="1"/>
  <c r="V86" i="11" s="1"/>
  <c r="V84" i="11"/>
  <c r="V85" i="11"/>
  <c r="V83" i="11"/>
  <c r="V35" i="11"/>
  <c r="V87" i="11" a="1"/>
  <c r="V87" i="11" s="1"/>
  <c r="V42" i="11"/>
  <c r="O14" i="8"/>
  <c r="O20" i="8" s="1"/>
  <c r="O27" i="8" s="1"/>
  <c r="P12" i="10"/>
  <c r="P14" i="8"/>
  <c r="P15" i="8" s="1"/>
  <c r="Q12" i="10"/>
  <c r="K14" i="8"/>
  <c r="K20" i="8" s="1"/>
  <c r="L12" i="10"/>
  <c r="M14" i="8"/>
  <c r="M20" i="8" s="1"/>
  <c r="N12" i="10"/>
  <c r="L14" i="8"/>
  <c r="L15" i="8" s="1"/>
  <c r="M12" i="10"/>
  <c r="AA87" i="11" a="1"/>
  <c r="AA87" i="11" s="1"/>
  <c r="AA86" i="11" a="1"/>
  <c r="AA86" i="11" s="1"/>
  <c r="AA35" i="11"/>
  <c r="AG35" i="11" s="1"/>
  <c r="AA42" i="11"/>
  <c r="AG42" i="11" s="1"/>
  <c r="AG34" i="11"/>
  <c r="AA83" i="11"/>
  <c r="AA85" i="11"/>
  <c r="AA84" i="11"/>
  <c r="M76" i="8"/>
  <c r="G14" i="8"/>
  <c r="G20" i="8" s="1"/>
  <c r="H14" i="8"/>
  <c r="H15" i="8" s="1"/>
  <c r="I14" i="8"/>
  <c r="I15" i="8" s="1"/>
  <c r="K70" i="8"/>
  <c r="P70" i="8"/>
  <c r="H70" i="8"/>
  <c r="G70" i="8"/>
  <c r="L70" i="8"/>
  <c r="E70" i="8"/>
  <c r="I70" i="8"/>
  <c r="P123" i="8"/>
  <c r="N123" i="8"/>
  <c r="H123" i="8"/>
  <c r="L123" i="8"/>
  <c r="M123" i="8"/>
  <c r="N14" i="8"/>
  <c r="N15" i="8" s="1"/>
  <c r="J14" i="8"/>
  <c r="J15" i="8" s="1"/>
  <c r="N70" i="8"/>
  <c r="N54" i="8"/>
  <c r="N63" i="8" s="1"/>
  <c r="J54" i="8"/>
  <c r="J63" i="8" s="1"/>
  <c r="J70" i="8"/>
  <c r="Y49" i="11" l="1"/>
  <c r="Y50" i="11" s="1"/>
  <c r="W49" i="11"/>
  <c r="W50" i="11" s="1"/>
  <c r="V49" i="11"/>
  <c r="V50" i="11" s="1"/>
  <c r="X49" i="11"/>
  <c r="X50" i="11" s="1"/>
  <c r="AC49" i="11"/>
  <c r="AC50" i="11" s="1"/>
  <c r="AB49" i="11"/>
  <c r="AB50" i="11" s="1"/>
  <c r="AA49" i="11"/>
  <c r="AA50" i="11" s="1"/>
  <c r="Z49" i="11"/>
  <c r="Z50" i="11" s="1"/>
  <c r="P20" i="8"/>
  <c r="P27" i="8" s="1"/>
  <c r="P28" i="8" s="1"/>
  <c r="O15" i="8"/>
  <c r="O21" i="8"/>
  <c r="L20" i="8"/>
  <c r="L27" i="8" s="1"/>
  <c r="L28" i="8" s="1"/>
  <c r="K15" i="8"/>
  <c r="K50" i="11"/>
  <c r="O50" i="11"/>
  <c r="M15" i="8"/>
  <c r="O28" i="8"/>
  <c r="O31" i="8"/>
  <c r="AD50" i="11"/>
  <c r="M27" i="8"/>
  <c r="G27" i="8"/>
  <c r="K27" i="8"/>
  <c r="H20" i="8"/>
  <c r="M84" i="8"/>
  <c r="M86" i="8" s="1"/>
  <c r="G21" i="8"/>
  <c r="G15" i="8"/>
  <c r="I20" i="8"/>
  <c r="N76" i="8"/>
  <c r="K76" i="8"/>
  <c r="I76" i="8"/>
  <c r="E76" i="8"/>
  <c r="H76" i="8"/>
  <c r="J76" i="8"/>
  <c r="P76" i="8"/>
  <c r="G76" i="8"/>
  <c r="L76" i="8"/>
  <c r="O76" i="8"/>
  <c r="I123" i="8"/>
  <c r="J123" i="8"/>
  <c r="N20" i="8"/>
  <c r="N27" i="8" s="1"/>
  <c r="J20" i="8"/>
  <c r="J27" i="8" s="1"/>
  <c r="M21" i="8"/>
  <c r="K21" i="8"/>
  <c r="O94" i="8" l="1"/>
  <c r="O113" i="8" s="1"/>
  <c r="O34" i="8"/>
  <c r="L31" i="8"/>
  <c r="P31" i="8"/>
  <c r="P21" i="8"/>
  <c r="L21" i="8"/>
  <c r="N28" i="8"/>
  <c r="N31" i="8"/>
  <c r="M28" i="8"/>
  <c r="M31" i="8"/>
  <c r="K28" i="8"/>
  <c r="K31" i="8"/>
  <c r="J28" i="8"/>
  <c r="J31" i="8"/>
  <c r="G28" i="8"/>
  <c r="G31" i="8"/>
  <c r="I27" i="8"/>
  <c r="H27" i="8"/>
  <c r="K84" i="8"/>
  <c r="K86" i="8" s="1"/>
  <c r="H21" i="8"/>
  <c r="I21" i="8"/>
  <c r="J84" i="8"/>
  <c r="J86" i="8" s="1"/>
  <c r="N84" i="8"/>
  <c r="N86" i="8" s="1"/>
  <c r="I84" i="8"/>
  <c r="I86" i="8" s="1"/>
  <c r="H84" i="8"/>
  <c r="H86" i="8" s="1"/>
  <c r="P84" i="8"/>
  <c r="P86" i="8" s="1"/>
  <c r="O84" i="8"/>
  <c r="O86" i="8" s="1"/>
  <c r="L84" i="8"/>
  <c r="L86" i="8" s="1"/>
  <c r="G84" i="8"/>
  <c r="G86" i="8" s="1"/>
  <c r="J21" i="8"/>
  <c r="N21" i="8"/>
  <c r="O35" i="8" l="1"/>
  <c r="O38" i="8"/>
  <c r="O41" i="8"/>
  <c r="N94" i="8"/>
  <c r="N34" i="8"/>
  <c r="P94" i="8"/>
  <c r="P113" i="8" s="1"/>
  <c r="P141" i="8" s="1"/>
  <c r="Y141" i="8" s="1"/>
  <c r="P34" i="8"/>
  <c r="G94" i="8"/>
  <c r="G34" i="8"/>
  <c r="J94" i="8"/>
  <c r="J34" i="8"/>
  <c r="L94" i="8"/>
  <c r="L34" i="8"/>
  <c r="K94" i="8"/>
  <c r="K34" i="8"/>
  <c r="M94" i="8"/>
  <c r="M34" i="8"/>
  <c r="H28" i="8"/>
  <c r="H31" i="8"/>
  <c r="I28" i="8"/>
  <c r="I31" i="8"/>
  <c r="O141" i="8"/>
  <c r="X141" i="8" s="1"/>
  <c r="M113" i="8" l="1"/>
  <c r="M141" i="8" s="1"/>
  <c r="V141" i="8" s="1"/>
  <c r="Y94" i="8"/>
  <c r="L113" i="8"/>
  <c r="L141" i="8" s="1"/>
  <c r="U141" i="8" s="1"/>
  <c r="X94" i="8"/>
  <c r="N113" i="8"/>
  <c r="Z94" i="8"/>
  <c r="J113" i="8"/>
  <c r="V94" i="8"/>
  <c r="G113" i="8"/>
  <c r="G141" i="8" s="1"/>
  <c r="K113" i="8"/>
  <c r="K141" i="8" s="1"/>
  <c r="T141" i="8" s="1"/>
  <c r="W94" i="8"/>
  <c r="K35" i="8"/>
  <c r="K41" i="8"/>
  <c r="K38" i="8"/>
  <c r="P35" i="8"/>
  <c r="P38" i="8"/>
  <c r="P41" i="8"/>
  <c r="L35" i="8"/>
  <c r="L41" i="8"/>
  <c r="L38" i="8"/>
  <c r="N35" i="8"/>
  <c r="N41" i="8"/>
  <c r="N38" i="8"/>
  <c r="J35" i="8"/>
  <c r="J41" i="8"/>
  <c r="J38" i="8"/>
  <c r="M35" i="8"/>
  <c r="M41" i="8"/>
  <c r="M38" i="8"/>
  <c r="G35" i="8"/>
  <c r="G38" i="8"/>
  <c r="G41" i="8"/>
  <c r="I94" i="8"/>
  <c r="I34" i="8"/>
  <c r="H94" i="8"/>
  <c r="H34" i="8"/>
  <c r="H113" i="8" l="1"/>
  <c r="H141" i="8" s="1"/>
  <c r="T94" i="8"/>
  <c r="I113" i="8"/>
  <c r="U94" i="8"/>
  <c r="S94" i="8"/>
  <c r="I35" i="8"/>
  <c r="I41" i="8"/>
  <c r="I38" i="8"/>
  <c r="H35" i="8"/>
  <c r="H38" i="8"/>
  <c r="H41" i="8"/>
  <c r="I141" i="8"/>
  <c r="B91" i="8" l="1"/>
  <c r="B90" i="8"/>
  <c r="E91" i="8"/>
  <c r="D91" i="8"/>
  <c r="C91" i="8"/>
  <c r="E90" i="8"/>
  <c r="D90" i="8"/>
  <c r="C90" i="8"/>
  <c r="B45" i="8"/>
  <c r="B44" i="8"/>
  <c r="Z45" i="8"/>
  <c r="Y45" i="8"/>
  <c r="X45" i="8"/>
  <c r="V45" i="8"/>
  <c r="U45" i="8"/>
  <c r="T45" i="8"/>
  <c r="W45" i="8"/>
  <c r="S45" i="8"/>
  <c r="Z44" i="8"/>
  <c r="Y44" i="8"/>
  <c r="X44" i="8"/>
  <c r="W44" i="8"/>
  <c r="V44" i="8"/>
  <c r="U44" i="8"/>
  <c r="T44" i="8"/>
  <c r="S44" i="8"/>
  <c r="S90" i="8" l="1"/>
  <c r="T90" i="8"/>
  <c r="T91" i="8"/>
  <c r="W90" i="8"/>
  <c r="X90" i="8"/>
  <c r="S91" i="8"/>
  <c r="X91" i="8"/>
  <c r="Y91" i="8"/>
  <c r="V90" i="8"/>
  <c r="Y90" i="8"/>
  <c r="V91" i="8"/>
  <c r="U91" i="8"/>
  <c r="Z90" i="8"/>
  <c r="W91" i="8"/>
  <c r="U90" i="8"/>
  <c r="Z91" i="8"/>
  <c r="U11" i="8" l="1"/>
  <c r="Z12" i="10" s="1"/>
  <c r="D54" i="8"/>
  <c r="D63" i="8" s="1"/>
  <c r="C54" i="8"/>
  <c r="C63" i="8" s="1"/>
  <c r="E54" i="8"/>
  <c r="E63" i="8" s="1"/>
  <c r="V11" i="8" l="1"/>
  <c r="AA12" i="10" s="1"/>
  <c r="U14" i="8"/>
  <c r="U20" i="8" s="1"/>
  <c r="V54" i="8"/>
  <c r="V63" i="8" s="1"/>
  <c r="T54" i="8"/>
  <c r="T63" i="8" s="1"/>
  <c r="V70" i="8"/>
  <c r="V76" i="8" s="1"/>
  <c r="U70" i="8"/>
  <c r="U76" i="8" s="1"/>
  <c r="S11" i="8"/>
  <c r="X12" i="10" s="1"/>
  <c r="U54" i="8"/>
  <c r="U63" i="8" s="1"/>
  <c r="T11" i="8"/>
  <c r="Y12" i="10" s="1"/>
  <c r="T70" i="8"/>
  <c r="T76" i="8" s="1"/>
  <c r="X54" i="8"/>
  <c r="X63" i="8" s="1"/>
  <c r="X11" i="8"/>
  <c r="AC12" i="10" s="1"/>
  <c r="X70" i="8"/>
  <c r="X76" i="8" s="1"/>
  <c r="Y70" i="8"/>
  <c r="Y76" i="8" s="1"/>
  <c r="W11" i="8"/>
  <c r="AB12" i="10" s="1"/>
  <c r="Y11" i="8"/>
  <c r="AD12" i="10" s="1"/>
  <c r="Y54" i="8"/>
  <c r="Y63" i="8" s="1"/>
  <c r="U27" i="8" l="1"/>
  <c r="U21" i="8"/>
  <c r="T14" i="8"/>
  <c r="T20" i="8" s="1"/>
  <c r="X14" i="8"/>
  <c r="X20" i="8" s="1"/>
  <c r="AB10" i="8"/>
  <c r="V84" i="8"/>
  <c r="V86" i="8" s="1"/>
  <c r="T84" i="8"/>
  <c r="T86" i="8" s="1"/>
  <c r="AB17" i="8"/>
  <c r="U84" i="8"/>
  <c r="U86" i="8" s="1"/>
  <c r="V14" i="8"/>
  <c r="V20" i="8" s="1"/>
  <c r="S14" i="8"/>
  <c r="S20" i="8" s="1"/>
  <c r="U15" i="8"/>
  <c r="AB13" i="8"/>
  <c r="X84" i="8"/>
  <c r="X86" i="8" s="1"/>
  <c r="Y14" i="8"/>
  <c r="Y20" i="8" s="1"/>
  <c r="W14" i="8"/>
  <c r="W20" i="8" s="1"/>
  <c r="Y84" i="8"/>
  <c r="Y86" i="8" s="1"/>
  <c r="U28" i="8" l="1"/>
  <c r="U31" i="8"/>
  <c r="S27" i="8"/>
  <c r="X27" i="8"/>
  <c r="W27" i="8"/>
  <c r="T27" i="8"/>
  <c r="V27" i="8"/>
  <c r="Y27" i="8"/>
  <c r="T21" i="8"/>
  <c r="S21" i="8"/>
  <c r="V21" i="8"/>
  <c r="X21" i="8"/>
  <c r="W21" i="8"/>
  <c r="Y21" i="8"/>
  <c r="X15" i="8"/>
  <c r="W15" i="8"/>
  <c r="T15" i="8"/>
  <c r="Y15" i="8"/>
  <c r="V15" i="8"/>
  <c r="S15" i="8"/>
  <c r="U34" i="8" l="1"/>
  <c r="X28" i="8"/>
  <c r="X31" i="8"/>
  <c r="Y28" i="8"/>
  <c r="Y31" i="8"/>
  <c r="T28" i="8"/>
  <c r="T31" i="8"/>
  <c r="T34" i="8" s="1"/>
  <c r="S28" i="8"/>
  <c r="S31" i="8"/>
  <c r="V28" i="8"/>
  <c r="V31" i="8"/>
  <c r="W28" i="8"/>
  <c r="W31" i="8"/>
  <c r="U35" i="8" l="1"/>
  <c r="U38" i="8"/>
  <c r="U41" i="8"/>
  <c r="T35" i="8"/>
  <c r="T38" i="8"/>
  <c r="T41" i="8"/>
  <c r="Y34" i="8"/>
  <c r="X34" i="8"/>
  <c r="W34" i="8"/>
  <c r="V34" i="8"/>
  <c r="S34" i="8"/>
  <c r="S35" i="8" l="1"/>
  <c r="S41" i="8"/>
  <c r="S38" i="8"/>
  <c r="Y35" i="8"/>
  <c r="Y41" i="8"/>
  <c r="Y38" i="8"/>
  <c r="W35" i="8"/>
  <c r="W41" i="8"/>
  <c r="W38" i="8"/>
  <c r="V35" i="8"/>
  <c r="V41" i="8"/>
  <c r="V38" i="8"/>
  <c r="X35" i="8"/>
  <c r="X41" i="8"/>
  <c r="X38" i="8"/>
  <c r="S70" i="8"/>
  <c r="W70" i="8"/>
  <c r="W76" i="8" s="1"/>
  <c r="S76" i="8" l="1"/>
  <c r="S84" i="8" s="1"/>
  <c r="V123" i="8"/>
  <c r="S123" i="8"/>
  <c r="T123" i="8"/>
  <c r="U123" i="8"/>
  <c r="W123" i="8"/>
  <c r="Y123" i="8"/>
  <c r="X123" i="8"/>
  <c r="E11" i="8" l="1"/>
  <c r="E12" i="10" s="1"/>
  <c r="D11" i="8"/>
  <c r="D12" i="10" s="1"/>
  <c r="C11" i="8"/>
  <c r="C12" i="10" s="1"/>
  <c r="E123" i="8"/>
  <c r="D123" i="8"/>
  <c r="C123" i="8"/>
  <c r="D70" i="8"/>
  <c r="C70" i="8"/>
  <c r="Z11" i="8"/>
  <c r="AE12" i="10" s="1"/>
  <c r="D76" i="8" l="1"/>
  <c r="C76" i="8"/>
  <c r="AB11" i="8"/>
  <c r="W84" i="8"/>
  <c r="D14" i="8"/>
  <c r="D20" i="8" s="1"/>
  <c r="C14" i="8"/>
  <c r="C20" i="8" s="1"/>
  <c r="E14" i="8"/>
  <c r="E20" i="8" s="1"/>
  <c r="Z70" i="8"/>
  <c r="Z76" i="8" s="1"/>
  <c r="AB83" i="8"/>
  <c r="C27" i="8" l="1"/>
  <c r="E27" i="8"/>
  <c r="D27" i="8"/>
  <c r="C84" i="8"/>
  <c r="C86" i="8" s="1"/>
  <c r="C21" i="8"/>
  <c r="D21" i="8"/>
  <c r="E21" i="8"/>
  <c r="W54" i="8"/>
  <c r="W63" i="8" s="1"/>
  <c r="S54" i="8"/>
  <c r="S63" i="8" s="1"/>
  <c r="D84" i="8"/>
  <c r="D86" i="8" s="1"/>
  <c r="E84" i="8"/>
  <c r="E86" i="8" s="1"/>
  <c r="AB76" i="8"/>
  <c r="AB70" i="8"/>
  <c r="Z54" i="8"/>
  <c r="Z63" i="8" s="1"/>
  <c r="D15" i="8"/>
  <c r="E15" i="8"/>
  <c r="C15" i="8"/>
  <c r="Z14" i="8"/>
  <c r="Z20" i="8" s="1"/>
  <c r="Z27" i="8" s="1"/>
  <c r="Z31" i="8" s="1"/>
  <c r="Z34" i="8" l="1"/>
  <c r="D28" i="8"/>
  <c r="D31" i="8"/>
  <c r="D34" i="8" s="1"/>
  <c r="E28" i="8"/>
  <c r="E31" i="8"/>
  <c r="E34" i="8" s="1"/>
  <c r="C28" i="8"/>
  <c r="C31" i="8"/>
  <c r="C34" i="8" s="1"/>
  <c r="Z28" i="8"/>
  <c r="AB28" i="8" s="1"/>
  <c r="AB27" i="8"/>
  <c r="J141" i="8"/>
  <c r="S141" i="8" s="1"/>
  <c r="S86" i="8"/>
  <c r="W86" i="8"/>
  <c r="AB20" i="8"/>
  <c r="Z21" i="8"/>
  <c r="AB21" i="8" s="1"/>
  <c r="AB132" i="8"/>
  <c r="Z84" i="8"/>
  <c r="AB84" i="8" s="1"/>
  <c r="AB63" i="8"/>
  <c r="AB54" i="8"/>
  <c r="AB14" i="8"/>
  <c r="Z123" i="8"/>
  <c r="AB123" i="8" s="1"/>
  <c r="Z15" i="8"/>
  <c r="AB15" i="8" s="1"/>
  <c r="C35" i="8" l="1"/>
  <c r="C41" i="8"/>
  <c r="C38" i="8"/>
  <c r="Z35" i="8"/>
  <c r="Z41" i="8"/>
  <c r="Z38" i="8"/>
  <c r="E35" i="8"/>
  <c r="E41" i="8"/>
  <c r="E38" i="8"/>
  <c r="D35" i="8"/>
  <c r="D41" i="8"/>
  <c r="D38" i="8"/>
  <c r="E94" i="8"/>
  <c r="E113" i="8" s="1"/>
  <c r="E141" i="8" s="1"/>
  <c r="AB35" i="8"/>
  <c r="AB34" i="8"/>
  <c r="C94" i="8"/>
  <c r="D94" i="8"/>
  <c r="D113" i="8" s="1"/>
  <c r="D141" i="8" s="1"/>
  <c r="N141" i="8"/>
  <c r="W141" i="8" s="1"/>
  <c r="Z86" i="8"/>
  <c r="AB31" i="8" l="1"/>
  <c r="C113" i="8"/>
  <c r="C141" i="8" s="1"/>
  <c r="V113" i="8"/>
  <c r="W113" i="8"/>
  <c r="S113" i="8" l="1"/>
  <c r="T113" i="8"/>
  <c r="U113" i="8"/>
  <c r="AB38" i="8" l="1"/>
  <c r="AB41" i="8"/>
  <c r="C137" i="8" l="1"/>
  <c r="C142" i="8" l="1"/>
  <c r="D135" i="8" l="1"/>
  <c r="G135" i="8" s="1"/>
  <c r="C144" i="8"/>
  <c r="D137" i="8" l="1"/>
  <c r="D142" i="8" s="1"/>
  <c r="D144" i="8" s="1"/>
  <c r="E135" i="8" l="1"/>
  <c r="E137" i="8" s="1"/>
  <c r="E142" i="8" s="1"/>
  <c r="G137" i="8"/>
  <c r="G142" i="8" l="1"/>
  <c r="G144" i="8" s="1"/>
  <c r="E144" i="8"/>
  <c r="H135" i="8" l="1"/>
  <c r="H137" i="8" s="1"/>
  <c r="H142" i="8" s="1"/>
  <c r="H144" i="8" s="1"/>
  <c r="I135" i="8" l="1"/>
  <c r="I137" i="8" s="1"/>
  <c r="I142" i="8" l="1"/>
  <c r="J135" i="8" l="1"/>
  <c r="I144" i="8"/>
  <c r="J137" i="8" l="1"/>
  <c r="J142" i="8" s="1"/>
  <c r="K135" i="8" l="1"/>
  <c r="K137" i="8" s="1"/>
  <c r="J144" i="8"/>
  <c r="K142" i="8" l="1"/>
  <c r="L135" i="8" l="1"/>
  <c r="L137" i="8" s="1"/>
  <c r="K144" i="8"/>
  <c r="L142" i="8" l="1"/>
  <c r="M135" i="8" l="1"/>
  <c r="M137" i="8" s="1"/>
  <c r="L144" i="8"/>
  <c r="M142" i="8" l="1"/>
  <c r="N135" i="8" l="1"/>
  <c r="N137" i="8" s="1"/>
  <c r="M144" i="8"/>
  <c r="N142" i="8" l="1"/>
  <c r="O135" i="8" s="1"/>
  <c r="O137" i="8" s="1"/>
  <c r="W12" i="10"/>
  <c r="V12" i="10"/>
  <c r="O142" i="8" l="1"/>
  <c r="P135" i="8" s="1"/>
  <c r="P137" i="8" s="1"/>
  <c r="N144" i="8"/>
  <c r="P142" i="8" l="1"/>
  <c r="O144" i="8"/>
  <c r="P144" i="8" l="1"/>
  <c r="Q135" i="8"/>
  <c r="Q137" i="8" s="1"/>
  <c r="Q142" i="8" s="1"/>
  <c r="Q144" i="8" l="1"/>
  <c r="X113" i="8" l="1"/>
  <c r="Y113" i="8"/>
  <c r="Z113" i="8" l="1"/>
  <c r="AB94" i="8"/>
  <c r="AB113" i="8" l="1"/>
  <c r="S137" i="8" l="1"/>
  <c r="S142" i="8" s="1"/>
  <c r="T135" i="8" l="1"/>
  <c r="T137" i="8" s="1"/>
  <c r="T142" i="8" s="1"/>
  <c r="S144" i="8" l="1"/>
  <c r="U135" i="8"/>
  <c r="U137" i="8" s="1"/>
  <c r="U142" i="8" s="1"/>
  <c r="T144" i="8" l="1"/>
  <c r="V135" i="8"/>
  <c r="V137" i="8" s="1"/>
  <c r="V142" i="8" s="1"/>
  <c r="U144" i="8" l="1"/>
  <c r="W135" i="8"/>
  <c r="W137" i="8" s="1"/>
  <c r="V144" i="8"/>
  <c r="W142" i="8" l="1"/>
  <c r="X135" i="8" s="1"/>
  <c r="X137" i="8" s="1"/>
  <c r="X142" i="8" s="1"/>
  <c r="Y135" i="8" l="1"/>
  <c r="Y137" i="8" s="1"/>
  <c r="X144" i="8"/>
  <c r="W144" i="8"/>
  <c r="Y142" i="8" l="1"/>
  <c r="Z135" i="8" l="1"/>
  <c r="Z137" i="8" s="1"/>
  <c r="Z142" i="8" s="1"/>
  <c r="Z144" i="8" s="1"/>
  <c r="Y144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<sst xmlns="http://schemas.openxmlformats.org/spreadsheetml/2006/main" count="258" uniqueCount="177">
  <si>
    <t>FYE</t>
  </si>
  <si>
    <t>Quarterly</t>
  </si>
  <si>
    <t>1Q24</t>
  </si>
  <si>
    <t>2Q24</t>
  </si>
  <si>
    <t>3Q24</t>
  </si>
  <si>
    <t>4Q24</t>
  </si>
  <si>
    <t>1Q23</t>
  </si>
  <si>
    <t>2Q23</t>
  </si>
  <si>
    <t>3Q23</t>
  </si>
  <si>
    <t>4Q23</t>
  </si>
  <si>
    <t>LTM</t>
  </si>
  <si>
    <t>EBITDA</t>
  </si>
  <si>
    <t>Total Revenue</t>
  </si>
  <si>
    <t>Cost of Sales</t>
  </si>
  <si>
    <t>Changes in assets and liabilities:</t>
  </si>
  <si>
    <t>Cash-Flows Statement</t>
  </si>
  <si>
    <t>Total stockholders' equity</t>
  </si>
  <si>
    <t>Total Liabilities</t>
  </si>
  <si>
    <t>X</t>
  </si>
  <si>
    <t>Total Current Liabilities</t>
  </si>
  <si>
    <t>Total Current Assets</t>
  </si>
  <si>
    <t>Total Assets</t>
  </si>
  <si>
    <t>Gross Profit</t>
  </si>
  <si>
    <t>Total Debt</t>
  </si>
  <si>
    <t>Variance</t>
  </si>
  <si>
    <t>FCF Analysis</t>
  </si>
  <si>
    <t>1Q25</t>
  </si>
  <si>
    <t>2Q25</t>
  </si>
  <si>
    <t>Y/Y Growth (%)</t>
  </si>
  <si>
    <t>Q/Q Growth (%)</t>
  </si>
  <si>
    <t>N/A</t>
  </si>
  <si>
    <t>(-) Cost of Sales</t>
  </si>
  <si>
    <t>Gross Margin (%)</t>
  </si>
  <si>
    <t>Earning before Interest &amp; Taxes (EBIT)</t>
  </si>
  <si>
    <t>Operating Margin (%)</t>
  </si>
  <si>
    <t>EBITDA Margin (%)</t>
  </si>
  <si>
    <t>Adj. EBITDA</t>
  </si>
  <si>
    <t>Adj. EBITDA Margin (%)</t>
  </si>
  <si>
    <t>(-) Capital Expenditures</t>
  </si>
  <si>
    <t>(-) Cash Taxes</t>
  </si>
  <si>
    <t>(+/-) Changes in NWC</t>
  </si>
  <si>
    <t>Discretionary Cash-Flows</t>
  </si>
  <si>
    <t>Free-Cash Flows</t>
  </si>
  <si>
    <t>Capitalization</t>
  </si>
  <si>
    <t>Cash &amp; Cash Equivelants</t>
  </si>
  <si>
    <t>Total Liquidity</t>
  </si>
  <si>
    <t>Balance Sheet Metrics:</t>
  </si>
  <si>
    <t>Current Liabilities</t>
  </si>
  <si>
    <t>Total Shareholder Equity</t>
  </si>
  <si>
    <t>Total Book Capitalization</t>
  </si>
  <si>
    <t>Debt-to-Book Capitalization</t>
  </si>
  <si>
    <t>Total liabilities and stockholders' equity</t>
  </si>
  <si>
    <t>Cash-Flows From Operating Activities</t>
  </si>
  <si>
    <t>Net income (loss)</t>
  </si>
  <si>
    <t>Depreciation and amortization</t>
  </si>
  <si>
    <t>Net cash used in operating activities</t>
  </si>
  <si>
    <t>Cash flows from investing activities:</t>
  </si>
  <si>
    <t>Net cash used in investing activities</t>
  </si>
  <si>
    <t>Cash flows from financing activities:</t>
  </si>
  <si>
    <t>Net cash provided by financing activities</t>
  </si>
  <si>
    <t>Consolidated Revenue</t>
  </si>
  <si>
    <t>Adjustments to reconcile net income:</t>
  </si>
  <si>
    <t>Balance Check</t>
  </si>
  <si>
    <t>Net Change in Cash</t>
  </si>
  <si>
    <t>Net Margin (%)</t>
  </si>
  <si>
    <t>Basic shares</t>
  </si>
  <si>
    <t>Basic EPS</t>
  </si>
  <si>
    <t>Fully Diluted Shares</t>
  </si>
  <si>
    <t>Diluted EPS</t>
  </si>
  <si>
    <t>Segment Anaysis</t>
  </si>
  <si>
    <t>Total Net Revenue</t>
  </si>
  <si>
    <t xml:space="preserve">(+/-) Other </t>
  </si>
  <si>
    <t>Credit Metrics</t>
  </si>
  <si>
    <t>Adjusted Cash Position BOP</t>
  </si>
  <si>
    <t>Adjusted Cash Position EOP</t>
  </si>
  <si>
    <t xml:space="preserve">(-) Cash Interest </t>
  </si>
  <si>
    <t>Income Statement</t>
  </si>
  <si>
    <t xml:space="preserve">Balance Sheet </t>
  </si>
  <si>
    <t>Historical Financials</t>
  </si>
  <si>
    <t>Fiscal Period</t>
  </si>
  <si>
    <t>Fiscal Period End Date</t>
  </si>
  <si>
    <t>Operating Profit</t>
  </si>
  <si>
    <t>EBT Margin (%)</t>
  </si>
  <si>
    <t>Current Assets</t>
  </si>
  <si>
    <t>Non-Current Assets</t>
  </si>
  <si>
    <t>Non-Current Liabilities</t>
  </si>
  <si>
    <t>Supplemental disclosures of other cash flow information:</t>
  </si>
  <si>
    <t>Income tax expense</t>
  </si>
  <si>
    <t>Income taxes paid</t>
  </si>
  <si>
    <t>Interest paid</t>
  </si>
  <si>
    <t>BOP Restricted Cash Adjustment</t>
  </si>
  <si>
    <t>EOP FX Adjustment</t>
  </si>
  <si>
    <t>EOP Restricted Cash Adjustment</t>
  </si>
  <si>
    <t>Unrestricted Cash BOP</t>
  </si>
  <si>
    <t>Revenue Segment Anaysis</t>
  </si>
  <si>
    <t>($ In Millions)</t>
  </si>
  <si>
    <t>($ In Millions, except EPS)</t>
  </si>
  <si>
    <t>Revenue by reportable segment</t>
  </si>
  <si>
    <t>Revenue by product category</t>
  </si>
  <si>
    <t>(+) Depreciation and Amortization (D&amp;A)</t>
  </si>
  <si>
    <t>(+) Stock-Based Compensation (SBC)</t>
  </si>
  <si>
    <t>Summary Debt:</t>
  </si>
  <si>
    <t>CPLTD</t>
  </si>
  <si>
    <t>LTD</t>
  </si>
  <si>
    <t>LTM Total Leverage</t>
  </si>
  <si>
    <t>LTM Net Leverage</t>
  </si>
  <si>
    <t xml:space="preserve">LTM Interest Coverage </t>
  </si>
  <si>
    <t>LTM Debt Service Coverage</t>
  </si>
  <si>
    <t>LTM Fixed Charge Coverage</t>
  </si>
  <si>
    <t>3Q25</t>
  </si>
  <si>
    <t>XXX</t>
  </si>
  <si>
    <t>Earnings before Taxes</t>
  </si>
  <si>
    <t>Revenue by XXX</t>
  </si>
  <si>
    <t>(+/-) XXX</t>
  </si>
  <si>
    <t>(+) XXX</t>
  </si>
  <si>
    <t>(-) XXX</t>
  </si>
  <si>
    <t>(-) Mandatory Outflows</t>
  </si>
  <si>
    <t xml:space="preserve">Selling, general and administrative expenses </t>
  </si>
  <si>
    <t xml:space="preserve">Other operating charges </t>
  </si>
  <si>
    <t>Interest Income</t>
  </si>
  <si>
    <t>Interest expense</t>
  </si>
  <si>
    <t>Equity Income (Loss)</t>
  </si>
  <si>
    <t>Other Income (Loss)</t>
  </si>
  <si>
    <t>Net Income</t>
  </si>
  <si>
    <t>Net Income (Loss) Attributable to Noncontrolling Interest</t>
  </si>
  <si>
    <t xml:space="preserve">Net Income Attributable to Shareowners of The Coca-Cola Company	</t>
  </si>
  <si>
    <t>Cash and cash equivalents</t>
  </si>
  <si>
    <t>Marketable securities</t>
  </si>
  <si>
    <t>Inventories</t>
  </si>
  <si>
    <t>Trade accounts receivable, less allowances of $502 and $516, respectively</t>
  </si>
  <si>
    <t>Short-term investments</t>
  </si>
  <si>
    <t>Prepaid expenses and other current assets</t>
  </si>
  <si>
    <t>Property, plant and equipment, net</t>
  </si>
  <si>
    <t>Trademarks with indefinite lives</t>
  </si>
  <si>
    <t>Goodwill</t>
  </si>
  <si>
    <t>Equity method investments</t>
  </si>
  <si>
    <t>Deferred income tax assets</t>
  </si>
  <si>
    <t>Other noncurrent assets</t>
  </si>
  <si>
    <t>Accounts payable and accrued expenses</t>
  </si>
  <si>
    <t>Loans and notes payable</t>
  </si>
  <si>
    <t>Current maturities of long-term debt</t>
  </si>
  <si>
    <t>Accrued income taxes</t>
  </si>
  <si>
    <t>Long-term debt</t>
  </si>
  <si>
    <t>Other noncurrent liabilities</t>
  </si>
  <si>
    <t>Deferred income tax liabilities</t>
  </si>
  <si>
    <t>Common stock par value + additional paid-in-capital</t>
  </si>
  <si>
    <t>Treasury stock</t>
  </si>
  <si>
    <t>Accumulated other comprehensive income (loss)</t>
  </si>
  <si>
    <t>Equity attributable to noncontrolling interests</t>
  </si>
  <si>
    <t>Reinvested earnings</t>
  </si>
  <si>
    <t>Stock-based compensation</t>
  </si>
  <si>
    <t>Deferred income taxes</t>
  </si>
  <si>
    <t>Equity (income) loss — net of dividends</t>
  </si>
  <si>
    <t>Foreign currency adjustments</t>
  </si>
  <si>
    <t>Significant (gains) losses — net</t>
  </si>
  <si>
    <t>Other operating charges</t>
  </si>
  <si>
    <t>Other items</t>
  </si>
  <si>
    <t>(Increase) decrease in trade accounts receivable</t>
  </si>
  <si>
    <t>(Increase) decrease in inventories1</t>
  </si>
  <si>
    <t>Increase (decrease) in accounts payable and accrued expenses</t>
  </si>
  <si>
    <t>Increase (decrease) in accrued income taxes</t>
  </si>
  <si>
    <t>Increase (decrease) in other noncurrent liabilities</t>
  </si>
  <si>
    <t>(Increase) decrease in prepaid expenses and other current assets and other noncurrent assets</t>
  </si>
  <si>
    <t>Purchase of investments</t>
  </si>
  <si>
    <t>Proceeds from disposal  of imvestments</t>
  </si>
  <si>
    <t>Acquisitions of businesses, equity method investments and nonmarketable securities</t>
  </si>
  <si>
    <t>Proceeds from disposals of businesses, equity method investments and nonmarketable securities</t>
  </si>
  <si>
    <t>Purchases of property, plant and equipment</t>
  </si>
  <si>
    <t>Collateral (paid) received associated with hedging activities — net</t>
  </si>
  <si>
    <t>Other investing activities</t>
  </si>
  <si>
    <t>Issuances of loans, notes payable and long-term debt</t>
  </si>
  <si>
    <t>Payments of loans, notes payable and long-term debt</t>
  </si>
  <si>
    <t>Issuances of stock</t>
  </si>
  <si>
    <t>Purchases of stock for treasury</t>
  </si>
  <si>
    <t>Dividends</t>
  </si>
  <si>
    <t>Other financing activities</t>
  </si>
  <si>
    <t>Coca-Cola Co (NASDAQ: KO)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</si>
</sst>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5" formatCode="&quot;$&quot;#,##0_);\(&quot;$&quot;#,##0\)"/>
    <numFmt numFmtId="7" formatCode="&quot;$&quot;#,##0.00_);\(&quot;$&quot;#,##0.00\)"/>
    <numFmt numFmtId="41" formatCode="_(* #,##0_);_(* \(#,##0\);_(* &quot;-&quot;_);_(@_)"/>
    <numFmt numFmtId="43" formatCode="_(* #,##0.00_);_(* \(#,##0.00\);_(* &quot;-&quot;??_);_(@_)"/>
    <numFmt numFmtId="164" formatCode="_(* #,##0_);_(* \(#,##0\);_(* &quot;-&quot;??_);_(@_)"/>
    <numFmt numFmtId="165" formatCode="_(&quot;$ &quot;#,##0_);_(&quot;$ &quot;\(#,##0\)"/>
    <numFmt numFmtId="166" formatCode="#,##0.0%;\(#,##0.0%\)"/>
    <numFmt numFmtId="167" formatCode="#,##0.0&quot;bps&quot;_);\(#,##0.0&quot;bps&quot;\)"/>
    <numFmt numFmtId="168" formatCode="#,##0.00&quot;bps&quot;_);\(#,##0.00&quot;bps&quot;\)"/>
    <numFmt numFmtId="169" formatCode="_(* #,##0.00&quot;x&quot;_);_(* \(#,##0.00&quot;x&quot;\);_(* &quot;-&quot;_);_(@_)"/>
  </numFmts>
  <fonts count="31">
    <font>
      <sz val="11"/>
      <color theme="1"/>
      <name val="Tw Cen MT"/>
      <family val="2"/>
      <scheme val="minor"/>
    </font>
    <font>
      <sz val="11"/>
      <color theme="1"/>
      <name val="Tw Cen MT"/>
      <family val="2"/>
      <scheme val="minor"/>
    </font>
    <font>
      <b/>
      <sz val="9"/>
      <color theme="0"/>
      <name val="Calibri"/>
      <family val="2"/>
    </font>
    <font>
      <i/>
      <sz val="9"/>
      <color theme="0"/>
      <name val="Calibri"/>
      <family val="2"/>
    </font>
    <font>
      <sz val="9"/>
      <color theme="1"/>
      <name val="Calibri"/>
      <family val="2"/>
    </font>
    <font>
      <b/>
      <i/>
      <sz val="9"/>
      <color theme="0"/>
      <name val="Calibri"/>
      <family val="2"/>
    </font>
    <font>
      <sz val="9"/>
      <name val="Calibri"/>
      <family val="2"/>
    </font>
    <font>
      <i/>
      <sz val="9"/>
      <name val="Calibri"/>
      <family val="2"/>
    </font>
    <font>
      <b/>
      <sz val="9"/>
      <name val="Calibri"/>
      <family val="2"/>
    </font>
    <font>
      <b/>
      <i/>
      <sz val="9"/>
      <name val="Calibri"/>
      <family val="2"/>
    </font>
    <font>
      <i/>
      <sz val="8"/>
      <name val="Calibri"/>
      <family val="2"/>
    </font>
    <font>
      <sz val="9"/>
      <color rgb="FF0000CC"/>
      <name val="Calibri"/>
      <family val="2"/>
    </font>
    <font>
      <sz val="9"/>
      <color rgb="FF0000FF"/>
      <name val="Calibri"/>
      <family val="2"/>
    </font>
    <font>
      <sz val="8"/>
      <name val="Calibri"/>
      <family val="2"/>
    </font>
    <font>
      <sz val="8"/>
      <color theme="1"/>
      <name val="Calibri"/>
      <family val="2"/>
    </font>
    <font>
      <b/>
      <sz val="9"/>
      <color theme="1"/>
      <name val="Calibri"/>
      <family val="2"/>
    </font>
    <font>
      <i/>
      <sz val="9"/>
      <color theme="1"/>
      <name val="Calibri"/>
      <family val="2"/>
    </font>
    <font>
      <b/>
      <sz val="9"/>
      <color indexed="8"/>
      <name val="Calibri"/>
      <family val="2"/>
    </font>
    <font>
      <sz val="9"/>
      <color rgb="FF0000E1"/>
      <name val="Calibri"/>
      <family val="2"/>
    </font>
    <font>
      <sz val="10"/>
      <name val="Arial"/>
      <family val="2"/>
    </font>
    <font>
      <sz val="9"/>
      <color rgb="FFFF0000"/>
      <name val="Tw Cen MT"/>
      <family val="2"/>
      <scheme val="minor"/>
    </font>
    <font>
      <sz val="8"/>
      <color rgb="FFFF0000"/>
      <name val="Calibri"/>
      <family val="2"/>
    </font>
    <font>
      <b/>
      <sz val="8"/>
      <color theme="1"/>
      <name val="Calibri"/>
      <family val="2"/>
    </font>
    <font>
      <i/>
      <sz val="8"/>
      <color theme="1"/>
      <name val="Calibri"/>
      <family val="2"/>
    </font>
    <font>
      <sz val="7"/>
      <color rgb="FFFF0000"/>
      <name val="Calibri"/>
      <family val="2"/>
    </font>
    <font>
      <sz val="9"/>
      <color rgb="FF00B050"/>
      <name val="Calibri"/>
      <family val="2"/>
    </font>
    <font>
      <sz val="10"/>
      <name val="Arial Narrow MT"/>
      <family val="2"/>
    </font>
    <font>
      <b/>
      <i/>
      <sz val="8"/>
      <name val="Calibri"/>
      <family val="2"/>
    </font>
    <font>
      <b/>
      <sz val="8"/>
      <color theme="0"/>
      <name val="Calibri"/>
      <family val="2"/>
    </font>
    <font>
      <i/>
      <sz val="7"/>
      <color rgb="FFFF0000"/>
      <name val="Calibri"/>
      <family val="2"/>
    </font>
    <font>
      <i/>
      <sz val="8"/>
      <color rgb="FF0000CC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E5672"/>
        <bgColor indexed="64"/>
      </patternFill>
    </fill>
    <fill>
      <patternFill patternType="gray0625"/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9" fillId="0" borderId="0"/>
    <xf numFmtId="0" fontId="26" fillId="0" borderId="0" applyNumberFormat="0" applyFont="0" applyFill="0" applyBorder="0" applyAlignment="0" applyProtection="0"/>
  </cellStyleXfs>
  <cellXfs count="156">
    <xf numFmtId="0" fontId="0" fillId="0" borderId="0" xfId="0"/>
    <xf numFmtId="0" fontId="2" fillId="2" borderId="0" xfId="0" applyFont="1" applyFill="1" applyAlignment="1">
      <alignment vertical="center" wrapText="1"/>
    </xf>
    <xf numFmtId="0" fontId="2" fillId="2" borderId="3" xfId="0" applyFont="1" applyFill="1" applyBorder="1" applyAlignment="1">
      <alignment horizontal="centerContinuous" vertical="center" wrapText="1"/>
    </xf>
    <xf numFmtId="14" fontId="3" fillId="2" borderId="0" xfId="0" applyNumberFormat="1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4" fillId="0" borderId="0" xfId="0" applyFont="1" applyAlignment="1">
      <alignment wrapText="1"/>
    </xf>
    <xf numFmtId="0" fontId="3" fillId="2" borderId="0" xfId="0" applyFont="1" applyFill="1" applyAlignment="1">
      <alignment vertical="center" wrapText="1"/>
    </xf>
    <xf numFmtId="0" fontId="5" fillId="2" borderId="0" xfId="0" applyFont="1" applyFill="1" applyAlignment="1">
      <alignment horizontal="center" vertical="center" wrapText="1"/>
    </xf>
    <xf numFmtId="0" fontId="4" fillId="0" borderId="0" xfId="0" applyFont="1"/>
    <xf numFmtId="0" fontId="6" fillId="0" borderId="0" xfId="0" applyFont="1" applyAlignment="1">
      <alignment vertical="top" wrapText="1"/>
    </xf>
    <xf numFmtId="41" fontId="4" fillId="0" borderId="0" xfId="0" applyNumberFormat="1" applyFont="1"/>
    <xf numFmtId="37" fontId="4" fillId="0" borderId="0" xfId="0" applyNumberFormat="1" applyFont="1" applyAlignment="1">
      <alignment wrapText="1"/>
    </xf>
    <xf numFmtId="0" fontId="8" fillId="3" borderId="4" xfId="0" applyFont="1" applyFill="1" applyBorder="1" applyAlignment="1">
      <alignment vertical="top" wrapText="1"/>
    </xf>
    <xf numFmtId="5" fontId="8" fillId="3" borderId="2" xfId="0" applyNumberFormat="1" applyFont="1" applyFill="1" applyBorder="1" applyAlignment="1">
      <alignment horizontal="right" vertical="top" wrapText="1"/>
    </xf>
    <xf numFmtId="0" fontId="10" fillId="0" borderId="0" xfId="0" applyFont="1" applyAlignment="1">
      <alignment horizontal="left" vertical="center" wrapText="1" indent="1"/>
    </xf>
    <xf numFmtId="166" fontId="10" fillId="0" borderId="0" xfId="1" applyNumberFormat="1" applyFont="1" applyBorder="1" applyAlignment="1">
      <alignment horizontal="right" vertical="center" wrapText="1"/>
    </xf>
    <xf numFmtId="9" fontId="6" fillId="0" borderId="0" xfId="1" applyFont="1" applyAlignment="1">
      <alignment horizontal="left" vertical="top" wrapText="1" indent="1"/>
    </xf>
    <xf numFmtId="9" fontId="11" fillId="0" borderId="0" xfId="1" applyFont="1" applyAlignment="1">
      <alignment horizontal="right" vertical="top" wrapText="1"/>
    </xf>
    <xf numFmtId="9" fontId="4" fillId="0" borderId="0" xfId="1" applyFont="1" applyAlignment="1">
      <alignment wrapText="1"/>
    </xf>
    <xf numFmtId="9" fontId="12" fillId="0" borderId="0" xfId="1" applyFont="1" applyAlignment="1">
      <alignment horizontal="right" vertical="top" wrapText="1"/>
    </xf>
    <xf numFmtId="9" fontId="4" fillId="0" borderId="0" xfId="1" applyFont="1"/>
    <xf numFmtId="0" fontId="6" fillId="0" borderId="0" xfId="0" quotePrefix="1" applyFont="1" applyAlignment="1">
      <alignment vertical="top" wrapText="1"/>
    </xf>
    <xf numFmtId="37" fontId="6" fillId="0" borderId="0" xfId="0" applyNumberFormat="1" applyFont="1" applyAlignment="1">
      <alignment horizontal="right" vertical="top" wrapText="1"/>
    </xf>
    <xf numFmtId="0" fontId="8" fillId="0" borderId="0" xfId="0" applyFont="1" applyAlignment="1">
      <alignment vertical="top" wrapText="1"/>
    </xf>
    <xf numFmtId="5" fontId="8" fillId="0" borderId="2" xfId="0" applyNumberFormat="1" applyFont="1" applyBorder="1" applyAlignment="1">
      <alignment horizontal="right" vertical="top" wrapText="1"/>
    </xf>
    <xf numFmtId="9" fontId="13" fillId="0" borderId="0" xfId="1" applyFont="1" applyBorder="1" applyAlignment="1">
      <alignment horizontal="right" vertical="center" wrapText="1"/>
    </xf>
    <xf numFmtId="0" fontId="14" fillId="0" borderId="0" xfId="0" applyFont="1" applyAlignment="1">
      <alignment wrapText="1"/>
    </xf>
    <xf numFmtId="0" fontId="7" fillId="0" borderId="0" xfId="0" applyFont="1" applyAlignment="1">
      <alignment horizontal="left" vertical="center" wrapText="1" indent="1"/>
    </xf>
    <xf numFmtId="9" fontId="6" fillId="0" borderId="0" xfId="1" applyFont="1" applyBorder="1" applyAlignment="1">
      <alignment horizontal="right" vertical="center" wrapText="1"/>
    </xf>
    <xf numFmtId="0" fontId="4" fillId="0" borderId="0" xfId="0" quotePrefix="1" applyFont="1"/>
    <xf numFmtId="41" fontId="6" fillId="0" borderId="0" xfId="0" applyNumberFormat="1" applyFont="1" applyAlignment="1">
      <alignment horizontal="right" vertical="top" wrapText="1"/>
    </xf>
    <xf numFmtId="0" fontId="2" fillId="2" borderId="0" xfId="0" applyFont="1" applyFill="1" applyAlignment="1">
      <alignment wrapText="1"/>
    </xf>
    <xf numFmtId="0" fontId="15" fillId="0" borderId="5" xfId="0" applyFont="1" applyBorder="1"/>
    <xf numFmtId="0" fontId="15" fillId="0" borderId="0" xfId="0" applyFont="1"/>
    <xf numFmtId="0" fontId="4" fillId="0" borderId="1" xfId="0" applyFont="1" applyBorder="1"/>
    <xf numFmtId="0" fontId="4" fillId="2" borderId="0" xfId="0" applyFont="1" applyFill="1" applyAlignment="1">
      <alignment wrapText="1"/>
    </xf>
    <xf numFmtId="0" fontId="4" fillId="3" borderId="0" xfId="0" applyFont="1" applyFill="1" applyAlignment="1">
      <alignment wrapText="1"/>
    </xf>
    <xf numFmtId="165" fontId="4" fillId="0" borderId="0" xfId="0" applyNumberFormat="1" applyFont="1" applyAlignment="1">
      <alignment wrapText="1"/>
    </xf>
    <xf numFmtId="37" fontId="8" fillId="0" borderId="0" xfId="0" applyNumberFormat="1" applyFont="1" applyAlignment="1">
      <alignment horizontal="right" vertical="top" wrapText="1"/>
    </xf>
    <xf numFmtId="165" fontId="15" fillId="0" borderId="0" xfId="0" applyNumberFormat="1" applyFont="1" applyAlignment="1">
      <alignment wrapText="1"/>
    </xf>
    <xf numFmtId="9" fontId="6" fillId="0" borderId="0" xfId="1" applyFont="1" applyFill="1" applyBorder="1" applyAlignment="1">
      <alignment horizontal="right" vertical="center" wrapText="1"/>
    </xf>
    <xf numFmtId="0" fontId="6" fillId="0" borderId="0" xfId="0" applyFont="1" applyAlignment="1">
      <alignment horizontal="left" vertical="top" wrapText="1"/>
    </xf>
    <xf numFmtId="10" fontId="16" fillId="0" borderId="0" xfId="1" applyNumberFormat="1" applyFont="1" applyFill="1" applyAlignment="1">
      <alignment horizont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5" fontId="8" fillId="0" borderId="0" xfId="0" applyNumberFormat="1" applyFont="1" applyAlignment="1">
      <alignment horizontal="right" vertical="top" wrapText="1"/>
    </xf>
    <xf numFmtId="37" fontId="15" fillId="0" borderId="0" xfId="0" applyNumberFormat="1" applyFont="1" applyAlignment="1">
      <alignment wrapText="1"/>
    </xf>
    <xf numFmtId="37" fontId="8" fillId="0" borderId="0" xfId="0" applyNumberFormat="1" applyFont="1" applyAlignment="1">
      <alignment wrapText="1"/>
    </xf>
    <xf numFmtId="0" fontId="8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17" fillId="0" borderId="0" xfId="0" applyFont="1" applyAlignment="1">
      <alignment wrapText="1"/>
    </xf>
    <xf numFmtId="164" fontId="4" fillId="0" borderId="0" xfId="2" applyNumberFormat="1" applyFont="1" applyBorder="1" applyAlignment="1">
      <alignment wrapText="1"/>
    </xf>
    <xf numFmtId="0" fontId="4" fillId="0" borderId="0" xfId="0" applyFont="1" applyAlignment="1">
      <alignment horizontal="left" wrapText="1" indent="1"/>
    </xf>
    <xf numFmtId="37" fontId="11" fillId="0" borderId="0" xfId="2" applyNumberFormat="1" applyFont="1" applyBorder="1" applyAlignment="1">
      <alignment wrapText="1"/>
    </xf>
    <xf numFmtId="37" fontId="11" fillId="0" borderId="0" xfId="2" applyNumberFormat="1" applyFont="1" applyFill="1" applyBorder="1" applyAlignment="1">
      <alignment wrapText="1"/>
    </xf>
    <xf numFmtId="0" fontId="4" fillId="0" borderId="0" xfId="0" applyFont="1" applyAlignment="1">
      <alignment horizontal="left" indent="1"/>
    </xf>
    <xf numFmtId="37" fontId="8" fillId="0" borderId="0" xfId="2" applyNumberFormat="1" applyFont="1" applyBorder="1" applyAlignment="1">
      <alignment wrapText="1"/>
    </xf>
    <xf numFmtId="37" fontId="15" fillId="0" borderId="0" xfId="2" applyNumberFormat="1" applyFont="1" applyBorder="1" applyAlignment="1">
      <alignment wrapText="1"/>
    </xf>
    <xf numFmtId="37" fontId="15" fillId="0" borderId="0" xfId="2" applyNumberFormat="1" applyFont="1" applyFill="1" applyBorder="1" applyAlignment="1">
      <alignment wrapText="1"/>
    </xf>
    <xf numFmtId="37" fontId="18" fillId="0" borderId="0" xfId="2" applyNumberFormat="1" applyFont="1" applyFill="1" applyBorder="1" applyAlignment="1">
      <alignment wrapText="1"/>
    </xf>
    <xf numFmtId="0" fontId="20" fillId="0" borderId="0" xfId="0" applyFont="1" applyAlignment="1">
      <alignment vertical="top" wrapText="1"/>
    </xf>
    <xf numFmtId="0" fontId="21" fillId="0" borderId="0" xfId="0" applyFont="1" applyAlignment="1">
      <alignment vertical="top" wrapText="1"/>
    </xf>
    <xf numFmtId="43" fontId="21" fillId="0" borderId="0" xfId="0" applyNumberFormat="1" applyFont="1" applyAlignment="1">
      <alignment wrapText="1"/>
    </xf>
    <xf numFmtId="0" fontId="22" fillId="0" borderId="0" xfId="0" applyFont="1" applyAlignment="1">
      <alignment wrapText="1"/>
    </xf>
    <xf numFmtId="41" fontId="8" fillId="0" borderId="0" xfId="0" applyNumberFormat="1" applyFont="1" applyAlignment="1">
      <alignment horizontal="right" vertical="top" wrapText="1"/>
    </xf>
    <xf numFmtId="0" fontId="4" fillId="0" borderId="1" xfId="0" applyFont="1" applyBorder="1" applyAlignment="1">
      <alignment wrapText="1"/>
    </xf>
    <xf numFmtId="164" fontId="4" fillId="0" borderId="1" xfId="2" applyNumberFormat="1" applyFont="1" applyBorder="1" applyAlignment="1">
      <alignment wrapText="1"/>
    </xf>
    <xf numFmtId="166" fontId="7" fillId="4" borderId="0" xfId="1" applyNumberFormat="1" applyFont="1" applyFill="1" applyBorder="1" applyAlignment="1">
      <alignment horizontal="right" vertical="center" wrapText="1"/>
    </xf>
    <xf numFmtId="166" fontId="9" fillId="4" borderId="0" xfId="1" applyNumberFormat="1" applyFont="1" applyFill="1" applyBorder="1" applyAlignment="1">
      <alignment horizontal="right" vertical="center" wrapText="1"/>
    </xf>
    <xf numFmtId="168" fontId="9" fillId="4" borderId="0" xfId="1" applyNumberFormat="1" applyFont="1" applyFill="1" applyBorder="1" applyAlignment="1">
      <alignment horizontal="right" vertical="center" wrapText="1"/>
    </xf>
    <xf numFmtId="7" fontId="8" fillId="3" borderId="2" xfId="0" applyNumberFormat="1" applyFont="1" applyFill="1" applyBorder="1" applyAlignment="1">
      <alignment horizontal="right" vertical="top" wrapText="1"/>
    </xf>
    <xf numFmtId="0" fontId="8" fillId="0" borderId="5" xfId="0" applyFont="1" applyBorder="1" applyAlignment="1">
      <alignment vertical="top" wrapText="1"/>
    </xf>
    <xf numFmtId="41" fontId="24" fillId="0" borderId="0" xfId="0" applyNumberFormat="1" applyFont="1" applyAlignment="1">
      <alignment horizontal="right" vertical="center" wrapText="1"/>
    </xf>
    <xf numFmtId="0" fontId="15" fillId="0" borderId="0" xfId="0" applyFont="1" applyAlignment="1">
      <alignment horizontal="center"/>
    </xf>
    <xf numFmtId="41" fontId="11" fillId="0" borderId="0" xfId="0" applyNumberFormat="1" applyFont="1"/>
    <xf numFmtId="41" fontId="11" fillId="0" borderId="0" xfId="0" applyNumberFormat="1" applyFont="1" applyAlignment="1">
      <alignment horizontal="right" vertical="top" wrapText="1"/>
    </xf>
    <xf numFmtId="0" fontId="4" fillId="0" borderId="0" xfId="0" quotePrefix="1" applyFont="1" applyAlignment="1">
      <alignment horizontal="left" indent="1"/>
    </xf>
    <xf numFmtId="14" fontId="3" fillId="2" borderId="0" xfId="0" quotePrefix="1" applyNumberFormat="1" applyFont="1" applyFill="1" applyAlignment="1">
      <alignment horizontal="center" vertical="center" wrapText="1"/>
    </xf>
    <xf numFmtId="3" fontId="4" fillId="0" borderId="0" xfId="0" applyNumberFormat="1" applyFont="1" applyAlignment="1">
      <alignment wrapText="1"/>
    </xf>
    <xf numFmtId="41" fontId="25" fillId="0" borderId="0" xfId="0" applyNumberFormat="1" applyFont="1"/>
    <xf numFmtId="37" fontId="11" fillId="0" borderId="0" xfId="0" applyNumberFormat="1" applyFont="1" applyAlignment="1">
      <alignment horizontal="right" vertical="top" wrapText="1"/>
    </xf>
    <xf numFmtId="41" fontId="6" fillId="0" borderId="0" xfId="0" applyNumberFormat="1" applyFont="1" applyAlignment="1">
      <alignment horizontal="right" wrapText="1"/>
    </xf>
    <xf numFmtId="0" fontId="2" fillId="6" borderId="0" xfId="0" applyFont="1" applyFill="1" applyAlignment="1">
      <alignment vertical="center" wrapText="1"/>
    </xf>
    <xf numFmtId="0" fontId="3" fillId="6" borderId="0" xfId="0" applyFont="1" applyFill="1" applyAlignment="1">
      <alignment vertical="center" wrapText="1"/>
    </xf>
    <xf numFmtId="166" fontId="7" fillId="0" borderId="0" xfId="1" applyNumberFormat="1" applyFont="1" applyFill="1" applyBorder="1" applyAlignment="1">
      <alignment horizontal="right" vertical="center" wrapText="1"/>
    </xf>
    <xf numFmtId="0" fontId="2" fillId="2" borderId="0" xfId="0" applyFont="1" applyFill="1" applyAlignment="1">
      <alignment horizontal="centerContinuous" vertical="center" wrapText="1"/>
    </xf>
    <xf numFmtId="0" fontId="2" fillId="6" borderId="3" xfId="0" applyFont="1" applyFill="1" applyBorder="1" applyAlignment="1">
      <alignment horizontal="centerContinuous" vertical="center" wrapText="1"/>
    </xf>
    <xf numFmtId="0" fontId="4" fillId="6" borderId="0" xfId="0" applyFont="1" applyFill="1" applyAlignment="1">
      <alignment wrapText="1"/>
    </xf>
    <xf numFmtId="0" fontId="5" fillId="6" borderId="0" xfId="0" applyFont="1" applyFill="1" applyAlignment="1">
      <alignment horizontal="center" vertical="center" wrapText="1"/>
    </xf>
    <xf numFmtId="14" fontId="3" fillId="6" borderId="0" xfId="0" applyNumberFormat="1" applyFont="1" applyFill="1" applyAlignment="1">
      <alignment horizontal="center" vertical="center" wrapText="1"/>
    </xf>
    <xf numFmtId="0" fontId="2" fillId="7" borderId="0" xfId="0" applyFont="1" applyFill="1" applyAlignment="1">
      <alignment vertical="center" wrapText="1"/>
    </xf>
    <xf numFmtId="0" fontId="2" fillId="7" borderId="3" xfId="0" applyFont="1" applyFill="1" applyBorder="1" applyAlignment="1">
      <alignment horizontal="centerContinuous" vertical="center" wrapText="1"/>
    </xf>
    <xf numFmtId="0" fontId="4" fillId="7" borderId="0" xfId="0" applyFont="1" applyFill="1" applyAlignment="1">
      <alignment wrapText="1"/>
    </xf>
    <xf numFmtId="0" fontId="5" fillId="7" borderId="0" xfId="0" applyFont="1" applyFill="1" applyAlignment="1">
      <alignment horizontal="center" vertical="center" wrapText="1"/>
    </xf>
    <xf numFmtId="0" fontId="3" fillId="7" borderId="0" xfId="0" applyFont="1" applyFill="1" applyAlignment="1">
      <alignment vertical="center" wrapText="1"/>
    </xf>
    <xf numFmtId="0" fontId="5" fillId="7" borderId="0" xfId="0" applyFont="1" applyFill="1" applyAlignment="1">
      <alignment vertical="center" wrapText="1"/>
    </xf>
    <xf numFmtId="14" fontId="3" fillId="7" borderId="0" xfId="0" applyNumberFormat="1" applyFont="1" applyFill="1" applyAlignment="1">
      <alignment horizontal="center" vertical="center" wrapText="1"/>
    </xf>
    <xf numFmtId="14" fontId="3" fillId="7" borderId="0" xfId="0" applyNumberFormat="1" applyFont="1" applyFill="1" applyAlignment="1">
      <alignment vertical="center" wrapText="1"/>
    </xf>
    <xf numFmtId="166" fontId="10" fillId="8" borderId="0" xfId="1" applyNumberFormat="1" applyFont="1" applyFill="1" applyBorder="1" applyAlignment="1">
      <alignment horizontal="right" vertical="center" wrapText="1"/>
    </xf>
    <xf numFmtId="0" fontId="21" fillId="0" borderId="1" xfId="0" applyFont="1" applyBorder="1" applyAlignment="1">
      <alignment vertical="top" wrapText="1"/>
    </xf>
    <xf numFmtId="43" fontId="21" fillId="0" borderId="1" xfId="0" applyNumberFormat="1" applyFont="1" applyBorder="1" applyAlignment="1">
      <alignment wrapText="1"/>
    </xf>
    <xf numFmtId="0" fontId="22" fillId="0" borderId="1" xfId="0" applyFont="1" applyBorder="1" applyAlignment="1">
      <alignment wrapText="1"/>
    </xf>
    <xf numFmtId="0" fontId="14" fillId="0" borderId="1" xfId="0" applyFont="1" applyBorder="1" applyAlignment="1">
      <alignment wrapText="1"/>
    </xf>
    <xf numFmtId="0" fontId="6" fillId="0" borderId="0" xfId="0" applyFont="1" applyAlignment="1">
      <alignment wrapText="1"/>
    </xf>
    <xf numFmtId="41" fontId="11" fillId="0" borderId="0" xfId="0" applyNumberFormat="1" applyFont="1" applyAlignment="1">
      <alignment horizontal="right" wrapText="1"/>
    </xf>
    <xf numFmtId="41" fontId="6" fillId="0" borderId="0" xfId="0" applyNumberFormat="1" applyFont="1"/>
    <xf numFmtId="0" fontId="14" fillId="3" borderId="0" xfId="0" applyFont="1" applyFill="1"/>
    <xf numFmtId="166" fontId="10" fillId="3" borderId="0" xfId="1" applyNumberFormat="1" applyFont="1" applyFill="1" applyBorder="1" applyAlignment="1">
      <alignment horizontal="right" vertical="center" wrapText="1"/>
    </xf>
    <xf numFmtId="166" fontId="27" fillId="3" borderId="0" xfId="1" applyNumberFormat="1" applyFont="1" applyFill="1" applyBorder="1" applyAlignment="1">
      <alignment horizontal="right" vertical="center" wrapText="1"/>
    </xf>
    <xf numFmtId="167" fontId="27" fillId="3" borderId="0" xfId="1" applyNumberFormat="1" applyFont="1" applyFill="1" applyBorder="1" applyAlignment="1">
      <alignment horizontal="right" vertical="center" wrapText="1"/>
    </xf>
    <xf numFmtId="0" fontId="14" fillId="0" borderId="0" xfId="0" applyFont="1"/>
    <xf numFmtId="0" fontId="15" fillId="0" borderId="5" xfId="0" applyFont="1" applyBorder="1" applyAlignment="1">
      <alignment wrapText="1"/>
    </xf>
    <xf numFmtId="5" fontId="8" fillId="5" borderId="2" xfId="0" applyNumberFormat="1" applyFont="1" applyFill="1" applyBorder="1" applyAlignment="1">
      <alignment horizontal="right" vertical="top" wrapText="1"/>
    </xf>
    <xf numFmtId="0" fontId="29" fillId="0" borderId="0" xfId="0" applyFont="1" applyAlignment="1">
      <alignment horizontal="right" vertical="center" wrapText="1"/>
    </xf>
    <xf numFmtId="0" fontId="23" fillId="9" borderId="6" xfId="0" applyFont="1" applyFill="1" applyBorder="1"/>
    <xf numFmtId="9" fontId="30" fillId="0" borderId="2" xfId="1" applyFont="1" applyBorder="1"/>
    <xf numFmtId="9" fontId="10" fillId="0" borderId="2" xfId="1" applyFont="1" applyBorder="1"/>
    <xf numFmtId="9" fontId="10" fillId="0" borderId="7" xfId="1" applyFont="1" applyBorder="1"/>
    <xf numFmtId="0" fontId="23" fillId="9" borderId="8" xfId="0" applyFont="1" applyFill="1" applyBorder="1"/>
    <xf numFmtId="9" fontId="30" fillId="0" borderId="0" xfId="1" applyFont="1" applyBorder="1"/>
    <xf numFmtId="9" fontId="10" fillId="0" borderId="0" xfId="1" applyFont="1" applyBorder="1"/>
    <xf numFmtId="9" fontId="10" fillId="0" borderId="9" xfId="1" applyFont="1" applyBorder="1"/>
    <xf numFmtId="0" fontId="23" fillId="9" borderId="10" xfId="0" applyFont="1" applyFill="1" applyBorder="1"/>
    <xf numFmtId="9" fontId="30" fillId="0" borderId="5" xfId="1" applyFont="1" applyBorder="1"/>
    <xf numFmtId="9" fontId="10" fillId="0" borderId="5" xfId="1" applyFont="1" applyBorder="1"/>
    <xf numFmtId="9" fontId="10" fillId="0" borderId="11" xfId="1" applyFont="1" applyBorder="1"/>
    <xf numFmtId="9" fontId="10" fillId="0" borderId="2" xfId="1" applyFont="1" applyBorder="1" applyAlignment="1">
      <alignment horizontal="right"/>
    </xf>
    <xf numFmtId="9" fontId="10" fillId="0" borderId="5" xfId="1" applyFont="1" applyBorder="1" applyAlignment="1">
      <alignment horizontal="right"/>
    </xf>
    <xf numFmtId="9" fontId="10" fillId="0" borderId="0" xfId="1" applyFont="1" applyBorder="1" applyAlignment="1">
      <alignment horizontal="right"/>
    </xf>
    <xf numFmtId="0" fontId="4" fillId="0" borderId="0" xfId="0" quotePrefix="1" applyFont="1" applyAlignment="1">
      <alignment wrapText="1"/>
    </xf>
    <xf numFmtId="41" fontId="4" fillId="0" borderId="0" xfId="0" applyNumberFormat="1" applyFont="1" applyAlignment="1">
      <alignment vertical="center"/>
    </xf>
    <xf numFmtId="41" fontId="25" fillId="0" borderId="0" xfId="0" applyNumberFormat="1" applyFont="1" applyAlignment="1">
      <alignment vertical="center"/>
    </xf>
    <xf numFmtId="41" fontId="6" fillId="0" borderId="0" xfId="0" applyNumberFormat="1" applyFont="1" applyAlignment="1">
      <alignment horizontal="right" vertical="center" wrapText="1"/>
    </xf>
    <xf numFmtId="169" fontId="4" fillId="0" borderId="0" xfId="0" applyNumberFormat="1" applyFont="1"/>
    <xf numFmtId="41" fontId="6" fillId="0" borderId="0" xfId="0" applyNumberFormat="1" applyFont="1" applyAlignment="1">
      <alignment vertical="center"/>
    </xf>
    <xf numFmtId="169" fontId="4" fillId="8" borderId="0" xfId="0" applyNumberFormat="1" applyFont="1" applyFill="1"/>
    <xf numFmtId="43" fontId="21" fillId="0" borderId="12" xfId="0" applyNumberFormat="1" applyFont="1" applyBorder="1" applyAlignment="1">
      <alignment wrapText="1"/>
    </xf>
    <xf numFmtId="41" fontId="6" fillId="0" borderId="12" xfId="0" applyNumberFormat="1" applyFont="1" applyBorder="1" applyAlignment="1">
      <alignment horizontal="right" vertical="top" wrapText="1"/>
    </xf>
    <xf numFmtId="41" fontId="6" fillId="0" borderId="13" xfId="0" applyNumberFormat="1" applyFont="1" applyBorder="1" applyAlignment="1">
      <alignment horizontal="right" vertical="top" wrapText="1"/>
    </xf>
    <xf numFmtId="5" fontId="8" fillId="5" borderId="14" xfId="0" applyNumberFormat="1" applyFont="1" applyFill="1" applyBorder="1" applyAlignment="1">
      <alignment horizontal="right" vertical="top" wrapText="1"/>
    </xf>
    <xf numFmtId="37" fontId="4" fillId="0" borderId="13" xfId="0" applyNumberFormat="1" applyFont="1" applyBorder="1" applyAlignment="1">
      <alignment wrapText="1"/>
    </xf>
    <xf numFmtId="43" fontId="21" fillId="0" borderId="15" xfId="0" applyNumberFormat="1" applyFont="1" applyBorder="1" applyAlignment="1">
      <alignment wrapText="1"/>
    </xf>
    <xf numFmtId="41" fontId="8" fillId="0" borderId="16" xfId="0" applyNumberFormat="1" applyFont="1" applyBorder="1" applyAlignment="1">
      <alignment horizontal="right" vertical="top" wrapText="1"/>
    </xf>
    <xf numFmtId="41" fontId="7" fillId="0" borderId="17" xfId="0" applyNumberFormat="1" applyFont="1" applyBorder="1" applyAlignment="1">
      <alignment horizontal="right" vertical="top" wrapText="1"/>
    </xf>
    <xf numFmtId="0" fontId="8" fillId="5" borderId="17" xfId="0" applyFont="1" applyFill="1" applyBorder="1" applyAlignment="1">
      <alignment horizontal="right" vertical="center" wrapText="1"/>
    </xf>
    <xf numFmtId="41" fontId="8" fillId="0" borderId="17" xfId="0" applyNumberFormat="1" applyFont="1" applyBorder="1" applyAlignment="1">
      <alignment horizontal="right" vertical="top" wrapText="1"/>
    </xf>
    <xf numFmtId="0" fontId="4" fillId="0" borderId="17" xfId="0" applyFont="1" applyBorder="1"/>
    <xf numFmtId="0" fontId="21" fillId="0" borderId="18" xfId="0" applyFont="1" applyBorder="1" applyAlignment="1">
      <alignment horizontal="right" vertical="top" wrapText="1"/>
    </xf>
    <xf numFmtId="41" fontId="6" fillId="0" borderId="19" xfId="0" applyNumberFormat="1" applyFont="1" applyBorder="1" applyAlignment="1">
      <alignment horizontal="right" vertical="top" wrapText="1"/>
    </xf>
    <xf numFmtId="0" fontId="2" fillId="2" borderId="0" xfId="0" applyFont="1" applyFill="1" applyAlignment="1">
      <alignment horizontal="center" vertical="center" wrapText="1"/>
    </xf>
    <xf numFmtId="0" fontId="5" fillId="7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28" fillId="2" borderId="0" xfId="0" applyFont="1" applyFill="1" applyAlignment="1">
      <alignment horizontal="center" vertical="center" wrapText="1"/>
    </xf>
    <xf numFmtId="41" fontId="11" fillId="0" borderId="19" xfId="0" applyNumberFormat="1" applyFont="1" applyBorder="1" applyAlignment="1">
      <alignment horizontal="right" vertical="top" wrapText="1"/>
    </xf>
    <xf numFmtId="5" fontId="6" fillId="0" borderId="20" xfId="0" applyNumberFormat="1" applyFont="1" applyBorder="1" applyAlignment="1">
      <alignment horizontal="right" vertical="top" wrapText="1"/>
    </xf>
  </cellXfs>
  <cellStyles count="5">
    <cellStyle name="%" xfId="3" xr:uid="{B2D0E839-0EB6-4A26-A036-4291FCE77A81}"/>
    <cellStyle name="******************************************" xfId="4" xr:uid="{7C8B12D3-B631-462E-992D-9CE2477EE747}"/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0000CC"/>
      <color rgb="FF00B03C"/>
      <color rgb="FF487B79"/>
      <color rgb="FF0E567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Integral">
  <a:themeElements>
    <a:clrScheme name="Integral">
      <a:dk1>
        <a:sysClr val="windowText" lastClr="000000"/>
      </a:dk1>
      <a:lt1>
        <a:sysClr val="window" lastClr="FFFFFF"/>
      </a:lt1>
      <a:dk2>
        <a:srgbClr val="335B74"/>
      </a:dk2>
      <a:lt2>
        <a:srgbClr val="DFE3E5"/>
      </a:lt2>
      <a:accent1>
        <a:srgbClr val="1CADE4"/>
      </a:accent1>
      <a:accent2>
        <a:srgbClr val="2683C6"/>
      </a:accent2>
      <a:accent3>
        <a:srgbClr val="27CED7"/>
      </a:accent3>
      <a:accent4>
        <a:srgbClr val="42BA97"/>
      </a:accent4>
      <a:accent5>
        <a:srgbClr val="3E8853"/>
      </a:accent5>
      <a:accent6>
        <a:srgbClr val="62A39F"/>
      </a:accent6>
      <a:hlink>
        <a:srgbClr val="6B9F25"/>
      </a:hlink>
      <a:folHlink>
        <a:srgbClr val="B26B02"/>
      </a:folHlink>
    </a:clrScheme>
    <a:fontScheme name="Integral">
      <a:majorFont>
        <a:latin typeface="Tw Cen MT Condensed" panose="020B06060201040202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Integral">
      <a:fillStyleLst>
        <a:solidFill>
          <a:schemeClr val="phClr"/>
        </a:solidFill>
        <a:gradFill rotWithShape="1">
          <a:gsLst>
            <a:gs pos="0">
              <a:schemeClr val="phClr">
                <a:tint val="83000"/>
                <a:satMod val="100000"/>
                <a:lumMod val="100000"/>
              </a:schemeClr>
            </a:gs>
            <a:gs pos="100000">
              <a:schemeClr val="phClr">
                <a:tint val="61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tint val="100000"/>
                <a:shade val="85000"/>
                <a:satMod val="100000"/>
                <a:lumMod val="100000"/>
              </a:schemeClr>
            </a:gs>
            <a:gs pos="100000">
              <a:schemeClr val="phClr"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76200" dist="25400" dir="5400000" algn="ct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flat" dir="t">
              <a:rot lat="0" lon="0" rev="3600000"/>
            </a:lightRig>
          </a:scene3d>
          <a:sp3d contourW="12700" prstMaterial="flat">
            <a:bevelT w="38100" h="44450" prst="angle"/>
            <a:contourClr>
              <a:schemeClr val="phClr">
                <a:shade val="35000"/>
                <a:satMod val="16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hade val="85000"/>
            <a:satMod val="125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tint val="95000"/>
                <a:shade val="74000"/>
                <a:satMod val="230000"/>
              </a:schemeClr>
              <a:schemeClr val="phClr">
                <a:tint val="92000"/>
                <a:shade val="69000"/>
                <a:satMod val="250000"/>
              </a:schemeClr>
            </a:duotone>
          </a:blip>
          <a:tile tx="0" ty="0" sx="40000" sy="4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ntegral" id="{3577F8C9-A904-41D8-97D2-FD898F53F20E}" vid="{682D6EBE-8D36-4FF2-9DB3-F3D8D7B6715D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7A1EF-DD86-43F0-AF53-6181CD7220DC}">
  <sheetPr>
    <tabColor rgb="FF002060"/>
  </sheetPr>
  <dimension ref="A2:AB161"/>
  <sheetViews>
    <sheetView showGridLines="0" tabSelected="1" zoomScaleNormal="100" workbookViewId="0">
      <selection activeCell="B2" sqref="B2"/>
    </sheetView>
  </sheetViews>
  <sheetFormatPr defaultRowHeight="12" outlineLevelCol="1"/>
  <cols>
    <col min="1" max="1" width="1.625" style="5" bestFit="1" customWidth="1"/>
    <col min="2" max="2" width="49.125" style="5" bestFit="1" customWidth="1"/>
    <col min="3" max="3" width="9.125" style="5" customWidth="1" outlineLevel="1"/>
    <col min="4" max="5" width="9.125" style="5" bestFit="1" customWidth="1"/>
    <col min="6" max="6" width="1.5" style="5" customWidth="1"/>
    <col min="7" max="8" width="7.875" style="5" customWidth="1" outlineLevel="1"/>
    <col min="9" max="10" width="8.625" style="5" customWidth="1" outlineLevel="1"/>
    <col min="11" max="12" width="7.875" style="5" customWidth="1" outlineLevel="1"/>
    <col min="13" max="13" width="8.625" style="5" bestFit="1" customWidth="1"/>
    <col min="14" max="14" width="8.625" style="5" customWidth="1"/>
    <col min="15" max="17" width="8" style="5" customWidth="1"/>
    <col min="18" max="18" width="1.5" style="5" customWidth="1"/>
    <col min="19" max="19" width="8.625" style="5" bestFit="1" customWidth="1" outlineLevel="1"/>
    <col min="20" max="21" width="7.875" style="5" bestFit="1" customWidth="1" outlineLevel="1"/>
    <col min="22" max="22" width="7.875" style="5" bestFit="1" customWidth="1"/>
    <col min="23" max="23" width="8.625" style="5" bestFit="1" customWidth="1" outlineLevel="1"/>
    <col min="24" max="25" width="7.875" style="5" bestFit="1" customWidth="1" outlineLevel="1"/>
    <col min="26" max="26" width="7.875" style="5" bestFit="1" customWidth="1"/>
    <col min="27" max="27" width="1.25" style="5" customWidth="1"/>
    <col min="28" max="28" width="10.5" style="5" bestFit="1" customWidth="1"/>
    <col min="29" max="29" width="1.375" style="5" customWidth="1"/>
    <col min="30" max="16384" width="9" style="5"/>
  </cols>
  <sheetData>
    <row r="2" spans="1:28" ht="12.75" customHeight="1">
      <c r="B2" s="1" t="s">
        <v>176</v>
      </c>
      <c r="C2" s="86"/>
      <c r="D2" s="86"/>
      <c r="E2" s="86"/>
      <c r="F2" s="3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3"/>
      <c r="S2" s="86"/>
      <c r="T2" s="86"/>
      <c r="U2" s="86"/>
      <c r="V2" s="86"/>
      <c r="W2" s="86"/>
      <c r="X2" s="86"/>
      <c r="Y2" s="86"/>
      <c r="Z2" s="86"/>
      <c r="AA2" s="3"/>
      <c r="AB2" s="1"/>
    </row>
    <row r="3" spans="1:28" ht="12.75" customHeight="1">
      <c r="B3" s="6" t="s">
        <v>78</v>
      </c>
      <c r="C3" s="7"/>
      <c r="D3" s="7"/>
      <c r="E3" s="7"/>
      <c r="F3" s="3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3"/>
      <c r="S3" s="4"/>
      <c r="T3" s="4"/>
      <c r="U3" s="4"/>
      <c r="V3" s="4"/>
      <c r="W3" s="4"/>
      <c r="X3" s="4"/>
      <c r="Y3" s="4"/>
      <c r="Z3" s="4"/>
      <c r="AA3" s="3"/>
      <c r="AB3" s="1"/>
    </row>
    <row r="4" spans="1:28" ht="12.75" customHeight="1">
      <c r="B4" s="6" t="s">
        <v>96</v>
      </c>
      <c r="C4" s="3"/>
      <c r="D4" s="78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1"/>
    </row>
    <row r="6" spans="1:28" ht="12.75" customHeight="1">
      <c r="A6" s="5" t="s">
        <v>18</v>
      </c>
      <c r="B6" s="1" t="s">
        <v>76</v>
      </c>
      <c r="C6" s="2"/>
      <c r="D6" s="2" t="s">
        <v>0</v>
      </c>
      <c r="E6" s="2"/>
      <c r="F6" s="3"/>
      <c r="G6" s="2" t="s">
        <v>1</v>
      </c>
      <c r="H6" s="2"/>
      <c r="I6" s="2"/>
      <c r="J6" s="2"/>
      <c r="K6" s="2"/>
      <c r="L6" s="2"/>
      <c r="M6" s="2" t="s">
        <v>1</v>
      </c>
      <c r="N6" s="2"/>
      <c r="O6" s="2"/>
      <c r="P6" s="2"/>
      <c r="Q6" s="2"/>
      <c r="R6" s="3"/>
      <c r="S6" s="2"/>
      <c r="T6" s="2"/>
      <c r="U6" s="2"/>
      <c r="V6" s="2" t="s">
        <v>10</v>
      </c>
      <c r="W6" s="2"/>
      <c r="X6" s="2"/>
      <c r="Y6" s="2"/>
      <c r="Z6" s="2"/>
      <c r="AA6" s="35"/>
      <c r="AB6" s="150" t="s">
        <v>24</v>
      </c>
    </row>
    <row r="7" spans="1:28" ht="12.75" customHeight="1">
      <c r="B7" s="6" t="s">
        <v>79</v>
      </c>
      <c r="C7" s="7">
        <v>2022</v>
      </c>
      <c r="D7" s="7">
        <v>2023</v>
      </c>
      <c r="E7" s="7">
        <v>2024</v>
      </c>
      <c r="F7" s="3"/>
      <c r="G7" s="4" t="s">
        <v>6</v>
      </c>
      <c r="H7" s="4" t="s">
        <v>7</v>
      </c>
      <c r="I7" s="4" t="s">
        <v>8</v>
      </c>
      <c r="J7" s="4" t="s">
        <v>9</v>
      </c>
      <c r="K7" s="4" t="s">
        <v>2</v>
      </c>
      <c r="L7" s="4" t="s">
        <v>3</v>
      </c>
      <c r="M7" s="4" t="s">
        <v>4</v>
      </c>
      <c r="N7" s="4" t="s">
        <v>5</v>
      </c>
      <c r="O7" s="4" t="s">
        <v>26</v>
      </c>
      <c r="P7" s="4" t="s">
        <v>27</v>
      </c>
      <c r="Q7" s="4" t="s">
        <v>109</v>
      </c>
      <c r="R7" s="4"/>
      <c r="S7" s="4" t="str">
        <f>J7</f>
        <v>4Q23</v>
      </c>
      <c r="T7" s="4" t="str">
        <f>K7</f>
        <v>1Q24</v>
      </c>
      <c r="U7" s="4" t="str">
        <f>L7</f>
        <v>2Q24</v>
      </c>
      <c r="V7" s="4" t="str">
        <f>M7</f>
        <v>3Q24</v>
      </c>
      <c r="W7" s="4" t="str">
        <f>N7</f>
        <v>4Q24</v>
      </c>
      <c r="X7" s="4" t="str">
        <f>O7</f>
        <v>1Q25</v>
      </c>
      <c r="Y7" s="4" t="str">
        <f>P7</f>
        <v>2Q25</v>
      </c>
      <c r="Z7" s="4" t="str">
        <f>Q7</f>
        <v>3Q25</v>
      </c>
      <c r="AA7" s="35"/>
      <c r="AB7" s="150"/>
    </row>
    <row r="8" spans="1:28" ht="12.75" customHeight="1">
      <c r="B8" s="6" t="s">
        <v>80</v>
      </c>
      <c r="C8" s="3">
        <v>44926</v>
      </c>
      <c r="D8" s="3">
        <v>45291</v>
      </c>
      <c r="E8" s="3">
        <v>45657</v>
      </c>
      <c r="F8" s="3"/>
      <c r="G8" s="3">
        <v>45016</v>
      </c>
      <c r="H8" s="3">
        <v>45107</v>
      </c>
      <c r="I8" s="3">
        <v>45199</v>
      </c>
      <c r="J8" s="3">
        <f>D8</f>
        <v>45291</v>
      </c>
      <c r="K8" s="3">
        <v>45382</v>
      </c>
      <c r="L8" s="3">
        <v>45473</v>
      </c>
      <c r="M8" s="3">
        <v>45565</v>
      </c>
      <c r="N8" s="3">
        <f>E8</f>
        <v>45657</v>
      </c>
      <c r="O8" s="3">
        <v>45747</v>
      </c>
      <c r="P8" s="3">
        <v>45838</v>
      </c>
      <c r="Q8" s="3">
        <v>45930</v>
      </c>
      <c r="R8" s="3"/>
      <c r="S8" s="3">
        <f>J8</f>
        <v>45291</v>
      </c>
      <c r="T8" s="3">
        <f>K8</f>
        <v>45382</v>
      </c>
      <c r="U8" s="3">
        <f>L8</f>
        <v>45473</v>
      </c>
      <c r="V8" s="3">
        <f>M8</f>
        <v>45565</v>
      </c>
      <c r="W8" s="3">
        <f>N8</f>
        <v>45657</v>
      </c>
      <c r="X8" s="3">
        <f>O8</f>
        <v>45747</v>
      </c>
      <c r="Y8" s="3">
        <f>P8</f>
        <v>45838</v>
      </c>
      <c r="Z8" s="3">
        <f>Q8</f>
        <v>45930</v>
      </c>
      <c r="AA8" s="35"/>
      <c r="AB8" s="150"/>
    </row>
    <row r="9" spans="1:28" ht="5.0999999999999996" customHeight="1">
      <c r="AB9" s="85"/>
    </row>
    <row r="10" spans="1:28" ht="12.75" customHeight="1">
      <c r="B10" s="9" t="s">
        <v>60</v>
      </c>
      <c r="C10" s="81">
        <v>43004</v>
      </c>
      <c r="D10" s="81">
        <v>45754</v>
      </c>
      <c r="E10" s="81">
        <v>47061</v>
      </c>
      <c r="F10" s="11"/>
      <c r="G10" s="81"/>
      <c r="H10" s="81"/>
      <c r="I10" s="81"/>
      <c r="J10" s="30">
        <f>SUM(D10-SUM(G10:I10))</f>
        <v>45754</v>
      </c>
      <c r="K10" s="81"/>
      <c r="L10" s="81"/>
      <c r="M10" s="81"/>
      <c r="N10" s="30">
        <f>SUM(E10-SUM(K10:M10))</f>
        <v>47061</v>
      </c>
      <c r="O10" s="81"/>
      <c r="P10" s="81"/>
      <c r="Q10" s="81"/>
      <c r="R10" s="30"/>
      <c r="S10" s="30">
        <f>SUM(G10:J10)</f>
        <v>45754</v>
      </c>
      <c r="T10" s="30">
        <f>SUM(H10:K10)</f>
        <v>45754</v>
      </c>
      <c r="U10" s="30">
        <f>SUM(I10:L10)</f>
        <v>45754</v>
      </c>
      <c r="V10" s="30">
        <f>SUM(J10:M10)</f>
        <v>45754</v>
      </c>
      <c r="W10" s="30">
        <f>SUM(K10:N10)</f>
        <v>47061</v>
      </c>
      <c r="X10" s="30">
        <f>SUM(L10:O10)</f>
        <v>47061</v>
      </c>
      <c r="Y10" s="30">
        <f>SUM(M10:P10)</f>
        <v>47061</v>
      </c>
      <c r="Z10" s="30">
        <f>SUM(N10:Q10)</f>
        <v>47061</v>
      </c>
      <c r="AA10" s="37"/>
      <c r="AB10" s="68">
        <f>SUM(Z10/V10)-1</f>
        <v>2.8565808453905772E-2</v>
      </c>
    </row>
    <row r="11" spans="1:28" ht="12.75" customHeight="1">
      <c r="B11" s="12" t="s">
        <v>12</v>
      </c>
      <c r="C11" s="13">
        <f t="shared" ref="C11:E11" si="0">+SUM(C10:C10)</f>
        <v>43004</v>
      </c>
      <c r="D11" s="13">
        <f t="shared" si="0"/>
        <v>45754</v>
      </c>
      <c r="E11" s="13">
        <f t="shared" si="0"/>
        <v>47061</v>
      </c>
      <c r="F11" s="11"/>
      <c r="G11" s="13">
        <f t="shared" ref="G11:P11" si="1">+SUM(G10:G10)</f>
        <v>0</v>
      </c>
      <c r="H11" s="13">
        <f t="shared" si="1"/>
        <v>0</v>
      </c>
      <c r="I11" s="13">
        <f t="shared" si="1"/>
        <v>0</v>
      </c>
      <c r="J11" s="13">
        <f t="shared" si="1"/>
        <v>45754</v>
      </c>
      <c r="K11" s="13">
        <f t="shared" si="1"/>
        <v>0</v>
      </c>
      <c r="L11" s="13">
        <f t="shared" si="1"/>
        <v>0</v>
      </c>
      <c r="M11" s="13">
        <f t="shared" si="1"/>
        <v>0</v>
      </c>
      <c r="N11" s="13">
        <f t="shared" si="1"/>
        <v>47061</v>
      </c>
      <c r="O11" s="13">
        <f t="shared" si="1"/>
        <v>0</v>
      </c>
      <c r="P11" s="13">
        <f t="shared" si="1"/>
        <v>0</v>
      </c>
      <c r="Q11" s="13">
        <f t="shared" ref="Q11" si="2">+SUM(Q10:Q10)</f>
        <v>0</v>
      </c>
      <c r="S11" s="13">
        <f t="shared" ref="S11:Z11" si="3">+SUM(S10:S10)</f>
        <v>45754</v>
      </c>
      <c r="T11" s="13">
        <f t="shared" si="3"/>
        <v>45754</v>
      </c>
      <c r="U11" s="13">
        <f t="shared" si="3"/>
        <v>45754</v>
      </c>
      <c r="V11" s="13">
        <f t="shared" si="3"/>
        <v>45754</v>
      </c>
      <c r="W11" s="13">
        <f t="shared" si="3"/>
        <v>47061</v>
      </c>
      <c r="X11" s="13">
        <f t="shared" si="3"/>
        <v>47061</v>
      </c>
      <c r="Y11" s="13">
        <f t="shared" si="3"/>
        <v>47061</v>
      </c>
      <c r="Z11" s="13">
        <f t="shared" si="3"/>
        <v>47061</v>
      </c>
      <c r="AA11" s="37"/>
      <c r="AB11" s="69">
        <f t="shared" ref="AB11:AB31" si="4">SUM(Z11/V11)-1</f>
        <v>2.8565808453905772E-2</v>
      </c>
    </row>
    <row r="12" spans="1:28" s="18" customFormat="1" ht="5.0999999999999996" customHeight="1">
      <c r="B12" s="16"/>
      <c r="C12" s="17"/>
      <c r="D12" s="17"/>
      <c r="E12" s="17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AB12" s="68"/>
    </row>
    <row r="13" spans="1:28" ht="12.75" customHeight="1">
      <c r="B13" s="9" t="s">
        <v>13</v>
      </c>
      <c r="C13" s="81">
        <v>-16740</v>
      </c>
      <c r="D13" s="81">
        <v>-17392</v>
      </c>
      <c r="E13" s="81">
        <v>-17249</v>
      </c>
      <c r="F13" s="22"/>
      <c r="G13" s="81"/>
      <c r="H13" s="81"/>
      <c r="I13" s="81"/>
      <c r="J13" s="30">
        <f>SUM(D13-SUM(G13:I13))</f>
        <v>-17392</v>
      </c>
      <c r="K13" s="76"/>
      <c r="L13" s="76"/>
      <c r="M13" s="76"/>
      <c r="N13" s="30">
        <f>SUM(E13-SUM(K13:M13))</f>
        <v>-17249</v>
      </c>
      <c r="O13" s="76"/>
      <c r="P13" s="76"/>
      <c r="Q13" s="76"/>
      <c r="S13" s="30">
        <f>SUM(G13:J13)</f>
        <v>-17392</v>
      </c>
      <c r="T13" s="30">
        <f>SUM(H13:K13)</f>
        <v>-17392</v>
      </c>
      <c r="U13" s="30">
        <f>SUM(I13:L13)</f>
        <v>-17392</v>
      </c>
      <c r="V13" s="30">
        <f>SUM(J13:M13)</f>
        <v>-17392</v>
      </c>
      <c r="W13" s="30">
        <f>SUM(K13:N13)</f>
        <v>-17249</v>
      </c>
      <c r="X13" s="30">
        <f>SUM(L13:O13)</f>
        <v>-17249</v>
      </c>
      <c r="Y13" s="30">
        <f>SUM(M13:P13)</f>
        <v>-17249</v>
      </c>
      <c r="Z13" s="30">
        <f>SUM(N13:Q13)</f>
        <v>-17249</v>
      </c>
      <c r="AA13" s="11"/>
      <c r="AB13" s="68">
        <f t="shared" si="4"/>
        <v>-8.2221711131554853E-3</v>
      </c>
    </row>
    <row r="14" spans="1:28" ht="12.75" customHeight="1">
      <c r="B14" s="23" t="s">
        <v>22</v>
      </c>
      <c r="C14" s="24">
        <f t="shared" ref="C14:E14" si="5">+SUM(C11+SUM(C13:C13))</f>
        <v>26264</v>
      </c>
      <c r="D14" s="24">
        <f t="shared" si="5"/>
        <v>28362</v>
      </c>
      <c r="E14" s="24">
        <f t="shared" si="5"/>
        <v>29812</v>
      </c>
      <c r="G14" s="24">
        <f t="shared" ref="G14:P14" si="6">+SUM(G11+SUM(G13:G13))</f>
        <v>0</v>
      </c>
      <c r="H14" s="24">
        <f t="shared" si="6"/>
        <v>0</v>
      </c>
      <c r="I14" s="24">
        <f t="shared" si="6"/>
        <v>0</v>
      </c>
      <c r="J14" s="24">
        <f t="shared" si="6"/>
        <v>28362</v>
      </c>
      <c r="K14" s="24">
        <f t="shared" si="6"/>
        <v>0</v>
      </c>
      <c r="L14" s="24">
        <f t="shared" si="6"/>
        <v>0</v>
      </c>
      <c r="M14" s="24">
        <f t="shared" si="6"/>
        <v>0</v>
      </c>
      <c r="N14" s="24">
        <f t="shared" si="6"/>
        <v>29812</v>
      </c>
      <c r="O14" s="24">
        <f t="shared" si="6"/>
        <v>0</v>
      </c>
      <c r="P14" s="24">
        <f t="shared" si="6"/>
        <v>0</v>
      </c>
      <c r="Q14" s="24">
        <f t="shared" ref="Q14" si="7">+SUM(Q11+SUM(Q13:Q13))</f>
        <v>0</v>
      </c>
      <c r="S14" s="24">
        <f t="shared" ref="S14:Z14" si="8">+SUM(S11+SUM(S13:S13))</f>
        <v>28362</v>
      </c>
      <c r="T14" s="24">
        <f t="shared" si="8"/>
        <v>28362</v>
      </c>
      <c r="U14" s="24">
        <f t="shared" si="8"/>
        <v>28362</v>
      </c>
      <c r="V14" s="24">
        <f t="shared" si="8"/>
        <v>28362</v>
      </c>
      <c r="W14" s="24">
        <f t="shared" si="8"/>
        <v>29812</v>
      </c>
      <c r="X14" s="24">
        <f t="shared" si="8"/>
        <v>29812</v>
      </c>
      <c r="Y14" s="24">
        <f t="shared" si="8"/>
        <v>29812</v>
      </c>
      <c r="Z14" s="24">
        <f t="shared" si="8"/>
        <v>29812</v>
      </c>
      <c r="AA14" s="39"/>
      <c r="AB14" s="69">
        <f t="shared" si="4"/>
        <v>5.112474437627812E-2</v>
      </c>
    </row>
    <row r="15" spans="1:28" ht="12.75" customHeight="1">
      <c r="B15" s="14" t="s">
        <v>32</v>
      </c>
      <c r="C15" s="15">
        <f t="shared" ref="C15:E15" si="9">C14/C11</f>
        <v>0.61073388521997951</v>
      </c>
      <c r="D15" s="15">
        <f t="shared" si="9"/>
        <v>0.61988022905101192</v>
      </c>
      <c r="E15" s="15">
        <f t="shared" si="9"/>
        <v>0.63347570174879408</v>
      </c>
      <c r="F15" s="25"/>
      <c r="G15" s="15" t="e">
        <f t="shared" ref="G15:P15" si="10">G14/G11</f>
        <v>#DIV/0!</v>
      </c>
      <c r="H15" s="15" t="e">
        <f t="shared" si="10"/>
        <v>#DIV/0!</v>
      </c>
      <c r="I15" s="15" t="e">
        <f t="shared" si="10"/>
        <v>#DIV/0!</v>
      </c>
      <c r="J15" s="15">
        <f t="shared" si="10"/>
        <v>0.61988022905101192</v>
      </c>
      <c r="K15" s="15" t="e">
        <f t="shared" si="10"/>
        <v>#DIV/0!</v>
      </c>
      <c r="L15" s="15" t="e">
        <f t="shared" si="10"/>
        <v>#DIV/0!</v>
      </c>
      <c r="M15" s="15" t="e">
        <f t="shared" si="10"/>
        <v>#DIV/0!</v>
      </c>
      <c r="N15" s="15">
        <f t="shared" si="10"/>
        <v>0.63347570174879408</v>
      </c>
      <c r="O15" s="15" t="e">
        <f t="shared" si="10"/>
        <v>#DIV/0!</v>
      </c>
      <c r="P15" s="15" t="e">
        <f t="shared" si="10"/>
        <v>#DIV/0!</v>
      </c>
      <c r="Q15" s="15" t="e">
        <f t="shared" ref="Q15" si="11">Q14/Q11</f>
        <v>#DIV/0!</v>
      </c>
      <c r="R15" s="26"/>
      <c r="S15" s="15">
        <f t="shared" ref="S15:Z15" si="12">S14/S11</f>
        <v>0.61988022905101192</v>
      </c>
      <c r="T15" s="15">
        <f t="shared" si="12"/>
        <v>0.61988022905101192</v>
      </c>
      <c r="U15" s="15">
        <f t="shared" si="12"/>
        <v>0.61988022905101192</v>
      </c>
      <c r="V15" s="15">
        <f t="shared" si="12"/>
        <v>0.61988022905101192</v>
      </c>
      <c r="W15" s="15">
        <f t="shared" si="12"/>
        <v>0.63347570174879408</v>
      </c>
      <c r="X15" s="15">
        <f t="shared" si="12"/>
        <v>0.63347570174879408</v>
      </c>
      <c r="Y15" s="15">
        <f t="shared" si="12"/>
        <v>0.63347570174879408</v>
      </c>
      <c r="Z15" s="15">
        <f t="shared" si="12"/>
        <v>0.63347570174879408</v>
      </c>
      <c r="AA15" s="39"/>
      <c r="AB15" s="70">
        <f>SUM(Z15-V15)*1000</f>
        <v>13.595472697782164</v>
      </c>
    </row>
    <row r="16" spans="1:28" ht="5.0999999999999996" customHeight="1">
      <c r="B16" s="27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S16" s="28"/>
      <c r="T16" s="28"/>
      <c r="U16" s="28"/>
      <c r="V16" s="28"/>
      <c r="W16" s="28"/>
      <c r="X16" s="28"/>
      <c r="Y16" s="28"/>
      <c r="Z16" s="28"/>
      <c r="AA16" s="39"/>
      <c r="AB16" s="68"/>
    </row>
    <row r="17" spans="2:28" ht="12.75" customHeight="1">
      <c r="B17" s="9" t="s">
        <v>117</v>
      </c>
      <c r="C17" s="76">
        <v>-12880</v>
      </c>
      <c r="D17" s="76">
        <v>-13972</v>
      </c>
      <c r="E17" s="76">
        <v>-14582</v>
      </c>
      <c r="F17" s="30"/>
      <c r="G17" s="81"/>
      <c r="H17" s="81"/>
      <c r="I17" s="81"/>
      <c r="J17" s="30">
        <f>SUM(D17-SUM(G17:I17))</f>
        <v>-13972</v>
      </c>
      <c r="K17" s="76"/>
      <c r="L17" s="76"/>
      <c r="M17" s="76"/>
      <c r="N17" s="30">
        <f>SUM(E17-SUM(K17:M17))</f>
        <v>-14582</v>
      </c>
      <c r="O17" s="76"/>
      <c r="P17" s="76"/>
      <c r="Q17" s="76"/>
      <c r="S17" s="30">
        <f>SUM(G17:J17)</f>
        <v>-13972</v>
      </c>
      <c r="T17" s="30">
        <f>SUM(H17:K17)</f>
        <v>-13972</v>
      </c>
      <c r="U17" s="30">
        <f>SUM(I17:L17)</f>
        <v>-13972</v>
      </c>
      <c r="V17" s="30">
        <f>SUM(J17:M17)</f>
        <v>-13972</v>
      </c>
      <c r="W17" s="30">
        <f>SUM(K17:N17)</f>
        <v>-14582</v>
      </c>
      <c r="X17" s="30">
        <f>SUM(L17:O17)</f>
        <v>-14582</v>
      </c>
      <c r="Y17" s="30">
        <f>SUM(M17:P17)</f>
        <v>-14582</v>
      </c>
      <c r="Z17" s="30">
        <f>SUM(N17:Q17)</f>
        <v>-14582</v>
      </c>
      <c r="AA17" s="11"/>
      <c r="AB17" s="68">
        <f t="shared" si="4"/>
        <v>4.3658746063555576E-2</v>
      </c>
    </row>
    <row r="18" spans="2:28" ht="12.75" customHeight="1">
      <c r="B18" s="9" t="s">
        <v>54</v>
      </c>
      <c r="C18" s="76">
        <v>-1260</v>
      </c>
      <c r="D18" s="76">
        <v>-1128</v>
      </c>
      <c r="E18" s="76">
        <v>-1075</v>
      </c>
      <c r="F18" s="30"/>
      <c r="G18" s="81"/>
      <c r="H18" s="81"/>
      <c r="I18" s="81"/>
      <c r="J18" s="30">
        <f>SUM(D18-SUM(G18:I18))</f>
        <v>-1128</v>
      </c>
      <c r="K18" s="76"/>
      <c r="L18" s="76"/>
      <c r="M18" s="76"/>
      <c r="N18" s="30">
        <f>SUM(E18-SUM(K18:M18))</f>
        <v>-1075</v>
      </c>
      <c r="O18" s="76"/>
      <c r="P18" s="76"/>
      <c r="Q18" s="76"/>
      <c r="S18" s="30">
        <f>SUM(G18:J18)</f>
        <v>-1128</v>
      </c>
      <c r="T18" s="30">
        <f>SUM(H18:K18)</f>
        <v>-1128</v>
      </c>
      <c r="U18" s="30">
        <f>SUM(I18:L18)</f>
        <v>-1128</v>
      </c>
      <c r="V18" s="30">
        <f>SUM(J18:M18)</f>
        <v>-1128</v>
      </c>
      <c r="W18" s="30">
        <f>SUM(K18:N18)</f>
        <v>-1075</v>
      </c>
      <c r="X18" s="30">
        <f>SUM(L18:O18)</f>
        <v>-1075</v>
      </c>
      <c r="Y18" s="30">
        <f>SUM(M18:P18)</f>
        <v>-1075</v>
      </c>
      <c r="Z18" s="30">
        <f>SUM(N18:Q18)</f>
        <v>-1075</v>
      </c>
      <c r="AA18" s="11"/>
      <c r="AB18" s="68">
        <f t="shared" ref="AB18" si="13">SUM(Z18/V18)-1</f>
        <v>-4.6985815602836878E-2</v>
      </c>
    </row>
    <row r="19" spans="2:28" ht="12.75" customHeight="1">
      <c r="B19" s="9" t="s">
        <v>118</v>
      </c>
      <c r="C19" s="76">
        <v>-1215</v>
      </c>
      <c r="D19" s="76">
        <v>-1951</v>
      </c>
      <c r="E19" s="76">
        <v>-4163</v>
      </c>
      <c r="F19" s="30"/>
      <c r="G19" s="81"/>
      <c r="H19" s="81"/>
      <c r="I19" s="81"/>
      <c r="J19" s="30">
        <f>SUM(D19-SUM(G19:I19))</f>
        <v>-1951</v>
      </c>
      <c r="K19" s="76"/>
      <c r="L19" s="76"/>
      <c r="M19" s="76"/>
      <c r="N19" s="30">
        <f>SUM(E19-SUM(K19:M19))</f>
        <v>-4163</v>
      </c>
      <c r="O19" s="76"/>
      <c r="P19" s="76"/>
      <c r="Q19" s="76"/>
      <c r="S19" s="30">
        <f>SUM(G19:J19)</f>
        <v>-1951</v>
      </c>
      <c r="T19" s="30">
        <f>SUM(H19:K19)</f>
        <v>-1951</v>
      </c>
      <c r="U19" s="30">
        <f>SUM(I19:L19)</f>
        <v>-1951</v>
      </c>
      <c r="V19" s="30">
        <f>SUM(J19:M19)</f>
        <v>-1951</v>
      </c>
      <c r="W19" s="30">
        <f>SUM(K19:N19)</f>
        <v>-4163</v>
      </c>
      <c r="X19" s="30">
        <f>SUM(L19:O19)</f>
        <v>-4163</v>
      </c>
      <c r="Y19" s="30">
        <f>SUM(M19:P19)</f>
        <v>-4163</v>
      </c>
      <c r="Z19" s="30">
        <f>SUM(N19:Q19)</f>
        <v>-4163</v>
      </c>
      <c r="AA19" s="11"/>
      <c r="AB19" s="68">
        <f t="shared" ref="AB19" si="14">SUM(Z19/V19)-1</f>
        <v>1.1337775499743721</v>
      </c>
    </row>
    <row r="20" spans="2:28" ht="12.75" customHeight="1">
      <c r="B20" s="23" t="s">
        <v>81</v>
      </c>
      <c r="C20" s="24">
        <f>+SUM(C14+SUM(C17:C19))</f>
        <v>10909</v>
      </c>
      <c r="D20" s="24">
        <f>+SUM(D14+SUM(D17:D19))</f>
        <v>11311</v>
      </c>
      <c r="E20" s="24">
        <f>+SUM(E14+SUM(E17:E19))</f>
        <v>9992</v>
      </c>
      <c r="F20" s="30"/>
      <c r="G20" s="24">
        <f>+SUM(G14+SUM(G17:G19))</f>
        <v>0</v>
      </c>
      <c r="H20" s="24">
        <f>+SUM(H14+SUM(H17:H19))</f>
        <v>0</v>
      </c>
      <c r="I20" s="24">
        <f>+SUM(I14+SUM(I17:I19))</f>
        <v>0</v>
      </c>
      <c r="J20" s="24">
        <f>+SUM(J14+SUM(J17:J19))</f>
        <v>11311</v>
      </c>
      <c r="K20" s="24">
        <f>+SUM(K14+SUM(K17:K19))</f>
        <v>0</v>
      </c>
      <c r="L20" s="24">
        <f>+SUM(L14+SUM(L17:L19))</f>
        <v>0</v>
      </c>
      <c r="M20" s="24">
        <f>+SUM(M14+SUM(M17:M19))</f>
        <v>0</v>
      </c>
      <c r="N20" s="24">
        <f>+SUM(N14+SUM(N17:N19))</f>
        <v>9992</v>
      </c>
      <c r="O20" s="24">
        <f>+SUM(O14+SUM(O17:O19))</f>
        <v>0</v>
      </c>
      <c r="P20" s="24">
        <f>+SUM(P14+SUM(P17:P19))</f>
        <v>0</v>
      </c>
      <c r="Q20" s="24">
        <f>+SUM(Q14+SUM(Q17:Q19))</f>
        <v>0</v>
      </c>
      <c r="S20" s="24">
        <f>+SUM(S14+SUM(S17:S19))</f>
        <v>11311</v>
      </c>
      <c r="T20" s="24">
        <f>+SUM(T14+SUM(T17:T19))</f>
        <v>11311</v>
      </c>
      <c r="U20" s="24">
        <f>+SUM(U14+SUM(U17:U19))</f>
        <v>11311</v>
      </c>
      <c r="V20" s="24">
        <f>+SUM(V14+SUM(V17:V19))</f>
        <v>11311</v>
      </c>
      <c r="W20" s="24">
        <f>+SUM(W14+SUM(W17:W19))</f>
        <v>9992</v>
      </c>
      <c r="X20" s="24">
        <f>+SUM(X14+SUM(X17:X19))</f>
        <v>9992</v>
      </c>
      <c r="Y20" s="24">
        <f>+SUM(Y14+SUM(Y17:Y19))</f>
        <v>9992</v>
      </c>
      <c r="Z20" s="24">
        <f>+SUM(Z14+SUM(Z17:Z19))</f>
        <v>9992</v>
      </c>
      <c r="AA20" s="11"/>
      <c r="AB20" s="69">
        <f t="shared" si="4"/>
        <v>-0.1166121474670675</v>
      </c>
    </row>
    <row r="21" spans="2:28" ht="12.75" customHeight="1">
      <c r="B21" s="14" t="s">
        <v>34</v>
      </c>
      <c r="C21" s="15">
        <f>C20/C11</f>
        <v>0.25367407683006232</v>
      </c>
      <c r="D21" s="15">
        <f>D20/D11</f>
        <v>0.24721335839489444</v>
      </c>
      <c r="E21" s="15">
        <f>E20/E11</f>
        <v>0.21232018019166612</v>
      </c>
      <c r="F21" s="30"/>
      <c r="G21" s="15" t="e">
        <f>G20/G11</f>
        <v>#DIV/0!</v>
      </c>
      <c r="H21" s="15" t="e">
        <f>H20/H11</f>
        <v>#DIV/0!</v>
      </c>
      <c r="I21" s="15" t="e">
        <f>I20/I11</f>
        <v>#DIV/0!</v>
      </c>
      <c r="J21" s="15">
        <f>J20/J11</f>
        <v>0.24721335839489444</v>
      </c>
      <c r="K21" s="15" t="e">
        <f>K20/K11</f>
        <v>#DIV/0!</v>
      </c>
      <c r="L21" s="15" t="e">
        <f>L20/L11</f>
        <v>#DIV/0!</v>
      </c>
      <c r="M21" s="15" t="e">
        <f>M20/M11</f>
        <v>#DIV/0!</v>
      </c>
      <c r="N21" s="15">
        <f>N20/N11</f>
        <v>0.21232018019166612</v>
      </c>
      <c r="O21" s="15" t="e">
        <f>O20/O11</f>
        <v>#DIV/0!</v>
      </c>
      <c r="P21" s="15" t="e">
        <f>P20/P11</f>
        <v>#DIV/0!</v>
      </c>
      <c r="Q21" s="15" t="e">
        <f>Q20/Q11</f>
        <v>#DIV/0!</v>
      </c>
      <c r="S21" s="15">
        <f>S20/S11</f>
        <v>0.24721335839489444</v>
      </c>
      <c r="T21" s="15">
        <f>T20/T11</f>
        <v>0.24721335839489444</v>
      </c>
      <c r="U21" s="15">
        <f>U20/U11</f>
        <v>0.24721335839489444</v>
      </c>
      <c r="V21" s="15">
        <f>V20/V11</f>
        <v>0.24721335839489444</v>
      </c>
      <c r="W21" s="15">
        <f>W20/W11</f>
        <v>0.21232018019166612</v>
      </c>
      <c r="X21" s="15">
        <f>X20/X11</f>
        <v>0.21232018019166612</v>
      </c>
      <c r="Y21" s="15">
        <f>Y20/Y11</f>
        <v>0.21232018019166612</v>
      </c>
      <c r="Z21" s="15">
        <f>Z20/Z11</f>
        <v>0.21232018019166612</v>
      </c>
      <c r="AA21" s="11"/>
      <c r="AB21" s="70">
        <f>SUM(Z21-V21)*1000</f>
        <v>-34.893178203228317</v>
      </c>
    </row>
    <row r="22" spans="2:28" ht="5.0999999999999996" customHeight="1">
      <c r="B22" s="14"/>
      <c r="C22" s="15"/>
      <c r="D22" s="15"/>
      <c r="E22" s="15"/>
      <c r="F22" s="30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S22" s="30"/>
      <c r="T22" s="30"/>
      <c r="U22" s="30"/>
      <c r="V22" s="30"/>
      <c r="W22" s="30"/>
      <c r="X22" s="30"/>
      <c r="Y22" s="30"/>
      <c r="Z22" s="30"/>
      <c r="AA22" s="11"/>
      <c r="AB22" s="68"/>
    </row>
    <row r="23" spans="2:28" ht="12.75" customHeight="1">
      <c r="B23" s="9" t="s">
        <v>119</v>
      </c>
      <c r="C23" s="76">
        <v>449</v>
      </c>
      <c r="D23" s="76">
        <v>907</v>
      </c>
      <c r="E23" s="76">
        <v>988</v>
      </c>
      <c r="F23" s="30"/>
      <c r="G23" s="76"/>
      <c r="H23" s="76"/>
      <c r="I23" s="76"/>
      <c r="J23" s="30">
        <f>SUM(D23-SUM(G23:I23))</f>
        <v>907</v>
      </c>
      <c r="K23" s="76"/>
      <c r="L23" s="76"/>
      <c r="M23" s="76"/>
      <c r="N23" s="30">
        <f>SUM(E23-SUM(K23:M23))</f>
        <v>988</v>
      </c>
      <c r="O23" s="76"/>
      <c r="P23" s="76"/>
      <c r="Q23" s="76"/>
      <c r="S23" s="30">
        <f>SUM(G23:J23)</f>
        <v>907</v>
      </c>
      <c r="T23" s="30">
        <f>SUM(H23:K23)</f>
        <v>907</v>
      </c>
      <c r="U23" s="30">
        <f>SUM(I23:L23)</f>
        <v>907</v>
      </c>
      <c r="V23" s="30">
        <f>SUM(J23:M23)</f>
        <v>907</v>
      </c>
      <c r="W23" s="30">
        <f>SUM(K23:N23)</f>
        <v>988</v>
      </c>
      <c r="X23" s="30">
        <f>SUM(L23:O23)</f>
        <v>988</v>
      </c>
      <c r="Y23" s="30">
        <f>SUM(M23:P23)</f>
        <v>988</v>
      </c>
      <c r="Z23" s="30">
        <f>SUM(N23:Q23)</f>
        <v>988</v>
      </c>
      <c r="AA23" s="11"/>
      <c r="AB23" s="68">
        <f t="shared" si="4"/>
        <v>8.9305402425578828E-2</v>
      </c>
    </row>
    <row r="24" spans="2:28" ht="12.75" customHeight="1">
      <c r="B24" s="9" t="s">
        <v>120</v>
      </c>
      <c r="C24" s="76">
        <v>-882</v>
      </c>
      <c r="D24" s="76">
        <v>-1527</v>
      </c>
      <c r="E24" s="76">
        <v>-1656</v>
      </c>
      <c r="F24" s="30"/>
      <c r="G24" s="76"/>
      <c r="H24" s="76"/>
      <c r="I24" s="76"/>
      <c r="J24" s="30">
        <f>SUM(D24-SUM(G24:I24))</f>
        <v>-1527</v>
      </c>
      <c r="K24" s="76"/>
      <c r="L24" s="76"/>
      <c r="M24" s="76"/>
      <c r="N24" s="30">
        <f>SUM(E24-SUM(K24:M24))</f>
        <v>-1656</v>
      </c>
      <c r="O24" s="76"/>
      <c r="P24" s="76"/>
      <c r="Q24" s="76"/>
      <c r="S24" s="30">
        <f>SUM(G24:J24)</f>
        <v>-1527</v>
      </c>
      <c r="T24" s="30">
        <f>SUM(H24:K24)</f>
        <v>-1527</v>
      </c>
      <c r="U24" s="30">
        <f>SUM(I24:L24)</f>
        <v>-1527</v>
      </c>
      <c r="V24" s="30">
        <f>SUM(J24:M24)</f>
        <v>-1527</v>
      </c>
      <c r="W24" s="30">
        <f>SUM(K24:N24)</f>
        <v>-1656</v>
      </c>
      <c r="X24" s="30">
        <f>SUM(L24:O24)</f>
        <v>-1656</v>
      </c>
      <c r="Y24" s="30">
        <f>SUM(M24:P24)</f>
        <v>-1656</v>
      </c>
      <c r="Z24" s="30">
        <f>SUM(N24:Q24)</f>
        <v>-1656</v>
      </c>
      <c r="AA24" s="11"/>
      <c r="AB24" s="68">
        <f t="shared" ref="AB24" si="15">SUM(Z24/V24)-1</f>
        <v>8.4479371316306562E-2</v>
      </c>
    </row>
    <row r="25" spans="2:28" ht="12.75" customHeight="1">
      <c r="B25" s="9" t="s">
        <v>121</v>
      </c>
      <c r="C25" s="76">
        <v>1472</v>
      </c>
      <c r="D25" s="76">
        <v>1691</v>
      </c>
      <c r="E25" s="76">
        <v>1770</v>
      </c>
      <c r="F25" s="30"/>
      <c r="G25" s="76"/>
      <c r="H25" s="76"/>
      <c r="I25" s="76"/>
      <c r="J25" s="30">
        <f>SUM(D25-SUM(G25:I25))</f>
        <v>1691</v>
      </c>
      <c r="K25" s="76"/>
      <c r="L25" s="76"/>
      <c r="M25" s="76"/>
      <c r="N25" s="30">
        <f>SUM(E25-SUM(K25:M25))</f>
        <v>1770</v>
      </c>
      <c r="O25" s="76"/>
      <c r="P25" s="76"/>
      <c r="Q25" s="76"/>
      <c r="S25" s="30">
        <f>SUM(G25:J25)</f>
        <v>1691</v>
      </c>
      <c r="T25" s="30">
        <f>SUM(H25:K25)</f>
        <v>1691</v>
      </c>
      <c r="U25" s="30">
        <f>SUM(I25:L25)</f>
        <v>1691</v>
      </c>
      <c r="V25" s="30">
        <f>SUM(J25:M25)</f>
        <v>1691</v>
      </c>
      <c r="W25" s="30">
        <f>SUM(K25:N25)</f>
        <v>1770</v>
      </c>
      <c r="X25" s="30">
        <f>SUM(L25:O25)</f>
        <v>1770</v>
      </c>
      <c r="Y25" s="30">
        <f>SUM(M25:P25)</f>
        <v>1770</v>
      </c>
      <c r="Z25" s="30">
        <f>SUM(N25:Q25)</f>
        <v>1770</v>
      </c>
      <c r="AA25" s="11"/>
      <c r="AB25" s="68">
        <f t="shared" si="4"/>
        <v>4.6717918391484314E-2</v>
      </c>
    </row>
    <row r="26" spans="2:28" ht="12.75" customHeight="1">
      <c r="B26" s="9" t="s">
        <v>122</v>
      </c>
      <c r="C26" s="76">
        <v>-262</v>
      </c>
      <c r="D26" s="76">
        <v>570</v>
      </c>
      <c r="E26" s="76">
        <v>1992</v>
      </c>
      <c r="F26" s="30"/>
      <c r="G26" s="76"/>
      <c r="H26" s="76"/>
      <c r="I26" s="76"/>
      <c r="J26" s="30">
        <f>SUM(D26-SUM(G26:I26))</f>
        <v>570</v>
      </c>
      <c r="K26" s="76"/>
      <c r="L26" s="76"/>
      <c r="M26" s="76"/>
      <c r="N26" s="30">
        <f>SUM(E26-SUM(K26:M26))</f>
        <v>1992</v>
      </c>
      <c r="O26" s="76"/>
      <c r="P26" s="76"/>
      <c r="Q26" s="76"/>
      <c r="S26" s="30">
        <f>SUM(G26:J26)</f>
        <v>570</v>
      </c>
      <c r="T26" s="30">
        <f>SUM(H26:K26)</f>
        <v>570</v>
      </c>
      <c r="U26" s="30">
        <f>SUM(I26:L26)</f>
        <v>570</v>
      </c>
      <c r="V26" s="30">
        <f>SUM(J26:M26)</f>
        <v>570</v>
      </c>
      <c r="W26" s="30">
        <f>SUM(K26:N26)</f>
        <v>1992</v>
      </c>
      <c r="X26" s="30">
        <f>SUM(L26:O26)</f>
        <v>1992</v>
      </c>
      <c r="Y26" s="30">
        <f>SUM(M26:P26)</f>
        <v>1992</v>
      </c>
      <c r="Z26" s="30">
        <f>SUM(N26:Q26)</f>
        <v>1992</v>
      </c>
      <c r="AA26" s="11"/>
      <c r="AB26" s="68">
        <f t="shared" si="4"/>
        <v>2.4947368421052634</v>
      </c>
    </row>
    <row r="27" spans="2:28" ht="12.75" customHeight="1">
      <c r="B27" s="23" t="s">
        <v>111</v>
      </c>
      <c r="C27" s="24">
        <f>SUM(C23:C26)+C20</f>
        <v>11686</v>
      </c>
      <c r="D27" s="24">
        <f>SUM(D23:D26)+D20</f>
        <v>12952</v>
      </c>
      <c r="E27" s="24">
        <f>SUM(E23:E26)+E20</f>
        <v>13086</v>
      </c>
      <c r="F27" s="30"/>
      <c r="G27" s="24">
        <f t="shared" ref="G27" si="16">SUM(G23:G26)+G20</f>
        <v>0</v>
      </c>
      <c r="H27" s="24">
        <f t="shared" ref="H27" si="17">SUM(H23:H26)+H20</f>
        <v>0</v>
      </c>
      <c r="I27" s="24">
        <f t="shared" ref="I27" si="18">SUM(I23:I26)+I20</f>
        <v>0</v>
      </c>
      <c r="J27" s="24">
        <f t="shared" ref="J27" si="19">SUM(J23:J26)+J20</f>
        <v>12952</v>
      </c>
      <c r="K27" s="24">
        <f t="shared" ref="K27" si="20">SUM(K23:K26)+K20</f>
        <v>0</v>
      </c>
      <c r="L27" s="24">
        <f t="shared" ref="L27" si="21">SUM(L23:L26)+L20</f>
        <v>0</v>
      </c>
      <c r="M27" s="24">
        <f t="shared" ref="M27" si="22">SUM(M23:M26)+M20</f>
        <v>0</v>
      </c>
      <c r="N27" s="24">
        <f t="shared" ref="N27" si="23">SUM(N23:N26)+N20</f>
        <v>13086</v>
      </c>
      <c r="O27" s="24">
        <f t="shared" ref="O27" si="24">SUM(O23:O26)+O20</f>
        <v>0</v>
      </c>
      <c r="P27" s="24">
        <f t="shared" ref="P27" si="25">SUM(P23:P26)+P20</f>
        <v>0</v>
      </c>
      <c r="Q27" s="24">
        <f>SUM(Q23:Q26)+Q20</f>
        <v>0</v>
      </c>
      <c r="S27" s="24">
        <f t="shared" ref="S27" si="26">SUM(S23:S26)+S20</f>
        <v>12952</v>
      </c>
      <c r="T27" s="24">
        <f t="shared" ref="T27" si="27">SUM(T23:T26)+T20</f>
        <v>12952</v>
      </c>
      <c r="U27" s="24">
        <f t="shared" ref="U27" si="28">SUM(U23:U26)+U20</f>
        <v>12952</v>
      </c>
      <c r="V27" s="24">
        <f t="shared" ref="V27" si="29">SUM(V23:V26)+V20</f>
        <v>12952</v>
      </c>
      <c r="W27" s="24">
        <f t="shared" ref="W27" si="30">SUM(W23:W26)+W20</f>
        <v>13086</v>
      </c>
      <c r="X27" s="24">
        <f t="shared" ref="X27" si="31">SUM(X23:X26)+X20</f>
        <v>13086</v>
      </c>
      <c r="Y27" s="24">
        <f t="shared" ref="Y27" si="32">SUM(Y23:Y26)+Y20</f>
        <v>13086</v>
      </c>
      <c r="Z27" s="24">
        <f t="shared" ref="Z27" si="33">SUM(Z23:Z26)+Z20</f>
        <v>13086</v>
      </c>
      <c r="AA27" s="11"/>
      <c r="AB27" s="68">
        <f t="shared" si="4"/>
        <v>1.0345892526250733E-2</v>
      </c>
    </row>
    <row r="28" spans="2:28" ht="12.75" customHeight="1">
      <c r="B28" s="14" t="s">
        <v>82</v>
      </c>
      <c r="C28" s="15">
        <f>C27/C11</f>
        <v>0.27174216351967256</v>
      </c>
      <c r="D28" s="15">
        <f>D27/D11</f>
        <v>0.28307907505354724</v>
      </c>
      <c r="E28" s="15">
        <f>E27/E11</f>
        <v>0.27806463951042265</v>
      </c>
      <c r="F28" s="25"/>
      <c r="G28" s="15" t="e">
        <f>G27/G11</f>
        <v>#DIV/0!</v>
      </c>
      <c r="H28" s="15" t="e">
        <f>H27/H11</f>
        <v>#DIV/0!</v>
      </c>
      <c r="I28" s="15" t="e">
        <f>I27/I11</f>
        <v>#DIV/0!</v>
      </c>
      <c r="J28" s="15">
        <f>J27/J11</f>
        <v>0.28307907505354724</v>
      </c>
      <c r="K28" s="15" t="e">
        <f>K27/K11</f>
        <v>#DIV/0!</v>
      </c>
      <c r="L28" s="15" t="e">
        <f>L27/L11</f>
        <v>#DIV/0!</v>
      </c>
      <c r="M28" s="15" t="e">
        <f>M27/M11</f>
        <v>#DIV/0!</v>
      </c>
      <c r="N28" s="15">
        <f>N27/N11</f>
        <v>0.27806463951042265</v>
      </c>
      <c r="O28" s="15" t="e">
        <f>O27/O11</f>
        <v>#DIV/0!</v>
      </c>
      <c r="P28" s="15" t="e">
        <f>P27/P11</f>
        <v>#DIV/0!</v>
      </c>
      <c r="Q28" s="15" t="e">
        <f>Q27/Q11</f>
        <v>#DIV/0!</v>
      </c>
      <c r="S28" s="15">
        <f>S27/S11</f>
        <v>0.28307907505354724</v>
      </c>
      <c r="T28" s="15">
        <f>T27/T11</f>
        <v>0.28307907505354724</v>
      </c>
      <c r="U28" s="15">
        <f>U27/U11</f>
        <v>0.28307907505354724</v>
      </c>
      <c r="V28" s="15">
        <f>V27/V11</f>
        <v>0.28307907505354724</v>
      </c>
      <c r="W28" s="15">
        <f>W27/W11</f>
        <v>0.27806463951042265</v>
      </c>
      <c r="X28" s="15">
        <f>X27/X11</f>
        <v>0.27806463951042265</v>
      </c>
      <c r="Y28" s="15">
        <f>Y27/Y11</f>
        <v>0.27806463951042265</v>
      </c>
      <c r="Z28" s="15">
        <f>Z27/Z11</f>
        <v>0.27806463951042265</v>
      </c>
      <c r="AA28" s="40"/>
      <c r="AB28" s="70">
        <f>SUM(Z28-V28)*1000</f>
        <v>-5.0144355431245842</v>
      </c>
    </row>
    <row r="29" spans="2:28" ht="5.0999999999999996" customHeight="1">
      <c r="B29" s="9"/>
      <c r="C29" s="76"/>
      <c r="D29" s="76"/>
      <c r="E29" s="76"/>
      <c r="F29" s="30"/>
      <c r="G29" s="76"/>
      <c r="H29" s="76"/>
      <c r="I29" s="76"/>
      <c r="J29" s="30"/>
      <c r="K29" s="76"/>
      <c r="L29" s="76"/>
      <c r="M29" s="76"/>
      <c r="N29" s="30"/>
      <c r="O29" s="76"/>
      <c r="P29" s="76"/>
      <c r="Q29" s="76"/>
      <c r="S29" s="30"/>
      <c r="T29" s="30"/>
      <c r="U29" s="30"/>
      <c r="V29" s="30"/>
      <c r="W29" s="30"/>
      <c r="X29" s="30"/>
      <c r="Y29" s="30"/>
      <c r="Z29" s="30"/>
      <c r="AA29" s="11"/>
      <c r="AB29" s="68"/>
    </row>
    <row r="30" spans="2:28" ht="12.75" customHeight="1">
      <c r="B30" s="9" t="s">
        <v>87</v>
      </c>
      <c r="C30" s="76">
        <v>-2115</v>
      </c>
      <c r="D30" s="76">
        <v>-2249</v>
      </c>
      <c r="E30" s="76">
        <v>-2437</v>
      </c>
      <c r="F30" s="30"/>
      <c r="G30" s="76"/>
      <c r="H30" s="76"/>
      <c r="I30" s="76"/>
      <c r="J30" s="30">
        <f>SUM(D30-SUM(G30:I30))</f>
        <v>-2249</v>
      </c>
      <c r="K30" s="76"/>
      <c r="L30" s="76"/>
      <c r="M30" s="76"/>
      <c r="N30" s="30">
        <f>SUM(E30-SUM(K30:M30))</f>
        <v>-2437</v>
      </c>
      <c r="O30" s="76"/>
      <c r="P30" s="76"/>
      <c r="Q30" s="76"/>
      <c r="S30" s="30">
        <f>SUM(G30:J30)</f>
        <v>-2249</v>
      </c>
      <c r="T30" s="30">
        <f>SUM(H30:K30)</f>
        <v>-2249</v>
      </c>
      <c r="U30" s="30">
        <f>SUM(I30:L30)</f>
        <v>-2249</v>
      </c>
      <c r="V30" s="30">
        <f>SUM(J30:M30)</f>
        <v>-2249</v>
      </c>
      <c r="W30" s="30">
        <f>SUM(K30:N30)</f>
        <v>-2437</v>
      </c>
      <c r="X30" s="30">
        <f>SUM(L30:O30)</f>
        <v>-2437</v>
      </c>
      <c r="Y30" s="30">
        <f>SUM(M30:P30)</f>
        <v>-2437</v>
      </c>
      <c r="Z30" s="30">
        <f>SUM(N30:Q30)</f>
        <v>-2437</v>
      </c>
      <c r="AA30" s="11"/>
      <c r="AB30" s="68">
        <f t="shared" si="4"/>
        <v>8.3592707870164595E-2</v>
      </c>
    </row>
    <row r="31" spans="2:28" ht="12.75" customHeight="1">
      <c r="B31" s="12" t="s">
        <v>123</v>
      </c>
      <c r="C31" s="13">
        <f>SUM(C27+SUM(C30:C30))</f>
        <v>9571</v>
      </c>
      <c r="D31" s="13">
        <f>SUM(D27+SUM(D30:D30))</f>
        <v>10703</v>
      </c>
      <c r="E31" s="13">
        <f>SUM(E27+SUM(E30:E30))</f>
        <v>10649</v>
      </c>
      <c r="G31" s="13">
        <f t="shared" ref="G31:Q31" si="34">SUM(G27+SUM(G30:G30))</f>
        <v>0</v>
      </c>
      <c r="H31" s="13">
        <f t="shared" si="34"/>
        <v>0</v>
      </c>
      <c r="I31" s="13">
        <f t="shared" si="34"/>
        <v>0</v>
      </c>
      <c r="J31" s="13">
        <f t="shared" si="34"/>
        <v>10703</v>
      </c>
      <c r="K31" s="13">
        <f t="shared" si="34"/>
        <v>0</v>
      </c>
      <c r="L31" s="13">
        <f t="shared" si="34"/>
        <v>0</v>
      </c>
      <c r="M31" s="13">
        <f t="shared" si="34"/>
        <v>0</v>
      </c>
      <c r="N31" s="13">
        <f t="shared" si="34"/>
        <v>10649</v>
      </c>
      <c r="O31" s="13">
        <f t="shared" si="34"/>
        <v>0</v>
      </c>
      <c r="P31" s="13">
        <f t="shared" si="34"/>
        <v>0</v>
      </c>
      <c r="Q31" s="13">
        <f t="shared" si="34"/>
        <v>0</v>
      </c>
      <c r="S31" s="13">
        <f t="shared" ref="S31:Z31" si="35">SUM(S27+SUM(S30:S30))</f>
        <v>10703</v>
      </c>
      <c r="T31" s="13">
        <f t="shared" si="35"/>
        <v>10703</v>
      </c>
      <c r="U31" s="13">
        <f t="shared" si="35"/>
        <v>10703</v>
      </c>
      <c r="V31" s="13">
        <f t="shared" si="35"/>
        <v>10703</v>
      </c>
      <c r="W31" s="13">
        <f t="shared" si="35"/>
        <v>10649</v>
      </c>
      <c r="X31" s="13">
        <f t="shared" si="35"/>
        <v>10649</v>
      </c>
      <c r="Y31" s="13">
        <f t="shared" si="35"/>
        <v>10649</v>
      </c>
      <c r="Z31" s="13">
        <f t="shared" si="35"/>
        <v>10649</v>
      </c>
      <c r="AA31" s="39"/>
      <c r="AB31" s="69">
        <f t="shared" si="4"/>
        <v>-5.0453143978324011E-3</v>
      </c>
    </row>
    <row r="32" spans="2:28" ht="5.0999999999999996" customHeight="1">
      <c r="B32" s="14"/>
      <c r="C32" s="15"/>
      <c r="D32" s="15"/>
      <c r="E32" s="15"/>
      <c r="F32" s="2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S32" s="15"/>
      <c r="T32" s="15"/>
      <c r="U32" s="15"/>
      <c r="V32" s="15"/>
      <c r="W32" s="15"/>
      <c r="X32" s="15"/>
      <c r="Y32" s="15"/>
      <c r="Z32" s="15"/>
      <c r="AA32" s="40"/>
      <c r="AB32" s="70"/>
    </row>
    <row r="33" spans="1:28" ht="12.75" customHeight="1">
      <c r="B33" s="9" t="s">
        <v>124</v>
      </c>
      <c r="C33" s="76">
        <v>-29</v>
      </c>
      <c r="D33" s="76">
        <v>11</v>
      </c>
      <c r="E33" s="76">
        <v>-18</v>
      </c>
      <c r="F33" s="30"/>
      <c r="G33" s="76"/>
      <c r="H33" s="76"/>
      <c r="I33" s="76"/>
      <c r="J33" s="30">
        <f>SUM(D33-SUM(G33:I33))</f>
        <v>11</v>
      </c>
      <c r="K33" s="76"/>
      <c r="L33" s="76"/>
      <c r="M33" s="76"/>
      <c r="N33" s="30">
        <f>SUM(E33-SUM(K33:M33))</f>
        <v>-18</v>
      </c>
      <c r="O33" s="76"/>
      <c r="P33" s="76"/>
      <c r="Q33" s="76"/>
      <c r="S33" s="30">
        <f>SUM(G33:J33)</f>
        <v>11</v>
      </c>
      <c r="T33" s="30">
        <f>SUM(H33:K33)</f>
        <v>11</v>
      </c>
      <c r="U33" s="30">
        <f>SUM(I33:L33)</f>
        <v>11</v>
      </c>
      <c r="V33" s="30">
        <f>SUM(J33:M33)</f>
        <v>11</v>
      </c>
      <c r="W33" s="30">
        <f>SUM(K33:N33)</f>
        <v>-18</v>
      </c>
      <c r="X33" s="30">
        <f>SUM(L33:O33)</f>
        <v>-18</v>
      </c>
      <c r="Y33" s="30">
        <f>SUM(M33:P33)</f>
        <v>-18</v>
      </c>
      <c r="Z33" s="30">
        <f>SUM(N33:Q33)</f>
        <v>-18</v>
      </c>
      <c r="AA33" s="11"/>
      <c r="AB33" s="68">
        <f t="shared" ref="AB33:AB34" si="36">SUM(Z33/V33)-1</f>
        <v>-2.6363636363636367</v>
      </c>
    </row>
    <row r="34" spans="1:28" ht="12.75" customHeight="1">
      <c r="B34" s="12" t="s">
        <v>125</v>
      </c>
      <c r="C34" s="13">
        <f t="shared" ref="C34:D34" si="37">+C31+C33</f>
        <v>9542</v>
      </c>
      <c r="D34" s="13">
        <f t="shared" si="37"/>
        <v>10714</v>
      </c>
      <c r="E34" s="13">
        <f>E31+E33</f>
        <v>10631</v>
      </c>
      <c r="G34" s="13">
        <f>SUM(G31+SUM(G33:G33))</f>
        <v>0</v>
      </c>
      <c r="H34" s="13">
        <f>SUM(H31+SUM(H33:H33))</f>
        <v>0</v>
      </c>
      <c r="I34" s="13">
        <f>SUM(I31+SUM(I33:I33))</f>
        <v>0</v>
      </c>
      <c r="J34" s="13">
        <f>SUM(J31+SUM(J33:J33))</f>
        <v>10714</v>
      </c>
      <c r="K34" s="13">
        <f>SUM(K31+SUM(K33:K33))</f>
        <v>0</v>
      </c>
      <c r="L34" s="13">
        <f>SUM(L31+SUM(L33:L33))</f>
        <v>0</v>
      </c>
      <c r="M34" s="13">
        <f>SUM(M31+SUM(M33:M33))</f>
        <v>0</v>
      </c>
      <c r="N34" s="13">
        <f>SUM(N31+SUM(N33:N33))</f>
        <v>10631</v>
      </c>
      <c r="O34" s="13">
        <f>SUM(O31+SUM(O33:O33))</f>
        <v>0</v>
      </c>
      <c r="P34" s="13">
        <f>SUM(P31+SUM(P33:P33))</f>
        <v>0</v>
      </c>
      <c r="Q34" s="13">
        <f>SUM(Q31+SUM(Q33:Q33))</f>
        <v>0</v>
      </c>
      <c r="S34" s="13">
        <f>SUM(S31+SUM(S33:S33))</f>
        <v>10714</v>
      </c>
      <c r="T34" s="13">
        <f>SUM(T31+SUM(T33:T33))</f>
        <v>10714</v>
      </c>
      <c r="U34" s="13">
        <f>SUM(U31+SUM(U33:U33))</f>
        <v>10714</v>
      </c>
      <c r="V34" s="13">
        <f>SUM(V31+SUM(V33:V33))</f>
        <v>10714</v>
      </c>
      <c r="W34" s="13">
        <f>SUM(W31+SUM(W33:W33))</f>
        <v>10631</v>
      </c>
      <c r="X34" s="13">
        <f>SUM(X31+SUM(X33:X33))</f>
        <v>10631</v>
      </c>
      <c r="Y34" s="13">
        <f>SUM(Y31+SUM(Y33:Y33))</f>
        <v>10631</v>
      </c>
      <c r="Z34" s="13">
        <f>SUM(Z31+SUM(Z33:Z33))</f>
        <v>10631</v>
      </c>
      <c r="AA34" s="39"/>
      <c r="AB34" s="69">
        <f t="shared" si="36"/>
        <v>-7.7468732499533788E-3</v>
      </c>
    </row>
    <row r="35" spans="1:28" ht="12.75" customHeight="1">
      <c r="B35" s="14" t="s">
        <v>64</v>
      </c>
      <c r="C35" s="15">
        <f>C34/C11</f>
        <v>0.22188633615477629</v>
      </c>
      <c r="D35" s="15">
        <f t="shared" ref="D35:E35" si="38">D34/D11</f>
        <v>0.23416531887922368</v>
      </c>
      <c r="E35" s="15">
        <f t="shared" si="38"/>
        <v>0.22589830220352308</v>
      </c>
      <c r="F35" s="25"/>
      <c r="G35" s="15" t="e">
        <f t="shared" ref="G35" si="39">G34/G11</f>
        <v>#DIV/0!</v>
      </c>
      <c r="H35" s="15" t="e">
        <f t="shared" ref="H35" si="40">H34/H11</f>
        <v>#DIV/0!</v>
      </c>
      <c r="I35" s="15" t="e">
        <f t="shared" ref="I35" si="41">I34/I11</f>
        <v>#DIV/0!</v>
      </c>
      <c r="J35" s="15">
        <f t="shared" ref="J35" si="42">J34/J11</f>
        <v>0.23416531887922368</v>
      </c>
      <c r="K35" s="15" t="e">
        <f t="shared" ref="K35" si="43">K34/K11</f>
        <v>#DIV/0!</v>
      </c>
      <c r="L35" s="15" t="e">
        <f t="shared" ref="L35" si="44">L34/L11</f>
        <v>#DIV/0!</v>
      </c>
      <c r="M35" s="15" t="e">
        <f t="shared" ref="M35" si="45">M34/M11</f>
        <v>#DIV/0!</v>
      </c>
      <c r="N35" s="15">
        <f t="shared" ref="N35" si="46">N34/N11</f>
        <v>0.22589830220352308</v>
      </c>
      <c r="O35" s="15" t="e">
        <f t="shared" ref="O35" si="47">O34/O11</f>
        <v>#DIV/0!</v>
      </c>
      <c r="P35" s="15" t="e">
        <f t="shared" ref="P35" si="48">P34/P11</f>
        <v>#DIV/0!</v>
      </c>
      <c r="Q35" s="15" t="e">
        <f t="shared" ref="Q35" si="49">Q34/Q11</f>
        <v>#DIV/0!</v>
      </c>
      <c r="S35" s="15">
        <f t="shared" ref="S35" si="50">S34/S11</f>
        <v>0.23416531887922368</v>
      </c>
      <c r="T35" s="15">
        <f t="shared" ref="T35" si="51">T34/T11</f>
        <v>0.23416531887922368</v>
      </c>
      <c r="U35" s="15">
        <f t="shared" ref="U35" si="52">U34/U11</f>
        <v>0.23416531887922368</v>
      </c>
      <c r="V35" s="15">
        <f t="shared" ref="V35" si="53">V34/V11</f>
        <v>0.23416531887922368</v>
      </c>
      <c r="W35" s="15">
        <f t="shared" ref="W35" si="54">W34/W11</f>
        <v>0.22589830220352308</v>
      </c>
      <c r="X35" s="15">
        <f t="shared" ref="X35" si="55">X34/X11</f>
        <v>0.22589830220352308</v>
      </c>
      <c r="Y35" s="15">
        <f t="shared" ref="Y35" si="56">Y34/Y11</f>
        <v>0.22589830220352308</v>
      </c>
      <c r="Z35" s="15">
        <f t="shared" ref="Z35" si="57">Z34/Z11</f>
        <v>0.22589830220352308</v>
      </c>
      <c r="AA35" s="40"/>
      <c r="AB35" s="70">
        <f>SUM(Z35-V35)*1000</f>
        <v>-8.2670166757005941</v>
      </c>
    </row>
    <row r="36" spans="1:28" ht="5.0999999999999996" customHeight="1">
      <c r="B36" s="14"/>
      <c r="C36" s="15"/>
      <c r="D36" s="15"/>
      <c r="E36" s="15"/>
      <c r="F36" s="2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26"/>
      <c r="S36" s="15"/>
      <c r="T36" s="15"/>
      <c r="U36" s="15"/>
      <c r="V36" s="15"/>
      <c r="W36" s="15"/>
      <c r="X36" s="15"/>
      <c r="Y36" s="15"/>
      <c r="Z36" s="15"/>
      <c r="AA36" s="40"/>
      <c r="AB36" s="70"/>
    </row>
    <row r="37" spans="1:28" ht="12.75" customHeight="1">
      <c r="B37" s="41" t="s">
        <v>65</v>
      </c>
      <c r="C37" s="76">
        <v>4328</v>
      </c>
      <c r="D37" s="76">
        <v>4323</v>
      </c>
      <c r="E37" s="76">
        <v>4309</v>
      </c>
      <c r="F37" s="25"/>
      <c r="G37" s="76"/>
      <c r="H37" s="76"/>
      <c r="I37" s="76"/>
      <c r="J37" s="30">
        <f>D37</f>
        <v>4323</v>
      </c>
      <c r="K37" s="76"/>
      <c r="L37" s="76"/>
      <c r="M37" s="76"/>
      <c r="N37" s="30">
        <f>E37</f>
        <v>4309</v>
      </c>
      <c r="O37" s="76"/>
      <c r="P37" s="76"/>
      <c r="Q37" s="76"/>
      <c r="R37" s="30"/>
      <c r="S37" s="30">
        <f>J37</f>
        <v>4323</v>
      </c>
      <c r="T37" s="30">
        <f>K37</f>
        <v>0</v>
      </c>
      <c r="U37" s="30">
        <f>L37</f>
        <v>0</v>
      </c>
      <c r="V37" s="30">
        <f>M37</f>
        <v>0</v>
      </c>
      <c r="W37" s="30">
        <f>N37</f>
        <v>4309</v>
      </c>
      <c r="X37" s="30">
        <f>O37</f>
        <v>0</v>
      </c>
      <c r="Y37" s="30">
        <f>P37</f>
        <v>0</v>
      </c>
      <c r="Z37" s="30">
        <f>Q37</f>
        <v>0</v>
      </c>
      <c r="AA37" s="40"/>
      <c r="AB37" s="68" t="e">
        <f t="shared" ref="AB37" si="58">SUM(Z37/V37)-1</f>
        <v>#DIV/0!</v>
      </c>
    </row>
    <row r="38" spans="1:28" ht="12.75" customHeight="1">
      <c r="B38" s="12" t="s">
        <v>66</v>
      </c>
      <c r="C38" s="71">
        <f>C34/C37</f>
        <v>2.2047134935304991</v>
      </c>
      <c r="D38" s="71">
        <f t="shared" ref="D38:E38" si="59">D34/D37</f>
        <v>2.4783715012722647</v>
      </c>
      <c r="E38" s="71">
        <f t="shared" si="59"/>
        <v>2.4671617544673938</v>
      </c>
      <c r="F38" s="11"/>
      <c r="G38" s="71" t="e">
        <f t="shared" ref="G38" si="60">G34/G37</f>
        <v>#DIV/0!</v>
      </c>
      <c r="H38" s="71" t="e">
        <f t="shared" ref="H38" si="61">H34/H37</f>
        <v>#DIV/0!</v>
      </c>
      <c r="I38" s="71" t="e">
        <f t="shared" ref="I38" si="62">I34/I37</f>
        <v>#DIV/0!</v>
      </c>
      <c r="J38" s="71">
        <f t="shared" ref="J38" si="63">J34/J37</f>
        <v>2.4783715012722647</v>
      </c>
      <c r="K38" s="71" t="e">
        <f t="shared" ref="K38" si="64">K34/K37</f>
        <v>#DIV/0!</v>
      </c>
      <c r="L38" s="71" t="e">
        <f t="shared" ref="L38" si="65">L34/L37</f>
        <v>#DIV/0!</v>
      </c>
      <c r="M38" s="71" t="e">
        <f t="shared" ref="M38" si="66">M34/M37</f>
        <v>#DIV/0!</v>
      </c>
      <c r="N38" s="71">
        <f t="shared" ref="N38" si="67">N34/N37</f>
        <v>2.4671617544673938</v>
      </c>
      <c r="O38" s="71" t="e">
        <f t="shared" ref="O38" si="68">O34/O37</f>
        <v>#DIV/0!</v>
      </c>
      <c r="P38" s="71" t="e">
        <f t="shared" ref="P38" si="69">P34/P37</f>
        <v>#DIV/0!</v>
      </c>
      <c r="Q38" s="71" t="e">
        <f t="shared" ref="Q38" si="70">Q34/Q37</f>
        <v>#DIV/0!</v>
      </c>
      <c r="R38" s="30"/>
      <c r="S38" s="71">
        <f t="shared" ref="S38" si="71">S34/S37</f>
        <v>2.4783715012722647</v>
      </c>
      <c r="T38" s="71" t="e">
        <f t="shared" ref="T38" si="72">T34/T37</f>
        <v>#DIV/0!</v>
      </c>
      <c r="U38" s="71" t="e">
        <f t="shared" ref="U38" si="73">U34/U37</f>
        <v>#DIV/0!</v>
      </c>
      <c r="V38" s="71" t="e">
        <f t="shared" ref="V38" si="74">V34/V37</f>
        <v>#DIV/0!</v>
      </c>
      <c r="W38" s="71">
        <f t="shared" ref="W38" si="75">W34/W37</f>
        <v>2.4671617544673938</v>
      </c>
      <c r="X38" s="71" t="e">
        <f t="shared" ref="X38" si="76">X34/X37</f>
        <v>#DIV/0!</v>
      </c>
      <c r="Y38" s="71" t="e">
        <f t="shared" ref="Y38" si="77">Y34/Y37</f>
        <v>#DIV/0!</v>
      </c>
      <c r="Z38" s="71" t="e">
        <f t="shared" ref="Z38" si="78">Z34/Z37</f>
        <v>#DIV/0!</v>
      </c>
      <c r="AA38" s="33"/>
      <c r="AB38" s="69" t="e">
        <f>SUM(Z38/V38)-1</f>
        <v>#DIV/0!</v>
      </c>
    </row>
    <row r="39" spans="1:28" ht="5.0999999999999996" customHeight="1">
      <c r="B39" s="14"/>
      <c r="C39" s="15"/>
      <c r="D39" s="15"/>
      <c r="E39" s="15"/>
      <c r="F39" s="2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26"/>
      <c r="S39" s="15"/>
      <c r="T39" s="15"/>
      <c r="U39" s="15"/>
      <c r="V39" s="15"/>
      <c r="W39" s="15"/>
      <c r="X39" s="15"/>
      <c r="Y39" s="15"/>
      <c r="Z39" s="15"/>
      <c r="AA39" s="40"/>
      <c r="AB39" s="70"/>
    </row>
    <row r="40" spans="1:28" ht="12.75" customHeight="1">
      <c r="B40" s="41" t="s">
        <v>67</v>
      </c>
      <c r="C40" s="76">
        <v>4350</v>
      </c>
      <c r="D40" s="76">
        <v>4339</v>
      </c>
      <c r="E40" s="76">
        <v>4320</v>
      </c>
      <c r="F40" s="25"/>
      <c r="G40" s="76"/>
      <c r="H40" s="76"/>
      <c r="I40" s="76"/>
      <c r="J40" s="30">
        <f>D40</f>
        <v>4339</v>
      </c>
      <c r="K40" s="76"/>
      <c r="L40" s="76"/>
      <c r="M40" s="76"/>
      <c r="N40" s="30">
        <f>E40</f>
        <v>4320</v>
      </c>
      <c r="O40" s="76"/>
      <c r="P40" s="76"/>
      <c r="Q40" s="76"/>
      <c r="R40" s="30"/>
      <c r="S40" s="30">
        <f t="shared" ref="S40" si="79">J40</f>
        <v>4339</v>
      </c>
      <c r="T40" s="30">
        <f t="shared" ref="T40" si="80">K40</f>
        <v>0</v>
      </c>
      <c r="U40" s="30">
        <f t="shared" ref="U40" si="81">L40</f>
        <v>0</v>
      </c>
      <c r="V40" s="30">
        <f t="shared" ref="V40" si="82">M40</f>
        <v>0</v>
      </c>
      <c r="W40" s="30">
        <f t="shared" ref="W40" si="83">N40</f>
        <v>4320</v>
      </c>
      <c r="X40" s="30">
        <f t="shared" ref="X40" si="84">O40</f>
        <v>0</v>
      </c>
      <c r="Y40" s="30">
        <f t="shared" ref="Y40" si="85">P40</f>
        <v>0</v>
      </c>
      <c r="Z40" s="30">
        <f>Q40</f>
        <v>0</v>
      </c>
      <c r="AA40" s="40"/>
      <c r="AB40" s="68" t="e">
        <f t="shared" ref="AB40" si="86">SUM(Z40/V40)-1</f>
        <v>#DIV/0!</v>
      </c>
    </row>
    <row r="41" spans="1:28" ht="12.75" customHeight="1">
      <c r="B41" s="12" t="s">
        <v>68</v>
      </c>
      <c r="C41" s="71">
        <f>C34/C40</f>
        <v>2.1935632183908047</v>
      </c>
      <c r="D41" s="71">
        <f t="shared" ref="D41:E41" si="87">D34/D40</f>
        <v>2.4692325420603827</v>
      </c>
      <c r="E41" s="71">
        <f t="shared" si="87"/>
        <v>2.4608796296296296</v>
      </c>
      <c r="F41" s="25"/>
      <c r="G41" s="71" t="e">
        <f t="shared" ref="G41" si="88">G34/G40</f>
        <v>#DIV/0!</v>
      </c>
      <c r="H41" s="71" t="e">
        <f t="shared" ref="H41" si="89">H34/H40</f>
        <v>#DIV/0!</v>
      </c>
      <c r="I41" s="71" t="e">
        <f t="shared" ref="I41" si="90">I34/I40</f>
        <v>#DIV/0!</v>
      </c>
      <c r="J41" s="71">
        <f t="shared" ref="J41" si="91">J34/J40</f>
        <v>2.4692325420603827</v>
      </c>
      <c r="K41" s="71" t="e">
        <f t="shared" ref="K41" si="92">K34/K40</f>
        <v>#DIV/0!</v>
      </c>
      <c r="L41" s="71" t="e">
        <f t="shared" ref="L41" si="93">L34/L40</f>
        <v>#DIV/0!</v>
      </c>
      <c r="M41" s="71" t="e">
        <f t="shared" ref="M41" si="94">M34/M40</f>
        <v>#DIV/0!</v>
      </c>
      <c r="N41" s="71">
        <f t="shared" ref="N41" si="95">N34/N40</f>
        <v>2.4608796296296296</v>
      </c>
      <c r="O41" s="71" t="e">
        <f t="shared" ref="O41" si="96">O34/O40</f>
        <v>#DIV/0!</v>
      </c>
      <c r="P41" s="71" t="e">
        <f t="shared" ref="P41" si="97">P34/P40</f>
        <v>#DIV/0!</v>
      </c>
      <c r="Q41" s="71" t="e">
        <f t="shared" ref="Q41" si="98">Q34/Q40</f>
        <v>#DIV/0!</v>
      </c>
      <c r="R41" s="30"/>
      <c r="S41" s="71">
        <f t="shared" ref="S41" si="99">S34/S40</f>
        <v>2.4692325420603827</v>
      </c>
      <c r="T41" s="71" t="e">
        <f t="shared" ref="T41" si="100">T34/T40</f>
        <v>#DIV/0!</v>
      </c>
      <c r="U41" s="71" t="e">
        <f t="shared" ref="U41" si="101">U34/U40</f>
        <v>#DIV/0!</v>
      </c>
      <c r="V41" s="71" t="e">
        <f t="shared" ref="V41" si="102">V34/V40</f>
        <v>#DIV/0!</v>
      </c>
      <c r="W41" s="71">
        <f t="shared" ref="W41" si="103">W34/W40</f>
        <v>2.4608796296296296</v>
      </c>
      <c r="X41" s="71" t="e">
        <f t="shared" ref="X41" si="104">X34/X40</f>
        <v>#DIV/0!</v>
      </c>
      <c r="Y41" s="71" t="e">
        <f t="shared" ref="Y41" si="105">Y34/Y40</f>
        <v>#DIV/0!</v>
      </c>
      <c r="Z41" s="71" t="e">
        <f t="shared" ref="Z41" si="106">Z34/Z40</f>
        <v>#DIV/0!</v>
      </c>
      <c r="AA41" s="33"/>
      <c r="AB41" s="69" t="e">
        <f>SUM(Z41/V41)-1</f>
        <v>#DIV/0!</v>
      </c>
    </row>
    <row r="42" spans="1:28">
      <c r="B42" s="14"/>
      <c r="C42" s="15"/>
      <c r="D42" s="15"/>
      <c r="E42" s="76"/>
      <c r="F42" s="2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26"/>
      <c r="S42" s="15"/>
      <c r="T42" s="15"/>
      <c r="U42" s="15"/>
      <c r="V42" s="15"/>
      <c r="W42" s="15"/>
      <c r="X42" s="15"/>
      <c r="Y42" s="15"/>
      <c r="Z42" s="15"/>
      <c r="AA42" s="40"/>
    </row>
    <row r="43" spans="1:28" ht="12.75" customHeight="1">
      <c r="A43" s="5" t="s">
        <v>18</v>
      </c>
      <c r="B43" s="91" t="s">
        <v>77</v>
      </c>
      <c r="C43" s="92" t="s">
        <v>0</v>
      </c>
      <c r="D43" s="92"/>
      <c r="E43" s="92"/>
      <c r="F43" s="93"/>
      <c r="G43" s="92"/>
      <c r="H43" s="92"/>
      <c r="I43" s="92"/>
      <c r="J43" s="92"/>
      <c r="K43" s="92"/>
      <c r="L43" s="92"/>
      <c r="M43" s="92" t="s">
        <v>1</v>
      </c>
      <c r="N43" s="92"/>
      <c r="O43" s="92"/>
      <c r="P43" s="92"/>
      <c r="Q43" s="92"/>
      <c r="R43" s="91"/>
      <c r="S43" s="92"/>
      <c r="T43" s="92"/>
      <c r="U43" s="92"/>
      <c r="V43" s="92" t="s">
        <v>10</v>
      </c>
      <c r="W43" s="92"/>
      <c r="X43" s="92"/>
      <c r="Y43" s="92"/>
      <c r="Z43" s="92"/>
      <c r="AA43" s="93"/>
      <c r="AB43" s="151" t="s">
        <v>24</v>
      </c>
    </row>
    <row r="44" spans="1:28" ht="12.75" customHeight="1">
      <c r="B44" s="95" t="str">
        <f>B7</f>
        <v>Fiscal Period</v>
      </c>
      <c r="C44" s="94">
        <f>C7</f>
        <v>2022</v>
      </c>
      <c r="D44" s="94">
        <f>D7</f>
        <v>2023</v>
      </c>
      <c r="E44" s="94">
        <f>E7</f>
        <v>2024</v>
      </c>
      <c r="F44" s="93"/>
      <c r="G44" s="94" t="str">
        <f>G7</f>
        <v>1Q23</v>
      </c>
      <c r="H44" s="94" t="str">
        <f>H7</f>
        <v>2Q23</v>
      </c>
      <c r="I44" s="94" t="str">
        <f>I7</f>
        <v>3Q23</v>
      </c>
      <c r="J44" s="94" t="str">
        <f>J7</f>
        <v>4Q23</v>
      </c>
      <c r="K44" s="94" t="str">
        <f>K7</f>
        <v>1Q24</v>
      </c>
      <c r="L44" s="94" t="str">
        <f>L7</f>
        <v>2Q24</v>
      </c>
      <c r="M44" s="94" t="str">
        <f>M7</f>
        <v>3Q24</v>
      </c>
      <c r="N44" s="94" t="str">
        <f>N7</f>
        <v>4Q24</v>
      </c>
      <c r="O44" s="94" t="str">
        <f>O7</f>
        <v>1Q25</v>
      </c>
      <c r="P44" s="94" t="str">
        <f>P7</f>
        <v>2Q25</v>
      </c>
      <c r="Q44" s="94" t="str">
        <f>Q7</f>
        <v>3Q25</v>
      </c>
      <c r="R44" s="96"/>
      <c r="S44" s="94" t="str">
        <f>S7</f>
        <v>4Q23</v>
      </c>
      <c r="T44" s="94" t="str">
        <f>T7</f>
        <v>1Q24</v>
      </c>
      <c r="U44" s="94" t="str">
        <f>U7</f>
        <v>2Q24</v>
      </c>
      <c r="V44" s="94" t="str">
        <f>V7</f>
        <v>3Q24</v>
      </c>
      <c r="W44" s="94" t="str">
        <f>W7</f>
        <v>4Q24</v>
      </c>
      <c r="X44" s="94" t="str">
        <f>X7</f>
        <v>1Q25</v>
      </c>
      <c r="Y44" s="94" t="str">
        <f>Y7</f>
        <v>2Q25</v>
      </c>
      <c r="Z44" s="94" t="str">
        <f>Z7</f>
        <v>3Q25</v>
      </c>
      <c r="AA44" s="93"/>
      <c r="AB44" s="151"/>
    </row>
    <row r="45" spans="1:28" ht="12.75" customHeight="1">
      <c r="B45" s="95" t="str">
        <f>B8</f>
        <v>Fiscal Period End Date</v>
      </c>
      <c r="C45" s="97">
        <f>C8</f>
        <v>44926</v>
      </c>
      <c r="D45" s="97">
        <f>D8</f>
        <v>45291</v>
      </c>
      <c r="E45" s="97">
        <f>E8</f>
        <v>45657</v>
      </c>
      <c r="F45" s="93"/>
      <c r="G45" s="97">
        <f>G8</f>
        <v>45016</v>
      </c>
      <c r="H45" s="97">
        <f>H8</f>
        <v>45107</v>
      </c>
      <c r="I45" s="97">
        <f>I8</f>
        <v>45199</v>
      </c>
      <c r="J45" s="97">
        <f>J8</f>
        <v>45291</v>
      </c>
      <c r="K45" s="97">
        <f>K8</f>
        <v>45382</v>
      </c>
      <c r="L45" s="97">
        <f>L8</f>
        <v>45473</v>
      </c>
      <c r="M45" s="97">
        <f>M8</f>
        <v>45565</v>
      </c>
      <c r="N45" s="97">
        <f>N8</f>
        <v>45657</v>
      </c>
      <c r="O45" s="97">
        <f>O8</f>
        <v>45747</v>
      </c>
      <c r="P45" s="97">
        <f>P8</f>
        <v>45838</v>
      </c>
      <c r="Q45" s="97">
        <f>Q8</f>
        <v>45930</v>
      </c>
      <c r="R45" s="98"/>
      <c r="S45" s="97">
        <f>S8</f>
        <v>45291</v>
      </c>
      <c r="T45" s="97">
        <f>T8</f>
        <v>45382</v>
      </c>
      <c r="U45" s="97">
        <f>U8</f>
        <v>45473</v>
      </c>
      <c r="V45" s="97">
        <f>V8</f>
        <v>45565</v>
      </c>
      <c r="W45" s="97">
        <f>W8</f>
        <v>45657</v>
      </c>
      <c r="X45" s="97">
        <f>X8</f>
        <v>45747</v>
      </c>
      <c r="Y45" s="97">
        <f>Y8</f>
        <v>45838</v>
      </c>
      <c r="Z45" s="97">
        <f>Z8</f>
        <v>45930</v>
      </c>
      <c r="AA45" s="93"/>
      <c r="AB45" s="151"/>
    </row>
    <row r="46" spans="1:28" ht="5.0999999999999996" customHeight="1">
      <c r="B46" s="43"/>
      <c r="C46" s="44"/>
      <c r="D46" s="44"/>
      <c r="E46" s="44"/>
    </row>
    <row r="47" spans="1:28">
      <c r="B47" s="72" t="s">
        <v>83</v>
      </c>
      <c r="C47" s="44"/>
      <c r="D47" s="44"/>
      <c r="E47" s="44"/>
    </row>
    <row r="48" spans="1:28" ht="12.75" customHeight="1">
      <c r="B48" s="9" t="s">
        <v>126</v>
      </c>
      <c r="C48" s="105">
        <v>9519</v>
      </c>
      <c r="D48" s="105">
        <v>9366</v>
      </c>
      <c r="E48" s="105">
        <v>10828</v>
      </c>
      <c r="G48" s="105"/>
      <c r="H48" s="105"/>
      <c r="I48" s="105"/>
      <c r="J48" s="82">
        <f>D48</f>
        <v>9366</v>
      </c>
      <c r="K48" s="105"/>
      <c r="L48" s="105"/>
      <c r="M48" s="105"/>
      <c r="N48" s="82">
        <f>E48</f>
        <v>10828</v>
      </c>
      <c r="O48" s="105"/>
      <c r="P48" s="105"/>
      <c r="Q48" s="105"/>
      <c r="R48" s="82"/>
      <c r="S48" s="30">
        <f>J48</f>
        <v>9366</v>
      </c>
      <c r="T48" s="30">
        <f>K48</f>
        <v>0</v>
      </c>
      <c r="U48" s="30">
        <f>L48</f>
        <v>0</v>
      </c>
      <c r="V48" s="30">
        <f>M48</f>
        <v>0</v>
      </c>
      <c r="W48" s="30">
        <f>N48</f>
        <v>10828</v>
      </c>
      <c r="X48" s="30">
        <f>O48</f>
        <v>0</v>
      </c>
      <c r="Y48" s="30">
        <f>P48</f>
        <v>0</v>
      </c>
      <c r="Z48" s="30">
        <f>Q48</f>
        <v>0</v>
      </c>
      <c r="AA48" s="11"/>
      <c r="AB48" s="68" t="e">
        <f t="shared" ref="AB48:AB53" si="107">SUM(Z48/V48)-1</f>
        <v>#DIV/0!</v>
      </c>
    </row>
    <row r="49" spans="2:28" ht="12.75" customHeight="1">
      <c r="B49" s="9" t="s">
        <v>127</v>
      </c>
      <c r="C49" s="105">
        <v>1069</v>
      </c>
      <c r="D49" s="105">
        <v>1300</v>
      </c>
      <c r="E49" s="105">
        <v>1723</v>
      </c>
      <c r="G49" s="105"/>
      <c r="H49" s="105"/>
      <c r="I49" s="105"/>
      <c r="J49" s="82">
        <f>D49</f>
        <v>1300</v>
      </c>
      <c r="K49" s="105"/>
      <c r="L49" s="105"/>
      <c r="M49" s="105"/>
      <c r="N49" s="82">
        <f>E49</f>
        <v>1723</v>
      </c>
      <c r="O49" s="105"/>
      <c r="P49" s="105"/>
      <c r="Q49" s="105"/>
      <c r="R49" s="82"/>
      <c r="S49" s="30">
        <f t="shared" ref="S49:S53" si="108">J49</f>
        <v>1300</v>
      </c>
      <c r="T49" s="30">
        <f t="shared" ref="T49:T53" si="109">K49</f>
        <v>0</v>
      </c>
      <c r="U49" s="30">
        <f t="shared" ref="U49:U53" si="110">L49</f>
        <v>0</v>
      </c>
      <c r="V49" s="30">
        <f t="shared" ref="V49:V53" si="111">M49</f>
        <v>0</v>
      </c>
      <c r="W49" s="30">
        <f t="shared" ref="W49:W53" si="112">N49</f>
        <v>1723</v>
      </c>
      <c r="X49" s="30">
        <f t="shared" ref="X49:X53" si="113">O49</f>
        <v>0</v>
      </c>
      <c r="Y49" s="30">
        <f t="shared" ref="Y49:Y53" si="114">P49</f>
        <v>0</v>
      </c>
      <c r="Z49" s="30">
        <f t="shared" ref="Z49:Z53" si="115">Q49</f>
        <v>0</v>
      </c>
      <c r="AA49" s="11"/>
      <c r="AB49" s="68" t="e">
        <f t="shared" ref="AB49" si="116">SUM(Z49/V49)-1</f>
        <v>#DIV/0!</v>
      </c>
    </row>
    <row r="50" spans="2:28" ht="12.75" customHeight="1">
      <c r="B50" s="9" t="s">
        <v>128</v>
      </c>
      <c r="C50" s="105">
        <v>4233</v>
      </c>
      <c r="D50" s="105">
        <v>4424</v>
      </c>
      <c r="E50" s="105">
        <v>4728</v>
      </c>
      <c r="G50" s="105"/>
      <c r="H50" s="105"/>
      <c r="I50" s="105"/>
      <c r="J50" s="82">
        <f>D50</f>
        <v>4424</v>
      </c>
      <c r="K50" s="105"/>
      <c r="L50" s="105"/>
      <c r="M50" s="105"/>
      <c r="N50" s="82">
        <f>E50</f>
        <v>4728</v>
      </c>
      <c r="O50" s="105"/>
      <c r="P50" s="105"/>
      <c r="Q50" s="105"/>
      <c r="R50" s="82"/>
      <c r="S50" s="30">
        <f t="shared" si="108"/>
        <v>4424</v>
      </c>
      <c r="T50" s="30">
        <f t="shared" si="109"/>
        <v>0</v>
      </c>
      <c r="U50" s="30">
        <f t="shared" si="110"/>
        <v>0</v>
      </c>
      <c r="V50" s="30">
        <f t="shared" si="111"/>
        <v>0</v>
      </c>
      <c r="W50" s="30">
        <f t="shared" si="112"/>
        <v>4728</v>
      </c>
      <c r="X50" s="30">
        <f t="shared" si="113"/>
        <v>0</v>
      </c>
      <c r="Y50" s="30">
        <f t="shared" si="114"/>
        <v>0</v>
      </c>
      <c r="Z50" s="30">
        <f t="shared" si="115"/>
        <v>0</v>
      </c>
      <c r="AA50" s="11"/>
      <c r="AB50" s="68" t="e">
        <f t="shared" si="107"/>
        <v>#DIV/0!</v>
      </c>
    </row>
    <row r="51" spans="2:28" ht="12.75" customHeight="1">
      <c r="B51" s="9" t="s">
        <v>129</v>
      </c>
      <c r="C51" s="105">
        <v>3487</v>
      </c>
      <c r="D51" s="105">
        <v>3410</v>
      </c>
      <c r="E51" s="105">
        <v>3569</v>
      </c>
      <c r="G51" s="105"/>
      <c r="H51" s="105"/>
      <c r="I51" s="105"/>
      <c r="J51" s="82">
        <f>D51</f>
        <v>3410</v>
      </c>
      <c r="K51" s="105"/>
      <c r="L51" s="105"/>
      <c r="M51" s="105"/>
      <c r="N51" s="82">
        <f>E51</f>
        <v>3569</v>
      </c>
      <c r="O51" s="105"/>
      <c r="P51" s="105"/>
      <c r="Q51" s="105"/>
      <c r="R51" s="82"/>
      <c r="S51" s="30">
        <f t="shared" si="108"/>
        <v>3410</v>
      </c>
      <c r="T51" s="30">
        <f t="shared" si="109"/>
        <v>0</v>
      </c>
      <c r="U51" s="30">
        <f t="shared" si="110"/>
        <v>0</v>
      </c>
      <c r="V51" s="30">
        <f t="shared" si="111"/>
        <v>0</v>
      </c>
      <c r="W51" s="30">
        <f t="shared" si="112"/>
        <v>3569</v>
      </c>
      <c r="X51" s="30">
        <f t="shared" si="113"/>
        <v>0</v>
      </c>
      <c r="Y51" s="30">
        <f t="shared" si="114"/>
        <v>0</v>
      </c>
      <c r="Z51" s="30">
        <f t="shared" si="115"/>
        <v>0</v>
      </c>
      <c r="AA51" s="11"/>
      <c r="AB51" s="68" t="e">
        <f t="shared" ref="AB51" si="117">SUM(Z51/V51)-1</f>
        <v>#DIV/0!</v>
      </c>
    </row>
    <row r="52" spans="2:28" ht="12.75" customHeight="1">
      <c r="B52" s="9" t="s">
        <v>130</v>
      </c>
      <c r="C52" s="105">
        <v>1043</v>
      </c>
      <c r="D52" s="105">
        <v>2997</v>
      </c>
      <c r="E52" s="105">
        <v>2020</v>
      </c>
      <c r="G52" s="105"/>
      <c r="H52" s="105"/>
      <c r="I52" s="105"/>
      <c r="J52" s="82">
        <f>D52</f>
        <v>2997</v>
      </c>
      <c r="K52" s="105"/>
      <c r="L52" s="105"/>
      <c r="M52" s="105"/>
      <c r="N52" s="82">
        <f>E52</f>
        <v>2020</v>
      </c>
      <c r="O52" s="105"/>
      <c r="P52" s="105"/>
      <c r="Q52" s="105"/>
      <c r="R52" s="82"/>
      <c r="S52" s="30">
        <f t="shared" si="108"/>
        <v>2997</v>
      </c>
      <c r="T52" s="30">
        <f t="shared" si="109"/>
        <v>0</v>
      </c>
      <c r="U52" s="30">
        <f t="shared" si="110"/>
        <v>0</v>
      </c>
      <c r="V52" s="30">
        <f t="shared" si="111"/>
        <v>0</v>
      </c>
      <c r="W52" s="30">
        <f t="shared" si="112"/>
        <v>2020</v>
      </c>
      <c r="X52" s="30">
        <f t="shared" si="113"/>
        <v>0</v>
      </c>
      <c r="Y52" s="30">
        <f t="shared" si="114"/>
        <v>0</v>
      </c>
      <c r="Z52" s="30">
        <f t="shared" si="115"/>
        <v>0</v>
      </c>
      <c r="AA52" s="11"/>
      <c r="AB52" s="68" t="e">
        <f t="shared" si="107"/>
        <v>#DIV/0!</v>
      </c>
    </row>
    <row r="53" spans="2:28" ht="12.75" customHeight="1">
      <c r="B53" s="9" t="s">
        <v>131</v>
      </c>
      <c r="C53" s="105">
        <v>3240</v>
      </c>
      <c r="D53" s="105">
        <v>5235</v>
      </c>
      <c r="E53" s="105">
        <v>3129</v>
      </c>
      <c r="G53" s="105"/>
      <c r="H53" s="105"/>
      <c r="I53" s="105"/>
      <c r="J53" s="82">
        <f>D53</f>
        <v>5235</v>
      </c>
      <c r="K53" s="105"/>
      <c r="L53" s="105"/>
      <c r="M53" s="105"/>
      <c r="N53" s="82">
        <f>E53</f>
        <v>3129</v>
      </c>
      <c r="O53" s="105"/>
      <c r="P53" s="105"/>
      <c r="Q53" s="105"/>
      <c r="R53" s="82"/>
      <c r="S53" s="30">
        <f t="shared" si="108"/>
        <v>5235</v>
      </c>
      <c r="T53" s="30">
        <f t="shared" si="109"/>
        <v>0</v>
      </c>
      <c r="U53" s="30">
        <f t="shared" si="110"/>
        <v>0</v>
      </c>
      <c r="V53" s="30">
        <f t="shared" si="111"/>
        <v>0</v>
      </c>
      <c r="W53" s="30">
        <f t="shared" si="112"/>
        <v>3129</v>
      </c>
      <c r="X53" s="30">
        <f t="shared" si="113"/>
        <v>0</v>
      </c>
      <c r="Y53" s="30">
        <f t="shared" si="114"/>
        <v>0</v>
      </c>
      <c r="Z53" s="30">
        <f t="shared" si="115"/>
        <v>0</v>
      </c>
      <c r="AA53" s="11"/>
      <c r="AB53" s="68" t="e">
        <f t="shared" si="107"/>
        <v>#DIV/0!</v>
      </c>
    </row>
    <row r="54" spans="2:28" ht="12.75" customHeight="1">
      <c r="B54" s="23" t="s">
        <v>20</v>
      </c>
      <c r="C54" s="24">
        <f>SUM(C48:C53)</f>
        <v>22591</v>
      </c>
      <c r="D54" s="24">
        <f>SUM(D48:D53)</f>
        <v>26732</v>
      </c>
      <c r="E54" s="24">
        <f>SUM(E48:E53)</f>
        <v>25997</v>
      </c>
      <c r="F54" s="45"/>
      <c r="G54" s="24">
        <f>SUM(G48:G53)</f>
        <v>0</v>
      </c>
      <c r="H54" s="24">
        <f>SUM(H48:H53)</f>
        <v>0</v>
      </c>
      <c r="I54" s="24">
        <f>SUM(I48:I53)</f>
        <v>0</v>
      </c>
      <c r="J54" s="24">
        <f>SUM(J48:J53)</f>
        <v>26732</v>
      </c>
      <c r="K54" s="24">
        <f>SUM(K48:K53)</f>
        <v>0</v>
      </c>
      <c r="L54" s="24">
        <f>SUM(L48:L53)</f>
        <v>0</v>
      </c>
      <c r="M54" s="24">
        <f>SUM(M48:M53)</f>
        <v>0</v>
      </c>
      <c r="N54" s="24">
        <f>SUM(N48:N53)</f>
        <v>25997</v>
      </c>
      <c r="O54" s="24">
        <f>SUM(O48:O53)</f>
        <v>0</v>
      </c>
      <c r="P54" s="24">
        <f>SUM(P48:P53)</f>
        <v>0</v>
      </c>
      <c r="Q54" s="24">
        <f>SUM(Q48:Q53)</f>
        <v>0</v>
      </c>
      <c r="R54" s="45"/>
      <c r="S54" s="24">
        <f>SUM(S48:S53)</f>
        <v>26732</v>
      </c>
      <c r="T54" s="24">
        <f>SUM(T48:T53)</f>
        <v>0</v>
      </c>
      <c r="U54" s="24">
        <f>SUM(U48:U53)</f>
        <v>0</v>
      </c>
      <c r="V54" s="24">
        <f>SUM(V48:V53)</f>
        <v>0</v>
      </c>
      <c r="W54" s="24">
        <f>SUM(W48:W53)</f>
        <v>25997</v>
      </c>
      <c r="X54" s="24">
        <f>SUM(X48:X53)</f>
        <v>0</v>
      </c>
      <c r="Y54" s="24">
        <f>SUM(Y48:Y53)</f>
        <v>0</v>
      </c>
      <c r="Z54" s="24">
        <f>SUM(Z48:Z53)</f>
        <v>0</v>
      </c>
      <c r="AA54" s="39"/>
      <c r="AB54" s="69" t="e">
        <f>SUM(Z54/V54)-1</f>
        <v>#DIV/0!</v>
      </c>
    </row>
    <row r="55" spans="2:28" ht="5.0999999999999996" customHeight="1">
      <c r="B55" s="23"/>
      <c r="C55" s="46"/>
      <c r="D55" s="38"/>
      <c r="E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S55" s="39"/>
      <c r="T55" s="39"/>
      <c r="U55" s="39"/>
      <c r="V55" s="39"/>
      <c r="W55" s="39"/>
      <c r="X55" s="39"/>
      <c r="Y55" s="39"/>
      <c r="Z55" s="39"/>
      <c r="AA55" s="39"/>
      <c r="AB55" s="36"/>
    </row>
    <row r="56" spans="2:28" ht="12.75" customHeight="1">
      <c r="B56" s="72" t="s">
        <v>84</v>
      </c>
      <c r="C56" s="76"/>
      <c r="D56" s="76"/>
      <c r="E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S56" s="30"/>
      <c r="T56" s="30"/>
      <c r="U56" s="30"/>
      <c r="V56" s="30"/>
      <c r="W56" s="30"/>
      <c r="X56" s="30"/>
      <c r="Y56" s="30"/>
      <c r="Z56" s="30"/>
      <c r="AA56" s="11"/>
      <c r="AB56" s="68"/>
    </row>
    <row r="57" spans="2:28" ht="12.75" customHeight="1">
      <c r="B57" s="9" t="s">
        <v>132</v>
      </c>
      <c r="C57" s="76">
        <v>9841</v>
      </c>
      <c r="D57" s="76">
        <v>9236</v>
      </c>
      <c r="E57" s="76">
        <v>10303</v>
      </c>
      <c r="G57" s="105"/>
      <c r="H57" s="105"/>
      <c r="I57" s="105"/>
      <c r="J57" s="82">
        <f>D57</f>
        <v>9236</v>
      </c>
      <c r="K57" s="105"/>
      <c r="L57" s="105"/>
      <c r="M57" s="105"/>
      <c r="N57" s="82">
        <f>E57</f>
        <v>10303</v>
      </c>
      <c r="O57" s="105"/>
      <c r="P57" s="105"/>
      <c r="Q57" s="105"/>
      <c r="S57" s="30">
        <f t="shared" ref="S57:S62" si="118">J57</f>
        <v>9236</v>
      </c>
      <c r="T57" s="30">
        <f t="shared" ref="T57:T62" si="119">K57</f>
        <v>0</v>
      </c>
      <c r="U57" s="30">
        <f t="shared" ref="U57:U62" si="120">L57</f>
        <v>0</v>
      </c>
      <c r="V57" s="30">
        <f t="shared" ref="V57:V62" si="121">M57</f>
        <v>0</v>
      </c>
      <c r="W57" s="30">
        <f t="shared" ref="W57:W62" si="122">N57</f>
        <v>10303</v>
      </c>
      <c r="X57" s="30">
        <f t="shared" ref="X57:X62" si="123">O57</f>
        <v>0</v>
      </c>
      <c r="Y57" s="30">
        <f t="shared" ref="Y57:Y62" si="124">P57</f>
        <v>0</v>
      </c>
      <c r="Z57" s="30">
        <f t="shared" ref="Z57:Z62" si="125">Q57</f>
        <v>0</v>
      </c>
      <c r="AA57" s="11"/>
      <c r="AB57" s="68" t="e">
        <f t="shared" ref="AB57:AB62" si="126">SUM(Z57/V57)-1</f>
        <v>#DIV/0!</v>
      </c>
    </row>
    <row r="58" spans="2:28" ht="12.75" customHeight="1">
      <c r="B58" s="9" t="s">
        <v>133</v>
      </c>
      <c r="C58" s="76">
        <v>14214</v>
      </c>
      <c r="D58" s="76">
        <v>14349</v>
      </c>
      <c r="E58" s="76">
        <v>13301</v>
      </c>
      <c r="G58" s="105"/>
      <c r="H58" s="105"/>
      <c r="I58" s="105"/>
      <c r="J58" s="82">
        <f>D58</f>
        <v>14349</v>
      </c>
      <c r="K58" s="105"/>
      <c r="L58" s="105"/>
      <c r="M58" s="105"/>
      <c r="N58" s="82">
        <f>E58</f>
        <v>13301</v>
      </c>
      <c r="O58" s="105"/>
      <c r="P58" s="105"/>
      <c r="Q58" s="105"/>
      <c r="S58" s="30">
        <f t="shared" si="118"/>
        <v>14349</v>
      </c>
      <c r="T58" s="30">
        <f t="shared" si="119"/>
        <v>0</v>
      </c>
      <c r="U58" s="30">
        <f t="shared" si="120"/>
        <v>0</v>
      </c>
      <c r="V58" s="30">
        <f t="shared" si="121"/>
        <v>0</v>
      </c>
      <c r="W58" s="30">
        <f t="shared" si="122"/>
        <v>13301</v>
      </c>
      <c r="X58" s="30">
        <f t="shared" si="123"/>
        <v>0</v>
      </c>
      <c r="Y58" s="30">
        <f t="shared" si="124"/>
        <v>0</v>
      </c>
      <c r="Z58" s="30">
        <f t="shared" si="125"/>
        <v>0</v>
      </c>
      <c r="AA58" s="11"/>
      <c r="AB58" s="68" t="e">
        <f t="shared" ref="AB58" si="127">SUM(Z58/V58)-1</f>
        <v>#DIV/0!</v>
      </c>
    </row>
    <row r="59" spans="2:28" ht="12.75" customHeight="1">
      <c r="B59" s="9" t="s">
        <v>134</v>
      </c>
      <c r="C59" s="76">
        <v>18782</v>
      </c>
      <c r="D59" s="76">
        <v>18358</v>
      </c>
      <c r="E59" s="76">
        <v>18139</v>
      </c>
      <c r="G59" s="105"/>
      <c r="H59" s="105"/>
      <c r="I59" s="105"/>
      <c r="J59" s="82">
        <f>D59</f>
        <v>18358</v>
      </c>
      <c r="K59" s="105"/>
      <c r="L59" s="105"/>
      <c r="M59" s="105"/>
      <c r="N59" s="82">
        <f>E59</f>
        <v>18139</v>
      </c>
      <c r="O59" s="105"/>
      <c r="P59" s="105"/>
      <c r="Q59" s="105"/>
      <c r="S59" s="30">
        <f t="shared" si="118"/>
        <v>18358</v>
      </c>
      <c r="T59" s="30">
        <f t="shared" si="119"/>
        <v>0</v>
      </c>
      <c r="U59" s="30">
        <f t="shared" si="120"/>
        <v>0</v>
      </c>
      <c r="V59" s="30">
        <f t="shared" si="121"/>
        <v>0</v>
      </c>
      <c r="W59" s="30">
        <f t="shared" si="122"/>
        <v>18139</v>
      </c>
      <c r="X59" s="30">
        <f t="shared" si="123"/>
        <v>0</v>
      </c>
      <c r="Y59" s="30">
        <f t="shared" si="124"/>
        <v>0</v>
      </c>
      <c r="Z59" s="30">
        <f t="shared" si="125"/>
        <v>0</v>
      </c>
      <c r="AA59" s="11"/>
      <c r="AB59" s="68" t="e">
        <f t="shared" si="126"/>
        <v>#DIV/0!</v>
      </c>
    </row>
    <row r="60" spans="2:28" ht="12.75" customHeight="1">
      <c r="B60" s="9" t="s">
        <v>135</v>
      </c>
      <c r="C60" s="76">
        <v>18264</v>
      </c>
      <c r="D60" s="76">
        <v>19671</v>
      </c>
      <c r="E60" s="76">
        <v>18087</v>
      </c>
      <c r="G60" s="105"/>
      <c r="H60" s="105"/>
      <c r="I60" s="105"/>
      <c r="J60" s="82">
        <f>D60</f>
        <v>19671</v>
      </c>
      <c r="K60" s="105"/>
      <c r="L60" s="105"/>
      <c r="M60" s="105"/>
      <c r="N60" s="82">
        <f>E60</f>
        <v>18087</v>
      </c>
      <c r="O60" s="105"/>
      <c r="P60" s="105"/>
      <c r="Q60" s="105"/>
      <c r="S60" s="30">
        <f t="shared" si="118"/>
        <v>19671</v>
      </c>
      <c r="T60" s="30">
        <f t="shared" si="119"/>
        <v>0</v>
      </c>
      <c r="U60" s="30">
        <f t="shared" si="120"/>
        <v>0</v>
      </c>
      <c r="V60" s="30">
        <f t="shared" si="121"/>
        <v>0</v>
      </c>
      <c r="W60" s="30">
        <f t="shared" si="122"/>
        <v>18087</v>
      </c>
      <c r="X60" s="30">
        <f t="shared" si="123"/>
        <v>0</v>
      </c>
      <c r="Y60" s="30">
        <f t="shared" si="124"/>
        <v>0</v>
      </c>
      <c r="Z60" s="30">
        <f t="shared" si="125"/>
        <v>0</v>
      </c>
      <c r="AA60" s="11"/>
      <c r="AB60" s="68" t="e">
        <f t="shared" ref="AB60:AB61" si="128">SUM(Z60/V60)-1</f>
        <v>#DIV/0!</v>
      </c>
    </row>
    <row r="61" spans="2:28" ht="12.75" customHeight="1">
      <c r="B61" s="9" t="s">
        <v>136</v>
      </c>
      <c r="C61" s="76">
        <v>1746</v>
      </c>
      <c r="D61" s="76">
        <v>1561</v>
      </c>
      <c r="E61" s="76">
        <v>1319</v>
      </c>
      <c r="G61" s="105"/>
      <c r="H61" s="105"/>
      <c r="I61" s="105"/>
      <c r="J61" s="82">
        <f>D61</f>
        <v>1561</v>
      </c>
      <c r="K61" s="105"/>
      <c r="L61" s="105"/>
      <c r="M61" s="105"/>
      <c r="N61" s="82">
        <f>E61</f>
        <v>1319</v>
      </c>
      <c r="O61" s="105"/>
      <c r="P61" s="105"/>
      <c r="Q61" s="105"/>
      <c r="S61" s="30">
        <f t="shared" si="118"/>
        <v>1561</v>
      </c>
      <c r="T61" s="30">
        <f t="shared" si="119"/>
        <v>0</v>
      </c>
      <c r="U61" s="30">
        <f t="shared" si="120"/>
        <v>0</v>
      </c>
      <c r="V61" s="30">
        <f t="shared" si="121"/>
        <v>0</v>
      </c>
      <c r="W61" s="30">
        <f t="shared" si="122"/>
        <v>1319</v>
      </c>
      <c r="X61" s="30">
        <f t="shared" si="123"/>
        <v>0</v>
      </c>
      <c r="Y61" s="30">
        <f t="shared" si="124"/>
        <v>0</v>
      </c>
      <c r="Z61" s="30">
        <f t="shared" si="125"/>
        <v>0</v>
      </c>
      <c r="AA61" s="11"/>
      <c r="AB61" s="68" t="e">
        <f t="shared" si="128"/>
        <v>#DIV/0!</v>
      </c>
    </row>
    <row r="62" spans="2:28" ht="12.75" customHeight="1">
      <c r="B62" s="9" t="s">
        <v>137</v>
      </c>
      <c r="C62" s="76">
        <v>7325</v>
      </c>
      <c r="D62" s="76">
        <v>7796</v>
      </c>
      <c r="E62" s="76">
        <v>13403</v>
      </c>
      <c r="G62" s="105"/>
      <c r="H62" s="105"/>
      <c r="I62" s="105"/>
      <c r="J62" s="82">
        <f>D62</f>
        <v>7796</v>
      </c>
      <c r="K62" s="105"/>
      <c r="L62" s="105"/>
      <c r="M62" s="105"/>
      <c r="N62" s="82">
        <f>E62</f>
        <v>13403</v>
      </c>
      <c r="O62" s="105"/>
      <c r="P62" s="105"/>
      <c r="Q62" s="105"/>
      <c r="S62" s="30">
        <f t="shared" si="118"/>
        <v>7796</v>
      </c>
      <c r="T62" s="30">
        <f t="shared" si="119"/>
        <v>0</v>
      </c>
      <c r="U62" s="30">
        <f t="shared" si="120"/>
        <v>0</v>
      </c>
      <c r="V62" s="30">
        <f t="shared" si="121"/>
        <v>0</v>
      </c>
      <c r="W62" s="30">
        <f t="shared" si="122"/>
        <v>13403</v>
      </c>
      <c r="X62" s="30">
        <f t="shared" si="123"/>
        <v>0</v>
      </c>
      <c r="Y62" s="30">
        <f t="shared" si="124"/>
        <v>0</v>
      </c>
      <c r="Z62" s="30">
        <f t="shared" si="125"/>
        <v>0</v>
      </c>
      <c r="AA62" s="11"/>
      <c r="AB62" s="68" t="e">
        <f t="shared" si="126"/>
        <v>#DIV/0!</v>
      </c>
    </row>
    <row r="63" spans="2:28" ht="12.75" customHeight="1">
      <c r="B63" s="12" t="s">
        <v>21</v>
      </c>
      <c r="C63" s="13">
        <f>SUM(C57:C62)+C54</f>
        <v>92763</v>
      </c>
      <c r="D63" s="13">
        <f>SUM(D57:D62)+D54</f>
        <v>97703</v>
      </c>
      <c r="E63" s="13">
        <f>SUM(E57:E62)+E54</f>
        <v>100549</v>
      </c>
      <c r="G63" s="13">
        <f>SUM(G57:G62)+G54</f>
        <v>0</v>
      </c>
      <c r="H63" s="13">
        <f>SUM(H57:H62)+H54</f>
        <v>0</v>
      </c>
      <c r="I63" s="13">
        <f>SUM(I57:I62)+I54</f>
        <v>0</v>
      </c>
      <c r="J63" s="13">
        <f>SUM(J57:J62)+J54</f>
        <v>97703</v>
      </c>
      <c r="K63" s="13">
        <f>SUM(K57:K62)+K54</f>
        <v>0</v>
      </c>
      <c r="L63" s="13">
        <f>SUM(L57:L62)+L54</f>
        <v>0</v>
      </c>
      <c r="M63" s="13">
        <f>SUM(M57:M62)+M54</f>
        <v>0</v>
      </c>
      <c r="N63" s="13">
        <f>SUM(N57:N62)+N54</f>
        <v>100549</v>
      </c>
      <c r="O63" s="13">
        <f>SUM(O57:O62)+O54</f>
        <v>0</v>
      </c>
      <c r="P63" s="13">
        <f>SUM(P57:P62)+P54</f>
        <v>0</v>
      </c>
      <c r="Q63" s="13">
        <f>SUM(Q57:Q62)+Q54</f>
        <v>0</v>
      </c>
      <c r="S63" s="13">
        <f>SUM(S57:S62)+S54</f>
        <v>97703</v>
      </c>
      <c r="T63" s="13">
        <f>SUM(T57:T62)+T54</f>
        <v>0</v>
      </c>
      <c r="U63" s="13">
        <f>SUM(U57:U62)+U54</f>
        <v>0</v>
      </c>
      <c r="V63" s="13">
        <f>SUM(V57:V62)+V54</f>
        <v>0</v>
      </c>
      <c r="W63" s="13">
        <f>SUM(W57:W62)+W54</f>
        <v>100549</v>
      </c>
      <c r="X63" s="13">
        <f>SUM(X57:X62)+X54</f>
        <v>0</v>
      </c>
      <c r="Y63" s="13">
        <f>SUM(Y57:Y62)+Y54</f>
        <v>0</v>
      </c>
      <c r="Z63" s="13">
        <f>SUM(Z57:Z62)+Z54</f>
        <v>0</v>
      </c>
      <c r="AA63" s="39"/>
      <c r="AB63" s="69" t="e">
        <f>SUM(Z63/V63)-1</f>
        <v>#DIV/0!</v>
      </c>
    </row>
    <row r="64" spans="2:28" ht="12.75" customHeight="1">
      <c r="B64" s="23"/>
      <c r="C64" s="47"/>
      <c r="D64" s="38"/>
      <c r="E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S64" s="39"/>
      <c r="T64" s="39"/>
      <c r="U64" s="39"/>
      <c r="V64" s="39"/>
      <c r="W64" s="39"/>
      <c r="X64" s="39"/>
      <c r="Y64" s="39"/>
      <c r="Z64" s="39"/>
      <c r="AA64" s="39"/>
      <c r="AB64" s="36"/>
    </row>
    <row r="65" spans="2:28" ht="12.75" customHeight="1">
      <c r="B65" s="72" t="s">
        <v>47</v>
      </c>
      <c r="C65" s="47"/>
      <c r="D65" s="38"/>
      <c r="E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S65" s="39"/>
      <c r="T65" s="39"/>
      <c r="U65" s="39"/>
      <c r="V65" s="39"/>
      <c r="W65" s="39"/>
      <c r="X65" s="39"/>
      <c r="Y65" s="39"/>
      <c r="Z65" s="39"/>
      <c r="AA65" s="39"/>
      <c r="AB65" s="36"/>
    </row>
    <row r="66" spans="2:28" ht="12.75" customHeight="1">
      <c r="B66" s="9" t="s">
        <v>138</v>
      </c>
      <c r="C66" s="76">
        <v>15749</v>
      </c>
      <c r="D66" s="76">
        <v>15485</v>
      </c>
      <c r="E66" s="76">
        <v>21715</v>
      </c>
      <c r="G66" s="105"/>
      <c r="H66" s="105"/>
      <c r="I66" s="105"/>
      <c r="J66" s="82">
        <f>D66</f>
        <v>15485</v>
      </c>
      <c r="K66" s="105"/>
      <c r="L66" s="105"/>
      <c r="M66" s="105"/>
      <c r="N66" s="82">
        <f>E66</f>
        <v>21715</v>
      </c>
      <c r="O66" s="105"/>
      <c r="P66" s="105"/>
      <c r="Q66" s="105"/>
      <c r="S66" s="30">
        <f t="shared" ref="S66:S69" si="129">J66</f>
        <v>15485</v>
      </c>
      <c r="T66" s="30">
        <f t="shared" ref="T66:T69" si="130">K66</f>
        <v>0</v>
      </c>
      <c r="U66" s="30">
        <f t="shared" ref="U66:U69" si="131">L66</f>
        <v>0</v>
      </c>
      <c r="V66" s="30">
        <f t="shared" ref="V66:V69" si="132">M66</f>
        <v>0</v>
      </c>
      <c r="W66" s="30">
        <f t="shared" ref="W66:W69" si="133">N66</f>
        <v>21715</v>
      </c>
      <c r="X66" s="30">
        <f t="shared" ref="X66:X69" si="134">O66</f>
        <v>0</v>
      </c>
      <c r="Y66" s="30">
        <f t="shared" ref="Y66:Y69" si="135">P66</f>
        <v>0</v>
      </c>
      <c r="Z66" s="30">
        <f t="shared" ref="Z66:Z69" si="136">Q66</f>
        <v>0</v>
      </c>
      <c r="AA66" s="11"/>
      <c r="AB66" s="68" t="e">
        <f t="shared" ref="AB66:AB67" si="137">SUM(Z66/V66)-1</f>
        <v>#DIV/0!</v>
      </c>
    </row>
    <row r="67" spans="2:28" ht="12.75" customHeight="1">
      <c r="B67" s="9" t="s">
        <v>139</v>
      </c>
      <c r="C67" s="76">
        <v>2373</v>
      </c>
      <c r="D67" s="76">
        <v>4557</v>
      </c>
      <c r="E67" s="76">
        <v>1499</v>
      </c>
      <c r="G67" s="105"/>
      <c r="H67" s="105"/>
      <c r="I67" s="105"/>
      <c r="J67" s="82">
        <f>D67</f>
        <v>4557</v>
      </c>
      <c r="K67" s="105"/>
      <c r="L67" s="105"/>
      <c r="M67" s="105"/>
      <c r="N67" s="82">
        <f>E67</f>
        <v>1499</v>
      </c>
      <c r="O67" s="105"/>
      <c r="P67" s="105"/>
      <c r="Q67" s="105"/>
      <c r="S67" s="30">
        <f t="shared" si="129"/>
        <v>4557</v>
      </c>
      <c r="T67" s="30">
        <f t="shared" si="130"/>
        <v>0</v>
      </c>
      <c r="U67" s="30">
        <f t="shared" si="131"/>
        <v>0</v>
      </c>
      <c r="V67" s="30">
        <f t="shared" si="132"/>
        <v>0</v>
      </c>
      <c r="W67" s="30">
        <f t="shared" si="133"/>
        <v>1499</v>
      </c>
      <c r="X67" s="30">
        <f t="shared" si="134"/>
        <v>0</v>
      </c>
      <c r="Y67" s="30">
        <f t="shared" si="135"/>
        <v>0</v>
      </c>
      <c r="Z67" s="30">
        <f t="shared" si="136"/>
        <v>0</v>
      </c>
      <c r="AA67" s="11"/>
      <c r="AB67" s="68" t="e">
        <f t="shared" si="137"/>
        <v>#DIV/0!</v>
      </c>
    </row>
    <row r="68" spans="2:28" ht="12.75" customHeight="1">
      <c r="B68" s="9" t="s">
        <v>140</v>
      </c>
      <c r="C68" s="76">
        <v>399</v>
      </c>
      <c r="D68" s="76">
        <v>1960</v>
      </c>
      <c r="E68" s="76">
        <v>648</v>
      </c>
      <c r="G68" s="105"/>
      <c r="H68" s="105"/>
      <c r="I68" s="105"/>
      <c r="J68" s="82">
        <f>D68</f>
        <v>1960</v>
      </c>
      <c r="K68" s="105"/>
      <c r="L68" s="105"/>
      <c r="M68" s="105"/>
      <c r="N68" s="82">
        <f>E68</f>
        <v>648</v>
      </c>
      <c r="O68" s="105"/>
      <c r="P68" s="105"/>
      <c r="Q68" s="105"/>
      <c r="S68" s="30">
        <f t="shared" si="129"/>
        <v>1960</v>
      </c>
      <c r="T68" s="30">
        <f t="shared" si="130"/>
        <v>0</v>
      </c>
      <c r="U68" s="30">
        <f t="shared" si="131"/>
        <v>0</v>
      </c>
      <c r="V68" s="30">
        <f t="shared" si="132"/>
        <v>0</v>
      </c>
      <c r="W68" s="30">
        <f t="shared" si="133"/>
        <v>648</v>
      </c>
      <c r="X68" s="30">
        <f t="shared" si="134"/>
        <v>0</v>
      </c>
      <c r="Y68" s="30">
        <f t="shared" si="135"/>
        <v>0</v>
      </c>
      <c r="Z68" s="30">
        <f t="shared" si="136"/>
        <v>0</v>
      </c>
      <c r="AA68" s="11"/>
      <c r="AB68" s="68" t="e">
        <f t="shared" ref="AB68" si="138">SUM(Z68/V68)-1</f>
        <v>#DIV/0!</v>
      </c>
    </row>
    <row r="69" spans="2:28" ht="12.75" customHeight="1">
      <c r="B69" s="9" t="s">
        <v>141</v>
      </c>
      <c r="C69" s="76">
        <v>1203</v>
      </c>
      <c r="D69" s="76">
        <v>1569</v>
      </c>
      <c r="E69" s="76">
        <v>1387</v>
      </c>
      <c r="G69" s="105"/>
      <c r="H69" s="105"/>
      <c r="I69" s="105"/>
      <c r="J69" s="82">
        <f>D69</f>
        <v>1569</v>
      </c>
      <c r="K69" s="105"/>
      <c r="L69" s="105"/>
      <c r="M69" s="105"/>
      <c r="N69" s="82">
        <f>E69</f>
        <v>1387</v>
      </c>
      <c r="O69" s="105"/>
      <c r="P69" s="105"/>
      <c r="Q69" s="105"/>
      <c r="S69" s="30">
        <f t="shared" si="129"/>
        <v>1569</v>
      </c>
      <c r="T69" s="30">
        <f t="shared" si="130"/>
        <v>0</v>
      </c>
      <c r="U69" s="30">
        <f t="shared" si="131"/>
        <v>0</v>
      </c>
      <c r="V69" s="30">
        <f t="shared" si="132"/>
        <v>0</v>
      </c>
      <c r="W69" s="30">
        <f t="shared" si="133"/>
        <v>1387</v>
      </c>
      <c r="X69" s="30">
        <f t="shared" si="134"/>
        <v>0</v>
      </c>
      <c r="Y69" s="30">
        <f t="shared" si="135"/>
        <v>0</v>
      </c>
      <c r="Z69" s="30">
        <f t="shared" si="136"/>
        <v>0</v>
      </c>
      <c r="AA69" s="11"/>
      <c r="AB69" s="68"/>
    </row>
    <row r="70" spans="2:28" ht="12.75" customHeight="1">
      <c r="B70" s="23" t="s">
        <v>19</v>
      </c>
      <c r="C70" s="24">
        <f>SUM(C66:C69)</f>
        <v>19724</v>
      </c>
      <c r="D70" s="24">
        <f>SUM(D66:D69)</f>
        <v>23571</v>
      </c>
      <c r="E70" s="24">
        <f>SUM(E66:E69)</f>
        <v>25249</v>
      </c>
      <c r="G70" s="24">
        <f>SUM(G66:G69)</f>
        <v>0</v>
      </c>
      <c r="H70" s="24">
        <f>SUM(H66:H69)</f>
        <v>0</v>
      </c>
      <c r="I70" s="24">
        <f>SUM(I66:I69)</f>
        <v>0</v>
      </c>
      <c r="J70" s="24">
        <f>SUM(J66:J69)</f>
        <v>23571</v>
      </c>
      <c r="K70" s="24">
        <f>SUM(K66:K69)</f>
        <v>0</v>
      </c>
      <c r="L70" s="24">
        <f>SUM(L66:L69)</f>
        <v>0</v>
      </c>
      <c r="M70" s="24">
        <f>SUM(M66:M69)</f>
        <v>0</v>
      </c>
      <c r="N70" s="24">
        <f>SUM(N66:N69)</f>
        <v>25249</v>
      </c>
      <c r="O70" s="24">
        <f>SUM(O66:O69)</f>
        <v>0</v>
      </c>
      <c r="P70" s="24">
        <f>SUM(P66:P69)</f>
        <v>0</v>
      </c>
      <c r="Q70" s="24">
        <f>SUM(Q66:Q69)</f>
        <v>0</v>
      </c>
      <c r="R70" s="45"/>
      <c r="S70" s="24">
        <f>SUM(S66:S69)</f>
        <v>23571</v>
      </c>
      <c r="T70" s="24">
        <f>SUM(T66:T69)</f>
        <v>0</v>
      </c>
      <c r="U70" s="24">
        <f>SUM(U66:U69)</f>
        <v>0</v>
      </c>
      <c r="V70" s="24">
        <f>SUM(V66:V69)</f>
        <v>0</v>
      </c>
      <c r="W70" s="24">
        <f>SUM(W66:W69)</f>
        <v>25249</v>
      </c>
      <c r="X70" s="24">
        <f>SUM(X66:X69)</f>
        <v>0</v>
      </c>
      <c r="Y70" s="24">
        <f>SUM(Y66:Y69)</f>
        <v>0</v>
      </c>
      <c r="Z70" s="24">
        <f>SUM(Z66:Z69)</f>
        <v>0</v>
      </c>
      <c r="AA70" s="39"/>
      <c r="AB70" s="69" t="e">
        <f>SUM(Z70/V70)-1</f>
        <v>#DIV/0!</v>
      </c>
    </row>
    <row r="71" spans="2:28" ht="5.0999999999999996" customHeight="1">
      <c r="B71" s="23"/>
      <c r="C71" s="47"/>
      <c r="D71" s="38"/>
      <c r="E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S71" s="39"/>
      <c r="T71" s="39"/>
      <c r="U71" s="39"/>
      <c r="V71" s="39"/>
      <c r="W71" s="39"/>
      <c r="X71" s="39"/>
      <c r="Y71" s="39"/>
      <c r="Z71" s="39"/>
      <c r="AA71" s="39"/>
      <c r="AB71" s="36"/>
    </row>
    <row r="72" spans="2:28">
      <c r="B72" s="72" t="s">
        <v>85</v>
      </c>
      <c r="C72" s="47"/>
      <c r="D72" s="38"/>
      <c r="E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S72" s="39"/>
      <c r="T72" s="39"/>
      <c r="U72" s="39"/>
      <c r="V72" s="39"/>
      <c r="W72" s="39"/>
      <c r="X72" s="39"/>
      <c r="Y72" s="39"/>
      <c r="Z72" s="39"/>
      <c r="AA72" s="39"/>
      <c r="AB72" s="36"/>
    </row>
    <row r="73" spans="2:28" ht="12.75" customHeight="1">
      <c r="B73" s="104" t="s">
        <v>142</v>
      </c>
      <c r="C73" s="76">
        <v>36377</v>
      </c>
      <c r="D73" s="76">
        <v>35547</v>
      </c>
      <c r="E73" s="76">
        <v>42375</v>
      </c>
      <c r="G73" s="105"/>
      <c r="H73" s="105"/>
      <c r="I73" s="105"/>
      <c r="J73" s="82">
        <f>D73</f>
        <v>35547</v>
      </c>
      <c r="K73" s="105"/>
      <c r="L73" s="105"/>
      <c r="M73" s="105"/>
      <c r="N73" s="82">
        <f>E73</f>
        <v>42375</v>
      </c>
      <c r="O73" s="105"/>
      <c r="P73" s="105"/>
      <c r="Q73" s="105"/>
      <c r="S73" s="30">
        <f t="shared" ref="S73:S75" si="139">J73</f>
        <v>35547</v>
      </c>
      <c r="T73" s="30">
        <f t="shared" ref="T73:T75" si="140">K73</f>
        <v>0</v>
      </c>
      <c r="U73" s="30">
        <f t="shared" ref="U73:U75" si="141">L73</f>
        <v>0</v>
      </c>
      <c r="V73" s="30">
        <f t="shared" ref="V73:V75" si="142">M73</f>
        <v>0</v>
      </c>
      <c r="W73" s="30">
        <f t="shared" ref="W73:W75" si="143">N73</f>
        <v>42375</v>
      </c>
      <c r="X73" s="30">
        <f t="shared" ref="X73:X75" si="144">O73</f>
        <v>0</v>
      </c>
      <c r="Y73" s="30">
        <f t="shared" ref="Y73:Y75" si="145">P73</f>
        <v>0</v>
      </c>
      <c r="Z73" s="30">
        <f t="shared" ref="Z73:Z75" si="146">Q73</f>
        <v>0</v>
      </c>
      <c r="AA73" s="39"/>
      <c r="AB73" s="68" t="e">
        <f t="shared" ref="AB73" si="147">SUM(Z73/V73)-1</f>
        <v>#DIV/0!</v>
      </c>
    </row>
    <row r="74" spans="2:28" ht="12.75" customHeight="1">
      <c r="B74" s="104" t="s">
        <v>143</v>
      </c>
      <c r="C74" s="76">
        <v>7922</v>
      </c>
      <c r="D74" s="76">
        <v>8466</v>
      </c>
      <c r="E74" s="76">
        <v>4084</v>
      </c>
      <c r="G74" s="105"/>
      <c r="H74" s="105"/>
      <c r="I74" s="105"/>
      <c r="J74" s="82">
        <f>D74</f>
        <v>8466</v>
      </c>
      <c r="K74" s="105"/>
      <c r="L74" s="105"/>
      <c r="M74" s="105"/>
      <c r="N74" s="82">
        <f>E74</f>
        <v>4084</v>
      </c>
      <c r="O74" s="105"/>
      <c r="P74" s="105"/>
      <c r="Q74" s="105"/>
      <c r="S74" s="30">
        <f t="shared" si="139"/>
        <v>8466</v>
      </c>
      <c r="T74" s="30">
        <f t="shared" si="140"/>
        <v>0</v>
      </c>
      <c r="U74" s="30">
        <f t="shared" si="141"/>
        <v>0</v>
      </c>
      <c r="V74" s="30">
        <f t="shared" si="142"/>
        <v>0</v>
      </c>
      <c r="W74" s="30">
        <f t="shared" si="143"/>
        <v>4084</v>
      </c>
      <c r="X74" s="30">
        <f t="shared" si="144"/>
        <v>0</v>
      </c>
      <c r="Y74" s="30">
        <f t="shared" si="145"/>
        <v>0</v>
      </c>
      <c r="Z74" s="30">
        <f t="shared" si="146"/>
        <v>0</v>
      </c>
      <c r="AA74" s="39"/>
      <c r="AB74" s="68" t="e">
        <f t="shared" ref="AB74:AB75" si="148">SUM(Z74/V74)-1</f>
        <v>#DIV/0!</v>
      </c>
    </row>
    <row r="75" spans="2:28" ht="12.75" customHeight="1">
      <c r="B75" s="104" t="s">
        <v>144</v>
      </c>
      <c r="C75" s="76">
        <v>2914</v>
      </c>
      <c r="D75" s="76">
        <v>2639</v>
      </c>
      <c r="E75" s="76">
        <v>2469</v>
      </c>
      <c r="G75" s="105"/>
      <c r="H75" s="105"/>
      <c r="I75" s="105"/>
      <c r="J75" s="82">
        <f>D75</f>
        <v>2639</v>
      </c>
      <c r="K75" s="105"/>
      <c r="L75" s="105"/>
      <c r="M75" s="105"/>
      <c r="N75" s="82">
        <f>E75</f>
        <v>2469</v>
      </c>
      <c r="O75" s="105"/>
      <c r="P75" s="105"/>
      <c r="Q75" s="105"/>
      <c r="S75" s="30">
        <f t="shared" si="139"/>
        <v>2639</v>
      </c>
      <c r="T75" s="30">
        <f t="shared" si="140"/>
        <v>0</v>
      </c>
      <c r="U75" s="30">
        <f t="shared" si="141"/>
        <v>0</v>
      </c>
      <c r="V75" s="30">
        <f t="shared" si="142"/>
        <v>0</v>
      </c>
      <c r="W75" s="30">
        <f t="shared" si="143"/>
        <v>2469</v>
      </c>
      <c r="X75" s="30">
        <f t="shared" si="144"/>
        <v>0</v>
      </c>
      <c r="Y75" s="30">
        <f t="shared" si="145"/>
        <v>0</v>
      </c>
      <c r="Z75" s="30">
        <f t="shared" si="146"/>
        <v>0</v>
      </c>
      <c r="AA75" s="39"/>
      <c r="AB75" s="68" t="e">
        <f t="shared" si="148"/>
        <v>#DIV/0!</v>
      </c>
    </row>
    <row r="76" spans="2:28" ht="12.75" customHeight="1">
      <c r="B76" s="12" t="s">
        <v>17</v>
      </c>
      <c r="C76" s="13">
        <f>SUM(C73:C75)+C70</f>
        <v>66937</v>
      </c>
      <c r="D76" s="13">
        <f>SUM(D73:D75)+D70</f>
        <v>70223</v>
      </c>
      <c r="E76" s="13">
        <f>SUM(E73:E75)+E70</f>
        <v>74177</v>
      </c>
      <c r="G76" s="13">
        <f>SUM(G73:G75)+G70</f>
        <v>0</v>
      </c>
      <c r="H76" s="13">
        <f>SUM(H73:H75)+H70</f>
        <v>0</v>
      </c>
      <c r="I76" s="13">
        <f>SUM(I73:I75)+I70</f>
        <v>0</v>
      </c>
      <c r="J76" s="13">
        <f>SUM(J73:J75)+J70</f>
        <v>70223</v>
      </c>
      <c r="K76" s="13">
        <f>SUM(K73:K75)+K70</f>
        <v>0</v>
      </c>
      <c r="L76" s="13">
        <f>SUM(L73:L75)+L70</f>
        <v>0</v>
      </c>
      <c r="M76" s="13">
        <f>SUM(M73:M75)+M70</f>
        <v>0</v>
      </c>
      <c r="N76" s="13">
        <f>SUM(N73:N75)+N70</f>
        <v>74177</v>
      </c>
      <c r="O76" s="13">
        <f>SUM(O73:O75)+O70</f>
        <v>0</v>
      </c>
      <c r="P76" s="13">
        <f>SUM(P73:P75)+P70</f>
        <v>0</v>
      </c>
      <c r="Q76" s="13">
        <f>SUM(Q73:Q75)+Q70</f>
        <v>0</v>
      </c>
      <c r="S76" s="13">
        <f>SUM(S73:S75)+S70</f>
        <v>70223</v>
      </c>
      <c r="T76" s="13">
        <f>SUM(T73:T75)+T70</f>
        <v>0</v>
      </c>
      <c r="U76" s="13">
        <f>SUM(U73:U75)+U70</f>
        <v>0</v>
      </c>
      <c r="V76" s="13">
        <f>SUM(V73:V75)+V70</f>
        <v>0</v>
      </c>
      <c r="W76" s="13">
        <f>SUM(W73:W75)+W70</f>
        <v>74177</v>
      </c>
      <c r="X76" s="13">
        <f>SUM(X73:X75)+X70</f>
        <v>0</v>
      </c>
      <c r="Y76" s="13">
        <f>SUM(Y73:Y75)+Y70</f>
        <v>0</v>
      </c>
      <c r="Z76" s="13">
        <f>SUM(Z73:Z75)+Z70</f>
        <v>0</v>
      </c>
      <c r="AA76" s="39"/>
      <c r="AB76" s="69" t="e">
        <f>SUM(Z76/V76)-1</f>
        <v>#DIV/0!</v>
      </c>
    </row>
    <row r="77" spans="2:28" ht="5.0999999999999996" customHeight="1">
      <c r="B77" s="23"/>
      <c r="C77" s="46"/>
      <c r="D77" s="38"/>
      <c r="E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S77" s="39"/>
      <c r="T77" s="39"/>
      <c r="U77" s="39"/>
      <c r="V77" s="39"/>
      <c r="W77" s="39"/>
      <c r="X77" s="39"/>
      <c r="Y77" s="39"/>
      <c r="Z77" s="39"/>
      <c r="AA77" s="39"/>
      <c r="AB77" s="36"/>
    </row>
    <row r="78" spans="2:28" ht="12.75" customHeight="1">
      <c r="B78" s="104" t="s">
        <v>145</v>
      </c>
      <c r="C78" s="76">
        <v>20582</v>
      </c>
      <c r="D78" s="76">
        <v>20969</v>
      </c>
      <c r="E78" s="76">
        <v>21561</v>
      </c>
      <c r="G78" s="105"/>
      <c r="H78" s="105"/>
      <c r="I78" s="105"/>
      <c r="J78" s="82">
        <f>D78</f>
        <v>20969</v>
      </c>
      <c r="K78" s="105"/>
      <c r="L78" s="105"/>
      <c r="M78" s="105"/>
      <c r="N78" s="82">
        <f>E78</f>
        <v>21561</v>
      </c>
      <c r="O78" s="105"/>
      <c r="P78" s="105"/>
      <c r="Q78" s="105"/>
      <c r="S78" s="30">
        <f t="shared" ref="S78:S82" si="149">J78</f>
        <v>20969</v>
      </c>
      <c r="T78" s="30">
        <f t="shared" ref="T78:T82" si="150">K78</f>
        <v>0</v>
      </c>
      <c r="U78" s="30">
        <f t="shared" ref="U78:U82" si="151">L78</f>
        <v>0</v>
      </c>
      <c r="V78" s="30">
        <f t="shared" ref="V78:V82" si="152">M78</f>
        <v>0</v>
      </c>
      <c r="W78" s="30">
        <f t="shared" ref="W78:W82" si="153">N78</f>
        <v>21561</v>
      </c>
      <c r="X78" s="30">
        <f t="shared" ref="X78:X82" si="154">O78</f>
        <v>0</v>
      </c>
      <c r="Y78" s="30">
        <f t="shared" ref="Y78:Y82" si="155">P78</f>
        <v>0</v>
      </c>
      <c r="Z78" s="30">
        <f t="shared" ref="Z78:Z82" si="156">Q78</f>
        <v>0</v>
      </c>
      <c r="AA78" s="11"/>
      <c r="AB78" s="68" t="e">
        <f t="shared" ref="AB78:AB82" si="157">SUM(Z78/V78)-1</f>
        <v>#DIV/0!</v>
      </c>
    </row>
    <row r="79" spans="2:28" ht="12.75" customHeight="1">
      <c r="B79" s="104" t="s">
        <v>146</v>
      </c>
      <c r="C79" s="76">
        <v>-52601</v>
      </c>
      <c r="D79" s="76">
        <v>-54535</v>
      </c>
      <c r="E79" s="76">
        <v>-55916</v>
      </c>
      <c r="G79" s="105"/>
      <c r="H79" s="105"/>
      <c r="I79" s="105"/>
      <c r="J79" s="82">
        <f>D79</f>
        <v>-54535</v>
      </c>
      <c r="K79" s="105"/>
      <c r="L79" s="105"/>
      <c r="M79" s="105"/>
      <c r="N79" s="82">
        <f>E79</f>
        <v>-55916</v>
      </c>
      <c r="O79" s="105"/>
      <c r="P79" s="105"/>
      <c r="Q79" s="105"/>
      <c r="S79" s="30">
        <f t="shared" si="149"/>
        <v>-54535</v>
      </c>
      <c r="T79" s="30">
        <f t="shared" si="150"/>
        <v>0</v>
      </c>
      <c r="U79" s="30">
        <f t="shared" si="151"/>
        <v>0</v>
      </c>
      <c r="V79" s="30">
        <f t="shared" si="152"/>
        <v>0</v>
      </c>
      <c r="W79" s="30">
        <f t="shared" si="153"/>
        <v>-55916</v>
      </c>
      <c r="X79" s="30">
        <f t="shared" si="154"/>
        <v>0</v>
      </c>
      <c r="Y79" s="30">
        <f t="shared" si="155"/>
        <v>0</v>
      </c>
      <c r="Z79" s="30">
        <f t="shared" si="156"/>
        <v>0</v>
      </c>
      <c r="AA79" s="11"/>
      <c r="AB79" s="68" t="e">
        <f t="shared" si="157"/>
        <v>#DIV/0!</v>
      </c>
    </row>
    <row r="80" spans="2:28" ht="12.75" customHeight="1">
      <c r="B80" s="104" t="s">
        <v>147</v>
      </c>
      <c r="C80" s="76">
        <v>-14895</v>
      </c>
      <c r="D80" s="76">
        <v>-14275</v>
      </c>
      <c r="E80" s="76">
        <v>-16843</v>
      </c>
      <c r="G80" s="105"/>
      <c r="H80" s="105"/>
      <c r="I80" s="105"/>
      <c r="J80" s="82">
        <f>D80</f>
        <v>-14275</v>
      </c>
      <c r="K80" s="105"/>
      <c r="L80" s="105"/>
      <c r="M80" s="105"/>
      <c r="N80" s="82">
        <f>E80</f>
        <v>-16843</v>
      </c>
      <c r="O80" s="105"/>
      <c r="P80" s="105"/>
      <c r="Q80" s="105"/>
      <c r="S80" s="30">
        <f t="shared" si="149"/>
        <v>-14275</v>
      </c>
      <c r="T80" s="30">
        <f t="shared" si="150"/>
        <v>0</v>
      </c>
      <c r="U80" s="30">
        <f t="shared" si="151"/>
        <v>0</v>
      </c>
      <c r="V80" s="30">
        <f t="shared" si="152"/>
        <v>0</v>
      </c>
      <c r="W80" s="30">
        <f t="shared" si="153"/>
        <v>-16843</v>
      </c>
      <c r="X80" s="30">
        <f t="shared" si="154"/>
        <v>0</v>
      </c>
      <c r="Y80" s="30">
        <f t="shared" si="155"/>
        <v>0</v>
      </c>
      <c r="Z80" s="30">
        <f t="shared" si="156"/>
        <v>0</v>
      </c>
      <c r="AA80" s="11"/>
      <c r="AB80" s="68" t="e">
        <f t="shared" si="157"/>
        <v>#DIV/0!</v>
      </c>
    </row>
    <row r="81" spans="1:28" ht="12.75" customHeight="1">
      <c r="B81" s="104" t="s">
        <v>148</v>
      </c>
      <c r="C81" s="76">
        <v>1721</v>
      </c>
      <c r="D81" s="76">
        <v>1539</v>
      </c>
      <c r="E81" s="76">
        <v>1516</v>
      </c>
      <c r="G81" s="105"/>
      <c r="H81" s="105"/>
      <c r="I81" s="105"/>
      <c r="J81" s="82">
        <f>D81</f>
        <v>1539</v>
      </c>
      <c r="K81" s="105"/>
      <c r="L81" s="105"/>
      <c r="M81" s="105"/>
      <c r="N81" s="82">
        <f>E81</f>
        <v>1516</v>
      </c>
      <c r="O81" s="105"/>
      <c r="P81" s="105"/>
      <c r="Q81" s="105"/>
      <c r="S81" s="30">
        <f t="shared" si="149"/>
        <v>1539</v>
      </c>
      <c r="T81" s="30">
        <f t="shared" si="150"/>
        <v>0</v>
      </c>
      <c r="U81" s="30">
        <f t="shared" si="151"/>
        <v>0</v>
      </c>
      <c r="V81" s="30">
        <f t="shared" si="152"/>
        <v>0</v>
      </c>
      <c r="W81" s="30">
        <f t="shared" si="153"/>
        <v>1516</v>
      </c>
      <c r="X81" s="30">
        <f t="shared" si="154"/>
        <v>0</v>
      </c>
      <c r="Y81" s="30">
        <f t="shared" si="155"/>
        <v>0</v>
      </c>
      <c r="Z81" s="30">
        <f t="shared" si="156"/>
        <v>0</v>
      </c>
      <c r="AA81" s="11"/>
      <c r="AB81" s="68" t="e">
        <f t="shared" si="157"/>
        <v>#DIV/0!</v>
      </c>
    </row>
    <row r="82" spans="1:28" ht="12.75" customHeight="1">
      <c r="B82" s="104" t="s">
        <v>149</v>
      </c>
      <c r="C82" s="76">
        <v>71019</v>
      </c>
      <c r="D82" s="76">
        <v>73782</v>
      </c>
      <c r="E82" s="76">
        <v>76054</v>
      </c>
      <c r="G82" s="105"/>
      <c r="H82" s="105"/>
      <c r="I82" s="105"/>
      <c r="J82" s="82">
        <f>D82</f>
        <v>73782</v>
      </c>
      <c r="K82" s="105"/>
      <c r="L82" s="105"/>
      <c r="M82" s="105"/>
      <c r="N82" s="82">
        <f>E82</f>
        <v>76054</v>
      </c>
      <c r="O82" s="105"/>
      <c r="P82" s="105"/>
      <c r="Q82" s="105"/>
      <c r="S82" s="30">
        <f t="shared" si="149"/>
        <v>73782</v>
      </c>
      <c r="T82" s="30">
        <f t="shared" si="150"/>
        <v>0</v>
      </c>
      <c r="U82" s="30">
        <f t="shared" si="151"/>
        <v>0</v>
      </c>
      <c r="V82" s="30">
        <f t="shared" si="152"/>
        <v>0</v>
      </c>
      <c r="W82" s="30">
        <f t="shared" si="153"/>
        <v>76054</v>
      </c>
      <c r="X82" s="30">
        <f t="shared" si="154"/>
        <v>0</v>
      </c>
      <c r="Y82" s="30">
        <f t="shared" si="155"/>
        <v>0</v>
      </c>
      <c r="Z82" s="30">
        <f t="shared" si="156"/>
        <v>0</v>
      </c>
      <c r="AA82" s="11"/>
      <c r="AB82" s="68" t="e">
        <f t="shared" si="157"/>
        <v>#DIV/0!</v>
      </c>
    </row>
    <row r="83" spans="1:28" ht="12.75" customHeight="1">
      <c r="B83" s="12" t="s">
        <v>16</v>
      </c>
      <c r="C83" s="13">
        <f t="shared" ref="C83:E83" si="158">SUM(C78:C82)</f>
        <v>25826</v>
      </c>
      <c r="D83" s="13">
        <f t="shared" si="158"/>
        <v>27480</v>
      </c>
      <c r="E83" s="13">
        <f t="shared" si="158"/>
        <v>26372</v>
      </c>
      <c r="F83" s="48"/>
      <c r="G83" s="13">
        <f t="shared" ref="G83:P83" si="159">SUM(G78:G82)</f>
        <v>0</v>
      </c>
      <c r="H83" s="13">
        <f t="shared" si="159"/>
        <v>0</v>
      </c>
      <c r="I83" s="13">
        <f t="shared" si="159"/>
        <v>0</v>
      </c>
      <c r="J83" s="13">
        <f t="shared" si="159"/>
        <v>27480</v>
      </c>
      <c r="K83" s="13">
        <f t="shared" si="159"/>
        <v>0</v>
      </c>
      <c r="L83" s="13">
        <f t="shared" si="159"/>
        <v>0</v>
      </c>
      <c r="M83" s="13">
        <f t="shared" si="159"/>
        <v>0</v>
      </c>
      <c r="N83" s="13">
        <f t="shared" si="159"/>
        <v>26372</v>
      </c>
      <c r="O83" s="13">
        <f t="shared" si="159"/>
        <v>0</v>
      </c>
      <c r="P83" s="13">
        <f t="shared" si="159"/>
        <v>0</v>
      </c>
      <c r="Q83" s="13">
        <f t="shared" ref="Q83" si="160">SUM(Q78:Q82)</f>
        <v>0</v>
      </c>
      <c r="S83" s="13">
        <f t="shared" ref="S83:Z83" si="161">SUM(S78:S82)</f>
        <v>27480</v>
      </c>
      <c r="T83" s="13">
        <f t="shared" si="161"/>
        <v>0</v>
      </c>
      <c r="U83" s="13">
        <f t="shared" si="161"/>
        <v>0</v>
      </c>
      <c r="V83" s="13">
        <f t="shared" si="161"/>
        <v>0</v>
      </c>
      <c r="W83" s="13">
        <f t="shared" si="161"/>
        <v>26372</v>
      </c>
      <c r="X83" s="13">
        <f t="shared" si="161"/>
        <v>0</v>
      </c>
      <c r="Y83" s="13">
        <f t="shared" si="161"/>
        <v>0</v>
      </c>
      <c r="Z83" s="13">
        <f t="shared" si="161"/>
        <v>0</v>
      </c>
      <c r="AA83" s="39"/>
      <c r="AB83" s="69" t="e">
        <f>SUM(Z83/V83)-1</f>
        <v>#DIV/0!</v>
      </c>
    </row>
    <row r="84" spans="1:28" ht="12.75" customHeight="1">
      <c r="B84" s="23" t="s">
        <v>51</v>
      </c>
      <c r="C84" s="30">
        <f t="shared" ref="C84:E84" si="162">SUM(C83+C76)</f>
        <v>92763</v>
      </c>
      <c r="D84" s="30">
        <f t="shared" si="162"/>
        <v>97703</v>
      </c>
      <c r="E84" s="30">
        <f t="shared" si="162"/>
        <v>100549</v>
      </c>
      <c r="F84" s="30"/>
      <c r="G84" s="30">
        <f t="shared" ref="G84:P84" si="163">SUM(G83+G76)</f>
        <v>0</v>
      </c>
      <c r="H84" s="30">
        <f t="shared" si="163"/>
        <v>0</v>
      </c>
      <c r="I84" s="30">
        <f t="shared" si="163"/>
        <v>0</v>
      </c>
      <c r="J84" s="30">
        <f t="shared" si="163"/>
        <v>97703</v>
      </c>
      <c r="K84" s="30">
        <f t="shared" si="163"/>
        <v>0</v>
      </c>
      <c r="L84" s="30">
        <f t="shared" si="163"/>
        <v>0</v>
      </c>
      <c r="M84" s="30">
        <f t="shared" si="163"/>
        <v>0</v>
      </c>
      <c r="N84" s="30">
        <f t="shared" si="163"/>
        <v>100549</v>
      </c>
      <c r="O84" s="30">
        <f t="shared" si="163"/>
        <v>0</v>
      </c>
      <c r="P84" s="30">
        <f t="shared" si="163"/>
        <v>0</v>
      </c>
      <c r="Q84" s="30">
        <f t="shared" ref="Q84" si="164">SUM(Q83+Q76)</f>
        <v>0</v>
      </c>
      <c r="R84" s="30"/>
      <c r="S84" s="30">
        <f t="shared" ref="S84:Z84" si="165">SUM(S83+S76)</f>
        <v>97703</v>
      </c>
      <c r="T84" s="30">
        <f t="shared" si="165"/>
        <v>0</v>
      </c>
      <c r="U84" s="30">
        <f t="shared" si="165"/>
        <v>0</v>
      </c>
      <c r="V84" s="30">
        <f t="shared" si="165"/>
        <v>0</v>
      </c>
      <c r="W84" s="30">
        <f t="shared" si="165"/>
        <v>100549</v>
      </c>
      <c r="X84" s="30">
        <f t="shared" si="165"/>
        <v>0</v>
      </c>
      <c r="Y84" s="30">
        <f t="shared" si="165"/>
        <v>0</v>
      </c>
      <c r="Z84" s="30">
        <f t="shared" si="165"/>
        <v>0</v>
      </c>
      <c r="AA84" s="11"/>
      <c r="AB84" s="69" t="e">
        <f>SUM(Z84/V84)-1</f>
        <v>#DIV/0!</v>
      </c>
    </row>
    <row r="85" spans="1:28" ht="5.0999999999999996" customHeight="1">
      <c r="B85" s="23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11"/>
    </row>
    <row r="86" spans="1:28" ht="12.75" customHeight="1">
      <c r="B86" s="62" t="s">
        <v>62</v>
      </c>
      <c r="C86" s="63">
        <f>C84-C63</f>
        <v>0</v>
      </c>
      <c r="D86" s="63">
        <f>D84-D63</f>
        <v>0</v>
      </c>
      <c r="E86" s="63">
        <f>E84-E63</f>
        <v>0</v>
      </c>
      <c r="F86" s="64"/>
      <c r="G86" s="63">
        <f>G84-G63</f>
        <v>0</v>
      </c>
      <c r="H86" s="63">
        <f>H84-H63</f>
        <v>0</v>
      </c>
      <c r="I86" s="63">
        <f>I84-I63</f>
        <v>0</v>
      </c>
      <c r="J86" s="63">
        <f>J84-J63</f>
        <v>0</v>
      </c>
      <c r="K86" s="63">
        <f>K84-K63</f>
        <v>0</v>
      </c>
      <c r="L86" s="63">
        <f>L84-L63</f>
        <v>0</v>
      </c>
      <c r="M86" s="63">
        <f>M84-M63</f>
        <v>0</v>
      </c>
      <c r="N86" s="63">
        <f>N84-N63</f>
        <v>0</v>
      </c>
      <c r="O86" s="63">
        <f>O84-O63</f>
        <v>0</v>
      </c>
      <c r="P86" s="63">
        <f>P84-P63</f>
        <v>0</v>
      </c>
      <c r="Q86" s="63">
        <f>Q84-Q63</f>
        <v>0</v>
      </c>
      <c r="R86" s="26"/>
      <c r="S86" s="63">
        <f>S84-S63</f>
        <v>0</v>
      </c>
      <c r="T86" s="63">
        <f>T84-T63</f>
        <v>0</v>
      </c>
      <c r="U86" s="63">
        <f>U84-U63</f>
        <v>0</v>
      </c>
      <c r="V86" s="63">
        <f>V84-V63</f>
        <v>0</v>
      </c>
      <c r="W86" s="63">
        <f>W84-W63</f>
        <v>0</v>
      </c>
      <c r="X86" s="63">
        <f>X84-X63</f>
        <v>0</v>
      </c>
      <c r="Y86" s="63">
        <f>Y84-Y63</f>
        <v>0</v>
      </c>
      <c r="Z86" s="63">
        <f>Z84-Z63</f>
        <v>0</v>
      </c>
    </row>
    <row r="87" spans="1:28" ht="5.0999999999999996" customHeight="1" thickBot="1">
      <c r="B87" s="100"/>
      <c r="C87" s="101"/>
      <c r="D87" s="101"/>
      <c r="E87" s="101"/>
      <c r="F87" s="102"/>
      <c r="G87" s="101"/>
      <c r="H87" s="101"/>
      <c r="I87" s="101"/>
      <c r="J87" s="101"/>
      <c r="K87" s="101"/>
      <c r="L87" s="101"/>
      <c r="M87" s="101"/>
      <c r="N87" s="101"/>
      <c r="O87" s="101"/>
      <c r="P87" s="101"/>
      <c r="Q87" s="101"/>
      <c r="R87" s="103"/>
      <c r="S87" s="101"/>
      <c r="T87" s="101"/>
      <c r="U87" s="101"/>
      <c r="V87" s="101"/>
      <c r="W87" s="101"/>
      <c r="X87" s="101"/>
      <c r="Y87" s="101"/>
      <c r="Z87" s="101"/>
      <c r="AA87" s="66"/>
      <c r="AB87" s="66"/>
    </row>
    <row r="88" spans="1:28">
      <c r="B88" s="61"/>
      <c r="C88" s="22"/>
      <c r="D88" s="22"/>
      <c r="E88" s="22"/>
      <c r="F88" s="49"/>
    </row>
    <row r="89" spans="1:28" ht="12.75" customHeight="1">
      <c r="A89" s="5" t="s">
        <v>18</v>
      </c>
      <c r="B89" s="83" t="s">
        <v>15</v>
      </c>
      <c r="C89" s="87" t="s">
        <v>0</v>
      </c>
      <c r="D89" s="87"/>
      <c r="E89" s="87"/>
      <c r="F89" s="88"/>
      <c r="G89" s="87"/>
      <c r="H89" s="87"/>
      <c r="I89" s="87"/>
      <c r="J89" s="87"/>
      <c r="K89" s="87"/>
      <c r="L89" s="87"/>
      <c r="M89" s="87" t="s">
        <v>1</v>
      </c>
      <c r="N89" s="87"/>
      <c r="O89" s="87"/>
      <c r="P89" s="87"/>
      <c r="Q89" s="87"/>
      <c r="R89" s="83"/>
      <c r="S89" s="87"/>
      <c r="T89" s="87"/>
      <c r="U89" s="87"/>
      <c r="V89" s="87" t="s">
        <v>10</v>
      </c>
      <c r="W89" s="87"/>
      <c r="X89" s="87"/>
      <c r="Y89" s="87"/>
      <c r="Z89" s="87"/>
      <c r="AA89" s="88"/>
      <c r="AB89" s="152" t="s">
        <v>24</v>
      </c>
    </row>
    <row r="90" spans="1:28" ht="12.75" customHeight="1">
      <c r="B90" s="84" t="str">
        <f>B7</f>
        <v>Fiscal Period</v>
      </c>
      <c r="C90" s="89">
        <f>C7</f>
        <v>2022</v>
      </c>
      <c r="D90" s="89">
        <f>D7</f>
        <v>2023</v>
      </c>
      <c r="E90" s="89">
        <f>E7</f>
        <v>2024</v>
      </c>
      <c r="F90" s="88"/>
      <c r="G90" s="89" t="str">
        <f>G7</f>
        <v>1Q23</v>
      </c>
      <c r="H90" s="89" t="str">
        <f>H7</f>
        <v>2Q23</v>
      </c>
      <c r="I90" s="89" t="str">
        <f>I7</f>
        <v>3Q23</v>
      </c>
      <c r="J90" s="89" t="str">
        <f>J7</f>
        <v>4Q23</v>
      </c>
      <c r="K90" s="89" t="str">
        <f>K7</f>
        <v>1Q24</v>
      </c>
      <c r="L90" s="89" t="str">
        <f>L7</f>
        <v>2Q24</v>
      </c>
      <c r="M90" s="89" t="str">
        <f>M7</f>
        <v>3Q24</v>
      </c>
      <c r="N90" s="89" t="str">
        <f>N7</f>
        <v>4Q24</v>
      </c>
      <c r="O90" s="89" t="str">
        <f>O7</f>
        <v>1Q25</v>
      </c>
      <c r="P90" s="89" t="str">
        <f>P7</f>
        <v>2Q25</v>
      </c>
      <c r="Q90" s="89" t="str">
        <f>Q7</f>
        <v>3Q25</v>
      </c>
      <c r="R90" s="89"/>
      <c r="S90" s="89" t="str">
        <f>S7</f>
        <v>4Q23</v>
      </c>
      <c r="T90" s="89" t="str">
        <f>T7</f>
        <v>1Q24</v>
      </c>
      <c r="U90" s="89" t="str">
        <f>U7</f>
        <v>2Q24</v>
      </c>
      <c r="V90" s="89" t="str">
        <f>V7</f>
        <v>3Q24</v>
      </c>
      <c r="W90" s="89" t="str">
        <f>W7</f>
        <v>4Q24</v>
      </c>
      <c r="X90" s="89" t="str">
        <f>X7</f>
        <v>1Q25</v>
      </c>
      <c r="Y90" s="89" t="str">
        <f>Y7</f>
        <v>2Q25</v>
      </c>
      <c r="Z90" s="89" t="str">
        <f>Z7</f>
        <v>3Q25</v>
      </c>
      <c r="AA90" s="88"/>
      <c r="AB90" s="152"/>
    </row>
    <row r="91" spans="1:28" ht="12.75" customHeight="1">
      <c r="B91" s="84" t="str">
        <f>B8</f>
        <v>Fiscal Period End Date</v>
      </c>
      <c r="C91" s="90">
        <f>C8</f>
        <v>44926</v>
      </c>
      <c r="D91" s="90">
        <f>D8</f>
        <v>45291</v>
      </c>
      <c r="E91" s="90">
        <f>E8</f>
        <v>45657</v>
      </c>
      <c r="F91" s="88"/>
      <c r="G91" s="90">
        <f>G8</f>
        <v>45016</v>
      </c>
      <c r="H91" s="90">
        <f>H8</f>
        <v>45107</v>
      </c>
      <c r="I91" s="90">
        <f>I8</f>
        <v>45199</v>
      </c>
      <c r="J91" s="90">
        <f>J8</f>
        <v>45291</v>
      </c>
      <c r="K91" s="90">
        <f>K8</f>
        <v>45382</v>
      </c>
      <c r="L91" s="90">
        <f>L8</f>
        <v>45473</v>
      </c>
      <c r="M91" s="90">
        <f>M8</f>
        <v>45565</v>
      </c>
      <c r="N91" s="90">
        <f>N8</f>
        <v>45657</v>
      </c>
      <c r="O91" s="90">
        <f>O8</f>
        <v>45747</v>
      </c>
      <c r="P91" s="90">
        <f>P8</f>
        <v>45838</v>
      </c>
      <c r="Q91" s="90">
        <f>Q8</f>
        <v>45930</v>
      </c>
      <c r="R91" s="90"/>
      <c r="S91" s="90">
        <f>S8</f>
        <v>45291</v>
      </c>
      <c r="T91" s="90">
        <f>T8</f>
        <v>45382</v>
      </c>
      <c r="U91" s="90">
        <f>U8</f>
        <v>45473</v>
      </c>
      <c r="V91" s="90">
        <f>V8</f>
        <v>45565</v>
      </c>
      <c r="W91" s="90">
        <f>W8</f>
        <v>45657</v>
      </c>
      <c r="X91" s="90">
        <f>X8</f>
        <v>45747</v>
      </c>
      <c r="Y91" s="90">
        <f>Y8</f>
        <v>45838</v>
      </c>
      <c r="Z91" s="90">
        <f>Z8</f>
        <v>45930</v>
      </c>
      <c r="AA91" s="88"/>
      <c r="AB91" s="152"/>
    </row>
    <row r="92" spans="1:28" ht="5.0999999999999996" customHeight="1">
      <c r="B92" s="50"/>
      <c r="C92" s="44"/>
      <c r="D92" s="44"/>
      <c r="E92" s="44"/>
    </row>
    <row r="93" spans="1:28" ht="12.75" customHeight="1">
      <c r="B93" s="51" t="s">
        <v>52</v>
      </c>
      <c r="C93" s="52"/>
      <c r="D93" s="52"/>
      <c r="E93" s="52"/>
    </row>
    <row r="94" spans="1:28" ht="12.75" customHeight="1">
      <c r="B94" s="53" t="s">
        <v>53</v>
      </c>
      <c r="C94" s="30">
        <f>C31</f>
        <v>9571</v>
      </c>
      <c r="D94" s="30">
        <f>D31</f>
        <v>10703</v>
      </c>
      <c r="E94" s="30">
        <f>E31</f>
        <v>10649</v>
      </c>
      <c r="F94" s="30"/>
      <c r="G94" s="30">
        <f t="shared" ref="G94:Q94" si="166">G31</f>
        <v>0</v>
      </c>
      <c r="H94" s="30">
        <f t="shared" si="166"/>
        <v>0</v>
      </c>
      <c r="I94" s="30">
        <f t="shared" si="166"/>
        <v>0</v>
      </c>
      <c r="J94" s="30">
        <f t="shared" si="166"/>
        <v>10703</v>
      </c>
      <c r="K94" s="30">
        <f t="shared" si="166"/>
        <v>0</v>
      </c>
      <c r="L94" s="30">
        <f t="shared" si="166"/>
        <v>0</v>
      </c>
      <c r="M94" s="30">
        <f t="shared" si="166"/>
        <v>0</v>
      </c>
      <c r="N94" s="30">
        <f t="shared" si="166"/>
        <v>10649</v>
      </c>
      <c r="O94" s="30">
        <f t="shared" si="166"/>
        <v>0</v>
      </c>
      <c r="P94" s="30">
        <f t="shared" si="166"/>
        <v>0</v>
      </c>
      <c r="Q94" s="30">
        <f t="shared" si="166"/>
        <v>0</v>
      </c>
      <c r="S94" s="30">
        <f>SUM(G94:J94)</f>
        <v>10703</v>
      </c>
      <c r="T94" s="30">
        <f>SUM(H94:K94)</f>
        <v>10703</v>
      </c>
      <c r="U94" s="30">
        <f>SUM(I94:L94)</f>
        <v>10703</v>
      </c>
      <c r="V94" s="30">
        <f>SUM(J94:M94)</f>
        <v>10703</v>
      </c>
      <c r="W94" s="30">
        <f>SUM(K94:N94)</f>
        <v>10649</v>
      </c>
      <c r="X94" s="30">
        <f>SUM(L94:O94)</f>
        <v>10649</v>
      </c>
      <c r="Y94" s="30">
        <f>SUM(M94:P94)</f>
        <v>10649</v>
      </c>
      <c r="Z94" s="30">
        <f>SUM(N94:Q94)</f>
        <v>10649</v>
      </c>
      <c r="AA94" s="11"/>
      <c r="AB94" s="68">
        <f>SUM(Z94/V94)-1</f>
        <v>-5.0453143978324011E-3</v>
      </c>
    </row>
    <row r="95" spans="1:28" ht="5.0999999999999996" customHeight="1"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S95" s="30"/>
      <c r="T95" s="30"/>
      <c r="U95" s="30"/>
      <c r="V95" s="30"/>
      <c r="W95" s="30"/>
      <c r="X95" s="30"/>
      <c r="Y95" s="30"/>
      <c r="Z95" s="30"/>
      <c r="AA95" s="11"/>
      <c r="AB95" s="68"/>
    </row>
    <row r="96" spans="1:28" ht="12.75" customHeight="1">
      <c r="B96" s="33" t="s">
        <v>61</v>
      </c>
      <c r="C96" s="30"/>
      <c r="D96" s="30"/>
      <c r="E96" s="30"/>
      <c r="F96" s="30"/>
      <c r="G96" s="76"/>
      <c r="H96" s="76"/>
      <c r="I96" s="76"/>
      <c r="J96" s="30"/>
      <c r="K96" s="76"/>
      <c r="L96" s="76"/>
      <c r="M96" s="76"/>
      <c r="N96" s="30"/>
      <c r="O96" s="76"/>
      <c r="P96" s="76"/>
      <c r="Q96" s="76"/>
      <c r="S96" s="30"/>
      <c r="T96" s="30"/>
      <c r="U96" s="30"/>
      <c r="V96" s="30"/>
      <c r="W96" s="30"/>
      <c r="X96" s="30"/>
      <c r="Y96" s="30"/>
      <c r="Z96" s="30"/>
      <c r="AA96" s="55"/>
      <c r="AB96" s="68"/>
    </row>
    <row r="97" spans="2:28" ht="12.75" customHeight="1">
      <c r="B97" s="56" t="s">
        <v>54</v>
      </c>
      <c r="C97" s="76">
        <v>1260</v>
      </c>
      <c r="D97" s="76">
        <v>1128</v>
      </c>
      <c r="E97" s="76">
        <v>1075</v>
      </c>
      <c r="F97" s="30"/>
      <c r="G97" s="76"/>
      <c r="H97" s="76"/>
      <c r="I97" s="76"/>
      <c r="J97" s="30">
        <f>SUM(D97-SUM(G97:I97))</f>
        <v>1128</v>
      </c>
      <c r="K97" s="76"/>
      <c r="L97" s="76"/>
      <c r="M97" s="76"/>
      <c r="N97" s="30">
        <f>SUM(E97-SUM(K97:M97))</f>
        <v>1075</v>
      </c>
      <c r="O97" s="76"/>
      <c r="P97" s="76"/>
      <c r="Q97" s="76"/>
      <c r="S97" s="30">
        <f>SUM(G97:J97)</f>
        <v>1128</v>
      </c>
      <c r="T97" s="30">
        <f>SUM(H97:K97)</f>
        <v>1128</v>
      </c>
      <c r="U97" s="30">
        <f>SUM(I97:L97)</f>
        <v>1128</v>
      </c>
      <c r="V97" s="30">
        <f>SUM(J97:M97)</f>
        <v>1128</v>
      </c>
      <c r="W97" s="30">
        <f>SUM(K97:N97)</f>
        <v>1075</v>
      </c>
      <c r="X97" s="30">
        <f>SUM(L97:O97)</f>
        <v>1075</v>
      </c>
      <c r="Y97" s="30">
        <f>SUM(M97:P97)</f>
        <v>1075</v>
      </c>
      <c r="Z97" s="30">
        <f>SUM(N97:Q97)</f>
        <v>1075</v>
      </c>
      <c r="AA97" s="11"/>
      <c r="AB97" s="68">
        <f t="shared" ref="AB97:AB107" si="167">SUM(Z97/V97)-1</f>
        <v>-4.6985815602836878E-2</v>
      </c>
    </row>
    <row r="98" spans="2:28" ht="12.75" customHeight="1">
      <c r="B98" s="56" t="s">
        <v>150</v>
      </c>
      <c r="C98" s="76">
        <v>356</v>
      </c>
      <c r="D98" s="76">
        <v>254</v>
      </c>
      <c r="E98" s="76">
        <v>286</v>
      </c>
      <c r="F98" s="30"/>
      <c r="G98" s="76"/>
      <c r="H98" s="76"/>
      <c r="I98" s="76"/>
      <c r="J98" s="30">
        <f>SUM(D98-SUM(G98:I98))</f>
        <v>254</v>
      </c>
      <c r="K98" s="76"/>
      <c r="L98" s="76"/>
      <c r="M98" s="76"/>
      <c r="N98" s="30">
        <f>SUM(E98-SUM(K98:M98))</f>
        <v>286</v>
      </c>
      <c r="O98" s="76"/>
      <c r="P98" s="76"/>
      <c r="Q98" s="76"/>
      <c r="S98" s="30">
        <f>SUM(G98:J98)</f>
        <v>254</v>
      </c>
      <c r="T98" s="30">
        <f>SUM(H98:K98)</f>
        <v>254</v>
      </c>
      <c r="U98" s="30">
        <f>SUM(I98:L98)</f>
        <v>254</v>
      </c>
      <c r="V98" s="30">
        <f>SUM(J98:M98)</f>
        <v>254</v>
      </c>
      <c r="W98" s="30">
        <f>SUM(K98:N98)</f>
        <v>286</v>
      </c>
      <c r="X98" s="30">
        <f>SUM(L98:O98)</f>
        <v>286</v>
      </c>
      <c r="Y98" s="30">
        <f>SUM(M98:P98)</f>
        <v>286</v>
      </c>
      <c r="Z98" s="30">
        <f>SUM(N98:Q98)</f>
        <v>286</v>
      </c>
      <c r="AA98" s="11"/>
      <c r="AB98" s="68">
        <f t="shared" ref="AB98" si="168">SUM(Z98/V98)-1</f>
        <v>0.12598425196850394</v>
      </c>
    </row>
    <row r="99" spans="2:28" ht="12.75" customHeight="1">
      <c r="B99" s="56" t="s">
        <v>151</v>
      </c>
      <c r="C99" s="76">
        <v>-122</v>
      </c>
      <c r="D99" s="76">
        <v>-2</v>
      </c>
      <c r="E99" s="76">
        <v>-11</v>
      </c>
      <c r="F99" s="30"/>
      <c r="G99" s="76"/>
      <c r="H99" s="76"/>
      <c r="I99" s="76"/>
      <c r="J99" s="30">
        <f>SUM(D99-SUM(G99:I99))</f>
        <v>-2</v>
      </c>
      <c r="K99" s="76"/>
      <c r="L99" s="76"/>
      <c r="M99" s="76"/>
      <c r="N99" s="30">
        <f>SUM(E99-SUM(K99:M99))</f>
        <v>-11</v>
      </c>
      <c r="O99" s="76"/>
      <c r="P99" s="76"/>
      <c r="Q99" s="76"/>
      <c r="S99" s="30">
        <f>SUM(G99:J99)</f>
        <v>-2</v>
      </c>
      <c r="T99" s="30">
        <f>SUM(H99:K99)</f>
        <v>-2</v>
      </c>
      <c r="U99" s="30">
        <f>SUM(I99:L99)</f>
        <v>-2</v>
      </c>
      <c r="V99" s="30">
        <f>SUM(J99:M99)</f>
        <v>-2</v>
      </c>
      <c r="W99" s="30">
        <f>SUM(K99:N99)</f>
        <v>-11</v>
      </c>
      <c r="X99" s="30">
        <f>SUM(L99:O99)</f>
        <v>-11</v>
      </c>
      <c r="Y99" s="30">
        <f>SUM(M99:P99)</f>
        <v>-11</v>
      </c>
      <c r="Z99" s="30">
        <f>SUM(N99:Q99)</f>
        <v>-11</v>
      </c>
      <c r="AA99" s="11"/>
      <c r="AB99" s="68">
        <f t="shared" ref="AB99:AB104" si="169">SUM(Z99/V99)-1</f>
        <v>4.5</v>
      </c>
    </row>
    <row r="100" spans="2:28" ht="12.75" customHeight="1">
      <c r="B100" s="56" t="s">
        <v>152</v>
      </c>
      <c r="C100" s="76">
        <v>-838</v>
      </c>
      <c r="D100" s="76">
        <v>-1019</v>
      </c>
      <c r="E100" s="76">
        <v>-802</v>
      </c>
      <c r="F100" s="30"/>
      <c r="G100" s="76"/>
      <c r="H100" s="76"/>
      <c r="I100" s="76"/>
      <c r="J100" s="30">
        <f>SUM(D100-SUM(G100:I100))</f>
        <v>-1019</v>
      </c>
      <c r="K100" s="76"/>
      <c r="L100" s="76"/>
      <c r="M100" s="76"/>
      <c r="N100" s="30">
        <f>SUM(E100-SUM(K100:M100))</f>
        <v>-802</v>
      </c>
      <c r="O100" s="76"/>
      <c r="P100" s="76"/>
      <c r="Q100" s="76"/>
      <c r="S100" s="30">
        <f>SUM(G100:J100)</f>
        <v>-1019</v>
      </c>
      <c r="T100" s="30">
        <f>SUM(H100:K100)</f>
        <v>-1019</v>
      </c>
      <c r="U100" s="30">
        <f>SUM(I100:L100)</f>
        <v>-1019</v>
      </c>
      <c r="V100" s="30">
        <f>SUM(J100:M100)</f>
        <v>-1019</v>
      </c>
      <c r="W100" s="30">
        <f>SUM(K100:N100)</f>
        <v>-802</v>
      </c>
      <c r="X100" s="30">
        <f>SUM(L100:O100)</f>
        <v>-802</v>
      </c>
      <c r="Y100" s="30">
        <f>SUM(M100:P100)</f>
        <v>-802</v>
      </c>
      <c r="Z100" s="30">
        <f>SUM(N100:Q100)</f>
        <v>-802</v>
      </c>
      <c r="AA100" s="11"/>
      <c r="AB100" s="68">
        <f t="shared" si="169"/>
        <v>-0.21295387634936214</v>
      </c>
    </row>
    <row r="101" spans="2:28" ht="12.75" customHeight="1">
      <c r="B101" s="56" t="s">
        <v>153</v>
      </c>
      <c r="C101" s="76">
        <v>203</v>
      </c>
      <c r="D101" s="76">
        <v>175</v>
      </c>
      <c r="E101" s="76">
        <v>-110</v>
      </c>
      <c r="F101" s="30"/>
      <c r="G101" s="76"/>
      <c r="H101" s="76"/>
      <c r="I101" s="76"/>
      <c r="J101" s="30">
        <f>SUM(D101-SUM(G101:I101))</f>
        <v>175</v>
      </c>
      <c r="K101" s="76"/>
      <c r="L101" s="76"/>
      <c r="M101" s="76"/>
      <c r="N101" s="30">
        <f>SUM(E101-SUM(K101:M101))</f>
        <v>-110</v>
      </c>
      <c r="O101" s="76"/>
      <c r="P101" s="76"/>
      <c r="Q101" s="76"/>
      <c r="S101" s="30">
        <f>SUM(G101:J101)</f>
        <v>175</v>
      </c>
      <c r="T101" s="30">
        <f>SUM(H101:K101)</f>
        <v>175</v>
      </c>
      <c r="U101" s="30">
        <f>SUM(I101:L101)</f>
        <v>175</v>
      </c>
      <c r="V101" s="30">
        <f>SUM(J101:M101)</f>
        <v>175</v>
      </c>
      <c r="W101" s="30">
        <f>SUM(K101:N101)</f>
        <v>-110</v>
      </c>
      <c r="X101" s="30">
        <f>SUM(L101:O101)</f>
        <v>-110</v>
      </c>
      <c r="Y101" s="30">
        <f>SUM(M101:P101)</f>
        <v>-110</v>
      </c>
      <c r="Z101" s="30">
        <f>SUM(N101:Q101)</f>
        <v>-110</v>
      </c>
      <c r="AA101" s="11"/>
      <c r="AB101" s="68">
        <f t="shared" si="169"/>
        <v>-1.6285714285714286</v>
      </c>
    </row>
    <row r="102" spans="2:28" ht="12.75" customHeight="1">
      <c r="B102" s="56" t="s">
        <v>154</v>
      </c>
      <c r="C102" s="76">
        <v>-129</v>
      </c>
      <c r="D102" s="76">
        <v>-492</v>
      </c>
      <c r="E102" s="76">
        <v>-1737</v>
      </c>
      <c r="F102" s="30"/>
      <c r="G102" s="76"/>
      <c r="H102" s="76"/>
      <c r="I102" s="76"/>
      <c r="J102" s="30">
        <f>SUM(D102-SUM(G102:I102))</f>
        <v>-492</v>
      </c>
      <c r="K102" s="76"/>
      <c r="L102" s="76"/>
      <c r="M102" s="76"/>
      <c r="N102" s="30">
        <f>SUM(E102-SUM(K102:M102))</f>
        <v>-1737</v>
      </c>
      <c r="O102" s="76"/>
      <c r="P102" s="76"/>
      <c r="Q102" s="76"/>
      <c r="S102" s="30">
        <f>SUM(G102:J102)</f>
        <v>-492</v>
      </c>
      <c r="T102" s="30">
        <f>SUM(H102:K102)</f>
        <v>-492</v>
      </c>
      <c r="U102" s="30">
        <f>SUM(I102:L102)</f>
        <v>-492</v>
      </c>
      <c r="V102" s="30">
        <f>SUM(J102:M102)</f>
        <v>-492</v>
      </c>
      <c r="W102" s="30">
        <f>SUM(K102:N102)</f>
        <v>-1737</v>
      </c>
      <c r="X102" s="30">
        <f>SUM(L102:O102)</f>
        <v>-1737</v>
      </c>
      <c r="Y102" s="30">
        <f>SUM(M102:P102)</f>
        <v>-1737</v>
      </c>
      <c r="Z102" s="30">
        <f>SUM(N102:Q102)</f>
        <v>-1737</v>
      </c>
      <c r="AA102" s="11"/>
      <c r="AB102" s="68">
        <f t="shared" si="169"/>
        <v>2.5304878048780486</v>
      </c>
    </row>
    <row r="103" spans="2:28" ht="12.75" customHeight="1">
      <c r="B103" s="56" t="s">
        <v>155</v>
      </c>
      <c r="C103" s="76">
        <v>1086</v>
      </c>
      <c r="D103" s="76">
        <v>1741</v>
      </c>
      <c r="E103" s="76">
        <v>4000</v>
      </c>
      <c r="F103" s="30"/>
      <c r="G103" s="76"/>
      <c r="H103" s="76"/>
      <c r="I103" s="76"/>
      <c r="J103" s="30">
        <f>SUM(D103-SUM(G103:I103))</f>
        <v>1741</v>
      </c>
      <c r="K103" s="76"/>
      <c r="L103" s="76"/>
      <c r="M103" s="76"/>
      <c r="N103" s="30">
        <f>SUM(E103-SUM(K103:M103))</f>
        <v>4000</v>
      </c>
      <c r="O103" s="76"/>
      <c r="P103" s="76"/>
      <c r="Q103" s="76"/>
      <c r="S103" s="30">
        <f>SUM(G103:J103)</f>
        <v>1741</v>
      </c>
      <c r="T103" s="30">
        <f>SUM(H103:K103)</f>
        <v>1741</v>
      </c>
      <c r="U103" s="30">
        <f>SUM(I103:L103)</f>
        <v>1741</v>
      </c>
      <c r="V103" s="30">
        <f>SUM(J103:M103)</f>
        <v>1741</v>
      </c>
      <c r="W103" s="30">
        <f>SUM(K103:N103)</f>
        <v>4000</v>
      </c>
      <c r="X103" s="30">
        <f>SUM(L103:O103)</f>
        <v>4000</v>
      </c>
      <c r="Y103" s="30">
        <f>SUM(M103:P103)</f>
        <v>4000</v>
      </c>
      <c r="Z103" s="30">
        <f>SUM(N103:Q103)</f>
        <v>4000</v>
      </c>
      <c r="AA103" s="11"/>
      <c r="AB103" s="68">
        <f t="shared" si="169"/>
        <v>1.2975301550832854</v>
      </c>
    </row>
    <row r="104" spans="2:28" ht="12.75" customHeight="1">
      <c r="B104" s="56" t="s">
        <v>156</v>
      </c>
      <c r="C104" s="76">
        <v>236</v>
      </c>
      <c r="D104" s="76">
        <v>-43</v>
      </c>
      <c r="E104" s="76">
        <v>-311</v>
      </c>
      <c r="F104" s="30"/>
      <c r="G104" s="76"/>
      <c r="H104" s="76"/>
      <c r="I104" s="76"/>
      <c r="J104" s="30">
        <f>SUM(D104-SUM(G104:I104))</f>
        <v>-43</v>
      </c>
      <c r="K104" s="76"/>
      <c r="L104" s="76"/>
      <c r="M104" s="76"/>
      <c r="N104" s="30">
        <f>SUM(E104-SUM(K104:M104))</f>
        <v>-311</v>
      </c>
      <c r="O104" s="76"/>
      <c r="P104" s="76"/>
      <c r="Q104" s="76"/>
      <c r="S104" s="30">
        <f>SUM(G104:J104)</f>
        <v>-43</v>
      </c>
      <c r="T104" s="30">
        <f>SUM(H104:K104)</f>
        <v>-43</v>
      </c>
      <c r="U104" s="30">
        <f>SUM(I104:L104)</f>
        <v>-43</v>
      </c>
      <c r="V104" s="30">
        <f>SUM(J104:M104)</f>
        <v>-43</v>
      </c>
      <c r="W104" s="30">
        <f>SUM(K104:N104)</f>
        <v>-311</v>
      </c>
      <c r="X104" s="30">
        <f>SUM(L104:O104)</f>
        <v>-311</v>
      </c>
      <c r="Y104" s="30">
        <f>SUM(M104:P104)</f>
        <v>-311</v>
      </c>
      <c r="Z104" s="30">
        <f>SUM(N104:Q104)</f>
        <v>-311</v>
      </c>
      <c r="AA104" s="11"/>
      <c r="AB104" s="68">
        <f t="shared" si="169"/>
        <v>6.2325581395348841</v>
      </c>
    </row>
    <row r="105" spans="2:28" ht="5.0999999999999996" customHeight="1">
      <c r="B105" s="8"/>
      <c r="C105" s="76"/>
      <c r="D105" s="76"/>
      <c r="E105" s="76"/>
      <c r="F105" s="30"/>
      <c r="G105" s="76"/>
      <c r="H105" s="76"/>
      <c r="I105" s="76"/>
      <c r="J105" s="30"/>
      <c r="K105" s="76"/>
      <c r="L105" s="76"/>
      <c r="M105" s="76"/>
      <c r="N105" s="30"/>
      <c r="O105" s="76"/>
      <c r="P105" s="76"/>
      <c r="Q105" s="76"/>
      <c r="S105" s="30"/>
      <c r="T105" s="30"/>
      <c r="U105" s="30"/>
      <c r="V105" s="30"/>
      <c r="W105" s="30"/>
      <c r="X105" s="30"/>
      <c r="Y105" s="30"/>
      <c r="Z105" s="30"/>
      <c r="AA105" s="11"/>
      <c r="AB105" s="68"/>
    </row>
    <row r="106" spans="2:28" ht="12.75" customHeight="1">
      <c r="B106" s="33" t="s">
        <v>14</v>
      </c>
      <c r="C106" s="76"/>
      <c r="D106" s="76"/>
      <c r="E106" s="76"/>
      <c r="F106" s="30"/>
      <c r="G106" s="76"/>
      <c r="H106" s="76"/>
      <c r="I106" s="76"/>
      <c r="J106" s="30"/>
      <c r="K106" s="76"/>
      <c r="L106" s="76"/>
      <c r="M106" s="76"/>
      <c r="N106" s="30"/>
      <c r="O106" s="76"/>
      <c r="P106" s="76"/>
      <c r="Q106" s="76"/>
      <c r="S106" s="30"/>
      <c r="T106" s="30"/>
      <c r="U106" s="30"/>
      <c r="V106" s="30"/>
      <c r="W106" s="30"/>
      <c r="X106" s="30"/>
      <c r="Y106" s="30"/>
      <c r="Z106" s="30"/>
      <c r="AA106" s="55"/>
      <c r="AB106" s="68"/>
    </row>
    <row r="107" spans="2:28" ht="12.75" customHeight="1">
      <c r="B107" s="56" t="s">
        <v>157</v>
      </c>
      <c r="C107" s="76">
        <v>-69</v>
      </c>
      <c r="D107" s="76">
        <v>-2</v>
      </c>
      <c r="E107" s="76">
        <v>-295</v>
      </c>
      <c r="F107" s="30"/>
      <c r="G107" s="76"/>
      <c r="H107" s="76"/>
      <c r="I107" s="76"/>
      <c r="J107" s="30">
        <f>SUM(D107-SUM(G107:I107))</f>
        <v>-2</v>
      </c>
      <c r="K107" s="76"/>
      <c r="L107" s="76"/>
      <c r="M107" s="76"/>
      <c r="N107" s="30">
        <f>SUM(E107-SUM(K107:M107))</f>
        <v>-295</v>
      </c>
      <c r="O107" s="76"/>
      <c r="P107" s="76"/>
      <c r="Q107" s="76"/>
      <c r="S107" s="30">
        <f>SUM(G107:J107)</f>
        <v>-2</v>
      </c>
      <c r="T107" s="30">
        <f>SUM(H107:K107)</f>
        <v>-2</v>
      </c>
      <c r="U107" s="30">
        <f>SUM(I107:L107)</f>
        <v>-2</v>
      </c>
      <c r="V107" s="30">
        <f>SUM(J107:M107)</f>
        <v>-2</v>
      </c>
      <c r="W107" s="30">
        <f>SUM(K107:N107)</f>
        <v>-295</v>
      </c>
      <c r="X107" s="30">
        <f>SUM(L107:O107)</f>
        <v>-295</v>
      </c>
      <c r="Y107" s="30">
        <f>SUM(M107:P107)</f>
        <v>-295</v>
      </c>
      <c r="Z107" s="30">
        <f>SUM(N107:Q107)</f>
        <v>-295</v>
      </c>
      <c r="AA107" s="55"/>
      <c r="AB107" s="68">
        <f t="shared" si="167"/>
        <v>146.5</v>
      </c>
    </row>
    <row r="108" spans="2:28" ht="12.75" customHeight="1">
      <c r="B108" s="56" t="s">
        <v>158</v>
      </c>
      <c r="C108" s="76">
        <v>-960</v>
      </c>
      <c r="D108" s="76">
        <v>-597</v>
      </c>
      <c r="E108" s="76">
        <v>-520</v>
      </c>
      <c r="F108" s="30"/>
      <c r="G108" s="76"/>
      <c r="H108" s="76"/>
      <c r="I108" s="76"/>
      <c r="J108" s="30">
        <f>SUM(D108-SUM(G108:I108))</f>
        <v>-597</v>
      </c>
      <c r="K108" s="76"/>
      <c r="L108" s="76"/>
      <c r="M108" s="76"/>
      <c r="N108" s="30">
        <f>SUM(E108-SUM(K108:M108))</f>
        <v>-520</v>
      </c>
      <c r="O108" s="76"/>
      <c r="P108" s="76"/>
      <c r="Q108" s="76"/>
      <c r="S108" s="30">
        <f>SUM(G108:J108)</f>
        <v>-597</v>
      </c>
      <c r="T108" s="30">
        <f>SUM(H108:K108)</f>
        <v>-597</v>
      </c>
      <c r="U108" s="30">
        <f>SUM(I108:L108)</f>
        <v>-597</v>
      </c>
      <c r="V108" s="30">
        <f>SUM(J108:M108)</f>
        <v>-597</v>
      </c>
      <c r="W108" s="30">
        <f>SUM(K108:N108)</f>
        <v>-520</v>
      </c>
      <c r="X108" s="30">
        <f>SUM(L108:O108)</f>
        <v>-520</v>
      </c>
      <c r="Y108" s="30">
        <f>SUM(M108:P108)</f>
        <v>-520</v>
      </c>
      <c r="Z108" s="30">
        <f>SUM(N108:Q108)</f>
        <v>-520</v>
      </c>
      <c r="AA108" s="55"/>
      <c r="AB108" s="68">
        <f t="shared" ref="AB108:AB110" si="170">SUM(Z108/V108)-1</f>
        <v>-0.12897822445561136</v>
      </c>
    </row>
    <row r="109" spans="2:28" ht="12.75" customHeight="1">
      <c r="B109" s="56" t="s">
        <v>162</v>
      </c>
      <c r="C109" s="76">
        <v>225</v>
      </c>
      <c r="D109" s="76">
        <v>-323</v>
      </c>
      <c r="E109" s="76">
        <v>-5667</v>
      </c>
      <c r="F109" s="30"/>
      <c r="G109" s="76"/>
      <c r="H109" s="76"/>
      <c r="I109" s="76"/>
      <c r="J109" s="30">
        <f>SUM(D109-SUM(G109:I109))</f>
        <v>-323</v>
      </c>
      <c r="K109" s="76"/>
      <c r="L109" s="76"/>
      <c r="M109" s="76"/>
      <c r="N109" s="30">
        <f>SUM(E109-SUM(K109:M109))</f>
        <v>-5667</v>
      </c>
      <c r="O109" s="76"/>
      <c r="P109" s="76"/>
      <c r="Q109" s="76"/>
      <c r="S109" s="30">
        <f>SUM(G109:J109)</f>
        <v>-323</v>
      </c>
      <c r="T109" s="30">
        <f>SUM(H109:K109)</f>
        <v>-323</v>
      </c>
      <c r="U109" s="30">
        <f>SUM(I109:L109)</f>
        <v>-323</v>
      </c>
      <c r="V109" s="30">
        <f>SUM(J109:M109)</f>
        <v>-323</v>
      </c>
      <c r="W109" s="30">
        <f>SUM(K109:N109)</f>
        <v>-5667</v>
      </c>
      <c r="X109" s="30">
        <f>SUM(L109:O109)</f>
        <v>-5667</v>
      </c>
      <c r="Y109" s="30">
        <f>SUM(M109:P109)</f>
        <v>-5667</v>
      </c>
      <c r="Z109" s="30">
        <f>SUM(N109:Q109)</f>
        <v>-5667</v>
      </c>
      <c r="AA109" s="55"/>
      <c r="AB109" s="68">
        <f t="shared" si="170"/>
        <v>16.544891640866872</v>
      </c>
    </row>
    <row r="110" spans="2:28" ht="12.75" customHeight="1">
      <c r="B110" s="56" t="s">
        <v>159</v>
      </c>
      <c r="C110" s="76">
        <v>759</v>
      </c>
      <c r="D110" s="76">
        <v>841</v>
      </c>
      <c r="E110" s="76">
        <v>1134</v>
      </c>
      <c r="F110" s="30"/>
      <c r="G110" s="76"/>
      <c r="H110" s="76"/>
      <c r="I110" s="76"/>
      <c r="J110" s="30">
        <f>SUM(D110-SUM(G110:I110))</f>
        <v>841</v>
      </c>
      <c r="K110" s="76"/>
      <c r="L110" s="76"/>
      <c r="M110" s="76"/>
      <c r="N110" s="30">
        <f>SUM(E110-SUM(K110:M110))</f>
        <v>1134</v>
      </c>
      <c r="O110" s="76"/>
      <c r="P110" s="76"/>
      <c r="Q110" s="76"/>
      <c r="S110" s="30">
        <f>SUM(G110:J110)</f>
        <v>841</v>
      </c>
      <c r="T110" s="30">
        <f>SUM(H110:K110)</f>
        <v>841</v>
      </c>
      <c r="U110" s="30">
        <f>SUM(I110:L110)</f>
        <v>841</v>
      </c>
      <c r="V110" s="30">
        <f>SUM(J110:M110)</f>
        <v>841</v>
      </c>
      <c r="W110" s="30">
        <f>SUM(K110:N110)</f>
        <v>1134</v>
      </c>
      <c r="X110" s="30">
        <f>SUM(L110:O110)</f>
        <v>1134</v>
      </c>
      <c r="Y110" s="30">
        <f>SUM(M110:P110)</f>
        <v>1134</v>
      </c>
      <c r="Z110" s="30">
        <f>SUM(N110:Q110)</f>
        <v>1134</v>
      </c>
      <c r="AA110" s="55"/>
      <c r="AB110" s="68">
        <f t="shared" si="170"/>
        <v>0.34839476813317471</v>
      </c>
    </row>
    <row r="111" spans="2:28" ht="12.75" customHeight="1">
      <c r="B111" s="56" t="s">
        <v>160</v>
      </c>
      <c r="C111" s="76">
        <v>-360</v>
      </c>
      <c r="D111" s="76">
        <v>-578</v>
      </c>
      <c r="E111" s="76">
        <v>-823</v>
      </c>
      <c r="F111" s="30"/>
      <c r="G111" s="76"/>
      <c r="H111" s="76"/>
      <c r="I111" s="76"/>
      <c r="J111" s="30">
        <f>SUM(D111-SUM(G111:I111))</f>
        <v>-578</v>
      </c>
      <c r="K111" s="76"/>
      <c r="L111" s="76"/>
      <c r="M111" s="76"/>
      <c r="N111" s="30">
        <f>SUM(E111-SUM(K111:M111))</f>
        <v>-823</v>
      </c>
      <c r="O111" s="76"/>
      <c r="P111" s="76"/>
      <c r="Q111" s="76"/>
      <c r="S111" s="30">
        <f>SUM(G111:J111)</f>
        <v>-578</v>
      </c>
      <c r="T111" s="30">
        <f>SUM(H111:K111)</f>
        <v>-578</v>
      </c>
      <c r="U111" s="30">
        <f>SUM(I111:L111)</f>
        <v>-578</v>
      </c>
      <c r="V111" s="30">
        <f>SUM(J111:M111)</f>
        <v>-578</v>
      </c>
      <c r="W111" s="30">
        <f>SUM(K111:N111)</f>
        <v>-823</v>
      </c>
      <c r="X111" s="30">
        <f>SUM(L111:O111)</f>
        <v>-823</v>
      </c>
      <c r="Y111" s="30">
        <f>SUM(M111:P111)</f>
        <v>-823</v>
      </c>
      <c r="Z111" s="30">
        <f>SUM(N111:Q111)</f>
        <v>-823</v>
      </c>
      <c r="AA111" s="55"/>
      <c r="AB111" s="68">
        <f t="shared" ref="AB111:AB112" si="171">SUM(Z111/V111)-1</f>
        <v>0.4238754325259515</v>
      </c>
    </row>
    <row r="112" spans="2:28" ht="12.75" customHeight="1">
      <c r="B112" s="56" t="s">
        <v>161</v>
      </c>
      <c r="C112" s="76">
        <v>-200</v>
      </c>
      <c r="D112" s="76">
        <v>-187</v>
      </c>
      <c r="E112" s="76">
        <v>-63</v>
      </c>
      <c r="F112" s="30"/>
      <c r="G112" s="76"/>
      <c r="H112" s="76"/>
      <c r="I112" s="76"/>
      <c r="J112" s="30">
        <f>SUM(D112-SUM(G112:I112))</f>
        <v>-187</v>
      </c>
      <c r="K112" s="76"/>
      <c r="L112" s="76"/>
      <c r="M112" s="76"/>
      <c r="N112" s="30">
        <f>SUM(E112-SUM(K112:M112))</f>
        <v>-63</v>
      </c>
      <c r="O112" s="76"/>
      <c r="P112" s="76"/>
      <c r="Q112" s="76"/>
      <c r="S112" s="30">
        <f>SUM(G112:J112)</f>
        <v>-187</v>
      </c>
      <c r="T112" s="30">
        <f>SUM(H112:K112)</f>
        <v>-187</v>
      </c>
      <c r="U112" s="30">
        <f>SUM(I112:L112)</f>
        <v>-187</v>
      </c>
      <c r="V112" s="30">
        <f>SUM(J112:M112)</f>
        <v>-187</v>
      </c>
      <c r="W112" s="30">
        <f>SUM(K112:N112)</f>
        <v>-63</v>
      </c>
      <c r="X112" s="30">
        <f>SUM(L112:O112)</f>
        <v>-63</v>
      </c>
      <c r="Y112" s="30">
        <f>SUM(M112:P112)</f>
        <v>-63</v>
      </c>
      <c r="Z112" s="30">
        <f>SUM(N112:Q112)</f>
        <v>-63</v>
      </c>
      <c r="AA112" s="55"/>
      <c r="AB112" s="68">
        <f t="shared" si="171"/>
        <v>-0.66310160427807485</v>
      </c>
    </row>
    <row r="113" spans="2:28" ht="12.75" customHeight="1">
      <c r="B113" s="12" t="s">
        <v>55</v>
      </c>
      <c r="C113" s="13">
        <f>SUM(C94:C112)</f>
        <v>11018</v>
      </c>
      <c r="D113" s="13">
        <f>SUM(D94:D112)</f>
        <v>11599</v>
      </c>
      <c r="E113" s="13">
        <f>SUM(E94:E112)</f>
        <v>6805</v>
      </c>
      <c r="G113" s="13">
        <f>SUM(G94:G112)</f>
        <v>0</v>
      </c>
      <c r="H113" s="13">
        <f>SUM(H94:H112)</f>
        <v>0</v>
      </c>
      <c r="I113" s="13">
        <f>SUM(I94:I112)</f>
        <v>0</v>
      </c>
      <c r="J113" s="13">
        <f>SUM(J94:J112)</f>
        <v>11599</v>
      </c>
      <c r="K113" s="13">
        <f>SUM(K94:K112)</f>
        <v>0</v>
      </c>
      <c r="L113" s="13">
        <f>SUM(L94:L112)</f>
        <v>0</v>
      </c>
      <c r="M113" s="13">
        <f>SUM(M94:M112)</f>
        <v>0</v>
      </c>
      <c r="N113" s="13">
        <f>SUM(N94:N112)</f>
        <v>6805</v>
      </c>
      <c r="O113" s="13">
        <f>SUM(O94:O112)</f>
        <v>0</v>
      </c>
      <c r="P113" s="13">
        <f>SUM(P94:P112)</f>
        <v>0</v>
      </c>
      <c r="Q113" s="13">
        <f>SUM(Q94:Q112)</f>
        <v>0</v>
      </c>
      <c r="S113" s="13">
        <f>SUM(S94:S112)</f>
        <v>11599</v>
      </c>
      <c r="T113" s="13">
        <f>SUM(T94:T112)</f>
        <v>11599</v>
      </c>
      <c r="U113" s="13">
        <f>SUM(U94:U112)</f>
        <v>11599</v>
      </c>
      <c r="V113" s="13">
        <f>SUM(V94:V112)</f>
        <v>11599</v>
      </c>
      <c r="W113" s="13">
        <f>SUM(W94:W112)</f>
        <v>6805</v>
      </c>
      <c r="X113" s="13">
        <f>SUM(X94:X112)</f>
        <v>6805</v>
      </c>
      <c r="Y113" s="13">
        <f>SUM(Y94:Y112)</f>
        <v>6805</v>
      </c>
      <c r="Z113" s="13">
        <f>SUM(Z94:Z112)</f>
        <v>6805</v>
      </c>
      <c r="AA113" s="39"/>
      <c r="AB113" s="69">
        <f>SUM(Z113/V113)-1</f>
        <v>-0.41331149237003195</v>
      </c>
    </row>
    <row r="114" spans="2:28" ht="12.75" customHeight="1">
      <c r="B114" s="49"/>
      <c r="C114" s="57"/>
      <c r="D114" s="57"/>
      <c r="E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S114" s="39"/>
      <c r="T114" s="39"/>
      <c r="U114" s="39"/>
      <c r="V114" s="39"/>
      <c r="W114" s="39"/>
      <c r="X114" s="39"/>
      <c r="Y114" s="39"/>
      <c r="Z114" s="39"/>
      <c r="AA114" s="39"/>
      <c r="AB114" s="36"/>
    </row>
    <row r="115" spans="2:28" ht="12.75" customHeight="1">
      <c r="B115" s="112" t="s">
        <v>56</v>
      </c>
      <c r="C115" s="54"/>
      <c r="D115" s="54"/>
      <c r="E115" s="54"/>
      <c r="G115" s="76"/>
      <c r="H115" s="76"/>
      <c r="I115" s="76"/>
      <c r="J115" s="30"/>
      <c r="K115" s="76"/>
      <c r="L115" s="76"/>
      <c r="M115" s="76"/>
      <c r="N115" s="30"/>
      <c r="O115" s="76"/>
      <c r="P115" s="76"/>
      <c r="Q115" s="76"/>
      <c r="S115" s="54"/>
      <c r="T115" s="54"/>
      <c r="U115" s="54"/>
      <c r="V115" s="54"/>
      <c r="W115" s="54"/>
      <c r="X115" s="54"/>
      <c r="Y115" s="54"/>
      <c r="Z115" s="54"/>
      <c r="AA115" s="55"/>
      <c r="AB115" s="36"/>
    </row>
    <row r="116" spans="2:28" ht="12.75" customHeight="1">
      <c r="B116" s="56" t="s">
        <v>163</v>
      </c>
      <c r="C116" s="76">
        <v>-3751</v>
      </c>
      <c r="D116" s="76">
        <v>-6698</v>
      </c>
      <c r="E116" s="76">
        <v>-5640</v>
      </c>
      <c r="F116" s="30"/>
      <c r="G116" s="76"/>
      <c r="H116" s="76"/>
      <c r="I116" s="76"/>
      <c r="J116" s="30">
        <f>SUM(D116-SUM(G116:I116))</f>
        <v>-6698</v>
      </c>
      <c r="K116" s="76"/>
      <c r="L116" s="76"/>
      <c r="M116" s="76"/>
      <c r="N116" s="30">
        <f>SUM(E116-SUM(K116:M116))</f>
        <v>-5640</v>
      </c>
      <c r="O116" s="76"/>
      <c r="P116" s="76"/>
      <c r="Q116" s="76"/>
      <c r="R116" s="30"/>
      <c r="S116" s="30">
        <f>SUM(G116:J116)</f>
        <v>-6698</v>
      </c>
      <c r="T116" s="30">
        <f>SUM(H116:K116)</f>
        <v>-6698</v>
      </c>
      <c r="U116" s="30">
        <f>SUM(I116:L116)</f>
        <v>-6698</v>
      </c>
      <c r="V116" s="30">
        <f>SUM(J116:M116)</f>
        <v>-6698</v>
      </c>
      <c r="W116" s="30">
        <f>SUM(K116:N116)</f>
        <v>-5640</v>
      </c>
      <c r="X116" s="30">
        <f>SUM(L116:O116)</f>
        <v>-5640</v>
      </c>
      <c r="Y116" s="30">
        <f>SUM(M116:P116)</f>
        <v>-5640</v>
      </c>
      <c r="Z116" s="30">
        <f>SUM(N116:Q116)</f>
        <v>-5640</v>
      </c>
      <c r="AA116" s="55"/>
      <c r="AB116" s="68">
        <f t="shared" ref="AB116" si="172">SUM(Z116/V116)-1</f>
        <v>-0.15795759928336817</v>
      </c>
    </row>
    <row r="117" spans="2:28" ht="12.75" customHeight="1">
      <c r="B117" s="56" t="s">
        <v>164</v>
      </c>
      <c r="C117" s="76">
        <v>4771</v>
      </c>
      <c r="D117" s="76">
        <v>4354</v>
      </c>
      <c r="E117" s="76">
        <v>6589</v>
      </c>
      <c r="F117" s="30"/>
      <c r="G117" s="76"/>
      <c r="H117" s="76"/>
      <c r="I117" s="76"/>
      <c r="J117" s="30">
        <f>SUM(D117-SUM(G117:I117))</f>
        <v>4354</v>
      </c>
      <c r="K117" s="76"/>
      <c r="L117" s="76"/>
      <c r="M117" s="76"/>
      <c r="N117" s="30">
        <f>SUM(E117-SUM(K117:M117))</f>
        <v>6589</v>
      </c>
      <c r="O117" s="76"/>
      <c r="P117" s="76"/>
      <c r="Q117" s="76"/>
      <c r="R117" s="30"/>
      <c r="S117" s="30">
        <f>SUM(G117:J117)</f>
        <v>4354</v>
      </c>
      <c r="T117" s="30">
        <f>SUM(H117:K117)</f>
        <v>4354</v>
      </c>
      <c r="U117" s="30">
        <f>SUM(I117:L117)</f>
        <v>4354</v>
      </c>
      <c r="V117" s="30">
        <f>SUM(J117:M117)</f>
        <v>4354</v>
      </c>
      <c r="W117" s="30">
        <f>SUM(K117:N117)</f>
        <v>6589</v>
      </c>
      <c r="X117" s="30">
        <f>SUM(L117:O117)</f>
        <v>6589</v>
      </c>
      <c r="Y117" s="30">
        <f>SUM(M117:P117)</f>
        <v>6589</v>
      </c>
      <c r="Z117" s="30">
        <f>SUM(N117:Q117)</f>
        <v>6589</v>
      </c>
      <c r="AA117" s="55"/>
      <c r="AB117" s="68">
        <f t="shared" ref="AB117" si="173">SUM(Z117/V117)-1</f>
        <v>0.51332108406063393</v>
      </c>
    </row>
    <row r="118" spans="2:28" ht="12.75" customHeight="1">
      <c r="B118" s="56" t="s">
        <v>165</v>
      </c>
      <c r="C118" s="76">
        <v>-73</v>
      </c>
      <c r="D118" s="76">
        <v>-62</v>
      </c>
      <c r="E118" s="76">
        <v>-315</v>
      </c>
      <c r="F118" s="30"/>
      <c r="G118" s="76"/>
      <c r="H118" s="76"/>
      <c r="I118" s="76"/>
      <c r="J118" s="30">
        <f>SUM(D118-SUM(G118:I118))</f>
        <v>-62</v>
      </c>
      <c r="K118" s="76"/>
      <c r="L118" s="76"/>
      <c r="M118" s="76"/>
      <c r="N118" s="30">
        <f>SUM(E118-SUM(K118:M118))</f>
        <v>-315</v>
      </c>
      <c r="O118" s="76"/>
      <c r="P118" s="76"/>
      <c r="Q118" s="76"/>
      <c r="R118" s="30"/>
      <c r="S118" s="30">
        <f>SUM(G118:J118)</f>
        <v>-62</v>
      </c>
      <c r="T118" s="30">
        <f>SUM(H118:K118)</f>
        <v>-62</v>
      </c>
      <c r="U118" s="30">
        <f>SUM(I118:L118)</f>
        <v>-62</v>
      </c>
      <c r="V118" s="30">
        <f>SUM(J118:M118)</f>
        <v>-62</v>
      </c>
      <c r="W118" s="30">
        <f>SUM(K118:N118)</f>
        <v>-315</v>
      </c>
      <c r="X118" s="30">
        <f>SUM(L118:O118)</f>
        <v>-315</v>
      </c>
      <c r="Y118" s="30">
        <f>SUM(M118:P118)</f>
        <v>-315</v>
      </c>
      <c r="Z118" s="30">
        <f>SUM(N118:Q118)</f>
        <v>-315</v>
      </c>
      <c r="AA118" s="55"/>
      <c r="AB118" s="68">
        <f t="shared" ref="AB118:AB119" si="174">SUM(Z118/V118)-1</f>
        <v>4.080645161290323</v>
      </c>
    </row>
    <row r="119" spans="2:28" ht="12.75" customHeight="1">
      <c r="B119" s="56" t="s">
        <v>166</v>
      </c>
      <c r="C119" s="76">
        <v>458</v>
      </c>
      <c r="D119" s="76">
        <v>430</v>
      </c>
      <c r="E119" s="76">
        <v>3485</v>
      </c>
      <c r="F119" s="30"/>
      <c r="G119" s="76"/>
      <c r="H119" s="76"/>
      <c r="I119" s="76"/>
      <c r="J119" s="30">
        <f>SUM(D119-SUM(G119:I119))</f>
        <v>430</v>
      </c>
      <c r="K119" s="76"/>
      <c r="L119" s="76"/>
      <c r="M119" s="76"/>
      <c r="N119" s="30">
        <f>SUM(E119-SUM(K119:M119))</f>
        <v>3485</v>
      </c>
      <c r="O119" s="76"/>
      <c r="P119" s="76"/>
      <c r="Q119" s="76"/>
      <c r="R119" s="30"/>
      <c r="S119" s="30">
        <f>SUM(G119:J119)</f>
        <v>430</v>
      </c>
      <c r="T119" s="30">
        <f>SUM(H119:K119)</f>
        <v>430</v>
      </c>
      <c r="U119" s="30">
        <f>SUM(I119:L119)</f>
        <v>430</v>
      </c>
      <c r="V119" s="30">
        <f>SUM(J119:M119)</f>
        <v>430</v>
      </c>
      <c r="W119" s="30">
        <f>SUM(K119:N119)</f>
        <v>3485</v>
      </c>
      <c r="X119" s="30">
        <f>SUM(L119:O119)</f>
        <v>3485</v>
      </c>
      <c r="Y119" s="30">
        <f>SUM(M119:P119)</f>
        <v>3485</v>
      </c>
      <c r="Z119" s="30">
        <f>SUM(N119:Q119)</f>
        <v>3485</v>
      </c>
      <c r="AA119" s="55"/>
      <c r="AB119" s="68">
        <f t="shared" si="174"/>
        <v>7.104651162790697</v>
      </c>
    </row>
    <row r="120" spans="2:28" ht="12.75" customHeight="1">
      <c r="B120" s="56" t="s">
        <v>167</v>
      </c>
      <c r="C120" s="76">
        <v>-1409</v>
      </c>
      <c r="D120" s="76">
        <v>-1778</v>
      </c>
      <c r="E120" s="76">
        <v>-2024</v>
      </c>
      <c r="F120" s="30"/>
      <c r="G120" s="76"/>
      <c r="H120" s="76"/>
      <c r="I120" s="76"/>
      <c r="J120" s="30">
        <f>SUM(D120-SUM(G120:I120))</f>
        <v>-1778</v>
      </c>
      <c r="K120" s="76"/>
      <c r="L120" s="76"/>
      <c r="M120" s="76"/>
      <c r="N120" s="30">
        <f>SUM(E120-SUM(K120:M120))</f>
        <v>-2024</v>
      </c>
      <c r="O120" s="76"/>
      <c r="P120" s="76"/>
      <c r="Q120" s="76"/>
      <c r="R120" s="30"/>
      <c r="S120" s="30">
        <f>SUM(G120:J120)</f>
        <v>-1778</v>
      </c>
      <c r="T120" s="30">
        <f>SUM(H120:K120)</f>
        <v>-1778</v>
      </c>
      <c r="U120" s="30">
        <f>SUM(I120:L120)</f>
        <v>-1778</v>
      </c>
      <c r="V120" s="30">
        <f>SUM(J120:M120)</f>
        <v>-1778</v>
      </c>
      <c r="W120" s="30">
        <f>SUM(K120:N120)</f>
        <v>-2024</v>
      </c>
      <c r="X120" s="30">
        <f>SUM(L120:O120)</f>
        <v>-2024</v>
      </c>
      <c r="Y120" s="30">
        <f>SUM(M120:P120)</f>
        <v>-2024</v>
      </c>
      <c r="Z120" s="30">
        <f>SUM(N120:Q120)</f>
        <v>-2024</v>
      </c>
      <c r="AA120" s="55"/>
      <c r="AB120" s="68">
        <f t="shared" ref="AB120:AB122" si="175">SUM(Z120/V120)-1</f>
        <v>0.13835770528683922</v>
      </c>
    </row>
    <row r="121" spans="2:28" ht="12.75" customHeight="1">
      <c r="B121" s="56" t="s">
        <v>168</v>
      </c>
      <c r="C121" s="76">
        <v>-1465</v>
      </c>
      <c r="D121" s="76">
        <v>366</v>
      </c>
      <c r="E121" s="76">
        <v>235</v>
      </c>
      <c r="F121" s="30"/>
      <c r="G121" s="76"/>
      <c r="H121" s="76"/>
      <c r="I121" s="76"/>
      <c r="J121" s="30">
        <f>SUM(D121-SUM(G121:I121))</f>
        <v>366</v>
      </c>
      <c r="K121" s="76"/>
      <c r="L121" s="76"/>
      <c r="M121" s="76"/>
      <c r="N121" s="30">
        <f>SUM(E121-SUM(K121:M121))</f>
        <v>235</v>
      </c>
      <c r="O121" s="76"/>
      <c r="P121" s="76"/>
      <c r="Q121" s="76"/>
      <c r="R121" s="30"/>
      <c r="S121" s="30">
        <f>SUM(G121:J121)</f>
        <v>366</v>
      </c>
      <c r="T121" s="30">
        <f>SUM(H121:K121)</f>
        <v>366</v>
      </c>
      <c r="U121" s="30">
        <f>SUM(I121:L121)</f>
        <v>366</v>
      </c>
      <c r="V121" s="30">
        <f>SUM(J121:M121)</f>
        <v>366</v>
      </c>
      <c r="W121" s="30">
        <f>SUM(K121:N121)</f>
        <v>235</v>
      </c>
      <c r="X121" s="30">
        <f>SUM(L121:O121)</f>
        <v>235</v>
      </c>
      <c r="Y121" s="30">
        <f>SUM(M121:P121)</f>
        <v>235</v>
      </c>
      <c r="Z121" s="30">
        <f>SUM(N121:Q121)</f>
        <v>235</v>
      </c>
      <c r="AA121" s="55"/>
      <c r="AB121" s="68">
        <f t="shared" si="175"/>
        <v>-0.35792349726775952</v>
      </c>
    </row>
    <row r="122" spans="2:28" ht="12.75" customHeight="1">
      <c r="B122" s="56" t="s">
        <v>169</v>
      </c>
      <c r="C122" s="76">
        <v>706</v>
      </c>
      <c r="D122" s="76">
        <v>39</v>
      </c>
      <c r="E122" s="76">
        <v>194</v>
      </c>
      <c r="F122" s="30"/>
      <c r="G122" s="76"/>
      <c r="H122" s="76"/>
      <c r="I122" s="76"/>
      <c r="J122" s="30">
        <f>SUM(D122-SUM(G122:I122))</f>
        <v>39</v>
      </c>
      <c r="K122" s="76"/>
      <c r="L122" s="76"/>
      <c r="M122" s="76"/>
      <c r="N122" s="30">
        <f>SUM(E122-SUM(K122:M122))</f>
        <v>194</v>
      </c>
      <c r="O122" s="76"/>
      <c r="P122" s="76"/>
      <c r="Q122" s="76"/>
      <c r="R122" s="30"/>
      <c r="S122" s="30">
        <f>SUM(G122:J122)</f>
        <v>39</v>
      </c>
      <c r="T122" s="30">
        <f>SUM(H122:K122)</f>
        <v>39</v>
      </c>
      <c r="U122" s="30">
        <f>SUM(I122:L122)</f>
        <v>39</v>
      </c>
      <c r="V122" s="30">
        <f>SUM(J122:M122)</f>
        <v>39</v>
      </c>
      <c r="W122" s="30">
        <f>SUM(K122:N122)</f>
        <v>194</v>
      </c>
      <c r="X122" s="30">
        <f>SUM(L122:O122)</f>
        <v>194</v>
      </c>
      <c r="Y122" s="30">
        <f>SUM(M122:P122)</f>
        <v>194</v>
      </c>
      <c r="Z122" s="30">
        <f>SUM(N122:Q122)</f>
        <v>194</v>
      </c>
      <c r="AA122" s="55"/>
      <c r="AB122" s="68">
        <f t="shared" si="175"/>
        <v>3.9743589743589745</v>
      </c>
    </row>
    <row r="123" spans="2:28" ht="12.75" customHeight="1">
      <c r="B123" s="12" t="s">
        <v>57</v>
      </c>
      <c r="C123" s="13">
        <f>SUM(C116:C122)</f>
        <v>-763</v>
      </c>
      <c r="D123" s="13">
        <f>SUM(D116:D122)</f>
        <v>-3349</v>
      </c>
      <c r="E123" s="13">
        <f>SUM(E116:E122)</f>
        <v>2524</v>
      </c>
      <c r="G123" s="13">
        <f>SUM(G116:G122)</f>
        <v>0</v>
      </c>
      <c r="H123" s="13">
        <f>SUM(H116:H122)</f>
        <v>0</v>
      </c>
      <c r="I123" s="13">
        <f>SUM(I116:I122)</f>
        <v>0</v>
      </c>
      <c r="J123" s="13">
        <f>SUM(J116:J122)</f>
        <v>-3349</v>
      </c>
      <c r="K123" s="13">
        <f>SUM(K116:K122)</f>
        <v>0</v>
      </c>
      <c r="L123" s="13">
        <f>SUM(L116:L122)</f>
        <v>0</v>
      </c>
      <c r="M123" s="13">
        <f>SUM(M116:M122)</f>
        <v>0</v>
      </c>
      <c r="N123" s="13">
        <f>SUM(N116:N122)</f>
        <v>2524</v>
      </c>
      <c r="O123" s="13">
        <f>SUM(O116:O122)</f>
        <v>0</v>
      </c>
      <c r="P123" s="13">
        <f>SUM(P116:P122)</f>
        <v>0</v>
      </c>
      <c r="Q123" s="13">
        <f>SUM(Q116:Q122)</f>
        <v>0</v>
      </c>
      <c r="S123" s="13">
        <f>SUM(S116:S122)</f>
        <v>-3349</v>
      </c>
      <c r="T123" s="13">
        <f>SUM(T116:T122)</f>
        <v>-3349</v>
      </c>
      <c r="U123" s="13">
        <f>SUM(U116:U122)</f>
        <v>-3349</v>
      </c>
      <c r="V123" s="13">
        <f>SUM(V116:V122)</f>
        <v>-3349</v>
      </c>
      <c r="W123" s="13">
        <f>SUM(W116:W122)</f>
        <v>2524</v>
      </c>
      <c r="X123" s="13">
        <f>SUM(X116:X122)</f>
        <v>2524</v>
      </c>
      <c r="Y123" s="13">
        <f>SUM(Y116:Y122)</f>
        <v>2524</v>
      </c>
      <c r="Z123" s="13">
        <f>SUM(Z116:Z122)</f>
        <v>2524</v>
      </c>
      <c r="AA123" s="39"/>
      <c r="AB123" s="69">
        <f>SUM(Z123/V123)-1</f>
        <v>-1.7536578083009853</v>
      </c>
    </row>
    <row r="124" spans="2:28" ht="5.0999999999999996" customHeight="1">
      <c r="B124" s="48"/>
      <c r="C124" s="57"/>
      <c r="D124" s="57"/>
      <c r="E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S124" s="39"/>
      <c r="T124" s="39"/>
      <c r="U124" s="39"/>
      <c r="V124" s="39"/>
      <c r="W124" s="39"/>
      <c r="X124" s="39"/>
      <c r="Y124" s="39"/>
      <c r="Z124" s="39"/>
      <c r="AA124" s="39"/>
      <c r="AB124" s="36"/>
    </row>
    <row r="125" spans="2:28" ht="12.75" customHeight="1">
      <c r="B125" s="112" t="s">
        <v>58</v>
      </c>
      <c r="C125" s="58"/>
      <c r="D125" s="58"/>
      <c r="E125" s="58"/>
      <c r="G125" s="58"/>
      <c r="H125" s="58"/>
      <c r="I125" s="58"/>
      <c r="J125" s="58"/>
      <c r="K125" s="58"/>
      <c r="L125" s="58"/>
      <c r="M125" s="58"/>
      <c r="N125" s="58"/>
      <c r="O125" s="58"/>
      <c r="P125" s="58"/>
      <c r="Q125" s="58"/>
      <c r="R125" s="30"/>
      <c r="S125" s="30"/>
      <c r="T125" s="30"/>
      <c r="U125" s="30"/>
      <c r="V125" s="30"/>
      <c r="W125" s="30"/>
      <c r="X125" s="30"/>
      <c r="Y125" s="30"/>
      <c r="Z125" s="30"/>
      <c r="AA125" s="59"/>
      <c r="AB125" s="36"/>
    </row>
    <row r="126" spans="2:28" ht="12.75" customHeight="1">
      <c r="B126" s="77" t="s">
        <v>170</v>
      </c>
      <c r="C126" s="76">
        <v>3972</v>
      </c>
      <c r="D126" s="76">
        <v>6891</v>
      </c>
      <c r="E126" s="76">
        <v>12061</v>
      </c>
      <c r="G126" s="76"/>
      <c r="H126" s="76"/>
      <c r="I126" s="76"/>
      <c r="J126" s="30">
        <f>SUM(D126-SUM(G126:I126))</f>
        <v>6891</v>
      </c>
      <c r="K126" s="76"/>
      <c r="L126" s="76"/>
      <c r="M126" s="76"/>
      <c r="N126" s="30">
        <f>SUM(E126-SUM(K126:M126))</f>
        <v>12061</v>
      </c>
      <c r="O126" s="76"/>
      <c r="P126" s="76"/>
      <c r="Q126" s="76"/>
      <c r="R126" s="30"/>
      <c r="S126" s="30">
        <f>SUM(G126:J126)</f>
        <v>6891</v>
      </c>
      <c r="T126" s="30">
        <f>SUM(H126:K126)</f>
        <v>6891</v>
      </c>
      <c r="U126" s="30">
        <f>SUM(I126:L126)</f>
        <v>6891</v>
      </c>
      <c r="V126" s="30">
        <f>SUM(J126:M126)</f>
        <v>6891</v>
      </c>
      <c r="W126" s="30">
        <f>SUM(K126:N126)</f>
        <v>12061</v>
      </c>
      <c r="X126" s="30">
        <f>SUM(L126:O126)</f>
        <v>12061</v>
      </c>
      <c r="Y126" s="30">
        <f>SUM(M126:P126)</f>
        <v>12061</v>
      </c>
      <c r="Z126" s="30">
        <f>SUM(N126:Q126)</f>
        <v>12061</v>
      </c>
      <c r="AA126" s="59"/>
      <c r="AB126" s="68">
        <f t="shared" ref="AB126" si="176">SUM(Z126/V126)-1</f>
        <v>0.75025395443331888</v>
      </c>
    </row>
    <row r="127" spans="2:28" ht="12.75" customHeight="1">
      <c r="B127" s="56" t="s">
        <v>171</v>
      </c>
      <c r="C127" s="76">
        <v>-4930</v>
      </c>
      <c r="D127" s="76">
        <v>-5034</v>
      </c>
      <c r="E127" s="76">
        <v>-9533</v>
      </c>
      <c r="F127" s="30"/>
      <c r="G127" s="76"/>
      <c r="H127" s="76"/>
      <c r="I127" s="76"/>
      <c r="J127" s="30">
        <f>SUM(D127-SUM(G127:I127))</f>
        <v>-5034</v>
      </c>
      <c r="K127" s="76"/>
      <c r="L127" s="76"/>
      <c r="M127" s="76"/>
      <c r="N127" s="30">
        <f>SUM(E127-SUM(K127:M127))</f>
        <v>-9533</v>
      </c>
      <c r="O127" s="76"/>
      <c r="P127" s="76"/>
      <c r="Q127" s="76"/>
      <c r="R127" s="30"/>
      <c r="S127" s="30">
        <f>SUM(G127:J127)</f>
        <v>-5034</v>
      </c>
      <c r="T127" s="30">
        <f>SUM(H127:K127)</f>
        <v>-5034</v>
      </c>
      <c r="U127" s="30">
        <f>SUM(I127:L127)</f>
        <v>-5034</v>
      </c>
      <c r="V127" s="30">
        <f>SUM(J127:M127)</f>
        <v>-5034</v>
      </c>
      <c r="W127" s="30">
        <f>SUM(K127:N127)</f>
        <v>-9533</v>
      </c>
      <c r="X127" s="30">
        <f>SUM(L127:O127)</f>
        <v>-9533</v>
      </c>
      <c r="Y127" s="30">
        <f>SUM(M127:P127)</f>
        <v>-9533</v>
      </c>
      <c r="Z127" s="30">
        <f>SUM(N127:Q127)</f>
        <v>-9533</v>
      </c>
      <c r="AA127" s="55"/>
      <c r="AB127" s="68">
        <f t="shared" ref="AB127" si="177">SUM(Z127/V127)-1</f>
        <v>0.89372268573698843</v>
      </c>
    </row>
    <row r="128" spans="2:28" ht="12.75" customHeight="1">
      <c r="B128" s="56" t="s">
        <v>172</v>
      </c>
      <c r="C128" s="76">
        <v>837</v>
      </c>
      <c r="D128" s="76">
        <v>539</v>
      </c>
      <c r="E128" s="76">
        <v>747</v>
      </c>
      <c r="F128" s="30"/>
      <c r="G128" s="76"/>
      <c r="H128" s="76"/>
      <c r="I128" s="76"/>
      <c r="J128" s="30">
        <f>SUM(D128-SUM(G128:I128))</f>
        <v>539</v>
      </c>
      <c r="K128" s="76"/>
      <c r="L128" s="76"/>
      <c r="M128" s="76"/>
      <c r="N128" s="30">
        <f>SUM(E128-SUM(K128:M128))</f>
        <v>747</v>
      </c>
      <c r="O128" s="76"/>
      <c r="P128" s="76"/>
      <c r="Q128" s="76"/>
      <c r="R128" s="30"/>
      <c r="S128" s="30">
        <f>SUM(G128:J128)</f>
        <v>539</v>
      </c>
      <c r="T128" s="30">
        <f>SUM(H128:K128)</f>
        <v>539</v>
      </c>
      <c r="U128" s="30">
        <f>SUM(I128:L128)</f>
        <v>539</v>
      </c>
      <c r="V128" s="30">
        <f>SUM(J128:M128)</f>
        <v>539</v>
      </c>
      <c r="W128" s="30">
        <f>SUM(K128:N128)</f>
        <v>747</v>
      </c>
      <c r="X128" s="30">
        <f>SUM(L128:O128)</f>
        <v>747</v>
      </c>
      <c r="Y128" s="30">
        <f>SUM(M128:P128)</f>
        <v>747</v>
      </c>
      <c r="Z128" s="30">
        <f>SUM(N128:Q128)</f>
        <v>747</v>
      </c>
      <c r="AA128" s="55"/>
      <c r="AB128" s="68">
        <f t="shared" ref="AB128:AB129" si="178">SUM(Z128/V128)-1</f>
        <v>0.38589981447124311</v>
      </c>
    </row>
    <row r="129" spans="2:28" ht="12.75" customHeight="1">
      <c r="B129" s="56" t="s">
        <v>173</v>
      </c>
      <c r="C129" s="76">
        <v>-1418</v>
      </c>
      <c r="D129" s="76">
        <v>-2289</v>
      </c>
      <c r="E129" s="76">
        <v>-1795</v>
      </c>
      <c r="F129" s="30"/>
      <c r="G129" s="76"/>
      <c r="H129" s="76"/>
      <c r="I129" s="76"/>
      <c r="J129" s="30">
        <f>SUM(D129-SUM(G129:I129))</f>
        <v>-2289</v>
      </c>
      <c r="K129" s="76"/>
      <c r="L129" s="76"/>
      <c r="M129" s="76"/>
      <c r="N129" s="30">
        <f>SUM(E129-SUM(K129:M129))</f>
        <v>-1795</v>
      </c>
      <c r="O129" s="76"/>
      <c r="P129" s="76"/>
      <c r="Q129" s="76"/>
      <c r="R129" s="30"/>
      <c r="S129" s="30">
        <f>SUM(G129:J129)</f>
        <v>-2289</v>
      </c>
      <c r="T129" s="30">
        <f>SUM(H129:K129)</f>
        <v>-2289</v>
      </c>
      <c r="U129" s="30">
        <f>SUM(I129:L129)</f>
        <v>-2289</v>
      </c>
      <c r="V129" s="30">
        <f>SUM(J129:M129)</f>
        <v>-2289</v>
      </c>
      <c r="W129" s="30">
        <f>SUM(K129:N129)</f>
        <v>-1795</v>
      </c>
      <c r="X129" s="30">
        <f>SUM(L129:O129)</f>
        <v>-1795</v>
      </c>
      <c r="Y129" s="30">
        <f>SUM(M129:P129)</f>
        <v>-1795</v>
      </c>
      <c r="Z129" s="30">
        <f>SUM(N129:Q129)</f>
        <v>-1795</v>
      </c>
      <c r="AA129" s="55"/>
      <c r="AB129" s="68">
        <f t="shared" si="178"/>
        <v>-0.21581476627348184</v>
      </c>
    </row>
    <row r="130" spans="2:28" ht="12.75" customHeight="1">
      <c r="B130" s="56" t="s">
        <v>174</v>
      </c>
      <c r="C130" s="76">
        <v>-7616</v>
      </c>
      <c r="D130" s="76">
        <v>-7952</v>
      </c>
      <c r="E130" s="76">
        <v>-8359</v>
      </c>
      <c r="F130" s="30"/>
      <c r="G130" s="76"/>
      <c r="H130" s="76"/>
      <c r="I130" s="76"/>
      <c r="J130" s="30">
        <f>SUM(D130-SUM(G130:I130))</f>
        <v>-7952</v>
      </c>
      <c r="K130" s="76"/>
      <c r="L130" s="76"/>
      <c r="M130" s="76"/>
      <c r="N130" s="30">
        <f>SUM(E130-SUM(K130:M130))</f>
        <v>-8359</v>
      </c>
      <c r="O130" s="76"/>
      <c r="P130" s="76"/>
      <c r="Q130" s="76"/>
      <c r="R130" s="30"/>
      <c r="S130" s="30">
        <f>SUM(G130:J130)</f>
        <v>-7952</v>
      </c>
      <c r="T130" s="30">
        <f>SUM(H130:K130)</f>
        <v>-7952</v>
      </c>
      <c r="U130" s="30">
        <f>SUM(I130:L130)</f>
        <v>-7952</v>
      </c>
      <c r="V130" s="30">
        <f>SUM(J130:M130)</f>
        <v>-7952</v>
      </c>
      <c r="W130" s="30">
        <f>SUM(K130:N130)</f>
        <v>-8359</v>
      </c>
      <c r="X130" s="30">
        <f>SUM(L130:O130)</f>
        <v>-8359</v>
      </c>
      <c r="Y130" s="30">
        <f>SUM(M130:P130)</f>
        <v>-8359</v>
      </c>
      <c r="Z130" s="30">
        <f>SUM(N130:Q130)</f>
        <v>-8359</v>
      </c>
      <c r="AA130" s="55"/>
      <c r="AB130" s="68">
        <f t="shared" ref="AB130:AB131" si="179">SUM(Z130/V130)-1</f>
        <v>5.1182092555331904E-2</v>
      </c>
    </row>
    <row r="131" spans="2:28" ht="12.75" customHeight="1">
      <c r="B131" s="56" t="s">
        <v>175</v>
      </c>
      <c r="C131" s="76">
        <v>-1095</v>
      </c>
      <c r="D131" s="76">
        <v>-465</v>
      </c>
      <c r="E131" s="76">
        <v>-31</v>
      </c>
      <c r="F131" s="30"/>
      <c r="G131" s="76"/>
      <c r="H131" s="76"/>
      <c r="I131" s="76"/>
      <c r="J131" s="30">
        <f>SUM(D131-SUM(G131:I131))</f>
        <v>-465</v>
      </c>
      <c r="K131" s="76"/>
      <c r="L131" s="76"/>
      <c r="M131" s="76"/>
      <c r="N131" s="30">
        <f>SUM(E131-SUM(K131:M131))</f>
        <v>-31</v>
      </c>
      <c r="O131" s="76"/>
      <c r="P131" s="76"/>
      <c r="Q131" s="76"/>
      <c r="R131" s="30"/>
      <c r="S131" s="30">
        <f>SUM(G131:J131)</f>
        <v>-465</v>
      </c>
      <c r="T131" s="30">
        <f>SUM(H131:K131)</f>
        <v>-465</v>
      </c>
      <c r="U131" s="30">
        <f>SUM(I131:L131)</f>
        <v>-465</v>
      </c>
      <c r="V131" s="30">
        <f>SUM(J131:M131)</f>
        <v>-465</v>
      </c>
      <c r="W131" s="30">
        <f>SUM(K131:N131)</f>
        <v>-31</v>
      </c>
      <c r="X131" s="30">
        <f>SUM(L131:O131)</f>
        <v>-31</v>
      </c>
      <c r="Y131" s="30">
        <f>SUM(M131:P131)</f>
        <v>-31</v>
      </c>
      <c r="Z131" s="30">
        <f>SUM(N131:Q131)</f>
        <v>-31</v>
      </c>
      <c r="AA131" s="55"/>
      <c r="AB131" s="68">
        <f t="shared" si="179"/>
        <v>-0.93333333333333335</v>
      </c>
    </row>
    <row r="132" spans="2:28" ht="12.75" customHeight="1">
      <c r="B132" s="12" t="s">
        <v>59</v>
      </c>
      <c r="C132" s="13">
        <f>SUM(C126:C131)</f>
        <v>-10250</v>
      </c>
      <c r="D132" s="13">
        <f>SUM(D126:D131)</f>
        <v>-8310</v>
      </c>
      <c r="E132" s="13">
        <f>SUM(E126:E131)</f>
        <v>-6910</v>
      </c>
      <c r="G132" s="13">
        <f>SUM(G126:G131)</f>
        <v>0</v>
      </c>
      <c r="H132" s="13">
        <f>SUM(H126:H131)</f>
        <v>0</v>
      </c>
      <c r="I132" s="13">
        <f>SUM(I126:I131)</f>
        <v>0</v>
      </c>
      <c r="J132" s="13">
        <f>SUM(J126:J131)</f>
        <v>-8310</v>
      </c>
      <c r="K132" s="13">
        <f>SUM(K126:K131)</f>
        <v>0</v>
      </c>
      <c r="L132" s="13">
        <f>SUM(L126:L131)</f>
        <v>0</v>
      </c>
      <c r="M132" s="13">
        <f>SUM(M126:M131)</f>
        <v>0</v>
      </c>
      <c r="N132" s="13">
        <f>SUM(N126:N131)</f>
        <v>-6910</v>
      </c>
      <c r="O132" s="13">
        <f>SUM(O126:O131)</f>
        <v>0</v>
      </c>
      <c r="P132" s="13">
        <f>SUM(P126:P131)</f>
        <v>0</v>
      </c>
      <c r="Q132" s="13">
        <f>SUM(Q126:Q131)</f>
        <v>0</v>
      </c>
      <c r="S132" s="13">
        <f>SUM(S126:S131)</f>
        <v>-8310</v>
      </c>
      <c r="T132" s="13">
        <f>SUM(T126:T131)</f>
        <v>-8310</v>
      </c>
      <c r="U132" s="13">
        <f>SUM(U126:U131)</f>
        <v>-8310</v>
      </c>
      <c r="V132" s="13">
        <f>SUM(V126:V131)</f>
        <v>-8310</v>
      </c>
      <c r="W132" s="13">
        <f>SUM(W126:W131)</f>
        <v>-6910</v>
      </c>
      <c r="X132" s="13">
        <f>SUM(X126:X131)</f>
        <v>-6910</v>
      </c>
      <c r="Y132" s="13">
        <f>SUM(Y126:Y131)</f>
        <v>-6910</v>
      </c>
      <c r="Z132" s="13">
        <f>SUM(Z126:Z131)</f>
        <v>-6910</v>
      </c>
      <c r="AA132" s="39"/>
      <c r="AB132" s="69">
        <f>SUM(Z132/V132)-1</f>
        <v>-0.1684717208182912</v>
      </c>
    </row>
    <row r="133" spans="2:28" ht="5.0999999999999996" customHeight="1">
      <c r="B133" s="8"/>
      <c r="C133" s="60"/>
      <c r="D133" s="60"/>
      <c r="E133" s="60"/>
      <c r="F133" s="30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S133" s="11"/>
      <c r="T133" s="11"/>
      <c r="U133" s="11"/>
      <c r="V133" s="11"/>
      <c r="W133" s="11"/>
      <c r="X133" s="11"/>
      <c r="Y133" s="11"/>
      <c r="Z133" s="11"/>
      <c r="AA133" s="11"/>
      <c r="AB133" s="42"/>
    </row>
    <row r="134" spans="2:28" ht="5.0999999999999996" customHeight="1">
      <c r="B134" s="65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11"/>
      <c r="AB134" s="42"/>
    </row>
    <row r="135" spans="2:28">
      <c r="B135" s="143" t="s">
        <v>93</v>
      </c>
      <c r="C135" s="154">
        <v>10025</v>
      </c>
      <c r="D135" s="149">
        <f t="shared" ref="D135:E135" si="180">C142</f>
        <v>9519</v>
      </c>
      <c r="E135" s="149">
        <f t="shared" si="180"/>
        <v>9366</v>
      </c>
      <c r="F135" s="149"/>
      <c r="G135" s="149">
        <f>D135</f>
        <v>9519</v>
      </c>
      <c r="H135" s="149">
        <f t="shared" ref="H135:P135" si="181">G142</f>
        <v>9825</v>
      </c>
      <c r="I135" s="149">
        <f t="shared" si="181"/>
        <v>9825</v>
      </c>
      <c r="J135" s="149">
        <f t="shared" si="181"/>
        <v>9825</v>
      </c>
      <c r="K135" s="149">
        <f t="shared" si="181"/>
        <v>9366</v>
      </c>
      <c r="L135" s="149">
        <f t="shared" si="181"/>
        <v>9692</v>
      </c>
      <c r="M135" s="149">
        <f t="shared" si="181"/>
        <v>9692</v>
      </c>
      <c r="N135" s="149">
        <f t="shared" si="181"/>
        <v>9692</v>
      </c>
      <c r="O135" s="149">
        <f t="shared" si="181"/>
        <v>10828</v>
      </c>
      <c r="P135" s="149">
        <f t="shared" si="181"/>
        <v>11488</v>
      </c>
      <c r="Q135" s="149">
        <f t="shared" ref="Q135" si="182">P142</f>
        <v>11488</v>
      </c>
      <c r="R135" s="149"/>
      <c r="S135" s="149">
        <f>J135</f>
        <v>9825</v>
      </c>
      <c r="T135" s="149">
        <f t="shared" ref="T135:Y135" si="183">S142</f>
        <v>9366</v>
      </c>
      <c r="U135" s="149">
        <f t="shared" si="183"/>
        <v>9692</v>
      </c>
      <c r="V135" s="149">
        <f t="shared" si="183"/>
        <v>9692</v>
      </c>
      <c r="W135" s="149">
        <f t="shared" si="183"/>
        <v>9692</v>
      </c>
      <c r="X135" s="149">
        <f t="shared" si="183"/>
        <v>10828</v>
      </c>
      <c r="Y135" s="149">
        <f t="shared" si="183"/>
        <v>11488</v>
      </c>
      <c r="Z135" s="155">
        <f>Y142</f>
        <v>11488</v>
      </c>
      <c r="AA135" s="11"/>
      <c r="AB135" s="42"/>
    </row>
    <row r="136" spans="2:28">
      <c r="B136" s="144" t="s">
        <v>90</v>
      </c>
      <c r="C136" s="76">
        <v>0</v>
      </c>
      <c r="D136" s="30">
        <f t="shared" ref="D136:E136" si="184">-C140</f>
        <v>306</v>
      </c>
      <c r="E136" s="30">
        <f t="shared" si="184"/>
        <v>326</v>
      </c>
      <c r="F136" s="30"/>
      <c r="G136" s="30">
        <f>D136</f>
        <v>306</v>
      </c>
      <c r="H136" s="30">
        <f>-G140</f>
        <v>0</v>
      </c>
      <c r="I136" s="30">
        <f t="shared" ref="I136:P136" si="185">-H140</f>
        <v>0</v>
      </c>
      <c r="J136" s="30">
        <f t="shared" si="185"/>
        <v>0</v>
      </c>
      <c r="K136" s="30">
        <f t="shared" si="185"/>
        <v>326</v>
      </c>
      <c r="L136" s="30">
        <f t="shared" si="185"/>
        <v>0</v>
      </c>
      <c r="M136" s="30">
        <f t="shared" si="185"/>
        <v>0</v>
      </c>
      <c r="N136" s="30">
        <f t="shared" si="185"/>
        <v>0</v>
      </c>
      <c r="O136" s="30">
        <f t="shared" si="185"/>
        <v>660</v>
      </c>
      <c r="P136" s="30">
        <f t="shared" si="185"/>
        <v>0</v>
      </c>
      <c r="Q136" s="30">
        <f t="shared" ref="Q136" si="186">-P140</f>
        <v>0</v>
      </c>
      <c r="R136" s="30"/>
      <c r="S136" s="30">
        <f>J136</f>
        <v>0</v>
      </c>
      <c r="T136" s="30">
        <f t="shared" ref="T136:Z136" si="187">-S140</f>
        <v>326</v>
      </c>
      <c r="U136" s="30">
        <f t="shared" si="187"/>
        <v>0</v>
      </c>
      <c r="V136" s="30">
        <f t="shared" si="187"/>
        <v>0</v>
      </c>
      <c r="W136" s="30">
        <f t="shared" si="187"/>
        <v>0</v>
      </c>
      <c r="X136" s="30">
        <f t="shared" si="187"/>
        <v>660</v>
      </c>
      <c r="Y136" s="30">
        <f t="shared" si="187"/>
        <v>0</v>
      </c>
      <c r="Z136" s="139">
        <f t="shared" si="187"/>
        <v>0</v>
      </c>
      <c r="AA136" s="11"/>
      <c r="AB136" s="42"/>
    </row>
    <row r="137" spans="2:28">
      <c r="B137" s="145" t="s">
        <v>73</v>
      </c>
      <c r="C137" s="113">
        <f t="shared" ref="C137:E137" si="188">SUM(C135:C136)</f>
        <v>10025</v>
      </c>
      <c r="D137" s="113">
        <f t="shared" si="188"/>
        <v>9825</v>
      </c>
      <c r="E137" s="113">
        <f t="shared" si="188"/>
        <v>9692</v>
      </c>
      <c r="F137" s="30"/>
      <c r="G137" s="113">
        <f t="shared" ref="G137:P137" si="189">SUM(G135:G136)</f>
        <v>9825</v>
      </c>
      <c r="H137" s="113">
        <f t="shared" si="189"/>
        <v>9825</v>
      </c>
      <c r="I137" s="113">
        <f t="shared" si="189"/>
        <v>9825</v>
      </c>
      <c r="J137" s="113">
        <f t="shared" si="189"/>
        <v>9825</v>
      </c>
      <c r="K137" s="113">
        <f t="shared" si="189"/>
        <v>9692</v>
      </c>
      <c r="L137" s="113">
        <f t="shared" si="189"/>
        <v>9692</v>
      </c>
      <c r="M137" s="113">
        <f t="shared" si="189"/>
        <v>9692</v>
      </c>
      <c r="N137" s="113">
        <f t="shared" si="189"/>
        <v>9692</v>
      </c>
      <c r="O137" s="113">
        <f t="shared" si="189"/>
        <v>11488</v>
      </c>
      <c r="P137" s="113">
        <f t="shared" si="189"/>
        <v>11488</v>
      </c>
      <c r="Q137" s="113">
        <f t="shared" ref="Q137" si="190">SUM(Q135:Q136)</f>
        <v>11488</v>
      </c>
      <c r="R137" s="30"/>
      <c r="S137" s="113">
        <f t="shared" ref="S137:U137" si="191">SUM(S135:S136)</f>
        <v>9825</v>
      </c>
      <c r="T137" s="113">
        <f t="shared" si="191"/>
        <v>9692</v>
      </c>
      <c r="U137" s="113">
        <f t="shared" si="191"/>
        <v>9692</v>
      </c>
      <c r="V137" s="113">
        <f t="shared" ref="V137" si="192">SUM(V135:V136)</f>
        <v>9692</v>
      </c>
      <c r="W137" s="113">
        <f t="shared" ref="W137" si="193">SUM(W135:W136)</f>
        <v>9692</v>
      </c>
      <c r="X137" s="113">
        <f t="shared" ref="X137" si="194">SUM(X135:X136)</f>
        <v>11488</v>
      </c>
      <c r="Y137" s="113">
        <f t="shared" ref="Y137" si="195">SUM(Y135:Y136)</f>
        <v>11488</v>
      </c>
      <c r="Z137" s="140">
        <f t="shared" ref="Z137" si="196">SUM(Z135:Z136)</f>
        <v>11488</v>
      </c>
      <c r="AA137" s="11"/>
      <c r="AB137" s="42"/>
    </row>
    <row r="138" spans="2:28" ht="5.0999999999999996" customHeight="1">
      <c r="B138" s="146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139"/>
      <c r="AA138" s="11"/>
      <c r="AB138" s="42"/>
    </row>
    <row r="139" spans="2:28">
      <c r="B139" s="144" t="s">
        <v>91</v>
      </c>
      <c r="C139" s="76">
        <v>-205</v>
      </c>
      <c r="D139" s="76">
        <v>-73</v>
      </c>
      <c r="E139" s="76">
        <v>-623</v>
      </c>
      <c r="F139" s="30"/>
      <c r="G139" s="76"/>
      <c r="H139" s="76"/>
      <c r="I139" s="76"/>
      <c r="J139" s="30">
        <f>SUM(D139-SUM(G139:I139))</f>
        <v>-73</v>
      </c>
      <c r="K139" s="76"/>
      <c r="L139" s="76"/>
      <c r="M139" s="76"/>
      <c r="N139" s="30">
        <f>SUM(E139-SUM(K139:M139))</f>
        <v>-623</v>
      </c>
      <c r="O139" s="76"/>
      <c r="P139" s="76"/>
      <c r="Q139" s="76"/>
      <c r="R139" s="30"/>
      <c r="S139" s="30">
        <f>J139</f>
        <v>-73</v>
      </c>
      <c r="T139" s="30">
        <f>K139</f>
        <v>0</v>
      </c>
      <c r="U139" s="30">
        <f>L139</f>
        <v>0</v>
      </c>
      <c r="V139" s="30">
        <f>M139</f>
        <v>0</v>
      </c>
      <c r="W139" s="30">
        <f>N139</f>
        <v>-623</v>
      </c>
      <c r="X139" s="30">
        <f>O139</f>
        <v>0</v>
      </c>
      <c r="Y139" s="30">
        <f>P139</f>
        <v>0</v>
      </c>
      <c r="Z139" s="139">
        <f>Q139</f>
        <v>0</v>
      </c>
      <c r="AA139" s="11"/>
      <c r="AB139" s="42"/>
    </row>
    <row r="140" spans="2:28">
      <c r="B140" s="144" t="s">
        <v>92</v>
      </c>
      <c r="C140" s="76">
        <v>-306</v>
      </c>
      <c r="D140" s="76">
        <v>-326</v>
      </c>
      <c r="E140" s="76">
        <v>-660</v>
      </c>
      <c r="F140" s="30"/>
      <c r="G140" s="30"/>
      <c r="H140" s="30"/>
      <c r="I140" s="30"/>
      <c r="J140" s="30">
        <f>D140</f>
        <v>-326</v>
      </c>
      <c r="K140" s="30"/>
      <c r="L140" s="30"/>
      <c r="M140" s="30"/>
      <c r="N140" s="30">
        <f>E140</f>
        <v>-660</v>
      </c>
      <c r="O140" s="30"/>
      <c r="P140" s="30"/>
      <c r="Q140" s="30"/>
      <c r="R140" s="30"/>
      <c r="S140" s="30">
        <f>J140</f>
        <v>-326</v>
      </c>
      <c r="T140" s="30">
        <f>K140</f>
        <v>0</v>
      </c>
      <c r="U140" s="30">
        <f>L140</f>
        <v>0</v>
      </c>
      <c r="V140" s="30">
        <f>M140</f>
        <v>0</v>
      </c>
      <c r="W140" s="30">
        <f>N140</f>
        <v>-660</v>
      </c>
      <c r="X140" s="30">
        <f>O140</f>
        <v>0</v>
      </c>
      <c r="Y140" s="30">
        <f>P140</f>
        <v>0</v>
      </c>
      <c r="Z140" s="139">
        <f t="shared" ref="Z140:Z141" si="197">Q140</f>
        <v>0</v>
      </c>
      <c r="AA140" s="11"/>
      <c r="AB140" s="42"/>
    </row>
    <row r="141" spans="2:28">
      <c r="B141" s="144" t="s">
        <v>63</v>
      </c>
      <c r="C141" s="30">
        <f>+C132+C123+C113</f>
        <v>5</v>
      </c>
      <c r="D141" s="30">
        <f>+D132+D123+D113</f>
        <v>-60</v>
      </c>
      <c r="E141" s="30">
        <f>+E132+E123+E113</f>
        <v>2419</v>
      </c>
      <c r="F141" s="30"/>
      <c r="G141" s="30">
        <f>+G132+G123+G113</f>
        <v>0</v>
      </c>
      <c r="H141" s="30">
        <f>+H132+H123+H113</f>
        <v>0</v>
      </c>
      <c r="I141" s="30">
        <f>+I132+I123+I113</f>
        <v>0</v>
      </c>
      <c r="J141" s="30">
        <f>+J132+J123+J113</f>
        <v>-60</v>
      </c>
      <c r="K141" s="30">
        <f>+K132+K123+K113</f>
        <v>0</v>
      </c>
      <c r="L141" s="30">
        <f>+L132+L123+L113</f>
        <v>0</v>
      </c>
      <c r="M141" s="30">
        <f>+M132+M123+M113</f>
        <v>0</v>
      </c>
      <c r="N141" s="30">
        <f>+N132+N123+N113</f>
        <v>2419</v>
      </c>
      <c r="O141" s="30">
        <f>+O132+O123+O113</f>
        <v>0</v>
      </c>
      <c r="P141" s="30">
        <f>+P132+P123+P113</f>
        <v>0</v>
      </c>
      <c r="Q141" s="30">
        <f>+Q132+Q123+Q113</f>
        <v>0</v>
      </c>
      <c r="R141" s="30"/>
      <c r="S141" s="30">
        <f>J141</f>
        <v>-60</v>
      </c>
      <c r="T141" s="30">
        <f>K141</f>
        <v>0</v>
      </c>
      <c r="U141" s="30">
        <f>L141</f>
        <v>0</v>
      </c>
      <c r="V141" s="30">
        <f>M141</f>
        <v>0</v>
      </c>
      <c r="W141" s="30">
        <f>N141</f>
        <v>2419</v>
      </c>
      <c r="X141" s="30">
        <f>O141</f>
        <v>0</v>
      </c>
      <c r="Y141" s="30">
        <f>P141</f>
        <v>0</v>
      </c>
      <c r="Z141" s="139">
        <f t="shared" si="197"/>
        <v>0</v>
      </c>
      <c r="AA141" s="11"/>
      <c r="AB141" s="42"/>
    </row>
    <row r="142" spans="2:28">
      <c r="B142" s="145" t="s">
        <v>74</v>
      </c>
      <c r="C142" s="113">
        <f t="shared" ref="C142:E142" si="198">SUM(C137:C141)</f>
        <v>9519</v>
      </c>
      <c r="D142" s="113">
        <f t="shared" si="198"/>
        <v>9366</v>
      </c>
      <c r="E142" s="113">
        <f t="shared" si="198"/>
        <v>10828</v>
      </c>
      <c r="F142" s="30"/>
      <c r="G142" s="113">
        <f t="shared" ref="G142:P142" si="199">SUM(G137:G141)</f>
        <v>9825</v>
      </c>
      <c r="H142" s="113">
        <f t="shared" si="199"/>
        <v>9825</v>
      </c>
      <c r="I142" s="113">
        <f t="shared" si="199"/>
        <v>9825</v>
      </c>
      <c r="J142" s="113">
        <f t="shared" si="199"/>
        <v>9366</v>
      </c>
      <c r="K142" s="113">
        <f t="shared" si="199"/>
        <v>9692</v>
      </c>
      <c r="L142" s="113">
        <f t="shared" si="199"/>
        <v>9692</v>
      </c>
      <c r="M142" s="113">
        <f t="shared" si="199"/>
        <v>9692</v>
      </c>
      <c r="N142" s="113">
        <f t="shared" si="199"/>
        <v>10828</v>
      </c>
      <c r="O142" s="113">
        <f t="shared" si="199"/>
        <v>11488</v>
      </c>
      <c r="P142" s="113">
        <f t="shared" si="199"/>
        <v>11488</v>
      </c>
      <c r="Q142" s="113">
        <f t="shared" ref="Q142" si="200">SUM(Q137:Q141)</f>
        <v>11488</v>
      </c>
      <c r="R142" s="30"/>
      <c r="S142" s="113">
        <f t="shared" ref="S142:Z142" si="201">SUM(S137:S141)</f>
        <v>9366</v>
      </c>
      <c r="T142" s="113">
        <f t="shared" si="201"/>
        <v>9692</v>
      </c>
      <c r="U142" s="113">
        <f t="shared" si="201"/>
        <v>9692</v>
      </c>
      <c r="V142" s="113">
        <f t="shared" si="201"/>
        <v>9692</v>
      </c>
      <c r="W142" s="113">
        <f t="shared" si="201"/>
        <v>10828</v>
      </c>
      <c r="X142" s="113">
        <f t="shared" si="201"/>
        <v>11488</v>
      </c>
      <c r="Y142" s="113">
        <f t="shared" si="201"/>
        <v>11488</v>
      </c>
      <c r="Z142" s="140">
        <f t="shared" si="201"/>
        <v>11488</v>
      </c>
      <c r="AA142" s="11"/>
      <c r="AB142" s="42"/>
    </row>
    <row r="143" spans="2:28" ht="5.0999999999999996" customHeight="1">
      <c r="B143" s="147"/>
      <c r="C143" s="60"/>
      <c r="D143" s="60"/>
      <c r="E143" s="60"/>
      <c r="F143" s="3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S143" s="11"/>
      <c r="T143" s="11"/>
      <c r="U143" s="11"/>
      <c r="V143" s="11"/>
      <c r="W143" s="11"/>
      <c r="X143" s="11"/>
      <c r="Y143" s="11"/>
      <c r="Z143" s="141"/>
      <c r="AA143" s="11"/>
      <c r="AB143" s="42"/>
    </row>
    <row r="144" spans="2:28">
      <c r="B144" s="148" t="s">
        <v>62</v>
      </c>
      <c r="C144" s="137">
        <f>C142-C48</f>
        <v>0</v>
      </c>
      <c r="D144" s="137">
        <f>D142-D48</f>
        <v>0</v>
      </c>
      <c r="E144" s="137">
        <f>E142-E48</f>
        <v>0</v>
      </c>
      <c r="F144" s="138"/>
      <c r="G144" s="137">
        <f>G142-G48</f>
        <v>9825</v>
      </c>
      <c r="H144" s="137">
        <f>H142-H48</f>
        <v>9825</v>
      </c>
      <c r="I144" s="137">
        <f>I142-I48</f>
        <v>9825</v>
      </c>
      <c r="J144" s="137">
        <f>J142-J48</f>
        <v>0</v>
      </c>
      <c r="K144" s="137">
        <f>K142-K48</f>
        <v>9692</v>
      </c>
      <c r="L144" s="137">
        <f>L142-L48</f>
        <v>9692</v>
      </c>
      <c r="M144" s="137">
        <f>M142-M48</f>
        <v>9692</v>
      </c>
      <c r="N144" s="137">
        <f>N142-N48</f>
        <v>0</v>
      </c>
      <c r="O144" s="137">
        <f>O142-O48</f>
        <v>11488</v>
      </c>
      <c r="P144" s="137">
        <f>P142-P48</f>
        <v>11488</v>
      </c>
      <c r="Q144" s="137">
        <f>Q142-Q48</f>
        <v>11488</v>
      </c>
      <c r="R144" s="137"/>
      <c r="S144" s="137">
        <f>S142-S48</f>
        <v>0</v>
      </c>
      <c r="T144" s="137">
        <f>T142-T48</f>
        <v>9692</v>
      </c>
      <c r="U144" s="137">
        <f>U142-U48</f>
        <v>9692</v>
      </c>
      <c r="V144" s="137">
        <f>V142-V48</f>
        <v>9692</v>
      </c>
      <c r="W144" s="137">
        <f>W142-W48</f>
        <v>0</v>
      </c>
      <c r="X144" s="137">
        <f>X142-X48</f>
        <v>11488</v>
      </c>
      <c r="Y144" s="137">
        <f>Y142-Y48</f>
        <v>11488</v>
      </c>
      <c r="Z144" s="142">
        <f>Z142-Z48</f>
        <v>11488</v>
      </c>
      <c r="AA144" s="11"/>
      <c r="AB144" s="42"/>
    </row>
    <row r="145" spans="2:28" ht="5.0999999999999996" customHeight="1">
      <c r="B145" s="8"/>
      <c r="C145" s="60"/>
      <c r="D145" s="60"/>
      <c r="E145" s="60"/>
      <c r="F145" s="3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S145" s="11"/>
      <c r="T145" s="11"/>
      <c r="U145" s="11"/>
      <c r="V145" s="11"/>
      <c r="W145" s="11"/>
      <c r="X145" s="11"/>
      <c r="Y145" s="11"/>
      <c r="Z145" s="11"/>
      <c r="AA145" s="11"/>
      <c r="AB145" s="42"/>
    </row>
    <row r="146" spans="2:28">
      <c r="B146" s="112" t="s">
        <v>86</v>
      </c>
      <c r="C146" s="60"/>
      <c r="D146" s="60"/>
      <c r="E146" s="60"/>
      <c r="F146" s="3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S146" s="11"/>
      <c r="T146" s="11"/>
      <c r="U146" s="11"/>
      <c r="V146" s="11"/>
      <c r="W146" s="11"/>
      <c r="X146" s="11"/>
      <c r="Y146" s="11"/>
      <c r="Z146" s="11"/>
      <c r="AA146" s="11"/>
      <c r="AB146" s="42"/>
    </row>
    <row r="147" spans="2:28">
      <c r="B147" s="77" t="s">
        <v>89</v>
      </c>
      <c r="C147" s="60"/>
      <c r="D147" s="60"/>
      <c r="E147" s="60"/>
      <c r="F147" s="30"/>
      <c r="G147" s="76"/>
      <c r="H147" s="30"/>
      <c r="I147" s="30"/>
      <c r="J147" s="30">
        <f>SUM(D147-SUM(G147:I147))</f>
        <v>0</v>
      </c>
      <c r="K147" s="76"/>
      <c r="L147" s="30"/>
      <c r="M147" s="30"/>
      <c r="N147" s="30">
        <f>SUM(E147-SUM(K147:M147))</f>
        <v>0</v>
      </c>
      <c r="O147" s="76"/>
      <c r="P147" s="30"/>
      <c r="Q147" s="30"/>
      <c r="S147" s="30">
        <f>SUM(G147:J147)</f>
        <v>0</v>
      </c>
      <c r="T147" s="30">
        <f>SUM(H147:K147)</f>
        <v>0</v>
      </c>
      <c r="U147" s="30">
        <f>SUM(I147:L147)</f>
        <v>0</v>
      </c>
      <c r="V147" s="30">
        <f>SUM(J147:M147)</f>
        <v>0</v>
      </c>
      <c r="W147" s="30">
        <f>SUM(K147:N147)</f>
        <v>0</v>
      </c>
      <c r="X147" s="30">
        <f>SUM(L147:O147)</f>
        <v>0</v>
      </c>
      <c r="Y147" s="30">
        <f>SUM(M147:P147)</f>
        <v>0</v>
      </c>
      <c r="Z147" s="30">
        <f>SUM(N147:Q147)</f>
        <v>0</v>
      </c>
      <c r="AA147" s="11"/>
      <c r="AB147" s="42"/>
    </row>
    <row r="148" spans="2:28">
      <c r="B148" s="77" t="s">
        <v>88</v>
      </c>
      <c r="C148" s="60"/>
      <c r="D148" s="60"/>
      <c r="E148" s="60"/>
      <c r="F148" s="30"/>
      <c r="G148" s="76"/>
      <c r="H148" s="30"/>
      <c r="I148" s="30"/>
      <c r="J148" s="30">
        <f>SUM(D148-SUM(G148:I148))</f>
        <v>0</v>
      </c>
      <c r="K148" s="76"/>
      <c r="L148" s="30"/>
      <c r="M148" s="30"/>
      <c r="N148" s="30">
        <f>SUM(E148-SUM(K148:M148))</f>
        <v>0</v>
      </c>
      <c r="O148" s="76"/>
      <c r="P148" s="30"/>
      <c r="Q148" s="30"/>
      <c r="S148" s="30">
        <f>SUM(G148:J148)</f>
        <v>0</v>
      </c>
      <c r="T148" s="30">
        <f>SUM(H148:K148)</f>
        <v>0</v>
      </c>
      <c r="U148" s="30">
        <f>SUM(I148:L148)</f>
        <v>0</v>
      </c>
      <c r="V148" s="30">
        <f>SUM(J148:M148)</f>
        <v>0</v>
      </c>
      <c r="W148" s="30">
        <f>SUM(K148:N148)</f>
        <v>0</v>
      </c>
      <c r="X148" s="30">
        <f>SUM(L148:O148)</f>
        <v>0</v>
      </c>
      <c r="Y148" s="30">
        <f>SUM(M148:P148)</f>
        <v>0</v>
      </c>
      <c r="Z148" s="30">
        <f>SUM(N148:Q148)</f>
        <v>0</v>
      </c>
      <c r="AA148" s="11"/>
      <c r="AB148" s="42"/>
    </row>
    <row r="149" spans="2:28" ht="5.0999999999999996" customHeight="1" thickBot="1">
      <c r="B149" s="66"/>
      <c r="C149" s="67"/>
      <c r="D149" s="67"/>
      <c r="E149" s="67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  <c r="R149" s="66"/>
      <c r="S149" s="66"/>
      <c r="T149" s="66"/>
      <c r="U149" s="66"/>
      <c r="V149" s="66"/>
      <c r="W149" s="66"/>
      <c r="X149" s="66"/>
      <c r="Y149" s="66"/>
      <c r="Z149" s="66"/>
      <c r="AB149" s="42"/>
    </row>
    <row r="150" spans="2:28" ht="12.75" customHeight="1">
      <c r="C150" s="52"/>
      <c r="D150" s="52"/>
      <c r="E150" s="52"/>
    </row>
    <row r="151" spans="2:28" ht="12.75" customHeight="1">
      <c r="C151" s="52"/>
      <c r="D151" s="52"/>
      <c r="E151" s="52"/>
    </row>
    <row r="152" spans="2:28" ht="12.75" customHeight="1">
      <c r="C152" s="52"/>
      <c r="D152" s="52"/>
      <c r="E152" s="52"/>
    </row>
    <row r="153" spans="2:28" ht="12.75" customHeight="1">
      <c r="C153" s="52"/>
      <c r="D153" s="52"/>
      <c r="E153" s="52"/>
    </row>
    <row r="154" spans="2:28" ht="12.75" customHeight="1">
      <c r="C154" s="52"/>
      <c r="D154" s="52"/>
      <c r="E154" s="52"/>
      <c r="G154" s="79"/>
      <c r="H154" s="79"/>
      <c r="I154" s="79"/>
      <c r="J154" s="79"/>
      <c r="K154" s="79"/>
      <c r="L154" s="79"/>
      <c r="M154" s="79"/>
      <c r="N154" s="79"/>
      <c r="O154" s="79"/>
      <c r="P154" s="79"/>
      <c r="Q154" s="79"/>
    </row>
    <row r="155" spans="2:28" ht="12.75" customHeight="1">
      <c r="C155" s="52"/>
      <c r="D155" s="52"/>
      <c r="E155" s="52"/>
    </row>
    <row r="156" spans="2:28" ht="12.75" customHeight="1">
      <c r="C156" s="52"/>
      <c r="D156" s="52"/>
      <c r="E156" s="52"/>
      <c r="G156" s="79"/>
      <c r="H156" s="79"/>
      <c r="I156" s="79"/>
      <c r="J156" s="79"/>
      <c r="K156" s="79"/>
      <c r="L156" s="79"/>
      <c r="M156" s="79"/>
      <c r="N156" s="79"/>
      <c r="O156" s="79"/>
      <c r="P156" s="79"/>
      <c r="Q156" s="79"/>
    </row>
    <row r="157" spans="2:28">
      <c r="G157" s="79"/>
      <c r="H157" s="79"/>
      <c r="I157" s="79"/>
      <c r="J157" s="79"/>
      <c r="K157" s="79"/>
      <c r="L157" s="79"/>
      <c r="M157" s="79"/>
      <c r="N157" s="79"/>
      <c r="O157" s="79"/>
      <c r="P157" s="79"/>
      <c r="Q157" s="79"/>
    </row>
    <row r="158" spans="2:28">
      <c r="G158" s="79"/>
      <c r="H158" s="79"/>
      <c r="I158" s="79"/>
      <c r="J158" s="79"/>
      <c r="K158" s="79"/>
      <c r="L158" s="79"/>
      <c r="M158" s="79"/>
      <c r="N158" s="79"/>
      <c r="O158" s="79"/>
      <c r="P158" s="79"/>
      <c r="Q158" s="79"/>
    </row>
    <row r="160" spans="2:28">
      <c r="G160" s="79"/>
      <c r="H160" s="79"/>
      <c r="I160" s="79"/>
      <c r="J160" s="79"/>
      <c r="K160" s="79"/>
      <c r="L160" s="79"/>
      <c r="M160" s="79"/>
      <c r="N160" s="79"/>
      <c r="O160" s="79"/>
      <c r="P160" s="79"/>
      <c r="Q160" s="79"/>
    </row>
    <row r="161" spans="7:17">
      <c r="G161" s="79"/>
      <c r="H161" s="79"/>
      <c r="I161" s="79"/>
      <c r="J161" s="79"/>
      <c r="K161" s="79"/>
      <c r="L161" s="79"/>
      <c r="M161" s="79"/>
      <c r="N161" s="79"/>
      <c r="O161" s="79"/>
      <c r="P161" s="79"/>
      <c r="Q161" s="79"/>
    </row>
  </sheetData>
  <mergeCells count="3">
    <mergeCell ref="AB6:AB8"/>
    <mergeCell ref="AB43:AB45"/>
    <mergeCell ref="AB89:AB91"/>
  </mergeCells>
  <pageMargins left="0.7" right="0.7" top="0.75" bottom="0.75" header="0.3" footer="0.3"/>
  <ignoredErrors>
    <ignoredError sqref="Z14:Z16 F54" formulaRange="1"/>
    <ignoredError sqref="AB123:AB125 AB113:AB115" evalError="1"/>
    <ignoredError sqref="K95:O96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177D2-8829-42BE-A7B1-460B1A987ED3}">
  <sheetPr>
    <tabColor rgb="FFC00000"/>
  </sheetPr>
  <dimension ref="A2:AE34"/>
  <sheetViews>
    <sheetView showGridLines="0" zoomScaleNormal="100" workbookViewId="0">
      <selection activeCell="B20" sqref="B20"/>
    </sheetView>
  </sheetViews>
  <sheetFormatPr defaultRowHeight="12" outlineLevelRow="1" outlineLevelCol="1"/>
  <cols>
    <col min="1" max="1" width="1.5" style="8" customWidth="1"/>
    <col min="2" max="2" width="46.5" style="8" bestFit="1" customWidth="1"/>
    <col min="3" max="6" width="8.625" style="8" bestFit="1" customWidth="1"/>
    <col min="7" max="7" width="1.5" style="8" customWidth="1"/>
    <col min="8" max="9" width="8" style="8" customWidth="1" outlineLevel="1"/>
    <col min="10" max="11" width="8.75" style="8" customWidth="1" outlineLevel="1"/>
    <col min="12" max="12" width="8.5" style="8" customWidth="1" outlineLevel="1"/>
    <col min="13" max="13" width="8.25" style="8" customWidth="1" outlineLevel="1"/>
    <col min="14" max="14" width="8.5" style="8" bestFit="1" customWidth="1"/>
    <col min="15" max="20" width="9.125" style="8" bestFit="1" customWidth="1"/>
    <col min="21" max="21" width="1.5" style="8" customWidth="1"/>
    <col min="22" max="26" width="8.75" style="8" customWidth="1" outlineLevel="1"/>
    <col min="27" max="27" width="8.75" style="8" customWidth="1"/>
    <col min="28" max="30" width="8.75" style="8" customWidth="1" outlineLevel="1"/>
    <col min="31" max="31" width="8.75" style="8" customWidth="1"/>
    <col min="32" max="16384" width="9" style="8"/>
  </cols>
  <sheetData>
    <row r="2" spans="1:31" s="5" customFormat="1" ht="12.75" customHeight="1">
      <c r="B2" s="1" t="str">
        <f>'Historical Financials'!B2</f>
        <v>Coca-Cola Co (NASDAQ: KO)</v>
      </c>
      <c r="C2" s="2" t="s">
        <v>0</v>
      </c>
      <c r="D2" s="2"/>
      <c r="E2" s="2"/>
      <c r="F2" s="2"/>
      <c r="G2" s="3"/>
      <c r="H2" s="2"/>
      <c r="I2" s="2"/>
      <c r="J2" s="2"/>
      <c r="K2" s="2"/>
      <c r="L2" s="2"/>
      <c r="M2" s="2"/>
      <c r="N2" s="2" t="s">
        <v>1</v>
      </c>
      <c r="O2" s="2"/>
      <c r="P2" s="2"/>
      <c r="Q2" s="2"/>
      <c r="R2" s="2"/>
      <c r="S2" s="2"/>
      <c r="T2" s="2"/>
      <c r="U2" s="3"/>
      <c r="V2" s="2"/>
      <c r="W2" s="2"/>
      <c r="X2" s="2"/>
      <c r="Y2" s="2"/>
      <c r="Z2" s="2"/>
      <c r="AA2" s="2" t="s">
        <v>10</v>
      </c>
      <c r="AB2" s="2"/>
      <c r="AC2" s="2"/>
      <c r="AD2" s="2"/>
      <c r="AE2" s="2"/>
    </row>
    <row r="3" spans="1:31" s="5" customFormat="1" ht="12.75" customHeight="1">
      <c r="B3" s="6" t="s">
        <v>69</v>
      </c>
      <c r="C3" s="7">
        <f>'Historical Financials'!C7</f>
        <v>2022</v>
      </c>
      <c r="D3" s="7">
        <f>'Historical Financials'!D7</f>
        <v>2023</v>
      </c>
      <c r="E3" s="7">
        <f>'Historical Financials'!E7</f>
        <v>2024</v>
      </c>
      <c r="F3" s="7" t="e">
        <f>'Historical Financials'!#REF!</f>
        <v>#REF!</v>
      </c>
      <c r="G3" s="3"/>
      <c r="H3" s="7" t="str">
        <f>'Historical Financials'!G7</f>
        <v>1Q23</v>
      </c>
      <c r="I3" s="7" t="str">
        <f>'Historical Financials'!H7</f>
        <v>2Q23</v>
      </c>
      <c r="J3" s="7" t="str">
        <f>'Historical Financials'!I7</f>
        <v>3Q23</v>
      </c>
      <c r="K3" s="7" t="str">
        <f>'Historical Financials'!J7</f>
        <v>4Q23</v>
      </c>
      <c r="L3" s="7" t="str">
        <f>'Historical Financials'!K7</f>
        <v>1Q24</v>
      </c>
      <c r="M3" s="7" t="str">
        <f>'Historical Financials'!L7</f>
        <v>2Q24</v>
      </c>
      <c r="N3" s="7" t="str">
        <f>'Historical Financials'!M7</f>
        <v>3Q24</v>
      </c>
      <c r="O3" s="7" t="str">
        <f>'Historical Financials'!N7</f>
        <v>4Q24</v>
      </c>
      <c r="P3" s="7" t="str">
        <f>'Historical Financials'!O7</f>
        <v>1Q25</v>
      </c>
      <c r="Q3" s="7" t="str">
        <f>'Historical Financials'!P7</f>
        <v>2Q25</v>
      </c>
      <c r="R3" s="7" t="str">
        <f>'Historical Financials'!Q7</f>
        <v>3Q25</v>
      </c>
      <c r="S3" s="7" t="e">
        <f>'Historical Financials'!#REF!</f>
        <v>#REF!</v>
      </c>
      <c r="T3" s="7" t="e">
        <f>'Historical Financials'!#REF!</f>
        <v>#REF!</v>
      </c>
      <c r="U3" s="4"/>
      <c r="V3" s="4" t="str">
        <f t="shared" ref="V3:AE4" si="0">K3</f>
        <v>4Q23</v>
      </c>
      <c r="W3" s="4" t="str">
        <f t="shared" si="0"/>
        <v>1Q24</v>
      </c>
      <c r="X3" s="4" t="str">
        <f t="shared" si="0"/>
        <v>2Q24</v>
      </c>
      <c r="Y3" s="4" t="str">
        <f t="shared" si="0"/>
        <v>3Q24</v>
      </c>
      <c r="Z3" s="4" t="str">
        <f t="shared" si="0"/>
        <v>4Q24</v>
      </c>
      <c r="AA3" s="4" t="str">
        <f t="shared" si="0"/>
        <v>1Q25</v>
      </c>
      <c r="AB3" s="4" t="str">
        <f t="shared" si="0"/>
        <v>2Q25</v>
      </c>
      <c r="AC3" s="4" t="str">
        <f t="shared" si="0"/>
        <v>3Q25</v>
      </c>
      <c r="AD3" s="4" t="e">
        <f t="shared" si="0"/>
        <v>#REF!</v>
      </c>
      <c r="AE3" s="4" t="e">
        <f t="shared" si="0"/>
        <v>#REF!</v>
      </c>
    </row>
    <row r="4" spans="1:31" s="5" customFormat="1" ht="12.75" customHeight="1">
      <c r="B4" s="6" t="s">
        <v>95</v>
      </c>
      <c r="C4" s="3">
        <f>'Historical Financials'!C8</f>
        <v>44926</v>
      </c>
      <c r="D4" s="3">
        <f>'Historical Financials'!D8</f>
        <v>45291</v>
      </c>
      <c r="E4" s="3">
        <f>'Historical Financials'!E8</f>
        <v>45657</v>
      </c>
      <c r="F4" s="3" t="e">
        <f>'Historical Financials'!#REF!</f>
        <v>#REF!</v>
      </c>
      <c r="G4" s="3"/>
      <c r="H4" s="3">
        <f>'Historical Financials'!G8</f>
        <v>45016</v>
      </c>
      <c r="I4" s="3">
        <f>'Historical Financials'!H8</f>
        <v>45107</v>
      </c>
      <c r="J4" s="3">
        <f>'Historical Financials'!I8</f>
        <v>45199</v>
      </c>
      <c r="K4" s="3">
        <f>'Historical Financials'!J8</f>
        <v>45291</v>
      </c>
      <c r="L4" s="3">
        <f>'Historical Financials'!K8</f>
        <v>45382</v>
      </c>
      <c r="M4" s="3">
        <f>'Historical Financials'!L8</f>
        <v>45473</v>
      </c>
      <c r="N4" s="3">
        <f>'Historical Financials'!M8</f>
        <v>45565</v>
      </c>
      <c r="O4" s="3">
        <f>'Historical Financials'!N8</f>
        <v>45657</v>
      </c>
      <c r="P4" s="3">
        <f>'Historical Financials'!O8</f>
        <v>45747</v>
      </c>
      <c r="Q4" s="3">
        <f>'Historical Financials'!P8</f>
        <v>45838</v>
      </c>
      <c r="R4" s="3">
        <f>'Historical Financials'!Q8</f>
        <v>45930</v>
      </c>
      <c r="S4" s="3" t="e">
        <f>'Historical Financials'!#REF!</f>
        <v>#REF!</v>
      </c>
      <c r="T4" s="3" t="e">
        <f>'Historical Financials'!#REF!</f>
        <v>#REF!</v>
      </c>
      <c r="U4" s="3"/>
      <c r="V4" s="3">
        <f t="shared" si="0"/>
        <v>45291</v>
      </c>
      <c r="W4" s="3">
        <f t="shared" si="0"/>
        <v>45382</v>
      </c>
      <c r="X4" s="3">
        <f t="shared" si="0"/>
        <v>45473</v>
      </c>
      <c r="Y4" s="3">
        <f t="shared" si="0"/>
        <v>45565</v>
      </c>
      <c r="Z4" s="3">
        <f t="shared" si="0"/>
        <v>45657</v>
      </c>
      <c r="AA4" s="3">
        <f t="shared" si="0"/>
        <v>45747</v>
      </c>
      <c r="AB4" s="3">
        <f t="shared" si="0"/>
        <v>45838</v>
      </c>
      <c r="AC4" s="3">
        <f t="shared" si="0"/>
        <v>45930</v>
      </c>
      <c r="AD4" s="3" t="e">
        <f t="shared" si="0"/>
        <v>#REF!</v>
      </c>
      <c r="AE4" s="3" t="e">
        <f t="shared" si="0"/>
        <v>#REF!</v>
      </c>
    </row>
    <row r="5" spans="1:31" ht="5.0999999999999996" customHeight="1"/>
    <row r="6" spans="1:31">
      <c r="A6" s="33" t="s">
        <v>18</v>
      </c>
      <c r="B6" s="1" t="s">
        <v>97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</row>
    <row r="7" spans="1:31" ht="5.0999999999999996" customHeight="1"/>
    <row r="8" spans="1:31" ht="12.75" customHeight="1">
      <c r="A8" s="74" t="s">
        <v>18</v>
      </c>
      <c r="B8" s="72" t="s">
        <v>94</v>
      </c>
      <c r="C8" s="10"/>
      <c r="D8" s="10"/>
      <c r="E8" s="10"/>
      <c r="F8" s="10"/>
      <c r="G8" s="10"/>
      <c r="H8" s="81"/>
      <c r="I8" s="81"/>
      <c r="J8" s="81"/>
      <c r="K8" s="30"/>
      <c r="L8" s="81"/>
      <c r="M8" s="81"/>
      <c r="N8" s="81"/>
      <c r="O8" s="30"/>
      <c r="P8" s="81"/>
      <c r="Q8" s="81"/>
      <c r="R8" s="81"/>
      <c r="S8" s="81"/>
      <c r="T8" s="81"/>
      <c r="U8" s="5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spans="1:31" ht="12.75" customHeight="1">
      <c r="A9" s="74"/>
      <c r="B9" s="9" t="s">
        <v>110</v>
      </c>
      <c r="C9" s="75"/>
      <c r="D9" s="75"/>
      <c r="E9" s="75"/>
      <c r="F9" s="75"/>
      <c r="G9" s="10"/>
      <c r="H9" s="75"/>
      <c r="I9" s="75"/>
      <c r="J9" s="75"/>
      <c r="K9" s="30">
        <f>SUM(D9-SUM(H9:J9))</f>
        <v>0</v>
      </c>
      <c r="L9" s="75"/>
      <c r="M9" s="75"/>
      <c r="N9" s="75"/>
      <c r="O9" s="30">
        <f>SUM(E9-SUM(L9:N9))</f>
        <v>0</v>
      </c>
      <c r="P9" s="75"/>
      <c r="Q9" s="75"/>
      <c r="R9" s="75"/>
      <c r="S9" s="30">
        <f>SUM(F9-SUM(P9:R9))</f>
        <v>0</v>
      </c>
      <c r="T9" s="75"/>
      <c r="U9" s="5"/>
      <c r="V9" s="30">
        <f t="shared" ref="V9:AD9" si="1">SUM(H9:K9)</f>
        <v>0</v>
      </c>
      <c r="W9" s="30">
        <f t="shared" si="1"/>
        <v>0</v>
      </c>
      <c r="X9" s="30">
        <f t="shared" si="1"/>
        <v>0</v>
      </c>
      <c r="Y9" s="30">
        <f t="shared" si="1"/>
        <v>0</v>
      </c>
      <c r="Z9" s="30">
        <f t="shared" si="1"/>
        <v>0</v>
      </c>
      <c r="AA9" s="30">
        <f t="shared" si="1"/>
        <v>0</v>
      </c>
      <c r="AB9" s="30">
        <f t="shared" si="1"/>
        <v>0</v>
      </c>
      <c r="AC9" s="30">
        <f t="shared" si="1"/>
        <v>0</v>
      </c>
      <c r="AD9" s="30">
        <f t="shared" si="1"/>
        <v>0</v>
      </c>
      <c r="AE9" s="30">
        <f>SUM(Q9:T9)</f>
        <v>0</v>
      </c>
    </row>
    <row r="10" spans="1:31">
      <c r="B10" s="9" t="s">
        <v>110</v>
      </c>
      <c r="C10" s="75"/>
      <c r="D10" s="75"/>
      <c r="E10" s="75"/>
      <c r="F10" s="75"/>
      <c r="G10" s="75"/>
      <c r="H10" s="75"/>
      <c r="I10" s="75"/>
      <c r="J10" s="75"/>
      <c r="K10" s="30">
        <f>SUM(D10-SUM(H10:J10))</f>
        <v>0</v>
      </c>
      <c r="L10" s="75"/>
      <c r="M10" s="75"/>
      <c r="N10" s="75"/>
      <c r="O10" s="30">
        <f>SUM(E10-SUM(L10:N10))</f>
        <v>0</v>
      </c>
      <c r="P10" s="75"/>
      <c r="Q10" s="75"/>
      <c r="R10" s="75"/>
      <c r="S10" s="30">
        <f>SUM(F10-SUM(P10:R10))</f>
        <v>0</v>
      </c>
      <c r="T10" s="75"/>
      <c r="U10" s="5"/>
      <c r="V10" s="30">
        <f t="shared" ref="V10" si="2">SUM(H10:K10)</f>
        <v>0</v>
      </c>
      <c r="W10" s="30">
        <f t="shared" ref="W10" si="3">SUM(I10:L10)</f>
        <v>0</v>
      </c>
      <c r="X10" s="30">
        <f t="shared" ref="X10" si="4">SUM(J10:M10)</f>
        <v>0</v>
      </c>
      <c r="Y10" s="30">
        <f t="shared" ref="Y10" si="5">SUM(K10:N10)</f>
        <v>0</v>
      </c>
      <c r="Z10" s="30">
        <f t="shared" ref="Z10" si="6">SUM(L10:O10)</f>
        <v>0</v>
      </c>
      <c r="AA10" s="30">
        <f t="shared" ref="AA10" si="7">SUM(M10:P10)</f>
        <v>0</v>
      </c>
      <c r="AB10" s="30">
        <f t="shared" ref="AB10" si="8">SUM(N10:Q10)</f>
        <v>0</v>
      </c>
      <c r="AC10" s="30">
        <f t="shared" ref="AC10" si="9">SUM(O10:R10)</f>
        <v>0</v>
      </c>
      <c r="AD10" s="30">
        <f t="shared" ref="AD10" si="10">SUM(P10:S10)</f>
        <v>0</v>
      </c>
      <c r="AE10" s="30">
        <f>SUM(Q10:T10)</f>
        <v>0</v>
      </c>
    </row>
    <row r="11" spans="1:31">
      <c r="B11" s="12" t="s">
        <v>70</v>
      </c>
      <c r="C11" s="13">
        <f t="shared" ref="C11:F11" si="11">SUM(C9:C10)</f>
        <v>0</v>
      </c>
      <c r="D11" s="13">
        <f t="shared" si="11"/>
        <v>0</v>
      </c>
      <c r="E11" s="13">
        <f t="shared" si="11"/>
        <v>0</v>
      </c>
      <c r="F11" s="13">
        <f t="shared" si="11"/>
        <v>0</v>
      </c>
      <c r="G11" s="11"/>
      <c r="H11" s="13">
        <f t="shared" ref="H11:S11" si="12">SUM(H9:H10)</f>
        <v>0</v>
      </c>
      <c r="I11" s="13">
        <f t="shared" si="12"/>
        <v>0</v>
      </c>
      <c r="J11" s="13">
        <f t="shared" si="12"/>
        <v>0</v>
      </c>
      <c r="K11" s="13">
        <f t="shared" si="12"/>
        <v>0</v>
      </c>
      <c r="L11" s="13">
        <f t="shared" si="12"/>
        <v>0</v>
      </c>
      <c r="M11" s="13">
        <f t="shared" si="12"/>
        <v>0</v>
      </c>
      <c r="N11" s="13">
        <f t="shared" si="12"/>
        <v>0</v>
      </c>
      <c r="O11" s="13">
        <f t="shared" si="12"/>
        <v>0</v>
      </c>
      <c r="P11" s="13">
        <f t="shared" si="12"/>
        <v>0</v>
      </c>
      <c r="Q11" s="13">
        <f t="shared" si="12"/>
        <v>0</v>
      </c>
      <c r="R11" s="13">
        <f t="shared" si="12"/>
        <v>0</v>
      </c>
      <c r="S11" s="13">
        <f t="shared" si="12"/>
        <v>0</v>
      </c>
      <c r="T11" s="13">
        <f t="shared" ref="T11" si="13">SUM(T9:T10)</f>
        <v>0</v>
      </c>
      <c r="U11" s="5"/>
      <c r="V11" s="13">
        <f t="shared" ref="V11:AD11" si="14">SUM(V9:V10)</f>
        <v>0</v>
      </c>
      <c r="W11" s="13">
        <f t="shared" si="14"/>
        <v>0</v>
      </c>
      <c r="X11" s="13">
        <f t="shared" si="14"/>
        <v>0</v>
      </c>
      <c r="Y11" s="13">
        <f t="shared" si="14"/>
        <v>0</v>
      </c>
      <c r="Z11" s="13">
        <f t="shared" si="14"/>
        <v>0</v>
      </c>
      <c r="AA11" s="13">
        <f t="shared" si="14"/>
        <v>0</v>
      </c>
      <c r="AB11" s="13">
        <f t="shared" si="14"/>
        <v>0</v>
      </c>
      <c r="AC11" s="13">
        <f t="shared" si="14"/>
        <v>0</v>
      </c>
      <c r="AD11" s="13">
        <f t="shared" si="14"/>
        <v>0</v>
      </c>
      <c r="AE11" s="13">
        <f>SUM(AE9:AE10)</f>
        <v>0</v>
      </c>
    </row>
    <row r="12" spans="1:31" outlineLevel="1">
      <c r="B12" s="114" t="s">
        <v>62</v>
      </c>
      <c r="C12" s="73">
        <f>+C11-'Historical Financials'!C11</f>
        <v>-43004</v>
      </c>
      <c r="D12" s="73">
        <f>+D11-'Historical Financials'!D11</f>
        <v>-45754</v>
      </c>
      <c r="E12" s="73">
        <f>+E11-'Historical Financials'!E11</f>
        <v>-47061</v>
      </c>
      <c r="F12" s="73" t="e">
        <f>+F11-'Historical Financials'!#REF!</f>
        <v>#REF!</v>
      </c>
      <c r="G12" s="11"/>
      <c r="H12" s="73">
        <f>+H11-'Historical Financials'!G11</f>
        <v>0</v>
      </c>
      <c r="I12" s="73">
        <f>+I11-'Historical Financials'!H11</f>
        <v>0</v>
      </c>
      <c r="J12" s="73">
        <f>+J11-'Historical Financials'!I11</f>
        <v>0</v>
      </c>
      <c r="K12" s="73">
        <f>+K11-'Historical Financials'!J11</f>
        <v>-45754</v>
      </c>
      <c r="L12" s="73">
        <f>+L11-'Historical Financials'!K11</f>
        <v>0</v>
      </c>
      <c r="M12" s="73">
        <f>+M11-'Historical Financials'!L11</f>
        <v>0</v>
      </c>
      <c r="N12" s="73">
        <f>+N11-'Historical Financials'!M11</f>
        <v>0</v>
      </c>
      <c r="O12" s="73">
        <f>+O11-'Historical Financials'!N11</f>
        <v>-47061</v>
      </c>
      <c r="P12" s="73">
        <f>+P11-'Historical Financials'!O11</f>
        <v>0</v>
      </c>
      <c r="Q12" s="73">
        <f>+Q11-'Historical Financials'!P11</f>
        <v>0</v>
      </c>
      <c r="R12" s="73">
        <f>+R11-'Historical Financials'!Q11</f>
        <v>0</v>
      </c>
      <c r="S12" s="73" t="e">
        <f>+S11-'Historical Financials'!#REF!</f>
        <v>#REF!</v>
      </c>
      <c r="T12" s="73" t="e">
        <f>+T11-'Historical Financials'!#REF!</f>
        <v>#REF!</v>
      </c>
      <c r="U12" s="73"/>
      <c r="V12" s="73" t="e">
        <f>+V11-'Historical Financials'!#REF!</f>
        <v>#REF!</v>
      </c>
      <c r="W12" s="73" t="e">
        <f>+W11-'Historical Financials'!#REF!</f>
        <v>#REF!</v>
      </c>
      <c r="X12" s="73">
        <f>+X11-'Historical Financials'!S11</f>
        <v>-45754</v>
      </c>
      <c r="Y12" s="73">
        <f>+Y11-'Historical Financials'!T11</f>
        <v>-45754</v>
      </c>
      <c r="Z12" s="73">
        <f>+Z11-'Historical Financials'!U11</f>
        <v>-45754</v>
      </c>
      <c r="AA12" s="73">
        <f>+AA11-'Historical Financials'!V11</f>
        <v>-45754</v>
      </c>
      <c r="AB12" s="73">
        <f>+AB11-'Historical Financials'!W11</f>
        <v>-47061</v>
      </c>
      <c r="AC12" s="73">
        <f>+AC11-'Historical Financials'!X11</f>
        <v>-47061</v>
      </c>
      <c r="AD12" s="73">
        <f>+AD11-'Historical Financials'!Y11</f>
        <v>-47061</v>
      </c>
      <c r="AE12" s="73">
        <f>+AE11-'Historical Financials'!Z11</f>
        <v>-47061</v>
      </c>
    </row>
    <row r="13" spans="1:31">
      <c r="B13" s="16"/>
      <c r="C13" s="17"/>
      <c r="D13" s="17"/>
      <c r="E13" s="17"/>
      <c r="F13" s="17"/>
      <c r="G13" s="18"/>
      <c r="H13" s="19"/>
      <c r="I13" s="19"/>
      <c r="J13" s="19"/>
      <c r="K13" s="20"/>
      <c r="L13" s="19"/>
      <c r="M13" s="19"/>
      <c r="N13" s="19"/>
      <c r="O13" s="19"/>
      <c r="P13" s="19"/>
      <c r="Q13" s="19"/>
      <c r="R13" s="19"/>
      <c r="S13" s="19"/>
      <c r="T13" s="19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</row>
    <row r="14" spans="1:31">
      <c r="B14" s="115" t="str">
        <f>B9&amp;"(%)"</f>
        <v>XXX(%)</v>
      </c>
      <c r="C14" s="127" t="e">
        <f t="shared" ref="C14:E14" si="15">SUM(C9/C$11)</f>
        <v>#DIV/0!</v>
      </c>
      <c r="D14" s="127" t="e">
        <f t="shared" si="15"/>
        <v>#DIV/0!</v>
      </c>
      <c r="E14" s="127" t="e">
        <f t="shared" si="15"/>
        <v>#DIV/0!</v>
      </c>
      <c r="F14" s="127" t="e">
        <f t="shared" ref="F14" si="16">SUM(F9/F$11)</f>
        <v>#DIV/0!</v>
      </c>
      <c r="G14" s="116"/>
      <c r="H14" s="127" t="e">
        <f t="shared" ref="H14:Q14" si="17">SUM(H9/H$11)</f>
        <v>#DIV/0!</v>
      </c>
      <c r="I14" s="127" t="e">
        <f t="shared" si="17"/>
        <v>#DIV/0!</v>
      </c>
      <c r="J14" s="127" t="e">
        <f t="shared" si="17"/>
        <v>#DIV/0!</v>
      </c>
      <c r="K14" s="127" t="e">
        <f t="shared" si="17"/>
        <v>#DIV/0!</v>
      </c>
      <c r="L14" s="127" t="e">
        <f t="shared" si="17"/>
        <v>#DIV/0!</v>
      </c>
      <c r="M14" s="127" t="e">
        <f t="shared" si="17"/>
        <v>#DIV/0!</v>
      </c>
      <c r="N14" s="127" t="e">
        <f t="shared" si="17"/>
        <v>#DIV/0!</v>
      </c>
      <c r="O14" s="127" t="e">
        <f t="shared" si="17"/>
        <v>#DIV/0!</v>
      </c>
      <c r="P14" s="127" t="e">
        <f t="shared" si="17"/>
        <v>#DIV/0!</v>
      </c>
      <c r="Q14" s="127" t="e">
        <f t="shared" si="17"/>
        <v>#DIV/0!</v>
      </c>
      <c r="R14" s="127" t="e">
        <f t="shared" ref="R14:S14" si="18">SUM(R9/R$11)</f>
        <v>#DIV/0!</v>
      </c>
      <c r="S14" s="127" t="e">
        <f t="shared" si="18"/>
        <v>#DIV/0!</v>
      </c>
      <c r="T14" s="127" t="e">
        <f t="shared" ref="T14" si="19">SUM(T9/T$11)</f>
        <v>#DIV/0!</v>
      </c>
      <c r="U14" s="116"/>
      <c r="V14" s="117" t="e">
        <f t="shared" ref="V14:AE15" si="20">I14</f>
        <v>#DIV/0!</v>
      </c>
      <c r="W14" s="117" t="e">
        <f t="shared" si="20"/>
        <v>#DIV/0!</v>
      </c>
      <c r="X14" s="117" t="e">
        <f t="shared" si="20"/>
        <v>#DIV/0!</v>
      </c>
      <c r="Y14" s="117" t="e">
        <f t="shared" si="20"/>
        <v>#DIV/0!</v>
      </c>
      <c r="Z14" s="117" t="e">
        <f t="shared" si="20"/>
        <v>#DIV/0!</v>
      </c>
      <c r="AA14" s="117" t="e">
        <f t="shared" si="20"/>
        <v>#DIV/0!</v>
      </c>
      <c r="AB14" s="117" t="e">
        <f t="shared" si="20"/>
        <v>#DIV/0!</v>
      </c>
      <c r="AC14" s="117" t="e">
        <f t="shared" si="20"/>
        <v>#DIV/0!</v>
      </c>
      <c r="AD14" s="117" t="e">
        <f t="shared" si="20"/>
        <v>#DIV/0!</v>
      </c>
      <c r="AE14" s="118" t="e">
        <f t="shared" si="20"/>
        <v>#DIV/0!</v>
      </c>
    </row>
    <row r="15" spans="1:31" ht="12.75" customHeight="1">
      <c r="B15" s="123" t="str">
        <f>B10&amp;"(%)"</f>
        <v>XXX(%)</v>
      </c>
      <c r="C15" s="128" t="e">
        <f t="shared" ref="C15:E15" si="21">SUM(C10/C$11)</f>
        <v>#DIV/0!</v>
      </c>
      <c r="D15" s="128" t="e">
        <f t="shared" si="21"/>
        <v>#DIV/0!</v>
      </c>
      <c r="E15" s="128" t="e">
        <f t="shared" si="21"/>
        <v>#DIV/0!</v>
      </c>
      <c r="F15" s="128" t="e">
        <f t="shared" ref="F15" si="22">SUM(F10/F$11)</f>
        <v>#DIV/0!</v>
      </c>
      <c r="G15" s="124"/>
      <c r="H15" s="128" t="e">
        <f t="shared" ref="H15:Q15" si="23">SUM(H10/H$11)</f>
        <v>#DIV/0!</v>
      </c>
      <c r="I15" s="128" t="e">
        <f t="shared" si="23"/>
        <v>#DIV/0!</v>
      </c>
      <c r="J15" s="128" t="e">
        <f t="shared" si="23"/>
        <v>#DIV/0!</v>
      </c>
      <c r="K15" s="128" t="e">
        <f t="shared" si="23"/>
        <v>#DIV/0!</v>
      </c>
      <c r="L15" s="128" t="e">
        <f t="shared" si="23"/>
        <v>#DIV/0!</v>
      </c>
      <c r="M15" s="128" t="e">
        <f t="shared" si="23"/>
        <v>#DIV/0!</v>
      </c>
      <c r="N15" s="128" t="e">
        <f t="shared" si="23"/>
        <v>#DIV/0!</v>
      </c>
      <c r="O15" s="128" t="e">
        <f t="shared" si="23"/>
        <v>#DIV/0!</v>
      </c>
      <c r="P15" s="128" t="e">
        <f t="shared" si="23"/>
        <v>#DIV/0!</v>
      </c>
      <c r="Q15" s="128" t="e">
        <f t="shared" si="23"/>
        <v>#DIV/0!</v>
      </c>
      <c r="R15" s="128" t="e">
        <f t="shared" ref="R15:S15" si="24">SUM(R10/R$11)</f>
        <v>#DIV/0!</v>
      </c>
      <c r="S15" s="128" t="e">
        <f t="shared" si="24"/>
        <v>#DIV/0!</v>
      </c>
      <c r="T15" s="128" t="e">
        <f t="shared" ref="T15" si="25">SUM(T10/T$11)</f>
        <v>#DIV/0!</v>
      </c>
      <c r="U15" s="124"/>
      <c r="V15" s="125" t="e">
        <f t="shared" si="20"/>
        <v>#DIV/0!</v>
      </c>
      <c r="W15" s="125" t="e">
        <f t="shared" si="20"/>
        <v>#DIV/0!</v>
      </c>
      <c r="X15" s="125" t="e">
        <f t="shared" si="20"/>
        <v>#DIV/0!</v>
      </c>
      <c r="Y15" s="125" t="e">
        <f t="shared" si="20"/>
        <v>#DIV/0!</v>
      </c>
      <c r="Z15" s="125" t="e">
        <f t="shared" si="20"/>
        <v>#DIV/0!</v>
      </c>
      <c r="AA15" s="125" t="e">
        <f t="shared" si="20"/>
        <v>#DIV/0!</v>
      </c>
      <c r="AB15" s="125" t="e">
        <f t="shared" si="20"/>
        <v>#DIV/0!</v>
      </c>
      <c r="AC15" s="125" t="e">
        <f t="shared" si="20"/>
        <v>#DIV/0!</v>
      </c>
      <c r="AD15" s="125" t="e">
        <f t="shared" si="20"/>
        <v>#DIV/0!</v>
      </c>
      <c r="AE15" s="126" t="e">
        <f t="shared" si="20"/>
        <v>#DIV/0!</v>
      </c>
    </row>
    <row r="16" spans="1:31">
      <c r="B16" s="16"/>
      <c r="C16" s="17"/>
      <c r="D16" s="17"/>
      <c r="E16" s="17"/>
      <c r="F16" s="17"/>
      <c r="G16" s="18"/>
      <c r="H16" s="19"/>
      <c r="I16" s="19"/>
      <c r="J16" s="19"/>
      <c r="K16" s="20"/>
      <c r="L16" s="19"/>
      <c r="M16" s="19"/>
      <c r="N16" s="19"/>
      <c r="O16" s="19"/>
      <c r="P16" s="19"/>
      <c r="Q16" s="19"/>
      <c r="R16" s="19"/>
      <c r="S16" s="19"/>
      <c r="T16" s="19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</row>
    <row r="17" spans="1:31">
      <c r="A17" s="33" t="s">
        <v>18</v>
      </c>
      <c r="B17" s="1" t="s">
        <v>98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</row>
    <row r="19" spans="1:31" ht="12.75" customHeight="1">
      <c r="A19" s="74" t="s">
        <v>18</v>
      </c>
      <c r="B19" s="72" t="s">
        <v>112</v>
      </c>
      <c r="C19" s="10"/>
      <c r="D19" s="10"/>
      <c r="E19" s="10"/>
      <c r="F19" s="10"/>
      <c r="G19" s="10"/>
      <c r="H19" s="81"/>
      <c r="I19" s="81"/>
      <c r="J19" s="81"/>
      <c r="K19" s="30"/>
      <c r="L19" s="81"/>
      <c r="M19" s="81"/>
      <c r="N19" s="81"/>
      <c r="O19" s="30"/>
      <c r="P19" s="81"/>
      <c r="Q19" s="81"/>
      <c r="R19" s="81"/>
      <c r="S19" s="81"/>
      <c r="T19" s="81"/>
      <c r="U19" s="5"/>
      <c r="V19" s="11"/>
      <c r="W19" s="11"/>
      <c r="X19" s="11"/>
      <c r="Y19" s="11"/>
      <c r="Z19" s="11"/>
      <c r="AA19" s="11"/>
      <c r="AB19" s="11"/>
      <c r="AC19" s="11"/>
      <c r="AD19" s="11"/>
      <c r="AE19" s="11"/>
    </row>
    <row r="20" spans="1:31" ht="12.75" customHeight="1">
      <c r="A20" s="74"/>
      <c r="B20" s="9" t="s">
        <v>110</v>
      </c>
      <c r="C20" s="75"/>
      <c r="D20" s="75"/>
      <c r="E20" s="75"/>
      <c r="F20" s="75"/>
      <c r="G20" s="10"/>
      <c r="H20" s="75"/>
      <c r="I20" s="75"/>
      <c r="J20" s="75"/>
      <c r="K20" s="30">
        <f t="shared" ref="K20:K25" si="26">SUM(D20-SUM(H20:J20))</f>
        <v>0</v>
      </c>
      <c r="L20" s="75"/>
      <c r="M20" s="75"/>
      <c r="N20" s="75"/>
      <c r="O20" s="30">
        <f t="shared" ref="O20:O25" si="27">SUM(E20-SUM(L20:N20))</f>
        <v>0</v>
      </c>
      <c r="P20" s="75"/>
      <c r="Q20" s="75"/>
      <c r="R20" s="75"/>
      <c r="S20" s="30">
        <f t="shared" ref="S20:S25" si="28">SUM(F20-SUM(P20:R20))</f>
        <v>0</v>
      </c>
      <c r="T20" s="75"/>
      <c r="U20" s="5"/>
      <c r="V20" s="30">
        <f t="shared" ref="V20:V23" si="29">SUM(H20:K20)</f>
        <v>0</v>
      </c>
      <c r="W20" s="30">
        <f t="shared" ref="W20:W23" si="30">SUM(I20:L20)</f>
        <v>0</v>
      </c>
      <c r="X20" s="30">
        <f t="shared" ref="X20:X23" si="31">SUM(J20:M20)</f>
        <v>0</v>
      </c>
      <c r="Y20" s="30">
        <f t="shared" ref="Y20:Y23" si="32">SUM(K20:N20)</f>
        <v>0</v>
      </c>
      <c r="Z20" s="30">
        <f t="shared" ref="Z20:Z23" si="33">SUM(L20:O20)</f>
        <v>0</v>
      </c>
      <c r="AA20" s="30">
        <f t="shared" ref="AA20:AA23" si="34">SUM(M20:P20)</f>
        <v>0</v>
      </c>
      <c r="AB20" s="30">
        <f t="shared" ref="AB20:AB23" si="35">SUM(N20:Q20)</f>
        <v>0</v>
      </c>
      <c r="AC20" s="30">
        <f t="shared" ref="AC20:AC23" si="36">SUM(O20:R20)</f>
        <v>0</v>
      </c>
      <c r="AD20" s="30">
        <f t="shared" ref="AD20:AD23" si="37">SUM(P20:S20)</f>
        <v>0</v>
      </c>
      <c r="AE20" s="30">
        <f t="shared" ref="AE20:AE23" si="38">SUM(Q20:T20)</f>
        <v>0</v>
      </c>
    </row>
    <row r="21" spans="1:31" ht="12.75" customHeight="1">
      <c r="A21" s="74"/>
      <c r="B21" s="9" t="s">
        <v>110</v>
      </c>
      <c r="C21" s="75"/>
      <c r="D21" s="75"/>
      <c r="E21" s="75"/>
      <c r="F21" s="75"/>
      <c r="G21" s="10"/>
      <c r="H21" s="75"/>
      <c r="I21" s="75"/>
      <c r="J21" s="75"/>
      <c r="K21" s="30">
        <f t="shared" si="26"/>
        <v>0</v>
      </c>
      <c r="L21" s="75"/>
      <c r="M21" s="75"/>
      <c r="N21" s="75"/>
      <c r="O21" s="30">
        <f t="shared" si="27"/>
        <v>0</v>
      </c>
      <c r="P21" s="75"/>
      <c r="Q21" s="75"/>
      <c r="R21" s="75"/>
      <c r="S21" s="30">
        <f t="shared" si="28"/>
        <v>0</v>
      </c>
      <c r="T21" s="75"/>
      <c r="U21" s="5"/>
      <c r="V21" s="30">
        <f t="shared" si="29"/>
        <v>0</v>
      </c>
      <c r="W21" s="30">
        <f t="shared" si="30"/>
        <v>0</v>
      </c>
      <c r="X21" s="30">
        <f t="shared" si="31"/>
        <v>0</v>
      </c>
      <c r="Y21" s="30">
        <f t="shared" si="32"/>
        <v>0</v>
      </c>
      <c r="Z21" s="30">
        <f t="shared" si="33"/>
        <v>0</v>
      </c>
      <c r="AA21" s="30">
        <f t="shared" si="34"/>
        <v>0</v>
      </c>
      <c r="AB21" s="30">
        <f t="shared" si="35"/>
        <v>0</v>
      </c>
      <c r="AC21" s="30">
        <f t="shared" si="36"/>
        <v>0</v>
      </c>
      <c r="AD21" s="30">
        <f t="shared" si="37"/>
        <v>0</v>
      </c>
      <c r="AE21" s="30">
        <f t="shared" si="38"/>
        <v>0</v>
      </c>
    </row>
    <row r="22" spans="1:31" ht="12.75" customHeight="1">
      <c r="A22" s="74"/>
      <c r="B22" s="9" t="s">
        <v>110</v>
      </c>
      <c r="C22" s="75"/>
      <c r="D22" s="75"/>
      <c r="E22" s="75"/>
      <c r="F22" s="75"/>
      <c r="G22" s="10"/>
      <c r="H22" s="75"/>
      <c r="I22" s="75"/>
      <c r="J22" s="75"/>
      <c r="K22" s="30">
        <f t="shared" si="26"/>
        <v>0</v>
      </c>
      <c r="L22" s="75"/>
      <c r="M22" s="75"/>
      <c r="N22" s="75"/>
      <c r="O22" s="30">
        <f t="shared" si="27"/>
        <v>0</v>
      </c>
      <c r="P22" s="75"/>
      <c r="Q22" s="75"/>
      <c r="R22" s="75"/>
      <c r="S22" s="30">
        <f t="shared" si="28"/>
        <v>0</v>
      </c>
      <c r="T22" s="75"/>
      <c r="U22" s="5"/>
      <c r="V22" s="30">
        <f t="shared" si="29"/>
        <v>0</v>
      </c>
      <c r="W22" s="30">
        <f t="shared" si="30"/>
        <v>0</v>
      </c>
      <c r="X22" s="30">
        <f t="shared" si="31"/>
        <v>0</v>
      </c>
      <c r="Y22" s="30">
        <f t="shared" si="32"/>
        <v>0</v>
      </c>
      <c r="Z22" s="30">
        <f t="shared" si="33"/>
        <v>0</v>
      </c>
      <c r="AA22" s="30">
        <f t="shared" si="34"/>
        <v>0</v>
      </c>
      <c r="AB22" s="30">
        <f t="shared" si="35"/>
        <v>0</v>
      </c>
      <c r="AC22" s="30">
        <f t="shared" si="36"/>
        <v>0</v>
      </c>
      <c r="AD22" s="30">
        <f t="shared" si="37"/>
        <v>0</v>
      </c>
      <c r="AE22" s="30">
        <f t="shared" si="38"/>
        <v>0</v>
      </c>
    </row>
    <row r="23" spans="1:31">
      <c r="A23" s="74"/>
      <c r="B23" s="9" t="s">
        <v>110</v>
      </c>
      <c r="C23" s="75"/>
      <c r="D23" s="75"/>
      <c r="E23" s="75"/>
      <c r="F23" s="75"/>
      <c r="G23" s="10"/>
      <c r="H23" s="75"/>
      <c r="I23" s="75"/>
      <c r="J23" s="75"/>
      <c r="K23" s="30">
        <f t="shared" si="26"/>
        <v>0</v>
      </c>
      <c r="L23" s="75"/>
      <c r="M23" s="75"/>
      <c r="N23" s="75"/>
      <c r="O23" s="30">
        <f t="shared" si="27"/>
        <v>0</v>
      </c>
      <c r="P23" s="75"/>
      <c r="Q23" s="75"/>
      <c r="R23" s="75"/>
      <c r="S23" s="30">
        <f t="shared" si="28"/>
        <v>0</v>
      </c>
      <c r="T23" s="75"/>
      <c r="U23" s="5"/>
      <c r="V23" s="30">
        <f t="shared" si="29"/>
        <v>0</v>
      </c>
      <c r="W23" s="30">
        <f t="shared" si="30"/>
        <v>0</v>
      </c>
      <c r="X23" s="30">
        <f t="shared" si="31"/>
        <v>0</v>
      </c>
      <c r="Y23" s="30">
        <f t="shared" si="32"/>
        <v>0</v>
      </c>
      <c r="Z23" s="30">
        <f t="shared" si="33"/>
        <v>0</v>
      </c>
      <c r="AA23" s="30">
        <f t="shared" si="34"/>
        <v>0</v>
      </c>
      <c r="AB23" s="30">
        <f t="shared" si="35"/>
        <v>0</v>
      </c>
      <c r="AC23" s="30">
        <f t="shared" si="36"/>
        <v>0</v>
      </c>
      <c r="AD23" s="30">
        <f t="shared" si="37"/>
        <v>0</v>
      </c>
      <c r="AE23" s="30">
        <f t="shared" si="38"/>
        <v>0</v>
      </c>
    </row>
    <row r="24" spans="1:31">
      <c r="A24" s="74"/>
      <c r="B24" s="9" t="s">
        <v>110</v>
      </c>
      <c r="C24" s="75"/>
      <c r="D24" s="75"/>
      <c r="E24" s="75"/>
      <c r="F24" s="75"/>
      <c r="G24" s="10"/>
      <c r="H24" s="75"/>
      <c r="I24" s="75"/>
      <c r="J24" s="75"/>
      <c r="K24" s="30">
        <f t="shared" si="26"/>
        <v>0</v>
      </c>
      <c r="L24" s="75"/>
      <c r="M24" s="75"/>
      <c r="N24" s="75"/>
      <c r="O24" s="30">
        <f t="shared" si="27"/>
        <v>0</v>
      </c>
      <c r="P24" s="75"/>
      <c r="Q24" s="75"/>
      <c r="R24" s="75"/>
      <c r="S24" s="30">
        <f t="shared" si="28"/>
        <v>0</v>
      </c>
      <c r="T24" s="75"/>
      <c r="U24" s="5"/>
      <c r="V24" s="30">
        <f t="shared" ref="V24:V25" si="39">SUM(H24:K24)</f>
        <v>0</v>
      </c>
      <c r="W24" s="30">
        <f t="shared" ref="W24:W25" si="40">SUM(I24:L24)</f>
        <v>0</v>
      </c>
      <c r="X24" s="30">
        <f t="shared" ref="X24:X25" si="41">SUM(J24:M24)</f>
        <v>0</v>
      </c>
      <c r="Y24" s="30">
        <f t="shared" ref="Y24:Y25" si="42">SUM(K24:N24)</f>
        <v>0</v>
      </c>
      <c r="Z24" s="30">
        <f t="shared" ref="Z24:Z25" si="43">SUM(L24:O24)</f>
        <v>0</v>
      </c>
      <c r="AA24" s="30">
        <f t="shared" ref="AA24:AA25" si="44">SUM(M24:P24)</f>
        <v>0</v>
      </c>
      <c r="AB24" s="30">
        <f t="shared" ref="AB24:AB25" si="45">SUM(N24:Q24)</f>
        <v>0</v>
      </c>
      <c r="AC24" s="30">
        <f t="shared" ref="AC24:AC25" si="46">SUM(O24:R24)</f>
        <v>0</v>
      </c>
      <c r="AD24" s="30">
        <f t="shared" ref="AD24:AD25" si="47">SUM(P24:S24)</f>
        <v>0</v>
      </c>
      <c r="AE24" s="30">
        <f t="shared" ref="AE24:AE25" si="48">SUM(Q24:T24)</f>
        <v>0</v>
      </c>
    </row>
    <row r="25" spans="1:31">
      <c r="A25" s="74"/>
      <c r="B25" s="9" t="s">
        <v>110</v>
      </c>
      <c r="C25" s="75"/>
      <c r="D25" s="75"/>
      <c r="E25" s="75"/>
      <c r="F25" s="75"/>
      <c r="G25" s="10"/>
      <c r="H25" s="75"/>
      <c r="I25" s="75"/>
      <c r="J25" s="75"/>
      <c r="K25" s="30">
        <f t="shared" si="26"/>
        <v>0</v>
      </c>
      <c r="L25" s="75"/>
      <c r="M25" s="75"/>
      <c r="N25" s="75"/>
      <c r="O25" s="30">
        <f t="shared" si="27"/>
        <v>0</v>
      </c>
      <c r="P25" s="75"/>
      <c r="Q25" s="75"/>
      <c r="R25" s="75"/>
      <c r="S25" s="30">
        <f t="shared" si="28"/>
        <v>0</v>
      </c>
      <c r="T25" s="75"/>
      <c r="U25" s="5"/>
      <c r="V25" s="30">
        <f t="shared" si="39"/>
        <v>0</v>
      </c>
      <c r="W25" s="30">
        <f t="shared" si="40"/>
        <v>0</v>
      </c>
      <c r="X25" s="30">
        <f t="shared" si="41"/>
        <v>0</v>
      </c>
      <c r="Y25" s="30">
        <f t="shared" si="42"/>
        <v>0</v>
      </c>
      <c r="Z25" s="30">
        <f t="shared" si="43"/>
        <v>0</v>
      </c>
      <c r="AA25" s="30">
        <f t="shared" si="44"/>
        <v>0</v>
      </c>
      <c r="AB25" s="30">
        <f t="shared" si="45"/>
        <v>0</v>
      </c>
      <c r="AC25" s="30">
        <f t="shared" si="46"/>
        <v>0</v>
      </c>
      <c r="AD25" s="30">
        <f t="shared" si="47"/>
        <v>0</v>
      </c>
      <c r="AE25" s="30">
        <f t="shared" si="48"/>
        <v>0</v>
      </c>
    </row>
    <row r="26" spans="1:31">
      <c r="B26" s="12" t="s">
        <v>12</v>
      </c>
      <c r="C26" s="13">
        <f t="shared" ref="C26:F26" si="49">SUM(C20:C25)</f>
        <v>0</v>
      </c>
      <c r="D26" s="13">
        <f t="shared" si="49"/>
        <v>0</v>
      </c>
      <c r="E26" s="13">
        <f t="shared" si="49"/>
        <v>0</v>
      </c>
      <c r="F26" s="13">
        <f t="shared" si="49"/>
        <v>0</v>
      </c>
      <c r="G26" s="11"/>
      <c r="H26" s="13">
        <f t="shared" ref="H26:T26" si="50">SUM(H20:H25)</f>
        <v>0</v>
      </c>
      <c r="I26" s="13">
        <f t="shared" si="50"/>
        <v>0</v>
      </c>
      <c r="J26" s="13">
        <f t="shared" si="50"/>
        <v>0</v>
      </c>
      <c r="K26" s="13">
        <f t="shared" si="50"/>
        <v>0</v>
      </c>
      <c r="L26" s="13">
        <f t="shared" si="50"/>
        <v>0</v>
      </c>
      <c r="M26" s="13">
        <f t="shared" si="50"/>
        <v>0</v>
      </c>
      <c r="N26" s="13">
        <f t="shared" si="50"/>
        <v>0</v>
      </c>
      <c r="O26" s="13">
        <f t="shared" si="50"/>
        <v>0</v>
      </c>
      <c r="P26" s="13">
        <f t="shared" si="50"/>
        <v>0</v>
      </c>
      <c r="Q26" s="13">
        <f t="shared" si="50"/>
        <v>0</v>
      </c>
      <c r="R26" s="13">
        <f t="shared" si="50"/>
        <v>0</v>
      </c>
      <c r="S26" s="13">
        <f t="shared" si="50"/>
        <v>0</v>
      </c>
      <c r="T26" s="13">
        <f t="shared" si="50"/>
        <v>0</v>
      </c>
      <c r="U26" s="5"/>
      <c r="V26" s="13">
        <f t="shared" ref="V26:AE26" si="51">SUM(V20:V25)</f>
        <v>0</v>
      </c>
      <c r="W26" s="13">
        <f t="shared" si="51"/>
        <v>0</v>
      </c>
      <c r="X26" s="13">
        <f t="shared" si="51"/>
        <v>0</v>
      </c>
      <c r="Y26" s="13">
        <f t="shared" si="51"/>
        <v>0</v>
      </c>
      <c r="Z26" s="13">
        <f t="shared" si="51"/>
        <v>0</v>
      </c>
      <c r="AA26" s="13">
        <f t="shared" si="51"/>
        <v>0</v>
      </c>
      <c r="AB26" s="13">
        <f t="shared" si="51"/>
        <v>0</v>
      </c>
      <c r="AC26" s="13">
        <f t="shared" si="51"/>
        <v>0</v>
      </c>
      <c r="AD26" s="13">
        <f t="shared" si="51"/>
        <v>0</v>
      </c>
      <c r="AE26" s="13">
        <f t="shared" si="51"/>
        <v>0</v>
      </c>
    </row>
    <row r="27" spans="1:31" outlineLevel="1">
      <c r="B27" s="114" t="s">
        <v>62</v>
      </c>
      <c r="C27" s="73">
        <f t="shared" ref="C27:F27" si="52">+C26-C11</f>
        <v>0</v>
      </c>
      <c r="D27" s="73">
        <f t="shared" si="52"/>
        <v>0</v>
      </c>
      <c r="E27" s="73">
        <f t="shared" si="52"/>
        <v>0</v>
      </c>
      <c r="F27" s="73">
        <f t="shared" si="52"/>
        <v>0</v>
      </c>
      <c r="G27" s="11"/>
      <c r="H27" s="73">
        <f t="shared" ref="H27" si="53">+H26-H11</f>
        <v>0</v>
      </c>
      <c r="I27" s="73">
        <f t="shared" ref="I27" si="54">+I26-I11</f>
        <v>0</v>
      </c>
      <c r="J27" s="73">
        <f t="shared" ref="J27" si="55">+J26-J11</f>
        <v>0</v>
      </c>
      <c r="K27" s="73">
        <f t="shared" ref="K27" si="56">+K26-K11</f>
        <v>0</v>
      </c>
      <c r="L27" s="73">
        <f t="shared" ref="L27" si="57">+L26-L11</f>
        <v>0</v>
      </c>
      <c r="M27" s="73">
        <f t="shared" ref="M27" si="58">+M26-M11</f>
        <v>0</v>
      </c>
      <c r="N27" s="73">
        <f t="shared" ref="N27" si="59">+N26-N11</f>
        <v>0</v>
      </c>
      <c r="O27" s="73">
        <f t="shared" ref="O27" si="60">+O26-O11</f>
        <v>0</v>
      </c>
      <c r="P27" s="73">
        <f t="shared" ref="P27" si="61">+P26-P11</f>
        <v>0</v>
      </c>
      <c r="Q27" s="73">
        <f t="shared" ref="Q27" si="62">+Q26-Q11</f>
        <v>0</v>
      </c>
      <c r="R27" s="73">
        <f t="shared" ref="R27" si="63">+R26-R11</f>
        <v>0</v>
      </c>
      <c r="S27" s="73">
        <f t="shared" ref="S27" si="64">+S26-S11</f>
        <v>0</v>
      </c>
      <c r="T27" s="73">
        <f t="shared" ref="T27" si="65">+T26-T11</f>
        <v>0</v>
      </c>
      <c r="U27" s="5"/>
      <c r="V27" s="73">
        <f t="shared" ref="V27" si="66">+V26-V11</f>
        <v>0</v>
      </c>
      <c r="W27" s="73">
        <f t="shared" ref="W27" si="67">+W26-W11</f>
        <v>0</v>
      </c>
      <c r="X27" s="73">
        <f t="shared" ref="X27" si="68">+X26-X11</f>
        <v>0</v>
      </c>
      <c r="Y27" s="73">
        <f t="shared" ref="Y27" si="69">+Y26-Y11</f>
        <v>0</v>
      </c>
      <c r="Z27" s="73">
        <f t="shared" ref="Z27" si="70">+Z26-Z11</f>
        <v>0</v>
      </c>
      <c r="AA27" s="73">
        <f t="shared" ref="AA27" si="71">+AA26-AA11</f>
        <v>0</v>
      </c>
      <c r="AB27" s="73">
        <f t="shared" ref="AB27" si="72">+AB26-AB11</f>
        <v>0</v>
      </c>
      <c r="AC27" s="73">
        <f t="shared" ref="AC27" si="73">+AC26-AC11</f>
        <v>0</v>
      </c>
      <c r="AD27" s="73">
        <f t="shared" ref="AD27" si="74">+AD26-AD11</f>
        <v>0</v>
      </c>
      <c r="AE27" s="73">
        <f t="shared" ref="AE27" si="75">+AE26-AE11</f>
        <v>0</v>
      </c>
    </row>
    <row r="28" spans="1:31">
      <c r="B28" s="16"/>
      <c r="C28" s="17"/>
      <c r="D28" s="17"/>
      <c r="E28" s="17"/>
      <c r="F28" s="17"/>
      <c r="G28" s="18"/>
      <c r="H28" s="19"/>
      <c r="I28" s="19"/>
      <c r="J28" s="19"/>
      <c r="K28" s="20"/>
      <c r="L28" s="19"/>
      <c r="M28" s="19"/>
      <c r="N28" s="19"/>
      <c r="O28" s="19"/>
      <c r="P28" s="19"/>
      <c r="Q28" s="19"/>
      <c r="R28" s="19"/>
      <c r="S28" s="19"/>
      <c r="T28" s="19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</row>
    <row r="29" spans="1:31">
      <c r="B29" s="115" t="str">
        <f>B20&amp;"(%)"</f>
        <v>XXX(%)</v>
      </c>
      <c r="C29" s="127" t="e">
        <f t="shared" ref="C29:F29" si="76">C20/C$26</f>
        <v>#DIV/0!</v>
      </c>
      <c r="D29" s="127" t="e">
        <f t="shared" si="76"/>
        <v>#DIV/0!</v>
      </c>
      <c r="E29" s="127" t="e">
        <f t="shared" si="76"/>
        <v>#DIV/0!</v>
      </c>
      <c r="F29" s="127" t="e">
        <f t="shared" si="76"/>
        <v>#DIV/0!</v>
      </c>
      <c r="G29" s="116"/>
      <c r="H29" s="127" t="e">
        <f t="shared" ref="H29:T29" si="77">H20/H$26</f>
        <v>#DIV/0!</v>
      </c>
      <c r="I29" s="127" t="e">
        <f t="shared" si="77"/>
        <v>#DIV/0!</v>
      </c>
      <c r="J29" s="127" t="e">
        <f t="shared" si="77"/>
        <v>#DIV/0!</v>
      </c>
      <c r="K29" s="127" t="e">
        <f t="shared" si="77"/>
        <v>#DIV/0!</v>
      </c>
      <c r="L29" s="127" t="e">
        <f t="shared" si="77"/>
        <v>#DIV/0!</v>
      </c>
      <c r="M29" s="127" t="e">
        <f t="shared" si="77"/>
        <v>#DIV/0!</v>
      </c>
      <c r="N29" s="127" t="e">
        <f t="shared" si="77"/>
        <v>#DIV/0!</v>
      </c>
      <c r="O29" s="127" t="e">
        <f t="shared" si="77"/>
        <v>#DIV/0!</v>
      </c>
      <c r="P29" s="127" t="e">
        <f t="shared" si="77"/>
        <v>#DIV/0!</v>
      </c>
      <c r="Q29" s="127" t="e">
        <f t="shared" si="77"/>
        <v>#DIV/0!</v>
      </c>
      <c r="R29" s="127" t="e">
        <f t="shared" si="77"/>
        <v>#DIV/0!</v>
      </c>
      <c r="S29" s="127" t="e">
        <f t="shared" si="77"/>
        <v>#DIV/0!</v>
      </c>
      <c r="T29" s="127" t="e">
        <f t="shared" si="77"/>
        <v>#DIV/0!</v>
      </c>
      <c r="U29" s="116"/>
      <c r="V29" s="117" t="e">
        <f t="shared" ref="V29:AE29" si="78">V20/V$26</f>
        <v>#DIV/0!</v>
      </c>
      <c r="W29" s="117" t="e">
        <f t="shared" si="78"/>
        <v>#DIV/0!</v>
      </c>
      <c r="X29" s="117" t="e">
        <f t="shared" si="78"/>
        <v>#DIV/0!</v>
      </c>
      <c r="Y29" s="117" t="e">
        <f t="shared" si="78"/>
        <v>#DIV/0!</v>
      </c>
      <c r="Z29" s="117" t="e">
        <f t="shared" si="78"/>
        <v>#DIV/0!</v>
      </c>
      <c r="AA29" s="117" t="e">
        <f t="shared" si="78"/>
        <v>#DIV/0!</v>
      </c>
      <c r="AB29" s="117" t="e">
        <f t="shared" si="78"/>
        <v>#DIV/0!</v>
      </c>
      <c r="AC29" s="117" t="e">
        <f t="shared" si="78"/>
        <v>#DIV/0!</v>
      </c>
      <c r="AD29" s="117" t="e">
        <f t="shared" si="78"/>
        <v>#DIV/0!</v>
      </c>
      <c r="AE29" s="118" t="e">
        <f t="shared" si="78"/>
        <v>#DIV/0!</v>
      </c>
    </row>
    <row r="30" spans="1:31" ht="12.75" customHeight="1">
      <c r="B30" s="119" t="str">
        <f t="shared" ref="B30" si="79">B21&amp;"(%)"</f>
        <v>XXX(%)</v>
      </c>
      <c r="C30" s="129" t="e">
        <f t="shared" ref="C30:F34" si="80">C21/C$26</f>
        <v>#DIV/0!</v>
      </c>
      <c r="D30" s="129" t="e">
        <f t="shared" si="80"/>
        <v>#DIV/0!</v>
      </c>
      <c r="E30" s="129" t="e">
        <f t="shared" si="80"/>
        <v>#DIV/0!</v>
      </c>
      <c r="F30" s="129" t="e">
        <f t="shared" si="80"/>
        <v>#DIV/0!</v>
      </c>
      <c r="G30" s="120"/>
      <c r="H30" s="129" t="e">
        <f t="shared" ref="H30:T30" si="81">H21/H$26</f>
        <v>#DIV/0!</v>
      </c>
      <c r="I30" s="129" t="e">
        <f t="shared" si="81"/>
        <v>#DIV/0!</v>
      </c>
      <c r="J30" s="129" t="e">
        <f t="shared" si="81"/>
        <v>#DIV/0!</v>
      </c>
      <c r="K30" s="129" t="e">
        <f t="shared" si="81"/>
        <v>#DIV/0!</v>
      </c>
      <c r="L30" s="129" t="e">
        <f t="shared" si="81"/>
        <v>#DIV/0!</v>
      </c>
      <c r="M30" s="129" t="e">
        <f t="shared" si="81"/>
        <v>#DIV/0!</v>
      </c>
      <c r="N30" s="129" t="e">
        <f t="shared" si="81"/>
        <v>#DIV/0!</v>
      </c>
      <c r="O30" s="129" t="e">
        <f t="shared" si="81"/>
        <v>#DIV/0!</v>
      </c>
      <c r="P30" s="129" t="e">
        <f t="shared" si="81"/>
        <v>#DIV/0!</v>
      </c>
      <c r="Q30" s="129" t="e">
        <f t="shared" si="81"/>
        <v>#DIV/0!</v>
      </c>
      <c r="R30" s="129" t="e">
        <f t="shared" si="81"/>
        <v>#DIV/0!</v>
      </c>
      <c r="S30" s="129" t="e">
        <f t="shared" si="81"/>
        <v>#DIV/0!</v>
      </c>
      <c r="T30" s="129" t="e">
        <f t="shared" si="81"/>
        <v>#DIV/0!</v>
      </c>
      <c r="U30" s="120"/>
      <c r="V30" s="121" t="e">
        <f t="shared" ref="V30:AE30" si="82">V21/V$26</f>
        <v>#DIV/0!</v>
      </c>
      <c r="W30" s="121" t="e">
        <f t="shared" si="82"/>
        <v>#DIV/0!</v>
      </c>
      <c r="X30" s="121" t="e">
        <f t="shared" si="82"/>
        <v>#DIV/0!</v>
      </c>
      <c r="Y30" s="121" t="e">
        <f t="shared" si="82"/>
        <v>#DIV/0!</v>
      </c>
      <c r="Z30" s="121" t="e">
        <f t="shared" si="82"/>
        <v>#DIV/0!</v>
      </c>
      <c r="AA30" s="121" t="e">
        <f t="shared" si="82"/>
        <v>#DIV/0!</v>
      </c>
      <c r="AB30" s="121" t="e">
        <f t="shared" si="82"/>
        <v>#DIV/0!</v>
      </c>
      <c r="AC30" s="121" t="e">
        <f t="shared" si="82"/>
        <v>#DIV/0!</v>
      </c>
      <c r="AD30" s="121" t="e">
        <f t="shared" si="82"/>
        <v>#DIV/0!</v>
      </c>
      <c r="AE30" s="122" t="e">
        <f t="shared" si="82"/>
        <v>#DIV/0!</v>
      </c>
    </row>
    <row r="31" spans="1:31" ht="12.75" customHeight="1">
      <c r="B31" s="119" t="str">
        <f>B22&amp;"(%)"</f>
        <v>XXX(%)</v>
      </c>
      <c r="C31" s="129" t="e">
        <f t="shared" si="80"/>
        <v>#DIV/0!</v>
      </c>
      <c r="D31" s="129" t="e">
        <f t="shared" si="80"/>
        <v>#DIV/0!</v>
      </c>
      <c r="E31" s="129" t="e">
        <f t="shared" si="80"/>
        <v>#DIV/0!</v>
      </c>
      <c r="F31" s="129" t="e">
        <f t="shared" si="80"/>
        <v>#DIV/0!</v>
      </c>
      <c r="G31" s="120"/>
      <c r="H31" s="129" t="e">
        <f t="shared" ref="H31:T31" si="83">H22/H$26</f>
        <v>#DIV/0!</v>
      </c>
      <c r="I31" s="129" t="e">
        <f t="shared" si="83"/>
        <v>#DIV/0!</v>
      </c>
      <c r="J31" s="129" t="e">
        <f t="shared" si="83"/>
        <v>#DIV/0!</v>
      </c>
      <c r="K31" s="129" t="e">
        <f t="shared" si="83"/>
        <v>#DIV/0!</v>
      </c>
      <c r="L31" s="129" t="e">
        <f t="shared" si="83"/>
        <v>#DIV/0!</v>
      </c>
      <c r="M31" s="129" t="e">
        <f t="shared" si="83"/>
        <v>#DIV/0!</v>
      </c>
      <c r="N31" s="129" t="e">
        <f t="shared" si="83"/>
        <v>#DIV/0!</v>
      </c>
      <c r="O31" s="129" t="e">
        <f t="shared" si="83"/>
        <v>#DIV/0!</v>
      </c>
      <c r="P31" s="129" t="e">
        <f t="shared" si="83"/>
        <v>#DIV/0!</v>
      </c>
      <c r="Q31" s="129" t="e">
        <f t="shared" si="83"/>
        <v>#DIV/0!</v>
      </c>
      <c r="R31" s="129" t="e">
        <f t="shared" si="83"/>
        <v>#DIV/0!</v>
      </c>
      <c r="S31" s="129" t="e">
        <f t="shared" si="83"/>
        <v>#DIV/0!</v>
      </c>
      <c r="T31" s="129" t="e">
        <f t="shared" si="83"/>
        <v>#DIV/0!</v>
      </c>
      <c r="U31" s="120"/>
      <c r="V31" s="121" t="e">
        <f t="shared" ref="V31:AE31" si="84">V22/V$26</f>
        <v>#DIV/0!</v>
      </c>
      <c r="W31" s="121" t="e">
        <f t="shared" si="84"/>
        <v>#DIV/0!</v>
      </c>
      <c r="X31" s="121" t="e">
        <f t="shared" si="84"/>
        <v>#DIV/0!</v>
      </c>
      <c r="Y31" s="121" t="e">
        <f t="shared" si="84"/>
        <v>#DIV/0!</v>
      </c>
      <c r="Z31" s="121" t="e">
        <f t="shared" si="84"/>
        <v>#DIV/0!</v>
      </c>
      <c r="AA31" s="121" t="e">
        <f t="shared" si="84"/>
        <v>#DIV/0!</v>
      </c>
      <c r="AB31" s="121" t="e">
        <f t="shared" si="84"/>
        <v>#DIV/0!</v>
      </c>
      <c r="AC31" s="121" t="e">
        <f t="shared" si="84"/>
        <v>#DIV/0!</v>
      </c>
      <c r="AD31" s="121" t="e">
        <f t="shared" si="84"/>
        <v>#DIV/0!</v>
      </c>
      <c r="AE31" s="122" t="e">
        <f t="shared" si="84"/>
        <v>#DIV/0!</v>
      </c>
    </row>
    <row r="32" spans="1:31" ht="12.75" customHeight="1">
      <c r="B32" s="119" t="str">
        <f>B23&amp;"(%)"</f>
        <v>XXX(%)</v>
      </c>
      <c r="C32" s="129" t="e">
        <f t="shared" si="80"/>
        <v>#DIV/0!</v>
      </c>
      <c r="D32" s="129" t="e">
        <f t="shared" si="80"/>
        <v>#DIV/0!</v>
      </c>
      <c r="E32" s="129" t="e">
        <f t="shared" si="80"/>
        <v>#DIV/0!</v>
      </c>
      <c r="F32" s="129" t="e">
        <f t="shared" si="80"/>
        <v>#DIV/0!</v>
      </c>
      <c r="G32" s="120"/>
      <c r="H32" s="129" t="e">
        <f t="shared" ref="H32:T32" si="85">H23/H$26</f>
        <v>#DIV/0!</v>
      </c>
      <c r="I32" s="129" t="e">
        <f t="shared" si="85"/>
        <v>#DIV/0!</v>
      </c>
      <c r="J32" s="129" t="e">
        <f t="shared" si="85"/>
        <v>#DIV/0!</v>
      </c>
      <c r="K32" s="129" t="e">
        <f t="shared" si="85"/>
        <v>#DIV/0!</v>
      </c>
      <c r="L32" s="129" t="e">
        <f t="shared" si="85"/>
        <v>#DIV/0!</v>
      </c>
      <c r="M32" s="129" t="e">
        <f t="shared" si="85"/>
        <v>#DIV/0!</v>
      </c>
      <c r="N32" s="129" t="e">
        <f t="shared" si="85"/>
        <v>#DIV/0!</v>
      </c>
      <c r="O32" s="129" t="e">
        <f t="shared" si="85"/>
        <v>#DIV/0!</v>
      </c>
      <c r="P32" s="129" t="e">
        <f t="shared" si="85"/>
        <v>#DIV/0!</v>
      </c>
      <c r="Q32" s="129" t="e">
        <f t="shared" si="85"/>
        <v>#DIV/0!</v>
      </c>
      <c r="R32" s="129" t="e">
        <f t="shared" si="85"/>
        <v>#DIV/0!</v>
      </c>
      <c r="S32" s="129" t="e">
        <f t="shared" si="85"/>
        <v>#DIV/0!</v>
      </c>
      <c r="T32" s="129" t="e">
        <f t="shared" si="85"/>
        <v>#DIV/0!</v>
      </c>
      <c r="U32" s="120"/>
      <c r="V32" s="121" t="e">
        <f t="shared" ref="V32:AE32" si="86">V23/V$26</f>
        <v>#DIV/0!</v>
      </c>
      <c r="W32" s="121" t="e">
        <f t="shared" si="86"/>
        <v>#DIV/0!</v>
      </c>
      <c r="X32" s="121" t="e">
        <f t="shared" si="86"/>
        <v>#DIV/0!</v>
      </c>
      <c r="Y32" s="121" t="e">
        <f t="shared" si="86"/>
        <v>#DIV/0!</v>
      </c>
      <c r="Z32" s="121" t="e">
        <f t="shared" si="86"/>
        <v>#DIV/0!</v>
      </c>
      <c r="AA32" s="121" t="e">
        <f t="shared" si="86"/>
        <v>#DIV/0!</v>
      </c>
      <c r="AB32" s="121" t="e">
        <f t="shared" si="86"/>
        <v>#DIV/0!</v>
      </c>
      <c r="AC32" s="121" t="e">
        <f t="shared" si="86"/>
        <v>#DIV/0!</v>
      </c>
      <c r="AD32" s="121" t="e">
        <f t="shared" si="86"/>
        <v>#DIV/0!</v>
      </c>
      <c r="AE32" s="122" t="e">
        <f t="shared" si="86"/>
        <v>#DIV/0!</v>
      </c>
    </row>
    <row r="33" spans="2:31" ht="12.75" customHeight="1">
      <c r="B33" s="119" t="str">
        <f>B24&amp;"(%)"</f>
        <v>XXX(%)</v>
      </c>
      <c r="C33" s="129" t="e">
        <f t="shared" si="80"/>
        <v>#DIV/0!</v>
      </c>
      <c r="D33" s="129" t="e">
        <f t="shared" si="80"/>
        <v>#DIV/0!</v>
      </c>
      <c r="E33" s="129" t="e">
        <f t="shared" si="80"/>
        <v>#DIV/0!</v>
      </c>
      <c r="F33" s="129" t="e">
        <f t="shared" si="80"/>
        <v>#DIV/0!</v>
      </c>
      <c r="G33" s="120"/>
      <c r="H33" s="129" t="e">
        <f t="shared" ref="H33:T33" si="87">H24/H$26</f>
        <v>#DIV/0!</v>
      </c>
      <c r="I33" s="129" t="e">
        <f t="shared" si="87"/>
        <v>#DIV/0!</v>
      </c>
      <c r="J33" s="129" t="e">
        <f t="shared" si="87"/>
        <v>#DIV/0!</v>
      </c>
      <c r="K33" s="129" t="e">
        <f t="shared" si="87"/>
        <v>#DIV/0!</v>
      </c>
      <c r="L33" s="129" t="e">
        <f t="shared" si="87"/>
        <v>#DIV/0!</v>
      </c>
      <c r="M33" s="129" t="e">
        <f t="shared" si="87"/>
        <v>#DIV/0!</v>
      </c>
      <c r="N33" s="129" t="e">
        <f t="shared" si="87"/>
        <v>#DIV/0!</v>
      </c>
      <c r="O33" s="129" t="e">
        <f t="shared" si="87"/>
        <v>#DIV/0!</v>
      </c>
      <c r="P33" s="129" t="e">
        <f t="shared" si="87"/>
        <v>#DIV/0!</v>
      </c>
      <c r="Q33" s="129" t="e">
        <f t="shared" si="87"/>
        <v>#DIV/0!</v>
      </c>
      <c r="R33" s="129" t="e">
        <f t="shared" si="87"/>
        <v>#DIV/0!</v>
      </c>
      <c r="S33" s="129" t="e">
        <f t="shared" si="87"/>
        <v>#DIV/0!</v>
      </c>
      <c r="T33" s="129" t="e">
        <f t="shared" si="87"/>
        <v>#DIV/0!</v>
      </c>
      <c r="U33" s="120"/>
      <c r="V33" s="121" t="e">
        <f t="shared" ref="V33:AE33" si="88">V24/V$26</f>
        <v>#DIV/0!</v>
      </c>
      <c r="W33" s="121" t="e">
        <f t="shared" si="88"/>
        <v>#DIV/0!</v>
      </c>
      <c r="X33" s="121" t="e">
        <f t="shared" si="88"/>
        <v>#DIV/0!</v>
      </c>
      <c r="Y33" s="121" t="e">
        <f t="shared" si="88"/>
        <v>#DIV/0!</v>
      </c>
      <c r="Z33" s="121" t="e">
        <f t="shared" si="88"/>
        <v>#DIV/0!</v>
      </c>
      <c r="AA33" s="121" t="e">
        <f t="shared" si="88"/>
        <v>#DIV/0!</v>
      </c>
      <c r="AB33" s="121" t="e">
        <f t="shared" si="88"/>
        <v>#DIV/0!</v>
      </c>
      <c r="AC33" s="121" t="e">
        <f t="shared" si="88"/>
        <v>#DIV/0!</v>
      </c>
      <c r="AD33" s="121" t="e">
        <f t="shared" si="88"/>
        <v>#DIV/0!</v>
      </c>
      <c r="AE33" s="122" t="e">
        <f t="shared" si="88"/>
        <v>#DIV/0!</v>
      </c>
    </row>
    <row r="34" spans="2:31" ht="12.75" customHeight="1">
      <c r="B34" s="123" t="str">
        <f>B25&amp;"(%)"</f>
        <v>XXX(%)</v>
      </c>
      <c r="C34" s="128" t="e">
        <f t="shared" si="80"/>
        <v>#DIV/0!</v>
      </c>
      <c r="D34" s="128" t="e">
        <f t="shared" si="80"/>
        <v>#DIV/0!</v>
      </c>
      <c r="E34" s="128" t="e">
        <f t="shared" si="80"/>
        <v>#DIV/0!</v>
      </c>
      <c r="F34" s="128" t="e">
        <f t="shared" si="80"/>
        <v>#DIV/0!</v>
      </c>
      <c r="G34" s="124"/>
      <c r="H34" s="128" t="e">
        <f t="shared" ref="H34:T34" si="89">H25/H$26</f>
        <v>#DIV/0!</v>
      </c>
      <c r="I34" s="128" t="e">
        <f t="shared" si="89"/>
        <v>#DIV/0!</v>
      </c>
      <c r="J34" s="128" t="e">
        <f t="shared" si="89"/>
        <v>#DIV/0!</v>
      </c>
      <c r="K34" s="128" t="e">
        <f t="shared" si="89"/>
        <v>#DIV/0!</v>
      </c>
      <c r="L34" s="128" t="e">
        <f t="shared" si="89"/>
        <v>#DIV/0!</v>
      </c>
      <c r="M34" s="128" t="e">
        <f t="shared" si="89"/>
        <v>#DIV/0!</v>
      </c>
      <c r="N34" s="128" t="e">
        <f t="shared" si="89"/>
        <v>#DIV/0!</v>
      </c>
      <c r="O34" s="128" t="e">
        <f t="shared" si="89"/>
        <v>#DIV/0!</v>
      </c>
      <c r="P34" s="128" t="e">
        <f t="shared" si="89"/>
        <v>#DIV/0!</v>
      </c>
      <c r="Q34" s="128" t="e">
        <f t="shared" si="89"/>
        <v>#DIV/0!</v>
      </c>
      <c r="R34" s="128" t="e">
        <f t="shared" si="89"/>
        <v>#DIV/0!</v>
      </c>
      <c r="S34" s="128" t="e">
        <f t="shared" si="89"/>
        <v>#DIV/0!</v>
      </c>
      <c r="T34" s="128" t="e">
        <f t="shared" si="89"/>
        <v>#DIV/0!</v>
      </c>
      <c r="U34" s="124"/>
      <c r="V34" s="125" t="e">
        <f t="shared" ref="V34:AE34" si="90">V25/V$26</f>
        <v>#DIV/0!</v>
      </c>
      <c r="W34" s="125" t="e">
        <f t="shared" si="90"/>
        <v>#DIV/0!</v>
      </c>
      <c r="X34" s="125" t="e">
        <f t="shared" si="90"/>
        <v>#DIV/0!</v>
      </c>
      <c r="Y34" s="125" t="e">
        <f t="shared" si="90"/>
        <v>#DIV/0!</v>
      </c>
      <c r="Z34" s="125" t="e">
        <f t="shared" si="90"/>
        <v>#DIV/0!</v>
      </c>
      <c r="AA34" s="125" t="e">
        <f t="shared" si="90"/>
        <v>#DIV/0!</v>
      </c>
      <c r="AB34" s="125" t="e">
        <f t="shared" si="90"/>
        <v>#DIV/0!</v>
      </c>
      <c r="AC34" s="125" t="e">
        <f t="shared" si="90"/>
        <v>#DIV/0!</v>
      </c>
      <c r="AD34" s="125" t="e">
        <f t="shared" si="90"/>
        <v>#DIV/0!</v>
      </c>
      <c r="AE34" s="126" t="e">
        <f t="shared" si="90"/>
        <v>#DIV/0!</v>
      </c>
    </row>
  </sheetData>
  <pageMargins left="0.7" right="0.7" top="0.75" bottom="0.75" header="0.3" footer="0.3"/>
  <ignoredErrors>
    <ignoredError sqref="H14:Q15 C14:E15 H29:T34" evalError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627CF-47F2-43ED-8CCB-3D99E5377DA5}">
  <sheetPr>
    <tabColor theme="6" tint="-0.249977111117893"/>
  </sheetPr>
  <dimension ref="A2:AG89"/>
  <sheetViews>
    <sheetView showGridLines="0" zoomScaleNormal="100" workbookViewId="0">
      <selection activeCell="B8" sqref="B8"/>
    </sheetView>
  </sheetViews>
  <sheetFormatPr defaultRowHeight="12" outlineLevelCol="1"/>
  <cols>
    <col min="1" max="1" width="1.5" style="8" customWidth="1"/>
    <col min="2" max="2" width="41.625" style="8" customWidth="1"/>
    <col min="3" max="3" width="8.625" style="8" customWidth="1"/>
    <col min="4" max="4" width="9" style="8" bestFit="1"/>
    <col min="5" max="5" width="9.25" style="8" bestFit="1" customWidth="1"/>
    <col min="6" max="6" width="9" style="8"/>
    <col min="7" max="7" width="1.5" style="8" customWidth="1"/>
    <col min="8" max="10" width="8" style="8" customWidth="1"/>
    <col min="11" max="11" width="8.75" style="8" customWidth="1"/>
    <col min="12" max="13" width="8" style="8" customWidth="1"/>
    <col min="14" max="20" width="8.875" style="8" customWidth="1"/>
    <col min="21" max="21" width="1.625" style="8" customWidth="1"/>
    <col min="22" max="23" width="8.25" style="8" hidden="1" customWidth="1" outlineLevel="1"/>
    <col min="24" max="24" width="9.25" style="8" hidden="1" customWidth="1" outlineLevel="1"/>
    <col min="25" max="25" width="9.75" style="8" hidden="1" customWidth="1" outlineLevel="1"/>
    <col min="26" max="26" width="9" style="8" hidden="1" customWidth="1" outlineLevel="1"/>
    <col min="27" max="27" width="9" style="8" collapsed="1"/>
    <col min="28" max="29" width="9" style="8" hidden="1" customWidth="1" outlineLevel="1"/>
    <col min="30" max="30" width="8.5" style="8" hidden="1" customWidth="1" outlineLevel="1"/>
    <col min="31" max="31" width="8.5" style="8" bestFit="1" customWidth="1" collapsed="1"/>
    <col min="32" max="32" width="1.5" style="8" customWidth="1"/>
    <col min="33" max="33" width="7.5" style="111" bestFit="1" customWidth="1"/>
    <col min="34" max="16384" width="9" style="8"/>
  </cols>
  <sheetData>
    <row r="2" spans="2:33" s="5" customFormat="1" ht="12.75" customHeight="1">
      <c r="B2" s="1" t="str">
        <f>'Historical Financials'!B2</f>
        <v>Coca-Cola Co (NASDAQ: KO)</v>
      </c>
      <c r="C2" s="2"/>
      <c r="D2" s="2" t="s">
        <v>0</v>
      </c>
      <c r="E2" s="2"/>
      <c r="F2" s="2"/>
      <c r="G2" s="3"/>
      <c r="H2" s="2" t="s">
        <v>1</v>
      </c>
      <c r="I2" s="2"/>
      <c r="J2" s="2"/>
      <c r="K2" s="2"/>
      <c r="L2" s="2"/>
      <c r="M2" s="2"/>
      <c r="N2" s="2"/>
      <c r="O2" s="2"/>
      <c r="P2" s="2"/>
      <c r="Q2" s="2"/>
      <c r="R2" s="2" t="s">
        <v>1</v>
      </c>
      <c r="S2" s="2"/>
      <c r="T2" s="2"/>
      <c r="U2" s="3"/>
      <c r="V2" s="2"/>
      <c r="W2" s="2"/>
      <c r="X2" s="2"/>
      <c r="Y2" s="2"/>
      <c r="Z2" s="2" t="s">
        <v>10</v>
      </c>
      <c r="AA2" s="2" t="s">
        <v>10</v>
      </c>
      <c r="AB2" s="2"/>
      <c r="AC2" s="2"/>
      <c r="AD2" s="2"/>
      <c r="AE2" s="2"/>
      <c r="AF2" s="3"/>
      <c r="AG2" s="153" t="s">
        <v>24</v>
      </c>
    </row>
    <row r="3" spans="2:33" s="5" customFormat="1" ht="12.75" customHeight="1">
      <c r="B3" s="6" t="s">
        <v>25</v>
      </c>
      <c r="C3" s="7">
        <f>'Historical Financials'!C7</f>
        <v>2022</v>
      </c>
      <c r="D3" s="7">
        <f>'Historical Financials'!D7</f>
        <v>2023</v>
      </c>
      <c r="E3" s="7">
        <f>'Historical Financials'!E7</f>
        <v>2024</v>
      </c>
      <c r="F3" s="7" t="e">
        <f>'Historical Financials'!#REF!</f>
        <v>#REF!</v>
      </c>
      <c r="G3" s="3"/>
      <c r="H3" s="7" t="str">
        <f>'Historical Financials'!G7</f>
        <v>1Q23</v>
      </c>
      <c r="I3" s="7" t="str">
        <f>'Historical Financials'!H7</f>
        <v>2Q23</v>
      </c>
      <c r="J3" s="7" t="str">
        <f>'Historical Financials'!I7</f>
        <v>3Q23</v>
      </c>
      <c r="K3" s="7" t="str">
        <f>'Historical Financials'!J7</f>
        <v>4Q23</v>
      </c>
      <c r="L3" s="7" t="str">
        <f>'Historical Financials'!K7</f>
        <v>1Q24</v>
      </c>
      <c r="M3" s="7" t="str">
        <f>'Historical Financials'!L7</f>
        <v>2Q24</v>
      </c>
      <c r="N3" s="7" t="str">
        <f>'Historical Financials'!M7</f>
        <v>3Q24</v>
      </c>
      <c r="O3" s="7" t="str">
        <f>'Historical Financials'!N7</f>
        <v>4Q24</v>
      </c>
      <c r="P3" s="7" t="str">
        <f>'Historical Financials'!O7</f>
        <v>1Q25</v>
      </c>
      <c r="Q3" s="7" t="str">
        <f>'Historical Financials'!P7</f>
        <v>2Q25</v>
      </c>
      <c r="R3" s="7" t="str">
        <f>'Historical Financials'!Q7</f>
        <v>3Q25</v>
      </c>
      <c r="S3" s="7" t="e">
        <f>'Historical Financials'!#REF!</f>
        <v>#REF!</v>
      </c>
      <c r="T3" s="7" t="e">
        <f>'Historical Financials'!#REF!</f>
        <v>#REF!</v>
      </c>
      <c r="U3" s="3"/>
      <c r="V3" s="4" t="str">
        <f t="shared" ref="V3:AE4" si="0">K3</f>
        <v>4Q23</v>
      </c>
      <c r="W3" s="4" t="str">
        <f t="shared" si="0"/>
        <v>1Q24</v>
      </c>
      <c r="X3" s="4" t="str">
        <f t="shared" si="0"/>
        <v>2Q24</v>
      </c>
      <c r="Y3" s="4" t="str">
        <f t="shared" si="0"/>
        <v>3Q24</v>
      </c>
      <c r="Z3" s="4" t="str">
        <f t="shared" si="0"/>
        <v>4Q24</v>
      </c>
      <c r="AA3" s="4" t="str">
        <f t="shared" si="0"/>
        <v>1Q25</v>
      </c>
      <c r="AB3" s="4" t="str">
        <f t="shared" si="0"/>
        <v>2Q25</v>
      </c>
      <c r="AC3" s="4" t="str">
        <f t="shared" si="0"/>
        <v>3Q25</v>
      </c>
      <c r="AD3" s="4" t="e">
        <f t="shared" si="0"/>
        <v>#REF!</v>
      </c>
      <c r="AE3" s="4" t="e">
        <f t="shared" si="0"/>
        <v>#REF!</v>
      </c>
      <c r="AF3" s="3"/>
      <c r="AG3" s="153"/>
    </row>
    <row r="4" spans="2:33" s="5" customFormat="1" ht="12.75" customHeight="1">
      <c r="B4" s="6" t="s">
        <v>95</v>
      </c>
      <c r="C4" s="3">
        <f>'Historical Financials'!C8</f>
        <v>44926</v>
      </c>
      <c r="D4" s="3">
        <f>'Historical Financials'!D8</f>
        <v>45291</v>
      </c>
      <c r="E4" s="3">
        <f>'Historical Financials'!E8</f>
        <v>45657</v>
      </c>
      <c r="F4" s="3" t="e">
        <f>'Historical Financials'!#REF!</f>
        <v>#REF!</v>
      </c>
      <c r="G4" s="3"/>
      <c r="H4" s="3">
        <f>'Historical Financials'!G8</f>
        <v>45016</v>
      </c>
      <c r="I4" s="3">
        <f>'Historical Financials'!H8</f>
        <v>45107</v>
      </c>
      <c r="J4" s="3">
        <f>'Historical Financials'!I8</f>
        <v>45199</v>
      </c>
      <c r="K4" s="3">
        <f>'Historical Financials'!J8</f>
        <v>45291</v>
      </c>
      <c r="L4" s="3">
        <f>'Historical Financials'!K8</f>
        <v>45382</v>
      </c>
      <c r="M4" s="3">
        <f>'Historical Financials'!L8</f>
        <v>45473</v>
      </c>
      <c r="N4" s="3">
        <f>'Historical Financials'!M8</f>
        <v>45565</v>
      </c>
      <c r="O4" s="3">
        <f>'Historical Financials'!N8</f>
        <v>45657</v>
      </c>
      <c r="P4" s="3">
        <f>'Historical Financials'!O8</f>
        <v>45747</v>
      </c>
      <c r="Q4" s="3">
        <f>'Historical Financials'!P8</f>
        <v>45838</v>
      </c>
      <c r="R4" s="3">
        <f>'Historical Financials'!Q8</f>
        <v>45930</v>
      </c>
      <c r="S4" s="3" t="e">
        <f>'Historical Financials'!#REF!</f>
        <v>#REF!</v>
      </c>
      <c r="T4" s="3" t="e">
        <f>'Historical Financials'!#REF!</f>
        <v>#REF!</v>
      </c>
      <c r="U4" s="3"/>
      <c r="V4" s="3">
        <f t="shared" si="0"/>
        <v>45291</v>
      </c>
      <c r="W4" s="3">
        <f t="shared" si="0"/>
        <v>45382</v>
      </c>
      <c r="X4" s="3">
        <f t="shared" si="0"/>
        <v>45473</v>
      </c>
      <c r="Y4" s="3">
        <f t="shared" si="0"/>
        <v>45565</v>
      </c>
      <c r="Z4" s="3">
        <f t="shared" si="0"/>
        <v>45657</v>
      </c>
      <c r="AA4" s="3">
        <f t="shared" si="0"/>
        <v>45747</v>
      </c>
      <c r="AB4" s="3">
        <f t="shared" si="0"/>
        <v>45838</v>
      </c>
      <c r="AC4" s="3">
        <f t="shared" si="0"/>
        <v>45930</v>
      </c>
      <c r="AD4" s="3" t="e">
        <f t="shared" si="0"/>
        <v>#REF!</v>
      </c>
      <c r="AE4" s="3" t="e">
        <f t="shared" si="0"/>
        <v>#REF!</v>
      </c>
      <c r="AF4" s="3"/>
      <c r="AG4" s="153"/>
    </row>
    <row r="5" spans="2:33" ht="5.0999999999999996" customHeight="1">
      <c r="AG5" s="107"/>
    </row>
    <row r="6" spans="2:33" ht="12.75" customHeight="1">
      <c r="B6" s="9" t="s">
        <v>110</v>
      </c>
      <c r="C6" s="80"/>
      <c r="D6" s="80"/>
      <c r="E6" s="80"/>
      <c r="F6" s="80"/>
      <c r="G6" s="1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5"/>
      <c r="V6" s="131">
        <f t="shared" ref="V6:AD6" si="1">SUM(H6:K6)</f>
        <v>0</v>
      </c>
      <c r="W6" s="131">
        <f t="shared" si="1"/>
        <v>0</v>
      </c>
      <c r="X6" s="131">
        <f t="shared" si="1"/>
        <v>0</v>
      </c>
      <c r="Y6" s="131">
        <f t="shared" si="1"/>
        <v>0</v>
      </c>
      <c r="Z6" s="131">
        <f t="shared" si="1"/>
        <v>0</v>
      </c>
      <c r="AA6" s="131">
        <f t="shared" si="1"/>
        <v>0</v>
      </c>
      <c r="AB6" s="131">
        <f t="shared" si="1"/>
        <v>0</v>
      </c>
      <c r="AC6" s="131">
        <f t="shared" si="1"/>
        <v>0</v>
      </c>
      <c r="AD6" s="131">
        <f t="shared" si="1"/>
        <v>0</v>
      </c>
      <c r="AE6" s="131">
        <f>SUM(Q6:T6)</f>
        <v>0</v>
      </c>
      <c r="AG6" s="108" t="e">
        <f t="shared" ref="AG6:AG11" si="2">SUM(AE6/AA6)-1</f>
        <v>#DIV/0!</v>
      </c>
    </row>
    <row r="7" spans="2:33" ht="12.75" customHeight="1">
      <c r="B7" s="9" t="s">
        <v>110</v>
      </c>
      <c r="C7" s="80"/>
      <c r="D7" s="80"/>
      <c r="E7" s="80"/>
      <c r="F7" s="80"/>
      <c r="G7" s="10"/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5"/>
      <c r="V7" s="131">
        <f t="shared" ref="V7:V11" si="3">SUM(H7:K7)</f>
        <v>0</v>
      </c>
      <c r="W7" s="131">
        <f t="shared" ref="W7:W11" si="4">SUM(I7:L7)</f>
        <v>0</v>
      </c>
      <c r="X7" s="131">
        <f t="shared" ref="X7:X11" si="5">SUM(J7:M7)</f>
        <v>0</v>
      </c>
      <c r="Y7" s="131">
        <f t="shared" ref="Y7:Y11" si="6">SUM(K7:N7)</f>
        <v>0</v>
      </c>
      <c r="Z7" s="131">
        <f t="shared" ref="Z7:Z11" si="7">SUM(L7:O7)</f>
        <v>0</v>
      </c>
      <c r="AA7" s="131">
        <f t="shared" ref="AA7:AA11" si="8">SUM(M7:P7)</f>
        <v>0</v>
      </c>
      <c r="AB7" s="131">
        <f t="shared" ref="AB7:AB11" si="9">SUM(N7:Q7)</f>
        <v>0</v>
      </c>
      <c r="AC7" s="131">
        <f t="shared" ref="AC7:AC11" si="10">SUM(O7:R7)</f>
        <v>0</v>
      </c>
      <c r="AD7" s="131">
        <f t="shared" ref="AD7:AD11" si="11">SUM(P7:S7)</f>
        <v>0</v>
      </c>
      <c r="AE7" s="131">
        <f t="shared" ref="AE7:AE11" si="12">SUM(Q7:T7)</f>
        <v>0</v>
      </c>
      <c r="AG7" s="108" t="e">
        <f t="shared" si="2"/>
        <v>#DIV/0!</v>
      </c>
    </row>
    <row r="8" spans="2:33" ht="12.75" customHeight="1">
      <c r="B8" s="9" t="s">
        <v>110</v>
      </c>
      <c r="C8" s="80"/>
      <c r="D8" s="80"/>
      <c r="E8" s="80"/>
      <c r="F8" s="80"/>
      <c r="G8" s="10"/>
      <c r="H8" s="80"/>
      <c r="I8" s="80"/>
      <c r="J8" s="80"/>
      <c r="K8" s="80"/>
      <c r="L8" s="80"/>
      <c r="M8" s="80"/>
      <c r="N8" s="80"/>
      <c r="O8" s="80"/>
      <c r="P8" s="80"/>
      <c r="Q8" s="80"/>
      <c r="R8" s="80"/>
      <c r="S8" s="80"/>
      <c r="T8" s="80"/>
      <c r="U8" s="5"/>
      <c r="V8" s="131">
        <f t="shared" si="3"/>
        <v>0</v>
      </c>
      <c r="W8" s="131">
        <f t="shared" si="4"/>
        <v>0</v>
      </c>
      <c r="X8" s="131">
        <f t="shared" si="5"/>
        <v>0</v>
      </c>
      <c r="Y8" s="131">
        <f t="shared" si="6"/>
        <v>0</v>
      </c>
      <c r="Z8" s="131">
        <f t="shared" si="7"/>
        <v>0</v>
      </c>
      <c r="AA8" s="131">
        <f t="shared" si="8"/>
        <v>0</v>
      </c>
      <c r="AB8" s="131">
        <f t="shared" si="9"/>
        <v>0</v>
      </c>
      <c r="AC8" s="131">
        <f t="shared" si="10"/>
        <v>0</v>
      </c>
      <c r="AD8" s="131">
        <f t="shared" si="11"/>
        <v>0</v>
      </c>
      <c r="AE8" s="131">
        <f t="shared" si="12"/>
        <v>0</v>
      </c>
      <c r="AG8" s="108" t="e">
        <f t="shared" si="2"/>
        <v>#DIV/0!</v>
      </c>
    </row>
    <row r="9" spans="2:33" ht="12.75" customHeight="1">
      <c r="B9" s="9" t="s">
        <v>110</v>
      </c>
      <c r="C9" s="80"/>
      <c r="D9" s="80"/>
      <c r="E9" s="80"/>
      <c r="F9" s="80"/>
      <c r="G9" s="10"/>
      <c r="H9" s="80"/>
      <c r="I9" s="80"/>
      <c r="J9" s="80"/>
      <c r="K9" s="80"/>
      <c r="L9" s="80"/>
      <c r="M9" s="80"/>
      <c r="N9" s="80"/>
      <c r="O9" s="80"/>
      <c r="P9" s="80"/>
      <c r="Q9" s="80"/>
      <c r="R9" s="80"/>
      <c r="S9" s="80"/>
      <c r="T9" s="80"/>
      <c r="U9" s="5"/>
      <c r="V9" s="131">
        <f t="shared" si="3"/>
        <v>0</v>
      </c>
      <c r="W9" s="131">
        <f t="shared" si="4"/>
        <v>0</v>
      </c>
      <c r="X9" s="131">
        <f t="shared" si="5"/>
        <v>0</v>
      </c>
      <c r="Y9" s="131">
        <f t="shared" si="6"/>
        <v>0</v>
      </c>
      <c r="Z9" s="131">
        <f t="shared" si="7"/>
        <v>0</v>
      </c>
      <c r="AA9" s="131">
        <f t="shared" si="8"/>
        <v>0</v>
      </c>
      <c r="AB9" s="131">
        <f t="shared" si="9"/>
        <v>0</v>
      </c>
      <c r="AC9" s="131">
        <f t="shared" si="10"/>
        <v>0</v>
      </c>
      <c r="AD9" s="131">
        <f t="shared" si="11"/>
        <v>0</v>
      </c>
      <c r="AE9" s="131">
        <f t="shared" si="12"/>
        <v>0</v>
      </c>
      <c r="AG9" s="108" t="e">
        <f t="shared" si="2"/>
        <v>#DIV/0!</v>
      </c>
    </row>
    <row r="10" spans="2:33" ht="12.75" customHeight="1">
      <c r="B10" s="9" t="s">
        <v>110</v>
      </c>
      <c r="C10" s="80"/>
      <c r="D10" s="80"/>
      <c r="E10" s="80"/>
      <c r="F10" s="80"/>
      <c r="G10" s="10"/>
      <c r="H10" s="80"/>
      <c r="I10" s="80"/>
      <c r="J10" s="80"/>
      <c r="K10" s="80"/>
      <c r="L10" s="80"/>
      <c r="M10" s="80"/>
      <c r="N10" s="80"/>
      <c r="O10" s="80"/>
      <c r="P10" s="80"/>
      <c r="Q10" s="80"/>
      <c r="R10" s="80"/>
      <c r="S10" s="80"/>
      <c r="T10" s="80"/>
      <c r="U10" s="5"/>
      <c r="V10" s="131">
        <f t="shared" si="3"/>
        <v>0</v>
      </c>
      <c r="W10" s="131">
        <f t="shared" si="4"/>
        <v>0</v>
      </c>
      <c r="X10" s="131">
        <f t="shared" si="5"/>
        <v>0</v>
      </c>
      <c r="Y10" s="131">
        <f t="shared" si="6"/>
        <v>0</v>
      </c>
      <c r="Z10" s="131">
        <f t="shared" si="7"/>
        <v>0</v>
      </c>
      <c r="AA10" s="131">
        <f t="shared" si="8"/>
        <v>0</v>
      </c>
      <c r="AB10" s="131">
        <f t="shared" si="9"/>
        <v>0</v>
      </c>
      <c r="AC10" s="131">
        <f t="shared" si="10"/>
        <v>0</v>
      </c>
      <c r="AD10" s="131">
        <f t="shared" si="11"/>
        <v>0</v>
      </c>
      <c r="AE10" s="131">
        <f t="shared" si="12"/>
        <v>0</v>
      </c>
      <c r="AG10" s="108" t="e">
        <f t="shared" si="2"/>
        <v>#DIV/0!</v>
      </c>
    </row>
    <row r="11" spans="2:33" ht="12.75" customHeight="1">
      <c r="B11" s="9" t="s">
        <v>110</v>
      </c>
      <c r="C11" s="80"/>
      <c r="D11" s="80"/>
      <c r="E11" s="80"/>
      <c r="F11" s="80"/>
      <c r="G11" s="10"/>
      <c r="H11" s="80"/>
      <c r="I11" s="80"/>
      <c r="J11" s="80"/>
      <c r="K11" s="80"/>
      <c r="L11" s="80"/>
      <c r="M11" s="80"/>
      <c r="N11" s="80"/>
      <c r="O11" s="80"/>
      <c r="P11" s="80"/>
      <c r="Q11" s="80"/>
      <c r="R11" s="80"/>
      <c r="S11" s="80"/>
      <c r="T11" s="80"/>
      <c r="U11" s="5"/>
      <c r="V11" s="131">
        <f t="shared" si="3"/>
        <v>0</v>
      </c>
      <c r="W11" s="131">
        <f t="shared" si="4"/>
        <v>0</v>
      </c>
      <c r="X11" s="131">
        <f t="shared" si="5"/>
        <v>0</v>
      </c>
      <c r="Y11" s="131">
        <f t="shared" si="6"/>
        <v>0</v>
      </c>
      <c r="Z11" s="131">
        <f t="shared" si="7"/>
        <v>0</v>
      </c>
      <c r="AA11" s="131">
        <f t="shared" si="8"/>
        <v>0</v>
      </c>
      <c r="AB11" s="131">
        <f t="shared" si="9"/>
        <v>0</v>
      </c>
      <c r="AC11" s="131">
        <f t="shared" si="10"/>
        <v>0</v>
      </c>
      <c r="AD11" s="131">
        <f t="shared" si="11"/>
        <v>0</v>
      </c>
      <c r="AE11" s="131">
        <f t="shared" si="12"/>
        <v>0</v>
      </c>
      <c r="AG11" s="108" t="e">
        <f t="shared" si="2"/>
        <v>#DIV/0!</v>
      </c>
    </row>
    <row r="12" spans="2:33" ht="12.75" customHeight="1">
      <c r="B12" s="12" t="s">
        <v>12</v>
      </c>
      <c r="C12" s="13">
        <f t="shared" ref="C12:F12" si="13">SUM(C6:C11)</f>
        <v>0</v>
      </c>
      <c r="D12" s="13">
        <f t="shared" si="13"/>
        <v>0</v>
      </c>
      <c r="E12" s="13">
        <f t="shared" si="13"/>
        <v>0</v>
      </c>
      <c r="F12" s="13">
        <f t="shared" si="13"/>
        <v>0</v>
      </c>
      <c r="G12" s="10"/>
      <c r="H12" s="13">
        <f t="shared" ref="H12:S12" si="14">SUM(H6:H11)</f>
        <v>0</v>
      </c>
      <c r="I12" s="13">
        <f t="shared" si="14"/>
        <v>0</v>
      </c>
      <c r="J12" s="13">
        <f t="shared" si="14"/>
        <v>0</v>
      </c>
      <c r="K12" s="13">
        <f t="shared" si="14"/>
        <v>0</v>
      </c>
      <c r="L12" s="13">
        <f t="shared" si="14"/>
        <v>0</v>
      </c>
      <c r="M12" s="13">
        <f t="shared" si="14"/>
        <v>0</v>
      </c>
      <c r="N12" s="13">
        <f t="shared" si="14"/>
        <v>0</v>
      </c>
      <c r="O12" s="13">
        <f t="shared" si="14"/>
        <v>0</v>
      </c>
      <c r="P12" s="13">
        <f t="shared" si="14"/>
        <v>0</v>
      </c>
      <c r="Q12" s="13">
        <f t="shared" si="14"/>
        <v>0</v>
      </c>
      <c r="R12" s="13">
        <f t="shared" si="14"/>
        <v>0</v>
      </c>
      <c r="S12" s="13">
        <f t="shared" si="14"/>
        <v>0</v>
      </c>
      <c r="T12" s="13">
        <f t="shared" ref="T12" si="15">SUM(T6:T11)</f>
        <v>0</v>
      </c>
      <c r="U12" s="5"/>
      <c r="V12" s="13">
        <f t="shared" ref="V12:AE12" si="16">SUM(V6:V11)</f>
        <v>0</v>
      </c>
      <c r="W12" s="13">
        <f t="shared" si="16"/>
        <v>0</v>
      </c>
      <c r="X12" s="13">
        <f t="shared" si="16"/>
        <v>0</v>
      </c>
      <c r="Y12" s="13">
        <f t="shared" si="16"/>
        <v>0</v>
      </c>
      <c r="Z12" s="13">
        <f t="shared" si="16"/>
        <v>0</v>
      </c>
      <c r="AA12" s="13">
        <f t="shared" si="16"/>
        <v>0</v>
      </c>
      <c r="AB12" s="13">
        <f t="shared" si="16"/>
        <v>0</v>
      </c>
      <c r="AC12" s="13">
        <f t="shared" si="16"/>
        <v>0</v>
      </c>
      <c r="AD12" s="13">
        <f t="shared" si="16"/>
        <v>0</v>
      </c>
      <c r="AE12" s="13">
        <f t="shared" si="16"/>
        <v>0</v>
      </c>
      <c r="AG12" s="109" t="e">
        <f>SUM(AE12/AA12)-1</f>
        <v>#DIV/0!</v>
      </c>
    </row>
    <row r="13" spans="2:33" ht="12.75" customHeight="1">
      <c r="B13" s="14" t="s">
        <v>28</v>
      </c>
      <c r="C13" s="15" t="e">
        <f>SUM(C12/#REF!)-1</f>
        <v>#REF!</v>
      </c>
      <c r="D13" s="15" t="e">
        <f>SUM(D12/C12)-1</f>
        <v>#DIV/0!</v>
      </c>
      <c r="E13" s="15" t="e">
        <f>SUM(E12/D12)-1</f>
        <v>#DIV/0!</v>
      </c>
      <c r="F13" s="15" t="e">
        <f>SUM(F12/E12)-1</f>
        <v>#DIV/0!</v>
      </c>
      <c r="G13" s="11"/>
      <c r="H13" s="99"/>
      <c r="I13" s="99"/>
      <c r="J13" s="99"/>
      <c r="K13" s="99"/>
      <c r="L13" s="15" t="e">
        <f t="shared" ref="L13:S13" si="17">SUM(L12/H12)-1</f>
        <v>#DIV/0!</v>
      </c>
      <c r="M13" s="15" t="e">
        <f t="shared" si="17"/>
        <v>#DIV/0!</v>
      </c>
      <c r="N13" s="15" t="e">
        <f t="shared" si="17"/>
        <v>#DIV/0!</v>
      </c>
      <c r="O13" s="15" t="e">
        <f t="shared" si="17"/>
        <v>#DIV/0!</v>
      </c>
      <c r="P13" s="15" t="e">
        <f t="shared" si="17"/>
        <v>#DIV/0!</v>
      </c>
      <c r="Q13" s="15" t="e">
        <f t="shared" si="17"/>
        <v>#DIV/0!</v>
      </c>
      <c r="R13" s="15" t="e">
        <f t="shared" si="17"/>
        <v>#DIV/0!</v>
      </c>
      <c r="S13" s="15" t="e">
        <f t="shared" si="17"/>
        <v>#DIV/0!</v>
      </c>
      <c r="T13" s="15" t="e">
        <f t="shared" ref="T13" si="18">SUM(T12/P12)-1</f>
        <v>#DIV/0!</v>
      </c>
      <c r="U13" s="5"/>
      <c r="V13" s="99"/>
      <c r="W13" s="99"/>
      <c r="X13" s="99"/>
      <c r="Y13" s="99"/>
      <c r="Z13" s="15" t="e">
        <f t="shared" ref="Z13:AE13" si="19">SUM(Z12/V12)-1</f>
        <v>#DIV/0!</v>
      </c>
      <c r="AA13" s="15" t="e">
        <f t="shared" si="19"/>
        <v>#DIV/0!</v>
      </c>
      <c r="AB13" s="15" t="e">
        <f t="shared" si="19"/>
        <v>#DIV/0!</v>
      </c>
      <c r="AC13" s="15" t="e">
        <f t="shared" si="19"/>
        <v>#DIV/0!</v>
      </c>
      <c r="AD13" s="15" t="e">
        <f t="shared" si="19"/>
        <v>#DIV/0!</v>
      </c>
      <c r="AE13" s="15" t="e">
        <f t="shared" si="19"/>
        <v>#DIV/0!</v>
      </c>
      <c r="AG13" s="110" t="e">
        <f>SUM(AE13-AA13)*10000</f>
        <v>#DIV/0!</v>
      </c>
    </row>
    <row r="14" spans="2:33" ht="12.75" customHeight="1">
      <c r="B14" s="14" t="s">
        <v>29</v>
      </c>
      <c r="C14" s="15" t="s">
        <v>30</v>
      </c>
      <c r="D14" s="15" t="s">
        <v>30</v>
      </c>
      <c r="E14" s="15" t="s">
        <v>30</v>
      </c>
      <c r="F14" s="15" t="s">
        <v>30</v>
      </c>
      <c r="G14" s="11"/>
      <c r="H14" s="99"/>
      <c r="I14" s="15" t="e">
        <f>SUM(I12/H12)-1</f>
        <v>#DIV/0!</v>
      </c>
      <c r="J14" s="15" t="e">
        <f>SUM(J12/I12)-1</f>
        <v>#DIV/0!</v>
      </c>
      <c r="K14" s="15" t="e">
        <f>SUM(K12/J12)-1</f>
        <v>#DIV/0!</v>
      </c>
      <c r="L14" s="15" t="e">
        <f>SUM(L12/K12)-1</f>
        <v>#DIV/0!</v>
      </c>
      <c r="M14" s="15" t="e">
        <f t="shared" ref="M14:S14" si="20">SUM(M12/L12)-1</f>
        <v>#DIV/0!</v>
      </c>
      <c r="N14" s="15" t="e">
        <f t="shared" si="20"/>
        <v>#DIV/0!</v>
      </c>
      <c r="O14" s="15" t="e">
        <f t="shared" si="20"/>
        <v>#DIV/0!</v>
      </c>
      <c r="P14" s="15" t="e">
        <f t="shared" si="20"/>
        <v>#DIV/0!</v>
      </c>
      <c r="Q14" s="15" t="e">
        <f t="shared" si="20"/>
        <v>#DIV/0!</v>
      </c>
      <c r="R14" s="15" t="e">
        <f t="shared" si="20"/>
        <v>#DIV/0!</v>
      </c>
      <c r="S14" s="15" t="e">
        <f t="shared" si="20"/>
        <v>#DIV/0!</v>
      </c>
      <c r="T14" s="15" t="e">
        <f t="shared" ref="T14" si="21">SUM(T12/S12)-1</f>
        <v>#DIV/0!</v>
      </c>
      <c r="U14" s="5"/>
      <c r="V14" s="15" t="s">
        <v>30</v>
      </c>
      <c r="W14" s="15" t="s">
        <v>30</v>
      </c>
      <c r="X14" s="15" t="s">
        <v>30</v>
      </c>
      <c r="Y14" s="15" t="s">
        <v>30</v>
      </c>
      <c r="Z14" s="15" t="s">
        <v>30</v>
      </c>
      <c r="AA14" s="15" t="s">
        <v>30</v>
      </c>
      <c r="AB14" s="15" t="s">
        <v>30</v>
      </c>
      <c r="AC14" s="15" t="s">
        <v>30</v>
      </c>
      <c r="AD14" s="15" t="s">
        <v>30</v>
      </c>
      <c r="AE14" s="15" t="s">
        <v>30</v>
      </c>
      <c r="AG14" s="107"/>
    </row>
    <row r="15" spans="2:33" ht="5.0999999999999996" customHeight="1">
      <c r="B15" s="16"/>
      <c r="C15" s="17"/>
      <c r="D15" s="17"/>
      <c r="E15" s="17"/>
      <c r="F15" s="17"/>
      <c r="G15" s="18"/>
      <c r="H15" s="19"/>
      <c r="I15" s="19"/>
      <c r="J15" s="19"/>
      <c r="K15" s="19"/>
      <c r="L15" s="19"/>
      <c r="M15" s="19"/>
      <c r="N15" s="19"/>
      <c r="O15" s="20"/>
      <c r="P15" s="19"/>
      <c r="Q15" s="19"/>
      <c r="R15" s="19"/>
      <c r="S15" s="19"/>
      <c r="T15" s="19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G15" s="107"/>
    </row>
    <row r="16" spans="2:33" ht="12.75" customHeight="1">
      <c r="B16" s="21" t="s">
        <v>31</v>
      </c>
      <c r="C16" s="80"/>
      <c r="D16" s="80"/>
      <c r="E16" s="80"/>
      <c r="F16" s="80"/>
      <c r="G16" s="10"/>
      <c r="H16" s="80"/>
      <c r="I16" s="80"/>
      <c r="J16" s="80"/>
      <c r="K16" s="80"/>
      <c r="L16" s="80"/>
      <c r="M16" s="80"/>
      <c r="N16" s="80"/>
      <c r="O16" s="80"/>
      <c r="P16" s="80"/>
      <c r="Q16" s="80"/>
      <c r="R16" s="80"/>
      <c r="S16" s="80"/>
      <c r="T16" s="80"/>
      <c r="U16" s="5"/>
      <c r="V16" s="131">
        <f t="shared" ref="V16" si="22">SUM(H16:K16)</f>
        <v>0</v>
      </c>
      <c r="W16" s="131">
        <f t="shared" ref="W16" si="23">SUM(I16:L16)</f>
        <v>0</v>
      </c>
      <c r="X16" s="131">
        <f t="shared" ref="X16" si="24">SUM(J16:M16)</f>
        <v>0</v>
      </c>
      <c r="Y16" s="131">
        <f t="shared" ref="Y16" si="25">SUM(K16:N16)</f>
        <v>0</v>
      </c>
      <c r="Z16" s="131">
        <f t="shared" ref="Z16" si="26">SUM(L16:O16)</f>
        <v>0</v>
      </c>
      <c r="AA16" s="131">
        <f t="shared" ref="AA16" si="27">SUM(M16:P16)</f>
        <v>0</v>
      </c>
      <c r="AB16" s="131">
        <f t="shared" ref="AB16" si="28">SUM(N16:Q16)</f>
        <v>0</v>
      </c>
      <c r="AC16" s="131">
        <f t="shared" ref="AC16" si="29">SUM(O16:R16)</f>
        <v>0</v>
      </c>
      <c r="AD16" s="131">
        <f t="shared" ref="AD16" si="30">SUM(P16:S16)</f>
        <v>0</v>
      </c>
      <c r="AE16" s="131">
        <f>SUM(Q16:T16)</f>
        <v>0</v>
      </c>
      <c r="AG16" s="108" t="e">
        <f>SUM(AE16/AA16)-1</f>
        <v>#DIV/0!</v>
      </c>
    </row>
    <row r="17" spans="2:33" ht="12.75" customHeight="1">
      <c r="B17" s="23" t="s">
        <v>22</v>
      </c>
      <c r="C17" s="24">
        <f t="shared" ref="C17:F17" si="31">SUM(C12+SUM(C16:C16))</f>
        <v>0</v>
      </c>
      <c r="D17" s="24">
        <f t="shared" si="31"/>
        <v>0</v>
      </c>
      <c r="E17" s="24">
        <f t="shared" si="31"/>
        <v>0</v>
      </c>
      <c r="F17" s="24">
        <f t="shared" si="31"/>
        <v>0</v>
      </c>
      <c r="G17" s="5"/>
      <c r="H17" s="24">
        <f>SUM(H12+SUM(H16:H16))</f>
        <v>0</v>
      </c>
      <c r="I17" s="24">
        <f>SUM(I12+SUM(I16:I16))</f>
        <v>0</v>
      </c>
      <c r="J17" s="24">
        <f>SUM(J12+SUM(J16:J16))</f>
        <v>0</v>
      </c>
      <c r="K17" s="24">
        <f>SUM(K12+SUM(K16:K16))</f>
        <v>0</v>
      </c>
      <c r="L17" s="24">
        <f t="shared" ref="L17:Q17" si="32">SUM(L12+SUM(L16:L16))</f>
        <v>0</v>
      </c>
      <c r="M17" s="24">
        <f t="shared" si="32"/>
        <v>0</v>
      </c>
      <c r="N17" s="24">
        <f t="shared" si="32"/>
        <v>0</v>
      </c>
      <c r="O17" s="24">
        <f t="shared" si="32"/>
        <v>0</v>
      </c>
      <c r="P17" s="24">
        <f t="shared" si="32"/>
        <v>0</v>
      </c>
      <c r="Q17" s="24">
        <f t="shared" si="32"/>
        <v>0</v>
      </c>
      <c r="R17" s="24">
        <f t="shared" ref="R17:S17" si="33">SUM(R12+SUM(R16:R16))</f>
        <v>0</v>
      </c>
      <c r="S17" s="24">
        <f t="shared" si="33"/>
        <v>0</v>
      </c>
      <c r="T17" s="24">
        <f t="shared" ref="T17" si="34">SUM(T12+SUM(T16:T16))</f>
        <v>0</v>
      </c>
      <c r="U17" s="5"/>
      <c r="V17" s="24">
        <f t="shared" ref="V17" si="35">SUM(V12+SUM(V16:V16))</f>
        <v>0</v>
      </c>
      <c r="W17" s="24">
        <f t="shared" ref="W17:AE17" si="36">SUM(W12+SUM(W16:W16))</f>
        <v>0</v>
      </c>
      <c r="X17" s="24">
        <f t="shared" si="36"/>
        <v>0</v>
      </c>
      <c r="Y17" s="24">
        <f t="shared" si="36"/>
        <v>0</v>
      </c>
      <c r="Z17" s="24">
        <f t="shared" si="36"/>
        <v>0</v>
      </c>
      <c r="AA17" s="24">
        <f t="shared" si="36"/>
        <v>0</v>
      </c>
      <c r="AB17" s="24">
        <f t="shared" si="36"/>
        <v>0</v>
      </c>
      <c r="AC17" s="24">
        <f t="shared" si="36"/>
        <v>0</v>
      </c>
      <c r="AD17" s="24">
        <f t="shared" si="36"/>
        <v>0</v>
      </c>
      <c r="AE17" s="24">
        <f t="shared" si="36"/>
        <v>0</v>
      </c>
      <c r="AG17" s="109" t="e">
        <f>SUM(AE17/AA17)-1</f>
        <v>#DIV/0!</v>
      </c>
    </row>
    <row r="18" spans="2:33" ht="12.75" customHeight="1">
      <c r="B18" s="14" t="s">
        <v>32</v>
      </c>
      <c r="C18" s="15" t="e">
        <f t="shared" ref="C18:F18" si="37">C17/C12</f>
        <v>#DIV/0!</v>
      </c>
      <c r="D18" s="15" t="e">
        <f t="shared" si="37"/>
        <v>#DIV/0!</v>
      </c>
      <c r="E18" s="15" t="e">
        <f t="shared" si="37"/>
        <v>#DIV/0!</v>
      </c>
      <c r="F18" s="15" t="e">
        <f t="shared" si="37"/>
        <v>#DIV/0!</v>
      </c>
      <c r="G18" s="25"/>
      <c r="H18" s="15" t="e">
        <f>H17/H12</f>
        <v>#DIV/0!</v>
      </c>
      <c r="I18" s="15" t="e">
        <f>I17/I12</f>
        <v>#DIV/0!</v>
      </c>
      <c r="J18" s="15" t="e">
        <f>J17/J12</f>
        <v>#DIV/0!</v>
      </c>
      <c r="K18" s="15" t="e">
        <f>K17/K12</f>
        <v>#DIV/0!</v>
      </c>
      <c r="L18" s="15" t="e">
        <f t="shared" ref="L18:Q18" si="38">L17/L12</f>
        <v>#DIV/0!</v>
      </c>
      <c r="M18" s="15" t="e">
        <f t="shared" si="38"/>
        <v>#DIV/0!</v>
      </c>
      <c r="N18" s="15" t="e">
        <f t="shared" si="38"/>
        <v>#DIV/0!</v>
      </c>
      <c r="O18" s="15" t="e">
        <f t="shared" si="38"/>
        <v>#DIV/0!</v>
      </c>
      <c r="P18" s="15" t="e">
        <f t="shared" si="38"/>
        <v>#DIV/0!</v>
      </c>
      <c r="Q18" s="15" t="e">
        <f t="shared" si="38"/>
        <v>#DIV/0!</v>
      </c>
      <c r="R18" s="15" t="e">
        <f t="shared" ref="R18:S18" si="39">R17/R12</f>
        <v>#DIV/0!</v>
      </c>
      <c r="S18" s="15" t="e">
        <f t="shared" si="39"/>
        <v>#DIV/0!</v>
      </c>
      <c r="T18" s="15" t="e">
        <f t="shared" ref="T18" si="40">T17/T12</f>
        <v>#DIV/0!</v>
      </c>
      <c r="U18" s="26"/>
      <c r="V18" s="15" t="e">
        <f t="shared" ref="V18" si="41">V17/V12</f>
        <v>#DIV/0!</v>
      </c>
      <c r="W18" s="15" t="e">
        <f t="shared" ref="W18:AE18" si="42">W17/W12</f>
        <v>#DIV/0!</v>
      </c>
      <c r="X18" s="15" t="e">
        <f t="shared" si="42"/>
        <v>#DIV/0!</v>
      </c>
      <c r="Y18" s="15" t="e">
        <f t="shared" si="42"/>
        <v>#DIV/0!</v>
      </c>
      <c r="Z18" s="15" t="e">
        <f t="shared" si="42"/>
        <v>#DIV/0!</v>
      </c>
      <c r="AA18" s="15" t="e">
        <f t="shared" si="42"/>
        <v>#DIV/0!</v>
      </c>
      <c r="AB18" s="15" t="e">
        <f t="shared" si="42"/>
        <v>#DIV/0!</v>
      </c>
      <c r="AC18" s="15" t="e">
        <f t="shared" si="42"/>
        <v>#DIV/0!</v>
      </c>
      <c r="AD18" s="15" t="e">
        <f t="shared" si="42"/>
        <v>#DIV/0!</v>
      </c>
      <c r="AE18" s="15" t="e">
        <f t="shared" si="42"/>
        <v>#DIV/0!</v>
      </c>
      <c r="AG18" s="110" t="e">
        <f>SUM(AE18-AA18)*10000</f>
        <v>#DIV/0!</v>
      </c>
    </row>
    <row r="19" spans="2:33" ht="5.0999999999999996" customHeight="1">
      <c r="B19" s="27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5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G19" s="107"/>
    </row>
    <row r="20" spans="2:33" ht="12.75" customHeight="1">
      <c r="B20" s="21" t="s">
        <v>115</v>
      </c>
      <c r="C20" s="132"/>
      <c r="D20" s="132"/>
      <c r="E20" s="132"/>
      <c r="F20" s="132"/>
      <c r="G20" s="80"/>
      <c r="H20" s="132"/>
      <c r="I20" s="132"/>
      <c r="J20" s="132"/>
      <c r="K20" s="132"/>
      <c r="L20" s="132"/>
      <c r="M20" s="132"/>
      <c r="N20" s="132"/>
      <c r="O20" s="132"/>
      <c r="P20" s="132"/>
      <c r="Q20" s="132"/>
      <c r="R20" s="132"/>
      <c r="S20" s="132"/>
      <c r="T20" s="132"/>
      <c r="U20" s="5"/>
      <c r="V20" s="131">
        <f t="shared" ref="V20:V24" si="43">SUM(H20:K20)</f>
        <v>0</v>
      </c>
      <c r="W20" s="131">
        <f t="shared" ref="W20:W24" si="44">SUM(I20:L20)</f>
        <v>0</v>
      </c>
      <c r="X20" s="131">
        <f t="shared" ref="X20:X24" si="45">SUM(J20:M20)</f>
        <v>0</v>
      </c>
      <c r="Y20" s="131">
        <f t="shared" ref="Y20:Y24" si="46">SUM(K20:N20)</f>
        <v>0</v>
      </c>
      <c r="Z20" s="131">
        <f t="shared" ref="Z20:Z24" si="47">SUM(L20:O20)</f>
        <v>0</v>
      </c>
      <c r="AA20" s="131">
        <f t="shared" ref="AA20:AA24" si="48">SUM(M20:P20)</f>
        <v>0</v>
      </c>
      <c r="AB20" s="131">
        <f t="shared" ref="AB20:AB24" si="49">SUM(N20:Q20)</f>
        <v>0</v>
      </c>
      <c r="AC20" s="131">
        <f t="shared" ref="AC20:AC24" si="50">SUM(O20:R20)</f>
        <v>0</v>
      </c>
      <c r="AD20" s="131">
        <f t="shared" ref="AD20:AD24" si="51">SUM(P20:S20)</f>
        <v>0</v>
      </c>
      <c r="AE20" s="131">
        <f t="shared" ref="AE20:AE24" si="52">SUM(Q20:T20)</f>
        <v>0</v>
      </c>
      <c r="AG20" s="108" t="e">
        <f>SUM(AE20/AA20)-1</f>
        <v>#DIV/0!</v>
      </c>
    </row>
    <row r="21" spans="2:33" ht="12.75" customHeight="1">
      <c r="B21" s="21" t="s">
        <v>115</v>
      </c>
      <c r="C21" s="132"/>
      <c r="D21" s="132"/>
      <c r="E21" s="132"/>
      <c r="F21" s="132"/>
      <c r="G21" s="80"/>
      <c r="H21" s="132"/>
      <c r="I21" s="132"/>
      <c r="J21" s="132"/>
      <c r="K21" s="132"/>
      <c r="L21" s="132"/>
      <c r="M21" s="132"/>
      <c r="N21" s="132"/>
      <c r="O21" s="132"/>
      <c r="P21" s="132"/>
      <c r="Q21" s="132"/>
      <c r="R21" s="132"/>
      <c r="S21" s="132"/>
      <c r="T21" s="132"/>
      <c r="U21" s="5"/>
      <c r="V21" s="131">
        <f t="shared" ref="V21:V23" si="53">SUM(H21:K21)</f>
        <v>0</v>
      </c>
      <c r="W21" s="131">
        <f t="shared" ref="W21:W23" si="54">SUM(I21:L21)</f>
        <v>0</v>
      </c>
      <c r="X21" s="131">
        <f t="shared" ref="X21:X23" si="55">SUM(J21:M21)</f>
        <v>0</v>
      </c>
      <c r="Y21" s="131">
        <f t="shared" ref="Y21:Y23" si="56">SUM(K21:N21)</f>
        <v>0</v>
      </c>
      <c r="Z21" s="131">
        <f t="shared" ref="Z21:Z23" si="57">SUM(L21:O21)</f>
        <v>0</v>
      </c>
      <c r="AA21" s="131">
        <f t="shared" ref="AA21:AA23" si="58">SUM(M21:P21)</f>
        <v>0</v>
      </c>
      <c r="AB21" s="131">
        <f t="shared" ref="AB21:AB23" si="59">SUM(N21:Q21)</f>
        <v>0</v>
      </c>
      <c r="AC21" s="131">
        <f t="shared" ref="AC21:AC23" si="60">SUM(O21:R21)</f>
        <v>0</v>
      </c>
      <c r="AD21" s="131">
        <f t="shared" ref="AD21:AD23" si="61">SUM(P21:S21)</f>
        <v>0</v>
      </c>
      <c r="AE21" s="131">
        <f t="shared" ref="AE21:AE23" si="62">SUM(Q21:T21)</f>
        <v>0</v>
      </c>
      <c r="AG21" s="108" t="e">
        <f t="shared" ref="AG21:AG23" si="63">SUM(AE21/AA21)-1</f>
        <v>#DIV/0!</v>
      </c>
    </row>
    <row r="22" spans="2:33" ht="12.75" customHeight="1">
      <c r="B22" s="21" t="s">
        <v>115</v>
      </c>
      <c r="C22" s="132"/>
      <c r="D22" s="132"/>
      <c r="E22" s="132"/>
      <c r="F22" s="132"/>
      <c r="G22" s="80"/>
      <c r="H22" s="132"/>
      <c r="I22" s="132"/>
      <c r="J22" s="132"/>
      <c r="K22" s="132"/>
      <c r="L22" s="132"/>
      <c r="M22" s="132"/>
      <c r="N22" s="132"/>
      <c r="O22" s="132"/>
      <c r="P22" s="132"/>
      <c r="Q22" s="132"/>
      <c r="R22" s="132"/>
      <c r="S22" s="132"/>
      <c r="T22" s="132"/>
      <c r="U22" s="5"/>
      <c r="V22" s="131">
        <f t="shared" si="53"/>
        <v>0</v>
      </c>
      <c r="W22" s="131">
        <f t="shared" si="54"/>
        <v>0</v>
      </c>
      <c r="X22" s="131">
        <f t="shared" si="55"/>
        <v>0</v>
      </c>
      <c r="Y22" s="131">
        <f t="shared" si="56"/>
        <v>0</v>
      </c>
      <c r="Z22" s="131">
        <f t="shared" si="57"/>
        <v>0</v>
      </c>
      <c r="AA22" s="131">
        <f t="shared" si="58"/>
        <v>0</v>
      </c>
      <c r="AB22" s="131">
        <f t="shared" si="59"/>
        <v>0</v>
      </c>
      <c r="AC22" s="131">
        <f t="shared" si="60"/>
        <v>0</v>
      </c>
      <c r="AD22" s="131">
        <f t="shared" si="61"/>
        <v>0</v>
      </c>
      <c r="AE22" s="131">
        <f t="shared" si="62"/>
        <v>0</v>
      </c>
      <c r="AG22" s="108" t="e">
        <f t="shared" si="63"/>
        <v>#DIV/0!</v>
      </c>
    </row>
    <row r="23" spans="2:33" ht="12.75" customHeight="1">
      <c r="B23" s="21" t="s">
        <v>115</v>
      </c>
      <c r="C23" s="132"/>
      <c r="D23" s="132"/>
      <c r="E23" s="132"/>
      <c r="F23" s="132"/>
      <c r="G23" s="80"/>
      <c r="H23" s="132"/>
      <c r="I23" s="132"/>
      <c r="J23" s="132"/>
      <c r="K23" s="132"/>
      <c r="L23" s="132"/>
      <c r="M23" s="132"/>
      <c r="N23" s="132"/>
      <c r="O23" s="132"/>
      <c r="P23" s="132"/>
      <c r="Q23" s="132"/>
      <c r="R23" s="132"/>
      <c r="S23" s="132"/>
      <c r="T23" s="132"/>
      <c r="U23" s="5"/>
      <c r="V23" s="131">
        <f t="shared" si="53"/>
        <v>0</v>
      </c>
      <c r="W23" s="131">
        <f t="shared" si="54"/>
        <v>0</v>
      </c>
      <c r="X23" s="131">
        <f t="shared" si="55"/>
        <v>0</v>
      </c>
      <c r="Y23" s="131">
        <f t="shared" si="56"/>
        <v>0</v>
      </c>
      <c r="Z23" s="131">
        <f t="shared" si="57"/>
        <v>0</v>
      </c>
      <c r="AA23" s="131">
        <f t="shared" si="58"/>
        <v>0</v>
      </c>
      <c r="AB23" s="131">
        <f t="shared" si="59"/>
        <v>0</v>
      </c>
      <c r="AC23" s="131">
        <f t="shared" si="60"/>
        <v>0</v>
      </c>
      <c r="AD23" s="131">
        <f t="shared" si="61"/>
        <v>0</v>
      </c>
      <c r="AE23" s="131">
        <f t="shared" si="62"/>
        <v>0</v>
      </c>
      <c r="AG23" s="108" t="e">
        <f t="shared" si="63"/>
        <v>#DIV/0!</v>
      </c>
    </row>
    <row r="24" spans="2:33" ht="12.75" customHeight="1">
      <c r="B24" s="21" t="s">
        <v>115</v>
      </c>
      <c r="C24" s="132"/>
      <c r="D24" s="132"/>
      <c r="E24" s="132"/>
      <c r="F24" s="132"/>
      <c r="G24" s="80"/>
      <c r="H24" s="132"/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32"/>
      <c r="T24" s="132"/>
      <c r="U24" s="5"/>
      <c r="V24" s="131">
        <f t="shared" si="43"/>
        <v>0</v>
      </c>
      <c r="W24" s="131">
        <f t="shared" si="44"/>
        <v>0</v>
      </c>
      <c r="X24" s="131">
        <f t="shared" si="45"/>
        <v>0</v>
      </c>
      <c r="Y24" s="131">
        <f t="shared" si="46"/>
        <v>0</v>
      </c>
      <c r="Z24" s="131">
        <f t="shared" si="47"/>
        <v>0</v>
      </c>
      <c r="AA24" s="131">
        <f t="shared" si="48"/>
        <v>0</v>
      </c>
      <c r="AB24" s="131">
        <f t="shared" si="49"/>
        <v>0</v>
      </c>
      <c r="AC24" s="131">
        <f t="shared" si="50"/>
        <v>0</v>
      </c>
      <c r="AD24" s="131">
        <f t="shared" si="51"/>
        <v>0</v>
      </c>
      <c r="AE24" s="131">
        <f t="shared" si="52"/>
        <v>0</v>
      </c>
      <c r="AG24" s="108" t="e">
        <f>SUM(AE24/AA24)-1</f>
        <v>#DIV/0!</v>
      </c>
    </row>
    <row r="25" spans="2:33" ht="12.75" customHeight="1">
      <c r="B25" s="12" t="s">
        <v>33</v>
      </c>
      <c r="C25" s="13">
        <f>SUM(C17+SUM(C20:C24))</f>
        <v>0</v>
      </c>
      <c r="D25" s="13">
        <f>SUM(D17+SUM(D20:D24))</f>
        <v>0</v>
      </c>
      <c r="E25" s="13">
        <f>SUM(E17+SUM(E20:E24))</f>
        <v>0</v>
      </c>
      <c r="F25" s="13">
        <f>SUM(F17+SUM(F20:F24))</f>
        <v>0</v>
      </c>
      <c r="G25" s="11"/>
      <c r="H25" s="13">
        <f t="shared" ref="H25:S25" si="64">SUM(H17+SUM(H20:H24))</f>
        <v>0</v>
      </c>
      <c r="I25" s="13">
        <f t="shared" si="64"/>
        <v>0</v>
      </c>
      <c r="J25" s="13">
        <f t="shared" si="64"/>
        <v>0</v>
      </c>
      <c r="K25" s="13">
        <f t="shared" si="64"/>
        <v>0</v>
      </c>
      <c r="L25" s="13">
        <f t="shared" si="64"/>
        <v>0</v>
      </c>
      <c r="M25" s="13">
        <f t="shared" si="64"/>
        <v>0</v>
      </c>
      <c r="N25" s="13">
        <f t="shared" si="64"/>
        <v>0</v>
      </c>
      <c r="O25" s="13">
        <f t="shared" si="64"/>
        <v>0</v>
      </c>
      <c r="P25" s="13">
        <f t="shared" si="64"/>
        <v>0</v>
      </c>
      <c r="Q25" s="13">
        <f t="shared" si="64"/>
        <v>0</v>
      </c>
      <c r="R25" s="13">
        <f t="shared" si="64"/>
        <v>0</v>
      </c>
      <c r="S25" s="13">
        <f t="shared" si="64"/>
        <v>0</v>
      </c>
      <c r="T25" s="13">
        <f t="shared" ref="T25" si="65">SUM(T17+SUM(T20:T24))</f>
        <v>0</v>
      </c>
      <c r="U25" s="5"/>
      <c r="V25" s="13">
        <f t="shared" ref="V25:AE25" si="66">SUM(V17+SUM(V20:V24))</f>
        <v>0</v>
      </c>
      <c r="W25" s="13">
        <f t="shared" si="66"/>
        <v>0</v>
      </c>
      <c r="X25" s="13">
        <f t="shared" si="66"/>
        <v>0</v>
      </c>
      <c r="Y25" s="13">
        <f t="shared" si="66"/>
        <v>0</v>
      </c>
      <c r="Z25" s="13">
        <f t="shared" si="66"/>
        <v>0</v>
      </c>
      <c r="AA25" s="13">
        <f t="shared" si="66"/>
        <v>0</v>
      </c>
      <c r="AB25" s="13">
        <f t="shared" si="66"/>
        <v>0</v>
      </c>
      <c r="AC25" s="13">
        <f t="shared" si="66"/>
        <v>0</v>
      </c>
      <c r="AD25" s="13">
        <f t="shared" si="66"/>
        <v>0</v>
      </c>
      <c r="AE25" s="13">
        <f t="shared" si="66"/>
        <v>0</v>
      </c>
      <c r="AG25" s="109" t="e">
        <f>SUM(AE25/AA25)-1</f>
        <v>#DIV/0!</v>
      </c>
    </row>
    <row r="26" spans="2:33" ht="12.75" customHeight="1">
      <c r="B26" s="14" t="s">
        <v>34</v>
      </c>
      <c r="C26" s="15" t="e">
        <f>C25/C12</f>
        <v>#DIV/0!</v>
      </c>
      <c r="D26" s="15" t="e">
        <f>D25/D12</f>
        <v>#DIV/0!</v>
      </c>
      <c r="E26" s="15" t="e">
        <f>E25/E12</f>
        <v>#DIV/0!</v>
      </c>
      <c r="F26" s="15" t="e">
        <f>F25/F12</f>
        <v>#DIV/0!</v>
      </c>
      <c r="G26" s="25"/>
      <c r="H26" s="15" t="e">
        <f t="shared" ref="H26:S26" si="67">H25/H12</f>
        <v>#DIV/0!</v>
      </c>
      <c r="I26" s="15" t="e">
        <f t="shared" si="67"/>
        <v>#DIV/0!</v>
      </c>
      <c r="J26" s="15" t="e">
        <f t="shared" si="67"/>
        <v>#DIV/0!</v>
      </c>
      <c r="K26" s="15" t="e">
        <f t="shared" si="67"/>
        <v>#DIV/0!</v>
      </c>
      <c r="L26" s="15" t="e">
        <f t="shared" si="67"/>
        <v>#DIV/0!</v>
      </c>
      <c r="M26" s="15" t="e">
        <f t="shared" si="67"/>
        <v>#DIV/0!</v>
      </c>
      <c r="N26" s="15" t="e">
        <f t="shared" si="67"/>
        <v>#DIV/0!</v>
      </c>
      <c r="O26" s="15" t="e">
        <f t="shared" si="67"/>
        <v>#DIV/0!</v>
      </c>
      <c r="P26" s="15" t="e">
        <f t="shared" si="67"/>
        <v>#DIV/0!</v>
      </c>
      <c r="Q26" s="15" t="e">
        <f t="shared" si="67"/>
        <v>#DIV/0!</v>
      </c>
      <c r="R26" s="15" t="e">
        <f t="shared" si="67"/>
        <v>#DIV/0!</v>
      </c>
      <c r="S26" s="15" t="e">
        <f t="shared" si="67"/>
        <v>#DIV/0!</v>
      </c>
      <c r="T26" s="15" t="e">
        <f t="shared" ref="T26" si="68">T25/T12</f>
        <v>#DIV/0!</v>
      </c>
      <c r="U26" s="26"/>
      <c r="V26" s="15" t="e">
        <f t="shared" ref="V26:AE26" si="69">V25/V12</f>
        <v>#DIV/0!</v>
      </c>
      <c r="W26" s="15" t="e">
        <f t="shared" si="69"/>
        <v>#DIV/0!</v>
      </c>
      <c r="X26" s="15" t="e">
        <f t="shared" si="69"/>
        <v>#DIV/0!</v>
      </c>
      <c r="Y26" s="15" t="e">
        <f t="shared" si="69"/>
        <v>#DIV/0!</v>
      </c>
      <c r="Z26" s="15" t="e">
        <f t="shared" si="69"/>
        <v>#DIV/0!</v>
      </c>
      <c r="AA26" s="15" t="e">
        <f t="shared" si="69"/>
        <v>#DIV/0!</v>
      </c>
      <c r="AB26" s="15" t="e">
        <f t="shared" si="69"/>
        <v>#DIV/0!</v>
      </c>
      <c r="AC26" s="15" t="e">
        <f t="shared" si="69"/>
        <v>#DIV/0!</v>
      </c>
      <c r="AD26" s="15" t="e">
        <f t="shared" si="69"/>
        <v>#DIV/0!</v>
      </c>
      <c r="AE26" s="15" t="e">
        <f t="shared" si="69"/>
        <v>#DIV/0!</v>
      </c>
      <c r="AG26" s="110" t="e">
        <f>SUM(AE26-AA26)*10000</f>
        <v>#DIV/0!</v>
      </c>
    </row>
    <row r="27" spans="2:33" ht="5.0999999999999996" customHeight="1">
      <c r="AG27" s="107"/>
    </row>
    <row r="28" spans="2:33" ht="12.75" customHeight="1">
      <c r="B28" s="29" t="s">
        <v>99</v>
      </c>
      <c r="C28" s="132"/>
      <c r="D28" s="132"/>
      <c r="E28" s="132"/>
      <c r="F28" s="132"/>
      <c r="H28" s="132"/>
      <c r="I28" s="132"/>
      <c r="J28" s="132"/>
      <c r="K28" s="132"/>
      <c r="L28" s="132"/>
      <c r="M28" s="132"/>
      <c r="N28" s="132"/>
      <c r="O28" s="132"/>
      <c r="P28" s="132"/>
      <c r="Q28" s="132"/>
      <c r="R28" s="132"/>
      <c r="S28" s="132"/>
      <c r="T28" s="132"/>
      <c r="V28" s="131">
        <f t="shared" ref="V28" si="70">SUM(H28:K28)</f>
        <v>0</v>
      </c>
      <c r="W28" s="131">
        <f t="shared" ref="W28" si="71">SUM(I28:L28)</f>
        <v>0</v>
      </c>
      <c r="X28" s="131">
        <f t="shared" ref="X28" si="72">SUM(J28:M28)</f>
        <v>0</v>
      </c>
      <c r="Y28" s="131">
        <f t="shared" ref="Y28" si="73">SUM(K28:N28)</f>
        <v>0</v>
      </c>
      <c r="Z28" s="131">
        <f t="shared" ref="Z28" si="74">SUM(L28:O28)</f>
        <v>0</v>
      </c>
      <c r="AA28" s="131">
        <f t="shared" ref="AA28" si="75">SUM(M28:P28)</f>
        <v>0</v>
      </c>
      <c r="AB28" s="131">
        <f t="shared" ref="AB28" si="76">SUM(N28:Q28)</f>
        <v>0</v>
      </c>
      <c r="AC28" s="131">
        <f t="shared" ref="AC28" si="77">SUM(O28:R28)</f>
        <v>0</v>
      </c>
      <c r="AD28" s="131">
        <f t="shared" ref="AD28" si="78">SUM(P28:S28)</f>
        <v>0</v>
      </c>
      <c r="AE28" s="131">
        <f>SUM(Q28:T28)</f>
        <v>0</v>
      </c>
      <c r="AG28" s="108" t="e">
        <f>SUM(AE28/AA28)-1</f>
        <v>#DIV/0!</v>
      </c>
    </row>
    <row r="29" spans="2:33" ht="12.75" customHeight="1">
      <c r="B29" s="23" t="s">
        <v>11</v>
      </c>
      <c r="C29" s="24">
        <f t="shared" ref="C29:F29" si="79">SUM(C25+SUM(C28:C28))</f>
        <v>0</v>
      </c>
      <c r="D29" s="24">
        <f t="shared" si="79"/>
        <v>0</v>
      </c>
      <c r="E29" s="24">
        <f t="shared" si="79"/>
        <v>0</v>
      </c>
      <c r="F29" s="24">
        <f t="shared" si="79"/>
        <v>0</v>
      </c>
      <c r="H29" s="24">
        <f t="shared" ref="H29:Q29" si="80">SUM(H25+SUM(H28:H28))</f>
        <v>0</v>
      </c>
      <c r="I29" s="24">
        <f t="shared" si="80"/>
        <v>0</v>
      </c>
      <c r="J29" s="24">
        <f t="shared" si="80"/>
        <v>0</v>
      </c>
      <c r="K29" s="24">
        <f t="shared" si="80"/>
        <v>0</v>
      </c>
      <c r="L29" s="24">
        <f t="shared" si="80"/>
        <v>0</v>
      </c>
      <c r="M29" s="24">
        <f t="shared" si="80"/>
        <v>0</v>
      </c>
      <c r="N29" s="24">
        <f t="shared" si="80"/>
        <v>0</v>
      </c>
      <c r="O29" s="24">
        <f t="shared" si="80"/>
        <v>0</v>
      </c>
      <c r="P29" s="24">
        <f t="shared" si="80"/>
        <v>0</v>
      </c>
      <c r="Q29" s="24">
        <f t="shared" si="80"/>
        <v>0</v>
      </c>
      <c r="R29" s="24">
        <f t="shared" ref="R29:S29" si="81">SUM(R25+SUM(R28:R28))</f>
        <v>0</v>
      </c>
      <c r="S29" s="24">
        <f t="shared" si="81"/>
        <v>0</v>
      </c>
      <c r="T29" s="24">
        <f t="shared" ref="T29" si="82">SUM(T25+SUM(T28:T28))</f>
        <v>0</v>
      </c>
      <c r="V29" s="24">
        <f t="shared" ref="V29" si="83">SUM(V25+SUM(V28:V28))</f>
        <v>0</v>
      </c>
      <c r="W29" s="24">
        <f t="shared" ref="W29:AE29" si="84">SUM(W25+SUM(W28:W28))</f>
        <v>0</v>
      </c>
      <c r="X29" s="24">
        <f t="shared" si="84"/>
        <v>0</v>
      </c>
      <c r="Y29" s="24">
        <f t="shared" si="84"/>
        <v>0</v>
      </c>
      <c r="Z29" s="24">
        <f t="shared" si="84"/>
        <v>0</v>
      </c>
      <c r="AA29" s="24">
        <f t="shared" si="84"/>
        <v>0</v>
      </c>
      <c r="AB29" s="24">
        <f t="shared" si="84"/>
        <v>0</v>
      </c>
      <c r="AC29" s="24">
        <f t="shared" si="84"/>
        <v>0</v>
      </c>
      <c r="AD29" s="24">
        <f t="shared" si="84"/>
        <v>0</v>
      </c>
      <c r="AE29" s="24">
        <f t="shared" si="84"/>
        <v>0</v>
      </c>
      <c r="AG29" s="109" t="e">
        <f>SUM(AE29/AA29)-1</f>
        <v>#DIV/0!</v>
      </c>
    </row>
    <row r="30" spans="2:33" ht="12.75" customHeight="1">
      <c r="B30" s="14" t="s">
        <v>35</v>
      </c>
      <c r="C30" s="15" t="e">
        <f>C29/C12</f>
        <v>#DIV/0!</v>
      </c>
      <c r="D30" s="15" t="e">
        <f>D29/D12</f>
        <v>#DIV/0!</v>
      </c>
      <c r="E30" s="15" t="e">
        <f>E29/E12</f>
        <v>#DIV/0!</v>
      </c>
      <c r="F30" s="15" t="e">
        <f>F29/F12</f>
        <v>#DIV/0!</v>
      </c>
      <c r="H30" s="15" t="e">
        <f t="shared" ref="H30:S30" si="85">H29/H12</f>
        <v>#DIV/0!</v>
      </c>
      <c r="I30" s="15" t="e">
        <f t="shared" si="85"/>
        <v>#DIV/0!</v>
      </c>
      <c r="J30" s="15" t="e">
        <f t="shared" si="85"/>
        <v>#DIV/0!</v>
      </c>
      <c r="K30" s="15" t="e">
        <f t="shared" si="85"/>
        <v>#DIV/0!</v>
      </c>
      <c r="L30" s="15" t="e">
        <f t="shared" si="85"/>
        <v>#DIV/0!</v>
      </c>
      <c r="M30" s="15" t="e">
        <f t="shared" si="85"/>
        <v>#DIV/0!</v>
      </c>
      <c r="N30" s="15" t="e">
        <f t="shared" si="85"/>
        <v>#DIV/0!</v>
      </c>
      <c r="O30" s="15" t="e">
        <f t="shared" si="85"/>
        <v>#DIV/0!</v>
      </c>
      <c r="P30" s="15" t="e">
        <f t="shared" si="85"/>
        <v>#DIV/0!</v>
      </c>
      <c r="Q30" s="15" t="e">
        <f t="shared" si="85"/>
        <v>#DIV/0!</v>
      </c>
      <c r="R30" s="15" t="e">
        <f t="shared" si="85"/>
        <v>#DIV/0!</v>
      </c>
      <c r="S30" s="15" t="e">
        <f t="shared" si="85"/>
        <v>#DIV/0!</v>
      </c>
      <c r="T30" s="15" t="e">
        <f t="shared" ref="T30" si="86">T29/T12</f>
        <v>#DIV/0!</v>
      </c>
      <c r="V30" s="15" t="e">
        <f t="shared" ref="V30:AE30" si="87">V29/V12</f>
        <v>#DIV/0!</v>
      </c>
      <c r="W30" s="15" t="e">
        <f t="shared" si="87"/>
        <v>#DIV/0!</v>
      </c>
      <c r="X30" s="15" t="e">
        <f t="shared" si="87"/>
        <v>#DIV/0!</v>
      </c>
      <c r="Y30" s="15" t="e">
        <f t="shared" si="87"/>
        <v>#DIV/0!</v>
      </c>
      <c r="Z30" s="15" t="e">
        <f t="shared" si="87"/>
        <v>#DIV/0!</v>
      </c>
      <c r="AA30" s="15" t="e">
        <f t="shared" si="87"/>
        <v>#DIV/0!</v>
      </c>
      <c r="AB30" s="15" t="e">
        <f t="shared" si="87"/>
        <v>#DIV/0!</v>
      </c>
      <c r="AC30" s="15" t="e">
        <f t="shared" si="87"/>
        <v>#DIV/0!</v>
      </c>
      <c r="AD30" s="15" t="e">
        <f t="shared" si="87"/>
        <v>#DIV/0!</v>
      </c>
      <c r="AE30" s="15" t="e">
        <f t="shared" si="87"/>
        <v>#DIV/0!</v>
      </c>
      <c r="AG30" s="110" t="e">
        <f>SUM(AE30-AA30)*10000</f>
        <v>#DIV/0!</v>
      </c>
    </row>
    <row r="31" spans="2:33" ht="5.0999999999999996" customHeight="1">
      <c r="AG31" s="107"/>
    </row>
    <row r="32" spans="2:33" ht="12.75" customHeight="1">
      <c r="B32" s="29" t="s">
        <v>100</v>
      </c>
      <c r="C32" s="132"/>
      <c r="D32" s="132"/>
      <c r="E32" s="132"/>
      <c r="F32" s="132"/>
      <c r="H32" s="132"/>
      <c r="I32" s="132"/>
      <c r="J32" s="132"/>
      <c r="K32" s="132"/>
      <c r="L32" s="132"/>
      <c r="M32" s="132"/>
      <c r="N32" s="132"/>
      <c r="O32" s="132"/>
      <c r="P32" s="132"/>
      <c r="Q32" s="132"/>
      <c r="R32" s="132"/>
      <c r="S32" s="132"/>
      <c r="T32" s="132"/>
      <c r="V32" s="131">
        <f t="shared" ref="V32:V33" si="88">SUM(H32:K32)</f>
        <v>0</v>
      </c>
      <c r="W32" s="131">
        <f t="shared" ref="W32:W33" si="89">SUM(I32:L32)</f>
        <v>0</v>
      </c>
      <c r="X32" s="131">
        <f t="shared" ref="X32:X33" si="90">SUM(J32:M32)</f>
        <v>0</v>
      </c>
      <c r="Y32" s="131">
        <f t="shared" ref="Y32:Y33" si="91">SUM(K32:N32)</f>
        <v>0</v>
      </c>
      <c r="Z32" s="131">
        <f t="shared" ref="Z32:Z33" si="92">SUM(L32:O32)</f>
        <v>0</v>
      </c>
      <c r="AA32" s="131">
        <f t="shared" ref="AA32:AA33" si="93">SUM(M32:P32)</f>
        <v>0</v>
      </c>
      <c r="AB32" s="131">
        <f t="shared" ref="AB32:AB33" si="94">SUM(N32:Q32)</f>
        <v>0</v>
      </c>
      <c r="AC32" s="131">
        <f t="shared" ref="AC32:AC33" si="95">SUM(O32:R32)</f>
        <v>0</v>
      </c>
      <c r="AD32" s="131">
        <f t="shared" ref="AD32:AD33" si="96">SUM(P32:S32)</f>
        <v>0</v>
      </c>
      <c r="AE32" s="131">
        <f t="shared" ref="AE32:AE33" si="97">SUM(Q32:T32)</f>
        <v>0</v>
      </c>
      <c r="AG32" s="108" t="e">
        <f>SUM(AE32/AA32)-1</f>
        <v>#DIV/0!</v>
      </c>
    </row>
    <row r="33" spans="2:33" ht="12.75" customHeight="1">
      <c r="B33" s="29" t="s">
        <v>114</v>
      </c>
      <c r="C33" s="135"/>
      <c r="D33" s="135"/>
      <c r="E33" s="135"/>
      <c r="F33" s="135"/>
      <c r="H33" s="135"/>
      <c r="I33" s="135"/>
      <c r="J33" s="135"/>
      <c r="K33" s="135"/>
      <c r="L33" s="135"/>
      <c r="M33" s="135"/>
      <c r="N33" s="135"/>
      <c r="O33" s="135"/>
      <c r="P33" s="135"/>
      <c r="Q33" s="135"/>
      <c r="R33" s="135"/>
      <c r="S33" s="135"/>
      <c r="T33" s="135"/>
      <c r="V33" s="131">
        <f t="shared" si="88"/>
        <v>0</v>
      </c>
      <c r="W33" s="131">
        <f t="shared" si="89"/>
        <v>0</v>
      </c>
      <c r="X33" s="131">
        <f t="shared" si="90"/>
        <v>0</v>
      </c>
      <c r="Y33" s="131">
        <f t="shared" si="91"/>
        <v>0</v>
      </c>
      <c r="Z33" s="131">
        <f t="shared" si="92"/>
        <v>0</v>
      </c>
      <c r="AA33" s="131">
        <f t="shared" si="93"/>
        <v>0</v>
      </c>
      <c r="AB33" s="131">
        <f t="shared" si="94"/>
        <v>0</v>
      </c>
      <c r="AC33" s="131">
        <f t="shared" si="95"/>
        <v>0</v>
      </c>
      <c r="AD33" s="131">
        <f t="shared" si="96"/>
        <v>0</v>
      </c>
      <c r="AE33" s="131">
        <f t="shared" si="97"/>
        <v>0</v>
      </c>
      <c r="AG33" s="108" t="e">
        <f>SUM(AE33/AA33)-1</f>
        <v>#DIV/0!</v>
      </c>
    </row>
    <row r="34" spans="2:33" ht="12.75" customHeight="1">
      <c r="B34" s="12" t="s">
        <v>36</v>
      </c>
      <c r="C34" s="13">
        <f t="shared" ref="C34:F34" si="98">+SUM(C29+SUM(C32:C32))</f>
        <v>0</v>
      </c>
      <c r="D34" s="13">
        <f t="shared" si="98"/>
        <v>0</v>
      </c>
      <c r="E34" s="13">
        <f t="shared" si="98"/>
        <v>0</v>
      </c>
      <c r="F34" s="13">
        <f t="shared" si="98"/>
        <v>0</v>
      </c>
      <c r="G34" s="11"/>
      <c r="H34" s="13">
        <f>+SUM(H29+SUM(H32:H32))</f>
        <v>0</v>
      </c>
      <c r="I34" s="13">
        <f>+SUM(I29+SUM(I32:I32))</f>
        <v>0</v>
      </c>
      <c r="J34" s="13">
        <f>+SUM(J29+SUM(J32:J32))</f>
        <v>0</v>
      </c>
      <c r="K34" s="13">
        <f>+SUM(K29+SUM(K32:K32))</f>
        <v>0</v>
      </c>
      <c r="L34" s="13">
        <f t="shared" ref="L34:Q34" si="99">+SUM(L29+SUM(L32:L32))</f>
        <v>0</v>
      </c>
      <c r="M34" s="13">
        <f t="shared" si="99"/>
        <v>0</v>
      </c>
      <c r="N34" s="13">
        <f t="shared" si="99"/>
        <v>0</v>
      </c>
      <c r="O34" s="13">
        <f t="shared" si="99"/>
        <v>0</v>
      </c>
      <c r="P34" s="13">
        <f t="shared" si="99"/>
        <v>0</v>
      </c>
      <c r="Q34" s="13">
        <f t="shared" si="99"/>
        <v>0</v>
      </c>
      <c r="R34" s="13">
        <f t="shared" ref="R34:S34" si="100">+SUM(R29+SUM(R32:R32))</f>
        <v>0</v>
      </c>
      <c r="S34" s="13">
        <f t="shared" si="100"/>
        <v>0</v>
      </c>
      <c r="T34" s="13">
        <f t="shared" ref="T34" si="101">+SUM(T29+SUM(T32:T32))</f>
        <v>0</v>
      </c>
      <c r="V34" s="13">
        <f t="shared" ref="V34" si="102">+SUM(V29+SUM(V32:V32))</f>
        <v>0</v>
      </c>
      <c r="W34" s="13">
        <f t="shared" ref="W34:AE34" si="103">+SUM(W29+SUM(W32:W32))</f>
        <v>0</v>
      </c>
      <c r="X34" s="13">
        <f t="shared" si="103"/>
        <v>0</v>
      </c>
      <c r="Y34" s="13">
        <f t="shared" si="103"/>
        <v>0</v>
      </c>
      <c r="Z34" s="13">
        <f t="shared" si="103"/>
        <v>0</v>
      </c>
      <c r="AA34" s="13">
        <f t="shared" si="103"/>
        <v>0</v>
      </c>
      <c r="AB34" s="13">
        <f t="shared" si="103"/>
        <v>0</v>
      </c>
      <c r="AC34" s="13">
        <f t="shared" si="103"/>
        <v>0</v>
      </c>
      <c r="AD34" s="13">
        <f t="shared" si="103"/>
        <v>0</v>
      </c>
      <c r="AE34" s="13">
        <f t="shared" si="103"/>
        <v>0</v>
      </c>
      <c r="AG34" s="109" t="e">
        <f>SUM(AE34/AA34)-1</f>
        <v>#DIV/0!</v>
      </c>
    </row>
    <row r="35" spans="2:33" ht="12.75" customHeight="1">
      <c r="B35" s="14" t="s">
        <v>37</v>
      </c>
      <c r="C35" s="15" t="e">
        <f>C34/C12</f>
        <v>#DIV/0!</v>
      </c>
      <c r="D35" s="15" t="e">
        <f>D34/D12</f>
        <v>#DIV/0!</v>
      </c>
      <c r="E35" s="15" t="e">
        <f>E34/E12</f>
        <v>#DIV/0!</v>
      </c>
      <c r="F35" s="15" t="e">
        <f>F34/F12</f>
        <v>#DIV/0!</v>
      </c>
      <c r="H35" s="15" t="e">
        <f t="shared" ref="H35:S35" si="104">H34/H12</f>
        <v>#DIV/0!</v>
      </c>
      <c r="I35" s="15" t="e">
        <f t="shared" si="104"/>
        <v>#DIV/0!</v>
      </c>
      <c r="J35" s="15" t="e">
        <f t="shared" si="104"/>
        <v>#DIV/0!</v>
      </c>
      <c r="K35" s="15" t="e">
        <f t="shared" si="104"/>
        <v>#DIV/0!</v>
      </c>
      <c r="L35" s="15" t="e">
        <f t="shared" si="104"/>
        <v>#DIV/0!</v>
      </c>
      <c r="M35" s="15" t="e">
        <f t="shared" si="104"/>
        <v>#DIV/0!</v>
      </c>
      <c r="N35" s="15" t="e">
        <f t="shared" si="104"/>
        <v>#DIV/0!</v>
      </c>
      <c r="O35" s="15" t="e">
        <f t="shared" si="104"/>
        <v>#DIV/0!</v>
      </c>
      <c r="P35" s="15" t="e">
        <f t="shared" si="104"/>
        <v>#DIV/0!</v>
      </c>
      <c r="Q35" s="15" t="e">
        <f t="shared" si="104"/>
        <v>#DIV/0!</v>
      </c>
      <c r="R35" s="15" t="e">
        <f t="shared" si="104"/>
        <v>#DIV/0!</v>
      </c>
      <c r="S35" s="15" t="e">
        <f t="shared" si="104"/>
        <v>#DIV/0!</v>
      </c>
      <c r="T35" s="15" t="e">
        <f t="shared" ref="T35" si="105">T34/T12</f>
        <v>#DIV/0!</v>
      </c>
      <c r="V35" s="15" t="e">
        <f t="shared" ref="V35:AE35" si="106">V34/V12</f>
        <v>#DIV/0!</v>
      </c>
      <c r="W35" s="15" t="e">
        <f t="shared" si="106"/>
        <v>#DIV/0!</v>
      </c>
      <c r="X35" s="15" t="e">
        <f t="shared" si="106"/>
        <v>#DIV/0!</v>
      </c>
      <c r="Y35" s="15" t="e">
        <f t="shared" si="106"/>
        <v>#DIV/0!</v>
      </c>
      <c r="Z35" s="15" t="e">
        <f t="shared" si="106"/>
        <v>#DIV/0!</v>
      </c>
      <c r="AA35" s="15" t="e">
        <f t="shared" si="106"/>
        <v>#DIV/0!</v>
      </c>
      <c r="AB35" s="15" t="e">
        <f t="shared" si="106"/>
        <v>#DIV/0!</v>
      </c>
      <c r="AC35" s="15" t="e">
        <f t="shared" si="106"/>
        <v>#DIV/0!</v>
      </c>
      <c r="AD35" s="15" t="e">
        <f t="shared" si="106"/>
        <v>#DIV/0!</v>
      </c>
      <c r="AE35" s="15" t="e">
        <f t="shared" si="106"/>
        <v>#DIV/0!</v>
      </c>
      <c r="AG35" s="110" t="e">
        <f>SUM(AE35-AA35)*10000</f>
        <v>#DIV/0!</v>
      </c>
    </row>
    <row r="36" spans="2:33" ht="5.0999999999999996" customHeight="1">
      <c r="AG36" s="107"/>
    </row>
    <row r="37" spans="2:33" ht="12.75" customHeight="1">
      <c r="B37" s="21" t="s">
        <v>38</v>
      </c>
      <c r="C37" s="132"/>
      <c r="D37" s="132"/>
      <c r="E37" s="132"/>
      <c r="F37" s="132"/>
      <c r="H37" s="132"/>
      <c r="I37" s="132"/>
      <c r="J37" s="132"/>
      <c r="K37" s="132"/>
      <c r="L37" s="132"/>
      <c r="M37" s="132"/>
      <c r="N37" s="132"/>
      <c r="O37" s="132"/>
      <c r="P37" s="132"/>
      <c r="Q37" s="132"/>
      <c r="R37" s="132"/>
      <c r="S37" s="132"/>
      <c r="T37" s="132"/>
      <c r="V37" s="131">
        <f t="shared" ref="V37:V41" si="107">SUM(H37:K37)</f>
        <v>0</v>
      </c>
      <c r="W37" s="131">
        <f t="shared" ref="W37:W41" si="108">SUM(I37:L37)</f>
        <v>0</v>
      </c>
      <c r="X37" s="131">
        <f t="shared" ref="X37:X41" si="109">SUM(J37:M37)</f>
        <v>0</v>
      </c>
      <c r="Y37" s="131">
        <f t="shared" ref="Y37:Y41" si="110">SUM(K37:N37)</f>
        <v>0</v>
      </c>
      <c r="Z37" s="131">
        <f t="shared" ref="Z37:Z41" si="111">SUM(L37:O37)</f>
        <v>0</v>
      </c>
      <c r="AA37" s="131">
        <f t="shared" ref="AA37:AA41" si="112">SUM(M37:P37)</f>
        <v>0</v>
      </c>
      <c r="AB37" s="131">
        <f t="shared" ref="AB37:AB41" si="113">SUM(N37:Q37)</f>
        <v>0</v>
      </c>
      <c r="AC37" s="131">
        <f t="shared" ref="AC37:AC41" si="114">SUM(O37:R37)</f>
        <v>0</v>
      </c>
      <c r="AD37" s="131">
        <f t="shared" ref="AD37:AD41" si="115">SUM(P37:S37)</f>
        <v>0</v>
      </c>
      <c r="AE37" s="131">
        <f t="shared" ref="AE37:AE41" si="116">SUM(Q37:T37)</f>
        <v>0</v>
      </c>
      <c r="AG37" s="108" t="e">
        <f t="shared" ref="AG37:AG42" si="117">SUM(AE37/AA37)-1</f>
        <v>#DIV/0!</v>
      </c>
    </row>
    <row r="38" spans="2:33" ht="12.75" customHeight="1">
      <c r="B38" s="21" t="s">
        <v>39</v>
      </c>
      <c r="C38" s="132"/>
      <c r="D38" s="132"/>
      <c r="E38" s="132"/>
      <c r="F38" s="132"/>
      <c r="H38" s="132"/>
      <c r="I38" s="132"/>
      <c r="J38" s="132"/>
      <c r="K38" s="132"/>
      <c r="L38" s="132"/>
      <c r="M38" s="132"/>
      <c r="N38" s="132"/>
      <c r="O38" s="132"/>
      <c r="P38" s="132"/>
      <c r="Q38" s="132"/>
      <c r="R38" s="132"/>
      <c r="S38" s="132"/>
      <c r="T38" s="132"/>
      <c r="V38" s="131">
        <f t="shared" si="107"/>
        <v>0</v>
      </c>
      <c r="W38" s="131">
        <f t="shared" si="108"/>
        <v>0</v>
      </c>
      <c r="X38" s="131">
        <f t="shared" si="109"/>
        <v>0</v>
      </c>
      <c r="Y38" s="131">
        <f t="shared" si="110"/>
        <v>0</v>
      </c>
      <c r="Z38" s="131">
        <f t="shared" si="111"/>
        <v>0</v>
      </c>
      <c r="AA38" s="131">
        <f t="shared" si="112"/>
        <v>0</v>
      </c>
      <c r="AB38" s="131">
        <f t="shared" si="113"/>
        <v>0</v>
      </c>
      <c r="AC38" s="131">
        <f t="shared" si="114"/>
        <v>0</v>
      </c>
      <c r="AD38" s="131">
        <f t="shared" si="115"/>
        <v>0</v>
      </c>
      <c r="AE38" s="131">
        <f t="shared" si="116"/>
        <v>0</v>
      </c>
      <c r="AG38" s="108" t="e">
        <f t="shared" si="117"/>
        <v>#DIV/0!</v>
      </c>
    </row>
    <row r="39" spans="2:33" ht="12.75" customHeight="1">
      <c r="B39" s="21" t="s">
        <v>75</v>
      </c>
      <c r="C39" s="132"/>
      <c r="D39" s="132"/>
      <c r="E39" s="132"/>
      <c r="F39" s="132"/>
      <c r="H39" s="132"/>
      <c r="I39" s="132"/>
      <c r="J39" s="132"/>
      <c r="K39" s="132"/>
      <c r="L39" s="132"/>
      <c r="M39" s="132"/>
      <c r="N39" s="132"/>
      <c r="O39" s="132"/>
      <c r="P39" s="132"/>
      <c r="Q39" s="132"/>
      <c r="R39" s="132"/>
      <c r="S39" s="132"/>
      <c r="T39" s="132"/>
      <c r="V39" s="131">
        <f t="shared" si="107"/>
        <v>0</v>
      </c>
      <c r="W39" s="131">
        <f t="shared" si="108"/>
        <v>0</v>
      </c>
      <c r="X39" s="131">
        <f t="shared" si="109"/>
        <v>0</v>
      </c>
      <c r="Y39" s="131">
        <f t="shared" si="110"/>
        <v>0</v>
      </c>
      <c r="Z39" s="131">
        <f t="shared" si="111"/>
        <v>0</v>
      </c>
      <c r="AA39" s="131">
        <f t="shared" si="112"/>
        <v>0</v>
      </c>
      <c r="AB39" s="131">
        <f t="shared" si="113"/>
        <v>0</v>
      </c>
      <c r="AC39" s="131">
        <f t="shared" si="114"/>
        <v>0</v>
      </c>
      <c r="AD39" s="131">
        <f t="shared" si="115"/>
        <v>0</v>
      </c>
      <c r="AE39" s="131">
        <f t="shared" si="116"/>
        <v>0</v>
      </c>
      <c r="AG39" s="108" t="e">
        <f t="shared" si="117"/>
        <v>#DIV/0!</v>
      </c>
    </row>
    <row r="40" spans="2:33" ht="12.75" customHeight="1">
      <c r="B40" s="21" t="s">
        <v>116</v>
      </c>
      <c r="C40" s="132"/>
      <c r="D40" s="132"/>
      <c r="E40" s="132"/>
      <c r="F40" s="132"/>
      <c r="H40" s="132"/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132"/>
      <c r="T40" s="132"/>
      <c r="V40" s="131">
        <f t="shared" ref="V40" si="118">SUM(H40:K40)</f>
        <v>0</v>
      </c>
      <c r="W40" s="131">
        <f t="shared" ref="W40" si="119">SUM(I40:L40)</f>
        <v>0</v>
      </c>
      <c r="X40" s="131">
        <f t="shared" ref="X40" si="120">SUM(J40:M40)</f>
        <v>0</v>
      </c>
      <c r="Y40" s="131">
        <f t="shared" ref="Y40" si="121">SUM(K40:N40)</f>
        <v>0</v>
      </c>
      <c r="Z40" s="131">
        <f t="shared" ref="Z40" si="122">SUM(L40:O40)</f>
        <v>0</v>
      </c>
      <c r="AA40" s="131">
        <f t="shared" ref="AA40" si="123">SUM(M40:P40)</f>
        <v>0</v>
      </c>
      <c r="AB40" s="131">
        <f t="shared" ref="AB40" si="124">SUM(N40:Q40)</f>
        <v>0</v>
      </c>
      <c r="AC40" s="131">
        <f t="shared" ref="AC40" si="125">SUM(O40:R40)</f>
        <v>0</v>
      </c>
      <c r="AD40" s="131">
        <f t="shared" ref="AD40" si="126">SUM(P40:S40)</f>
        <v>0</v>
      </c>
      <c r="AE40" s="131">
        <f t="shared" ref="AE40" si="127">SUM(Q40:T40)</f>
        <v>0</v>
      </c>
      <c r="AG40" s="108" t="e">
        <f t="shared" si="117"/>
        <v>#DIV/0!</v>
      </c>
    </row>
    <row r="41" spans="2:33" ht="12.75" customHeight="1">
      <c r="B41" s="21" t="s">
        <v>40</v>
      </c>
      <c r="C41" s="132"/>
      <c r="D41" s="132"/>
      <c r="E41" s="132"/>
      <c r="F41" s="132"/>
      <c r="H41" s="132"/>
      <c r="I41" s="132"/>
      <c r="J41" s="132"/>
      <c r="K41" s="132"/>
      <c r="L41" s="132"/>
      <c r="M41" s="132"/>
      <c r="N41" s="132"/>
      <c r="O41" s="132"/>
      <c r="P41" s="132"/>
      <c r="Q41" s="132"/>
      <c r="R41" s="132"/>
      <c r="S41" s="132"/>
      <c r="T41" s="132"/>
      <c r="V41" s="131">
        <f t="shared" si="107"/>
        <v>0</v>
      </c>
      <c r="W41" s="131">
        <f t="shared" si="108"/>
        <v>0</v>
      </c>
      <c r="X41" s="131">
        <f t="shared" si="109"/>
        <v>0</v>
      </c>
      <c r="Y41" s="131">
        <f t="shared" si="110"/>
        <v>0</v>
      </c>
      <c r="Z41" s="131">
        <f t="shared" si="111"/>
        <v>0</v>
      </c>
      <c r="AA41" s="131">
        <f t="shared" si="112"/>
        <v>0</v>
      </c>
      <c r="AB41" s="131">
        <f t="shared" si="113"/>
        <v>0</v>
      </c>
      <c r="AC41" s="131">
        <f t="shared" si="114"/>
        <v>0</v>
      </c>
      <c r="AD41" s="131">
        <f t="shared" si="115"/>
        <v>0</v>
      </c>
      <c r="AE41" s="131">
        <f t="shared" si="116"/>
        <v>0</v>
      </c>
      <c r="AG41" s="108" t="e">
        <f t="shared" si="117"/>
        <v>#DIV/0!</v>
      </c>
    </row>
    <row r="42" spans="2:33" ht="12.75" customHeight="1">
      <c r="B42" s="12" t="s">
        <v>41</v>
      </c>
      <c r="C42" s="13">
        <f>SUM(C34+SUM(C37:C41))</f>
        <v>0</v>
      </c>
      <c r="D42" s="13">
        <f>SUM(D34+SUM(D37:D41))</f>
        <v>0</v>
      </c>
      <c r="E42" s="13">
        <f>SUM(E34+SUM(E37:E41))</f>
        <v>0</v>
      </c>
      <c r="F42" s="13">
        <f>SUM(F34+SUM(F37:F41))</f>
        <v>0</v>
      </c>
      <c r="H42" s="13">
        <f>SUM(H34+SUM(H37:H41))</f>
        <v>0</v>
      </c>
      <c r="I42" s="13">
        <f>SUM(I34+SUM(I37:I41))</f>
        <v>0</v>
      </c>
      <c r="J42" s="13">
        <f>SUM(J34+SUM(J37:J41))</f>
        <v>0</v>
      </c>
      <c r="K42" s="13">
        <f>SUM(K34+SUM(K37:K41))</f>
        <v>0</v>
      </c>
      <c r="L42" s="13">
        <f t="shared" ref="L42:Q42" si="128">SUM(L34+SUM(L37:L41))</f>
        <v>0</v>
      </c>
      <c r="M42" s="13">
        <f t="shared" si="128"/>
        <v>0</v>
      </c>
      <c r="N42" s="13">
        <f t="shared" si="128"/>
        <v>0</v>
      </c>
      <c r="O42" s="13">
        <f t="shared" si="128"/>
        <v>0</v>
      </c>
      <c r="P42" s="13">
        <f t="shared" si="128"/>
        <v>0</v>
      </c>
      <c r="Q42" s="13">
        <f t="shared" si="128"/>
        <v>0</v>
      </c>
      <c r="R42" s="13">
        <f t="shared" ref="R42:S42" si="129">SUM(R34+SUM(R37:R41))</f>
        <v>0</v>
      </c>
      <c r="S42" s="13">
        <f t="shared" si="129"/>
        <v>0</v>
      </c>
      <c r="T42" s="13">
        <f t="shared" ref="T42" si="130">SUM(T34+SUM(T37:T41))</f>
        <v>0</v>
      </c>
      <c r="V42" s="13">
        <f t="shared" ref="V42" si="131">SUM(V34+SUM(V37:V41))</f>
        <v>0</v>
      </c>
      <c r="W42" s="13">
        <f t="shared" ref="W42:AC42" si="132">SUM(W34+SUM(W37:W41))</f>
        <v>0</v>
      </c>
      <c r="X42" s="13">
        <f t="shared" si="132"/>
        <v>0</v>
      </c>
      <c r="Y42" s="13">
        <f t="shared" si="132"/>
        <v>0</v>
      </c>
      <c r="Z42" s="13">
        <f t="shared" si="132"/>
        <v>0</v>
      </c>
      <c r="AA42" s="13">
        <f t="shared" si="132"/>
        <v>0</v>
      </c>
      <c r="AB42" s="13">
        <f t="shared" si="132"/>
        <v>0</v>
      </c>
      <c r="AC42" s="13">
        <f t="shared" si="132"/>
        <v>0</v>
      </c>
      <c r="AD42" s="13">
        <f>SUM(AD34+SUM(AD37:AD41))</f>
        <v>0</v>
      </c>
      <c r="AE42" s="13">
        <f>SUM(AE34+SUM(AE37:AE41))</f>
        <v>0</v>
      </c>
      <c r="AG42" s="109" t="e">
        <f t="shared" si="117"/>
        <v>#DIV/0!</v>
      </c>
    </row>
    <row r="43" spans="2:33" ht="5.0999999999999996" customHeight="1"/>
    <row r="44" spans="2:33" ht="12.75" customHeight="1">
      <c r="B44" s="29" t="s">
        <v>113</v>
      </c>
      <c r="C44" s="132"/>
      <c r="D44" s="132"/>
      <c r="E44" s="132"/>
      <c r="F44" s="132"/>
      <c r="G44" s="30"/>
      <c r="H44" s="132"/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32"/>
      <c r="T44" s="132"/>
      <c r="V44" s="131">
        <f t="shared" ref="V44:V49" si="133">SUM(H44:K44)</f>
        <v>0</v>
      </c>
      <c r="W44" s="131">
        <f t="shared" ref="W44:W49" si="134">SUM(I44:L44)</f>
        <v>0</v>
      </c>
      <c r="X44" s="131">
        <f t="shared" ref="X44:X49" si="135">SUM(J44:M44)</f>
        <v>0</v>
      </c>
      <c r="Y44" s="131">
        <f t="shared" ref="Y44:Y49" si="136">SUM(K44:N44)</f>
        <v>0</v>
      </c>
      <c r="Z44" s="131">
        <f t="shared" ref="Z44:Z49" si="137">SUM(L44:O44)</f>
        <v>0</v>
      </c>
      <c r="AA44" s="131">
        <f t="shared" ref="AA44:AA49" si="138">SUM(M44:P44)</f>
        <v>0</v>
      </c>
      <c r="AB44" s="131">
        <f t="shared" ref="AB44:AB49" si="139">SUM(N44:Q44)</f>
        <v>0</v>
      </c>
      <c r="AC44" s="131">
        <f t="shared" ref="AC44:AC49" si="140">SUM(O44:R44)</f>
        <v>0</v>
      </c>
      <c r="AD44" s="131">
        <f t="shared" ref="AD44:AD49" si="141">SUM(P44:S44)</f>
        <v>0</v>
      </c>
      <c r="AE44" s="131">
        <f t="shared" ref="AE44:AE49" si="142">SUM(Q44:T44)</f>
        <v>0</v>
      </c>
    </row>
    <row r="45" spans="2:33" ht="12.75" customHeight="1">
      <c r="B45" s="29" t="s">
        <v>113</v>
      </c>
      <c r="C45" s="132"/>
      <c r="D45" s="132"/>
      <c r="E45" s="132"/>
      <c r="F45" s="132"/>
      <c r="G45" s="30"/>
      <c r="H45" s="132"/>
      <c r="I45" s="132"/>
      <c r="J45" s="132"/>
      <c r="K45" s="132"/>
      <c r="L45" s="132"/>
      <c r="M45" s="132"/>
      <c r="N45" s="132"/>
      <c r="O45" s="132"/>
      <c r="P45" s="132"/>
      <c r="Q45" s="132"/>
      <c r="R45" s="132"/>
      <c r="S45" s="132"/>
      <c r="T45" s="132"/>
      <c r="V45" s="131">
        <f t="shared" si="133"/>
        <v>0</v>
      </c>
      <c r="W45" s="131">
        <f t="shared" si="134"/>
        <v>0</v>
      </c>
      <c r="X45" s="131">
        <f t="shared" si="135"/>
        <v>0</v>
      </c>
      <c r="Y45" s="131">
        <f t="shared" si="136"/>
        <v>0</v>
      </c>
      <c r="Z45" s="131">
        <f t="shared" si="137"/>
        <v>0</v>
      </c>
      <c r="AA45" s="131">
        <f t="shared" si="138"/>
        <v>0</v>
      </c>
      <c r="AB45" s="131">
        <f t="shared" si="139"/>
        <v>0</v>
      </c>
      <c r="AC45" s="131">
        <f t="shared" si="140"/>
        <v>0</v>
      </c>
      <c r="AD45" s="131">
        <f t="shared" si="141"/>
        <v>0</v>
      </c>
      <c r="AE45" s="131">
        <f t="shared" si="142"/>
        <v>0</v>
      </c>
    </row>
    <row r="46" spans="2:33" ht="12.75" customHeight="1">
      <c r="B46" s="29" t="s">
        <v>113</v>
      </c>
      <c r="C46" s="132"/>
      <c r="D46" s="132"/>
      <c r="E46" s="132"/>
      <c r="F46" s="132"/>
      <c r="G46" s="30"/>
      <c r="H46" s="132"/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32"/>
      <c r="T46" s="132"/>
      <c r="V46" s="131">
        <f t="shared" si="133"/>
        <v>0</v>
      </c>
      <c r="W46" s="131">
        <f t="shared" si="134"/>
        <v>0</v>
      </c>
      <c r="X46" s="131">
        <f t="shared" si="135"/>
        <v>0</v>
      </c>
      <c r="Y46" s="131">
        <f t="shared" si="136"/>
        <v>0</v>
      </c>
      <c r="Z46" s="131">
        <f t="shared" si="137"/>
        <v>0</v>
      </c>
      <c r="AA46" s="131">
        <f t="shared" si="138"/>
        <v>0</v>
      </c>
      <c r="AB46" s="131">
        <f t="shared" si="139"/>
        <v>0</v>
      </c>
      <c r="AC46" s="131">
        <f t="shared" si="140"/>
        <v>0</v>
      </c>
      <c r="AD46" s="131">
        <f t="shared" si="141"/>
        <v>0</v>
      </c>
      <c r="AE46" s="131">
        <f t="shared" si="142"/>
        <v>0</v>
      </c>
    </row>
    <row r="47" spans="2:33" ht="12.75" customHeight="1">
      <c r="B47" s="29" t="s">
        <v>113</v>
      </c>
      <c r="C47" s="132"/>
      <c r="D47" s="132"/>
      <c r="E47" s="132"/>
      <c r="F47" s="132"/>
      <c r="G47" s="30"/>
      <c r="H47" s="132"/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32"/>
      <c r="T47" s="132"/>
      <c r="V47" s="131">
        <f t="shared" si="133"/>
        <v>0</v>
      </c>
      <c r="W47" s="131">
        <f t="shared" si="134"/>
        <v>0</v>
      </c>
      <c r="X47" s="131">
        <f t="shared" si="135"/>
        <v>0</v>
      </c>
      <c r="Y47" s="131">
        <f t="shared" si="136"/>
        <v>0</v>
      </c>
      <c r="Z47" s="131">
        <f t="shared" si="137"/>
        <v>0</v>
      </c>
      <c r="AA47" s="131">
        <f t="shared" si="138"/>
        <v>0</v>
      </c>
      <c r="AB47" s="131">
        <f t="shared" si="139"/>
        <v>0</v>
      </c>
      <c r="AC47" s="131">
        <f t="shared" si="140"/>
        <v>0</v>
      </c>
      <c r="AD47" s="131">
        <f t="shared" si="141"/>
        <v>0</v>
      </c>
      <c r="AE47" s="131">
        <f t="shared" si="142"/>
        <v>0</v>
      </c>
    </row>
    <row r="48" spans="2:33" ht="12.75" customHeight="1">
      <c r="B48" s="29" t="s">
        <v>113</v>
      </c>
      <c r="C48" s="132"/>
      <c r="D48" s="132"/>
      <c r="E48" s="132"/>
      <c r="F48" s="132"/>
      <c r="G48" s="30"/>
      <c r="H48" s="132"/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32"/>
      <c r="T48" s="132"/>
      <c r="V48" s="131">
        <f t="shared" si="133"/>
        <v>0</v>
      </c>
      <c r="W48" s="131">
        <f t="shared" si="134"/>
        <v>0</v>
      </c>
      <c r="X48" s="131">
        <f t="shared" si="135"/>
        <v>0</v>
      </c>
      <c r="Y48" s="131">
        <f t="shared" si="136"/>
        <v>0</v>
      </c>
      <c r="Z48" s="131">
        <f t="shared" si="137"/>
        <v>0</v>
      </c>
      <c r="AA48" s="131">
        <f t="shared" si="138"/>
        <v>0</v>
      </c>
      <c r="AB48" s="131">
        <f t="shared" si="139"/>
        <v>0</v>
      </c>
      <c r="AC48" s="131">
        <f t="shared" si="140"/>
        <v>0</v>
      </c>
      <c r="AD48" s="131">
        <f t="shared" si="141"/>
        <v>0</v>
      </c>
      <c r="AE48" s="131">
        <f t="shared" si="142"/>
        <v>0</v>
      </c>
    </row>
    <row r="49" spans="1:31" ht="12.75" customHeight="1">
      <c r="B49" s="29" t="s">
        <v>71</v>
      </c>
      <c r="C49" s="133"/>
      <c r="D49" s="133">
        <f t="shared" ref="D49:F49" si="143">SUM(D54)-SUM(C54)-SUM(D42:D48)</f>
        <v>0</v>
      </c>
      <c r="E49" s="133">
        <f t="shared" si="143"/>
        <v>0</v>
      </c>
      <c r="F49" s="133">
        <f t="shared" si="143"/>
        <v>0</v>
      </c>
      <c r="G49" s="30"/>
      <c r="H49" s="133">
        <f>SUM(H54)-SUM(C54)-SUM(H42:H48)</f>
        <v>0</v>
      </c>
      <c r="I49" s="133">
        <f t="shared" ref="I49" si="144">SUM(I54)-SUM(H54)-SUM(I42:I48)</f>
        <v>0</v>
      </c>
      <c r="J49" s="133">
        <f t="shared" ref="J49" si="145">SUM(J54)-SUM(I54)-SUM(J42:J48)</f>
        <v>0</v>
      </c>
      <c r="K49" s="133">
        <f t="shared" ref="K49" si="146">SUM(K54)-SUM(J54)-SUM(K42:K48)</f>
        <v>9366</v>
      </c>
      <c r="L49" s="133">
        <f t="shared" ref="L49" si="147">SUM(L54)-SUM(K54)-SUM(L42:L48)</f>
        <v>-9366</v>
      </c>
      <c r="M49" s="133">
        <f t="shared" ref="M49" si="148">SUM(M54)-SUM(L54)-SUM(M42:M48)</f>
        <v>0</v>
      </c>
      <c r="N49" s="133">
        <f t="shared" ref="N49" si="149">SUM(N54)-SUM(M54)-SUM(N42:N48)</f>
        <v>0</v>
      </c>
      <c r="O49" s="133">
        <f t="shared" ref="O49" si="150">SUM(O54)-SUM(N54)-SUM(O42:O48)</f>
        <v>10828</v>
      </c>
      <c r="P49" s="133">
        <f t="shared" ref="P49" si="151">SUM(P54)-SUM(O54)-SUM(P42:P48)</f>
        <v>-10828</v>
      </c>
      <c r="Q49" s="133">
        <f t="shared" ref="Q49" si="152">SUM(Q54)-SUM(P54)-SUM(Q42:Q48)</f>
        <v>0</v>
      </c>
      <c r="R49" s="133">
        <f t="shared" ref="R49" si="153">SUM(R54)-SUM(Q54)-SUM(R42:R48)</f>
        <v>0</v>
      </c>
      <c r="S49" s="133" t="e">
        <f t="shared" ref="S49" si="154">SUM(S54)-SUM(R54)-SUM(S42:S48)</f>
        <v>#REF!</v>
      </c>
      <c r="T49" s="133" t="e">
        <f t="shared" ref="T49" si="155">SUM(T54)-SUM(S54)-SUM(T42:T48)</f>
        <v>#REF!</v>
      </c>
      <c r="V49" s="131">
        <f t="shared" si="133"/>
        <v>9366</v>
      </c>
      <c r="W49" s="131">
        <f t="shared" si="134"/>
        <v>0</v>
      </c>
      <c r="X49" s="131">
        <f t="shared" si="135"/>
        <v>0</v>
      </c>
      <c r="Y49" s="131">
        <f t="shared" si="136"/>
        <v>0</v>
      </c>
      <c r="Z49" s="131">
        <f t="shared" si="137"/>
        <v>1462</v>
      </c>
      <c r="AA49" s="131">
        <f t="shared" si="138"/>
        <v>0</v>
      </c>
      <c r="AB49" s="131">
        <f t="shared" si="139"/>
        <v>0</v>
      </c>
      <c r="AC49" s="131">
        <f t="shared" si="140"/>
        <v>0</v>
      </c>
      <c r="AD49" s="131" t="e">
        <f t="shared" si="141"/>
        <v>#REF!</v>
      </c>
      <c r="AE49" s="131" t="e">
        <f t="shared" si="142"/>
        <v>#REF!</v>
      </c>
    </row>
    <row r="50" spans="1:31" ht="12.75" customHeight="1">
      <c r="B50" s="12" t="s">
        <v>42</v>
      </c>
      <c r="C50" s="13">
        <f t="shared" ref="C50:F50" si="156">SUM(C42+SUM(C44:C49))</f>
        <v>0</v>
      </c>
      <c r="D50" s="13">
        <f t="shared" si="156"/>
        <v>0</v>
      </c>
      <c r="E50" s="13">
        <f t="shared" si="156"/>
        <v>0</v>
      </c>
      <c r="F50" s="13">
        <f t="shared" si="156"/>
        <v>0</v>
      </c>
      <c r="H50" s="13">
        <f t="shared" ref="H50:S50" si="157">SUM(H42+SUM(H44:H49))</f>
        <v>0</v>
      </c>
      <c r="I50" s="13">
        <f t="shared" si="157"/>
        <v>0</v>
      </c>
      <c r="J50" s="13">
        <f t="shared" si="157"/>
        <v>0</v>
      </c>
      <c r="K50" s="13">
        <f t="shared" si="157"/>
        <v>9366</v>
      </c>
      <c r="L50" s="13">
        <f t="shared" si="157"/>
        <v>-9366</v>
      </c>
      <c r="M50" s="13">
        <f t="shared" si="157"/>
        <v>0</v>
      </c>
      <c r="N50" s="13">
        <f t="shared" si="157"/>
        <v>0</v>
      </c>
      <c r="O50" s="13">
        <f t="shared" si="157"/>
        <v>10828</v>
      </c>
      <c r="P50" s="13">
        <f t="shared" si="157"/>
        <v>-10828</v>
      </c>
      <c r="Q50" s="13">
        <f t="shared" si="157"/>
        <v>0</v>
      </c>
      <c r="R50" s="13">
        <f t="shared" si="157"/>
        <v>0</v>
      </c>
      <c r="S50" s="13" t="e">
        <f t="shared" si="157"/>
        <v>#REF!</v>
      </c>
      <c r="T50" s="13" t="e">
        <f t="shared" ref="T50" si="158">SUM(T42+SUM(T44:T49))</f>
        <v>#REF!</v>
      </c>
      <c r="V50" s="13">
        <f t="shared" ref="V50:AE50" si="159">SUM(V42+SUM(V44:V49))</f>
        <v>9366</v>
      </c>
      <c r="W50" s="13">
        <f t="shared" si="159"/>
        <v>0</v>
      </c>
      <c r="X50" s="13">
        <f t="shared" si="159"/>
        <v>0</v>
      </c>
      <c r="Y50" s="13">
        <f t="shared" si="159"/>
        <v>0</v>
      </c>
      <c r="Z50" s="13">
        <f t="shared" si="159"/>
        <v>1462</v>
      </c>
      <c r="AA50" s="13">
        <f t="shared" si="159"/>
        <v>0</v>
      </c>
      <c r="AB50" s="13">
        <f t="shared" si="159"/>
        <v>0</v>
      </c>
      <c r="AC50" s="13">
        <f t="shared" si="159"/>
        <v>0</v>
      </c>
      <c r="AD50" s="13" t="e">
        <f t="shared" si="159"/>
        <v>#REF!</v>
      </c>
      <c r="AE50" s="13" t="e">
        <f t="shared" si="159"/>
        <v>#REF!</v>
      </c>
    </row>
    <row r="51" spans="1:31" ht="5.0999999999999996" customHeight="1"/>
    <row r="52" spans="1:31" ht="12.75" customHeight="1">
      <c r="A52" s="5"/>
      <c r="B52" s="31" t="s">
        <v>43</v>
      </c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</row>
    <row r="53" spans="1:31" ht="5.0999999999999996" customHeight="1"/>
    <row r="54" spans="1:31" ht="12.75" customHeight="1">
      <c r="B54" s="8" t="s">
        <v>44</v>
      </c>
      <c r="C54" s="80"/>
      <c r="D54" s="80"/>
      <c r="E54" s="80"/>
      <c r="F54" s="80"/>
      <c r="G54" s="30"/>
      <c r="H54" s="80"/>
      <c r="I54" s="80"/>
      <c r="J54" s="80"/>
      <c r="K54" s="80">
        <f>'Historical Financials'!J48</f>
        <v>9366</v>
      </c>
      <c r="L54" s="80"/>
      <c r="M54" s="80"/>
      <c r="N54" s="80"/>
      <c r="O54" s="80">
        <f>'Historical Financials'!N48</f>
        <v>10828</v>
      </c>
      <c r="P54" s="80"/>
      <c r="Q54" s="80"/>
      <c r="R54" s="80"/>
      <c r="S54" s="80" t="e">
        <f>'Historical Financials'!#REF!</f>
        <v>#REF!</v>
      </c>
      <c r="T54" s="80"/>
      <c r="V54" s="10">
        <f t="shared" ref="V54:AD56" si="160">K54</f>
        <v>9366</v>
      </c>
      <c r="W54" s="10">
        <f t="shared" si="160"/>
        <v>0</v>
      </c>
      <c r="X54" s="10">
        <f t="shared" si="160"/>
        <v>0</v>
      </c>
      <c r="Y54" s="10">
        <f t="shared" si="160"/>
        <v>0</v>
      </c>
      <c r="Z54" s="10">
        <f t="shared" si="160"/>
        <v>10828</v>
      </c>
      <c r="AA54" s="10">
        <f t="shared" si="160"/>
        <v>0</v>
      </c>
      <c r="AB54" s="10">
        <f t="shared" si="160"/>
        <v>0</v>
      </c>
      <c r="AC54" s="10">
        <f t="shared" si="160"/>
        <v>0</v>
      </c>
      <c r="AD54" s="10" t="e">
        <f t="shared" si="160"/>
        <v>#REF!</v>
      </c>
      <c r="AE54" s="10">
        <f>T54</f>
        <v>0</v>
      </c>
    </row>
    <row r="55" spans="1:31" ht="12.75" customHeight="1">
      <c r="B55" s="8" t="s">
        <v>110</v>
      </c>
      <c r="C55" s="80"/>
      <c r="D55" s="80"/>
      <c r="E55" s="80"/>
      <c r="F55" s="80"/>
      <c r="G55" s="30"/>
      <c r="H55" s="80"/>
      <c r="I55" s="80"/>
      <c r="J55" s="80"/>
      <c r="K55" s="80">
        <f>'Historical Financials'!J50</f>
        <v>4424</v>
      </c>
      <c r="L55" s="80"/>
      <c r="M55" s="80"/>
      <c r="N55" s="80"/>
      <c r="O55" s="80">
        <f>'Historical Financials'!N50</f>
        <v>4728</v>
      </c>
      <c r="P55" s="80"/>
      <c r="Q55" s="80"/>
      <c r="R55" s="80"/>
      <c r="S55" s="80" t="e">
        <f>'Historical Financials'!#REF!</f>
        <v>#REF!</v>
      </c>
      <c r="T55" s="80"/>
      <c r="V55" s="10">
        <f t="shared" si="160"/>
        <v>4424</v>
      </c>
      <c r="W55" s="10">
        <f t="shared" si="160"/>
        <v>0</v>
      </c>
      <c r="X55" s="10">
        <f t="shared" si="160"/>
        <v>0</v>
      </c>
      <c r="Y55" s="10">
        <f t="shared" si="160"/>
        <v>0</v>
      </c>
      <c r="Z55" s="10">
        <f t="shared" si="160"/>
        <v>4728</v>
      </c>
      <c r="AA55" s="10">
        <f t="shared" si="160"/>
        <v>0</v>
      </c>
      <c r="AB55" s="10">
        <f t="shared" si="160"/>
        <v>0</v>
      </c>
      <c r="AC55" s="10">
        <f t="shared" si="160"/>
        <v>0</v>
      </c>
      <c r="AD55" s="10" t="e">
        <f t="shared" si="160"/>
        <v>#REF!</v>
      </c>
      <c r="AE55" s="10">
        <f t="shared" ref="AE55:AE56" si="161">T55</f>
        <v>0</v>
      </c>
    </row>
    <row r="56" spans="1:31" ht="12.75" customHeight="1">
      <c r="B56" s="8" t="s">
        <v>110</v>
      </c>
      <c r="C56" s="75"/>
      <c r="D56" s="75"/>
      <c r="E56" s="75"/>
      <c r="F56" s="75"/>
      <c r="G56" s="30"/>
      <c r="H56" s="75"/>
      <c r="I56" s="75"/>
      <c r="J56" s="75"/>
      <c r="K56" s="106">
        <f>D56</f>
        <v>0</v>
      </c>
      <c r="L56" s="75"/>
      <c r="M56" s="75"/>
      <c r="N56" s="75"/>
      <c r="O56" s="106">
        <f>E56</f>
        <v>0</v>
      </c>
      <c r="P56" s="75"/>
      <c r="Q56" s="75"/>
      <c r="R56" s="75"/>
      <c r="S56" s="106">
        <f>F56</f>
        <v>0</v>
      </c>
      <c r="T56" s="75"/>
      <c r="V56" s="10">
        <f t="shared" si="160"/>
        <v>0</v>
      </c>
      <c r="W56" s="10">
        <f t="shared" si="160"/>
        <v>0</v>
      </c>
      <c r="X56" s="10">
        <f t="shared" si="160"/>
        <v>0</v>
      </c>
      <c r="Y56" s="10">
        <f t="shared" si="160"/>
        <v>0</v>
      </c>
      <c r="Z56" s="10">
        <f t="shared" si="160"/>
        <v>0</v>
      </c>
      <c r="AA56" s="10">
        <f t="shared" si="160"/>
        <v>0</v>
      </c>
      <c r="AB56" s="10">
        <f t="shared" si="160"/>
        <v>0</v>
      </c>
      <c r="AC56" s="10">
        <f t="shared" si="160"/>
        <v>0</v>
      </c>
      <c r="AD56" s="10">
        <f t="shared" si="160"/>
        <v>0</v>
      </c>
      <c r="AE56" s="10">
        <f t="shared" si="161"/>
        <v>0</v>
      </c>
    </row>
    <row r="57" spans="1:31" ht="12.75" customHeight="1">
      <c r="B57" s="12" t="s">
        <v>45</v>
      </c>
      <c r="C57" s="13">
        <f>SUM(C54:C56)</f>
        <v>0</v>
      </c>
      <c r="D57" s="13">
        <f t="shared" ref="D57:F57" si="162">SUM(D54:D56)</f>
        <v>0</v>
      </c>
      <c r="E57" s="13">
        <f t="shared" si="162"/>
        <v>0</v>
      </c>
      <c r="F57" s="13">
        <f t="shared" si="162"/>
        <v>0</v>
      </c>
      <c r="G57" s="30"/>
      <c r="H57" s="13">
        <f t="shared" ref="H57:S57" si="163">SUM(H54:H56)</f>
        <v>0</v>
      </c>
      <c r="I57" s="13">
        <f t="shared" si="163"/>
        <v>0</v>
      </c>
      <c r="J57" s="13">
        <f t="shared" si="163"/>
        <v>0</v>
      </c>
      <c r="K57" s="13">
        <f t="shared" si="163"/>
        <v>13790</v>
      </c>
      <c r="L57" s="13">
        <f t="shared" si="163"/>
        <v>0</v>
      </c>
      <c r="M57" s="13">
        <f t="shared" si="163"/>
        <v>0</v>
      </c>
      <c r="N57" s="13">
        <f t="shared" si="163"/>
        <v>0</v>
      </c>
      <c r="O57" s="13">
        <f t="shared" si="163"/>
        <v>15556</v>
      </c>
      <c r="P57" s="13">
        <f t="shared" si="163"/>
        <v>0</v>
      </c>
      <c r="Q57" s="13">
        <f t="shared" si="163"/>
        <v>0</v>
      </c>
      <c r="R57" s="13">
        <f t="shared" si="163"/>
        <v>0</v>
      </c>
      <c r="S57" s="13" t="e">
        <f t="shared" si="163"/>
        <v>#REF!</v>
      </c>
      <c r="T57" s="13">
        <f t="shared" ref="T57" si="164">SUM(T54:T56)</f>
        <v>0</v>
      </c>
      <c r="V57" s="13">
        <f t="shared" ref="V57" si="165">SUM(V54:V56)</f>
        <v>13790</v>
      </c>
      <c r="W57" s="13">
        <f t="shared" ref="W57:AE57" si="166">SUM(W54:W56)</f>
        <v>0</v>
      </c>
      <c r="X57" s="13">
        <f t="shared" si="166"/>
        <v>0</v>
      </c>
      <c r="Y57" s="13">
        <f t="shared" si="166"/>
        <v>0</v>
      </c>
      <c r="Z57" s="13">
        <f t="shared" si="166"/>
        <v>15556</v>
      </c>
      <c r="AA57" s="13">
        <f t="shared" si="166"/>
        <v>0</v>
      </c>
      <c r="AB57" s="13">
        <f t="shared" si="166"/>
        <v>0</v>
      </c>
      <c r="AC57" s="13">
        <f t="shared" si="166"/>
        <v>0</v>
      </c>
      <c r="AD57" s="13" t="e">
        <f t="shared" si="166"/>
        <v>#REF!</v>
      </c>
      <c r="AE57" s="13">
        <f t="shared" si="166"/>
        <v>0</v>
      </c>
    </row>
    <row r="58" spans="1:31" ht="5.0999999999999996" customHeight="1"/>
    <row r="59" spans="1:31" ht="12.75" customHeight="1">
      <c r="B59" s="32" t="s">
        <v>46</v>
      </c>
    </row>
    <row r="60" spans="1:31" ht="12.75" customHeight="1">
      <c r="B60" s="8" t="s">
        <v>110</v>
      </c>
      <c r="C60" s="80"/>
      <c r="D60" s="80"/>
      <c r="E60" s="80"/>
      <c r="F60" s="80"/>
      <c r="H60" s="80"/>
      <c r="I60" s="80"/>
      <c r="J60" s="80"/>
      <c r="K60" s="80"/>
      <c r="L60" s="80"/>
      <c r="M60" s="80"/>
      <c r="N60" s="80"/>
      <c r="O60" s="80"/>
      <c r="P60" s="80"/>
      <c r="Q60" s="80"/>
      <c r="R60" s="80"/>
      <c r="S60" s="80"/>
      <c r="T60" s="80"/>
      <c r="U60" s="10"/>
      <c r="V60" s="10">
        <f t="shared" ref="V60:V66" si="167">K60</f>
        <v>0</v>
      </c>
      <c r="W60" s="10">
        <f t="shared" ref="W60:W66" si="168">L60</f>
        <v>0</v>
      </c>
      <c r="X60" s="10">
        <f t="shared" ref="X60:X66" si="169">M60</f>
        <v>0</v>
      </c>
      <c r="Y60" s="10">
        <f t="shared" ref="Y60:Y66" si="170">N60</f>
        <v>0</v>
      </c>
      <c r="Z60" s="10">
        <f t="shared" ref="Z60:Z66" si="171">O60</f>
        <v>0</v>
      </c>
      <c r="AA60" s="10">
        <f t="shared" ref="AA60:AA66" si="172">P60</f>
        <v>0</v>
      </c>
      <c r="AB60" s="10">
        <f t="shared" ref="AB60:AB66" si="173">Q60</f>
        <v>0</v>
      </c>
      <c r="AC60" s="10">
        <f t="shared" ref="AC60:AC66" si="174">R60</f>
        <v>0</v>
      </c>
      <c r="AD60" s="10">
        <f t="shared" ref="AD60:AD66" si="175">S60</f>
        <v>0</v>
      </c>
      <c r="AE60" s="10">
        <f t="shared" ref="AE60:AE66" si="176">T60</f>
        <v>0</v>
      </c>
    </row>
    <row r="61" spans="1:31" ht="12.75" customHeight="1">
      <c r="B61" s="8" t="s">
        <v>110</v>
      </c>
      <c r="C61" s="80"/>
      <c r="D61" s="80"/>
      <c r="E61" s="80"/>
      <c r="F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10"/>
      <c r="V61" s="10">
        <f t="shared" si="167"/>
        <v>0</v>
      </c>
      <c r="W61" s="10">
        <f t="shared" si="168"/>
        <v>0</v>
      </c>
      <c r="X61" s="10">
        <f t="shared" si="169"/>
        <v>0</v>
      </c>
      <c r="Y61" s="10">
        <f t="shared" si="170"/>
        <v>0</v>
      </c>
      <c r="Z61" s="10">
        <f t="shared" si="171"/>
        <v>0</v>
      </c>
      <c r="AA61" s="10">
        <f t="shared" si="172"/>
        <v>0</v>
      </c>
      <c r="AB61" s="10">
        <f t="shared" si="173"/>
        <v>0</v>
      </c>
      <c r="AC61" s="10">
        <f t="shared" si="174"/>
        <v>0</v>
      </c>
      <c r="AD61" s="10">
        <f t="shared" si="175"/>
        <v>0</v>
      </c>
      <c r="AE61" s="10">
        <f t="shared" si="176"/>
        <v>0</v>
      </c>
    </row>
    <row r="62" spans="1:31" ht="12.75" customHeight="1">
      <c r="B62" s="8" t="s">
        <v>110</v>
      </c>
      <c r="C62" s="80"/>
      <c r="D62" s="80"/>
      <c r="E62" s="80"/>
      <c r="F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10"/>
      <c r="V62" s="10">
        <f t="shared" si="167"/>
        <v>0</v>
      </c>
      <c r="W62" s="10">
        <f t="shared" si="168"/>
        <v>0</v>
      </c>
      <c r="X62" s="10">
        <f t="shared" si="169"/>
        <v>0</v>
      </c>
      <c r="Y62" s="10">
        <f t="shared" si="170"/>
        <v>0</v>
      </c>
      <c r="Z62" s="10">
        <f t="shared" si="171"/>
        <v>0</v>
      </c>
      <c r="AA62" s="10">
        <f t="shared" si="172"/>
        <v>0</v>
      </c>
      <c r="AB62" s="10">
        <f t="shared" si="173"/>
        <v>0</v>
      </c>
      <c r="AC62" s="10">
        <f t="shared" si="174"/>
        <v>0</v>
      </c>
      <c r="AD62" s="10">
        <f t="shared" si="175"/>
        <v>0</v>
      </c>
      <c r="AE62" s="10">
        <f t="shared" si="176"/>
        <v>0</v>
      </c>
    </row>
    <row r="63" spans="1:31" ht="12.75" customHeight="1">
      <c r="B63" s="8" t="s">
        <v>110</v>
      </c>
      <c r="C63" s="80"/>
      <c r="D63" s="80"/>
      <c r="E63" s="80"/>
      <c r="F63" s="80"/>
      <c r="H63" s="80"/>
      <c r="I63" s="80"/>
      <c r="J63" s="80"/>
      <c r="K63" s="80"/>
      <c r="L63" s="80"/>
      <c r="M63" s="80"/>
      <c r="N63" s="80"/>
      <c r="O63" s="80"/>
      <c r="P63" s="80"/>
      <c r="Q63" s="80"/>
      <c r="R63" s="80"/>
      <c r="S63" s="80"/>
      <c r="T63" s="80"/>
      <c r="U63" s="10"/>
      <c r="V63" s="10">
        <f t="shared" si="167"/>
        <v>0</v>
      </c>
      <c r="W63" s="10">
        <f t="shared" si="168"/>
        <v>0</v>
      </c>
      <c r="X63" s="10">
        <f t="shared" si="169"/>
        <v>0</v>
      </c>
      <c r="Y63" s="10">
        <f t="shared" si="170"/>
        <v>0</v>
      </c>
      <c r="Z63" s="10">
        <f t="shared" si="171"/>
        <v>0</v>
      </c>
      <c r="AA63" s="10">
        <f t="shared" si="172"/>
        <v>0</v>
      </c>
      <c r="AB63" s="10">
        <f t="shared" si="173"/>
        <v>0</v>
      </c>
      <c r="AC63" s="10">
        <f t="shared" si="174"/>
        <v>0</v>
      </c>
      <c r="AD63" s="10">
        <f t="shared" si="175"/>
        <v>0</v>
      </c>
      <c r="AE63" s="10">
        <f t="shared" si="176"/>
        <v>0</v>
      </c>
    </row>
    <row r="64" spans="1:31" ht="12.75" customHeight="1">
      <c r="B64" s="8" t="s">
        <v>110</v>
      </c>
      <c r="C64" s="80"/>
      <c r="D64" s="80"/>
      <c r="E64" s="80"/>
      <c r="F64" s="80"/>
      <c r="G64" s="80"/>
      <c r="H64" s="80"/>
      <c r="I64" s="80"/>
      <c r="J64" s="80"/>
      <c r="K64" s="80"/>
      <c r="L64" s="80"/>
      <c r="M64" s="80"/>
      <c r="N64" s="80"/>
      <c r="O64" s="80"/>
      <c r="P64" s="80"/>
      <c r="Q64" s="80"/>
      <c r="R64" s="80"/>
      <c r="S64" s="80"/>
      <c r="T64" s="80"/>
      <c r="V64" s="10">
        <f t="shared" si="167"/>
        <v>0</v>
      </c>
      <c r="W64" s="10">
        <f t="shared" si="168"/>
        <v>0</v>
      </c>
      <c r="X64" s="10">
        <f t="shared" si="169"/>
        <v>0</v>
      </c>
      <c r="Y64" s="10">
        <f t="shared" si="170"/>
        <v>0</v>
      </c>
      <c r="Z64" s="10">
        <f t="shared" si="171"/>
        <v>0</v>
      </c>
      <c r="AA64" s="10">
        <f t="shared" si="172"/>
        <v>0</v>
      </c>
      <c r="AB64" s="10">
        <f t="shared" si="173"/>
        <v>0</v>
      </c>
      <c r="AC64" s="10">
        <f t="shared" si="174"/>
        <v>0</v>
      </c>
      <c r="AD64" s="10">
        <f t="shared" si="175"/>
        <v>0</v>
      </c>
      <c r="AE64" s="10">
        <f t="shared" si="176"/>
        <v>0</v>
      </c>
    </row>
    <row r="65" spans="2:31" ht="12.75" customHeight="1">
      <c r="B65" s="8" t="s">
        <v>110</v>
      </c>
      <c r="C65" s="80"/>
      <c r="D65" s="80"/>
      <c r="E65" s="80"/>
      <c r="F65" s="80"/>
      <c r="G65" s="80"/>
      <c r="H65" s="80"/>
      <c r="I65" s="80"/>
      <c r="J65" s="80"/>
      <c r="K65" s="80"/>
      <c r="L65" s="80"/>
      <c r="M65" s="80"/>
      <c r="N65" s="80"/>
      <c r="O65" s="80"/>
      <c r="P65" s="80"/>
      <c r="Q65" s="80"/>
      <c r="R65" s="80"/>
      <c r="S65" s="80"/>
      <c r="T65" s="80"/>
      <c r="V65" s="10">
        <f t="shared" si="167"/>
        <v>0</v>
      </c>
      <c r="W65" s="10">
        <f t="shared" si="168"/>
        <v>0</v>
      </c>
      <c r="X65" s="10">
        <f t="shared" si="169"/>
        <v>0</v>
      </c>
      <c r="Y65" s="10">
        <f t="shared" si="170"/>
        <v>0</v>
      </c>
      <c r="Z65" s="10">
        <f t="shared" si="171"/>
        <v>0</v>
      </c>
      <c r="AA65" s="10">
        <f t="shared" si="172"/>
        <v>0</v>
      </c>
      <c r="AB65" s="10">
        <f t="shared" si="173"/>
        <v>0</v>
      </c>
      <c r="AC65" s="10">
        <f t="shared" si="174"/>
        <v>0</v>
      </c>
      <c r="AD65" s="10">
        <f t="shared" si="175"/>
        <v>0</v>
      </c>
      <c r="AE65" s="10">
        <f t="shared" si="176"/>
        <v>0</v>
      </c>
    </row>
    <row r="66" spans="2:31" ht="12.75" customHeight="1">
      <c r="B66" s="8" t="s">
        <v>110</v>
      </c>
      <c r="C66" s="80"/>
      <c r="D66" s="80"/>
      <c r="E66" s="80"/>
      <c r="F66" s="80"/>
      <c r="G66" s="80"/>
      <c r="H66" s="80"/>
      <c r="I66" s="80"/>
      <c r="J66" s="80"/>
      <c r="K66" s="80"/>
      <c r="L66" s="80"/>
      <c r="M66" s="80"/>
      <c r="N66" s="80"/>
      <c r="O66" s="80"/>
      <c r="P66" s="80"/>
      <c r="Q66" s="80"/>
      <c r="R66" s="80"/>
      <c r="S66" s="80"/>
      <c r="T66" s="80"/>
      <c r="V66" s="10">
        <f t="shared" si="167"/>
        <v>0</v>
      </c>
      <c r="W66" s="10">
        <f t="shared" si="168"/>
        <v>0</v>
      </c>
      <c r="X66" s="10">
        <f t="shared" si="169"/>
        <v>0</v>
      </c>
      <c r="Y66" s="10">
        <f t="shared" si="170"/>
        <v>0</v>
      </c>
      <c r="Z66" s="10">
        <f t="shared" si="171"/>
        <v>0</v>
      </c>
      <c r="AA66" s="10">
        <f t="shared" si="172"/>
        <v>0</v>
      </c>
      <c r="AB66" s="10">
        <f t="shared" si="173"/>
        <v>0</v>
      </c>
      <c r="AC66" s="10">
        <f t="shared" si="174"/>
        <v>0</v>
      </c>
      <c r="AD66" s="10">
        <f t="shared" si="175"/>
        <v>0</v>
      </c>
      <c r="AE66" s="10">
        <f t="shared" si="176"/>
        <v>0</v>
      </c>
    </row>
    <row r="67" spans="2:31" ht="5.0999999999999996" customHeight="1">
      <c r="F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</row>
    <row r="68" spans="2:31">
      <c r="B68" s="32" t="s">
        <v>101</v>
      </c>
      <c r="F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</row>
    <row r="69" spans="2:31">
      <c r="B69" s="8" t="s">
        <v>102</v>
      </c>
      <c r="C69" s="80"/>
      <c r="D69" s="80"/>
      <c r="E69" s="80"/>
      <c r="F69" s="80"/>
      <c r="H69" s="80"/>
      <c r="I69" s="80"/>
      <c r="J69" s="80"/>
      <c r="K69" s="80"/>
      <c r="L69" s="80"/>
      <c r="M69" s="80"/>
      <c r="N69" s="80"/>
      <c r="O69" s="80"/>
      <c r="P69" s="80"/>
      <c r="Q69" s="80"/>
      <c r="R69" s="80"/>
      <c r="S69" s="80"/>
      <c r="T69" s="80"/>
      <c r="V69" s="10">
        <f t="shared" ref="V69:V70" si="177">K69</f>
        <v>0</v>
      </c>
      <c r="W69" s="10">
        <f t="shared" ref="W69:W70" si="178">L69</f>
        <v>0</v>
      </c>
      <c r="X69" s="10">
        <f t="shared" ref="X69:X70" si="179">M69</f>
        <v>0</v>
      </c>
      <c r="Y69" s="10">
        <f t="shared" ref="Y69:Y70" si="180">N69</f>
        <v>0</v>
      </c>
      <c r="Z69" s="10">
        <f t="shared" ref="Z69:Z70" si="181">O69</f>
        <v>0</v>
      </c>
      <c r="AA69" s="10">
        <f t="shared" ref="AA69:AA70" si="182">P69</f>
        <v>0</v>
      </c>
      <c r="AB69" s="10">
        <f t="shared" ref="AB69:AB70" si="183">Q69</f>
        <v>0</v>
      </c>
      <c r="AC69" s="10">
        <f t="shared" ref="AC69:AC70" si="184">R69</f>
        <v>0</v>
      </c>
      <c r="AD69" s="10">
        <f t="shared" ref="AD69:AD70" si="185">S69</f>
        <v>0</v>
      </c>
      <c r="AE69" s="10">
        <f t="shared" ref="AE69:AE70" si="186">T69</f>
        <v>0</v>
      </c>
    </row>
    <row r="70" spans="2:31">
      <c r="B70" s="8" t="s">
        <v>103</v>
      </c>
      <c r="C70" s="80"/>
      <c r="D70" s="80"/>
      <c r="E70" s="80"/>
      <c r="F70" s="80"/>
      <c r="H70" s="80"/>
      <c r="I70" s="80"/>
      <c r="J70" s="80"/>
      <c r="K70" s="80"/>
      <c r="L70" s="80"/>
      <c r="M70" s="80"/>
      <c r="N70" s="80"/>
      <c r="O70" s="80"/>
      <c r="P70" s="80"/>
      <c r="Q70" s="80"/>
      <c r="R70" s="80"/>
      <c r="S70" s="80"/>
      <c r="T70" s="80"/>
      <c r="V70" s="10">
        <f t="shared" si="177"/>
        <v>0</v>
      </c>
      <c r="W70" s="10">
        <f t="shared" si="178"/>
        <v>0</v>
      </c>
      <c r="X70" s="10">
        <f t="shared" si="179"/>
        <v>0</v>
      </c>
      <c r="Y70" s="10">
        <f t="shared" si="180"/>
        <v>0</v>
      </c>
      <c r="Z70" s="10">
        <f t="shared" si="181"/>
        <v>0</v>
      </c>
      <c r="AA70" s="10">
        <f t="shared" si="182"/>
        <v>0</v>
      </c>
      <c r="AB70" s="10">
        <f t="shared" si="183"/>
        <v>0</v>
      </c>
      <c r="AC70" s="10">
        <f t="shared" si="184"/>
        <v>0</v>
      </c>
      <c r="AD70" s="10">
        <f t="shared" si="185"/>
        <v>0</v>
      </c>
      <c r="AE70" s="10">
        <f t="shared" si="186"/>
        <v>0</v>
      </c>
    </row>
    <row r="71" spans="2:31">
      <c r="F71" s="10"/>
    </row>
    <row r="72" spans="2:31">
      <c r="B72" s="130" t="s">
        <v>110</v>
      </c>
      <c r="C72" s="75"/>
      <c r="D72" s="75"/>
      <c r="E72" s="75"/>
      <c r="F72" s="75"/>
      <c r="H72" s="75"/>
      <c r="I72" s="75"/>
      <c r="J72" s="75"/>
      <c r="K72" s="106">
        <f t="shared" ref="K72:K74" si="187">D72</f>
        <v>0</v>
      </c>
      <c r="L72" s="75"/>
      <c r="M72" s="75"/>
      <c r="N72" s="75"/>
      <c r="O72" s="106">
        <f t="shared" ref="O72:O74" si="188">E72</f>
        <v>0</v>
      </c>
      <c r="P72" s="75"/>
      <c r="Q72" s="75"/>
      <c r="R72" s="75"/>
      <c r="S72" s="106">
        <f>F72</f>
        <v>0</v>
      </c>
      <c r="T72" s="75"/>
      <c r="V72" s="10">
        <f t="shared" ref="V72:V75" si="189">K72</f>
        <v>0</v>
      </c>
      <c r="W72" s="10">
        <f t="shared" ref="W72:W75" si="190">L72</f>
        <v>0</v>
      </c>
      <c r="X72" s="10">
        <f t="shared" ref="X72:X75" si="191">M72</f>
        <v>0</v>
      </c>
      <c r="Y72" s="10">
        <f t="shared" ref="Y72:Y75" si="192">N72</f>
        <v>0</v>
      </c>
      <c r="Z72" s="10">
        <f t="shared" ref="Z72:Z75" si="193">O72</f>
        <v>0</v>
      </c>
      <c r="AA72" s="10">
        <f t="shared" ref="AA72:AA75" si="194">P72</f>
        <v>0</v>
      </c>
      <c r="AB72" s="10">
        <f t="shared" ref="AB72:AB75" si="195">Q72</f>
        <v>0</v>
      </c>
      <c r="AC72" s="10">
        <f t="shared" ref="AC72:AC75" si="196">R72</f>
        <v>0</v>
      </c>
      <c r="AD72" s="10">
        <f t="shared" ref="AD72:AD75" si="197">S72</f>
        <v>0</v>
      </c>
      <c r="AE72" s="10">
        <f t="shared" ref="AE72:AE75" si="198">T72</f>
        <v>0</v>
      </c>
    </row>
    <row r="73" spans="2:31">
      <c r="B73" s="130" t="s">
        <v>110</v>
      </c>
      <c r="C73" s="75"/>
      <c r="D73" s="75"/>
      <c r="E73" s="75"/>
      <c r="F73" s="75"/>
      <c r="H73" s="75"/>
      <c r="I73" s="75"/>
      <c r="J73" s="75"/>
      <c r="K73" s="106">
        <f t="shared" si="187"/>
        <v>0</v>
      </c>
      <c r="L73" s="75"/>
      <c r="M73" s="75"/>
      <c r="N73" s="75"/>
      <c r="O73" s="106">
        <f t="shared" si="188"/>
        <v>0</v>
      </c>
      <c r="P73" s="75"/>
      <c r="Q73" s="75"/>
      <c r="R73" s="75"/>
      <c r="S73" s="106">
        <f t="shared" ref="S73:S74" si="199">F73</f>
        <v>0</v>
      </c>
      <c r="T73" s="75"/>
      <c r="V73" s="10">
        <f t="shared" si="189"/>
        <v>0</v>
      </c>
      <c r="W73" s="10">
        <f t="shared" si="190"/>
        <v>0</v>
      </c>
      <c r="X73" s="10">
        <f t="shared" si="191"/>
        <v>0</v>
      </c>
      <c r="Y73" s="10">
        <f t="shared" si="192"/>
        <v>0</v>
      </c>
      <c r="Z73" s="10">
        <f t="shared" si="193"/>
        <v>0</v>
      </c>
      <c r="AA73" s="10">
        <f t="shared" si="194"/>
        <v>0</v>
      </c>
      <c r="AB73" s="10">
        <f t="shared" si="195"/>
        <v>0</v>
      </c>
      <c r="AC73" s="10">
        <f t="shared" si="196"/>
        <v>0</v>
      </c>
      <c r="AD73" s="10">
        <f t="shared" si="197"/>
        <v>0</v>
      </c>
      <c r="AE73" s="10">
        <f t="shared" si="198"/>
        <v>0</v>
      </c>
    </row>
    <row r="74" spans="2:31">
      <c r="B74" s="130" t="s">
        <v>110</v>
      </c>
      <c r="C74" s="75"/>
      <c r="D74" s="75"/>
      <c r="E74" s="75"/>
      <c r="F74" s="75"/>
      <c r="H74" s="75"/>
      <c r="I74" s="75"/>
      <c r="J74" s="75"/>
      <c r="K74" s="106">
        <f t="shared" si="187"/>
        <v>0</v>
      </c>
      <c r="L74" s="75"/>
      <c r="M74" s="75"/>
      <c r="N74" s="75"/>
      <c r="O74" s="106">
        <f t="shared" si="188"/>
        <v>0</v>
      </c>
      <c r="P74" s="75"/>
      <c r="Q74" s="75"/>
      <c r="R74" s="75"/>
      <c r="S74" s="106">
        <f t="shared" si="199"/>
        <v>0</v>
      </c>
      <c r="T74" s="75"/>
      <c r="V74" s="10">
        <f t="shared" si="189"/>
        <v>0</v>
      </c>
      <c r="W74" s="10">
        <f t="shared" si="190"/>
        <v>0</v>
      </c>
      <c r="X74" s="10">
        <f t="shared" si="191"/>
        <v>0</v>
      </c>
      <c r="Y74" s="10">
        <f t="shared" si="192"/>
        <v>0</v>
      </c>
      <c r="Z74" s="10">
        <f t="shared" si="193"/>
        <v>0</v>
      </c>
      <c r="AA74" s="10">
        <f t="shared" si="194"/>
        <v>0</v>
      </c>
      <c r="AB74" s="10">
        <f t="shared" si="195"/>
        <v>0</v>
      </c>
      <c r="AC74" s="10">
        <f t="shared" si="196"/>
        <v>0</v>
      </c>
      <c r="AD74" s="10">
        <f t="shared" si="197"/>
        <v>0</v>
      </c>
      <c r="AE74" s="10">
        <f t="shared" si="198"/>
        <v>0</v>
      </c>
    </row>
    <row r="75" spans="2:31">
      <c r="B75" s="130" t="s">
        <v>110</v>
      </c>
      <c r="C75" s="75"/>
      <c r="D75" s="75"/>
      <c r="E75" s="75"/>
      <c r="F75" s="75"/>
      <c r="H75" s="75"/>
      <c r="I75" s="75"/>
      <c r="J75" s="75"/>
      <c r="K75" s="80" t="e">
        <f>'Historical Financials'!J69+'Historical Financials'!#REF!</f>
        <v>#REF!</v>
      </c>
      <c r="L75" s="75"/>
      <c r="M75" s="75"/>
      <c r="N75" s="75"/>
      <c r="O75" s="80" t="e">
        <f>'Historical Financials'!N69+'Historical Financials'!#REF!</f>
        <v>#REF!</v>
      </c>
      <c r="P75" s="75"/>
      <c r="Q75" s="75"/>
      <c r="R75" s="75"/>
      <c r="S75" s="80" t="e">
        <f>'Historical Financials'!#REF!+'Historical Financials'!#REF!</f>
        <v>#REF!</v>
      </c>
      <c r="T75" s="75"/>
      <c r="V75" s="10" t="e">
        <f t="shared" si="189"/>
        <v>#REF!</v>
      </c>
      <c r="W75" s="10">
        <f t="shared" si="190"/>
        <v>0</v>
      </c>
      <c r="X75" s="10">
        <f t="shared" si="191"/>
        <v>0</v>
      </c>
      <c r="Y75" s="10">
        <f t="shared" si="192"/>
        <v>0</v>
      </c>
      <c r="Z75" s="10" t="e">
        <f t="shared" si="193"/>
        <v>#REF!</v>
      </c>
      <c r="AA75" s="10">
        <f t="shared" si="194"/>
        <v>0</v>
      </c>
      <c r="AB75" s="10">
        <f t="shared" si="195"/>
        <v>0</v>
      </c>
      <c r="AC75" s="10">
        <f t="shared" si="196"/>
        <v>0</v>
      </c>
      <c r="AD75" s="10" t="e">
        <f t="shared" si="197"/>
        <v>#REF!</v>
      </c>
      <c r="AE75" s="10">
        <f t="shared" si="198"/>
        <v>0</v>
      </c>
    </row>
    <row r="76" spans="2:31" ht="12.75" customHeight="1">
      <c r="B76" s="12" t="s">
        <v>23</v>
      </c>
      <c r="C76" s="13">
        <f t="shared" ref="C76:F76" si="200">SUM(C72:C75)</f>
        <v>0</v>
      </c>
      <c r="D76" s="13">
        <f t="shared" si="200"/>
        <v>0</v>
      </c>
      <c r="E76" s="13">
        <f t="shared" si="200"/>
        <v>0</v>
      </c>
      <c r="F76" s="13">
        <f t="shared" si="200"/>
        <v>0</v>
      </c>
      <c r="H76" s="13">
        <f t="shared" ref="H76:S76" si="201">SUM(H72:H75)</f>
        <v>0</v>
      </c>
      <c r="I76" s="13">
        <f t="shared" si="201"/>
        <v>0</v>
      </c>
      <c r="J76" s="13">
        <f t="shared" si="201"/>
        <v>0</v>
      </c>
      <c r="K76" s="13" t="e">
        <f t="shared" si="201"/>
        <v>#REF!</v>
      </c>
      <c r="L76" s="13">
        <f t="shared" si="201"/>
        <v>0</v>
      </c>
      <c r="M76" s="13">
        <f t="shared" si="201"/>
        <v>0</v>
      </c>
      <c r="N76" s="13">
        <f t="shared" si="201"/>
        <v>0</v>
      </c>
      <c r="O76" s="13" t="e">
        <f t="shared" si="201"/>
        <v>#REF!</v>
      </c>
      <c r="P76" s="13">
        <f t="shared" si="201"/>
        <v>0</v>
      </c>
      <c r="Q76" s="13">
        <f t="shared" si="201"/>
        <v>0</v>
      </c>
      <c r="R76" s="13">
        <f t="shared" si="201"/>
        <v>0</v>
      </c>
      <c r="S76" s="13" t="e">
        <f t="shared" si="201"/>
        <v>#REF!</v>
      </c>
      <c r="T76" s="13">
        <f t="shared" ref="T76" si="202">SUM(T72:T75)</f>
        <v>0</v>
      </c>
      <c r="V76" s="13" t="e">
        <f t="shared" ref="V76:AE76" si="203">SUM(V72:V75)</f>
        <v>#REF!</v>
      </c>
      <c r="W76" s="13">
        <f t="shared" si="203"/>
        <v>0</v>
      </c>
      <c r="X76" s="13">
        <f t="shared" si="203"/>
        <v>0</v>
      </c>
      <c r="Y76" s="13">
        <f t="shared" si="203"/>
        <v>0</v>
      </c>
      <c r="Z76" s="13" t="e">
        <f t="shared" si="203"/>
        <v>#REF!</v>
      </c>
      <c r="AA76" s="13">
        <f t="shared" si="203"/>
        <v>0</v>
      </c>
      <c r="AB76" s="13">
        <f t="shared" si="203"/>
        <v>0</v>
      </c>
      <c r="AC76" s="13">
        <f t="shared" si="203"/>
        <v>0</v>
      </c>
      <c r="AD76" s="13" t="e">
        <f t="shared" si="203"/>
        <v>#REF!</v>
      </c>
      <c r="AE76" s="13">
        <f t="shared" si="203"/>
        <v>0</v>
      </c>
    </row>
    <row r="77" spans="2:31" ht="5.0999999999999996" customHeight="1"/>
    <row r="78" spans="2:31" ht="12.75" customHeight="1">
      <c r="B78" s="8" t="s">
        <v>48</v>
      </c>
      <c r="C78" s="80"/>
      <c r="D78" s="80"/>
      <c r="E78" s="80"/>
      <c r="F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80"/>
      <c r="S78" s="80"/>
      <c r="T78" s="80"/>
      <c r="V78" s="10">
        <f t="shared" ref="V78" si="204">K78</f>
        <v>0</v>
      </c>
      <c r="W78" s="10">
        <f t="shared" ref="W78" si="205">L78</f>
        <v>0</v>
      </c>
      <c r="X78" s="10">
        <f t="shared" ref="X78" si="206">M78</f>
        <v>0</v>
      </c>
      <c r="Y78" s="10">
        <f t="shared" ref="Y78" si="207">N78</f>
        <v>0</v>
      </c>
      <c r="Z78" s="10">
        <f t="shared" ref="Z78" si="208">O78</f>
        <v>0</v>
      </c>
      <c r="AA78" s="10">
        <f t="shared" ref="AA78" si="209">P78</f>
        <v>0</v>
      </c>
      <c r="AB78" s="10">
        <f t="shared" ref="AB78" si="210">Q78</f>
        <v>0</v>
      </c>
      <c r="AC78" s="10">
        <f t="shared" ref="AC78" si="211">R78</f>
        <v>0</v>
      </c>
      <c r="AD78" s="10">
        <f t="shared" ref="AD78" si="212">S78</f>
        <v>0</v>
      </c>
      <c r="AE78" s="10">
        <f t="shared" ref="AE78" si="213">T78</f>
        <v>0</v>
      </c>
    </row>
    <row r="79" spans="2:31" ht="12.75" customHeight="1">
      <c r="B79" s="12" t="s">
        <v>49</v>
      </c>
      <c r="C79" s="13">
        <f t="shared" ref="C79:F79" si="214">SUM(C76:C78)</f>
        <v>0</v>
      </c>
      <c r="D79" s="13">
        <f t="shared" si="214"/>
        <v>0</v>
      </c>
      <c r="E79" s="13">
        <f t="shared" si="214"/>
        <v>0</v>
      </c>
      <c r="F79" s="13">
        <f t="shared" si="214"/>
        <v>0</v>
      </c>
      <c r="H79" s="13">
        <f>SUM(H76:H78)</f>
        <v>0</v>
      </c>
      <c r="I79" s="13">
        <f>SUM(I76:I78)</f>
        <v>0</v>
      </c>
      <c r="J79" s="13">
        <f>SUM(J76:J78)</f>
        <v>0</v>
      </c>
      <c r="K79" s="13" t="e">
        <f>SUM(K76:K78)</f>
        <v>#REF!</v>
      </c>
      <c r="L79" s="13">
        <f t="shared" ref="L79:Q79" si="215">SUM(L76:L78)</f>
        <v>0</v>
      </c>
      <c r="M79" s="13">
        <f t="shared" si="215"/>
        <v>0</v>
      </c>
      <c r="N79" s="13">
        <f t="shared" si="215"/>
        <v>0</v>
      </c>
      <c r="O79" s="13" t="e">
        <f t="shared" si="215"/>
        <v>#REF!</v>
      </c>
      <c r="P79" s="13">
        <f t="shared" si="215"/>
        <v>0</v>
      </c>
      <c r="Q79" s="13">
        <f t="shared" si="215"/>
        <v>0</v>
      </c>
      <c r="R79" s="13">
        <f t="shared" ref="R79:S79" si="216">SUM(R76:R78)</f>
        <v>0</v>
      </c>
      <c r="S79" s="13" t="e">
        <f t="shared" si="216"/>
        <v>#REF!</v>
      </c>
      <c r="T79" s="13">
        <f t="shared" ref="T79" si="217">SUM(T76:T78)</f>
        <v>0</v>
      </c>
      <c r="V79" s="13" t="e">
        <f t="shared" ref="V79" si="218">SUM(V76:V78)</f>
        <v>#REF!</v>
      </c>
      <c r="W79" s="13">
        <f t="shared" ref="W79:AC79" si="219">SUM(W76:W78)</f>
        <v>0</v>
      </c>
      <c r="X79" s="13">
        <f t="shared" si="219"/>
        <v>0</v>
      </c>
      <c r="Y79" s="13">
        <f t="shared" si="219"/>
        <v>0</v>
      </c>
      <c r="Z79" s="13" t="e">
        <f t="shared" si="219"/>
        <v>#REF!</v>
      </c>
      <c r="AA79" s="13">
        <f t="shared" si="219"/>
        <v>0</v>
      </c>
      <c r="AB79" s="13">
        <f t="shared" si="219"/>
        <v>0</v>
      </c>
      <c r="AC79" s="13">
        <f t="shared" si="219"/>
        <v>0</v>
      </c>
      <c r="AD79" s="13" t="e">
        <f>SUM(AD76:AD78)</f>
        <v>#REF!</v>
      </c>
      <c r="AE79" s="13">
        <f>SUM(AE76:AE78)</f>
        <v>0</v>
      </c>
    </row>
    <row r="80" spans="2:31" ht="5.0999999999999996" customHeight="1"/>
    <row r="81" spans="1:31" ht="12.75" customHeight="1">
      <c r="A81" s="5"/>
      <c r="B81" s="31" t="s">
        <v>72</v>
      </c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</row>
    <row r="82" spans="1:31" ht="5.0999999999999996" customHeight="1"/>
    <row r="83" spans="1:31" ht="12.75" customHeight="1">
      <c r="B83" s="29" t="s">
        <v>104</v>
      </c>
      <c r="C83" s="134" t="e">
        <f>C76/C34</f>
        <v>#DIV/0!</v>
      </c>
      <c r="D83" s="134" t="e">
        <f>D76/D34</f>
        <v>#DIV/0!</v>
      </c>
      <c r="E83" s="134" t="e">
        <f>E76/E34</f>
        <v>#DIV/0!</v>
      </c>
      <c r="F83" s="134" t="e">
        <f>F76/F34</f>
        <v>#DIV/0!</v>
      </c>
      <c r="H83" s="136"/>
      <c r="I83" s="136"/>
      <c r="J83" s="136"/>
      <c r="K83" s="134" t="e">
        <f t="shared" ref="K83" si="220">SUM(K76/SUM(H34:K34))</f>
        <v>#REF!</v>
      </c>
      <c r="L83" s="134" t="e">
        <f t="shared" ref="L83" si="221">SUM(L76/SUM(I34:L34))</f>
        <v>#DIV/0!</v>
      </c>
      <c r="M83" s="134" t="e">
        <f t="shared" ref="M83" si="222">SUM(M76/SUM(J34:M34))</f>
        <v>#DIV/0!</v>
      </c>
      <c r="N83" s="134" t="e">
        <f t="shared" ref="N83" si="223">SUM(N76/SUM(K34:N34))</f>
        <v>#DIV/0!</v>
      </c>
      <c r="O83" s="134" t="e">
        <f t="shared" ref="O83" si="224">SUM(O76/SUM(L34:O34))</f>
        <v>#REF!</v>
      </c>
      <c r="P83" s="134" t="e">
        <f t="shared" ref="P83" si="225">SUM(P76/SUM(M34:P34))</f>
        <v>#DIV/0!</v>
      </c>
      <c r="Q83" s="134" t="e">
        <f t="shared" ref="Q83" si="226">SUM(Q76/SUM(N34:Q34))</f>
        <v>#DIV/0!</v>
      </c>
      <c r="R83" s="134" t="e">
        <f t="shared" ref="R83" si="227">SUM(R76/SUM(O34:R34))</f>
        <v>#DIV/0!</v>
      </c>
      <c r="S83" s="134" t="e">
        <f t="shared" ref="S83" si="228">SUM(S76/SUM(P34:S34))</f>
        <v>#REF!</v>
      </c>
      <c r="T83" s="134" t="e">
        <f t="shared" ref="T83" si="229">SUM(T76/SUM(Q34:T34))</f>
        <v>#DIV/0!</v>
      </c>
      <c r="U83" s="134"/>
      <c r="V83" s="134" t="e">
        <f t="shared" ref="V83:AE83" si="230">V76/V34</f>
        <v>#REF!</v>
      </c>
      <c r="W83" s="134" t="e">
        <f t="shared" si="230"/>
        <v>#DIV/0!</v>
      </c>
      <c r="X83" s="134" t="e">
        <f t="shared" si="230"/>
        <v>#DIV/0!</v>
      </c>
      <c r="Y83" s="134" t="e">
        <f t="shared" si="230"/>
        <v>#DIV/0!</v>
      </c>
      <c r="Z83" s="134" t="e">
        <f t="shared" si="230"/>
        <v>#REF!</v>
      </c>
      <c r="AA83" s="134" t="e">
        <f t="shared" si="230"/>
        <v>#DIV/0!</v>
      </c>
      <c r="AB83" s="134" t="e">
        <f t="shared" si="230"/>
        <v>#DIV/0!</v>
      </c>
      <c r="AC83" s="134" t="e">
        <f t="shared" si="230"/>
        <v>#DIV/0!</v>
      </c>
      <c r="AD83" s="134" t="e">
        <f t="shared" si="230"/>
        <v>#REF!</v>
      </c>
      <c r="AE83" s="134" t="e">
        <f t="shared" si="230"/>
        <v>#DIV/0!</v>
      </c>
    </row>
    <row r="84" spans="1:31" ht="12.75" customHeight="1">
      <c r="B84" s="29" t="s">
        <v>105</v>
      </c>
      <c r="C84" s="134" t="e">
        <f>SUM(C76-C54)/C34</f>
        <v>#DIV/0!</v>
      </c>
      <c r="D84" s="134" t="e">
        <f>SUM(D76-D54)/D34</f>
        <v>#DIV/0!</v>
      </c>
      <c r="E84" s="134" t="e">
        <f>SUM(E76-E54)/E34</f>
        <v>#DIV/0!</v>
      </c>
      <c r="F84" s="134" t="e">
        <f>SUM(F76-F54)/F34</f>
        <v>#DIV/0!</v>
      </c>
      <c r="H84" s="136"/>
      <c r="I84" s="136"/>
      <c r="J84" s="136"/>
      <c r="K84" s="134" t="e">
        <f t="shared" ref="K84" si="231">SUM(K76-K54)/SUM(H34:K34)</f>
        <v>#REF!</v>
      </c>
      <c r="L84" s="134" t="e">
        <f t="shared" ref="L84" si="232">SUM(L76-L54)/SUM(I34:L34)</f>
        <v>#DIV/0!</v>
      </c>
      <c r="M84" s="134" t="e">
        <f t="shared" ref="M84" si="233">SUM(M76-M54)/SUM(J34:M34)</f>
        <v>#DIV/0!</v>
      </c>
      <c r="N84" s="134" t="e">
        <f t="shared" ref="N84" si="234">SUM(N76-N54)/SUM(K34:N34)</f>
        <v>#DIV/0!</v>
      </c>
      <c r="O84" s="134" t="e">
        <f t="shared" ref="O84" si="235">SUM(O76-O54)/SUM(L34:O34)</f>
        <v>#REF!</v>
      </c>
      <c r="P84" s="134" t="e">
        <f t="shared" ref="P84" si="236">SUM(P76-P54)/SUM(M34:P34)</f>
        <v>#DIV/0!</v>
      </c>
      <c r="Q84" s="134" t="e">
        <f t="shared" ref="Q84" si="237">SUM(Q76-Q54)/SUM(N34:Q34)</f>
        <v>#DIV/0!</v>
      </c>
      <c r="R84" s="134" t="e">
        <f t="shared" ref="R84" si="238">SUM(R76-R54)/SUM(O34:R34)</f>
        <v>#DIV/0!</v>
      </c>
      <c r="S84" s="134" t="e">
        <f t="shared" ref="S84" si="239">SUM(S76-S54)/SUM(P34:S34)</f>
        <v>#REF!</v>
      </c>
      <c r="T84" s="134" t="e">
        <f t="shared" ref="T84" si="240">SUM(T76-T54)/SUM(Q34:T34)</f>
        <v>#DIV/0!</v>
      </c>
      <c r="U84" s="134"/>
      <c r="V84" s="134" t="e">
        <f t="shared" ref="V84:AE84" si="241">SUM(V76-V54)/V34</f>
        <v>#REF!</v>
      </c>
      <c r="W84" s="134" t="e">
        <f t="shared" si="241"/>
        <v>#DIV/0!</v>
      </c>
      <c r="X84" s="134" t="e">
        <f t="shared" si="241"/>
        <v>#DIV/0!</v>
      </c>
      <c r="Y84" s="134" t="e">
        <f t="shared" si="241"/>
        <v>#DIV/0!</v>
      </c>
      <c r="Z84" s="134" t="e">
        <f t="shared" si="241"/>
        <v>#REF!</v>
      </c>
      <c r="AA84" s="134" t="e">
        <f t="shared" si="241"/>
        <v>#DIV/0!</v>
      </c>
      <c r="AB84" s="134" t="e">
        <f t="shared" si="241"/>
        <v>#DIV/0!</v>
      </c>
      <c r="AC84" s="134" t="e">
        <f t="shared" si="241"/>
        <v>#DIV/0!</v>
      </c>
      <c r="AD84" s="134" t="e">
        <f t="shared" si="241"/>
        <v>#REF!</v>
      </c>
      <c r="AE84" s="134" t="e">
        <f t="shared" si="241"/>
        <v>#DIV/0!</v>
      </c>
    </row>
    <row r="85" spans="1:31" ht="12.75" customHeight="1">
      <c r="B85" s="29" t="s">
        <v>106</v>
      </c>
      <c r="C85" s="134" t="e">
        <f>C34/-C39</f>
        <v>#DIV/0!</v>
      </c>
      <c r="D85" s="134" t="e">
        <f>D34/-D39</f>
        <v>#DIV/0!</v>
      </c>
      <c r="E85" s="134" t="e">
        <f>E34/-E39</f>
        <v>#DIV/0!</v>
      </c>
      <c r="F85" s="134" t="e">
        <f>F34/-F39</f>
        <v>#DIV/0!</v>
      </c>
      <c r="H85" s="136"/>
      <c r="I85" s="136"/>
      <c r="J85" s="136"/>
      <c r="K85" s="134" t="e" cm="1">
        <f t="array" ref="K85">SUM(H34:K34)/SUM(-H39:K39)</f>
        <v>#DIV/0!</v>
      </c>
      <c r="L85" s="134" t="e" cm="1">
        <f t="array" ref="L85">SUM(I34:L34)/SUM(-I39:L39)</f>
        <v>#DIV/0!</v>
      </c>
      <c r="M85" s="134" t="e" cm="1">
        <f t="array" ref="M85">SUM(J34:M34)/SUM(-J39:M39)</f>
        <v>#DIV/0!</v>
      </c>
      <c r="N85" s="134" t="e" cm="1">
        <f t="array" ref="N85">SUM(K34:N34)/SUM(-K39:N39)</f>
        <v>#DIV/0!</v>
      </c>
      <c r="O85" s="134" t="e" cm="1">
        <f t="array" ref="O85">SUM(L34:O34)/SUM(-L39:O39)</f>
        <v>#DIV/0!</v>
      </c>
      <c r="P85" s="134" t="e" cm="1">
        <f t="array" ref="P85">SUM(M34:P34)/SUM(-M39:P39)</f>
        <v>#DIV/0!</v>
      </c>
      <c r="Q85" s="134" t="e" cm="1">
        <f t="array" ref="Q85">SUM(N34:Q34)/SUM(-N39:Q39)</f>
        <v>#DIV/0!</v>
      </c>
      <c r="R85" s="134" t="e" cm="1">
        <f t="array" ref="R85">SUM(O34:R34)/SUM(-O39:R39)</f>
        <v>#DIV/0!</v>
      </c>
      <c r="S85" s="134" t="e" cm="1">
        <f t="array" ref="S85">SUM(P34:S34)/SUM(-P39:S39)</f>
        <v>#DIV/0!</v>
      </c>
      <c r="T85" s="134" t="e" cm="1">
        <f t="array" ref="T85">SUM(Q34:T34)/SUM(-Q39:T39)</f>
        <v>#DIV/0!</v>
      </c>
      <c r="U85" s="134"/>
      <c r="V85" s="134" t="e">
        <f t="shared" ref="V85:AE85" si="242">V34/-V39</f>
        <v>#DIV/0!</v>
      </c>
      <c r="W85" s="134" t="e">
        <f t="shared" si="242"/>
        <v>#DIV/0!</v>
      </c>
      <c r="X85" s="134" t="e">
        <f t="shared" si="242"/>
        <v>#DIV/0!</v>
      </c>
      <c r="Y85" s="134" t="e">
        <f t="shared" si="242"/>
        <v>#DIV/0!</v>
      </c>
      <c r="Z85" s="134" t="e">
        <f t="shared" si="242"/>
        <v>#DIV/0!</v>
      </c>
      <c r="AA85" s="134" t="e">
        <f t="shared" si="242"/>
        <v>#DIV/0!</v>
      </c>
      <c r="AB85" s="134" t="e">
        <f t="shared" si="242"/>
        <v>#DIV/0!</v>
      </c>
      <c r="AC85" s="134" t="e">
        <f t="shared" si="242"/>
        <v>#DIV/0!</v>
      </c>
      <c r="AD85" s="134" t="e">
        <f t="shared" si="242"/>
        <v>#DIV/0!</v>
      </c>
      <c r="AE85" s="134" t="e">
        <f t="shared" si="242"/>
        <v>#DIV/0!</v>
      </c>
    </row>
    <row r="86" spans="1:31" ht="12.75" customHeight="1">
      <c r="B86" s="29" t="s">
        <v>107</v>
      </c>
      <c r="C86" s="134" t="e" cm="1">
        <f t="array" ref="C86">SUM(C34+C37)/SUM(-C38:C39)</f>
        <v>#DIV/0!</v>
      </c>
      <c r="D86" s="134" t="e" cm="1">
        <f t="array" ref="D86">SUM(D34+D37)/SUM(-D38:D39)</f>
        <v>#DIV/0!</v>
      </c>
      <c r="E86" s="134" t="e" cm="1">
        <f t="array" ref="E86">SUM(E34+E37)/SUM(-E38:E39)</f>
        <v>#DIV/0!</v>
      </c>
      <c r="F86" s="134" t="e" cm="1">
        <f t="array" ref="F86">SUM(F34+F37)/SUM(-F38:F39)</f>
        <v>#DIV/0!</v>
      </c>
      <c r="H86" s="136"/>
      <c r="I86" s="136"/>
      <c r="J86" s="136"/>
      <c r="K86" s="134" t="e" cm="1">
        <f t="array" ref="K86">SUM(H34:K34+H37:K37)/SUM(-H38:K39)</f>
        <v>#DIV/0!</v>
      </c>
      <c r="L86" s="134" t="e" cm="1">
        <f t="array" ref="L86">SUM(I34:L34+I37:L37)/SUM(-I38:L39)</f>
        <v>#DIV/0!</v>
      </c>
      <c r="M86" s="134" t="e" cm="1">
        <f t="array" ref="M86">SUM(J34:M34+J37:M37)/SUM(-J38:M39)</f>
        <v>#DIV/0!</v>
      </c>
      <c r="N86" s="134" t="e" cm="1">
        <f t="array" ref="N86">SUM(K34:N34+K37:N37)/SUM(-K38:N39)</f>
        <v>#DIV/0!</v>
      </c>
      <c r="O86" s="134" t="e" cm="1">
        <f t="array" ref="O86">SUM(L34:O34+L37:O37)/SUM(-L38:O39)</f>
        <v>#DIV/0!</v>
      </c>
      <c r="P86" s="134" t="e" cm="1">
        <f t="array" ref="P86">SUM(M34:P34+M37:P37)/SUM(-M38:P39)</f>
        <v>#DIV/0!</v>
      </c>
      <c r="Q86" s="134" t="e" cm="1">
        <f t="array" ref="Q86">SUM(N34:Q34+N37:Q37)/SUM(-N38:Q39)</f>
        <v>#DIV/0!</v>
      </c>
      <c r="R86" s="134" t="e" cm="1">
        <f t="array" ref="R86">SUM(O34:R34+O37:R37)/SUM(-O38:R39)</f>
        <v>#DIV/0!</v>
      </c>
      <c r="S86" s="134" t="e" cm="1">
        <f t="array" ref="S86">SUM(P34:S34+P37:S37)/SUM(-P38:S39)</f>
        <v>#DIV/0!</v>
      </c>
      <c r="T86" s="134" t="e" cm="1">
        <f t="array" ref="T86">SUM(Q34:T34+Q37:T37)/SUM(-Q38:T39)</f>
        <v>#DIV/0!</v>
      </c>
      <c r="U86" s="134"/>
      <c r="V86" s="134" t="e" cm="1">
        <f t="array" ref="V86">SUM(V34+V37)/SUM(-V38:V39)</f>
        <v>#DIV/0!</v>
      </c>
      <c r="W86" s="134" t="e" cm="1">
        <f t="array" ref="W86">SUM(W34+W37)/SUM(-W38:W39)</f>
        <v>#DIV/0!</v>
      </c>
      <c r="X86" s="134" t="e" cm="1">
        <f t="array" ref="X86">SUM(X34+X37)/SUM(-X38:X39)</f>
        <v>#DIV/0!</v>
      </c>
      <c r="Y86" s="134" t="e" cm="1">
        <f t="array" ref="Y86">SUM(Y34+Y37)/SUM(-Y38:Y39)</f>
        <v>#DIV/0!</v>
      </c>
      <c r="Z86" s="134" t="e" cm="1">
        <f t="array" ref="Z86">SUM(Z34+Z37)/SUM(-Z38:Z39)</f>
        <v>#DIV/0!</v>
      </c>
      <c r="AA86" s="134" t="e" cm="1">
        <f t="array" ref="AA86">SUM(AA34+AA37)/SUM(-AA38:AA39)</f>
        <v>#DIV/0!</v>
      </c>
      <c r="AB86" s="134" t="e" cm="1">
        <f t="array" ref="AB86">SUM(AB34+AB37)/SUM(-AB38:AB39)</f>
        <v>#DIV/0!</v>
      </c>
      <c r="AC86" s="134" t="e" cm="1">
        <f t="array" ref="AC86">SUM(AC34+AC37)/SUM(-AC38:AC39)</f>
        <v>#DIV/0!</v>
      </c>
      <c r="AD86" s="134" t="e" cm="1">
        <f t="array" ref="AD86">SUM(AD34+AD37)/SUM(-AD38:AD39)</f>
        <v>#DIV/0!</v>
      </c>
      <c r="AE86" s="134" t="e" cm="1">
        <f t="array" ref="AE86">SUM(AE34+AE37)/SUM(-AE38:AE39)</f>
        <v>#DIV/0!</v>
      </c>
    </row>
    <row r="87" spans="1:31" ht="12.75" customHeight="1">
      <c r="B87" s="29" t="s">
        <v>108</v>
      </c>
      <c r="C87" s="134" t="e" cm="1">
        <f t="array" ref="C87">SUM(C34)/SUM(-C37:C39)</f>
        <v>#DIV/0!</v>
      </c>
      <c r="D87" s="134" t="e" cm="1">
        <f t="array" ref="D87">SUM(D34)/SUM(-D37:D39)</f>
        <v>#DIV/0!</v>
      </c>
      <c r="E87" s="134" t="e" cm="1">
        <f t="array" ref="E87">SUM(E34)/SUM(-E37:E39)</f>
        <v>#DIV/0!</v>
      </c>
      <c r="F87" s="134" t="e" cm="1">
        <f t="array" ref="F87">SUM(F34)/SUM(-F37:F39)</f>
        <v>#DIV/0!</v>
      </c>
      <c r="H87" s="136"/>
      <c r="I87" s="136"/>
      <c r="J87" s="136"/>
      <c r="K87" s="134" t="e" cm="1">
        <f t="array" ref="K87">SUM(H34:K34)/SUM(-H37:K39)</f>
        <v>#DIV/0!</v>
      </c>
      <c r="L87" s="134" t="e" cm="1">
        <f t="array" ref="L87">SUM(I34:L34)/SUM(-I37:L39)</f>
        <v>#DIV/0!</v>
      </c>
      <c r="M87" s="134" t="e" cm="1">
        <f t="array" ref="M87">SUM(J34:M34)/SUM(-J37:M39)</f>
        <v>#DIV/0!</v>
      </c>
      <c r="N87" s="134" t="e" cm="1">
        <f t="array" ref="N87">SUM(K34:N34)/SUM(-K37:N39)</f>
        <v>#DIV/0!</v>
      </c>
      <c r="O87" s="134" t="e" cm="1">
        <f t="array" ref="O87">SUM(L34:O34)/SUM(-L37:O39)</f>
        <v>#DIV/0!</v>
      </c>
      <c r="P87" s="134" t="e" cm="1">
        <f t="array" ref="P87">SUM(M34:P34)/SUM(-M37:P39)</f>
        <v>#DIV/0!</v>
      </c>
      <c r="Q87" s="134" t="e" cm="1">
        <f t="array" ref="Q87">SUM(N34:Q34)/SUM(-N37:Q39)</f>
        <v>#DIV/0!</v>
      </c>
      <c r="R87" s="134" t="e" cm="1">
        <f t="array" ref="R87">SUM(O34:R34)/SUM(-O37:R39)</f>
        <v>#DIV/0!</v>
      </c>
      <c r="S87" s="134" t="e" cm="1">
        <f t="array" ref="S87">SUM(P34:S34)/SUM(-P37:S39)</f>
        <v>#DIV/0!</v>
      </c>
      <c r="T87" s="134" t="e" cm="1">
        <f t="array" ref="T87">SUM(Q34:T34)/SUM(-Q37:T39)</f>
        <v>#DIV/0!</v>
      </c>
      <c r="U87" s="134"/>
      <c r="V87" s="134" t="e" cm="1">
        <f t="array" ref="V87">SUM(V34)/SUM(-V37:V39)</f>
        <v>#DIV/0!</v>
      </c>
      <c r="W87" s="134" t="e" cm="1">
        <f t="array" ref="W87">SUM(W34)/SUM(-W37:W39)</f>
        <v>#DIV/0!</v>
      </c>
      <c r="X87" s="134" t="e" cm="1">
        <f t="array" ref="X87">SUM(X34)/SUM(-X37:X39)</f>
        <v>#DIV/0!</v>
      </c>
      <c r="Y87" s="134" t="e" cm="1">
        <f t="array" ref="Y87">SUM(Y34)/SUM(-Y37:Y39)</f>
        <v>#DIV/0!</v>
      </c>
      <c r="Z87" s="134" t="e" cm="1">
        <f t="array" ref="Z87">SUM(Z34)/SUM(-Z37:Z39)</f>
        <v>#DIV/0!</v>
      </c>
      <c r="AA87" s="134" t="e" cm="1">
        <f t="array" ref="AA87">SUM(AA34)/SUM(-AA37:AA39)</f>
        <v>#DIV/0!</v>
      </c>
      <c r="AB87" s="134" t="e" cm="1">
        <f t="array" ref="AB87">SUM(AB34)/SUM(-AB37:AB39)</f>
        <v>#DIV/0!</v>
      </c>
      <c r="AC87" s="134" t="e" cm="1">
        <f t="array" ref="AC87">SUM(AC34)/SUM(-AC37:AC39)</f>
        <v>#DIV/0!</v>
      </c>
      <c r="AD87" s="134" t="e" cm="1">
        <f t="array" ref="AD87">SUM(AD34)/SUM(-AD37:AD39)</f>
        <v>#DIV/0!</v>
      </c>
      <c r="AE87" s="134" t="e" cm="1">
        <f t="array" ref="AE87">SUM(AE34)/SUM(-AE37:AE39)</f>
        <v>#DIV/0!</v>
      </c>
    </row>
    <row r="88" spans="1:31" ht="12.75" customHeight="1">
      <c r="B88" s="8" t="s">
        <v>50</v>
      </c>
      <c r="C88" s="134" t="e">
        <f t="shared" ref="C88:F88" si="243">C79/C76</f>
        <v>#DIV/0!</v>
      </c>
      <c r="D88" s="134" t="e">
        <f t="shared" si="243"/>
        <v>#DIV/0!</v>
      </c>
      <c r="E88" s="134" t="e">
        <f t="shared" si="243"/>
        <v>#DIV/0!</v>
      </c>
      <c r="F88" s="134" t="e">
        <f t="shared" si="243"/>
        <v>#DIV/0!</v>
      </c>
      <c r="H88" s="136"/>
      <c r="I88" s="136"/>
      <c r="J88" s="136"/>
      <c r="K88" s="134" t="e">
        <f t="shared" ref="K88:S88" si="244">K79/K76</f>
        <v>#REF!</v>
      </c>
      <c r="L88" s="134" t="e">
        <f t="shared" si="244"/>
        <v>#DIV/0!</v>
      </c>
      <c r="M88" s="134" t="e">
        <f t="shared" si="244"/>
        <v>#DIV/0!</v>
      </c>
      <c r="N88" s="134" t="e">
        <f t="shared" si="244"/>
        <v>#DIV/0!</v>
      </c>
      <c r="O88" s="134" t="e">
        <f t="shared" si="244"/>
        <v>#REF!</v>
      </c>
      <c r="P88" s="134" t="e">
        <f t="shared" si="244"/>
        <v>#DIV/0!</v>
      </c>
      <c r="Q88" s="134" t="e">
        <f t="shared" si="244"/>
        <v>#DIV/0!</v>
      </c>
      <c r="R88" s="134" t="e">
        <f t="shared" si="244"/>
        <v>#DIV/0!</v>
      </c>
      <c r="S88" s="134" t="e">
        <f t="shared" si="244"/>
        <v>#REF!</v>
      </c>
      <c r="T88" s="134" t="e">
        <f t="shared" ref="T88" si="245">T79/T76</f>
        <v>#DIV/0!</v>
      </c>
      <c r="U88" s="134"/>
      <c r="V88" s="134" t="e">
        <f t="shared" ref="V88" si="246">V79/V76</f>
        <v>#REF!</v>
      </c>
      <c r="W88" s="134" t="e">
        <f t="shared" ref="W88:AC88" si="247">W79/W76</f>
        <v>#DIV/0!</v>
      </c>
      <c r="X88" s="134" t="e">
        <f t="shared" si="247"/>
        <v>#DIV/0!</v>
      </c>
      <c r="Y88" s="134" t="e">
        <f t="shared" si="247"/>
        <v>#DIV/0!</v>
      </c>
      <c r="Z88" s="134" t="e">
        <f t="shared" si="247"/>
        <v>#REF!</v>
      </c>
      <c r="AA88" s="134" t="e">
        <f t="shared" si="247"/>
        <v>#DIV/0!</v>
      </c>
      <c r="AB88" s="134" t="e">
        <f t="shared" si="247"/>
        <v>#DIV/0!</v>
      </c>
      <c r="AC88" s="134" t="e">
        <f t="shared" si="247"/>
        <v>#DIV/0!</v>
      </c>
      <c r="AD88" s="134" t="e">
        <f>AD79/AD76</f>
        <v>#REF!</v>
      </c>
      <c r="AE88" s="134" t="e">
        <f>AE79/AE76</f>
        <v>#DIV/0!</v>
      </c>
    </row>
    <row r="89" spans="1:31" ht="5.0999999999999996" customHeight="1" thickBot="1"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</row>
  </sheetData>
  <mergeCells count="1">
    <mergeCell ref="AG2:AG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Historical Financials</vt:lpstr>
      <vt:lpstr>Revenue Drivers</vt:lpstr>
      <vt:lpstr>FCF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 Garcia</dc:creator>
  <cp:lastModifiedBy>Felix Garcia</cp:lastModifiedBy>
  <dcterms:created xsi:type="dcterms:W3CDTF">2024-08-10T06:01:52Z</dcterms:created>
  <dcterms:modified xsi:type="dcterms:W3CDTF">2025-12-25T07:28:10Z</dcterms:modified>
</cp:coreProperties>
</file>