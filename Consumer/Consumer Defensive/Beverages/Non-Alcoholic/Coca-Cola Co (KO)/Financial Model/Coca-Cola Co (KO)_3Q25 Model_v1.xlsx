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2D1F47CD-8775-411F-9A9C-9A5467428008}" xr6:coauthVersionLast="47" xr6:coauthVersionMax="47" xr10:uidLastSave="{00000000-0000-0000-0000-000000000000}"/>
  <bookViews>
    <workbookView xWindow="-120" yWindow="-120" windowWidth="29040" windowHeight="15720" activeTab="2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1" l="1"/>
  <c r="P12" i="11"/>
  <c r="O12" i="11"/>
  <c r="N12" i="11"/>
  <c r="M12" i="11"/>
  <c r="L12" i="11"/>
  <c r="K12" i="11"/>
  <c r="Y12" i="11" s="1"/>
  <c r="J12" i="11"/>
  <c r="X12" i="11" s="1"/>
  <c r="I12" i="11"/>
  <c r="W12" i="11" s="1"/>
  <c r="H12" i="11"/>
  <c r="V12" i="11" s="1"/>
  <c r="G12" i="11"/>
  <c r="E12" i="11"/>
  <c r="D12" i="11"/>
  <c r="C12" i="11"/>
  <c r="Q7" i="11"/>
  <c r="P7" i="11"/>
  <c r="O7" i="11"/>
  <c r="AA7" i="11" s="1"/>
  <c r="N7" i="11"/>
  <c r="M7" i="11"/>
  <c r="L7" i="11"/>
  <c r="K7" i="11"/>
  <c r="J7" i="11"/>
  <c r="W7" i="11" s="1"/>
  <c r="I7" i="11"/>
  <c r="V7" i="11" s="1"/>
  <c r="H7" i="11"/>
  <c r="Q6" i="11"/>
  <c r="P6" i="11"/>
  <c r="O6" i="11"/>
  <c r="N6" i="11"/>
  <c r="M6" i="11"/>
  <c r="AA6" i="11" s="1"/>
  <c r="L6" i="11"/>
  <c r="X6" i="11" s="1"/>
  <c r="K6" i="11"/>
  <c r="J6" i="11"/>
  <c r="I6" i="11"/>
  <c r="W6" i="11" s="1"/>
  <c r="H6" i="11"/>
  <c r="G7" i="11"/>
  <c r="G6" i="11"/>
  <c r="S6" i="11" s="1"/>
  <c r="E7" i="11"/>
  <c r="D7" i="11"/>
  <c r="C7" i="11"/>
  <c r="E6" i="11"/>
  <c r="D6" i="11"/>
  <c r="C6" i="11"/>
  <c r="AA71" i="11"/>
  <c r="Z71" i="11"/>
  <c r="Y71" i="11"/>
  <c r="X71" i="11"/>
  <c r="W71" i="11"/>
  <c r="V71" i="11"/>
  <c r="U71" i="11"/>
  <c r="T71" i="11"/>
  <c r="S71" i="11"/>
  <c r="AA74" i="11"/>
  <c r="Z74" i="11"/>
  <c r="Y74" i="11"/>
  <c r="X74" i="11"/>
  <c r="W74" i="11"/>
  <c r="V74" i="11"/>
  <c r="U74" i="11"/>
  <c r="T74" i="11"/>
  <c r="S74" i="11"/>
  <c r="AB74" i="11"/>
  <c r="AA70" i="11"/>
  <c r="Z70" i="11"/>
  <c r="Y70" i="11"/>
  <c r="X70" i="11"/>
  <c r="W70" i="11"/>
  <c r="V70" i="11"/>
  <c r="U70" i="11"/>
  <c r="T70" i="11"/>
  <c r="S70" i="11"/>
  <c r="AA69" i="11"/>
  <c r="Z69" i="11"/>
  <c r="Y69" i="11"/>
  <c r="X69" i="11"/>
  <c r="W69" i="11"/>
  <c r="V69" i="11"/>
  <c r="U69" i="11"/>
  <c r="T69" i="11"/>
  <c r="S69" i="11"/>
  <c r="AA68" i="11"/>
  <c r="Z68" i="11"/>
  <c r="Y68" i="11"/>
  <c r="X68" i="11"/>
  <c r="W68" i="11"/>
  <c r="V68" i="11"/>
  <c r="U68" i="11"/>
  <c r="T68" i="11"/>
  <c r="S68" i="11"/>
  <c r="AB71" i="11"/>
  <c r="AB70" i="11"/>
  <c r="AB69" i="11"/>
  <c r="AB68" i="11"/>
  <c r="AA66" i="11"/>
  <c r="Z66" i="11"/>
  <c r="Y66" i="11"/>
  <c r="X66" i="11"/>
  <c r="W66" i="11"/>
  <c r="V66" i="11"/>
  <c r="U66" i="11"/>
  <c r="T66" i="11"/>
  <c r="S66" i="11"/>
  <c r="AA65" i="11"/>
  <c r="Z65" i="11"/>
  <c r="Y65" i="11"/>
  <c r="X65" i="11"/>
  <c r="W65" i="11"/>
  <c r="V65" i="11"/>
  <c r="U65" i="11"/>
  <c r="T65" i="11"/>
  <c r="S65" i="11"/>
  <c r="AB66" i="11"/>
  <c r="AB65" i="11"/>
  <c r="AA62" i="11"/>
  <c r="Z62" i="11"/>
  <c r="Y62" i="11"/>
  <c r="X62" i="11"/>
  <c r="W62" i="11"/>
  <c r="V62" i="11"/>
  <c r="U62" i="11"/>
  <c r="T62" i="11"/>
  <c r="S62" i="11"/>
  <c r="AA61" i="11"/>
  <c r="Z61" i="11"/>
  <c r="Y61" i="11"/>
  <c r="X61" i="11"/>
  <c r="W61" i="11"/>
  <c r="V61" i="11"/>
  <c r="U61" i="11"/>
  <c r="T61" i="11"/>
  <c r="S61" i="11"/>
  <c r="AA60" i="11"/>
  <c r="Z60" i="11"/>
  <c r="Y60" i="11"/>
  <c r="X60" i="11"/>
  <c r="W60" i="11"/>
  <c r="V60" i="11"/>
  <c r="U60" i="11"/>
  <c r="T60" i="11"/>
  <c r="S60" i="11"/>
  <c r="AA59" i="11"/>
  <c r="Z59" i="11"/>
  <c r="Y59" i="11"/>
  <c r="X59" i="11"/>
  <c r="W59" i="11"/>
  <c r="V59" i="11"/>
  <c r="U59" i="11"/>
  <c r="T59" i="11"/>
  <c r="S59" i="11"/>
  <c r="AA58" i="11"/>
  <c r="Z58" i="11"/>
  <c r="Y58" i="11"/>
  <c r="X58" i="11"/>
  <c r="W58" i="11"/>
  <c r="V58" i="11"/>
  <c r="U58" i="11"/>
  <c r="T58" i="11"/>
  <c r="S58" i="11"/>
  <c r="AA57" i="11"/>
  <c r="Z57" i="11"/>
  <c r="Y57" i="11"/>
  <c r="X57" i="11"/>
  <c r="W57" i="11"/>
  <c r="V57" i="11"/>
  <c r="U57" i="11"/>
  <c r="T57" i="11"/>
  <c r="S57" i="11"/>
  <c r="AA56" i="11"/>
  <c r="Z56" i="11"/>
  <c r="Y56" i="11"/>
  <c r="X56" i="11"/>
  <c r="W56" i="11"/>
  <c r="V56" i="11"/>
  <c r="U56" i="11"/>
  <c r="T56" i="11"/>
  <c r="S56" i="11"/>
  <c r="AB62" i="11"/>
  <c r="AB61" i="11"/>
  <c r="AB60" i="11"/>
  <c r="AB59" i="11"/>
  <c r="AB58" i="11"/>
  <c r="AB57" i="11"/>
  <c r="AB56" i="11"/>
  <c r="AA52" i="11"/>
  <c r="Z52" i="11"/>
  <c r="Y52" i="11"/>
  <c r="X52" i="11"/>
  <c r="W52" i="11"/>
  <c r="V52" i="11"/>
  <c r="U52" i="11"/>
  <c r="T52" i="11"/>
  <c r="S52" i="11"/>
  <c r="AA51" i="11"/>
  <c r="Z51" i="11"/>
  <c r="Y51" i="11"/>
  <c r="X51" i="11"/>
  <c r="W51" i="11"/>
  <c r="V51" i="11"/>
  <c r="U51" i="11"/>
  <c r="T51" i="11"/>
  <c r="S51" i="11"/>
  <c r="AA50" i="11"/>
  <c r="Z50" i="11"/>
  <c r="Y50" i="11"/>
  <c r="X50" i="11"/>
  <c r="W50" i="11"/>
  <c r="V50" i="11"/>
  <c r="U50" i="11"/>
  <c r="T50" i="11"/>
  <c r="S50" i="11"/>
  <c r="AB51" i="11"/>
  <c r="AB50" i="11"/>
  <c r="AB52" i="11"/>
  <c r="AB44" i="11"/>
  <c r="AA44" i="11"/>
  <c r="Z44" i="11"/>
  <c r="Y44" i="11"/>
  <c r="X44" i="11"/>
  <c r="W44" i="11"/>
  <c r="V44" i="11"/>
  <c r="U44" i="11"/>
  <c r="T44" i="11"/>
  <c r="S44" i="11"/>
  <c r="AB43" i="11"/>
  <c r="AA43" i="11"/>
  <c r="Z43" i="11"/>
  <c r="Y43" i="11"/>
  <c r="X43" i="11"/>
  <c r="W43" i="11"/>
  <c r="V43" i="11"/>
  <c r="U43" i="11"/>
  <c r="T43" i="11"/>
  <c r="S43" i="11"/>
  <c r="AB42" i="11"/>
  <c r="AA42" i="11"/>
  <c r="Z42" i="11"/>
  <c r="Y42" i="11"/>
  <c r="X42" i="11"/>
  <c r="W42" i="11"/>
  <c r="V42" i="11"/>
  <c r="U42" i="11"/>
  <c r="T42" i="11"/>
  <c r="S42" i="11"/>
  <c r="AB41" i="11"/>
  <c r="AA41" i="11"/>
  <c r="Z41" i="11"/>
  <c r="Y41" i="11"/>
  <c r="X41" i="11"/>
  <c r="W41" i="11"/>
  <c r="V41" i="11"/>
  <c r="U41" i="11"/>
  <c r="T41" i="11"/>
  <c r="S41" i="11"/>
  <c r="AB40" i="11"/>
  <c r="AA40" i="11"/>
  <c r="Z40" i="11"/>
  <c r="Y40" i="11"/>
  <c r="X40" i="11"/>
  <c r="W40" i="11"/>
  <c r="V40" i="11"/>
  <c r="U40" i="11"/>
  <c r="T40" i="11"/>
  <c r="S40" i="11"/>
  <c r="AB37" i="11"/>
  <c r="AA37" i="11"/>
  <c r="Z37" i="11"/>
  <c r="Y37" i="11"/>
  <c r="X37" i="11"/>
  <c r="W37" i="11"/>
  <c r="V37" i="11"/>
  <c r="U37" i="11"/>
  <c r="T37" i="11"/>
  <c r="S37" i="11"/>
  <c r="AB36" i="11"/>
  <c r="AA36" i="11"/>
  <c r="Z36" i="11"/>
  <c r="Y36" i="11"/>
  <c r="X36" i="11"/>
  <c r="W36" i="11"/>
  <c r="V36" i="11"/>
  <c r="U36" i="11"/>
  <c r="T36" i="11"/>
  <c r="S36" i="11"/>
  <c r="AB35" i="11"/>
  <c r="AA35" i="11"/>
  <c r="Z35" i="11"/>
  <c r="Y35" i="11"/>
  <c r="X35" i="11"/>
  <c r="W35" i="11"/>
  <c r="V35" i="11"/>
  <c r="U35" i="11"/>
  <c r="T35" i="11"/>
  <c r="S35" i="11"/>
  <c r="AB34" i="11"/>
  <c r="AA34" i="11"/>
  <c r="Z34" i="11"/>
  <c r="Y34" i="11"/>
  <c r="X34" i="11"/>
  <c r="W34" i="11"/>
  <c r="V34" i="11"/>
  <c r="U34" i="11"/>
  <c r="T34" i="11"/>
  <c r="S34" i="11"/>
  <c r="AB33" i="11"/>
  <c r="AA33" i="11"/>
  <c r="Z33" i="11"/>
  <c r="Y33" i="11"/>
  <c r="X33" i="11"/>
  <c r="W33" i="11"/>
  <c r="V33" i="11"/>
  <c r="U33" i="11"/>
  <c r="T33" i="11"/>
  <c r="S33" i="11"/>
  <c r="AB29" i="11"/>
  <c r="AA29" i="11"/>
  <c r="Z29" i="11"/>
  <c r="Y29" i="11"/>
  <c r="X29" i="11"/>
  <c r="W29" i="11"/>
  <c r="V29" i="11"/>
  <c r="U29" i="11"/>
  <c r="T29" i="11"/>
  <c r="S29" i="11"/>
  <c r="AB28" i="11"/>
  <c r="AA28" i="11"/>
  <c r="Z28" i="11"/>
  <c r="Y28" i="11"/>
  <c r="X28" i="11"/>
  <c r="W28" i="11"/>
  <c r="V28" i="11"/>
  <c r="U28" i="11"/>
  <c r="T28" i="11"/>
  <c r="S28" i="11"/>
  <c r="AB24" i="11"/>
  <c r="AA24" i="11"/>
  <c r="Z24" i="11"/>
  <c r="Y24" i="11"/>
  <c r="X24" i="11"/>
  <c r="W24" i="11"/>
  <c r="V24" i="11"/>
  <c r="U24" i="11"/>
  <c r="T24" i="11"/>
  <c r="S24" i="11"/>
  <c r="AB20" i="11"/>
  <c r="AA20" i="11"/>
  <c r="Z20" i="11"/>
  <c r="Y20" i="11"/>
  <c r="X20" i="11"/>
  <c r="W20" i="11"/>
  <c r="V20" i="11"/>
  <c r="U20" i="11"/>
  <c r="T20" i="11"/>
  <c r="S20" i="11"/>
  <c r="AB19" i="11"/>
  <c r="AA19" i="11"/>
  <c r="Z19" i="11"/>
  <c r="Y19" i="11"/>
  <c r="X19" i="11"/>
  <c r="W19" i="11"/>
  <c r="V19" i="11"/>
  <c r="U19" i="11"/>
  <c r="T19" i="11"/>
  <c r="S19" i="11"/>
  <c r="AB18" i="11"/>
  <c r="AA18" i="11"/>
  <c r="Z18" i="11"/>
  <c r="Y18" i="11"/>
  <c r="X18" i="11"/>
  <c r="W18" i="11"/>
  <c r="V18" i="11"/>
  <c r="U18" i="11"/>
  <c r="T18" i="11"/>
  <c r="S18" i="11"/>
  <c r="AB17" i="11"/>
  <c r="AA17" i="11"/>
  <c r="Z17" i="11"/>
  <c r="Y17" i="11"/>
  <c r="X17" i="11"/>
  <c r="W17" i="11"/>
  <c r="V17" i="11"/>
  <c r="U17" i="11"/>
  <c r="T17" i="11"/>
  <c r="S17" i="11"/>
  <c r="AB16" i="11"/>
  <c r="AA16" i="11"/>
  <c r="Z16" i="11"/>
  <c r="Y16" i="11"/>
  <c r="X16" i="11"/>
  <c r="W16" i="11"/>
  <c r="V16" i="11"/>
  <c r="U16" i="11"/>
  <c r="T16" i="11"/>
  <c r="S16" i="11"/>
  <c r="AB12" i="11"/>
  <c r="AA12" i="11"/>
  <c r="Z12" i="11"/>
  <c r="U12" i="11"/>
  <c r="T12" i="11"/>
  <c r="S12" i="11"/>
  <c r="Y7" i="11"/>
  <c r="X7" i="11"/>
  <c r="S7" i="11"/>
  <c r="Y6" i="11"/>
  <c r="V6" i="11"/>
  <c r="AB6" i="11"/>
  <c r="AA4" i="11"/>
  <c r="Z4" i="11"/>
  <c r="Y4" i="11"/>
  <c r="X4" i="11"/>
  <c r="W4" i="11"/>
  <c r="V4" i="11"/>
  <c r="U4" i="11"/>
  <c r="T4" i="11"/>
  <c r="S4" i="11"/>
  <c r="AA3" i="11"/>
  <c r="Z3" i="11"/>
  <c r="Y3" i="11"/>
  <c r="X3" i="11"/>
  <c r="W3" i="11"/>
  <c r="V3" i="11"/>
  <c r="U3" i="11"/>
  <c r="T3" i="11"/>
  <c r="S3" i="11"/>
  <c r="AB3" i="11"/>
  <c r="AB4" i="11"/>
  <c r="B7" i="11"/>
  <c r="B6" i="11"/>
  <c r="Z61" i="8"/>
  <c r="Y61" i="8"/>
  <c r="X61" i="8"/>
  <c r="W61" i="8"/>
  <c r="V61" i="8"/>
  <c r="U61" i="8"/>
  <c r="T61" i="8"/>
  <c r="S61" i="8"/>
  <c r="Z60" i="8"/>
  <c r="Y60" i="8"/>
  <c r="X60" i="8"/>
  <c r="W60" i="8"/>
  <c r="V60" i="8"/>
  <c r="U60" i="8"/>
  <c r="T60" i="8"/>
  <c r="S60" i="8"/>
  <c r="Z59" i="8"/>
  <c r="Y59" i="8"/>
  <c r="X59" i="8"/>
  <c r="W59" i="8"/>
  <c r="V59" i="8"/>
  <c r="U59" i="8"/>
  <c r="T59" i="8"/>
  <c r="S59" i="8"/>
  <c r="Z58" i="8"/>
  <c r="Y58" i="8"/>
  <c r="X58" i="8"/>
  <c r="W58" i="8"/>
  <c r="V58" i="8"/>
  <c r="U58" i="8"/>
  <c r="T58" i="8"/>
  <c r="S58" i="8"/>
  <c r="Z57" i="8"/>
  <c r="Y57" i="8"/>
  <c r="X57" i="8"/>
  <c r="W57" i="8"/>
  <c r="V57" i="8"/>
  <c r="U57" i="8"/>
  <c r="T57" i="8"/>
  <c r="S57" i="8"/>
  <c r="Z56" i="8"/>
  <c r="Y56" i="8"/>
  <c r="X56" i="8"/>
  <c r="W56" i="8"/>
  <c r="V56" i="8"/>
  <c r="U56" i="8"/>
  <c r="T56" i="8"/>
  <c r="S56" i="8"/>
  <c r="M134" i="8"/>
  <c r="L134" i="8"/>
  <c r="I134" i="8"/>
  <c r="H134" i="8"/>
  <c r="N106" i="8"/>
  <c r="J106" i="8"/>
  <c r="L106" i="8"/>
  <c r="H106" i="8"/>
  <c r="N134" i="8"/>
  <c r="W134" i="8" s="1"/>
  <c r="J134" i="8"/>
  <c r="L126" i="8"/>
  <c r="H126" i="8"/>
  <c r="L125" i="8"/>
  <c r="H125" i="8"/>
  <c r="L124" i="8"/>
  <c r="I124" i="8"/>
  <c r="H124" i="8"/>
  <c r="L123" i="8"/>
  <c r="H123" i="8"/>
  <c r="L122" i="8"/>
  <c r="M122" i="8" s="1"/>
  <c r="H122" i="8"/>
  <c r="I122" i="8" s="1"/>
  <c r="L121" i="8"/>
  <c r="H121" i="8"/>
  <c r="L117" i="8"/>
  <c r="M117" i="8" s="1"/>
  <c r="H117" i="8"/>
  <c r="L116" i="8"/>
  <c r="M116" i="8" s="1"/>
  <c r="H116" i="8"/>
  <c r="I116" i="8" s="1"/>
  <c r="L115" i="8"/>
  <c r="H115" i="8"/>
  <c r="L114" i="8"/>
  <c r="M114" i="8" s="1"/>
  <c r="H114" i="8"/>
  <c r="L113" i="8"/>
  <c r="M113" i="8" s="1"/>
  <c r="H113" i="8"/>
  <c r="I113" i="8" s="1"/>
  <c r="L112" i="8"/>
  <c r="H112" i="8"/>
  <c r="I112" i="8" s="1"/>
  <c r="L110" i="8"/>
  <c r="H110" i="8"/>
  <c r="L111" i="8"/>
  <c r="H111" i="8"/>
  <c r="I111" i="8" s="1"/>
  <c r="M105" i="8"/>
  <c r="L105" i="8"/>
  <c r="H105" i="8"/>
  <c r="L104" i="8"/>
  <c r="H104" i="8"/>
  <c r="I104" i="8" s="1"/>
  <c r="L103" i="8"/>
  <c r="M103" i="8" s="1"/>
  <c r="H103" i="8"/>
  <c r="I103" i="8" s="1"/>
  <c r="L102" i="8"/>
  <c r="I102" i="8"/>
  <c r="H102" i="8"/>
  <c r="L101" i="8"/>
  <c r="H101" i="8"/>
  <c r="I101" i="8" s="1"/>
  <c r="L100" i="8"/>
  <c r="H100" i="8"/>
  <c r="I100" i="8" s="1"/>
  <c r="L99" i="8"/>
  <c r="M99" i="8" s="1"/>
  <c r="H99" i="8"/>
  <c r="I99" i="8" s="1"/>
  <c r="L98" i="8"/>
  <c r="H98" i="8"/>
  <c r="N70" i="8"/>
  <c r="N69" i="8"/>
  <c r="N68" i="8"/>
  <c r="W68" i="8" s="1"/>
  <c r="N67" i="8"/>
  <c r="N76" i="8"/>
  <c r="N75" i="8"/>
  <c r="W75" i="8" s="1"/>
  <c r="N74" i="8"/>
  <c r="J70" i="8"/>
  <c r="S70" i="8" s="1"/>
  <c r="J69" i="8"/>
  <c r="S69" i="8" s="1"/>
  <c r="J68" i="8"/>
  <c r="S68" i="8" s="1"/>
  <c r="J67" i="8"/>
  <c r="S67" i="8" s="1"/>
  <c r="J76" i="8"/>
  <c r="S76" i="8" s="1"/>
  <c r="J75" i="8"/>
  <c r="J74" i="8"/>
  <c r="S74" i="8" s="1"/>
  <c r="J52" i="8"/>
  <c r="J51" i="8"/>
  <c r="J50" i="8"/>
  <c r="J49" i="8"/>
  <c r="J48" i="8"/>
  <c r="S48" i="8" s="1"/>
  <c r="J47" i="8"/>
  <c r="N52" i="8"/>
  <c r="N51" i="8"/>
  <c r="N50" i="8"/>
  <c r="N49" i="8"/>
  <c r="W49" i="8" s="1"/>
  <c r="N48" i="8"/>
  <c r="N47" i="8"/>
  <c r="N63" i="8"/>
  <c r="W63" i="8" s="1"/>
  <c r="N62" i="8"/>
  <c r="W62" i="8" s="1"/>
  <c r="N61" i="8"/>
  <c r="N60" i="8"/>
  <c r="N59" i="8"/>
  <c r="N58" i="8"/>
  <c r="N57" i="8"/>
  <c r="N56" i="8"/>
  <c r="J63" i="8"/>
  <c r="S63" i="8" s="1"/>
  <c r="J62" i="8"/>
  <c r="S62" i="8" s="1"/>
  <c r="J61" i="8"/>
  <c r="J60" i="8"/>
  <c r="J59" i="8"/>
  <c r="J58" i="8"/>
  <c r="J57" i="8"/>
  <c r="J56" i="8"/>
  <c r="J32" i="8"/>
  <c r="V32" i="8" s="1"/>
  <c r="N32" i="8"/>
  <c r="X32" i="8" s="1"/>
  <c r="N23" i="8"/>
  <c r="X23" i="8" s="1"/>
  <c r="J23" i="8"/>
  <c r="U23" i="8" s="1"/>
  <c r="J29" i="8"/>
  <c r="N29" i="8"/>
  <c r="N25" i="8"/>
  <c r="N24" i="8"/>
  <c r="N22" i="8"/>
  <c r="J25" i="8"/>
  <c r="J24" i="8"/>
  <c r="J22" i="8"/>
  <c r="N18" i="8"/>
  <c r="Z18" i="8" s="1"/>
  <c r="N17" i="8"/>
  <c r="J18" i="8"/>
  <c r="V18" i="8" s="1"/>
  <c r="J17" i="8"/>
  <c r="N13" i="8"/>
  <c r="J13" i="8"/>
  <c r="N21" i="10"/>
  <c r="N20" i="10"/>
  <c r="J21" i="10"/>
  <c r="S21" i="10" s="1"/>
  <c r="J20" i="10"/>
  <c r="N10" i="8"/>
  <c r="J10" i="8"/>
  <c r="N10" i="10"/>
  <c r="Z10" i="10" s="1"/>
  <c r="N9" i="10"/>
  <c r="Z9" i="10" s="1"/>
  <c r="J10" i="10"/>
  <c r="T10" i="10" s="1"/>
  <c r="J9" i="10"/>
  <c r="V9" i="10" s="1"/>
  <c r="U9" i="10"/>
  <c r="T9" i="10"/>
  <c r="Y135" i="8"/>
  <c r="Z131" i="8" s="1"/>
  <c r="X135" i="8"/>
  <c r="Y131" i="8" s="1"/>
  <c r="V135" i="8"/>
  <c r="W131" i="8" s="1"/>
  <c r="U135" i="8"/>
  <c r="T135" i="8"/>
  <c r="Y134" i="8"/>
  <c r="X134" i="8"/>
  <c r="V134" i="8"/>
  <c r="U134" i="8"/>
  <c r="T134" i="8"/>
  <c r="Z135" i="8"/>
  <c r="Z134" i="8"/>
  <c r="Z83" i="8"/>
  <c r="Y83" i="8"/>
  <c r="X83" i="8"/>
  <c r="V83" i="8"/>
  <c r="U83" i="8"/>
  <c r="T83" i="8"/>
  <c r="Z82" i="8"/>
  <c r="Y82" i="8"/>
  <c r="X82" i="8"/>
  <c r="V82" i="8"/>
  <c r="U82" i="8"/>
  <c r="T82" i="8"/>
  <c r="Z81" i="8"/>
  <c r="Y81" i="8"/>
  <c r="X81" i="8"/>
  <c r="V81" i="8"/>
  <c r="U81" i="8"/>
  <c r="T81" i="8"/>
  <c r="Z80" i="8"/>
  <c r="Y80" i="8"/>
  <c r="X80" i="8"/>
  <c r="V80" i="8"/>
  <c r="U80" i="8"/>
  <c r="T80" i="8"/>
  <c r="Z79" i="8"/>
  <c r="Y79" i="8"/>
  <c r="X79" i="8"/>
  <c r="V79" i="8"/>
  <c r="U79" i="8"/>
  <c r="T79" i="8"/>
  <c r="Z76" i="8"/>
  <c r="Y76" i="8"/>
  <c r="X76" i="8"/>
  <c r="V76" i="8"/>
  <c r="U76" i="8"/>
  <c r="T76" i="8"/>
  <c r="Z75" i="8"/>
  <c r="Y75" i="8"/>
  <c r="X75" i="8"/>
  <c r="V75" i="8"/>
  <c r="U75" i="8"/>
  <c r="T75" i="8"/>
  <c r="Z74" i="8"/>
  <c r="Y74" i="8"/>
  <c r="X74" i="8"/>
  <c r="V74" i="8"/>
  <c r="U74" i="8"/>
  <c r="T74" i="8"/>
  <c r="Z70" i="8"/>
  <c r="Y70" i="8"/>
  <c r="X70" i="8"/>
  <c r="V70" i="8"/>
  <c r="U70" i="8"/>
  <c r="T70" i="8"/>
  <c r="Z69" i="8"/>
  <c r="Y69" i="8"/>
  <c r="X69" i="8"/>
  <c r="V69" i="8"/>
  <c r="U69" i="8"/>
  <c r="T69" i="8"/>
  <c r="Z68" i="8"/>
  <c r="Y68" i="8"/>
  <c r="X68" i="8"/>
  <c r="V68" i="8"/>
  <c r="U68" i="8"/>
  <c r="T68" i="8"/>
  <c r="Z67" i="8"/>
  <c r="Y67" i="8"/>
  <c r="X67" i="8"/>
  <c r="V67" i="8"/>
  <c r="U67" i="8"/>
  <c r="T67" i="8"/>
  <c r="Z63" i="8"/>
  <c r="Y63" i="8"/>
  <c r="X63" i="8"/>
  <c r="V63" i="8"/>
  <c r="U63" i="8"/>
  <c r="T63" i="8"/>
  <c r="Z62" i="8"/>
  <c r="Y62" i="8"/>
  <c r="X62" i="8"/>
  <c r="V62" i="8"/>
  <c r="U62" i="8"/>
  <c r="T62" i="8"/>
  <c r="Z52" i="8"/>
  <c r="Y52" i="8"/>
  <c r="X52" i="8"/>
  <c r="V52" i="8"/>
  <c r="U52" i="8"/>
  <c r="T52" i="8"/>
  <c r="Z51" i="8"/>
  <c r="Y51" i="8"/>
  <c r="X51" i="8"/>
  <c r="V51" i="8"/>
  <c r="U51" i="8"/>
  <c r="T51" i="8"/>
  <c r="Z50" i="8"/>
  <c r="Y50" i="8"/>
  <c r="X50" i="8"/>
  <c r="V50" i="8"/>
  <c r="U50" i="8"/>
  <c r="T50" i="8"/>
  <c r="Z49" i="8"/>
  <c r="Y49" i="8"/>
  <c r="X49" i="8"/>
  <c r="V49" i="8"/>
  <c r="U49" i="8"/>
  <c r="T49" i="8"/>
  <c r="Z48" i="8"/>
  <c r="Y48" i="8"/>
  <c r="X48" i="8"/>
  <c r="V48" i="8"/>
  <c r="U48" i="8"/>
  <c r="T48" i="8"/>
  <c r="Y47" i="8"/>
  <c r="X47" i="8"/>
  <c r="V47" i="8"/>
  <c r="U47" i="8"/>
  <c r="T47" i="8"/>
  <c r="Z47" i="8"/>
  <c r="Z39" i="8"/>
  <c r="Y39" i="8"/>
  <c r="X39" i="8"/>
  <c r="V39" i="8"/>
  <c r="U39" i="8"/>
  <c r="T39" i="8"/>
  <c r="Y36" i="8"/>
  <c r="X36" i="8"/>
  <c r="V36" i="8"/>
  <c r="U36" i="8"/>
  <c r="T36" i="8"/>
  <c r="Z36" i="8"/>
  <c r="Y8" i="8"/>
  <c r="X8" i="8"/>
  <c r="V8" i="8"/>
  <c r="U8" i="8"/>
  <c r="T8" i="8"/>
  <c r="Y7" i="8"/>
  <c r="X7" i="8"/>
  <c r="W7" i="8"/>
  <c r="V7" i="8"/>
  <c r="U7" i="8"/>
  <c r="T7" i="8"/>
  <c r="S7" i="8"/>
  <c r="Z8" i="8"/>
  <c r="Z7" i="8"/>
  <c r="N135" i="8"/>
  <c r="W135" i="8" s="1"/>
  <c r="J135" i="8"/>
  <c r="S135" i="8" s="1"/>
  <c r="W48" i="8"/>
  <c r="Y21" i="10"/>
  <c r="V21" i="10"/>
  <c r="V20" i="10"/>
  <c r="T20" i="10"/>
  <c r="Z20" i="10"/>
  <c r="Y20" i="10"/>
  <c r="U131" i="8"/>
  <c r="W76" i="8"/>
  <c r="S75" i="8"/>
  <c r="W50" i="8"/>
  <c r="S50" i="8"/>
  <c r="N83" i="8"/>
  <c r="W83" i="8" s="1"/>
  <c r="J83" i="8"/>
  <c r="S83" i="8" s="1"/>
  <c r="N82" i="8"/>
  <c r="W82" i="8" s="1"/>
  <c r="J82" i="8"/>
  <c r="S82" i="8" s="1"/>
  <c r="N81" i="8"/>
  <c r="W81" i="8" s="1"/>
  <c r="J81" i="8"/>
  <c r="S81" i="8" s="1"/>
  <c r="N80" i="8"/>
  <c r="W80" i="8" s="1"/>
  <c r="J80" i="8"/>
  <c r="S80" i="8" s="1"/>
  <c r="N79" i="8"/>
  <c r="W79" i="8" s="1"/>
  <c r="J79" i="8"/>
  <c r="S79" i="8" s="1"/>
  <c r="W74" i="8"/>
  <c r="W70" i="8"/>
  <c r="W69" i="8"/>
  <c r="W67" i="8"/>
  <c r="B26" i="10"/>
  <c r="B25" i="10"/>
  <c r="Q71" i="8"/>
  <c r="Q4" i="11"/>
  <c r="Q3" i="11"/>
  <c r="Q11" i="10"/>
  <c r="Q15" i="10" s="1"/>
  <c r="Q4" i="10"/>
  <c r="Z4" i="10" s="1"/>
  <c r="Q3" i="10"/>
  <c r="Z3" i="10" s="1"/>
  <c r="Q92" i="8"/>
  <c r="Q91" i="8"/>
  <c r="Q84" i="8"/>
  <c r="Q53" i="8"/>
  <c r="Q64" i="8" s="1"/>
  <c r="Q44" i="8"/>
  <c r="Q43" i="8"/>
  <c r="Q11" i="8"/>
  <c r="Q14" i="8" s="1"/>
  <c r="Q19" i="8" s="1"/>
  <c r="N8" i="8"/>
  <c r="N4" i="11" s="1"/>
  <c r="J8" i="8"/>
  <c r="J4" i="10" s="1"/>
  <c r="S4" i="10" s="1"/>
  <c r="I72" i="11"/>
  <c r="G72" i="11"/>
  <c r="L72" i="11"/>
  <c r="E72" i="11"/>
  <c r="D72" i="11"/>
  <c r="C72" i="11"/>
  <c r="P4" i="11"/>
  <c r="O4" i="11"/>
  <c r="M4" i="11"/>
  <c r="L4" i="11"/>
  <c r="K4" i="11"/>
  <c r="I4" i="11"/>
  <c r="H4" i="11"/>
  <c r="P3" i="11"/>
  <c r="O3" i="11"/>
  <c r="N3" i="11"/>
  <c r="M3" i="11"/>
  <c r="L3" i="11"/>
  <c r="K3" i="11"/>
  <c r="J3" i="11"/>
  <c r="I3" i="11"/>
  <c r="H3" i="11"/>
  <c r="G4" i="11"/>
  <c r="G3" i="11"/>
  <c r="E4" i="11"/>
  <c r="D4" i="11"/>
  <c r="C4" i="11"/>
  <c r="E3" i="11"/>
  <c r="D3" i="11"/>
  <c r="C3" i="11"/>
  <c r="B2" i="11"/>
  <c r="Q131" i="8"/>
  <c r="P131" i="8"/>
  <c r="N131" i="8"/>
  <c r="M131" i="8"/>
  <c r="L131" i="8"/>
  <c r="J131" i="8"/>
  <c r="S131" i="8" s="1"/>
  <c r="I131" i="8"/>
  <c r="H131" i="8"/>
  <c r="S49" i="8"/>
  <c r="P4" i="10"/>
  <c r="Y4" i="10" s="1"/>
  <c r="O4" i="10"/>
  <c r="X4" i="10" s="1"/>
  <c r="M4" i="10"/>
  <c r="V4" i="10" s="1"/>
  <c r="L4" i="10"/>
  <c r="U4" i="10" s="1"/>
  <c r="K4" i="10"/>
  <c r="T4" i="10" s="1"/>
  <c r="I4" i="10"/>
  <c r="H4" i="10"/>
  <c r="P3" i="10"/>
  <c r="Y3" i="10" s="1"/>
  <c r="O3" i="10"/>
  <c r="X3" i="10" s="1"/>
  <c r="N3" i="10"/>
  <c r="W3" i="10" s="1"/>
  <c r="M3" i="10"/>
  <c r="V3" i="10" s="1"/>
  <c r="L3" i="10"/>
  <c r="U3" i="10" s="1"/>
  <c r="K3" i="10"/>
  <c r="T3" i="10" s="1"/>
  <c r="J3" i="10"/>
  <c r="S3" i="10" s="1"/>
  <c r="I3" i="10"/>
  <c r="H3" i="10"/>
  <c r="G4" i="10"/>
  <c r="G3" i="10"/>
  <c r="D4" i="10"/>
  <c r="C4" i="10"/>
  <c r="D3" i="10"/>
  <c r="C3" i="10"/>
  <c r="E4" i="10"/>
  <c r="E3" i="10"/>
  <c r="Z6" i="11" l="1"/>
  <c r="AB7" i="11"/>
  <c r="Z7" i="11"/>
  <c r="T6" i="11"/>
  <c r="U6" i="11"/>
  <c r="T7" i="11"/>
  <c r="U7" i="11"/>
  <c r="AD36" i="11"/>
  <c r="M106" i="8"/>
  <c r="I106" i="8"/>
  <c r="V106" i="8" s="1"/>
  <c r="M101" i="8"/>
  <c r="N101" i="8" s="1"/>
  <c r="J100" i="8"/>
  <c r="U100" i="8" s="1"/>
  <c r="J102" i="8"/>
  <c r="N105" i="8"/>
  <c r="J124" i="8"/>
  <c r="S124" i="8" s="1"/>
  <c r="N103" i="8"/>
  <c r="W103" i="8" s="1"/>
  <c r="N117" i="8"/>
  <c r="Z117" i="8" s="1"/>
  <c r="J110" i="8"/>
  <c r="J101" i="8"/>
  <c r="V101" i="8" s="1"/>
  <c r="Z113" i="8"/>
  <c r="J116" i="8"/>
  <c r="V116" i="8" s="1"/>
  <c r="N122" i="8"/>
  <c r="J103" i="8"/>
  <c r="V103" i="8" s="1"/>
  <c r="J104" i="8"/>
  <c r="U104" i="8" s="1"/>
  <c r="N99" i="8"/>
  <c r="Z99" i="8" s="1"/>
  <c r="N113" i="8"/>
  <c r="Z103" i="8"/>
  <c r="J111" i="8"/>
  <c r="U111" i="8" s="1"/>
  <c r="J122" i="8"/>
  <c r="V122" i="8" s="1"/>
  <c r="N114" i="8"/>
  <c r="J112" i="8"/>
  <c r="S112" i="8" s="1"/>
  <c r="J99" i="8"/>
  <c r="V99" i="8" s="1"/>
  <c r="J113" i="8"/>
  <c r="N116" i="8"/>
  <c r="Z122" i="8"/>
  <c r="Z116" i="8"/>
  <c r="M121" i="8"/>
  <c r="N121" i="8" s="1"/>
  <c r="M125" i="8"/>
  <c r="N125" i="8" s="1"/>
  <c r="M123" i="8"/>
  <c r="N123" i="8" s="1"/>
  <c r="I123" i="8"/>
  <c r="J123" i="8" s="1"/>
  <c r="M124" i="8"/>
  <c r="N124" i="8" s="1"/>
  <c r="Z124" i="8" s="1"/>
  <c r="I126" i="8"/>
  <c r="J126" i="8" s="1"/>
  <c r="I121" i="8"/>
  <c r="J121" i="8" s="1"/>
  <c r="I125" i="8"/>
  <c r="M126" i="8"/>
  <c r="N126" i="8" s="1"/>
  <c r="V113" i="8"/>
  <c r="I117" i="8"/>
  <c r="I115" i="8"/>
  <c r="J115" i="8" s="1"/>
  <c r="M115" i="8"/>
  <c r="N115" i="8" s="1"/>
  <c r="I114" i="8"/>
  <c r="J114" i="8" s="1"/>
  <c r="Z114" i="8"/>
  <c r="M112" i="8"/>
  <c r="V112" i="8" s="1"/>
  <c r="M110" i="8"/>
  <c r="N110" i="8" s="1"/>
  <c r="I110" i="8"/>
  <c r="M111" i="8"/>
  <c r="N111" i="8" s="1"/>
  <c r="I98" i="8"/>
  <c r="J98" i="8" s="1"/>
  <c r="Z105" i="8"/>
  <c r="M100" i="8"/>
  <c r="N100" i="8" s="1"/>
  <c r="M104" i="8"/>
  <c r="N104" i="8" s="1"/>
  <c r="Z104" i="8" s="1"/>
  <c r="I105" i="8"/>
  <c r="J105" i="8" s="1"/>
  <c r="M98" i="8"/>
  <c r="N98" i="8" s="1"/>
  <c r="M102" i="8"/>
  <c r="V102" i="8" s="1"/>
  <c r="U122" i="8"/>
  <c r="V23" i="8"/>
  <c r="U18" i="8"/>
  <c r="Y23" i="8"/>
  <c r="U113" i="8"/>
  <c r="Z23" i="8"/>
  <c r="U32" i="8"/>
  <c r="Y32" i="8"/>
  <c r="U124" i="8"/>
  <c r="Z32" i="8"/>
  <c r="U102" i="8"/>
  <c r="W9" i="10"/>
  <c r="S10" i="10"/>
  <c r="U10" i="10"/>
  <c r="S9" i="10"/>
  <c r="S11" i="10" s="1"/>
  <c r="V10" i="10"/>
  <c r="W10" i="10"/>
  <c r="X10" i="10"/>
  <c r="X9" i="10"/>
  <c r="Y10" i="10"/>
  <c r="Y9" i="10"/>
  <c r="Z21" i="10"/>
  <c r="T11" i="10"/>
  <c r="W20" i="10"/>
  <c r="S18" i="8"/>
  <c r="S23" i="8"/>
  <c r="S32" i="8"/>
  <c r="S102" i="8"/>
  <c r="S104" i="8"/>
  <c r="S113" i="8"/>
  <c r="S122" i="8"/>
  <c r="T18" i="8"/>
  <c r="T23" i="8"/>
  <c r="T32" i="8"/>
  <c r="T100" i="8"/>
  <c r="T102" i="8"/>
  <c r="T112" i="8"/>
  <c r="T113" i="8"/>
  <c r="T124" i="8"/>
  <c r="W18" i="8"/>
  <c r="W23" i="8"/>
  <c r="W32" i="8"/>
  <c r="W99" i="8"/>
  <c r="W113" i="8"/>
  <c r="W116" i="8"/>
  <c r="W122" i="8"/>
  <c r="X18" i="8"/>
  <c r="X99" i="8"/>
  <c r="X103" i="8"/>
  <c r="X105" i="8"/>
  <c r="X113" i="8"/>
  <c r="X116" i="8"/>
  <c r="X122" i="8"/>
  <c r="Y18" i="8"/>
  <c r="Y99" i="8"/>
  <c r="Y103" i="8"/>
  <c r="Y105" i="8"/>
  <c r="Y113" i="8"/>
  <c r="Y116" i="8"/>
  <c r="Y122" i="8"/>
  <c r="S8" i="8"/>
  <c r="W8" i="8"/>
  <c r="V131" i="8"/>
  <c r="K131" i="8"/>
  <c r="AB57" i="8"/>
  <c r="AB48" i="8"/>
  <c r="AA53" i="11"/>
  <c r="AD17" i="11"/>
  <c r="AD18" i="11"/>
  <c r="AD19" i="11"/>
  <c r="U21" i="10"/>
  <c r="W21" i="10"/>
  <c r="X21" i="10"/>
  <c r="X20" i="10"/>
  <c r="U20" i="10"/>
  <c r="T21" i="10"/>
  <c r="S20" i="10"/>
  <c r="D22" i="10"/>
  <c r="I22" i="10"/>
  <c r="I26" i="10" s="1"/>
  <c r="M22" i="10"/>
  <c r="T131" i="8"/>
  <c r="AB50" i="8"/>
  <c r="AB76" i="8"/>
  <c r="AB75" i="8"/>
  <c r="AB62" i="8"/>
  <c r="AB60" i="8"/>
  <c r="N4" i="10"/>
  <c r="W4" i="10" s="1"/>
  <c r="X131" i="8"/>
  <c r="Q72" i="11"/>
  <c r="Q75" i="11" s="1"/>
  <c r="Q84" i="11" s="1"/>
  <c r="J4" i="11"/>
  <c r="Q127" i="8"/>
  <c r="Q77" i="8"/>
  <c r="AB72" i="11"/>
  <c r="AB75" i="11" s="1"/>
  <c r="L22" i="10"/>
  <c r="E22" i="10"/>
  <c r="H22" i="10"/>
  <c r="O22" i="10"/>
  <c r="O26" i="10" s="1"/>
  <c r="C22" i="10"/>
  <c r="C25" i="10" s="1"/>
  <c r="Q22" i="10"/>
  <c r="P22" i="10"/>
  <c r="P25" i="10" s="1"/>
  <c r="K22" i="10"/>
  <c r="G22" i="10"/>
  <c r="Y53" i="11"/>
  <c r="Q53" i="11"/>
  <c r="Q12" i="10"/>
  <c r="Q14" i="10"/>
  <c r="Q20" i="8"/>
  <c r="Q26" i="8"/>
  <c r="Q15" i="8"/>
  <c r="H72" i="11"/>
  <c r="S134" i="8"/>
  <c r="G8" i="11"/>
  <c r="G13" i="11" s="1"/>
  <c r="G21" i="11" s="1"/>
  <c r="E8" i="11"/>
  <c r="E13" i="11" s="1"/>
  <c r="S72" i="11"/>
  <c r="W72" i="11"/>
  <c r="AB49" i="8"/>
  <c r="C8" i="11"/>
  <c r="H53" i="11"/>
  <c r="I53" i="11"/>
  <c r="D53" i="11"/>
  <c r="V72" i="11"/>
  <c r="C53" i="11"/>
  <c r="G53" i="11"/>
  <c r="O72" i="11"/>
  <c r="P72" i="11"/>
  <c r="L53" i="11"/>
  <c r="E53" i="11"/>
  <c r="K53" i="11"/>
  <c r="Z53" i="11"/>
  <c r="Z72" i="11"/>
  <c r="AB53" i="11"/>
  <c r="V53" i="11"/>
  <c r="P53" i="11"/>
  <c r="M53" i="11"/>
  <c r="O53" i="11"/>
  <c r="O131" i="8"/>
  <c r="Z106" i="8" l="1"/>
  <c r="AB106" i="8" s="1"/>
  <c r="Y106" i="8"/>
  <c r="W106" i="8"/>
  <c r="X106" i="8"/>
  <c r="T106" i="8"/>
  <c r="U106" i="8"/>
  <c r="S106" i="8"/>
  <c r="X101" i="8"/>
  <c r="W101" i="8"/>
  <c r="Y101" i="8"/>
  <c r="Z101" i="8"/>
  <c r="X117" i="8"/>
  <c r="U112" i="8"/>
  <c r="T122" i="8"/>
  <c r="S100" i="8"/>
  <c r="T104" i="8"/>
  <c r="AB103" i="8"/>
  <c r="T116" i="8"/>
  <c r="S116" i="8"/>
  <c r="J117" i="8"/>
  <c r="V117" i="8" s="1"/>
  <c r="AB116" i="8"/>
  <c r="Z126" i="8"/>
  <c r="U116" i="8"/>
  <c r="J125" i="8"/>
  <c r="V125" i="8" s="1"/>
  <c r="N112" i="8"/>
  <c r="X112" i="8" s="1"/>
  <c r="V104" i="8"/>
  <c r="AB104" i="8" s="1"/>
  <c r="N102" i="8"/>
  <c r="AB122" i="8"/>
  <c r="AB101" i="8"/>
  <c r="Z125" i="8"/>
  <c r="AB125" i="8" s="1"/>
  <c r="X125" i="8"/>
  <c r="Y125" i="8"/>
  <c r="V121" i="8"/>
  <c r="T121" i="8"/>
  <c r="U121" i="8"/>
  <c r="Z121" i="8"/>
  <c r="X121" i="8"/>
  <c r="Y121" i="8"/>
  <c r="W121" i="8"/>
  <c r="S125" i="8"/>
  <c r="V126" i="8"/>
  <c r="Y124" i="8"/>
  <c r="W126" i="8"/>
  <c r="W125" i="8"/>
  <c r="T125" i="8"/>
  <c r="V123" i="8"/>
  <c r="U123" i="8"/>
  <c r="T123" i="8"/>
  <c r="U126" i="8"/>
  <c r="V124" i="8"/>
  <c r="AB124" i="8" s="1"/>
  <c r="S126" i="8"/>
  <c r="Y126" i="8"/>
  <c r="T126" i="8"/>
  <c r="S123" i="8"/>
  <c r="X124" i="8"/>
  <c r="W124" i="8"/>
  <c r="X126" i="8"/>
  <c r="S121" i="8"/>
  <c r="V115" i="8"/>
  <c r="S111" i="8"/>
  <c r="W117" i="8"/>
  <c r="T111" i="8"/>
  <c r="V111" i="8"/>
  <c r="Y117" i="8"/>
  <c r="Z115" i="8"/>
  <c r="U115" i="8"/>
  <c r="T115" i="8"/>
  <c r="S115" i="8"/>
  <c r="V114" i="8"/>
  <c r="AB114" i="8" s="1"/>
  <c r="U114" i="8"/>
  <c r="S114" i="8"/>
  <c r="T114" i="8"/>
  <c r="V110" i="8"/>
  <c r="Z110" i="8"/>
  <c r="W105" i="8"/>
  <c r="T101" i="8"/>
  <c r="S99" i="8"/>
  <c r="U99" i="8"/>
  <c r="W114" i="8"/>
  <c r="Y114" i="8"/>
  <c r="X114" i="8"/>
  <c r="S110" i="8"/>
  <c r="T110" i="8"/>
  <c r="U110" i="8"/>
  <c r="X104" i="8"/>
  <c r="T99" i="8"/>
  <c r="V100" i="8"/>
  <c r="Y104" i="8"/>
  <c r="W104" i="8"/>
  <c r="S103" i="8"/>
  <c r="V105" i="8"/>
  <c r="AB105" i="8" s="1"/>
  <c r="Z100" i="8"/>
  <c r="Y100" i="8"/>
  <c r="W100" i="8"/>
  <c r="X100" i="8"/>
  <c r="S101" i="8"/>
  <c r="W102" i="8"/>
  <c r="T103" i="8"/>
  <c r="U101" i="8"/>
  <c r="U103" i="8"/>
  <c r="AB23" i="8"/>
  <c r="X11" i="10"/>
  <c r="Y11" i="10"/>
  <c r="D26" i="10"/>
  <c r="AB117" i="8"/>
  <c r="AB32" i="8"/>
  <c r="AB113" i="8"/>
  <c r="AB18" i="8"/>
  <c r="Y72" i="11"/>
  <c r="AA72" i="11"/>
  <c r="AA75" i="11" s="1"/>
  <c r="AA84" i="11" s="1"/>
  <c r="D8" i="11"/>
  <c r="D13" i="11" s="1"/>
  <c r="D14" i="11" s="1"/>
  <c r="P8" i="11"/>
  <c r="P13" i="11" s="1"/>
  <c r="P21" i="11" s="1"/>
  <c r="I8" i="11"/>
  <c r="I13" i="11" s="1"/>
  <c r="I14" i="11" s="1"/>
  <c r="D25" i="10"/>
  <c r="H25" i="10"/>
  <c r="M26" i="10"/>
  <c r="H26" i="10"/>
  <c r="O8" i="11"/>
  <c r="M8" i="11"/>
  <c r="H8" i="11"/>
  <c r="H13" i="11" s="1"/>
  <c r="H21" i="11" s="1"/>
  <c r="L8" i="11"/>
  <c r="M25" i="10"/>
  <c r="K8" i="11"/>
  <c r="K13" i="11" s="1"/>
  <c r="L25" i="10"/>
  <c r="U11" i="10"/>
  <c r="I25" i="10"/>
  <c r="Q8" i="11"/>
  <c r="Q13" i="11" s="1"/>
  <c r="Q14" i="11" s="1"/>
  <c r="O25" i="10"/>
  <c r="AB99" i="8"/>
  <c r="Q85" i="8"/>
  <c r="Q87" i="8" s="1"/>
  <c r="X72" i="11"/>
  <c r="U72" i="11"/>
  <c r="Q118" i="8"/>
  <c r="M72" i="11"/>
  <c r="T72" i="11"/>
  <c r="E25" i="10"/>
  <c r="V11" i="10"/>
  <c r="W11" i="10"/>
  <c r="J22" i="10"/>
  <c r="E26" i="10"/>
  <c r="L26" i="10"/>
  <c r="C26" i="10"/>
  <c r="Q23" i="10"/>
  <c r="Q25" i="10"/>
  <c r="Q26" i="10"/>
  <c r="P26" i="10"/>
  <c r="K25" i="10"/>
  <c r="K26" i="10"/>
  <c r="G26" i="10"/>
  <c r="G25" i="10"/>
  <c r="N22" i="10"/>
  <c r="C13" i="11"/>
  <c r="C14" i="11" s="1"/>
  <c r="Q30" i="8"/>
  <c r="Q27" i="8"/>
  <c r="K72" i="11"/>
  <c r="J72" i="11"/>
  <c r="G14" i="11"/>
  <c r="N72" i="11"/>
  <c r="E14" i="11"/>
  <c r="E21" i="11"/>
  <c r="AB84" i="11"/>
  <c r="G25" i="11"/>
  <c r="G22" i="11"/>
  <c r="H14" i="11" l="1"/>
  <c r="T117" i="8"/>
  <c r="W112" i="8"/>
  <c r="S117" i="8"/>
  <c r="AB126" i="8"/>
  <c r="Q33" i="8"/>
  <c r="Q40" i="8" s="1"/>
  <c r="Q95" i="8"/>
  <c r="U125" i="8"/>
  <c r="U117" i="8"/>
  <c r="Z123" i="8"/>
  <c r="AB123" i="8" s="1"/>
  <c r="X123" i="8"/>
  <c r="Y123" i="8"/>
  <c r="W123" i="8"/>
  <c r="AB115" i="8"/>
  <c r="X115" i="8"/>
  <c r="W115" i="8"/>
  <c r="Y115" i="8"/>
  <c r="Y110" i="8"/>
  <c r="W110" i="8"/>
  <c r="X110" i="8"/>
  <c r="U105" i="8"/>
  <c r="AB100" i="8"/>
  <c r="Z112" i="8"/>
  <c r="AB112" i="8" s="1"/>
  <c r="Y112" i="8"/>
  <c r="Z111" i="8"/>
  <c r="AB111" i="8" s="1"/>
  <c r="X111" i="8"/>
  <c r="Y111" i="8"/>
  <c r="W111" i="8"/>
  <c r="T105" i="8"/>
  <c r="S105" i="8"/>
  <c r="Z102" i="8"/>
  <c r="AB102" i="8" s="1"/>
  <c r="Y102" i="8"/>
  <c r="X102" i="8"/>
  <c r="Q34" i="8"/>
  <c r="E9" i="11"/>
  <c r="K9" i="11"/>
  <c r="AD6" i="11"/>
  <c r="D9" i="11"/>
  <c r="P14" i="11"/>
  <c r="L9" i="11"/>
  <c r="O9" i="11"/>
  <c r="H10" i="11"/>
  <c r="L10" i="11"/>
  <c r="I10" i="11"/>
  <c r="I21" i="11"/>
  <c r="I22" i="11" s="1"/>
  <c r="M9" i="11"/>
  <c r="P10" i="11"/>
  <c r="O13" i="11"/>
  <c r="O21" i="11" s="1"/>
  <c r="O22" i="11" s="1"/>
  <c r="Q10" i="11"/>
  <c r="P9" i="11"/>
  <c r="M13" i="11"/>
  <c r="M14" i="11" s="1"/>
  <c r="L13" i="11"/>
  <c r="L14" i="11" s="1"/>
  <c r="N8" i="11"/>
  <c r="N10" i="11" s="1"/>
  <c r="T22" i="10"/>
  <c r="T23" i="10" s="1"/>
  <c r="M10" i="11"/>
  <c r="S22" i="10"/>
  <c r="S23" i="10" s="1"/>
  <c r="Q9" i="11"/>
  <c r="W22" i="10"/>
  <c r="Q21" i="11"/>
  <c r="Q22" i="11" s="1"/>
  <c r="V22" i="10"/>
  <c r="V23" i="10" s="1"/>
  <c r="J26" i="10"/>
  <c r="J8" i="11"/>
  <c r="K10" i="11" s="1"/>
  <c r="J25" i="10"/>
  <c r="AB121" i="8"/>
  <c r="N25" i="10"/>
  <c r="N26" i="10"/>
  <c r="U22" i="10"/>
  <c r="U23" i="10" s="1"/>
  <c r="Z22" i="10"/>
  <c r="Y22" i="10"/>
  <c r="Y23" i="10" s="1"/>
  <c r="X22" i="10"/>
  <c r="X23" i="10" s="1"/>
  <c r="C21" i="11"/>
  <c r="C25" i="11" s="1"/>
  <c r="C26" i="11" s="1"/>
  <c r="Q107" i="8"/>
  <c r="Q136" i="8" s="1"/>
  <c r="Z136" i="8" s="1"/>
  <c r="D21" i="11"/>
  <c r="D25" i="11" s="1"/>
  <c r="E25" i="11"/>
  <c r="E22" i="11"/>
  <c r="G30" i="11"/>
  <c r="G26" i="11"/>
  <c r="P25" i="11"/>
  <c r="P22" i="11"/>
  <c r="K21" i="11"/>
  <c r="K14" i="11"/>
  <c r="H25" i="11"/>
  <c r="H22" i="11"/>
  <c r="Q37" i="8" l="1"/>
  <c r="I25" i="11"/>
  <c r="I30" i="11" s="1"/>
  <c r="L21" i="11"/>
  <c r="L25" i="11" s="1"/>
  <c r="O25" i="11"/>
  <c r="O26" i="11" s="1"/>
  <c r="AA8" i="11"/>
  <c r="O14" i="11"/>
  <c r="O10" i="11"/>
  <c r="M21" i="11"/>
  <c r="M22" i="11" s="1"/>
  <c r="T26" i="10"/>
  <c r="T25" i="10"/>
  <c r="V26" i="10"/>
  <c r="V25" i="10"/>
  <c r="W23" i="10"/>
  <c r="W25" i="10"/>
  <c r="W26" i="10"/>
  <c r="Y8" i="11"/>
  <c r="U8" i="11"/>
  <c r="S26" i="10"/>
  <c r="S25" i="10"/>
  <c r="X8" i="11"/>
  <c r="Q25" i="11"/>
  <c r="Q26" i="11" s="1"/>
  <c r="W8" i="11"/>
  <c r="S8" i="11"/>
  <c r="Z8" i="11"/>
  <c r="V8" i="11"/>
  <c r="J10" i="11"/>
  <c r="AD7" i="11"/>
  <c r="AB8" i="11"/>
  <c r="AB13" i="11" s="1"/>
  <c r="AB14" i="11" s="1"/>
  <c r="T8" i="11"/>
  <c r="N9" i="11"/>
  <c r="X25" i="10"/>
  <c r="Z25" i="10"/>
  <c r="X26" i="10"/>
  <c r="Y26" i="10"/>
  <c r="Z26" i="10"/>
  <c r="Y25" i="10"/>
  <c r="U25" i="10"/>
  <c r="U26" i="10"/>
  <c r="C22" i="11"/>
  <c r="C30" i="11"/>
  <c r="C79" i="11" s="1"/>
  <c r="D22" i="11"/>
  <c r="G31" i="11"/>
  <c r="G38" i="11"/>
  <c r="D26" i="11"/>
  <c r="D30" i="11"/>
  <c r="P26" i="11"/>
  <c r="P30" i="11"/>
  <c r="H30" i="11"/>
  <c r="H26" i="11"/>
  <c r="E26" i="11"/>
  <c r="E30" i="11"/>
  <c r="K25" i="11"/>
  <c r="K22" i="11"/>
  <c r="I26" i="11" l="1"/>
  <c r="O30" i="11"/>
  <c r="O31" i="11" s="1"/>
  <c r="L22" i="11"/>
  <c r="G45" i="11"/>
  <c r="AA9" i="11"/>
  <c r="M25" i="11"/>
  <c r="M26" i="11" s="1"/>
  <c r="Y9" i="11"/>
  <c r="W9" i="11"/>
  <c r="X9" i="11"/>
  <c r="Q30" i="11"/>
  <c r="Q31" i="11" s="1"/>
  <c r="AB21" i="11"/>
  <c r="AB25" i="11" s="1"/>
  <c r="AB30" i="11" s="1"/>
  <c r="AB9" i="11"/>
  <c r="AD8" i="11"/>
  <c r="Z9" i="11"/>
  <c r="C83" i="11" a="1"/>
  <c r="C83" i="11" s="1"/>
  <c r="C80" i="11"/>
  <c r="C82" i="11" a="1"/>
  <c r="C82" i="11" s="1"/>
  <c r="C31" i="11"/>
  <c r="C38" i="11"/>
  <c r="C81" i="11"/>
  <c r="P38" i="11"/>
  <c r="P45" i="11" s="1"/>
  <c r="P31" i="11"/>
  <c r="D83" i="11" a="1"/>
  <c r="D83" i="11" s="1"/>
  <c r="D38" i="11"/>
  <c r="D45" i="11" s="1"/>
  <c r="D79" i="11"/>
  <c r="D82" i="11" a="1"/>
  <c r="D82" i="11" s="1"/>
  <c r="D31" i="11"/>
  <c r="D81" i="11"/>
  <c r="D80" i="11"/>
  <c r="K26" i="11"/>
  <c r="K30" i="11"/>
  <c r="E38" i="11"/>
  <c r="E45" i="11" s="1"/>
  <c r="E31" i="11"/>
  <c r="E83" i="11" a="1"/>
  <c r="E83" i="11" s="1"/>
  <c r="E81" i="11"/>
  <c r="E82" i="11" a="1"/>
  <c r="E82" i="11" s="1"/>
  <c r="E80" i="11"/>
  <c r="E79" i="11"/>
  <c r="L26" i="11"/>
  <c r="L30" i="11"/>
  <c r="H31" i="11"/>
  <c r="H38" i="11"/>
  <c r="H45" i="11" s="1"/>
  <c r="I38" i="11"/>
  <c r="I45" i="11" s="1"/>
  <c r="I31" i="11"/>
  <c r="S45" i="11" l="1"/>
  <c r="G46" i="11"/>
  <c r="T45" i="11"/>
  <c r="O38" i="11"/>
  <c r="M30" i="11"/>
  <c r="M31" i="11" s="1"/>
  <c r="C46" i="11"/>
  <c r="Q38" i="11"/>
  <c r="Q45" i="11" s="1"/>
  <c r="AD9" i="11"/>
  <c r="AB26" i="11"/>
  <c r="AB22" i="11"/>
  <c r="K38" i="11"/>
  <c r="K31" i="11"/>
  <c r="H46" i="11"/>
  <c r="I46" i="11"/>
  <c r="L38" i="11"/>
  <c r="L45" i="11" s="1"/>
  <c r="L31" i="11"/>
  <c r="AB83" i="11" a="1"/>
  <c r="AB83" i="11" s="1"/>
  <c r="AB38" i="11"/>
  <c r="AB82" i="11" a="1"/>
  <c r="AB82" i="11" s="1"/>
  <c r="AB81" i="11"/>
  <c r="AB31" i="11"/>
  <c r="AB79" i="11"/>
  <c r="AB80" i="11"/>
  <c r="P46" i="11"/>
  <c r="E46" i="11"/>
  <c r="D46" i="11"/>
  <c r="M38" i="11" l="1"/>
  <c r="M45" i="11" s="1"/>
  <c r="Q46" i="11"/>
  <c r="L46" i="11"/>
  <c r="M46" i="11" l="1"/>
  <c r="B2" i="10" l="1"/>
  <c r="B15" i="10"/>
  <c r="B14" i="10"/>
  <c r="I11" i="10"/>
  <c r="I23" i="10" s="1"/>
  <c r="D11" i="10"/>
  <c r="D23" i="10" s="1"/>
  <c r="O11" i="10"/>
  <c r="O23" i="10" s="1"/>
  <c r="E11" i="10"/>
  <c r="E23" i="10" s="1"/>
  <c r="P11" i="10"/>
  <c r="P23" i="10" s="1"/>
  <c r="N11" i="10"/>
  <c r="N23" i="10" s="1"/>
  <c r="M11" i="10"/>
  <c r="M23" i="10" s="1"/>
  <c r="L11" i="10"/>
  <c r="L23" i="10" s="1"/>
  <c r="H11" i="10"/>
  <c r="H23" i="10" s="1"/>
  <c r="C11" i="10"/>
  <c r="C23" i="10" s="1"/>
  <c r="N143" i="8"/>
  <c r="J143" i="8"/>
  <c r="E131" i="8"/>
  <c r="D131" i="8"/>
  <c r="U143" i="8" l="1"/>
  <c r="V143" i="8"/>
  <c r="T143" i="8"/>
  <c r="S143" i="8"/>
  <c r="Z143" i="8"/>
  <c r="Y143" i="8"/>
  <c r="X143" i="8"/>
  <c r="W143" i="8"/>
  <c r="AB56" i="8"/>
  <c r="AB63" i="8"/>
  <c r="AB67" i="8"/>
  <c r="AB58" i="8"/>
  <c r="AB68" i="8"/>
  <c r="C14" i="10"/>
  <c r="C15" i="10"/>
  <c r="H14" i="10"/>
  <c r="H15" i="10"/>
  <c r="E15" i="10"/>
  <c r="E14" i="10"/>
  <c r="L15" i="10"/>
  <c r="U15" i="10" s="1"/>
  <c r="L14" i="10"/>
  <c r="U14" i="10" s="1"/>
  <c r="M15" i="10"/>
  <c r="V15" i="10" s="1"/>
  <c r="M14" i="10"/>
  <c r="V14" i="10" s="1"/>
  <c r="O14" i="10"/>
  <c r="X14" i="10" s="1"/>
  <c r="O15" i="10"/>
  <c r="X15" i="10" s="1"/>
  <c r="D14" i="10"/>
  <c r="D15" i="10"/>
  <c r="N14" i="10"/>
  <c r="W14" i="10" s="1"/>
  <c r="N15" i="10"/>
  <c r="W15" i="10" s="1"/>
  <c r="I15" i="10"/>
  <c r="I14" i="10"/>
  <c r="P14" i="10"/>
  <c r="Y14" i="10" s="1"/>
  <c r="P15" i="10"/>
  <c r="Y15" i="10" s="1"/>
  <c r="Z15" i="10"/>
  <c r="Z14" i="10"/>
  <c r="J11" i="10"/>
  <c r="J23" i="10" s="1"/>
  <c r="Z11" i="10"/>
  <c r="Z23" i="10" s="1"/>
  <c r="G11" i="10"/>
  <c r="G23" i="10" s="1"/>
  <c r="K11" i="10"/>
  <c r="K23" i="10" s="1"/>
  <c r="G15" i="10" l="1"/>
  <c r="G14" i="10"/>
  <c r="K15" i="10"/>
  <c r="T15" i="10" s="1"/>
  <c r="K14" i="10"/>
  <c r="T14" i="10" s="1"/>
  <c r="J15" i="10"/>
  <c r="S15" i="10" s="1"/>
  <c r="J14" i="10"/>
  <c r="S14" i="10" s="1"/>
  <c r="N142" i="8" l="1"/>
  <c r="J142" i="8"/>
  <c r="W52" i="8"/>
  <c r="S52" i="8"/>
  <c r="W51" i="8"/>
  <c r="S51" i="8"/>
  <c r="AB47" i="8"/>
  <c r="E127" i="8"/>
  <c r="O127" i="8"/>
  <c r="C127" i="8"/>
  <c r="W47" i="8"/>
  <c r="S47" i="8"/>
  <c r="Z29" i="8" l="1"/>
  <c r="Y29" i="8"/>
  <c r="X29" i="8"/>
  <c r="W29" i="8"/>
  <c r="Z142" i="8"/>
  <c r="Y142" i="8"/>
  <c r="X142" i="8"/>
  <c r="W142" i="8"/>
  <c r="Z24" i="8"/>
  <c r="Y24" i="8"/>
  <c r="X24" i="8"/>
  <c r="W24" i="8"/>
  <c r="U22" i="8"/>
  <c r="V22" i="8"/>
  <c r="T22" i="8"/>
  <c r="S22" i="8"/>
  <c r="U25" i="8"/>
  <c r="V25" i="8"/>
  <c r="T25" i="8"/>
  <c r="S25" i="8"/>
  <c r="U142" i="8"/>
  <c r="V142" i="8"/>
  <c r="T142" i="8"/>
  <c r="S142" i="8"/>
  <c r="V24" i="8"/>
  <c r="T24" i="8"/>
  <c r="U24" i="8"/>
  <c r="S24" i="8"/>
  <c r="Z22" i="8"/>
  <c r="Y22" i="8"/>
  <c r="X22" i="8"/>
  <c r="W22" i="8"/>
  <c r="Z25" i="8"/>
  <c r="Y25" i="8"/>
  <c r="X25" i="8"/>
  <c r="W25" i="8"/>
  <c r="U29" i="8"/>
  <c r="V29" i="8"/>
  <c r="T29" i="8"/>
  <c r="S29" i="8"/>
  <c r="U127" i="8"/>
  <c r="T127" i="8"/>
  <c r="S127" i="8"/>
  <c r="U53" i="11"/>
  <c r="AB51" i="8"/>
  <c r="AB81" i="8"/>
  <c r="AB52" i="8"/>
  <c r="AB69" i="8"/>
  <c r="AB83" i="8"/>
  <c r="AB80" i="8"/>
  <c r="AB74" i="8"/>
  <c r="AB82" i="8"/>
  <c r="AB79" i="8"/>
  <c r="P127" i="8"/>
  <c r="I127" i="8"/>
  <c r="D127" i="8"/>
  <c r="G127" i="8"/>
  <c r="H127" i="8"/>
  <c r="K127" i="8"/>
  <c r="L127" i="8"/>
  <c r="M127" i="8"/>
  <c r="AB25" i="8" l="1"/>
  <c r="AB24" i="8"/>
  <c r="V98" i="8"/>
  <c r="U98" i="8"/>
  <c r="T98" i="8"/>
  <c r="S98" i="8"/>
  <c r="W53" i="11"/>
  <c r="O45" i="11"/>
  <c r="S53" i="11"/>
  <c r="K45" i="11"/>
  <c r="AD35" i="11"/>
  <c r="AD33" i="11"/>
  <c r="AD34" i="11"/>
  <c r="AB29" i="8"/>
  <c r="N53" i="11"/>
  <c r="T53" i="11"/>
  <c r="J53" i="11"/>
  <c r="AB22" i="8"/>
  <c r="N127" i="8"/>
  <c r="J127" i="8"/>
  <c r="AD28" i="11" l="1"/>
  <c r="O46" i="11"/>
  <c r="K46" i="11"/>
  <c r="X53" i="11"/>
  <c r="V127" i="8"/>
  <c r="X127" i="8"/>
  <c r="Z127" i="8"/>
  <c r="Y127" i="8"/>
  <c r="W127" i="8"/>
  <c r="P84" i="8" l="1"/>
  <c r="O84" i="8"/>
  <c r="M84" i="8"/>
  <c r="L84" i="8"/>
  <c r="S75" i="11" s="1"/>
  <c r="S84" i="11" s="1"/>
  <c r="K84" i="8"/>
  <c r="I84" i="8"/>
  <c r="I75" i="11" s="1"/>
  <c r="H84" i="8"/>
  <c r="H75" i="11" s="1"/>
  <c r="G84" i="8"/>
  <c r="G75" i="11" s="1"/>
  <c r="E84" i="8"/>
  <c r="E75" i="11" s="1"/>
  <c r="E84" i="11" s="1"/>
  <c r="D84" i="8"/>
  <c r="D75" i="11" s="1"/>
  <c r="D84" i="11" s="1"/>
  <c r="C84" i="8"/>
  <c r="C75" i="11" s="1"/>
  <c r="C84" i="11" s="1"/>
  <c r="N39" i="8"/>
  <c r="W39" i="8" s="1"/>
  <c r="N36" i="8"/>
  <c r="W36" i="8" s="1"/>
  <c r="U17" i="8" l="1"/>
  <c r="V17" i="8"/>
  <c r="T17" i="8"/>
  <c r="S17" i="8"/>
  <c r="T10" i="8"/>
  <c r="V10" i="8"/>
  <c r="U10" i="8"/>
  <c r="S10" i="8"/>
  <c r="V13" i="8"/>
  <c r="U13" i="8"/>
  <c r="T13" i="8"/>
  <c r="S13" i="8"/>
  <c r="Y10" i="8"/>
  <c r="X10" i="8"/>
  <c r="W10" i="8"/>
  <c r="Z10" i="8"/>
  <c r="Z13" i="8"/>
  <c r="Y13" i="8"/>
  <c r="X13" i="8"/>
  <c r="W13" i="8"/>
  <c r="Z17" i="8"/>
  <c r="Y17" i="8"/>
  <c r="X17" i="8"/>
  <c r="W17" i="8"/>
  <c r="AA13" i="11"/>
  <c r="AA21" i="11" s="1"/>
  <c r="V75" i="11"/>
  <c r="V84" i="11" s="1"/>
  <c r="L75" i="11"/>
  <c r="L84" i="11" s="1"/>
  <c r="M75" i="11"/>
  <c r="M84" i="11" s="1"/>
  <c r="W75" i="11"/>
  <c r="W84" i="11" s="1"/>
  <c r="Z75" i="11"/>
  <c r="Z84" i="11" s="1"/>
  <c r="P75" i="11"/>
  <c r="P84" i="11" s="1"/>
  <c r="Y75" i="11"/>
  <c r="Y84" i="11" s="1"/>
  <c r="O75" i="11"/>
  <c r="O84" i="11" s="1"/>
  <c r="K75" i="11"/>
  <c r="K84" i="11" s="1"/>
  <c r="AB36" i="8"/>
  <c r="AB39" i="8"/>
  <c r="S84" i="8"/>
  <c r="U84" i="8"/>
  <c r="V84" i="8"/>
  <c r="W84" i="8"/>
  <c r="Y84" i="8"/>
  <c r="J84" i="8"/>
  <c r="T84" i="8"/>
  <c r="X84" i="8"/>
  <c r="N84" i="8"/>
  <c r="U75" i="11" s="1"/>
  <c r="U84" i="11" s="1"/>
  <c r="Z84" i="8"/>
  <c r="T13" i="11" l="1"/>
  <c r="T14" i="11" s="1"/>
  <c r="S13" i="11"/>
  <c r="AD20" i="11"/>
  <c r="N13" i="11"/>
  <c r="N21" i="11" s="1"/>
  <c r="W13" i="11"/>
  <c r="W14" i="11" s="1"/>
  <c r="Z13" i="11"/>
  <c r="X13" i="11"/>
  <c r="Y13" i="11"/>
  <c r="AD16" i="11"/>
  <c r="U13" i="11"/>
  <c r="U14" i="11" s="1"/>
  <c r="V13" i="11"/>
  <c r="V14" i="11" s="1"/>
  <c r="J13" i="11"/>
  <c r="J21" i="11" s="1"/>
  <c r="AA14" i="11"/>
  <c r="T75" i="11"/>
  <c r="T84" i="11" s="1"/>
  <c r="J75" i="11"/>
  <c r="J84" i="11" s="1"/>
  <c r="X75" i="11"/>
  <c r="X84" i="11" s="1"/>
  <c r="N75" i="11"/>
  <c r="N84" i="11" s="1"/>
  <c r="Y14" i="11"/>
  <c r="Z21" i="11" l="1"/>
  <c r="Z22" i="11" s="1"/>
  <c r="Z98" i="8"/>
  <c r="AB98" i="8" s="1"/>
  <c r="Y98" i="8"/>
  <c r="X98" i="8"/>
  <c r="W98" i="8"/>
  <c r="N14" i="11"/>
  <c r="AD29" i="11"/>
  <c r="Y21" i="11"/>
  <c r="Y22" i="11" s="1"/>
  <c r="Z14" i="11"/>
  <c r="U21" i="11"/>
  <c r="U22" i="11" s="1"/>
  <c r="AD12" i="11"/>
  <c r="V21" i="11"/>
  <c r="V22" i="11" s="1"/>
  <c r="J14" i="11"/>
  <c r="W21" i="11"/>
  <c r="W22" i="11" s="1"/>
  <c r="X21" i="11"/>
  <c r="T21" i="11"/>
  <c r="T22" i="11" s="1"/>
  <c r="S21" i="11"/>
  <c r="S14" i="11"/>
  <c r="AA25" i="11"/>
  <c r="N22" i="11"/>
  <c r="J22" i="11"/>
  <c r="J25" i="11"/>
  <c r="AD13" i="11"/>
  <c r="X14" i="11"/>
  <c r="AD14" i="11" s="1"/>
  <c r="AA22" i="11"/>
  <c r="AB110" i="8"/>
  <c r="AD37" i="11" l="1"/>
  <c r="Y25" i="11"/>
  <c r="Z25" i="11"/>
  <c r="Z30" i="11" s="1"/>
  <c r="W25" i="11"/>
  <c r="W26" i="11" s="1"/>
  <c r="X25" i="11"/>
  <c r="V25" i="11"/>
  <c r="N25" i="11"/>
  <c r="N26" i="11" s="1"/>
  <c r="U25" i="11"/>
  <c r="U26" i="11" s="1"/>
  <c r="T25" i="11"/>
  <c r="T26" i="11" s="1"/>
  <c r="S22" i="11"/>
  <c r="S25" i="11"/>
  <c r="AA26" i="11"/>
  <c r="AA30" i="11"/>
  <c r="J26" i="11"/>
  <c r="J30" i="11"/>
  <c r="X22" i="11"/>
  <c r="AD22" i="11" s="1"/>
  <c r="AD21" i="11"/>
  <c r="AD24" i="11" l="1"/>
  <c r="M79" i="11"/>
  <c r="M82" i="11" a="1"/>
  <c r="M82" i="11" s="1"/>
  <c r="M83" i="11" a="1"/>
  <c r="M83" i="11" s="1"/>
  <c r="M81" i="11" a="1"/>
  <c r="M81" i="11" s="1"/>
  <c r="M80" i="11"/>
  <c r="J83" i="11" a="1"/>
  <c r="J83" i="11" s="1"/>
  <c r="J81" i="11" a="1"/>
  <c r="J81" i="11" s="1"/>
  <c r="L83" i="11" a="1"/>
  <c r="L83" i="11" s="1"/>
  <c r="J80" i="11"/>
  <c r="L80" i="11"/>
  <c r="L79" i="11"/>
  <c r="K81" i="11" a="1"/>
  <c r="K81" i="11" s="1"/>
  <c r="K79" i="11"/>
  <c r="L81" i="11" a="1"/>
  <c r="L81" i="11" s="1"/>
  <c r="K80" i="11"/>
  <c r="K82" i="11" a="1"/>
  <c r="K82" i="11" s="1"/>
  <c r="L82" i="11" a="1"/>
  <c r="L82" i="11" s="1"/>
  <c r="K83" i="11" a="1"/>
  <c r="K83" i="11" s="1"/>
  <c r="J82" i="11" a="1"/>
  <c r="J82" i="11" s="1"/>
  <c r="J79" i="11"/>
  <c r="Y30" i="11"/>
  <c r="Y31" i="11" s="1"/>
  <c r="Y26" i="11"/>
  <c r="Z26" i="11"/>
  <c r="V30" i="11"/>
  <c r="V80" i="11" s="1"/>
  <c r="V26" i="11"/>
  <c r="N30" i="11"/>
  <c r="U30" i="11"/>
  <c r="U38" i="11" s="1"/>
  <c r="T30" i="11"/>
  <c r="T80" i="11" s="1"/>
  <c r="W30" i="11"/>
  <c r="W79" i="11" s="1"/>
  <c r="S26" i="11"/>
  <c r="S30" i="11"/>
  <c r="AA31" i="11"/>
  <c r="AA81" i="11"/>
  <c r="AA82" i="11" a="1"/>
  <c r="AA82" i="11" s="1"/>
  <c r="AA38" i="11"/>
  <c r="AA83" i="11" a="1"/>
  <c r="AA83" i="11" s="1"/>
  <c r="AA80" i="11"/>
  <c r="AA79" i="11"/>
  <c r="X30" i="11"/>
  <c r="X26" i="11"/>
  <c r="AD26" i="11" s="1"/>
  <c r="AD25" i="11"/>
  <c r="J31" i="11"/>
  <c r="J38" i="11"/>
  <c r="J45" i="11" s="1"/>
  <c r="Z83" i="11" a="1"/>
  <c r="Z83" i="11" s="1"/>
  <c r="Z38" i="11"/>
  <c r="Z81" i="11"/>
  <c r="Z82" i="11" a="1"/>
  <c r="Z82" i="11" s="1"/>
  <c r="Z31" i="11"/>
  <c r="Z79" i="11"/>
  <c r="Z80" i="11"/>
  <c r="O71" i="8"/>
  <c r="M71" i="8"/>
  <c r="O118" i="8"/>
  <c r="K118" i="8"/>
  <c r="G118" i="8"/>
  <c r="N11" i="8"/>
  <c r="N12" i="10" s="1"/>
  <c r="J11" i="8"/>
  <c r="J12" i="10" s="1"/>
  <c r="J39" i="8"/>
  <c r="S39" i="8" s="1"/>
  <c r="J36" i="8"/>
  <c r="S36" i="8" s="1"/>
  <c r="L53" i="8"/>
  <c r="L64" i="8" s="1"/>
  <c r="K53" i="8"/>
  <c r="K64" i="8" s="1"/>
  <c r="G53" i="8"/>
  <c r="G64" i="8" s="1"/>
  <c r="P92" i="8"/>
  <c r="O92" i="8"/>
  <c r="N92" i="8"/>
  <c r="M92" i="8"/>
  <c r="L92" i="8"/>
  <c r="K92" i="8"/>
  <c r="J92" i="8"/>
  <c r="I92" i="8"/>
  <c r="H92" i="8"/>
  <c r="G92" i="8"/>
  <c r="P91" i="8"/>
  <c r="O91" i="8"/>
  <c r="N91" i="8"/>
  <c r="M91" i="8"/>
  <c r="L91" i="8"/>
  <c r="K91" i="8"/>
  <c r="J91" i="8"/>
  <c r="I91" i="8"/>
  <c r="H91" i="8"/>
  <c r="G91" i="8"/>
  <c r="H53" i="8"/>
  <c r="H64" i="8" s="1"/>
  <c r="I53" i="8"/>
  <c r="I64" i="8" s="1"/>
  <c r="M53" i="8"/>
  <c r="M64" i="8" s="1"/>
  <c r="O53" i="8"/>
  <c r="O64" i="8" s="1"/>
  <c r="P53" i="8"/>
  <c r="P64" i="8" s="1"/>
  <c r="P44" i="8"/>
  <c r="O44" i="8"/>
  <c r="N44" i="8"/>
  <c r="M44" i="8"/>
  <c r="L44" i="8"/>
  <c r="K44" i="8"/>
  <c r="J44" i="8"/>
  <c r="I44" i="8"/>
  <c r="H44" i="8"/>
  <c r="G44" i="8"/>
  <c r="P43" i="8"/>
  <c r="O43" i="8"/>
  <c r="N43" i="8"/>
  <c r="M43" i="8"/>
  <c r="L43" i="8"/>
  <c r="K43" i="8"/>
  <c r="J43" i="8"/>
  <c r="I43" i="8"/>
  <c r="H43" i="8"/>
  <c r="G43" i="8"/>
  <c r="E44" i="8"/>
  <c r="D44" i="8"/>
  <c r="C44" i="8"/>
  <c r="E43" i="8"/>
  <c r="D43" i="8"/>
  <c r="C43" i="8"/>
  <c r="P11" i="8"/>
  <c r="O11" i="8"/>
  <c r="M11" i="8"/>
  <c r="L11" i="8"/>
  <c r="K11" i="8"/>
  <c r="I11" i="8"/>
  <c r="I12" i="10" s="1"/>
  <c r="H11" i="8"/>
  <c r="H12" i="10" s="1"/>
  <c r="G11" i="8"/>
  <c r="G12" i="10" s="1"/>
  <c r="U45" i="11" l="1"/>
  <c r="W45" i="11"/>
  <c r="V45" i="11"/>
  <c r="X45" i="11"/>
  <c r="Y82" i="11" a="1"/>
  <c r="Y82" i="11" s="1"/>
  <c r="Y83" i="11" a="1"/>
  <c r="Y83" i="11" s="1"/>
  <c r="Y80" i="11"/>
  <c r="Y79" i="11"/>
  <c r="Y81" i="11"/>
  <c r="Y38" i="11"/>
  <c r="Q81" i="11" a="1"/>
  <c r="Q81" i="11" s="1"/>
  <c r="Q83" i="11" a="1"/>
  <c r="Q83" i="11" s="1"/>
  <c r="Q80" i="11"/>
  <c r="Q79" i="11"/>
  <c r="Q82" i="11" a="1"/>
  <c r="Q82" i="11" s="1"/>
  <c r="P80" i="11"/>
  <c r="O82" i="11" a="1"/>
  <c r="O82" i="11" s="1"/>
  <c r="P82" i="11" a="1"/>
  <c r="P82" i="11" s="1"/>
  <c r="O81" i="11" a="1"/>
  <c r="O81" i="11" s="1"/>
  <c r="N83" i="11" a="1"/>
  <c r="N83" i="11" s="1"/>
  <c r="P83" i="11" a="1"/>
  <c r="P83" i="11" s="1"/>
  <c r="N80" i="11"/>
  <c r="P79" i="11"/>
  <c r="O83" i="11" a="1"/>
  <c r="O83" i="11" s="1"/>
  <c r="O79" i="11"/>
  <c r="P81" i="11" a="1"/>
  <c r="P81" i="11" s="1"/>
  <c r="N82" i="11" a="1"/>
  <c r="N82" i="11" s="1"/>
  <c r="O80" i="11"/>
  <c r="N79" i="11"/>
  <c r="N81" i="11" a="1"/>
  <c r="N81" i="11" s="1"/>
  <c r="T79" i="11"/>
  <c r="T83" i="11" a="1"/>
  <c r="T83" i="11" s="1"/>
  <c r="V38" i="11"/>
  <c r="V82" i="11" a="1"/>
  <c r="V82" i="11" s="1"/>
  <c r="V81" i="11"/>
  <c r="N38" i="11"/>
  <c r="N45" i="11" s="1"/>
  <c r="T82" i="11" a="1"/>
  <c r="T82" i="11" s="1"/>
  <c r="T81" i="11"/>
  <c r="T31" i="11"/>
  <c r="N31" i="11"/>
  <c r="V83" i="11" a="1"/>
  <c r="V83" i="11" s="1"/>
  <c r="V79" i="11"/>
  <c r="V31" i="11"/>
  <c r="T38" i="11"/>
  <c r="U83" i="11" a="1"/>
  <c r="U83" i="11" s="1"/>
  <c r="W80" i="11"/>
  <c r="W38" i="11"/>
  <c r="W31" i="11"/>
  <c r="W81" i="11"/>
  <c r="W82" i="11" a="1"/>
  <c r="W82" i="11" s="1"/>
  <c r="W83" i="11" a="1"/>
  <c r="W83" i="11" s="1"/>
  <c r="U82" i="11" a="1"/>
  <c r="U82" i="11" s="1"/>
  <c r="U79" i="11"/>
  <c r="U81" i="11"/>
  <c r="U80" i="11"/>
  <c r="U31" i="11"/>
  <c r="S82" i="11" a="1"/>
  <c r="S82" i="11" s="1"/>
  <c r="S80" i="11"/>
  <c r="S81" i="11"/>
  <c r="S79" i="11"/>
  <c r="S31" i="11"/>
  <c r="S83" i="11" a="1"/>
  <c r="S83" i="11" s="1"/>
  <c r="S38" i="11"/>
  <c r="O14" i="8"/>
  <c r="O19" i="8" s="1"/>
  <c r="O26" i="8" s="1"/>
  <c r="O12" i="10"/>
  <c r="P14" i="8"/>
  <c r="P15" i="8" s="1"/>
  <c r="P12" i="10"/>
  <c r="K14" i="8"/>
  <c r="K19" i="8" s="1"/>
  <c r="K12" i="10"/>
  <c r="M14" i="8"/>
  <c r="M19" i="8" s="1"/>
  <c r="M12" i="10"/>
  <c r="L14" i="8"/>
  <c r="L15" i="8" s="1"/>
  <c r="L12" i="10"/>
  <c r="X83" i="11" a="1"/>
  <c r="X83" i="11" s="1"/>
  <c r="X82" i="11" a="1"/>
  <c r="X82" i="11" s="1"/>
  <c r="X31" i="11"/>
  <c r="AD31" i="11" s="1"/>
  <c r="X38" i="11"/>
  <c r="AD38" i="11" s="1"/>
  <c r="AD30" i="11"/>
  <c r="X79" i="11"/>
  <c r="X81" i="11"/>
  <c r="X80" i="11"/>
  <c r="M77" i="8"/>
  <c r="G14" i="8"/>
  <c r="G19" i="8" s="1"/>
  <c r="H14" i="8"/>
  <c r="H15" i="8" s="1"/>
  <c r="I14" i="8"/>
  <c r="I15" i="8" s="1"/>
  <c r="K71" i="8"/>
  <c r="P71" i="8"/>
  <c r="H71" i="8"/>
  <c r="G71" i="8"/>
  <c r="L71" i="8"/>
  <c r="E71" i="8"/>
  <c r="I71" i="8"/>
  <c r="P118" i="8"/>
  <c r="N118" i="8"/>
  <c r="H118" i="8"/>
  <c r="L118" i="8"/>
  <c r="M118" i="8"/>
  <c r="N14" i="8"/>
  <c r="N15" i="8" s="1"/>
  <c r="J14" i="8"/>
  <c r="J15" i="8" s="1"/>
  <c r="N71" i="8"/>
  <c r="N53" i="8"/>
  <c r="N64" i="8" s="1"/>
  <c r="J53" i="8"/>
  <c r="J64" i="8" s="1"/>
  <c r="J71" i="8"/>
  <c r="AB45" i="11" l="1"/>
  <c r="AB46" i="11" s="1"/>
  <c r="AA45" i="11"/>
  <c r="Z45" i="11"/>
  <c r="Z46" i="11" s="1"/>
  <c r="Y45" i="11"/>
  <c r="Y46" i="11" s="1"/>
  <c r="V46" i="11"/>
  <c r="T46" i="11"/>
  <c r="S46" i="11"/>
  <c r="U46" i="11"/>
  <c r="X46" i="11"/>
  <c r="W46" i="11"/>
  <c r="P19" i="8"/>
  <c r="P26" i="8" s="1"/>
  <c r="P27" i="8" s="1"/>
  <c r="O15" i="8"/>
  <c r="O20" i="8"/>
  <c r="L19" i="8"/>
  <c r="L26" i="8" s="1"/>
  <c r="L27" i="8" s="1"/>
  <c r="K15" i="8"/>
  <c r="J46" i="11"/>
  <c r="N46" i="11"/>
  <c r="M15" i="8"/>
  <c r="O27" i="8"/>
  <c r="O30" i="8"/>
  <c r="O95" i="8" s="1"/>
  <c r="AA46" i="11"/>
  <c r="M26" i="8"/>
  <c r="G26" i="8"/>
  <c r="K26" i="8"/>
  <c r="H19" i="8"/>
  <c r="M85" i="8"/>
  <c r="M87" i="8" s="1"/>
  <c r="G20" i="8"/>
  <c r="G15" i="8"/>
  <c r="I19" i="8"/>
  <c r="N77" i="8"/>
  <c r="K77" i="8"/>
  <c r="I77" i="8"/>
  <c r="E77" i="8"/>
  <c r="H77" i="8"/>
  <c r="J77" i="8"/>
  <c r="P77" i="8"/>
  <c r="G77" i="8"/>
  <c r="L77" i="8"/>
  <c r="O77" i="8"/>
  <c r="I118" i="8"/>
  <c r="J118" i="8"/>
  <c r="N19" i="8"/>
  <c r="N26" i="8" s="1"/>
  <c r="J19" i="8"/>
  <c r="J26" i="8" s="1"/>
  <c r="M20" i="8"/>
  <c r="K20" i="8"/>
  <c r="O107" i="8" l="1"/>
  <c r="O33" i="8"/>
  <c r="L30" i="8"/>
  <c r="L95" i="8" s="1"/>
  <c r="P30" i="8"/>
  <c r="P95" i="8" s="1"/>
  <c r="P20" i="8"/>
  <c r="L20" i="8"/>
  <c r="N27" i="8"/>
  <c r="N30" i="8"/>
  <c r="N95" i="8" s="1"/>
  <c r="M27" i="8"/>
  <c r="M30" i="8"/>
  <c r="M95" i="8" s="1"/>
  <c r="K27" i="8"/>
  <c r="K30" i="8"/>
  <c r="K95" i="8" s="1"/>
  <c r="J27" i="8"/>
  <c r="J30" i="8"/>
  <c r="J95" i="8" s="1"/>
  <c r="G27" i="8"/>
  <c r="G30" i="8"/>
  <c r="G95" i="8" s="1"/>
  <c r="I26" i="8"/>
  <c r="H26" i="8"/>
  <c r="K85" i="8"/>
  <c r="K87" i="8" s="1"/>
  <c r="H20" i="8"/>
  <c r="I20" i="8"/>
  <c r="J85" i="8"/>
  <c r="J87" i="8" s="1"/>
  <c r="N85" i="8"/>
  <c r="N87" i="8" s="1"/>
  <c r="I85" i="8"/>
  <c r="I87" i="8" s="1"/>
  <c r="H85" i="8"/>
  <c r="H87" i="8" s="1"/>
  <c r="P85" i="8"/>
  <c r="P87" i="8" s="1"/>
  <c r="O85" i="8"/>
  <c r="O87" i="8" s="1"/>
  <c r="L85" i="8"/>
  <c r="L87" i="8" s="1"/>
  <c r="G85" i="8"/>
  <c r="G87" i="8" s="1"/>
  <c r="J20" i="8"/>
  <c r="N20" i="8"/>
  <c r="O34" i="8" l="1"/>
  <c r="O37" i="8"/>
  <c r="O40" i="8"/>
  <c r="N33" i="8"/>
  <c r="P107" i="8"/>
  <c r="P136" i="8" s="1"/>
  <c r="Y136" i="8" s="1"/>
  <c r="P33" i="8"/>
  <c r="G33" i="8"/>
  <c r="J33" i="8"/>
  <c r="L33" i="8"/>
  <c r="K33" i="8"/>
  <c r="M33" i="8"/>
  <c r="H27" i="8"/>
  <c r="H30" i="8"/>
  <c r="H95" i="8" s="1"/>
  <c r="I27" i="8"/>
  <c r="I30" i="8"/>
  <c r="I95" i="8" s="1"/>
  <c r="O136" i="8"/>
  <c r="X136" i="8" s="1"/>
  <c r="M107" i="8" l="1"/>
  <c r="M136" i="8" s="1"/>
  <c r="V136" i="8" s="1"/>
  <c r="Y95" i="8"/>
  <c r="L107" i="8"/>
  <c r="L136" i="8" s="1"/>
  <c r="U136" i="8" s="1"/>
  <c r="X95" i="8"/>
  <c r="N107" i="8"/>
  <c r="Z95" i="8"/>
  <c r="J107" i="8"/>
  <c r="V95" i="8"/>
  <c r="G107" i="8"/>
  <c r="G136" i="8" s="1"/>
  <c r="K107" i="8"/>
  <c r="K136" i="8" s="1"/>
  <c r="T136" i="8" s="1"/>
  <c r="W95" i="8"/>
  <c r="K34" i="8"/>
  <c r="K40" i="8"/>
  <c r="K37" i="8"/>
  <c r="P34" i="8"/>
  <c r="P37" i="8"/>
  <c r="P40" i="8"/>
  <c r="L34" i="8"/>
  <c r="L40" i="8"/>
  <c r="L37" i="8"/>
  <c r="N34" i="8"/>
  <c r="N40" i="8"/>
  <c r="N37" i="8"/>
  <c r="J34" i="8"/>
  <c r="J40" i="8"/>
  <c r="J37" i="8"/>
  <c r="M34" i="8"/>
  <c r="M40" i="8"/>
  <c r="M37" i="8"/>
  <c r="G34" i="8"/>
  <c r="G37" i="8"/>
  <c r="G40" i="8"/>
  <c r="I33" i="8"/>
  <c r="H33" i="8"/>
  <c r="H107" i="8" l="1"/>
  <c r="H136" i="8" s="1"/>
  <c r="T95" i="8"/>
  <c r="I107" i="8"/>
  <c r="I136" i="8" s="1"/>
  <c r="U95" i="8"/>
  <c r="S95" i="8"/>
  <c r="I34" i="8"/>
  <c r="I40" i="8"/>
  <c r="I37" i="8"/>
  <c r="H34" i="8"/>
  <c r="H37" i="8"/>
  <c r="H40" i="8"/>
  <c r="B92" i="8" l="1"/>
  <c r="B91" i="8"/>
  <c r="E92" i="8"/>
  <c r="D92" i="8"/>
  <c r="C92" i="8"/>
  <c r="E91" i="8"/>
  <c r="D91" i="8"/>
  <c r="C91" i="8"/>
  <c r="B44" i="8"/>
  <c r="B43" i="8"/>
  <c r="Z44" i="8"/>
  <c r="Y44" i="8"/>
  <c r="X44" i="8"/>
  <c r="V44" i="8"/>
  <c r="U44" i="8"/>
  <c r="T44" i="8"/>
  <c r="W44" i="8"/>
  <c r="S44" i="8"/>
  <c r="Z43" i="8"/>
  <c r="Y43" i="8"/>
  <c r="X43" i="8"/>
  <c r="W43" i="8"/>
  <c r="V43" i="8"/>
  <c r="U43" i="8"/>
  <c r="T43" i="8"/>
  <c r="S43" i="8"/>
  <c r="S91" i="8" l="1"/>
  <c r="T91" i="8"/>
  <c r="T92" i="8"/>
  <c r="W91" i="8"/>
  <c r="X91" i="8"/>
  <c r="S92" i="8"/>
  <c r="X92" i="8"/>
  <c r="Y92" i="8"/>
  <c r="V91" i="8"/>
  <c r="Y91" i="8"/>
  <c r="V92" i="8"/>
  <c r="U92" i="8"/>
  <c r="Z91" i="8"/>
  <c r="W92" i="8"/>
  <c r="U91" i="8"/>
  <c r="Z92" i="8"/>
  <c r="U11" i="8" l="1"/>
  <c r="U12" i="10" s="1"/>
  <c r="D53" i="8"/>
  <c r="D64" i="8" s="1"/>
  <c r="C53" i="8"/>
  <c r="C64" i="8" s="1"/>
  <c r="E53" i="8"/>
  <c r="E64" i="8" s="1"/>
  <c r="V11" i="8" l="1"/>
  <c r="V12" i="10" s="1"/>
  <c r="U14" i="8"/>
  <c r="U19" i="8" s="1"/>
  <c r="V53" i="8"/>
  <c r="V64" i="8" s="1"/>
  <c r="T53" i="8"/>
  <c r="T64" i="8" s="1"/>
  <c r="V71" i="8"/>
  <c r="V77" i="8" s="1"/>
  <c r="U71" i="8"/>
  <c r="U77" i="8" s="1"/>
  <c r="S11" i="8"/>
  <c r="S12" i="10" s="1"/>
  <c r="U53" i="8"/>
  <c r="U64" i="8" s="1"/>
  <c r="T11" i="8"/>
  <c r="T12" i="10" s="1"/>
  <c r="T71" i="8"/>
  <c r="T77" i="8" s="1"/>
  <c r="X53" i="8"/>
  <c r="X64" i="8" s="1"/>
  <c r="X11" i="8"/>
  <c r="X12" i="10" s="1"/>
  <c r="X71" i="8"/>
  <c r="X77" i="8" s="1"/>
  <c r="Y71" i="8"/>
  <c r="Y77" i="8" s="1"/>
  <c r="W11" i="8"/>
  <c r="W12" i="10" s="1"/>
  <c r="Y11" i="8"/>
  <c r="Y12" i="10" s="1"/>
  <c r="Y53" i="8"/>
  <c r="Y64" i="8" s="1"/>
  <c r="U26" i="8" l="1"/>
  <c r="U20" i="8"/>
  <c r="T14" i="8"/>
  <c r="T19" i="8" s="1"/>
  <c r="X14" i="8"/>
  <c r="X19" i="8" s="1"/>
  <c r="AB10" i="8"/>
  <c r="V85" i="8"/>
  <c r="V87" i="8" s="1"/>
  <c r="T85" i="8"/>
  <c r="T87" i="8" s="1"/>
  <c r="AB17" i="8"/>
  <c r="U85" i="8"/>
  <c r="U87" i="8" s="1"/>
  <c r="V14" i="8"/>
  <c r="V19" i="8" s="1"/>
  <c r="S14" i="8"/>
  <c r="S19" i="8" s="1"/>
  <c r="U15" i="8"/>
  <c r="AB13" i="8"/>
  <c r="X85" i="8"/>
  <c r="X87" i="8" s="1"/>
  <c r="Y14" i="8"/>
  <c r="Y19" i="8" s="1"/>
  <c r="W14" i="8"/>
  <c r="W19" i="8" s="1"/>
  <c r="Y85" i="8"/>
  <c r="Y87" i="8" s="1"/>
  <c r="U27" i="8" l="1"/>
  <c r="U30" i="8"/>
  <c r="S26" i="8"/>
  <c r="X26" i="8"/>
  <c r="W26" i="8"/>
  <c r="T26" i="8"/>
  <c r="V26" i="8"/>
  <c r="Y26" i="8"/>
  <c r="T20" i="8"/>
  <c r="S20" i="8"/>
  <c r="V20" i="8"/>
  <c r="X20" i="8"/>
  <c r="W20" i="8"/>
  <c r="Y20" i="8"/>
  <c r="X15" i="8"/>
  <c r="W15" i="8"/>
  <c r="T15" i="8"/>
  <c r="Y15" i="8"/>
  <c r="V15" i="8"/>
  <c r="S15" i="8"/>
  <c r="U33" i="8" l="1"/>
  <c r="X27" i="8"/>
  <c r="X30" i="8"/>
  <c r="Y27" i="8"/>
  <c r="Y30" i="8"/>
  <c r="T27" i="8"/>
  <c r="T30" i="8"/>
  <c r="T33" i="8" s="1"/>
  <c r="S27" i="8"/>
  <c r="S30" i="8"/>
  <c r="V27" i="8"/>
  <c r="V30" i="8"/>
  <c r="W27" i="8"/>
  <c r="W30" i="8"/>
  <c r="U34" i="8" l="1"/>
  <c r="U37" i="8"/>
  <c r="U40" i="8"/>
  <c r="T34" i="8"/>
  <c r="T37" i="8"/>
  <c r="T40" i="8"/>
  <c r="Y33" i="8"/>
  <c r="X33" i="8"/>
  <c r="W33" i="8"/>
  <c r="V33" i="8"/>
  <c r="S33" i="8"/>
  <c r="S34" i="8" l="1"/>
  <c r="S40" i="8"/>
  <c r="S37" i="8"/>
  <c r="Y34" i="8"/>
  <c r="Y40" i="8"/>
  <c r="Y37" i="8"/>
  <c r="W34" i="8"/>
  <c r="W40" i="8"/>
  <c r="W37" i="8"/>
  <c r="V34" i="8"/>
  <c r="V40" i="8"/>
  <c r="V37" i="8"/>
  <c r="X34" i="8"/>
  <c r="X40" i="8"/>
  <c r="X37" i="8"/>
  <c r="S71" i="8"/>
  <c r="W71" i="8"/>
  <c r="W77" i="8" s="1"/>
  <c r="S77" i="8" l="1"/>
  <c r="S85" i="8" s="1"/>
  <c r="V118" i="8"/>
  <c r="S118" i="8"/>
  <c r="T118" i="8"/>
  <c r="U118" i="8"/>
  <c r="W118" i="8"/>
  <c r="Y118" i="8"/>
  <c r="X118" i="8"/>
  <c r="E11" i="8" l="1"/>
  <c r="E12" i="10" s="1"/>
  <c r="D11" i="8"/>
  <c r="D12" i="10" s="1"/>
  <c r="C11" i="8"/>
  <c r="C12" i="10" s="1"/>
  <c r="E118" i="8"/>
  <c r="D118" i="8"/>
  <c r="C118" i="8"/>
  <c r="D71" i="8"/>
  <c r="C71" i="8"/>
  <c r="Z11" i="8"/>
  <c r="Z12" i="10" s="1"/>
  <c r="D77" i="8" l="1"/>
  <c r="C77" i="8"/>
  <c r="AB11" i="8"/>
  <c r="W85" i="8"/>
  <c r="D14" i="8"/>
  <c r="D19" i="8" s="1"/>
  <c r="C14" i="8"/>
  <c r="C19" i="8" s="1"/>
  <c r="E14" i="8"/>
  <c r="E19" i="8" s="1"/>
  <c r="Z71" i="8"/>
  <c r="Z77" i="8" s="1"/>
  <c r="AB84" i="8"/>
  <c r="C26" i="8" l="1"/>
  <c r="E26" i="8"/>
  <c r="D26" i="8"/>
  <c r="C85" i="8"/>
  <c r="C87" i="8" s="1"/>
  <c r="C20" i="8"/>
  <c r="D20" i="8"/>
  <c r="E20" i="8"/>
  <c r="W53" i="8"/>
  <c r="W64" i="8" s="1"/>
  <c r="S53" i="8"/>
  <c r="S64" i="8" s="1"/>
  <c r="D85" i="8"/>
  <c r="D87" i="8" s="1"/>
  <c r="E85" i="8"/>
  <c r="E87" i="8" s="1"/>
  <c r="AB77" i="8"/>
  <c r="AB71" i="8"/>
  <c r="Z53" i="8"/>
  <c r="Z64" i="8" s="1"/>
  <c r="D15" i="8"/>
  <c r="E15" i="8"/>
  <c r="C15" i="8"/>
  <c r="Z14" i="8"/>
  <c r="Z19" i="8" s="1"/>
  <c r="Z26" i="8" s="1"/>
  <c r="Z30" i="8" s="1"/>
  <c r="Z33" i="8" l="1"/>
  <c r="D27" i="8"/>
  <c r="D30" i="8"/>
  <c r="E27" i="8"/>
  <c r="E30" i="8"/>
  <c r="C27" i="8"/>
  <c r="C30" i="8"/>
  <c r="Z27" i="8"/>
  <c r="AB27" i="8" s="1"/>
  <c r="AB26" i="8"/>
  <c r="J136" i="8"/>
  <c r="S136" i="8" s="1"/>
  <c r="S87" i="8"/>
  <c r="W87" i="8"/>
  <c r="AB19" i="8"/>
  <c r="Z20" i="8"/>
  <c r="AB20" i="8" s="1"/>
  <c r="AB127" i="8"/>
  <c r="Z85" i="8"/>
  <c r="AB85" i="8" s="1"/>
  <c r="AB64" i="8"/>
  <c r="AB53" i="8"/>
  <c r="AB14" i="8"/>
  <c r="Z118" i="8"/>
  <c r="AB118" i="8" s="1"/>
  <c r="Z15" i="8"/>
  <c r="AB15" i="8" s="1"/>
  <c r="E33" i="8" l="1"/>
  <c r="E34" i="8" s="1"/>
  <c r="E95" i="8"/>
  <c r="C33" i="8"/>
  <c r="C37" i="8" s="1"/>
  <c r="C95" i="8"/>
  <c r="D33" i="8"/>
  <c r="D37" i="8" s="1"/>
  <c r="D95" i="8"/>
  <c r="D107" i="8" s="1"/>
  <c r="D136" i="8" s="1"/>
  <c r="C34" i="8"/>
  <c r="C40" i="8"/>
  <c r="Z34" i="8"/>
  <c r="Z40" i="8"/>
  <c r="Z37" i="8"/>
  <c r="D40" i="8"/>
  <c r="E107" i="8"/>
  <c r="E136" i="8" s="1"/>
  <c r="AB34" i="8"/>
  <c r="AB33" i="8"/>
  <c r="N136" i="8"/>
  <c r="W136" i="8" s="1"/>
  <c r="Z87" i="8"/>
  <c r="D34" i="8" l="1"/>
  <c r="E37" i="8"/>
  <c r="E40" i="8"/>
  <c r="AB30" i="8"/>
  <c r="C107" i="8"/>
  <c r="C136" i="8" s="1"/>
  <c r="V107" i="8"/>
  <c r="W107" i="8"/>
  <c r="S107" i="8" l="1"/>
  <c r="T107" i="8"/>
  <c r="U107" i="8"/>
  <c r="AB37" i="8" l="1"/>
  <c r="AB40" i="8"/>
  <c r="C132" i="8" l="1"/>
  <c r="C137" i="8" l="1"/>
  <c r="C139" i="8" s="1"/>
  <c r="D130" i="8" l="1"/>
  <c r="D132" i="8" l="1"/>
  <c r="D137" i="8" s="1"/>
  <c r="D139" i="8" s="1"/>
  <c r="E130" i="8" l="1"/>
  <c r="E132" i="8" s="1"/>
  <c r="E137" i="8" s="1"/>
  <c r="G132" i="8"/>
  <c r="G137" i="8" l="1"/>
  <c r="G139" i="8" s="1"/>
  <c r="E139" i="8"/>
  <c r="H130" i="8" l="1"/>
  <c r="H132" i="8" s="1"/>
  <c r="H137" i="8" s="1"/>
  <c r="H139" i="8" s="1"/>
  <c r="I130" i="8" l="1"/>
  <c r="I132" i="8" s="1"/>
  <c r="I137" i="8" l="1"/>
  <c r="J130" i="8" l="1"/>
  <c r="S130" i="8" s="1"/>
  <c r="I139" i="8"/>
  <c r="J132" i="8" l="1"/>
  <c r="J137" i="8" s="1"/>
  <c r="K130" i="8" l="1"/>
  <c r="K132" i="8" s="1"/>
  <c r="J139" i="8"/>
  <c r="K137" i="8" l="1"/>
  <c r="L130" i="8" l="1"/>
  <c r="L132" i="8" s="1"/>
  <c r="K139" i="8"/>
  <c r="L137" i="8" l="1"/>
  <c r="M130" i="8" l="1"/>
  <c r="M132" i="8" s="1"/>
  <c r="L139" i="8"/>
  <c r="M137" i="8" l="1"/>
  <c r="N130" i="8" l="1"/>
  <c r="N132" i="8" s="1"/>
  <c r="M139" i="8"/>
  <c r="N137" i="8" l="1"/>
  <c r="O130" i="8" s="1"/>
  <c r="O132" i="8" s="1"/>
  <c r="O137" i="8" l="1"/>
  <c r="P130" i="8" s="1"/>
  <c r="P132" i="8" s="1"/>
  <c r="N139" i="8"/>
  <c r="P137" i="8" l="1"/>
  <c r="O139" i="8"/>
  <c r="P139" i="8" l="1"/>
  <c r="Q130" i="8"/>
  <c r="Q132" i="8" s="1"/>
  <c r="Q137" i="8" s="1"/>
  <c r="Q139" i="8" l="1"/>
  <c r="X107" i="8" l="1"/>
  <c r="Y107" i="8"/>
  <c r="Z107" i="8" l="1"/>
  <c r="AB95" i="8"/>
  <c r="AB107" i="8" l="1"/>
  <c r="S132" i="8" l="1"/>
  <c r="S137" i="8" s="1"/>
  <c r="T130" i="8" l="1"/>
  <c r="T132" i="8" s="1"/>
  <c r="T137" i="8" s="1"/>
  <c r="S139" i="8" l="1"/>
  <c r="U130" i="8"/>
  <c r="U132" i="8" s="1"/>
  <c r="U137" i="8" s="1"/>
  <c r="T139" i="8" l="1"/>
  <c r="V130" i="8"/>
  <c r="V132" i="8" s="1"/>
  <c r="V137" i="8" s="1"/>
  <c r="U139" i="8" l="1"/>
  <c r="W130" i="8"/>
  <c r="W132" i="8" s="1"/>
  <c r="V139" i="8"/>
  <c r="W137" i="8" l="1"/>
  <c r="X130" i="8" s="1"/>
  <c r="X132" i="8" s="1"/>
  <c r="X137" i="8" s="1"/>
  <c r="Y130" i="8" l="1"/>
  <c r="Y132" i="8" s="1"/>
  <c r="X139" i="8"/>
  <c r="W139" i="8"/>
  <c r="Y137" i="8" l="1"/>
  <c r="Z130" i="8" l="1"/>
  <c r="Z132" i="8" s="1"/>
  <c r="Z137" i="8" s="1"/>
  <c r="Z139" i="8" s="1"/>
  <c r="Y13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<sst xmlns="http://schemas.openxmlformats.org/spreadsheetml/2006/main" count="243" uniqueCount="178">
  <si>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</si>
  <si>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</si>
  <si>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</si>
  <si>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</si>
  <si>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</si>
  <si>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</si>
  <si>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</si>
  <si>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</si>
  <si>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</si>
  <si>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</si>
  <si>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</si>
  <si>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</si>
  <si>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</si>
  <si>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</si>
  <si>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</si>
  <si>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</si>
  <si>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</si>
  <si>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</si>
  <si>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</si>
  <si>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</si>
  <si>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</si>
  <si>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</si>
  <si>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</si>
  <si>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</si>
  <si>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</si>
  <si>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</si>
  <si>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</si>
  <si>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</si>
  <si>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</si>
  <si>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</si>
  <si>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</si>
  <si>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</si>
  <si>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</si>
  <si>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</si>
  <si>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</si>
  <si>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</si>
  <si>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</si>
  <si>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</si>
  <si>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</si>
  <si>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</si>
  <si>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</si>
  <si>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</si>
  <si>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</si>
  <si>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</si>
  <si>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</si>
  <si>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</si>
  <si>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</si>
  <si>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</si>
  <si>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</si>
  <si>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</si>
  <si>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</si>
  <si>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</si>
  <si>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</si>
  <si>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</si>
  <si>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</si>
  <si>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</si>
  <si>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</si>
  <si>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</si>
  <si>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</si>
  <si>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</si>
  <si>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</si>
  <si>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</si>
  <si>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</si>
  <si>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</si>
  <si>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</si>
  <si>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</si>
  <si>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</si>
  <si>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</si>
  <si>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</si>
  <si>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</si>
  <si>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</si>
  <si>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</si>
  <si>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</si>
  <si>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</si>
  <si>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</si>
  <si>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</si>
  <si>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</si>
  <si>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</si>
  <si>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</si>
  <si>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</si>
  <si>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</si>
  <si>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</si>
  <si>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</si>
  <si>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</si>
  <si>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</si>
  <si>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</si>
  <si>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</si>
  <si>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</si>
  <si>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</si>
  <si>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</si>
  <si>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</si>
  <si>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</si>
  <si>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</si>
  <si>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</si>
  <si>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</si>
  <si>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</si>
  <si>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</si>
  <si>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</si>
  <si>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</si>
  <si>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</si>
  <si>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</si>
  <si>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</si>
  <si>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</si>
  <si>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</si>
  <si>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</si>
  <si>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</si>
  <si>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</si>
  <si>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</si>
  <si>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XXX</t>
  </si>
  <si>
    <t>Earnings before Taxes</t>
  </si>
  <si>
    <t>Revenue by XXX</t>
  </si>
  <si>
    <t>(+/-) XXX</t>
  </si>
  <si>
    <t>(+) XXX</t>
  </si>
  <si>
    <t>(-) XXX</t>
  </si>
  <si>
    <t>(-) Mandatory Outflows</t>
  </si>
  <si>
    <t xml:space="preserve">Selling, general and administrative expenses </t>
  </si>
  <si>
    <t xml:space="preserve">Other operating charges </t>
  </si>
  <si>
    <t>Interest Income</t>
  </si>
  <si>
    <t>Interest expense</t>
  </si>
  <si>
    <t>Equity Income (Loss)</t>
  </si>
  <si>
    <t>Other Income (Loss)</t>
  </si>
  <si>
    <t>Net Income</t>
  </si>
  <si>
    <t>Net Income (Loss) Attributable to Noncontrolling Interest</t>
  </si>
  <si>
    <t xml:space="preserve">Net Income Attributable to Shareowners of The Coca-Cola Company	</t>
  </si>
  <si>
    <t>Cash and cash equivalents</t>
  </si>
  <si>
    <t>Marketable securities</t>
  </si>
  <si>
    <t>Inventories</t>
  </si>
  <si>
    <t>Short-term investments</t>
  </si>
  <si>
    <t>Prepaid expenses and other current assets</t>
  </si>
  <si>
    <t>Property, plant and equipment, net</t>
  </si>
  <si>
    <t>Trademarks with indefinite lives</t>
  </si>
  <si>
    <t>Goodwill</t>
  </si>
  <si>
    <t>Equity method investments</t>
  </si>
  <si>
    <t>Deferred income tax assets</t>
  </si>
  <si>
    <t>Other noncurrent assets</t>
  </si>
  <si>
    <t>Accounts payable and accrued expenses</t>
  </si>
  <si>
    <t>Loans and notes payable</t>
  </si>
  <si>
    <t>Current maturities of long-term debt</t>
  </si>
  <si>
    <t>Accrued income taxes</t>
  </si>
  <si>
    <t>Long-term debt</t>
  </si>
  <si>
    <t>Other noncurrent liabilities</t>
  </si>
  <si>
    <t>Deferred income tax liabilities</t>
  </si>
  <si>
    <t>Common stock par value + additional paid-in-capital</t>
  </si>
  <si>
    <t>Treasury stock</t>
  </si>
  <si>
    <t>Accumulated other comprehensive income (loss)</t>
  </si>
  <si>
    <t>Equity attributable to noncontrolling interests</t>
  </si>
  <si>
    <t>Reinvested earnings</t>
  </si>
  <si>
    <t>Stock-based compensation</t>
  </si>
  <si>
    <t>Deferred income taxes</t>
  </si>
  <si>
    <t>Equity (income) loss — net of dividends</t>
  </si>
  <si>
    <t>Foreign currency adjustments</t>
  </si>
  <si>
    <t>Significant (gains) losses — net</t>
  </si>
  <si>
    <t>Other operating charges</t>
  </si>
  <si>
    <t>Other items</t>
  </si>
  <si>
    <t>Purchase of investments</t>
  </si>
  <si>
    <t>Proceeds from disposal  of imvestments</t>
  </si>
  <si>
    <t>Acquisitions of businesses, equity method investments and nonmarketable securities</t>
  </si>
  <si>
    <t>Proceeds from disposals of businesses, equity method investments and nonmarketable securities</t>
  </si>
  <si>
    <t>Purchases of property, plant and equipment</t>
  </si>
  <si>
    <t>Collateral (paid) received associated with hedging activities — net</t>
  </si>
  <si>
    <t>Other investing activities</t>
  </si>
  <si>
    <t>Issuances of loans, notes payable and long-term debt</t>
  </si>
  <si>
    <t>Payments of loans, notes payable and long-term debt</t>
  </si>
  <si>
    <t>Issuances of stock</t>
  </si>
  <si>
    <t>Purchases of stock for treasury</t>
  </si>
  <si>
    <t>Dividends</t>
  </si>
  <si>
    <t>Other financing activities</t>
  </si>
  <si>
    <t>Coca-Cola Co (NASDAQ: KO)</t>
  </si>
  <si>
    <t>Concentrate Operations</t>
  </si>
  <si>
    <t>Finished Product Operations</t>
  </si>
  <si>
    <t>Revenue by Geography</t>
  </si>
  <si>
    <t xml:space="preserve">International Revenues </t>
  </si>
  <si>
    <t xml:space="preserve">U.S. Revenues </t>
  </si>
  <si>
    <t>Trade accounts receivable</t>
  </si>
  <si>
    <t>Other Intangible</t>
  </si>
  <si>
    <t>Other Investments</t>
  </si>
  <si>
    <t>Disposal of property, plant and equipment</t>
  </si>
  <si>
    <t>Net change in operating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</si>
</sst>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2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9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0" xfId="0" applyNumberFormat="1" applyFont="1" applyBorder="1" applyAlignment="1">
      <alignment wrapText="1"/>
    </xf>
    <xf numFmtId="41" fontId="6" fillId="0" borderId="10" xfId="0" applyNumberFormat="1" applyFont="1" applyBorder="1" applyAlignment="1">
      <alignment horizontal="right" vertical="top" wrapText="1"/>
    </xf>
    <xf numFmtId="41" fontId="6" fillId="0" borderId="11" xfId="0" applyNumberFormat="1" applyFont="1" applyBorder="1" applyAlignment="1">
      <alignment horizontal="right" vertical="top" wrapText="1"/>
    </xf>
    <xf numFmtId="5" fontId="8" fillId="5" borderId="12" xfId="0" applyNumberFormat="1" applyFont="1" applyFill="1" applyBorder="1" applyAlignment="1">
      <alignment horizontal="right" vertical="top" wrapText="1"/>
    </xf>
    <xf numFmtId="37" fontId="4" fillId="0" borderId="11" xfId="0" applyNumberFormat="1" applyFont="1" applyBorder="1" applyAlignment="1">
      <alignment wrapText="1"/>
    </xf>
    <xf numFmtId="43" fontId="21" fillId="0" borderId="13" xfId="0" applyNumberFormat="1" applyFont="1" applyBorder="1" applyAlignment="1">
      <alignment wrapText="1"/>
    </xf>
    <xf numFmtId="41" fontId="8" fillId="0" borderId="14" xfId="0" applyNumberFormat="1" applyFont="1" applyBorder="1" applyAlignment="1">
      <alignment horizontal="right" vertical="top" wrapText="1"/>
    </xf>
    <xf numFmtId="41" fontId="7" fillId="0" borderId="15" xfId="0" applyNumberFormat="1" applyFont="1" applyBorder="1" applyAlignment="1">
      <alignment horizontal="right" vertical="top" wrapText="1"/>
    </xf>
    <xf numFmtId="0" fontId="8" fillId="5" borderId="15" xfId="0" applyFont="1" applyFill="1" applyBorder="1" applyAlignment="1">
      <alignment horizontal="right" vertical="center" wrapText="1"/>
    </xf>
    <xf numFmtId="41" fontId="8" fillId="0" borderId="15" xfId="0" applyNumberFormat="1" applyFont="1" applyBorder="1" applyAlignment="1">
      <alignment horizontal="right" vertical="top" wrapText="1"/>
    </xf>
    <xf numFmtId="0" fontId="4" fillId="0" borderId="15" xfId="0" applyFont="1" applyBorder="1"/>
    <xf numFmtId="0" fontId="21" fillId="0" borderId="16" xfId="0" applyFont="1" applyBorder="1" applyAlignment="1">
      <alignment horizontal="right" vertical="top" wrapText="1"/>
    </xf>
    <xf numFmtId="41" fontId="6" fillId="0" borderId="17" xfId="0" applyNumberFormat="1" applyFont="1" applyBorder="1" applyAlignment="1">
      <alignment horizontal="right" vertical="top" wrapText="1"/>
    </xf>
    <xf numFmtId="41" fontId="11" fillId="0" borderId="17" xfId="0" applyNumberFormat="1" applyFont="1" applyBorder="1" applyAlignment="1">
      <alignment horizontal="right" vertical="top" wrapText="1"/>
    </xf>
    <xf numFmtId="5" fontId="6" fillId="0" borderId="18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5" fontId="6" fillId="0" borderId="17" xfId="0" applyNumberFormat="1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B156"/>
  <sheetViews>
    <sheetView showGridLines="0" topLeftCell="A6" zoomScaleNormal="100" workbookViewId="0">
      <selection activeCell="O56" sqref="O56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5" width="9.125" style="5" bestFit="1" customWidth="1"/>
    <col min="6" max="6" width="1.5" style="5" customWidth="1"/>
    <col min="7" max="8" width="7.875" style="5" customWidth="1" outlineLevel="1"/>
    <col min="9" max="10" width="8.625" style="5" customWidth="1" outlineLevel="1"/>
    <col min="11" max="12" width="7.875" style="5" customWidth="1" outlineLevel="1"/>
    <col min="13" max="13" width="8.625" style="5" bestFit="1" customWidth="1"/>
    <col min="14" max="14" width="8.625" style="5" customWidth="1"/>
    <col min="15" max="17" width="8" style="5" customWidth="1"/>
    <col min="18" max="18" width="1.5" style="5" customWidth="1"/>
    <col min="19" max="19" width="8.625" style="5" bestFit="1" customWidth="1" outlineLevel="1"/>
    <col min="20" max="21" width="7.875" style="5" bestFit="1" customWidth="1" outlineLevel="1"/>
    <col min="22" max="22" width="7.875" style="5" bestFit="1" customWidth="1"/>
    <col min="23" max="23" width="8.625" style="5" bestFit="1" customWidth="1" outlineLevel="1"/>
    <col min="24" max="25" width="7.875" style="5" bestFit="1" customWidth="1" outlineLevel="1"/>
    <col min="26" max="26" width="7.875" style="5" bestFit="1" customWidth="1"/>
    <col min="27" max="27" width="1.25" style="5" customWidth="1"/>
    <col min="28" max="28" width="10.5" style="5" bestFit="1" customWidth="1"/>
    <col min="29" max="29" width="1.375" style="5" customWidth="1"/>
    <col min="30" max="16384" width="9" style="5"/>
  </cols>
  <sheetData>
    <row r="2" spans="1:28" ht="12.75" customHeight="1">
      <c r="B2" s="1" t="s">
        <v>167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3"/>
      <c r="S2" s="86"/>
      <c r="T2" s="86"/>
      <c r="U2" s="86"/>
      <c r="V2" s="86"/>
      <c r="W2" s="86"/>
      <c r="X2" s="86"/>
      <c r="Y2" s="86"/>
      <c r="Z2" s="86"/>
      <c r="AA2" s="3"/>
      <c r="AB2" s="1"/>
    </row>
    <row r="3" spans="1:28" ht="12.75" customHeight="1">
      <c r="B3" s="6" t="s">
        <v>77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3"/>
      <c r="AB3" s="1"/>
    </row>
    <row r="4" spans="1:28" ht="12.75" customHeight="1">
      <c r="B4" s="6" t="s">
        <v>95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1"/>
    </row>
    <row r="6" spans="1:28" ht="12.75" customHeight="1">
      <c r="A6" s="5" t="s">
        <v>17</v>
      </c>
      <c r="B6" s="1" t="s">
        <v>75</v>
      </c>
      <c r="C6" s="2"/>
      <c r="D6" s="2" t="s">
        <v>0</v>
      </c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2"/>
      <c r="R6" s="3"/>
      <c r="S6" s="2"/>
      <c r="T6" s="2"/>
      <c r="U6" s="2"/>
      <c r="V6" s="2" t="s">
        <v>10</v>
      </c>
      <c r="W6" s="2"/>
      <c r="X6" s="2"/>
      <c r="Y6" s="2"/>
      <c r="Z6" s="2"/>
      <c r="AA6" s="35"/>
      <c r="AB6" s="147" t="s">
        <v>23</v>
      </c>
    </row>
    <row r="7" spans="1:28" ht="12.75" customHeight="1">
      <c r="B7" s="6" t="s">
        <v>78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25</v>
      </c>
      <c r="P7" s="4" t="s">
        <v>26</v>
      </c>
      <c r="Q7" s="4" t="s">
        <v>107</v>
      </c>
      <c r="R7" s="4"/>
      <c r="S7" s="4" t="str">
        <f t="shared" ref="S7:Z8" si="0">J7</f>
        <v>4Q23</v>
      </c>
      <c r="T7" s="4" t="str">
        <f t="shared" si="0"/>
        <v>1Q24</v>
      </c>
      <c r="U7" s="4" t="str">
        <f t="shared" si="0"/>
        <v>2Q24</v>
      </c>
      <c r="V7" s="4" t="str">
        <f t="shared" si="0"/>
        <v>3Q24</v>
      </c>
      <c r="W7" s="4" t="str">
        <f t="shared" si="0"/>
        <v>4Q24</v>
      </c>
      <c r="X7" s="4" t="str">
        <f t="shared" si="0"/>
        <v>1Q25</v>
      </c>
      <c r="Y7" s="4" t="str">
        <f t="shared" si="0"/>
        <v>2Q25</v>
      </c>
      <c r="Z7" s="4" t="str">
        <f t="shared" si="0"/>
        <v>3Q25</v>
      </c>
      <c r="AA7" s="35"/>
      <c r="AB7" s="147"/>
    </row>
    <row r="8" spans="1:28" ht="12.75" customHeight="1">
      <c r="B8" s="6" t="s">
        <v>79</v>
      </c>
      <c r="C8" s="3">
        <v>44926</v>
      </c>
      <c r="D8" s="3">
        <v>45291</v>
      </c>
      <c r="E8" s="3">
        <v>45657</v>
      </c>
      <c r="F8" s="3"/>
      <c r="G8" s="3">
        <v>45016</v>
      </c>
      <c r="H8" s="3">
        <v>45107</v>
      </c>
      <c r="I8" s="3">
        <v>45199</v>
      </c>
      <c r="J8" s="3">
        <f>D8</f>
        <v>45291</v>
      </c>
      <c r="K8" s="3">
        <v>45382</v>
      </c>
      <c r="L8" s="3">
        <v>45473</v>
      </c>
      <c r="M8" s="3">
        <v>45565</v>
      </c>
      <c r="N8" s="3">
        <f>E8</f>
        <v>45657</v>
      </c>
      <c r="O8" s="3">
        <v>45747</v>
      </c>
      <c r="P8" s="3">
        <v>45838</v>
      </c>
      <c r="Q8" s="3">
        <v>45930</v>
      </c>
      <c r="R8" s="3"/>
      <c r="S8" s="3">
        <f t="shared" si="0"/>
        <v>45291</v>
      </c>
      <c r="T8" s="3">
        <f t="shared" si="0"/>
        <v>45382</v>
      </c>
      <c r="U8" s="3">
        <f t="shared" si="0"/>
        <v>45473</v>
      </c>
      <c r="V8" s="3">
        <f t="shared" si="0"/>
        <v>45565</v>
      </c>
      <c r="W8" s="3">
        <f t="shared" si="0"/>
        <v>45657</v>
      </c>
      <c r="X8" s="3">
        <f t="shared" si="0"/>
        <v>45747</v>
      </c>
      <c r="Y8" s="3">
        <f t="shared" si="0"/>
        <v>45838</v>
      </c>
      <c r="Z8" s="3">
        <f t="shared" si="0"/>
        <v>45930</v>
      </c>
      <c r="AA8" s="35"/>
      <c r="AB8" s="147"/>
    </row>
    <row r="9" spans="1:28" ht="5.0999999999999996" customHeight="1">
      <c r="AB9" s="85"/>
    </row>
    <row r="10" spans="1:28" ht="12.75" customHeight="1">
      <c r="B10" s="9" t="s">
        <v>59</v>
      </c>
      <c r="C10" s="81">
        <v>43004</v>
      </c>
      <c r="D10" s="81">
        <v>45754</v>
      </c>
      <c r="E10" s="81">
        <v>47061</v>
      </c>
      <c r="F10" s="11"/>
      <c r="G10" s="81">
        <v>10980</v>
      </c>
      <c r="H10" s="81">
        <v>11972</v>
      </c>
      <c r="I10" s="81">
        <v>11953</v>
      </c>
      <c r="J10" s="30">
        <f>SUM(D10-SUM(G10:I10))</f>
        <v>10849</v>
      </c>
      <c r="K10" s="81">
        <v>11300</v>
      </c>
      <c r="L10" s="81">
        <v>12363</v>
      </c>
      <c r="M10" s="81">
        <v>11854</v>
      </c>
      <c r="N10" s="30">
        <f>SUM(E10-SUM(K10:M10))</f>
        <v>11544</v>
      </c>
      <c r="O10" s="81">
        <v>11129</v>
      </c>
      <c r="P10" s="81"/>
      <c r="Q10" s="81"/>
      <c r="R10" s="30"/>
      <c r="S10" s="30">
        <f t="shared" ref="S10:Z10" si="1">SUM(G10:J10)</f>
        <v>45754</v>
      </c>
      <c r="T10" s="30">
        <f t="shared" si="1"/>
        <v>46074</v>
      </c>
      <c r="U10" s="30">
        <f t="shared" si="1"/>
        <v>46465</v>
      </c>
      <c r="V10" s="30">
        <f t="shared" si="1"/>
        <v>46366</v>
      </c>
      <c r="W10" s="30">
        <f t="shared" si="1"/>
        <v>47061</v>
      </c>
      <c r="X10" s="30">
        <f t="shared" si="1"/>
        <v>46890</v>
      </c>
      <c r="Y10" s="30">
        <f t="shared" si="1"/>
        <v>34527</v>
      </c>
      <c r="Z10" s="30">
        <f t="shared" si="1"/>
        <v>22673</v>
      </c>
      <c r="AA10" s="37"/>
      <c r="AB10" s="68">
        <f>SUM(Z10/V10)-1</f>
        <v>-0.51099943924427382</v>
      </c>
    </row>
    <row r="11" spans="1:28" ht="12.75" customHeight="1">
      <c r="B11" s="12" t="s">
        <v>12</v>
      </c>
      <c r="C11" s="13">
        <f t="shared" ref="C11:E11" si="2">+SUM(C10:C10)</f>
        <v>43004</v>
      </c>
      <c r="D11" s="13">
        <f t="shared" si="2"/>
        <v>45754</v>
      </c>
      <c r="E11" s="13">
        <f t="shared" si="2"/>
        <v>47061</v>
      </c>
      <c r="F11" s="11"/>
      <c r="G11" s="13">
        <f t="shared" ref="G11:P11" si="3">+SUM(G10:G10)</f>
        <v>10980</v>
      </c>
      <c r="H11" s="13">
        <f t="shared" si="3"/>
        <v>11972</v>
      </c>
      <c r="I11" s="13">
        <f t="shared" si="3"/>
        <v>11953</v>
      </c>
      <c r="J11" s="13">
        <f t="shared" si="3"/>
        <v>10849</v>
      </c>
      <c r="K11" s="13">
        <f t="shared" si="3"/>
        <v>11300</v>
      </c>
      <c r="L11" s="13">
        <f t="shared" si="3"/>
        <v>12363</v>
      </c>
      <c r="M11" s="13">
        <f t="shared" si="3"/>
        <v>11854</v>
      </c>
      <c r="N11" s="13">
        <f t="shared" si="3"/>
        <v>11544</v>
      </c>
      <c r="O11" s="13">
        <f t="shared" si="3"/>
        <v>11129</v>
      </c>
      <c r="P11" s="13">
        <f t="shared" si="3"/>
        <v>0</v>
      </c>
      <c r="Q11" s="13">
        <f t="shared" ref="Q11" si="4">+SUM(Q10:Q10)</f>
        <v>0</v>
      </c>
      <c r="S11" s="13">
        <f t="shared" ref="S11:Z11" si="5">+SUM(S10:S10)</f>
        <v>45754</v>
      </c>
      <c r="T11" s="13">
        <f t="shared" si="5"/>
        <v>46074</v>
      </c>
      <c r="U11" s="13">
        <f t="shared" si="5"/>
        <v>46465</v>
      </c>
      <c r="V11" s="13">
        <f t="shared" si="5"/>
        <v>46366</v>
      </c>
      <c r="W11" s="13">
        <f t="shared" si="5"/>
        <v>47061</v>
      </c>
      <c r="X11" s="13">
        <f t="shared" si="5"/>
        <v>46890</v>
      </c>
      <c r="Y11" s="13">
        <f t="shared" si="5"/>
        <v>34527</v>
      </c>
      <c r="Z11" s="13">
        <f t="shared" si="5"/>
        <v>22673</v>
      </c>
      <c r="AA11" s="37"/>
      <c r="AB11" s="69">
        <f t="shared" ref="AB11:AB30" si="6">SUM(Z11/V11)-1</f>
        <v>-0.51099943924427382</v>
      </c>
    </row>
    <row r="12" spans="1:28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B12" s="68"/>
    </row>
    <row r="13" spans="1:28" ht="12.75" customHeight="1">
      <c r="B13" s="9" t="s">
        <v>13</v>
      </c>
      <c r="C13" s="81">
        <v>-18000</v>
      </c>
      <c r="D13" s="81">
        <v>-18520</v>
      </c>
      <c r="E13" s="81">
        <v>-18324</v>
      </c>
      <c r="F13" s="22"/>
      <c r="G13" s="81">
        <v>-4317</v>
      </c>
      <c r="H13" s="81">
        <v>-4912</v>
      </c>
      <c r="I13" s="81">
        <v>-4657</v>
      </c>
      <c r="J13" s="30">
        <f>SUM(D13-SUM(G13:I13))</f>
        <v>-4634</v>
      </c>
      <c r="K13" s="81">
        <v>-4235</v>
      </c>
      <c r="L13" s="81">
        <v>-4812</v>
      </c>
      <c r="M13" s="81">
        <v>-4664</v>
      </c>
      <c r="N13" s="30">
        <f>SUM(E13-SUM(K13:M13))</f>
        <v>-4613</v>
      </c>
      <c r="O13" s="81">
        <v>-4163</v>
      </c>
      <c r="P13" s="76"/>
      <c r="Q13" s="76"/>
      <c r="S13" s="30">
        <f t="shared" ref="S13:Z13" si="7">SUM(G13:J13)</f>
        <v>-18520</v>
      </c>
      <c r="T13" s="30">
        <f t="shared" si="7"/>
        <v>-18438</v>
      </c>
      <c r="U13" s="30">
        <f t="shared" si="7"/>
        <v>-18338</v>
      </c>
      <c r="V13" s="30">
        <f t="shared" si="7"/>
        <v>-18345</v>
      </c>
      <c r="W13" s="30">
        <f t="shared" si="7"/>
        <v>-18324</v>
      </c>
      <c r="X13" s="30">
        <f t="shared" si="7"/>
        <v>-18252</v>
      </c>
      <c r="Y13" s="30">
        <f t="shared" si="7"/>
        <v>-13440</v>
      </c>
      <c r="Z13" s="30">
        <f t="shared" si="7"/>
        <v>-8776</v>
      </c>
      <c r="AA13" s="11"/>
      <c r="AB13" s="68">
        <f t="shared" si="6"/>
        <v>-0.52161351866993733</v>
      </c>
    </row>
    <row r="14" spans="1:28" ht="12.75" customHeight="1">
      <c r="B14" s="23" t="s">
        <v>21</v>
      </c>
      <c r="C14" s="24">
        <f t="shared" ref="C14:E14" si="8">+SUM(C11+SUM(C13:C13))</f>
        <v>25004</v>
      </c>
      <c r="D14" s="24">
        <f t="shared" si="8"/>
        <v>27234</v>
      </c>
      <c r="E14" s="24">
        <f t="shared" si="8"/>
        <v>28737</v>
      </c>
      <c r="G14" s="24">
        <f t="shared" ref="G14:P14" si="9">+SUM(G11+SUM(G13:G13))</f>
        <v>6663</v>
      </c>
      <c r="H14" s="24">
        <f t="shared" si="9"/>
        <v>7060</v>
      </c>
      <c r="I14" s="24">
        <f t="shared" si="9"/>
        <v>7296</v>
      </c>
      <c r="J14" s="24">
        <f t="shared" si="9"/>
        <v>6215</v>
      </c>
      <c r="K14" s="24">
        <f t="shared" si="9"/>
        <v>7065</v>
      </c>
      <c r="L14" s="24">
        <f t="shared" si="9"/>
        <v>7551</v>
      </c>
      <c r="M14" s="24">
        <f t="shared" si="9"/>
        <v>7190</v>
      </c>
      <c r="N14" s="24">
        <f t="shared" si="9"/>
        <v>6931</v>
      </c>
      <c r="O14" s="24">
        <f t="shared" si="9"/>
        <v>6966</v>
      </c>
      <c r="P14" s="24">
        <f t="shared" si="9"/>
        <v>0</v>
      </c>
      <c r="Q14" s="24">
        <f t="shared" ref="Q14" si="10">+SUM(Q11+SUM(Q13:Q13))</f>
        <v>0</v>
      </c>
      <c r="S14" s="24">
        <f t="shared" ref="S14:Z14" si="11">+SUM(S11+SUM(S13:S13))</f>
        <v>27234</v>
      </c>
      <c r="T14" s="24">
        <f t="shared" si="11"/>
        <v>27636</v>
      </c>
      <c r="U14" s="24">
        <f t="shared" si="11"/>
        <v>28127</v>
      </c>
      <c r="V14" s="24">
        <f t="shared" si="11"/>
        <v>28021</v>
      </c>
      <c r="W14" s="24">
        <f t="shared" si="11"/>
        <v>28737</v>
      </c>
      <c r="X14" s="24">
        <f t="shared" si="11"/>
        <v>28638</v>
      </c>
      <c r="Y14" s="24">
        <f t="shared" si="11"/>
        <v>21087</v>
      </c>
      <c r="Z14" s="24">
        <f t="shared" si="11"/>
        <v>13897</v>
      </c>
      <c r="AA14" s="39"/>
      <c r="AB14" s="69">
        <f t="shared" si="6"/>
        <v>-0.5040505335284251</v>
      </c>
    </row>
    <row r="15" spans="1:28" ht="12.75" customHeight="1">
      <c r="B15" s="14" t="s">
        <v>31</v>
      </c>
      <c r="C15" s="15">
        <f t="shared" ref="C15:E15" si="12">C14/C11</f>
        <v>0.58143428518277374</v>
      </c>
      <c r="D15" s="15">
        <f t="shared" si="12"/>
        <v>0.5952266468505486</v>
      </c>
      <c r="E15" s="15">
        <f t="shared" si="12"/>
        <v>0.61063300822336963</v>
      </c>
      <c r="F15" s="25"/>
      <c r="G15" s="15">
        <f t="shared" ref="G15:P15" si="13">G14/G11</f>
        <v>0.60683060109289622</v>
      </c>
      <c r="H15" s="15">
        <f t="shared" si="13"/>
        <v>0.58970932175075175</v>
      </c>
      <c r="I15" s="15">
        <f t="shared" si="13"/>
        <v>0.61039069689617664</v>
      </c>
      <c r="J15" s="15">
        <f t="shared" si="13"/>
        <v>0.57286385842013088</v>
      </c>
      <c r="K15" s="15">
        <f t="shared" si="13"/>
        <v>0.62522123893805315</v>
      </c>
      <c r="L15" s="15">
        <f t="shared" si="13"/>
        <v>0.61077408396020383</v>
      </c>
      <c r="M15" s="15">
        <f t="shared" si="13"/>
        <v>0.60654631348068166</v>
      </c>
      <c r="N15" s="15">
        <f t="shared" si="13"/>
        <v>0.60039847539847535</v>
      </c>
      <c r="O15" s="15">
        <f t="shared" si="13"/>
        <v>0.62593224907898282</v>
      </c>
      <c r="P15" s="15" t="e">
        <f t="shared" si="13"/>
        <v>#DIV/0!</v>
      </c>
      <c r="Q15" s="15" t="e">
        <f t="shared" ref="Q15" si="14">Q14/Q11</f>
        <v>#DIV/0!</v>
      </c>
      <c r="R15" s="26"/>
      <c r="S15" s="15">
        <f t="shared" ref="S15:Z15" si="15">S14/S11</f>
        <v>0.5952266468505486</v>
      </c>
      <c r="T15" s="15">
        <f t="shared" si="15"/>
        <v>0.59981768459434825</v>
      </c>
      <c r="U15" s="15">
        <f t="shared" si="15"/>
        <v>0.6053373506940708</v>
      </c>
      <c r="V15" s="15">
        <f t="shared" si="15"/>
        <v>0.60434370012509164</v>
      </c>
      <c r="W15" s="15">
        <f t="shared" si="15"/>
        <v>0.61063300822336963</v>
      </c>
      <c r="X15" s="15">
        <f t="shared" si="15"/>
        <v>0.61074856046065262</v>
      </c>
      <c r="Y15" s="15">
        <f t="shared" si="15"/>
        <v>0.6107394213224433</v>
      </c>
      <c r="Z15" s="15">
        <f t="shared" si="15"/>
        <v>0.61293168085387906</v>
      </c>
      <c r="AA15" s="39"/>
      <c r="AB15" s="70">
        <f>SUM(Z15-V15)*1000</f>
        <v>8.5879807287874144</v>
      </c>
    </row>
    <row r="16" spans="1:28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28"/>
      <c r="AA16" s="39"/>
      <c r="AB16" s="68"/>
    </row>
    <row r="17" spans="2:28" ht="12.75" customHeight="1">
      <c r="B17" s="9" t="s">
        <v>115</v>
      </c>
      <c r="C17" s="76">
        <v>-12880</v>
      </c>
      <c r="D17" s="76">
        <v>-13972</v>
      </c>
      <c r="E17" s="76">
        <v>-14582</v>
      </c>
      <c r="F17" s="30"/>
      <c r="G17" s="76">
        <v>-3185</v>
      </c>
      <c r="H17" s="76">
        <v>-3321</v>
      </c>
      <c r="I17" s="76">
        <v>-3667</v>
      </c>
      <c r="J17" s="30">
        <f t="shared" ref="J17:J18" si="16">SUM(D17-SUM(G17:I17))</f>
        <v>-3799</v>
      </c>
      <c r="K17" s="76">
        <v>-3351</v>
      </c>
      <c r="L17" s="76">
        <v>-3549</v>
      </c>
      <c r="M17" s="76">
        <v>-3636</v>
      </c>
      <c r="N17" s="30">
        <f t="shared" ref="N17:N18" si="17">SUM(E17-SUM(K17:M17))</f>
        <v>-4046</v>
      </c>
      <c r="O17" s="76">
        <v>-3234</v>
      </c>
      <c r="P17" s="76"/>
      <c r="Q17" s="76"/>
      <c r="S17" s="30">
        <f t="shared" ref="S17:Z18" si="18">SUM(G17:J17)</f>
        <v>-13972</v>
      </c>
      <c r="T17" s="30">
        <f t="shared" si="18"/>
        <v>-14138</v>
      </c>
      <c r="U17" s="30">
        <f t="shared" si="18"/>
        <v>-14366</v>
      </c>
      <c r="V17" s="30">
        <f t="shared" si="18"/>
        <v>-14335</v>
      </c>
      <c r="W17" s="30">
        <f t="shared" si="18"/>
        <v>-14582</v>
      </c>
      <c r="X17" s="30">
        <f t="shared" si="18"/>
        <v>-14465</v>
      </c>
      <c r="Y17" s="30">
        <f t="shared" si="18"/>
        <v>-10916</v>
      </c>
      <c r="Z17" s="30">
        <f t="shared" si="18"/>
        <v>-7280</v>
      </c>
      <c r="AA17" s="11"/>
      <c r="AB17" s="68">
        <f t="shared" si="6"/>
        <v>-0.49215207534007677</v>
      </c>
    </row>
    <row r="18" spans="2:28" ht="12.75" customHeight="1">
      <c r="B18" s="9" t="s">
        <v>116</v>
      </c>
      <c r="C18" s="76">
        <v>-1215</v>
      </c>
      <c r="D18" s="76">
        <v>-1951</v>
      </c>
      <c r="E18" s="76">
        <v>-4163</v>
      </c>
      <c r="F18" s="30"/>
      <c r="G18" s="76">
        <v>-111</v>
      </c>
      <c r="H18" s="76">
        <v>-1338</v>
      </c>
      <c r="I18" s="76">
        <v>-359</v>
      </c>
      <c r="J18" s="30">
        <f t="shared" si="16"/>
        <v>-143</v>
      </c>
      <c r="K18" s="76">
        <v>-1573</v>
      </c>
      <c r="L18" s="76">
        <v>-1370</v>
      </c>
      <c r="M18" s="76">
        <v>-1044</v>
      </c>
      <c r="N18" s="30">
        <f t="shared" si="17"/>
        <v>-176</v>
      </c>
      <c r="O18" s="76">
        <v>-73</v>
      </c>
      <c r="P18" s="76"/>
      <c r="Q18" s="76"/>
      <c r="S18" s="30">
        <f t="shared" si="18"/>
        <v>-1951</v>
      </c>
      <c r="T18" s="30">
        <f t="shared" si="18"/>
        <v>-3413</v>
      </c>
      <c r="U18" s="30">
        <f t="shared" si="18"/>
        <v>-3445</v>
      </c>
      <c r="V18" s="30">
        <f t="shared" si="18"/>
        <v>-4130</v>
      </c>
      <c r="W18" s="30">
        <f t="shared" si="18"/>
        <v>-4163</v>
      </c>
      <c r="X18" s="30">
        <f t="shared" si="18"/>
        <v>-2663</v>
      </c>
      <c r="Y18" s="30">
        <f t="shared" si="18"/>
        <v>-1293</v>
      </c>
      <c r="Z18" s="30">
        <f t="shared" si="18"/>
        <v>-249</v>
      </c>
      <c r="AA18" s="11"/>
      <c r="AB18" s="68">
        <f t="shared" ref="AB18" si="19">SUM(Z18/V18)-1</f>
        <v>-0.93970944309927362</v>
      </c>
    </row>
    <row r="19" spans="2:28" ht="12.75" customHeight="1">
      <c r="B19" s="23" t="s">
        <v>80</v>
      </c>
      <c r="C19" s="24">
        <f>+SUM(C14+SUM(C17:C18))</f>
        <v>10909</v>
      </c>
      <c r="D19" s="24">
        <f>+SUM(D14+SUM(D17:D18))</f>
        <v>11311</v>
      </c>
      <c r="E19" s="24">
        <f>+SUM(E14+SUM(E17:E18))</f>
        <v>9992</v>
      </c>
      <c r="F19" s="30"/>
      <c r="G19" s="24">
        <f>+SUM(G14+SUM(G17:G18))</f>
        <v>3367</v>
      </c>
      <c r="H19" s="24">
        <f>+SUM(H14+SUM(H17:H18))</f>
        <v>2401</v>
      </c>
      <c r="I19" s="24">
        <f>+SUM(I14+SUM(I17:I18))</f>
        <v>3270</v>
      </c>
      <c r="J19" s="24">
        <f>+SUM(J14+SUM(J17:J18))</f>
        <v>2273</v>
      </c>
      <c r="K19" s="24">
        <f>+SUM(K14+SUM(K17:K18))</f>
        <v>2141</v>
      </c>
      <c r="L19" s="24">
        <f>+SUM(L14+SUM(L17:L18))</f>
        <v>2632</v>
      </c>
      <c r="M19" s="24">
        <f>+SUM(M14+SUM(M17:M18))</f>
        <v>2510</v>
      </c>
      <c r="N19" s="24">
        <f>+SUM(N14+SUM(N17:N18))</f>
        <v>2709</v>
      </c>
      <c r="O19" s="24">
        <f>+SUM(O14+SUM(O17:O18))</f>
        <v>3659</v>
      </c>
      <c r="P19" s="24">
        <f>+SUM(P14+SUM(P17:P18))</f>
        <v>0</v>
      </c>
      <c r="Q19" s="24">
        <f>+SUM(Q14+SUM(Q17:Q18))</f>
        <v>0</v>
      </c>
      <c r="S19" s="24">
        <f>+SUM(S14+SUM(S17:S18))</f>
        <v>11311</v>
      </c>
      <c r="T19" s="24">
        <f>+SUM(T14+SUM(T17:T18))</f>
        <v>10085</v>
      </c>
      <c r="U19" s="24">
        <f>+SUM(U14+SUM(U17:U18))</f>
        <v>10316</v>
      </c>
      <c r="V19" s="24">
        <f>+SUM(V14+SUM(V17:V18))</f>
        <v>9556</v>
      </c>
      <c r="W19" s="24">
        <f>+SUM(W14+SUM(W17:W18))</f>
        <v>9992</v>
      </c>
      <c r="X19" s="24">
        <f>+SUM(X14+SUM(X17:X18))</f>
        <v>11510</v>
      </c>
      <c r="Y19" s="24">
        <f>+SUM(Y14+SUM(Y17:Y18))</f>
        <v>8878</v>
      </c>
      <c r="Z19" s="24">
        <f>+SUM(Z14+SUM(Z17:Z18))</f>
        <v>6368</v>
      </c>
      <c r="AA19" s="11"/>
      <c r="AB19" s="69">
        <f t="shared" si="6"/>
        <v>-0.33361239012138966</v>
      </c>
    </row>
    <row r="20" spans="2:28" ht="12.75" customHeight="1">
      <c r="B20" s="14" t="s">
        <v>33</v>
      </c>
      <c r="C20" s="15">
        <f>C19/C11</f>
        <v>0.25367407683006232</v>
      </c>
      <c r="D20" s="15">
        <f>D19/D11</f>
        <v>0.24721335839489444</v>
      </c>
      <c r="E20" s="15">
        <f>E19/E11</f>
        <v>0.21232018019166612</v>
      </c>
      <c r="F20" s="30"/>
      <c r="G20" s="15">
        <f>G19/G11</f>
        <v>0.30664845173041894</v>
      </c>
      <c r="H20" s="15">
        <f>H19/H11</f>
        <v>0.20055128633478114</v>
      </c>
      <c r="I20" s="15">
        <f>I19/I11</f>
        <v>0.27357148832928974</v>
      </c>
      <c r="J20" s="15">
        <f>J19/J11</f>
        <v>0.20951239745598674</v>
      </c>
      <c r="K20" s="15">
        <f>K19/K11</f>
        <v>0.18946902654867256</v>
      </c>
      <c r="L20" s="15">
        <f>L19/L11</f>
        <v>0.21289331068510881</v>
      </c>
      <c r="M20" s="15">
        <f>M19/M11</f>
        <v>0.21174287160452168</v>
      </c>
      <c r="N20" s="15">
        <f>N19/N11</f>
        <v>0.23466735966735966</v>
      </c>
      <c r="O20" s="15">
        <f>O19/O11</f>
        <v>0.32878066313235693</v>
      </c>
      <c r="P20" s="15" t="e">
        <f>P19/P11</f>
        <v>#DIV/0!</v>
      </c>
      <c r="Q20" s="15" t="e">
        <f>Q19/Q11</f>
        <v>#DIV/0!</v>
      </c>
      <c r="S20" s="15">
        <f>S19/S11</f>
        <v>0.24721335839489444</v>
      </c>
      <c r="T20" s="15">
        <f>T19/T11</f>
        <v>0.2188870078569258</v>
      </c>
      <c r="U20" s="15">
        <f>U19/U11</f>
        <v>0.22201657161304209</v>
      </c>
      <c r="V20" s="15">
        <f>V19/V11</f>
        <v>0.2060992968985895</v>
      </c>
      <c r="W20" s="15">
        <f>W19/W11</f>
        <v>0.21232018019166612</v>
      </c>
      <c r="X20" s="15">
        <f>X19/X11</f>
        <v>0.2454681168692685</v>
      </c>
      <c r="Y20" s="15">
        <f>Y19/Y11</f>
        <v>0.25713209951632054</v>
      </c>
      <c r="Z20" s="15">
        <f>Z19/Z11</f>
        <v>0.28086270012790543</v>
      </c>
      <c r="AA20" s="11"/>
      <c r="AB20" s="70">
        <f>SUM(Z20-V20)*1000</f>
        <v>74.763403229315927</v>
      </c>
    </row>
    <row r="21" spans="2:28" ht="5.0999999999999996" customHeight="1">
      <c r="B21" s="14"/>
      <c r="C21" s="15"/>
      <c r="D21" s="15"/>
      <c r="E21" s="15"/>
      <c r="F21" s="30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S21" s="30"/>
      <c r="T21" s="30"/>
      <c r="U21" s="30"/>
      <c r="V21" s="30"/>
      <c r="W21" s="30"/>
      <c r="X21" s="30"/>
      <c r="Y21" s="30"/>
      <c r="Z21" s="30"/>
      <c r="AA21" s="11"/>
      <c r="AB21" s="68"/>
    </row>
    <row r="22" spans="2:28" ht="12.75" customHeight="1">
      <c r="B22" s="9" t="s">
        <v>117</v>
      </c>
      <c r="C22" s="76">
        <v>449</v>
      </c>
      <c r="D22" s="76">
        <v>907</v>
      </c>
      <c r="E22" s="76">
        <v>988</v>
      </c>
      <c r="F22" s="30"/>
      <c r="G22" s="76">
        <v>168</v>
      </c>
      <c r="H22" s="76">
        <v>224</v>
      </c>
      <c r="I22" s="76">
        <v>248</v>
      </c>
      <c r="J22" s="30">
        <f t="shared" ref="J22:J25" si="20">SUM(D22-SUM(G22:I22))</f>
        <v>267</v>
      </c>
      <c r="K22" s="76">
        <v>246</v>
      </c>
      <c r="L22" s="76">
        <v>275</v>
      </c>
      <c r="M22" s="76">
        <v>263</v>
      </c>
      <c r="N22" s="30">
        <f t="shared" ref="N22:N25" si="21">SUM(E22-SUM(K22:M22))</f>
        <v>204</v>
      </c>
      <c r="O22" s="76">
        <v>180</v>
      </c>
      <c r="P22" s="76"/>
      <c r="Q22" s="76"/>
      <c r="S22" s="30">
        <f t="shared" ref="S22:Z25" si="22">SUM(G22:J22)</f>
        <v>907</v>
      </c>
      <c r="T22" s="30">
        <f t="shared" si="22"/>
        <v>985</v>
      </c>
      <c r="U22" s="30">
        <f t="shared" si="22"/>
        <v>1036</v>
      </c>
      <c r="V22" s="30">
        <f t="shared" si="22"/>
        <v>1051</v>
      </c>
      <c r="W22" s="30">
        <f t="shared" si="22"/>
        <v>988</v>
      </c>
      <c r="X22" s="30">
        <f t="shared" si="22"/>
        <v>922</v>
      </c>
      <c r="Y22" s="30">
        <f t="shared" si="22"/>
        <v>647</v>
      </c>
      <c r="Z22" s="30">
        <f t="shared" si="22"/>
        <v>384</v>
      </c>
      <c r="AA22" s="11"/>
      <c r="AB22" s="68">
        <f t="shared" si="6"/>
        <v>-0.63463368220742145</v>
      </c>
    </row>
    <row r="23" spans="2:28" ht="12.75" customHeight="1">
      <c r="B23" s="9" t="s">
        <v>118</v>
      </c>
      <c r="C23" s="76">
        <v>-882</v>
      </c>
      <c r="D23" s="76">
        <v>-1527</v>
      </c>
      <c r="E23" s="76">
        <v>-1656</v>
      </c>
      <c r="F23" s="30"/>
      <c r="G23" s="76">
        <v>-372</v>
      </c>
      <c r="H23" s="76">
        <v>-374</v>
      </c>
      <c r="I23" s="76">
        <v>-368</v>
      </c>
      <c r="J23" s="30">
        <f t="shared" si="20"/>
        <v>-413</v>
      </c>
      <c r="K23" s="76">
        <v>-382</v>
      </c>
      <c r="L23" s="76">
        <v>-418</v>
      </c>
      <c r="M23" s="76">
        <v>-425</v>
      </c>
      <c r="N23" s="30">
        <f t="shared" si="21"/>
        <v>-431</v>
      </c>
      <c r="O23" s="76">
        <v>-387</v>
      </c>
      <c r="P23" s="76"/>
      <c r="Q23" s="76"/>
      <c r="S23" s="30">
        <f t="shared" si="22"/>
        <v>-1527</v>
      </c>
      <c r="T23" s="30">
        <f t="shared" si="22"/>
        <v>-1537</v>
      </c>
      <c r="U23" s="30">
        <f t="shared" si="22"/>
        <v>-1581</v>
      </c>
      <c r="V23" s="30">
        <f t="shared" si="22"/>
        <v>-1638</v>
      </c>
      <c r="W23" s="30">
        <f t="shared" si="22"/>
        <v>-1656</v>
      </c>
      <c r="X23" s="30">
        <f t="shared" si="22"/>
        <v>-1661</v>
      </c>
      <c r="Y23" s="30">
        <f t="shared" si="22"/>
        <v>-1243</v>
      </c>
      <c r="Z23" s="30">
        <f t="shared" si="22"/>
        <v>-818</v>
      </c>
      <c r="AA23" s="11"/>
      <c r="AB23" s="68">
        <f t="shared" ref="AB23" si="23">SUM(Z23/V23)-1</f>
        <v>-0.50061050061050061</v>
      </c>
    </row>
    <row r="24" spans="2:28" ht="12.75" customHeight="1">
      <c r="B24" s="9" t="s">
        <v>119</v>
      </c>
      <c r="C24" s="76">
        <v>1472</v>
      </c>
      <c r="D24" s="76">
        <v>1691</v>
      </c>
      <c r="E24" s="76">
        <v>1770</v>
      </c>
      <c r="F24" s="30"/>
      <c r="G24" s="76">
        <v>275</v>
      </c>
      <c r="H24" s="76">
        <v>538</v>
      </c>
      <c r="I24" s="76">
        <v>517</v>
      </c>
      <c r="J24" s="30">
        <f t="shared" si="20"/>
        <v>361</v>
      </c>
      <c r="K24" s="76">
        <v>354</v>
      </c>
      <c r="L24" s="76">
        <v>537</v>
      </c>
      <c r="M24" s="76">
        <v>541</v>
      </c>
      <c r="N24" s="30">
        <f t="shared" si="21"/>
        <v>338</v>
      </c>
      <c r="O24" s="76">
        <v>351</v>
      </c>
      <c r="P24" s="76"/>
      <c r="Q24" s="76"/>
      <c r="S24" s="30">
        <f t="shared" si="22"/>
        <v>1691</v>
      </c>
      <c r="T24" s="30">
        <f t="shared" si="22"/>
        <v>1770</v>
      </c>
      <c r="U24" s="30">
        <f t="shared" si="22"/>
        <v>1769</v>
      </c>
      <c r="V24" s="30">
        <f t="shared" si="22"/>
        <v>1793</v>
      </c>
      <c r="W24" s="30">
        <f t="shared" si="22"/>
        <v>1770</v>
      </c>
      <c r="X24" s="30">
        <f t="shared" si="22"/>
        <v>1767</v>
      </c>
      <c r="Y24" s="30">
        <f t="shared" si="22"/>
        <v>1230</v>
      </c>
      <c r="Z24" s="30">
        <f t="shared" si="22"/>
        <v>689</v>
      </c>
      <c r="AA24" s="11"/>
      <c r="AB24" s="68">
        <f t="shared" si="6"/>
        <v>-0.61572783045175683</v>
      </c>
    </row>
    <row r="25" spans="2:28" ht="12.75" customHeight="1">
      <c r="B25" s="9" t="s">
        <v>120</v>
      </c>
      <c r="C25" s="76">
        <v>-262</v>
      </c>
      <c r="D25" s="76">
        <v>570</v>
      </c>
      <c r="E25" s="76">
        <v>1992</v>
      </c>
      <c r="F25" s="30"/>
      <c r="G25" s="76">
        <v>615</v>
      </c>
      <c r="H25" s="76">
        <v>91</v>
      </c>
      <c r="I25" s="76">
        <v>-130</v>
      </c>
      <c r="J25" s="30">
        <f t="shared" si="20"/>
        <v>-6</v>
      </c>
      <c r="K25" s="76">
        <v>1513</v>
      </c>
      <c r="L25" s="76">
        <v>2</v>
      </c>
      <c r="M25" s="76">
        <v>491</v>
      </c>
      <c r="N25" s="30">
        <f t="shared" si="21"/>
        <v>-14</v>
      </c>
      <c r="O25" s="76">
        <v>254</v>
      </c>
      <c r="P25" s="76"/>
      <c r="Q25" s="76"/>
      <c r="S25" s="30">
        <f t="shared" si="22"/>
        <v>570</v>
      </c>
      <c r="T25" s="30">
        <f t="shared" si="22"/>
        <v>1468</v>
      </c>
      <c r="U25" s="30">
        <f t="shared" si="22"/>
        <v>1379</v>
      </c>
      <c r="V25" s="30">
        <f t="shared" si="22"/>
        <v>2000</v>
      </c>
      <c r="W25" s="30">
        <f t="shared" si="22"/>
        <v>1992</v>
      </c>
      <c r="X25" s="30">
        <f t="shared" si="22"/>
        <v>733</v>
      </c>
      <c r="Y25" s="30">
        <f t="shared" si="22"/>
        <v>731</v>
      </c>
      <c r="Z25" s="30">
        <f t="shared" si="22"/>
        <v>240</v>
      </c>
      <c r="AA25" s="11"/>
      <c r="AB25" s="68">
        <f t="shared" si="6"/>
        <v>-0.88</v>
      </c>
    </row>
    <row r="26" spans="2:28" ht="12.75" customHeight="1">
      <c r="B26" s="23" t="s">
        <v>109</v>
      </c>
      <c r="C26" s="24">
        <f>SUM(C22:C25)+C19</f>
        <v>11686</v>
      </c>
      <c r="D26" s="24">
        <f>SUM(D22:D25)+D19</f>
        <v>12952</v>
      </c>
      <c r="E26" s="24">
        <f>SUM(E22:E25)+E19</f>
        <v>13086</v>
      </c>
      <c r="F26" s="30"/>
      <c r="G26" s="24">
        <f t="shared" ref="G26" si="24">SUM(G22:G25)+G19</f>
        <v>4053</v>
      </c>
      <c r="H26" s="24">
        <f t="shared" ref="H26" si="25">SUM(H22:H25)+H19</f>
        <v>2880</v>
      </c>
      <c r="I26" s="24">
        <f t="shared" ref="I26" si="26">SUM(I22:I25)+I19</f>
        <v>3537</v>
      </c>
      <c r="J26" s="24">
        <f t="shared" ref="J26" si="27">SUM(J22:J25)+J19</f>
        <v>2482</v>
      </c>
      <c r="K26" s="24">
        <f t="shared" ref="K26" si="28">SUM(K22:K25)+K19</f>
        <v>3872</v>
      </c>
      <c r="L26" s="24">
        <f t="shared" ref="L26" si="29">SUM(L22:L25)+L19</f>
        <v>3028</v>
      </c>
      <c r="M26" s="24">
        <f t="shared" ref="M26" si="30">SUM(M22:M25)+M19</f>
        <v>3380</v>
      </c>
      <c r="N26" s="24">
        <f t="shared" ref="N26" si="31">SUM(N22:N25)+N19</f>
        <v>2806</v>
      </c>
      <c r="O26" s="24">
        <f t="shared" ref="O26" si="32">SUM(O22:O25)+O19</f>
        <v>4057</v>
      </c>
      <c r="P26" s="24">
        <f t="shared" ref="P26" si="33">SUM(P22:P25)+P19</f>
        <v>0</v>
      </c>
      <c r="Q26" s="24">
        <f>SUM(Q22:Q25)+Q19</f>
        <v>0</v>
      </c>
      <c r="S26" s="24">
        <f t="shared" ref="S26" si="34">SUM(S22:S25)+S19</f>
        <v>12952</v>
      </c>
      <c r="T26" s="24">
        <f t="shared" ref="T26" si="35">SUM(T22:T25)+T19</f>
        <v>12771</v>
      </c>
      <c r="U26" s="24">
        <f t="shared" ref="U26" si="36">SUM(U22:U25)+U19</f>
        <v>12919</v>
      </c>
      <c r="V26" s="24">
        <f t="shared" ref="V26" si="37">SUM(V22:V25)+V19</f>
        <v>12762</v>
      </c>
      <c r="W26" s="24">
        <f t="shared" ref="W26" si="38">SUM(W22:W25)+W19</f>
        <v>13086</v>
      </c>
      <c r="X26" s="24">
        <f t="shared" ref="X26" si="39">SUM(X22:X25)+X19</f>
        <v>13271</v>
      </c>
      <c r="Y26" s="24">
        <f t="shared" ref="Y26" si="40">SUM(Y22:Y25)+Y19</f>
        <v>10243</v>
      </c>
      <c r="Z26" s="24">
        <f t="shared" ref="Z26" si="41">SUM(Z22:Z25)+Z19</f>
        <v>6863</v>
      </c>
      <c r="AA26" s="11"/>
      <c r="AB26" s="68">
        <f t="shared" si="6"/>
        <v>-0.46223162513712579</v>
      </c>
    </row>
    <row r="27" spans="2:28" ht="12.75" customHeight="1">
      <c r="B27" s="14" t="s">
        <v>81</v>
      </c>
      <c r="C27" s="15">
        <f>C26/C11</f>
        <v>0.27174216351967256</v>
      </c>
      <c r="D27" s="15">
        <f>D26/D11</f>
        <v>0.28307907505354724</v>
      </c>
      <c r="E27" s="15">
        <f>E26/E11</f>
        <v>0.27806463951042265</v>
      </c>
      <c r="F27" s="25"/>
      <c r="G27" s="15">
        <f>G26/G11</f>
        <v>0.36912568306010929</v>
      </c>
      <c r="H27" s="15">
        <f>H26/H11</f>
        <v>0.24056130972268627</v>
      </c>
      <c r="I27" s="15">
        <f>I26/I11</f>
        <v>0.29590897682590145</v>
      </c>
      <c r="J27" s="15">
        <f>J26/J11</f>
        <v>0.22877684579223892</v>
      </c>
      <c r="K27" s="15">
        <f>K26/K11</f>
        <v>0.34265486725663719</v>
      </c>
      <c r="L27" s="15">
        <f>L26/L11</f>
        <v>0.24492437110733642</v>
      </c>
      <c r="M27" s="15">
        <f>M26/M11</f>
        <v>0.28513581913278219</v>
      </c>
      <c r="N27" s="15">
        <f>N26/N11</f>
        <v>0.24306999306999308</v>
      </c>
      <c r="O27" s="15">
        <f>O26/O11</f>
        <v>0.36454308563213228</v>
      </c>
      <c r="P27" s="15" t="e">
        <f>P26/P11</f>
        <v>#DIV/0!</v>
      </c>
      <c r="Q27" s="15" t="e">
        <f>Q26/Q11</f>
        <v>#DIV/0!</v>
      </c>
      <c r="S27" s="15">
        <f>S26/S11</f>
        <v>0.28307907505354724</v>
      </c>
      <c r="T27" s="15">
        <f>T26/T11</f>
        <v>0.27718452923557757</v>
      </c>
      <c r="U27" s="15">
        <f>U26/U11</f>
        <v>0.27803723232540623</v>
      </c>
      <c r="V27" s="15">
        <f>V26/V11</f>
        <v>0.27524479144200492</v>
      </c>
      <c r="W27" s="15">
        <f>W26/W11</f>
        <v>0.27806463951042265</v>
      </c>
      <c r="X27" s="15">
        <f>X26/X11</f>
        <v>0.28302409895500108</v>
      </c>
      <c r="Y27" s="15">
        <f>Y26/Y11</f>
        <v>0.29666637703825993</v>
      </c>
      <c r="Z27" s="15">
        <f>Z26/Z11</f>
        <v>0.30269483526661667</v>
      </c>
      <c r="AA27" s="40"/>
      <c r="AB27" s="70">
        <f>SUM(Z27-V27)*1000</f>
        <v>27.450043824611747</v>
      </c>
    </row>
    <row r="28" spans="2:28" ht="5.0999999999999996" customHeight="1">
      <c r="B28" s="9"/>
      <c r="C28" s="76"/>
      <c r="D28" s="76"/>
      <c r="E28" s="76"/>
      <c r="F28" s="30"/>
      <c r="G28" s="76"/>
      <c r="H28" s="76"/>
      <c r="I28" s="76"/>
      <c r="J28" s="30"/>
      <c r="K28" s="76"/>
      <c r="L28" s="76"/>
      <c r="M28" s="76"/>
      <c r="N28" s="30"/>
      <c r="O28" s="76"/>
      <c r="P28" s="76"/>
      <c r="Q28" s="76"/>
      <c r="S28" s="30"/>
      <c r="T28" s="30"/>
      <c r="U28" s="30"/>
      <c r="V28" s="30"/>
      <c r="W28" s="30"/>
      <c r="X28" s="30"/>
      <c r="Y28" s="30"/>
      <c r="Z28" s="30"/>
      <c r="AA28" s="11"/>
      <c r="AB28" s="68"/>
    </row>
    <row r="29" spans="2:28" ht="12.75" customHeight="1">
      <c r="B29" s="9" t="s">
        <v>86</v>
      </c>
      <c r="C29" s="76">
        <v>-2115</v>
      </c>
      <c r="D29" s="76">
        <v>-2249</v>
      </c>
      <c r="E29" s="76">
        <v>-2437</v>
      </c>
      <c r="F29" s="30"/>
      <c r="G29" s="76">
        <v>-940</v>
      </c>
      <c r="H29" s="76">
        <v>-359</v>
      </c>
      <c r="I29" s="76">
        <v>-454</v>
      </c>
      <c r="J29" s="30">
        <f t="shared" ref="J29" si="42">SUM(D29-SUM(G29:I29))</f>
        <v>-496</v>
      </c>
      <c r="K29" s="76">
        <v>-687</v>
      </c>
      <c r="L29" s="76">
        <v>-627</v>
      </c>
      <c r="M29" s="76">
        <v>-530</v>
      </c>
      <c r="N29" s="30">
        <f t="shared" ref="N29" si="43">SUM(E29-SUM(K29:M29))</f>
        <v>-593</v>
      </c>
      <c r="O29" s="76">
        <v>-722</v>
      </c>
      <c r="P29" s="76"/>
      <c r="Q29" s="76"/>
      <c r="S29" s="30">
        <f t="shared" ref="S29:Z29" si="44">SUM(G29:J29)</f>
        <v>-2249</v>
      </c>
      <c r="T29" s="30">
        <f t="shared" si="44"/>
        <v>-1996</v>
      </c>
      <c r="U29" s="30">
        <f t="shared" si="44"/>
        <v>-2264</v>
      </c>
      <c r="V29" s="30">
        <f t="shared" si="44"/>
        <v>-2340</v>
      </c>
      <c r="W29" s="30">
        <f t="shared" si="44"/>
        <v>-2437</v>
      </c>
      <c r="X29" s="30">
        <f t="shared" si="44"/>
        <v>-2472</v>
      </c>
      <c r="Y29" s="30">
        <f t="shared" si="44"/>
        <v>-1845</v>
      </c>
      <c r="Z29" s="30">
        <f t="shared" si="44"/>
        <v>-1315</v>
      </c>
      <c r="AA29" s="11"/>
      <c r="AB29" s="68">
        <f t="shared" si="6"/>
        <v>-0.43803418803418803</v>
      </c>
    </row>
    <row r="30" spans="2:28" ht="12.75" customHeight="1">
      <c r="B30" s="12" t="s">
        <v>121</v>
      </c>
      <c r="C30" s="13">
        <f>SUM(C26+SUM(C29:C29))</f>
        <v>9571</v>
      </c>
      <c r="D30" s="13">
        <f>SUM(D26+SUM(D29:D29))</f>
        <v>10703</v>
      </c>
      <c r="E30" s="13">
        <f>SUM(E26+SUM(E29:E29))</f>
        <v>10649</v>
      </c>
      <c r="G30" s="13">
        <f t="shared" ref="G30:Q30" si="45">SUM(G26+SUM(G29:G29))</f>
        <v>3113</v>
      </c>
      <c r="H30" s="13">
        <f t="shared" si="45"/>
        <v>2521</v>
      </c>
      <c r="I30" s="13">
        <f t="shared" si="45"/>
        <v>3083</v>
      </c>
      <c r="J30" s="13">
        <f t="shared" si="45"/>
        <v>1986</v>
      </c>
      <c r="K30" s="13">
        <f t="shared" si="45"/>
        <v>3185</v>
      </c>
      <c r="L30" s="13">
        <f t="shared" si="45"/>
        <v>2401</v>
      </c>
      <c r="M30" s="13">
        <f t="shared" si="45"/>
        <v>2850</v>
      </c>
      <c r="N30" s="13">
        <f t="shared" si="45"/>
        <v>2213</v>
      </c>
      <c r="O30" s="13">
        <f t="shared" si="45"/>
        <v>3335</v>
      </c>
      <c r="P30" s="13">
        <f t="shared" si="45"/>
        <v>0</v>
      </c>
      <c r="Q30" s="13">
        <f t="shared" si="45"/>
        <v>0</v>
      </c>
      <c r="S30" s="13">
        <f t="shared" ref="S30:Z30" si="46">SUM(S26+SUM(S29:S29))</f>
        <v>10703</v>
      </c>
      <c r="T30" s="13">
        <f t="shared" si="46"/>
        <v>10775</v>
      </c>
      <c r="U30" s="13">
        <f t="shared" si="46"/>
        <v>10655</v>
      </c>
      <c r="V30" s="13">
        <f t="shared" si="46"/>
        <v>10422</v>
      </c>
      <c r="W30" s="13">
        <f t="shared" si="46"/>
        <v>10649</v>
      </c>
      <c r="X30" s="13">
        <f t="shared" si="46"/>
        <v>10799</v>
      </c>
      <c r="Y30" s="13">
        <f t="shared" si="46"/>
        <v>8398</v>
      </c>
      <c r="Z30" s="13">
        <f t="shared" si="46"/>
        <v>5548</v>
      </c>
      <c r="AA30" s="39"/>
      <c r="AB30" s="69">
        <f t="shared" si="6"/>
        <v>-0.46766455574745736</v>
      </c>
    </row>
    <row r="31" spans="2:28" ht="5.0999999999999996" customHeight="1">
      <c r="B31" s="14"/>
      <c r="C31" s="15"/>
      <c r="D31" s="15"/>
      <c r="E31" s="15"/>
      <c r="F31" s="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S31" s="15"/>
      <c r="T31" s="15"/>
      <c r="U31" s="15"/>
      <c r="V31" s="15"/>
      <c r="W31" s="15"/>
      <c r="X31" s="15"/>
      <c r="Y31" s="15"/>
      <c r="Z31" s="15"/>
      <c r="AA31" s="40"/>
      <c r="AB31" s="70"/>
    </row>
    <row r="32" spans="2:28" ht="12.75" customHeight="1">
      <c r="B32" s="9" t="s">
        <v>122</v>
      </c>
      <c r="C32" s="76">
        <v>-29</v>
      </c>
      <c r="D32" s="76">
        <v>11</v>
      </c>
      <c r="E32" s="76">
        <v>-18</v>
      </c>
      <c r="F32" s="30"/>
      <c r="G32" s="76">
        <v>-6</v>
      </c>
      <c r="H32" s="76">
        <v>26</v>
      </c>
      <c r="I32" s="76">
        <v>4</v>
      </c>
      <c r="J32" s="30">
        <f t="shared" ref="J32" si="47">SUM(D32-SUM(G32:I32))</f>
        <v>-13</v>
      </c>
      <c r="K32" s="76">
        <v>-8</v>
      </c>
      <c r="L32" s="76">
        <v>10</v>
      </c>
      <c r="M32" s="76">
        <v>-2</v>
      </c>
      <c r="N32" s="30">
        <f t="shared" ref="N32" si="48">SUM(E32-SUM(K32:M32))</f>
        <v>-18</v>
      </c>
      <c r="O32" s="76">
        <v>-5</v>
      </c>
      <c r="P32" s="76"/>
      <c r="Q32" s="76"/>
      <c r="S32" s="30">
        <f t="shared" ref="S32:Z32" si="49">SUM(G32:J32)</f>
        <v>11</v>
      </c>
      <c r="T32" s="30">
        <f t="shared" si="49"/>
        <v>9</v>
      </c>
      <c r="U32" s="30">
        <f t="shared" si="49"/>
        <v>-7</v>
      </c>
      <c r="V32" s="30">
        <f t="shared" si="49"/>
        <v>-13</v>
      </c>
      <c r="W32" s="30">
        <f t="shared" si="49"/>
        <v>-18</v>
      </c>
      <c r="X32" s="30">
        <f t="shared" si="49"/>
        <v>-15</v>
      </c>
      <c r="Y32" s="30">
        <f t="shared" si="49"/>
        <v>-25</v>
      </c>
      <c r="Z32" s="30">
        <f t="shared" si="49"/>
        <v>-23</v>
      </c>
      <c r="AA32" s="11"/>
      <c r="AB32" s="68">
        <f t="shared" ref="AB32:AB33" si="50">SUM(Z32/V32)-1</f>
        <v>0.76923076923076916</v>
      </c>
    </row>
    <row r="33" spans="1:28" ht="12.75" customHeight="1">
      <c r="B33" s="12" t="s">
        <v>123</v>
      </c>
      <c r="C33" s="13">
        <f t="shared" ref="C33:D33" si="51">+C30+C32</f>
        <v>9542</v>
      </c>
      <c r="D33" s="13">
        <f t="shared" si="51"/>
        <v>10714</v>
      </c>
      <c r="E33" s="13">
        <f>E30+E32</f>
        <v>10631</v>
      </c>
      <c r="G33" s="13">
        <f t="shared" ref="G33:Q33" si="52">SUM(G30+SUM(G32:G32))</f>
        <v>3107</v>
      </c>
      <c r="H33" s="13">
        <f t="shared" si="52"/>
        <v>2547</v>
      </c>
      <c r="I33" s="13">
        <f t="shared" si="52"/>
        <v>3087</v>
      </c>
      <c r="J33" s="13">
        <f t="shared" si="52"/>
        <v>1973</v>
      </c>
      <c r="K33" s="13">
        <f t="shared" si="52"/>
        <v>3177</v>
      </c>
      <c r="L33" s="13">
        <f t="shared" si="52"/>
        <v>2411</v>
      </c>
      <c r="M33" s="13">
        <f t="shared" si="52"/>
        <v>2848</v>
      </c>
      <c r="N33" s="13">
        <f t="shared" si="52"/>
        <v>2195</v>
      </c>
      <c r="O33" s="13">
        <f t="shared" si="52"/>
        <v>3330</v>
      </c>
      <c r="P33" s="13">
        <f t="shared" si="52"/>
        <v>0</v>
      </c>
      <c r="Q33" s="13">
        <f t="shared" si="52"/>
        <v>0</v>
      </c>
      <c r="S33" s="13">
        <f t="shared" ref="S33:Z33" si="53">SUM(S30+SUM(S32:S32))</f>
        <v>10714</v>
      </c>
      <c r="T33" s="13">
        <f t="shared" si="53"/>
        <v>10784</v>
      </c>
      <c r="U33" s="13">
        <f t="shared" si="53"/>
        <v>10648</v>
      </c>
      <c r="V33" s="13">
        <f t="shared" si="53"/>
        <v>10409</v>
      </c>
      <c r="W33" s="13">
        <f t="shared" si="53"/>
        <v>10631</v>
      </c>
      <c r="X33" s="13">
        <f t="shared" si="53"/>
        <v>10784</v>
      </c>
      <c r="Y33" s="13">
        <f t="shared" si="53"/>
        <v>8373</v>
      </c>
      <c r="Z33" s="13">
        <f t="shared" si="53"/>
        <v>5525</v>
      </c>
      <c r="AA33" s="39"/>
      <c r="AB33" s="69">
        <f t="shared" si="50"/>
        <v>-0.46920933807282161</v>
      </c>
    </row>
    <row r="34" spans="1:28" ht="12.75" customHeight="1">
      <c r="B34" s="14" t="s">
        <v>63</v>
      </c>
      <c r="C34" s="15">
        <f>C33/C11</f>
        <v>0.22188633615477629</v>
      </c>
      <c r="D34" s="15">
        <f>D33/D11</f>
        <v>0.23416531887922368</v>
      </c>
      <c r="E34" s="15">
        <f>E33/E11</f>
        <v>0.22589830220352308</v>
      </c>
      <c r="F34" s="25"/>
      <c r="G34" s="15">
        <f>G33/G11</f>
        <v>0.28296903460837886</v>
      </c>
      <c r="H34" s="15">
        <f>H33/H11</f>
        <v>0.21274640828600067</v>
      </c>
      <c r="I34" s="15">
        <f>I33/I11</f>
        <v>0.25826152430352212</v>
      </c>
      <c r="J34" s="15">
        <f>J33/J11</f>
        <v>0.1818600792699788</v>
      </c>
      <c r="K34" s="15">
        <f>K33/K11</f>
        <v>0.28115044247787613</v>
      </c>
      <c r="L34" s="15">
        <f>L33/L11</f>
        <v>0.19501739060098683</v>
      </c>
      <c r="M34" s="15">
        <f>M33/M11</f>
        <v>0.2402564535177999</v>
      </c>
      <c r="N34" s="15">
        <f>N33/N11</f>
        <v>0.19014206514206514</v>
      </c>
      <c r="O34" s="15">
        <f>O33/O11</f>
        <v>0.29921825860364815</v>
      </c>
      <c r="P34" s="15" t="e">
        <f>P33/P11</f>
        <v>#DIV/0!</v>
      </c>
      <c r="Q34" s="15" t="e">
        <f>Q33/Q11</f>
        <v>#DIV/0!</v>
      </c>
      <c r="S34" s="15">
        <f>S33/S11</f>
        <v>0.23416531887922368</v>
      </c>
      <c r="T34" s="15">
        <f>T33/T11</f>
        <v>0.23405825411294873</v>
      </c>
      <c r="U34" s="15">
        <f>U33/U11</f>
        <v>0.22916173463897557</v>
      </c>
      <c r="V34" s="15">
        <f>V33/V11</f>
        <v>0.22449639822283571</v>
      </c>
      <c r="W34" s="15">
        <f>W33/W11</f>
        <v>0.22589830220352308</v>
      </c>
      <c r="X34" s="15">
        <f>X33/X11</f>
        <v>0.22998507144380465</v>
      </c>
      <c r="Y34" s="15">
        <f>Y33/Y11</f>
        <v>0.24250586497523677</v>
      </c>
      <c r="Z34" s="15">
        <f>Z33/Z11</f>
        <v>0.24368191240682752</v>
      </c>
      <c r="AA34" s="40"/>
      <c r="AB34" s="70">
        <f>SUM(Z34-V34)*1000</f>
        <v>19.18551418399181</v>
      </c>
    </row>
    <row r="35" spans="1:28" ht="5.0999999999999996" customHeight="1">
      <c r="B35" s="14"/>
      <c r="C35" s="15"/>
      <c r="D35" s="15"/>
      <c r="E35" s="15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6"/>
      <c r="S35" s="15"/>
      <c r="T35" s="15"/>
      <c r="U35" s="15"/>
      <c r="V35" s="15"/>
      <c r="W35" s="15"/>
      <c r="X35" s="15"/>
      <c r="Y35" s="15"/>
      <c r="Z35" s="15"/>
      <c r="AA35" s="40"/>
      <c r="AB35" s="70"/>
    </row>
    <row r="36" spans="1:28" ht="12.75" customHeight="1">
      <c r="B36" s="41" t="s">
        <v>64</v>
      </c>
      <c r="C36" s="76">
        <v>4328</v>
      </c>
      <c r="D36" s="76">
        <v>4323</v>
      </c>
      <c r="E36" s="76">
        <v>4309</v>
      </c>
      <c r="F36" s="25"/>
      <c r="G36" s="76"/>
      <c r="H36" s="76"/>
      <c r="I36" s="76"/>
      <c r="J36" s="30">
        <f>D36</f>
        <v>4323</v>
      </c>
      <c r="K36" s="76"/>
      <c r="L36" s="76"/>
      <c r="M36" s="76"/>
      <c r="N36" s="30">
        <f>E36</f>
        <v>4309</v>
      </c>
      <c r="O36" s="76"/>
      <c r="P36" s="76"/>
      <c r="Q36" s="76"/>
      <c r="R36" s="30"/>
      <c r="S36" s="30">
        <f t="shared" ref="S36:Z36" si="54">J36</f>
        <v>4323</v>
      </c>
      <c r="T36" s="30">
        <f t="shared" si="54"/>
        <v>0</v>
      </c>
      <c r="U36" s="30">
        <f t="shared" si="54"/>
        <v>0</v>
      </c>
      <c r="V36" s="30">
        <f t="shared" si="54"/>
        <v>0</v>
      </c>
      <c r="W36" s="30">
        <f t="shared" si="54"/>
        <v>4309</v>
      </c>
      <c r="X36" s="30">
        <f t="shared" si="54"/>
        <v>0</v>
      </c>
      <c r="Y36" s="30">
        <f t="shared" si="54"/>
        <v>0</v>
      </c>
      <c r="Z36" s="30">
        <f t="shared" si="54"/>
        <v>0</v>
      </c>
      <c r="AA36" s="40"/>
      <c r="AB36" s="68" t="e">
        <f t="shared" ref="AB36" si="55">SUM(Z36/V36)-1</f>
        <v>#DIV/0!</v>
      </c>
    </row>
    <row r="37" spans="1:28" ht="12.75" customHeight="1">
      <c r="B37" s="12" t="s">
        <v>65</v>
      </c>
      <c r="C37" s="71">
        <f>C33/C36</f>
        <v>2.2047134935304991</v>
      </c>
      <c r="D37" s="71">
        <f t="shared" ref="D37:E37" si="56">D33/D36</f>
        <v>2.4783715012722647</v>
      </c>
      <c r="E37" s="71">
        <f t="shared" si="56"/>
        <v>2.4671617544673938</v>
      </c>
      <c r="F37" s="11"/>
      <c r="G37" s="71" t="e">
        <f t="shared" ref="G37" si="57">G33/G36</f>
        <v>#DIV/0!</v>
      </c>
      <c r="H37" s="71" t="e">
        <f t="shared" ref="H37" si="58">H33/H36</f>
        <v>#DIV/0!</v>
      </c>
      <c r="I37" s="71" t="e">
        <f t="shared" ref="I37" si="59">I33/I36</f>
        <v>#DIV/0!</v>
      </c>
      <c r="J37" s="71">
        <f t="shared" ref="J37" si="60">J33/J36</f>
        <v>0.45639602128151746</v>
      </c>
      <c r="K37" s="71" t="e">
        <f t="shared" ref="K37" si="61">K33/K36</f>
        <v>#DIV/0!</v>
      </c>
      <c r="L37" s="71" t="e">
        <f t="shared" ref="L37" si="62">L33/L36</f>
        <v>#DIV/0!</v>
      </c>
      <c r="M37" s="71" t="e">
        <f t="shared" ref="M37" si="63">M33/M36</f>
        <v>#DIV/0!</v>
      </c>
      <c r="N37" s="71">
        <f t="shared" ref="N37" si="64">N33/N36</f>
        <v>0.50939893246692969</v>
      </c>
      <c r="O37" s="71" t="e">
        <f t="shared" ref="O37" si="65">O33/O36</f>
        <v>#DIV/0!</v>
      </c>
      <c r="P37" s="71" t="e">
        <f t="shared" ref="P37" si="66">P33/P36</f>
        <v>#DIV/0!</v>
      </c>
      <c r="Q37" s="71" t="e">
        <f t="shared" ref="Q37" si="67">Q33/Q36</f>
        <v>#DIV/0!</v>
      </c>
      <c r="R37" s="30"/>
      <c r="S37" s="71">
        <f t="shared" ref="S37" si="68">S33/S36</f>
        <v>2.4783715012722647</v>
      </c>
      <c r="T37" s="71" t="e">
        <f t="shared" ref="T37" si="69">T33/T36</f>
        <v>#DIV/0!</v>
      </c>
      <c r="U37" s="71" t="e">
        <f t="shared" ref="U37" si="70">U33/U36</f>
        <v>#DIV/0!</v>
      </c>
      <c r="V37" s="71" t="e">
        <f t="shared" ref="V37" si="71">V33/V36</f>
        <v>#DIV/0!</v>
      </c>
      <c r="W37" s="71">
        <f t="shared" ref="W37" si="72">W33/W36</f>
        <v>2.4671617544673938</v>
      </c>
      <c r="X37" s="71" t="e">
        <f t="shared" ref="X37" si="73">X33/X36</f>
        <v>#DIV/0!</v>
      </c>
      <c r="Y37" s="71" t="e">
        <f t="shared" ref="Y37" si="74">Y33/Y36</f>
        <v>#DIV/0!</v>
      </c>
      <c r="Z37" s="71" t="e">
        <f t="shared" ref="Z37" si="75">Z33/Z36</f>
        <v>#DIV/0!</v>
      </c>
      <c r="AA37" s="33"/>
      <c r="AB37" s="69" t="e">
        <f>SUM(Z37/V37)-1</f>
        <v>#DIV/0!</v>
      </c>
    </row>
    <row r="38" spans="1:28" ht="5.0999999999999996" customHeight="1">
      <c r="B38" s="14"/>
      <c r="C38" s="15"/>
      <c r="D38" s="15"/>
      <c r="E38" s="15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26"/>
      <c r="S38" s="15"/>
      <c r="T38" s="15"/>
      <c r="U38" s="15"/>
      <c r="V38" s="15"/>
      <c r="W38" s="15"/>
      <c r="X38" s="15"/>
      <c r="Y38" s="15"/>
      <c r="Z38" s="15"/>
      <c r="AA38" s="40"/>
      <c r="AB38" s="70"/>
    </row>
    <row r="39" spans="1:28" ht="12.75" customHeight="1">
      <c r="B39" s="41" t="s">
        <v>66</v>
      </c>
      <c r="C39" s="76">
        <v>4350</v>
      </c>
      <c r="D39" s="76">
        <v>4339</v>
      </c>
      <c r="E39" s="76">
        <v>4320</v>
      </c>
      <c r="F39" s="25"/>
      <c r="G39" s="76"/>
      <c r="H39" s="76"/>
      <c r="I39" s="76"/>
      <c r="J39" s="30">
        <f>D39</f>
        <v>4339</v>
      </c>
      <c r="K39" s="76"/>
      <c r="L39" s="76"/>
      <c r="M39" s="76"/>
      <c r="N39" s="30">
        <f>E39</f>
        <v>4320</v>
      </c>
      <c r="O39" s="76"/>
      <c r="P39" s="76"/>
      <c r="Q39" s="76"/>
      <c r="R39" s="30"/>
      <c r="S39" s="30">
        <f t="shared" ref="S39" si="76">J39</f>
        <v>4339</v>
      </c>
      <c r="T39" s="30">
        <f t="shared" ref="T39" si="77">K39</f>
        <v>0</v>
      </c>
      <c r="U39" s="30">
        <f t="shared" ref="U39" si="78">L39</f>
        <v>0</v>
      </c>
      <c r="V39" s="30">
        <f t="shared" ref="V39" si="79">M39</f>
        <v>0</v>
      </c>
      <c r="W39" s="30">
        <f t="shared" ref="W39" si="80">N39</f>
        <v>4320</v>
      </c>
      <c r="X39" s="30">
        <f t="shared" ref="X39" si="81">O39</f>
        <v>0</v>
      </c>
      <c r="Y39" s="30">
        <f t="shared" ref="Y39" si="82">P39</f>
        <v>0</v>
      </c>
      <c r="Z39" s="30">
        <f>Q39</f>
        <v>0</v>
      </c>
      <c r="AA39" s="40"/>
      <c r="AB39" s="68" t="e">
        <f t="shared" ref="AB39" si="83">SUM(Z39/V39)-1</f>
        <v>#DIV/0!</v>
      </c>
    </row>
    <row r="40" spans="1:28" ht="12.75" customHeight="1">
      <c r="B40" s="12" t="s">
        <v>67</v>
      </c>
      <c r="C40" s="71">
        <f>C33/C39</f>
        <v>2.1935632183908047</v>
      </c>
      <c r="D40" s="71">
        <f t="shared" ref="D40:E40" si="84">D33/D39</f>
        <v>2.4692325420603827</v>
      </c>
      <c r="E40" s="71">
        <f t="shared" si="84"/>
        <v>2.4608796296296296</v>
      </c>
      <c r="F40" s="25"/>
      <c r="G40" s="71" t="e">
        <f t="shared" ref="G40" si="85">G33/G39</f>
        <v>#DIV/0!</v>
      </c>
      <c r="H40" s="71" t="e">
        <f t="shared" ref="H40" si="86">H33/H39</f>
        <v>#DIV/0!</v>
      </c>
      <c r="I40" s="71" t="e">
        <f t="shared" ref="I40" si="87">I33/I39</f>
        <v>#DIV/0!</v>
      </c>
      <c r="J40" s="71">
        <f t="shared" ref="J40" si="88">J33/J39</f>
        <v>0.45471306752707996</v>
      </c>
      <c r="K40" s="71" t="e">
        <f t="shared" ref="K40" si="89">K33/K39</f>
        <v>#DIV/0!</v>
      </c>
      <c r="L40" s="71" t="e">
        <f t="shared" ref="L40" si="90">L33/L39</f>
        <v>#DIV/0!</v>
      </c>
      <c r="M40" s="71" t="e">
        <f t="shared" ref="M40" si="91">M33/M39</f>
        <v>#DIV/0!</v>
      </c>
      <c r="N40" s="71">
        <f t="shared" ref="N40" si="92">N33/N39</f>
        <v>0.50810185185185186</v>
      </c>
      <c r="O40" s="71" t="e">
        <f t="shared" ref="O40" si="93">O33/O39</f>
        <v>#DIV/0!</v>
      </c>
      <c r="P40" s="71" t="e">
        <f t="shared" ref="P40" si="94">P33/P39</f>
        <v>#DIV/0!</v>
      </c>
      <c r="Q40" s="71" t="e">
        <f t="shared" ref="Q40" si="95">Q33/Q39</f>
        <v>#DIV/0!</v>
      </c>
      <c r="R40" s="30"/>
      <c r="S40" s="71">
        <f t="shared" ref="S40" si="96">S33/S39</f>
        <v>2.4692325420603827</v>
      </c>
      <c r="T40" s="71" t="e">
        <f t="shared" ref="T40" si="97">T33/T39</f>
        <v>#DIV/0!</v>
      </c>
      <c r="U40" s="71" t="e">
        <f t="shared" ref="U40" si="98">U33/U39</f>
        <v>#DIV/0!</v>
      </c>
      <c r="V40" s="71" t="e">
        <f t="shared" ref="V40" si="99">V33/V39</f>
        <v>#DIV/0!</v>
      </c>
      <c r="W40" s="71">
        <f t="shared" ref="W40" si="100">W33/W39</f>
        <v>2.4608796296296296</v>
      </c>
      <c r="X40" s="71" t="e">
        <f t="shared" ref="X40" si="101">X33/X39</f>
        <v>#DIV/0!</v>
      </c>
      <c r="Y40" s="71" t="e">
        <f t="shared" ref="Y40" si="102">Y33/Y39</f>
        <v>#DIV/0!</v>
      </c>
      <c r="Z40" s="71" t="e">
        <f t="shared" ref="Z40" si="103">Z33/Z39</f>
        <v>#DIV/0!</v>
      </c>
      <c r="AA40" s="33"/>
      <c r="AB40" s="69" t="e">
        <f>SUM(Z40/V40)-1</f>
        <v>#DIV/0!</v>
      </c>
    </row>
    <row r="41" spans="1:28">
      <c r="B41" s="14"/>
      <c r="C41" s="15"/>
      <c r="D41" s="15"/>
      <c r="E41" s="76"/>
      <c r="F41" s="2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6"/>
      <c r="S41" s="15"/>
      <c r="T41" s="15"/>
      <c r="U41" s="15"/>
      <c r="V41" s="15"/>
      <c r="W41" s="15"/>
      <c r="X41" s="15"/>
      <c r="Y41" s="15"/>
      <c r="Z41" s="15"/>
      <c r="AA41" s="40"/>
    </row>
    <row r="42" spans="1:28" ht="12.75" customHeight="1">
      <c r="A42" s="5" t="s">
        <v>17</v>
      </c>
      <c r="B42" s="91" t="s">
        <v>76</v>
      </c>
      <c r="C42" s="92" t="s">
        <v>0</v>
      </c>
      <c r="D42" s="92"/>
      <c r="E42" s="92"/>
      <c r="F42" s="93"/>
      <c r="G42" s="92"/>
      <c r="H42" s="92"/>
      <c r="I42" s="92"/>
      <c r="J42" s="92"/>
      <c r="K42" s="92"/>
      <c r="L42" s="92"/>
      <c r="M42" s="92" t="s">
        <v>1</v>
      </c>
      <c r="N42" s="92"/>
      <c r="O42" s="92"/>
      <c r="P42" s="92"/>
      <c r="Q42" s="92"/>
      <c r="R42" s="91"/>
      <c r="S42" s="92"/>
      <c r="T42" s="92"/>
      <c r="U42" s="92"/>
      <c r="V42" s="92" t="s">
        <v>10</v>
      </c>
      <c r="W42" s="92"/>
      <c r="X42" s="92"/>
      <c r="Y42" s="92"/>
      <c r="Z42" s="92"/>
      <c r="AA42" s="93"/>
      <c r="AB42" s="148" t="s">
        <v>23</v>
      </c>
    </row>
    <row r="43" spans="1:28" ht="12.75" customHeight="1">
      <c r="B43" s="95" t="str">
        <f>B7</f>
        <v>Fiscal Period</v>
      </c>
      <c r="C43" s="94">
        <f>C7</f>
        <v>2022</v>
      </c>
      <c r="D43" s="94">
        <f>D7</f>
        <v>2023</v>
      </c>
      <c r="E43" s="94">
        <f>E7</f>
        <v>2024</v>
      </c>
      <c r="F43" s="93"/>
      <c r="G43" s="94" t="str">
        <f>G7</f>
        <v>1Q23</v>
      </c>
      <c r="H43" s="94" t="str">
        <f>H7</f>
        <v>2Q23</v>
      </c>
      <c r="I43" s="94" t="str">
        <f>I7</f>
        <v>3Q23</v>
      </c>
      <c r="J43" s="94" t="str">
        <f>J7</f>
        <v>4Q23</v>
      </c>
      <c r="K43" s="94" t="str">
        <f>K7</f>
        <v>1Q24</v>
      </c>
      <c r="L43" s="94" t="str">
        <f>L7</f>
        <v>2Q24</v>
      </c>
      <c r="M43" s="94" t="str">
        <f>M7</f>
        <v>3Q24</v>
      </c>
      <c r="N43" s="94" t="str">
        <f>N7</f>
        <v>4Q24</v>
      </c>
      <c r="O43" s="94" t="str">
        <f>O7</f>
        <v>1Q25</v>
      </c>
      <c r="P43" s="94" t="str">
        <f>P7</f>
        <v>2Q25</v>
      </c>
      <c r="Q43" s="94" t="str">
        <f>Q7</f>
        <v>3Q25</v>
      </c>
      <c r="R43" s="96"/>
      <c r="S43" s="94" t="str">
        <f>S7</f>
        <v>4Q23</v>
      </c>
      <c r="T43" s="94" t="str">
        <f>T7</f>
        <v>1Q24</v>
      </c>
      <c r="U43" s="94" t="str">
        <f>U7</f>
        <v>2Q24</v>
      </c>
      <c r="V43" s="94" t="str">
        <f>V7</f>
        <v>3Q24</v>
      </c>
      <c r="W43" s="94" t="str">
        <f>W7</f>
        <v>4Q24</v>
      </c>
      <c r="X43" s="94" t="str">
        <f>X7</f>
        <v>1Q25</v>
      </c>
      <c r="Y43" s="94" t="str">
        <f>Y7</f>
        <v>2Q25</v>
      </c>
      <c r="Z43" s="94" t="str">
        <f>Z7</f>
        <v>3Q25</v>
      </c>
      <c r="AA43" s="93"/>
      <c r="AB43" s="148"/>
    </row>
    <row r="44" spans="1:28" ht="12.75" customHeight="1">
      <c r="B44" s="95" t="str">
        <f>B8</f>
        <v>Fiscal Period End Date</v>
      </c>
      <c r="C44" s="97">
        <f>C8</f>
        <v>44926</v>
      </c>
      <c r="D44" s="97">
        <f>D8</f>
        <v>45291</v>
      </c>
      <c r="E44" s="97">
        <f>E8</f>
        <v>45657</v>
      </c>
      <c r="F44" s="93"/>
      <c r="G44" s="97">
        <f>G8</f>
        <v>45016</v>
      </c>
      <c r="H44" s="97">
        <f>H8</f>
        <v>45107</v>
      </c>
      <c r="I44" s="97">
        <f>I8</f>
        <v>45199</v>
      </c>
      <c r="J44" s="97">
        <f>J8</f>
        <v>45291</v>
      </c>
      <c r="K44" s="97">
        <f>K8</f>
        <v>45382</v>
      </c>
      <c r="L44" s="97">
        <f>L8</f>
        <v>45473</v>
      </c>
      <c r="M44" s="97">
        <f>M8</f>
        <v>45565</v>
      </c>
      <c r="N44" s="97">
        <f>N8</f>
        <v>45657</v>
      </c>
      <c r="O44" s="97">
        <f>O8</f>
        <v>45747</v>
      </c>
      <c r="P44" s="97">
        <f>P8</f>
        <v>45838</v>
      </c>
      <c r="Q44" s="97">
        <f>Q8</f>
        <v>45930</v>
      </c>
      <c r="R44" s="98"/>
      <c r="S44" s="97">
        <f>S8</f>
        <v>45291</v>
      </c>
      <c r="T44" s="97">
        <f>T8</f>
        <v>45382</v>
      </c>
      <c r="U44" s="97">
        <f>U8</f>
        <v>45473</v>
      </c>
      <c r="V44" s="97">
        <f>V8</f>
        <v>45565</v>
      </c>
      <c r="W44" s="97">
        <f>W8</f>
        <v>45657</v>
      </c>
      <c r="X44" s="97">
        <f>X8</f>
        <v>45747</v>
      </c>
      <c r="Y44" s="97">
        <f>Y8</f>
        <v>45838</v>
      </c>
      <c r="Z44" s="97">
        <f>Z8</f>
        <v>45930</v>
      </c>
      <c r="AA44" s="93"/>
      <c r="AB44" s="148"/>
    </row>
    <row r="45" spans="1:28" ht="5.0999999999999996" customHeight="1">
      <c r="B45" s="43"/>
      <c r="C45" s="44"/>
      <c r="D45" s="44"/>
      <c r="E45" s="44"/>
    </row>
    <row r="46" spans="1:28">
      <c r="B46" s="72" t="s">
        <v>82</v>
      </c>
      <c r="C46" s="44"/>
      <c r="D46" s="44"/>
      <c r="E46" s="44"/>
    </row>
    <row r="47" spans="1:28" ht="12.75" customHeight="1">
      <c r="B47" s="9" t="s">
        <v>124</v>
      </c>
      <c r="C47" s="105">
        <v>9519</v>
      </c>
      <c r="D47" s="105">
        <v>9366</v>
      </c>
      <c r="E47" s="105">
        <v>10828</v>
      </c>
      <c r="G47" s="105">
        <v>12004</v>
      </c>
      <c r="H47" s="105">
        <v>12564</v>
      </c>
      <c r="I47" s="105">
        <v>11883</v>
      </c>
      <c r="J47" s="82">
        <f t="shared" ref="J47:J52" si="104">D47</f>
        <v>9366</v>
      </c>
      <c r="K47" s="105">
        <v>10443</v>
      </c>
      <c r="L47" s="105">
        <v>13708</v>
      </c>
      <c r="M47" s="105">
        <v>13938</v>
      </c>
      <c r="N47" s="82">
        <f t="shared" ref="N47:N52" si="105">E47</f>
        <v>10828</v>
      </c>
      <c r="O47" s="105">
        <v>8417</v>
      </c>
      <c r="P47" s="105"/>
      <c r="Q47" s="105"/>
      <c r="R47" s="82"/>
      <c r="S47" s="30">
        <f t="shared" ref="S47:Z47" si="106">J47</f>
        <v>9366</v>
      </c>
      <c r="T47" s="30">
        <f t="shared" si="106"/>
        <v>10443</v>
      </c>
      <c r="U47" s="30">
        <f t="shared" si="106"/>
        <v>13708</v>
      </c>
      <c r="V47" s="30">
        <f t="shared" si="106"/>
        <v>13938</v>
      </c>
      <c r="W47" s="30">
        <f t="shared" si="106"/>
        <v>10828</v>
      </c>
      <c r="X47" s="30">
        <f t="shared" si="106"/>
        <v>8417</v>
      </c>
      <c r="Y47" s="30">
        <f t="shared" si="106"/>
        <v>0</v>
      </c>
      <c r="Z47" s="30">
        <f t="shared" si="106"/>
        <v>0</v>
      </c>
      <c r="AA47" s="11"/>
      <c r="AB47" s="68">
        <f t="shared" ref="AB47:AB52" si="107">SUM(Z47/V47)-1</f>
        <v>-1</v>
      </c>
    </row>
    <row r="48" spans="1:28" ht="12.75" customHeight="1">
      <c r="B48" s="9" t="s">
        <v>125</v>
      </c>
      <c r="C48" s="105">
        <v>1069</v>
      </c>
      <c r="D48" s="105">
        <v>1300</v>
      </c>
      <c r="E48" s="105">
        <v>1723</v>
      </c>
      <c r="G48" s="105">
        <v>1125</v>
      </c>
      <c r="H48" s="105">
        <v>1263</v>
      </c>
      <c r="I48" s="105">
        <v>1220</v>
      </c>
      <c r="J48" s="82">
        <f t="shared" si="104"/>
        <v>1300</v>
      </c>
      <c r="K48" s="105">
        <v>1716</v>
      </c>
      <c r="L48" s="105">
        <v>1594</v>
      </c>
      <c r="M48" s="105">
        <v>1787</v>
      </c>
      <c r="N48" s="82">
        <f t="shared" si="105"/>
        <v>1723</v>
      </c>
      <c r="O48" s="105">
        <v>1791</v>
      </c>
      <c r="P48" s="105"/>
      <c r="Q48" s="105"/>
      <c r="R48" s="82"/>
      <c r="S48" s="30">
        <f t="shared" ref="S48:S52" si="108">J48</f>
        <v>1300</v>
      </c>
      <c r="T48" s="30">
        <f t="shared" ref="T48:T52" si="109">K48</f>
        <v>1716</v>
      </c>
      <c r="U48" s="30">
        <f t="shared" ref="U48:U52" si="110">L48</f>
        <v>1594</v>
      </c>
      <c r="V48" s="30">
        <f t="shared" ref="V48:V52" si="111">M48</f>
        <v>1787</v>
      </c>
      <c r="W48" s="30">
        <f t="shared" ref="W48:W52" si="112">N48</f>
        <v>1723</v>
      </c>
      <c r="X48" s="30">
        <f t="shared" ref="X48:X52" si="113">O48</f>
        <v>1791</v>
      </c>
      <c r="Y48" s="30">
        <f t="shared" ref="Y48:Y52" si="114">P48</f>
        <v>0</v>
      </c>
      <c r="Z48" s="30">
        <f t="shared" ref="Z48:Z52" si="115">Q48</f>
        <v>0</v>
      </c>
      <c r="AA48" s="11"/>
      <c r="AB48" s="68">
        <f t="shared" ref="AB48" si="116">SUM(Z48/V48)-1</f>
        <v>-1</v>
      </c>
    </row>
    <row r="49" spans="2:28" ht="12.75" customHeight="1">
      <c r="B49" s="9" t="s">
        <v>126</v>
      </c>
      <c r="C49" s="105">
        <v>4233</v>
      </c>
      <c r="D49" s="105">
        <v>4424</v>
      </c>
      <c r="E49" s="105">
        <v>4728</v>
      </c>
      <c r="G49" s="105">
        <v>4727</v>
      </c>
      <c r="H49" s="105">
        <v>4646</v>
      </c>
      <c r="I49" s="105">
        <v>4252</v>
      </c>
      <c r="J49" s="82">
        <f t="shared" si="104"/>
        <v>4424</v>
      </c>
      <c r="K49" s="105">
        <v>4961</v>
      </c>
      <c r="L49" s="105">
        <v>4763</v>
      </c>
      <c r="M49" s="105">
        <v>4714</v>
      </c>
      <c r="N49" s="82">
        <f t="shared" si="105"/>
        <v>4728</v>
      </c>
      <c r="O49" s="105">
        <v>5102</v>
      </c>
      <c r="P49" s="105"/>
      <c r="Q49" s="105"/>
      <c r="R49" s="82"/>
      <c r="S49" s="30">
        <f t="shared" si="108"/>
        <v>4424</v>
      </c>
      <c r="T49" s="30">
        <f t="shared" si="109"/>
        <v>4961</v>
      </c>
      <c r="U49" s="30">
        <f t="shared" si="110"/>
        <v>4763</v>
      </c>
      <c r="V49" s="30">
        <f t="shared" si="111"/>
        <v>4714</v>
      </c>
      <c r="W49" s="30">
        <f t="shared" si="112"/>
        <v>4728</v>
      </c>
      <c r="X49" s="30">
        <f t="shared" si="113"/>
        <v>5102</v>
      </c>
      <c r="Y49" s="30">
        <f t="shared" si="114"/>
        <v>0</v>
      </c>
      <c r="Z49" s="30">
        <f t="shared" si="115"/>
        <v>0</v>
      </c>
      <c r="AA49" s="11"/>
      <c r="AB49" s="68">
        <f t="shared" si="107"/>
        <v>-1</v>
      </c>
    </row>
    <row r="50" spans="2:28" ht="12.75" customHeight="1">
      <c r="B50" s="9" t="s">
        <v>173</v>
      </c>
      <c r="C50" s="105">
        <v>3487</v>
      </c>
      <c r="D50" s="105">
        <v>3410</v>
      </c>
      <c r="E50" s="105">
        <v>3569</v>
      </c>
      <c r="G50" s="105">
        <v>4599</v>
      </c>
      <c r="H50" s="105">
        <v>3970</v>
      </c>
      <c r="I50" s="105">
        <v>3495</v>
      </c>
      <c r="J50" s="82">
        <f t="shared" si="104"/>
        <v>3410</v>
      </c>
      <c r="K50" s="105">
        <v>4244</v>
      </c>
      <c r="L50" s="105">
        <v>4545</v>
      </c>
      <c r="M50" s="105">
        <v>4233</v>
      </c>
      <c r="N50" s="82">
        <f t="shared" si="105"/>
        <v>3569</v>
      </c>
      <c r="O50" s="105">
        <v>4091</v>
      </c>
      <c r="P50" s="105"/>
      <c r="Q50" s="105"/>
      <c r="R50" s="82"/>
      <c r="S50" s="30">
        <f t="shared" si="108"/>
        <v>3410</v>
      </c>
      <c r="T50" s="30">
        <f t="shared" si="109"/>
        <v>4244</v>
      </c>
      <c r="U50" s="30">
        <f t="shared" si="110"/>
        <v>4545</v>
      </c>
      <c r="V50" s="30">
        <f t="shared" si="111"/>
        <v>4233</v>
      </c>
      <c r="W50" s="30">
        <f t="shared" si="112"/>
        <v>3569</v>
      </c>
      <c r="X50" s="30">
        <f t="shared" si="113"/>
        <v>4091</v>
      </c>
      <c r="Y50" s="30">
        <f t="shared" si="114"/>
        <v>0</v>
      </c>
      <c r="Z50" s="30">
        <f t="shared" si="115"/>
        <v>0</v>
      </c>
      <c r="AA50" s="11"/>
      <c r="AB50" s="68">
        <f t="shared" ref="AB50" si="117">SUM(Z50/V50)-1</f>
        <v>-1</v>
      </c>
    </row>
    <row r="51" spans="2:28" ht="12.75" customHeight="1">
      <c r="B51" s="9" t="s">
        <v>127</v>
      </c>
      <c r="C51" s="105">
        <v>1043</v>
      </c>
      <c r="D51" s="105">
        <v>2997</v>
      </c>
      <c r="E51" s="105">
        <v>2020</v>
      </c>
      <c r="G51" s="105">
        <v>1166</v>
      </c>
      <c r="H51" s="105">
        <v>1867</v>
      </c>
      <c r="I51" s="105">
        <v>2332</v>
      </c>
      <c r="J51" s="82">
        <f t="shared" si="104"/>
        <v>2997</v>
      </c>
      <c r="K51" s="105">
        <v>4760</v>
      </c>
      <c r="L51" s="105">
        <v>3691</v>
      </c>
      <c r="M51" s="105">
        <v>2439</v>
      </c>
      <c r="N51" s="82">
        <f t="shared" si="105"/>
        <v>2020</v>
      </c>
      <c r="O51" s="105">
        <v>3579</v>
      </c>
      <c r="P51" s="105"/>
      <c r="Q51" s="105"/>
      <c r="R51" s="82"/>
      <c r="S51" s="30">
        <f t="shared" si="108"/>
        <v>2997</v>
      </c>
      <c r="T51" s="30">
        <f t="shared" si="109"/>
        <v>4760</v>
      </c>
      <c r="U51" s="30">
        <f t="shared" si="110"/>
        <v>3691</v>
      </c>
      <c r="V51" s="30">
        <f t="shared" si="111"/>
        <v>2439</v>
      </c>
      <c r="W51" s="30">
        <f t="shared" si="112"/>
        <v>2020</v>
      </c>
      <c r="X51" s="30">
        <f t="shared" si="113"/>
        <v>3579</v>
      </c>
      <c r="Y51" s="30">
        <f t="shared" si="114"/>
        <v>0</v>
      </c>
      <c r="Z51" s="30">
        <f t="shared" si="115"/>
        <v>0</v>
      </c>
      <c r="AA51" s="11"/>
      <c r="AB51" s="68">
        <f t="shared" si="107"/>
        <v>-1</v>
      </c>
    </row>
    <row r="52" spans="2:28" ht="12.75" customHeight="1">
      <c r="B52" s="9" t="s">
        <v>128</v>
      </c>
      <c r="C52" s="105">
        <v>3240</v>
      </c>
      <c r="D52" s="105">
        <v>5235</v>
      </c>
      <c r="E52" s="105">
        <v>3129</v>
      </c>
      <c r="G52" s="105">
        <v>3259</v>
      </c>
      <c r="H52" s="105">
        <v>3281</v>
      </c>
      <c r="I52" s="105">
        <v>4685</v>
      </c>
      <c r="J52" s="82">
        <f t="shared" si="104"/>
        <v>5235</v>
      </c>
      <c r="K52" s="105">
        <v>3338</v>
      </c>
      <c r="L52" s="105">
        <v>3298</v>
      </c>
      <c r="M52" s="105">
        <v>3177</v>
      </c>
      <c r="N52" s="82">
        <f t="shared" si="105"/>
        <v>3129</v>
      </c>
      <c r="O52" s="105">
        <v>3198</v>
      </c>
      <c r="P52" s="105"/>
      <c r="Q52" s="105"/>
      <c r="R52" s="82"/>
      <c r="S52" s="30">
        <f t="shared" si="108"/>
        <v>5235</v>
      </c>
      <c r="T52" s="30">
        <f t="shared" si="109"/>
        <v>3338</v>
      </c>
      <c r="U52" s="30">
        <f t="shared" si="110"/>
        <v>3298</v>
      </c>
      <c r="V52" s="30">
        <f t="shared" si="111"/>
        <v>3177</v>
      </c>
      <c r="W52" s="30">
        <f t="shared" si="112"/>
        <v>3129</v>
      </c>
      <c r="X52" s="30">
        <f t="shared" si="113"/>
        <v>3198</v>
      </c>
      <c r="Y52" s="30">
        <f t="shared" si="114"/>
        <v>0</v>
      </c>
      <c r="Z52" s="30">
        <f t="shared" si="115"/>
        <v>0</v>
      </c>
      <c r="AA52" s="11"/>
      <c r="AB52" s="68">
        <f t="shared" si="107"/>
        <v>-1</v>
      </c>
    </row>
    <row r="53" spans="2:28" ht="12.75" customHeight="1">
      <c r="B53" s="23" t="s">
        <v>19</v>
      </c>
      <c r="C53" s="24">
        <f>SUM(C47:C52)</f>
        <v>22591</v>
      </c>
      <c r="D53" s="24">
        <f>SUM(D47:D52)</f>
        <v>26732</v>
      </c>
      <c r="E53" s="24">
        <f>SUM(E47:E52)</f>
        <v>25997</v>
      </c>
      <c r="F53" s="45"/>
      <c r="G53" s="24">
        <f t="shared" ref="G53:Q53" si="118">SUM(G47:G52)</f>
        <v>26880</v>
      </c>
      <c r="H53" s="24">
        <f t="shared" si="118"/>
        <v>27591</v>
      </c>
      <c r="I53" s="24">
        <f t="shared" si="118"/>
        <v>27867</v>
      </c>
      <c r="J53" s="24">
        <f t="shared" si="118"/>
        <v>26732</v>
      </c>
      <c r="K53" s="24">
        <f t="shared" si="118"/>
        <v>29462</v>
      </c>
      <c r="L53" s="24">
        <f t="shared" si="118"/>
        <v>31599</v>
      </c>
      <c r="M53" s="24">
        <f t="shared" si="118"/>
        <v>30288</v>
      </c>
      <c r="N53" s="24">
        <f t="shared" si="118"/>
        <v>25997</v>
      </c>
      <c r="O53" s="24">
        <f t="shared" si="118"/>
        <v>26178</v>
      </c>
      <c r="P53" s="24">
        <f t="shared" si="118"/>
        <v>0</v>
      </c>
      <c r="Q53" s="24">
        <f t="shared" si="118"/>
        <v>0</v>
      </c>
      <c r="R53" s="45"/>
      <c r="S53" s="24">
        <f t="shared" ref="S53:Z53" si="119">SUM(S47:S52)</f>
        <v>26732</v>
      </c>
      <c r="T53" s="24">
        <f t="shared" si="119"/>
        <v>29462</v>
      </c>
      <c r="U53" s="24">
        <f t="shared" si="119"/>
        <v>31599</v>
      </c>
      <c r="V53" s="24">
        <f t="shared" si="119"/>
        <v>30288</v>
      </c>
      <c r="W53" s="24">
        <f t="shared" si="119"/>
        <v>25997</v>
      </c>
      <c r="X53" s="24">
        <f t="shared" si="119"/>
        <v>26178</v>
      </c>
      <c r="Y53" s="24">
        <f t="shared" si="119"/>
        <v>0</v>
      </c>
      <c r="Z53" s="24">
        <f t="shared" si="119"/>
        <v>0</v>
      </c>
      <c r="AA53" s="39"/>
      <c r="AB53" s="69">
        <f>SUM(Z53/V53)-1</f>
        <v>-1</v>
      </c>
    </row>
    <row r="54" spans="2:28" ht="5.0999999999999996" customHeight="1">
      <c r="B54" s="23"/>
      <c r="C54" s="46"/>
      <c r="D54" s="38"/>
      <c r="E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S54" s="39"/>
      <c r="T54" s="39"/>
      <c r="U54" s="39"/>
      <c r="V54" s="39"/>
      <c r="W54" s="39"/>
      <c r="X54" s="39"/>
      <c r="Y54" s="39"/>
      <c r="Z54" s="39"/>
      <c r="AA54" s="39"/>
      <c r="AB54" s="36"/>
    </row>
    <row r="55" spans="2:28" ht="12.75" customHeight="1">
      <c r="B55" s="72" t="s">
        <v>83</v>
      </c>
      <c r="C55" s="76"/>
      <c r="D55" s="76"/>
      <c r="E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S55" s="30"/>
      <c r="T55" s="30"/>
      <c r="U55" s="30"/>
      <c r="V55" s="30"/>
      <c r="W55" s="30"/>
      <c r="X55" s="30"/>
      <c r="Y55" s="30"/>
      <c r="Z55" s="30"/>
      <c r="AA55" s="11"/>
      <c r="AB55" s="68"/>
    </row>
    <row r="56" spans="2:28" ht="12.75" customHeight="1">
      <c r="B56" s="9" t="s">
        <v>129</v>
      </c>
      <c r="C56" s="76">
        <v>9841</v>
      </c>
      <c r="D56" s="76">
        <v>9236</v>
      </c>
      <c r="E56" s="76">
        <v>10303</v>
      </c>
      <c r="G56" s="105">
        <v>9848</v>
      </c>
      <c r="H56" s="105">
        <v>9706</v>
      </c>
      <c r="I56" s="105">
        <v>8860</v>
      </c>
      <c r="J56" s="82">
        <f t="shared" ref="J56:J63" si="120">D56</f>
        <v>9236</v>
      </c>
      <c r="K56" s="105">
        <v>9306</v>
      </c>
      <c r="L56" s="105">
        <v>9508</v>
      </c>
      <c r="M56" s="105">
        <v>9864</v>
      </c>
      <c r="N56" s="82">
        <f t="shared" ref="N56:N63" si="121">E56</f>
        <v>10303</v>
      </c>
      <c r="O56" s="105">
        <v>10431</v>
      </c>
      <c r="P56" s="105"/>
      <c r="Q56" s="105"/>
      <c r="S56" s="30">
        <f t="shared" ref="S56:S62" si="122">J56</f>
        <v>9236</v>
      </c>
      <c r="T56" s="30">
        <f t="shared" ref="T56:T62" si="123">K56</f>
        <v>9306</v>
      </c>
      <c r="U56" s="30">
        <f t="shared" ref="U56:U62" si="124">L56</f>
        <v>9508</v>
      </c>
      <c r="V56" s="30">
        <f t="shared" ref="V56:V62" si="125">M56</f>
        <v>9864</v>
      </c>
      <c r="W56" s="30">
        <f t="shared" ref="W56:W62" si="126">N56</f>
        <v>10303</v>
      </c>
      <c r="X56" s="30">
        <f t="shared" ref="X56:X62" si="127">O56</f>
        <v>10431</v>
      </c>
      <c r="Y56" s="30">
        <f t="shared" ref="Y56:Y62" si="128">P56</f>
        <v>0</v>
      </c>
      <c r="Z56" s="30">
        <f t="shared" ref="Z56:Z62" si="129">Q56</f>
        <v>0</v>
      </c>
      <c r="AA56" s="11"/>
      <c r="AB56" s="68">
        <f t="shared" ref="AB56:AB63" si="130">SUM(Z56/V56)-1</f>
        <v>-1</v>
      </c>
    </row>
    <row r="57" spans="2:28" ht="12.75" customHeight="1">
      <c r="B57" s="9" t="s">
        <v>130</v>
      </c>
      <c r="C57" s="76">
        <v>14214</v>
      </c>
      <c r="D57" s="76">
        <v>14349</v>
      </c>
      <c r="E57" s="76">
        <v>13301</v>
      </c>
      <c r="G57" s="105">
        <v>14283</v>
      </c>
      <c r="H57" s="105">
        <v>14369</v>
      </c>
      <c r="I57" s="105">
        <v>14213</v>
      </c>
      <c r="J57" s="82">
        <f t="shared" si="120"/>
        <v>14349</v>
      </c>
      <c r="K57" s="105">
        <v>13532</v>
      </c>
      <c r="L57" s="105">
        <v>13510</v>
      </c>
      <c r="M57" s="105">
        <v>13598</v>
      </c>
      <c r="N57" s="82">
        <f t="shared" si="121"/>
        <v>13301</v>
      </c>
      <c r="O57" s="105">
        <v>13425</v>
      </c>
      <c r="P57" s="105"/>
      <c r="Q57" s="105"/>
      <c r="S57" s="30">
        <f t="shared" si="122"/>
        <v>14349</v>
      </c>
      <c r="T57" s="30">
        <f t="shared" si="123"/>
        <v>13532</v>
      </c>
      <c r="U57" s="30">
        <f t="shared" si="124"/>
        <v>13510</v>
      </c>
      <c r="V57" s="30">
        <f t="shared" si="125"/>
        <v>13598</v>
      </c>
      <c r="W57" s="30">
        <f t="shared" si="126"/>
        <v>13301</v>
      </c>
      <c r="X57" s="30">
        <f t="shared" si="127"/>
        <v>13425</v>
      </c>
      <c r="Y57" s="30">
        <f t="shared" si="128"/>
        <v>0</v>
      </c>
      <c r="Z57" s="30">
        <f t="shared" si="129"/>
        <v>0</v>
      </c>
      <c r="AA57" s="11"/>
      <c r="AB57" s="68">
        <f t="shared" ref="AB57" si="131">SUM(Z57/V57)-1</f>
        <v>-1</v>
      </c>
    </row>
    <row r="58" spans="2:28" ht="12.75" customHeight="1">
      <c r="B58" s="9" t="s">
        <v>131</v>
      </c>
      <c r="C58" s="76">
        <v>18782</v>
      </c>
      <c r="D58" s="76">
        <v>18358</v>
      </c>
      <c r="E58" s="76">
        <v>18139</v>
      </c>
      <c r="G58" s="105">
        <v>18678</v>
      </c>
      <c r="H58" s="105">
        <v>18545</v>
      </c>
      <c r="I58" s="105">
        <v>18144</v>
      </c>
      <c r="J58" s="82">
        <f t="shared" si="120"/>
        <v>18358</v>
      </c>
      <c r="K58" s="105">
        <v>18210</v>
      </c>
      <c r="L58" s="105">
        <v>18324</v>
      </c>
      <c r="M58" s="105">
        <v>18686</v>
      </c>
      <c r="N58" s="82">
        <f t="shared" si="121"/>
        <v>18139</v>
      </c>
      <c r="O58" s="105">
        <v>18333</v>
      </c>
      <c r="P58" s="105"/>
      <c r="Q58" s="105"/>
      <c r="S58" s="30">
        <f t="shared" si="122"/>
        <v>18358</v>
      </c>
      <c r="T58" s="30">
        <f t="shared" si="123"/>
        <v>18210</v>
      </c>
      <c r="U58" s="30">
        <f t="shared" si="124"/>
        <v>18324</v>
      </c>
      <c r="V58" s="30">
        <f t="shared" si="125"/>
        <v>18686</v>
      </c>
      <c r="W58" s="30">
        <f t="shared" si="126"/>
        <v>18139</v>
      </c>
      <c r="X58" s="30">
        <f t="shared" si="127"/>
        <v>18333</v>
      </c>
      <c r="Y58" s="30">
        <f t="shared" si="128"/>
        <v>0</v>
      </c>
      <c r="Z58" s="30">
        <f t="shared" si="129"/>
        <v>0</v>
      </c>
      <c r="AA58" s="11"/>
      <c r="AB58" s="68">
        <f t="shared" si="130"/>
        <v>-1</v>
      </c>
    </row>
    <row r="59" spans="2:28" ht="12.75" customHeight="1">
      <c r="B59" s="9" t="s">
        <v>174</v>
      </c>
      <c r="C59" s="76">
        <v>635</v>
      </c>
      <c r="D59" s="76">
        <v>516</v>
      </c>
      <c r="E59" s="76">
        <v>13403</v>
      </c>
      <c r="G59" s="105">
        <v>614</v>
      </c>
      <c r="H59" s="105">
        <v>572</v>
      </c>
      <c r="I59" s="105">
        <v>528</v>
      </c>
      <c r="J59" s="82">
        <f t="shared" si="120"/>
        <v>516</v>
      </c>
      <c r="K59" s="105">
        <v>492</v>
      </c>
      <c r="L59" s="105">
        <v>471</v>
      </c>
      <c r="M59" s="105">
        <v>461</v>
      </c>
      <c r="N59" s="82">
        <f t="shared" si="121"/>
        <v>13403</v>
      </c>
      <c r="O59" s="105">
        <v>13669</v>
      </c>
      <c r="P59" s="105"/>
      <c r="Q59" s="105"/>
      <c r="S59" s="30">
        <f t="shared" si="122"/>
        <v>516</v>
      </c>
      <c r="T59" s="30">
        <f t="shared" si="123"/>
        <v>492</v>
      </c>
      <c r="U59" s="30">
        <f t="shared" si="124"/>
        <v>471</v>
      </c>
      <c r="V59" s="30">
        <f t="shared" si="125"/>
        <v>461</v>
      </c>
      <c r="W59" s="30">
        <f t="shared" si="126"/>
        <v>13403</v>
      </c>
      <c r="X59" s="30">
        <f t="shared" si="127"/>
        <v>13669</v>
      </c>
      <c r="Y59" s="30">
        <f t="shared" si="128"/>
        <v>0</v>
      </c>
      <c r="Z59" s="30">
        <f t="shared" si="129"/>
        <v>0</v>
      </c>
      <c r="AA59" s="11"/>
      <c r="AB59" s="68"/>
    </row>
    <row r="60" spans="2:28" ht="12.75" customHeight="1">
      <c r="B60" s="9" t="s">
        <v>132</v>
      </c>
      <c r="C60" s="76">
        <v>18264</v>
      </c>
      <c r="D60" s="76">
        <v>19671</v>
      </c>
      <c r="E60" s="76">
        <v>18087</v>
      </c>
      <c r="G60" s="105">
        <v>18744</v>
      </c>
      <c r="H60" s="105">
        <v>19262</v>
      </c>
      <c r="I60" s="105">
        <v>19256</v>
      </c>
      <c r="J60" s="82">
        <f t="shared" si="120"/>
        <v>19671</v>
      </c>
      <c r="K60" s="105">
        <v>19495</v>
      </c>
      <c r="L60" s="105">
        <v>18940</v>
      </c>
      <c r="M60" s="105">
        <v>18993</v>
      </c>
      <c r="N60" s="82">
        <f t="shared" si="121"/>
        <v>18087</v>
      </c>
      <c r="O60" s="105">
        <v>18369</v>
      </c>
      <c r="P60" s="105"/>
      <c r="Q60" s="105"/>
      <c r="S60" s="30">
        <f t="shared" si="122"/>
        <v>19671</v>
      </c>
      <c r="T60" s="30">
        <f t="shared" si="123"/>
        <v>19495</v>
      </c>
      <c r="U60" s="30">
        <f t="shared" si="124"/>
        <v>18940</v>
      </c>
      <c r="V60" s="30">
        <f t="shared" si="125"/>
        <v>18993</v>
      </c>
      <c r="W60" s="30">
        <f t="shared" si="126"/>
        <v>18087</v>
      </c>
      <c r="X60" s="30">
        <f t="shared" si="127"/>
        <v>18369</v>
      </c>
      <c r="Y60" s="30">
        <f t="shared" si="128"/>
        <v>0</v>
      </c>
      <c r="Z60" s="30">
        <f t="shared" si="129"/>
        <v>0</v>
      </c>
      <c r="AA60" s="11"/>
      <c r="AB60" s="68">
        <f t="shared" ref="AB60:AB62" si="132">SUM(Z60/V60)-1</f>
        <v>-1</v>
      </c>
    </row>
    <row r="61" spans="2:28" ht="12.75" customHeight="1">
      <c r="B61" s="9" t="s">
        <v>175</v>
      </c>
      <c r="C61" s="76">
        <v>501</v>
      </c>
      <c r="D61" s="76">
        <v>118</v>
      </c>
      <c r="E61" s="76">
        <v>0</v>
      </c>
      <c r="G61" s="105">
        <v>337</v>
      </c>
      <c r="H61" s="105">
        <v>158</v>
      </c>
      <c r="I61" s="105">
        <v>104</v>
      </c>
      <c r="J61" s="82">
        <f t="shared" si="120"/>
        <v>118</v>
      </c>
      <c r="K61" s="105">
        <v>147</v>
      </c>
      <c r="L61" s="105">
        <v>167</v>
      </c>
      <c r="M61" s="105">
        <v>44</v>
      </c>
      <c r="N61" s="82">
        <f t="shared" si="121"/>
        <v>0</v>
      </c>
      <c r="O61" s="105">
        <v>0</v>
      </c>
      <c r="P61" s="105"/>
      <c r="Q61" s="105"/>
      <c r="S61" s="30">
        <f t="shared" si="122"/>
        <v>118</v>
      </c>
      <c r="T61" s="30">
        <f t="shared" si="123"/>
        <v>147</v>
      </c>
      <c r="U61" s="30">
        <f t="shared" si="124"/>
        <v>167</v>
      </c>
      <c r="V61" s="30">
        <f t="shared" si="125"/>
        <v>44</v>
      </c>
      <c r="W61" s="30">
        <f t="shared" si="126"/>
        <v>0</v>
      </c>
      <c r="X61" s="30">
        <f t="shared" si="127"/>
        <v>0</v>
      </c>
      <c r="Y61" s="30">
        <f t="shared" si="128"/>
        <v>0</v>
      </c>
      <c r="Z61" s="30">
        <f t="shared" si="129"/>
        <v>0</v>
      </c>
      <c r="AA61" s="11"/>
      <c r="AB61" s="68"/>
    </row>
    <row r="62" spans="2:28" ht="12.75" customHeight="1">
      <c r="B62" s="9" t="s">
        <v>133</v>
      </c>
      <c r="C62" s="76">
        <v>1746</v>
      </c>
      <c r="D62" s="76">
        <v>1561</v>
      </c>
      <c r="E62" s="76">
        <v>1319</v>
      </c>
      <c r="G62" s="105">
        <v>1696</v>
      </c>
      <c r="H62" s="105">
        <v>1661</v>
      </c>
      <c r="I62" s="105">
        <v>1575</v>
      </c>
      <c r="J62" s="82">
        <f t="shared" si="120"/>
        <v>1561</v>
      </c>
      <c r="K62" s="105">
        <v>1457</v>
      </c>
      <c r="L62" s="105">
        <v>1409</v>
      </c>
      <c r="M62" s="105">
        <v>1428</v>
      </c>
      <c r="N62" s="82">
        <f t="shared" si="121"/>
        <v>1319</v>
      </c>
      <c r="O62" s="105">
        <v>1311</v>
      </c>
      <c r="P62" s="105"/>
      <c r="Q62" s="105"/>
      <c r="S62" s="30">
        <f t="shared" ref="S56:S63" si="133">J62</f>
        <v>1561</v>
      </c>
      <c r="T62" s="30">
        <f t="shared" ref="T56:T63" si="134">K62</f>
        <v>1457</v>
      </c>
      <c r="U62" s="30">
        <f t="shared" ref="U56:U63" si="135">L62</f>
        <v>1409</v>
      </c>
      <c r="V62" s="30">
        <f t="shared" ref="V56:V63" si="136">M62</f>
        <v>1428</v>
      </c>
      <c r="W62" s="30">
        <f t="shared" ref="W56:W63" si="137">N62</f>
        <v>1319</v>
      </c>
      <c r="X62" s="30">
        <f t="shared" ref="X56:X63" si="138">O62</f>
        <v>1311</v>
      </c>
      <c r="Y62" s="30">
        <f t="shared" ref="Y56:Y63" si="139">P62</f>
        <v>0</v>
      </c>
      <c r="Z62" s="30">
        <f t="shared" ref="Z56:Z63" si="140">Q62</f>
        <v>0</v>
      </c>
      <c r="AA62" s="11"/>
      <c r="AB62" s="68">
        <f t="shared" si="132"/>
        <v>-1</v>
      </c>
    </row>
    <row r="63" spans="2:28" ht="12.75" customHeight="1">
      <c r="B63" s="9" t="s">
        <v>134</v>
      </c>
      <c r="C63" s="76">
        <v>6189</v>
      </c>
      <c r="D63" s="76">
        <v>7162</v>
      </c>
      <c r="E63" s="76">
        <v>0</v>
      </c>
      <c r="G63" s="105">
        <v>6324</v>
      </c>
      <c r="H63" s="105">
        <v>6592</v>
      </c>
      <c r="I63" s="105">
        <v>7031</v>
      </c>
      <c r="J63" s="82">
        <f t="shared" si="120"/>
        <v>7162</v>
      </c>
      <c r="K63" s="105">
        <v>7291</v>
      </c>
      <c r="L63" s="105">
        <v>7274</v>
      </c>
      <c r="M63" s="105">
        <v>12904</v>
      </c>
      <c r="N63" s="82">
        <f t="shared" si="121"/>
        <v>0</v>
      </c>
      <c r="O63" s="105">
        <v>0</v>
      </c>
      <c r="P63" s="105"/>
      <c r="Q63" s="105"/>
      <c r="S63" s="30">
        <f t="shared" si="133"/>
        <v>7162</v>
      </c>
      <c r="T63" s="30">
        <f t="shared" si="134"/>
        <v>7291</v>
      </c>
      <c r="U63" s="30">
        <f t="shared" si="135"/>
        <v>7274</v>
      </c>
      <c r="V63" s="30">
        <f t="shared" si="136"/>
        <v>12904</v>
      </c>
      <c r="W63" s="30">
        <f t="shared" si="137"/>
        <v>0</v>
      </c>
      <c r="X63" s="30">
        <f t="shared" si="138"/>
        <v>0</v>
      </c>
      <c r="Y63" s="30">
        <f t="shared" si="139"/>
        <v>0</v>
      </c>
      <c r="Z63" s="30">
        <f t="shared" si="140"/>
        <v>0</v>
      </c>
      <c r="AA63" s="11"/>
      <c r="AB63" s="68">
        <f t="shared" si="130"/>
        <v>-1</v>
      </c>
    </row>
    <row r="64" spans="2:28" ht="12.75" customHeight="1">
      <c r="B64" s="12" t="s">
        <v>20</v>
      </c>
      <c r="C64" s="13">
        <f>SUM(C56:C63)+C53</f>
        <v>92763</v>
      </c>
      <c r="D64" s="13">
        <f>SUM(D56:D63)+D53</f>
        <v>97703</v>
      </c>
      <c r="E64" s="13">
        <f>SUM(E56:E63)+E53</f>
        <v>100549</v>
      </c>
      <c r="G64" s="13">
        <f t="shared" ref="G64:Q64" si="141">SUM(G56:G63)+G53</f>
        <v>97404</v>
      </c>
      <c r="H64" s="13">
        <f t="shared" si="141"/>
        <v>98456</v>
      </c>
      <c r="I64" s="13">
        <f t="shared" si="141"/>
        <v>97578</v>
      </c>
      <c r="J64" s="13">
        <f t="shared" si="141"/>
        <v>97703</v>
      </c>
      <c r="K64" s="13">
        <f t="shared" si="141"/>
        <v>99392</v>
      </c>
      <c r="L64" s="13">
        <f t="shared" si="141"/>
        <v>101202</v>
      </c>
      <c r="M64" s="13">
        <f t="shared" si="141"/>
        <v>106266</v>
      </c>
      <c r="N64" s="13">
        <f t="shared" si="141"/>
        <v>100549</v>
      </c>
      <c r="O64" s="13">
        <f t="shared" si="141"/>
        <v>101716</v>
      </c>
      <c r="P64" s="13">
        <f t="shared" si="141"/>
        <v>0</v>
      </c>
      <c r="Q64" s="13">
        <f t="shared" si="141"/>
        <v>0</v>
      </c>
      <c r="S64" s="13">
        <f t="shared" ref="S64:Z64" si="142">SUM(S56:S63)+S53</f>
        <v>97703</v>
      </c>
      <c r="T64" s="13">
        <f t="shared" si="142"/>
        <v>99392</v>
      </c>
      <c r="U64" s="13">
        <f t="shared" si="142"/>
        <v>101202</v>
      </c>
      <c r="V64" s="13">
        <f t="shared" si="142"/>
        <v>106266</v>
      </c>
      <c r="W64" s="13">
        <f t="shared" si="142"/>
        <v>100549</v>
      </c>
      <c r="X64" s="13">
        <f t="shared" si="142"/>
        <v>101716</v>
      </c>
      <c r="Y64" s="13">
        <f t="shared" si="142"/>
        <v>0</v>
      </c>
      <c r="Z64" s="13">
        <f t="shared" si="142"/>
        <v>0</v>
      </c>
      <c r="AA64" s="39"/>
      <c r="AB64" s="69">
        <f>SUM(Z64/V64)-1</f>
        <v>-1</v>
      </c>
    </row>
    <row r="65" spans="2:28" ht="12.75" customHeight="1">
      <c r="B65" s="23"/>
      <c r="C65" s="47"/>
      <c r="D65" s="38"/>
      <c r="E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S65" s="39"/>
      <c r="T65" s="39"/>
      <c r="U65" s="39"/>
      <c r="V65" s="39"/>
      <c r="W65" s="39"/>
      <c r="X65" s="39"/>
      <c r="Y65" s="39"/>
      <c r="Z65" s="39"/>
      <c r="AA65" s="39"/>
      <c r="AB65" s="36"/>
    </row>
    <row r="66" spans="2:28" ht="12.75" customHeight="1">
      <c r="B66" s="72" t="s">
        <v>46</v>
      </c>
      <c r="C66" s="47"/>
      <c r="D66" s="38"/>
      <c r="E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S66" s="39"/>
      <c r="T66" s="39"/>
      <c r="U66" s="39"/>
      <c r="V66" s="39"/>
      <c r="W66" s="39"/>
      <c r="X66" s="39"/>
      <c r="Y66" s="39"/>
      <c r="Z66" s="39"/>
      <c r="AA66" s="39"/>
      <c r="AB66" s="36"/>
    </row>
    <row r="67" spans="2:28" ht="12.75" customHeight="1">
      <c r="B67" s="9" t="s">
        <v>135</v>
      </c>
      <c r="C67" s="76">
        <v>15749</v>
      </c>
      <c r="D67" s="76">
        <v>15485</v>
      </c>
      <c r="E67" s="76">
        <v>21715</v>
      </c>
      <c r="G67" s="105">
        <v>15593</v>
      </c>
      <c r="H67" s="105">
        <v>16483</v>
      </c>
      <c r="I67" s="105">
        <v>16837</v>
      </c>
      <c r="J67" s="82">
        <f t="shared" ref="J67:J70" si="143">D67</f>
        <v>15485</v>
      </c>
      <c r="K67" s="105">
        <v>19425</v>
      </c>
      <c r="L67" s="105">
        <v>21909</v>
      </c>
      <c r="M67" s="105">
        <v>23820</v>
      </c>
      <c r="N67" s="82">
        <f t="shared" ref="N67:N70" si="144">E67</f>
        <v>21715</v>
      </c>
      <c r="O67" s="105">
        <v>16499</v>
      </c>
      <c r="P67" s="105"/>
      <c r="Q67" s="105"/>
      <c r="S67" s="30">
        <f t="shared" ref="S67:S70" si="145">J67</f>
        <v>15485</v>
      </c>
      <c r="T67" s="30">
        <f t="shared" ref="T67:T70" si="146">K67</f>
        <v>19425</v>
      </c>
      <c r="U67" s="30">
        <f t="shared" ref="U67:U70" si="147">L67</f>
        <v>21909</v>
      </c>
      <c r="V67" s="30">
        <f t="shared" ref="V67:V70" si="148">M67</f>
        <v>23820</v>
      </c>
      <c r="W67" s="30">
        <f t="shared" ref="W67:W70" si="149">N67</f>
        <v>21715</v>
      </c>
      <c r="X67" s="30">
        <f t="shared" ref="X67:X70" si="150">O67</f>
        <v>16499</v>
      </c>
      <c r="Y67" s="30">
        <f t="shared" ref="Y67:Y70" si="151">P67</f>
        <v>0</v>
      </c>
      <c r="Z67" s="30">
        <f t="shared" ref="Z67:Z70" si="152">Q67</f>
        <v>0</v>
      </c>
      <c r="AA67" s="11"/>
      <c r="AB67" s="68">
        <f t="shared" ref="AB67:AB68" si="153">SUM(Z67/V67)-1</f>
        <v>-1</v>
      </c>
    </row>
    <row r="68" spans="2:28" ht="12.75" customHeight="1">
      <c r="B68" s="9" t="s">
        <v>136</v>
      </c>
      <c r="C68" s="76">
        <v>2373</v>
      </c>
      <c r="D68" s="76">
        <v>4557</v>
      </c>
      <c r="E68" s="76">
        <v>1499</v>
      </c>
      <c r="G68" s="105">
        <v>5455</v>
      </c>
      <c r="H68" s="105">
        <v>4828</v>
      </c>
      <c r="I68" s="105">
        <v>3915</v>
      </c>
      <c r="J68" s="82">
        <f t="shared" si="143"/>
        <v>4557</v>
      </c>
      <c r="K68" s="105">
        <v>6054</v>
      </c>
      <c r="L68" s="105">
        <v>3793</v>
      </c>
      <c r="M68" s="105">
        <v>2203</v>
      </c>
      <c r="N68" s="82">
        <f t="shared" si="144"/>
        <v>1499</v>
      </c>
      <c r="O68" s="105">
        <v>5418</v>
      </c>
      <c r="P68" s="105"/>
      <c r="Q68" s="105"/>
      <c r="S68" s="30">
        <f t="shared" si="145"/>
        <v>4557</v>
      </c>
      <c r="T68" s="30">
        <f t="shared" si="146"/>
        <v>6054</v>
      </c>
      <c r="U68" s="30">
        <f t="shared" si="147"/>
        <v>3793</v>
      </c>
      <c r="V68" s="30">
        <f t="shared" si="148"/>
        <v>2203</v>
      </c>
      <c r="W68" s="30">
        <f t="shared" si="149"/>
        <v>1499</v>
      </c>
      <c r="X68" s="30">
        <f t="shared" si="150"/>
        <v>5418</v>
      </c>
      <c r="Y68" s="30">
        <f t="shared" si="151"/>
        <v>0</v>
      </c>
      <c r="Z68" s="30">
        <f t="shared" si="152"/>
        <v>0</v>
      </c>
      <c r="AA68" s="11"/>
      <c r="AB68" s="68">
        <f t="shared" si="153"/>
        <v>-1</v>
      </c>
    </row>
    <row r="69" spans="2:28" ht="12.75" customHeight="1">
      <c r="B69" s="9" t="s">
        <v>137</v>
      </c>
      <c r="C69" s="76">
        <v>399</v>
      </c>
      <c r="D69" s="76">
        <v>1960</v>
      </c>
      <c r="E69" s="76">
        <v>648</v>
      </c>
      <c r="G69" s="105">
        <v>811</v>
      </c>
      <c r="H69" s="105">
        <v>1171</v>
      </c>
      <c r="I69" s="105">
        <v>2080</v>
      </c>
      <c r="J69" s="82">
        <f t="shared" si="143"/>
        <v>1960</v>
      </c>
      <c r="K69" s="105">
        <v>1392</v>
      </c>
      <c r="L69" s="105">
        <v>1939</v>
      </c>
      <c r="M69" s="105">
        <v>1067</v>
      </c>
      <c r="N69" s="82">
        <f t="shared" si="144"/>
        <v>648</v>
      </c>
      <c r="O69" s="105">
        <v>163</v>
      </c>
      <c r="P69" s="105"/>
      <c r="Q69" s="105"/>
      <c r="S69" s="30">
        <f t="shared" si="145"/>
        <v>1960</v>
      </c>
      <c r="T69" s="30">
        <f t="shared" si="146"/>
        <v>1392</v>
      </c>
      <c r="U69" s="30">
        <f t="shared" si="147"/>
        <v>1939</v>
      </c>
      <c r="V69" s="30">
        <f t="shared" si="148"/>
        <v>1067</v>
      </c>
      <c r="W69" s="30">
        <f t="shared" si="149"/>
        <v>648</v>
      </c>
      <c r="X69" s="30">
        <f t="shared" si="150"/>
        <v>163</v>
      </c>
      <c r="Y69" s="30">
        <f t="shared" si="151"/>
        <v>0</v>
      </c>
      <c r="Z69" s="30">
        <f t="shared" si="152"/>
        <v>0</v>
      </c>
      <c r="AA69" s="11"/>
      <c r="AB69" s="68">
        <f t="shared" ref="AB69" si="154">SUM(Z69/V69)-1</f>
        <v>-1</v>
      </c>
    </row>
    <row r="70" spans="2:28" ht="12.75" customHeight="1">
      <c r="B70" s="9" t="s">
        <v>138</v>
      </c>
      <c r="C70" s="76">
        <v>1203</v>
      </c>
      <c r="D70" s="76">
        <v>1569</v>
      </c>
      <c r="E70" s="76">
        <v>1387</v>
      </c>
      <c r="G70" s="105">
        <v>1498</v>
      </c>
      <c r="H70" s="105">
        <v>1633</v>
      </c>
      <c r="I70" s="105">
        <v>1577</v>
      </c>
      <c r="J70" s="82">
        <f t="shared" si="143"/>
        <v>1569</v>
      </c>
      <c r="K70" s="105">
        <v>1485</v>
      </c>
      <c r="L70" s="105">
        <v>1622</v>
      </c>
      <c r="M70" s="105">
        <v>1479</v>
      </c>
      <c r="N70" s="82">
        <f t="shared" si="144"/>
        <v>1387</v>
      </c>
      <c r="O70" s="105">
        <v>1728</v>
      </c>
      <c r="P70" s="105"/>
      <c r="Q70" s="105"/>
      <c r="S70" s="30">
        <f t="shared" si="145"/>
        <v>1569</v>
      </c>
      <c r="T70" s="30">
        <f t="shared" si="146"/>
        <v>1485</v>
      </c>
      <c r="U70" s="30">
        <f t="shared" si="147"/>
        <v>1622</v>
      </c>
      <c r="V70" s="30">
        <f t="shared" si="148"/>
        <v>1479</v>
      </c>
      <c r="W70" s="30">
        <f t="shared" si="149"/>
        <v>1387</v>
      </c>
      <c r="X70" s="30">
        <f t="shared" si="150"/>
        <v>1728</v>
      </c>
      <c r="Y70" s="30">
        <f t="shared" si="151"/>
        <v>0</v>
      </c>
      <c r="Z70" s="30">
        <f t="shared" si="152"/>
        <v>0</v>
      </c>
      <c r="AA70" s="11"/>
      <c r="AB70" s="68"/>
    </row>
    <row r="71" spans="2:28" ht="12.75" customHeight="1">
      <c r="B71" s="23" t="s">
        <v>18</v>
      </c>
      <c r="C71" s="24">
        <f>SUM(C67:C70)</f>
        <v>19724</v>
      </c>
      <c r="D71" s="24">
        <f>SUM(D67:D70)</f>
        <v>23571</v>
      </c>
      <c r="E71" s="24">
        <f>SUM(E67:E70)</f>
        <v>25249</v>
      </c>
      <c r="G71" s="24">
        <f t="shared" ref="G71:Q71" si="155">SUM(G67:G70)</f>
        <v>23357</v>
      </c>
      <c r="H71" s="24">
        <f t="shared" si="155"/>
        <v>24115</v>
      </c>
      <c r="I71" s="24">
        <f t="shared" si="155"/>
        <v>24409</v>
      </c>
      <c r="J71" s="24">
        <f t="shared" si="155"/>
        <v>23571</v>
      </c>
      <c r="K71" s="24">
        <f t="shared" si="155"/>
        <v>28356</v>
      </c>
      <c r="L71" s="24">
        <f t="shared" si="155"/>
        <v>29263</v>
      </c>
      <c r="M71" s="24">
        <f t="shared" si="155"/>
        <v>28569</v>
      </c>
      <c r="N71" s="24">
        <f t="shared" si="155"/>
        <v>25249</v>
      </c>
      <c r="O71" s="24">
        <f t="shared" si="155"/>
        <v>23808</v>
      </c>
      <c r="P71" s="24">
        <f t="shared" si="155"/>
        <v>0</v>
      </c>
      <c r="Q71" s="24">
        <f t="shared" si="155"/>
        <v>0</v>
      </c>
      <c r="R71" s="45"/>
      <c r="S71" s="24">
        <f t="shared" ref="S71:Z71" si="156">SUM(S67:S70)</f>
        <v>23571</v>
      </c>
      <c r="T71" s="24">
        <f t="shared" si="156"/>
        <v>28356</v>
      </c>
      <c r="U71" s="24">
        <f t="shared" si="156"/>
        <v>29263</v>
      </c>
      <c r="V71" s="24">
        <f t="shared" si="156"/>
        <v>28569</v>
      </c>
      <c r="W71" s="24">
        <f t="shared" si="156"/>
        <v>25249</v>
      </c>
      <c r="X71" s="24">
        <f t="shared" si="156"/>
        <v>23808</v>
      </c>
      <c r="Y71" s="24">
        <f t="shared" si="156"/>
        <v>0</v>
      </c>
      <c r="Z71" s="24">
        <f t="shared" si="156"/>
        <v>0</v>
      </c>
      <c r="AA71" s="39"/>
      <c r="AB71" s="69">
        <f>SUM(Z71/V71)-1</f>
        <v>-1</v>
      </c>
    </row>
    <row r="72" spans="2:28" ht="5.0999999999999996" customHeight="1">
      <c r="B72" s="23"/>
      <c r="C72" s="47"/>
      <c r="D72" s="38"/>
      <c r="E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S72" s="39"/>
      <c r="T72" s="39"/>
      <c r="U72" s="39"/>
      <c r="V72" s="39"/>
      <c r="W72" s="39"/>
      <c r="X72" s="39"/>
      <c r="Y72" s="39"/>
      <c r="Z72" s="39"/>
      <c r="AA72" s="39"/>
      <c r="AB72" s="36"/>
    </row>
    <row r="73" spans="2:28">
      <c r="B73" s="72" t="s">
        <v>84</v>
      </c>
      <c r="C73" s="47"/>
      <c r="D73" s="38"/>
      <c r="E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S73" s="39"/>
      <c r="T73" s="39"/>
      <c r="U73" s="39"/>
      <c r="V73" s="39"/>
      <c r="W73" s="39"/>
      <c r="X73" s="39"/>
      <c r="Y73" s="39"/>
      <c r="Z73" s="39"/>
      <c r="AA73" s="39"/>
      <c r="AB73" s="36"/>
    </row>
    <row r="74" spans="2:28" ht="12.75" customHeight="1">
      <c r="B74" s="104" t="s">
        <v>139</v>
      </c>
      <c r="C74" s="76">
        <v>36377</v>
      </c>
      <c r="D74" s="76">
        <v>35547</v>
      </c>
      <c r="E74" s="76">
        <v>42375</v>
      </c>
      <c r="G74" s="105">
        <v>36134</v>
      </c>
      <c r="H74" s="105">
        <v>35626</v>
      </c>
      <c r="I74" s="105">
        <v>34176</v>
      </c>
      <c r="J74" s="82">
        <f t="shared" ref="J74:J76" si="157">D74</f>
        <v>35547</v>
      </c>
      <c r="K74" s="105">
        <v>35104</v>
      </c>
      <c r="L74" s="105">
        <v>38085</v>
      </c>
      <c r="M74" s="105">
        <v>42994</v>
      </c>
      <c r="N74" s="82">
        <f t="shared" ref="N74:N76" si="158">E74</f>
        <v>42375</v>
      </c>
      <c r="O74" s="105">
        <v>43530</v>
      </c>
      <c r="P74" s="105"/>
      <c r="Q74" s="105"/>
      <c r="S74" s="30">
        <f t="shared" ref="S74:S76" si="159">J74</f>
        <v>35547</v>
      </c>
      <c r="T74" s="30">
        <f t="shared" ref="T74:T76" si="160">K74</f>
        <v>35104</v>
      </c>
      <c r="U74" s="30">
        <f t="shared" ref="U74:U76" si="161">L74</f>
        <v>38085</v>
      </c>
      <c r="V74" s="30">
        <f t="shared" ref="V74:V76" si="162">M74</f>
        <v>42994</v>
      </c>
      <c r="W74" s="30">
        <f t="shared" ref="W74:W76" si="163">N74</f>
        <v>42375</v>
      </c>
      <c r="X74" s="30">
        <f t="shared" ref="X74:X76" si="164">O74</f>
        <v>43530</v>
      </c>
      <c r="Y74" s="30">
        <f t="shared" ref="Y74:Y76" si="165">P74</f>
        <v>0</v>
      </c>
      <c r="Z74" s="30">
        <f t="shared" ref="Z74:Z76" si="166">Q74</f>
        <v>0</v>
      </c>
      <c r="AA74" s="39"/>
      <c r="AB74" s="68">
        <f t="shared" ref="AB74" si="167">SUM(Z74/V74)-1</f>
        <v>-1</v>
      </c>
    </row>
    <row r="75" spans="2:28" ht="12.75" customHeight="1">
      <c r="B75" s="104" t="s">
        <v>140</v>
      </c>
      <c r="C75" s="76">
        <v>7922</v>
      </c>
      <c r="D75" s="76">
        <v>8466</v>
      </c>
      <c r="E75" s="76">
        <v>4084</v>
      </c>
      <c r="G75" s="105">
        <v>7874</v>
      </c>
      <c r="H75" s="105">
        <v>8449</v>
      </c>
      <c r="I75" s="105">
        <v>8427</v>
      </c>
      <c r="J75" s="82">
        <f t="shared" si="157"/>
        <v>8466</v>
      </c>
      <c r="K75" s="105">
        <v>5465</v>
      </c>
      <c r="L75" s="105">
        <v>4077</v>
      </c>
      <c r="M75" s="105">
        <v>4257</v>
      </c>
      <c r="N75" s="82">
        <f t="shared" si="158"/>
        <v>4084</v>
      </c>
      <c r="O75" s="105">
        <v>4313</v>
      </c>
      <c r="P75" s="105"/>
      <c r="Q75" s="105"/>
      <c r="S75" s="30">
        <f t="shared" si="159"/>
        <v>8466</v>
      </c>
      <c r="T75" s="30">
        <f t="shared" si="160"/>
        <v>5465</v>
      </c>
      <c r="U75" s="30">
        <f t="shared" si="161"/>
        <v>4077</v>
      </c>
      <c r="V75" s="30">
        <f t="shared" si="162"/>
        <v>4257</v>
      </c>
      <c r="W75" s="30">
        <f t="shared" si="163"/>
        <v>4084</v>
      </c>
      <c r="X75" s="30">
        <f t="shared" si="164"/>
        <v>4313</v>
      </c>
      <c r="Y75" s="30">
        <f t="shared" si="165"/>
        <v>0</v>
      </c>
      <c r="Z75" s="30">
        <f t="shared" si="166"/>
        <v>0</v>
      </c>
      <c r="AA75" s="39"/>
      <c r="AB75" s="68">
        <f t="shared" ref="AB75:AB76" si="168">SUM(Z75/V75)-1</f>
        <v>-1</v>
      </c>
    </row>
    <row r="76" spans="2:28" ht="12.75" customHeight="1">
      <c r="B76" s="104" t="s">
        <v>141</v>
      </c>
      <c r="C76" s="76">
        <v>2914</v>
      </c>
      <c r="D76" s="76">
        <v>2639</v>
      </c>
      <c r="E76" s="76">
        <v>2469</v>
      </c>
      <c r="G76" s="105">
        <v>3171</v>
      </c>
      <c r="H76" s="105">
        <v>2714</v>
      </c>
      <c r="I76" s="105">
        <v>2733</v>
      </c>
      <c r="J76" s="82">
        <f t="shared" si="157"/>
        <v>2639</v>
      </c>
      <c r="K76" s="105">
        <v>2521</v>
      </c>
      <c r="L76" s="105">
        <v>2366</v>
      </c>
      <c r="M76" s="105">
        <v>2292</v>
      </c>
      <c r="N76" s="82">
        <f t="shared" si="158"/>
        <v>2469</v>
      </c>
      <c r="O76" s="105">
        <v>2311</v>
      </c>
      <c r="P76" s="105"/>
      <c r="Q76" s="105"/>
      <c r="S76" s="30">
        <f t="shared" si="159"/>
        <v>2639</v>
      </c>
      <c r="T76" s="30">
        <f t="shared" si="160"/>
        <v>2521</v>
      </c>
      <c r="U76" s="30">
        <f t="shared" si="161"/>
        <v>2366</v>
      </c>
      <c r="V76" s="30">
        <f t="shared" si="162"/>
        <v>2292</v>
      </c>
      <c r="W76" s="30">
        <f t="shared" si="163"/>
        <v>2469</v>
      </c>
      <c r="X76" s="30">
        <f t="shared" si="164"/>
        <v>2311</v>
      </c>
      <c r="Y76" s="30">
        <f t="shared" si="165"/>
        <v>0</v>
      </c>
      <c r="Z76" s="30">
        <f t="shared" si="166"/>
        <v>0</v>
      </c>
      <c r="AA76" s="39"/>
      <c r="AB76" s="68">
        <f t="shared" si="168"/>
        <v>-1</v>
      </c>
    </row>
    <row r="77" spans="2:28" ht="12.75" customHeight="1">
      <c r="B77" s="12" t="s">
        <v>16</v>
      </c>
      <c r="C77" s="13">
        <f>SUM(C74:C76)+C71</f>
        <v>66937</v>
      </c>
      <c r="D77" s="13">
        <f>SUM(D74:D76)+D71</f>
        <v>70223</v>
      </c>
      <c r="E77" s="13">
        <f>SUM(E74:E76)+E71</f>
        <v>74177</v>
      </c>
      <c r="G77" s="13">
        <f t="shared" ref="G77:Q77" si="169">SUM(G74:G76)+G71</f>
        <v>70536</v>
      </c>
      <c r="H77" s="13">
        <f t="shared" si="169"/>
        <v>70904</v>
      </c>
      <c r="I77" s="13">
        <f t="shared" si="169"/>
        <v>69745</v>
      </c>
      <c r="J77" s="13">
        <f t="shared" si="169"/>
        <v>70223</v>
      </c>
      <c r="K77" s="13">
        <f t="shared" si="169"/>
        <v>71446</v>
      </c>
      <c r="L77" s="13">
        <f t="shared" si="169"/>
        <v>73791</v>
      </c>
      <c r="M77" s="13">
        <f t="shared" si="169"/>
        <v>78112</v>
      </c>
      <c r="N77" s="13">
        <f t="shared" si="169"/>
        <v>74177</v>
      </c>
      <c r="O77" s="13">
        <f t="shared" si="169"/>
        <v>73962</v>
      </c>
      <c r="P77" s="13">
        <f t="shared" si="169"/>
        <v>0</v>
      </c>
      <c r="Q77" s="13">
        <f t="shared" si="169"/>
        <v>0</v>
      </c>
      <c r="S77" s="13">
        <f t="shared" ref="S77:Z77" si="170">SUM(S74:S76)+S71</f>
        <v>70223</v>
      </c>
      <c r="T77" s="13">
        <f t="shared" si="170"/>
        <v>71446</v>
      </c>
      <c r="U77" s="13">
        <f t="shared" si="170"/>
        <v>73791</v>
      </c>
      <c r="V77" s="13">
        <f t="shared" si="170"/>
        <v>78112</v>
      </c>
      <c r="W77" s="13">
        <f t="shared" si="170"/>
        <v>74177</v>
      </c>
      <c r="X77" s="13">
        <f t="shared" si="170"/>
        <v>73962</v>
      </c>
      <c r="Y77" s="13">
        <f t="shared" si="170"/>
        <v>0</v>
      </c>
      <c r="Z77" s="13">
        <f t="shared" si="170"/>
        <v>0</v>
      </c>
      <c r="AA77" s="39"/>
      <c r="AB77" s="69">
        <f>SUM(Z77/V77)-1</f>
        <v>-1</v>
      </c>
    </row>
    <row r="78" spans="2:28" ht="5.0999999999999996" customHeight="1">
      <c r="B78" s="23"/>
      <c r="C78" s="46"/>
      <c r="D78" s="38"/>
      <c r="E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S78" s="39"/>
      <c r="T78" s="39"/>
      <c r="U78" s="39"/>
      <c r="V78" s="39"/>
      <c r="W78" s="39"/>
      <c r="X78" s="39"/>
      <c r="Y78" s="39"/>
      <c r="Z78" s="39"/>
      <c r="AA78" s="39"/>
      <c r="AB78" s="36"/>
    </row>
    <row r="79" spans="2:28" ht="12.75" customHeight="1">
      <c r="B79" s="104" t="s">
        <v>142</v>
      </c>
      <c r="C79" s="76">
        <v>20582</v>
      </c>
      <c r="D79" s="76">
        <v>20969</v>
      </c>
      <c r="E79" s="76">
        <v>21561</v>
      </c>
      <c r="G79" s="105"/>
      <c r="H79" s="105"/>
      <c r="I79" s="105"/>
      <c r="J79" s="82">
        <f>D79</f>
        <v>20969</v>
      </c>
      <c r="K79" s="105"/>
      <c r="L79" s="105"/>
      <c r="M79" s="105"/>
      <c r="N79" s="82">
        <f>E79</f>
        <v>21561</v>
      </c>
      <c r="O79" s="105"/>
      <c r="P79" s="105"/>
      <c r="Q79" s="105"/>
      <c r="S79" s="30">
        <f t="shared" ref="S79:S83" si="171">J79</f>
        <v>20969</v>
      </c>
      <c r="T79" s="30">
        <f t="shared" ref="T79:T83" si="172">K79</f>
        <v>0</v>
      </c>
      <c r="U79" s="30">
        <f t="shared" ref="U79:U83" si="173">L79</f>
        <v>0</v>
      </c>
      <c r="V79" s="30">
        <f t="shared" ref="V79:V83" si="174">M79</f>
        <v>0</v>
      </c>
      <c r="W79" s="30">
        <f t="shared" ref="W79:W83" si="175">N79</f>
        <v>21561</v>
      </c>
      <c r="X79" s="30">
        <f t="shared" ref="X79:X83" si="176">O79</f>
        <v>0</v>
      </c>
      <c r="Y79" s="30">
        <f t="shared" ref="Y79:Y83" si="177">P79</f>
        <v>0</v>
      </c>
      <c r="Z79" s="30">
        <f t="shared" ref="Z79:Z83" si="178">Q79</f>
        <v>0</v>
      </c>
      <c r="AA79" s="11"/>
      <c r="AB79" s="68" t="e">
        <f t="shared" ref="AB79:AB83" si="179">SUM(Z79/V79)-1</f>
        <v>#DIV/0!</v>
      </c>
    </row>
    <row r="80" spans="2:28" ht="12.75" customHeight="1">
      <c r="B80" s="104" t="s">
        <v>143</v>
      </c>
      <c r="C80" s="76">
        <v>-52601</v>
      </c>
      <c r="D80" s="76">
        <v>-54535</v>
      </c>
      <c r="E80" s="76">
        <v>-55916</v>
      </c>
      <c r="G80" s="105"/>
      <c r="H80" s="105"/>
      <c r="I80" s="105"/>
      <c r="J80" s="82">
        <f>D80</f>
        <v>-54535</v>
      </c>
      <c r="K80" s="105"/>
      <c r="L80" s="105"/>
      <c r="M80" s="105"/>
      <c r="N80" s="82">
        <f>E80</f>
        <v>-55916</v>
      </c>
      <c r="O80" s="105"/>
      <c r="P80" s="105"/>
      <c r="Q80" s="105"/>
      <c r="S80" s="30">
        <f t="shared" si="171"/>
        <v>-54535</v>
      </c>
      <c r="T80" s="30">
        <f t="shared" si="172"/>
        <v>0</v>
      </c>
      <c r="U80" s="30">
        <f t="shared" si="173"/>
        <v>0</v>
      </c>
      <c r="V80" s="30">
        <f t="shared" si="174"/>
        <v>0</v>
      </c>
      <c r="W80" s="30">
        <f t="shared" si="175"/>
        <v>-55916</v>
      </c>
      <c r="X80" s="30">
        <f t="shared" si="176"/>
        <v>0</v>
      </c>
      <c r="Y80" s="30">
        <f t="shared" si="177"/>
        <v>0</v>
      </c>
      <c r="Z80" s="30">
        <f t="shared" si="178"/>
        <v>0</v>
      </c>
      <c r="AA80" s="11"/>
      <c r="AB80" s="68" t="e">
        <f t="shared" si="179"/>
        <v>#DIV/0!</v>
      </c>
    </row>
    <row r="81" spans="1:28" ht="12.75" customHeight="1">
      <c r="B81" s="104" t="s">
        <v>144</v>
      </c>
      <c r="C81" s="76">
        <v>-14895</v>
      </c>
      <c r="D81" s="76">
        <v>-14275</v>
      </c>
      <c r="E81" s="76">
        <v>-16843</v>
      </c>
      <c r="G81" s="105"/>
      <c r="H81" s="105"/>
      <c r="I81" s="105"/>
      <c r="J81" s="82">
        <f>D81</f>
        <v>-14275</v>
      </c>
      <c r="K81" s="105"/>
      <c r="L81" s="105"/>
      <c r="M81" s="105"/>
      <c r="N81" s="82">
        <f>E81</f>
        <v>-16843</v>
      </c>
      <c r="O81" s="105"/>
      <c r="P81" s="105"/>
      <c r="Q81" s="105"/>
      <c r="S81" s="30">
        <f t="shared" si="171"/>
        <v>-14275</v>
      </c>
      <c r="T81" s="30">
        <f t="shared" si="172"/>
        <v>0</v>
      </c>
      <c r="U81" s="30">
        <f t="shared" si="173"/>
        <v>0</v>
      </c>
      <c r="V81" s="30">
        <f t="shared" si="174"/>
        <v>0</v>
      </c>
      <c r="W81" s="30">
        <f t="shared" si="175"/>
        <v>-16843</v>
      </c>
      <c r="X81" s="30">
        <f t="shared" si="176"/>
        <v>0</v>
      </c>
      <c r="Y81" s="30">
        <f t="shared" si="177"/>
        <v>0</v>
      </c>
      <c r="Z81" s="30">
        <f t="shared" si="178"/>
        <v>0</v>
      </c>
      <c r="AA81" s="11"/>
      <c r="AB81" s="68" t="e">
        <f t="shared" si="179"/>
        <v>#DIV/0!</v>
      </c>
    </row>
    <row r="82" spans="1:28" ht="12.75" customHeight="1">
      <c r="B82" s="104" t="s">
        <v>145</v>
      </c>
      <c r="C82" s="76">
        <v>1721</v>
      </c>
      <c r="D82" s="76">
        <v>1539</v>
      </c>
      <c r="E82" s="76">
        <v>1516</v>
      </c>
      <c r="G82" s="105"/>
      <c r="H82" s="105"/>
      <c r="I82" s="105"/>
      <c r="J82" s="82">
        <f>D82</f>
        <v>1539</v>
      </c>
      <c r="K82" s="105"/>
      <c r="L82" s="105"/>
      <c r="M82" s="105"/>
      <c r="N82" s="82">
        <f>E82</f>
        <v>1516</v>
      </c>
      <c r="O82" s="105"/>
      <c r="P82" s="105"/>
      <c r="Q82" s="105"/>
      <c r="S82" s="30">
        <f t="shared" si="171"/>
        <v>1539</v>
      </c>
      <c r="T82" s="30">
        <f t="shared" si="172"/>
        <v>0</v>
      </c>
      <c r="U82" s="30">
        <f t="shared" si="173"/>
        <v>0</v>
      </c>
      <c r="V82" s="30">
        <f t="shared" si="174"/>
        <v>0</v>
      </c>
      <c r="W82" s="30">
        <f t="shared" si="175"/>
        <v>1516</v>
      </c>
      <c r="X82" s="30">
        <f t="shared" si="176"/>
        <v>0</v>
      </c>
      <c r="Y82" s="30">
        <f t="shared" si="177"/>
        <v>0</v>
      </c>
      <c r="Z82" s="30">
        <f t="shared" si="178"/>
        <v>0</v>
      </c>
      <c r="AA82" s="11"/>
      <c r="AB82" s="68" t="e">
        <f t="shared" si="179"/>
        <v>#DIV/0!</v>
      </c>
    </row>
    <row r="83" spans="1:28" ht="12.75" customHeight="1">
      <c r="B83" s="104" t="s">
        <v>146</v>
      </c>
      <c r="C83" s="76">
        <v>71019</v>
      </c>
      <c r="D83" s="76">
        <v>73782</v>
      </c>
      <c r="E83" s="76">
        <v>76054</v>
      </c>
      <c r="G83" s="105"/>
      <c r="H83" s="105"/>
      <c r="I83" s="105"/>
      <c r="J83" s="82">
        <f>D83</f>
        <v>73782</v>
      </c>
      <c r="K83" s="105"/>
      <c r="L83" s="105"/>
      <c r="M83" s="105"/>
      <c r="N83" s="82">
        <f>E83</f>
        <v>76054</v>
      </c>
      <c r="O83" s="105"/>
      <c r="P83" s="105"/>
      <c r="Q83" s="105"/>
      <c r="S83" s="30">
        <f t="shared" si="171"/>
        <v>73782</v>
      </c>
      <c r="T83" s="30">
        <f t="shared" si="172"/>
        <v>0</v>
      </c>
      <c r="U83" s="30">
        <f t="shared" si="173"/>
        <v>0</v>
      </c>
      <c r="V83" s="30">
        <f t="shared" si="174"/>
        <v>0</v>
      </c>
      <c r="W83" s="30">
        <f t="shared" si="175"/>
        <v>76054</v>
      </c>
      <c r="X83" s="30">
        <f t="shared" si="176"/>
        <v>0</v>
      </c>
      <c r="Y83" s="30">
        <f t="shared" si="177"/>
        <v>0</v>
      </c>
      <c r="Z83" s="30">
        <f t="shared" si="178"/>
        <v>0</v>
      </c>
      <c r="AA83" s="11"/>
      <c r="AB83" s="68" t="e">
        <f t="shared" si="179"/>
        <v>#DIV/0!</v>
      </c>
    </row>
    <row r="84" spans="1:28" ht="12.75" customHeight="1">
      <c r="B84" s="12" t="s">
        <v>15</v>
      </c>
      <c r="C84" s="13">
        <f t="shared" ref="C84:E84" si="180">SUM(C79:C83)</f>
        <v>25826</v>
      </c>
      <c r="D84" s="13">
        <f t="shared" si="180"/>
        <v>27480</v>
      </c>
      <c r="E84" s="13">
        <f t="shared" si="180"/>
        <v>26372</v>
      </c>
      <c r="F84" s="48"/>
      <c r="G84" s="13">
        <f t="shared" ref="G84:P84" si="181">SUM(G79:G83)</f>
        <v>0</v>
      </c>
      <c r="H84" s="13">
        <f t="shared" si="181"/>
        <v>0</v>
      </c>
      <c r="I84" s="13">
        <f t="shared" si="181"/>
        <v>0</v>
      </c>
      <c r="J84" s="13">
        <f t="shared" si="181"/>
        <v>27480</v>
      </c>
      <c r="K84" s="13">
        <f t="shared" si="181"/>
        <v>0</v>
      </c>
      <c r="L84" s="13">
        <f t="shared" si="181"/>
        <v>0</v>
      </c>
      <c r="M84" s="13">
        <f t="shared" si="181"/>
        <v>0</v>
      </c>
      <c r="N84" s="13">
        <f t="shared" si="181"/>
        <v>26372</v>
      </c>
      <c r="O84" s="13">
        <f t="shared" si="181"/>
        <v>0</v>
      </c>
      <c r="P84" s="13">
        <f t="shared" si="181"/>
        <v>0</v>
      </c>
      <c r="Q84" s="13">
        <f t="shared" ref="Q84" si="182">SUM(Q79:Q83)</f>
        <v>0</v>
      </c>
      <c r="S84" s="13">
        <f t="shared" ref="S84:Z84" si="183">SUM(S79:S83)</f>
        <v>27480</v>
      </c>
      <c r="T84" s="13">
        <f t="shared" si="183"/>
        <v>0</v>
      </c>
      <c r="U84" s="13">
        <f t="shared" si="183"/>
        <v>0</v>
      </c>
      <c r="V84" s="13">
        <f t="shared" si="183"/>
        <v>0</v>
      </c>
      <c r="W84" s="13">
        <f t="shared" si="183"/>
        <v>26372</v>
      </c>
      <c r="X84" s="13">
        <f t="shared" si="183"/>
        <v>0</v>
      </c>
      <c r="Y84" s="13">
        <f t="shared" si="183"/>
        <v>0</v>
      </c>
      <c r="Z84" s="13">
        <f t="shared" si="183"/>
        <v>0</v>
      </c>
      <c r="AA84" s="39"/>
      <c r="AB84" s="69" t="e">
        <f>SUM(Z84/V84)-1</f>
        <v>#DIV/0!</v>
      </c>
    </row>
    <row r="85" spans="1:28" ht="12.75" customHeight="1">
      <c r="B85" s="23" t="s">
        <v>50</v>
      </c>
      <c r="C85" s="30">
        <f t="shared" ref="C85:E85" si="184">SUM(C84+C77)</f>
        <v>92763</v>
      </c>
      <c r="D85" s="30">
        <f t="shared" si="184"/>
        <v>97703</v>
      </c>
      <c r="E85" s="30">
        <f t="shared" si="184"/>
        <v>100549</v>
      </c>
      <c r="F85" s="30"/>
      <c r="G85" s="30">
        <f t="shared" ref="G85:P85" si="185">SUM(G84+G77)</f>
        <v>70536</v>
      </c>
      <c r="H85" s="30">
        <f t="shared" si="185"/>
        <v>70904</v>
      </c>
      <c r="I85" s="30">
        <f t="shared" si="185"/>
        <v>69745</v>
      </c>
      <c r="J85" s="30">
        <f t="shared" si="185"/>
        <v>97703</v>
      </c>
      <c r="K85" s="30">
        <f t="shared" si="185"/>
        <v>71446</v>
      </c>
      <c r="L85" s="30">
        <f t="shared" si="185"/>
        <v>73791</v>
      </c>
      <c r="M85" s="30">
        <f t="shared" si="185"/>
        <v>78112</v>
      </c>
      <c r="N85" s="30">
        <f t="shared" si="185"/>
        <v>100549</v>
      </c>
      <c r="O85" s="30">
        <f t="shared" si="185"/>
        <v>73962</v>
      </c>
      <c r="P85" s="30">
        <f t="shared" si="185"/>
        <v>0</v>
      </c>
      <c r="Q85" s="30">
        <f t="shared" ref="Q85" si="186">SUM(Q84+Q77)</f>
        <v>0</v>
      </c>
      <c r="R85" s="30"/>
      <c r="S85" s="30">
        <f t="shared" ref="S85:Z85" si="187">SUM(S84+S77)</f>
        <v>97703</v>
      </c>
      <c r="T85" s="30">
        <f t="shared" si="187"/>
        <v>71446</v>
      </c>
      <c r="U85" s="30">
        <f t="shared" si="187"/>
        <v>73791</v>
      </c>
      <c r="V85" s="30">
        <f t="shared" si="187"/>
        <v>78112</v>
      </c>
      <c r="W85" s="30">
        <f t="shared" si="187"/>
        <v>100549</v>
      </c>
      <c r="X85" s="30">
        <f t="shared" si="187"/>
        <v>73962</v>
      </c>
      <c r="Y85" s="30">
        <f t="shared" si="187"/>
        <v>0</v>
      </c>
      <c r="Z85" s="30">
        <f t="shared" si="187"/>
        <v>0</v>
      </c>
      <c r="AA85" s="11"/>
      <c r="AB85" s="69">
        <f>SUM(Z85/V85)-1</f>
        <v>-1</v>
      </c>
    </row>
    <row r="86" spans="1:28" ht="5.0999999999999996" customHeight="1">
      <c r="B86" s="23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11"/>
    </row>
    <row r="87" spans="1:28" ht="12.75" customHeight="1">
      <c r="B87" s="62" t="s">
        <v>61</v>
      </c>
      <c r="C87" s="63">
        <f>C85-C64</f>
        <v>0</v>
      </c>
      <c r="D87" s="63">
        <f>D85-D64</f>
        <v>0</v>
      </c>
      <c r="E87" s="63">
        <f>E85-E64</f>
        <v>0</v>
      </c>
      <c r="F87" s="64"/>
      <c r="G87" s="63">
        <f t="shared" ref="G87:Q87" si="188">G85-G64</f>
        <v>-26868</v>
      </c>
      <c r="H87" s="63">
        <f t="shared" si="188"/>
        <v>-27552</v>
      </c>
      <c r="I87" s="63">
        <f t="shared" si="188"/>
        <v>-27833</v>
      </c>
      <c r="J87" s="63">
        <f t="shared" si="188"/>
        <v>0</v>
      </c>
      <c r="K87" s="63">
        <f t="shared" si="188"/>
        <v>-27946</v>
      </c>
      <c r="L87" s="63">
        <f t="shared" si="188"/>
        <v>-27411</v>
      </c>
      <c r="M87" s="63">
        <f t="shared" si="188"/>
        <v>-28154</v>
      </c>
      <c r="N87" s="63">
        <f t="shared" si="188"/>
        <v>0</v>
      </c>
      <c r="O87" s="63">
        <f t="shared" si="188"/>
        <v>-27754</v>
      </c>
      <c r="P87" s="63">
        <f t="shared" si="188"/>
        <v>0</v>
      </c>
      <c r="Q87" s="63">
        <f t="shared" si="188"/>
        <v>0</v>
      </c>
      <c r="R87" s="26"/>
      <c r="S87" s="63">
        <f t="shared" ref="S87:Z87" si="189">S85-S64</f>
        <v>0</v>
      </c>
      <c r="T87" s="63">
        <f t="shared" si="189"/>
        <v>-27946</v>
      </c>
      <c r="U87" s="63">
        <f t="shared" si="189"/>
        <v>-27411</v>
      </c>
      <c r="V87" s="63">
        <f t="shared" si="189"/>
        <v>-28154</v>
      </c>
      <c r="W87" s="63">
        <f t="shared" si="189"/>
        <v>0</v>
      </c>
      <c r="X87" s="63">
        <f t="shared" si="189"/>
        <v>-27754</v>
      </c>
      <c r="Y87" s="63">
        <f t="shared" si="189"/>
        <v>0</v>
      </c>
      <c r="Z87" s="63">
        <f t="shared" si="189"/>
        <v>0</v>
      </c>
    </row>
    <row r="88" spans="1:28" ht="5.0999999999999996" customHeight="1" thickBot="1">
      <c r="B88" s="100"/>
      <c r="C88" s="101"/>
      <c r="D88" s="101"/>
      <c r="E88" s="101"/>
      <c r="F88" s="102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3"/>
      <c r="S88" s="101"/>
      <c r="T88" s="101"/>
      <c r="U88" s="101"/>
      <c r="V88" s="101"/>
      <c r="W88" s="101"/>
      <c r="X88" s="101"/>
      <c r="Y88" s="101"/>
      <c r="Z88" s="101"/>
      <c r="AA88" s="66"/>
      <c r="AB88" s="66"/>
    </row>
    <row r="89" spans="1:28">
      <c r="B89" s="61"/>
      <c r="C89" s="22"/>
      <c r="D89" s="22"/>
      <c r="E89" s="22"/>
      <c r="F89" s="49"/>
    </row>
    <row r="90" spans="1:28" ht="12.75" customHeight="1">
      <c r="A90" s="5" t="s">
        <v>17</v>
      </c>
      <c r="B90" s="83" t="s">
        <v>14</v>
      </c>
      <c r="C90" s="87" t="s">
        <v>0</v>
      </c>
      <c r="D90" s="87"/>
      <c r="E90" s="87"/>
      <c r="F90" s="88"/>
      <c r="G90" s="87"/>
      <c r="H90" s="87"/>
      <c r="I90" s="87"/>
      <c r="J90" s="87"/>
      <c r="K90" s="87"/>
      <c r="L90" s="87"/>
      <c r="M90" s="87" t="s">
        <v>1</v>
      </c>
      <c r="N90" s="87"/>
      <c r="O90" s="87"/>
      <c r="P90" s="87"/>
      <c r="Q90" s="87"/>
      <c r="R90" s="83"/>
      <c r="S90" s="87"/>
      <c r="T90" s="87"/>
      <c r="U90" s="87"/>
      <c r="V90" s="87" t="s">
        <v>10</v>
      </c>
      <c r="W90" s="87"/>
      <c r="X90" s="87"/>
      <c r="Y90" s="87"/>
      <c r="Z90" s="87"/>
      <c r="AA90" s="88"/>
      <c r="AB90" s="149" t="s">
        <v>23</v>
      </c>
    </row>
    <row r="91" spans="1:28" ht="12.75" customHeight="1">
      <c r="B91" s="84" t="str">
        <f>B7</f>
        <v>Fiscal Period</v>
      </c>
      <c r="C91" s="89">
        <f>C7</f>
        <v>2022</v>
      </c>
      <c r="D91" s="89">
        <f>D7</f>
        <v>2023</v>
      </c>
      <c r="E91" s="89">
        <f>E7</f>
        <v>2024</v>
      </c>
      <c r="F91" s="88"/>
      <c r="G91" s="89" t="str">
        <f>G7</f>
        <v>1Q23</v>
      </c>
      <c r="H91" s="89" t="str">
        <f>H7</f>
        <v>2Q23</v>
      </c>
      <c r="I91" s="89" t="str">
        <f>I7</f>
        <v>3Q23</v>
      </c>
      <c r="J91" s="89" t="str">
        <f>J7</f>
        <v>4Q23</v>
      </c>
      <c r="K91" s="89" t="str">
        <f>K7</f>
        <v>1Q24</v>
      </c>
      <c r="L91" s="89" t="str">
        <f>L7</f>
        <v>2Q24</v>
      </c>
      <c r="M91" s="89" t="str">
        <f>M7</f>
        <v>3Q24</v>
      </c>
      <c r="N91" s="89" t="str">
        <f>N7</f>
        <v>4Q24</v>
      </c>
      <c r="O91" s="89" t="str">
        <f>O7</f>
        <v>1Q25</v>
      </c>
      <c r="P91" s="89" t="str">
        <f>P7</f>
        <v>2Q25</v>
      </c>
      <c r="Q91" s="89" t="str">
        <f>Q7</f>
        <v>3Q25</v>
      </c>
      <c r="R91" s="89"/>
      <c r="S91" s="89" t="str">
        <f>S7</f>
        <v>4Q23</v>
      </c>
      <c r="T91" s="89" t="str">
        <f>T7</f>
        <v>1Q24</v>
      </c>
      <c r="U91" s="89" t="str">
        <f>U7</f>
        <v>2Q24</v>
      </c>
      <c r="V91" s="89" t="str">
        <f>V7</f>
        <v>3Q24</v>
      </c>
      <c r="W91" s="89" t="str">
        <f>W7</f>
        <v>4Q24</v>
      </c>
      <c r="X91" s="89" t="str">
        <f>X7</f>
        <v>1Q25</v>
      </c>
      <c r="Y91" s="89" t="str">
        <f>Y7</f>
        <v>2Q25</v>
      </c>
      <c r="Z91" s="89" t="str">
        <f>Z7</f>
        <v>3Q25</v>
      </c>
      <c r="AA91" s="88"/>
      <c r="AB91" s="149"/>
    </row>
    <row r="92" spans="1:28" ht="12.75" customHeight="1">
      <c r="B92" s="84" t="str">
        <f>B8</f>
        <v>Fiscal Period End Date</v>
      </c>
      <c r="C92" s="90">
        <f>C8</f>
        <v>44926</v>
      </c>
      <c r="D92" s="90">
        <f>D8</f>
        <v>45291</v>
      </c>
      <c r="E92" s="90">
        <f>E8</f>
        <v>45657</v>
      </c>
      <c r="F92" s="88"/>
      <c r="G92" s="90">
        <f>G8</f>
        <v>45016</v>
      </c>
      <c r="H92" s="90">
        <f>H8</f>
        <v>45107</v>
      </c>
      <c r="I92" s="90">
        <f>I8</f>
        <v>45199</v>
      </c>
      <c r="J92" s="90">
        <f>J8</f>
        <v>45291</v>
      </c>
      <c r="K92" s="90">
        <f>K8</f>
        <v>45382</v>
      </c>
      <c r="L92" s="90">
        <f>L8</f>
        <v>45473</v>
      </c>
      <c r="M92" s="90">
        <f>M8</f>
        <v>45565</v>
      </c>
      <c r="N92" s="90">
        <f>N8</f>
        <v>45657</v>
      </c>
      <c r="O92" s="90">
        <f>O8</f>
        <v>45747</v>
      </c>
      <c r="P92" s="90">
        <f>P8</f>
        <v>45838</v>
      </c>
      <c r="Q92" s="90">
        <f>Q8</f>
        <v>45930</v>
      </c>
      <c r="R92" s="90"/>
      <c r="S92" s="90">
        <f>S8</f>
        <v>45291</v>
      </c>
      <c r="T92" s="90">
        <f>T8</f>
        <v>45382</v>
      </c>
      <c r="U92" s="90">
        <f>U8</f>
        <v>45473</v>
      </c>
      <c r="V92" s="90">
        <f>V8</f>
        <v>45565</v>
      </c>
      <c r="W92" s="90">
        <f>W8</f>
        <v>45657</v>
      </c>
      <c r="X92" s="90">
        <f>X8</f>
        <v>45747</v>
      </c>
      <c r="Y92" s="90">
        <f>Y8</f>
        <v>45838</v>
      </c>
      <c r="Z92" s="90">
        <f>Z8</f>
        <v>45930</v>
      </c>
      <c r="AA92" s="88"/>
      <c r="AB92" s="149"/>
    </row>
    <row r="93" spans="1:28" ht="5.0999999999999996" customHeight="1">
      <c r="B93" s="50"/>
      <c r="C93" s="44"/>
      <c r="D93" s="44"/>
      <c r="E93" s="44"/>
    </row>
    <row r="94" spans="1:28" ht="12.75" customHeight="1">
      <c r="B94" s="51" t="s">
        <v>51</v>
      </c>
      <c r="C94" s="52"/>
      <c r="D94" s="52"/>
      <c r="E94" s="52"/>
    </row>
    <row r="95" spans="1:28" ht="12.75" customHeight="1">
      <c r="B95" s="53" t="s">
        <v>52</v>
      </c>
      <c r="C95" s="30">
        <f>C30</f>
        <v>9571</v>
      </c>
      <c r="D95" s="30">
        <f t="shared" ref="D95:Q95" si="190">D30</f>
        <v>10703</v>
      </c>
      <c r="E95" s="30">
        <f t="shared" si="190"/>
        <v>10649</v>
      </c>
      <c r="F95" s="30"/>
      <c r="G95" s="30">
        <f t="shared" si="190"/>
        <v>3113</v>
      </c>
      <c r="H95" s="30">
        <f t="shared" si="190"/>
        <v>2521</v>
      </c>
      <c r="I95" s="30">
        <f t="shared" si="190"/>
        <v>3083</v>
      </c>
      <c r="J95" s="30">
        <f t="shared" si="190"/>
        <v>1986</v>
      </c>
      <c r="K95" s="30">
        <f t="shared" si="190"/>
        <v>3185</v>
      </c>
      <c r="L95" s="30">
        <f t="shared" si="190"/>
        <v>2401</v>
      </c>
      <c r="M95" s="30">
        <f t="shared" si="190"/>
        <v>2850</v>
      </c>
      <c r="N95" s="30">
        <f t="shared" si="190"/>
        <v>2213</v>
      </c>
      <c r="O95" s="30">
        <f t="shared" si="190"/>
        <v>3335</v>
      </c>
      <c r="P95" s="30">
        <f t="shared" si="190"/>
        <v>0</v>
      </c>
      <c r="Q95" s="30">
        <f t="shared" si="190"/>
        <v>0</v>
      </c>
      <c r="S95" s="30">
        <f t="shared" ref="S95:Z95" si="191">SUM(G95:J95)</f>
        <v>10703</v>
      </c>
      <c r="T95" s="30">
        <f t="shared" si="191"/>
        <v>10775</v>
      </c>
      <c r="U95" s="30">
        <f t="shared" si="191"/>
        <v>10655</v>
      </c>
      <c r="V95" s="30">
        <f t="shared" si="191"/>
        <v>10422</v>
      </c>
      <c r="W95" s="30">
        <f t="shared" si="191"/>
        <v>10649</v>
      </c>
      <c r="X95" s="30">
        <f t="shared" si="191"/>
        <v>10799</v>
      </c>
      <c r="Y95" s="30">
        <f t="shared" si="191"/>
        <v>8398</v>
      </c>
      <c r="Z95" s="30">
        <f t="shared" si="191"/>
        <v>5548</v>
      </c>
      <c r="AA95" s="11"/>
      <c r="AB95" s="68">
        <f>SUM(Z95/V95)-1</f>
        <v>-0.46766455574745736</v>
      </c>
    </row>
    <row r="96" spans="1:28" ht="5.0999999999999996" customHeight="1"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S96" s="30"/>
      <c r="T96" s="30"/>
      <c r="U96" s="30"/>
      <c r="V96" s="30"/>
      <c r="W96" s="30"/>
      <c r="X96" s="30"/>
      <c r="Y96" s="30"/>
      <c r="Z96" s="30"/>
      <c r="AA96" s="11"/>
      <c r="AB96" s="68"/>
    </row>
    <row r="97" spans="2:28" ht="12.75" customHeight="1">
      <c r="B97" s="33" t="s">
        <v>60</v>
      </c>
      <c r="C97" s="30"/>
      <c r="D97" s="30"/>
      <c r="E97" s="30"/>
      <c r="F97" s="30"/>
      <c r="G97" s="76"/>
      <c r="H97" s="76"/>
      <c r="I97" s="76"/>
      <c r="J97" s="30"/>
      <c r="K97" s="76"/>
      <c r="L97" s="76"/>
      <c r="M97" s="76"/>
      <c r="N97" s="30"/>
      <c r="O97" s="76"/>
      <c r="P97" s="76"/>
      <c r="Q97" s="76"/>
      <c r="S97" s="30"/>
      <c r="T97" s="30"/>
      <c r="U97" s="30"/>
      <c r="V97" s="30"/>
      <c r="W97" s="30"/>
      <c r="X97" s="30"/>
      <c r="Y97" s="30"/>
      <c r="Z97" s="30"/>
      <c r="AA97" s="55"/>
      <c r="AB97" s="68"/>
    </row>
    <row r="98" spans="2:28" ht="12.75" customHeight="1">
      <c r="B98" s="56" t="s">
        <v>53</v>
      </c>
      <c r="C98" s="76">
        <v>1260</v>
      </c>
      <c r="D98" s="76">
        <v>1128</v>
      </c>
      <c r="E98" s="76">
        <v>1075</v>
      </c>
      <c r="F98" s="30"/>
      <c r="G98" s="76">
        <v>286</v>
      </c>
      <c r="H98" s="76">
        <f>567-G98</f>
        <v>281</v>
      </c>
      <c r="I98" s="76">
        <f>857-SUM(G98:H98)</f>
        <v>290</v>
      </c>
      <c r="J98" s="30">
        <f>SUM(D98-SUM(G98:I98))</f>
        <v>271</v>
      </c>
      <c r="K98" s="76">
        <v>262</v>
      </c>
      <c r="L98" s="76">
        <f>531-K98</f>
        <v>269</v>
      </c>
      <c r="M98" s="76">
        <f>799-SUM(K98:L98)</f>
        <v>268</v>
      </c>
      <c r="N98" s="30">
        <f t="shared" ref="N98:N106" si="192">SUM(E98-SUM(K98:M98))</f>
        <v>276</v>
      </c>
      <c r="O98" s="76">
        <v>267</v>
      </c>
      <c r="P98" s="76"/>
      <c r="Q98" s="76"/>
      <c r="S98" s="30">
        <f t="shared" ref="S98:Z105" si="193">SUM(G98:J98)</f>
        <v>1128</v>
      </c>
      <c r="T98" s="30">
        <f t="shared" si="193"/>
        <v>1104</v>
      </c>
      <c r="U98" s="30">
        <f t="shared" si="193"/>
        <v>1092</v>
      </c>
      <c r="V98" s="30">
        <f t="shared" si="193"/>
        <v>1070</v>
      </c>
      <c r="W98" s="30">
        <f t="shared" si="193"/>
        <v>1075</v>
      </c>
      <c r="X98" s="30">
        <f t="shared" si="193"/>
        <v>1080</v>
      </c>
      <c r="Y98" s="30">
        <f t="shared" si="193"/>
        <v>811</v>
      </c>
      <c r="Z98" s="30">
        <f t="shared" si="193"/>
        <v>543</v>
      </c>
      <c r="AA98" s="11"/>
      <c r="AB98" s="68">
        <f t="shared" ref="AB98" si="194">SUM(Z98/V98)-1</f>
        <v>-0.49252336448598133</v>
      </c>
    </row>
    <row r="99" spans="2:28" ht="12.75" customHeight="1">
      <c r="B99" s="56" t="s">
        <v>147</v>
      </c>
      <c r="C99" s="76">
        <v>356</v>
      </c>
      <c r="D99" s="76">
        <v>254</v>
      </c>
      <c r="E99" s="76">
        <v>286</v>
      </c>
      <c r="F99" s="30"/>
      <c r="G99" s="76">
        <v>58</v>
      </c>
      <c r="H99" s="76">
        <f>120-G99</f>
        <v>62</v>
      </c>
      <c r="I99" s="76">
        <f>177-SUM(G99:H99)</f>
        <v>57</v>
      </c>
      <c r="J99" s="30">
        <f t="shared" ref="J99:J106" si="195">SUM(D99-SUM(G99:I99))</f>
        <v>77</v>
      </c>
      <c r="K99" s="76">
        <v>68</v>
      </c>
      <c r="L99" s="76">
        <f>140-K99</f>
        <v>72</v>
      </c>
      <c r="M99" s="76">
        <f>207-SUM(K99:L99)</f>
        <v>67</v>
      </c>
      <c r="N99" s="30">
        <f t="shared" si="192"/>
        <v>79</v>
      </c>
      <c r="O99" s="76">
        <v>63</v>
      </c>
      <c r="P99" s="76"/>
      <c r="Q99" s="76"/>
      <c r="S99" s="30">
        <f t="shared" si="193"/>
        <v>254</v>
      </c>
      <c r="T99" s="30">
        <f t="shared" si="193"/>
        <v>264</v>
      </c>
      <c r="U99" s="30">
        <f t="shared" si="193"/>
        <v>274</v>
      </c>
      <c r="V99" s="30">
        <f t="shared" si="193"/>
        <v>284</v>
      </c>
      <c r="W99" s="30">
        <f t="shared" si="193"/>
        <v>286</v>
      </c>
      <c r="X99" s="30">
        <f t="shared" si="193"/>
        <v>281</v>
      </c>
      <c r="Y99" s="30">
        <f t="shared" si="193"/>
        <v>209</v>
      </c>
      <c r="Z99" s="30">
        <f t="shared" si="193"/>
        <v>142</v>
      </c>
      <c r="AA99" s="11"/>
      <c r="AB99" s="68">
        <f t="shared" ref="AB99" si="196">SUM(Z99/V99)-1</f>
        <v>-0.5</v>
      </c>
    </row>
    <row r="100" spans="2:28" ht="12.75" customHeight="1">
      <c r="B100" s="56" t="s">
        <v>148</v>
      </c>
      <c r="C100" s="76">
        <v>-122</v>
      </c>
      <c r="D100" s="76">
        <v>-2</v>
      </c>
      <c r="E100" s="76">
        <v>-11</v>
      </c>
      <c r="F100" s="30"/>
      <c r="G100" s="76">
        <v>260</v>
      </c>
      <c r="H100" s="76">
        <f>-211-G100</f>
        <v>-471</v>
      </c>
      <c r="I100" s="76">
        <f>-154-SUM(G100:H100)</f>
        <v>57</v>
      </c>
      <c r="J100" s="30">
        <f t="shared" si="195"/>
        <v>152</v>
      </c>
      <c r="K100" s="76">
        <v>-173</v>
      </c>
      <c r="L100" s="76">
        <f>-202-K100</f>
        <v>-29</v>
      </c>
      <c r="M100" s="76">
        <f>0-SUM(K100:L100)</f>
        <v>202</v>
      </c>
      <c r="N100" s="30">
        <f t="shared" si="192"/>
        <v>-11</v>
      </c>
      <c r="O100" s="76">
        <v>95</v>
      </c>
      <c r="P100" s="76"/>
      <c r="Q100" s="76"/>
      <c r="S100" s="30">
        <f t="shared" si="193"/>
        <v>-2</v>
      </c>
      <c r="T100" s="30">
        <f t="shared" si="193"/>
        <v>-435</v>
      </c>
      <c r="U100" s="30">
        <f t="shared" si="193"/>
        <v>7</v>
      </c>
      <c r="V100" s="30">
        <f t="shared" si="193"/>
        <v>152</v>
      </c>
      <c r="W100" s="30">
        <f t="shared" si="193"/>
        <v>-11</v>
      </c>
      <c r="X100" s="30">
        <f t="shared" si="193"/>
        <v>257</v>
      </c>
      <c r="Y100" s="30">
        <f t="shared" si="193"/>
        <v>286</v>
      </c>
      <c r="Z100" s="30">
        <f t="shared" si="193"/>
        <v>84</v>
      </c>
      <c r="AA100" s="11"/>
      <c r="AB100" s="68">
        <f t="shared" ref="AB100:AB105" si="197">SUM(Z100/V100)-1</f>
        <v>-0.44736842105263153</v>
      </c>
    </row>
    <row r="101" spans="2:28" ht="12.75" customHeight="1">
      <c r="B101" s="56" t="s">
        <v>149</v>
      </c>
      <c r="C101" s="76">
        <v>-838</v>
      </c>
      <c r="D101" s="76">
        <v>-1019</v>
      </c>
      <c r="E101" s="76">
        <v>-802</v>
      </c>
      <c r="F101" s="30"/>
      <c r="G101" s="76">
        <v>-249</v>
      </c>
      <c r="H101" s="76">
        <f>-467-G101</f>
        <v>-218</v>
      </c>
      <c r="I101" s="76">
        <f>-952-SUM(G101:H101)</f>
        <v>-485</v>
      </c>
      <c r="J101" s="30">
        <f t="shared" si="195"/>
        <v>-67</v>
      </c>
      <c r="K101" s="76">
        <v>-58</v>
      </c>
      <c r="L101" s="76">
        <f>-274-K101</f>
        <v>-216</v>
      </c>
      <c r="M101" s="76">
        <f>-693-SUM(K101:L101)</f>
        <v>-419</v>
      </c>
      <c r="N101" s="30">
        <f t="shared" si="192"/>
        <v>-109</v>
      </c>
      <c r="O101" s="76">
        <v>-264</v>
      </c>
      <c r="P101" s="76"/>
      <c r="Q101" s="76"/>
      <c r="S101" s="30">
        <f t="shared" si="193"/>
        <v>-1019</v>
      </c>
      <c r="T101" s="30">
        <f t="shared" si="193"/>
        <v>-828</v>
      </c>
      <c r="U101" s="30">
        <f t="shared" si="193"/>
        <v>-826</v>
      </c>
      <c r="V101" s="30">
        <f t="shared" si="193"/>
        <v>-760</v>
      </c>
      <c r="W101" s="30">
        <f t="shared" si="193"/>
        <v>-802</v>
      </c>
      <c r="X101" s="30">
        <f t="shared" si="193"/>
        <v>-1008</v>
      </c>
      <c r="Y101" s="30">
        <f t="shared" si="193"/>
        <v>-792</v>
      </c>
      <c r="Z101" s="30">
        <f t="shared" si="193"/>
        <v>-373</v>
      </c>
      <c r="AA101" s="11"/>
      <c r="AB101" s="68">
        <f t="shared" si="197"/>
        <v>-0.50921052631578945</v>
      </c>
    </row>
    <row r="102" spans="2:28" ht="12.75" customHeight="1">
      <c r="B102" s="56" t="s">
        <v>150</v>
      </c>
      <c r="C102" s="76">
        <v>203</v>
      </c>
      <c r="D102" s="76">
        <v>175</v>
      </c>
      <c r="E102" s="76">
        <v>-110</v>
      </c>
      <c r="F102" s="30"/>
      <c r="G102" s="76">
        <v>25</v>
      </c>
      <c r="H102" s="76">
        <f>34-G102</f>
        <v>9</v>
      </c>
      <c r="I102" s="76">
        <f>-22-SUM(G102:H102)</f>
        <v>-56</v>
      </c>
      <c r="J102" s="30">
        <f t="shared" si="195"/>
        <v>197</v>
      </c>
      <c r="K102" s="76">
        <v>17</v>
      </c>
      <c r="L102" s="76">
        <f>-87-K102</f>
        <v>-104</v>
      </c>
      <c r="M102" s="76">
        <f>-61-SUM(K102:L102)</f>
        <v>26</v>
      </c>
      <c r="N102" s="30">
        <f t="shared" si="192"/>
        <v>-49</v>
      </c>
      <c r="O102" s="76">
        <v>50</v>
      </c>
      <c r="P102" s="76"/>
      <c r="Q102" s="76"/>
      <c r="S102" s="30">
        <f t="shared" si="193"/>
        <v>175</v>
      </c>
      <c r="T102" s="30">
        <f t="shared" si="193"/>
        <v>167</v>
      </c>
      <c r="U102" s="30">
        <f t="shared" si="193"/>
        <v>54</v>
      </c>
      <c r="V102" s="30">
        <f t="shared" si="193"/>
        <v>136</v>
      </c>
      <c r="W102" s="30">
        <f t="shared" si="193"/>
        <v>-110</v>
      </c>
      <c r="X102" s="30">
        <f t="shared" si="193"/>
        <v>-77</v>
      </c>
      <c r="Y102" s="30">
        <f t="shared" si="193"/>
        <v>27</v>
      </c>
      <c r="Z102" s="30">
        <f t="shared" si="193"/>
        <v>1</v>
      </c>
      <c r="AA102" s="11"/>
      <c r="AB102" s="68">
        <f t="shared" si="197"/>
        <v>-0.99264705882352944</v>
      </c>
    </row>
    <row r="103" spans="2:28" ht="12.75" customHeight="1">
      <c r="B103" s="56" t="s">
        <v>151</v>
      </c>
      <c r="C103" s="76">
        <v>-129</v>
      </c>
      <c r="D103" s="76">
        <v>-492</v>
      </c>
      <c r="E103" s="76">
        <v>-1737</v>
      </c>
      <c r="F103" s="30"/>
      <c r="G103" s="76">
        <v>-442</v>
      </c>
      <c r="H103" s="76">
        <f>-442-G103</f>
        <v>0</v>
      </c>
      <c r="I103" s="76">
        <f>-442-SUM(G103:H103)</f>
        <v>0</v>
      </c>
      <c r="J103" s="30">
        <f t="shared" si="195"/>
        <v>-50</v>
      </c>
      <c r="K103" s="76">
        <v>-1401</v>
      </c>
      <c r="L103" s="76">
        <f>-1398-K103</f>
        <v>3</v>
      </c>
      <c r="M103" s="76">
        <f>-1722-SUM(K103:L103)</f>
        <v>-324</v>
      </c>
      <c r="N103" s="30">
        <f t="shared" si="192"/>
        <v>-15</v>
      </c>
      <c r="O103" s="76">
        <v>-331</v>
      </c>
      <c r="P103" s="76"/>
      <c r="Q103" s="76"/>
      <c r="S103" s="30">
        <f t="shared" si="193"/>
        <v>-492</v>
      </c>
      <c r="T103" s="30">
        <f t="shared" si="193"/>
        <v>-1451</v>
      </c>
      <c r="U103" s="30">
        <f t="shared" si="193"/>
        <v>-1448</v>
      </c>
      <c r="V103" s="30">
        <f t="shared" si="193"/>
        <v>-1772</v>
      </c>
      <c r="W103" s="30">
        <f t="shared" si="193"/>
        <v>-1737</v>
      </c>
      <c r="X103" s="30">
        <f t="shared" si="193"/>
        <v>-667</v>
      </c>
      <c r="Y103" s="30">
        <f t="shared" si="193"/>
        <v>-670</v>
      </c>
      <c r="Z103" s="30">
        <f t="shared" si="193"/>
        <v>-346</v>
      </c>
      <c r="AA103" s="11"/>
      <c r="AB103" s="68">
        <f t="shared" si="197"/>
        <v>-0.80474040632054178</v>
      </c>
    </row>
    <row r="104" spans="2:28" ht="12.75" customHeight="1">
      <c r="B104" s="56" t="s">
        <v>152</v>
      </c>
      <c r="C104" s="76">
        <v>1086</v>
      </c>
      <c r="D104" s="76">
        <v>1741</v>
      </c>
      <c r="E104" s="76">
        <v>4000</v>
      </c>
      <c r="F104" s="30"/>
      <c r="G104" s="76">
        <v>88</v>
      </c>
      <c r="H104" s="76">
        <f>1375-G104</f>
        <v>1287</v>
      </c>
      <c r="I104" s="76">
        <f>1665-SUM(G104:H104)</f>
        <v>290</v>
      </c>
      <c r="J104" s="30">
        <f t="shared" si="195"/>
        <v>76</v>
      </c>
      <c r="K104" s="76">
        <v>1532</v>
      </c>
      <c r="L104" s="76">
        <f>2867-K104</f>
        <v>1335</v>
      </c>
      <c r="M104" s="76">
        <f>3874-SUM(K104:L104)</f>
        <v>1007</v>
      </c>
      <c r="N104" s="30">
        <f t="shared" si="192"/>
        <v>126</v>
      </c>
      <c r="O104" s="76">
        <v>0</v>
      </c>
      <c r="P104" s="76"/>
      <c r="Q104" s="76"/>
      <c r="S104" s="30">
        <f t="shared" si="193"/>
        <v>1741</v>
      </c>
      <c r="T104" s="30">
        <f t="shared" si="193"/>
        <v>3185</v>
      </c>
      <c r="U104" s="30">
        <f t="shared" si="193"/>
        <v>3233</v>
      </c>
      <c r="V104" s="30">
        <f t="shared" si="193"/>
        <v>3950</v>
      </c>
      <c r="W104" s="30">
        <f t="shared" si="193"/>
        <v>4000</v>
      </c>
      <c r="X104" s="30">
        <f t="shared" si="193"/>
        <v>2468</v>
      </c>
      <c r="Y104" s="30">
        <f t="shared" si="193"/>
        <v>1133</v>
      </c>
      <c r="Z104" s="30">
        <f t="shared" si="193"/>
        <v>126</v>
      </c>
      <c r="AA104" s="11"/>
      <c r="AB104" s="68">
        <f t="shared" si="197"/>
        <v>-0.96810126582278477</v>
      </c>
    </row>
    <row r="105" spans="2:28" ht="12.75" customHeight="1">
      <c r="B105" s="56" t="s">
        <v>153</v>
      </c>
      <c r="C105" s="76">
        <v>236</v>
      </c>
      <c r="D105" s="76">
        <v>-43</v>
      </c>
      <c r="E105" s="76">
        <v>-311</v>
      </c>
      <c r="F105" s="30"/>
      <c r="G105" s="76">
        <v>-102</v>
      </c>
      <c r="H105" s="76">
        <f>-225-G105</f>
        <v>-123</v>
      </c>
      <c r="I105" s="76">
        <f>-48-SUM(G105:H105)</f>
        <v>177</v>
      </c>
      <c r="J105" s="30">
        <f t="shared" si="195"/>
        <v>5</v>
      </c>
      <c r="K105" s="76">
        <v>-59</v>
      </c>
      <c r="L105" s="76">
        <f>-66-K105</f>
        <v>-7</v>
      </c>
      <c r="M105" s="76">
        <f>-143-SUM(K105:L105)</f>
        <v>-77</v>
      </c>
      <c r="N105" s="30">
        <f t="shared" si="192"/>
        <v>-168</v>
      </c>
      <c r="O105" s="76">
        <v>104</v>
      </c>
      <c r="P105" s="76"/>
      <c r="Q105" s="76"/>
      <c r="S105" s="30">
        <f t="shared" si="193"/>
        <v>-43</v>
      </c>
      <c r="T105" s="30">
        <f t="shared" si="193"/>
        <v>0</v>
      </c>
      <c r="U105" s="30">
        <f t="shared" si="193"/>
        <v>116</v>
      </c>
      <c r="V105" s="30">
        <f t="shared" si="193"/>
        <v>-138</v>
      </c>
      <c r="W105" s="30">
        <f t="shared" si="193"/>
        <v>-311</v>
      </c>
      <c r="X105" s="30">
        <f t="shared" si="193"/>
        <v>-148</v>
      </c>
      <c r="Y105" s="30">
        <f t="shared" si="193"/>
        <v>-141</v>
      </c>
      <c r="Z105" s="30">
        <f t="shared" si="193"/>
        <v>-64</v>
      </c>
      <c r="AA105" s="11"/>
      <c r="AB105" s="68">
        <f t="shared" si="197"/>
        <v>-0.53623188405797095</v>
      </c>
    </row>
    <row r="106" spans="2:28" ht="12.75" customHeight="1">
      <c r="B106" s="56" t="s">
        <v>177</v>
      </c>
      <c r="C106" s="76">
        <v>-605</v>
      </c>
      <c r="D106" s="76">
        <v>-846</v>
      </c>
      <c r="E106" s="76">
        <v>-6234</v>
      </c>
      <c r="F106" s="30"/>
      <c r="G106" s="76">
        <v>-2877</v>
      </c>
      <c r="H106" s="76">
        <f>-1756-G106</f>
        <v>1121</v>
      </c>
      <c r="I106" s="76">
        <f>-869-SUM(G106:H106)</f>
        <v>887</v>
      </c>
      <c r="J106" s="30">
        <f t="shared" si="195"/>
        <v>23</v>
      </c>
      <c r="K106" s="76">
        <v>-2845</v>
      </c>
      <c r="L106" s="76">
        <f>-2984-K106</f>
        <v>-139</v>
      </c>
      <c r="M106" s="76">
        <f>-7843-SUM(K106:L106)</f>
        <v>-4859</v>
      </c>
      <c r="N106" s="30">
        <f t="shared" si="192"/>
        <v>1609</v>
      </c>
      <c r="O106" s="76">
        <v>-8521</v>
      </c>
      <c r="P106" s="76"/>
      <c r="Q106" s="76"/>
      <c r="S106" s="30">
        <f t="shared" ref="S106" si="198">SUM(G106:J106)</f>
        <v>-846</v>
      </c>
      <c r="T106" s="30">
        <f t="shared" ref="T106" si="199">SUM(H106:K106)</f>
        <v>-814</v>
      </c>
      <c r="U106" s="30">
        <f t="shared" ref="U106" si="200">SUM(I106:L106)</f>
        <v>-2074</v>
      </c>
      <c r="V106" s="30">
        <f t="shared" ref="V106" si="201">SUM(J106:M106)</f>
        <v>-7820</v>
      </c>
      <c r="W106" s="30">
        <f t="shared" ref="W106" si="202">SUM(K106:N106)</f>
        <v>-6234</v>
      </c>
      <c r="X106" s="30">
        <f t="shared" ref="X106" si="203">SUM(L106:O106)</f>
        <v>-11910</v>
      </c>
      <c r="Y106" s="30">
        <f t="shared" ref="Y106" si="204">SUM(M106:P106)</f>
        <v>-11771</v>
      </c>
      <c r="Z106" s="30">
        <f t="shared" ref="Z106" si="205">SUM(N106:Q106)</f>
        <v>-6912</v>
      </c>
      <c r="AA106" s="11"/>
      <c r="AB106" s="68">
        <f t="shared" ref="AB106" si="206">SUM(Z106/V106)-1</f>
        <v>-0.11611253196930948</v>
      </c>
    </row>
    <row r="107" spans="2:28" ht="12.75" customHeight="1">
      <c r="B107" s="12" t="s">
        <v>54</v>
      </c>
      <c r="C107" s="13">
        <f>SUM(C95:C106)</f>
        <v>11018</v>
      </c>
      <c r="D107" s="13">
        <f>SUM(D95:D106)</f>
        <v>11599</v>
      </c>
      <c r="E107" s="13">
        <f>SUM(E95:E106)</f>
        <v>6805</v>
      </c>
      <c r="G107" s="13">
        <f>SUM(G95:G106)</f>
        <v>160</v>
      </c>
      <c r="H107" s="13">
        <f>SUM(H95:H106)</f>
        <v>4469</v>
      </c>
      <c r="I107" s="13">
        <f>SUM(I95:I106)</f>
        <v>4300</v>
      </c>
      <c r="J107" s="13">
        <f>SUM(J95:J106)</f>
        <v>2670</v>
      </c>
      <c r="K107" s="13">
        <f>SUM(K95:K106)</f>
        <v>528</v>
      </c>
      <c r="L107" s="13">
        <f>SUM(L95:L106)</f>
        <v>3585</v>
      </c>
      <c r="M107" s="13">
        <f>SUM(M95:M106)</f>
        <v>-1259</v>
      </c>
      <c r="N107" s="13">
        <f>SUM(N95:N106)</f>
        <v>3951</v>
      </c>
      <c r="O107" s="13">
        <f>SUM(O95:O106)</f>
        <v>-5202</v>
      </c>
      <c r="P107" s="13">
        <f>SUM(P95:P106)</f>
        <v>0</v>
      </c>
      <c r="Q107" s="13">
        <f>SUM(Q95:Q106)</f>
        <v>0</v>
      </c>
      <c r="S107" s="13">
        <f>SUM(S95:S106)</f>
        <v>11599</v>
      </c>
      <c r="T107" s="13">
        <f>SUM(T95:T106)</f>
        <v>11967</v>
      </c>
      <c r="U107" s="13">
        <f>SUM(U95:U106)</f>
        <v>11083</v>
      </c>
      <c r="V107" s="13">
        <f>SUM(V95:V106)</f>
        <v>5524</v>
      </c>
      <c r="W107" s="13">
        <f>SUM(W95:W106)</f>
        <v>6805</v>
      </c>
      <c r="X107" s="13">
        <f>SUM(X95:X106)</f>
        <v>1075</v>
      </c>
      <c r="Y107" s="13">
        <f>SUM(Y95:Y106)</f>
        <v>-2510</v>
      </c>
      <c r="Z107" s="13">
        <f>SUM(Z95:Z106)</f>
        <v>-1251</v>
      </c>
      <c r="AA107" s="39"/>
      <c r="AB107" s="69">
        <f>SUM(Z107/V107)-1</f>
        <v>-1.2264663287472846</v>
      </c>
    </row>
    <row r="108" spans="2:28" ht="12.75" customHeight="1">
      <c r="B108" s="49"/>
      <c r="C108" s="57"/>
      <c r="D108" s="57"/>
      <c r="E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S108" s="39"/>
      <c r="T108" s="39"/>
      <c r="U108" s="39"/>
      <c r="V108" s="39"/>
      <c r="W108" s="39"/>
      <c r="X108" s="39"/>
      <c r="Y108" s="39"/>
      <c r="Z108" s="39"/>
      <c r="AA108" s="39"/>
      <c r="AB108" s="36"/>
    </row>
    <row r="109" spans="2:28" ht="12.75" customHeight="1">
      <c r="B109" s="112" t="s">
        <v>55</v>
      </c>
      <c r="C109" s="54"/>
      <c r="D109" s="54"/>
      <c r="E109" s="54"/>
      <c r="G109" s="76"/>
      <c r="H109" s="76"/>
      <c r="I109" s="76"/>
      <c r="J109" s="30"/>
      <c r="K109" s="76"/>
      <c r="L109" s="76"/>
      <c r="M109" s="76"/>
      <c r="N109" s="30"/>
      <c r="O109" s="76"/>
      <c r="P109" s="76"/>
      <c r="Q109" s="76"/>
      <c r="S109" s="54"/>
      <c r="T109" s="54"/>
      <c r="U109" s="54"/>
      <c r="V109" s="54"/>
      <c r="W109" s="54"/>
      <c r="X109" s="54"/>
      <c r="Y109" s="54"/>
      <c r="Z109" s="54"/>
      <c r="AA109" s="55"/>
      <c r="AB109" s="36"/>
    </row>
    <row r="110" spans="2:28" ht="12.75" customHeight="1">
      <c r="B110" s="56" t="s">
        <v>154</v>
      </c>
      <c r="C110" s="76">
        <v>-3751</v>
      </c>
      <c r="D110" s="76">
        <v>-6698</v>
      </c>
      <c r="E110" s="76">
        <v>-5640</v>
      </c>
      <c r="F110" s="30"/>
      <c r="G110" s="76">
        <v>-739</v>
      </c>
      <c r="H110" s="76">
        <f>-2103-G110</f>
        <v>-1364</v>
      </c>
      <c r="I110" s="76">
        <f>-4588-SUM(G110:H110)</f>
        <v>-2485</v>
      </c>
      <c r="J110" s="30">
        <f t="shared" ref="J110:J117" si="207">SUM(D110-SUM(G110:I110))</f>
        <v>-2110</v>
      </c>
      <c r="K110" s="76">
        <v>-2552</v>
      </c>
      <c r="L110" s="76">
        <f>-3827-K110</f>
        <v>-1275</v>
      </c>
      <c r="M110" s="76">
        <f>-4398-SUM(K110:L110)</f>
        <v>-571</v>
      </c>
      <c r="N110" s="30">
        <f t="shared" ref="N110:N117" si="208">SUM(E110-SUM(K110:M110))</f>
        <v>-1242</v>
      </c>
      <c r="O110" s="76">
        <v>-2507</v>
      </c>
      <c r="P110" s="76"/>
      <c r="Q110" s="76"/>
      <c r="R110" s="30"/>
      <c r="S110" s="30">
        <f t="shared" ref="S110:Z117" si="209">SUM(G110:J110)</f>
        <v>-6698</v>
      </c>
      <c r="T110" s="30">
        <f t="shared" si="209"/>
        <v>-8511</v>
      </c>
      <c r="U110" s="30">
        <f t="shared" si="209"/>
        <v>-8422</v>
      </c>
      <c r="V110" s="30">
        <f t="shared" si="209"/>
        <v>-6508</v>
      </c>
      <c r="W110" s="30">
        <f t="shared" si="209"/>
        <v>-5640</v>
      </c>
      <c r="X110" s="30">
        <f t="shared" si="209"/>
        <v>-5595</v>
      </c>
      <c r="Y110" s="30">
        <f t="shared" si="209"/>
        <v>-4320</v>
      </c>
      <c r="Z110" s="30">
        <f t="shared" si="209"/>
        <v>-3749</v>
      </c>
      <c r="AA110" s="55"/>
      <c r="AB110" s="68">
        <f t="shared" ref="AB110" si="210">SUM(Z110/V110)-1</f>
        <v>-0.42393976644130305</v>
      </c>
    </row>
    <row r="111" spans="2:28" ht="12.75" customHeight="1">
      <c r="B111" s="56" t="s">
        <v>155</v>
      </c>
      <c r="C111" s="76">
        <v>4771</v>
      </c>
      <c r="D111" s="76">
        <v>4354</v>
      </c>
      <c r="E111" s="76">
        <v>6589</v>
      </c>
      <c r="F111" s="30"/>
      <c r="G111" s="76">
        <v>815</v>
      </c>
      <c r="H111" s="76">
        <f>1608-G111</f>
        <v>793</v>
      </c>
      <c r="I111" s="76">
        <f>2892-SUM(G111:H111)</f>
        <v>1284</v>
      </c>
      <c r="J111" s="30">
        <f t="shared" si="207"/>
        <v>1462</v>
      </c>
      <c r="K111" s="76">
        <v>444</v>
      </c>
      <c r="L111" s="76">
        <f>2662-K111</f>
        <v>2218</v>
      </c>
      <c r="M111" s="76">
        <f>5125-SUM(K111:L111)</f>
        <v>2463</v>
      </c>
      <c r="N111" s="30">
        <f t="shared" si="208"/>
        <v>1464</v>
      </c>
      <c r="O111" s="76">
        <v>1005</v>
      </c>
      <c r="P111" s="76"/>
      <c r="Q111" s="76"/>
      <c r="R111" s="30"/>
      <c r="S111" s="30">
        <f t="shared" si="209"/>
        <v>4354</v>
      </c>
      <c r="T111" s="30">
        <f t="shared" si="209"/>
        <v>3983</v>
      </c>
      <c r="U111" s="30">
        <f t="shared" si="209"/>
        <v>5408</v>
      </c>
      <c r="V111" s="30">
        <f t="shared" si="209"/>
        <v>6587</v>
      </c>
      <c r="W111" s="30">
        <f t="shared" si="209"/>
        <v>6589</v>
      </c>
      <c r="X111" s="30">
        <f t="shared" si="209"/>
        <v>7150</v>
      </c>
      <c r="Y111" s="30">
        <f t="shared" si="209"/>
        <v>4932</v>
      </c>
      <c r="Z111" s="30">
        <f t="shared" si="209"/>
        <v>2469</v>
      </c>
      <c r="AA111" s="55"/>
      <c r="AB111" s="68">
        <f t="shared" ref="AB111" si="211">SUM(Z111/V111)-1</f>
        <v>-0.62517079095187489</v>
      </c>
    </row>
    <row r="112" spans="2:28" ht="12.75" customHeight="1">
      <c r="B112" s="56" t="s">
        <v>156</v>
      </c>
      <c r="C112" s="76">
        <v>-73</v>
      </c>
      <c r="D112" s="76">
        <v>-62</v>
      </c>
      <c r="E112" s="76">
        <v>-315</v>
      </c>
      <c r="F112" s="30"/>
      <c r="G112" s="76">
        <v>-20</v>
      </c>
      <c r="H112" s="76">
        <f>-43-G112</f>
        <v>-23</v>
      </c>
      <c r="I112" s="76">
        <f>-45-SUM(G112:H112)</f>
        <v>-2</v>
      </c>
      <c r="J112" s="30">
        <f t="shared" si="207"/>
        <v>-17</v>
      </c>
      <c r="K112" s="76">
        <v>-8</v>
      </c>
      <c r="L112" s="76">
        <f>-25-K112</f>
        <v>-17</v>
      </c>
      <c r="M112" s="76">
        <f>-153-SUM(K112:L112)</f>
        <v>-128</v>
      </c>
      <c r="N112" s="30">
        <f t="shared" si="208"/>
        <v>-162</v>
      </c>
      <c r="O112" s="76">
        <v>-42</v>
      </c>
      <c r="P112" s="76"/>
      <c r="Q112" s="76"/>
      <c r="R112" s="30"/>
      <c r="S112" s="30">
        <f t="shared" si="209"/>
        <v>-62</v>
      </c>
      <c r="T112" s="30">
        <f t="shared" si="209"/>
        <v>-50</v>
      </c>
      <c r="U112" s="30">
        <f t="shared" si="209"/>
        <v>-44</v>
      </c>
      <c r="V112" s="30">
        <f t="shared" si="209"/>
        <v>-170</v>
      </c>
      <c r="W112" s="30">
        <f t="shared" si="209"/>
        <v>-315</v>
      </c>
      <c r="X112" s="30">
        <f t="shared" si="209"/>
        <v>-349</v>
      </c>
      <c r="Y112" s="30">
        <f t="shared" si="209"/>
        <v>-332</v>
      </c>
      <c r="Z112" s="30">
        <f t="shared" si="209"/>
        <v>-204</v>
      </c>
      <c r="AA112" s="55"/>
      <c r="AB112" s="68">
        <f t="shared" ref="AB112:AB113" si="212">SUM(Z112/V112)-1</f>
        <v>0.19999999999999996</v>
      </c>
    </row>
    <row r="113" spans="2:28" ht="12.75" customHeight="1">
      <c r="B113" s="56" t="s">
        <v>157</v>
      </c>
      <c r="C113" s="76">
        <v>458</v>
      </c>
      <c r="D113" s="76">
        <v>430</v>
      </c>
      <c r="E113" s="76">
        <v>3485</v>
      </c>
      <c r="F113" s="30"/>
      <c r="G113" s="76">
        <v>319</v>
      </c>
      <c r="H113" s="76">
        <f>320-G113</f>
        <v>1</v>
      </c>
      <c r="I113" s="76">
        <f>327-SUM(G113:H113)</f>
        <v>7</v>
      </c>
      <c r="J113" s="30">
        <f t="shared" si="207"/>
        <v>103</v>
      </c>
      <c r="K113" s="76">
        <v>2893</v>
      </c>
      <c r="L113" s="76">
        <f>2907-K113</f>
        <v>14</v>
      </c>
      <c r="M113" s="76">
        <f>3468-SUM(K113:L113)</f>
        <v>561</v>
      </c>
      <c r="N113" s="30">
        <f t="shared" si="208"/>
        <v>17</v>
      </c>
      <c r="O113" s="76">
        <v>748</v>
      </c>
      <c r="P113" s="76"/>
      <c r="Q113" s="76"/>
      <c r="R113" s="30"/>
      <c r="S113" s="30">
        <f t="shared" si="209"/>
        <v>430</v>
      </c>
      <c r="T113" s="30">
        <f t="shared" si="209"/>
        <v>3004</v>
      </c>
      <c r="U113" s="30">
        <f t="shared" si="209"/>
        <v>3017</v>
      </c>
      <c r="V113" s="30">
        <f t="shared" si="209"/>
        <v>3571</v>
      </c>
      <c r="W113" s="30">
        <f t="shared" si="209"/>
        <v>3485</v>
      </c>
      <c r="X113" s="30">
        <f t="shared" si="209"/>
        <v>1340</v>
      </c>
      <c r="Y113" s="30">
        <f t="shared" si="209"/>
        <v>1326</v>
      </c>
      <c r="Z113" s="30">
        <f t="shared" si="209"/>
        <v>765</v>
      </c>
      <c r="AA113" s="55"/>
      <c r="AB113" s="68">
        <f t="shared" si="212"/>
        <v>-0.78577429291514989</v>
      </c>
    </row>
    <row r="114" spans="2:28" ht="12.75" customHeight="1">
      <c r="B114" s="56" t="s">
        <v>158</v>
      </c>
      <c r="C114" s="76">
        <v>-1484</v>
      </c>
      <c r="D114" s="76">
        <v>-1852</v>
      </c>
      <c r="E114" s="76">
        <v>-2064</v>
      </c>
      <c r="F114" s="30"/>
      <c r="G114" s="76">
        <v>-276</v>
      </c>
      <c r="H114" s="76">
        <f>-615-G114</f>
        <v>-339</v>
      </c>
      <c r="I114" s="76">
        <f>-1001-SUM(G114:H114)</f>
        <v>-386</v>
      </c>
      <c r="J114" s="30">
        <f t="shared" si="207"/>
        <v>-851</v>
      </c>
      <c r="K114" s="76">
        <v>-370</v>
      </c>
      <c r="L114" s="76">
        <f>-792-K114</f>
        <v>-422</v>
      </c>
      <c r="M114" s="76">
        <f>-1261-SUM(K114:L114)</f>
        <v>-469</v>
      </c>
      <c r="N114" s="30">
        <f t="shared" si="208"/>
        <v>-803</v>
      </c>
      <c r="O114" s="76">
        <v>-309</v>
      </c>
      <c r="P114" s="76"/>
      <c r="Q114" s="76"/>
      <c r="R114" s="30"/>
      <c r="S114" s="30">
        <f t="shared" si="209"/>
        <v>-1852</v>
      </c>
      <c r="T114" s="30">
        <f t="shared" si="209"/>
        <v>-1946</v>
      </c>
      <c r="U114" s="30">
        <f t="shared" si="209"/>
        <v>-2029</v>
      </c>
      <c r="V114" s="30">
        <f t="shared" si="209"/>
        <v>-2112</v>
      </c>
      <c r="W114" s="30">
        <f t="shared" si="209"/>
        <v>-2064</v>
      </c>
      <c r="X114" s="30">
        <f t="shared" si="209"/>
        <v>-2003</v>
      </c>
      <c r="Y114" s="30">
        <f t="shared" si="209"/>
        <v>-1581</v>
      </c>
      <c r="Z114" s="30">
        <f t="shared" si="209"/>
        <v>-1112</v>
      </c>
      <c r="AA114" s="55"/>
      <c r="AB114" s="68">
        <f t="shared" ref="AB114:AB117" si="213">SUM(Z114/V114)-1</f>
        <v>-0.47348484848484851</v>
      </c>
    </row>
    <row r="115" spans="2:28" ht="12.75" customHeight="1">
      <c r="B115" s="56" t="s">
        <v>176</v>
      </c>
      <c r="C115" s="76">
        <v>75</v>
      </c>
      <c r="D115" s="76">
        <v>74</v>
      </c>
      <c r="E115" s="76">
        <v>40</v>
      </c>
      <c r="F115" s="30"/>
      <c r="G115" s="76">
        <v>21</v>
      </c>
      <c r="H115" s="76">
        <f>38-G115</f>
        <v>17</v>
      </c>
      <c r="I115" s="76">
        <f>46-SUM(G115:H115)</f>
        <v>8</v>
      </c>
      <c r="J115" s="30">
        <f t="shared" si="207"/>
        <v>28</v>
      </c>
      <c r="K115" s="76">
        <v>14</v>
      </c>
      <c r="L115" s="76">
        <f>21-K115</f>
        <v>7</v>
      </c>
      <c r="M115" s="76">
        <f>33-SUM(K115:L115)</f>
        <v>12</v>
      </c>
      <c r="N115" s="30">
        <f t="shared" si="208"/>
        <v>7</v>
      </c>
      <c r="O115" s="76">
        <v>8</v>
      </c>
      <c r="P115" s="76"/>
      <c r="Q115" s="76"/>
      <c r="R115" s="30"/>
      <c r="S115" s="30">
        <f t="shared" ref="S115" si="214">SUM(G115:J115)</f>
        <v>74</v>
      </c>
      <c r="T115" s="30">
        <f t="shared" ref="T115" si="215">SUM(H115:K115)</f>
        <v>67</v>
      </c>
      <c r="U115" s="30">
        <f t="shared" ref="U115" si="216">SUM(I115:L115)</f>
        <v>57</v>
      </c>
      <c r="V115" s="30">
        <f t="shared" ref="V115" si="217">SUM(J115:M115)</f>
        <v>61</v>
      </c>
      <c r="W115" s="30">
        <f t="shared" ref="W115" si="218">SUM(K115:N115)</f>
        <v>40</v>
      </c>
      <c r="X115" s="30">
        <f t="shared" ref="X115" si="219">SUM(L115:O115)</f>
        <v>34</v>
      </c>
      <c r="Y115" s="30">
        <f t="shared" ref="Y115" si="220">SUM(M115:P115)</f>
        <v>27</v>
      </c>
      <c r="Z115" s="30">
        <f t="shared" ref="Z115" si="221">SUM(N115:Q115)</f>
        <v>15</v>
      </c>
      <c r="AA115" s="55"/>
      <c r="AB115" s="68">
        <f t="shared" ref="AB115" si="222">SUM(Z115/V115)-1</f>
        <v>-0.75409836065573765</v>
      </c>
    </row>
    <row r="116" spans="2:28" ht="12.75" customHeight="1">
      <c r="B116" s="56" t="s">
        <v>159</v>
      </c>
      <c r="C116" s="76">
        <v>-1465</v>
      </c>
      <c r="D116" s="76">
        <v>366</v>
      </c>
      <c r="E116" s="76">
        <v>235</v>
      </c>
      <c r="F116" s="30"/>
      <c r="G116" s="76">
        <v>18</v>
      </c>
      <c r="H116" s="76">
        <f>-15-G116</f>
        <v>-33</v>
      </c>
      <c r="I116" s="76">
        <f>-124-SUM(G116:H116)</f>
        <v>-109</v>
      </c>
      <c r="J116" s="30">
        <f t="shared" si="207"/>
        <v>490</v>
      </c>
      <c r="K116" s="76">
        <v>-105</v>
      </c>
      <c r="L116" s="76">
        <f>-76-K116</f>
        <v>29</v>
      </c>
      <c r="M116" s="76">
        <f>299-SUM(K116:L116)</f>
        <v>375</v>
      </c>
      <c r="N116" s="30">
        <f t="shared" si="208"/>
        <v>-64</v>
      </c>
      <c r="O116" s="76">
        <v>-15</v>
      </c>
      <c r="P116" s="76"/>
      <c r="Q116" s="76"/>
      <c r="R116" s="30"/>
      <c r="S116" s="30">
        <f t="shared" si="209"/>
        <v>366</v>
      </c>
      <c r="T116" s="30">
        <f t="shared" si="209"/>
        <v>243</v>
      </c>
      <c r="U116" s="30">
        <f t="shared" si="209"/>
        <v>305</v>
      </c>
      <c r="V116" s="30">
        <f t="shared" si="209"/>
        <v>789</v>
      </c>
      <c r="W116" s="30">
        <f t="shared" si="209"/>
        <v>235</v>
      </c>
      <c r="X116" s="30">
        <f t="shared" si="209"/>
        <v>325</v>
      </c>
      <c r="Y116" s="30">
        <f t="shared" si="209"/>
        <v>296</v>
      </c>
      <c r="Z116" s="30">
        <f t="shared" si="209"/>
        <v>-79</v>
      </c>
      <c r="AA116" s="55"/>
      <c r="AB116" s="68">
        <f t="shared" si="213"/>
        <v>-1.100126742712294</v>
      </c>
    </row>
    <row r="117" spans="2:28" ht="12.75" customHeight="1">
      <c r="B117" s="56" t="s">
        <v>160</v>
      </c>
      <c r="C117" s="76">
        <v>706</v>
      </c>
      <c r="D117" s="76">
        <v>39</v>
      </c>
      <c r="E117" s="76">
        <v>194</v>
      </c>
      <c r="F117" s="30"/>
      <c r="G117" s="76">
        <v>-21</v>
      </c>
      <c r="H117" s="76">
        <f>44-G117</f>
        <v>65</v>
      </c>
      <c r="I117" s="76">
        <f>70-SUM(G117:H117)</f>
        <v>26</v>
      </c>
      <c r="J117" s="30">
        <f t="shared" si="207"/>
        <v>-31</v>
      </c>
      <c r="K117" s="76">
        <v>14</v>
      </c>
      <c r="L117" s="76">
        <f>127-K117</f>
        <v>113</v>
      </c>
      <c r="M117" s="76">
        <f>194-SUM(K117:L117)</f>
        <v>67</v>
      </c>
      <c r="N117" s="30">
        <f t="shared" si="208"/>
        <v>0</v>
      </c>
      <c r="O117" s="76">
        <v>45</v>
      </c>
      <c r="P117" s="76"/>
      <c r="Q117" s="76"/>
      <c r="R117" s="30"/>
      <c r="S117" s="30">
        <f t="shared" si="209"/>
        <v>39</v>
      </c>
      <c r="T117" s="30">
        <f t="shared" si="209"/>
        <v>74</v>
      </c>
      <c r="U117" s="30">
        <f t="shared" si="209"/>
        <v>122</v>
      </c>
      <c r="V117" s="30">
        <f t="shared" si="209"/>
        <v>163</v>
      </c>
      <c r="W117" s="30">
        <f t="shared" si="209"/>
        <v>194</v>
      </c>
      <c r="X117" s="30">
        <f t="shared" si="209"/>
        <v>225</v>
      </c>
      <c r="Y117" s="30">
        <f t="shared" si="209"/>
        <v>112</v>
      </c>
      <c r="Z117" s="30">
        <f t="shared" si="209"/>
        <v>45</v>
      </c>
      <c r="AA117" s="55"/>
      <c r="AB117" s="68">
        <f t="shared" si="213"/>
        <v>-0.7239263803680982</v>
      </c>
    </row>
    <row r="118" spans="2:28" ht="12.75" customHeight="1">
      <c r="B118" s="12" t="s">
        <v>56</v>
      </c>
      <c r="C118" s="13">
        <f>SUM(C110:C117)</f>
        <v>-763</v>
      </c>
      <c r="D118" s="13">
        <f>SUM(D110:D117)</f>
        <v>-3349</v>
      </c>
      <c r="E118" s="13">
        <f>SUM(E110:E117)</f>
        <v>2524</v>
      </c>
      <c r="G118" s="13">
        <f t="shared" ref="G118:Q118" si="223">SUM(G110:G117)</f>
        <v>117</v>
      </c>
      <c r="H118" s="13">
        <f t="shared" si="223"/>
        <v>-883</v>
      </c>
      <c r="I118" s="13">
        <f t="shared" si="223"/>
        <v>-1657</v>
      </c>
      <c r="J118" s="13">
        <f t="shared" si="223"/>
        <v>-926</v>
      </c>
      <c r="K118" s="13">
        <f t="shared" si="223"/>
        <v>330</v>
      </c>
      <c r="L118" s="13">
        <f t="shared" si="223"/>
        <v>667</v>
      </c>
      <c r="M118" s="13">
        <f t="shared" si="223"/>
        <v>2310</v>
      </c>
      <c r="N118" s="13">
        <f t="shared" si="223"/>
        <v>-783</v>
      </c>
      <c r="O118" s="13">
        <f t="shared" si="223"/>
        <v>-1067</v>
      </c>
      <c r="P118" s="13">
        <f t="shared" si="223"/>
        <v>0</v>
      </c>
      <c r="Q118" s="13">
        <f t="shared" si="223"/>
        <v>0</v>
      </c>
      <c r="S118" s="13">
        <f t="shared" ref="S118:Z118" si="224">SUM(S110:S117)</f>
        <v>-3349</v>
      </c>
      <c r="T118" s="13">
        <f t="shared" si="224"/>
        <v>-3136</v>
      </c>
      <c r="U118" s="13">
        <f t="shared" si="224"/>
        <v>-1586</v>
      </c>
      <c r="V118" s="13">
        <f t="shared" si="224"/>
        <v>2381</v>
      </c>
      <c r="W118" s="13">
        <f t="shared" si="224"/>
        <v>2524</v>
      </c>
      <c r="X118" s="13">
        <f t="shared" si="224"/>
        <v>1127</v>
      </c>
      <c r="Y118" s="13">
        <f t="shared" si="224"/>
        <v>460</v>
      </c>
      <c r="Z118" s="13">
        <f t="shared" si="224"/>
        <v>-1850</v>
      </c>
      <c r="AA118" s="39"/>
      <c r="AB118" s="69">
        <f>SUM(Z118/V118)-1</f>
        <v>-1.7769844603107938</v>
      </c>
    </row>
    <row r="119" spans="2:28" ht="5.0999999999999996" customHeight="1">
      <c r="B119" s="48"/>
      <c r="C119" s="57"/>
      <c r="D119" s="57"/>
      <c r="E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S119" s="39"/>
      <c r="T119" s="39"/>
      <c r="U119" s="39"/>
      <c r="V119" s="39"/>
      <c r="W119" s="39"/>
      <c r="X119" s="39"/>
      <c r="Y119" s="39"/>
      <c r="Z119" s="39"/>
      <c r="AA119" s="39"/>
      <c r="AB119" s="36"/>
    </row>
    <row r="120" spans="2:28" ht="12.75" customHeight="1">
      <c r="B120" s="112" t="s">
        <v>57</v>
      </c>
      <c r="C120" s="58"/>
      <c r="D120" s="58"/>
      <c r="E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30"/>
      <c r="S120" s="30"/>
      <c r="T120" s="30"/>
      <c r="U120" s="30"/>
      <c r="V120" s="30"/>
      <c r="W120" s="30"/>
      <c r="X120" s="30"/>
      <c r="Y120" s="30"/>
      <c r="Z120" s="30"/>
      <c r="AA120" s="59"/>
      <c r="AB120" s="36"/>
    </row>
    <row r="121" spans="2:28" ht="12.75" customHeight="1">
      <c r="B121" s="77" t="s">
        <v>161</v>
      </c>
      <c r="C121" s="76">
        <v>3972</v>
      </c>
      <c r="D121" s="76">
        <v>6891</v>
      </c>
      <c r="E121" s="76">
        <v>12061</v>
      </c>
      <c r="G121" s="76">
        <v>4074</v>
      </c>
      <c r="H121" s="76">
        <f>4638-G121</f>
        <v>564</v>
      </c>
      <c r="I121" s="76">
        <f>6013-SUM(G121:H121)</f>
        <v>1375</v>
      </c>
      <c r="J121" s="30">
        <f t="shared" ref="J121:J126" si="225">SUM(D121-SUM(G121:I121))</f>
        <v>878</v>
      </c>
      <c r="K121" s="76">
        <v>2285</v>
      </c>
      <c r="L121" s="76">
        <f>6832-K121</f>
        <v>4547</v>
      </c>
      <c r="M121" s="76">
        <f>11298-SUM(K121:L121)</f>
        <v>4466</v>
      </c>
      <c r="N121" s="30">
        <f t="shared" ref="N121:N126" si="226">SUM(E121-SUM(K121:M121))</f>
        <v>763</v>
      </c>
      <c r="O121" s="76">
        <v>5436</v>
      </c>
      <c r="P121" s="76"/>
      <c r="Q121" s="76"/>
      <c r="R121" s="30"/>
      <c r="S121" s="30">
        <f t="shared" ref="S121:Z126" si="227">SUM(G121:J121)</f>
        <v>6891</v>
      </c>
      <c r="T121" s="30">
        <f t="shared" si="227"/>
        <v>5102</v>
      </c>
      <c r="U121" s="30">
        <f t="shared" si="227"/>
        <v>9085</v>
      </c>
      <c r="V121" s="30">
        <f t="shared" si="227"/>
        <v>12176</v>
      </c>
      <c r="W121" s="30">
        <f t="shared" si="227"/>
        <v>12061</v>
      </c>
      <c r="X121" s="30">
        <f t="shared" si="227"/>
        <v>15212</v>
      </c>
      <c r="Y121" s="30">
        <f t="shared" si="227"/>
        <v>10665</v>
      </c>
      <c r="Z121" s="30">
        <f t="shared" si="227"/>
        <v>6199</v>
      </c>
      <c r="AA121" s="59"/>
      <c r="AB121" s="68">
        <f t="shared" ref="AB121" si="228">SUM(Z121/V121)-1</f>
        <v>-0.49088370565045991</v>
      </c>
    </row>
    <row r="122" spans="2:28" ht="12.75" customHeight="1">
      <c r="B122" s="56" t="s">
        <v>162</v>
      </c>
      <c r="C122" s="76">
        <v>-4930</v>
      </c>
      <c r="D122" s="76">
        <v>-5034</v>
      </c>
      <c r="E122" s="76">
        <v>-9533</v>
      </c>
      <c r="F122" s="30"/>
      <c r="G122" s="76">
        <v>-1174</v>
      </c>
      <c r="H122" s="76">
        <f>-2366-G122</f>
        <v>-1192</v>
      </c>
      <c r="I122" s="76">
        <f>-4794-SUM(G122:H122)</f>
        <v>-2428</v>
      </c>
      <c r="J122" s="30">
        <f t="shared" si="225"/>
        <v>-240</v>
      </c>
      <c r="K122" s="76">
        <v>-1366</v>
      </c>
      <c r="L122" s="76">
        <f>-4734-K122</f>
        <v>-3368</v>
      </c>
      <c r="M122" s="76">
        <f>-7925-SUM(K122:L122)</f>
        <v>-3191</v>
      </c>
      <c r="N122" s="30">
        <f t="shared" si="226"/>
        <v>-1608</v>
      </c>
      <c r="O122" s="76">
        <v>-1599</v>
      </c>
      <c r="P122" s="76"/>
      <c r="Q122" s="76"/>
      <c r="R122" s="30"/>
      <c r="S122" s="30">
        <f t="shared" si="227"/>
        <v>-5034</v>
      </c>
      <c r="T122" s="30">
        <f t="shared" si="227"/>
        <v>-5226</v>
      </c>
      <c r="U122" s="30">
        <f t="shared" si="227"/>
        <v>-7402</v>
      </c>
      <c r="V122" s="30">
        <f t="shared" si="227"/>
        <v>-8165</v>
      </c>
      <c r="W122" s="30">
        <f t="shared" si="227"/>
        <v>-9533</v>
      </c>
      <c r="X122" s="30">
        <f t="shared" si="227"/>
        <v>-9766</v>
      </c>
      <c r="Y122" s="30">
        <f t="shared" si="227"/>
        <v>-6398</v>
      </c>
      <c r="Z122" s="30">
        <f t="shared" si="227"/>
        <v>-3207</v>
      </c>
      <c r="AA122" s="55"/>
      <c r="AB122" s="68">
        <f t="shared" ref="AB122" si="229">SUM(Z122/V122)-1</f>
        <v>-0.60722596448254751</v>
      </c>
    </row>
    <row r="123" spans="2:28" ht="12.75" customHeight="1">
      <c r="B123" s="56" t="s">
        <v>163</v>
      </c>
      <c r="C123" s="76">
        <v>837</v>
      </c>
      <c r="D123" s="76">
        <v>539</v>
      </c>
      <c r="E123" s="76">
        <v>747</v>
      </c>
      <c r="F123" s="30"/>
      <c r="G123" s="76">
        <v>229</v>
      </c>
      <c r="H123" s="76">
        <f>359-G123</f>
        <v>130</v>
      </c>
      <c r="I123" s="76">
        <f>424-SUM(G123:H123)</f>
        <v>65</v>
      </c>
      <c r="J123" s="30">
        <f t="shared" si="225"/>
        <v>115</v>
      </c>
      <c r="K123" s="76">
        <v>290</v>
      </c>
      <c r="L123" s="76">
        <f>437-K123</f>
        <v>147</v>
      </c>
      <c r="M123" s="76">
        <f>717-SUM(K123:L123)</f>
        <v>280</v>
      </c>
      <c r="N123" s="30">
        <f t="shared" si="226"/>
        <v>30</v>
      </c>
      <c r="O123" s="76">
        <v>159</v>
      </c>
      <c r="P123" s="76"/>
      <c r="Q123" s="76"/>
      <c r="R123" s="30"/>
      <c r="S123" s="30">
        <f t="shared" si="227"/>
        <v>539</v>
      </c>
      <c r="T123" s="30">
        <f t="shared" si="227"/>
        <v>600</v>
      </c>
      <c r="U123" s="30">
        <f t="shared" si="227"/>
        <v>617</v>
      </c>
      <c r="V123" s="30">
        <f t="shared" si="227"/>
        <v>832</v>
      </c>
      <c r="W123" s="30">
        <f t="shared" si="227"/>
        <v>747</v>
      </c>
      <c r="X123" s="30">
        <f t="shared" si="227"/>
        <v>616</v>
      </c>
      <c r="Y123" s="30">
        <f t="shared" si="227"/>
        <v>469</v>
      </c>
      <c r="Z123" s="30">
        <f t="shared" si="227"/>
        <v>189</v>
      </c>
      <c r="AA123" s="55"/>
      <c r="AB123" s="68">
        <f t="shared" ref="AB123:AB124" si="230">SUM(Z123/V123)-1</f>
        <v>-0.77283653846153844</v>
      </c>
    </row>
    <row r="124" spans="2:28" ht="12.75" customHeight="1">
      <c r="B124" s="56" t="s">
        <v>164</v>
      </c>
      <c r="C124" s="76">
        <v>-1418</v>
      </c>
      <c r="D124" s="76">
        <v>-2289</v>
      </c>
      <c r="E124" s="76">
        <v>-1795</v>
      </c>
      <c r="F124" s="30"/>
      <c r="G124" s="76">
        <v>-848</v>
      </c>
      <c r="H124" s="76">
        <f>-1084-G124</f>
        <v>-236</v>
      </c>
      <c r="I124" s="76">
        <f>-1193-SUM(G124:H124)</f>
        <v>-109</v>
      </c>
      <c r="J124" s="30">
        <f t="shared" si="225"/>
        <v>-1096</v>
      </c>
      <c r="K124" s="76">
        <v>-702</v>
      </c>
      <c r="L124" s="76">
        <f>-874-K124</f>
        <v>-172</v>
      </c>
      <c r="M124" s="76">
        <f>-1228-SUM(K124:L124)</f>
        <v>-354</v>
      </c>
      <c r="N124" s="30">
        <f t="shared" si="226"/>
        <v>-567</v>
      </c>
      <c r="O124" s="76">
        <v>-370</v>
      </c>
      <c r="P124" s="76"/>
      <c r="Q124" s="76"/>
      <c r="R124" s="30"/>
      <c r="S124" s="30">
        <f t="shared" si="227"/>
        <v>-2289</v>
      </c>
      <c r="T124" s="30">
        <f t="shared" si="227"/>
        <v>-2143</v>
      </c>
      <c r="U124" s="30">
        <f t="shared" si="227"/>
        <v>-2079</v>
      </c>
      <c r="V124" s="30">
        <f t="shared" si="227"/>
        <v>-2324</v>
      </c>
      <c r="W124" s="30">
        <f t="shared" si="227"/>
        <v>-1795</v>
      </c>
      <c r="X124" s="30">
        <f t="shared" si="227"/>
        <v>-1463</v>
      </c>
      <c r="Y124" s="30">
        <f t="shared" si="227"/>
        <v>-1291</v>
      </c>
      <c r="Z124" s="30">
        <f t="shared" si="227"/>
        <v>-937</v>
      </c>
      <c r="AA124" s="55"/>
      <c r="AB124" s="68">
        <f t="shared" si="230"/>
        <v>-0.596815834767642</v>
      </c>
    </row>
    <row r="125" spans="2:28" ht="12.75" customHeight="1">
      <c r="B125" s="56" t="s">
        <v>165</v>
      </c>
      <c r="C125" s="76">
        <v>-7616</v>
      </c>
      <c r="D125" s="76">
        <v>-7952</v>
      </c>
      <c r="E125" s="76">
        <v>-8359</v>
      </c>
      <c r="F125" s="30"/>
      <c r="G125" s="76">
        <v>-101</v>
      </c>
      <c r="H125" s="76">
        <f>-2089-G125</f>
        <v>-1988</v>
      </c>
      <c r="I125" s="76">
        <f>-4078-SUM(G125:H125)</f>
        <v>-1989</v>
      </c>
      <c r="J125" s="30">
        <f t="shared" si="225"/>
        <v>-3874</v>
      </c>
      <c r="K125" s="76">
        <v>-99</v>
      </c>
      <c r="L125" s="76">
        <f>-2184-K125</f>
        <v>-2085</v>
      </c>
      <c r="M125" s="76">
        <f>-4274-SUM(K125:L125)</f>
        <v>-2090</v>
      </c>
      <c r="N125" s="30">
        <f t="shared" si="226"/>
        <v>-4085</v>
      </c>
      <c r="O125" s="76">
        <v>-89</v>
      </c>
      <c r="P125" s="76"/>
      <c r="Q125" s="76"/>
      <c r="R125" s="30"/>
      <c r="S125" s="30">
        <f t="shared" si="227"/>
        <v>-7952</v>
      </c>
      <c r="T125" s="30">
        <f t="shared" si="227"/>
        <v>-7950</v>
      </c>
      <c r="U125" s="30">
        <f t="shared" si="227"/>
        <v>-8047</v>
      </c>
      <c r="V125" s="30">
        <f t="shared" si="227"/>
        <v>-8148</v>
      </c>
      <c r="W125" s="30">
        <f t="shared" si="227"/>
        <v>-8359</v>
      </c>
      <c r="X125" s="30">
        <f t="shared" si="227"/>
        <v>-8349</v>
      </c>
      <c r="Y125" s="30">
        <f t="shared" si="227"/>
        <v>-6264</v>
      </c>
      <c r="Z125" s="30">
        <f t="shared" si="227"/>
        <v>-4174</v>
      </c>
      <c r="AA125" s="55"/>
      <c r="AB125" s="68">
        <f t="shared" ref="AB125:AB126" si="231">SUM(Z125/V125)-1</f>
        <v>-0.48772704958271973</v>
      </c>
    </row>
    <row r="126" spans="2:28" ht="12.75" customHeight="1">
      <c r="B126" s="56" t="s">
        <v>166</v>
      </c>
      <c r="C126" s="76">
        <v>-1095</v>
      </c>
      <c r="D126" s="76">
        <v>-465</v>
      </c>
      <c r="E126" s="76">
        <v>-31</v>
      </c>
      <c r="F126" s="30"/>
      <c r="G126" s="76">
        <v>-115</v>
      </c>
      <c r="H126" s="76">
        <f>-456-G126</f>
        <v>-341</v>
      </c>
      <c r="I126" s="76">
        <f>-457-SUM(G126:H126)</f>
        <v>-1</v>
      </c>
      <c r="J126" s="30">
        <f t="shared" si="225"/>
        <v>-8</v>
      </c>
      <c r="K126" s="76">
        <v>-2</v>
      </c>
      <c r="L126" s="76">
        <f>-9-K126</f>
        <v>-7</v>
      </c>
      <c r="M126" s="76">
        <f>-14-SUM(K126:L126)</f>
        <v>-5</v>
      </c>
      <c r="N126" s="30">
        <f t="shared" si="226"/>
        <v>-17</v>
      </c>
      <c r="O126" s="76">
        <v>-105</v>
      </c>
      <c r="P126" s="76"/>
      <c r="Q126" s="76"/>
      <c r="R126" s="30"/>
      <c r="S126" s="30">
        <f t="shared" si="227"/>
        <v>-465</v>
      </c>
      <c r="T126" s="30">
        <f t="shared" si="227"/>
        <v>-352</v>
      </c>
      <c r="U126" s="30">
        <f t="shared" si="227"/>
        <v>-18</v>
      </c>
      <c r="V126" s="30">
        <f t="shared" si="227"/>
        <v>-22</v>
      </c>
      <c r="W126" s="30">
        <f t="shared" si="227"/>
        <v>-31</v>
      </c>
      <c r="X126" s="30">
        <f t="shared" si="227"/>
        <v>-134</v>
      </c>
      <c r="Y126" s="30">
        <f t="shared" si="227"/>
        <v>-127</v>
      </c>
      <c r="Z126" s="30">
        <f t="shared" si="227"/>
        <v>-122</v>
      </c>
      <c r="AA126" s="55"/>
      <c r="AB126" s="68">
        <f t="shared" si="231"/>
        <v>4.5454545454545459</v>
      </c>
    </row>
    <row r="127" spans="2:28" ht="12.75" customHeight="1">
      <c r="B127" s="12" t="s">
        <v>58</v>
      </c>
      <c r="C127" s="13">
        <f>SUM(C121:C126)</f>
        <v>-10250</v>
      </c>
      <c r="D127" s="13">
        <f>SUM(D121:D126)</f>
        <v>-8310</v>
      </c>
      <c r="E127" s="13">
        <f>SUM(E121:E126)</f>
        <v>-6910</v>
      </c>
      <c r="G127" s="13">
        <f t="shared" ref="G127:Q127" si="232">SUM(G121:G126)</f>
        <v>2065</v>
      </c>
      <c r="H127" s="13">
        <f t="shared" si="232"/>
        <v>-3063</v>
      </c>
      <c r="I127" s="13">
        <f t="shared" si="232"/>
        <v>-3087</v>
      </c>
      <c r="J127" s="13">
        <f t="shared" si="232"/>
        <v>-4225</v>
      </c>
      <c r="K127" s="13">
        <f t="shared" si="232"/>
        <v>406</v>
      </c>
      <c r="L127" s="13">
        <f t="shared" si="232"/>
        <v>-938</v>
      </c>
      <c r="M127" s="13">
        <f t="shared" si="232"/>
        <v>-894</v>
      </c>
      <c r="N127" s="13">
        <f t="shared" si="232"/>
        <v>-5484</v>
      </c>
      <c r="O127" s="13">
        <f t="shared" si="232"/>
        <v>3432</v>
      </c>
      <c r="P127" s="13">
        <f t="shared" si="232"/>
        <v>0</v>
      </c>
      <c r="Q127" s="13">
        <f t="shared" si="232"/>
        <v>0</v>
      </c>
      <c r="S127" s="13">
        <f t="shared" ref="S127:Z127" si="233">SUM(S121:S126)</f>
        <v>-8310</v>
      </c>
      <c r="T127" s="13">
        <f t="shared" si="233"/>
        <v>-9969</v>
      </c>
      <c r="U127" s="13">
        <f t="shared" si="233"/>
        <v>-7844</v>
      </c>
      <c r="V127" s="13">
        <f t="shared" si="233"/>
        <v>-5651</v>
      </c>
      <c r="W127" s="13">
        <f t="shared" si="233"/>
        <v>-6910</v>
      </c>
      <c r="X127" s="13">
        <f t="shared" si="233"/>
        <v>-3884</v>
      </c>
      <c r="Y127" s="13">
        <f t="shared" si="233"/>
        <v>-2946</v>
      </c>
      <c r="Z127" s="13">
        <f t="shared" si="233"/>
        <v>-2052</v>
      </c>
      <c r="AA127" s="39"/>
      <c r="AB127" s="69">
        <f>SUM(Z127/V127)-1</f>
        <v>-0.63687842859670862</v>
      </c>
    </row>
    <row r="128" spans="2:28" ht="5.0999999999999996" customHeight="1">
      <c r="B128" s="8"/>
      <c r="C128" s="60"/>
      <c r="D128" s="60"/>
      <c r="E128" s="60"/>
      <c r="F128" s="3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S128" s="11"/>
      <c r="T128" s="11"/>
      <c r="U128" s="11"/>
      <c r="V128" s="11"/>
      <c r="W128" s="11"/>
      <c r="X128" s="11"/>
      <c r="Y128" s="11"/>
      <c r="Z128" s="11"/>
      <c r="AA128" s="11"/>
      <c r="AB128" s="42"/>
    </row>
    <row r="129" spans="2:28" ht="5.0999999999999996" customHeight="1">
      <c r="B129" s="65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11"/>
      <c r="AB129" s="42"/>
    </row>
    <row r="130" spans="2:28">
      <c r="B130" s="138" t="s">
        <v>92</v>
      </c>
      <c r="C130" s="145">
        <v>10025</v>
      </c>
      <c r="D130" s="144">
        <f t="shared" ref="D130:E130" si="234">C137</f>
        <v>9519</v>
      </c>
      <c r="E130" s="144">
        <f t="shared" si="234"/>
        <v>9366</v>
      </c>
      <c r="F130" s="144"/>
      <c r="G130" s="151">
        <v>9825</v>
      </c>
      <c r="H130" s="144">
        <f t="shared" ref="H130:P130" si="235">G137</f>
        <v>12004</v>
      </c>
      <c r="I130" s="144">
        <f t="shared" si="235"/>
        <v>12564</v>
      </c>
      <c r="J130" s="144">
        <f t="shared" si="235"/>
        <v>11883</v>
      </c>
      <c r="K130" s="144">
        <f t="shared" si="235"/>
        <v>9366</v>
      </c>
      <c r="L130" s="144">
        <f t="shared" si="235"/>
        <v>10443</v>
      </c>
      <c r="M130" s="144">
        <f t="shared" si="235"/>
        <v>13708</v>
      </c>
      <c r="N130" s="144">
        <f t="shared" si="235"/>
        <v>13938</v>
      </c>
      <c r="O130" s="144">
        <f t="shared" si="235"/>
        <v>10828</v>
      </c>
      <c r="P130" s="144">
        <f t="shared" si="235"/>
        <v>8417</v>
      </c>
      <c r="Q130" s="144">
        <f t="shared" ref="Q130" si="236">P137</f>
        <v>8201</v>
      </c>
      <c r="R130" s="144"/>
      <c r="S130" s="144">
        <f>J130</f>
        <v>11883</v>
      </c>
      <c r="T130" s="144">
        <f t="shared" ref="T130:Y130" si="237">S137</f>
        <v>9366</v>
      </c>
      <c r="U130" s="144">
        <f t="shared" si="237"/>
        <v>10443</v>
      </c>
      <c r="V130" s="144">
        <f t="shared" si="237"/>
        <v>13708</v>
      </c>
      <c r="W130" s="144">
        <f t="shared" si="237"/>
        <v>13938</v>
      </c>
      <c r="X130" s="144">
        <f t="shared" si="237"/>
        <v>10828</v>
      </c>
      <c r="Y130" s="144">
        <f t="shared" si="237"/>
        <v>8417</v>
      </c>
      <c r="Z130" s="146">
        <f>Y137</f>
        <v>8201</v>
      </c>
      <c r="AA130" s="11"/>
      <c r="AB130" s="42"/>
    </row>
    <row r="131" spans="2:28">
      <c r="B131" s="139" t="s">
        <v>89</v>
      </c>
      <c r="C131" s="76">
        <v>0</v>
      </c>
      <c r="D131" s="30">
        <f t="shared" ref="D131:E131" si="238">-C135</f>
        <v>306</v>
      </c>
      <c r="E131" s="30">
        <f t="shared" si="238"/>
        <v>326</v>
      </c>
      <c r="F131" s="30"/>
      <c r="G131" s="30">
        <v>0</v>
      </c>
      <c r="H131" s="30">
        <f>-G135</f>
        <v>276</v>
      </c>
      <c r="I131" s="30">
        <f t="shared" ref="I131:P131" si="239">-H135</f>
        <v>288</v>
      </c>
      <c r="J131" s="30">
        <f t="shared" si="239"/>
        <v>327</v>
      </c>
      <c r="K131" s="30">
        <f t="shared" si="239"/>
        <v>326</v>
      </c>
      <c r="L131" s="30">
        <f t="shared" si="239"/>
        <v>375</v>
      </c>
      <c r="M131" s="30">
        <f t="shared" si="239"/>
        <v>205</v>
      </c>
      <c r="N131" s="30">
        <f t="shared" si="239"/>
        <v>223</v>
      </c>
      <c r="O131" s="30">
        <f t="shared" si="239"/>
        <v>660</v>
      </c>
      <c r="P131" s="30">
        <f t="shared" si="239"/>
        <v>397</v>
      </c>
      <c r="Q131" s="30">
        <f t="shared" ref="Q131" si="240">-P135</f>
        <v>613</v>
      </c>
      <c r="R131" s="30"/>
      <c r="S131" s="30">
        <f>J131</f>
        <v>327</v>
      </c>
      <c r="T131" s="30">
        <f t="shared" ref="T131:Z131" si="241">-S135</f>
        <v>326</v>
      </c>
      <c r="U131" s="30">
        <f t="shared" si="241"/>
        <v>375</v>
      </c>
      <c r="V131" s="30">
        <f t="shared" si="241"/>
        <v>205</v>
      </c>
      <c r="W131" s="30">
        <f t="shared" si="241"/>
        <v>223</v>
      </c>
      <c r="X131" s="30">
        <f t="shared" si="241"/>
        <v>660</v>
      </c>
      <c r="Y131" s="30">
        <f t="shared" si="241"/>
        <v>397</v>
      </c>
      <c r="Z131" s="134">
        <f t="shared" si="241"/>
        <v>613</v>
      </c>
      <c r="AA131" s="11"/>
      <c r="AB131" s="42"/>
    </row>
    <row r="132" spans="2:28">
      <c r="B132" s="140" t="s">
        <v>72</v>
      </c>
      <c r="C132" s="113">
        <f t="shared" ref="C132:E132" si="242">SUM(C130:C131)</f>
        <v>10025</v>
      </c>
      <c r="D132" s="113">
        <f t="shared" si="242"/>
        <v>9825</v>
      </c>
      <c r="E132" s="113">
        <f t="shared" si="242"/>
        <v>9692</v>
      </c>
      <c r="F132" s="30"/>
      <c r="G132" s="113">
        <f t="shared" ref="G132:P132" si="243">SUM(G130:G131)</f>
        <v>9825</v>
      </c>
      <c r="H132" s="113">
        <f t="shared" si="243"/>
        <v>12280</v>
      </c>
      <c r="I132" s="113">
        <f t="shared" si="243"/>
        <v>12852</v>
      </c>
      <c r="J132" s="113">
        <f t="shared" si="243"/>
        <v>12210</v>
      </c>
      <c r="K132" s="113">
        <f t="shared" si="243"/>
        <v>9692</v>
      </c>
      <c r="L132" s="113">
        <f t="shared" si="243"/>
        <v>10818</v>
      </c>
      <c r="M132" s="113">
        <f t="shared" si="243"/>
        <v>13913</v>
      </c>
      <c r="N132" s="113">
        <f t="shared" si="243"/>
        <v>14161</v>
      </c>
      <c r="O132" s="113">
        <f t="shared" si="243"/>
        <v>11488</v>
      </c>
      <c r="P132" s="113">
        <f t="shared" si="243"/>
        <v>8814</v>
      </c>
      <c r="Q132" s="113">
        <f t="shared" ref="Q132" si="244">SUM(Q130:Q131)</f>
        <v>8814</v>
      </c>
      <c r="R132" s="30"/>
      <c r="S132" s="113">
        <f t="shared" ref="S132:U132" si="245">SUM(S130:S131)</f>
        <v>12210</v>
      </c>
      <c r="T132" s="113">
        <f t="shared" si="245"/>
        <v>9692</v>
      </c>
      <c r="U132" s="113">
        <f t="shared" si="245"/>
        <v>10818</v>
      </c>
      <c r="V132" s="113">
        <f t="shared" ref="V132" si="246">SUM(V130:V131)</f>
        <v>13913</v>
      </c>
      <c r="W132" s="113">
        <f t="shared" ref="W132" si="247">SUM(W130:W131)</f>
        <v>14161</v>
      </c>
      <c r="X132" s="113">
        <f t="shared" ref="X132" si="248">SUM(X130:X131)</f>
        <v>11488</v>
      </c>
      <c r="Y132" s="113">
        <f t="shared" ref="Y132" si="249">SUM(Y130:Y131)</f>
        <v>8814</v>
      </c>
      <c r="Z132" s="135">
        <f t="shared" ref="Z132" si="250">SUM(Z130:Z131)</f>
        <v>8814</v>
      </c>
      <c r="AA132" s="11"/>
      <c r="AB132" s="42"/>
    </row>
    <row r="133" spans="2:28" ht="5.0999999999999996" customHeight="1">
      <c r="B133" s="141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134"/>
      <c r="AA133" s="11"/>
      <c r="AB133" s="42"/>
    </row>
    <row r="134" spans="2:28">
      <c r="B134" s="139" t="s">
        <v>90</v>
      </c>
      <c r="C134" s="76">
        <v>-205</v>
      </c>
      <c r="D134" s="76">
        <v>-73</v>
      </c>
      <c r="E134" s="76">
        <v>-623</v>
      </c>
      <c r="F134" s="30"/>
      <c r="G134" s="76">
        <v>113</v>
      </c>
      <c r="H134" s="76">
        <f>162-G134</f>
        <v>49</v>
      </c>
      <c r="I134" s="76">
        <f>-36-H134-G134</f>
        <v>-198</v>
      </c>
      <c r="J134" s="30">
        <f t="shared" ref="J134" si="251">SUM(D134-SUM(G134:I134))</f>
        <v>-37</v>
      </c>
      <c r="K134" s="76">
        <v>-138</v>
      </c>
      <c r="L134" s="76">
        <f>-357-K134</f>
        <v>-219</v>
      </c>
      <c r="M134" s="76">
        <f>-266-L134-K134</f>
        <v>91</v>
      </c>
      <c r="N134" s="30">
        <f t="shared" ref="N134" si="252">SUM(E134-SUM(K134:M134))</f>
        <v>-357</v>
      </c>
      <c r="O134" s="76">
        <v>163</v>
      </c>
      <c r="P134" s="76"/>
      <c r="Q134" s="76"/>
      <c r="R134" s="30"/>
      <c r="S134" s="30">
        <f t="shared" ref="S134:Z134" si="253">J134</f>
        <v>-37</v>
      </c>
      <c r="T134" s="30">
        <f t="shared" si="253"/>
        <v>-138</v>
      </c>
      <c r="U134" s="30">
        <f t="shared" si="253"/>
        <v>-219</v>
      </c>
      <c r="V134" s="30">
        <f t="shared" si="253"/>
        <v>91</v>
      </c>
      <c r="W134" s="30">
        <f t="shared" si="253"/>
        <v>-357</v>
      </c>
      <c r="X134" s="30">
        <f t="shared" si="253"/>
        <v>163</v>
      </c>
      <c r="Y134" s="30">
        <f t="shared" si="253"/>
        <v>0</v>
      </c>
      <c r="Z134" s="134">
        <f t="shared" si="253"/>
        <v>0</v>
      </c>
      <c r="AA134" s="11"/>
      <c r="AB134" s="42"/>
    </row>
    <row r="135" spans="2:28">
      <c r="B135" s="139" t="s">
        <v>91</v>
      </c>
      <c r="C135" s="76">
        <v>-306</v>
      </c>
      <c r="D135" s="76">
        <v>-326</v>
      </c>
      <c r="E135" s="76">
        <v>-660</v>
      </c>
      <c r="F135" s="30"/>
      <c r="G135" s="76">
        <v>-276</v>
      </c>
      <c r="H135" s="76">
        <v>-288</v>
      </c>
      <c r="I135" s="76">
        <v>-327</v>
      </c>
      <c r="J135" s="30">
        <f>D135</f>
        <v>-326</v>
      </c>
      <c r="K135" s="76">
        <v>-375</v>
      </c>
      <c r="L135" s="76">
        <v>-205</v>
      </c>
      <c r="M135" s="76">
        <v>-223</v>
      </c>
      <c r="N135" s="30">
        <f>E135</f>
        <v>-660</v>
      </c>
      <c r="O135" s="76">
        <v>-397</v>
      </c>
      <c r="P135" s="76">
        <v>-613</v>
      </c>
      <c r="Q135" s="76">
        <v>-632</v>
      </c>
      <c r="R135" s="30"/>
      <c r="S135" s="30">
        <f t="shared" ref="S135:Y136" si="254">J135</f>
        <v>-326</v>
      </c>
      <c r="T135" s="30">
        <f t="shared" si="254"/>
        <v>-375</v>
      </c>
      <c r="U135" s="30">
        <f t="shared" si="254"/>
        <v>-205</v>
      </c>
      <c r="V135" s="30">
        <f t="shared" si="254"/>
        <v>-223</v>
      </c>
      <c r="W135" s="30">
        <f t="shared" si="254"/>
        <v>-660</v>
      </c>
      <c r="X135" s="30">
        <f t="shared" si="254"/>
        <v>-397</v>
      </c>
      <c r="Y135" s="30">
        <f t="shared" si="254"/>
        <v>-613</v>
      </c>
      <c r="Z135" s="134">
        <f t="shared" ref="Z135:Z136" si="255">Q135</f>
        <v>-632</v>
      </c>
      <c r="AA135" s="11"/>
      <c r="AB135" s="42"/>
    </row>
    <row r="136" spans="2:28">
      <c r="B136" s="139" t="s">
        <v>62</v>
      </c>
      <c r="C136" s="30">
        <f>+C127+C118+C107</f>
        <v>5</v>
      </c>
      <c r="D136" s="30">
        <f>+D127+D118+D107</f>
        <v>-60</v>
      </c>
      <c r="E136" s="30">
        <f>+E127+E118+E107</f>
        <v>2419</v>
      </c>
      <c r="F136" s="30"/>
      <c r="G136" s="30">
        <f t="shared" ref="G136:Q136" si="256">+G127+G118+G107</f>
        <v>2342</v>
      </c>
      <c r="H136" s="30">
        <f t="shared" si="256"/>
        <v>523</v>
      </c>
      <c r="I136" s="30">
        <f t="shared" si="256"/>
        <v>-444</v>
      </c>
      <c r="J136" s="30">
        <f t="shared" si="256"/>
        <v>-2481</v>
      </c>
      <c r="K136" s="30">
        <f t="shared" si="256"/>
        <v>1264</v>
      </c>
      <c r="L136" s="30">
        <f t="shared" si="256"/>
        <v>3314</v>
      </c>
      <c r="M136" s="30">
        <f t="shared" si="256"/>
        <v>157</v>
      </c>
      <c r="N136" s="30">
        <f t="shared" si="256"/>
        <v>-2316</v>
      </c>
      <c r="O136" s="30">
        <f t="shared" si="256"/>
        <v>-2837</v>
      </c>
      <c r="P136" s="30">
        <f t="shared" si="256"/>
        <v>0</v>
      </c>
      <c r="Q136" s="30">
        <f t="shared" si="256"/>
        <v>0</v>
      </c>
      <c r="R136" s="30"/>
      <c r="S136" s="30">
        <f t="shared" si="254"/>
        <v>-2481</v>
      </c>
      <c r="T136" s="30">
        <f t="shared" si="254"/>
        <v>1264</v>
      </c>
      <c r="U136" s="30">
        <f t="shared" si="254"/>
        <v>3314</v>
      </c>
      <c r="V136" s="30">
        <f t="shared" si="254"/>
        <v>157</v>
      </c>
      <c r="W136" s="30">
        <f t="shared" si="254"/>
        <v>-2316</v>
      </c>
      <c r="X136" s="30">
        <f t="shared" si="254"/>
        <v>-2837</v>
      </c>
      <c r="Y136" s="30">
        <f t="shared" si="254"/>
        <v>0</v>
      </c>
      <c r="Z136" s="134">
        <f t="shared" si="255"/>
        <v>0</v>
      </c>
      <c r="AA136" s="11"/>
      <c r="AB136" s="42"/>
    </row>
    <row r="137" spans="2:28">
      <c r="B137" s="140" t="s">
        <v>73</v>
      </c>
      <c r="C137" s="113">
        <f t="shared" ref="C137:E137" si="257">SUM(C132:C136)</f>
        <v>9519</v>
      </c>
      <c r="D137" s="113">
        <f t="shared" si="257"/>
        <v>9366</v>
      </c>
      <c r="E137" s="113">
        <f t="shared" si="257"/>
        <v>10828</v>
      </c>
      <c r="F137" s="30"/>
      <c r="G137" s="113">
        <f t="shared" ref="G137:P137" si="258">SUM(G132:G136)</f>
        <v>12004</v>
      </c>
      <c r="H137" s="113">
        <f t="shared" si="258"/>
        <v>12564</v>
      </c>
      <c r="I137" s="113">
        <f t="shared" si="258"/>
        <v>11883</v>
      </c>
      <c r="J137" s="113">
        <f t="shared" si="258"/>
        <v>9366</v>
      </c>
      <c r="K137" s="113">
        <f t="shared" si="258"/>
        <v>10443</v>
      </c>
      <c r="L137" s="113">
        <f t="shared" si="258"/>
        <v>13708</v>
      </c>
      <c r="M137" s="113">
        <f t="shared" si="258"/>
        <v>13938</v>
      </c>
      <c r="N137" s="113">
        <f t="shared" si="258"/>
        <v>10828</v>
      </c>
      <c r="O137" s="113">
        <f t="shared" si="258"/>
        <v>8417</v>
      </c>
      <c r="P137" s="113">
        <f t="shared" si="258"/>
        <v>8201</v>
      </c>
      <c r="Q137" s="113">
        <f t="shared" ref="Q137" si="259">SUM(Q132:Q136)</f>
        <v>8182</v>
      </c>
      <c r="R137" s="30"/>
      <c r="S137" s="113">
        <f t="shared" ref="S137:Z137" si="260">SUM(S132:S136)</f>
        <v>9366</v>
      </c>
      <c r="T137" s="113">
        <f t="shared" si="260"/>
        <v>10443</v>
      </c>
      <c r="U137" s="113">
        <f t="shared" si="260"/>
        <v>13708</v>
      </c>
      <c r="V137" s="113">
        <f t="shared" si="260"/>
        <v>13938</v>
      </c>
      <c r="W137" s="113">
        <f t="shared" si="260"/>
        <v>10828</v>
      </c>
      <c r="X137" s="113">
        <f t="shared" si="260"/>
        <v>8417</v>
      </c>
      <c r="Y137" s="113">
        <f t="shared" si="260"/>
        <v>8201</v>
      </c>
      <c r="Z137" s="135">
        <f t="shared" si="260"/>
        <v>8182</v>
      </c>
      <c r="AA137" s="11"/>
      <c r="AB137" s="42"/>
    </row>
    <row r="138" spans="2:28" ht="5.0999999999999996" customHeight="1">
      <c r="B138" s="142"/>
      <c r="C138" s="60"/>
      <c r="D138" s="60"/>
      <c r="E138" s="60"/>
      <c r="F138" s="3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S138" s="11"/>
      <c r="T138" s="11"/>
      <c r="U138" s="11"/>
      <c r="V138" s="11"/>
      <c r="W138" s="11"/>
      <c r="X138" s="11"/>
      <c r="Y138" s="11"/>
      <c r="Z138" s="136"/>
      <c r="AA138" s="11"/>
      <c r="AB138" s="42"/>
    </row>
    <row r="139" spans="2:28">
      <c r="B139" s="143" t="s">
        <v>61</v>
      </c>
      <c r="C139" s="132">
        <f>C137-C47</f>
        <v>0</v>
      </c>
      <c r="D139" s="132">
        <f>D137-D47</f>
        <v>0</v>
      </c>
      <c r="E139" s="132">
        <f>E137-E47</f>
        <v>0</v>
      </c>
      <c r="F139" s="133"/>
      <c r="G139" s="132">
        <f>G137-G47</f>
        <v>0</v>
      </c>
      <c r="H139" s="132">
        <f>H137-H47</f>
        <v>0</v>
      </c>
      <c r="I139" s="132">
        <f>I137-I47</f>
        <v>0</v>
      </c>
      <c r="J139" s="132">
        <f>J137-J47</f>
        <v>0</v>
      </c>
      <c r="K139" s="132">
        <f>K137-K47</f>
        <v>0</v>
      </c>
      <c r="L139" s="132">
        <f>L137-L47</f>
        <v>0</v>
      </c>
      <c r="M139" s="132">
        <f>M137-M47</f>
        <v>0</v>
      </c>
      <c r="N139" s="132">
        <f>N137-N47</f>
        <v>0</v>
      </c>
      <c r="O139" s="132">
        <f>O137-O47</f>
        <v>0</v>
      </c>
      <c r="P139" s="132">
        <f>P137-P47</f>
        <v>8201</v>
      </c>
      <c r="Q139" s="132">
        <f>Q137-Q47</f>
        <v>8182</v>
      </c>
      <c r="R139" s="132"/>
      <c r="S139" s="132">
        <f>S137-S47</f>
        <v>0</v>
      </c>
      <c r="T139" s="132">
        <f>T137-T47</f>
        <v>0</v>
      </c>
      <c r="U139" s="132">
        <f>U137-U47</f>
        <v>0</v>
      </c>
      <c r="V139" s="132">
        <f>V137-V47</f>
        <v>0</v>
      </c>
      <c r="W139" s="132">
        <f>W137-W47</f>
        <v>0</v>
      </c>
      <c r="X139" s="132">
        <f>X137-X47</f>
        <v>0</v>
      </c>
      <c r="Y139" s="132">
        <f>Y137-Y47</f>
        <v>8201</v>
      </c>
      <c r="Z139" s="137">
        <f>Z137-Z47</f>
        <v>8182</v>
      </c>
      <c r="AA139" s="11"/>
      <c r="AB139" s="42"/>
    </row>
    <row r="140" spans="2:28" ht="5.0999999999999996" customHeight="1">
      <c r="B140" s="8"/>
      <c r="C140" s="60"/>
      <c r="D140" s="60"/>
      <c r="E140" s="60"/>
      <c r="F140" s="3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S140" s="11"/>
      <c r="T140" s="11"/>
      <c r="U140" s="11"/>
      <c r="V140" s="11"/>
      <c r="W140" s="11"/>
      <c r="X140" s="11"/>
      <c r="Y140" s="11"/>
      <c r="Z140" s="11"/>
      <c r="AA140" s="11"/>
      <c r="AB140" s="42"/>
    </row>
    <row r="141" spans="2:28">
      <c r="B141" s="112" t="s">
        <v>85</v>
      </c>
      <c r="C141" s="60"/>
      <c r="D141" s="60"/>
      <c r="E141" s="60"/>
      <c r="F141" s="3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S141" s="11"/>
      <c r="T141" s="11"/>
      <c r="U141" s="11"/>
      <c r="V141" s="11"/>
      <c r="W141" s="11"/>
      <c r="X141" s="11"/>
      <c r="Y141" s="11"/>
      <c r="Z141" s="11"/>
      <c r="AA141" s="11"/>
      <c r="AB141" s="42"/>
    </row>
    <row r="142" spans="2:28">
      <c r="B142" s="77" t="s">
        <v>88</v>
      </c>
      <c r="C142" s="60"/>
      <c r="D142" s="60"/>
      <c r="E142" s="60"/>
      <c r="F142" s="30"/>
      <c r="G142" s="76"/>
      <c r="H142" s="30"/>
      <c r="I142" s="30"/>
      <c r="J142" s="30">
        <f>SUM(D142-SUM(G142:I142))</f>
        <v>0</v>
      </c>
      <c r="K142" s="76"/>
      <c r="L142" s="30"/>
      <c r="M142" s="30"/>
      <c r="N142" s="30">
        <f>SUM(E142-SUM(K142:M142))</f>
        <v>0</v>
      </c>
      <c r="O142" s="76"/>
      <c r="P142" s="30"/>
      <c r="Q142" s="30"/>
      <c r="S142" s="30">
        <f t="shared" ref="S142:Z143" si="261">SUM(G142:J142)</f>
        <v>0</v>
      </c>
      <c r="T142" s="30">
        <f t="shared" si="261"/>
        <v>0</v>
      </c>
      <c r="U142" s="30">
        <f t="shared" si="261"/>
        <v>0</v>
      </c>
      <c r="V142" s="30">
        <f t="shared" si="261"/>
        <v>0</v>
      </c>
      <c r="W142" s="30">
        <f t="shared" si="261"/>
        <v>0</v>
      </c>
      <c r="X142" s="30">
        <f t="shared" si="261"/>
        <v>0</v>
      </c>
      <c r="Y142" s="30">
        <f t="shared" si="261"/>
        <v>0</v>
      </c>
      <c r="Z142" s="30">
        <f t="shared" si="261"/>
        <v>0</v>
      </c>
      <c r="AA142" s="11"/>
      <c r="AB142" s="42"/>
    </row>
    <row r="143" spans="2:28">
      <c r="B143" s="77" t="s">
        <v>87</v>
      </c>
      <c r="C143" s="60"/>
      <c r="D143" s="60"/>
      <c r="E143" s="60"/>
      <c r="F143" s="30"/>
      <c r="G143" s="76"/>
      <c r="H143" s="30"/>
      <c r="I143" s="30"/>
      <c r="J143" s="30">
        <f>SUM(D143-SUM(G143:I143))</f>
        <v>0</v>
      </c>
      <c r="K143" s="76"/>
      <c r="L143" s="30"/>
      <c r="M143" s="30"/>
      <c r="N143" s="30">
        <f>SUM(E143-SUM(K143:M143))</f>
        <v>0</v>
      </c>
      <c r="O143" s="76"/>
      <c r="P143" s="30"/>
      <c r="Q143" s="30"/>
      <c r="S143" s="30">
        <f t="shared" si="261"/>
        <v>0</v>
      </c>
      <c r="T143" s="30">
        <f t="shared" si="261"/>
        <v>0</v>
      </c>
      <c r="U143" s="30">
        <f t="shared" si="261"/>
        <v>0</v>
      </c>
      <c r="V143" s="30">
        <f t="shared" si="261"/>
        <v>0</v>
      </c>
      <c r="W143" s="30">
        <f t="shared" si="261"/>
        <v>0</v>
      </c>
      <c r="X143" s="30">
        <f t="shared" si="261"/>
        <v>0</v>
      </c>
      <c r="Y143" s="30">
        <f t="shared" si="261"/>
        <v>0</v>
      </c>
      <c r="Z143" s="30">
        <f t="shared" si="261"/>
        <v>0</v>
      </c>
      <c r="AA143" s="11"/>
      <c r="AB143" s="42"/>
    </row>
    <row r="144" spans="2:28" ht="5.0999999999999996" customHeight="1" thickBot="1">
      <c r="B144" s="66"/>
      <c r="C144" s="67"/>
      <c r="D144" s="67"/>
      <c r="E144" s="67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B144" s="42"/>
    </row>
    <row r="145" spans="3:17" ht="12.75" customHeight="1">
      <c r="C145" s="52"/>
      <c r="D145" s="52"/>
      <c r="E145" s="52"/>
    </row>
    <row r="146" spans="3:17" ht="12.75" customHeight="1">
      <c r="C146" s="52"/>
      <c r="D146" s="52"/>
      <c r="E146" s="52"/>
    </row>
    <row r="147" spans="3:17" ht="12.75" customHeight="1">
      <c r="C147" s="52"/>
      <c r="D147" s="52"/>
      <c r="E147" s="52"/>
    </row>
    <row r="148" spans="3:17" ht="12.75" customHeight="1">
      <c r="C148" s="52"/>
      <c r="D148" s="52"/>
      <c r="E148" s="52"/>
    </row>
    <row r="149" spans="3:17" ht="12.75" customHeight="1">
      <c r="C149" s="52"/>
      <c r="D149" s="52"/>
      <c r="E149" s="52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</row>
    <row r="150" spans="3:17" ht="12.75" customHeight="1">
      <c r="C150" s="52"/>
      <c r="D150" s="52"/>
      <c r="E150" s="52"/>
    </row>
    <row r="151" spans="3:17" ht="12.75" customHeight="1">
      <c r="C151" s="52"/>
      <c r="D151" s="52"/>
      <c r="E151" s="52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</row>
    <row r="152" spans="3:17"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</row>
    <row r="153" spans="3:17"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</row>
    <row r="155" spans="3:17"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</row>
    <row r="156" spans="3:17"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</row>
  </sheetData>
  <mergeCells count="3">
    <mergeCell ref="AB6:AB8"/>
    <mergeCell ref="AB42:AB44"/>
    <mergeCell ref="AB90:AB92"/>
  </mergeCells>
  <pageMargins left="0.7" right="0.7" top="0.75" bottom="0.75" header="0.3" footer="0.3"/>
  <ignoredErrors>
    <ignoredError sqref="Z14:Z16 F53" formulaRange="1"/>
    <ignoredError sqref="AB118:AB120 AB107:AB109" evalError="1"/>
    <ignoredError sqref="K96:O9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Z26"/>
  <sheetViews>
    <sheetView showGridLines="0" zoomScaleNormal="100" workbookViewId="0">
      <selection activeCell="C36" sqref="C36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8" width="8" style="8" customWidth="1" outlineLevel="1"/>
    <col min="9" max="10" width="8.75" style="8" customWidth="1" outlineLevel="1"/>
    <col min="11" max="11" width="8.5" style="8" customWidth="1" outlineLevel="1"/>
    <col min="12" max="12" width="8.25" style="8" customWidth="1" outlineLevel="1"/>
    <col min="13" max="13" width="8.5" style="8" bestFit="1" customWidth="1"/>
    <col min="14" max="17" width="9.125" style="8" bestFit="1" customWidth="1"/>
    <col min="18" max="18" width="1.5" style="8" customWidth="1"/>
    <col min="19" max="21" width="8.75" style="8" customWidth="1" outlineLevel="1"/>
    <col min="22" max="22" width="8.75" style="8" customWidth="1"/>
    <col min="23" max="25" width="8.75" style="8" customWidth="1" outlineLevel="1"/>
    <col min="26" max="26" width="8.75" style="8" customWidth="1"/>
    <col min="27" max="16384" width="9" style="8"/>
  </cols>
  <sheetData>
    <row r="2" spans="1:26" s="5" customFormat="1" ht="12.75" customHeight="1">
      <c r="B2" s="1" t="str">
        <f>'Historical Financials'!B2</f>
        <v>Coca-Cola Co (NASDAQ: KO)</v>
      </c>
      <c r="C2" s="2" t="s">
        <v>0</v>
      </c>
      <c r="D2" s="2"/>
      <c r="E2" s="2"/>
      <c r="F2" s="3"/>
      <c r="G2" s="2"/>
      <c r="H2" s="2"/>
      <c r="I2" s="2"/>
      <c r="J2" s="2"/>
      <c r="K2" s="2"/>
      <c r="L2" s="2"/>
      <c r="M2" s="2" t="s">
        <v>1</v>
      </c>
      <c r="N2" s="2"/>
      <c r="O2" s="2"/>
      <c r="P2" s="2"/>
      <c r="Q2" s="2"/>
      <c r="R2" s="3"/>
      <c r="S2" s="2"/>
      <c r="T2" s="2"/>
      <c r="U2" s="2"/>
      <c r="V2" s="2" t="s">
        <v>10</v>
      </c>
      <c r="W2" s="2"/>
      <c r="X2" s="2"/>
      <c r="Y2" s="2"/>
      <c r="Z2" s="2"/>
    </row>
    <row r="3" spans="1:26" s="5" customFormat="1" ht="12.75" customHeight="1">
      <c r="B3" s="6" t="s">
        <v>68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7" t="str">
        <f>'Historical Financials'!Q7</f>
        <v>3Q25</v>
      </c>
      <c r="R3" s="4"/>
      <c r="S3" s="4" t="str">
        <f>J3</f>
        <v>4Q23</v>
      </c>
      <c r="T3" s="4" t="str">
        <f>K3</f>
        <v>1Q24</v>
      </c>
      <c r="U3" s="4" t="str">
        <f>L3</f>
        <v>2Q24</v>
      </c>
      <c r="V3" s="4" t="str">
        <f>M3</f>
        <v>3Q24</v>
      </c>
      <c r="W3" s="4" t="str">
        <f>N3</f>
        <v>4Q24</v>
      </c>
      <c r="X3" s="4" t="str">
        <f>O3</f>
        <v>1Q25</v>
      </c>
      <c r="Y3" s="4" t="str">
        <f>P3</f>
        <v>2Q25</v>
      </c>
      <c r="Z3" s="4" t="str">
        <f>Q3</f>
        <v>3Q25</v>
      </c>
    </row>
    <row r="4" spans="1:26" s="5" customFormat="1" ht="12.75" customHeight="1">
      <c r="B4" s="6" t="s">
        <v>94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Financials'!G8</f>
        <v>45016</v>
      </c>
      <c r="H4" s="3">
        <f>'Historical Financials'!H8</f>
        <v>45107</v>
      </c>
      <c r="I4" s="3">
        <f>'Historical Financials'!I8</f>
        <v>45199</v>
      </c>
      <c r="J4" s="3">
        <f>'Historical Financials'!J8</f>
        <v>45291</v>
      </c>
      <c r="K4" s="3">
        <f>'Historical Financials'!K8</f>
        <v>45382</v>
      </c>
      <c r="L4" s="3">
        <f>'Historical Financials'!L8</f>
        <v>45473</v>
      </c>
      <c r="M4" s="3">
        <f>'Historical Financials'!M8</f>
        <v>45565</v>
      </c>
      <c r="N4" s="3">
        <f>'Historical Financials'!N8</f>
        <v>45657</v>
      </c>
      <c r="O4" s="3">
        <f>'Historical Financials'!O8</f>
        <v>45747</v>
      </c>
      <c r="P4" s="3">
        <f>'Historical Financials'!P8</f>
        <v>45838</v>
      </c>
      <c r="Q4" s="3">
        <f>'Historical Financials'!Q8</f>
        <v>45930</v>
      </c>
      <c r="R4" s="3"/>
      <c r="S4" s="3">
        <f>J4</f>
        <v>45291</v>
      </c>
      <c r="T4" s="3">
        <f>K4</f>
        <v>45382</v>
      </c>
      <c r="U4" s="3">
        <f>L4</f>
        <v>45473</v>
      </c>
      <c r="V4" s="3">
        <f>M4</f>
        <v>45565</v>
      </c>
      <c r="W4" s="3">
        <f>N4</f>
        <v>45657</v>
      </c>
      <c r="X4" s="3">
        <f>O4</f>
        <v>45747</v>
      </c>
      <c r="Y4" s="3">
        <f>P4</f>
        <v>45838</v>
      </c>
      <c r="Z4" s="3">
        <f>Q4</f>
        <v>45930</v>
      </c>
    </row>
    <row r="5" spans="1:26" ht="5.0999999999999996" customHeight="1"/>
    <row r="6" spans="1:26">
      <c r="A6" s="33" t="s">
        <v>17</v>
      </c>
      <c r="B6" s="1" t="s">
        <v>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.0999999999999996" customHeight="1"/>
    <row r="8" spans="1:26" ht="12.75" customHeight="1">
      <c r="A8" s="74" t="s">
        <v>17</v>
      </c>
      <c r="B8" s="72" t="s">
        <v>93</v>
      </c>
      <c r="C8" s="10"/>
      <c r="D8" s="10"/>
      <c r="E8" s="10"/>
      <c r="F8" s="10"/>
      <c r="G8" s="81"/>
      <c r="H8" s="81"/>
      <c r="I8" s="81"/>
      <c r="J8" s="30"/>
      <c r="K8" s="81"/>
      <c r="L8" s="81"/>
      <c r="M8" s="81"/>
      <c r="N8" s="30"/>
      <c r="O8" s="81"/>
      <c r="P8" s="81"/>
      <c r="Q8" s="81"/>
      <c r="R8" s="5"/>
      <c r="S8" s="11"/>
      <c r="T8" s="11"/>
      <c r="U8" s="11"/>
      <c r="V8" s="11"/>
      <c r="W8" s="11"/>
      <c r="X8" s="11"/>
      <c r="Y8" s="11"/>
      <c r="Z8" s="11"/>
    </row>
    <row r="9" spans="1:26" ht="12.75" customHeight="1">
      <c r="A9" s="74"/>
      <c r="B9" s="9" t="s">
        <v>168</v>
      </c>
      <c r="C9" s="75">
        <v>24071</v>
      </c>
      <c r="D9" s="75">
        <v>26539</v>
      </c>
      <c r="E9" s="75">
        <v>27725</v>
      </c>
      <c r="F9" s="10"/>
      <c r="G9" s="75">
        <v>6333</v>
      </c>
      <c r="H9" s="75">
        <v>7050</v>
      </c>
      <c r="I9" s="75">
        <v>7212</v>
      </c>
      <c r="J9" s="30">
        <f t="shared" ref="J9:J10" si="0">SUM(D9-SUM(G9:I9))</f>
        <v>5944</v>
      </c>
      <c r="K9" s="75">
        <v>6655</v>
      </c>
      <c r="L9" s="75">
        <v>7494</v>
      </c>
      <c r="M9" s="75">
        <v>7058</v>
      </c>
      <c r="N9" s="30">
        <f t="shared" ref="N9:N10" si="1">SUM(E9-SUM(K9:M9))</f>
        <v>6518</v>
      </c>
      <c r="O9" s="75">
        <v>7183</v>
      </c>
      <c r="P9" s="75"/>
      <c r="Q9" s="75"/>
      <c r="R9" s="5"/>
      <c r="S9" s="30">
        <f t="shared" ref="S9:Y9" si="2">SUM(G9:J9)</f>
        <v>26539</v>
      </c>
      <c r="T9" s="30">
        <f t="shared" si="2"/>
        <v>26861</v>
      </c>
      <c r="U9" s="30">
        <f t="shared" si="2"/>
        <v>27305</v>
      </c>
      <c r="V9" s="30">
        <f t="shared" si="2"/>
        <v>27151</v>
      </c>
      <c r="W9" s="30">
        <f t="shared" si="2"/>
        <v>27725</v>
      </c>
      <c r="X9" s="30">
        <f t="shared" si="2"/>
        <v>28253</v>
      </c>
      <c r="Y9" s="30">
        <f t="shared" si="2"/>
        <v>20759</v>
      </c>
      <c r="Z9" s="30">
        <f>SUM(N9:Q9)</f>
        <v>13701</v>
      </c>
    </row>
    <row r="10" spans="1:26">
      <c r="B10" s="9" t="s">
        <v>169</v>
      </c>
      <c r="C10" s="75">
        <v>18933</v>
      </c>
      <c r="D10" s="75">
        <v>19215</v>
      </c>
      <c r="E10" s="75">
        <v>19336</v>
      </c>
      <c r="F10" s="75"/>
      <c r="G10" s="75">
        <v>4647</v>
      </c>
      <c r="H10" s="75">
        <v>4922</v>
      </c>
      <c r="I10" s="75">
        <v>4741</v>
      </c>
      <c r="J10" s="30">
        <f t="shared" si="0"/>
        <v>4905</v>
      </c>
      <c r="K10" s="75">
        <v>4645</v>
      </c>
      <c r="L10" s="75">
        <v>4869</v>
      </c>
      <c r="M10" s="75">
        <v>4796</v>
      </c>
      <c r="N10" s="30">
        <f t="shared" si="1"/>
        <v>5026</v>
      </c>
      <c r="O10" s="75">
        <v>3946</v>
      </c>
      <c r="P10" s="75"/>
      <c r="Q10" s="75"/>
      <c r="R10" s="5"/>
      <c r="S10" s="30">
        <f t="shared" ref="S10" si="3">SUM(G10:J10)</f>
        <v>19215</v>
      </c>
      <c r="T10" s="30">
        <f t="shared" ref="T10" si="4">SUM(H10:K10)</f>
        <v>19213</v>
      </c>
      <c r="U10" s="30">
        <f t="shared" ref="U10" si="5">SUM(I10:L10)</f>
        <v>19160</v>
      </c>
      <c r="V10" s="30">
        <f t="shared" ref="V10" si="6">SUM(J10:M10)</f>
        <v>19215</v>
      </c>
      <c r="W10" s="30">
        <f t="shared" ref="W10" si="7">SUM(K10:N10)</f>
        <v>19336</v>
      </c>
      <c r="X10" s="30">
        <f t="shared" ref="X10" si="8">SUM(L10:O10)</f>
        <v>18637</v>
      </c>
      <c r="Y10" s="30">
        <f t="shared" ref="Y10:Z10" si="9">SUM(M10:P10)</f>
        <v>13768</v>
      </c>
      <c r="Z10" s="30">
        <f t="shared" si="9"/>
        <v>8972</v>
      </c>
    </row>
    <row r="11" spans="1:26">
      <c r="B11" s="12" t="s">
        <v>69</v>
      </c>
      <c r="C11" s="13">
        <f t="shared" ref="C11:E11" si="10">SUM(C9:C10)</f>
        <v>43004</v>
      </c>
      <c r="D11" s="13">
        <f t="shared" si="10"/>
        <v>45754</v>
      </c>
      <c r="E11" s="13">
        <f t="shared" si="10"/>
        <v>47061</v>
      </c>
      <c r="F11" s="11"/>
      <c r="G11" s="13">
        <f t="shared" ref="G11:Q11" si="11">SUM(G9:G10)</f>
        <v>10980</v>
      </c>
      <c r="H11" s="13">
        <f t="shared" si="11"/>
        <v>11972</v>
      </c>
      <c r="I11" s="13">
        <f t="shared" si="11"/>
        <v>11953</v>
      </c>
      <c r="J11" s="13">
        <f t="shared" si="11"/>
        <v>10849</v>
      </c>
      <c r="K11" s="13">
        <f t="shared" si="11"/>
        <v>11300</v>
      </c>
      <c r="L11" s="13">
        <f t="shared" si="11"/>
        <v>12363</v>
      </c>
      <c r="M11" s="13">
        <f t="shared" si="11"/>
        <v>11854</v>
      </c>
      <c r="N11" s="13">
        <f t="shared" si="11"/>
        <v>11544</v>
      </c>
      <c r="O11" s="13">
        <f t="shared" si="11"/>
        <v>11129</v>
      </c>
      <c r="P11" s="13">
        <f t="shared" si="11"/>
        <v>0</v>
      </c>
      <c r="Q11" s="13">
        <f t="shared" si="11"/>
        <v>0</v>
      </c>
      <c r="R11" s="5"/>
      <c r="S11" s="13">
        <f t="shared" ref="S11:Y11" si="12">SUM(S9:S10)</f>
        <v>45754</v>
      </c>
      <c r="T11" s="13">
        <f t="shared" si="12"/>
        <v>46074</v>
      </c>
      <c r="U11" s="13">
        <f t="shared" si="12"/>
        <v>46465</v>
      </c>
      <c r="V11" s="13">
        <f t="shared" si="12"/>
        <v>46366</v>
      </c>
      <c r="W11" s="13">
        <f t="shared" si="12"/>
        <v>47061</v>
      </c>
      <c r="X11" s="13">
        <f t="shared" si="12"/>
        <v>46890</v>
      </c>
      <c r="Y11" s="13">
        <f t="shared" si="12"/>
        <v>34527</v>
      </c>
      <c r="Z11" s="13">
        <f>SUM(Z9:Z10)</f>
        <v>22673</v>
      </c>
    </row>
    <row r="12" spans="1:26" outlineLevel="1">
      <c r="B12" s="114" t="s">
        <v>61</v>
      </c>
      <c r="C12" s="73">
        <f>+C11-'Historical Financials'!C11</f>
        <v>0</v>
      </c>
      <c r="D12" s="73">
        <f>+D11-'Historical Financials'!D11</f>
        <v>0</v>
      </c>
      <c r="E12" s="73">
        <f>+E11-'Historical Financials'!E11</f>
        <v>0</v>
      </c>
      <c r="F12" s="11"/>
      <c r="G12" s="73">
        <f>+G11-'Historical Financials'!G11</f>
        <v>0</v>
      </c>
      <c r="H12" s="73">
        <f>+H11-'Historical Financials'!H11</f>
        <v>0</v>
      </c>
      <c r="I12" s="73">
        <f>+I11-'Historical Financials'!I11</f>
        <v>0</v>
      </c>
      <c r="J12" s="73">
        <f>+J11-'Historical Financials'!J11</f>
        <v>0</v>
      </c>
      <c r="K12" s="73">
        <f>+K11-'Historical Financials'!K11</f>
        <v>0</v>
      </c>
      <c r="L12" s="73">
        <f>+L11-'Historical Financials'!L11</f>
        <v>0</v>
      </c>
      <c r="M12" s="73">
        <f>+M11-'Historical Financials'!M11</f>
        <v>0</v>
      </c>
      <c r="N12" s="73">
        <f>+N11-'Historical Financials'!N11</f>
        <v>0</v>
      </c>
      <c r="O12" s="73">
        <f>+O11-'Historical Financials'!O11</f>
        <v>0</v>
      </c>
      <c r="P12" s="73">
        <f>+P11-'Historical Financials'!P11</f>
        <v>0</v>
      </c>
      <c r="Q12" s="73">
        <f>+Q11-'Historical Financials'!Q11</f>
        <v>0</v>
      </c>
      <c r="R12" s="73"/>
      <c r="S12" s="73">
        <f>+S11-'Historical Financials'!S11</f>
        <v>0</v>
      </c>
      <c r="T12" s="73">
        <f>+T11-'Historical Financials'!T11</f>
        <v>0</v>
      </c>
      <c r="U12" s="73">
        <f>+U11-'Historical Financials'!U11</f>
        <v>0</v>
      </c>
      <c r="V12" s="73">
        <f>+V11-'Historical Financials'!V11</f>
        <v>0</v>
      </c>
      <c r="W12" s="73">
        <f>+W11-'Historical Financials'!W11</f>
        <v>0</v>
      </c>
      <c r="X12" s="73">
        <f>+X11-'Historical Financials'!X11</f>
        <v>0</v>
      </c>
      <c r="Y12" s="73">
        <f>+Y11-'Historical Financials'!Y11</f>
        <v>0</v>
      </c>
      <c r="Z12" s="73">
        <f>+Z11-'Historical Financials'!Z11</f>
        <v>0</v>
      </c>
    </row>
    <row r="13" spans="1:26">
      <c r="B13" s="16"/>
      <c r="C13" s="17"/>
      <c r="D13" s="17"/>
      <c r="E13" s="17"/>
      <c r="F13" s="18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B14" s="115" t="str">
        <f>B9&amp;"(%)"</f>
        <v>Concentrate Operations(%)</v>
      </c>
      <c r="C14" s="123">
        <f t="shared" ref="C14:E14" si="13">SUM(C9/C$11)</f>
        <v>0.55973862896474746</v>
      </c>
      <c r="D14" s="123">
        <f t="shared" si="13"/>
        <v>0.58003671810114965</v>
      </c>
      <c r="E14" s="123">
        <f t="shared" si="13"/>
        <v>0.58912900278362124</v>
      </c>
      <c r="F14" s="116"/>
      <c r="G14" s="123">
        <f t="shared" ref="G14:P14" si="14">SUM(G9/G$11)</f>
        <v>0.57677595628415301</v>
      </c>
      <c r="H14" s="123">
        <f t="shared" si="14"/>
        <v>0.58887403942532579</v>
      </c>
      <c r="I14" s="123">
        <f t="shared" si="14"/>
        <v>0.60336317242533255</v>
      </c>
      <c r="J14" s="123">
        <f t="shared" si="14"/>
        <v>0.5478845976587704</v>
      </c>
      <c r="K14" s="123">
        <f t="shared" si="14"/>
        <v>0.58893805309734515</v>
      </c>
      <c r="L14" s="123">
        <f t="shared" si="14"/>
        <v>0.60616355253579224</v>
      </c>
      <c r="M14" s="123">
        <f t="shared" si="14"/>
        <v>0.5954108317867387</v>
      </c>
      <c r="N14" s="123">
        <f t="shared" si="14"/>
        <v>0.5646223146223146</v>
      </c>
      <c r="O14" s="123">
        <f t="shared" si="14"/>
        <v>0.64543085632132269</v>
      </c>
      <c r="P14" s="123" t="e">
        <f t="shared" si="14"/>
        <v>#DIV/0!</v>
      </c>
      <c r="Q14" s="123" t="e">
        <f t="shared" ref="Q14" si="15">SUM(Q9/Q$11)</f>
        <v>#DIV/0!</v>
      </c>
      <c r="R14" s="116"/>
      <c r="S14" s="117">
        <f>J14</f>
        <v>0.5478845976587704</v>
      </c>
      <c r="T14" s="117">
        <f>K14</f>
        <v>0.58893805309734515</v>
      </c>
      <c r="U14" s="117">
        <f>L14</f>
        <v>0.60616355253579224</v>
      </c>
      <c r="V14" s="117">
        <f>M14</f>
        <v>0.5954108317867387</v>
      </c>
      <c r="W14" s="117">
        <f>N14</f>
        <v>0.5646223146223146</v>
      </c>
      <c r="X14" s="117">
        <f>O14</f>
        <v>0.64543085632132269</v>
      </c>
      <c r="Y14" s="117" t="e">
        <f>P14</f>
        <v>#DIV/0!</v>
      </c>
      <c r="Z14" s="118" t="e">
        <f>Q14</f>
        <v>#DIV/0!</v>
      </c>
    </row>
    <row r="15" spans="1:26" ht="12.75" customHeight="1">
      <c r="B15" s="119" t="str">
        <f>B10&amp;"(%)"</f>
        <v>Finished Product Operations(%)</v>
      </c>
      <c r="C15" s="124">
        <f t="shared" ref="C15:E15" si="16">SUM(C10/C$11)</f>
        <v>0.44026137103525254</v>
      </c>
      <c r="D15" s="124">
        <f t="shared" si="16"/>
        <v>0.41996328189885035</v>
      </c>
      <c r="E15" s="124">
        <f t="shared" si="16"/>
        <v>0.41087099721637876</v>
      </c>
      <c r="F15" s="120"/>
      <c r="G15" s="124">
        <f t="shared" ref="G15:P15" si="17">SUM(G10/G$11)</f>
        <v>0.42322404371584699</v>
      </c>
      <c r="H15" s="124">
        <f t="shared" si="17"/>
        <v>0.41112596057467427</v>
      </c>
      <c r="I15" s="124">
        <f t="shared" si="17"/>
        <v>0.39663682757466745</v>
      </c>
      <c r="J15" s="124">
        <f t="shared" si="17"/>
        <v>0.4521154023412296</v>
      </c>
      <c r="K15" s="124">
        <f t="shared" si="17"/>
        <v>0.41106194690265485</v>
      </c>
      <c r="L15" s="124">
        <f t="shared" si="17"/>
        <v>0.39383644746420771</v>
      </c>
      <c r="M15" s="124">
        <f t="shared" si="17"/>
        <v>0.40458916821326135</v>
      </c>
      <c r="N15" s="124">
        <f t="shared" si="17"/>
        <v>0.4353776853776854</v>
      </c>
      <c r="O15" s="124">
        <f t="shared" si="17"/>
        <v>0.35456914367867731</v>
      </c>
      <c r="P15" s="124" t="e">
        <f t="shared" si="17"/>
        <v>#DIV/0!</v>
      </c>
      <c r="Q15" s="124" t="e">
        <f t="shared" ref="Q15" si="18">SUM(Q10/Q$11)</f>
        <v>#DIV/0!</v>
      </c>
      <c r="R15" s="120"/>
      <c r="S15" s="121">
        <f>J15</f>
        <v>0.4521154023412296</v>
      </c>
      <c r="T15" s="121">
        <f>K15</f>
        <v>0.41106194690265485</v>
      </c>
      <c r="U15" s="121">
        <f>L15</f>
        <v>0.39383644746420771</v>
      </c>
      <c r="V15" s="121">
        <f>M15</f>
        <v>0.40458916821326135</v>
      </c>
      <c r="W15" s="121">
        <f>N15</f>
        <v>0.4353776853776854</v>
      </c>
      <c r="X15" s="121">
        <f>O15</f>
        <v>0.35456914367867731</v>
      </c>
      <c r="Y15" s="121" t="e">
        <f>P15</f>
        <v>#DIV/0!</v>
      </c>
      <c r="Z15" s="122" t="e">
        <f>Q15</f>
        <v>#DIV/0!</v>
      </c>
    </row>
    <row r="16" spans="1:26">
      <c r="B16" s="16"/>
      <c r="C16" s="17"/>
      <c r="D16" s="17"/>
      <c r="E16" s="17"/>
      <c r="F16" s="18"/>
      <c r="G16" s="19"/>
      <c r="H16" s="19"/>
      <c r="I16" s="19"/>
      <c r="J16" s="20"/>
      <c r="K16" s="19"/>
      <c r="L16" s="19"/>
      <c r="M16" s="19"/>
      <c r="N16" s="19"/>
      <c r="O16" s="19"/>
      <c r="P16" s="19"/>
      <c r="Q16" s="19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33" t="s">
        <v>17</v>
      </c>
      <c r="B17" s="1" t="s">
        <v>170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.0999999999999996" customHeight="1"/>
    <row r="19" spans="1:26" ht="12.75" customHeight="1">
      <c r="A19" s="74" t="s">
        <v>17</v>
      </c>
      <c r="B19" s="72" t="s">
        <v>110</v>
      </c>
      <c r="C19" s="10"/>
      <c r="D19" s="10"/>
      <c r="E19" s="10"/>
      <c r="F19" s="10"/>
      <c r="G19" s="81"/>
      <c r="H19" s="81"/>
      <c r="I19" s="81"/>
      <c r="J19" s="30"/>
      <c r="K19" s="81"/>
      <c r="L19" s="81"/>
      <c r="M19" s="81"/>
      <c r="N19" s="30"/>
      <c r="O19" s="81"/>
      <c r="P19" s="81"/>
      <c r="Q19" s="81"/>
      <c r="R19" s="5"/>
      <c r="S19" s="11"/>
      <c r="T19" s="11"/>
      <c r="U19" s="11"/>
      <c r="V19" s="11"/>
      <c r="W19" s="11"/>
      <c r="X19" s="11"/>
      <c r="Y19" s="11"/>
      <c r="Z19" s="11"/>
    </row>
    <row r="20" spans="1:26" ht="12.75" customHeight="1">
      <c r="A20" s="74"/>
      <c r="B20" s="9" t="s">
        <v>172</v>
      </c>
      <c r="C20" s="75">
        <v>15413</v>
      </c>
      <c r="D20" s="75">
        <v>16550</v>
      </c>
      <c r="E20" s="75">
        <v>18362</v>
      </c>
      <c r="F20" s="10"/>
      <c r="G20" s="75">
        <v>3849</v>
      </c>
      <c r="H20" s="75">
        <v>4302</v>
      </c>
      <c r="I20" s="75">
        <v>4411</v>
      </c>
      <c r="J20" s="30">
        <f t="shared" ref="J20:J21" si="19">SUM(D20-SUM(G20:I20))</f>
        <v>3988</v>
      </c>
      <c r="K20" s="75">
        <v>4118</v>
      </c>
      <c r="L20" s="75">
        <v>4740</v>
      </c>
      <c r="M20" s="75">
        <v>4903</v>
      </c>
      <c r="N20" s="30">
        <f t="shared" ref="N20:N21" si="20">SUM(E20-SUM(K20:M20))</f>
        <v>4601</v>
      </c>
      <c r="O20" s="75">
        <v>4253</v>
      </c>
      <c r="P20" s="75"/>
      <c r="Q20" s="75"/>
      <c r="R20" s="5"/>
      <c r="S20" s="30">
        <f>SUM(I20:L20)</f>
        <v>17257</v>
      </c>
      <c r="T20" s="30">
        <f>SUM(J20:M20)</f>
        <v>17749</v>
      </c>
      <c r="U20" s="30">
        <f>SUM(K20:N20)</f>
        <v>18362</v>
      </c>
      <c r="V20" s="30">
        <f>SUM(L20:O20)</f>
        <v>18497</v>
      </c>
      <c r="W20" s="30">
        <f>SUM(M20:P20)</f>
        <v>13757</v>
      </c>
      <c r="X20" s="30">
        <f>SUM(N20:Q20)</f>
        <v>8854</v>
      </c>
      <c r="Y20" s="30">
        <f>SUM(O20:Q20)</f>
        <v>4253</v>
      </c>
      <c r="Z20" s="30">
        <f>SUM(P20:Q20)</f>
        <v>0</v>
      </c>
    </row>
    <row r="21" spans="1:26">
      <c r="A21" s="74"/>
      <c r="B21" s="9" t="s">
        <v>171</v>
      </c>
      <c r="C21" s="75">
        <v>27591</v>
      </c>
      <c r="D21" s="75">
        <v>29204</v>
      </c>
      <c r="E21" s="75">
        <v>28699</v>
      </c>
      <c r="F21" s="10"/>
      <c r="G21" s="75">
        <v>7131</v>
      </c>
      <c r="H21" s="75">
        <v>7670</v>
      </c>
      <c r="I21" s="75">
        <v>7542</v>
      </c>
      <c r="J21" s="30">
        <f t="shared" si="19"/>
        <v>6861</v>
      </c>
      <c r="K21" s="75">
        <v>7182</v>
      </c>
      <c r="L21" s="75">
        <v>7623</v>
      </c>
      <c r="M21" s="75">
        <v>6951</v>
      </c>
      <c r="N21" s="30">
        <f t="shared" si="20"/>
        <v>6943</v>
      </c>
      <c r="O21" s="75">
        <v>6876</v>
      </c>
      <c r="P21" s="75"/>
      <c r="Q21" s="75"/>
      <c r="R21" s="5"/>
      <c r="S21" s="30">
        <f>SUM(I21:L21)</f>
        <v>29208</v>
      </c>
      <c r="T21" s="30">
        <f>SUM(J21:M21)</f>
        <v>28617</v>
      </c>
      <c r="U21" s="30">
        <f>SUM(K21:N21)</f>
        <v>28699</v>
      </c>
      <c r="V21" s="30">
        <f>SUM(L21:O21)</f>
        <v>28393</v>
      </c>
      <c r="W21" s="30">
        <f>SUM(M21:P21)</f>
        <v>20770</v>
      </c>
      <c r="X21" s="30">
        <f>SUM(N21:Q21)</f>
        <v>13819</v>
      </c>
      <c r="Y21" s="30">
        <f>SUM(O21:Q21)</f>
        <v>6876</v>
      </c>
      <c r="Z21" s="30">
        <f>SUM(P21:Q21)</f>
        <v>0</v>
      </c>
    </row>
    <row r="22" spans="1:26">
      <c r="B22" s="12" t="s">
        <v>12</v>
      </c>
      <c r="C22" s="13">
        <f>SUM(C20:C21)</f>
        <v>43004</v>
      </c>
      <c r="D22" s="13">
        <f>SUM(D20:D21)</f>
        <v>45754</v>
      </c>
      <c r="E22" s="13">
        <f>SUM(E20:E21)</f>
        <v>47061</v>
      </c>
      <c r="F22" s="11"/>
      <c r="G22" s="13">
        <f>SUM(G20:G21)</f>
        <v>10980</v>
      </c>
      <c r="H22" s="13">
        <f>SUM(H20:H21)</f>
        <v>11972</v>
      </c>
      <c r="I22" s="13">
        <f>SUM(I20:I21)</f>
        <v>11953</v>
      </c>
      <c r="J22" s="13">
        <f>SUM(J20:J21)</f>
        <v>10849</v>
      </c>
      <c r="K22" s="13">
        <f>SUM(K20:K21)</f>
        <v>11300</v>
      </c>
      <c r="L22" s="13">
        <f>SUM(L20:L21)</f>
        <v>12363</v>
      </c>
      <c r="M22" s="13">
        <f>SUM(M20:M21)</f>
        <v>11854</v>
      </c>
      <c r="N22" s="13">
        <f>SUM(N20:N21)</f>
        <v>11544</v>
      </c>
      <c r="O22" s="13">
        <f>SUM(O20:O21)</f>
        <v>11129</v>
      </c>
      <c r="P22" s="13">
        <f>SUM(P20:P21)</f>
        <v>0</v>
      </c>
      <c r="Q22" s="13">
        <f>SUM(Q20:Q21)</f>
        <v>0</v>
      </c>
      <c r="R22" s="5"/>
      <c r="S22" s="13">
        <f>SUM(S20:S21)</f>
        <v>46465</v>
      </c>
      <c r="T22" s="13">
        <f>SUM(T20:T21)</f>
        <v>46366</v>
      </c>
      <c r="U22" s="13">
        <f>SUM(U20:U21)</f>
        <v>47061</v>
      </c>
      <c r="V22" s="13">
        <f>SUM(V20:V21)</f>
        <v>46890</v>
      </c>
      <c r="W22" s="13">
        <f>SUM(W20:W21)</f>
        <v>34527</v>
      </c>
      <c r="X22" s="13">
        <f>SUM(X20:X21)</f>
        <v>22673</v>
      </c>
      <c r="Y22" s="13">
        <f>SUM(Y20:Y21)</f>
        <v>11129</v>
      </c>
      <c r="Z22" s="13">
        <f>SUM(Z20:Z21)</f>
        <v>0</v>
      </c>
    </row>
    <row r="23" spans="1:26" outlineLevel="1">
      <c r="B23" s="114" t="s">
        <v>61</v>
      </c>
      <c r="C23" s="73">
        <f>+C22-C11</f>
        <v>0</v>
      </c>
      <c r="D23" s="73">
        <f>+D22-D11</f>
        <v>0</v>
      </c>
      <c r="E23" s="73">
        <f>+E22-E11</f>
        <v>0</v>
      </c>
      <c r="F23" s="11"/>
      <c r="G23" s="73">
        <f>+G22-G11</f>
        <v>0</v>
      </c>
      <c r="H23" s="73">
        <f>+H22-H11</f>
        <v>0</v>
      </c>
      <c r="I23" s="73">
        <f>+I22-I11</f>
        <v>0</v>
      </c>
      <c r="J23" s="73">
        <f>+J22-J11</f>
        <v>0</v>
      </c>
      <c r="K23" s="73">
        <f>+K22-K11</f>
        <v>0</v>
      </c>
      <c r="L23" s="73">
        <f>+L22-L11</f>
        <v>0</v>
      </c>
      <c r="M23" s="73">
        <f>+M22-M11</f>
        <v>0</v>
      </c>
      <c r="N23" s="73">
        <f>+N22-N11</f>
        <v>0</v>
      </c>
      <c r="O23" s="73">
        <f>+O22-O11</f>
        <v>0</v>
      </c>
      <c r="P23" s="73">
        <f>+P22-P11</f>
        <v>0</v>
      </c>
      <c r="Q23" s="73">
        <f>+Q22-Q11</f>
        <v>0</v>
      </c>
      <c r="R23" s="5"/>
      <c r="S23" s="73">
        <f>+S22-S11</f>
        <v>711</v>
      </c>
      <c r="T23" s="73">
        <f>+T22-T11</f>
        <v>292</v>
      </c>
      <c r="U23" s="73">
        <f>+U22-U11</f>
        <v>596</v>
      </c>
      <c r="V23" s="73">
        <f>+V22-V11</f>
        <v>524</v>
      </c>
      <c r="W23" s="73">
        <f>+W22-W11</f>
        <v>-12534</v>
      </c>
      <c r="X23" s="73">
        <f>+X22-X11</f>
        <v>-24217</v>
      </c>
      <c r="Y23" s="73">
        <f>+Y22-Y11</f>
        <v>-23398</v>
      </c>
      <c r="Z23" s="73">
        <f>+Z22-Z11</f>
        <v>-22673</v>
      </c>
    </row>
    <row r="24" spans="1:26">
      <c r="B24" s="16"/>
      <c r="C24" s="17"/>
      <c r="D24" s="17"/>
      <c r="E24" s="17"/>
      <c r="F24" s="18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8"/>
      <c r="S24" s="18"/>
      <c r="T24" s="18"/>
      <c r="U24" s="18"/>
      <c r="V24" s="18"/>
      <c r="W24" s="18"/>
      <c r="X24" s="18"/>
      <c r="Y24" s="18"/>
      <c r="Z24" s="18"/>
    </row>
    <row r="25" spans="1:26">
      <c r="B25" s="115" t="str">
        <f>B20&amp;"(%)"</f>
        <v>U.S. Revenues (%)</v>
      </c>
      <c r="C25" s="123">
        <f>C20/C$22</f>
        <v>0.35840852013766161</v>
      </c>
      <c r="D25" s="123">
        <f>D20/D$22</f>
        <v>0.36171700834899678</v>
      </c>
      <c r="E25" s="123">
        <f>E20/E$22</f>
        <v>0.39017445443148252</v>
      </c>
      <c r="F25" s="116"/>
      <c r="G25" s="123">
        <f>G20/G$22</f>
        <v>0.35054644808743168</v>
      </c>
      <c r="H25" s="123">
        <f>H20/H$22</f>
        <v>0.35933845639826262</v>
      </c>
      <c r="I25" s="123">
        <f>I20/I$22</f>
        <v>0.36902869572492264</v>
      </c>
      <c r="J25" s="123">
        <f>J20/J$22</f>
        <v>0.3675914830859987</v>
      </c>
      <c r="K25" s="123">
        <f>K20/K$22</f>
        <v>0.36442477876106194</v>
      </c>
      <c r="L25" s="123">
        <f>L20/L$22</f>
        <v>0.38340208687211841</v>
      </c>
      <c r="M25" s="123">
        <f>M20/M$22</f>
        <v>0.41361565716213938</v>
      </c>
      <c r="N25" s="123">
        <f>N20/N$22</f>
        <v>0.39856202356202358</v>
      </c>
      <c r="O25" s="123">
        <f>O20/O$22</f>
        <v>0.38215473088327795</v>
      </c>
      <c r="P25" s="123" t="e">
        <f>P20/P$22</f>
        <v>#DIV/0!</v>
      </c>
      <c r="Q25" s="123" t="e">
        <f>Q20/Q$22</f>
        <v>#DIV/0!</v>
      </c>
      <c r="R25" s="116"/>
      <c r="S25" s="117">
        <f>S20/S$22</f>
        <v>0.37139782632088669</v>
      </c>
      <c r="T25" s="117">
        <f>T20/T$22</f>
        <v>0.38280205322865896</v>
      </c>
      <c r="U25" s="117">
        <f>U20/U$22</f>
        <v>0.39017445443148252</v>
      </c>
      <c r="V25" s="117">
        <f>V20/V$22</f>
        <v>0.39447643420772022</v>
      </c>
      <c r="W25" s="117">
        <f>W20/W$22</f>
        <v>0.39844179917166278</v>
      </c>
      <c r="X25" s="117">
        <f>X20/X$22</f>
        <v>0.39050853438009969</v>
      </c>
      <c r="Y25" s="117">
        <f>Y20/Y$22</f>
        <v>0.38215473088327795</v>
      </c>
      <c r="Z25" s="118" t="e">
        <f>Z20/Z$22</f>
        <v>#DIV/0!</v>
      </c>
    </row>
    <row r="26" spans="1:26" ht="12.75" customHeight="1">
      <c r="B26" s="119" t="str">
        <f>B21&amp;"(%)"</f>
        <v>International Revenues (%)</v>
      </c>
      <c r="C26" s="124">
        <f>C21/C$22</f>
        <v>0.64159147986233833</v>
      </c>
      <c r="D26" s="124">
        <f>D21/D$22</f>
        <v>0.63828299165100322</v>
      </c>
      <c r="E26" s="124">
        <f>E21/E$22</f>
        <v>0.60982554556851742</v>
      </c>
      <c r="F26" s="120"/>
      <c r="G26" s="124">
        <f>G21/G$22</f>
        <v>0.64945355191256826</v>
      </c>
      <c r="H26" s="124">
        <f>H21/H$22</f>
        <v>0.64066154360173744</v>
      </c>
      <c r="I26" s="124">
        <f>I21/I$22</f>
        <v>0.63097130427507742</v>
      </c>
      <c r="J26" s="124">
        <f>J21/J$22</f>
        <v>0.63240851691400124</v>
      </c>
      <c r="K26" s="124">
        <f>K21/K$22</f>
        <v>0.63557522123893806</v>
      </c>
      <c r="L26" s="124">
        <f>L21/L$22</f>
        <v>0.61659791312788159</v>
      </c>
      <c r="M26" s="124">
        <f>M21/M$22</f>
        <v>0.58638434283786067</v>
      </c>
      <c r="N26" s="124">
        <f>N21/N$22</f>
        <v>0.60143797643797647</v>
      </c>
      <c r="O26" s="124">
        <f>O21/O$22</f>
        <v>0.61784526911672211</v>
      </c>
      <c r="P26" s="124" t="e">
        <f>P21/P$22</f>
        <v>#DIV/0!</v>
      </c>
      <c r="Q26" s="124" t="e">
        <f>Q21/Q$22</f>
        <v>#DIV/0!</v>
      </c>
      <c r="R26" s="120"/>
      <c r="S26" s="121">
        <f>S21/S$22</f>
        <v>0.62860217367911331</v>
      </c>
      <c r="T26" s="121">
        <f>T21/T$22</f>
        <v>0.6171979467713411</v>
      </c>
      <c r="U26" s="121">
        <f>U21/U$22</f>
        <v>0.60982554556851742</v>
      </c>
      <c r="V26" s="121">
        <f>V21/V$22</f>
        <v>0.60552356579227984</v>
      </c>
      <c r="W26" s="121">
        <f>W21/W$22</f>
        <v>0.60155820082833722</v>
      </c>
      <c r="X26" s="121">
        <f>X21/X$22</f>
        <v>0.60949146561990031</v>
      </c>
      <c r="Y26" s="121">
        <f>Y21/Y$22</f>
        <v>0.61784526911672211</v>
      </c>
      <c r="Z26" s="122" t="e">
        <f>Z21/Z$22</f>
        <v>#DIV/0!</v>
      </c>
    </row>
  </sheetData>
  <pageMargins left="0.7" right="0.7" top="0.75" bottom="0.75" header="0.3" footer="0.3"/>
  <ignoredErrors>
    <ignoredError sqref="G14:P15 C14:E15 G25:Q25 G26:Q26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D85"/>
  <sheetViews>
    <sheetView showGridLines="0" tabSelected="1" zoomScaleNormal="100" workbookViewId="0">
      <selection activeCell="B16" sqref="B16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1.5" style="8" customWidth="1"/>
    <col min="7" max="9" width="8" style="8" customWidth="1"/>
    <col min="10" max="10" width="8.75" style="8" customWidth="1"/>
    <col min="11" max="12" width="8" style="8" customWidth="1"/>
    <col min="13" max="17" width="8.875" style="8" customWidth="1"/>
    <col min="18" max="18" width="1.625" style="8" customWidth="1"/>
    <col min="19" max="20" width="8.25" style="8" customWidth="1" outlineLevel="1"/>
    <col min="21" max="21" width="9.25" style="8" customWidth="1" outlineLevel="1"/>
    <col min="22" max="22" width="9.75" style="8" customWidth="1" outlineLevel="1"/>
    <col min="23" max="23" width="9" style="8" customWidth="1" outlineLevel="1"/>
    <col min="24" max="24" width="9" style="8"/>
    <col min="25" max="26" width="9" style="8" customWidth="1" outlineLevel="1"/>
    <col min="27" max="27" width="8.5" style="8" customWidth="1" outlineLevel="1"/>
    <col min="28" max="28" width="8.5" style="8" bestFit="1" customWidth="1"/>
    <col min="29" max="29" width="1.5" style="8" customWidth="1"/>
    <col min="30" max="30" width="7.5" style="111" bestFit="1" customWidth="1"/>
    <col min="31" max="16384" width="9" style="8"/>
  </cols>
  <sheetData>
    <row r="2" spans="2:30" s="5" customFormat="1" ht="12.75" customHeight="1">
      <c r="B2" s="1" t="str">
        <f>'Historical Financials'!B2</f>
        <v>Coca-Cola Co (NASDAQ: KO)</v>
      </c>
      <c r="C2" s="2"/>
      <c r="D2" s="2" t="s">
        <v>0</v>
      </c>
      <c r="E2" s="2"/>
      <c r="F2" s="3"/>
      <c r="G2" s="2" t="s">
        <v>1</v>
      </c>
      <c r="H2" s="2"/>
      <c r="I2" s="2"/>
      <c r="J2" s="2"/>
      <c r="K2" s="2"/>
      <c r="L2" s="2"/>
      <c r="M2" s="2"/>
      <c r="N2" s="2"/>
      <c r="O2" s="2"/>
      <c r="P2" s="2"/>
      <c r="Q2" s="2" t="s">
        <v>1</v>
      </c>
      <c r="R2" s="3"/>
      <c r="S2" s="2"/>
      <c r="T2" s="2"/>
      <c r="U2" s="2"/>
      <c r="V2" s="2"/>
      <c r="W2" s="2" t="s">
        <v>10</v>
      </c>
      <c r="X2" s="2" t="s">
        <v>10</v>
      </c>
      <c r="Y2" s="2"/>
      <c r="Z2" s="2"/>
      <c r="AA2" s="2"/>
      <c r="AB2" s="2"/>
      <c r="AC2" s="3"/>
      <c r="AD2" s="150" t="s">
        <v>23</v>
      </c>
    </row>
    <row r="3" spans="2:30" s="5" customFormat="1" ht="12.75" customHeight="1">
      <c r="B3" s="6" t="s">
        <v>24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7" t="str">
        <f>'Historical Financials'!Q7</f>
        <v>3Q25</v>
      </c>
      <c r="R3" s="3"/>
      <c r="S3" s="4" t="str">
        <f t="shared" ref="S3:AA4" si="0">H3</f>
        <v>2Q23</v>
      </c>
      <c r="T3" s="4" t="str">
        <f t="shared" si="0"/>
        <v>3Q23</v>
      </c>
      <c r="U3" s="4" t="str">
        <f t="shared" si="0"/>
        <v>4Q23</v>
      </c>
      <c r="V3" s="4" t="str">
        <f t="shared" si="0"/>
        <v>1Q24</v>
      </c>
      <c r="W3" s="4" t="str">
        <f t="shared" si="0"/>
        <v>2Q24</v>
      </c>
      <c r="X3" s="4" t="str">
        <f t="shared" si="0"/>
        <v>3Q24</v>
      </c>
      <c r="Y3" s="4" t="str">
        <f t="shared" si="0"/>
        <v>4Q24</v>
      </c>
      <c r="Z3" s="4" t="str">
        <f t="shared" si="0"/>
        <v>1Q25</v>
      </c>
      <c r="AA3" s="4" t="str">
        <f t="shared" si="0"/>
        <v>2Q25</v>
      </c>
      <c r="AB3" s="4" t="str">
        <f>Q3</f>
        <v>3Q25</v>
      </c>
      <c r="AC3" s="3"/>
      <c r="AD3" s="150"/>
    </row>
    <row r="4" spans="2:30" s="5" customFormat="1" ht="12.75" customHeight="1">
      <c r="B4" s="6" t="s">
        <v>94</v>
      </c>
      <c r="C4" s="3">
        <f>'Historical Financials'!C8</f>
        <v>44926</v>
      </c>
      <c r="D4" s="3">
        <f>'Historical Financials'!D8</f>
        <v>45291</v>
      </c>
      <c r="E4" s="3">
        <f>'Historical Financials'!E8</f>
        <v>45657</v>
      </c>
      <c r="F4" s="3"/>
      <c r="G4" s="3">
        <f>'Historical Financials'!G8</f>
        <v>45016</v>
      </c>
      <c r="H4" s="3">
        <f>'Historical Financials'!H8</f>
        <v>45107</v>
      </c>
      <c r="I4" s="3">
        <f>'Historical Financials'!I8</f>
        <v>45199</v>
      </c>
      <c r="J4" s="3">
        <f>'Historical Financials'!J8</f>
        <v>45291</v>
      </c>
      <c r="K4" s="3">
        <f>'Historical Financials'!K8</f>
        <v>45382</v>
      </c>
      <c r="L4" s="3">
        <f>'Historical Financials'!L8</f>
        <v>45473</v>
      </c>
      <c r="M4" s="3">
        <f>'Historical Financials'!M8</f>
        <v>45565</v>
      </c>
      <c r="N4" s="3">
        <f>'Historical Financials'!N8</f>
        <v>45657</v>
      </c>
      <c r="O4" s="3">
        <f>'Historical Financials'!O8</f>
        <v>45747</v>
      </c>
      <c r="P4" s="3">
        <f>'Historical Financials'!P8</f>
        <v>45838</v>
      </c>
      <c r="Q4" s="3">
        <f>'Historical Financials'!Q8</f>
        <v>45930</v>
      </c>
      <c r="R4" s="3"/>
      <c r="S4" s="3">
        <f t="shared" si="0"/>
        <v>45107</v>
      </c>
      <c r="T4" s="3">
        <f t="shared" si="0"/>
        <v>45199</v>
      </c>
      <c r="U4" s="3">
        <f t="shared" si="0"/>
        <v>45291</v>
      </c>
      <c r="V4" s="3">
        <f t="shared" si="0"/>
        <v>45382</v>
      </c>
      <c r="W4" s="3">
        <f t="shared" si="0"/>
        <v>45473</v>
      </c>
      <c r="X4" s="3">
        <f t="shared" si="0"/>
        <v>45565</v>
      </c>
      <c r="Y4" s="3">
        <f t="shared" si="0"/>
        <v>45657</v>
      </c>
      <c r="Z4" s="3">
        <f t="shared" si="0"/>
        <v>45747</v>
      </c>
      <c r="AA4" s="3">
        <f t="shared" si="0"/>
        <v>45838</v>
      </c>
      <c r="AB4" s="3">
        <f>Q4</f>
        <v>45930</v>
      </c>
      <c r="AC4" s="3"/>
      <c r="AD4" s="150"/>
    </row>
    <row r="5" spans="2:30" ht="5.0999999999999996" customHeight="1">
      <c r="AD5" s="107"/>
    </row>
    <row r="6" spans="2:30" ht="12.75" customHeight="1">
      <c r="B6" s="9" t="str">
        <f>'Revenue Drivers'!B9</f>
        <v>Concentrate Operations</v>
      </c>
      <c r="C6" s="80">
        <f>'Revenue Drivers'!C9</f>
        <v>24071</v>
      </c>
      <c r="D6" s="80">
        <f>'Revenue Drivers'!D9</f>
        <v>26539</v>
      </c>
      <c r="E6" s="80">
        <f>'Revenue Drivers'!E9</f>
        <v>27725</v>
      </c>
      <c r="F6" s="10"/>
      <c r="G6" s="80">
        <f>'Revenue Drivers'!G9</f>
        <v>6333</v>
      </c>
      <c r="H6" s="80">
        <f>'Revenue Drivers'!H9</f>
        <v>7050</v>
      </c>
      <c r="I6" s="80">
        <f>'Revenue Drivers'!I9</f>
        <v>7212</v>
      </c>
      <c r="J6" s="80">
        <f>'Revenue Drivers'!J9</f>
        <v>5944</v>
      </c>
      <c r="K6" s="80">
        <f>'Revenue Drivers'!K9</f>
        <v>6655</v>
      </c>
      <c r="L6" s="80">
        <f>'Revenue Drivers'!L9</f>
        <v>7494</v>
      </c>
      <c r="M6" s="80">
        <f>'Revenue Drivers'!M9</f>
        <v>7058</v>
      </c>
      <c r="N6" s="80">
        <f>'Revenue Drivers'!N9</f>
        <v>6518</v>
      </c>
      <c r="O6" s="80">
        <f>'Revenue Drivers'!O9</f>
        <v>7183</v>
      </c>
      <c r="P6" s="80">
        <f>'Revenue Drivers'!P9</f>
        <v>0</v>
      </c>
      <c r="Q6" s="80">
        <f>'Revenue Drivers'!Q9</f>
        <v>0</v>
      </c>
      <c r="R6" s="5"/>
      <c r="S6" s="126">
        <f t="shared" ref="S6:AA7" si="1">SUM(E6:H6)</f>
        <v>41108</v>
      </c>
      <c r="T6" s="126">
        <f t="shared" si="1"/>
        <v>20595</v>
      </c>
      <c r="U6" s="126">
        <f t="shared" si="1"/>
        <v>26539</v>
      </c>
      <c r="V6" s="126">
        <f t="shared" si="1"/>
        <v>26861</v>
      </c>
      <c r="W6" s="126">
        <f t="shared" si="1"/>
        <v>27305</v>
      </c>
      <c r="X6" s="126">
        <f t="shared" si="1"/>
        <v>27151</v>
      </c>
      <c r="Y6" s="126">
        <f t="shared" si="1"/>
        <v>27725</v>
      </c>
      <c r="Z6" s="126">
        <f t="shared" si="1"/>
        <v>28253</v>
      </c>
      <c r="AA6" s="126">
        <f t="shared" si="1"/>
        <v>20759</v>
      </c>
      <c r="AB6" s="126">
        <f>SUM(N6:Q6)</f>
        <v>13701</v>
      </c>
      <c r="AD6" s="108">
        <f t="shared" ref="AD6:AD7" si="2">SUM(AB6/X6)-1</f>
        <v>-0.49537770247873003</v>
      </c>
    </row>
    <row r="7" spans="2:30" ht="12.75" customHeight="1">
      <c r="B7" s="9" t="str">
        <f>'Revenue Drivers'!B10</f>
        <v>Finished Product Operations</v>
      </c>
      <c r="C7" s="80">
        <f>'Revenue Drivers'!C10</f>
        <v>18933</v>
      </c>
      <c r="D7" s="80">
        <f>'Revenue Drivers'!D10</f>
        <v>19215</v>
      </c>
      <c r="E7" s="80">
        <f>'Revenue Drivers'!E10</f>
        <v>19336</v>
      </c>
      <c r="F7" s="10"/>
      <c r="G7" s="80">
        <f>'Revenue Drivers'!G10</f>
        <v>4647</v>
      </c>
      <c r="H7" s="80">
        <f>'Revenue Drivers'!H10</f>
        <v>4922</v>
      </c>
      <c r="I7" s="80">
        <f>'Revenue Drivers'!I10</f>
        <v>4741</v>
      </c>
      <c r="J7" s="80">
        <f>'Revenue Drivers'!J10</f>
        <v>4905</v>
      </c>
      <c r="K7" s="80">
        <f>'Revenue Drivers'!K10</f>
        <v>4645</v>
      </c>
      <c r="L7" s="80">
        <f>'Revenue Drivers'!L10</f>
        <v>4869</v>
      </c>
      <c r="M7" s="80">
        <f>'Revenue Drivers'!M10</f>
        <v>4796</v>
      </c>
      <c r="N7" s="80">
        <f>'Revenue Drivers'!N10</f>
        <v>5026</v>
      </c>
      <c r="O7" s="80">
        <f>'Revenue Drivers'!O10</f>
        <v>3946</v>
      </c>
      <c r="P7" s="80">
        <f>'Revenue Drivers'!P10</f>
        <v>0</v>
      </c>
      <c r="Q7" s="80">
        <f>'Revenue Drivers'!Q10</f>
        <v>0</v>
      </c>
      <c r="R7" s="5"/>
      <c r="S7" s="126">
        <f t="shared" si="1"/>
        <v>28905</v>
      </c>
      <c r="T7" s="126">
        <f t="shared" si="1"/>
        <v>14310</v>
      </c>
      <c r="U7" s="126">
        <f t="shared" si="1"/>
        <v>19215</v>
      </c>
      <c r="V7" s="126">
        <f t="shared" si="1"/>
        <v>19213</v>
      </c>
      <c r="W7" s="126">
        <f t="shared" si="1"/>
        <v>19160</v>
      </c>
      <c r="X7" s="126">
        <f t="shared" si="1"/>
        <v>19215</v>
      </c>
      <c r="Y7" s="126">
        <f t="shared" si="1"/>
        <v>19336</v>
      </c>
      <c r="Z7" s="126">
        <f t="shared" si="1"/>
        <v>18637</v>
      </c>
      <c r="AA7" s="126">
        <f t="shared" si="1"/>
        <v>13768</v>
      </c>
      <c r="AB7" s="126">
        <f>SUM(N7:Q7)</f>
        <v>8972</v>
      </c>
      <c r="AD7" s="108">
        <f t="shared" si="2"/>
        <v>-0.53307311995836582</v>
      </c>
    </row>
    <row r="8" spans="2:30" ht="12.75" customHeight="1">
      <c r="B8" s="12" t="s">
        <v>12</v>
      </c>
      <c r="C8" s="13">
        <f>SUM(C6:C7)</f>
        <v>43004</v>
      </c>
      <c r="D8" s="13">
        <f>SUM(D6:D7)</f>
        <v>45754</v>
      </c>
      <c r="E8" s="13">
        <f>SUM(E6:E7)</f>
        <v>47061</v>
      </c>
      <c r="F8" s="10"/>
      <c r="G8" s="13">
        <f>SUM(G6:G7)</f>
        <v>10980</v>
      </c>
      <c r="H8" s="13">
        <f>SUM(H6:H7)</f>
        <v>11972</v>
      </c>
      <c r="I8" s="13">
        <f>SUM(I6:I7)</f>
        <v>11953</v>
      </c>
      <c r="J8" s="13">
        <f>SUM(J6:J7)</f>
        <v>10849</v>
      </c>
      <c r="K8" s="13">
        <f>SUM(K6:K7)</f>
        <v>11300</v>
      </c>
      <c r="L8" s="13">
        <f>SUM(L6:L7)</f>
        <v>12363</v>
      </c>
      <c r="M8" s="13">
        <f>SUM(M6:M7)</f>
        <v>11854</v>
      </c>
      <c r="N8" s="13">
        <f>SUM(N6:N7)</f>
        <v>11544</v>
      </c>
      <c r="O8" s="13">
        <f>SUM(O6:O7)</f>
        <v>11129</v>
      </c>
      <c r="P8" s="13">
        <f>SUM(P6:P7)</f>
        <v>0</v>
      </c>
      <c r="Q8" s="13">
        <f>SUM(Q6:Q7)</f>
        <v>0</v>
      </c>
      <c r="R8" s="5"/>
      <c r="S8" s="13">
        <f>SUM(S6:S7)</f>
        <v>70013</v>
      </c>
      <c r="T8" s="13">
        <f>SUM(T6:T7)</f>
        <v>34905</v>
      </c>
      <c r="U8" s="13">
        <f>SUM(U6:U7)</f>
        <v>45754</v>
      </c>
      <c r="V8" s="13">
        <f>SUM(V6:V7)</f>
        <v>46074</v>
      </c>
      <c r="W8" s="13">
        <f>SUM(W6:W7)</f>
        <v>46465</v>
      </c>
      <c r="X8" s="13">
        <f>SUM(X6:X7)</f>
        <v>46366</v>
      </c>
      <c r="Y8" s="13">
        <f>SUM(Y6:Y7)</f>
        <v>47061</v>
      </c>
      <c r="Z8" s="13">
        <f>SUM(Z6:Z7)</f>
        <v>46890</v>
      </c>
      <c r="AA8" s="13">
        <f>SUM(AA6:AA7)</f>
        <v>34527</v>
      </c>
      <c r="AB8" s="13">
        <f>SUM(AB6:AB7)</f>
        <v>22673</v>
      </c>
      <c r="AD8" s="109">
        <f>SUM(AB8/X8)-1</f>
        <v>-0.51099943924427382</v>
      </c>
    </row>
    <row r="9" spans="2:30" ht="12.75" customHeight="1">
      <c r="B9" s="14" t="s">
        <v>27</v>
      </c>
      <c r="C9" s="99"/>
      <c r="D9" s="15">
        <f>SUM(D8/C8)-1</f>
        <v>6.3947539763743011E-2</v>
      </c>
      <c r="E9" s="15">
        <f>SUM(E8/D8)-1</f>
        <v>2.8565808453905772E-2</v>
      </c>
      <c r="F9" s="11"/>
      <c r="G9" s="99"/>
      <c r="H9" s="99"/>
      <c r="I9" s="99"/>
      <c r="J9" s="99"/>
      <c r="K9" s="15">
        <f t="shared" ref="K9:Q9" si="3">SUM(K8/G8)-1</f>
        <v>2.9143897996356971E-2</v>
      </c>
      <c r="L9" s="15">
        <f t="shared" si="3"/>
        <v>3.2659538924156406E-2</v>
      </c>
      <c r="M9" s="15">
        <f t="shared" si="3"/>
        <v>-8.2824395549234708E-3</v>
      </c>
      <c r="N9" s="15">
        <f t="shared" si="3"/>
        <v>6.4061203797584954E-2</v>
      </c>
      <c r="O9" s="15">
        <f t="shared" si="3"/>
        <v>-1.513274336283188E-2</v>
      </c>
      <c r="P9" s="15">
        <f t="shared" si="3"/>
        <v>-1</v>
      </c>
      <c r="Q9" s="15">
        <f t="shared" si="3"/>
        <v>-1</v>
      </c>
      <c r="R9" s="5"/>
      <c r="S9" s="99"/>
      <c r="T9" s="99"/>
      <c r="U9" s="99"/>
      <c r="V9" s="99"/>
      <c r="W9" s="15">
        <f t="shared" ref="W9:AB9" si="4">SUM(W8/S8)-1</f>
        <v>-0.33633753731449878</v>
      </c>
      <c r="X9" s="15">
        <f t="shared" si="4"/>
        <v>0.3283483741584301</v>
      </c>
      <c r="Y9" s="15">
        <f t="shared" si="4"/>
        <v>2.8565808453905772E-2</v>
      </c>
      <c r="Z9" s="15">
        <f t="shared" si="4"/>
        <v>1.7710639406172568E-2</v>
      </c>
      <c r="AA9" s="15">
        <f t="shared" si="4"/>
        <v>-0.25692456687829546</v>
      </c>
      <c r="AB9" s="15">
        <f t="shared" si="4"/>
        <v>-0.51099943924427382</v>
      </c>
      <c r="AD9" s="110">
        <f>SUM(AB9-X9)*10000</f>
        <v>-8393.4781340270401</v>
      </c>
    </row>
    <row r="10" spans="2:30" ht="12.75" customHeight="1">
      <c r="B10" s="14" t="s">
        <v>28</v>
      </c>
      <c r="C10" s="15" t="s">
        <v>29</v>
      </c>
      <c r="D10" s="15" t="s">
        <v>29</v>
      </c>
      <c r="E10" s="15" t="s">
        <v>29</v>
      </c>
      <c r="F10" s="11"/>
      <c r="G10" s="99"/>
      <c r="H10" s="15">
        <f>SUM(H8/G8)-1</f>
        <v>9.0346083788706677E-2</v>
      </c>
      <c r="I10" s="15">
        <f>SUM(I8/H8)-1</f>
        <v>-1.5870364183093733E-3</v>
      </c>
      <c r="J10" s="15">
        <f>SUM(J8/I8)-1</f>
        <v>-9.2361750188237224E-2</v>
      </c>
      <c r="K10" s="15">
        <f>SUM(K8/J8)-1</f>
        <v>4.1570651672965253E-2</v>
      </c>
      <c r="L10" s="15">
        <f t="shared" ref="L10:Q10" si="5">SUM(L8/K8)-1</f>
        <v>9.407079646017702E-2</v>
      </c>
      <c r="M10" s="15">
        <f t="shared" si="5"/>
        <v>-4.1171236754832918E-2</v>
      </c>
      <c r="N10" s="15">
        <f t="shared" si="5"/>
        <v>-2.6151510038805448E-2</v>
      </c>
      <c r="O10" s="15">
        <f t="shared" si="5"/>
        <v>-3.5949410949410954E-2</v>
      </c>
      <c r="P10" s="15">
        <f t="shared" si="5"/>
        <v>-1</v>
      </c>
      <c r="Q10" s="15" t="e">
        <f t="shared" si="5"/>
        <v>#DIV/0!</v>
      </c>
      <c r="R10" s="5"/>
      <c r="S10" s="15" t="s">
        <v>29</v>
      </c>
      <c r="T10" s="15" t="s">
        <v>29</v>
      </c>
      <c r="U10" s="15" t="s">
        <v>29</v>
      </c>
      <c r="V10" s="15" t="s">
        <v>29</v>
      </c>
      <c r="W10" s="15" t="s">
        <v>29</v>
      </c>
      <c r="X10" s="15" t="s">
        <v>29</v>
      </c>
      <c r="Y10" s="15" t="s">
        <v>29</v>
      </c>
      <c r="Z10" s="15" t="s">
        <v>29</v>
      </c>
      <c r="AA10" s="15" t="s">
        <v>29</v>
      </c>
      <c r="AB10" s="15" t="s">
        <v>29</v>
      </c>
      <c r="AD10" s="107"/>
    </row>
    <row r="11" spans="2:30" ht="5.0999999999999996" customHeight="1">
      <c r="B11" s="16"/>
      <c r="C11" s="17"/>
      <c r="D11" s="17"/>
      <c r="E11" s="17"/>
      <c r="F11" s="18"/>
      <c r="G11" s="19"/>
      <c r="H11" s="19"/>
      <c r="I11" s="19"/>
      <c r="J11" s="19"/>
      <c r="K11" s="19"/>
      <c r="L11" s="19"/>
      <c r="M11" s="19"/>
      <c r="N11" s="20"/>
      <c r="O11" s="19"/>
      <c r="P11" s="19"/>
      <c r="Q11" s="19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D11" s="107"/>
    </row>
    <row r="12" spans="2:30" ht="12.75" customHeight="1">
      <c r="B12" s="21" t="s">
        <v>30</v>
      </c>
      <c r="C12" s="80">
        <f>'Historical Financials'!C13</f>
        <v>-18000</v>
      </c>
      <c r="D12" s="80">
        <f>'Historical Financials'!D13</f>
        <v>-18520</v>
      </c>
      <c r="E12" s="80">
        <f>'Historical Financials'!E13</f>
        <v>-18324</v>
      </c>
      <c r="F12" s="10"/>
      <c r="G12" s="80">
        <f>'Historical Financials'!G13</f>
        <v>-4317</v>
      </c>
      <c r="H12" s="80">
        <f>'Historical Financials'!H13</f>
        <v>-4912</v>
      </c>
      <c r="I12" s="80">
        <f>'Historical Financials'!I13</f>
        <v>-4657</v>
      </c>
      <c r="J12" s="80">
        <f>'Historical Financials'!J13</f>
        <v>-4634</v>
      </c>
      <c r="K12" s="80">
        <f>'Historical Financials'!K13</f>
        <v>-4235</v>
      </c>
      <c r="L12" s="80">
        <f>'Historical Financials'!L13</f>
        <v>-4812</v>
      </c>
      <c r="M12" s="80">
        <f>'Historical Financials'!M13</f>
        <v>-4664</v>
      </c>
      <c r="N12" s="80">
        <f>'Historical Financials'!N13</f>
        <v>-4613</v>
      </c>
      <c r="O12" s="80">
        <f>'Historical Financials'!O13</f>
        <v>-4163</v>
      </c>
      <c r="P12" s="80">
        <f>'Historical Financials'!P13</f>
        <v>0</v>
      </c>
      <c r="Q12" s="80">
        <f>'Historical Financials'!Q13</f>
        <v>0</v>
      </c>
      <c r="R12" s="5"/>
      <c r="S12" s="126">
        <f t="shared" ref="S12" si="6">SUM(E12:H12)</f>
        <v>-27553</v>
      </c>
      <c r="T12" s="126">
        <f t="shared" ref="T12" si="7">SUM(F12:I12)</f>
        <v>-13886</v>
      </c>
      <c r="U12" s="126">
        <f t="shared" ref="U12" si="8">SUM(G12:J12)</f>
        <v>-18520</v>
      </c>
      <c r="V12" s="126">
        <f t="shared" ref="V12" si="9">SUM(H12:K12)</f>
        <v>-18438</v>
      </c>
      <c r="W12" s="126">
        <f t="shared" ref="W12" si="10">SUM(I12:L12)</f>
        <v>-18338</v>
      </c>
      <c r="X12" s="126">
        <f t="shared" ref="X12" si="11">SUM(J12:M12)</f>
        <v>-18345</v>
      </c>
      <c r="Y12" s="126">
        <f t="shared" ref="Y12" si="12">SUM(K12:N12)</f>
        <v>-18324</v>
      </c>
      <c r="Z12" s="126">
        <f t="shared" ref="Z12" si="13">SUM(L12:O12)</f>
        <v>-18252</v>
      </c>
      <c r="AA12" s="126">
        <f t="shared" ref="AA12" si="14">SUM(M12:P12)</f>
        <v>-13440</v>
      </c>
      <c r="AB12" s="126">
        <f>SUM(N12:Q12)</f>
        <v>-8776</v>
      </c>
      <c r="AD12" s="108">
        <f>SUM(AB12/X12)-1</f>
        <v>-0.52161351866993733</v>
      </c>
    </row>
    <row r="13" spans="2:30" ht="12.75" customHeight="1">
      <c r="B13" s="23" t="s">
        <v>21</v>
      </c>
      <c r="C13" s="24">
        <f t="shared" ref="C13:E13" si="15">SUM(C8+SUM(C12:C12))</f>
        <v>25004</v>
      </c>
      <c r="D13" s="24">
        <f t="shared" si="15"/>
        <v>27234</v>
      </c>
      <c r="E13" s="24">
        <f t="shared" si="15"/>
        <v>28737</v>
      </c>
      <c r="F13" s="5"/>
      <c r="G13" s="24">
        <f>SUM(G8+SUM(G12:G12))</f>
        <v>6663</v>
      </c>
      <c r="H13" s="24">
        <f>SUM(H8+SUM(H12:H12))</f>
        <v>7060</v>
      </c>
      <c r="I13" s="24">
        <f>SUM(I8+SUM(I12:I12))</f>
        <v>7296</v>
      </c>
      <c r="J13" s="24">
        <f>SUM(J8+SUM(J12:J12))</f>
        <v>6215</v>
      </c>
      <c r="K13" s="24">
        <f t="shared" ref="K13:P13" si="16">SUM(K8+SUM(K12:K12))</f>
        <v>7065</v>
      </c>
      <c r="L13" s="24">
        <f t="shared" si="16"/>
        <v>7551</v>
      </c>
      <c r="M13" s="24">
        <f t="shared" si="16"/>
        <v>7190</v>
      </c>
      <c r="N13" s="24">
        <f t="shared" si="16"/>
        <v>6931</v>
      </c>
      <c r="O13" s="24">
        <f t="shared" si="16"/>
        <v>6966</v>
      </c>
      <c r="P13" s="24">
        <f t="shared" si="16"/>
        <v>0</v>
      </c>
      <c r="Q13" s="24">
        <f t="shared" ref="Q13" si="17">SUM(Q8+SUM(Q12:Q12))</f>
        <v>0</v>
      </c>
      <c r="R13" s="5"/>
      <c r="S13" s="24">
        <f t="shared" ref="S13" si="18">SUM(S8+SUM(S12:S12))</f>
        <v>42460</v>
      </c>
      <c r="T13" s="24">
        <f t="shared" ref="T13:AB13" si="19">SUM(T8+SUM(T12:T12))</f>
        <v>21019</v>
      </c>
      <c r="U13" s="24">
        <f t="shared" si="19"/>
        <v>27234</v>
      </c>
      <c r="V13" s="24">
        <f t="shared" si="19"/>
        <v>27636</v>
      </c>
      <c r="W13" s="24">
        <f t="shared" si="19"/>
        <v>28127</v>
      </c>
      <c r="X13" s="24">
        <f t="shared" si="19"/>
        <v>28021</v>
      </c>
      <c r="Y13" s="24">
        <f t="shared" si="19"/>
        <v>28737</v>
      </c>
      <c r="Z13" s="24">
        <f t="shared" si="19"/>
        <v>28638</v>
      </c>
      <c r="AA13" s="24">
        <f t="shared" si="19"/>
        <v>21087</v>
      </c>
      <c r="AB13" s="24">
        <f t="shared" si="19"/>
        <v>13897</v>
      </c>
      <c r="AD13" s="109">
        <f>SUM(AB13/X13)-1</f>
        <v>-0.5040505335284251</v>
      </c>
    </row>
    <row r="14" spans="2:30" ht="12.75" customHeight="1">
      <c r="B14" s="14" t="s">
        <v>31</v>
      </c>
      <c r="C14" s="15">
        <f t="shared" ref="C14:E14" si="20">C13/C8</f>
        <v>0.58143428518277374</v>
      </c>
      <c r="D14" s="15">
        <f t="shared" si="20"/>
        <v>0.5952266468505486</v>
      </c>
      <c r="E14" s="15">
        <f t="shared" si="20"/>
        <v>0.61063300822336963</v>
      </c>
      <c r="F14" s="25"/>
      <c r="G14" s="15">
        <f>G13/G8</f>
        <v>0.60683060109289622</v>
      </c>
      <c r="H14" s="15">
        <f>H13/H8</f>
        <v>0.58970932175075175</v>
      </c>
      <c r="I14" s="15">
        <f>I13/I8</f>
        <v>0.61039069689617664</v>
      </c>
      <c r="J14" s="15">
        <f>J13/J8</f>
        <v>0.57286385842013088</v>
      </c>
      <c r="K14" s="15">
        <f t="shared" ref="K14:P14" si="21">K13/K8</f>
        <v>0.62522123893805315</v>
      </c>
      <c r="L14" s="15">
        <f t="shared" si="21"/>
        <v>0.61077408396020383</v>
      </c>
      <c r="M14" s="15">
        <f t="shared" si="21"/>
        <v>0.60654631348068166</v>
      </c>
      <c r="N14" s="15">
        <f t="shared" si="21"/>
        <v>0.60039847539847535</v>
      </c>
      <c r="O14" s="15">
        <f t="shared" si="21"/>
        <v>0.62593224907898282</v>
      </c>
      <c r="P14" s="15" t="e">
        <f t="shared" si="21"/>
        <v>#DIV/0!</v>
      </c>
      <c r="Q14" s="15" t="e">
        <f t="shared" ref="Q14" si="22">Q13/Q8</f>
        <v>#DIV/0!</v>
      </c>
      <c r="R14" s="26"/>
      <c r="S14" s="15">
        <f t="shared" ref="S14" si="23">S13/S8</f>
        <v>0.606458800508477</v>
      </c>
      <c r="T14" s="15">
        <f t="shared" ref="T14:AB14" si="24">T13/T8</f>
        <v>0.60217733849018762</v>
      </c>
      <c r="U14" s="15">
        <f t="shared" si="24"/>
        <v>0.5952266468505486</v>
      </c>
      <c r="V14" s="15">
        <f t="shared" si="24"/>
        <v>0.59981768459434825</v>
      </c>
      <c r="W14" s="15">
        <f t="shared" si="24"/>
        <v>0.6053373506940708</v>
      </c>
      <c r="X14" s="15">
        <f t="shared" si="24"/>
        <v>0.60434370012509164</v>
      </c>
      <c r="Y14" s="15">
        <f t="shared" si="24"/>
        <v>0.61063300822336963</v>
      </c>
      <c r="Z14" s="15">
        <f t="shared" si="24"/>
        <v>0.61074856046065262</v>
      </c>
      <c r="AA14" s="15">
        <f t="shared" si="24"/>
        <v>0.6107394213224433</v>
      </c>
      <c r="AB14" s="15">
        <f t="shared" si="24"/>
        <v>0.61293168085387906</v>
      </c>
      <c r="AD14" s="110">
        <f>SUM(AB14-X14)*10000</f>
        <v>85.879807287874144</v>
      </c>
    </row>
    <row r="15" spans="2:30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5"/>
      <c r="S15" s="28"/>
      <c r="T15" s="28"/>
      <c r="U15" s="28"/>
      <c r="V15" s="28"/>
      <c r="W15" s="28"/>
      <c r="X15" s="28"/>
      <c r="Y15" s="28"/>
      <c r="Z15" s="28"/>
      <c r="AA15" s="28"/>
      <c r="AB15" s="28"/>
      <c r="AD15" s="107"/>
    </row>
    <row r="16" spans="2:30" ht="12.75" customHeight="1">
      <c r="B16" s="21" t="s">
        <v>113</v>
      </c>
      <c r="C16" s="127"/>
      <c r="D16" s="127"/>
      <c r="E16" s="127"/>
      <c r="F16" s="80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5"/>
      <c r="S16" s="126">
        <f t="shared" ref="S16:S20" si="25">SUM(E16:H16)</f>
        <v>0</v>
      </c>
      <c r="T16" s="126">
        <f t="shared" ref="T16:T20" si="26">SUM(F16:I16)</f>
        <v>0</v>
      </c>
      <c r="U16" s="126">
        <f t="shared" ref="U16:U20" si="27">SUM(G16:J16)</f>
        <v>0</v>
      </c>
      <c r="V16" s="126">
        <f t="shared" ref="V16:V20" si="28">SUM(H16:K16)</f>
        <v>0</v>
      </c>
      <c r="W16" s="126">
        <f t="shared" ref="W16:W20" si="29">SUM(I16:L16)</f>
        <v>0</v>
      </c>
      <c r="X16" s="126">
        <f t="shared" ref="X16:X20" si="30">SUM(J16:M16)</f>
        <v>0</v>
      </c>
      <c r="Y16" s="126">
        <f t="shared" ref="Y16:Y20" si="31">SUM(K16:N16)</f>
        <v>0</v>
      </c>
      <c r="Z16" s="126">
        <f t="shared" ref="Z16:Z20" si="32">SUM(L16:O16)</f>
        <v>0</v>
      </c>
      <c r="AA16" s="126">
        <f t="shared" ref="AA16:AA20" si="33">SUM(M16:P16)</f>
        <v>0</v>
      </c>
      <c r="AB16" s="126">
        <f t="shared" ref="AB16:AB20" si="34">SUM(N16:Q16)</f>
        <v>0</v>
      </c>
      <c r="AD16" s="108" t="e">
        <f>SUM(AB16/X16)-1</f>
        <v>#DIV/0!</v>
      </c>
    </row>
    <row r="17" spans="2:30" ht="12.75" customHeight="1">
      <c r="B17" s="21" t="s">
        <v>113</v>
      </c>
      <c r="C17" s="127"/>
      <c r="D17" s="127"/>
      <c r="E17" s="127"/>
      <c r="F17" s="80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5"/>
      <c r="S17" s="126">
        <f t="shared" si="25"/>
        <v>0</v>
      </c>
      <c r="T17" s="126">
        <f t="shared" si="26"/>
        <v>0</v>
      </c>
      <c r="U17" s="126">
        <f t="shared" si="27"/>
        <v>0</v>
      </c>
      <c r="V17" s="126">
        <f t="shared" si="28"/>
        <v>0</v>
      </c>
      <c r="W17" s="126">
        <f t="shared" si="29"/>
        <v>0</v>
      </c>
      <c r="X17" s="126">
        <f t="shared" si="30"/>
        <v>0</v>
      </c>
      <c r="Y17" s="126">
        <f t="shared" si="31"/>
        <v>0</v>
      </c>
      <c r="Z17" s="126">
        <f t="shared" si="32"/>
        <v>0</v>
      </c>
      <c r="AA17" s="126">
        <f t="shared" si="33"/>
        <v>0</v>
      </c>
      <c r="AB17" s="126">
        <f t="shared" si="34"/>
        <v>0</v>
      </c>
      <c r="AD17" s="108" t="e">
        <f t="shared" ref="AD17:AD19" si="35">SUM(AB17/X17)-1</f>
        <v>#DIV/0!</v>
      </c>
    </row>
    <row r="18" spans="2:30" ht="12.75" customHeight="1">
      <c r="B18" s="21" t="s">
        <v>113</v>
      </c>
      <c r="C18" s="127"/>
      <c r="D18" s="127"/>
      <c r="E18" s="127"/>
      <c r="F18" s="80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5"/>
      <c r="S18" s="126">
        <f t="shared" si="25"/>
        <v>0</v>
      </c>
      <c r="T18" s="126">
        <f t="shared" si="26"/>
        <v>0</v>
      </c>
      <c r="U18" s="126">
        <f t="shared" si="27"/>
        <v>0</v>
      </c>
      <c r="V18" s="126">
        <f t="shared" si="28"/>
        <v>0</v>
      </c>
      <c r="W18" s="126">
        <f t="shared" si="29"/>
        <v>0</v>
      </c>
      <c r="X18" s="126">
        <f t="shared" si="30"/>
        <v>0</v>
      </c>
      <c r="Y18" s="126">
        <f t="shared" si="31"/>
        <v>0</v>
      </c>
      <c r="Z18" s="126">
        <f t="shared" si="32"/>
        <v>0</v>
      </c>
      <c r="AA18" s="126">
        <f t="shared" si="33"/>
        <v>0</v>
      </c>
      <c r="AB18" s="126">
        <f t="shared" si="34"/>
        <v>0</v>
      </c>
      <c r="AD18" s="108" t="e">
        <f t="shared" si="35"/>
        <v>#DIV/0!</v>
      </c>
    </row>
    <row r="19" spans="2:30" ht="12.75" customHeight="1">
      <c r="B19" s="21" t="s">
        <v>113</v>
      </c>
      <c r="C19" s="127"/>
      <c r="D19" s="127"/>
      <c r="E19" s="127"/>
      <c r="F19" s="80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5"/>
      <c r="S19" s="126">
        <f t="shared" si="25"/>
        <v>0</v>
      </c>
      <c r="T19" s="126">
        <f t="shared" si="26"/>
        <v>0</v>
      </c>
      <c r="U19" s="126">
        <f t="shared" si="27"/>
        <v>0</v>
      </c>
      <c r="V19" s="126">
        <f t="shared" si="28"/>
        <v>0</v>
      </c>
      <c r="W19" s="126">
        <f t="shared" si="29"/>
        <v>0</v>
      </c>
      <c r="X19" s="126">
        <f t="shared" si="30"/>
        <v>0</v>
      </c>
      <c r="Y19" s="126">
        <f t="shared" si="31"/>
        <v>0</v>
      </c>
      <c r="Z19" s="126">
        <f t="shared" si="32"/>
        <v>0</v>
      </c>
      <c r="AA19" s="126">
        <f t="shared" si="33"/>
        <v>0</v>
      </c>
      <c r="AB19" s="126">
        <f t="shared" si="34"/>
        <v>0</v>
      </c>
      <c r="AD19" s="108" t="e">
        <f t="shared" si="35"/>
        <v>#DIV/0!</v>
      </c>
    </row>
    <row r="20" spans="2:30" ht="12.75" customHeight="1">
      <c r="B20" s="21" t="s">
        <v>113</v>
      </c>
      <c r="C20" s="127"/>
      <c r="D20" s="127"/>
      <c r="E20" s="127"/>
      <c r="F20" s="80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5"/>
      <c r="S20" s="126">
        <f t="shared" si="25"/>
        <v>0</v>
      </c>
      <c r="T20" s="126">
        <f t="shared" si="26"/>
        <v>0</v>
      </c>
      <c r="U20" s="126">
        <f t="shared" si="27"/>
        <v>0</v>
      </c>
      <c r="V20" s="126">
        <f t="shared" si="28"/>
        <v>0</v>
      </c>
      <c r="W20" s="126">
        <f t="shared" si="29"/>
        <v>0</v>
      </c>
      <c r="X20" s="126">
        <f t="shared" si="30"/>
        <v>0</v>
      </c>
      <c r="Y20" s="126">
        <f t="shared" si="31"/>
        <v>0</v>
      </c>
      <c r="Z20" s="126">
        <f t="shared" si="32"/>
        <v>0</v>
      </c>
      <c r="AA20" s="126">
        <f t="shared" si="33"/>
        <v>0</v>
      </c>
      <c r="AB20" s="126">
        <f t="shared" si="34"/>
        <v>0</v>
      </c>
      <c r="AD20" s="108" t="e">
        <f>SUM(AB20/X20)-1</f>
        <v>#DIV/0!</v>
      </c>
    </row>
    <row r="21" spans="2:30" ht="12.75" customHeight="1">
      <c r="B21" s="12" t="s">
        <v>32</v>
      </c>
      <c r="C21" s="13">
        <f>SUM(C13+SUM(C16:C20))</f>
        <v>25004</v>
      </c>
      <c r="D21" s="13">
        <f>SUM(D13+SUM(D16:D20))</f>
        <v>27234</v>
      </c>
      <c r="E21" s="13">
        <f>SUM(E13+SUM(E16:E20))</f>
        <v>28737</v>
      </c>
      <c r="F21" s="11"/>
      <c r="G21" s="13">
        <f t="shared" ref="G21:Q21" si="36">SUM(G13+SUM(G16:G20))</f>
        <v>6663</v>
      </c>
      <c r="H21" s="13">
        <f t="shared" si="36"/>
        <v>7060</v>
      </c>
      <c r="I21" s="13">
        <f t="shared" si="36"/>
        <v>7296</v>
      </c>
      <c r="J21" s="13">
        <f t="shared" si="36"/>
        <v>6215</v>
      </c>
      <c r="K21" s="13">
        <f t="shared" si="36"/>
        <v>7065</v>
      </c>
      <c r="L21" s="13">
        <f t="shared" si="36"/>
        <v>7551</v>
      </c>
      <c r="M21" s="13">
        <f t="shared" si="36"/>
        <v>7190</v>
      </c>
      <c r="N21" s="13">
        <f t="shared" si="36"/>
        <v>6931</v>
      </c>
      <c r="O21" s="13">
        <f t="shared" si="36"/>
        <v>6966</v>
      </c>
      <c r="P21" s="13">
        <f t="shared" si="36"/>
        <v>0</v>
      </c>
      <c r="Q21" s="13">
        <f t="shared" si="36"/>
        <v>0</v>
      </c>
      <c r="R21" s="5"/>
      <c r="S21" s="13">
        <f t="shared" ref="S21:AB21" si="37">SUM(S13+SUM(S16:S20))</f>
        <v>42460</v>
      </c>
      <c r="T21" s="13">
        <f t="shared" si="37"/>
        <v>21019</v>
      </c>
      <c r="U21" s="13">
        <f t="shared" si="37"/>
        <v>27234</v>
      </c>
      <c r="V21" s="13">
        <f t="shared" si="37"/>
        <v>27636</v>
      </c>
      <c r="W21" s="13">
        <f t="shared" si="37"/>
        <v>28127</v>
      </c>
      <c r="X21" s="13">
        <f t="shared" si="37"/>
        <v>28021</v>
      </c>
      <c r="Y21" s="13">
        <f t="shared" si="37"/>
        <v>28737</v>
      </c>
      <c r="Z21" s="13">
        <f t="shared" si="37"/>
        <v>28638</v>
      </c>
      <c r="AA21" s="13">
        <f t="shared" si="37"/>
        <v>21087</v>
      </c>
      <c r="AB21" s="13">
        <f t="shared" si="37"/>
        <v>13897</v>
      </c>
      <c r="AD21" s="109">
        <f>SUM(AB21/X21)-1</f>
        <v>-0.5040505335284251</v>
      </c>
    </row>
    <row r="22" spans="2:30" ht="12.75" customHeight="1">
      <c r="B22" s="14" t="s">
        <v>33</v>
      </c>
      <c r="C22" s="15">
        <f>C21/C8</f>
        <v>0.58143428518277374</v>
      </c>
      <c r="D22" s="15">
        <f>D21/D8</f>
        <v>0.5952266468505486</v>
      </c>
      <c r="E22" s="15">
        <f>E21/E8</f>
        <v>0.61063300822336963</v>
      </c>
      <c r="F22" s="25"/>
      <c r="G22" s="15">
        <f t="shared" ref="G22:Q22" si="38">G21/G8</f>
        <v>0.60683060109289622</v>
      </c>
      <c r="H22" s="15">
        <f t="shared" si="38"/>
        <v>0.58970932175075175</v>
      </c>
      <c r="I22" s="15">
        <f t="shared" si="38"/>
        <v>0.61039069689617664</v>
      </c>
      <c r="J22" s="15">
        <f t="shared" si="38"/>
        <v>0.57286385842013088</v>
      </c>
      <c r="K22" s="15">
        <f t="shared" si="38"/>
        <v>0.62522123893805315</v>
      </c>
      <c r="L22" s="15">
        <f t="shared" si="38"/>
        <v>0.61077408396020383</v>
      </c>
      <c r="M22" s="15">
        <f t="shared" si="38"/>
        <v>0.60654631348068166</v>
      </c>
      <c r="N22" s="15">
        <f t="shared" si="38"/>
        <v>0.60039847539847535</v>
      </c>
      <c r="O22" s="15">
        <f t="shared" si="38"/>
        <v>0.62593224907898282</v>
      </c>
      <c r="P22" s="15" t="e">
        <f t="shared" si="38"/>
        <v>#DIV/0!</v>
      </c>
      <c r="Q22" s="15" t="e">
        <f t="shared" si="38"/>
        <v>#DIV/0!</v>
      </c>
      <c r="R22" s="26"/>
      <c r="S22" s="15">
        <f t="shared" ref="S22:AB22" si="39">S21/S8</f>
        <v>0.606458800508477</v>
      </c>
      <c r="T22" s="15">
        <f t="shared" si="39"/>
        <v>0.60217733849018762</v>
      </c>
      <c r="U22" s="15">
        <f t="shared" si="39"/>
        <v>0.5952266468505486</v>
      </c>
      <c r="V22" s="15">
        <f t="shared" si="39"/>
        <v>0.59981768459434825</v>
      </c>
      <c r="W22" s="15">
        <f t="shared" si="39"/>
        <v>0.6053373506940708</v>
      </c>
      <c r="X22" s="15">
        <f t="shared" si="39"/>
        <v>0.60434370012509164</v>
      </c>
      <c r="Y22" s="15">
        <f t="shared" si="39"/>
        <v>0.61063300822336963</v>
      </c>
      <c r="Z22" s="15">
        <f t="shared" si="39"/>
        <v>0.61074856046065262</v>
      </c>
      <c r="AA22" s="15">
        <f t="shared" si="39"/>
        <v>0.6107394213224433</v>
      </c>
      <c r="AB22" s="15">
        <f t="shared" si="39"/>
        <v>0.61293168085387906</v>
      </c>
      <c r="AD22" s="110">
        <f>SUM(AB22-X22)*10000</f>
        <v>85.879807287874144</v>
      </c>
    </row>
    <row r="23" spans="2:30" ht="5.0999999999999996" customHeight="1">
      <c r="AD23" s="107"/>
    </row>
    <row r="24" spans="2:30" ht="12.75" customHeight="1">
      <c r="B24" s="29" t="s">
        <v>97</v>
      </c>
      <c r="C24" s="127"/>
      <c r="D24" s="127"/>
      <c r="E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S24" s="126">
        <f t="shared" ref="S24" si="40">SUM(E24:H24)</f>
        <v>0</v>
      </c>
      <c r="T24" s="126">
        <f t="shared" ref="T24" si="41">SUM(F24:I24)</f>
        <v>0</v>
      </c>
      <c r="U24" s="126">
        <f t="shared" ref="U24" si="42">SUM(G24:J24)</f>
        <v>0</v>
      </c>
      <c r="V24" s="126">
        <f t="shared" ref="V24" si="43">SUM(H24:K24)</f>
        <v>0</v>
      </c>
      <c r="W24" s="126">
        <f t="shared" ref="W24" si="44">SUM(I24:L24)</f>
        <v>0</v>
      </c>
      <c r="X24" s="126">
        <f t="shared" ref="X24" si="45">SUM(J24:M24)</f>
        <v>0</v>
      </c>
      <c r="Y24" s="126">
        <f t="shared" ref="Y24" si="46">SUM(K24:N24)</f>
        <v>0</v>
      </c>
      <c r="Z24" s="126">
        <f t="shared" ref="Z24" si="47">SUM(L24:O24)</f>
        <v>0</v>
      </c>
      <c r="AA24" s="126">
        <f t="shared" ref="AA24" si="48">SUM(M24:P24)</f>
        <v>0</v>
      </c>
      <c r="AB24" s="126">
        <f>SUM(N24:Q24)</f>
        <v>0</v>
      </c>
      <c r="AD24" s="108" t="e">
        <f>SUM(AB24/X24)-1</f>
        <v>#DIV/0!</v>
      </c>
    </row>
    <row r="25" spans="2:30" ht="12.75" customHeight="1">
      <c r="B25" s="23" t="s">
        <v>11</v>
      </c>
      <c r="C25" s="24">
        <f t="shared" ref="C25:E25" si="49">SUM(C21+SUM(C24:C24))</f>
        <v>25004</v>
      </c>
      <c r="D25" s="24">
        <f t="shared" si="49"/>
        <v>27234</v>
      </c>
      <c r="E25" s="24">
        <f t="shared" si="49"/>
        <v>28737</v>
      </c>
      <c r="G25" s="24">
        <f t="shared" ref="G25:P25" si="50">SUM(G21+SUM(G24:G24))</f>
        <v>6663</v>
      </c>
      <c r="H25" s="24">
        <f t="shared" si="50"/>
        <v>7060</v>
      </c>
      <c r="I25" s="24">
        <f t="shared" si="50"/>
        <v>7296</v>
      </c>
      <c r="J25" s="24">
        <f t="shared" si="50"/>
        <v>6215</v>
      </c>
      <c r="K25" s="24">
        <f t="shared" si="50"/>
        <v>7065</v>
      </c>
      <c r="L25" s="24">
        <f t="shared" si="50"/>
        <v>7551</v>
      </c>
      <c r="M25" s="24">
        <f t="shared" si="50"/>
        <v>7190</v>
      </c>
      <c r="N25" s="24">
        <f t="shared" si="50"/>
        <v>6931</v>
      </c>
      <c r="O25" s="24">
        <f t="shared" si="50"/>
        <v>6966</v>
      </c>
      <c r="P25" s="24">
        <f t="shared" si="50"/>
        <v>0</v>
      </c>
      <c r="Q25" s="24">
        <f t="shared" ref="Q25" si="51">SUM(Q21+SUM(Q24:Q24))</f>
        <v>0</v>
      </c>
      <c r="S25" s="24">
        <f t="shared" ref="S25" si="52">SUM(S21+SUM(S24:S24))</f>
        <v>42460</v>
      </c>
      <c r="T25" s="24">
        <f t="shared" ref="T25:AB25" si="53">SUM(T21+SUM(T24:T24))</f>
        <v>21019</v>
      </c>
      <c r="U25" s="24">
        <f t="shared" si="53"/>
        <v>27234</v>
      </c>
      <c r="V25" s="24">
        <f t="shared" si="53"/>
        <v>27636</v>
      </c>
      <c r="W25" s="24">
        <f t="shared" si="53"/>
        <v>28127</v>
      </c>
      <c r="X25" s="24">
        <f t="shared" si="53"/>
        <v>28021</v>
      </c>
      <c r="Y25" s="24">
        <f t="shared" si="53"/>
        <v>28737</v>
      </c>
      <c r="Z25" s="24">
        <f t="shared" si="53"/>
        <v>28638</v>
      </c>
      <c r="AA25" s="24">
        <f t="shared" si="53"/>
        <v>21087</v>
      </c>
      <c r="AB25" s="24">
        <f t="shared" si="53"/>
        <v>13897</v>
      </c>
      <c r="AD25" s="109">
        <f>SUM(AB25/X25)-1</f>
        <v>-0.5040505335284251</v>
      </c>
    </row>
    <row r="26" spans="2:30" ht="12.75" customHeight="1">
      <c r="B26" s="14" t="s">
        <v>34</v>
      </c>
      <c r="C26" s="15">
        <f>C25/C8</f>
        <v>0.58143428518277374</v>
      </c>
      <c r="D26" s="15">
        <f>D25/D8</f>
        <v>0.5952266468505486</v>
      </c>
      <c r="E26" s="15">
        <f>E25/E8</f>
        <v>0.61063300822336963</v>
      </c>
      <c r="G26" s="15">
        <f t="shared" ref="G26:Q26" si="54">G25/G8</f>
        <v>0.60683060109289622</v>
      </c>
      <c r="H26" s="15">
        <f t="shared" si="54"/>
        <v>0.58970932175075175</v>
      </c>
      <c r="I26" s="15">
        <f t="shared" si="54"/>
        <v>0.61039069689617664</v>
      </c>
      <c r="J26" s="15">
        <f t="shared" si="54"/>
        <v>0.57286385842013088</v>
      </c>
      <c r="K26" s="15">
        <f t="shared" si="54"/>
        <v>0.62522123893805315</v>
      </c>
      <c r="L26" s="15">
        <f t="shared" si="54"/>
        <v>0.61077408396020383</v>
      </c>
      <c r="M26" s="15">
        <f t="shared" si="54"/>
        <v>0.60654631348068166</v>
      </c>
      <c r="N26" s="15">
        <f t="shared" si="54"/>
        <v>0.60039847539847535</v>
      </c>
      <c r="O26" s="15">
        <f t="shared" si="54"/>
        <v>0.62593224907898282</v>
      </c>
      <c r="P26" s="15" t="e">
        <f t="shared" si="54"/>
        <v>#DIV/0!</v>
      </c>
      <c r="Q26" s="15" t="e">
        <f t="shared" si="54"/>
        <v>#DIV/0!</v>
      </c>
      <c r="S26" s="15">
        <f t="shared" ref="S26:AB26" si="55">S25/S8</f>
        <v>0.606458800508477</v>
      </c>
      <c r="T26" s="15">
        <f t="shared" si="55"/>
        <v>0.60217733849018762</v>
      </c>
      <c r="U26" s="15">
        <f t="shared" si="55"/>
        <v>0.5952266468505486</v>
      </c>
      <c r="V26" s="15">
        <f t="shared" si="55"/>
        <v>0.59981768459434825</v>
      </c>
      <c r="W26" s="15">
        <f t="shared" si="55"/>
        <v>0.6053373506940708</v>
      </c>
      <c r="X26" s="15">
        <f t="shared" si="55"/>
        <v>0.60434370012509164</v>
      </c>
      <c r="Y26" s="15">
        <f t="shared" si="55"/>
        <v>0.61063300822336963</v>
      </c>
      <c r="Z26" s="15">
        <f t="shared" si="55"/>
        <v>0.61074856046065262</v>
      </c>
      <c r="AA26" s="15">
        <f t="shared" si="55"/>
        <v>0.6107394213224433</v>
      </c>
      <c r="AB26" s="15">
        <f t="shared" si="55"/>
        <v>0.61293168085387906</v>
      </c>
      <c r="AD26" s="110">
        <f>SUM(AB26-X26)*10000</f>
        <v>85.879807287874144</v>
      </c>
    </row>
    <row r="27" spans="2:30" ht="5.0999999999999996" customHeight="1">
      <c r="AD27" s="107"/>
    </row>
    <row r="28" spans="2:30" ht="12.75" customHeight="1">
      <c r="B28" s="29" t="s">
        <v>98</v>
      </c>
      <c r="C28" s="127"/>
      <c r="D28" s="127"/>
      <c r="E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S28" s="126">
        <f t="shared" ref="S28:S29" si="56">SUM(E28:H28)</f>
        <v>0</v>
      </c>
      <c r="T28" s="126">
        <f t="shared" ref="T28:T29" si="57">SUM(F28:I28)</f>
        <v>0</v>
      </c>
      <c r="U28" s="126">
        <f t="shared" ref="U28:U29" si="58">SUM(G28:J28)</f>
        <v>0</v>
      </c>
      <c r="V28" s="126">
        <f t="shared" ref="V28:V29" si="59">SUM(H28:K28)</f>
        <v>0</v>
      </c>
      <c r="W28" s="126">
        <f t="shared" ref="W28:W29" si="60">SUM(I28:L28)</f>
        <v>0</v>
      </c>
      <c r="X28" s="126">
        <f t="shared" ref="X28:X29" si="61">SUM(J28:M28)</f>
        <v>0</v>
      </c>
      <c r="Y28" s="126">
        <f t="shared" ref="Y28:Y29" si="62">SUM(K28:N28)</f>
        <v>0</v>
      </c>
      <c r="Z28" s="126">
        <f t="shared" ref="Z28:Z29" si="63">SUM(L28:O28)</f>
        <v>0</v>
      </c>
      <c r="AA28" s="126">
        <f t="shared" ref="AA28:AA29" si="64">SUM(M28:P28)</f>
        <v>0</v>
      </c>
      <c r="AB28" s="126">
        <f>SUM(N28:Q28)</f>
        <v>0</v>
      </c>
      <c r="AD28" s="108" t="e">
        <f>SUM(AB28/X28)-1</f>
        <v>#DIV/0!</v>
      </c>
    </row>
    <row r="29" spans="2:30" ht="12.75" customHeight="1">
      <c r="B29" s="29" t="s">
        <v>112</v>
      </c>
      <c r="C29" s="130"/>
      <c r="D29" s="130"/>
      <c r="E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S29" s="126">
        <f t="shared" si="56"/>
        <v>0</v>
      </c>
      <c r="T29" s="126">
        <f t="shared" si="57"/>
        <v>0</v>
      </c>
      <c r="U29" s="126">
        <f t="shared" si="58"/>
        <v>0</v>
      </c>
      <c r="V29" s="126">
        <f t="shared" si="59"/>
        <v>0</v>
      </c>
      <c r="W29" s="126">
        <f t="shared" si="60"/>
        <v>0</v>
      </c>
      <c r="X29" s="126">
        <f t="shared" si="61"/>
        <v>0</v>
      </c>
      <c r="Y29" s="126">
        <f t="shared" si="62"/>
        <v>0</v>
      </c>
      <c r="Z29" s="126">
        <f t="shared" si="63"/>
        <v>0</v>
      </c>
      <c r="AA29" s="126">
        <f t="shared" si="64"/>
        <v>0</v>
      </c>
      <c r="AB29" s="126">
        <f>SUM(N29:Q29)</f>
        <v>0</v>
      </c>
      <c r="AD29" s="108" t="e">
        <f>SUM(AB29/X29)-1</f>
        <v>#DIV/0!</v>
      </c>
    </row>
    <row r="30" spans="2:30" ht="12.75" customHeight="1">
      <c r="B30" s="12" t="s">
        <v>35</v>
      </c>
      <c r="C30" s="13">
        <f t="shared" ref="C30:E30" si="65">+SUM(C25+SUM(C28:C28))</f>
        <v>25004</v>
      </c>
      <c r="D30" s="13">
        <f t="shared" si="65"/>
        <v>27234</v>
      </c>
      <c r="E30" s="13">
        <f t="shared" si="65"/>
        <v>28737</v>
      </c>
      <c r="F30" s="11"/>
      <c r="G30" s="13">
        <f>+SUM(G25+SUM(G28:G28))</f>
        <v>6663</v>
      </c>
      <c r="H30" s="13">
        <f>+SUM(H25+SUM(H28:H28))</f>
        <v>7060</v>
      </c>
      <c r="I30" s="13">
        <f>+SUM(I25+SUM(I28:I28))</f>
        <v>7296</v>
      </c>
      <c r="J30" s="13">
        <f>+SUM(J25+SUM(J28:J28))</f>
        <v>6215</v>
      </c>
      <c r="K30" s="13">
        <f t="shared" ref="K30:P30" si="66">+SUM(K25+SUM(K28:K28))</f>
        <v>7065</v>
      </c>
      <c r="L30" s="13">
        <f t="shared" si="66"/>
        <v>7551</v>
      </c>
      <c r="M30" s="13">
        <f t="shared" si="66"/>
        <v>7190</v>
      </c>
      <c r="N30" s="13">
        <f t="shared" si="66"/>
        <v>6931</v>
      </c>
      <c r="O30" s="13">
        <f t="shared" si="66"/>
        <v>6966</v>
      </c>
      <c r="P30" s="13">
        <f t="shared" si="66"/>
        <v>0</v>
      </c>
      <c r="Q30" s="13">
        <f t="shared" ref="Q30" si="67">+SUM(Q25+SUM(Q28:Q28))</f>
        <v>0</v>
      </c>
      <c r="S30" s="13">
        <f t="shared" ref="S30" si="68">+SUM(S25+SUM(S28:S28))</f>
        <v>42460</v>
      </c>
      <c r="T30" s="13">
        <f t="shared" ref="T30:AB30" si="69">+SUM(T25+SUM(T28:T28))</f>
        <v>21019</v>
      </c>
      <c r="U30" s="13">
        <f t="shared" si="69"/>
        <v>27234</v>
      </c>
      <c r="V30" s="13">
        <f t="shared" si="69"/>
        <v>27636</v>
      </c>
      <c r="W30" s="13">
        <f t="shared" si="69"/>
        <v>28127</v>
      </c>
      <c r="X30" s="13">
        <f t="shared" si="69"/>
        <v>28021</v>
      </c>
      <c r="Y30" s="13">
        <f t="shared" si="69"/>
        <v>28737</v>
      </c>
      <c r="Z30" s="13">
        <f t="shared" si="69"/>
        <v>28638</v>
      </c>
      <c r="AA30" s="13">
        <f t="shared" si="69"/>
        <v>21087</v>
      </c>
      <c r="AB30" s="13">
        <f t="shared" si="69"/>
        <v>13897</v>
      </c>
      <c r="AD30" s="109">
        <f>SUM(AB30/X30)-1</f>
        <v>-0.5040505335284251</v>
      </c>
    </row>
    <row r="31" spans="2:30" ht="12.75" customHeight="1">
      <c r="B31" s="14" t="s">
        <v>36</v>
      </c>
      <c r="C31" s="15">
        <f>C30/C8</f>
        <v>0.58143428518277374</v>
      </c>
      <c r="D31" s="15">
        <f>D30/D8</f>
        <v>0.5952266468505486</v>
      </c>
      <c r="E31" s="15">
        <f>E30/E8</f>
        <v>0.61063300822336963</v>
      </c>
      <c r="G31" s="15">
        <f t="shared" ref="G31:Q31" si="70">G30/G8</f>
        <v>0.60683060109289622</v>
      </c>
      <c r="H31" s="15">
        <f t="shared" si="70"/>
        <v>0.58970932175075175</v>
      </c>
      <c r="I31" s="15">
        <f t="shared" si="70"/>
        <v>0.61039069689617664</v>
      </c>
      <c r="J31" s="15">
        <f t="shared" si="70"/>
        <v>0.57286385842013088</v>
      </c>
      <c r="K31" s="15">
        <f t="shared" si="70"/>
        <v>0.62522123893805315</v>
      </c>
      <c r="L31" s="15">
        <f t="shared" si="70"/>
        <v>0.61077408396020383</v>
      </c>
      <c r="M31" s="15">
        <f t="shared" si="70"/>
        <v>0.60654631348068166</v>
      </c>
      <c r="N31" s="15">
        <f t="shared" si="70"/>
        <v>0.60039847539847535</v>
      </c>
      <c r="O31" s="15">
        <f t="shared" si="70"/>
        <v>0.62593224907898282</v>
      </c>
      <c r="P31" s="15" t="e">
        <f t="shared" si="70"/>
        <v>#DIV/0!</v>
      </c>
      <c r="Q31" s="15" t="e">
        <f t="shared" si="70"/>
        <v>#DIV/0!</v>
      </c>
      <c r="S31" s="15">
        <f t="shared" ref="S31:AB31" si="71">S30/S8</f>
        <v>0.606458800508477</v>
      </c>
      <c r="T31" s="15">
        <f t="shared" si="71"/>
        <v>0.60217733849018762</v>
      </c>
      <c r="U31" s="15">
        <f t="shared" si="71"/>
        <v>0.5952266468505486</v>
      </c>
      <c r="V31" s="15">
        <f t="shared" si="71"/>
        <v>0.59981768459434825</v>
      </c>
      <c r="W31" s="15">
        <f t="shared" si="71"/>
        <v>0.6053373506940708</v>
      </c>
      <c r="X31" s="15">
        <f t="shared" si="71"/>
        <v>0.60434370012509164</v>
      </c>
      <c r="Y31" s="15">
        <f t="shared" si="71"/>
        <v>0.61063300822336963</v>
      </c>
      <c r="Z31" s="15">
        <f t="shared" si="71"/>
        <v>0.61074856046065262</v>
      </c>
      <c r="AA31" s="15">
        <f t="shared" si="71"/>
        <v>0.6107394213224433</v>
      </c>
      <c r="AB31" s="15">
        <f t="shared" si="71"/>
        <v>0.61293168085387906</v>
      </c>
      <c r="AD31" s="110">
        <f>SUM(AB31-X31)*10000</f>
        <v>85.879807287874144</v>
      </c>
    </row>
    <row r="32" spans="2:30" ht="5.0999999999999996" customHeight="1">
      <c r="AD32" s="107"/>
    </row>
    <row r="33" spans="1:30" ht="12.75" customHeight="1">
      <c r="B33" s="21" t="s">
        <v>37</v>
      </c>
      <c r="C33" s="127"/>
      <c r="D33" s="127"/>
      <c r="E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S33" s="126">
        <f t="shared" ref="S33:S37" si="72">SUM(E33:H33)</f>
        <v>0</v>
      </c>
      <c r="T33" s="126">
        <f t="shared" ref="T33:T37" si="73">SUM(F33:I33)</f>
        <v>0</v>
      </c>
      <c r="U33" s="126">
        <f t="shared" ref="U33:U37" si="74">SUM(G33:J33)</f>
        <v>0</v>
      </c>
      <c r="V33" s="126">
        <f t="shared" ref="V33:V37" si="75">SUM(H33:K33)</f>
        <v>0</v>
      </c>
      <c r="W33" s="126">
        <f t="shared" ref="W33:W37" si="76">SUM(I33:L33)</f>
        <v>0</v>
      </c>
      <c r="X33" s="126">
        <f t="shared" ref="X33:X37" si="77">SUM(J33:M33)</f>
        <v>0</v>
      </c>
      <c r="Y33" s="126">
        <f t="shared" ref="Y33:Y37" si="78">SUM(K33:N33)</f>
        <v>0</v>
      </c>
      <c r="Z33" s="126">
        <f t="shared" ref="Z33:Z37" si="79">SUM(L33:O33)</f>
        <v>0</v>
      </c>
      <c r="AA33" s="126">
        <f t="shared" ref="AA33:AA37" si="80">SUM(M33:P33)</f>
        <v>0</v>
      </c>
      <c r="AB33" s="126">
        <f t="shared" ref="AB33:AB37" si="81">SUM(N33:Q33)</f>
        <v>0</v>
      </c>
      <c r="AD33" s="108" t="e">
        <f t="shared" ref="AD33:AD38" si="82">SUM(AB33/X33)-1</f>
        <v>#DIV/0!</v>
      </c>
    </row>
    <row r="34" spans="1:30" ht="12.75" customHeight="1">
      <c r="B34" s="21" t="s">
        <v>38</v>
      </c>
      <c r="C34" s="127"/>
      <c r="D34" s="127"/>
      <c r="E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S34" s="126">
        <f t="shared" si="72"/>
        <v>0</v>
      </c>
      <c r="T34" s="126">
        <f t="shared" si="73"/>
        <v>0</v>
      </c>
      <c r="U34" s="126">
        <f t="shared" si="74"/>
        <v>0</v>
      </c>
      <c r="V34" s="126">
        <f t="shared" si="75"/>
        <v>0</v>
      </c>
      <c r="W34" s="126">
        <f t="shared" si="76"/>
        <v>0</v>
      </c>
      <c r="X34" s="126">
        <f t="shared" si="77"/>
        <v>0</v>
      </c>
      <c r="Y34" s="126">
        <f t="shared" si="78"/>
        <v>0</v>
      </c>
      <c r="Z34" s="126">
        <f t="shared" si="79"/>
        <v>0</v>
      </c>
      <c r="AA34" s="126">
        <f t="shared" si="80"/>
        <v>0</v>
      </c>
      <c r="AB34" s="126">
        <f t="shared" si="81"/>
        <v>0</v>
      </c>
      <c r="AD34" s="108" t="e">
        <f t="shared" si="82"/>
        <v>#DIV/0!</v>
      </c>
    </row>
    <row r="35" spans="1:30" ht="12.75" customHeight="1">
      <c r="B35" s="21" t="s">
        <v>74</v>
      </c>
      <c r="C35" s="127"/>
      <c r="D35" s="127"/>
      <c r="E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S35" s="126">
        <f t="shared" si="72"/>
        <v>0</v>
      </c>
      <c r="T35" s="126">
        <f t="shared" si="73"/>
        <v>0</v>
      </c>
      <c r="U35" s="126">
        <f t="shared" si="74"/>
        <v>0</v>
      </c>
      <c r="V35" s="126">
        <f t="shared" si="75"/>
        <v>0</v>
      </c>
      <c r="W35" s="126">
        <f t="shared" si="76"/>
        <v>0</v>
      </c>
      <c r="X35" s="126">
        <f t="shared" si="77"/>
        <v>0</v>
      </c>
      <c r="Y35" s="126">
        <f t="shared" si="78"/>
        <v>0</v>
      </c>
      <c r="Z35" s="126">
        <f t="shared" si="79"/>
        <v>0</v>
      </c>
      <c r="AA35" s="126">
        <f t="shared" si="80"/>
        <v>0</v>
      </c>
      <c r="AB35" s="126">
        <f t="shared" si="81"/>
        <v>0</v>
      </c>
      <c r="AD35" s="108" t="e">
        <f t="shared" si="82"/>
        <v>#DIV/0!</v>
      </c>
    </row>
    <row r="36" spans="1:30" ht="12.75" customHeight="1">
      <c r="B36" s="21" t="s">
        <v>114</v>
      </c>
      <c r="C36" s="127"/>
      <c r="D36" s="127"/>
      <c r="E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S36" s="126">
        <f t="shared" si="72"/>
        <v>0</v>
      </c>
      <c r="T36" s="126">
        <f t="shared" si="73"/>
        <v>0</v>
      </c>
      <c r="U36" s="126">
        <f t="shared" si="74"/>
        <v>0</v>
      </c>
      <c r="V36" s="126">
        <f t="shared" si="75"/>
        <v>0</v>
      </c>
      <c r="W36" s="126">
        <f t="shared" si="76"/>
        <v>0</v>
      </c>
      <c r="X36" s="126">
        <f t="shared" si="77"/>
        <v>0</v>
      </c>
      <c r="Y36" s="126">
        <f t="shared" si="78"/>
        <v>0</v>
      </c>
      <c r="Z36" s="126">
        <f t="shared" si="79"/>
        <v>0</v>
      </c>
      <c r="AA36" s="126">
        <f t="shared" si="80"/>
        <v>0</v>
      </c>
      <c r="AB36" s="126">
        <f t="shared" si="81"/>
        <v>0</v>
      </c>
      <c r="AD36" s="108" t="e">
        <f t="shared" si="82"/>
        <v>#DIV/0!</v>
      </c>
    </row>
    <row r="37" spans="1:30" ht="12.75" customHeight="1">
      <c r="B37" s="21" t="s">
        <v>39</v>
      </c>
      <c r="C37" s="127"/>
      <c r="D37" s="127"/>
      <c r="E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S37" s="126">
        <f t="shared" si="72"/>
        <v>0</v>
      </c>
      <c r="T37" s="126">
        <f t="shared" si="73"/>
        <v>0</v>
      </c>
      <c r="U37" s="126">
        <f t="shared" si="74"/>
        <v>0</v>
      </c>
      <c r="V37" s="126">
        <f t="shared" si="75"/>
        <v>0</v>
      </c>
      <c r="W37" s="126">
        <f t="shared" si="76"/>
        <v>0</v>
      </c>
      <c r="X37" s="126">
        <f t="shared" si="77"/>
        <v>0</v>
      </c>
      <c r="Y37" s="126">
        <f t="shared" si="78"/>
        <v>0</v>
      </c>
      <c r="Z37" s="126">
        <f t="shared" si="79"/>
        <v>0</v>
      </c>
      <c r="AA37" s="126">
        <f t="shared" si="80"/>
        <v>0</v>
      </c>
      <c r="AB37" s="126">
        <f t="shared" si="81"/>
        <v>0</v>
      </c>
      <c r="AD37" s="108" t="e">
        <f t="shared" si="82"/>
        <v>#DIV/0!</v>
      </c>
    </row>
    <row r="38" spans="1:30" ht="12.75" customHeight="1">
      <c r="B38" s="12" t="s">
        <v>40</v>
      </c>
      <c r="C38" s="13">
        <f>SUM(C30+SUM(C33:C37))</f>
        <v>25004</v>
      </c>
      <c r="D38" s="13">
        <f>SUM(D30+SUM(D33:D37))</f>
        <v>27234</v>
      </c>
      <c r="E38" s="13">
        <f>SUM(E30+SUM(E33:E37))</f>
        <v>28737</v>
      </c>
      <c r="G38" s="13">
        <f>SUM(G30+SUM(G33:G37))</f>
        <v>6663</v>
      </c>
      <c r="H38" s="13">
        <f>SUM(H30+SUM(H33:H37))</f>
        <v>7060</v>
      </c>
      <c r="I38" s="13">
        <f>SUM(I30+SUM(I33:I37))</f>
        <v>7296</v>
      </c>
      <c r="J38" s="13">
        <f>SUM(J30+SUM(J33:J37))</f>
        <v>6215</v>
      </c>
      <c r="K38" s="13">
        <f t="shared" ref="K38:P38" si="83">SUM(K30+SUM(K33:K37))</f>
        <v>7065</v>
      </c>
      <c r="L38" s="13">
        <f t="shared" si="83"/>
        <v>7551</v>
      </c>
      <c r="M38" s="13">
        <f t="shared" si="83"/>
        <v>7190</v>
      </c>
      <c r="N38" s="13">
        <f t="shared" si="83"/>
        <v>6931</v>
      </c>
      <c r="O38" s="13">
        <f t="shared" si="83"/>
        <v>6966</v>
      </c>
      <c r="P38" s="13">
        <f t="shared" si="83"/>
        <v>0</v>
      </c>
      <c r="Q38" s="13">
        <f t="shared" ref="Q38" si="84">SUM(Q30+SUM(Q33:Q37))</f>
        <v>0</v>
      </c>
      <c r="S38" s="13">
        <f t="shared" ref="S38" si="85">SUM(S30+SUM(S33:S37))</f>
        <v>42460</v>
      </c>
      <c r="T38" s="13">
        <f t="shared" ref="T38:Z38" si="86">SUM(T30+SUM(T33:T37))</f>
        <v>21019</v>
      </c>
      <c r="U38" s="13">
        <f t="shared" si="86"/>
        <v>27234</v>
      </c>
      <c r="V38" s="13">
        <f t="shared" si="86"/>
        <v>27636</v>
      </c>
      <c r="W38" s="13">
        <f t="shared" si="86"/>
        <v>28127</v>
      </c>
      <c r="X38" s="13">
        <f t="shared" si="86"/>
        <v>28021</v>
      </c>
      <c r="Y38" s="13">
        <f t="shared" si="86"/>
        <v>28737</v>
      </c>
      <c r="Z38" s="13">
        <f t="shared" si="86"/>
        <v>28638</v>
      </c>
      <c r="AA38" s="13">
        <f>SUM(AA30+SUM(AA33:AA37))</f>
        <v>21087</v>
      </c>
      <c r="AB38" s="13">
        <f>SUM(AB30+SUM(AB33:AB37))</f>
        <v>13897</v>
      </c>
      <c r="AD38" s="109">
        <f t="shared" si="82"/>
        <v>-0.5040505335284251</v>
      </c>
    </row>
    <row r="39" spans="1:30" ht="5.0999999999999996" customHeight="1"/>
    <row r="40" spans="1:30" ht="12.75" customHeight="1">
      <c r="B40" s="29" t="s">
        <v>111</v>
      </c>
      <c r="C40" s="127"/>
      <c r="D40" s="127"/>
      <c r="E40" s="127"/>
      <c r="F40" s="30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S40" s="126">
        <f t="shared" ref="S40:S45" si="87">SUM(E40:H40)</f>
        <v>0</v>
      </c>
      <c r="T40" s="126">
        <f t="shared" ref="T40:T45" si="88">SUM(F40:I40)</f>
        <v>0</v>
      </c>
      <c r="U40" s="126">
        <f t="shared" ref="U40:U45" si="89">SUM(G40:J40)</f>
        <v>0</v>
      </c>
      <c r="V40" s="126">
        <f t="shared" ref="V40:V45" si="90">SUM(H40:K40)</f>
        <v>0</v>
      </c>
      <c r="W40" s="126">
        <f t="shared" ref="W40:W45" si="91">SUM(I40:L40)</f>
        <v>0</v>
      </c>
      <c r="X40" s="126">
        <f t="shared" ref="X40:X45" si="92">SUM(J40:M40)</f>
        <v>0</v>
      </c>
      <c r="Y40" s="126">
        <f t="shared" ref="Y40:Y45" si="93">SUM(K40:N40)</f>
        <v>0</v>
      </c>
      <c r="Z40" s="126">
        <f t="shared" ref="Z40:Z45" si="94">SUM(L40:O40)</f>
        <v>0</v>
      </c>
      <c r="AA40" s="126">
        <f t="shared" ref="AA40:AA45" si="95">SUM(M40:P40)</f>
        <v>0</v>
      </c>
      <c r="AB40" s="126">
        <f t="shared" ref="AB40:AB45" si="96">SUM(N40:Q40)</f>
        <v>0</v>
      </c>
    </row>
    <row r="41" spans="1:30" ht="12.75" customHeight="1">
      <c r="B41" s="29" t="s">
        <v>111</v>
      </c>
      <c r="C41" s="127"/>
      <c r="D41" s="127"/>
      <c r="E41" s="127"/>
      <c r="F41" s="30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S41" s="126">
        <f t="shared" si="87"/>
        <v>0</v>
      </c>
      <c r="T41" s="126">
        <f t="shared" si="88"/>
        <v>0</v>
      </c>
      <c r="U41" s="126">
        <f t="shared" si="89"/>
        <v>0</v>
      </c>
      <c r="V41" s="126">
        <f t="shared" si="90"/>
        <v>0</v>
      </c>
      <c r="W41" s="126">
        <f t="shared" si="91"/>
        <v>0</v>
      </c>
      <c r="X41" s="126">
        <f t="shared" si="92"/>
        <v>0</v>
      </c>
      <c r="Y41" s="126">
        <f t="shared" si="93"/>
        <v>0</v>
      </c>
      <c r="Z41" s="126">
        <f t="shared" si="94"/>
        <v>0</v>
      </c>
      <c r="AA41" s="126">
        <f t="shared" si="95"/>
        <v>0</v>
      </c>
      <c r="AB41" s="126">
        <f t="shared" si="96"/>
        <v>0</v>
      </c>
    </row>
    <row r="42" spans="1:30" ht="12.75" customHeight="1">
      <c r="B42" s="29" t="s">
        <v>111</v>
      </c>
      <c r="C42" s="127"/>
      <c r="D42" s="127"/>
      <c r="E42" s="127"/>
      <c r="F42" s="30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S42" s="126">
        <f t="shared" si="87"/>
        <v>0</v>
      </c>
      <c r="T42" s="126">
        <f t="shared" si="88"/>
        <v>0</v>
      </c>
      <c r="U42" s="126">
        <f t="shared" si="89"/>
        <v>0</v>
      </c>
      <c r="V42" s="126">
        <f t="shared" si="90"/>
        <v>0</v>
      </c>
      <c r="W42" s="126">
        <f t="shared" si="91"/>
        <v>0</v>
      </c>
      <c r="X42" s="126">
        <f t="shared" si="92"/>
        <v>0</v>
      </c>
      <c r="Y42" s="126">
        <f t="shared" si="93"/>
        <v>0</v>
      </c>
      <c r="Z42" s="126">
        <f t="shared" si="94"/>
        <v>0</v>
      </c>
      <c r="AA42" s="126">
        <f t="shared" si="95"/>
        <v>0</v>
      </c>
      <c r="AB42" s="126">
        <f t="shared" si="96"/>
        <v>0</v>
      </c>
    </row>
    <row r="43" spans="1:30" ht="12.75" customHeight="1">
      <c r="B43" s="29" t="s">
        <v>111</v>
      </c>
      <c r="C43" s="127"/>
      <c r="D43" s="127"/>
      <c r="E43" s="127"/>
      <c r="F43" s="30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S43" s="126">
        <f t="shared" si="87"/>
        <v>0</v>
      </c>
      <c r="T43" s="126">
        <f t="shared" si="88"/>
        <v>0</v>
      </c>
      <c r="U43" s="126">
        <f t="shared" si="89"/>
        <v>0</v>
      </c>
      <c r="V43" s="126">
        <f t="shared" si="90"/>
        <v>0</v>
      </c>
      <c r="W43" s="126">
        <f t="shared" si="91"/>
        <v>0</v>
      </c>
      <c r="X43" s="126">
        <f t="shared" si="92"/>
        <v>0</v>
      </c>
      <c r="Y43" s="126">
        <f t="shared" si="93"/>
        <v>0</v>
      </c>
      <c r="Z43" s="126">
        <f t="shared" si="94"/>
        <v>0</v>
      </c>
      <c r="AA43" s="126">
        <f t="shared" si="95"/>
        <v>0</v>
      </c>
      <c r="AB43" s="126">
        <f t="shared" si="96"/>
        <v>0</v>
      </c>
    </row>
    <row r="44" spans="1:30" ht="12.75" customHeight="1">
      <c r="B44" s="29" t="s">
        <v>111</v>
      </c>
      <c r="C44" s="127"/>
      <c r="D44" s="127"/>
      <c r="E44" s="127"/>
      <c r="F44" s="30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S44" s="126">
        <f t="shared" si="87"/>
        <v>0</v>
      </c>
      <c r="T44" s="126">
        <f t="shared" si="88"/>
        <v>0</v>
      </c>
      <c r="U44" s="126">
        <f t="shared" si="89"/>
        <v>0</v>
      </c>
      <c r="V44" s="126">
        <f t="shared" si="90"/>
        <v>0</v>
      </c>
      <c r="W44" s="126">
        <f t="shared" si="91"/>
        <v>0</v>
      </c>
      <c r="X44" s="126">
        <f t="shared" si="92"/>
        <v>0</v>
      </c>
      <c r="Y44" s="126">
        <f t="shared" si="93"/>
        <v>0</v>
      </c>
      <c r="Z44" s="126">
        <f t="shared" si="94"/>
        <v>0</v>
      </c>
      <c r="AA44" s="126">
        <f t="shared" si="95"/>
        <v>0</v>
      </c>
      <c r="AB44" s="126">
        <f t="shared" si="96"/>
        <v>0</v>
      </c>
    </row>
    <row r="45" spans="1:30" ht="12.75" customHeight="1">
      <c r="B45" s="29" t="s">
        <v>70</v>
      </c>
      <c r="C45" s="128"/>
      <c r="D45" s="128">
        <f t="shared" ref="D45:E45" si="97">SUM(D50)-SUM(C50)-SUM(D38:D44)</f>
        <v>-27234</v>
      </c>
      <c r="E45" s="128">
        <f t="shared" si="97"/>
        <v>-28737</v>
      </c>
      <c r="F45" s="30"/>
      <c r="G45" s="128">
        <f>SUM(G50)-SUM(C50)-SUM(G38:G44)</f>
        <v>-6663</v>
      </c>
      <c r="H45" s="128">
        <f t="shared" ref="H45" si="98">SUM(H50)-SUM(G50)-SUM(H38:H44)</f>
        <v>-7060</v>
      </c>
      <c r="I45" s="128">
        <f t="shared" ref="I45" si="99">SUM(I50)-SUM(H50)-SUM(I38:I44)</f>
        <v>-7296</v>
      </c>
      <c r="J45" s="128">
        <f t="shared" ref="J45" si="100">SUM(J50)-SUM(I50)-SUM(J38:J44)</f>
        <v>-6215</v>
      </c>
      <c r="K45" s="128">
        <f t="shared" ref="K45" si="101">SUM(K50)-SUM(J50)-SUM(K38:K44)</f>
        <v>-7065</v>
      </c>
      <c r="L45" s="128">
        <f t="shared" ref="L45" si="102">SUM(L50)-SUM(K50)-SUM(L38:L44)</f>
        <v>-7551</v>
      </c>
      <c r="M45" s="128">
        <f t="shared" ref="M45" si="103">SUM(M50)-SUM(L50)-SUM(M38:M44)</f>
        <v>-7190</v>
      </c>
      <c r="N45" s="128">
        <f t="shared" ref="N45" si="104">SUM(N50)-SUM(M50)-SUM(N38:N44)</f>
        <v>-6931</v>
      </c>
      <c r="O45" s="128">
        <f t="shared" ref="O45" si="105">SUM(O50)-SUM(N50)-SUM(O38:O44)</f>
        <v>-6966</v>
      </c>
      <c r="P45" s="128">
        <f t="shared" ref="P45" si="106">SUM(P50)-SUM(O50)-SUM(P38:P44)</f>
        <v>0</v>
      </c>
      <c r="Q45" s="128">
        <f t="shared" ref="Q45" si="107">SUM(Q50)-SUM(P50)-SUM(Q38:Q44)</f>
        <v>0</v>
      </c>
      <c r="S45" s="126">
        <f t="shared" si="87"/>
        <v>-42460</v>
      </c>
      <c r="T45" s="126">
        <f t="shared" si="88"/>
        <v>-21019</v>
      </c>
      <c r="U45" s="126">
        <f t="shared" si="89"/>
        <v>-27234</v>
      </c>
      <c r="V45" s="126">
        <f t="shared" si="90"/>
        <v>-27636</v>
      </c>
      <c r="W45" s="126">
        <f t="shared" si="91"/>
        <v>-28127</v>
      </c>
      <c r="X45" s="126">
        <f t="shared" si="92"/>
        <v>-28021</v>
      </c>
      <c r="Y45" s="126">
        <f t="shared" si="93"/>
        <v>-28737</v>
      </c>
      <c r="Z45" s="126">
        <f t="shared" si="94"/>
        <v>-28638</v>
      </c>
      <c r="AA45" s="126">
        <f t="shared" si="95"/>
        <v>-21087</v>
      </c>
      <c r="AB45" s="126">
        <f t="shared" si="96"/>
        <v>-13897</v>
      </c>
    </row>
    <row r="46" spans="1:30" ht="12.75" customHeight="1">
      <c r="B46" s="12" t="s">
        <v>41</v>
      </c>
      <c r="C46" s="13">
        <f t="shared" ref="C46:E46" si="108">SUM(C38+SUM(C40:C45))</f>
        <v>25004</v>
      </c>
      <c r="D46" s="13">
        <f t="shared" si="108"/>
        <v>0</v>
      </c>
      <c r="E46" s="13">
        <f t="shared" si="108"/>
        <v>0</v>
      </c>
      <c r="G46" s="13">
        <f t="shared" ref="G46:Q46" si="109">SUM(G38+SUM(G40:G45))</f>
        <v>0</v>
      </c>
      <c r="H46" s="13">
        <f t="shared" si="109"/>
        <v>0</v>
      </c>
      <c r="I46" s="13">
        <f t="shared" si="109"/>
        <v>0</v>
      </c>
      <c r="J46" s="13">
        <f t="shared" si="109"/>
        <v>0</v>
      </c>
      <c r="K46" s="13">
        <f t="shared" si="109"/>
        <v>0</v>
      </c>
      <c r="L46" s="13">
        <f t="shared" si="109"/>
        <v>0</v>
      </c>
      <c r="M46" s="13">
        <f t="shared" si="109"/>
        <v>0</v>
      </c>
      <c r="N46" s="13">
        <f t="shared" si="109"/>
        <v>0</v>
      </c>
      <c r="O46" s="13">
        <f t="shared" si="109"/>
        <v>0</v>
      </c>
      <c r="P46" s="13">
        <f t="shared" si="109"/>
        <v>0</v>
      </c>
      <c r="Q46" s="13">
        <f t="shared" si="109"/>
        <v>0</v>
      </c>
      <c r="S46" s="13">
        <f t="shared" ref="S46:AB46" si="110">SUM(S38+SUM(S40:S45))</f>
        <v>0</v>
      </c>
      <c r="T46" s="13">
        <f t="shared" si="110"/>
        <v>0</v>
      </c>
      <c r="U46" s="13">
        <f t="shared" si="110"/>
        <v>0</v>
      </c>
      <c r="V46" s="13">
        <f t="shared" si="110"/>
        <v>0</v>
      </c>
      <c r="W46" s="13">
        <f t="shared" si="110"/>
        <v>0</v>
      </c>
      <c r="X46" s="13">
        <f t="shared" si="110"/>
        <v>0</v>
      </c>
      <c r="Y46" s="13">
        <f t="shared" si="110"/>
        <v>0</v>
      </c>
      <c r="Z46" s="13">
        <f t="shared" si="110"/>
        <v>0</v>
      </c>
      <c r="AA46" s="13">
        <f t="shared" si="110"/>
        <v>0</v>
      </c>
      <c r="AB46" s="13">
        <f t="shared" si="110"/>
        <v>0</v>
      </c>
    </row>
    <row r="47" spans="1:30" ht="5.0999999999999996" customHeight="1"/>
    <row r="48" spans="1:30" ht="12.75" customHeight="1">
      <c r="A48" s="5"/>
      <c r="B48" s="31" t="s">
        <v>42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spans="2:28" ht="5.0999999999999996" customHeight="1"/>
    <row r="50" spans="2:28" ht="12.75" customHeight="1">
      <c r="B50" s="8" t="s">
        <v>43</v>
      </c>
      <c r="C50" s="80"/>
      <c r="D50" s="80"/>
      <c r="E50" s="80"/>
      <c r="F50" s="3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S50" s="10">
        <f t="shared" ref="S50:S52" si="111">H50</f>
        <v>0</v>
      </c>
      <c r="T50" s="10">
        <f t="shared" ref="T50:T52" si="112">I50</f>
        <v>0</v>
      </c>
      <c r="U50" s="10">
        <f t="shared" ref="U50:U52" si="113">J50</f>
        <v>0</v>
      </c>
      <c r="V50" s="10">
        <f t="shared" ref="V50:V52" si="114">K50</f>
        <v>0</v>
      </c>
      <c r="W50" s="10">
        <f t="shared" ref="W50:W52" si="115">L50</f>
        <v>0</v>
      </c>
      <c r="X50" s="10">
        <f t="shared" ref="X50:X52" si="116">M50</f>
        <v>0</v>
      </c>
      <c r="Y50" s="10">
        <f t="shared" ref="Y50:Y52" si="117">N50</f>
        <v>0</v>
      </c>
      <c r="Z50" s="10">
        <f t="shared" ref="Z50:Z52" si="118">O50</f>
        <v>0</v>
      </c>
      <c r="AA50" s="10">
        <f t="shared" ref="AA50:AA52" si="119">P50</f>
        <v>0</v>
      </c>
      <c r="AB50" s="10">
        <f t="shared" ref="AB50:AB52" si="120">Q50</f>
        <v>0</v>
      </c>
    </row>
    <row r="51" spans="2:28" ht="12.75" customHeight="1">
      <c r="B51" s="8" t="s">
        <v>108</v>
      </c>
      <c r="C51" s="80"/>
      <c r="D51" s="80"/>
      <c r="E51" s="80"/>
      <c r="F51" s="3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S51" s="10">
        <f t="shared" si="111"/>
        <v>0</v>
      </c>
      <c r="T51" s="10">
        <f t="shared" si="112"/>
        <v>0</v>
      </c>
      <c r="U51" s="10">
        <f t="shared" si="113"/>
        <v>0</v>
      </c>
      <c r="V51" s="10">
        <f t="shared" si="114"/>
        <v>0</v>
      </c>
      <c r="W51" s="10">
        <f t="shared" si="115"/>
        <v>0</v>
      </c>
      <c r="X51" s="10">
        <f t="shared" si="116"/>
        <v>0</v>
      </c>
      <c r="Y51" s="10">
        <f t="shared" si="117"/>
        <v>0</v>
      </c>
      <c r="Z51" s="10">
        <f t="shared" si="118"/>
        <v>0</v>
      </c>
      <c r="AA51" s="10">
        <f t="shared" si="119"/>
        <v>0</v>
      </c>
      <c r="AB51" s="10">
        <f t="shared" si="120"/>
        <v>0</v>
      </c>
    </row>
    <row r="52" spans="2:28" ht="12.75" customHeight="1">
      <c r="B52" s="8" t="s">
        <v>108</v>
      </c>
      <c r="C52" s="75"/>
      <c r="D52" s="75"/>
      <c r="E52" s="75"/>
      <c r="F52" s="30"/>
      <c r="G52" s="75"/>
      <c r="H52" s="75"/>
      <c r="I52" s="75"/>
      <c r="J52" s="106"/>
      <c r="K52" s="75"/>
      <c r="L52" s="75"/>
      <c r="M52" s="75"/>
      <c r="N52" s="106"/>
      <c r="O52" s="75"/>
      <c r="P52" s="75"/>
      <c r="Q52" s="75"/>
      <c r="S52" s="10">
        <f t="shared" si="111"/>
        <v>0</v>
      </c>
      <c r="T52" s="10">
        <f t="shared" si="112"/>
        <v>0</v>
      </c>
      <c r="U52" s="10">
        <f t="shared" si="113"/>
        <v>0</v>
      </c>
      <c r="V52" s="10">
        <f t="shared" si="114"/>
        <v>0</v>
      </c>
      <c r="W52" s="10">
        <f t="shared" si="115"/>
        <v>0</v>
      </c>
      <c r="X52" s="10">
        <f t="shared" si="116"/>
        <v>0</v>
      </c>
      <c r="Y52" s="10">
        <f t="shared" si="117"/>
        <v>0</v>
      </c>
      <c r="Z52" s="10">
        <f t="shared" si="118"/>
        <v>0</v>
      </c>
      <c r="AA52" s="10">
        <f t="shared" si="119"/>
        <v>0</v>
      </c>
      <c r="AB52" s="10">
        <f>Q52</f>
        <v>0</v>
      </c>
    </row>
    <row r="53" spans="2:28" ht="12.75" customHeight="1">
      <c r="B53" s="12" t="s">
        <v>44</v>
      </c>
      <c r="C53" s="13">
        <f>SUM(C50:C52)</f>
        <v>0</v>
      </c>
      <c r="D53" s="13">
        <f t="shared" ref="D53:E53" si="121">SUM(D50:D52)</f>
        <v>0</v>
      </c>
      <c r="E53" s="13">
        <f t="shared" si="121"/>
        <v>0</v>
      </c>
      <c r="F53" s="30"/>
      <c r="G53" s="13">
        <f t="shared" ref="G53:Q53" si="122">SUM(G50:G52)</f>
        <v>0</v>
      </c>
      <c r="H53" s="13">
        <f t="shared" si="122"/>
        <v>0</v>
      </c>
      <c r="I53" s="13">
        <f t="shared" si="122"/>
        <v>0</v>
      </c>
      <c r="J53" s="13">
        <f t="shared" si="122"/>
        <v>0</v>
      </c>
      <c r="K53" s="13">
        <f t="shared" si="122"/>
        <v>0</v>
      </c>
      <c r="L53" s="13">
        <f t="shared" si="122"/>
        <v>0</v>
      </c>
      <c r="M53" s="13">
        <f t="shared" si="122"/>
        <v>0</v>
      </c>
      <c r="N53" s="13">
        <f t="shared" si="122"/>
        <v>0</v>
      </c>
      <c r="O53" s="13">
        <f t="shared" si="122"/>
        <v>0</v>
      </c>
      <c r="P53" s="13">
        <f t="shared" si="122"/>
        <v>0</v>
      </c>
      <c r="Q53" s="13">
        <f t="shared" si="122"/>
        <v>0</v>
      </c>
      <c r="S53" s="13">
        <f t="shared" ref="S53" si="123">SUM(S50:S52)</f>
        <v>0</v>
      </c>
      <c r="T53" s="13">
        <f t="shared" ref="T53:AB53" si="124">SUM(T50:T52)</f>
        <v>0</v>
      </c>
      <c r="U53" s="13">
        <f t="shared" si="124"/>
        <v>0</v>
      </c>
      <c r="V53" s="13">
        <f t="shared" si="124"/>
        <v>0</v>
      </c>
      <c r="W53" s="13">
        <f t="shared" si="124"/>
        <v>0</v>
      </c>
      <c r="X53" s="13">
        <f t="shared" si="124"/>
        <v>0</v>
      </c>
      <c r="Y53" s="13">
        <f t="shared" si="124"/>
        <v>0</v>
      </c>
      <c r="Z53" s="13">
        <f t="shared" si="124"/>
        <v>0</v>
      </c>
      <c r="AA53" s="13">
        <f t="shared" si="124"/>
        <v>0</v>
      </c>
      <c r="AB53" s="13">
        <f t="shared" si="124"/>
        <v>0</v>
      </c>
    </row>
    <row r="54" spans="2:28" ht="5.0999999999999996" customHeight="1"/>
    <row r="55" spans="2:28" ht="12.75" customHeight="1">
      <c r="B55" s="32" t="s">
        <v>45</v>
      </c>
    </row>
    <row r="56" spans="2:28" ht="12.75" customHeight="1">
      <c r="B56" s="8" t="s">
        <v>108</v>
      </c>
      <c r="C56" s="80"/>
      <c r="D56" s="80"/>
      <c r="E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10"/>
      <c r="S56" s="10">
        <f t="shared" ref="S56:S62" si="125">H56</f>
        <v>0</v>
      </c>
      <c r="T56" s="10">
        <f t="shared" ref="T56:T62" si="126">I56</f>
        <v>0</v>
      </c>
      <c r="U56" s="10">
        <f t="shared" ref="U56:U62" si="127">J56</f>
        <v>0</v>
      </c>
      <c r="V56" s="10">
        <f t="shared" ref="V56:V62" si="128">K56</f>
        <v>0</v>
      </c>
      <c r="W56" s="10">
        <f t="shared" ref="W56:W62" si="129">L56</f>
        <v>0</v>
      </c>
      <c r="X56" s="10">
        <f t="shared" ref="X56:X62" si="130">M56</f>
        <v>0</v>
      </c>
      <c r="Y56" s="10">
        <f t="shared" ref="Y56:Y62" si="131">N56</f>
        <v>0</v>
      </c>
      <c r="Z56" s="10">
        <f t="shared" ref="Z56:Z62" si="132">O56</f>
        <v>0</v>
      </c>
      <c r="AA56" s="10">
        <f t="shared" ref="AA56:AA62" si="133">P56</f>
        <v>0</v>
      </c>
      <c r="AB56" s="10">
        <f t="shared" ref="AB56:AB62" si="134">Q56</f>
        <v>0</v>
      </c>
    </row>
    <row r="57" spans="2:28" ht="12.75" customHeight="1">
      <c r="B57" s="8" t="s">
        <v>108</v>
      </c>
      <c r="C57" s="80"/>
      <c r="D57" s="80"/>
      <c r="E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10"/>
      <c r="S57" s="10">
        <f t="shared" si="125"/>
        <v>0</v>
      </c>
      <c r="T57" s="10">
        <f t="shared" si="126"/>
        <v>0</v>
      </c>
      <c r="U57" s="10">
        <f t="shared" si="127"/>
        <v>0</v>
      </c>
      <c r="V57" s="10">
        <f t="shared" si="128"/>
        <v>0</v>
      </c>
      <c r="W57" s="10">
        <f t="shared" si="129"/>
        <v>0</v>
      </c>
      <c r="X57" s="10">
        <f t="shared" si="130"/>
        <v>0</v>
      </c>
      <c r="Y57" s="10">
        <f t="shared" si="131"/>
        <v>0</v>
      </c>
      <c r="Z57" s="10">
        <f t="shared" si="132"/>
        <v>0</v>
      </c>
      <c r="AA57" s="10">
        <f t="shared" si="133"/>
        <v>0</v>
      </c>
      <c r="AB57" s="10">
        <f t="shared" si="134"/>
        <v>0</v>
      </c>
    </row>
    <row r="58" spans="2:28" ht="12.75" customHeight="1">
      <c r="B58" s="8" t="s">
        <v>108</v>
      </c>
      <c r="C58" s="80"/>
      <c r="D58" s="80"/>
      <c r="E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10"/>
      <c r="S58" s="10">
        <f t="shared" si="125"/>
        <v>0</v>
      </c>
      <c r="T58" s="10">
        <f t="shared" si="126"/>
        <v>0</v>
      </c>
      <c r="U58" s="10">
        <f t="shared" si="127"/>
        <v>0</v>
      </c>
      <c r="V58" s="10">
        <f t="shared" si="128"/>
        <v>0</v>
      </c>
      <c r="W58" s="10">
        <f t="shared" si="129"/>
        <v>0</v>
      </c>
      <c r="X58" s="10">
        <f t="shared" si="130"/>
        <v>0</v>
      </c>
      <c r="Y58" s="10">
        <f t="shared" si="131"/>
        <v>0</v>
      </c>
      <c r="Z58" s="10">
        <f t="shared" si="132"/>
        <v>0</v>
      </c>
      <c r="AA58" s="10">
        <f t="shared" si="133"/>
        <v>0</v>
      </c>
      <c r="AB58" s="10">
        <f t="shared" si="134"/>
        <v>0</v>
      </c>
    </row>
    <row r="59" spans="2:28" ht="12.75" customHeight="1">
      <c r="B59" s="8" t="s">
        <v>108</v>
      </c>
      <c r="C59" s="80"/>
      <c r="D59" s="80"/>
      <c r="E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10"/>
      <c r="S59" s="10">
        <f t="shared" si="125"/>
        <v>0</v>
      </c>
      <c r="T59" s="10">
        <f t="shared" si="126"/>
        <v>0</v>
      </c>
      <c r="U59" s="10">
        <f t="shared" si="127"/>
        <v>0</v>
      </c>
      <c r="V59" s="10">
        <f t="shared" si="128"/>
        <v>0</v>
      </c>
      <c r="W59" s="10">
        <f t="shared" si="129"/>
        <v>0</v>
      </c>
      <c r="X59" s="10">
        <f t="shared" si="130"/>
        <v>0</v>
      </c>
      <c r="Y59" s="10">
        <f t="shared" si="131"/>
        <v>0</v>
      </c>
      <c r="Z59" s="10">
        <f t="shared" si="132"/>
        <v>0</v>
      </c>
      <c r="AA59" s="10">
        <f t="shared" si="133"/>
        <v>0</v>
      </c>
      <c r="AB59" s="10">
        <f t="shared" si="134"/>
        <v>0</v>
      </c>
    </row>
    <row r="60" spans="2:28" ht="12.75" customHeight="1">
      <c r="B60" s="8" t="s">
        <v>108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S60" s="10">
        <f t="shared" si="125"/>
        <v>0</v>
      </c>
      <c r="T60" s="10">
        <f t="shared" si="126"/>
        <v>0</v>
      </c>
      <c r="U60" s="10">
        <f t="shared" si="127"/>
        <v>0</v>
      </c>
      <c r="V60" s="10">
        <f t="shared" si="128"/>
        <v>0</v>
      </c>
      <c r="W60" s="10">
        <f t="shared" si="129"/>
        <v>0</v>
      </c>
      <c r="X60" s="10">
        <f t="shared" si="130"/>
        <v>0</v>
      </c>
      <c r="Y60" s="10">
        <f t="shared" si="131"/>
        <v>0</v>
      </c>
      <c r="Z60" s="10">
        <f t="shared" si="132"/>
        <v>0</v>
      </c>
      <c r="AA60" s="10">
        <f t="shared" si="133"/>
        <v>0</v>
      </c>
      <c r="AB60" s="10">
        <f t="shared" si="134"/>
        <v>0</v>
      </c>
    </row>
    <row r="61" spans="2:28" ht="12.75" customHeight="1">
      <c r="B61" s="8" t="s">
        <v>108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S61" s="10">
        <f t="shared" si="125"/>
        <v>0</v>
      </c>
      <c r="T61" s="10">
        <f t="shared" si="126"/>
        <v>0</v>
      </c>
      <c r="U61" s="10">
        <f t="shared" si="127"/>
        <v>0</v>
      </c>
      <c r="V61" s="10">
        <f t="shared" si="128"/>
        <v>0</v>
      </c>
      <c r="W61" s="10">
        <f t="shared" si="129"/>
        <v>0</v>
      </c>
      <c r="X61" s="10">
        <f t="shared" si="130"/>
        <v>0</v>
      </c>
      <c r="Y61" s="10">
        <f t="shared" si="131"/>
        <v>0</v>
      </c>
      <c r="Z61" s="10">
        <f t="shared" si="132"/>
        <v>0</v>
      </c>
      <c r="AA61" s="10">
        <f t="shared" si="133"/>
        <v>0</v>
      </c>
      <c r="AB61" s="10">
        <f t="shared" si="134"/>
        <v>0</v>
      </c>
    </row>
    <row r="62" spans="2:28" ht="12.75" customHeight="1">
      <c r="B62" s="8" t="s">
        <v>108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S62" s="10">
        <f t="shared" si="125"/>
        <v>0</v>
      </c>
      <c r="T62" s="10">
        <f t="shared" si="126"/>
        <v>0</v>
      </c>
      <c r="U62" s="10">
        <f t="shared" si="127"/>
        <v>0</v>
      </c>
      <c r="V62" s="10">
        <f t="shared" si="128"/>
        <v>0</v>
      </c>
      <c r="W62" s="10">
        <f t="shared" si="129"/>
        <v>0</v>
      </c>
      <c r="X62" s="10">
        <f t="shared" si="130"/>
        <v>0</v>
      </c>
      <c r="Y62" s="10">
        <f t="shared" si="131"/>
        <v>0</v>
      </c>
      <c r="Z62" s="10">
        <f t="shared" si="132"/>
        <v>0</v>
      </c>
      <c r="AA62" s="10">
        <f t="shared" si="133"/>
        <v>0</v>
      </c>
      <c r="AB62" s="10">
        <f t="shared" si="134"/>
        <v>0</v>
      </c>
    </row>
    <row r="63" spans="2:28" ht="5.0999999999999996" customHeight="1"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2:28">
      <c r="B64" s="32" t="s">
        <v>99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28">
      <c r="B65" s="8" t="s">
        <v>100</v>
      </c>
      <c r="C65" s="80"/>
      <c r="D65" s="80"/>
      <c r="E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S65" s="10">
        <f t="shared" ref="S65:S66" si="135">H65</f>
        <v>0</v>
      </c>
      <c r="T65" s="10">
        <f t="shared" ref="T65:T66" si="136">I65</f>
        <v>0</v>
      </c>
      <c r="U65" s="10">
        <f t="shared" ref="U65:U66" si="137">J65</f>
        <v>0</v>
      </c>
      <c r="V65" s="10">
        <f t="shared" ref="V65:V66" si="138">K65</f>
        <v>0</v>
      </c>
      <c r="W65" s="10">
        <f t="shared" ref="W65:W66" si="139">L65</f>
        <v>0</v>
      </c>
      <c r="X65" s="10">
        <f t="shared" ref="X65:X66" si="140">M65</f>
        <v>0</v>
      </c>
      <c r="Y65" s="10">
        <f t="shared" ref="Y65:Y66" si="141">N65</f>
        <v>0</v>
      </c>
      <c r="Z65" s="10">
        <f t="shared" ref="Z65:Z66" si="142">O65</f>
        <v>0</v>
      </c>
      <c r="AA65" s="10">
        <f t="shared" ref="AA65:AA66" si="143">P65</f>
        <v>0</v>
      </c>
      <c r="AB65" s="10">
        <f t="shared" ref="AB65:AB71" si="144">Q65</f>
        <v>0</v>
      </c>
    </row>
    <row r="66" spans="1:28">
      <c r="B66" s="8" t="s">
        <v>101</v>
      </c>
      <c r="C66" s="80"/>
      <c r="D66" s="80"/>
      <c r="E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S66" s="10">
        <f t="shared" si="135"/>
        <v>0</v>
      </c>
      <c r="T66" s="10">
        <f t="shared" si="136"/>
        <v>0</v>
      </c>
      <c r="U66" s="10">
        <f t="shared" si="137"/>
        <v>0</v>
      </c>
      <c r="V66" s="10">
        <f t="shared" si="138"/>
        <v>0</v>
      </c>
      <c r="W66" s="10">
        <f t="shared" si="139"/>
        <v>0</v>
      </c>
      <c r="X66" s="10">
        <f t="shared" si="140"/>
        <v>0</v>
      </c>
      <c r="Y66" s="10">
        <f t="shared" si="141"/>
        <v>0</v>
      </c>
      <c r="Z66" s="10">
        <f t="shared" si="142"/>
        <v>0</v>
      </c>
      <c r="AA66" s="10">
        <f t="shared" si="143"/>
        <v>0</v>
      </c>
      <c r="AB66" s="10">
        <f t="shared" si="144"/>
        <v>0</v>
      </c>
    </row>
    <row r="68" spans="1:28">
      <c r="B68" s="125" t="s">
        <v>108</v>
      </c>
      <c r="C68" s="75"/>
      <c r="D68" s="75"/>
      <c r="E68" s="75"/>
      <c r="G68" s="75"/>
      <c r="H68" s="75"/>
      <c r="I68" s="75"/>
      <c r="J68" s="106"/>
      <c r="K68" s="75"/>
      <c r="L68" s="75"/>
      <c r="M68" s="75"/>
      <c r="N68" s="106"/>
      <c r="O68" s="75"/>
      <c r="P68" s="75"/>
      <c r="Q68" s="75"/>
      <c r="S68" s="10">
        <f t="shared" ref="S68:S71" si="145">H68</f>
        <v>0</v>
      </c>
      <c r="T68" s="10">
        <f t="shared" ref="T68:T71" si="146">I68</f>
        <v>0</v>
      </c>
      <c r="U68" s="10">
        <f t="shared" ref="U68:U71" si="147">J68</f>
        <v>0</v>
      </c>
      <c r="V68" s="10">
        <f t="shared" ref="V68:V71" si="148">K68</f>
        <v>0</v>
      </c>
      <c r="W68" s="10">
        <f t="shared" ref="W68:W71" si="149">L68</f>
        <v>0</v>
      </c>
      <c r="X68" s="10">
        <f t="shared" ref="X68:X71" si="150">M68</f>
        <v>0</v>
      </c>
      <c r="Y68" s="10">
        <f t="shared" ref="Y68:Y71" si="151">N68</f>
        <v>0</v>
      </c>
      <c r="Z68" s="10">
        <f t="shared" ref="Z68:Z71" si="152">O68</f>
        <v>0</v>
      </c>
      <c r="AA68" s="10">
        <f t="shared" ref="AA68:AA71" si="153">P68</f>
        <v>0</v>
      </c>
      <c r="AB68" s="10">
        <f t="shared" si="144"/>
        <v>0</v>
      </c>
    </row>
    <row r="69" spans="1:28">
      <c r="B69" s="125" t="s">
        <v>108</v>
      </c>
      <c r="C69" s="75"/>
      <c r="D69" s="75"/>
      <c r="E69" s="75"/>
      <c r="G69" s="75"/>
      <c r="H69" s="75"/>
      <c r="I69" s="75"/>
      <c r="J69" s="106"/>
      <c r="K69" s="75"/>
      <c r="L69" s="75"/>
      <c r="M69" s="75"/>
      <c r="N69" s="106"/>
      <c r="O69" s="75"/>
      <c r="P69" s="75"/>
      <c r="Q69" s="75"/>
      <c r="S69" s="10">
        <f t="shared" si="145"/>
        <v>0</v>
      </c>
      <c r="T69" s="10">
        <f t="shared" si="146"/>
        <v>0</v>
      </c>
      <c r="U69" s="10">
        <f t="shared" si="147"/>
        <v>0</v>
      </c>
      <c r="V69" s="10">
        <f t="shared" si="148"/>
        <v>0</v>
      </c>
      <c r="W69" s="10">
        <f t="shared" si="149"/>
        <v>0</v>
      </c>
      <c r="X69" s="10">
        <f t="shared" si="150"/>
        <v>0</v>
      </c>
      <c r="Y69" s="10">
        <f t="shared" si="151"/>
        <v>0</v>
      </c>
      <c r="Z69" s="10">
        <f t="shared" si="152"/>
        <v>0</v>
      </c>
      <c r="AA69" s="10">
        <f t="shared" si="153"/>
        <v>0</v>
      </c>
      <c r="AB69" s="10">
        <f t="shared" si="144"/>
        <v>0</v>
      </c>
    </row>
    <row r="70" spans="1:28">
      <c r="B70" s="125" t="s">
        <v>108</v>
      </c>
      <c r="C70" s="75"/>
      <c r="D70" s="75"/>
      <c r="E70" s="75"/>
      <c r="G70" s="75"/>
      <c r="H70" s="75"/>
      <c r="I70" s="75"/>
      <c r="J70" s="106"/>
      <c r="K70" s="75"/>
      <c r="L70" s="75"/>
      <c r="M70" s="75"/>
      <c r="N70" s="106"/>
      <c r="O70" s="75"/>
      <c r="P70" s="75"/>
      <c r="Q70" s="75"/>
      <c r="S70" s="10">
        <f t="shared" si="145"/>
        <v>0</v>
      </c>
      <c r="T70" s="10">
        <f t="shared" si="146"/>
        <v>0</v>
      </c>
      <c r="U70" s="10">
        <f t="shared" si="147"/>
        <v>0</v>
      </c>
      <c r="V70" s="10">
        <f t="shared" si="148"/>
        <v>0</v>
      </c>
      <c r="W70" s="10">
        <f t="shared" si="149"/>
        <v>0</v>
      </c>
      <c r="X70" s="10">
        <f t="shared" si="150"/>
        <v>0</v>
      </c>
      <c r="Y70" s="10">
        <f t="shared" si="151"/>
        <v>0</v>
      </c>
      <c r="Z70" s="10">
        <f t="shared" si="152"/>
        <v>0</v>
      </c>
      <c r="AA70" s="10">
        <f t="shared" si="153"/>
        <v>0</v>
      </c>
      <c r="AB70" s="10">
        <f t="shared" si="144"/>
        <v>0</v>
      </c>
    </row>
    <row r="71" spans="1:28">
      <c r="B71" s="125" t="s">
        <v>108</v>
      </c>
      <c r="C71" s="75"/>
      <c r="D71" s="75"/>
      <c r="E71" s="75"/>
      <c r="G71" s="75"/>
      <c r="H71" s="75"/>
      <c r="I71" s="75"/>
      <c r="J71" s="80"/>
      <c r="K71" s="75"/>
      <c r="L71" s="75"/>
      <c r="M71" s="75"/>
      <c r="N71" s="80"/>
      <c r="O71" s="75"/>
      <c r="P71" s="75"/>
      <c r="Q71" s="75"/>
      <c r="S71" s="10">
        <f t="shared" si="145"/>
        <v>0</v>
      </c>
      <c r="T71" s="10">
        <f t="shared" si="146"/>
        <v>0</v>
      </c>
      <c r="U71" s="10">
        <f t="shared" si="147"/>
        <v>0</v>
      </c>
      <c r="V71" s="10">
        <f t="shared" si="148"/>
        <v>0</v>
      </c>
      <c r="W71" s="10">
        <f t="shared" si="149"/>
        <v>0</v>
      </c>
      <c r="X71" s="10">
        <f t="shared" si="150"/>
        <v>0</v>
      </c>
      <c r="Y71" s="10">
        <f t="shared" si="151"/>
        <v>0</v>
      </c>
      <c r="Z71" s="10">
        <f t="shared" si="152"/>
        <v>0</v>
      </c>
      <c r="AA71" s="10">
        <f t="shared" si="153"/>
        <v>0</v>
      </c>
      <c r="AB71" s="10">
        <f t="shared" si="144"/>
        <v>0</v>
      </c>
    </row>
    <row r="72" spans="1:28" ht="12.75" customHeight="1">
      <c r="B72" s="12" t="s">
        <v>22</v>
      </c>
      <c r="C72" s="13">
        <f t="shared" ref="C72:E72" si="154">SUM(C68:C71)</f>
        <v>0</v>
      </c>
      <c r="D72" s="13">
        <f t="shared" si="154"/>
        <v>0</v>
      </c>
      <c r="E72" s="13">
        <f t="shared" si="154"/>
        <v>0</v>
      </c>
      <c r="G72" s="13">
        <f t="shared" ref="G72:Q72" si="155">SUM(G68:G71)</f>
        <v>0</v>
      </c>
      <c r="H72" s="13">
        <f t="shared" si="155"/>
        <v>0</v>
      </c>
      <c r="I72" s="13">
        <f t="shared" si="155"/>
        <v>0</v>
      </c>
      <c r="J72" s="13">
        <f t="shared" si="155"/>
        <v>0</v>
      </c>
      <c r="K72" s="13">
        <f t="shared" si="155"/>
        <v>0</v>
      </c>
      <c r="L72" s="13">
        <f t="shared" si="155"/>
        <v>0</v>
      </c>
      <c r="M72" s="13">
        <f t="shared" si="155"/>
        <v>0</v>
      </c>
      <c r="N72" s="13">
        <f t="shared" si="155"/>
        <v>0</v>
      </c>
      <c r="O72" s="13">
        <f t="shared" si="155"/>
        <v>0</v>
      </c>
      <c r="P72" s="13">
        <f t="shared" si="155"/>
        <v>0</v>
      </c>
      <c r="Q72" s="13">
        <f t="shared" si="155"/>
        <v>0</v>
      </c>
      <c r="S72" s="13">
        <f t="shared" ref="S72:AB72" si="156">SUM(S68:S71)</f>
        <v>0</v>
      </c>
      <c r="T72" s="13">
        <f t="shared" si="156"/>
        <v>0</v>
      </c>
      <c r="U72" s="13">
        <f t="shared" si="156"/>
        <v>0</v>
      </c>
      <c r="V72" s="13">
        <f t="shared" si="156"/>
        <v>0</v>
      </c>
      <c r="W72" s="13">
        <f t="shared" si="156"/>
        <v>0</v>
      </c>
      <c r="X72" s="13">
        <f t="shared" si="156"/>
        <v>0</v>
      </c>
      <c r="Y72" s="13">
        <f t="shared" si="156"/>
        <v>0</v>
      </c>
      <c r="Z72" s="13">
        <f t="shared" si="156"/>
        <v>0</v>
      </c>
      <c r="AA72" s="13">
        <f t="shared" si="156"/>
        <v>0</v>
      </c>
      <c r="AB72" s="13">
        <f t="shared" si="156"/>
        <v>0</v>
      </c>
    </row>
    <row r="73" spans="1:28" ht="5.0999999999999996" customHeight="1"/>
    <row r="74" spans="1:28" ht="12.75" customHeight="1">
      <c r="B74" s="8" t="s">
        <v>47</v>
      </c>
      <c r="C74" s="80"/>
      <c r="D74" s="80"/>
      <c r="E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S74" s="10">
        <f t="shared" ref="S74" si="157">H74</f>
        <v>0</v>
      </c>
      <c r="T74" s="10">
        <f t="shared" ref="T74" si="158">I74</f>
        <v>0</v>
      </c>
      <c r="U74" s="10">
        <f t="shared" ref="U74" si="159">J74</f>
        <v>0</v>
      </c>
      <c r="V74" s="10">
        <f t="shared" ref="V74" si="160">K74</f>
        <v>0</v>
      </c>
      <c r="W74" s="10">
        <f t="shared" ref="W74" si="161">L74</f>
        <v>0</v>
      </c>
      <c r="X74" s="10">
        <f t="shared" ref="X74" si="162">M74</f>
        <v>0</v>
      </c>
      <c r="Y74" s="10">
        <f t="shared" ref="Y74" si="163">N74</f>
        <v>0</v>
      </c>
      <c r="Z74" s="10">
        <f t="shared" ref="Z74" si="164">O74</f>
        <v>0</v>
      </c>
      <c r="AA74" s="10">
        <f t="shared" ref="AA74" si="165">P74</f>
        <v>0</v>
      </c>
      <c r="AB74" s="10">
        <f t="shared" ref="AB74" si="166">Q74</f>
        <v>0</v>
      </c>
    </row>
    <row r="75" spans="1:28" ht="12.75" customHeight="1">
      <c r="B75" s="12" t="s">
        <v>48</v>
      </c>
      <c r="C75" s="13">
        <f t="shared" ref="C75:E75" si="167">SUM(C72:C74)</f>
        <v>0</v>
      </c>
      <c r="D75" s="13">
        <f t="shared" si="167"/>
        <v>0</v>
      </c>
      <c r="E75" s="13">
        <f t="shared" si="167"/>
        <v>0</v>
      </c>
      <c r="G75" s="13">
        <f>SUM(G72:G74)</f>
        <v>0</v>
      </c>
      <c r="H75" s="13">
        <f>SUM(H72:H74)</f>
        <v>0</v>
      </c>
      <c r="I75" s="13">
        <f>SUM(I72:I74)</f>
        <v>0</v>
      </c>
      <c r="J75" s="13">
        <f>SUM(J72:J74)</f>
        <v>0</v>
      </c>
      <c r="K75" s="13">
        <f t="shared" ref="K75:P75" si="168">SUM(K72:K74)</f>
        <v>0</v>
      </c>
      <c r="L75" s="13">
        <f t="shared" si="168"/>
        <v>0</v>
      </c>
      <c r="M75" s="13">
        <f t="shared" si="168"/>
        <v>0</v>
      </c>
      <c r="N75" s="13">
        <f t="shared" si="168"/>
        <v>0</v>
      </c>
      <c r="O75" s="13">
        <f t="shared" si="168"/>
        <v>0</v>
      </c>
      <c r="P75" s="13">
        <f t="shared" si="168"/>
        <v>0</v>
      </c>
      <c r="Q75" s="13">
        <f t="shared" ref="Q75" si="169">SUM(Q72:Q74)</f>
        <v>0</v>
      </c>
      <c r="S75" s="13">
        <f t="shared" ref="S75" si="170">SUM(S72:S74)</f>
        <v>0</v>
      </c>
      <c r="T75" s="13">
        <f t="shared" ref="T75:Z75" si="171">SUM(T72:T74)</f>
        <v>0</v>
      </c>
      <c r="U75" s="13">
        <f t="shared" si="171"/>
        <v>0</v>
      </c>
      <c r="V75" s="13">
        <f t="shared" si="171"/>
        <v>0</v>
      </c>
      <c r="W75" s="13">
        <f t="shared" si="171"/>
        <v>0</v>
      </c>
      <c r="X75" s="13">
        <f t="shared" si="171"/>
        <v>0</v>
      </c>
      <c r="Y75" s="13">
        <f t="shared" si="171"/>
        <v>0</v>
      </c>
      <c r="Z75" s="13">
        <f t="shared" si="171"/>
        <v>0</v>
      </c>
      <c r="AA75" s="13">
        <f>SUM(AA72:AA74)</f>
        <v>0</v>
      </c>
      <c r="AB75" s="13">
        <f>SUM(AB72:AB74)</f>
        <v>0</v>
      </c>
    </row>
    <row r="76" spans="1:28" ht="5.0999999999999996" customHeight="1"/>
    <row r="77" spans="1:28" ht="12.75" customHeight="1">
      <c r="A77" s="5"/>
      <c r="B77" s="31" t="s">
        <v>71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spans="1:28" ht="5.0999999999999996" customHeight="1"/>
    <row r="79" spans="1:28" ht="12.75" customHeight="1">
      <c r="B79" s="29" t="s">
        <v>102</v>
      </c>
      <c r="C79" s="129">
        <f>C72/C30</f>
        <v>0</v>
      </c>
      <c r="D79" s="129">
        <f>D72/D30</f>
        <v>0</v>
      </c>
      <c r="E79" s="129">
        <f>E72/E30</f>
        <v>0</v>
      </c>
      <c r="G79" s="131"/>
      <c r="H79" s="131"/>
      <c r="I79" s="131"/>
      <c r="J79" s="129">
        <f t="shared" ref="J79" si="172">SUM(J72/SUM(G30:J30))</f>
        <v>0</v>
      </c>
      <c r="K79" s="129">
        <f t="shared" ref="K79" si="173">SUM(K72/SUM(H30:K30))</f>
        <v>0</v>
      </c>
      <c r="L79" s="129">
        <f t="shared" ref="L79" si="174">SUM(L72/SUM(I30:L30))</f>
        <v>0</v>
      </c>
      <c r="M79" s="129">
        <f t="shared" ref="M79" si="175">SUM(M72/SUM(J30:M30))</f>
        <v>0</v>
      </c>
      <c r="N79" s="129">
        <f t="shared" ref="N79" si="176">SUM(N72/SUM(K30:N30))</f>
        <v>0</v>
      </c>
      <c r="O79" s="129">
        <f t="shared" ref="O79" si="177">SUM(O72/SUM(L30:O30))</f>
        <v>0</v>
      </c>
      <c r="P79" s="129">
        <f t="shared" ref="P79" si="178">SUM(P72/SUM(M30:P30))</f>
        <v>0</v>
      </c>
      <c r="Q79" s="129">
        <f t="shared" ref="Q79" si="179">SUM(Q72/SUM(N30:Q30))</f>
        <v>0</v>
      </c>
      <c r="R79" s="129"/>
      <c r="S79" s="129">
        <f t="shared" ref="S79:AB79" si="180">S72/S30</f>
        <v>0</v>
      </c>
      <c r="T79" s="129">
        <f t="shared" si="180"/>
        <v>0</v>
      </c>
      <c r="U79" s="129">
        <f t="shared" si="180"/>
        <v>0</v>
      </c>
      <c r="V79" s="129">
        <f t="shared" si="180"/>
        <v>0</v>
      </c>
      <c r="W79" s="129">
        <f t="shared" si="180"/>
        <v>0</v>
      </c>
      <c r="X79" s="129">
        <f t="shared" si="180"/>
        <v>0</v>
      </c>
      <c r="Y79" s="129">
        <f t="shared" si="180"/>
        <v>0</v>
      </c>
      <c r="Z79" s="129">
        <f t="shared" si="180"/>
        <v>0</v>
      </c>
      <c r="AA79" s="129">
        <f t="shared" si="180"/>
        <v>0</v>
      </c>
      <c r="AB79" s="129">
        <f t="shared" si="180"/>
        <v>0</v>
      </c>
    </row>
    <row r="80" spans="1:28" ht="12.75" customHeight="1">
      <c r="B80" s="29" t="s">
        <v>103</v>
      </c>
      <c r="C80" s="129">
        <f>SUM(C72-C50)/C30</f>
        <v>0</v>
      </c>
      <c r="D80" s="129">
        <f>SUM(D72-D50)/D30</f>
        <v>0</v>
      </c>
      <c r="E80" s="129">
        <f>SUM(E72-E50)/E30</f>
        <v>0</v>
      </c>
      <c r="G80" s="131"/>
      <c r="H80" s="131"/>
      <c r="I80" s="131"/>
      <c r="J80" s="129">
        <f t="shared" ref="J80" si="181">SUM(J72-J50)/SUM(G30:J30)</f>
        <v>0</v>
      </c>
      <c r="K80" s="129">
        <f t="shared" ref="K80" si="182">SUM(K72-K50)/SUM(H30:K30)</f>
        <v>0</v>
      </c>
      <c r="L80" s="129">
        <f t="shared" ref="L80" si="183">SUM(L72-L50)/SUM(I30:L30)</f>
        <v>0</v>
      </c>
      <c r="M80" s="129">
        <f t="shared" ref="M80" si="184">SUM(M72-M50)/SUM(J30:M30)</f>
        <v>0</v>
      </c>
      <c r="N80" s="129">
        <f t="shared" ref="N80" si="185">SUM(N72-N50)/SUM(K30:N30)</f>
        <v>0</v>
      </c>
      <c r="O80" s="129">
        <f t="shared" ref="O80" si="186">SUM(O72-O50)/SUM(L30:O30)</f>
        <v>0</v>
      </c>
      <c r="P80" s="129">
        <f t="shared" ref="P80" si="187">SUM(P72-P50)/SUM(M30:P30)</f>
        <v>0</v>
      </c>
      <c r="Q80" s="129">
        <f t="shared" ref="Q80" si="188">SUM(Q72-Q50)/SUM(N30:Q30)</f>
        <v>0</v>
      </c>
      <c r="R80" s="129"/>
      <c r="S80" s="129">
        <f t="shared" ref="S80:AB80" si="189">SUM(S72-S50)/S30</f>
        <v>0</v>
      </c>
      <c r="T80" s="129">
        <f t="shared" si="189"/>
        <v>0</v>
      </c>
      <c r="U80" s="129">
        <f t="shared" si="189"/>
        <v>0</v>
      </c>
      <c r="V80" s="129">
        <f t="shared" si="189"/>
        <v>0</v>
      </c>
      <c r="W80" s="129">
        <f t="shared" si="189"/>
        <v>0</v>
      </c>
      <c r="X80" s="129">
        <f t="shared" si="189"/>
        <v>0</v>
      </c>
      <c r="Y80" s="129">
        <f t="shared" si="189"/>
        <v>0</v>
      </c>
      <c r="Z80" s="129">
        <f t="shared" si="189"/>
        <v>0</v>
      </c>
      <c r="AA80" s="129">
        <f t="shared" si="189"/>
        <v>0</v>
      </c>
      <c r="AB80" s="129">
        <f t="shared" si="189"/>
        <v>0</v>
      </c>
    </row>
    <row r="81" spans="2:28" ht="12.75" customHeight="1">
      <c r="B81" s="29" t="s">
        <v>104</v>
      </c>
      <c r="C81" s="129" t="e">
        <f>C30/-C35</f>
        <v>#DIV/0!</v>
      </c>
      <c r="D81" s="129" t="e">
        <f>D30/-D35</f>
        <v>#DIV/0!</v>
      </c>
      <c r="E81" s="129" t="e">
        <f>E30/-E35</f>
        <v>#DIV/0!</v>
      </c>
      <c r="G81" s="131"/>
      <c r="H81" s="131"/>
      <c r="I81" s="131"/>
      <c r="J81" s="129" t="e" cm="1">
        <f t="array" ref="J81">SUM(G30:J30)/SUM(-G35:J35)</f>
        <v>#DIV/0!</v>
      </c>
      <c r="K81" s="129" t="e" cm="1">
        <f t="array" ref="K81">SUM(H30:K30)/SUM(-H35:K35)</f>
        <v>#DIV/0!</v>
      </c>
      <c r="L81" s="129" t="e" cm="1">
        <f t="array" ref="L81">SUM(I30:L30)/SUM(-I35:L35)</f>
        <v>#DIV/0!</v>
      </c>
      <c r="M81" s="129" t="e" cm="1">
        <f t="array" ref="M81">SUM(J30:M30)/SUM(-J35:M35)</f>
        <v>#DIV/0!</v>
      </c>
      <c r="N81" s="129" t="e" cm="1">
        <f t="array" ref="N81">SUM(K30:N30)/SUM(-K35:N35)</f>
        <v>#DIV/0!</v>
      </c>
      <c r="O81" s="129" t="e" cm="1">
        <f t="array" ref="O81">SUM(L30:O30)/SUM(-L35:O35)</f>
        <v>#DIV/0!</v>
      </c>
      <c r="P81" s="129" t="e" cm="1">
        <f t="array" ref="P81">SUM(M30:P30)/SUM(-M35:P35)</f>
        <v>#DIV/0!</v>
      </c>
      <c r="Q81" s="129" t="e" cm="1">
        <f t="array" ref="Q81">SUM(N30:Q30)/SUM(-N35:Q35)</f>
        <v>#DIV/0!</v>
      </c>
      <c r="R81" s="129"/>
      <c r="S81" s="129" t="e">
        <f t="shared" ref="S81:AB81" si="190">S30/-S35</f>
        <v>#DIV/0!</v>
      </c>
      <c r="T81" s="129" t="e">
        <f t="shared" si="190"/>
        <v>#DIV/0!</v>
      </c>
      <c r="U81" s="129" t="e">
        <f t="shared" si="190"/>
        <v>#DIV/0!</v>
      </c>
      <c r="V81" s="129" t="e">
        <f t="shared" si="190"/>
        <v>#DIV/0!</v>
      </c>
      <c r="W81" s="129" t="e">
        <f t="shared" si="190"/>
        <v>#DIV/0!</v>
      </c>
      <c r="X81" s="129" t="e">
        <f t="shared" si="190"/>
        <v>#DIV/0!</v>
      </c>
      <c r="Y81" s="129" t="e">
        <f t="shared" si="190"/>
        <v>#DIV/0!</v>
      </c>
      <c r="Z81" s="129" t="e">
        <f t="shared" si="190"/>
        <v>#DIV/0!</v>
      </c>
      <c r="AA81" s="129" t="e">
        <f t="shared" si="190"/>
        <v>#DIV/0!</v>
      </c>
      <c r="AB81" s="129" t="e">
        <f t="shared" si="190"/>
        <v>#DIV/0!</v>
      </c>
    </row>
    <row r="82" spans="2:28" ht="12.75" customHeight="1">
      <c r="B82" s="29" t="s">
        <v>105</v>
      </c>
      <c r="C82" s="129" t="e" cm="1">
        <f t="array" ref="C82">SUM(C30+C33)/SUM(-C34:C35)</f>
        <v>#DIV/0!</v>
      </c>
      <c r="D82" s="129" t="e" cm="1">
        <f t="array" ref="D82">SUM(D30+D33)/SUM(-D34:D35)</f>
        <v>#DIV/0!</v>
      </c>
      <c r="E82" s="129" t="e" cm="1">
        <f t="array" ref="E82">SUM(E30+E33)/SUM(-E34:E35)</f>
        <v>#DIV/0!</v>
      </c>
      <c r="G82" s="131"/>
      <c r="H82" s="131"/>
      <c r="I82" s="131"/>
      <c r="J82" s="129" t="e" cm="1">
        <f t="array" ref="J82">SUM(G30:J30+G33:J33)/SUM(-G34:J35)</f>
        <v>#DIV/0!</v>
      </c>
      <c r="K82" s="129" t="e" cm="1">
        <f t="array" ref="K82">SUM(H30:K30+H33:K33)/SUM(-H34:K35)</f>
        <v>#DIV/0!</v>
      </c>
      <c r="L82" s="129" t="e" cm="1">
        <f t="array" ref="L82">SUM(I30:L30+I33:L33)/SUM(-I34:L35)</f>
        <v>#DIV/0!</v>
      </c>
      <c r="M82" s="129" t="e" cm="1">
        <f t="array" ref="M82">SUM(J30:M30+J33:M33)/SUM(-J34:M35)</f>
        <v>#DIV/0!</v>
      </c>
      <c r="N82" s="129" t="e" cm="1">
        <f t="array" ref="N82">SUM(K30:N30+K33:N33)/SUM(-K34:N35)</f>
        <v>#DIV/0!</v>
      </c>
      <c r="O82" s="129" t="e" cm="1">
        <f t="array" ref="O82">SUM(L30:O30+L33:O33)/SUM(-L34:O35)</f>
        <v>#DIV/0!</v>
      </c>
      <c r="P82" s="129" t="e" cm="1">
        <f t="array" ref="P82">SUM(M30:P30+M33:P33)/SUM(-M34:P35)</f>
        <v>#DIV/0!</v>
      </c>
      <c r="Q82" s="129" t="e" cm="1">
        <f t="array" ref="Q82">SUM(N30:Q30+N33:Q33)/SUM(-N34:Q35)</f>
        <v>#DIV/0!</v>
      </c>
      <c r="R82" s="129"/>
      <c r="S82" s="129" t="e" cm="1">
        <f t="array" ref="S82">SUM(S30+S33)/SUM(-S34:S35)</f>
        <v>#DIV/0!</v>
      </c>
      <c r="T82" s="129" t="e" cm="1">
        <f t="array" ref="T82">SUM(T30+T33)/SUM(-T34:T35)</f>
        <v>#DIV/0!</v>
      </c>
      <c r="U82" s="129" t="e" cm="1">
        <f t="array" ref="U82">SUM(U30+U33)/SUM(-U34:U35)</f>
        <v>#DIV/0!</v>
      </c>
      <c r="V82" s="129" t="e" cm="1">
        <f t="array" ref="V82">SUM(V30+V33)/SUM(-V34:V35)</f>
        <v>#DIV/0!</v>
      </c>
      <c r="W82" s="129" t="e" cm="1">
        <f t="array" ref="W82">SUM(W30+W33)/SUM(-W34:W35)</f>
        <v>#DIV/0!</v>
      </c>
      <c r="X82" s="129" t="e" cm="1">
        <f t="array" ref="X82">SUM(X30+X33)/SUM(-X34:X35)</f>
        <v>#DIV/0!</v>
      </c>
      <c r="Y82" s="129" t="e" cm="1">
        <f t="array" ref="Y82">SUM(Y30+Y33)/SUM(-Y34:Y35)</f>
        <v>#DIV/0!</v>
      </c>
      <c r="Z82" s="129" t="e" cm="1">
        <f t="array" ref="Z82">SUM(Z30+Z33)/SUM(-Z34:Z35)</f>
        <v>#DIV/0!</v>
      </c>
      <c r="AA82" s="129" t="e" cm="1">
        <f t="array" ref="AA82">SUM(AA30+AA33)/SUM(-AA34:AA35)</f>
        <v>#DIV/0!</v>
      </c>
      <c r="AB82" s="129" t="e" cm="1">
        <f t="array" ref="AB82">SUM(AB30+AB33)/SUM(-AB34:AB35)</f>
        <v>#DIV/0!</v>
      </c>
    </row>
    <row r="83" spans="2:28" ht="12.75" customHeight="1">
      <c r="B83" s="29" t="s">
        <v>106</v>
      </c>
      <c r="C83" s="129" t="e" cm="1">
        <f t="array" ref="C83">SUM(C30)/SUM(-C33:C35)</f>
        <v>#DIV/0!</v>
      </c>
      <c r="D83" s="129" t="e" cm="1">
        <f t="array" ref="D83">SUM(D30)/SUM(-D33:D35)</f>
        <v>#DIV/0!</v>
      </c>
      <c r="E83" s="129" t="e" cm="1">
        <f t="array" ref="E83">SUM(E30)/SUM(-E33:E35)</f>
        <v>#DIV/0!</v>
      </c>
      <c r="G83" s="131"/>
      <c r="H83" s="131"/>
      <c r="I83" s="131"/>
      <c r="J83" s="129" t="e" cm="1">
        <f t="array" ref="J83">SUM(G30:J30)/SUM(-G33:J35)</f>
        <v>#DIV/0!</v>
      </c>
      <c r="K83" s="129" t="e" cm="1">
        <f t="array" ref="K83">SUM(H30:K30)/SUM(-H33:K35)</f>
        <v>#DIV/0!</v>
      </c>
      <c r="L83" s="129" t="e" cm="1">
        <f t="array" ref="L83">SUM(I30:L30)/SUM(-I33:L35)</f>
        <v>#DIV/0!</v>
      </c>
      <c r="M83" s="129" t="e" cm="1">
        <f t="array" ref="M83">SUM(J30:M30)/SUM(-J33:M35)</f>
        <v>#DIV/0!</v>
      </c>
      <c r="N83" s="129" t="e" cm="1">
        <f t="array" ref="N83">SUM(K30:N30)/SUM(-K33:N35)</f>
        <v>#DIV/0!</v>
      </c>
      <c r="O83" s="129" t="e" cm="1">
        <f t="array" ref="O83">SUM(L30:O30)/SUM(-L33:O35)</f>
        <v>#DIV/0!</v>
      </c>
      <c r="P83" s="129" t="e" cm="1">
        <f t="array" ref="P83">SUM(M30:P30)/SUM(-M33:P35)</f>
        <v>#DIV/0!</v>
      </c>
      <c r="Q83" s="129" t="e" cm="1">
        <f t="array" ref="Q83">SUM(N30:Q30)/SUM(-N33:Q35)</f>
        <v>#DIV/0!</v>
      </c>
      <c r="R83" s="129"/>
      <c r="S83" s="129" t="e" cm="1">
        <f t="array" ref="S83">SUM(S30)/SUM(-S33:S35)</f>
        <v>#DIV/0!</v>
      </c>
      <c r="T83" s="129" t="e" cm="1">
        <f t="array" ref="T83">SUM(T30)/SUM(-T33:T35)</f>
        <v>#DIV/0!</v>
      </c>
      <c r="U83" s="129" t="e" cm="1">
        <f t="array" ref="U83">SUM(U30)/SUM(-U33:U35)</f>
        <v>#DIV/0!</v>
      </c>
      <c r="V83" s="129" t="e" cm="1">
        <f t="array" ref="V83">SUM(V30)/SUM(-V33:V35)</f>
        <v>#DIV/0!</v>
      </c>
      <c r="W83" s="129" t="e" cm="1">
        <f t="array" ref="W83">SUM(W30)/SUM(-W33:W35)</f>
        <v>#DIV/0!</v>
      </c>
      <c r="X83" s="129" t="e" cm="1">
        <f t="array" ref="X83">SUM(X30)/SUM(-X33:X35)</f>
        <v>#DIV/0!</v>
      </c>
      <c r="Y83" s="129" t="e" cm="1">
        <f t="array" ref="Y83">SUM(Y30)/SUM(-Y33:Y35)</f>
        <v>#DIV/0!</v>
      </c>
      <c r="Z83" s="129" t="e" cm="1">
        <f t="array" ref="Z83">SUM(Z30)/SUM(-Z33:Z35)</f>
        <v>#DIV/0!</v>
      </c>
      <c r="AA83" s="129" t="e" cm="1">
        <f t="array" ref="AA83">SUM(AA30)/SUM(-AA33:AA35)</f>
        <v>#DIV/0!</v>
      </c>
      <c r="AB83" s="129" t="e" cm="1">
        <f t="array" ref="AB83">SUM(AB30)/SUM(-AB33:AB35)</f>
        <v>#DIV/0!</v>
      </c>
    </row>
    <row r="84" spans="2:28" ht="12.75" customHeight="1">
      <c r="B84" s="8" t="s">
        <v>49</v>
      </c>
      <c r="C84" s="129" t="e">
        <f t="shared" ref="C84:E84" si="191">C75/C72</f>
        <v>#DIV/0!</v>
      </c>
      <c r="D84" s="129" t="e">
        <f t="shared" si="191"/>
        <v>#DIV/0!</v>
      </c>
      <c r="E84" s="129" t="e">
        <f t="shared" si="191"/>
        <v>#DIV/0!</v>
      </c>
      <c r="G84" s="131"/>
      <c r="H84" s="131"/>
      <c r="I84" s="131"/>
      <c r="J84" s="129" t="e">
        <f t="shared" ref="J84:Q84" si="192">J75/J72</f>
        <v>#DIV/0!</v>
      </c>
      <c r="K84" s="129" t="e">
        <f t="shared" si="192"/>
        <v>#DIV/0!</v>
      </c>
      <c r="L84" s="129" t="e">
        <f t="shared" si="192"/>
        <v>#DIV/0!</v>
      </c>
      <c r="M84" s="129" t="e">
        <f t="shared" si="192"/>
        <v>#DIV/0!</v>
      </c>
      <c r="N84" s="129" t="e">
        <f t="shared" si="192"/>
        <v>#DIV/0!</v>
      </c>
      <c r="O84" s="129" t="e">
        <f t="shared" si="192"/>
        <v>#DIV/0!</v>
      </c>
      <c r="P84" s="129" t="e">
        <f t="shared" si="192"/>
        <v>#DIV/0!</v>
      </c>
      <c r="Q84" s="129" t="e">
        <f t="shared" si="192"/>
        <v>#DIV/0!</v>
      </c>
      <c r="R84" s="129"/>
      <c r="S84" s="129" t="e">
        <f t="shared" ref="S84" si="193">S75/S72</f>
        <v>#DIV/0!</v>
      </c>
      <c r="T84" s="129" t="e">
        <f t="shared" ref="T84:Z84" si="194">T75/T72</f>
        <v>#DIV/0!</v>
      </c>
      <c r="U84" s="129" t="e">
        <f t="shared" si="194"/>
        <v>#DIV/0!</v>
      </c>
      <c r="V84" s="129" t="e">
        <f t="shared" si="194"/>
        <v>#DIV/0!</v>
      </c>
      <c r="W84" s="129" t="e">
        <f t="shared" si="194"/>
        <v>#DIV/0!</v>
      </c>
      <c r="X84" s="129" t="e">
        <f t="shared" si="194"/>
        <v>#DIV/0!</v>
      </c>
      <c r="Y84" s="129" t="e">
        <f t="shared" si="194"/>
        <v>#DIV/0!</v>
      </c>
      <c r="Z84" s="129" t="e">
        <f t="shared" si="194"/>
        <v>#DIV/0!</v>
      </c>
      <c r="AA84" s="129" t="e">
        <f>AA75/AA72</f>
        <v>#DIV/0!</v>
      </c>
      <c r="AB84" s="129" t="e">
        <f>AB75/AB72</f>
        <v>#DIV/0!</v>
      </c>
    </row>
    <row r="85" spans="2:28" ht="5.0999999999999996" customHeight="1" thickBot="1"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</sheetData>
  <mergeCells count="1">
    <mergeCell ref="AD2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2025-12-25T08:23:07Z</dcterms:modified>
</cp:coreProperties>
</file>