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Felix\Downloads\"/>
    </mc:Choice>
  </mc:AlternateContent>
  <xr:revisionPtr revIDLastSave="0" documentId="13_ncr:1_{59089FC6-C3BE-4061-92EA-3FC782179D1F}" xr6:coauthVersionLast="47" xr6:coauthVersionMax="47" xr10:uidLastSave="{00000000-0000-0000-0000-000000000000}"/>
  <bookViews>
    <workbookView xWindow="-120" yWindow="-120" windowWidth="29040" windowHeight="15720" activeTab="2" xr2:uid="{BC9106CE-9107-4097-8948-317996376CB5}"/>
  </bookViews>
  <sheets>
    <sheet name="Historical Financials" sheetId="8" r:id="rId1"/>
    <sheet name="Revenue Drivers" sheetId="10" r:id="rId2"/>
    <sheet name="FCF" sheetId="1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72" i="11" l="1"/>
  <c r="X72" i="11"/>
  <c r="W72" i="11"/>
  <c r="V72" i="11"/>
  <c r="U72" i="11"/>
  <c r="T72" i="11"/>
  <c r="S72" i="11"/>
  <c r="Z72" i="11"/>
  <c r="Z79" i="11" s="1"/>
  <c r="Q60" i="11"/>
  <c r="Q72" i="11" s="1"/>
  <c r="P60" i="11"/>
  <c r="P72" i="11" s="1"/>
  <c r="O60" i="11"/>
  <c r="X60" i="11" s="1"/>
  <c r="N60" i="11"/>
  <c r="W60" i="11" s="1"/>
  <c r="M60" i="11"/>
  <c r="M72" i="11" s="1"/>
  <c r="L60" i="11"/>
  <c r="U60" i="11" s="1"/>
  <c r="K60" i="11"/>
  <c r="T60" i="11" s="1"/>
  <c r="J60" i="11"/>
  <c r="I60" i="11"/>
  <c r="I72" i="11" s="1"/>
  <c r="H60" i="11"/>
  <c r="H72" i="11" s="1"/>
  <c r="G60" i="11"/>
  <c r="G72" i="11" s="1"/>
  <c r="E60" i="11"/>
  <c r="D60" i="11"/>
  <c r="C60" i="11"/>
  <c r="N48" i="11"/>
  <c r="N71" i="11"/>
  <c r="W71" i="11" s="1"/>
  <c r="N70" i="11"/>
  <c r="N69" i="11"/>
  <c r="N68" i="11"/>
  <c r="W68" i="11" s="1"/>
  <c r="N67" i="11"/>
  <c r="N66" i="11"/>
  <c r="N65" i="11"/>
  <c r="N64" i="11"/>
  <c r="N63" i="11"/>
  <c r="W63" i="11" s="1"/>
  <c r="J48" i="11"/>
  <c r="J71" i="11"/>
  <c r="J70" i="11"/>
  <c r="S70" i="11" s="1"/>
  <c r="J69" i="11"/>
  <c r="J68" i="11"/>
  <c r="S68" i="11" s="1"/>
  <c r="J67" i="11"/>
  <c r="J66" i="11"/>
  <c r="J65" i="11"/>
  <c r="J64" i="11"/>
  <c r="J63" i="11"/>
  <c r="Z71" i="11"/>
  <c r="Y71" i="11"/>
  <c r="X71" i="11"/>
  <c r="V71" i="11"/>
  <c r="U71" i="11"/>
  <c r="T71" i="11"/>
  <c r="S71" i="11"/>
  <c r="E72" i="11"/>
  <c r="D72" i="11"/>
  <c r="C72" i="11"/>
  <c r="Z63" i="11"/>
  <c r="Y63" i="11"/>
  <c r="X63" i="11"/>
  <c r="V63" i="11"/>
  <c r="U63" i="11"/>
  <c r="T63" i="11"/>
  <c r="S63" i="11"/>
  <c r="Z64" i="11"/>
  <c r="Y64" i="11"/>
  <c r="X64" i="11"/>
  <c r="W64" i="11"/>
  <c r="V64" i="11"/>
  <c r="U64" i="11"/>
  <c r="T64" i="11"/>
  <c r="S64" i="11"/>
  <c r="Z65" i="11"/>
  <c r="Y65" i="11"/>
  <c r="X65" i="11"/>
  <c r="W65" i="11"/>
  <c r="V65" i="11"/>
  <c r="U65" i="11"/>
  <c r="T65" i="11"/>
  <c r="Z69" i="11"/>
  <c r="Y69" i="11"/>
  <c r="X69" i="11"/>
  <c r="W69" i="11"/>
  <c r="V69" i="11"/>
  <c r="U69" i="11"/>
  <c r="T69" i="11"/>
  <c r="S69" i="11"/>
  <c r="Z68" i="11"/>
  <c r="Y68" i="11"/>
  <c r="X68" i="11"/>
  <c r="V68" i="11"/>
  <c r="U68" i="11"/>
  <c r="T68" i="11"/>
  <c r="Z67" i="11"/>
  <c r="Y67" i="11"/>
  <c r="X67" i="11"/>
  <c r="W67" i="11"/>
  <c r="V67" i="11"/>
  <c r="U67" i="11"/>
  <c r="T67" i="11"/>
  <c r="S67" i="11"/>
  <c r="Q74" i="11"/>
  <c r="Z74" i="11" s="1"/>
  <c r="P74" i="11"/>
  <c r="Y74" i="11" s="1"/>
  <c r="O74" i="11"/>
  <c r="X74" i="11" s="1"/>
  <c r="N74" i="11"/>
  <c r="W74" i="11" s="1"/>
  <c r="M74" i="11"/>
  <c r="V74" i="11" s="1"/>
  <c r="L74" i="11"/>
  <c r="U74" i="11" s="1"/>
  <c r="K74" i="11"/>
  <c r="T74" i="11" s="1"/>
  <c r="J74" i="11"/>
  <c r="S74" i="11" s="1"/>
  <c r="I74" i="11"/>
  <c r="H74" i="11"/>
  <c r="G74" i="11"/>
  <c r="E74" i="11"/>
  <c r="D74" i="11"/>
  <c r="C74" i="11"/>
  <c r="Q61" i="11"/>
  <c r="Z61" i="11" s="1"/>
  <c r="P61" i="11"/>
  <c r="Y61" i="11" s="1"/>
  <c r="O61" i="11"/>
  <c r="X61" i="11" s="1"/>
  <c r="N61" i="11"/>
  <c r="W61" i="11" s="1"/>
  <c r="M61" i="11"/>
  <c r="L61" i="11"/>
  <c r="U61" i="11" s="1"/>
  <c r="K61" i="11"/>
  <c r="T61" i="11" s="1"/>
  <c r="J61" i="11"/>
  <c r="S61" i="11" s="1"/>
  <c r="I61" i="11"/>
  <c r="H61" i="11"/>
  <c r="Z60" i="11"/>
  <c r="Y60" i="11"/>
  <c r="S60" i="11"/>
  <c r="G61" i="11"/>
  <c r="E61" i="11"/>
  <c r="D61" i="11"/>
  <c r="C61" i="11"/>
  <c r="Q57" i="11"/>
  <c r="P57" i="11"/>
  <c r="Y57" i="11" s="1"/>
  <c r="O57" i="11"/>
  <c r="X57" i="11" s="1"/>
  <c r="N57" i="11"/>
  <c r="W57" i="11" s="1"/>
  <c r="M57" i="11"/>
  <c r="V57" i="11" s="1"/>
  <c r="L57" i="11"/>
  <c r="U57" i="11" s="1"/>
  <c r="K57" i="11"/>
  <c r="T57" i="11" s="1"/>
  <c r="J57" i="11"/>
  <c r="S57" i="11" s="1"/>
  <c r="I57" i="11"/>
  <c r="H57" i="11"/>
  <c r="Q56" i="11"/>
  <c r="Z56" i="11" s="1"/>
  <c r="P56" i="11"/>
  <c r="Y56" i="11" s="1"/>
  <c r="O56" i="11"/>
  <c r="X56" i="11" s="1"/>
  <c r="N56" i="11"/>
  <c r="W56" i="11" s="1"/>
  <c r="M56" i="11"/>
  <c r="V56" i="11" s="1"/>
  <c r="L56" i="11"/>
  <c r="U56" i="11" s="1"/>
  <c r="K56" i="11"/>
  <c r="J56" i="11"/>
  <c r="S56" i="11" s="1"/>
  <c r="I56" i="11"/>
  <c r="H56" i="11"/>
  <c r="Q55" i="11"/>
  <c r="Z55" i="11" s="1"/>
  <c r="P55" i="11"/>
  <c r="Y55" i="11" s="1"/>
  <c r="O55" i="11"/>
  <c r="X55" i="11" s="1"/>
  <c r="N55" i="11"/>
  <c r="W55" i="11" s="1"/>
  <c r="M55" i="11"/>
  <c r="V55" i="11" s="1"/>
  <c r="L55" i="11"/>
  <c r="U55" i="11" s="1"/>
  <c r="K55" i="11"/>
  <c r="T55" i="11" s="1"/>
  <c r="J55" i="11"/>
  <c r="S55" i="11" s="1"/>
  <c r="I55" i="11"/>
  <c r="H55" i="11"/>
  <c r="Q54" i="11"/>
  <c r="Z54" i="11" s="1"/>
  <c r="P54" i="11"/>
  <c r="Y54" i="11" s="1"/>
  <c r="O54" i="11"/>
  <c r="N54" i="11"/>
  <c r="W54" i="11" s="1"/>
  <c r="M54" i="11"/>
  <c r="V54" i="11" s="1"/>
  <c r="L54" i="11"/>
  <c r="U54" i="11" s="1"/>
  <c r="K54" i="11"/>
  <c r="T54" i="11" s="1"/>
  <c r="J54" i="11"/>
  <c r="S54" i="11" s="1"/>
  <c r="I54" i="11"/>
  <c r="H54" i="11"/>
  <c r="Q53" i="11"/>
  <c r="Z53" i="11" s="1"/>
  <c r="P53" i="11"/>
  <c r="Y53" i="11" s="1"/>
  <c r="O53" i="11"/>
  <c r="X53" i="11" s="1"/>
  <c r="N53" i="11"/>
  <c r="W53" i="11" s="1"/>
  <c r="M53" i="11"/>
  <c r="L53" i="11"/>
  <c r="U53" i="11" s="1"/>
  <c r="K53" i="11"/>
  <c r="T53" i="11" s="1"/>
  <c r="J53" i="11"/>
  <c r="S53" i="11" s="1"/>
  <c r="I53" i="11"/>
  <c r="H53" i="11"/>
  <c r="Q52" i="11"/>
  <c r="Z52" i="11" s="1"/>
  <c r="P52" i="11"/>
  <c r="Y52" i="11" s="1"/>
  <c r="O52" i="11"/>
  <c r="X52" i="11" s="1"/>
  <c r="N52" i="11"/>
  <c r="W52" i="11" s="1"/>
  <c r="M52" i="11"/>
  <c r="V52" i="11" s="1"/>
  <c r="L52" i="11"/>
  <c r="U52" i="11" s="1"/>
  <c r="K52" i="11"/>
  <c r="J52" i="11"/>
  <c r="S52" i="11" s="1"/>
  <c r="I52" i="11"/>
  <c r="H52" i="11"/>
  <c r="G57" i="11"/>
  <c r="G56" i="11"/>
  <c r="G55" i="11"/>
  <c r="G54" i="11"/>
  <c r="G53" i="11"/>
  <c r="G52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C57" i="11"/>
  <c r="C56" i="11"/>
  <c r="C55" i="11"/>
  <c r="C54" i="11"/>
  <c r="C53" i="11"/>
  <c r="C52" i="11"/>
  <c r="Q47" i="11"/>
  <c r="Z47" i="11" s="1"/>
  <c r="P47" i="11"/>
  <c r="Y47" i="11" s="1"/>
  <c r="O47" i="11"/>
  <c r="X47" i="11" s="1"/>
  <c r="N47" i="11"/>
  <c r="W47" i="11" s="1"/>
  <c r="M47" i="11"/>
  <c r="V47" i="11" s="1"/>
  <c r="L47" i="11"/>
  <c r="U47" i="11" s="1"/>
  <c r="K47" i="11"/>
  <c r="T47" i="11" s="1"/>
  <c r="J47" i="11"/>
  <c r="S47" i="11" s="1"/>
  <c r="I47" i="11"/>
  <c r="H47" i="11"/>
  <c r="Q46" i="11"/>
  <c r="Z46" i="11" s="1"/>
  <c r="P46" i="11"/>
  <c r="Y46" i="11" s="1"/>
  <c r="O46" i="11"/>
  <c r="X46" i="11" s="1"/>
  <c r="N46" i="11"/>
  <c r="W46" i="11" s="1"/>
  <c r="M46" i="11"/>
  <c r="V46" i="11" s="1"/>
  <c r="L46" i="11"/>
  <c r="U46" i="11" s="1"/>
  <c r="K46" i="11"/>
  <c r="T46" i="11" s="1"/>
  <c r="J46" i="11"/>
  <c r="S46" i="11" s="1"/>
  <c r="I46" i="11"/>
  <c r="H46" i="11"/>
  <c r="Q45" i="11"/>
  <c r="Z45" i="11" s="1"/>
  <c r="P45" i="11"/>
  <c r="Y45" i="11" s="1"/>
  <c r="O45" i="11"/>
  <c r="X45" i="11" s="1"/>
  <c r="N45" i="11"/>
  <c r="W45" i="11" s="1"/>
  <c r="M45" i="11"/>
  <c r="V45" i="11" s="1"/>
  <c r="L45" i="11"/>
  <c r="U45" i="11" s="1"/>
  <c r="K45" i="11"/>
  <c r="T45" i="11" s="1"/>
  <c r="J45" i="11"/>
  <c r="S45" i="11" s="1"/>
  <c r="I45" i="11"/>
  <c r="H45" i="11"/>
  <c r="G47" i="11"/>
  <c r="G46" i="11"/>
  <c r="G45" i="11"/>
  <c r="E47" i="11"/>
  <c r="D47" i="11"/>
  <c r="E46" i="11"/>
  <c r="D46" i="11"/>
  <c r="E45" i="11"/>
  <c r="D45" i="11"/>
  <c r="C47" i="11"/>
  <c r="C46" i="11"/>
  <c r="C45" i="11"/>
  <c r="Q39" i="11"/>
  <c r="P39" i="11"/>
  <c r="O39" i="11"/>
  <c r="N39" i="11"/>
  <c r="M39" i="11"/>
  <c r="L39" i="11"/>
  <c r="K39" i="11"/>
  <c r="J39" i="11"/>
  <c r="I39" i="11"/>
  <c r="H39" i="11"/>
  <c r="Q38" i="11"/>
  <c r="P38" i="11"/>
  <c r="O38" i="11"/>
  <c r="N38" i="11"/>
  <c r="M38" i="11"/>
  <c r="L38" i="11"/>
  <c r="K38" i="11"/>
  <c r="J38" i="11"/>
  <c r="I38" i="11"/>
  <c r="H38" i="11"/>
  <c r="Q37" i="11"/>
  <c r="P37" i="11"/>
  <c r="O37" i="11"/>
  <c r="N37" i="11"/>
  <c r="M37" i="11"/>
  <c r="L37" i="11"/>
  <c r="K37" i="11"/>
  <c r="J37" i="11"/>
  <c r="I37" i="11"/>
  <c r="H37" i="11"/>
  <c r="Q36" i="11"/>
  <c r="P36" i="11"/>
  <c r="O36" i="11"/>
  <c r="N36" i="11"/>
  <c r="M36" i="11"/>
  <c r="L36" i="11"/>
  <c r="K36" i="11"/>
  <c r="J36" i="11"/>
  <c r="I36" i="11"/>
  <c r="H36" i="11"/>
  <c r="G39" i="11"/>
  <c r="G38" i="11"/>
  <c r="G37" i="11"/>
  <c r="G36" i="11"/>
  <c r="E39" i="11"/>
  <c r="D39" i="11"/>
  <c r="E38" i="11"/>
  <c r="D38" i="11"/>
  <c r="E37" i="11"/>
  <c r="D37" i="11"/>
  <c r="E36" i="11"/>
  <c r="D36" i="11"/>
  <c r="C39" i="11"/>
  <c r="C38" i="11"/>
  <c r="C37" i="11"/>
  <c r="C36" i="11"/>
  <c r="Q33" i="11"/>
  <c r="P33" i="11"/>
  <c r="O33" i="11"/>
  <c r="N33" i="11"/>
  <c r="M33" i="11"/>
  <c r="L33" i="11"/>
  <c r="K33" i="11"/>
  <c r="J33" i="11"/>
  <c r="I33" i="11"/>
  <c r="H33" i="11"/>
  <c r="G33" i="11"/>
  <c r="E33" i="11"/>
  <c r="D33" i="11"/>
  <c r="C33" i="11"/>
  <c r="Q32" i="11"/>
  <c r="P32" i="11"/>
  <c r="O32" i="11"/>
  <c r="N32" i="11"/>
  <c r="M32" i="11"/>
  <c r="L32" i="11"/>
  <c r="K32" i="11"/>
  <c r="J32" i="11"/>
  <c r="I32" i="11"/>
  <c r="H32" i="11"/>
  <c r="G32" i="11"/>
  <c r="E32" i="11"/>
  <c r="D32" i="11"/>
  <c r="C32" i="11"/>
  <c r="Q31" i="11"/>
  <c r="P31" i="11"/>
  <c r="O31" i="11"/>
  <c r="N31" i="11"/>
  <c r="M31" i="11"/>
  <c r="L31" i="11"/>
  <c r="K31" i="11"/>
  <c r="J31" i="11"/>
  <c r="I31" i="11"/>
  <c r="H31" i="11"/>
  <c r="G31" i="11"/>
  <c r="E31" i="11"/>
  <c r="D31" i="11"/>
  <c r="C31" i="11"/>
  <c r="Q30" i="11"/>
  <c r="P30" i="11"/>
  <c r="O30" i="11"/>
  <c r="N30" i="11"/>
  <c r="M30" i="11"/>
  <c r="L30" i="11"/>
  <c r="K30" i="11"/>
  <c r="J30" i="11"/>
  <c r="I30" i="11"/>
  <c r="H30" i="11"/>
  <c r="G30" i="11"/>
  <c r="E30" i="11"/>
  <c r="D30" i="11"/>
  <c r="C30" i="11"/>
  <c r="Q29" i="11"/>
  <c r="P29" i="11"/>
  <c r="O29" i="11"/>
  <c r="N29" i="11"/>
  <c r="M29" i="11"/>
  <c r="L29" i="11"/>
  <c r="K29" i="11"/>
  <c r="J29" i="11"/>
  <c r="I29" i="11"/>
  <c r="H29" i="11"/>
  <c r="G29" i="11"/>
  <c r="E29" i="11"/>
  <c r="D29" i="11"/>
  <c r="C29" i="11"/>
  <c r="AB120" i="8"/>
  <c r="O121" i="8"/>
  <c r="P121" i="8" s="1"/>
  <c r="Q121" i="8" s="1"/>
  <c r="K121" i="8"/>
  <c r="E121" i="8"/>
  <c r="D121" i="8"/>
  <c r="C121" i="8"/>
  <c r="H121" i="8"/>
  <c r="I121" i="8" s="1"/>
  <c r="G121" i="8"/>
  <c r="O120" i="8"/>
  <c r="P120" i="8" s="1"/>
  <c r="Q120" i="8" s="1"/>
  <c r="K120" i="8"/>
  <c r="L120" i="8" s="1"/>
  <c r="M120" i="8" s="1"/>
  <c r="G120" i="8"/>
  <c r="E120" i="8"/>
  <c r="D120" i="8"/>
  <c r="C120" i="8"/>
  <c r="O113" i="8"/>
  <c r="P113" i="8" s="1"/>
  <c r="Q113" i="8" s="1"/>
  <c r="K113" i="8"/>
  <c r="K117" i="8" s="1"/>
  <c r="G113" i="8"/>
  <c r="H113" i="8" s="1"/>
  <c r="I113" i="8" s="1"/>
  <c r="E113" i="8"/>
  <c r="D113" i="8"/>
  <c r="C113" i="8"/>
  <c r="P111" i="8"/>
  <c r="Q111" i="8" s="1"/>
  <c r="L111" i="8"/>
  <c r="H111" i="8"/>
  <c r="I111" i="8" s="1"/>
  <c r="J111" i="8" s="1"/>
  <c r="O112" i="8"/>
  <c r="P112" i="8" s="1"/>
  <c r="Q112" i="8" s="1"/>
  <c r="K112" i="8"/>
  <c r="G112" i="8"/>
  <c r="H112" i="8" s="1"/>
  <c r="I112" i="8" s="1"/>
  <c r="E112" i="8"/>
  <c r="E117" i="8" s="1"/>
  <c r="D112" i="8"/>
  <c r="C112" i="8"/>
  <c r="O25" i="11"/>
  <c r="K25" i="11"/>
  <c r="G25" i="11"/>
  <c r="E25" i="11"/>
  <c r="D25" i="11"/>
  <c r="C25" i="11"/>
  <c r="O21" i="11"/>
  <c r="K21" i="11"/>
  <c r="G21" i="11"/>
  <c r="E21" i="11"/>
  <c r="D21" i="11"/>
  <c r="C21" i="11"/>
  <c r="Q17" i="11"/>
  <c r="P17" i="11"/>
  <c r="O17" i="11"/>
  <c r="M17" i="11"/>
  <c r="L17" i="11"/>
  <c r="K17" i="11"/>
  <c r="I17" i="11"/>
  <c r="H17" i="11"/>
  <c r="Q16" i="11"/>
  <c r="P16" i="11"/>
  <c r="O16" i="11"/>
  <c r="M16" i="11"/>
  <c r="L16" i="11"/>
  <c r="K16" i="11"/>
  <c r="I16" i="11"/>
  <c r="H16" i="11"/>
  <c r="G17" i="11"/>
  <c r="G16" i="11"/>
  <c r="E17" i="11"/>
  <c r="D17" i="11"/>
  <c r="E16" i="11"/>
  <c r="D16" i="11"/>
  <c r="C17" i="11"/>
  <c r="C16" i="11"/>
  <c r="Z78" i="8"/>
  <c r="Y78" i="8"/>
  <c r="X78" i="8"/>
  <c r="V78" i="8"/>
  <c r="U78" i="8"/>
  <c r="T78" i="8"/>
  <c r="Z21" i="10"/>
  <c r="Y21" i="10"/>
  <c r="X21" i="10"/>
  <c r="W21" i="10"/>
  <c r="V21" i="10"/>
  <c r="U21" i="10"/>
  <c r="T21" i="10"/>
  <c r="S21" i="10"/>
  <c r="Z20" i="10"/>
  <c r="Y20" i="10"/>
  <c r="X20" i="10"/>
  <c r="W20" i="10"/>
  <c r="V20" i="10"/>
  <c r="U20" i="10"/>
  <c r="T20" i="10"/>
  <c r="S20" i="10"/>
  <c r="Z10" i="10"/>
  <c r="Y10" i="10"/>
  <c r="X10" i="10"/>
  <c r="W10" i="10"/>
  <c r="V10" i="10"/>
  <c r="U10" i="10"/>
  <c r="T10" i="10"/>
  <c r="S10" i="10"/>
  <c r="Y9" i="10"/>
  <c r="X9" i="10"/>
  <c r="W9" i="10"/>
  <c r="V9" i="10"/>
  <c r="U9" i="10"/>
  <c r="T9" i="10"/>
  <c r="S9" i="10"/>
  <c r="P131" i="8"/>
  <c r="Y131" i="8" s="1"/>
  <c r="P123" i="8"/>
  <c r="Q123" i="8" s="1"/>
  <c r="P122" i="8"/>
  <c r="Q122" i="8" s="1"/>
  <c r="P116" i="8"/>
  <c r="Q116" i="8" s="1"/>
  <c r="P115" i="8"/>
  <c r="Q115" i="8" s="1"/>
  <c r="P114" i="8"/>
  <c r="Q114" i="8" s="1"/>
  <c r="P107" i="8"/>
  <c r="Q107" i="8" s="1"/>
  <c r="P106" i="8"/>
  <c r="Q106" i="8" s="1"/>
  <c r="P105" i="8"/>
  <c r="Q105" i="8" s="1"/>
  <c r="P104" i="8"/>
  <c r="Q104" i="8" s="1"/>
  <c r="P103" i="8"/>
  <c r="Q103" i="8" s="1"/>
  <c r="P102" i="8"/>
  <c r="Q102" i="8" s="1"/>
  <c r="P101" i="8"/>
  <c r="Q101" i="8" s="1"/>
  <c r="P100" i="8"/>
  <c r="Q100" i="8" s="1"/>
  <c r="Q25" i="11" s="1"/>
  <c r="P99" i="8"/>
  <c r="Q99" i="8" s="1"/>
  <c r="Q21" i="11" s="1"/>
  <c r="M61" i="8"/>
  <c r="V61" i="8" s="1"/>
  <c r="L61" i="8"/>
  <c r="U61" i="8" s="1"/>
  <c r="K61" i="8"/>
  <c r="T61" i="8" s="1"/>
  <c r="I61" i="8"/>
  <c r="H61" i="8"/>
  <c r="G61" i="8"/>
  <c r="D61" i="8"/>
  <c r="J61" i="8" s="1"/>
  <c r="S61" i="8" s="1"/>
  <c r="C61" i="8"/>
  <c r="Z61" i="8"/>
  <c r="Y61" i="8"/>
  <c r="X61" i="8"/>
  <c r="N61" i="8"/>
  <c r="W61" i="8" s="1"/>
  <c r="Z57" i="8"/>
  <c r="Y57" i="8"/>
  <c r="X57" i="8"/>
  <c r="V57" i="8"/>
  <c r="U57" i="8"/>
  <c r="T57" i="8"/>
  <c r="N57" i="8"/>
  <c r="W57" i="8" s="1"/>
  <c r="J57" i="8"/>
  <c r="S57" i="8" s="1"/>
  <c r="Z56" i="8"/>
  <c r="Y56" i="8"/>
  <c r="X56" i="8"/>
  <c r="V56" i="8"/>
  <c r="U56" i="8"/>
  <c r="T56" i="8"/>
  <c r="N56" i="8"/>
  <c r="W56" i="8" s="1"/>
  <c r="J56" i="8"/>
  <c r="S56" i="8" s="1"/>
  <c r="Z50" i="8"/>
  <c r="Y50" i="8"/>
  <c r="X50" i="8"/>
  <c r="V50" i="8"/>
  <c r="U50" i="8"/>
  <c r="T50" i="8"/>
  <c r="N50" i="8"/>
  <c r="W50" i="8" s="1"/>
  <c r="J50" i="8"/>
  <c r="S50" i="8" s="1"/>
  <c r="Z48" i="8"/>
  <c r="Y48" i="8"/>
  <c r="X48" i="8"/>
  <c r="V48" i="8"/>
  <c r="U48" i="8"/>
  <c r="T48" i="8"/>
  <c r="N48" i="8"/>
  <c r="W48" i="8" s="1"/>
  <c r="J48" i="8"/>
  <c r="S48" i="8" s="1"/>
  <c r="Z84" i="8"/>
  <c r="Y84" i="8"/>
  <c r="X84" i="8"/>
  <c r="V84" i="8"/>
  <c r="U84" i="8"/>
  <c r="T84" i="8"/>
  <c r="N84" i="8"/>
  <c r="W84" i="8" s="1"/>
  <c r="J84" i="8"/>
  <c r="S84" i="8" s="1"/>
  <c r="Z80" i="8"/>
  <c r="Y80" i="8"/>
  <c r="X80" i="8"/>
  <c r="V80" i="8"/>
  <c r="U80" i="8"/>
  <c r="T80" i="8"/>
  <c r="N80" i="8"/>
  <c r="W80" i="8" s="1"/>
  <c r="J80" i="8"/>
  <c r="S80" i="8" s="1"/>
  <c r="Z79" i="8"/>
  <c r="Y79" i="8"/>
  <c r="X79" i="8"/>
  <c r="V79" i="8"/>
  <c r="U79" i="8"/>
  <c r="T79" i="8"/>
  <c r="N79" i="8"/>
  <c r="W79" i="8" s="1"/>
  <c r="J79" i="8"/>
  <c r="S79" i="8" s="1"/>
  <c r="N78" i="8"/>
  <c r="W78" i="8" s="1"/>
  <c r="J78" i="8"/>
  <c r="S78" i="8" s="1"/>
  <c r="Y8" i="8"/>
  <c r="Q12" i="11"/>
  <c r="P12" i="11"/>
  <c r="O12" i="11"/>
  <c r="M12" i="11"/>
  <c r="L12" i="11"/>
  <c r="K12" i="11"/>
  <c r="I12" i="11"/>
  <c r="H12" i="11"/>
  <c r="G12" i="11"/>
  <c r="E12" i="11"/>
  <c r="D12" i="11"/>
  <c r="C12" i="11"/>
  <c r="Q7" i="11"/>
  <c r="P7" i="11"/>
  <c r="O7" i="11"/>
  <c r="N7" i="11"/>
  <c r="M7" i="11"/>
  <c r="L7" i="11"/>
  <c r="K7" i="11"/>
  <c r="J7" i="11"/>
  <c r="I7" i="11"/>
  <c r="H7" i="11"/>
  <c r="Q6" i="11"/>
  <c r="P6" i="11"/>
  <c r="O6" i="11"/>
  <c r="N6" i="11"/>
  <c r="M6" i="11"/>
  <c r="L6" i="11"/>
  <c r="K6" i="11"/>
  <c r="J6" i="11"/>
  <c r="I6" i="11"/>
  <c r="H6" i="11"/>
  <c r="G7" i="11"/>
  <c r="G6" i="11"/>
  <c r="E7" i="11"/>
  <c r="D7" i="11"/>
  <c r="C7" i="11"/>
  <c r="E6" i="11"/>
  <c r="D6" i="11"/>
  <c r="C6" i="11"/>
  <c r="Y70" i="11"/>
  <c r="X70" i="11"/>
  <c r="W70" i="11"/>
  <c r="V70" i="11"/>
  <c r="U70" i="11"/>
  <c r="T70" i="11"/>
  <c r="Y66" i="11"/>
  <c r="X66" i="11"/>
  <c r="W66" i="11"/>
  <c r="V66" i="11"/>
  <c r="U66" i="11"/>
  <c r="T66" i="11"/>
  <c r="S66" i="11"/>
  <c r="Z70" i="11"/>
  <c r="Z66" i="11"/>
  <c r="V61" i="11"/>
  <c r="T56" i="11"/>
  <c r="X54" i="11"/>
  <c r="V53" i="11"/>
  <c r="T52" i="11"/>
  <c r="Z57" i="11"/>
  <c r="Y48" i="11"/>
  <c r="X48" i="11"/>
  <c r="W48" i="11"/>
  <c r="V48" i="11"/>
  <c r="U48" i="11"/>
  <c r="T48" i="11"/>
  <c r="S48" i="11"/>
  <c r="Z48" i="11"/>
  <c r="B7" i="11"/>
  <c r="B6" i="11"/>
  <c r="Z60" i="8"/>
  <c r="Y60" i="8"/>
  <c r="X60" i="8"/>
  <c r="V60" i="8"/>
  <c r="U60" i="8"/>
  <c r="T60" i="8"/>
  <c r="Z59" i="8"/>
  <c r="Y59" i="8"/>
  <c r="X59" i="8"/>
  <c r="V59" i="8"/>
  <c r="U59" i="8"/>
  <c r="T59" i="8"/>
  <c r="Z58" i="8"/>
  <c r="Y58" i="8"/>
  <c r="X58" i="8"/>
  <c r="V58" i="8"/>
  <c r="U58" i="8"/>
  <c r="T58" i="8"/>
  <c r="L131" i="8"/>
  <c r="M131" i="8" s="1"/>
  <c r="V131" i="8" s="1"/>
  <c r="H131" i="8"/>
  <c r="I131" i="8" s="1"/>
  <c r="J131" i="8" s="1"/>
  <c r="L107" i="8"/>
  <c r="H107" i="8"/>
  <c r="L123" i="8"/>
  <c r="H123" i="8"/>
  <c r="L122" i="8"/>
  <c r="H122" i="8"/>
  <c r="L116" i="8"/>
  <c r="M116" i="8" s="1"/>
  <c r="H116" i="8"/>
  <c r="L115" i="8"/>
  <c r="M115" i="8" s="1"/>
  <c r="H115" i="8"/>
  <c r="I115" i="8" s="1"/>
  <c r="L114" i="8"/>
  <c r="H114" i="8"/>
  <c r="L106" i="8"/>
  <c r="M106" i="8" s="1"/>
  <c r="H106" i="8"/>
  <c r="L105" i="8"/>
  <c r="H105" i="8"/>
  <c r="I105" i="8" s="1"/>
  <c r="L104" i="8"/>
  <c r="M104" i="8" s="1"/>
  <c r="H104" i="8"/>
  <c r="I104" i="8" s="1"/>
  <c r="L103" i="8"/>
  <c r="H103" i="8"/>
  <c r="I103" i="8" s="1"/>
  <c r="L102" i="8"/>
  <c r="H102" i="8"/>
  <c r="I102" i="8" s="1"/>
  <c r="L101" i="8"/>
  <c r="H101" i="8"/>
  <c r="I101" i="8" s="1"/>
  <c r="L100" i="8"/>
  <c r="M100" i="8" s="1"/>
  <c r="M25" i="11" s="1"/>
  <c r="H100" i="8"/>
  <c r="I100" i="8" s="1"/>
  <c r="I25" i="11" s="1"/>
  <c r="L99" i="8"/>
  <c r="L21" i="11" s="1"/>
  <c r="H99" i="8"/>
  <c r="H21" i="11" s="1"/>
  <c r="N68" i="8"/>
  <c r="W68" i="8" s="1"/>
  <c r="N67" i="8"/>
  <c r="W67" i="8" s="1"/>
  <c r="N66" i="8"/>
  <c r="W66" i="8" s="1"/>
  <c r="N65" i="8"/>
  <c r="W65" i="8" s="1"/>
  <c r="N74" i="8"/>
  <c r="W74" i="8" s="1"/>
  <c r="N73" i="8"/>
  <c r="W73" i="8" s="1"/>
  <c r="N72" i="8"/>
  <c r="W72" i="8" s="1"/>
  <c r="J68" i="8"/>
  <c r="S68" i="8" s="1"/>
  <c r="J67" i="8"/>
  <c r="S67" i="8" s="1"/>
  <c r="J66" i="8"/>
  <c r="S66" i="8" s="1"/>
  <c r="J65" i="8"/>
  <c r="S65" i="8" s="1"/>
  <c r="J74" i="8"/>
  <c r="S74" i="8" s="1"/>
  <c r="J73" i="8"/>
  <c r="S73" i="8" s="1"/>
  <c r="J72" i="8"/>
  <c r="S72" i="8" s="1"/>
  <c r="J52" i="8"/>
  <c r="J51" i="8"/>
  <c r="S51" i="8" s="1"/>
  <c r="J49" i="8"/>
  <c r="S49" i="8" s="1"/>
  <c r="J47" i="8"/>
  <c r="N52" i="8"/>
  <c r="N51" i="8"/>
  <c r="W51" i="8" s="1"/>
  <c r="N49" i="8"/>
  <c r="W49" i="8" s="1"/>
  <c r="N47" i="8"/>
  <c r="N60" i="8"/>
  <c r="W60" i="8" s="1"/>
  <c r="N59" i="8"/>
  <c r="W59" i="8" s="1"/>
  <c r="N58" i="8"/>
  <c r="W58" i="8" s="1"/>
  <c r="J60" i="8"/>
  <c r="S60" i="8" s="1"/>
  <c r="J59" i="8"/>
  <c r="S59" i="8" s="1"/>
  <c r="J58" i="8"/>
  <c r="S58" i="8" s="1"/>
  <c r="J32" i="8"/>
  <c r="V32" i="8" s="1"/>
  <c r="N32" i="8"/>
  <c r="X32" i="8" s="1"/>
  <c r="N23" i="8"/>
  <c r="X23" i="8" s="1"/>
  <c r="J23" i="8"/>
  <c r="U23" i="8" s="1"/>
  <c r="J29" i="8"/>
  <c r="N29" i="8"/>
  <c r="N25" i="8"/>
  <c r="N24" i="8"/>
  <c r="N22" i="8"/>
  <c r="J25" i="8"/>
  <c r="J24" i="8"/>
  <c r="J22" i="8"/>
  <c r="N18" i="8"/>
  <c r="Z18" i="8" s="1"/>
  <c r="N17" i="8"/>
  <c r="N16" i="11" s="1"/>
  <c r="J18" i="8"/>
  <c r="V18" i="8" s="1"/>
  <c r="J17" i="8"/>
  <c r="J16" i="11" s="1"/>
  <c r="N13" i="8"/>
  <c r="N12" i="11" s="1"/>
  <c r="J13" i="8"/>
  <c r="J12" i="11" s="1"/>
  <c r="N21" i="10"/>
  <c r="N20" i="10"/>
  <c r="J21" i="10"/>
  <c r="J20" i="10"/>
  <c r="N10" i="8"/>
  <c r="J10" i="8"/>
  <c r="N10" i="10"/>
  <c r="N9" i="10"/>
  <c r="Z9" i="10" s="1"/>
  <c r="J10" i="10"/>
  <c r="J9" i="10"/>
  <c r="Y132" i="8"/>
  <c r="Z128" i="8" s="1"/>
  <c r="X132" i="8"/>
  <c r="Y128" i="8" s="1"/>
  <c r="V132" i="8"/>
  <c r="W128" i="8" s="1"/>
  <c r="U132" i="8"/>
  <c r="T132" i="8"/>
  <c r="U128" i="8" s="1"/>
  <c r="X131" i="8"/>
  <c r="T131" i="8"/>
  <c r="Z132" i="8"/>
  <c r="Z81" i="8"/>
  <c r="Y81" i="8"/>
  <c r="X81" i="8"/>
  <c r="V81" i="8"/>
  <c r="U81" i="8"/>
  <c r="T81" i="8"/>
  <c r="Z77" i="8"/>
  <c r="Y77" i="8"/>
  <c r="X77" i="8"/>
  <c r="V77" i="8"/>
  <c r="U77" i="8"/>
  <c r="T77" i="8"/>
  <c r="Z74" i="8"/>
  <c r="Y74" i="8"/>
  <c r="X74" i="8"/>
  <c r="V74" i="8"/>
  <c r="U74" i="8"/>
  <c r="T74" i="8"/>
  <c r="Z73" i="8"/>
  <c r="Y73" i="8"/>
  <c r="X73" i="8"/>
  <c r="V73" i="8"/>
  <c r="U73" i="8"/>
  <c r="T73" i="8"/>
  <c r="Z72" i="8"/>
  <c r="Y72" i="8"/>
  <c r="X72" i="8"/>
  <c r="V72" i="8"/>
  <c r="U72" i="8"/>
  <c r="T72" i="8"/>
  <c r="Z68" i="8"/>
  <c r="Y68" i="8"/>
  <c r="X68" i="8"/>
  <c r="V68" i="8"/>
  <c r="U68" i="8"/>
  <c r="T68" i="8"/>
  <c r="Z67" i="8"/>
  <c r="Y67" i="8"/>
  <c r="X67" i="8"/>
  <c r="V67" i="8"/>
  <c r="U67" i="8"/>
  <c r="T67" i="8"/>
  <c r="Z66" i="8"/>
  <c r="Y66" i="8"/>
  <c r="X66" i="8"/>
  <c r="V66" i="8"/>
  <c r="U66" i="8"/>
  <c r="T66" i="8"/>
  <c r="Z65" i="8"/>
  <c r="Y65" i="8"/>
  <c r="X65" i="8"/>
  <c r="V65" i="8"/>
  <c r="U65" i="8"/>
  <c r="T65" i="8"/>
  <c r="Z52" i="8"/>
  <c r="Y52" i="8"/>
  <c r="X52" i="8"/>
  <c r="V52" i="8"/>
  <c r="U52" i="8"/>
  <c r="T52" i="8"/>
  <c r="Z51" i="8"/>
  <c r="Y51" i="8"/>
  <c r="X51" i="8"/>
  <c r="V51" i="8"/>
  <c r="U51" i="8"/>
  <c r="T51" i="8"/>
  <c r="Z49" i="8"/>
  <c r="Y49" i="8"/>
  <c r="X49" i="8"/>
  <c r="V49" i="8"/>
  <c r="U49" i="8"/>
  <c r="T49" i="8"/>
  <c r="Y47" i="8"/>
  <c r="X47" i="8"/>
  <c r="V47" i="8"/>
  <c r="U47" i="8"/>
  <c r="T47" i="8"/>
  <c r="Z47" i="8"/>
  <c r="Z39" i="8"/>
  <c r="Y39" i="8"/>
  <c r="X39" i="8"/>
  <c r="V39" i="8"/>
  <c r="U39" i="8"/>
  <c r="T39" i="8"/>
  <c r="Y36" i="8"/>
  <c r="X36" i="8"/>
  <c r="V36" i="8"/>
  <c r="U36" i="8"/>
  <c r="T36" i="8"/>
  <c r="Z36" i="8"/>
  <c r="X8" i="8"/>
  <c r="V8" i="8"/>
  <c r="U8" i="8"/>
  <c r="T8" i="8"/>
  <c r="Y7" i="8"/>
  <c r="X7" i="8"/>
  <c r="W7" i="8"/>
  <c r="V7" i="8"/>
  <c r="U7" i="8"/>
  <c r="T7" i="8"/>
  <c r="S7" i="8"/>
  <c r="Z8" i="8"/>
  <c r="Z7" i="8"/>
  <c r="N132" i="8"/>
  <c r="W132" i="8" s="1"/>
  <c r="J132" i="8"/>
  <c r="S132" i="8" s="1"/>
  <c r="N81" i="8"/>
  <c r="W81" i="8" s="1"/>
  <c r="J81" i="8"/>
  <c r="S81" i="8" s="1"/>
  <c r="N77" i="8"/>
  <c r="W77" i="8" s="1"/>
  <c r="J77" i="8"/>
  <c r="S77" i="8" s="1"/>
  <c r="B26" i="10"/>
  <c r="B25" i="10"/>
  <c r="Q69" i="8"/>
  <c r="Q4" i="11"/>
  <c r="Z4" i="11" s="1"/>
  <c r="Q3" i="11"/>
  <c r="Z3" i="11" s="1"/>
  <c r="Q11" i="10"/>
  <c r="Q15" i="10" s="1"/>
  <c r="Q4" i="10"/>
  <c r="Z4" i="10" s="1"/>
  <c r="Q3" i="10"/>
  <c r="Z3" i="10" s="1"/>
  <c r="Q93" i="8"/>
  <c r="Q92" i="8"/>
  <c r="Q82" i="8"/>
  <c r="Q85" i="8" s="1"/>
  <c r="Q53" i="8"/>
  <c r="Q62" i="8" s="1"/>
  <c r="Q44" i="8"/>
  <c r="Q43" i="8"/>
  <c r="Q11" i="8"/>
  <c r="Q14" i="8" s="1"/>
  <c r="Q19" i="8" s="1"/>
  <c r="N8" i="8"/>
  <c r="N4" i="11" s="1"/>
  <c r="W4" i="11" s="1"/>
  <c r="J8" i="8"/>
  <c r="J4" i="10" s="1"/>
  <c r="S4" i="10" s="1"/>
  <c r="O4" i="11"/>
  <c r="X4" i="11" s="1"/>
  <c r="M4" i="11"/>
  <c r="V4" i="11" s="1"/>
  <c r="L4" i="11"/>
  <c r="U4" i="11" s="1"/>
  <c r="K4" i="11"/>
  <c r="T4" i="11" s="1"/>
  <c r="I4" i="11"/>
  <c r="H4" i="11"/>
  <c r="P3" i="11"/>
  <c r="Y3" i="11" s="1"/>
  <c r="O3" i="11"/>
  <c r="X3" i="11" s="1"/>
  <c r="N3" i="11"/>
  <c r="W3" i="11" s="1"/>
  <c r="M3" i="11"/>
  <c r="V3" i="11" s="1"/>
  <c r="L3" i="11"/>
  <c r="U3" i="11" s="1"/>
  <c r="K3" i="11"/>
  <c r="T3" i="11" s="1"/>
  <c r="J3" i="11"/>
  <c r="S3" i="11" s="1"/>
  <c r="I3" i="11"/>
  <c r="H3" i="11"/>
  <c r="G4" i="11"/>
  <c r="G3" i="11"/>
  <c r="E4" i="11"/>
  <c r="D4" i="11"/>
  <c r="C4" i="11"/>
  <c r="E3" i="11"/>
  <c r="D3" i="11"/>
  <c r="C3" i="11"/>
  <c r="B2" i="11"/>
  <c r="Q128" i="8"/>
  <c r="P128" i="8"/>
  <c r="N128" i="8"/>
  <c r="M128" i="8"/>
  <c r="L128" i="8"/>
  <c r="J128" i="8"/>
  <c r="S128" i="8" s="1"/>
  <c r="I128" i="8"/>
  <c r="H128" i="8"/>
  <c r="O4" i="10"/>
  <c r="X4" i="10" s="1"/>
  <c r="M4" i="10"/>
  <c r="V4" i="10" s="1"/>
  <c r="L4" i="10"/>
  <c r="U4" i="10" s="1"/>
  <c r="K4" i="10"/>
  <c r="T4" i="10" s="1"/>
  <c r="I4" i="10"/>
  <c r="H4" i="10"/>
  <c r="P3" i="10"/>
  <c r="Y3" i="10" s="1"/>
  <c r="O3" i="10"/>
  <c r="X3" i="10" s="1"/>
  <c r="N3" i="10"/>
  <c r="W3" i="10" s="1"/>
  <c r="M3" i="10"/>
  <c r="V3" i="10" s="1"/>
  <c r="L3" i="10"/>
  <c r="U3" i="10" s="1"/>
  <c r="K3" i="10"/>
  <c r="T3" i="10" s="1"/>
  <c r="J3" i="10"/>
  <c r="S3" i="10" s="1"/>
  <c r="I3" i="10"/>
  <c r="H3" i="10"/>
  <c r="G4" i="10"/>
  <c r="G3" i="10"/>
  <c r="D4" i="10"/>
  <c r="C4" i="10"/>
  <c r="D3" i="10"/>
  <c r="C3" i="10"/>
  <c r="E4" i="10"/>
  <c r="E3" i="10"/>
  <c r="J72" i="11" l="1"/>
  <c r="K72" i="11"/>
  <c r="V60" i="11"/>
  <c r="L72" i="11"/>
  <c r="O72" i="11"/>
  <c r="Z75" i="11"/>
  <c r="N72" i="11"/>
  <c r="S65" i="11"/>
  <c r="W36" i="11"/>
  <c r="Y36" i="11"/>
  <c r="S30" i="11"/>
  <c r="U31" i="11"/>
  <c r="V32" i="11"/>
  <c r="U37" i="11"/>
  <c r="Y39" i="11"/>
  <c r="W7" i="11"/>
  <c r="Z29" i="11"/>
  <c r="V31" i="11"/>
  <c r="X32" i="11"/>
  <c r="V36" i="11"/>
  <c r="V37" i="11"/>
  <c r="T38" i="11"/>
  <c r="Z38" i="11"/>
  <c r="Z39" i="11"/>
  <c r="U30" i="11"/>
  <c r="U38" i="11"/>
  <c r="S39" i="11"/>
  <c r="X36" i="11"/>
  <c r="T37" i="11"/>
  <c r="X39" i="11"/>
  <c r="S38" i="11"/>
  <c r="Z37" i="11"/>
  <c r="U32" i="11"/>
  <c r="U36" i="11"/>
  <c r="Y38" i="11"/>
  <c r="W39" i="11"/>
  <c r="V29" i="11"/>
  <c r="U33" i="11"/>
  <c r="Z36" i="11"/>
  <c r="W37" i="11"/>
  <c r="Y37" i="11"/>
  <c r="X30" i="11"/>
  <c r="S36" i="11"/>
  <c r="T36" i="11"/>
  <c r="V38" i="11"/>
  <c r="T39" i="11"/>
  <c r="X33" i="11"/>
  <c r="W38" i="11"/>
  <c r="U39" i="11"/>
  <c r="X37" i="11"/>
  <c r="X38" i="11"/>
  <c r="V39" i="11"/>
  <c r="S37" i="11"/>
  <c r="X31" i="11"/>
  <c r="Z32" i="11"/>
  <c r="V33" i="11"/>
  <c r="T31" i="11"/>
  <c r="W33" i="11"/>
  <c r="W32" i="11"/>
  <c r="W30" i="11"/>
  <c r="X29" i="11"/>
  <c r="T30" i="11"/>
  <c r="Z30" i="11"/>
  <c r="U29" i="11"/>
  <c r="T29" i="11"/>
  <c r="V30" i="11"/>
  <c r="T33" i="11"/>
  <c r="W29" i="11"/>
  <c r="S32" i="11"/>
  <c r="Y33" i="11"/>
  <c r="Z33" i="11"/>
  <c r="S33" i="11"/>
  <c r="T32" i="11"/>
  <c r="Y32" i="11"/>
  <c r="Y31" i="11"/>
  <c r="Z31" i="11"/>
  <c r="S31" i="11"/>
  <c r="W31" i="11"/>
  <c r="Y30" i="11"/>
  <c r="Y29" i="11"/>
  <c r="S29" i="11"/>
  <c r="M121" i="8"/>
  <c r="N121" i="8" s="1"/>
  <c r="L121" i="8"/>
  <c r="V16" i="11"/>
  <c r="J121" i="8"/>
  <c r="H120" i="8"/>
  <c r="I120" i="8" s="1"/>
  <c r="J120" i="8" s="1"/>
  <c r="L113" i="8"/>
  <c r="M113" i="8" s="1"/>
  <c r="C117" i="8"/>
  <c r="Q117" i="8"/>
  <c r="D117" i="8"/>
  <c r="O117" i="8"/>
  <c r="P117" i="8"/>
  <c r="J113" i="8"/>
  <c r="H117" i="8"/>
  <c r="G117" i="8"/>
  <c r="S111" i="8"/>
  <c r="M111" i="8"/>
  <c r="N111" i="8" s="1"/>
  <c r="Z111" i="8" s="1"/>
  <c r="U111" i="8"/>
  <c r="T111" i="8"/>
  <c r="L112" i="8"/>
  <c r="M112" i="8" s="1"/>
  <c r="N112" i="8" s="1"/>
  <c r="X16" i="11"/>
  <c r="N17" i="11"/>
  <c r="Z17" i="11" s="1"/>
  <c r="AB57" i="8"/>
  <c r="AB68" i="8"/>
  <c r="P21" i="11"/>
  <c r="J17" i="11"/>
  <c r="V17" i="11" s="1"/>
  <c r="W16" i="11"/>
  <c r="H25" i="11"/>
  <c r="P25" i="11"/>
  <c r="Y16" i="11"/>
  <c r="T16" i="11"/>
  <c r="Z16" i="11"/>
  <c r="L25" i="11"/>
  <c r="S16" i="11"/>
  <c r="U16" i="11"/>
  <c r="U6" i="11"/>
  <c r="V7" i="11"/>
  <c r="W6" i="11"/>
  <c r="T6" i="11"/>
  <c r="Y7" i="11"/>
  <c r="T7" i="11"/>
  <c r="U7" i="11"/>
  <c r="V6" i="11"/>
  <c r="Q131" i="8"/>
  <c r="Z131" i="8" s="1"/>
  <c r="Y6" i="11"/>
  <c r="Z6" i="11"/>
  <c r="AB61" i="8"/>
  <c r="AB56" i="8"/>
  <c r="AB50" i="8"/>
  <c r="AB48" i="8"/>
  <c r="AB84" i="8"/>
  <c r="AB80" i="8"/>
  <c r="AB79" i="8"/>
  <c r="U131" i="8"/>
  <c r="V12" i="11"/>
  <c r="S12" i="11"/>
  <c r="Z12" i="11"/>
  <c r="Y12" i="11"/>
  <c r="X12" i="11"/>
  <c r="W12" i="11"/>
  <c r="T12" i="11"/>
  <c r="N131" i="8"/>
  <c r="W131" i="8" s="1"/>
  <c r="U12" i="11"/>
  <c r="P4" i="10"/>
  <c r="Y4" i="10" s="1"/>
  <c r="P4" i="11"/>
  <c r="Y4" i="11" s="1"/>
  <c r="X6" i="11"/>
  <c r="Z7" i="11"/>
  <c r="X7" i="11"/>
  <c r="S6" i="11"/>
  <c r="S7" i="11"/>
  <c r="M107" i="8"/>
  <c r="N107" i="8" s="1"/>
  <c r="I107" i="8"/>
  <c r="M102" i="8"/>
  <c r="N102" i="8" s="1"/>
  <c r="J101" i="8"/>
  <c r="U101" i="8" s="1"/>
  <c r="J103" i="8"/>
  <c r="U103" i="8" s="1"/>
  <c r="N106" i="8"/>
  <c r="X106" i="8" s="1"/>
  <c r="N104" i="8"/>
  <c r="W104" i="8" s="1"/>
  <c r="N116" i="8"/>
  <c r="Z116" i="8" s="1"/>
  <c r="J102" i="8"/>
  <c r="J115" i="8"/>
  <c r="V115" i="8" s="1"/>
  <c r="J104" i="8"/>
  <c r="V104" i="8" s="1"/>
  <c r="J105" i="8"/>
  <c r="U105" i="8" s="1"/>
  <c r="N100" i="8"/>
  <c r="J100" i="8"/>
  <c r="N115" i="8"/>
  <c r="Z115" i="8" s="1"/>
  <c r="M122" i="8"/>
  <c r="N122" i="8" s="1"/>
  <c r="I123" i="8"/>
  <c r="J123" i="8" s="1"/>
  <c r="I122" i="8"/>
  <c r="M123" i="8"/>
  <c r="N123" i="8" s="1"/>
  <c r="I116" i="8"/>
  <c r="I114" i="8"/>
  <c r="J114" i="8" s="1"/>
  <c r="M114" i="8"/>
  <c r="N114" i="8" s="1"/>
  <c r="J112" i="8"/>
  <c r="I99" i="8"/>
  <c r="M101" i="8"/>
  <c r="N101" i="8" s="1"/>
  <c r="M105" i="8"/>
  <c r="N105" i="8" s="1"/>
  <c r="Z105" i="8" s="1"/>
  <c r="I106" i="8"/>
  <c r="J106" i="8" s="1"/>
  <c r="M99" i="8"/>
  <c r="M103" i="8"/>
  <c r="V23" i="8"/>
  <c r="U18" i="8"/>
  <c r="Y23" i="8"/>
  <c r="Z23" i="8"/>
  <c r="U32" i="8"/>
  <c r="Y32" i="8"/>
  <c r="Z32" i="8"/>
  <c r="S11" i="10"/>
  <c r="T11" i="10"/>
  <c r="S18" i="8"/>
  <c r="S23" i="8"/>
  <c r="S32" i="8"/>
  <c r="T18" i="8"/>
  <c r="T23" i="8"/>
  <c r="T32" i="8"/>
  <c r="W18" i="8"/>
  <c r="W23" i="8"/>
  <c r="W32" i="8"/>
  <c r="X18" i="8"/>
  <c r="Y18" i="8"/>
  <c r="S8" i="8"/>
  <c r="W8" i="8"/>
  <c r="V128" i="8"/>
  <c r="K128" i="8"/>
  <c r="AB59" i="8"/>
  <c r="AB49" i="8"/>
  <c r="Y49" i="11"/>
  <c r="D22" i="10"/>
  <c r="I22" i="10"/>
  <c r="I26" i="10" s="1"/>
  <c r="M22" i="10"/>
  <c r="T128" i="8"/>
  <c r="AB74" i="8"/>
  <c r="AB73" i="8"/>
  <c r="N4" i="10"/>
  <c r="W4" i="10" s="1"/>
  <c r="X128" i="8"/>
  <c r="Q75" i="11"/>
  <c r="Q84" i="11" s="1"/>
  <c r="J4" i="11"/>
  <c r="S4" i="11" s="1"/>
  <c r="Q124" i="8"/>
  <c r="Q75" i="8"/>
  <c r="Q86" i="8" s="1"/>
  <c r="L22" i="10"/>
  <c r="E22" i="10"/>
  <c r="H22" i="10"/>
  <c r="O22" i="10"/>
  <c r="O26" i="10" s="1"/>
  <c r="C22" i="10"/>
  <c r="C25" i="10" s="1"/>
  <c r="Q22" i="10"/>
  <c r="P22" i="10"/>
  <c r="P25" i="10" s="1"/>
  <c r="K22" i="10"/>
  <c r="G22" i="10"/>
  <c r="W49" i="11"/>
  <c r="Q49" i="11"/>
  <c r="Q12" i="10"/>
  <c r="Q14" i="10"/>
  <c r="Q20" i="8"/>
  <c r="Q26" i="8"/>
  <c r="Q15" i="8"/>
  <c r="S131" i="8"/>
  <c r="G8" i="11"/>
  <c r="G13" i="11" s="1"/>
  <c r="G18" i="11" s="1"/>
  <c r="E8" i="11"/>
  <c r="E13" i="11" s="1"/>
  <c r="AB51" i="8"/>
  <c r="C8" i="11"/>
  <c r="H49" i="11"/>
  <c r="I49" i="11"/>
  <c r="D49" i="11"/>
  <c r="C49" i="11"/>
  <c r="G49" i="11"/>
  <c r="L49" i="11"/>
  <c r="E49" i="11"/>
  <c r="K49" i="11"/>
  <c r="X49" i="11"/>
  <c r="Z49" i="11"/>
  <c r="T49" i="11"/>
  <c r="P49" i="11"/>
  <c r="M49" i="11"/>
  <c r="O49" i="11"/>
  <c r="O128" i="8"/>
  <c r="AB32" i="11" l="1"/>
  <c r="V121" i="8"/>
  <c r="Z121" i="8"/>
  <c r="N120" i="8"/>
  <c r="T120" i="8"/>
  <c r="S120" i="8"/>
  <c r="V120" i="8"/>
  <c r="U120" i="8"/>
  <c r="S17" i="11"/>
  <c r="Y17" i="11"/>
  <c r="L117" i="8"/>
  <c r="I117" i="8"/>
  <c r="Y111" i="8"/>
  <c r="W17" i="11"/>
  <c r="X111" i="8"/>
  <c r="M117" i="8"/>
  <c r="N113" i="8"/>
  <c r="N117" i="8" s="1"/>
  <c r="U113" i="8"/>
  <c r="T113" i="8"/>
  <c r="S113" i="8"/>
  <c r="V113" i="8"/>
  <c r="V111" i="8"/>
  <c r="AB111" i="8" s="1"/>
  <c r="W111" i="8"/>
  <c r="X17" i="11"/>
  <c r="AB17" i="11"/>
  <c r="U17" i="11"/>
  <c r="T17" i="11"/>
  <c r="Z100" i="8"/>
  <c r="N25" i="11"/>
  <c r="X25" i="11" s="1"/>
  <c r="J99" i="8"/>
  <c r="J21" i="11" s="1"/>
  <c r="I21" i="11"/>
  <c r="V100" i="8"/>
  <c r="J25" i="11"/>
  <c r="S25" i="11" s="1"/>
  <c r="N99" i="8"/>
  <c r="N21" i="11" s="1"/>
  <c r="Z21" i="11" s="1"/>
  <c r="M21" i="11"/>
  <c r="T101" i="8"/>
  <c r="Y121" i="8"/>
  <c r="Y106" i="8"/>
  <c r="X121" i="8"/>
  <c r="W121" i="8"/>
  <c r="U121" i="8"/>
  <c r="Z106" i="8"/>
  <c r="Y100" i="8"/>
  <c r="W100" i="8"/>
  <c r="T103" i="8"/>
  <c r="S103" i="8"/>
  <c r="S105" i="8"/>
  <c r="S121" i="8"/>
  <c r="X115" i="8"/>
  <c r="Z104" i="8"/>
  <c r="AB104" i="8" s="1"/>
  <c r="X104" i="8"/>
  <c r="V102" i="8"/>
  <c r="W115" i="8"/>
  <c r="Y115" i="8"/>
  <c r="Y104" i="8"/>
  <c r="X100" i="8"/>
  <c r="V103" i="8"/>
  <c r="J107" i="8"/>
  <c r="T107" i="8" s="1"/>
  <c r="Z107" i="8"/>
  <c r="Y107" i="8"/>
  <c r="W107" i="8"/>
  <c r="X107" i="8"/>
  <c r="X102" i="8"/>
  <c r="W102" i="8"/>
  <c r="Y102" i="8"/>
  <c r="Z102" i="8"/>
  <c r="X116" i="8"/>
  <c r="T121" i="8"/>
  <c r="S101" i="8"/>
  <c r="T105" i="8"/>
  <c r="T115" i="8"/>
  <c r="S115" i="8"/>
  <c r="J116" i="8"/>
  <c r="V116" i="8" s="1"/>
  <c r="AB116" i="8" s="1"/>
  <c r="AB115" i="8"/>
  <c r="Z123" i="8"/>
  <c r="U115" i="8"/>
  <c r="J122" i="8"/>
  <c r="V122" i="8" s="1"/>
  <c r="V105" i="8"/>
  <c r="AB105" i="8" s="1"/>
  <c r="N103" i="8"/>
  <c r="W103" i="8" s="1"/>
  <c r="AB121" i="8"/>
  <c r="Z122" i="8"/>
  <c r="X122" i="8"/>
  <c r="Y122" i="8"/>
  <c r="V123" i="8"/>
  <c r="W123" i="8"/>
  <c r="W122" i="8"/>
  <c r="U123" i="8"/>
  <c r="S123" i="8"/>
  <c r="Y123" i="8"/>
  <c r="T123" i="8"/>
  <c r="X123" i="8"/>
  <c r="V114" i="8"/>
  <c r="W116" i="8"/>
  <c r="Y116" i="8"/>
  <c r="Z114" i="8"/>
  <c r="U114" i="8"/>
  <c r="T114" i="8"/>
  <c r="S114" i="8"/>
  <c r="V112" i="8"/>
  <c r="Z112" i="8"/>
  <c r="W106" i="8"/>
  <c r="T102" i="8"/>
  <c r="S100" i="8"/>
  <c r="U100" i="8"/>
  <c r="S112" i="8"/>
  <c r="T112" i="8"/>
  <c r="U112" i="8"/>
  <c r="X105" i="8"/>
  <c r="T100" i="8"/>
  <c r="V101" i="8"/>
  <c r="Y105" i="8"/>
  <c r="W105" i="8"/>
  <c r="S104" i="8"/>
  <c r="V106" i="8"/>
  <c r="Z101" i="8"/>
  <c r="Y101" i="8"/>
  <c r="W101" i="8"/>
  <c r="X101" i="8"/>
  <c r="S102" i="8"/>
  <c r="T104" i="8"/>
  <c r="U102" i="8"/>
  <c r="U104" i="8"/>
  <c r="AB23" i="8"/>
  <c r="X11" i="10"/>
  <c r="Y11" i="10"/>
  <c r="D26" i="10"/>
  <c r="AB32" i="8"/>
  <c r="AB18" i="8"/>
  <c r="Y75" i="11"/>
  <c r="Y84" i="11" s="1"/>
  <c r="D8" i="11"/>
  <c r="D13" i="11" s="1"/>
  <c r="D14" i="11" s="1"/>
  <c r="P8" i="11"/>
  <c r="P13" i="11" s="1"/>
  <c r="P18" i="11" s="1"/>
  <c r="I8" i="11"/>
  <c r="I13" i="11" s="1"/>
  <c r="I14" i="11" s="1"/>
  <c r="D25" i="10"/>
  <c r="H25" i="10"/>
  <c r="M26" i="10"/>
  <c r="H26" i="10"/>
  <c r="O8" i="11"/>
  <c r="M8" i="11"/>
  <c r="H8" i="11"/>
  <c r="H13" i="11" s="1"/>
  <c r="H18" i="11" s="1"/>
  <c r="L8" i="11"/>
  <c r="M25" i="10"/>
  <c r="K8" i="11"/>
  <c r="K13" i="11" s="1"/>
  <c r="L25" i="10"/>
  <c r="U11" i="10"/>
  <c r="I25" i="10"/>
  <c r="Q8" i="11"/>
  <c r="Q13" i="11" s="1"/>
  <c r="Q14" i="11" s="1"/>
  <c r="O25" i="10"/>
  <c r="Q88" i="8"/>
  <c r="E25" i="10"/>
  <c r="V11" i="10"/>
  <c r="W11" i="10"/>
  <c r="J22" i="10"/>
  <c r="E26" i="10"/>
  <c r="L26" i="10"/>
  <c r="C26" i="10"/>
  <c r="Q23" i="10"/>
  <c r="Q25" i="10"/>
  <c r="Q26" i="10"/>
  <c r="P26" i="10"/>
  <c r="K25" i="10"/>
  <c r="K26" i="10"/>
  <c r="G26" i="10"/>
  <c r="G25" i="10"/>
  <c r="N22" i="10"/>
  <c r="C13" i="11"/>
  <c r="C14" i="11" s="1"/>
  <c r="Q30" i="8"/>
  <c r="Q27" i="8"/>
  <c r="G14" i="11"/>
  <c r="E14" i="11"/>
  <c r="E18" i="11"/>
  <c r="Z84" i="11"/>
  <c r="G22" i="11"/>
  <c r="G19" i="11"/>
  <c r="U21" i="11" l="1"/>
  <c r="S21" i="11"/>
  <c r="T21" i="11"/>
  <c r="V21" i="11"/>
  <c r="Y21" i="11"/>
  <c r="X21" i="11"/>
  <c r="W21" i="11"/>
  <c r="Z120" i="8"/>
  <c r="W120" i="8"/>
  <c r="X120" i="8"/>
  <c r="Y120" i="8"/>
  <c r="J117" i="8"/>
  <c r="W113" i="8"/>
  <c r="Z113" i="8"/>
  <c r="AB113" i="8" s="1"/>
  <c r="X113" i="8"/>
  <c r="Y113" i="8"/>
  <c r="V117" i="8"/>
  <c r="T25" i="11"/>
  <c r="AB100" i="8"/>
  <c r="Z25" i="11"/>
  <c r="Y25" i="11"/>
  <c r="W25" i="11"/>
  <c r="U25" i="11"/>
  <c r="V25" i="11"/>
  <c r="AB106" i="8"/>
  <c r="S122" i="8"/>
  <c r="AB102" i="8"/>
  <c r="V107" i="8"/>
  <c r="AB107" i="8" s="1"/>
  <c r="S107" i="8"/>
  <c r="AB122" i="8"/>
  <c r="U107" i="8"/>
  <c r="T122" i="8"/>
  <c r="H14" i="11"/>
  <c r="T116" i="8"/>
  <c r="T117" i="8" s="1"/>
  <c r="S116" i="8"/>
  <c r="S117" i="8" s="1"/>
  <c r="AB123" i="8"/>
  <c r="Q33" i="8"/>
  <c r="Q40" i="8" s="1"/>
  <c r="Q96" i="8"/>
  <c r="Q108" i="8" s="1"/>
  <c r="Q133" i="8" s="1"/>
  <c r="Z133" i="8" s="1"/>
  <c r="U122" i="8"/>
  <c r="U116" i="8"/>
  <c r="U117" i="8" s="1"/>
  <c r="AB114" i="8"/>
  <c r="X114" i="8"/>
  <c r="W114" i="8"/>
  <c r="Y114" i="8"/>
  <c r="Y112" i="8"/>
  <c r="Y117" i="8" s="1"/>
  <c r="W112" i="8"/>
  <c r="X112" i="8"/>
  <c r="U106" i="8"/>
  <c r="AB101" i="8"/>
  <c r="T106" i="8"/>
  <c r="S106" i="8"/>
  <c r="Z103" i="8"/>
  <c r="AB103" i="8" s="1"/>
  <c r="Y103" i="8"/>
  <c r="X103" i="8"/>
  <c r="E9" i="11"/>
  <c r="K9" i="11"/>
  <c r="AB6" i="11"/>
  <c r="D9" i="11"/>
  <c r="P14" i="11"/>
  <c r="L9" i="11"/>
  <c r="O9" i="11"/>
  <c r="H10" i="11"/>
  <c r="L10" i="11"/>
  <c r="I10" i="11"/>
  <c r="I18" i="11"/>
  <c r="I19" i="11" s="1"/>
  <c r="M9" i="11"/>
  <c r="P10" i="11"/>
  <c r="O13" i="11"/>
  <c r="O18" i="11" s="1"/>
  <c r="O19" i="11" s="1"/>
  <c r="Q10" i="11"/>
  <c r="P9" i="11"/>
  <c r="M13" i="11"/>
  <c r="M14" i="11" s="1"/>
  <c r="L13" i="11"/>
  <c r="L14" i="11" s="1"/>
  <c r="N8" i="11"/>
  <c r="N10" i="11" s="1"/>
  <c r="T22" i="10"/>
  <c r="T23" i="10" s="1"/>
  <c r="M10" i="11"/>
  <c r="S22" i="10"/>
  <c r="S23" i="10" s="1"/>
  <c r="Q9" i="11"/>
  <c r="W22" i="10"/>
  <c r="W23" i="10" s="1"/>
  <c r="Q18" i="11"/>
  <c r="Q19" i="11" s="1"/>
  <c r="V22" i="10"/>
  <c r="V23" i="10" s="1"/>
  <c r="J26" i="10"/>
  <c r="J8" i="11"/>
  <c r="K10" i="11" s="1"/>
  <c r="J25" i="10"/>
  <c r="N25" i="10"/>
  <c r="N26" i="10"/>
  <c r="U22" i="10"/>
  <c r="U23" i="10" s="1"/>
  <c r="Z22" i="10"/>
  <c r="Y22" i="10"/>
  <c r="Y23" i="10" s="1"/>
  <c r="X22" i="10"/>
  <c r="X23" i="10" s="1"/>
  <c r="C18" i="11"/>
  <c r="C22" i="11" s="1"/>
  <c r="C23" i="11" s="1"/>
  <c r="D18" i="11"/>
  <c r="D22" i="11" s="1"/>
  <c r="E22" i="11"/>
  <c r="E19" i="11"/>
  <c r="G26" i="11"/>
  <c r="G23" i="11"/>
  <c r="P22" i="11"/>
  <c r="P19" i="11"/>
  <c r="K18" i="11"/>
  <c r="K14" i="11"/>
  <c r="H22" i="11"/>
  <c r="H19" i="11"/>
  <c r="W117" i="8" l="1"/>
  <c r="X117" i="8"/>
  <c r="Z117" i="8"/>
  <c r="Q34" i="8"/>
  <c r="Q37" i="8"/>
  <c r="I22" i="11"/>
  <c r="I26" i="11" s="1"/>
  <c r="L18" i="11"/>
  <c r="L22" i="11" s="1"/>
  <c r="O22" i="11"/>
  <c r="O23" i="11" s="1"/>
  <c r="Y8" i="11"/>
  <c r="O14" i="11"/>
  <c r="O10" i="11"/>
  <c r="M18" i="11"/>
  <c r="M19" i="11" s="1"/>
  <c r="T26" i="10"/>
  <c r="T25" i="10"/>
  <c r="V26" i="10"/>
  <c r="V25" i="10"/>
  <c r="W25" i="10"/>
  <c r="W26" i="10"/>
  <c r="W8" i="11"/>
  <c r="S8" i="11"/>
  <c r="S26" i="10"/>
  <c r="S25" i="10"/>
  <c r="V8" i="11"/>
  <c r="Q22" i="11"/>
  <c r="Q23" i="11" s="1"/>
  <c r="U8" i="11"/>
  <c r="X8" i="11"/>
  <c r="T8" i="11"/>
  <c r="J10" i="11"/>
  <c r="AB7" i="11"/>
  <c r="Z8" i="11"/>
  <c r="Z13" i="11" s="1"/>
  <c r="Z14" i="11" s="1"/>
  <c r="N9" i="11"/>
  <c r="X25" i="10"/>
  <c r="Z25" i="10"/>
  <c r="X26" i="10"/>
  <c r="Y26" i="10"/>
  <c r="Z26" i="10"/>
  <c r="Y25" i="10"/>
  <c r="U25" i="10"/>
  <c r="U26" i="10"/>
  <c r="C19" i="11"/>
  <c r="C26" i="11"/>
  <c r="C79" i="11" s="1"/>
  <c r="D19" i="11"/>
  <c r="G27" i="11"/>
  <c r="G34" i="11"/>
  <c r="D23" i="11"/>
  <c r="D26" i="11"/>
  <c r="P23" i="11"/>
  <c r="P26" i="11"/>
  <c r="H26" i="11"/>
  <c r="H23" i="11"/>
  <c r="E23" i="11"/>
  <c r="E26" i="11"/>
  <c r="K22" i="11"/>
  <c r="K19" i="11"/>
  <c r="I23" i="11" l="1"/>
  <c r="O26" i="11"/>
  <c r="O27" i="11" s="1"/>
  <c r="L19" i="11"/>
  <c r="G40" i="11"/>
  <c r="Y9" i="11"/>
  <c r="M22" i="11"/>
  <c r="M23" i="11" s="1"/>
  <c r="W9" i="11"/>
  <c r="Q26" i="11"/>
  <c r="Q27" i="11" s="1"/>
  <c r="Z18" i="11"/>
  <c r="Z22" i="11" s="1"/>
  <c r="Z26" i="11" s="1"/>
  <c r="Z9" i="11"/>
  <c r="AB8" i="11"/>
  <c r="X9" i="11"/>
  <c r="C83" i="11" a="1"/>
  <c r="C83" i="11" s="1"/>
  <c r="C80" i="11"/>
  <c r="C82" i="11" a="1"/>
  <c r="C82" i="11" s="1"/>
  <c r="C27" i="11"/>
  <c r="C34" i="11"/>
  <c r="C81" i="11"/>
  <c r="P34" i="11"/>
  <c r="P40" i="11" s="1"/>
  <c r="P27" i="11"/>
  <c r="D83" i="11" a="1"/>
  <c r="D83" i="11" s="1"/>
  <c r="D34" i="11"/>
  <c r="D40" i="11" s="1"/>
  <c r="D79" i="11"/>
  <c r="D82" i="11" a="1"/>
  <c r="D82" i="11" s="1"/>
  <c r="D27" i="11"/>
  <c r="D81" i="11"/>
  <c r="D80" i="11"/>
  <c r="K23" i="11"/>
  <c r="K26" i="11"/>
  <c r="E34" i="11"/>
  <c r="E40" i="11" s="1"/>
  <c r="E27" i="11"/>
  <c r="E83" i="11" a="1"/>
  <c r="E83" i="11" s="1"/>
  <c r="E81" i="11"/>
  <c r="E82" i="11" a="1"/>
  <c r="E82" i="11" s="1"/>
  <c r="E80" i="11"/>
  <c r="E79" i="11"/>
  <c r="L23" i="11"/>
  <c r="L26" i="11"/>
  <c r="H27" i="11"/>
  <c r="H34" i="11"/>
  <c r="H40" i="11" s="1"/>
  <c r="I34" i="11"/>
  <c r="I40" i="11" s="1"/>
  <c r="I27" i="11"/>
  <c r="G41" i="11" l="1"/>
  <c r="O34" i="11"/>
  <c r="M26" i="11"/>
  <c r="M27" i="11" s="1"/>
  <c r="C41" i="11"/>
  <c r="Q34" i="11"/>
  <c r="Q40" i="11" s="1"/>
  <c r="AB9" i="11"/>
  <c r="Z23" i="11"/>
  <c r="Z19" i="11"/>
  <c r="K34" i="11"/>
  <c r="K27" i="11"/>
  <c r="H41" i="11"/>
  <c r="I41" i="11"/>
  <c r="L34" i="11"/>
  <c r="L40" i="11" s="1"/>
  <c r="L27" i="11"/>
  <c r="Z83" i="11" a="1"/>
  <c r="Z83" i="11" s="1"/>
  <c r="Z34" i="11"/>
  <c r="Z82" i="11" a="1"/>
  <c r="Z82" i="11" s="1"/>
  <c r="Z81" i="11"/>
  <c r="Z27" i="11"/>
  <c r="Z80" i="11"/>
  <c r="P41" i="11"/>
  <c r="E41" i="11"/>
  <c r="D41" i="11"/>
  <c r="M34" i="11" l="1"/>
  <c r="M40" i="11" s="1"/>
  <c r="Q41" i="11"/>
  <c r="L41" i="11"/>
  <c r="M41" i="11" l="1"/>
  <c r="B2" i="10" l="1"/>
  <c r="B15" i="10"/>
  <c r="B14" i="10"/>
  <c r="I11" i="10"/>
  <c r="I23" i="10" s="1"/>
  <c r="D11" i="10"/>
  <c r="D23" i="10" s="1"/>
  <c r="O11" i="10"/>
  <c r="O23" i="10" s="1"/>
  <c r="E11" i="10"/>
  <c r="E23" i="10" s="1"/>
  <c r="P11" i="10"/>
  <c r="P23" i="10" s="1"/>
  <c r="N11" i="10"/>
  <c r="N23" i="10" s="1"/>
  <c r="M11" i="10"/>
  <c r="M23" i="10" s="1"/>
  <c r="L11" i="10"/>
  <c r="L23" i="10" s="1"/>
  <c r="H11" i="10"/>
  <c r="H23" i="10" s="1"/>
  <c r="C11" i="10"/>
  <c r="C23" i="10" s="1"/>
  <c r="E128" i="8"/>
  <c r="D128" i="8"/>
  <c r="AB58" i="8" l="1"/>
  <c r="AB65" i="8"/>
  <c r="AB60" i="8"/>
  <c r="AB66" i="8"/>
  <c r="C14" i="10"/>
  <c r="C15" i="10"/>
  <c r="H14" i="10"/>
  <c r="H15" i="10"/>
  <c r="E15" i="10"/>
  <c r="E14" i="10"/>
  <c r="L15" i="10"/>
  <c r="U15" i="10" s="1"/>
  <c r="L14" i="10"/>
  <c r="U14" i="10" s="1"/>
  <c r="M15" i="10"/>
  <c r="V15" i="10" s="1"/>
  <c r="M14" i="10"/>
  <c r="V14" i="10" s="1"/>
  <c r="O14" i="10"/>
  <c r="X14" i="10" s="1"/>
  <c r="O15" i="10"/>
  <c r="X15" i="10" s="1"/>
  <c r="D14" i="10"/>
  <c r="D15" i="10"/>
  <c r="N14" i="10"/>
  <c r="W14" i="10" s="1"/>
  <c r="N15" i="10"/>
  <c r="W15" i="10" s="1"/>
  <c r="I15" i="10"/>
  <c r="I14" i="10"/>
  <c r="P14" i="10"/>
  <c r="Y14" i="10" s="1"/>
  <c r="P15" i="10"/>
  <c r="Y15" i="10" s="1"/>
  <c r="Z15" i="10"/>
  <c r="Z14" i="10"/>
  <c r="J11" i="10"/>
  <c r="J23" i="10" s="1"/>
  <c r="Z11" i="10"/>
  <c r="Z23" i="10" s="1"/>
  <c r="G11" i="10"/>
  <c r="G23" i="10" s="1"/>
  <c r="K11" i="10"/>
  <c r="K23" i="10" s="1"/>
  <c r="G15" i="10" l="1"/>
  <c r="G14" i="10"/>
  <c r="K15" i="10"/>
  <c r="T15" i="10" s="1"/>
  <c r="K14" i="10"/>
  <c r="T14" i="10" s="1"/>
  <c r="J15" i="10"/>
  <c r="S15" i="10" s="1"/>
  <c r="J14" i="10"/>
  <c r="S14" i="10" s="1"/>
  <c r="W52" i="8" l="1"/>
  <c r="S52" i="8"/>
  <c r="AB47" i="8"/>
  <c r="E124" i="8"/>
  <c r="O124" i="8"/>
  <c r="C124" i="8"/>
  <c r="W47" i="8"/>
  <c r="S47" i="8"/>
  <c r="Z29" i="8" l="1"/>
  <c r="Y29" i="8"/>
  <c r="X29" i="8"/>
  <c r="W29" i="8"/>
  <c r="Z24" i="8"/>
  <c r="Y24" i="8"/>
  <c r="X24" i="8"/>
  <c r="W24" i="8"/>
  <c r="U22" i="8"/>
  <c r="V22" i="8"/>
  <c r="T22" i="8"/>
  <c r="S22" i="8"/>
  <c r="U25" i="8"/>
  <c r="V25" i="8"/>
  <c r="T25" i="8"/>
  <c r="S25" i="8"/>
  <c r="V24" i="8"/>
  <c r="T24" i="8"/>
  <c r="U24" i="8"/>
  <c r="S24" i="8"/>
  <c r="Z22" i="8"/>
  <c r="Y22" i="8"/>
  <c r="X22" i="8"/>
  <c r="W22" i="8"/>
  <c r="Z25" i="8"/>
  <c r="Y25" i="8"/>
  <c r="X25" i="8"/>
  <c r="W25" i="8"/>
  <c r="U29" i="8"/>
  <c r="V29" i="8"/>
  <c r="T29" i="8"/>
  <c r="S29" i="8"/>
  <c r="U124" i="8"/>
  <c r="T124" i="8"/>
  <c r="S124" i="8"/>
  <c r="S49" i="11"/>
  <c r="AB52" i="8"/>
  <c r="AB67" i="8"/>
  <c r="AB81" i="8"/>
  <c r="AB72" i="8"/>
  <c r="AB77" i="8"/>
  <c r="P124" i="8"/>
  <c r="I124" i="8"/>
  <c r="D124" i="8"/>
  <c r="G124" i="8"/>
  <c r="H124" i="8"/>
  <c r="K124" i="8"/>
  <c r="L124" i="8"/>
  <c r="M124" i="8"/>
  <c r="AB25" i="8" l="1"/>
  <c r="AB24" i="8"/>
  <c r="V99" i="8"/>
  <c r="U99" i="8"/>
  <c r="T99" i="8"/>
  <c r="S99" i="8"/>
  <c r="U49" i="11"/>
  <c r="O40" i="11"/>
  <c r="K40" i="11"/>
  <c r="AB31" i="11"/>
  <c r="AB29" i="11"/>
  <c r="AB30" i="11"/>
  <c r="AB29" i="8"/>
  <c r="N49" i="11"/>
  <c r="J49" i="11"/>
  <c r="AB22" i="8"/>
  <c r="N124" i="8"/>
  <c r="J124" i="8"/>
  <c r="AB25" i="11" l="1"/>
  <c r="O41" i="11"/>
  <c r="K41" i="11"/>
  <c r="V49" i="11"/>
  <c r="V124" i="8"/>
  <c r="X124" i="8"/>
  <c r="Z124" i="8"/>
  <c r="Y124" i="8"/>
  <c r="W124" i="8"/>
  <c r="P82" i="8" l="1"/>
  <c r="P85" i="8" s="1"/>
  <c r="O82" i="8"/>
  <c r="O85" i="8" s="1"/>
  <c r="M82" i="8"/>
  <c r="M85" i="8" s="1"/>
  <c r="L82" i="8"/>
  <c r="L85" i="8" s="1"/>
  <c r="K82" i="8"/>
  <c r="K85" i="8" s="1"/>
  <c r="I82" i="8"/>
  <c r="I85" i="8" s="1"/>
  <c r="H82" i="8"/>
  <c r="H85" i="8" s="1"/>
  <c r="G82" i="8"/>
  <c r="G85" i="8" s="1"/>
  <c r="E82" i="8"/>
  <c r="E85" i="8" s="1"/>
  <c r="D82" i="8"/>
  <c r="D85" i="8" s="1"/>
  <c r="C82" i="8"/>
  <c r="C85" i="8" s="1"/>
  <c r="N39" i="8"/>
  <c r="W39" i="8" s="1"/>
  <c r="N36" i="8"/>
  <c r="W36" i="8" s="1"/>
  <c r="G75" i="11" l="1"/>
  <c r="C75" i="11"/>
  <c r="C84" i="11" s="1"/>
  <c r="I75" i="11"/>
  <c r="H75" i="11"/>
  <c r="D75" i="11"/>
  <c r="D84" i="11" s="1"/>
  <c r="E75" i="11"/>
  <c r="E84" i="11" s="1"/>
  <c r="U17" i="8"/>
  <c r="V17" i="8"/>
  <c r="T17" i="8"/>
  <c r="S17" i="8"/>
  <c r="T10" i="8"/>
  <c r="V10" i="8"/>
  <c r="U10" i="8"/>
  <c r="S10" i="8"/>
  <c r="V13" i="8"/>
  <c r="U13" i="8"/>
  <c r="T13" i="8"/>
  <c r="S13" i="8"/>
  <c r="Y10" i="8"/>
  <c r="X10" i="8"/>
  <c r="W10" i="8"/>
  <c r="Z10" i="8"/>
  <c r="Z13" i="8"/>
  <c r="Y13" i="8"/>
  <c r="X13" i="8"/>
  <c r="W13" i="8"/>
  <c r="Z17" i="8"/>
  <c r="Y17" i="8"/>
  <c r="X17" i="8"/>
  <c r="W17" i="8"/>
  <c r="Y13" i="11"/>
  <c r="Y18" i="11" s="1"/>
  <c r="T75" i="11"/>
  <c r="T84" i="11" s="1"/>
  <c r="L75" i="11"/>
  <c r="L84" i="11" s="1"/>
  <c r="M75" i="11"/>
  <c r="M84" i="11" s="1"/>
  <c r="U75" i="11"/>
  <c r="U84" i="11" s="1"/>
  <c r="X75" i="11"/>
  <c r="X84" i="11" s="1"/>
  <c r="P75" i="11"/>
  <c r="P84" i="11" s="1"/>
  <c r="W75" i="11"/>
  <c r="W84" i="11" s="1"/>
  <c r="O75" i="11"/>
  <c r="O84" i="11" s="1"/>
  <c r="K75" i="11"/>
  <c r="K84" i="11" s="1"/>
  <c r="AB36" i="8"/>
  <c r="AB39" i="8"/>
  <c r="S82" i="8"/>
  <c r="S85" i="8" s="1"/>
  <c r="U82" i="8"/>
  <c r="U85" i="8" s="1"/>
  <c r="V82" i="8"/>
  <c r="V85" i="8" s="1"/>
  <c r="W82" i="8"/>
  <c r="W85" i="8" s="1"/>
  <c r="Y82" i="8"/>
  <c r="Y85" i="8" s="1"/>
  <c r="J82" i="8"/>
  <c r="J85" i="8" s="1"/>
  <c r="T82" i="8"/>
  <c r="T85" i="8" s="1"/>
  <c r="X82" i="8"/>
  <c r="X85" i="8" s="1"/>
  <c r="N82" i="8"/>
  <c r="N85" i="8" s="1"/>
  <c r="Z82" i="8"/>
  <c r="Z85" i="8" s="1"/>
  <c r="S75" i="11" l="1"/>
  <c r="S84" i="11" s="1"/>
  <c r="AB85" i="8"/>
  <c r="N13" i="11"/>
  <c r="N18" i="11" s="1"/>
  <c r="U13" i="11"/>
  <c r="U14" i="11" s="1"/>
  <c r="X13" i="11"/>
  <c r="V13" i="11"/>
  <c r="W13" i="11"/>
  <c r="W14" i="11" s="1"/>
  <c r="AB16" i="11"/>
  <c r="S13" i="11"/>
  <c r="S14" i="11" s="1"/>
  <c r="T13" i="11"/>
  <c r="T14" i="11" s="1"/>
  <c r="J13" i="11"/>
  <c r="J18" i="11" s="1"/>
  <c r="Y14" i="11"/>
  <c r="J75" i="11"/>
  <c r="J84" i="11" s="1"/>
  <c r="V75" i="11"/>
  <c r="V84" i="11" s="1"/>
  <c r="N75" i="11"/>
  <c r="N84" i="11" s="1"/>
  <c r="X18" i="11" l="1"/>
  <c r="X19" i="11" s="1"/>
  <c r="Z99" i="8"/>
  <c r="AB99" i="8" s="1"/>
  <c r="Y99" i="8"/>
  <c r="X99" i="8"/>
  <c r="W99" i="8"/>
  <c r="N14" i="11"/>
  <c r="W18" i="11"/>
  <c r="W19" i="11" s="1"/>
  <c r="X14" i="11"/>
  <c r="S18" i="11"/>
  <c r="S19" i="11" s="1"/>
  <c r="AB12" i="11"/>
  <c r="T18" i="11"/>
  <c r="T19" i="11" s="1"/>
  <c r="J14" i="11"/>
  <c r="U18" i="11"/>
  <c r="U19" i="11" s="1"/>
  <c r="V18" i="11"/>
  <c r="Y22" i="11"/>
  <c r="N19" i="11"/>
  <c r="J19" i="11"/>
  <c r="J22" i="11"/>
  <c r="AB13" i="11"/>
  <c r="V14" i="11"/>
  <c r="AB14" i="11" s="1"/>
  <c r="Y19" i="11"/>
  <c r="AB112" i="8"/>
  <c r="AB33" i="11" l="1"/>
  <c r="W22" i="11"/>
  <c r="X22" i="11"/>
  <c r="X26" i="11" s="1"/>
  <c r="U22" i="11"/>
  <c r="U23" i="11" s="1"/>
  <c r="V22" i="11"/>
  <c r="T22" i="11"/>
  <c r="N22" i="11"/>
  <c r="N23" i="11" s="1"/>
  <c r="S22" i="11"/>
  <c r="S23" i="11" s="1"/>
  <c r="Y23" i="11"/>
  <c r="Y26" i="11"/>
  <c r="J23" i="11"/>
  <c r="J26" i="11"/>
  <c r="V19" i="11"/>
  <c r="AB19" i="11" s="1"/>
  <c r="AB18" i="11"/>
  <c r="AB21" i="11" l="1"/>
  <c r="M79" i="11"/>
  <c r="M82" i="11" a="1"/>
  <c r="M82" i="11" s="1"/>
  <c r="M83" i="11" a="1"/>
  <c r="M83" i="11" s="1"/>
  <c r="M81" i="11" a="1"/>
  <c r="M81" i="11" s="1"/>
  <c r="M80" i="11"/>
  <c r="J83" i="11" a="1"/>
  <c r="J83" i="11" s="1"/>
  <c r="J81" i="11" a="1"/>
  <c r="J81" i="11" s="1"/>
  <c r="L83" i="11" a="1"/>
  <c r="L83" i="11" s="1"/>
  <c r="J80" i="11"/>
  <c r="L80" i="11"/>
  <c r="L79" i="11"/>
  <c r="K81" i="11" a="1"/>
  <c r="K81" i="11" s="1"/>
  <c r="K79" i="11"/>
  <c r="L81" i="11" a="1"/>
  <c r="L81" i="11" s="1"/>
  <c r="K80" i="11"/>
  <c r="K82" i="11" a="1"/>
  <c r="K82" i="11" s="1"/>
  <c r="L82" i="11" a="1"/>
  <c r="L82" i="11" s="1"/>
  <c r="K83" i="11" a="1"/>
  <c r="K83" i="11" s="1"/>
  <c r="J82" i="11" a="1"/>
  <c r="J82" i="11" s="1"/>
  <c r="J79" i="11"/>
  <c r="W26" i="11"/>
  <c r="W27" i="11" s="1"/>
  <c r="W23" i="11"/>
  <c r="X23" i="11"/>
  <c r="T26" i="11"/>
  <c r="T80" i="11" s="1"/>
  <c r="T23" i="11"/>
  <c r="N26" i="11"/>
  <c r="S26" i="11"/>
  <c r="S34" i="11" s="1"/>
  <c r="U26" i="11"/>
  <c r="U79" i="11" s="1"/>
  <c r="Y27" i="11"/>
  <c r="Y81" i="11"/>
  <c r="Y82" i="11" a="1"/>
  <c r="Y82" i="11" s="1"/>
  <c r="Y34" i="11"/>
  <c r="Y83" i="11" a="1"/>
  <c r="Y83" i="11" s="1"/>
  <c r="Y80" i="11"/>
  <c r="Y79" i="11"/>
  <c r="V26" i="11"/>
  <c r="V23" i="11"/>
  <c r="AB23" i="11" s="1"/>
  <c r="AB22" i="11"/>
  <c r="J27" i="11"/>
  <c r="J34" i="11"/>
  <c r="J40" i="11" s="1"/>
  <c r="X83" i="11" a="1"/>
  <c r="X83" i="11" s="1"/>
  <c r="X34" i="11"/>
  <c r="X81" i="11"/>
  <c r="X82" i="11" a="1"/>
  <c r="X82" i="11" s="1"/>
  <c r="X27" i="11"/>
  <c r="X79" i="11"/>
  <c r="X80" i="11"/>
  <c r="O69" i="8"/>
  <c r="M69" i="8"/>
  <c r="N11" i="8"/>
  <c r="N12" i="10" s="1"/>
  <c r="J11" i="8"/>
  <c r="J12" i="10" s="1"/>
  <c r="J39" i="8"/>
  <c r="S39" i="8" s="1"/>
  <c r="J36" i="8"/>
  <c r="S36" i="8" s="1"/>
  <c r="L53" i="8"/>
  <c r="L62" i="8" s="1"/>
  <c r="K53" i="8"/>
  <c r="K62" i="8" s="1"/>
  <c r="G53" i="8"/>
  <c r="G62" i="8" s="1"/>
  <c r="P93" i="8"/>
  <c r="O93" i="8"/>
  <c r="N93" i="8"/>
  <c r="M93" i="8"/>
  <c r="L93" i="8"/>
  <c r="K93" i="8"/>
  <c r="J93" i="8"/>
  <c r="I93" i="8"/>
  <c r="H93" i="8"/>
  <c r="G93" i="8"/>
  <c r="P92" i="8"/>
  <c r="O92" i="8"/>
  <c r="N92" i="8"/>
  <c r="M92" i="8"/>
  <c r="L92" i="8"/>
  <c r="K92" i="8"/>
  <c r="J92" i="8"/>
  <c r="I92" i="8"/>
  <c r="H92" i="8"/>
  <c r="G92" i="8"/>
  <c r="H53" i="8"/>
  <c r="H62" i="8" s="1"/>
  <c r="I53" i="8"/>
  <c r="I62" i="8" s="1"/>
  <c r="M53" i="8"/>
  <c r="M62" i="8" s="1"/>
  <c r="O53" i="8"/>
  <c r="O62" i="8" s="1"/>
  <c r="P53" i="8"/>
  <c r="P62" i="8" s="1"/>
  <c r="P44" i="8"/>
  <c r="O44" i="8"/>
  <c r="N44" i="8"/>
  <c r="M44" i="8"/>
  <c r="L44" i="8"/>
  <c r="K44" i="8"/>
  <c r="J44" i="8"/>
  <c r="I44" i="8"/>
  <c r="H44" i="8"/>
  <c r="G44" i="8"/>
  <c r="P43" i="8"/>
  <c r="O43" i="8"/>
  <c r="N43" i="8"/>
  <c r="M43" i="8"/>
  <c r="L43" i="8"/>
  <c r="K43" i="8"/>
  <c r="J43" i="8"/>
  <c r="I43" i="8"/>
  <c r="H43" i="8"/>
  <c r="G43" i="8"/>
  <c r="E44" i="8"/>
  <c r="D44" i="8"/>
  <c r="C44" i="8"/>
  <c r="E43" i="8"/>
  <c r="D43" i="8"/>
  <c r="C43" i="8"/>
  <c r="P11" i="8"/>
  <c r="O11" i="8"/>
  <c r="M11" i="8"/>
  <c r="L11" i="8"/>
  <c r="K11" i="8"/>
  <c r="I11" i="8"/>
  <c r="I12" i="10" s="1"/>
  <c r="H11" i="8"/>
  <c r="H12" i="10" s="1"/>
  <c r="G11" i="8"/>
  <c r="G12" i="10" s="1"/>
  <c r="S40" i="11" l="1"/>
  <c r="U40" i="11"/>
  <c r="T40" i="11"/>
  <c r="V40" i="11"/>
  <c r="W82" i="11" a="1"/>
  <c r="W82" i="11" s="1"/>
  <c r="W83" i="11" a="1"/>
  <c r="W83" i="11" s="1"/>
  <c r="W80" i="11"/>
  <c r="W79" i="11"/>
  <c r="W81" i="11"/>
  <c r="W34" i="11"/>
  <c r="Q81" i="11" a="1"/>
  <c r="Q81" i="11" s="1"/>
  <c r="Q83" i="11" a="1"/>
  <c r="Q83" i="11" s="1"/>
  <c r="Q80" i="11"/>
  <c r="Q79" i="11"/>
  <c r="Q82" i="11" a="1"/>
  <c r="Q82" i="11" s="1"/>
  <c r="P80" i="11"/>
  <c r="O82" i="11" a="1"/>
  <c r="O82" i="11" s="1"/>
  <c r="P82" i="11" a="1"/>
  <c r="P82" i="11" s="1"/>
  <c r="O81" i="11" a="1"/>
  <c r="O81" i="11" s="1"/>
  <c r="N83" i="11" a="1"/>
  <c r="N83" i="11" s="1"/>
  <c r="P83" i="11" a="1"/>
  <c r="P83" i="11" s="1"/>
  <c r="N80" i="11"/>
  <c r="P79" i="11"/>
  <c r="O83" i="11" a="1"/>
  <c r="O83" i="11" s="1"/>
  <c r="O79" i="11"/>
  <c r="P81" i="11" a="1"/>
  <c r="P81" i="11" s="1"/>
  <c r="N82" i="11" a="1"/>
  <c r="N82" i="11" s="1"/>
  <c r="O80" i="11"/>
  <c r="N79" i="11"/>
  <c r="N81" i="11" a="1"/>
  <c r="N81" i="11" s="1"/>
  <c r="T34" i="11"/>
  <c r="T82" i="11" a="1"/>
  <c r="T82" i="11" s="1"/>
  <c r="T81" i="11"/>
  <c r="N34" i="11"/>
  <c r="N40" i="11" s="1"/>
  <c r="N27" i="11"/>
  <c r="T83" i="11" a="1"/>
  <c r="T83" i="11" s="1"/>
  <c r="T79" i="11"/>
  <c r="T27" i="11"/>
  <c r="S83" i="11" a="1"/>
  <c r="S83" i="11" s="1"/>
  <c r="U80" i="11"/>
  <c r="U34" i="11"/>
  <c r="U27" i="11"/>
  <c r="U81" i="11"/>
  <c r="U82" i="11" a="1"/>
  <c r="U82" i="11" s="1"/>
  <c r="U83" i="11" a="1"/>
  <c r="U83" i="11" s="1"/>
  <c r="S82" i="11" a="1"/>
  <c r="S82" i="11" s="1"/>
  <c r="S79" i="11"/>
  <c r="S81" i="11"/>
  <c r="S80" i="11"/>
  <c r="S27" i="11"/>
  <c r="O14" i="8"/>
  <c r="O19" i="8" s="1"/>
  <c r="O26" i="8" s="1"/>
  <c r="O12" i="10"/>
  <c r="P14" i="8"/>
  <c r="P15" i="8" s="1"/>
  <c r="P12" i="10"/>
  <c r="K14" i="8"/>
  <c r="K19" i="8" s="1"/>
  <c r="K12" i="10"/>
  <c r="M14" i="8"/>
  <c r="M19" i="8" s="1"/>
  <c r="M12" i="10"/>
  <c r="L14" i="8"/>
  <c r="L15" i="8" s="1"/>
  <c r="L12" i="10"/>
  <c r="V83" i="11" a="1"/>
  <c r="V83" i="11" s="1"/>
  <c r="V82" i="11" a="1"/>
  <c r="V82" i="11" s="1"/>
  <c r="V27" i="11"/>
  <c r="AB27" i="11" s="1"/>
  <c r="V34" i="11"/>
  <c r="AB34" i="11" s="1"/>
  <c r="AB26" i="11"/>
  <c r="V79" i="11"/>
  <c r="V81" i="11"/>
  <c r="V80" i="11"/>
  <c r="M75" i="8"/>
  <c r="M86" i="8" s="1"/>
  <c r="G14" i="8"/>
  <c r="G19" i="8" s="1"/>
  <c r="H14" i="8"/>
  <c r="H15" i="8" s="1"/>
  <c r="I14" i="8"/>
  <c r="I15" i="8" s="1"/>
  <c r="K69" i="8"/>
  <c r="P69" i="8"/>
  <c r="H69" i="8"/>
  <c r="G69" i="8"/>
  <c r="L69" i="8"/>
  <c r="E69" i="8"/>
  <c r="I69" i="8"/>
  <c r="N14" i="8"/>
  <c r="N15" i="8" s="1"/>
  <c r="J14" i="8"/>
  <c r="J15" i="8" s="1"/>
  <c r="N69" i="8"/>
  <c r="N53" i="8"/>
  <c r="N62" i="8" s="1"/>
  <c r="J53" i="8"/>
  <c r="J62" i="8" s="1"/>
  <c r="J69" i="8"/>
  <c r="Z40" i="11" l="1"/>
  <c r="Z41" i="11" s="1"/>
  <c r="Y40" i="11"/>
  <c r="Y41" i="11" s="1"/>
  <c r="X40" i="11"/>
  <c r="X41" i="11" s="1"/>
  <c r="W40" i="11"/>
  <c r="W41" i="11" s="1"/>
  <c r="T41" i="11"/>
  <c r="S41" i="11"/>
  <c r="V41" i="11"/>
  <c r="U41" i="11"/>
  <c r="P19" i="8"/>
  <c r="P26" i="8" s="1"/>
  <c r="P27" i="8" s="1"/>
  <c r="O15" i="8"/>
  <c r="O20" i="8"/>
  <c r="L19" i="8"/>
  <c r="L26" i="8" s="1"/>
  <c r="L27" i="8" s="1"/>
  <c r="K15" i="8"/>
  <c r="J41" i="11"/>
  <c r="N41" i="11"/>
  <c r="M15" i="8"/>
  <c r="O27" i="8"/>
  <c r="O30" i="8"/>
  <c r="O96" i="8" s="1"/>
  <c r="M26" i="8"/>
  <c r="G26" i="8"/>
  <c r="K26" i="8"/>
  <c r="H19" i="8"/>
  <c r="M88" i="8"/>
  <c r="G20" i="8"/>
  <c r="G15" i="8"/>
  <c r="I19" i="8"/>
  <c r="N75" i="8"/>
  <c r="N86" i="8" s="1"/>
  <c r="K75" i="8"/>
  <c r="K86" i="8" s="1"/>
  <c r="I75" i="8"/>
  <c r="I86" i="8" s="1"/>
  <c r="E75" i="8"/>
  <c r="E86" i="8" s="1"/>
  <c r="H75" i="8"/>
  <c r="H86" i="8" s="1"/>
  <c r="J75" i="8"/>
  <c r="J86" i="8" s="1"/>
  <c r="P75" i="8"/>
  <c r="P86" i="8" s="1"/>
  <c r="G75" i="8"/>
  <c r="G86" i="8" s="1"/>
  <c r="L75" i="8"/>
  <c r="L86" i="8" s="1"/>
  <c r="O75" i="8"/>
  <c r="O86" i="8" s="1"/>
  <c r="N19" i="8"/>
  <c r="N26" i="8" s="1"/>
  <c r="J19" i="8"/>
  <c r="J26" i="8" s="1"/>
  <c r="M20" i="8"/>
  <c r="K20" i="8"/>
  <c r="O108" i="8" l="1"/>
  <c r="O33" i="8"/>
  <c r="L30" i="8"/>
  <c r="L96" i="8" s="1"/>
  <c r="P30" i="8"/>
  <c r="P96" i="8" s="1"/>
  <c r="P20" i="8"/>
  <c r="L20" i="8"/>
  <c r="N27" i="8"/>
  <c r="N30" i="8"/>
  <c r="N96" i="8" s="1"/>
  <c r="M27" i="8"/>
  <c r="M30" i="8"/>
  <c r="M96" i="8" s="1"/>
  <c r="K27" i="8"/>
  <c r="K30" i="8"/>
  <c r="K96" i="8" s="1"/>
  <c r="J27" i="8"/>
  <c r="J30" i="8"/>
  <c r="J96" i="8" s="1"/>
  <c r="G27" i="8"/>
  <c r="G30" i="8"/>
  <c r="G96" i="8" s="1"/>
  <c r="I26" i="8"/>
  <c r="H26" i="8"/>
  <c r="K88" i="8"/>
  <c r="H20" i="8"/>
  <c r="I20" i="8"/>
  <c r="J88" i="8"/>
  <c r="N88" i="8"/>
  <c r="I88" i="8"/>
  <c r="H88" i="8"/>
  <c r="P88" i="8"/>
  <c r="O88" i="8"/>
  <c r="L88" i="8"/>
  <c r="G88" i="8"/>
  <c r="J20" i="8"/>
  <c r="N20" i="8"/>
  <c r="O34" i="8" l="1"/>
  <c r="O37" i="8"/>
  <c r="O40" i="8"/>
  <c r="N33" i="8"/>
  <c r="P108" i="8"/>
  <c r="P133" i="8" s="1"/>
  <c r="Y133" i="8" s="1"/>
  <c r="P33" i="8"/>
  <c r="G33" i="8"/>
  <c r="J33" i="8"/>
  <c r="L33" i="8"/>
  <c r="K33" i="8"/>
  <c r="M33" i="8"/>
  <c r="H27" i="8"/>
  <c r="H30" i="8"/>
  <c r="H96" i="8" s="1"/>
  <c r="I27" i="8"/>
  <c r="I30" i="8"/>
  <c r="I96" i="8" s="1"/>
  <c r="O133" i="8"/>
  <c r="X133" i="8" s="1"/>
  <c r="M108" i="8" l="1"/>
  <c r="M133" i="8" s="1"/>
  <c r="V133" i="8" s="1"/>
  <c r="Y96" i="8"/>
  <c r="L108" i="8"/>
  <c r="L133" i="8" s="1"/>
  <c r="U133" i="8" s="1"/>
  <c r="X96" i="8"/>
  <c r="N108" i="8"/>
  <c r="Z96" i="8"/>
  <c r="J108" i="8"/>
  <c r="V96" i="8"/>
  <c r="G108" i="8"/>
  <c r="G133" i="8" s="1"/>
  <c r="K108" i="8"/>
  <c r="K133" i="8" s="1"/>
  <c r="T133" i="8" s="1"/>
  <c r="W96" i="8"/>
  <c r="K34" i="8"/>
  <c r="K40" i="8"/>
  <c r="K37" i="8"/>
  <c r="P34" i="8"/>
  <c r="P37" i="8"/>
  <c r="P40" i="8"/>
  <c r="L34" i="8"/>
  <c r="L40" i="8"/>
  <c r="L37" i="8"/>
  <c r="N34" i="8"/>
  <c r="N40" i="8"/>
  <c r="N37" i="8"/>
  <c r="J34" i="8"/>
  <c r="J40" i="8"/>
  <c r="J37" i="8"/>
  <c r="M34" i="8"/>
  <c r="M40" i="8"/>
  <c r="M37" i="8"/>
  <c r="G34" i="8"/>
  <c r="G37" i="8"/>
  <c r="G40" i="8"/>
  <c r="I33" i="8"/>
  <c r="H33" i="8"/>
  <c r="H108" i="8" l="1"/>
  <c r="H133" i="8" s="1"/>
  <c r="T96" i="8"/>
  <c r="I108" i="8"/>
  <c r="I133" i="8" s="1"/>
  <c r="U96" i="8"/>
  <c r="S96" i="8"/>
  <c r="I34" i="8"/>
  <c r="I40" i="8"/>
  <c r="I37" i="8"/>
  <c r="H34" i="8"/>
  <c r="H37" i="8"/>
  <c r="H40" i="8"/>
  <c r="B93" i="8" l="1"/>
  <c r="B92" i="8"/>
  <c r="E93" i="8"/>
  <c r="D93" i="8"/>
  <c r="C93" i="8"/>
  <c r="E92" i="8"/>
  <c r="D92" i="8"/>
  <c r="C92" i="8"/>
  <c r="B44" i="8"/>
  <c r="B43" i="8"/>
  <c r="Z44" i="8"/>
  <c r="Y44" i="8"/>
  <c r="X44" i="8"/>
  <c r="V44" i="8"/>
  <c r="U44" i="8"/>
  <c r="T44" i="8"/>
  <c r="W44" i="8"/>
  <c r="S44" i="8"/>
  <c r="Z43" i="8"/>
  <c r="Y43" i="8"/>
  <c r="X43" i="8"/>
  <c r="W43" i="8"/>
  <c r="V43" i="8"/>
  <c r="U43" i="8"/>
  <c r="T43" i="8"/>
  <c r="S43" i="8"/>
  <c r="S92" i="8" l="1"/>
  <c r="T92" i="8"/>
  <c r="T93" i="8"/>
  <c r="W92" i="8"/>
  <c r="X92" i="8"/>
  <c r="S93" i="8"/>
  <c r="X93" i="8"/>
  <c r="Y93" i="8"/>
  <c r="V92" i="8"/>
  <c r="Y92" i="8"/>
  <c r="V93" i="8"/>
  <c r="U93" i="8"/>
  <c r="Z92" i="8"/>
  <c r="W93" i="8"/>
  <c r="U92" i="8"/>
  <c r="Z93" i="8"/>
  <c r="U11" i="8" l="1"/>
  <c r="U12" i="10" s="1"/>
  <c r="D53" i="8"/>
  <c r="D62" i="8" s="1"/>
  <c r="C53" i="8"/>
  <c r="C62" i="8" s="1"/>
  <c r="E53" i="8"/>
  <c r="E62" i="8" s="1"/>
  <c r="V11" i="8" l="1"/>
  <c r="V12" i="10" s="1"/>
  <c r="U14" i="8"/>
  <c r="U19" i="8" s="1"/>
  <c r="V53" i="8"/>
  <c r="V62" i="8" s="1"/>
  <c r="T53" i="8"/>
  <c r="T62" i="8" s="1"/>
  <c r="V69" i="8"/>
  <c r="V75" i="8" s="1"/>
  <c r="V86" i="8" s="1"/>
  <c r="U69" i="8"/>
  <c r="U75" i="8" s="1"/>
  <c r="U86" i="8" s="1"/>
  <c r="S11" i="8"/>
  <c r="S12" i="10" s="1"/>
  <c r="U53" i="8"/>
  <c r="U62" i="8" s="1"/>
  <c r="T11" i="8"/>
  <c r="T12" i="10" s="1"/>
  <c r="T69" i="8"/>
  <c r="T75" i="8" s="1"/>
  <c r="T86" i="8" s="1"/>
  <c r="X53" i="8"/>
  <c r="X62" i="8" s="1"/>
  <c r="X11" i="8"/>
  <c r="X12" i="10" s="1"/>
  <c r="X69" i="8"/>
  <c r="X75" i="8" s="1"/>
  <c r="X86" i="8" s="1"/>
  <c r="Y69" i="8"/>
  <c r="Y75" i="8" s="1"/>
  <c r="Y86" i="8" s="1"/>
  <c r="W11" i="8"/>
  <c r="W12" i="10" s="1"/>
  <c r="Y11" i="8"/>
  <c r="Y12" i="10" s="1"/>
  <c r="Y53" i="8"/>
  <c r="Y62" i="8" s="1"/>
  <c r="U26" i="8" l="1"/>
  <c r="U20" i="8"/>
  <c r="T14" i="8"/>
  <c r="T19" i="8" s="1"/>
  <c r="X14" i="8"/>
  <c r="X19" i="8" s="1"/>
  <c r="AB10" i="8"/>
  <c r="V88" i="8"/>
  <c r="T88" i="8"/>
  <c r="AB17" i="8"/>
  <c r="U88" i="8"/>
  <c r="V14" i="8"/>
  <c r="V19" i="8" s="1"/>
  <c r="S14" i="8"/>
  <c r="S19" i="8" s="1"/>
  <c r="U15" i="8"/>
  <c r="AB13" i="8"/>
  <c r="X88" i="8"/>
  <c r="Y14" i="8"/>
  <c r="Y19" i="8" s="1"/>
  <c r="W14" i="8"/>
  <c r="W19" i="8" s="1"/>
  <c r="Y88" i="8"/>
  <c r="U27" i="8" l="1"/>
  <c r="U30" i="8"/>
  <c r="S26" i="8"/>
  <c r="X26" i="8"/>
  <c r="W26" i="8"/>
  <c r="T26" i="8"/>
  <c r="V26" i="8"/>
  <c r="Y26" i="8"/>
  <c r="T20" i="8"/>
  <c r="S20" i="8"/>
  <c r="V20" i="8"/>
  <c r="X20" i="8"/>
  <c r="W20" i="8"/>
  <c r="Y20" i="8"/>
  <c r="X15" i="8"/>
  <c r="W15" i="8"/>
  <c r="T15" i="8"/>
  <c r="Y15" i="8"/>
  <c r="V15" i="8"/>
  <c r="S15" i="8"/>
  <c r="U33" i="8" l="1"/>
  <c r="X27" i="8"/>
  <c r="X30" i="8"/>
  <c r="Y27" i="8"/>
  <c r="Y30" i="8"/>
  <c r="T27" i="8"/>
  <c r="T30" i="8"/>
  <c r="T33" i="8" s="1"/>
  <c r="S27" i="8"/>
  <c r="S30" i="8"/>
  <c r="V27" i="8"/>
  <c r="V30" i="8"/>
  <c r="W27" i="8"/>
  <c r="W30" i="8"/>
  <c r="U34" i="8" l="1"/>
  <c r="U37" i="8"/>
  <c r="U40" i="8"/>
  <c r="T34" i="8"/>
  <c r="T37" i="8"/>
  <c r="T40" i="8"/>
  <c r="Y33" i="8"/>
  <c r="X33" i="8"/>
  <c r="W33" i="8"/>
  <c r="V33" i="8"/>
  <c r="S33" i="8"/>
  <c r="S34" i="8" l="1"/>
  <c r="S40" i="8"/>
  <c r="S37" i="8"/>
  <c r="Y34" i="8"/>
  <c r="Y40" i="8"/>
  <c r="Y37" i="8"/>
  <c r="W34" i="8"/>
  <c r="W40" i="8"/>
  <c r="W37" i="8"/>
  <c r="V34" i="8"/>
  <c r="V40" i="8"/>
  <c r="V37" i="8"/>
  <c r="X34" i="8"/>
  <c r="X40" i="8"/>
  <c r="X37" i="8"/>
  <c r="S69" i="8"/>
  <c r="W69" i="8"/>
  <c r="W75" i="8" s="1"/>
  <c r="W86" i="8" s="1"/>
  <c r="S75" i="8" l="1"/>
  <c r="S86" i="8" s="1"/>
  <c r="E11" i="8" l="1"/>
  <c r="E12" i="10" s="1"/>
  <c r="D11" i="8"/>
  <c r="D12" i="10" s="1"/>
  <c r="C11" i="8"/>
  <c r="C12" i="10" s="1"/>
  <c r="D69" i="8"/>
  <c r="C69" i="8"/>
  <c r="Z11" i="8"/>
  <c r="Z12" i="10" s="1"/>
  <c r="D75" i="8" l="1"/>
  <c r="D86" i="8" s="1"/>
  <c r="C75" i="8"/>
  <c r="C86" i="8" s="1"/>
  <c r="AB11" i="8"/>
  <c r="D14" i="8"/>
  <c r="D19" i="8" s="1"/>
  <c r="C14" i="8"/>
  <c r="C19" i="8" s="1"/>
  <c r="E14" i="8"/>
  <c r="E19" i="8" s="1"/>
  <c r="Z69" i="8"/>
  <c r="Z75" i="8" s="1"/>
  <c r="Z86" i="8" s="1"/>
  <c r="AB82" i="8"/>
  <c r="C26" i="8" l="1"/>
  <c r="E26" i="8"/>
  <c r="D26" i="8"/>
  <c r="C88" i="8"/>
  <c r="C20" i="8"/>
  <c r="D20" i="8"/>
  <c r="E20" i="8"/>
  <c r="W53" i="8"/>
  <c r="W62" i="8" s="1"/>
  <c r="S53" i="8"/>
  <c r="S62" i="8" s="1"/>
  <c r="D88" i="8"/>
  <c r="E88" i="8"/>
  <c r="AB75" i="8"/>
  <c r="AB69" i="8"/>
  <c r="Z53" i="8"/>
  <c r="Z62" i="8" s="1"/>
  <c r="D15" i="8"/>
  <c r="E15" i="8"/>
  <c r="C15" i="8"/>
  <c r="Z14" i="8"/>
  <c r="Z19" i="8" s="1"/>
  <c r="Z26" i="8" s="1"/>
  <c r="Z30" i="8" s="1"/>
  <c r="Z33" i="8" l="1"/>
  <c r="D27" i="8"/>
  <c r="D30" i="8"/>
  <c r="E27" i="8"/>
  <c r="E30" i="8"/>
  <c r="C27" i="8"/>
  <c r="C30" i="8"/>
  <c r="Z27" i="8"/>
  <c r="AB27" i="8" s="1"/>
  <c r="AB26" i="8"/>
  <c r="J133" i="8"/>
  <c r="S133" i="8" s="1"/>
  <c r="S88" i="8"/>
  <c r="W88" i="8"/>
  <c r="AB19" i="8"/>
  <c r="Z20" i="8"/>
  <c r="AB20" i="8" s="1"/>
  <c r="AB124" i="8"/>
  <c r="AB86" i="8"/>
  <c r="AB62" i="8"/>
  <c r="AB53" i="8"/>
  <c r="AB14" i="8"/>
  <c r="AB117" i="8"/>
  <c r="Z15" i="8"/>
  <c r="AB15" i="8" s="1"/>
  <c r="E33" i="8" l="1"/>
  <c r="E34" i="8" s="1"/>
  <c r="E96" i="8"/>
  <c r="C33" i="8"/>
  <c r="C37" i="8" s="1"/>
  <c r="C96" i="8"/>
  <c r="D33" i="8"/>
  <c r="D37" i="8" s="1"/>
  <c r="D96" i="8"/>
  <c r="D108" i="8" s="1"/>
  <c r="D133" i="8" s="1"/>
  <c r="C34" i="8"/>
  <c r="C40" i="8"/>
  <c r="Z34" i="8"/>
  <c r="AB34" i="8" s="1"/>
  <c r="Z40" i="8"/>
  <c r="Z37" i="8"/>
  <c r="E108" i="8"/>
  <c r="E133" i="8" s="1"/>
  <c r="AB33" i="8"/>
  <c r="N133" i="8"/>
  <c r="W133" i="8" s="1"/>
  <c r="Z88" i="8"/>
  <c r="D40" i="8" l="1"/>
  <c r="D34" i="8"/>
  <c r="E37" i="8"/>
  <c r="E40" i="8"/>
  <c r="AB30" i="8"/>
  <c r="C108" i="8"/>
  <c r="C133" i="8" s="1"/>
  <c r="V108" i="8"/>
  <c r="W108" i="8"/>
  <c r="S108" i="8" l="1"/>
  <c r="T108" i="8"/>
  <c r="U108" i="8"/>
  <c r="AB37" i="8" l="1"/>
  <c r="AB40" i="8"/>
  <c r="C129" i="8" l="1"/>
  <c r="C134" i="8" l="1"/>
  <c r="C136" i="8" s="1"/>
  <c r="D127" i="8" l="1"/>
  <c r="D129" i="8" l="1"/>
  <c r="D134" i="8" s="1"/>
  <c r="D136" i="8" s="1"/>
  <c r="E127" i="8" l="1"/>
  <c r="E129" i="8" s="1"/>
  <c r="E134" i="8" s="1"/>
  <c r="G129" i="8"/>
  <c r="G134" i="8" l="1"/>
  <c r="G136" i="8" s="1"/>
  <c r="E136" i="8"/>
  <c r="H127" i="8" l="1"/>
  <c r="H129" i="8" s="1"/>
  <c r="H134" i="8" s="1"/>
  <c r="H136" i="8" s="1"/>
  <c r="I127" i="8" l="1"/>
  <c r="I129" i="8" s="1"/>
  <c r="I134" i="8" l="1"/>
  <c r="J127" i="8" l="1"/>
  <c r="S127" i="8" s="1"/>
  <c r="I136" i="8"/>
  <c r="J129" i="8" l="1"/>
  <c r="J134" i="8" s="1"/>
  <c r="K127" i="8" l="1"/>
  <c r="K129" i="8" s="1"/>
  <c r="J136" i="8"/>
  <c r="K134" i="8" l="1"/>
  <c r="L127" i="8" l="1"/>
  <c r="L129" i="8" s="1"/>
  <c r="K136" i="8"/>
  <c r="L134" i="8" l="1"/>
  <c r="M127" i="8" l="1"/>
  <c r="M129" i="8" s="1"/>
  <c r="L136" i="8"/>
  <c r="M134" i="8" l="1"/>
  <c r="N127" i="8" l="1"/>
  <c r="N129" i="8" s="1"/>
  <c r="M136" i="8"/>
  <c r="N134" i="8" l="1"/>
  <c r="O127" i="8" s="1"/>
  <c r="O129" i="8" s="1"/>
  <c r="O134" i="8" l="1"/>
  <c r="P127" i="8" s="1"/>
  <c r="P129" i="8" s="1"/>
  <c r="N136" i="8"/>
  <c r="P134" i="8" l="1"/>
  <c r="O136" i="8"/>
  <c r="P136" i="8" l="1"/>
  <c r="Q127" i="8"/>
  <c r="Q129" i="8" s="1"/>
  <c r="Q134" i="8" s="1"/>
  <c r="Q136" i="8" l="1"/>
  <c r="X108" i="8" l="1"/>
  <c r="Y108" i="8"/>
  <c r="Z108" i="8" l="1"/>
  <c r="AB96" i="8"/>
  <c r="AB108" i="8" l="1"/>
  <c r="S129" i="8" l="1"/>
  <c r="S134" i="8" s="1"/>
  <c r="T127" i="8" l="1"/>
  <c r="T129" i="8" s="1"/>
  <c r="T134" i="8" s="1"/>
  <c r="S136" i="8" l="1"/>
  <c r="U127" i="8"/>
  <c r="U129" i="8" s="1"/>
  <c r="U134" i="8" s="1"/>
  <c r="T136" i="8" l="1"/>
  <c r="V127" i="8"/>
  <c r="V129" i="8" s="1"/>
  <c r="V134" i="8" s="1"/>
  <c r="U136" i="8" l="1"/>
  <c r="W127" i="8"/>
  <c r="W129" i="8" s="1"/>
  <c r="V136" i="8"/>
  <c r="W134" i="8" l="1"/>
  <c r="X127" i="8" s="1"/>
  <c r="X129" i="8" s="1"/>
  <c r="X134" i="8" s="1"/>
  <c r="Y127" i="8" l="1"/>
  <c r="Y129" i="8" s="1"/>
  <c r="X136" i="8"/>
  <c r="W136" i="8"/>
  <c r="Y134" i="8" l="1"/>
  <c r="Z127" i="8" l="1"/>
  <c r="Z129" i="8" s="1"/>
  <c r="Z134" i="8" s="1"/>
  <c r="Z136" i="8" s="1"/>
  <c r="Y136" i="8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<sst xmlns="http://schemas.openxmlformats.org/spreadsheetml/2006/main" count="234" uniqueCount="187">
  <si>
    <t>FYE</t>
  </si>
  <si>
    <t>Quarterly</t>
  </si>
  <si>
    <t>1Q24</t>
  </si>
  <si>
    <t>2Q24</t>
  </si>
  <si>
    <t>3Q24</t>
  </si>
  <si>
    <t>4Q24</t>
  </si>
  <si>
    <t>1Q23</t>
  </si>
  <si>
    <t>2Q23</t>
  </si>
  <si>
    <t>3Q23</t>
  </si>
  <si>
    <t>4Q23</t>
  </si>
  <si>
    <t>LTM</t>
  </si>
  <si>
    <t>EBITDA</t>
  </si>
  <si>
    <t>Total Revenue</t>
  </si>
  <si>
    <t>Cost of Sales</t>
  </si>
  <si>
    <t>Cash-Flows Statement</t>
  </si>
  <si>
    <t>Total Liabilities</t>
  </si>
  <si>
    <t>X</t>
  </si>
  <si>
    <t>Total Current Liabilities</t>
  </si>
  <si>
    <t>Total Current Assets</t>
  </si>
  <si>
    <t>Total Assets</t>
  </si>
  <si>
    <t>Gross Profit</t>
  </si>
  <si>
    <t>Total Debt</t>
  </si>
  <si>
    <t>Variance</t>
  </si>
  <si>
    <t>FCF Analysis</t>
  </si>
  <si>
    <t>1Q25</t>
  </si>
  <si>
    <t>2Q25</t>
  </si>
  <si>
    <t>Y/Y Growth (%)</t>
  </si>
  <si>
    <t>Q/Q Growth (%)</t>
  </si>
  <si>
    <t>N/A</t>
  </si>
  <si>
    <t>(-) Cost of Sales</t>
  </si>
  <si>
    <t>Gross Margin (%)</t>
  </si>
  <si>
    <t>Earning before Interest &amp; Taxes (EBIT)</t>
  </si>
  <si>
    <t>Operating Margin (%)</t>
  </si>
  <si>
    <t>EBITDA Margin (%)</t>
  </si>
  <si>
    <t>Adj. EBITDA</t>
  </si>
  <si>
    <t>Adj. EBITDA Margin (%)</t>
  </si>
  <si>
    <t>(-) Capital Expenditures</t>
  </si>
  <si>
    <t>(-) Cash Taxes</t>
  </si>
  <si>
    <t>(+/-) Changes in NWC</t>
  </si>
  <si>
    <t>Discretionary Cash-Flows</t>
  </si>
  <si>
    <t>Free-Cash Flows</t>
  </si>
  <si>
    <t>Capitalization</t>
  </si>
  <si>
    <t>Cash &amp; Cash Equivelants</t>
  </si>
  <si>
    <t>Total Liquidity</t>
  </si>
  <si>
    <t>Balance Sheet Metrics:</t>
  </si>
  <si>
    <t>Current Liabilities</t>
  </si>
  <si>
    <t>Total Shareholder Equity</t>
  </si>
  <si>
    <t>Total Book Capitalization</t>
  </si>
  <si>
    <t>Debt-to-Book Capitalization</t>
  </si>
  <si>
    <t>Total liabilities and stockholders' equity</t>
  </si>
  <si>
    <t>Cash-Flows From Operating Activities</t>
  </si>
  <si>
    <t>Net income (loss)</t>
  </si>
  <si>
    <t>Depreciation and amortization</t>
  </si>
  <si>
    <t>Net cash used in operating activities</t>
  </si>
  <si>
    <t>Cash flows from investing activities:</t>
  </si>
  <si>
    <t>Net cash used in investing activities</t>
  </si>
  <si>
    <t>Cash flows from financing activities:</t>
  </si>
  <si>
    <t>Net cash provided by financing activities</t>
  </si>
  <si>
    <t>Consolidated Revenue</t>
  </si>
  <si>
    <t>Adjustments to reconcile net income:</t>
  </si>
  <si>
    <t>Balance Check</t>
  </si>
  <si>
    <t>Net Change in Cash</t>
  </si>
  <si>
    <t>Net Margin (%)</t>
  </si>
  <si>
    <t>Basic shares</t>
  </si>
  <si>
    <t>Basic EPS</t>
  </si>
  <si>
    <t>Fully Diluted Shares</t>
  </si>
  <si>
    <t>Diluted EPS</t>
  </si>
  <si>
    <t>Segment Anaysis</t>
  </si>
  <si>
    <t>Total Net Revenue</t>
  </si>
  <si>
    <t xml:space="preserve">(+/-) Other </t>
  </si>
  <si>
    <t>Credit Metrics</t>
  </si>
  <si>
    <t>Adjusted Cash Position BOP</t>
  </si>
  <si>
    <t>Adjusted Cash Position EOP</t>
  </si>
  <si>
    <t xml:space="preserve">(-) Cash Interest </t>
  </si>
  <si>
    <t>Income Statement</t>
  </si>
  <si>
    <t xml:space="preserve">Balance Sheet </t>
  </si>
  <si>
    <t>Historical Financials</t>
  </si>
  <si>
    <t>Fiscal Period</t>
  </si>
  <si>
    <t>Fiscal Period End Date</t>
  </si>
  <si>
    <t>Operating Profit</t>
  </si>
  <si>
    <t>EBT Margin (%)</t>
  </si>
  <si>
    <t>Current Assets</t>
  </si>
  <si>
    <t>Non-Current Assets</t>
  </si>
  <si>
    <t>Non-Current Liabilities</t>
  </si>
  <si>
    <t>Income tax expense</t>
  </si>
  <si>
    <t>BOP Restricted Cash Adjustment</t>
  </si>
  <si>
    <t>EOP FX Adjustment</t>
  </si>
  <si>
    <t>EOP Restricted Cash Adjustment</t>
  </si>
  <si>
    <t>Unrestricted Cash BOP</t>
  </si>
  <si>
    <t>Revenue Segment Anaysis</t>
  </si>
  <si>
    <t>($ In Millions)</t>
  </si>
  <si>
    <t>($ In Millions, except EPS)</t>
  </si>
  <si>
    <t>Revenue by reportable segment</t>
  </si>
  <si>
    <t>(+) Depreciation and Amortization (D&amp;A)</t>
  </si>
  <si>
    <t>(+) Stock-Based Compensation (SBC)</t>
  </si>
  <si>
    <t>Summary Debt:</t>
  </si>
  <si>
    <t>CPLTD</t>
  </si>
  <si>
    <t>LTD</t>
  </si>
  <si>
    <t>LTM Total Leverage</t>
  </si>
  <si>
    <t>LTM Net Leverage</t>
  </si>
  <si>
    <t xml:space="preserve">LTM Interest Coverage </t>
  </si>
  <si>
    <t>LTM Debt Service Coverage</t>
  </si>
  <si>
    <t>LTM Fixed Charge Coverage</t>
  </si>
  <si>
    <t>3Q25</t>
  </si>
  <si>
    <t>Earnings before Taxes</t>
  </si>
  <si>
    <t xml:space="preserve">Selling, general and administrative expenses </t>
  </si>
  <si>
    <t xml:space="preserve">Other operating charges </t>
  </si>
  <si>
    <t>Interest Income</t>
  </si>
  <si>
    <t>Interest expense</t>
  </si>
  <si>
    <t>Equity Income (Loss)</t>
  </si>
  <si>
    <t>Other Income (Loss)</t>
  </si>
  <si>
    <t>Net Income</t>
  </si>
  <si>
    <t xml:space="preserve">Net Income Attributable to Shareowners of The Coca-Cola Company	</t>
  </si>
  <si>
    <t>Cash and cash equivalents</t>
  </si>
  <si>
    <t>Marketable securities</t>
  </si>
  <si>
    <t>Inventories</t>
  </si>
  <si>
    <t>Short-term investments</t>
  </si>
  <si>
    <t>Prepaid expenses and other current assets</t>
  </si>
  <si>
    <t>Property, plant and equipment, net</t>
  </si>
  <si>
    <t>Trademarks with indefinite lives</t>
  </si>
  <si>
    <t>Goodwill</t>
  </si>
  <si>
    <t>Equity method investments</t>
  </si>
  <si>
    <t>Deferred income tax assets</t>
  </si>
  <si>
    <t>Other noncurrent assets</t>
  </si>
  <si>
    <t>Accounts payable and accrued expenses</t>
  </si>
  <si>
    <t>Loans and notes payable</t>
  </si>
  <si>
    <t>Current maturities of long-term debt</t>
  </si>
  <si>
    <t>Accrued income taxes</t>
  </si>
  <si>
    <t>Long-term debt</t>
  </si>
  <si>
    <t>Other noncurrent liabilities</t>
  </si>
  <si>
    <t>Deferred income tax liabilities</t>
  </si>
  <si>
    <t>Treasury stock</t>
  </si>
  <si>
    <t>Equity attributable to noncontrolling interests</t>
  </si>
  <si>
    <t>Reinvested earnings</t>
  </si>
  <si>
    <t>Stock-based compensation</t>
  </si>
  <si>
    <t>Deferred income taxes</t>
  </si>
  <si>
    <t>Equity (income) loss — net of dividends</t>
  </si>
  <si>
    <t>Foreign currency adjustments</t>
  </si>
  <si>
    <t>Significant (gains) losses — net</t>
  </si>
  <si>
    <t>Other operating charges</t>
  </si>
  <si>
    <t>Other items</t>
  </si>
  <si>
    <t>Purchases of property, plant and equipment</t>
  </si>
  <si>
    <t>Other investing activities</t>
  </si>
  <si>
    <t>Dividends</t>
  </si>
  <si>
    <t>Other financing activities</t>
  </si>
  <si>
    <t>Coca-Cola Co (NASDAQ: KO)</t>
  </si>
  <si>
    <t>Concentrate Operations</t>
  </si>
  <si>
    <t>Finished Product Operations</t>
  </si>
  <si>
    <t>Revenue by Geography</t>
  </si>
  <si>
    <t xml:space="preserve">International Revenues </t>
  </si>
  <si>
    <t xml:space="preserve">U.S. Revenues </t>
  </si>
  <si>
    <t>Trade accounts receivable</t>
  </si>
  <si>
    <t>Disposal of property, plant and equipment</t>
  </si>
  <si>
    <t>Net change in operating assets and liabilities</t>
  </si>
  <si>
    <t>Net Loss (Income) Attributable to Noncontrolling Interest</t>
  </si>
  <si>
    <t>Capital surplus</t>
  </si>
  <si>
    <t>Accumulated OCI</t>
  </si>
  <si>
    <t>Equity Attributable to Shareowners of The Coca-Cola Company</t>
  </si>
  <si>
    <t>Common stock</t>
  </si>
  <si>
    <t xml:space="preserve">(-) Selling, general and administrative expenses </t>
  </si>
  <si>
    <t xml:space="preserve">(-) Other operating charges </t>
  </si>
  <si>
    <t>Proceeds from Disposal / (Purchase) of Investments</t>
  </si>
  <si>
    <t>Collateral (paid) received associated with hedging activities</t>
  </si>
  <si>
    <t xml:space="preserve">Divestiture / (Acquisitions), net </t>
  </si>
  <si>
    <t>Issuances of Debt / (Repayment)</t>
  </si>
  <si>
    <t>Issuances of Equity / (Repurchases)</t>
  </si>
  <si>
    <t>(-) Dividends</t>
  </si>
  <si>
    <t>(+/-) Proceeds from Disposal / (Purchase) of Investments</t>
  </si>
  <si>
    <t xml:space="preserve">(+/-) Divestiture / (Acquisitions), net </t>
  </si>
  <si>
    <t>(+/-) Issuances of Debt / (Repayment)</t>
  </si>
  <si>
    <t>(+/-) Issuances of Equity / (Repurchases)</t>
  </si>
  <si>
    <t>Short-Term Investments</t>
  </si>
  <si>
    <t>Marketable Securities</t>
  </si>
  <si>
    <t>Accounts Receivables</t>
  </si>
  <si>
    <t>Total Stockholders' Equity</t>
  </si>
  <si>
    <t xml:space="preserve">U.S. dollar notes due 2024-2093	</t>
  </si>
  <si>
    <t xml:space="preserve">U.S. dollar debentures due 2026-2098	</t>
  </si>
  <si>
    <t xml:space="preserve">Australian dollar notes due 2024	</t>
  </si>
  <si>
    <t xml:space="preserve">Euro notes due 2024-2053	</t>
  </si>
  <si>
    <t xml:space="preserve">Swiss franc notes due 2028	</t>
  </si>
  <si>
    <t>Other, due through 2098</t>
  </si>
  <si>
    <t>Commercial Paper Program</t>
  </si>
  <si>
    <t>RCF Utilization</t>
  </si>
  <si>
    <t>Aggregate RCF Availability</t>
  </si>
  <si>
    <t xml:space="preserve"> finance Lease Obligations</t>
  </si>
  <si>
    <t>Variance Check</t>
  </si>
  <si>
    <t>Cash Position Variance 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</si>
</sst>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5" formatCode="&quot;$&quot;#,##0_);\(&quot;$&quot;#,##0\)"/>
    <numFmt numFmtId="7" formatCode="&quot;$&quot;#,##0.00_);\(&quot;$&quot;#,##0.00\)"/>
    <numFmt numFmtId="41" formatCode="_(* #,##0_);_(* \(#,##0\);_(* &quot;-&quot;_);_(@_)"/>
    <numFmt numFmtId="43" formatCode="_(* #,##0.00_);_(* \(#,##0.00\);_(* &quot;-&quot;??_);_(@_)"/>
    <numFmt numFmtId="164" formatCode="_(* #,##0_);_(* \(#,##0\);_(* &quot;-&quot;??_);_(@_)"/>
    <numFmt numFmtId="165" formatCode="_(&quot;$ &quot;#,##0_);_(&quot;$ &quot;\(#,##0\)"/>
    <numFmt numFmtId="166" formatCode="#,##0.0%;\(#,##0.0%\)"/>
    <numFmt numFmtId="167" formatCode="#,##0.0&quot;bps&quot;_);\(#,##0.0&quot;bps&quot;\)"/>
    <numFmt numFmtId="168" formatCode="#,##0.00&quot;bps&quot;_);\(#,##0.00&quot;bps&quot;\)"/>
    <numFmt numFmtId="169" formatCode="_(* #,##0.00&quot;x&quot;_);_(* \(#,##0.00&quot;x&quot;\);_(* &quot;-&quot;_);_(@_)"/>
  </numFmts>
  <fonts count="32">
    <font>
      <sz val="11"/>
      <color theme="1"/>
      <name val="Tw Cen MT"/>
      <family val="2"/>
      <scheme val="minor"/>
    </font>
    <font>
      <sz val="11"/>
      <color theme="1"/>
      <name val="Tw Cen MT"/>
      <family val="2"/>
      <scheme val="minor"/>
    </font>
    <font>
      <b/>
      <sz val="9"/>
      <color theme="0"/>
      <name val="Calibri"/>
      <family val="2"/>
    </font>
    <font>
      <i/>
      <sz val="9"/>
      <color theme="0"/>
      <name val="Calibri"/>
      <family val="2"/>
    </font>
    <font>
      <sz val="9"/>
      <color theme="1"/>
      <name val="Calibri"/>
      <family val="2"/>
    </font>
    <font>
      <b/>
      <i/>
      <sz val="9"/>
      <color theme="0"/>
      <name val="Calibri"/>
      <family val="2"/>
    </font>
    <font>
      <sz val="9"/>
      <name val="Calibri"/>
      <family val="2"/>
    </font>
    <font>
      <i/>
      <sz val="9"/>
      <name val="Calibri"/>
      <family val="2"/>
    </font>
    <font>
      <b/>
      <sz val="9"/>
      <name val="Calibri"/>
      <family val="2"/>
    </font>
    <font>
      <b/>
      <i/>
      <sz val="9"/>
      <name val="Calibri"/>
      <family val="2"/>
    </font>
    <font>
      <i/>
      <sz val="8"/>
      <name val="Calibri"/>
      <family val="2"/>
    </font>
    <font>
      <sz val="9"/>
      <color rgb="FF0000CC"/>
      <name val="Calibri"/>
      <family val="2"/>
    </font>
    <font>
      <sz val="9"/>
      <color rgb="FF0000FF"/>
      <name val="Calibri"/>
      <family val="2"/>
    </font>
    <font>
      <sz val="8"/>
      <name val="Calibri"/>
      <family val="2"/>
    </font>
    <font>
      <sz val="8"/>
      <color theme="1"/>
      <name val="Calibri"/>
      <family val="2"/>
    </font>
    <font>
      <b/>
      <sz val="9"/>
      <color theme="1"/>
      <name val="Calibri"/>
      <family val="2"/>
    </font>
    <font>
      <i/>
      <sz val="9"/>
      <color theme="1"/>
      <name val="Calibri"/>
      <family val="2"/>
    </font>
    <font>
      <b/>
      <sz val="9"/>
      <color indexed="8"/>
      <name val="Calibri"/>
      <family val="2"/>
    </font>
    <font>
      <sz val="9"/>
      <color rgb="FF0000E1"/>
      <name val="Calibri"/>
      <family val="2"/>
    </font>
    <font>
      <sz val="10"/>
      <name val="Arial"/>
      <family val="2"/>
    </font>
    <font>
      <sz val="9"/>
      <color rgb="FFFF0000"/>
      <name val="Tw Cen MT"/>
      <family val="2"/>
      <scheme val="minor"/>
    </font>
    <font>
      <sz val="8"/>
      <color rgb="FFFF0000"/>
      <name val="Calibri"/>
      <family val="2"/>
    </font>
    <font>
      <b/>
      <sz val="8"/>
      <color theme="1"/>
      <name val="Calibri"/>
      <family val="2"/>
    </font>
    <font>
      <i/>
      <sz val="8"/>
      <color theme="1"/>
      <name val="Calibri"/>
      <family val="2"/>
    </font>
    <font>
      <sz val="7"/>
      <color rgb="FFFF0000"/>
      <name val="Calibri"/>
      <family val="2"/>
    </font>
    <font>
      <sz val="9"/>
      <color rgb="FF00B050"/>
      <name val="Calibri"/>
      <family val="2"/>
    </font>
    <font>
      <sz val="10"/>
      <name val="Arial Narrow MT"/>
      <family val="2"/>
    </font>
    <font>
      <b/>
      <i/>
      <sz val="8"/>
      <name val="Calibri"/>
      <family val="2"/>
    </font>
    <font>
      <b/>
      <sz val="8"/>
      <color theme="0"/>
      <name val="Calibri"/>
      <family val="2"/>
    </font>
    <font>
      <i/>
      <sz val="7"/>
      <color rgb="FFFF0000"/>
      <name val="Calibri"/>
      <family val="2"/>
    </font>
    <font>
      <i/>
      <sz val="8"/>
      <color rgb="FF0000CC"/>
      <name val="Calibri"/>
      <family val="2"/>
    </font>
    <font>
      <i/>
      <sz val="8"/>
      <color rgb="FFFF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E5672"/>
        <bgColor indexed="64"/>
      </patternFill>
    </fill>
    <fill>
      <patternFill patternType="gray0625"/>
    </fill>
    <fill>
      <patternFill patternType="solid">
        <fgColor theme="0" tint="-4.9989318521683403E-2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0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/>
      <bottom/>
      <diagonal/>
    </border>
    <border>
      <left/>
      <right style="hair">
        <color indexed="64"/>
      </right>
      <top style="thin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/>
      <top/>
      <bottom/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9" fillId="0" borderId="0"/>
    <xf numFmtId="0" fontId="26" fillId="0" borderId="0" applyNumberFormat="0" applyFont="0" applyFill="0" applyBorder="0" applyAlignment="0" applyProtection="0"/>
  </cellStyleXfs>
  <cellXfs count="157">
    <xf numFmtId="0" fontId="0" fillId="0" borderId="0" xfId="0"/>
    <xf numFmtId="0" fontId="2" fillId="2" borderId="0" xfId="0" applyFont="1" applyFill="1" applyAlignment="1">
      <alignment vertical="center" wrapText="1"/>
    </xf>
    <xf numFmtId="0" fontId="2" fillId="2" borderId="3" xfId="0" applyFont="1" applyFill="1" applyBorder="1" applyAlignment="1">
      <alignment horizontal="centerContinuous" vertical="center" wrapText="1"/>
    </xf>
    <xf numFmtId="14" fontId="3" fillId="2" borderId="0" xfId="0" applyNumberFormat="1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4" fillId="0" borderId="0" xfId="0" applyFont="1" applyAlignment="1">
      <alignment wrapText="1"/>
    </xf>
    <xf numFmtId="0" fontId="3" fillId="2" borderId="0" xfId="0" applyFont="1" applyFill="1" applyAlignment="1">
      <alignment vertical="center" wrapText="1"/>
    </xf>
    <xf numFmtId="0" fontId="5" fillId="2" borderId="0" xfId="0" applyFont="1" applyFill="1" applyAlignment="1">
      <alignment horizontal="center" vertical="center" wrapText="1"/>
    </xf>
    <xf numFmtId="0" fontId="4" fillId="0" borderId="0" xfId="0" applyFont="1"/>
    <xf numFmtId="0" fontId="6" fillId="0" borderId="0" xfId="0" applyFont="1" applyAlignment="1">
      <alignment vertical="top" wrapText="1"/>
    </xf>
    <xf numFmtId="41" fontId="4" fillId="0" borderId="0" xfId="0" applyNumberFormat="1" applyFont="1"/>
    <xf numFmtId="37" fontId="4" fillId="0" borderId="0" xfId="0" applyNumberFormat="1" applyFont="1" applyAlignment="1">
      <alignment wrapText="1"/>
    </xf>
    <xf numFmtId="0" fontId="8" fillId="3" borderId="4" xfId="0" applyFont="1" applyFill="1" applyBorder="1" applyAlignment="1">
      <alignment vertical="top" wrapText="1"/>
    </xf>
    <xf numFmtId="5" fontId="8" fillId="3" borderId="2" xfId="0" applyNumberFormat="1" applyFont="1" applyFill="1" applyBorder="1" applyAlignment="1">
      <alignment horizontal="right" vertical="top" wrapText="1"/>
    </xf>
    <xf numFmtId="0" fontId="10" fillId="0" borderId="0" xfId="0" applyFont="1" applyAlignment="1">
      <alignment horizontal="left" vertical="center" wrapText="1" indent="1"/>
    </xf>
    <xf numFmtId="166" fontId="10" fillId="0" borderId="0" xfId="1" applyNumberFormat="1" applyFont="1" applyBorder="1" applyAlignment="1">
      <alignment horizontal="right" vertical="center" wrapText="1"/>
    </xf>
    <xf numFmtId="9" fontId="6" fillId="0" borderId="0" xfId="1" applyFont="1" applyAlignment="1">
      <alignment horizontal="left" vertical="top" wrapText="1" indent="1"/>
    </xf>
    <xf numFmtId="9" fontId="11" fillId="0" borderId="0" xfId="1" applyFont="1" applyAlignment="1">
      <alignment horizontal="right" vertical="top" wrapText="1"/>
    </xf>
    <xf numFmtId="9" fontId="4" fillId="0" borderId="0" xfId="1" applyFont="1" applyAlignment="1">
      <alignment wrapText="1"/>
    </xf>
    <xf numFmtId="9" fontId="12" fillId="0" borderId="0" xfId="1" applyFont="1" applyAlignment="1">
      <alignment horizontal="right" vertical="top" wrapText="1"/>
    </xf>
    <xf numFmtId="9" fontId="4" fillId="0" borderId="0" xfId="1" applyFont="1"/>
    <xf numFmtId="0" fontId="6" fillId="0" borderId="0" xfId="0" quotePrefix="1" applyFont="1" applyAlignment="1">
      <alignment vertical="top" wrapText="1"/>
    </xf>
    <xf numFmtId="37" fontId="6" fillId="0" borderId="0" xfId="0" applyNumberFormat="1" applyFont="1" applyAlignment="1">
      <alignment horizontal="right" vertical="top" wrapText="1"/>
    </xf>
    <xf numFmtId="0" fontId="8" fillId="0" borderId="0" xfId="0" applyFont="1" applyAlignment="1">
      <alignment vertical="top" wrapText="1"/>
    </xf>
    <xf numFmtId="5" fontId="8" fillId="0" borderId="2" xfId="0" applyNumberFormat="1" applyFont="1" applyBorder="1" applyAlignment="1">
      <alignment horizontal="right" vertical="top" wrapText="1"/>
    </xf>
    <xf numFmtId="9" fontId="13" fillId="0" borderId="0" xfId="1" applyFont="1" applyBorder="1" applyAlignment="1">
      <alignment horizontal="right" vertical="center" wrapText="1"/>
    </xf>
    <xf numFmtId="0" fontId="14" fillId="0" borderId="0" xfId="0" applyFont="1" applyAlignment="1">
      <alignment wrapText="1"/>
    </xf>
    <xf numFmtId="0" fontId="7" fillId="0" borderId="0" xfId="0" applyFont="1" applyAlignment="1">
      <alignment horizontal="left" vertical="center" wrapText="1" indent="1"/>
    </xf>
    <xf numFmtId="9" fontId="6" fillId="0" borderId="0" xfId="1" applyFont="1" applyBorder="1" applyAlignment="1">
      <alignment horizontal="right" vertical="center" wrapText="1"/>
    </xf>
    <xf numFmtId="0" fontId="4" fillId="0" borderId="0" xfId="0" quotePrefix="1" applyFont="1"/>
    <xf numFmtId="41" fontId="6" fillId="0" borderId="0" xfId="0" applyNumberFormat="1" applyFont="1" applyAlignment="1">
      <alignment horizontal="right" vertical="top" wrapText="1"/>
    </xf>
    <xf numFmtId="0" fontId="2" fillId="2" borderId="0" xfId="0" applyFont="1" applyFill="1" applyAlignment="1">
      <alignment wrapText="1"/>
    </xf>
    <xf numFmtId="0" fontId="15" fillId="0" borderId="5" xfId="0" applyFont="1" applyBorder="1"/>
    <xf numFmtId="0" fontId="15" fillId="0" borderId="0" xfId="0" applyFont="1"/>
    <xf numFmtId="0" fontId="4" fillId="0" borderId="1" xfId="0" applyFont="1" applyBorder="1"/>
    <xf numFmtId="0" fontId="4" fillId="2" borderId="0" xfId="0" applyFont="1" applyFill="1" applyAlignment="1">
      <alignment wrapText="1"/>
    </xf>
    <xf numFmtId="0" fontId="4" fillId="3" borderId="0" xfId="0" applyFont="1" applyFill="1" applyAlignment="1">
      <alignment wrapText="1"/>
    </xf>
    <xf numFmtId="165" fontId="4" fillId="0" borderId="0" xfId="0" applyNumberFormat="1" applyFont="1" applyAlignment="1">
      <alignment wrapText="1"/>
    </xf>
    <xf numFmtId="37" fontId="8" fillId="0" borderId="0" xfId="0" applyNumberFormat="1" applyFont="1" applyAlignment="1">
      <alignment horizontal="right" vertical="top" wrapText="1"/>
    </xf>
    <xf numFmtId="165" fontId="15" fillId="0" borderId="0" xfId="0" applyNumberFormat="1" applyFont="1" applyAlignment="1">
      <alignment wrapText="1"/>
    </xf>
    <xf numFmtId="9" fontId="6" fillId="0" borderId="0" xfId="1" applyFont="1" applyFill="1" applyBorder="1" applyAlignment="1">
      <alignment horizontal="right" vertical="center" wrapText="1"/>
    </xf>
    <xf numFmtId="0" fontId="6" fillId="0" borderId="0" xfId="0" applyFont="1" applyAlignment="1">
      <alignment horizontal="left" vertical="top" wrapText="1"/>
    </xf>
    <xf numFmtId="10" fontId="16" fillId="0" borderId="0" xfId="1" applyNumberFormat="1" applyFont="1" applyFill="1" applyAlignment="1">
      <alignment horizontal="center" wrapText="1"/>
    </xf>
    <xf numFmtId="0" fontId="3" fillId="0" borderId="0" xfId="0" applyFont="1" applyAlignment="1">
      <alignment horizontal="left" vertical="center" wrapText="1"/>
    </xf>
    <xf numFmtId="0" fontId="3" fillId="0" borderId="0" xfId="0" applyFont="1" applyAlignment="1">
      <alignment horizontal="center" vertical="center" wrapText="1"/>
    </xf>
    <xf numFmtId="5" fontId="8" fillId="0" borderId="0" xfId="0" applyNumberFormat="1" applyFont="1" applyAlignment="1">
      <alignment horizontal="right" vertical="top" wrapText="1"/>
    </xf>
    <xf numFmtId="37" fontId="15" fillId="0" borderId="0" xfId="0" applyNumberFormat="1" applyFont="1" applyAlignment="1">
      <alignment wrapText="1"/>
    </xf>
    <xf numFmtId="37" fontId="8" fillId="0" borderId="0" xfId="0" applyNumberFormat="1" applyFont="1" applyAlignment="1">
      <alignment wrapText="1"/>
    </xf>
    <xf numFmtId="0" fontId="8" fillId="0" borderId="0" xfId="0" applyFont="1" applyAlignment="1">
      <alignment wrapText="1"/>
    </xf>
    <xf numFmtId="0" fontId="15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17" fillId="0" borderId="0" xfId="0" applyFont="1" applyAlignment="1">
      <alignment wrapText="1"/>
    </xf>
    <xf numFmtId="164" fontId="4" fillId="0" borderId="0" xfId="2" applyNumberFormat="1" applyFont="1" applyBorder="1" applyAlignment="1">
      <alignment wrapText="1"/>
    </xf>
    <xf numFmtId="0" fontId="4" fillId="0" borderId="0" xfId="0" applyFont="1" applyAlignment="1">
      <alignment horizontal="left" wrapText="1" indent="1"/>
    </xf>
    <xf numFmtId="37" fontId="11" fillId="0" borderId="0" xfId="2" applyNumberFormat="1" applyFont="1" applyBorder="1" applyAlignment="1">
      <alignment wrapText="1"/>
    </xf>
    <xf numFmtId="37" fontId="11" fillId="0" borderId="0" xfId="2" applyNumberFormat="1" applyFont="1" applyFill="1" applyBorder="1" applyAlignment="1">
      <alignment wrapText="1"/>
    </xf>
    <xf numFmtId="0" fontId="4" fillId="0" borderId="0" xfId="0" applyFont="1" applyAlignment="1">
      <alignment horizontal="left" indent="1"/>
    </xf>
    <xf numFmtId="37" fontId="8" fillId="0" borderId="0" xfId="2" applyNumberFormat="1" applyFont="1" applyBorder="1" applyAlignment="1">
      <alignment wrapText="1"/>
    </xf>
    <xf numFmtId="37" fontId="15" fillId="0" borderId="0" xfId="2" applyNumberFormat="1" applyFont="1" applyBorder="1" applyAlignment="1">
      <alignment wrapText="1"/>
    </xf>
    <xf numFmtId="37" fontId="15" fillId="0" borderId="0" xfId="2" applyNumberFormat="1" applyFont="1" applyFill="1" applyBorder="1" applyAlignment="1">
      <alignment wrapText="1"/>
    </xf>
    <xf numFmtId="37" fontId="18" fillId="0" borderId="0" xfId="2" applyNumberFormat="1" applyFont="1" applyFill="1" applyBorder="1" applyAlignment="1">
      <alignment wrapText="1"/>
    </xf>
    <xf numFmtId="0" fontId="20" fillId="0" borderId="0" xfId="0" applyFont="1" applyAlignment="1">
      <alignment vertical="top" wrapText="1"/>
    </xf>
    <xf numFmtId="0" fontId="21" fillId="0" borderId="0" xfId="0" applyFont="1" applyAlignment="1">
      <alignment vertical="top" wrapText="1"/>
    </xf>
    <xf numFmtId="43" fontId="21" fillId="0" borderId="0" xfId="0" applyNumberFormat="1" applyFont="1" applyAlignment="1">
      <alignment wrapText="1"/>
    </xf>
    <xf numFmtId="0" fontId="22" fillId="0" borderId="0" xfId="0" applyFont="1" applyAlignment="1">
      <alignment wrapText="1"/>
    </xf>
    <xf numFmtId="41" fontId="8" fillId="0" borderId="0" xfId="0" applyNumberFormat="1" applyFont="1" applyAlignment="1">
      <alignment horizontal="right" vertical="top" wrapText="1"/>
    </xf>
    <xf numFmtId="0" fontId="4" fillId="0" borderId="1" xfId="0" applyFont="1" applyBorder="1" applyAlignment="1">
      <alignment wrapText="1"/>
    </xf>
    <xf numFmtId="164" fontId="4" fillId="0" borderId="1" xfId="2" applyNumberFormat="1" applyFont="1" applyBorder="1" applyAlignment="1">
      <alignment wrapText="1"/>
    </xf>
    <xf numFmtId="166" fontId="7" fillId="4" borderId="0" xfId="1" applyNumberFormat="1" applyFont="1" applyFill="1" applyBorder="1" applyAlignment="1">
      <alignment horizontal="right" vertical="center" wrapText="1"/>
    </xf>
    <xf numFmtId="166" fontId="9" fillId="4" borderId="0" xfId="1" applyNumberFormat="1" applyFont="1" applyFill="1" applyBorder="1" applyAlignment="1">
      <alignment horizontal="right" vertical="center" wrapText="1"/>
    </xf>
    <xf numFmtId="168" fontId="9" fillId="4" borderId="0" xfId="1" applyNumberFormat="1" applyFont="1" applyFill="1" applyBorder="1" applyAlignment="1">
      <alignment horizontal="right" vertical="center" wrapText="1"/>
    </xf>
    <xf numFmtId="7" fontId="8" fillId="3" borderId="2" xfId="0" applyNumberFormat="1" applyFont="1" applyFill="1" applyBorder="1" applyAlignment="1">
      <alignment horizontal="right" vertical="top" wrapText="1"/>
    </xf>
    <xf numFmtId="0" fontId="8" fillId="0" borderId="5" xfId="0" applyFont="1" applyBorder="1" applyAlignment="1">
      <alignment vertical="top" wrapText="1"/>
    </xf>
    <xf numFmtId="41" fontId="24" fillId="0" borderId="0" xfId="0" applyNumberFormat="1" applyFont="1" applyAlignment="1">
      <alignment horizontal="right" vertical="center" wrapText="1"/>
    </xf>
    <xf numFmtId="0" fontId="15" fillId="0" borderId="0" xfId="0" applyFont="1" applyAlignment="1">
      <alignment horizontal="center"/>
    </xf>
    <xf numFmtId="41" fontId="11" fillId="0" borderId="0" xfId="0" applyNumberFormat="1" applyFont="1"/>
    <xf numFmtId="41" fontId="11" fillId="0" borderId="0" xfId="0" applyNumberFormat="1" applyFont="1" applyAlignment="1">
      <alignment horizontal="right" vertical="top" wrapText="1"/>
    </xf>
    <xf numFmtId="0" fontId="4" fillId="0" borderId="0" xfId="0" quotePrefix="1" applyFont="1" applyAlignment="1">
      <alignment horizontal="left" indent="1"/>
    </xf>
    <xf numFmtId="14" fontId="3" fillId="2" borderId="0" xfId="0" quotePrefix="1" applyNumberFormat="1" applyFont="1" applyFill="1" applyAlignment="1">
      <alignment horizontal="center" vertical="center" wrapText="1"/>
    </xf>
    <xf numFmtId="3" fontId="4" fillId="0" borderId="0" xfId="0" applyNumberFormat="1" applyFont="1" applyAlignment="1">
      <alignment wrapText="1"/>
    </xf>
    <xf numFmtId="41" fontId="25" fillId="0" borderId="0" xfId="0" applyNumberFormat="1" applyFont="1"/>
    <xf numFmtId="37" fontId="11" fillId="0" borderId="0" xfId="0" applyNumberFormat="1" applyFont="1" applyAlignment="1">
      <alignment horizontal="right" vertical="top" wrapText="1"/>
    </xf>
    <xf numFmtId="41" fontId="6" fillId="0" borderId="0" xfId="0" applyNumberFormat="1" applyFont="1" applyAlignment="1">
      <alignment horizontal="right" wrapText="1"/>
    </xf>
    <xf numFmtId="0" fontId="2" fillId="6" borderId="0" xfId="0" applyFont="1" applyFill="1" applyAlignment="1">
      <alignment vertical="center" wrapText="1"/>
    </xf>
    <xf numFmtId="0" fontId="3" fillId="6" borderId="0" xfId="0" applyFont="1" applyFill="1" applyAlignment="1">
      <alignment vertical="center" wrapText="1"/>
    </xf>
    <xf numFmtId="166" fontId="7" fillId="0" borderId="0" xfId="1" applyNumberFormat="1" applyFont="1" applyFill="1" applyBorder="1" applyAlignment="1">
      <alignment horizontal="right" vertical="center" wrapText="1"/>
    </xf>
    <xf numFmtId="0" fontId="2" fillId="2" borderId="0" xfId="0" applyFont="1" applyFill="1" applyAlignment="1">
      <alignment horizontal="centerContinuous" vertical="center" wrapText="1"/>
    </xf>
    <xf numFmtId="0" fontId="2" fillId="6" borderId="3" xfId="0" applyFont="1" applyFill="1" applyBorder="1" applyAlignment="1">
      <alignment horizontal="centerContinuous" vertical="center" wrapText="1"/>
    </xf>
    <xf numFmtId="0" fontId="4" fillId="6" borderId="0" xfId="0" applyFont="1" applyFill="1" applyAlignment="1">
      <alignment wrapText="1"/>
    </xf>
    <xf numFmtId="0" fontId="5" fillId="6" borderId="0" xfId="0" applyFont="1" applyFill="1" applyAlignment="1">
      <alignment horizontal="center" vertical="center" wrapText="1"/>
    </xf>
    <xf numFmtId="14" fontId="3" fillId="6" borderId="0" xfId="0" applyNumberFormat="1" applyFont="1" applyFill="1" applyAlignment="1">
      <alignment horizontal="center" vertical="center" wrapText="1"/>
    </xf>
    <xf numFmtId="0" fontId="2" fillId="7" borderId="0" xfId="0" applyFont="1" applyFill="1" applyAlignment="1">
      <alignment vertical="center" wrapText="1"/>
    </xf>
    <xf numFmtId="0" fontId="2" fillId="7" borderId="3" xfId="0" applyFont="1" applyFill="1" applyBorder="1" applyAlignment="1">
      <alignment horizontal="centerContinuous" vertical="center" wrapText="1"/>
    </xf>
    <xf numFmtId="0" fontId="4" fillId="7" borderId="0" xfId="0" applyFont="1" applyFill="1" applyAlignment="1">
      <alignment wrapText="1"/>
    </xf>
    <xf numFmtId="0" fontId="5" fillId="7" borderId="0" xfId="0" applyFont="1" applyFill="1" applyAlignment="1">
      <alignment horizontal="center" vertical="center" wrapText="1"/>
    </xf>
    <xf numFmtId="0" fontId="3" fillId="7" borderId="0" xfId="0" applyFont="1" applyFill="1" applyAlignment="1">
      <alignment vertical="center" wrapText="1"/>
    </xf>
    <xf numFmtId="0" fontId="5" fillId="7" borderId="0" xfId="0" applyFont="1" applyFill="1" applyAlignment="1">
      <alignment vertical="center" wrapText="1"/>
    </xf>
    <xf numFmtId="14" fontId="3" fillId="7" borderId="0" xfId="0" applyNumberFormat="1" applyFont="1" applyFill="1" applyAlignment="1">
      <alignment horizontal="center" vertical="center" wrapText="1"/>
    </xf>
    <xf numFmtId="14" fontId="3" fillId="7" borderId="0" xfId="0" applyNumberFormat="1" applyFont="1" applyFill="1" applyAlignment="1">
      <alignment vertical="center" wrapText="1"/>
    </xf>
    <xf numFmtId="166" fontId="10" fillId="8" borderId="0" xfId="1" applyNumberFormat="1" applyFont="1" applyFill="1" applyBorder="1" applyAlignment="1">
      <alignment horizontal="right" vertical="center" wrapText="1"/>
    </xf>
    <xf numFmtId="0" fontId="21" fillId="0" borderId="1" xfId="0" applyFont="1" applyBorder="1" applyAlignment="1">
      <alignment vertical="top" wrapText="1"/>
    </xf>
    <xf numFmtId="43" fontId="21" fillId="0" borderId="1" xfId="0" applyNumberFormat="1" applyFont="1" applyBorder="1" applyAlignment="1">
      <alignment wrapText="1"/>
    </xf>
    <xf numFmtId="0" fontId="22" fillId="0" borderId="1" xfId="0" applyFont="1" applyBorder="1" applyAlignment="1">
      <alignment wrapText="1"/>
    </xf>
    <xf numFmtId="0" fontId="14" fillId="0" borderId="1" xfId="0" applyFont="1" applyBorder="1" applyAlignment="1">
      <alignment wrapText="1"/>
    </xf>
    <xf numFmtId="0" fontId="6" fillId="0" borderId="0" xfId="0" applyFont="1" applyAlignment="1">
      <alignment wrapText="1"/>
    </xf>
    <xf numFmtId="41" fontId="11" fillId="0" borderId="0" xfId="0" applyNumberFormat="1" applyFont="1" applyAlignment="1">
      <alignment horizontal="right" wrapText="1"/>
    </xf>
    <xf numFmtId="41" fontId="6" fillId="0" borderId="0" xfId="0" applyNumberFormat="1" applyFont="1"/>
    <xf numFmtId="0" fontId="14" fillId="3" borderId="0" xfId="0" applyFont="1" applyFill="1"/>
    <xf numFmtId="166" fontId="10" fillId="3" borderId="0" xfId="1" applyNumberFormat="1" applyFont="1" applyFill="1" applyBorder="1" applyAlignment="1">
      <alignment horizontal="right" vertical="center" wrapText="1"/>
    </xf>
    <xf numFmtId="166" fontId="27" fillId="3" borderId="0" xfId="1" applyNumberFormat="1" applyFont="1" applyFill="1" applyBorder="1" applyAlignment="1">
      <alignment horizontal="right" vertical="center" wrapText="1"/>
    </xf>
    <xf numFmtId="167" fontId="27" fillId="3" borderId="0" xfId="1" applyNumberFormat="1" applyFont="1" applyFill="1" applyBorder="1" applyAlignment="1">
      <alignment horizontal="right" vertical="center" wrapText="1"/>
    </xf>
    <xf numFmtId="0" fontId="14" fillId="0" borderId="0" xfId="0" applyFont="1"/>
    <xf numFmtId="0" fontId="15" fillId="0" borderId="5" xfId="0" applyFont="1" applyBorder="1" applyAlignment="1">
      <alignment wrapText="1"/>
    </xf>
    <xf numFmtId="5" fontId="8" fillId="5" borderId="2" xfId="0" applyNumberFormat="1" applyFont="1" applyFill="1" applyBorder="1" applyAlignment="1">
      <alignment horizontal="right" vertical="top" wrapText="1"/>
    </xf>
    <xf numFmtId="0" fontId="29" fillId="0" borderId="0" xfId="0" applyFont="1" applyAlignment="1">
      <alignment horizontal="right" vertical="center" wrapText="1"/>
    </xf>
    <xf numFmtId="0" fontId="23" fillId="9" borderId="6" xfId="0" applyFont="1" applyFill="1" applyBorder="1"/>
    <xf numFmtId="9" fontId="30" fillId="0" borderId="2" xfId="1" applyFont="1" applyBorder="1"/>
    <xf numFmtId="9" fontId="10" fillId="0" borderId="2" xfId="1" applyFont="1" applyBorder="1"/>
    <xf numFmtId="9" fontId="10" fillId="0" borderId="7" xfId="1" applyFont="1" applyBorder="1"/>
    <xf numFmtId="0" fontId="23" fillId="9" borderId="8" xfId="0" applyFont="1" applyFill="1" applyBorder="1"/>
    <xf numFmtId="9" fontId="30" fillId="0" borderId="5" xfId="1" applyFont="1" applyBorder="1"/>
    <xf numFmtId="9" fontId="10" fillId="0" borderId="5" xfId="1" applyFont="1" applyBorder="1"/>
    <xf numFmtId="9" fontId="10" fillId="0" borderId="9" xfId="1" applyFont="1" applyBorder="1"/>
    <xf numFmtId="9" fontId="10" fillId="0" borderId="2" xfId="1" applyFont="1" applyBorder="1" applyAlignment="1">
      <alignment horizontal="right"/>
    </xf>
    <xf numFmtId="9" fontId="10" fillId="0" borderId="5" xfId="1" applyFont="1" applyBorder="1" applyAlignment="1">
      <alignment horizontal="right"/>
    </xf>
    <xf numFmtId="0" fontId="4" fillId="0" borderId="0" xfId="0" quotePrefix="1" applyFont="1" applyAlignment="1">
      <alignment wrapText="1"/>
    </xf>
    <xf numFmtId="41" fontId="4" fillId="0" borderId="0" xfId="0" applyNumberFormat="1" applyFont="1" applyAlignment="1">
      <alignment vertical="center"/>
    </xf>
    <xf numFmtId="41" fontId="25" fillId="0" borderId="0" xfId="0" applyNumberFormat="1" applyFont="1" applyAlignment="1">
      <alignment vertical="center"/>
    </xf>
    <xf numFmtId="41" fontId="6" fillId="0" borderId="0" xfId="0" applyNumberFormat="1" applyFont="1" applyAlignment="1">
      <alignment horizontal="right" vertical="center" wrapText="1"/>
    </xf>
    <xf numFmtId="169" fontId="4" fillId="0" borderId="0" xfId="0" applyNumberFormat="1" applyFont="1"/>
    <xf numFmtId="169" fontId="4" fillId="8" borderId="0" xfId="0" applyNumberFormat="1" applyFont="1" applyFill="1"/>
    <xf numFmtId="43" fontId="21" fillId="0" borderId="10" xfId="0" applyNumberFormat="1" applyFont="1" applyBorder="1" applyAlignment="1">
      <alignment wrapText="1"/>
    </xf>
    <xf numFmtId="41" fontId="6" fillId="0" borderId="10" xfId="0" applyNumberFormat="1" applyFont="1" applyBorder="1" applyAlignment="1">
      <alignment horizontal="right" vertical="top" wrapText="1"/>
    </xf>
    <xf numFmtId="41" fontId="6" fillId="0" borderId="11" xfId="0" applyNumberFormat="1" applyFont="1" applyBorder="1" applyAlignment="1">
      <alignment horizontal="right" vertical="top" wrapText="1"/>
    </xf>
    <xf numFmtId="5" fontId="8" fillId="5" borderId="12" xfId="0" applyNumberFormat="1" applyFont="1" applyFill="1" applyBorder="1" applyAlignment="1">
      <alignment horizontal="right" vertical="top" wrapText="1"/>
    </xf>
    <xf numFmtId="37" fontId="4" fillId="0" borderId="11" xfId="0" applyNumberFormat="1" applyFont="1" applyBorder="1" applyAlignment="1">
      <alignment wrapText="1"/>
    </xf>
    <xf numFmtId="43" fontId="21" fillId="0" borderId="13" xfId="0" applyNumberFormat="1" applyFont="1" applyBorder="1" applyAlignment="1">
      <alignment wrapText="1"/>
    </xf>
    <xf numFmtId="41" fontId="8" fillId="0" borderId="14" xfId="0" applyNumberFormat="1" applyFont="1" applyBorder="1" applyAlignment="1">
      <alignment horizontal="right" vertical="top" wrapText="1"/>
    </xf>
    <xf numFmtId="41" fontId="7" fillId="0" borderId="15" xfId="0" applyNumberFormat="1" applyFont="1" applyBorder="1" applyAlignment="1">
      <alignment horizontal="right" vertical="top" wrapText="1"/>
    </xf>
    <xf numFmtId="0" fontId="8" fillId="5" borderId="15" xfId="0" applyFont="1" applyFill="1" applyBorder="1" applyAlignment="1">
      <alignment horizontal="right" vertical="center" wrapText="1"/>
    </xf>
    <xf numFmtId="41" fontId="8" fillId="0" borderId="15" xfId="0" applyNumberFormat="1" applyFont="1" applyBorder="1" applyAlignment="1">
      <alignment horizontal="right" vertical="top" wrapText="1"/>
    </xf>
    <xf numFmtId="0" fontId="4" fillId="0" borderId="15" xfId="0" applyFont="1" applyBorder="1"/>
    <xf numFmtId="41" fontId="6" fillId="0" borderId="17" xfId="0" applyNumberFormat="1" applyFont="1" applyBorder="1" applyAlignment="1">
      <alignment horizontal="right" vertical="top" wrapText="1"/>
    </xf>
    <xf numFmtId="41" fontId="11" fillId="0" borderId="17" xfId="0" applyNumberFormat="1" applyFont="1" applyBorder="1" applyAlignment="1">
      <alignment horizontal="right" vertical="top" wrapText="1"/>
    </xf>
    <xf numFmtId="5" fontId="6" fillId="0" borderId="18" xfId="0" applyNumberFormat="1" applyFont="1" applyBorder="1" applyAlignment="1">
      <alignment horizontal="right" vertical="top" wrapText="1"/>
    </xf>
    <xf numFmtId="5" fontId="6" fillId="0" borderId="17" xfId="0" applyNumberFormat="1" applyFont="1" applyBorder="1" applyAlignment="1">
      <alignment horizontal="right" vertical="top" wrapText="1"/>
    </xf>
    <xf numFmtId="0" fontId="2" fillId="2" borderId="0" xfId="0" applyFont="1" applyFill="1" applyAlignment="1">
      <alignment horizontal="center" vertical="center" wrapText="1"/>
    </xf>
    <xf numFmtId="0" fontId="5" fillId="7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0" fontId="28" fillId="2" borderId="0" xfId="0" applyFont="1" applyFill="1" applyAlignment="1">
      <alignment horizontal="center" vertical="center" wrapText="1"/>
    </xf>
    <xf numFmtId="0" fontId="4" fillId="0" borderId="0" xfId="0" applyFont="1" applyFill="1" applyAlignment="1">
      <alignment wrapText="1"/>
    </xf>
    <xf numFmtId="0" fontId="8" fillId="0" borderId="0" xfId="0" applyFont="1" applyFill="1" applyBorder="1" applyAlignment="1">
      <alignment vertical="top" wrapText="1"/>
    </xf>
    <xf numFmtId="5" fontId="8" fillId="0" borderId="0" xfId="0" applyNumberFormat="1" applyFont="1" applyFill="1" applyBorder="1" applyAlignment="1">
      <alignment horizontal="right" vertical="top" wrapText="1"/>
    </xf>
    <xf numFmtId="0" fontId="8" fillId="0" borderId="0" xfId="0" applyFont="1" applyFill="1" applyAlignment="1">
      <alignment wrapText="1"/>
    </xf>
    <xf numFmtId="165" fontId="15" fillId="0" borderId="0" xfId="0" applyNumberFormat="1" applyFont="1" applyFill="1" applyAlignment="1">
      <alignment wrapText="1"/>
    </xf>
    <xf numFmtId="41" fontId="11" fillId="8" borderId="0" xfId="0" applyNumberFormat="1" applyFont="1" applyFill="1"/>
    <xf numFmtId="0" fontId="31" fillId="0" borderId="16" xfId="0" applyFont="1" applyBorder="1" applyAlignment="1">
      <alignment horizontal="right" vertical="top" wrapText="1"/>
    </xf>
  </cellXfs>
  <cellStyles count="5">
    <cellStyle name="%" xfId="3" xr:uid="{B2D0E839-0EB6-4A26-A036-4291FCE77A81}"/>
    <cellStyle name="******************************************" xfId="4" xr:uid="{7C8B12D3-B631-462E-992D-9CE2477EE747}"/>
    <cellStyle name="Comma" xfId="2" builtinId="3"/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0000CC"/>
      <color rgb="FF00B03C"/>
      <color rgb="FF487B79"/>
      <color rgb="FF0E567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Integral">
  <a:themeElements>
    <a:clrScheme name="Integral">
      <a:dk1>
        <a:sysClr val="windowText" lastClr="000000"/>
      </a:dk1>
      <a:lt1>
        <a:sysClr val="window" lastClr="FFFFFF"/>
      </a:lt1>
      <a:dk2>
        <a:srgbClr val="335B74"/>
      </a:dk2>
      <a:lt2>
        <a:srgbClr val="DFE3E5"/>
      </a:lt2>
      <a:accent1>
        <a:srgbClr val="1CADE4"/>
      </a:accent1>
      <a:accent2>
        <a:srgbClr val="2683C6"/>
      </a:accent2>
      <a:accent3>
        <a:srgbClr val="27CED7"/>
      </a:accent3>
      <a:accent4>
        <a:srgbClr val="42BA97"/>
      </a:accent4>
      <a:accent5>
        <a:srgbClr val="3E8853"/>
      </a:accent5>
      <a:accent6>
        <a:srgbClr val="62A39F"/>
      </a:accent6>
      <a:hlink>
        <a:srgbClr val="6B9F25"/>
      </a:hlink>
      <a:folHlink>
        <a:srgbClr val="B26B02"/>
      </a:folHlink>
    </a:clrScheme>
    <a:fontScheme name="Integral">
      <a:majorFont>
        <a:latin typeface="Tw Cen MT Condensed" panose="020B0606020104020203"/>
        <a:ea typeface=""/>
        <a:cs typeface=""/>
        <a:font script="Grek" typeface="Calibri"/>
        <a:font script="Cyrl" typeface="Calibri"/>
        <a:font script="Jpan" typeface="メイリオ"/>
        <a:font script="Hang" typeface="HY얕은샘물M"/>
        <a:font script="Hans" typeface="华文仿宋"/>
        <a:font script="Hant" typeface="微軟正黑體"/>
        <a:font script="Arab" typeface="Arial"/>
        <a:font script="Hebr" typeface="Levenim MT"/>
        <a:font script="Thai" typeface="Frees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Tw Cen MT" panose="020B0602020104020603"/>
        <a:ea typeface=""/>
        <a:cs typeface=""/>
        <a:font script="Grek" typeface="Calibri"/>
        <a:font script="Cyrl" typeface="Calibri"/>
        <a:font script="Jpan" typeface="メイリオ"/>
        <a:font script="Hang" typeface="HY얕은샘물M"/>
        <a:font script="Hans" typeface="华文仿宋"/>
        <a:font script="Hant" typeface="微軟正黑體"/>
        <a:font script="Arab" typeface="Arial"/>
        <a:font script="Hebr" typeface="Levenim MT"/>
        <a:font script="Thai" typeface="Frees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Integral">
      <a:fillStyleLst>
        <a:solidFill>
          <a:schemeClr val="phClr"/>
        </a:solidFill>
        <a:gradFill rotWithShape="1">
          <a:gsLst>
            <a:gs pos="0">
              <a:schemeClr val="phClr">
                <a:tint val="83000"/>
                <a:satMod val="100000"/>
                <a:lumMod val="100000"/>
              </a:schemeClr>
            </a:gs>
            <a:gs pos="100000">
              <a:schemeClr val="phClr">
                <a:tint val="61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  <a:gradFill rotWithShape="1">
          <a:gsLst>
            <a:gs pos="0">
              <a:schemeClr val="phClr">
                <a:tint val="100000"/>
                <a:shade val="85000"/>
                <a:satMod val="100000"/>
                <a:lumMod val="100000"/>
              </a:schemeClr>
            </a:gs>
            <a:gs pos="100000">
              <a:schemeClr val="phClr">
                <a:tint val="90000"/>
                <a:shade val="100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12700" dir="5400000" algn="ctr" rotWithShape="0">
              <a:srgbClr val="000000">
                <a:alpha val="50000"/>
              </a:srgbClr>
            </a:outerShdw>
          </a:effectLst>
        </a:effectStyle>
        <a:effectStyle>
          <a:effectLst>
            <a:outerShdw blurRad="76200" dist="25400" dir="5400000" algn="ctr" rotWithShape="0">
              <a:srgbClr val="000000">
                <a:alpha val="60000"/>
              </a:srgbClr>
            </a:outerShdw>
          </a:effectLst>
          <a:scene3d>
            <a:camera prst="orthographicFront">
              <a:rot lat="0" lon="0" rev="0"/>
            </a:camera>
            <a:lightRig rig="flat" dir="t">
              <a:rot lat="0" lon="0" rev="3600000"/>
            </a:lightRig>
          </a:scene3d>
          <a:sp3d contourW="12700" prstMaterial="flat">
            <a:bevelT w="38100" h="44450" prst="angle"/>
            <a:contourClr>
              <a:schemeClr val="phClr">
                <a:shade val="35000"/>
                <a:satMod val="160000"/>
              </a:schemeClr>
            </a:contourClr>
          </a:sp3d>
        </a:effectStyle>
      </a:effectStyleLst>
      <a:bgFillStyleLst>
        <a:solidFill>
          <a:schemeClr val="phClr"/>
        </a:solidFill>
        <a:solidFill>
          <a:schemeClr val="phClr">
            <a:tint val="95000"/>
            <a:shade val="85000"/>
            <a:satMod val="125000"/>
          </a:schemeClr>
        </a:solidFill>
        <a:blipFill rotWithShape="1">
          <a:blip xmlns:r="http://schemas.openxmlformats.org/officeDocument/2006/relationships" r:embed="rId1">
            <a:duotone>
              <a:schemeClr val="phClr">
                <a:tint val="95000"/>
                <a:shade val="74000"/>
                <a:satMod val="230000"/>
              </a:schemeClr>
              <a:schemeClr val="phClr">
                <a:tint val="92000"/>
                <a:shade val="69000"/>
                <a:satMod val="250000"/>
              </a:schemeClr>
            </a:duotone>
          </a:blip>
          <a:tile tx="0" ty="0" sx="40000" sy="40000" flip="none" algn="tl"/>
        </a:blip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Integral" id="{3577F8C9-A904-41D8-97D2-FD898F53F20E}" vid="{682D6EBE-8D36-4FF2-9DB3-F3D8D7B6715D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7A1EF-DD86-43F0-AF53-6181CD7220DC}">
  <sheetPr>
    <tabColor rgb="FF002060"/>
  </sheetPr>
  <dimension ref="A2:AB149"/>
  <sheetViews>
    <sheetView showGridLines="0" zoomScaleNormal="100" workbookViewId="0">
      <selection activeCell="Q17" sqref="Q17"/>
    </sheetView>
  </sheetViews>
  <sheetFormatPr defaultRowHeight="12" outlineLevelCol="1"/>
  <cols>
    <col min="1" max="1" width="1.625" style="5" bestFit="1" customWidth="1"/>
    <col min="2" max="2" width="49.125" style="5" bestFit="1" customWidth="1"/>
    <col min="3" max="3" width="9.125" style="5" customWidth="1"/>
    <col min="4" max="5" width="9.125" style="5" bestFit="1" customWidth="1"/>
    <col min="6" max="6" width="1.5" style="5" customWidth="1"/>
    <col min="7" max="8" width="7.875" style="5" hidden="1" customWidth="1" outlineLevel="1"/>
    <col min="9" max="10" width="8.625" style="5" hidden="1" customWidth="1" outlineLevel="1"/>
    <col min="11" max="12" width="7.875" style="5" hidden="1" customWidth="1" outlineLevel="1"/>
    <col min="13" max="13" width="8.625" style="5" bestFit="1" customWidth="1" collapsed="1"/>
    <col min="14" max="14" width="8.625" style="5" customWidth="1"/>
    <col min="15" max="17" width="8" style="5" customWidth="1"/>
    <col min="18" max="18" width="1.5" style="5" customWidth="1"/>
    <col min="19" max="19" width="8.625" style="5" hidden="1" customWidth="1" outlineLevel="1"/>
    <col min="20" max="21" width="7.875" style="5" hidden="1" customWidth="1" outlineLevel="1"/>
    <col min="22" max="22" width="7.875" style="5" bestFit="1" customWidth="1" collapsed="1"/>
    <col min="23" max="23" width="8.625" style="5" hidden="1" customWidth="1" outlineLevel="1"/>
    <col min="24" max="25" width="7.875" style="5" hidden="1" customWidth="1" outlineLevel="1"/>
    <col min="26" max="26" width="7.875" style="5" bestFit="1" customWidth="1" collapsed="1"/>
    <col min="27" max="27" width="1.25" style="5" customWidth="1"/>
    <col min="28" max="28" width="8" style="5" bestFit="1" customWidth="1"/>
    <col min="29" max="29" width="1.375" style="5" customWidth="1"/>
    <col min="30" max="16384" width="9" style="5"/>
  </cols>
  <sheetData>
    <row r="2" spans="1:28" ht="12.75" customHeight="1">
      <c r="B2" s="1" t="s">
        <v>145</v>
      </c>
      <c r="C2" s="86"/>
      <c r="D2" s="86"/>
      <c r="E2" s="86"/>
      <c r="F2" s="3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3"/>
      <c r="S2" s="86"/>
      <c r="T2" s="86"/>
      <c r="U2" s="86"/>
      <c r="V2" s="86"/>
      <c r="W2" s="86"/>
      <c r="X2" s="86"/>
      <c r="Y2" s="86"/>
      <c r="Z2" s="86"/>
      <c r="AA2" s="3"/>
      <c r="AB2" s="1"/>
    </row>
    <row r="3" spans="1:28" ht="12.75" customHeight="1">
      <c r="B3" s="6" t="s">
        <v>76</v>
      </c>
      <c r="C3" s="7"/>
      <c r="D3" s="7"/>
      <c r="E3" s="7"/>
      <c r="F3" s="3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3"/>
      <c r="S3" s="4"/>
      <c r="T3" s="4"/>
      <c r="U3" s="4"/>
      <c r="V3" s="4"/>
      <c r="W3" s="4"/>
      <c r="X3" s="4"/>
      <c r="Y3" s="4"/>
      <c r="Z3" s="4"/>
      <c r="AA3" s="3"/>
      <c r="AB3" s="1"/>
    </row>
    <row r="4" spans="1:28" ht="12.75" customHeight="1">
      <c r="B4" s="6" t="s">
        <v>91</v>
      </c>
      <c r="C4" s="3"/>
      <c r="D4" s="78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1"/>
    </row>
    <row r="6" spans="1:28" ht="12.75" customHeight="1">
      <c r="A6" s="5" t="s">
        <v>16</v>
      </c>
      <c r="B6" s="1" t="s">
        <v>74</v>
      </c>
      <c r="C6" s="2"/>
      <c r="D6" s="2" t="s">
        <v>0</v>
      </c>
      <c r="E6" s="2"/>
      <c r="F6" s="3"/>
      <c r="G6" s="2" t="s">
        <v>1</v>
      </c>
      <c r="H6" s="2"/>
      <c r="I6" s="2"/>
      <c r="J6" s="2"/>
      <c r="K6" s="2"/>
      <c r="L6" s="2"/>
      <c r="M6" s="2" t="s">
        <v>1</v>
      </c>
      <c r="N6" s="2"/>
      <c r="O6" s="2"/>
      <c r="P6" s="2"/>
      <c r="Q6" s="2"/>
      <c r="R6" s="3"/>
      <c r="S6" s="2"/>
      <c r="T6" s="2"/>
      <c r="U6" s="2"/>
      <c r="V6" s="2" t="s">
        <v>10</v>
      </c>
      <c r="W6" s="2"/>
      <c r="X6" s="2"/>
      <c r="Y6" s="2"/>
      <c r="Z6" s="2"/>
      <c r="AA6" s="35"/>
      <c r="AB6" s="146" t="s">
        <v>22</v>
      </c>
    </row>
    <row r="7" spans="1:28" ht="12.75" customHeight="1">
      <c r="B7" s="6" t="s">
        <v>77</v>
      </c>
      <c r="C7" s="7">
        <v>2022</v>
      </c>
      <c r="D7" s="7">
        <v>2023</v>
      </c>
      <c r="E7" s="7">
        <v>2024</v>
      </c>
      <c r="F7" s="3"/>
      <c r="G7" s="4" t="s">
        <v>6</v>
      </c>
      <c r="H7" s="4" t="s">
        <v>7</v>
      </c>
      <c r="I7" s="4" t="s">
        <v>8</v>
      </c>
      <c r="J7" s="4" t="s">
        <v>9</v>
      </c>
      <c r="K7" s="4" t="s">
        <v>2</v>
      </c>
      <c r="L7" s="4" t="s">
        <v>3</v>
      </c>
      <c r="M7" s="4" t="s">
        <v>4</v>
      </c>
      <c r="N7" s="4" t="s">
        <v>5</v>
      </c>
      <c r="O7" s="4" t="s">
        <v>24</v>
      </c>
      <c r="P7" s="4" t="s">
        <v>25</v>
      </c>
      <c r="Q7" s="4" t="s">
        <v>103</v>
      </c>
      <c r="R7" s="4"/>
      <c r="S7" s="4" t="str">
        <f t="shared" ref="S7:Z8" si="0">J7</f>
        <v>4Q23</v>
      </c>
      <c r="T7" s="4" t="str">
        <f t="shared" si="0"/>
        <v>1Q24</v>
      </c>
      <c r="U7" s="4" t="str">
        <f t="shared" si="0"/>
        <v>2Q24</v>
      </c>
      <c r="V7" s="4" t="str">
        <f t="shared" si="0"/>
        <v>3Q24</v>
      </c>
      <c r="W7" s="4" t="str">
        <f t="shared" si="0"/>
        <v>4Q24</v>
      </c>
      <c r="X7" s="4" t="str">
        <f t="shared" si="0"/>
        <v>1Q25</v>
      </c>
      <c r="Y7" s="4" t="str">
        <f t="shared" si="0"/>
        <v>2Q25</v>
      </c>
      <c r="Z7" s="4" t="str">
        <f t="shared" si="0"/>
        <v>3Q25</v>
      </c>
      <c r="AA7" s="35"/>
      <c r="AB7" s="146"/>
    </row>
    <row r="8" spans="1:28" ht="12.75" customHeight="1">
      <c r="B8" s="6" t="s">
        <v>78</v>
      </c>
      <c r="C8" s="3">
        <v>44926</v>
      </c>
      <c r="D8" s="3">
        <v>45291</v>
      </c>
      <c r="E8" s="3">
        <v>45657</v>
      </c>
      <c r="F8" s="3"/>
      <c r="G8" s="3">
        <v>45016</v>
      </c>
      <c r="H8" s="3">
        <v>45107</v>
      </c>
      <c r="I8" s="3">
        <v>45198</v>
      </c>
      <c r="J8" s="3">
        <f>D8</f>
        <v>45291</v>
      </c>
      <c r="K8" s="3">
        <v>45380</v>
      </c>
      <c r="L8" s="3">
        <v>45471</v>
      </c>
      <c r="M8" s="3">
        <v>45562</v>
      </c>
      <c r="N8" s="3">
        <f>E8</f>
        <v>45657</v>
      </c>
      <c r="O8" s="3">
        <v>45744</v>
      </c>
      <c r="P8" s="3">
        <v>45835</v>
      </c>
      <c r="Q8" s="3">
        <v>45926</v>
      </c>
      <c r="R8" s="3"/>
      <c r="S8" s="3">
        <f t="shared" si="0"/>
        <v>45291</v>
      </c>
      <c r="T8" s="3">
        <f t="shared" si="0"/>
        <v>45380</v>
      </c>
      <c r="U8" s="3">
        <f t="shared" si="0"/>
        <v>45471</v>
      </c>
      <c r="V8" s="3">
        <f t="shared" si="0"/>
        <v>45562</v>
      </c>
      <c r="W8" s="3">
        <f t="shared" si="0"/>
        <v>45657</v>
      </c>
      <c r="X8" s="3">
        <f t="shared" si="0"/>
        <v>45744</v>
      </c>
      <c r="Y8" s="3">
        <f t="shared" si="0"/>
        <v>45835</v>
      </c>
      <c r="Z8" s="3">
        <f t="shared" si="0"/>
        <v>45926</v>
      </c>
      <c r="AA8" s="35"/>
      <c r="AB8" s="146"/>
    </row>
    <row r="9" spans="1:28" ht="5.0999999999999996" customHeight="1">
      <c r="AB9" s="85"/>
    </row>
    <row r="10" spans="1:28" ht="12.75" customHeight="1">
      <c r="B10" s="9" t="s">
        <v>58</v>
      </c>
      <c r="C10" s="81">
        <v>43004</v>
      </c>
      <c r="D10" s="81">
        <v>45754</v>
      </c>
      <c r="E10" s="81">
        <v>47061</v>
      </c>
      <c r="F10" s="11"/>
      <c r="G10" s="81">
        <v>10980</v>
      </c>
      <c r="H10" s="81">
        <v>11972</v>
      </c>
      <c r="I10" s="81">
        <v>11953</v>
      </c>
      <c r="J10" s="30">
        <f>SUM(D10-SUM(G10:I10))</f>
        <v>10849</v>
      </c>
      <c r="K10" s="81">
        <v>11300</v>
      </c>
      <c r="L10" s="81">
        <v>12363</v>
      </c>
      <c r="M10" s="81">
        <v>11854</v>
      </c>
      <c r="N10" s="30">
        <f>SUM(E10-SUM(K10:M10))</f>
        <v>11544</v>
      </c>
      <c r="O10" s="81">
        <v>11129</v>
      </c>
      <c r="P10" s="81">
        <v>12535</v>
      </c>
      <c r="Q10" s="81">
        <v>12455</v>
      </c>
      <c r="R10" s="30"/>
      <c r="S10" s="30">
        <f t="shared" ref="S10:Z10" si="1">SUM(G10:J10)</f>
        <v>45754</v>
      </c>
      <c r="T10" s="30">
        <f t="shared" si="1"/>
        <v>46074</v>
      </c>
      <c r="U10" s="30">
        <f t="shared" si="1"/>
        <v>46465</v>
      </c>
      <c r="V10" s="30">
        <f t="shared" si="1"/>
        <v>46366</v>
      </c>
      <c r="W10" s="30">
        <f t="shared" si="1"/>
        <v>47061</v>
      </c>
      <c r="X10" s="30">
        <f t="shared" si="1"/>
        <v>46890</v>
      </c>
      <c r="Y10" s="30">
        <f t="shared" si="1"/>
        <v>47062</v>
      </c>
      <c r="Z10" s="30">
        <f t="shared" si="1"/>
        <v>47663</v>
      </c>
      <c r="AA10" s="37"/>
      <c r="AB10" s="68">
        <f>SUM(Z10/V10)-1</f>
        <v>2.797308372514351E-2</v>
      </c>
    </row>
    <row r="11" spans="1:28" ht="12.75" customHeight="1">
      <c r="B11" s="12" t="s">
        <v>12</v>
      </c>
      <c r="C11" s="13">
        <f t="shared" ref="C11:E11" si="2">+SUM(C10:C10)</f>
        <v>43004</v>
      </c>
      <c r="D11" s="13">
        <f t="shared" si="2"/>
        <v>45754</v>
      </c>
      <c r="E11" s="13">
        <f t="shared" si="2"/>
        <v>47061</v>
      </c>
      <c r="F11" s="11"/>
      <c r="G11" s="13">
        <f t="shared" ref="G11:P11" si="3">+SUM(G10:G10)</f>
        <v>10980</v>
      </c>
      <c r="H11" s="13">
        <f t="shared" si="3"/>
        <v>11972</v>
      </c>
      <c r="I11" s="13">
        <f t="shared" si="3"/>
        <v>11953</v>
      </c>
      <c r="J11" s="13">
        <f t="shared" si="3"/>
        <v>10849</v>
      </c>
      <c r="K11" s="13">
        <f t="shared" si="3"/>
        <v>11300</v>
      </c>
      <c r="L11" s="13">
        <f t="shared" si="3"/>
        <v>12363</v>
      </c>
      <c r="M11" s="13">
        <f t="shared" si="3"/>
        <v>11854</v>
      </c>
      <c r="N11" s="13">
        <f t="shared" si="3"/>
        <v>11544</v>
      </c>
      <c r="O11" s="13">
        <f t="shared" si="3"/>
        <v>11129</v>
      </c>
      <c r="P11" s="13">
        <f t="shared" si="3"/>
        <v>12535</v>
      </c>
      <c r="Q11" s="13">
        <f t="shared" ref="Q11" si="4">+SUM(Q10:Q10)</f>
        <v>12455</v>
      </c>
      <c r="S11" s="13">
        <f t="shared" ref="S11:Z11" si="5">+SUM(S10:S10)</f>
        <v>45754</v>
      </c>
      <c r="T11" s="13">
        <f t="shared" si="5"/>
        <v>46074</v>
      </c>
      <c r="U11" s="13">
        <f t="shared" si="5"/>
        <v>46465</v>
      </c>
      <c r="V11" s="13">
        <f t="shared" si="5"/>
        <v>46366</v>
      </c>
      <c r="W11" s="13">
        <f t="shared" si="5"/>
        <v>47061</v>
      </c>
      <c r="X11" s="13">
        <f t="shared" si="5"/>
        <v>46890</v>
      </c>
      <c r="Y11" s="13">
        <f t="shared" si="5"/>
        <v>47062</v>
      </c>
      <c r="Z11" s="13">
        <f t="shared" si="5"/>
        <v>47663</v>
      </c>
      <c r="AA11" s="37"/>
      <c r="AB11" s="69">
        <f t="shared" ref="AB11:AB30" si="6">SUM(Z11/V11)-1</f>
        <v>2.797308372514351E-2</v>
      </c>
    </row>
    <row r="12" spans="1:28" s="18" customFormat="1" ht="5.0999999999999996" customHeight="1">
      <c r="B12" s="16"/>
      <c r="C12" s="17"/>
      <c r="D12" s="17"/>
      <c r="E12" s="17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AB12" s="68"/>
    </row>
    <row r="13" spans="1:28" ht="12.75" customHeight="1">
      <c r="B13" s="9" t="s">
        <v>13</v>
      </c>
      <c r="C13" s="81">
        <v>-18000</v>
      </c>
      <c r="D13" s="81">
        <v>-18520</v>
      </c>
      <c r="E13" s="81">
        <v>-18324</v>
      </c>
      <c r="F13" s="22"/>
      <c r="G13" s="81">
        <v>-4317</v>
      </c>
      <c r="H13" s="81">
        <v>-4912</v>
      </c>
      <c r="I13" s="81">
        <v>-4657</v>
      </c>
      <c r="J13" s="30">
        <f>SUM(D13-SUM(G13:I13))</f>
        <v>-4634</v>
      </c>
      <c r="K13" s="81">
        <v>-4235</v>
      </c>
      <c r="L13" s="81">
        <v>-4812</v>
      </c>
      <c r="M13" s="81">
        <v>-4664</v>
      </c>
      <c r="N13" s="30">
        <f>SUM(E13-SUM(K13:M13))</f>
        <v>-4613</v>
      </c>
      <c r="O13" s="81">
        <v>-4163</v>
      </c>
      <c r="P13" s="76">
        <v>-4714</v>
      </c>
      <c r="Q13" s="76">
        <v>-4797</v>
      </c>
      <c r="S13" s="30">
        <f t="shared" ref="S13:Z13" si="7">SUM(G13:J13)</f>
        <v>-18520</v>
      </c>
      <c r="T13" s="30">
        <f t="shared" si="7"/>
        <v>-18438</v>
      </c>
      <c r="U13" s="30">
        <f t="shared" si="7"/>
        <v>-18338</v>
      </c>
      <c r="V13" s="30">
        <f t="shared" si="7"/>
        <v>-18345</v>
      </c>
      <c r="W13" s="30">
        <f t="shared" si="7"/>
        <v>-18324</v>
      </c>
      <c r="X13" s="30">
        <f t="shared" si="7"/>
        <v>-18252</v>
      </c>
      <c r="Y13" s="30">
        <f t="shared" si="7"/>
        <v>-18154</v>
      </c>
      <c r="Z13" s="30">
        <f t="shared" si="7"/>
        <v>-18287</v>
      </c>
      <c r="AA13" s="11"/>
      <c r="AB13" s="68">
        <f t="shared" si="6"/>
        <v>-3.1616244208231281E-3</v>
      </c>
    </row>
    <row r="14" spans="1:28" ht="12.75" customHeight="1">
      <c r="B14" s="23" t="s">
        <v>20</v>
      </c>
      <c r="C14" s="24">
        <f t="shared" ref="C14:E14" si="8">+SUM(C11+SUM(C13:C13))</f>
        <v>25004</v>
      </c>
      <c r="D14" s="24">
        <f t="shared" si="8"/>
        <v>27234</v>
      </c>
      <c r="E14" s="24">
        <f t="shared" si="8"/>
        <v>28737</v>
      </c>
      <c r="G14" s="24">
        <f t="shared" ref="G14:P14" si="9">+SUM(G11+SUM(G13:G13))</f>
        <v>6663</v>
      </c>
      <c r="H14" s="24">
        <f t="shared" si="9"/>
        <v>7060</v>
      </c>
      <c r="I14" s="24">
        <f t="shared" si="9"/>
        <v>7296</v>
      </c>
      <c r="J14" s="24">
        <f t="shared" si="9"/>
        <v>6215</v>
      </c>
      <c r="K14" s="24">
        <f t="shared" si="9"/>
        <v>7065</v>
      </c>
      <c r="L14" s="24">
        <f t="shared" si="9"/>
        <v>7551</v>
      </c>
      <c r="M14" s="24">
        <f t="shared" si="9"/>
        <v>7190</v>
      </c>
      <c r="N14" s="24">
        <f t="shared" si="9"/>
        <v>6931</v>
      </c>
      <c r="O14" s="24">
        <f t="shared" si="9"/>
        <v>6966</v>
      </c>
      <c r="P14" s="24">
        <f t="shared" si="9"/>
        <v>7821</v>
      </c>
      <c r="Q14" s="24">
        <f t="shared" ref="Q14" si="10">+SUM(Q11+SUM(Q13:Q13))</f>
        <v>7658</v>
      </c>
      <c r="S14" s="24">
        <f t="shared" ref="S14:Z14" si="11">+SUM(S11+SUM(S13:S13))</f>
        <v>27234</v>
      </c>
      <c r="T14" s="24">
        <f t="shared" si="11"/>
        <v>27636</v>
      </c>
      <c r="U14" s="24">
        <f t="shared" si="11"/>
        <v>28127</v>
      </c>
      <c r="V14" s="24">
        <f t="shared" si="11"/>
        <v>28021</v>
      </c>
      <c r="W14" s="24">
        <f t="shared" si="11"/>
        <v>28737</v>
      </c>
      <c r="X14" s="24">
        <f t="shared" si="11"/>
        <v>28638</v>
      </c>
      <c r="Y14" s="24">
        <f t="shared" si="11"/>
        <v>28908</v>
      </c>
      <c r="Z14" s="24">
        <f t="shared" si="11"/>
        <v>29376</v>
      </c>
      <c r="AA14" s="39"/>
      <c r="AB14" s="69">
        <f t="shared" si="6"/>
        <v>4.8356589700581765E-2</v>
      </c>
    </row>
    <row r="15" spans="1:28" ht="12.75" customHeight="1">
      <c r="B15" s="14" t="s">
        <v>30</v>
      </c>
      <c r="C15" s="15">
        <f t="shared" ref="C15:E15" si="12">C14/C11</f>
        <v>0.58143428518277374</v>
      </c>
      <c r="D15" s="15">
        <f t="shared" si="12"/>
        <v>0.5952266468505486</v>
      </c>
      <c r="E15" s="15">
        <f t="shared" si="12"/>
        <v>0.61063300822336963</v>
      </c>
      <c r="F15" s="25"/>
      <c r="G15" s="15">
        <f t="shared" ref="G15:P15" si="13">G14/G11</f>
        <v>0.60683060109289622</v>
      </c>
      <c r="H15" s="15">
        <f t="shared" si="13"/>
        <v>0.58970932175075175</v>
      </c>
      <c r="I15" s="15">
        <f t="shared" si="13"/>
        <v>0.61039069689617664</v>
      </c>
      <c r="J15" s="15">
        <f t="shared" si="13"/>
        <v>0.57286385842013088</v>
      </c>
      <c r="K15" s="15">
        <f t="shared" si="13"/>
        <v>0.62522123893805315</v>
      </c>
      <c r="L15" s="15">
        <f t="shared" si="13"/>
        <v>0.61077408396020383</v>
      </c>
      <c r="M15" s="15">
        <f t="shared" si="13"/>
        <v>0.60654631348068166</v>
      </c>
      <c r="N15" s="15">
        <f t="shared" si="13"/>
        <v>0.60039847539847535</v>
      </c>
      <c r="O15" s="15">
        <f t="shared" si="13"/>
        <v>0.62593224907898282</v>
      </c>
      <c r="P15" s="15">
        <f t="shared" si="13"/>
        <v>0.62393298763462302</v>
      </c>
      <c r="Q15" s="15">
        <f t="shared" ref="Q15" si="14">Q14/Q11</f>
        <v>0.61485347250100364</v>
      </c>
      <c r="R15" s="26"/>
      <c r="S15" s="15">
        <f t="shared" ref="S15:Z15" si="15">S14/S11</f>
        <v>0.5952266468505486</v>
      </c>
      <c r="T15" s="15">
        <f t="shared" si="15"/>
        <v>0.59981768459434825</v>
      </c>
      <c r="U15" s="15">
        <f t="shared" si="15"/>
        <v>0.6053373506940708</v>
      </c>
      <c r="V15" s="15">
        <f t="shared" si="15"/>
        <v>0.60434370012509164</v>
      </c>
      <c r="W15" s="15">
        <f t="shared" si="15"/>
        <v>0.61063300822336963</v>
      </c>
      <c r="X15" s="15">
        <f t="shared" si="15"/>
        <v>0.61074856046065262</v>
      </c>
      <c r="Y15" s="15">
        <f t="shared" si="15"/>
        <v>0.61425353788619264</v>
      </c>
      <c r="Z15" s="15">
        <f t="shared" si="15"/>
        <v>0.61632713005895556</v>
      </c>
      <c r="AA15" s="39"/>
      <c r="AB15" s="70">
        <f>SUM(Z15-V15)*1000</f>
        <v>11.983429933863921</v>
      </c>
    </row>
    <row r="16" spans="1:28" ht="5.0999999999999996" customHeight="1">
      <c r="B16" s="27"/>
      <c r="C16" s="28"/>
      <c r="D16" s="28"/>
      <c r="E16" s="28"/>
      <c r="F16" s="28"/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S16" s="28"/>
      <c r="T16" s="28"/>
      <c r="U16" s="28"/>
      <c r="V16" s="28"/>
      <c r="W16" s="28"/>
      <c r="X16" s="28"/>
      <c r="Y16" s="28"/>
      <c r="Z16" s="28"/>
      <c r="AA16" s="39"/>
      <c r="AB16" s="68"/>
    </row>
    <row r="17" spans="2:28" ht="12.75" customHeight="1">
      <c r="B17" s="9" t="s">
        <v>105</v>
      </c>
      <c r="C17" s="76">
        <v>-12880</v>
      </c>
      <c r="D17" s="76">
        <v>-13972</v>
      </c>
      <c r="E17" s="76">
        <v>-14582</v>
      </c>
      <c r="F17" s="30"/>
      <c r="G17" s="76">
        <v>-3185</v>
      </c>
      <c r="H17" s="76">
        <v>-3321</v>
      </c>
      <c r="I17" s="76">
        <v>-3667</v>
      </c>
      <c r="J17" s="30">
        <f t="shared" ref="J17:J18" si="16">SUM(D17-SUM(G17:I17))</f>
        <v>-3799</v>
      </c>
      <c r="K17" s="76">
        <v>-3351</v>
      </c>
      <c r="L17" s="76">
        <v>-3549</v>
      </c>
      <c r="M17" s="76">
        <v>-3636</v>
      </c>
      <c r="N17" s="30">
        <f t="shared" ref="N17:N18" si="17">SUM(E17-SUM(K17:M17))</f>
        <v>-4046</v>
      </c>
      <c r="O17" s="76">
        <v>-3234</v>
      </c>
      <c r="P17" s="76">
        <v>-3470</v>
      </c>
      <c r="Q17" s="76">
        <v>-3618</v>
      </c>
      <c r="S17" s="30">
        <f t="shared" ref="S17:Z18" si="18">SUM(G17:J17)</f>
        <v>-13972</v>
      </c>
      <c r="T17" s="30">
        <f t="shared" si="18"/>
        <v>-14138</v>
      </c>
      <c r="U17" s="30">
        <f t="shared" si="18"/>
        <v>-14366</v>
      </c>
      <c r="V17" s="30">
        <f t="shared" si="18"/>
        <v>-14335</v>
      </c>
      <c r="W17" s="30">
        <f t="shared" si="18"/>
        <v>-14582</v>
      </c>
      <c r="X17" s="30">
        <f t="shared" si="18"/>
        <v>-14465</v>
      </c>
      <c r="Y17" s="30">
        <f t="shared" si="18"/>
        <v>-14386</v>
      </c>
      <c r="Z17" s="30">
        <f t="shared" si="18"/>
        <v>-14368</v>
      </c>
      <c r="AA17" s="11"/>
      <c r="AB17" s="68">
        <f t="shared" si="6"/>
        <v>2.302057900244181E-3</v>
      </c>
    </row>
    <row r="18" spans="2:28" ht="12.75" customHeight="1">
      <c r="B18" s="9" t="s">
        <v>106</v>
      </c>
      <c r="C18" s="76">
        <v>-1215</v>
      </c>
      <c r="D18" s="76">
        <v>-1951</v>
      </c>
      <c r="E18" s="76">
        <v>-4163</v>
      </c>
      <c r="F18" s="30"/>
      <c r="G18" s="76">
        <v>-111</v>
      </c>
      <c r="H18" s="76">
        <v>-1338</v>
      </c>
      <c r="I18" s="76">
        <v>-359</v>
      </c>
      <c r="J18" s="30">
        <f t="shared" si="16"/>
        <v>-143</v>
      </c>
      <c r="K18" s="76">
        <v>-1573</v>
      </c>
      <c r="L18" s="76">
        <v>-1370</v>
      </c>
      <c r="M18" s="76">
        <v>-1044</v>
      </c>
      <c r="N18" s="30">
        <f t="shared" si="17"/>
        <v>-176</v>
      </c>
      <c r="O18" s="76">
        <v>-73</v>
      </c>
      <c r="P18" s="76">
        <v>-71</v>
      </c>
      <c r="Q18" s="76">
        <v>-58</v>
      </c>
      <c r="S18" s="30">
        <f t="shared" si="18"/>
        <v>-1951</v>
      </c>
      <c r="T18" s="30">
        <f t="shared" si="18"/>
        <v>-3413</v>
      </c>
      <c r="U18" s="30">
        <f t="shared" si="18"/>
        <v>-3445</v>
      </c>
      <c r="V18" s="30">
        <f t="shared" si="18"/>
        <v>-4130</v>
      </c>
      <c r="W18" s="30">
        <f t="shared" si="18"/>
        <v>-4163</v>
      </c>
      <c r="X18" s="30">
        <f t="shared" si="18"/>
        <v>-2663</v>
      </c>
      <c r="Y18" s="30">
        <f t="shared" si="18"/>
        <v>-1364</v>
      </c>
      <c r="Z18" s="30">
        <f t="shared" si="18"/>
        <v>-378</v>
      </c>
      <c r="AA18" s="11"/>
      <c r="AB18" s="68">
        <f t="shared" ref="AB18" si="19">SUM(Z18/V18)-1</f>
        <v>-0.90847457627118644</v>
      </c>
    </row>
    <row r="19" spans="2:28" ht="12.75" customHeight="1">
      <c r="B19" s="23" t="s">
        <v>79</v>
      </c>
      <c r="C19" s="24">
        <f>+SUM(C14+SUM(C17:C18))</f>
        <v>10909</v>
      </c>
      <c r="D19" s="24">
        <f>+SUM(D14+SUM(D17:D18))</f>
        <v>11311</v>
      </c>
      <c r="E19" s="24">
        <f>+SUM(E14+SUM(E17:E18))</f>
        <v>9992</v>
      </c>
      <c r="F19" s="30"/>
      <c r="G19" s="24">
        <f t="shared" ref="G19:Q19" si="20">+SUM(G14+SUM(G17:G18))</f>
        <v>3367</v>
      </c>
      <c r="H19" s="24">
        <f t="shared" si="20"/>
        <v>2401</v>
      </c>
      <c r="I19" s="24">
        <f t="shared" si="20"/>
        <v>3270</v>
      </c>
      <c r="J19" s="24">
        <f t="shared" si="20"/>
        <v>2273</v>
      </c>
      <c r="K19" s="24">
        <f t="shared" si="20"/>
        <v>2141</v>
      </c>
      <c r="L19" s="24">
        <f t="shared" si="20"/>
        <v>2632</v>
      </c>
      <c r="M19" s="24">
        <f t="shared" si="20"/>
        <v>2510</v>
      </c>
      <c r="N19" s="24">
        <f t="shared" si="20"/>
        <v>2709</v>
      </c>
      <c r="O19" s="24">
        <f t="shared" si="20"/>
        <v>3659</v>
      </c>
      <c r="P19" s="24">
        <f t="shared" si="20"/>
        <v>4280</v>
      </c>
      <c r="Q19" s="24">
        <f t="shared" si="20"/>
        <v>3982</v>
      </c>
      <c r="S19" s="24">
        <f t="shared" ref="S19:Z19" si="21">+SUM(S14+SUM(S17:S18))</f>
        <v>11311</v>
      </c>
      <c r="T19" s="24">
        <f t="shared" si="21"/>
        <v>10085</v>
      </c>
      <c r="U19" s="24">
        <f t="shared" si="21"/>
        <v>10316</v>
      </c>
      <c r="V19" s="24">
        <f t="shared" si="21"/>
        <v>9556</v>
      </c>
      <c r="W19" s="24">
        <f t="shared" si="21"/>
        <v>9992</v>
      </c>
      <c r="X19" s="24">
        <f t="shared" si="21"/>
        <v>11510</v>
      </c>
      <c r="Y19" s="24">
        <f t="shared" si="21"/>
        <v>13158</v>
      </c>
      <c r="Z19" s="24">
        <f t="shared" si="21"/>
        <v>14630</v>
      </c>
      <c r="AA19" s="11"/>
      <c r="AB19" s="69">
        <f t="shared" si="6"/>
        <v>0.53097530347425703</v>
      </c>
    </row>
    <row r="20" spans="2:28" ht="12.75" customHeight="1">
      <c r="B20" s="14" t="s">
        <v>32</v>
      </c>
      <c r="C20" s="15">
        <f>C19/C11</f>
        <v>0.25367407683006232</v>
      </c>
      <c r="D20" s="15">
        <f>D19/D11</f>
        <v>0.24721335839489444</v>
      </c>
      <c r="E20" s="15">
        <f>E19/E11</f>
        <v>0.21232018019166612</v>
      </c>
      <c r="F20" s="30"/>
      <c r="G20" s="15">
        <f t="shared" ref="G20:Q20" si="22">G19/G11</f>
        <v>0.30664845173041894</v>
      </c>
      <c r="H20" s="15">
        <f t="shared" si="22"/>
        <v>0.20055128633478114</v>
      </c>
      <c r="I20" s="15">
        <f t="shared" si="22"/>
        <v>0.27357148832928974</v>
      </c>
      <c r="J20" s="15">
        <f t="shared" si="22"/>
        <v>0.20951239745598674</v>
      </c>
      <c r="K20" s="15">
        <f t="shared" si="22"/>
        <v>0.18946902654867256</v>
      </c>
      <c r="L20" s="15">
        <f t="shared" si="22"/>
        <v>0.21289331068510881</v>
      </c>
      <c r="M20" s="15">
        <f t="shared" si="22"/>
        <v>0.21174287160452168</v>
      </c>
      <c r="N20" s="15">
        <f t="shared" si="22"/>
        <v>0.23466735966735966</v>
      </c>
      <c r="O20" s="15">
        <f t="shared" si="22"/>
        <v>0.32878066313235693</v>
      </c>
      <c r="P20" s="15">
        <f t="shared" si="22"/>
        <v>0.34144395692062224</v>
      </c>
      <c r="Q20" s="15">
        <f t="shared" si="22"/>
        <v>0.31971095945403455</v>
      </c>
      <c r="S20" s="15">
        <f t="shared" ref="S20:Z20" si="23">S19/S11</f>
        <v>0.24721335839489444</v>
      </c>
      <c r="T20" s="15">
        <f t="shared" si="23"/>
        <v>0.2188870078569258</v>
      </c>
      <c r="U20" s="15">
        <f t="shared" si="23"/>
        <v>0.22201657161304209</v>
      </c>
      <c r="V20" s="15">
        <f t="shared" si="23"/>
        <v>0.2060992968985895</v>
      </c>
      <c r="W20" s="15">
        <f t="shared" si="23"/>
        <v>0.21232018019166612</v>
      </c>
      <c r="X20" s="15">
        <f t="shared" si="23"/>
        <v>0.2454681168692685</v>
      </c>
      <c r="Y20" s="15">
        <f t="shared" si="23"/>
        <v>0.27958862776762566</v>
      </c>
      <c r="Z20" s="15">
        <f t="shared" si="23"/>
        <v>0.30694668820678511</v>
      </c>
      <c r="AA20" s="11"/>
      <c r="AB20" s="70">
        <f>SUM(Z20-V20)*1000</f>
        <v>100.84739130819561</v>
      </c>
    </row>
    <row r="21" spans="2:28" ht="5.0999999999999996" customHeight="1">
      <c r="B21" s="14"/>
      <c r="C21" s="15"/>
      <c r="D21" s="15"/>
      <c r="E21" s="15"/>
      <c r="F21" s="30"/>
      <c r="G21" s="76"/>
      <c r="H21" s="76"/>
      <c r="I21" s="76"/>
      <c r="J21" s="76"/>
      <c r="K21" s="76"/>
      <c r="L21" s="76"/>
      <c r="M21" s="76"/>
      <c r="N21" s="76"/>
      <c r="O21" s="76"/>
      <c r="P21" s="76"/>
      <c r="Q21" s="76"/>
      <c r="S21" s="30"/>
      <c r="T21" s="30"/>
      <c r="U21" s="30"/>
      <c r="V21" s="30"/>
      <c r="W21" s="30"/>
      <c r="X21" s="30"/>
      <c r="Y21" s="30"/>
      <c r="Z21" s="30"/>
      <c r="AA21" s="11"/>
      <c r="AB21" s="68"/>
    </row>
    <row r="22" spans="2:28" ht="12.75" customHeight="1">
      <c r="B22" s="9" t="s">
        <v>107</v>
      </c>
      <c r="C22" s="76">
        <v>449</v>
      </c>
      <c r="D22" s="76">
        <v>907</v>
      </c>
      <c r="E22" s="76">
        <v>988</v>
      </c>
      <c r="F22" s="30"/>
      <c r="G22" s="76">
        <v>168</v>
      </c>
      <c r="H22" s="76">
        <v>224</v>
      </c>
      <c r="I22" s="76">
        <v>248</v>
      </c>
      <c r="J22" s="30">
        <f t="shared" ref="J22:J25" si="24">SUM(D22-SUM(G22:I22))</f>
        <v>267</v>
      </c>
      <c r="K22" s="76">
        <v>246</v>
      </c>
      <c r="L22" s="76">
        <v>275</v>
      </c>
      <c r="M22" s="76">
        <v>263</v>
      </c>
      <c r="N22" s="30">
        <f t="shared" ref="N22:N25" si="25">SUM(E22-SUM(K22:M22))</f>
        <v>204</v>
      </c>
      <c r="O22" s="76">
        <v>180</v>
      </c>
      <c r="P22" s="76">
        <v>188</v>
      </c>
      <c r="Q22" s="76">
        <v>185</v>
      </c>
      <c r="S22" s="30">
        <f t="shared" ref="S22:Z25" si="26">SUM(G22:J22)</f>
        <v>907</v>
      </c>
      <c r="T22" s="30">
        <f t="shared" si="26"/>
        <v>985</v>
      </c>
      <c r="U22" s="30">
        <f t="shared" si="26"/>
        <v>1036</v>
      </c>
      <c r="V22" s="30">
        <f t="shared" si="26"/>
        <v>1051</v>
      </c>
      <c r="W22" s="30">
        <f t="shared" si="26"/>
        <v>988</v>
      </c>
      <c r="X22" s="30">
        <f t="shared" si="26"/>
        <v>922</v>
      </c>
      <c r="Y22" s="30">
        <f t="shared" si="26"/>
        <v>835</v>
      </c>
      <c r="Z22" s="30">
        <f t="shared" si="26"/>
        <v>757</v>
      </c>
      <c r="AA22" s="11"/>
      <c r="AB22" s="68">
        <f t="shared" si="6"/>
        <v>-0.27973358705994289</v>
      </c>
    </row>
    <row r="23" spans="2:28" ht="12.75" customHeight="1">
      <c r="B23" s="9" t="s">
        <v>108</v>
      </c>
      <c r="C23" s="76">
        <v>-882</v>
      </c>
      <c r="D23" s="76">
        <v>-1527</v>
      </c>
      <c r="E23" s="76">
        <v>-1656</v>
      </c>
      <c r="F23" s="30"/>
      <c r="G23" s="76">
        <v>-372</v>
      </c>
      <c r="H23" s="76">
        <v>-374</v>
      </c>
      <c r="I23" s="76">
        <v>-368</v>
      </c>
      <c r="J23" s="30">
        <f t="shared" si="24"/>
        <v>-413</v>
      </c>
      <c r="K23" s="76">
        <v>-382</v>
      </c>
      <c r="L23" s="76">
        <v>-418</v>
      </c>
      <c r="M23" s="76">
        <v>-425</v>
      </c>
      <c r="N23" s="30">
        <f t="shared" si="25"/>
        <v>-431</v>
      </c>
      <c r="O23" s="76">
        <v>-387</v>
      </c>
      <c r="P23" s="76">
        <v>-445</v>
      </c>
      <c r="Q23" s="76">
        <v>-391</v>
      </c>
      <c r="S23" s="30">
        <f t="shared" si="26"/>
        <v>-1527</v>
      </c>
      <c r="T23" s="30">
        <f t="shared" si="26"/>
        <v>-1537</v>
      </c>
      <c r="U23" s="30">
        <f t="shared" si="26"/>
        <v>-1581</v>
      </c>
      <c r="V23" s="30">
        <f t="shared" si="26"/>
        <v>-1638</v>
      </c>
      <c r="W23" s="30">
        <f t="shared" si="26"/>
        <v>-1656</v>
      </c>
      <c r="X23" s="30">
        <f t="shared" si="26"/>
        <v>-1661</v>
      </c>
      <c r="Y23" s="30">
        <f t="shared" si="26"/>
        <v>-1688</v>
      </c>
      <c r="Z23" s="30">
        <f t="shared" si="26"/>
        <v>-1654</v>
      </c>
      <c r="AA23" s="11"/>
      <c r="AB23" s="68">
        <f t="shared" ref="AB23" si="27">SUM(Z23/V23)-1</f>
        <v>9.7680097680097333E-3</v>
      </c>
    </row>
    <row r="24" spans="2:28" ht="12.75" customHeight="1">
      <c r="B24" s="9" t="s">
        <v>109</v>
      </c>
      <c r="C24" s="76">
        <v>1472</v>
      </c>
      <c r="D24" s="76">
        <v>1691</v>
      </c>
      <c r="E24" s="76">
        <v>1770</v>
      </c>
      <c r="F24" s="30"/>
      <c r="G24" s="76">
        <v>275</v>
      </c>
      <c r="H24" s="76">
        <v>538</v>
      </c>
      <c r="I24" s="76">
        <v>517</v>
      </c>
      <c r="J24" s="30">
        <f t="shared" si="24"/>
        <v>361</v>
      </c>
      <c r="K24" s="76">
        <v>354</v>
      </c>
      <c r="L24" s="76">
        <v>537</v>
      </c>
      <c r="M24" s="76">
        <v>541</v>
      </c>
      <c r="N24" s="30">
        <f t="shared" si="25"/>
        <v>338</v>
      </c>
      <c r="O24" s="76">
        <v>351</v>
      </c>
      <c r="P24" s="76">
        <v>561</v>
      </c>
      <c r="Q24" s="76">
        <v>644</v>
      </c>
      <c r="S24" s="30">
        <f t="shared" si="26"/>
        <v>1691</v>
      </c>
      <c r="T24" s="30">
        <f t="shared" si="26"/>
        <v>1770</v>
      </c>
      <c r="U24" s="30">
        <f t="shared" si="26"/>
        <v>1769</v>
      </c>
      <c r="V24" s="30">
        <f t="shared" si="26"/>
        <v>1793</v>
      </c>
      <c r="W24" s="30">
        <f t="shared" si="26"/>
        <v>1770</v>
      </c>
      <c r="X24" s="30">
        <f t="shared" si="26"/>
        <v>1767</v>
      </c>
      <c r="Y24" s="30">
        <f t="shared" si="26"/>
        <v>1791</v>
      </c>
      <c r="Z24" s="30">
        <f t="shared" si="26"/>
        <v>1894</v>
      </c>
      <c r="AA24" s="11"/>
      <c r="AB24" s="68">
        <f t="shared" si="6"/>
        <v>5.6330172894589969E-2</v>
      </c>
    </row>
    <row r="25" spans="2:28" ht="12.75" customHeight="1">
      <c r="B25" s="9" t="s">
        <v>110</v>
      </c>
      <c r="C25" s="76">
        <v>-262</v>
      </c>
      <c r="D25" s="76">
        <v>570</v>
      </c>
      <c r="E25" s="76">
        <v>1992</v>
      </c>
      <c r="F25" s="30"/>
      <c r="G25" s="76">
        <v>615</v>
      </c>
      <c r="H25" s="76">
        <v>91</v>
      </c>
      <c r="I25" s="76">
        <v>-130</v>
      </c>
      <c r="J25" s="30">
        <f t="shared" si="24"/>
        <v>-6</v>
      </c>
      <c r="K25" s="76">
        <v>1513</v>
      </c>
      <c r="L25" s="76">
        <v>2</v>
      </c>
      <c r="M25" s="76">
        <v>491</v>
      </c>
      <c r="N25" s="30">
        <f t="shared" si="25"/>
        <v>-14</v>
      </c>
      <c r="O25" s="76">
        <v>254</v>
      </c>
      <c r="P25" s="76">
        <v>212</v>
      </c>
      <c r="Q25" s="76">
        <v>-237</v>
      </c>
      <c r="S25" s="30">
        <f t="shared" si="26"/>
        <v>570</v>
      </c>
      <c r="T25" s="30">
        <f t="shared" si="26"/>
        <v>1468</v>
      </c>
      <c r="U25" s="30">
        <f t="shared" si="26"/>
        <v>1379</v>
      </c>
      <c r="V25" s="30">
        <f t="shared" si="26"/>
        <v>2000</v>
      </c>
      <c r="W25" s="30">
        <f t="shared" si="26"/>
        <v>1992</v>
      </c>
      <c r="X25" s="30">
        <f t="shared" si="26"/>
        <v>733</v>
      </c>
      <c r="Y25" s="30">
        <f t="shared" si="26"/>
        <v>943</v>
      </c>
      <c r="Z25" s="30">
        <f t="shared" si="26"/>
        <v>215</v>
      </c>
      <c r="AA25" s="11"/>
      <c r="AB25" s="68">
        <f t="shared" si="6"/>
        <v>-0.89249999999999996</v>
      </c>
    </row>
    <row r="26" spans="2:28" ht="12.75" customHeight="1">
      <c r="B26" s="23" t="s">
        <v>104</v>
      </c>
      <c r="C26" s="24">
        <f>SUM(C22:C25)+C19</f>
        <v>11686</v>
      </c>
      <c r="D26" s="24">
        <f>SUM(D22:D25)+D19</f>
        <v>12952</v>
      </c>
      <c r="E26" s="24">
        <f>SUM(E22:E25)+E19</f>
        <v>13086</v>
      </c>
      <c r="F26" s="30"/>
      <c r="G26" s="24">
        <f t="shared" ref="G26" si="28">SUM(G22:G25)+G19</f>
        <v>4053</v>
      </c>
      <c r="H26" s="24">
        <f t="shared" ref="H26" si="29">SUM(H22:H25)+H19</f>
        <v>2880</v>
      </c>
      <c r="I26" s="24">
        <f t="shared" ref="I26" si="30">SUM(I22:I25)+I19</f>
        <v>3537</v>
      </c>
      <c r="J26" s="24">
        <f t="shared" ref="J26" si="31">SUM(J22:J25)+J19</f>
        <v>2482</v>
      </c>
      <c r="K26" s="24">
        <f t="shared" ref="K26" si="32">SUM(K22:K25)+K19</f>
        <v>3872</v>
      </c>
      <c r="L26" s="24">
        <f t="shared" ref="L26" si="33">SUM(L22:L25)+L19</f>
        <v>3028</v>
      </c>
      <c r="M26" s="24">
        <f t="shared" ref="M26" si="34">SUM(M22:M25)+M19</f>
        <v>3380</v>
      </c>
      <c r="N26" s="24">
        <f t="shared" ref="N26" si="35">SUM(N22:N25)+N19</f>
        <v>2806</v>
      </c>
      <c r="O26" s="24">
        <f t="shared" ref="O26" si="36">SUM(O22:O25)+O19</f>
        <v>4057</v>
      </c>
      <c r="P26" s="24">
        <f t="shared" ref="P26" si="37">SUM(P22:P25)+P19</f>
        <v>4796</v>
      </c>
      <c r="Q26" s="24">
        <f>SUM(Q22:Q25)+Q19</f>
        <v>4183</v>
      </c>
      <c r="S26" s="24">
        <f t="shared" ref="S26" si="38">SUM(S22:S25)+S19</f>
        <v>12952</v>
      </c>
      <c r="T26" s="24">
        <f t="shared" ref="T26" si="39">SUM(T22:T25)+T19</f>
        <v>12771</v>
      </c>
      <c r="U26" s="24">
        <f t="shared" ref="U26" si="40">SUM(U22:U25)+U19</f>
        <v>12919</v>
      </c>
      <c r="V26" s="24">
        <f t="shared" ref="V26" si="41">SUM(V22:V25)+V19</f>
        <v>12762</v>
      </c>
      <c r="W26" s="24">
        <f t="shared" ref="W26" si="42">SUM(W22:W25)+W19</f>
        <v>13086</v>
      </c>
      <c r="X26" s="24">
        <f t="shared" ref="X26" si="43">SUM(X22:X25)+X19</f>
        <v>13271</v>
      </c>
      <c r="Y26" s="24">
        <f t="shared" ref="Y26" si="44">SUM(Y22:Y25)+Y19</f>
        <v>15039</v>
      </c>
      <c r="Z26" s="24">
        <f t="shared" ref="Z26" si="45">SUM(Z22:Z25)+Z19</f>
        <v>15842</v>
      </c>
      <c r="AA26" s="11"/>
      <c r="AB26" s="68">
        <f t="shared" si="6"/>
        <v>0.24134148252624987</v>
      </c>
    </row>
    <row r="27" spans="2:28" ht="12.75" customHeight="1">
      <c r="B27" s="14" t="s">
        <v>80</v>
      </c>
      <c r="C27" s="15">
        <f>C26/C11</f>
        <v>0.27174216351967256</v>
      </c>
      <c r="D27" s="15">
        <f>D26/D11</f>
        <v>0.28307907505354724</v>
      </c>
      <c r="E27" s="15">
        <f>E26/E11</f>
        <v>0.27806463951042265</v>
      </c>
      <c r="F27" s="25"/>
      <c r="G27" s="15">
        <f t="shared" ref="G27:Q27" si="46">G26/G11</f>
        <v>0.36912568306010929</v>
      </c>
      <c r="H27" s="15">
        <f t="shared" si="46"/>
        <v>0.24056130972268627</v>
      </c>
      <c r="I27" s="15">
        <f t="shared" si="46"/>
        <v>0.29590897682590145</v>
      </c>
      <c r="J27" s="15">
        <f t="shared" si="46"/>
        <v>0.22877684579223892</v>
      </c>
      <c r="K27" s="15">
        <f t="shared" si="46"/>
        <v>0.34265486725663719</v>
      </c>
      <c r="L27" s="15">
        <f t="shared" si="46"/>
        <v>0.24492437110733642</v>
      </c>
      <c r="M27" s="15">
        <f t="shared" si="46"/>
        <v>0.28513581913278219</v>
      </c>
      <c r="N27" s="15">
        <f t="shared" si="46"/>
        <v>0.24306999306999308</v>
      </c>
      <c r="O27" s="15">
        <f t="shared" si="46"/>
        <v>0.36454308563213228</v>
      </c>
      <c r="P27" s="15">
        <f t="shared" si="46"/>
        <v>0.38260869565217392</v>
      </c>
      <c r="Q27" s="15">
        <f t="shared" si="46"/>
        <v>0.33584905660377357</v>
      </c>
      <c r="S27" s="15">
        <f t="shared" ref="S27:Z27" si="47">S26/S11</f>
        <v>0.28307907505354724</v>
      </c>
      <c r="T27" s="15">
        <f t="shared" si="47"/>
        <v>0.27718452923557757</v>
      </c>
      <c r="U27" s="15">
        <f t="shared" si="47"/>
        <v>0.27803723232540623</v>
      </c>
      <c r="V27" s="15">
        <f t="shared" si="47"/>
        <v>0.27524479144200492</v>
      </c>
      <c r="W27" s="15">
        <f t="shared" si="47"/>
        <v>0.27806463951042265</v>
      </c>
      <c r="X27" s="15">
        <f t="shared" si="47"/>
        <v>0.28302409895500108</v>
      </c>
      <c r="Y27" s="15">
        <f t="shared" si="47"/>
        <v>0.31955717989035742</v>
      </c>
      <c r="Z27" s="15">
        <f t="shared" si="47"/>
        <v>0.33237521767408684</v>
      </c>
      <c r="AA27" s="40"/>
      <c r="AB27" s="70">
        <f>SUM(Z27-V27)*1000</f>
        <v>57.130426232081923</v>
      </c>
    </row>
    <row r="28" spans="2:28" ht="5.0999999999999996" customHeight="1">
      <c r="B28" s="9"/>
      <c r="C28" s="76"/>
      <c r="D28" s="76"/>
      <c r="E28" s="76"/>
      <c r="F28" s="30"/>
      <c r="G28" s="76"/>
      <c r="H28" s="76"/>
      <c r="I28" s="76"/>
      <c r="J28" s="30"/>
      <c r="K28" s="76"/>
      <c r="L28" s="76"/>
      <c r="M28" s="76"/>
      <c r="N28" s="30"/>
      <c r="O28" s="76"/>
      <c r="P28" s="76"/>
      <c r="Q28" s="76"/>
      <c r="S28" s="30"/>
      <c r="T28" s="30"/>
      <c r="U28" s="30"/>
      <c r="V28" s="30"/>
      <c r="W28" s="30"/>
      <c r="X28" s="30"/>
      <c r="Y28" s="30"/>
      <c r="Z28" s="30"/>
      <c r="AA28" s="11"/>
      <c r="AB28" s="68"/>
    </row>
    <row r="29" spans="2:28" ht="12.75" customHeight="1">
      <c r="B29" s="9" t="s">
        <v>84</v>
      </c>
      <c r="C29" s="76">
        <v>-2115</v>
      </c>
      <c r="D29" s="76">
        <v>-2249</v>
      </c>
      <c r="E29" s="76">
        <v>-2437</v>
      </c>
      <c r="F29" s="30"/>
      <c r="G29" s="76">
        <v>-940</v>
      </c>
      <c r="H29" s="76">
        <v>-359</v>
      </c>
      <c r="I29" s="76">
        <v>-454</v>
      </c>
      <c r="J29" s="30">
        <f t="shared" ref="J29" si="48">SUM(D29-SUM(G29:I29))</f>
        <v>-496</v>
      </c>
      <c r="K29" s="76">
        <v>-687</v>
      </c>
      <c r="L29" s="76">
        <v>-627</v>
      </c>
      <c r="M29" s="76">
        <v>-530</v>
      </c>
      <c r="N29" s="30">
        <f t="shared" ref="N29" si="49">SUM(E29-SUM(K29:M29))</f>
        <v>-593</v>
      </c>
      <c r="O29" s="76">
        <v>-722</v>
      </c>
      <c r="P29" s="76">
        <v>-993</v>
      </c>
      <c r="Q29" s="76">
        <v>-500</v>
      </c>
      <c r="S29" s="30">
        <f t="shared" ref="S29:Z29" si="50">SUM(G29:J29)</f>
        <v>-2249</v>
      </c>
      <c r="T29" s="30">
        <f t="shared" si="50"/>
        <v>-1996</v>
      </c>
      <c r="U29" s="30">
        <f t="shared" si="50"/>
        <v>-2264</v>
      </c>
      <c r="V29" s="30">
        <f t="shared" si="50"/>
        <v>-2340</v>
      </c>
      <c r="W29" s="30">
        <f t="shared" si="50"/>
        <v>-2437</v>
      </c>
      <c r="X29" s="30">
        <f t="shared" si="50"/>
        <v>-2472</v>
      </c>
      <c r="Y29" s="30">
        <f t="shared" si="50"/>
        <v>-2838</v>
      </c>
      <c r="Z29" s="30">
        <f t="shared" si="50"/>
        <v>-2808</v>
      </c>
      <c r="AA29" s="11"/>
      <c r="AB29" s="68">
        <f t="shared" si="6"/>
        <v>0.19999999999999996</v>
      </c>
    </row>
    <row r="30" spans="2:28" ht="12.75" customHeight="1">
      <c r="B30" s="12" t="s">
        <v>111</v>
      </c>
      <c r="C30" s="13">
        <f>SUM(C26+SUM(C29:C29))</f>
        <v>9571</v>
      </c>
      <c r="D30" s="13">
        <f>SUM(D26+SUM(D29:D29))</f>
        <v>10703</v>
      </c>
      <c r="E30" s="13">
        <f>SUM(E26+SUM(E29:E29))</f>
        <v>10649</v>
      </c>
      <c r="G30" s="13">
        <f t="shared" ref="G30:Q30" si="51">SUM(G26+SUM(G29:G29))</f>
        <v>3113</v>
      </c>
      <c r="H30" s="13">
        <f t="shared" si="51"/>
        <v>2521</v>
      </c>
      <c r="I30" s="13">
        <f t="shared" si="51"/>
        <v>3083</v>
      </c>
      <c r="J30" s="13">
        <f t="shared" si="51"/>
        <v>1986</v>
      </c>
      <c r="K30" s="13">
        <f t="shared" si="51"/>
        <v>3185</v>
      </c>
      <c r="L30" s="13">
        <f t="shared" si="51"/>
        <v>2401</v>
      </c>
      <c r="M30" s="13">
        <f t="shared" si="51"/>
        <v>2850</v>
      </c>
      <c r="N30" s="13">
        <f t="shared" si="51"/>
        <v>2213</v>
      </c>
      <c r="O30" s="13">
        <f t="shared" si="51"/>
        <v>3335</v>
      </c>
      <c r="P30" s="13">
        <f t="shared" si="51"/>
        <v>3803</v>
      </c>
      <c r="Q30" s="13">
        <f t="shared" si="51"/>
        <v>3683</v>
      </c>
      <c r="S30" s="13">
        <f t="shared" ref="S30:Z30" si="52">SUM(S26+SUM(S29:S29))</f>
        <v>10703</v>
      </c>
      <c r="T30" s="13">
        <f t="shared" si="52"/>
        <v>10775</v>
      </c>
      <c r="U30" s="13">
        <f t="shared" si="52"/>
        <v>10655</v>
      </c>
      <c r="V30" s="13">
        <f t="shared" si="52"/>
        <v>10422</v>
      </c>
      <c r="W30" s="13">
        <f t="shared" si="52"/>
        <v>10649</v>
      </c>
      <c r="X30" s="13">
        <f t="shared" si="52"/>
        <v>10799</v>
      </c>
      <c r="Y30" s="13">
        <f t="shared" si="52"/>
        <v>12201</v>
      </c>
      <c r="Z30" s="13">
        <f t="shared" si="52"/>
        <v>13034</v>
      </c>
      <c r="AA30" s="39"/>
      <c r="AB30" s="69">
        <f t="shared" si="6"/>
        <v>0.25062368067549423</v>
      </c>
    </row>
    <row r="31" spans="2:28" ht="5.0999999999999996" customHeight="1">
      <c r="B31" s="14"/>
      <c r="C31" s="15"/>
      <c r="D31" s="15"/>
      <c r="E31" s="15"/>
      <c r="F31" s="2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S31" s="15"/>
      <c r="T31" s="15"/>
      <c r="U31" s="15"/>
      <c r="V31" s="15"/>
      <c r="W31" s="15"/>
      <c r="X31" s="15"/>
      <c r="Y31" s="15"/>
      <c r="Z31" s="15"/>
      <c r="AA31" s="40"/>
      <c r="AB31" s="70"/>
    </row>
    <row r="32" spans="2:28" ht="12.75" customHeight="1">
      <c r="B32" s="9" t="s">
        <v>154</v>
      </c>
      <c r="C32" s="76">
        <v>-29</v>
      </c>
      <c r="D32" s="76">
        <v>11</v>
      </c>
      <c r="E32" s="76">
        <v>-18</v>
      </c>
      <c r="F32" s="30"/>
      <c r="G32" s="76">
        <v>-6</v>
      </c>
      <c r="H32" s="76">
        <v>26</v>
      </c>
      <c r="I32" s="76">
        <v>4</v>
      </c>
      <c r="J32" s="30">
        <f t="shared" ref="J32" si="53">SUM(D32-SUM(G32:I32))</f>
        <v>-13</v>
      </c>
      <c r="K32" s="76">
        <v>-8</v>
      </c>
      <c r="L32" s="76">
        <v>10</v>
      </c>
      <c r="M32" s="76">
        <v>-2</v>
      </c>
      <c r="N32" s="30">
        <f t="shared" ref="N32" si="54">SUM(E32-SUM(K32:M32))</f>
        <v>-18</v>
      </c>
      <c r="O32" s="76">
        <v>-5</v>
      </c>
      <c r="P32" s="76">
        <v>-7</v>
      </c>
      <c r="Q32" s="76">
        <v>13</v>
      </c>
      <c r="S32" s="30">
        <f t="shared" ref="S32:Z32" si="55">SUM(G32:J32)</f>
        <v>11</v>
      </c>
      <c r="T32" s="30">
        <f t="shared" si="55"/>
        <v>9</v>
      </c>
      <c r="U32" s="30">
        <f t="shared" si="55"/>
        <v>-7</v>
      </c>
      <c r="V32" s="30">
        <f t="shared" si="55"/>
        <v>-13</v>
      </c>
      <c r="W32" s="30">
        <f t="shared" si="55"/>
        <v>-18</v>
      </c>
      <c r="X32" s="30">
        <f t="shared" si="55"/>
        <v>-15</v>
      </c>
      <c r="Y32" s="30">
        <f t="shared" si="55"/>
        <v>-32</v>
      </c>
      <c r="Z32" s="30">
        <f t="shared" si="55"/>
        <v>-17</v>
      </c>
      <c r="AA32" s="11"/>
      <c r="AB32" s="68">
        <f t="shared" ref="AB32:AB33" si="56">SUM(Z32/V32)-1</f>
        <v>0.30769230769230771</v>
      </c>
    </row>
    <row r="33" spans="1:28" ht="12.75" customHeight="1">
      <c r="B33" s="12" t="s">
        <v>112</v>
      </c>
      <c r="C33" s="13">
        <f t="shared" ref="C33:D33" si="57">+C30+C32</f>
        <v>9542</v>
      </c>
      <c r="D33" s="13">
        <f t="shared" si="57"/>
        <v>10714</v>
      </c>
      <c r="E33" s="13">
        <f>E30+E32</f>
        <v>10631</v>
      </c>
      <c r="G33" s="13">
        <f t="shared" ref="G33:Q33" si="58">SUM(G30+SUM(G32:G32))</f>
        <v>3107</v>
      </c>
      <c r="H33" s="13">
        <f t="shared" si="58"/>
        <v>2547</v>
      </c>
      <c r="I33" s="13">
        <f t="shared" si="58"/>
        <v>3087</v>
      </c>
      <c r="J33" s="13">
        <f t="shared" si="58"/>
        <v>1973</v>
      </c>
      <c r="K33" s="13">
        <f t="shared" si="58"/>
        <v>3177</v>
      </c>
      <c r="L33" s="13">
        <f t="shared" si="58"/>
        <v>2411</v>
      </c>
      <c r="M33" s="13">
        <f t="shared" si="58"/>
        <v>2848</v>
      </c>
      <c r="N33" s="13">
        <f t="shared" si="58"/>
        <v>2195</v>
      </c>
      <c r="O33" s="13">
        <f t="shared" si="58"/>
        <v>3330</v>
      </c>
      <c r="P33" s="13">
        <f t="shared" si="58"/>
        <v>3796</v>
      </c>
      <c r="Q33" s="13">
        <f t="shared" si="58"/>
        <v>3696</v>
      </c>
      <c r="S33" s="13">
        <f t="shared" ref="S33:Z33" si="59">SUM(S30+SUM(S32:S32))</f>
        <v>10714</v>
      </c>
      <c r="T33" s="13">
        <f t="shared" si="59"/>
        <v>10784</v>
      </c>
      <c r="U33" s="13">
        <f t="shared" si="59"/>
        <v>10648</v>
      </c>
      <c r="V33" s="13">
        <f t="shared" si="59"/>
        <v>10409</v>
      </c>
      <c r="W33" s="13">
        <f t="shared" si="59"/>
        <v>10631</v>
      </c>
      <c r="X33" s="13">
        <f t="shared" si="59"/>
        <v>10784</v>
      </c>
      <c r="Y33" s="13">
        <f t="shared" si="59"/>
        <v>12169</v>
      </c>
      <c r="Z33" s="13">
        <f t="shared" si="59"/>
        <v>13017</v>
      </c>
      <c r="AA33" s="39"/>
      <c r="AB33" s="69">
        <f t="shared" si="56"/>
        <v>0.25055240657123634</v>
      </c>
    </row>
    <row r="34" spans="1:28" ht="12.75" customHeight="1">
      <c r="B34" s="14" t="s">
        <v>62</v>
      </c>
      <c r="C34" s="15">
        <f>C33/C11</f>
        <v>0.22188633615477629</v>
      </c>
      <c r="D34" s="15">
        <f>D33/D11</f>
        <v>0.23416531887922368</v>
      </c>
      <c r="E34" s="15">
        <f>E33/E11</f>
        <v>0.22589830220352308</v>
      </c>
      <c r="F34" s="25"/>
      <c r="G34" s="15">
        <f t="shared" ref="G34:Q34" si="60">G33/G11</f>
        <v>0.28296903460837886</v>
      </c>
      <c r="H34" s="15">
        <f t="shared" si="60"/>
        <v>0.21274640828600067</v>
      </c>
      <c r="I34" s="15">
        <f t="shared" si="60"/>
        <v>0.25826152430352212</v>
      </c>
      <c r="J34" s="15">
        <f t="shared" si="60"/>
        <v>0.1818600792699788</v>
      </c>
      <c r="K34" s="15">
        <f t="shared" si="60"/>
        <v>0.28115044247787613</v>
      </c>
      <c r="L34" s="15">
        <f t="shared" si="60"/>
        <v>0.19501739060098683</v>
      </c>
      <c r="M34" s="15">
        <f t="shared" si="60"/>
        <v>0.2402564535177999</v>
      </c>
      <c r="N34" s="15">
        <f t="shared" si="60"/>
        <v>0.19014206514206514</v>
      </c>
      <c r="O34" s="15">
        <f t="shared" si="60"/>
        <v>0.29921825860364815</v>
      </c>
      <c r="P34" s="15">
        <f t="shared" si="60"/>
        <v>0.30283207020343039</v>
      </c>
      <c r="Q34" s="15">
        <f t="shared" si="60"/>
        <v>0.29674829385788842</v>
      </c>
      <c r="S34" s="15">
        <f t="shared" ref="S34:Z34" si="61">S33/S11</f>
        <v>0.23416531887922368</v>
      </c>
      <c r="T34" s="15">
        <f t="shared" si="61"/>
        <v>0.23405825411294873</v>
      </c>
      <c r="U34" s="15">
        <f t="shared" si="61"/>
        <v>0.22916173463897557</v>
      </c>
      <c r="V34" s="15">
        <f t="shared" si="61"/>
        <v>0.22449639822283571</v>
      </c>
      <c r="W34" s="15">
        <f t="shared" si="61"/>
        <v>0.22589830220352308</v>
      </c>
      <c r="X34" s="15">
        <f t="shared" si="61"/>
        <v>0.22998507144380465</v>
      </c>
      <c r="Y34" s="15">
        <f t="shared" si="61"/>
        <v>0.25857379626875188</v>
      </c>
      <c r="Z34" s="15">
        <f t="shared" si="61"/>
        <v>0.27310492415500492</v>
      </c>
      <c r="AA34" s="40"/>
      <c r="AB34" s="70">
        <f>SUM(Z34-V34)*1000</f>
        <v>48.608525932169215</v>
      </c>
    </row>
    <row r="35" spans="1:28" ht="5.0999999999999996" customHeight="1">
      <c r="B35" s="14"/>
      <c r="C35" s="15"/>
      <c r="D35" s="15"/>
      <c r="E35" s="15"/>
      <c r="F35" s="2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26"/>
      <c r="S35" s="15"/>
      <c r="T35" s="15"/>
      <c r="U35" s="15"/>
      <c r="V35" s="15"/>
      <c r="W35" s="15"/>
      <c r="X35" s="15"/>
      <c r="Y35" s="15"/>
      <c r="Z35" s="15"/>
      <c r="AA35" s="40"/>
      <c r="AB35" s="70"/>
    </row>
    <row r="36" spans="1:28" ht="12.75" customHeight="1">
      <c r="B36" s="41" t="s">
        <v>63</v>
      </c>
      <c r="C36" s="76">
        <v>4328</v>
      </c>
      <c r="D36" s="76">
        <v>4323</v>
      </c>
      <c r="E36" s="76">
        <v>4309</v>
      </c>
      <c r="F36" s="25"/>
      <c r="G36" s="76">
        <v>4326</v>
      </c>
      <c r="H36" s="76">
        <v>4325</v>
      </c>
      <c r="I36" s="76">
        <v>4324</v>
      </c>
      <c r="J36" s="30">
        <f>D36</f>
        <v>4323</v>
      </c>
      <c r="K36" s="76">
        <v>4310</v>
      </c>
      <c r="L36" s="76">
        <v>4309</v>
      </c>
      <c r="M36" s="76">
        <v>4311</v>
      </c>
      <c r="N36" s="30">
        <f>E36</f>
        <v>4309</v>
      </c>
      <c r="O36" s="76">
        <v>4302</v>
      </c>
      <c r="P36" s="76">
        <v>4304</v>
      </c>
      <c r="Q36" s="76">
        <v>4303</v>
      </c>
      <c r="R36" s="30"/>
      <c r="S36" s="30">
        <f t="shared" ref="S36:Z36" si="62">J36</f>
        <v>4323</v>
      </c>
      <c r="T36" s="30">
        <f t="shared" si="62"/>
        <v>4310</v>
      </c>
      <c r="U36" s="30">
        <f t="shared" si="62"/>
        <v>4309</v>
      </c>
      <c r="V36" s="30">
        <f t="shared" si="62"/>
        <v>4311</v>
      </c>
      <c r="W36" s="30">
        <f t="shared" si="62"/>
        <v>4309</v>
      </c>
      <c r="X36" s="30">
        <f t="shared" si="62"/>
        <v>4302</v>
      </c>
      <c r="Y36" s="30">
        <f t="shared" si="62"/>
        <v>4304</v>
      </c>
      <c r="Z36" s="30">
        <f t="shared" si="62"/>
        <v>4303</v>
      </c>
      <c r="AA36" s="40"/>
      <c r="AB36" s="68">
        <f t="shared" ref="AB36" si="63">SUM(Z36/V36)-1</f>
        <v>-1.8557179308744676E-3</v>
      </c>
    </row>
    <row r="37" spans="1:28" ht="12.75" customHeight="1">
      <c r="B37" s="12" t="s">
        <v>64</v>
      </c>
      <c r="C37" s="71">
        <f>C33/C36</f>
        <v>2.2047134935304991</v>
      </c>
      <c r="D37" s="71">
        <f t="shared" ref="D37:E37" si="64">D33/D36</f>
        <v>2.4783715012722647</v>
      </c>
      <c r="E37" s="71">
        <f t="shared" si="64"/>
        <v>2.4671617544673938</v>
      </c>
      <c r="F37" s="11"/>
      <c r="G37" s="71">
        <f t="shared" ref="G37" si="65">G33/G36</f>
        <v>0.71821544151641237</v>
      </c>
      <c r="H37" s="71">
        <f t="shared" ref="H37" si="66">H33/H36</f>
        <v>0.58890173410404623</v>
      </c>
      <c r="I37" s="71">
        <f t="shared" ref="I37" si="67">I33/I36</f>
        <v>0.71392229417206288</v>
      </c>
      <c r="J37" s="71">
        <f t="shared" ref="J37" si="68">J33/J36</f>
        <v>0.45639602128151746</v>
      </c>
      <c r="K37" s="71">
        <f t="shared" ref="K37" si="69">K33/K36</f>
        <v>0.73712296983758696</v>
      </c>
      <c r="L37" s="71">
        <f t="shared" ref="L37" si="70">L33/L36</f>
        <v>0.55952657229055469</v>
      </c>
      <c r="M37" s="71">
        <f t="shared" ref="M37" si="71">M33/M36</f>
        <v>0.66063558339132455</v>
      </c>
      <c r="N37" s="71">
        <f t="shared" ref="N37" si="72">N33/N36</f>
        <v>0.50939893246692969</v>
      </c>
      <c r="O37" s="71">
        <f t="shared" ref="O37" si="73">O33/O36</f>
        <v>0.77405857740585771</v>
      </c>
      <c r="P37" s="71">
        <f t="shared" ref="P37" si="74">P33/P36</f>
        <v>0.88197026022304836</v>
      </c>
      <c r="Q37" s="71">
        <f t="shared" ref="Q37" si="75">Q33/Q36</f>
        <v>0.85893562630722753</v>
      </c>
      <c r="R37" s="30"/>
      <c r="S37" s="71">
        <f t="shared" ref="S37" si="76">S33/S36</f>
        <v>2.4783715012722647</v>
      </c>
      <c r="T37" s="71">
        <f t="shared" ref="T37" si="77">T33/T36</f>
        <v>2.5020881670533641</v>
      </c>
      <c r="U37" s="71">
        <f t="shared" ref="U37" si="78">U33/U36</f>
        <v>2.4711069853794383</v>
      </c>
      <c r="V37" s="71">
        <f t="shared" ref="V37" si="79">V33/V36</f>
        <v>2.4145209928090932</v>
      </c>
      <c r="W37" s="71">
        <f t="shared" ref="W37" si="80">W33/W36</f>
        <v>2.4671617544673938</v>
      </c>
      <c r="X37" s="71">
        <f t="shared" ref="X37" si="81">X33/X36</f>
        <v>2.5067410506741052</v>
      </c>
      <c r="Y37" s="71">
        <f t="shared" ref="Y37" si="82">Y33/Y36</f>
        <v>2.8273698884758365</v>
      </c>
      <c r="Z37" s="71">
        <f t="shared" ref="Z37" si="83">Z33/Z36</f>
        <v>3.0250987683011852</v>
      </c>
      <c r="AA37" s="33"/>
      <c r="AB37" s="69">
        <f>SUM(Z37/V37)-1</f>
        <v>0.25287739361575645</v>
      </c>
    </row>
    <row r="38" spans="1:28" ht="5.0999999999999996" customHeight="1">
      <c r="B38" s="14"/>
      <c r="C38" s="15"/>
      <c r="D38" s="15"/>
      <c r="E38" s="15"/>
      <c r="F38" s="2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26"/>
      <c r="S38" s="15"/>
      <c r="T38" s="15"/>
      <c r="U38" s="15"/>
      <c r="V38" s="15"/>
      <c r="W38" s="15"/>
      <c r="X38" s="15"/>
      <c r="Y38" s="15"/>
      <c r="Z38" s="15"/>
      <c r="AA38" s="40"/>
      <c r="AB38" s="70"/>
    </row>
    <row r="39" spans="1:28" ht="12.75" customHeight="1">
      <c r="B39" s="41" t="s">
        <v>65</v>
      </c>
      <c r="C39" s="76">
        <v>4350</v>
      </c>
      <c r="D39" s="76">
        <v>4339</v>
      </c>
      <c r="E39" s="76">
        <v>4320</v>
      </c>
      <c r="F39" s="25"/>
      <c r="G39" s="76">
        <v>4345</v>
      </c>
      <c r="H39" s="76">
        <v>4341</v>
      </c>
      <c r="I39" s="76">
        <v>4339</v>
      </c>
      <c r="J39" s="30">
        <f>D39</f>
        <v>4339</v>
      </c>
      <c r="K39" s="76">
        <v>4322</v>
      </c>
      <c r="L39" s="76">
        <v>4319</v>
      </c>
      <c r="M39" s="76">
        <v>4323</v>
      </c>
      <c r="N39" s="30">
        <f>E39</f>
        <v>4320</v>
      </c>
      <c r="O39" s="76">
        <v>4313</v>
      </c>
      <c r="P39" s="76">
        <v>4315</v>
      </c>
      <c r="Q39" s="76">
        <v>4313</v>
      </c>
      <c r="R39" s="30"/>
      <c r="S39" s="30">
        <f t="shared" ref="S39" si="84">J39</f>
        <v>4339</v>
      </c>
      <c r="T39" s="30">
        <f t="shared" ref="T39" si="85">K39</f>
        <v>4322</v>
      </c>
      <c r="U39" s="30">
        <f t="shared" ref="U39" si="86">L39</f>
        <v>4319</v>
      </c>
      <c r="V39" s="30">
        <f t="shared" ref="V39" si="87">M39</f>
        <v>4323</v>
      </c>
      <c r="W39" s="30">
        <f t="shared" ref="W39" si="88">N39</f>
        <v>4320</v>
      </c>
      <c r="X39" s="30">
        <f t="shared" ref="X39" si="89">O39</f>
        <v>4313</v>
      </c>
      <c r="Y39" s="30">
        <f t="shared" ref="Y39" si="90">P39</f>
        <v>4315</v>
      </c>
      <c r="Z39" s="30">
        <f>Q39</f>
        <v>4313</v>
      </c>
      <c r="AA39" s="40"/>
      <c r="AB39" s="68">
        <f t="shared" ref="AB39" si="91">SUM(Z39/V39)-1</f>
        <v>-2.3132084200786496E-3</v>
      </c>
    </row>
    <row r="40" spans="1:28" ht="12.75" customHeight="1">
      <c r="B40" s="12" t="s">
        <v>66</v>
      </c>
      <c r="C40" s="71">
        <f>C33/C39</f>
        <v>2.1935632183908047</v>
      </c>
      <c r="D40" s="71">
        <f t="shared" ref="D40:E40" si="92">D33/D39</f>
        <v>2.4692325420603827</v>
      </c>
      <c r="E40" s="71">
        <f t="shared" si="92"/>
        <v>2.4608796296296296</v>
      </c>
      <c r="F40" s="25"/>
      <c r="G40" s="71">
        <f t="shared" ref="G40" si="93">G33/G39</f>
        <v>0.71507479861910239</v>
      </c>
      <c r="H40" s="71">
        <f t="shared" ref="H40" si="94">H33/H39</f>
        <v>0.58673116793365587</v>
      </c>
      <c r="I40" s="71">
        <f t="shared" ref="I40" si="95">I33/I39</f>
        <v>0.71145425213182756</v>
      </c>
      <c r="J40" s="71">
        <f t="shared" ref="J40" si="96">J33/J39</f>
        <v>0.45471306752707996</v>
      </c>
      <c r="K40" s="71">
        <f t="shared" ref="K40" si="97">K33/K39</f>
        <v>0.73507635354002776</v>
      </c>
      <c r="L40" s="71">
        <f t="shared" ref="L40" si="98">L33/L39</f>
        <v>0.55823107200740907</v>
      </c>
      <c r="M40" s="71">
        <f t="shared" ref="M40" si="99">M33/M39</f>
        <v>0.65880175803839924</v>
      </c>
      <c r="N40" s="71">
        <f t="shared" ref="N40" si="100">N33/N39</f>
        <v>0.50810185185185186</v>
      </c>
      <c r="O40" s="71">
        <f t="shared" ref="O40" si="101">O33/O39</f>
        <v>0.77208439601205658</v>
      </c>
      <c r="P40" s="71">
        <f t="shared" ref="P40" si="102">P33/P39</f>
        <v>0.87972190034762454</v>
      </c>
      <c r="Q40" s="71">
        <f t="shared" ref="Q40" si="103">Q33/Q39</f>
        <v>0.85694412242058893</v>
      </c>
      <c r="R40" s="30"/>
      <c r="S40" s="71">
        <f t="shared" ref="S40" si="104">S33/S39</f>
        <v>2.4692325420603827</v>
      </c>
      <c r="T40" s="71">
        <f t="shared" ref="T40" si="105">T33/T39</f>
        <v>2.4951411383618693</v>
      </c>
      <c r="U40" s="71">
        <f t="shared" ref="U40" si="106">U33/U39</f>
        <v>2.4653855059041443</v>
      </c>
      <c r="V40" s="71">
        <f t="shared" ref="V40" si="107">V33/V39</f>
        <v>2.4078186444598657</v>
      </c>
      <c r="W40" s="71">
        <f t="shared" ref="W40" si="108">W33/W39</f>
        <v>2.4608796296296296</v>
      </c>
      <c r="X40" s="71">
        <f t="shared" ref="X40" si="109">X33/X39</f>
        <v>2.5003477857639695</v>
      </c>
      <c r="Y40" s="71">
        <f t="shared" ref="Y40" si="110">Y33/Y39</f>
        <v>2.8201622247972189</v>
      </c>
      <c r="Z40" s="71">
        <f t="shared" ref="Z40" si="111">Z33/Z39</f>
        <v>3.0180848597264087</v>
      </c>
      <c r="AA40" s="33"/>
      <c r="AB40" s="69">
        <f>SUM(Z40/V40)-1</f>
        <v>0.25345190206525747</v>
      </c>
    </row>
    <row r="41" spans="1:28">
      <c r="B41" s="14"/>
      <c r="C41" s="15"/>
      <c r="D41" s="15"/>
      <c r="E41" s="76"/>
      <c r="F41" s="2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26"/>
      <c r="S41" s="15"/>
      <c r="T41" s="15"/>
      <c r="U41" s="15"/>
      <c r="V41" s="15"/>
      <c r="W41" s="15"/>
      <c r="X41" s="15"/>
      <c r="Y41" s="15"/>
      <c r="Z41" s="15"/>
      <c r="AA41" s="40"/>
    </row>
    <row r="42" spans="1:28" ht="12.75" customHeight="1">
      <c r="A42" s="5" t="s">
        <v>16</v>
      </c>
      <c r="B42" s="91" t="s">
        <v>75</v>
      </c>
      <c r="C42" s="92" t="s">
        <v>0</v>
      </c>
      <c r="D42" s="92"/>
      <c r="E42" s="92"/>
      <c r="F42" s="93"/>
      <c r="G42" s="92"/>
      <c r="H42" s="92"/>
      <c r="I42" s="92"/>
      <c r="J42" s="92"/>
      <c r="K42" s="92"/>
      <c r="L42" s="92"/>
      <c r="M42" s="92" t="s">
        <v>1</v>
      </c>
      <c r="N42" s="92"/>
      <c r="O42" s="92"/>
      <c r="P42" s="92"/>
      <c r="Q42" s="92"/>
      <c r="R42" s="91"/>
      <c r="S42" s="92"/>
      <c r="T42" s="92"/>
      <c r="U42" s="92"/>
      <c r="V42" s="92" t="s">
        <v>10</v>
      </c>
      <c r="W42" s="92"/>
      <c r="X42" s="92"/>
      <c r="Y42" s="92"/>
      <c r="Z42" s="92"/>
      <c r="AA42" s="93"/>
      <c r="AB42" s="147" t="s">
        <v>22</v>
      </c>
    </row>
    <row r="43" spans="1:28" ht="12.75" customHeight="1">
      <c r="B43" s="95" t="str">
        <f t="shared" ref="B43:E44" si="112">B7</f>
        <v>Fiscal Period</v>
      </c>
      <c r="C43" s="94">
        <f t="shared" si="112"/>
        <v>2022</v>
      </c>
      <c r="D43" s="94">
        <f t="shared" si="112"/>
        <v>2023</v>
      </c>
      <c r="E43" s="94">
        <f t="shared" si="112"/>
        <v>2024</v>
      </c>
      <c r="F43" s="93"/>
      <c r="G43" s="94" t="str">
        <f t="shared" ref="G43:Q43" si="113">G7</f>
        <v>1Q23</v>
      </c>
      <c r="H43" s="94" t="str">
        <f t="shared" si="113"/>
        <v>2Q23</v>
      </c>
      <c r="I43" s="94" t="str">
        <f t="shared" si="113"/>
        <v>3Q23</v>
      </c>
      <c r="J43" s="94" t="str">
        <f t="shared" si="113"/>
        <v>4Q23</v>
      </c>
      <c r="K43" s="94" t="str">
        <f t="shared" si="113"/>
        <v>1Q24</v>
      </c>
      <c r="L43" s="94" t="str">
        <f t="shared" si="113"/>
        <v>2Q24</v>
      </c>
      <c r="M43" s="94" t="str">
        <f t="shared" si="113"/>
        <v>3Q24</v>
      </c>
      <c r="N43" s="94" t="str">
        <f t="shared" si="113"/>
        <v>4Q24</v>
      </c>
      <c r="O43" s="94" t="str">
        <f t="shared" si="113"/>
        <v>1Q25</v>
      </c>
      <c r="P43" s="94" t="str">
        <f t="shared" si="113"/>
        <v>2Q25</v>
      </c>
      <c r="Q43" s="94" t="str">
        <f t="shared" si="113"/>
        <v>3Q25</v>
      </c>
      <c r="R43" s="96"/>
      <c r="S43" s="94" t="str">
        <f t="shared" ref="S43:Z44" si="114">S7</f>
        <v>4Q23</v>
      </c>
      <c r="T43" s="94" t="str">
        <f t="shared" si="114"/>
        <v>1Q24</v>
      </c>
      <c r="U43" s="94" t="str">
        <f t="shared" si="114"/>
        <v>2Q24</v>
      </c>
      <c r="V43" s="94" t="str">
        <f t="shared" si="114"/>
        <v>3Q24</v>
      </c>
      <c r="W43" s="94" t="str">
        <f t="shared" si="114"/>
        <v>4Q24</v>
      </c>
      <c r="X43" s="94" t="str">
        <f t="shared" si="114"/>
        <v>1Q25</v>
      </c>
      <c r="Y43" s="94" t="str">
        <f t="shared" si="114"/>
        <v>2Q25</v>
      </c>
      <c r="Z43" s="94" t="str">
        <f t="shared" si="114"/>
        <v>3Q25</v>
      </c>
      <c r="AA43" s="93"/>
      <c r="AB43" s="147"/>
    </row>
    <row r="44" spans="1:28" ht="12.75" customHeight="1">
      <c r="B44" s="95" t="str">
        <f t="shared" si="112"/>
        <v>Fiscal Period End Date</v>
      </c>
      <c r="C44" s="97">
        <f t="shared" si="112"/>
        <v>44926</v>
      </c>
      <c r="D44" s="97">
        <f t="shared" si="112"/>
        <v>45291</v>
      </c>
      <c r="E44" s="97">
        <f t="shared" si="112"/>
        <v>45657</v>
      </c>
      <c r="F44" s="93"/>
      <c r="G44" s="97">
        <f t="shared" ref="G44:Q44" si="115">G8</f>
        <v>45016</v>
      </c>
      <c r="H44" s="97">
        <f t="shared" si="115"/>
        <v>45107</v>
      </c>
      <c r="I44" s="97">
        <f t="shared" si="115"/>
        <v>45198</v>
      </c>
      <c r="J44" s="97">
        <f t="shared" si="115"/>
        <v>45291</v>
      </c>
      <c r="K44" s="97">
        <f t="shared" si="115"/>
        <v>45380</v>
      </c>
      <c r="L44" s="97">
        <f t="shared" si="115"/>
        <v>45471</v>
      </c>
      <c r="M44" s="97">
        <f t="shared" si="115"/>
        <v>45562</v>
      </c>
      <c r="N44" s="97">
        <f t="shared" si="115"/>
        <v>45657</v>
      </c>
      <c r="O44" s="97">
        <f t="shared" si="115"/>
        <v>45744</v>
      </c>
      <c r="P44" s="97">
        <f t="shared" si="115"/>
        <v>45835</v>
      </c>
      <c r="Q44" s="97">
        <f t="shared" si="115"/>
        <v>45926</v>
      </c>
      <c r="R44" s="98"/>
      <c r="S44" s="97">
        <f t="shared" si="114"/>
        <v>45291</v>
      </c>
      <c r="T44" s="97">
        <f t="shared" si="114"/>
        <v>45380</v>
      </c>
      <c r="U44" s="97">
        <f t="shared" si="114"/>
        <v>45471</v>
      </c>
      <c r="V44" s="97">
        <f t="shared" si="114"/>
        <v>45562</v>
      </c>
      <c r="W44" s="97">
        <f t="shared" si="114"/>
        <v>45657</v>
      </c>
      <c r="X44" s="97">
        <f t="shared" si="114"/>
        <v>45744</v>
      </c>
      <c r="Y44" s="97">
        <f t="shared" si="114"/>
        <v>45835</v>
      </c>
      <c r="Z44" s="97">
        <f t="shared" si="114"/>
        <v>45926</v>
      </c>
      <c r="AA44" s="93"/>
      <c r="AB44" s="147"/>
    </row>
    <row r="45" spans="1:28" ht="5.0999999999999996" customHeight="1">
      <c r="B45" s="43"/>
      <c r="C45" s="44"/>
      <c r="D45" s="44"/>
      <c r="E45" s="44"/>
    </row>
    <row r="46" spans="1:28">
      <c r="B46" s="72" t="s">
        <v>81</v>
      </c>
      <c r="C46" s="44"/>
      <c r="D46" s="44"/>
      <c r="E46" s="44"/>
    </row>
    <row r="47" spans="1:28" ht="12.75" customHeight="1">
      <c r="B47" s="9" t="s">
        <v>113</v>
      </c>
      <c r="C47" s="105">
        <v>9519</v>
      </c>
      <c r="D47" s="105">
        <v>9366</v>
      </c>
      <c r="E47" s="105">
        <v>10828</v>
      </c>
      <c r="G47" s="105">
        <v>12004</v>
      </c>
      <c r="H47" s="105">
        <v>12564</v>
      </c>
      <c r="I47" s="105">
        <v>11883</v>
      </c>
      <c r="J47" s="82">
        <f t="shared" ref="J47:J52" si="116">D47</f>
        <v>9366</v>
      </c>
      <c r="K47" s="105">
        <v>10443</v>
      </c>
      <c r="L47" s="105">
        <v>13708</v>
      </c>
      <c r="M47" s="105">
        <v>13938</v>
      </c>
      <c r="N47" s="82">
        <f t="shared" ref="N47:N52" si="117">E47</f>
        <v>10828</v>
      </c>
      <c r="O47" s="105">
        <v>8417</v>
      </c>
      <c r="P47" s="105">
        <v>9590</v>
      </c>
      <c r="Q47" s="105">
        <v>12732</v>
      </c>
      <c r="R47" s="82"/>
      <c r="S47" s="30">
        <f t="shared" ref="S47:Z48" si="118">J47</f>
        <v>9366</v>
      </c>
      <c r="T47" s="30">
        <f t="shared" si="118"/>
        <v>10443</v>
      </c>
      <c r="U47" s="30">
        <f t="shared" si="118"/>
        <v>13708</v>
      </c>
      <c r="V47" s="30">
        <f t="shared" si="118"/>
        <v>13938</v>
      </c>
      <c r="W47" s="30">
        <f t="shared" si="118"/>
        <v>10828</v>
      </c>
      <c r="X47" s="30">
        <f t="shared" si="118"/>
        <v>8417</v>
      </c>
      <c r="Y47" s="30">
        <f t="shared" si="118"/>
        <v>9590</v>
      </c>
      <c r="Z47" s="30">
        <f t="shared" si="118"/>
        <v>12732</v>
      </c>
      <c r="AA47" s="11"/>
      <c r="AB47" s="68">
        <f t="shared" ref="AB47:AB52" si="119">SUM(Z47/V47)-1</f>
        <v>-8.6526043908738748E-2</v>
      </c>
    </row>
    <row r="48" spans="1:28" ht="12.75" customHeight="1">
      <c r="B48" s="9" t="s">
        <v>116</v>
      </c>
      <c r="C48" s="105">
        <v>1043</v>
      </c>
      <c r="D48" s="105">
        <v>2997</v>
      </c>
      <c r="E48" s="105">
        <v>2020</v>
      </c>
      <c r="G48" s="105">
        <v>1166</v>
      </c>
      <c r="H48" s="105">
        <v>1867</v>
      </c>
      <c r="I48" s="105">
        <v>2332</v>
      </c>
      <c r="J48" s="82">
        <f t="shared" ref="J48" si="120">D48</f>
        <v>2997</v>
      </c>
      <c r="K48" s="105">
        <v>4760</v>
      </c>
      <c r="L48" s="105">
        <v>3691</v>
      </c>
      <c r="M48" s="105">
        <v>2439</v>
      </c>
      <c r="N48" s="82">
        <f t="shared" ref="N48" si="121">E48</f>
        <v>2020</v>
      </c>
      <c r="O48" s="105">
        <v>3579</v>
      </c>
      <c r="P48" s="105">
        <v>2658</v>
      </c>
      <c r="Q48" s="105">
        <v>1142</v>
      </c>
      <c r="R48" s="82"/>
      <c r="S48" s="30">
        <f t="shared" si="118"/>
        <v>2997</v>
      </c>
      <c r="T48" s="30">
        <f t="shared" si="118"/>
        <v>4760</v>
      </c>
      <c r="U48" s="30">
        <f t="shared" si="118"/>
        <v>3691</v>
      </c>
      <c r="V48" s="30">
        <f t="shared" si="118"/>
        <v>2439</v>
      </c>
      <c r="W48" s="30">
        <f t="shared" si="118"/>
        <v>2020</v>
      </c>
      <c r="X48" s="30">
        <f t="shared" si="118"/>
        <v>3579</v>
      </c>
      <c r="Y48" s="30">
        <f t="shared" si="118"/>
        <v>2658</v>
      </c>
      <c r="Z48" s="30">
        <f t="shared" si="118"/>
        <v>1142</v>
      </c>
      <c r="AA48" s="11"/>
      <c r="AB48" s="68">
        <f t="shared" ref="AB48" si="122">SUM(Z48/V48)-1</f>
        <v>-0.53177531775317755</v>
      </c>
    </row>
    <row r="49" spans="2:28" ht="12.75" customHeight="1">
      <c r="B49" s="9" t="s">
        <v>114</v>
      </c>
      <c r="C49" s="105">
        <v>1069</v>
      </c>
      <c r="D49" s="105">
        <v>1300</v>
      </c>
      <c r="E49" s="105">
        <v>1723</v>
      </c>
      <c r="G49" s="105">
        <v>1125</v>
      </c>
      <c r="H49" s="105">
        <v>1263</v>
      </c>
      <c r="I49" s="105">
        <v>1220</v>
      </c>
      <c r="J49" s="82">
        <f t="shared" si="116"/>
        <v>1300</v>
      </c>
      <c r="K49" s="105">
        <v>1716</v>
      </c>
      <c r="L49" s="105">
        <v>1594</v>
      </c>
      <c r="M49" s="105">
        <v>1787</v>
      </c>
      <c r="N49" s="82">
        <f t="shared" si="117"/>
        <v>1723</v>
      </c>
      <c r="O49" s="105">
        <v>1791</v>
      </c>
      <c r="P49" s="105">
        <v>2049</v>
      </c>
      <c r="Q49" s="105">
        <v>1907</v>
      </c>
      <c r="R49" s="82"/>
      <c r="S49" s="30">
        <f t="shared" ref="S49:S52" si="123">J49</f>
        <v>1300</v>
      </c>
      <c r="T49" s="30">
        <f t="shared" ref="T49:T52" si="124">K49</f>
        <v>1716</v>
      </c>
      <c r="U49" s="30">
        <f t="shared" ref="U49:U52" si="125">L49</f>
        <v>1594</v>
      </c>
      <c r="V49" s="30">
        <f t="shared" ref="V49:V52" si="126">M49</f>
        <v>1787</v>
      </c>
      <c r="W49" s="30">
        <f t="shared" ref="W49:W52" si="127">N49</f>
        <v>1723</v>
      </c>
      <c r="X49" s="30">
        <f t="shared" ref="X49:X52" si="128">O49</f>
        <v>1791</v>
      </c>
      <c r="Y49" s="30">
        <f t="shared" ref="Y49:Y52" si="129">P49</f>
        <v>2049</v>
      </c>
      <c r="Z49" s="30">
        <f t="shared" ref="Z49:Z52" si="130">Q49</f>
        <v>1907</v>
      </c>
      <c r="AA49" s="11"/>
      <c r="AB49" s="68">
        <f t="shared" ref="AB49:AB50" si="131">SUM(Z49/V49)-1</f>
        <v>6.7151650811415831E-2</v>
      </c>
    </row>
    <row r="50" spans="2:28" ht="12.75" customHeight="1">
      <c r="B50" s="9" t="s">
        <v>151</v>
      </c>
      <c r="C50" s="105">
        <v>3487</v>
      </c>
      <c r="D50" s="105">
        <v>3410</v>
      </c>
      <c r="E50" s="105">
        <v>3569</v>
      </c>
      <c r="G50" s="105">
        <v>4599</v>
      </c>
      <c r="H50" s="105">
        <v>3970</v>
      </c>
      <c r="I50" s="105">
        <v>3495</v>
      </c>
      <c r="J50" s="82">
        <f t="shared" ref="J50" si="132">D50</f>
        <v>3410</v>
      </c>
      <c r="K50" s="105">
        <v>4244</v>
      </c>
      <c r="L50" s="105">
        <v>4545</v>
      </c>
      <c r="M50" s="105">
        <v>4233</v>
      </c>
      <c r="N50" s="82">
        <f t="shared" ref="N50" si="133">E50</f>
        <v>3569</v>
      </c>
      <c r="O50" s="105">
        <v>4091</v>
      </c>
      <c r="P50" s="105">
        <v>4168</v>
      </c>
      <c r="Q50" s="105">
        <v>3946</v>
      </c>
      <c r="R50" s="82"/>
      <c r="S50" s="30">
        <f t="shared" ref="S50" si="134">J50</f>
        <v>3410</v>
      </c>
      <c r="T50" s="30">
        <f t="shared" ref="T50" si="135">K50</f>
        <v>4244</v>
      </c>
      <c r="U50" s="30">
        <f t="shared" ref="U50" si="136">L50</f>
        <v>4545</v>
      </c>
      <c r="V50" s="30">
        <f t="shared" ref="V50" si="137">M50</f>
        <v>4233</v>
      </c>
      <c r="W50" s="30">
        <f t="shared" ref="W50" si="138">N50</f>
        <v>3569</v>
      </c>
      <c r="X50" s="30">
        <f t="shared" ref="X50" si="139">O50</f>
        <v>4091</v>
      </c>
      <c r="Y50" s="30">
        <f t="shared" ref="Y50" si="140">P50</f>
        <v>4168</v>
      </c>
      <c r="Z50" s="30">
        <f t="shared" ref="Z50" si="141">Q50</f>
        <v>3946</v>
      </c>
      <c r="AA50" s="11"/>
      <c r="AB50" s="68">
        <f t="shared" si="131"/>
        <v>-6.7800614221592226E-2</v>
      </c>
    </row>
    <row r="51" spans="2:28" ht="12.75" customHeight="1">
      <c r="B51" s="9" t="s">
        <v>115</v>
      </c>
      <c r="C51" s="105">
        <v>4233</v>
      </c>
      <c r="D51" s="105">
        <v>4424</v>
      </c>
      <c r="E51" s="105">
        <v>4728</v>
      </c>
      <c r="G51" s="105">
        <v>4727</v>
      </c>
      <c r="H51" s="105">
        <v>4646</v>
      </c>
      <c r="I51" s="105">
        <v>4252</v>
      </c>
      <c r="J51" s="82">
        <f t="shared" si="116"/>
        <v>4424</v>
      </c>
      <c r="K51" s="105">
        <v>4961</v>
      </c>
      <c r="L51" s="105">
        <v>4763</v>
      </c>
      <c r="M51" s="105">
        <v>4714</v>
      </c>
      <c r="N51" s="82">
        <f t="shared" si="117"/>
        <v>4728</v>
      </c>
      <c r="O51" s="105">
        <v>5102</v>
      </c>
      <c r="P51" s="105">
        <v>5082</v>
      </c>
      <c r="Q51" s="105">
        <v>4802</v>
      </c>
      <c r="R51" s="82"/>
      <c r="S51" s="30">
        <f t="shared" si="123"/>
        <v>4424</v>
      </c>
      <c r="T51" s="30">
        <f t="shared" si="124"/>
        <v>4961</v>
      </c>
      <c r="U51" s="30">
        <f t="shared" si="125"/>
        <v>4763</v>
      </c>
      <c r="V51" s="30">
        <f t="shared" si="126"/>
        <v>4714</v>
      </c>
      <c r="W51" s="30">
        <f t="shared" si="127"/>
        <v>4728</v>
      </c>
      <c r="X51" s="30">
        <f t="shared" si="128"/>
        <v>5102</v>
      </c>
      <c r="Y51" s="30">
        <f t="shared" si="129"/>
        <v>5082</v>
      </c>
      <c r="Z51" s="30">
        <f t="shared" si="130"/>
        <v>4802</v>
      </c>
      <c r="AA51" s="11"/>
      <c r="AB51" s="68">
        <f t="shared" si="119"/>
        <v>1.8667798048366491E-2</v>
      </c>
    </row>
    <row r="52" spans="2:28" ht="12.75" customHeight="1">
      <c r="B52" s="9" t="s">
        <v>117</v>
      </c>
      <c r="C52" s="105">
        <v>3240</v>
      </c>
      <c r="D52" s="105">
        <v>5235</v>
      </c>
      <c r="E52" s="105">
        <v>3129</v>
      </c>
      <c r="G52" s="105">
        <v>3259</v>
      </c>
      <c r="H52" s="105">
        <v>3281</v>
      </c>
      <c r="I52" s="105">
        <v>4685</v>
      </c>
      <c r="J52" s="82">
        <f t="shared" si="116"/>
        <v>5235</v>
      </c>
      <c r="K52" s="105">
        <v>3338</v>
      </c>
      <c r="L52" s="105">
        <v>3298</v>
      </c>
      <c r="M52" s="105">
        <v>3177</v>
      </c>
      <c r="N52" s="82">
        <f t="shared" si="117"/>
        <v>3129</v>
      </c>
      <c r="O52" s="105">
        <v>3198</v>
      </c>
      <c r="P52" s="105">
        <v>3062</v>
      </c>
      <c r="Q52" s="105">
        <v>2718</v>
      </c>
      <c r="R52" s="82"/>
      <c r="S52" s="30">
        <f t="shared" si="123"/>
        <v>5235</v>
      </c>
      <c r="T52" s="30">
        <f t="shared" si="124"/>
        <v>3338</v>
      </c>
      <c r="U52" s="30">
        <f t="shared" si="125"/>
        <v>3298</v>
      </c>
      <c r="V52" s="30">
        <f t="shared" si="126"/>
        <v>3177</v>
      </c>
      <c r="W52" s="30">
        <f t="shared" si="127"/>
        <v>3129</v>
      </c>
      <c r="X52" s="30">
        <f t="shared" si="128"/>
        <v>3198</v>
      </c>
      <c r="Y52" s="30">
        <f t="shared" si="129"/>
        <v>3062</v>
      </c>
      <c r="Z52" s="30">
        <f t="shared" si="130"/>
        <v>2718</v>
      </c>
      <c r="AA52" s="11"/>
      <c r="AB52" s="68">
        <f t="shared" si="119"/>
        <v>-0.14447592067988668</v>
      </c>
    </row>
    <row r="53" spans="2:28" ht="12.75" customHeight="1">
      <c r="B53" s="23" t="s">
        <v>18</v>
      </c>
      <c r="C53" s="24">
        <f>SUM(C47:C52)</f>
        <v>22591</v>
      </c>
      <c r="D53" s="24">
        <f>SUM(D47:D52)</f>
        <v>26732</v>
      </c>
      <c r="E53" s="24">
        <f>SUM(E47:E52)</f>
        <v>25997</v>
      </c>
      <c r="F53" s="45"/>
      <c r="G53" s="24">
        <f>SUM(G47:G52)</f>
        <v>26880</v>
      </c>
      <c r="H53" s="24">
        <f>SUM(H47:H52)</f>
        <v>27591</v>
      </c>
      <c r="I53" s="24">
        <f>SUM(I47:I52)</f>
        <v>27867</v>
      </c>
      <c r="J53" s="24">
        <f>SUM(J47:J52)</f>
        <v>26732</v>
      </c>
      <c r="K53" s="24">
        <f>SUM(K47:K52)</f>
        <v>29462</v>
      </c>
      <c r="L53" s="24">
        <f>SUM(L47:L52)</f>
        <v>31599</v>
      </c>
      <c r="M53" s="24">
        <f>SUM(M47:M52)</f>
        <v>30288</v>
      </c>
      <c r="N53" s="24">
        <f>SUM(N47:N52)</f>
        <v>25997</v>
      </c>
      <c r="O53" s="24">
        <f>SUM(O47:O52)</f>
        <v>26178</v>
      </c>
      <c r="P53" s="24">
        <f>SUM(P47:P52)</f>
        <v>26609</v>
      </c>
      <c r="Q53" s="24">
        <f>SUM(Q47:Q52)</f>
        <v>27247</v>
      </c>
      <c r="R53" s="45"/>
      <c r="S53" s="24">
        <f>SUM(S47:S52)</f>
        <v>26732</v>
      </c>
      <c r="T53" s="24">
        <f>SUM(T47:T52)</f>
        <v>29462</v>
      </c>
      <c r="U53" s="24">
        <f>SUM(U47:U52)</f>
        <v>31599</v>
      </c>
      <c r="V53" s="24">
        <f>SUM(V47:V52)</f>
        <v>30288</v>
      </c>
      <c r="W53" s="24">
        <f>SUM(W47:W52)</f>
        <v>25997</v>
      </c>
      <c r="X53" s="24">
        <f>SUM(X47:X52)</f>
        <v>26178</v>
      </c>
      <c r="Y53" s="24">
        <f>SUM(Y47:Y52)</f>
        <v>26609</v>
      </c>
      <c r="Z53" s="24">
        <f>SUM(Z47:Z52)</f>
        <v>27247</v>
      </c>
      <c r="AA53" s="39"/>
      <c r="AB53" s="69">
        <f>SUM(Z53/V53)-1</f>
        <v>-0.10040279978869515</v>
      </c>
    </row>
    <row r="54" spans="2:28" ht="5.0999999999999996" customHeight="1">
      <c r="B54" s="23"/>
      <c r="C54" s="46"/>
      <c r="D54" s="38"/>
      <c r="E54" s="38"/>
      <c r="G54" s="38"/>
      <c r="H54" s="38"/>
      <c r="I54" s="38"/>
      <c r="J54" s="38"/>
      <c r="K54" s="38"/>
      <c r="L54" s="38"/>
      <c r="M54" s="38"/>
      <c r="N54" s="38"/>
      <c r="O54" s="38"/>
      <c r="P54" s="38"/>
      <c r="Q54" s="38"/>
      <c r="S54" s="39"/>
      <c r="T54" s="39"/>
      <c r="U54" s="39"/>
      <c r="V54" s="39"/>
      <c r="W54" s="39"/>
      <c r="X54" s="39"/>
      <c r="Y54" s="39"/>
      <c r="Z54" s="39"/>
      <c r="AA54" s="39"/>
      <c r="AB54" s="36"/>
    </row>
    <row r="55" spans="2:28" ht="12.75" customHeight="1">
      <c r="B55" s="72" t="s">
        <v>82</v>
      </c>
      <c r="C55" s="76"/>
      <c r="D55" s="76"/>
      <c r="E55" s="76"/>
      <c r="G55" s="76"/>
      <c r="H55" s="76"/>
      <c r="I55" s="76"/>
      <c r="J55" s="76"/>
      <c r="K55" s="76"/>
      <c r="L55" s="76"/>
      <c r="M55" s="76"/>
      <c r="N55" s="76"/>
      <c r="O55" s="76"/>
      <c r="P55" s="76"/>
      <c r="Q55" s="76"/>
      <c r="S55" s="30"/>
      <c r="T55" s="30"/>
      <c r="U55" s="30"/>
      <c r="V55" s="30"/>
      <c r="W55" s="30"/>
      <c r="X55" s="30"/>
      <c r="Y55" s="30"/>
      <c r="Z55" s="30"/>
      <c r="AA55" s="11"/>
      <c r="AB55" s="68"/>
    </row>
    <row r="56" spans="2:28" ht="12.75" customHeight="1">
      <c r="B56" s="9" t="s">
        <v>121</v>
      </c>
      <c r="C56" s="76">
        <v>18264</v>
      </c>
      <c r="D56" s="76">
        <v>19671</v>
      </c>
      <c r="E56" s="76">
        <v>18087</v>
      </c>
      <c r="G56" s="105">
        <v>18744</v>
      </c>
      <c r="H56" s="105">
        <v>19262</v>
      </c>
      <c r="I56" s="105">
        <v>19256</v>
      </c>
      <c r="J56" s="82">
        <f t="shared" ref="J56:J57" si="142">D56</f>
        <v>19671</v>
      </c>
      <c r="K56" s="105">
        <v>19495</v>
      </c>
      <c r="L56" s="105">
        <v>18940</v>
      </c>
      <c r="M56" s="105">
        <v>18993</v>
      </c>
      <c r="N56" s="82">
        <f t="shared" ref="N56:N57" si="143">E56</f>
        <v>18087</v>
      </c>
      <c r="O56" s="105">
        <v>18369</v>
      </c>
      <c r="P56" s="105">
        <v>19379</v>
      </c>
      <c r="Q56" s="105">
        <v>20323</v>
      </c>
      <c r="S56" s="30">
        <f t="shared" ref="S56:S57" si="144">J56</f>
        <v>19671</v>
      </c>
      <c r="T56" s="30">
        <f t="shared" ref="T56:T57" si="145">K56</f>
        <v>19495</v>
      </c>
      <c r="U56" s="30">
        <f t="shared" ref="U56:U57" si="146">L56</f>
        <v>18940</v>
      </c>
      <c r="V56" s="30">
        <f t="shared" ref="V56:V57" si="147">M56</f>
        <v>18993</v>
      </c>
      <c r="W56" s="30">
        <f t="shared" ref="W56:W57" si="148">N56</f>
        <v>18087</v>
      </c>
      <c r="X56" s="30">
        <f t="shared" ref="X56:X57" si="149">O56</f>
        <v>18369</v>
      </c>
      <c r="Y56" s="30">
        <f t="shared" ref="Y56:Y57" si="150">P56</f>
        <v>19379</v>
      </c>
      <c r="Z56" s="30">
        <f t="shared" ref="Z56:Z57" si="151">Q56</f>
        <v>20323</v>
      </c>
      <c r="AA56" s="11"/>
      <c r="AB56" s="68">
        <f t="shared" ref="AB56:AB57" si="152">SUM(Z56/V56)-1</f>
        <v>7.0025798978571085E-2</v>
      </c>
    </row>
    <row r="57" spans="2:28" ht="12.75" customHeight="1">
      <c r="B57" s="9" t="s">
        <v>122</v>
      </c>
      <c r="C57" s="76">
        <v>1746</v>
      </c>
      <c r="D57" s="76">
        <v>1561</v>
      </c>
      <c r="E57" s="76">
        <v>1319</v>
      </c>
      <c r="G57" s="105">
        <v>1696</v>
      </c>
      <c r="H57" s="105">
        <v>1661</v>
      </c>
      <c r="I57" s="105">
        <v>1575</v>
      </c>
      <c r="J57" s="82">
        <f t="shared" si="142"/>
        <v>1561</v>
      </c>
      <c r="K57" s="105">
        <v>1457</v>
      </c>
      <c r="L57" s="105">
        <v>1409</v>
      </c>
      <c r="M57" s="105">
        <v>1428</v>
      </c>
      <c r="N57" s="82">
        <f t="shared" si="143"/>
        <v>1319</v>
      </c>
      <c r="O57" s="105">
        <v>1311</v>
      </c>
      <c r="P57" s="105">
        <v>1325</v>
      </c>
      <c r="Q57" s="105">
        <v>1267</v>
      </c>
      <c r="S57" s="30">
        <f t="shared" si="144"/>
        <v>1561</v>
      </c>
      <c r="T57" s="30">
        <f t="shared" si="145"/>
        <v>1457</v>
      </c>
      <c r="U57" s="30">
        <f t="shared" si="146"/>
        <v>1409</v>
      </c>
      <c r="V57" s="30">
        <f t="shared" si="147"/>
        <v>1428</v>
      </c>
      <c r="W57" s="30">
        <f t="shared" si="148"/>
        <v>1319</v>
      </c>
      <c r="X57" s="30">
        <f t="shared" si="149"/>
        <v>1311</v>
      </c>
      <c r="Y57" s="30">
        <f t="shared" si="150"/>
        <v>1325</v>
      </c>
      <c r="Z57" s="30">
        <f t="shared" si="151"/>
        <v>1267</v>
      </c>
      <c r="AA57" s="11"/>
      <c r="AB57" s="68">
        <f t="shared" si="152"/>
        <v>-0.11274509803921573</v>
      </c>
    </row>
    <row r="58" spans="2:28" ht="12.75" customHeight="1">
      <c r="B58" s="9" t="s">
        <v>118</v>
      </c>
      <c r="C58" s="76">
        <v>9841</v>
      </c>
      <c r="D58" s="76">
        <v>9236</v>
      </c>
      <c r="E58" s="76">
        <v>10303</v>
      </c>
      <c r="G58" s="105">
        <v>9848</v>
      </c>
      <c r="H58" s="105">
        <v>9706</v>
      </c>
      <c r="I58" s="105">
        <v>8860</v>
      </c>
      <c r="J58" s="82">
        <f t="shared" ref="J58:J60" si="153">D58</f>
        <v>9236</v>
      </c>
      <c r="K58" s="105">
        <v>9306</v>
      </c>
      <c r="L58" s="105">
        <v>9508</v>
      </c>
      <c r="M58" s="105">
        <v>9864</v>
      </c>
      <c r="N58" s="82">
        <f t="shared" ref="N58:N60" si="154">E58</f>
        <v>10303</v>
      </c>
      <c r="O58" s="105">
        <v>10431</v>
      </c>
      <c r="P58" s="105">
        <v>10784</v>
      </c>
      <c r="Q58" s="105">
        <v>10902</v>
      </c>
      <c r="S58" s="30">
        <f t="shared" ref="S58:S61" si="155">J58</f>
        <v>9236</v>
      </c>
      <c r="T58" s="30">
        <f t="shared" ref="T58:T61" si="156">K58</f>
        <v>9306</v>
      </c>
      <c r="U58" s="30">
        <f t="shared" ref="U58:U61" si="157">L58</f>
        <v>9508</v>
      </c>
      <c r="V58" s="30">
        <f t="shared" ref="V58:V61" si="158">M58</f>
        <v>9864</v>
      </c>
      <c r="W58" s="30">
        <f t="shared" ref="W58:W61" si="159">N58</f>
        <v>10303</v>
      </c>
      <c r="X58" s="30">
        <f t="shared" ref="X58:X61" si="160">O58</f>
        <v>10431</v>
      </c>
      <c r="Y58" s="30">
        <f t="shared" ref="Y58:Y61" si="161">P58</f>
        <v>10784</v>
      </c>
      <c r="Z58" s="30">
        <f t="shared" ref="Z58:Z61" si="162">Q58</f>
        <v>10902</v>
      </c>
      <c r="AA58" s="11"/>
      <c r="AB58" s="68">
        <f t="shared" ref="AB58:AB60" si="163">SUM(Z58/V58)-1</f>
        <v>0.10523114355231145</v>
      </c>
    </row>
    <row r="59" spans="2:28" ht="12.75" customHeight="1">
      <c r="B59" s="9" t="s">
        <v>119</v>
      </c>
      <c r="C59" s="76">
        <v>14214</v>
      </c>
      <c r="D59" s="76">
        <v>14349</v>
      </c>
      <c r="E59" s="76">
        <v>13301</v>
      </c>
      <c r="G59" s="105">
        <v>14283</v>
      </c>
      <c r="H59" s="105">
        <v>14369</v>
      </c>
      <c r="I59" s="105">
        <v>14213</v>
      </c>
      <c r="J59" s="82">
        <f t="shared" si="153"/>
        <v>14349</v>
      </c>
      <c r="K59" s="105">
        <v>13532</v>
      </c>
      <c r="L59" s="105">
        <v>13510</v>
      </c>
      <c r="M59" s="105">
        <v>13598</v>
      </c>
      <c r="N59" s="82">
        <f t="shared" si="154"/>
        <v>13301</v>
      </c>
      <c r="O59" s="105">
        <v>13425</v>
      </c>
      <c r="P59" s="105">
        <v>13615</v>
      </c>
      <c r="Q59" s="105">
        <v>13515</v>
      </c>
      <c r="S59" s="30">
        <f t="shared" si="155"/>
        <v>14349</v>
      </c>
      <c r="T59" s="30">
        <f t="shared" si="156"/>
        <v>13532</v>
      </c>
      <c r="U59" s="30">
        <f t="shared" si="157"/>
        <v>13510</v>
      </c>
      <c r="V59" s="30">
        <f t="shared" si="158"/>
        <v>13598</v>
      </c>
      <c r="W59" s="30">
        <f t="shared" si="159"/>
        <v>13301</v>
      </c>
      <c r="X59" s="30">
        <f t="shared" si="160"/>
        <v>13425</v>
      </c>
      <c r="Y59" s="30">
        <f t="shared" si="161"/>
        <v>13615</v>
      </c>
      <c r="Z59" s="30">
        <f t="shared" si="162"/>
        <v>13515</v>
      </c>
      <c r="AA59" s="11"/>
      <c r="AB59" s="68">
        <f t="shared" ref="AB59" si="164">SUM(Z59/V59)-1</f>
        <v>-6.1038387998234578E-3</v>
      </c>
    </row>
    <row r="60" spans="2:28" ht="12.75" customHeight="1">
      <c r="B60" s="9" t="s">
        <v>120</v>
      </c>
      <c r="C60" s="76">
        <v>18782</v>
      </c>
      <c r="D60" s="76">
        <v>18358</v>
      </c>
      <c r="E60" s="76">
        <v>18139</v>
      </c>
      <c r="G60" s="105">
        <v>18678</v>
      </c>
      <c r="H60" s="105">
        <v>18545</v>
      </c>
      <c r="I60" s="105">
        <v>18144</v>
      </c>
      <c r="J60" s="82">
        <f t="shared" si="153"/>
        <v>18358</v>
      </c>
      <c r="K60" s="105">
        <v>18210</v>
      </c>
      <c r="L60" s="105">
        <v>18324</v>
      </c>
      <c r="M60" s="105">
        <v>18686</v>
      </c>
      <c r="N60" s="82">
        <f t="shared" si="154"/>
        <v>18139</v>
      </c>
      <c r="O60" s="105">
        <v>18333</v>
      </c>
      <c r="P60" s="105">
        <v>18663</v>
      </c>
      <c r="Q60" s="105">
        <v>18662</v>
      </c>
      <c r="S60" s="30">
        <f t="shared" si="155"/>
        <v>18358</v>
      </c>
      <c r="T60" s="30">
        <f t="shared" si="156"/>
        <v>18210</v>
      </c>
      <c r="U60" s="30">
        <f t="shared" si="157"/>
        <v>18324</v>
      </c>
      <c r="V60" s="30">
        <f t="shared" si="158"/>
        <v>18686</v>
      </c>
      <c r="W60" s="30">
        <f t="shared" si="159"/>
        <v>18139</v>
      </c>
      <c r="X60" s="30">
        <f t="shared" si="160"/>
        <v>18333</v>
      </c>
      <c r="Y60" s="30">
        <f t="shared" si="161"/>
        <v>18663</v>
      </c>
      <c r="Z60" s="30">
        <f t="shared" si="162"/>
        <v>18662</v>
      </c>
      <c r="AA60" s="11"/>
      <c r="AB60" s="68">
        <f t="shared" si="163"/>
        <v>-1.284384030825203E-3</v>
      </c>
    </row>
    <row r="61" spans="2:28" ht="12.75" customHeight="1">
      <c r="B61" s="9" t="s">
        <v>123</v>
      </c>
      <c r="C61" s="76">
        <f>6189+635+501</f>
        <v>7325</v>
      </c>
      <c r="D61" s="76">
        <f>7162+516+118</f>
        <v>7796</v>
      </c>
      <c r="E61" s="76">
        <v>13403</v>
      </c>
      <c r="G61" s="105">
        <f>6324+614+337</f>
        <v>7275</v>
      </c>
      <c r="H61" s="105">
        <f>6592+572+158</f>
        <v>7322</v>
      </c>
      <c r="I61" s="105">
        <f>7031+528+104</f>
        <v>7663</v>
      </c>
      <c r="J61" s="82">
        <f t="shared" ref="J61" si="165">D61</f>
        <v>7796</v>
      </c>
      <c r="K61" s="105">
        <f>7291+492+147</f>
        <v>7930</v>
      </c>
      <c r="L61" s="105">
        <f>7274+471+167</f>
        <v>7912</v>
      </c>
      <c r="M61" s="105">
        <f>12904+461+44</f>
        <v>13409</v>
      </c>
      <c r="N61" s="82">
        <f t="shared" ref="N61" si="166">E61</f>
        <v>13403</v>
      </c>
      <c r="O61" s="105">
        <v>13669</v>
      </c>
      <c r="P61" s="105">
        <v>13958</v>
      </c>
      <c r="Q61" s="105">
        <v>14129</v>
      </c>
      <c r="S61" s="30">
        <f t="shared" si="155"/>
        <v>7796</v>
      </c>
      <c r="T61" s="30">
        <f t="shared" si="156"/>
        <v>7930</v>
      </c>
      <c r="U61" s="30">
        <f t="shared" si="157"/>
        <v>7912</v>
      </c>
      <c r="V61" s="30">
        <f t="shared" si="158"/>
        <v>13409</v>
      </c>
      <c r="W61" s="30">
        <f t="shared" si="159"/>
        <v>13403</v>
      </c>
      <c r="X61" s="30">
        <f t="shared" si="160"/>
        <v>13669</v>
      </c>
      <c r="Y61" s="30">
        <f t="shared" si="161"/>
        <v>13958</v>
      </c>
      <c r="Z61" s="30">
        <f t="shared" si="162"/>
        <v>14129</v>
      </c>
      <c r="AA61" s="11"/>
      <c r="AB61" s="68">
        <f t="shared" ref="AB61" si="167">SUM(Z61/V61)-1</f>
        <v>5.3695279290029152E-2</v>
      </c>
    </row>
    <row r="62" spans="2:28" ht="12.75" customHeight="1">
      <c r="B62" s="12" t="s">
        <v>19</v>
      </c>
      <c r="C62" s="13">
        <f>SUM(C56:C61)+C53</f>
        <v>92763</v>
      </c>
      <c r="D62" s="13">
        <f>SUM(D56:D61)+D53</f>
        <v>97703</v>
      </c>
      <c r="E62" s="13">
        <f>SUM(E56:E61)+E53</f>
        <v>100549</v>
      </c>
      <c r="G62" s="13">
        <f>SUM(G56:G61)+G53</f>
        <v>97404</v>
      </c>
      <c r="H62" s="13">
        <f>SUM(H56:H61)+H53</f>
        <v>98456</v>
      </c>
      <c r="I62" s="13">
        <f>SUM(I56:I61)+I53</f>
        <v>97578</v>
      </c>
      <c r="J62" s="13">
        <f>SUM(J56:J61)+J53</f>
        <v>97703</v>
      </c>
      <c r="K62" s="13">
        <f>SUM(K56:K61)+K53</f>
        <v>99392</v>
      </c>
      <c r="L62" s="13">
        <f>SUM(L56:L61)+L53</f>
        <v>101202</v>
      </c>
      <c r="M62" s="13">
        <f>SUM(M56:M61)+M53</f>
        <v>106266</v>
      </c>
      <c r="N62" s="13">
        <f>SUM(N56:N61)+N53</f>
        <v>100549</v>
      </c>
      <c r="O62" s="13">
        <f>SUM(O56:O61)+O53</f>
        <v>101716</v>
      </c>
      <c r="P62" s="13">
        <f>SUM(P56:P61)+P53</f>
        <v>104333</v>
      </c>
      <c r="Q62" s="13">
        <f>SUM(Q56:Q61)+Q53</f>
        <v>106045</v>
      </c>
      <c r="S62" s="13">
        <f>SUM(S56:S61)+S53</f>
        <v>97703</v>
      </c>
      <c r="T62" s="13">
        <f>SUM(T56:T61)+T53</f>
        <v>99392</v>
      </c>
      <c r="U62" s="13">
        <f>SUM(U56:U61)+U53</f>
        <v>101202</v>
      </c>
      <c r="V62" s="13">
        <f>SUM(V56:V61)+V53</f>
        <v>106266</v>
      </c>
      <c r="W62" s="13">
        <f>SUM(W56:W61)+W53</f>
        <v>100549</v>
      </c>
      <c r="X62" s="13">
        <f>SUM(X56:X61)+X53</f>
        <v>101716</v>
      </c>
      <c r="Y62" s="13">
        <f>SUM(Y56:Y61)+Y53</f>
        <v>104333</v>
      </c>
      <c r="Z62" s="13">
        <f>SUM(Z56:Z61)+Z53</f>
        <v>106045</v>
      </c>
      <c r="AA62" s="39"/>
      <c r="AB62" s="69">
        <f>SUM(Z62/V62)-1</f>
        <v>-2.0796868236312438E-3</v>
      </c>
    </row>
    <row r="63" spans="2:28" ht="12.75" customHeight="1">
      <c r="B63" s="23"/>
      <c r="C63" s="47"/>
      <c r="D63" s="38"/>
      <c r="E63" s="38"/>
      <c r="G63" s="38"/>
      <c r="H63" s="38"/>
      <c r="I63" s="38"/>
      <c r="J63" s="38"/>
      <c r="K63" s="38"/>
      <c r="L63" s="38"/>
      <c r="M63" s="38"/>
      <c r="N63" s="38"/>
      <c r="O63" s="38"/>
      <c r="P63" s="38"/>
      <c r="Q63" s="38"/>
      <c r="S63" s="39"/>
      <c r="T63" s="39"/>
      <c r="U63" s="39"/>
      <c r="V63" s="39"/>
      <c r="W63" s="39"/>
      <c r="X63" s="39"/>
      <c r="Y63" s="39"/>
      <c r="Z63" s="39"/>
      <c r="AA63" s="39"/>
      <c r="AB63" s="36"/>
    </row>
    <row r="64" spans="2:28" ht="12.75" customHeight="1">
      <c r="B64" s="72" t="s">
        <v>45</v>
      </c>
      <c r="C64" s="47"/>
      <c r="D64" s="38"/>
      <c r="E64" s="38"/>
      <c r="G64" s="38"/>
      <c r="H64" s="38"/>
      <c r="I64" s="38"/>
      <c r="J64" s="38"/>
      <c r="K64" s="38"/>
      <c r="L64" s="38"/>
      <c r="M64" s="38"/>
      <c r="N64" s="38"/>
      <c r="O64" s="38"/>
      <c r="P64" s="38"/>
      <c r="Q64" s="38"/>
      <c r="S64" s="39"/>
      <c r="T64" s="39"/>
      <c r="U64" s="39"/>
      <c r="V64" s="39"/>
      <c r="W64" s="39"/>
      <c r="X64" s="39"/>
      <c r="Y64" s="39"/>
      <c r="Z64" s="39"/>
      <c r="AA64" s="39"/>
      <c r="AB64" s="36"/>
    </row>
    <row r="65" spans="2:28" ht="12.75" customHeight="1">
      <c r="B65" s="9" t="s">
        <v>124</v>
      </c>
      <c r="C65" s="76">
        <v>15749</v>
      </c>
      <c r="D65" s="76">
        <v>15485</v>
      </c>
      <c r="E65" s="76">
        <v>21715</v>
      </c>
      <c r="G65" s="105">
        <v>15593</v>
      </c>
      <c r="H65" s="105">
        <v>16483</v>
      </c>
      <c r="I65" s="105">
        <v>16837</v>
      </c>
      <c r="J65" s="82">
        <f t="shared" ref="J65:J68" si="168">D65</f>
        <v>15485</v>
      </c>
      <c r="K65" s="105">
        <v>19425</v>
      </c>
      <c r="L65" s="105">
        <v>21909</v>
      </c>
      <c r="M65" s="105">
        <v>23820</v>
      </c>
      <c r="N65" s="82">
        <f t="shared" ref="N65:N68" si="169">E65</f>
        <v>21715</v>
      </c>
      <c r="O65" s="105">
        <v>16499</v>
      </c>
      <c r="P65" s="105">
        <v>17030</v>
      </c>
      <c r="Q65" s="105">
        <v>17692</v>
      </c>
      <c r="S65" s="30">
        <f t="shared" ref="S65:S68" si="170">J65</f>
        <v>15485</v>
      </c>
      <c r="T65" s="30">
        <f t="shared" ref="T65:T68" si="171">K65</f>
        <v>19425</v>
      </c>
      <c r="U65" s="30">
        <f t="shared" ref="U65:U68" si="172">L65</f>
        <v>21909</v>
      </c>
      <c r="V65" s="30">
        <f t="shared" ref="V65:V68" si="173">M65</f>
        <v>23820</v>
      </c>
      <c r="W65" s="30">
        <f t="shared" ref="W65:W68" si="174">N65</f>
        <v>21715</v>
      </c>
      <c r="X65" s="30">
        <f t="shared" ref="X65:X68" si="175">O65</f>
        <v>16499</v>
      </c>
      <c r="Y65" s="30">
        <f t="shared" ref="Y65:Y68" si="176">P65</f>
        <v>17030</v>
      </c>
      <c r="Z65" s="30">
        <f t="shared" ref="Z65:Z68" si="177">Q65</f>
        <v>17692</v>
      </c>
      <c r="AA65" s="11"/>
      <c r="AB65" s="68">
        <f t="shared" ref="AB65:AB66" si="178">SUM(Z65/V65)-1</f>
        <v>-0.25726280436607896</v>
      </c>
    </row>
    <row r="66" spans="2:28" ht="12.75" customHeight="1">
      <c r="B66" s="9" t="s">
        <v>125</v>
      </c>
      <c r="C66" s="76">
        <v>2373</v>
      </c>
      <c r="D66" s="76">
        <v>4557</v>
      </c>
      <c r="E66" s="76">
        <v>1499</v>
      </c>
      <c r="G66" s="105">
        <v>5455</v>
      </c>
      <c r="H66" s="105">
        <v>4828</v>
      </c>
      <c r="I66" s="105">
        <v>3915</v>
      </c>
      <c r="J66" s="82">
        <f t="shared" si="168"/>
        <v>4557</v>
      </c>
      <c r="K66" s="105">
        <v>6054</v>
      </c>
      <c r="L66" s="105">
        <v>3793</v>
      </c>
      <c r="M66" s="105">
        <v>2203</v>
      </c>
      <c r="N66" s="82">
        <f t="shared" si="169"/>
        <v>1499</v>
      </c>
      <c r="O66" s="105">
        <v>5418</v>
      </c>
      <c r="P66" s="105">
        <v>4379</v>
      </c>
      <c r="Q66" s="105">
        <v>2319</v>
      </c>
      <c r="S66" s="30">
        <f t="shared" si="170"/>
        <v>4557</v>
      </c>
      <c r="T66" s="30">
        <f t="shared" si="171"/>
        <v>6054</v>
      </c>
      <c r="U66" s="30">
        <f t="shared" si="172"/>
        <v>3793</v>
      </c>
      <c r="V66" s="30">
        <f t="shared" si="173"/>
        <v>2203</v>
      </c>
      <c r="W66" s="30">
        <f t="shared" si="174"/>
        <v>1499</v>
      </c>
      <c r="X66" s="30">
        <f t="shared" si="175"/>
        <v>5418</v>
      </c>
      <c r="Y66" s="30">
        <f t="shared" si="176"/>
        <v>4379</v>
      </c>
      <c r="Z66" s="30">
        <f t="shared" si="177"/>
        <v>2319</v>
      </c>
      <c r="AA66" s="11"/>
      <c r="AB66" s="68">
        <f t="shared" si="178"/>
        <v>5.2655469813890132E-2</v>
      </c>
    </row>
    <row r="67" spans="2:28" ht="12.75" customHeight="1">
      <c r="B67" s="9" t="s">
        <v>126</v>
      </c>
      <c r="C67" s="76">
        <v>399</v>
      </c>
      <c r="D67" s="76">
        <v>1960</v>
      </c>
      <c r="E67" s="76">
        <v>648</v>
      </c>
      <c r="G67" s="105">
        <v>811</v>
      </c>
      <c r="H67" s="105">
        <v>1171</v>
      </c>
      <c r="I67" s="105">
        <v>2080</v>
      </c>
      <c r="J67" s="82">
        <f t="shared" si="168"/>
        <v>1960</v>
      </c>
      <c r="K67" s="105">
        <v>1392</v>
      </c>
      <c r="L67" s="105">
        <v>1939</v>
      </c>
      <c r="M67" s="105">
        <v>1067</v>
      </c>
      <c r="N67" s="82">
        <f t="shared" si="169"/>
        <v>648</v>
      </c>
      <c r="O67" s="105">
        <v>163</v>
      </c>
      <c r="P67" s="105">
        <v>91</v>
      </c>
      <c r="Q67" s="105">
        <v>1920</v>
      </c>
      <c r="S67" s="30">
        <f t="shared" si="170"/>
        <v>1960</v>
      </c>
      <c r="T67" s="30">
        <f t="shared" si="171"/>
        <v>1392</v>
      </c>
      <c r="U67" s="30">
        <f t="shared" si="172"/>
        <v>1939</v>
      </c>
      <c r="V67" s="30">
        <f t="shared" si="173"/>
        <v>1067</v>
      </c>
      <c r="W67" s="30">
        <f t="shared" si="174"/>
        <v>648</v>
      </c>
      <c r="X67" s="30">
        <f t="shared" si="175"/>
        <v>163</v>
      </c>
      <c r="Y67" s="30">
        <f t="shared" si="176"/>
        <v>91</v>
      </c>
      <c r="Z67" s="30">
        <f t="shared" si="177"/>
        <v>1920</v>
      </c>
      <c r="AA67" s="11"/>
      <c r="AB67" s="68">
        <f t="shared" ref="AB67:AB68" si="179">SUM(Z67/V67)-1</f>
        <v>0.79943767572633551</v>
      </c>
    </row>
    <row r="68" spans="2:28" ht="12.75" customHeight="1">
      <c r="B68" s="9" t="s">
        <v>127</v>
      </c>
      <c r="C68" s="76">
        <v>1203</v>
      </c>
      <c r="D68" s="76">
        <v>1569</v>
      </c>
      <c r="E68" s="76">
        <v>1387</v>
      </c>
      <c r="G68" s="105">
        <v>1498</v>
      </c>
      <c r="H68" s="105">
        <v>1633</v>
      </c>
      <c r="I68" s="105">
        <v>1577</v>
      </c>
      <c r="J68" s="82">
        <f t="shared" si="168"/>
        <v>1569</v>
      </c>
      <c r="K68" s="105">
        <v>1485</v>
      </c>
      <c r="L68" s="105">
        <v>1622</v>
      </c>
      <c r="M68" s="105">
        <v>1479</v>
      </c>
      <c r="N68" s="82">
        <f t="shared" si="169"/>
        <v>1387</v>
      </c>
      <c r="O68" s="105">
        <v>1728</v>
      </c>
      <c r="P68" s="105">
        <v>444</v>
      </c>
      <c r="Q68" s="105">
        <v>568</v>
      </c>
      <c r="S68" s="30">
        <f t="shared" si="170"/>
        <v>1569</v>
      </c>
      <c r="T68" s="30">
        <f t="shared" si="171"/>
        <v>1485</v>
      </c>
      <c r="U68" s="30">
        <f t="shared" si="172"/>
        <v>1622</v>
      </c>
      <c r="V68" s="30">
        <f t="shared" si="173"/>
        <v>1479</v>
      </c>
      <c r="W68" s="30">
        <f t="shared" si="174"/>
        <v>1387</v>
      </c>
      <c r="X68" s="30">
        <f t="shared" si="175"/>
        <v>1728</v>
      </c>
      <c r="Y68" s="30">
        <f t="shared" si="176"/>
        <v>444</v>
      </c>
      <c r="Z68" s="30">
        <f t="shared" si="177"/>
        <v>568</v>
      </c>
      <c r="AA68" s="11"/>
      <c r="AB68" s="68">
        <f t="shared" si="179"/>
        <v>-0.61595672751859365</v>
      </c>
    </row>
    <row r="69" spans="2:28" ht="12.75" customHeight="1">
      <c r="B69" s="23" t="s">
        <v>17</v>
      </c>
      <c r="C69" s="24">
        <f>SUM(C65:C68)</f>
        <v>19724</v>
      </c>
      <c r="D69" s="24">
        <f>SUM(D65:D68)</f>
        <v>23571</v>
      </c>
      <c r="E69" s="24">
        <f>SUM(E65:E68)</f>
        <v>25249</v>
      </c>
      <c r="G69" s="24">
        <f t="shared" ref="G69:Q69" si="180">SUM(G65:G68)</f>
        <v>23357</v>
      </c>
      <c r="H69" s="24">
        <f t="shared" si="180"/>
        <v>24115</v>
      </c>
      <c r="I69" s="24">
        <f t="shared" si="180"/>
        <v>24409</v>
      </c>
      <c r="J69" s="24">
        <f t="shared" si="180"/>
        <v>23571</v>
      </c>
      <c r="K69" s="24">
        <f t="shared" si="180"/>
        <v>28356</v>
      </c>
      <c r="L69" s="24">
        <f t="shared" si="180"/>
        <v>29263</v>
      </c>
      <c r="M69" s="24">
        <f t="shared" si="180"/>
        <v>28569</v>
      </c>
      <c r="N69" s="24">
        <f t="shared" si="180"/>
        <v>25249</v>
      </c>
      <c r="O69" s="24">
        <f t="shared" si="180"/>
        <v>23808</v>
      </c>
      <c r="P69" s="24">
        <f t="shared" si="180"/>
        <v>21944</v>
      </c>
      <c r="Q69" s="24">
        <f t="shared" si="180"/>
        <v>22499</v>
      </c>
      <c r="R69" s="45"/>
      <c r="S69" s="24">
        <f t="shared" ref="S69:Z69" si="181">SUM(S65:S68)</f>
        <v>23571</v>
      </c>
      <c r="T69" s="24">
        <f t="shared" si="181"/>
        <v>28356</v>
      </c>
      <c r="U69" s="24">
        <f t="shared" si="181"/>
        <v>29263</v>
      </c>
      <c r="V69" s="24">
        <f t="shared" si="181"/>
        <v>28569</v>
      </c>
      <c r="W69" s="24">
        <f t="shared" si="181"/>
        <v>25249</v>
      </c>
      <c r="X69" s="24">
        <f t="shared" si="181"/>
        <v>23808</v>
      </c>
      <c r="Y69" s="24">
        <f t="shared" si="181"/>
        <v>21944</v>
      </c>
      <c r="Z69" s="24">
        <f t="shared" si="181"/>
        <v>22499</v>
      </c>
      <c r="AA69" s="39"/>
      <c r="AB69" s="69">
        <f>SUM(Z69/V69)-1</f>
        <v>-0.21246805978508176</v>
      </c>
    </row>
    <row r="70" spans="2:28" ht="5.0999999999999996" customHeight="1">
      <c r="B70" s="23"/>
      <c r="C70" s="47"/>
      <c r="D70" s="38"/>
      <c r="E70" s="38"/>
      <c r="G70" s="38"/>
      <c r="H70" s="38"/>
      <c r="I70" s="38"/>
      <c r="J70" s="38"/>
      <c r="K70" s="38"/>
      <c r="L70" s="38"/>
      <c r="M70" s="38"/>
      <c r="N70" s="38"/>
      <c r="O70" s="38"/>
      <c r="P70" s="38"/>
      <c r="Q70" s="38"/>
      <c r="S70" s="39"/>
      <c r="T70" s="39"/>
      <c r="U70" s="39"/>
      <c r="V70" s="39"/>
      <c r="W70" s="39"/>
      <c r="X70" s="39"/>
      <c r="Y70" s="39"/>
      <c r="Z70" s="39"/>
      <c r="AA70" s="39"/>
      <c r="AB70" s="36"/>
    </row>
    <row r="71" spans="2:28">
      <c r="B71" s="72" t="s">
        <v>83</v>
      </c>
      <c r="C71" s="47"/>
      <c r="D71" s="38"/>
      <c r="E71" s="38"/>
      <c r="G71" s="38"/>
      <c r="H71" s="38"/>
      <c r="I71" s="38"/>
      <c r="J71" s="38"/>
      <c r="K71" s="38"/>
      <c r="L71" s="38"/>
      <c r="M71" s="38"/>
      <c r="N71" s="38"/>
      <c r="O71" s="38"/>
      <c r="P71" s="38"/>
      <c r="Q71" s="38"/>
      <c r="S71" s="39"/>
      <c r="T71" s="39"/>
      <c r="U71" s="39"/>
      <c r="V71" s="39"/>
      <c r="W71" s="39"/>
      <c r="X71" s="39"/>
      <c r="Y71" s="39"/>
      <c r="Z71" s="39"/>
      <c r="AA71" s="39"/>
      <c r="AB71" s="36"/>
    </row>
    <row r="72" spans="2:28" ht="12.75" customHeight="1">
      <c r="B72" s="104" t="s">
        <v>128</v>
      </c>
      <c r="C72" s="76">
        <v>36377</v>
      </c>
      <c r="D72" s="76">
        <v>35547</v>
      </c>
      <c r="E72" s="76">
        <v>42375</v>
      </c>
      <c r="G72" s="105">
        <v>36134</v>
      </c>
      <c r="H72" s="105">
        <v>35626</v>
      </c>
      <c r="I72" s="105">
        <v>34176</v>
      </c>
      <c r="J72" s="82">
        <f t="shared" ref="J72:J74" si="182">D72</f>
        <v>35547</v>
      </c>
      <c r="K72" s="105">
        <v>35104</v>
      </c>
      <c r="L72" s="105">
        <v>38085</v>
      </c>
      <c r="M72" s="105">
        <v>42994</v>
      </c>
      <c r="N72" s="82">
        <f t="shared" ref="N72:N74" si="183">E72</f>
        <v>42375</v>
      </c>
      <c r="O72" s="105">
        <v>43530</v>
      </c>
      <c r="P72" s="105">
        <v>44976</v>
      </c>
      <c r="Q72" s="105">
        <v>43177</v>
      </c>
      <c r="S72" s="30">
        <f t="shared" ref="S72:S74" si="184">J72</f>
        <v>35547</v>
      </c>
      <c r="T72" s="30">
        <f t="shared" ref="T72:T74" si="185">K72</f>
        <v>35104</v>
      </c>
      <c r="U72" s="30">
        <f t="shared" ref="U72:U74" si="186">L72</f>
        <v>38085</v>
      </c>
      <c r="V72" s="30">
        <f t="shared" ref="V72:V74" si="187">M72</f>
        <v>42994</v>
      </c>
      <c r="W72" s="30">
        <f t="shared" ref="W72:W74" si="188">N72</f>
        <v>42375</v>
      </c>
      <c r="X72" s="30">
        <f t="shared" ref="X72:X74" si="189">O72</f>
        <v>43530</v>
      </c>
      <c r="Y72" s="30">
        <f t="shared" ref="Y72:Y74" si="190">P72</f>
        <v>44976</v>
      </c>
      <c r="Z72" s="30">
        <f t="shared" ref="Z72:Z74" si="191">Q72</f>
        <v>43177</v>
      </c>
      <c r="AA72" s="39"/>
      <c r="AB72" s="68">
        <f t="shared" ref="AB72" si="192">SUM(Z72/V72)-1</f>
        <v>4.256407870865786E-3</v>
      </c>
    </row>
    <row r="73" spans="2:28" ht="12.75" customHeight="1">
      <c r="B73" s="104" t="s">
        <v>129</v>
      </c>
      <c r="C73" s="76">
        <v>7922</v>
      </c>
      <c r="D73" s="76">
        <v>8466</v>
      </c>
      <c r="E73" s="76">
        <v>4084</v>
      </c>
      <c r="G73" s="105">
        <v>7874</v>
      </c>
      <c r="H73" s="105">
        <v>8449</v>
      </c>
      <c r="I73" s="105">
        <v>8427</v>
      </c>
      <c r="J73" s="82">
        <f t="shared" si="182"/>
        <v>8466</v>
      </c>
      <c r="K73" s="105">
        <v>5465</v>
      </c>
      <c r="L73" s="105">
        <v>4077</v>
      </c>
      <c r="M73" s="105">
        <v>4257</v>
      </c>
      <c r="N73" s="82">
        <f t="shared" si="183"/>
        <v>4084</v>
      </c>
      <c r="O73" s="105">
        <v>4313</v>
      </c>
      <c r="P73" s="105">
        <v>4856</v>
      </c>
      <c r="Q73" s="105">
        <v>4667</v>
      </c>
      <c r="S73" s="30">
        <f t="shared" si="184"/>
        <v>8466</v>
      </c>
      <c r="T73" s="30">
        <f t="shared" si="185"/>
        <v>5465</v>
      </c>
      <c r="U73" s="30">
        <f t="shared" si="186"/>
        <v>4077</v>
      </c>
      <c r="V73" s="30">
        <f t="shared" si="187"/>
        <v>4257</v>
      </c>
      <c r="W73" s="30">
        <f t="shared" si="188"/>
        <v>4084</v>
      </c>
      <c r="X73" s="30">
        <f t="shared" si="189"/>
        <v>4313</v>
      </c>
      <c r="Y73" s="30">
        <f t="shared" si="190"/>
        <v>4856</v>
      </c>
      <c r="Z73" s="30">
        <f t="shared" si="191"/>
        <v>4667</v>
      </c>
      <c r="AA73" s="39"/>
      <c r="AB73" s="68">
        <f t="shared" ref="AB73:AB74" si="193">SUM(Z73/V73)-1</f>
        <v>9.631195677707316E-2</v>
      </c>
    </row>
    <row r="74" spans="2:28" ht="12.75" customHeight="1">
      <c r="B74" s="104" t="s">
        <v>130</v>
      </c>
      <c r="C74" s="76">
        <v>2914</v>
      </c>
      <c r="D74" s="76">
        <v>2639</v>
      </c>
      <c r="E74" s="76">
        <v>2469</v>
      </c>
      <c r="G74" s="105">
        <v>3171</v>
      </c>
      <c r="H74" s="105">
        <v>2714</v>
      </c>
      <c r="I74" s="105">
        <v>2733</v>
      </c>
      <c r="J74" s="82">
        <f t="shared" si="182"/>
        <v>2639</v>
      </c>
      <c r="K74" s="105">
        <v>2521</v>
      </c>
      <c r="L74" s="105">
        <v>2366</v>
      </c>
      <c r="M74" s="105">
        <v>2292</v>
      </c>
      <c r="N74" s="82">
        <f t="shared" si="183"/>
        <v>2469</v>
      </c>
      <c r="O74" s="105">
        <v>2311</v>
      </c>
      <c r="P74" s="105">
        <v>2375</v>
      </c>
      <c r="Q74" s="105">
        <v>2435</v>
      </c>
      <c r="S74" s="30">
        <f t="shared" si="184"/>
        <v>2639</v>
      </c>
      <c r="T74" s="30">
        <f t="shared" si="185"/>
        <v>2521</v>
      </c>
      <c r="U74" s="30">
        <f t="shared" si="186"/>
        <v>2366</v>
      </c>
      <c r="V74" s="30">
        <f t="shared" si="187"/>
        <v>2292</v>
      </c>
      <c r="W74" s="30">
        <f t="shared" si="188"/>
        <v>2469</v>
      </c>
      <c r="X74" s="30">
        <f t="shared" si="189"/>
        <v>2311</v>
      </c>
      <c r="Y74" s="30">
        <f t="shared" si="190"/>
        <v>2375</v>
      </c>
      <c r="Z74" s="30">
        <f t="shared" si="191"/>
        <v>2435</v>
      </c>
      <c r="AA74" s="39"/>
      <c r="AB74" s="68">
        <f t="shared" si="193"/>
        <v>6.2390924956369886E-2</v>
      </c>
    </row>
    <row r="75" spans="2:28" ht="12.75" customHeight="1">
      <c r="B75" s="12" t="s">
        <v>15</v>
      </c>
      <c r="C75" s="13">
        <f>SUM(C72:C74)+C69</f>
        <v>66937</v>
      </c>
      <c r="D75" s="13">
        <f>SUM(D72:D74)+D69</f>
        <v>70223</v>
      </c>
      <c r="E75" s="13">
        <f>SUM(E72:E74)+E69</f>
        <v>74177</v>
      </c>
      <c r="G75" s="13">
        <f t="shared" ref="G75:Q75" si="194">SUM(G72:G74)+G69</f>
        <v>70536</v>
      </c>
      <c r="H75" s="13">
        <f t="shared" si="194"/>
        <v>70904</v>
      </c>
      <c r="I75" s="13">
        <f t="shared" si="194"/>
        <v>69745</v>
      </c>
      <c r="J75" s="13">
        <f t="shared" si="194"/>
        <v>70223</v>
      </c>
      <c r="K75" s="13">
        <f t="shared" si="194"/>
        <v>71446</v>
      </c>
      <c r="L75" s="13">
        <f t="shared" si="194"/>
        <v>73791</v>
      </c>
      <c r="M75" s="13">
        <f t="shared" si="194"/>
        <v>78112</v>
      </c>
      <c r="N75" s="13">
        <f t="shared" si="194"/>
        <v>74177</v>
      </c>
      <c r="O75" s="13">
        <f t="shared" si="194"/>
        <v>73962</v>
      </c>
      <c r="P75" s="13">
        <f t="shared" si="194"/>
        <v>74151</v>
      </c>
      <c r="Q75" s="13">
        <f t="shared" si="194"/>
        <v>72778</v>
      </c>
      <c r="S75" s="13">
        <f t="shared" ref="S75:Z75" si="195">SUM(S72:S74)+S69</f>
        <v>70223</v>
      </c>
      <c r="T75" s="13">
        <f t="shared" si="195"/>
        <v>71446</v>
      </c>
      <c r="U75" s="13">
        <f t="shared" si="195"/>
        <v>73791</v>
      </c>
      <c r="V75" s="13">
        <f t="shared" si="195"/>
        <v>78112</v>
      </c>
      <c r="W75" s="13">
        <f t="shared" si="195"/>
        <v>74177</v>
      </c>
      <c r="X75" s="13">
        <f t="shared" si="195"/>
        <v>73962</v>
      </c>
      <c r="Y75" s="13">
        <f t="shared" si="195"/>
        <v>74151</v>
      </c>
      <c r="Z75" s="13">
        <f t="shared" si="195"/>
        <v>72778</v>
      </c>
      <c r="AA75" s="39"/>
      <c r="AB75" s="69">
        <f>SUM(Z75/V75)-1</f>
        <v>-6.8286562884063873E-2</v>
      </c>
    </row>
    <row r="76" spans="2:28" ht="5.0999999999999996" customHeight="1">
      <c r="B76" s="23"/>
      <c r="C76" s="46"/>
      <c r="D76" s="38"/>
      <c r="E76" s="38"/>
      <c r="G76" s="38"/>
      <c r="H76" s="38"/>
      <c r="I76" s="38"/>
      <c r="J76" s="38"/>
      <c r="K76" s="38"/>
      <c r="L76" s="38"/>
      <c r="M76" s="38"/>
      <c r="N76" s="38"/>
      <c r="O76" s="38"/>
      <c r="P76" s="38"/>
      <c r="Q76" s="38"/>
      <c r="S76" s="39"/>
      <c r="T76" s="39"/>
      <c r="U76" s="39"/>
      <c r="V76" s="39"/>
      <c r="W76" s="39"/>
      <c r="X76" s="39"/>
      <c r="Y76" s="39"/>
      <c r="Z76" s="39"/>
      <c r="AA76" s="39"/>
      <c r="AB76" s="36"/>
    </row>
    <row r="77" spans="2:28" ht="12.75" customHeight="1">
      <c r="B77" s="104" t="s">
        <v>158</v>
      </c>
      <c r="C77" s="76">
        <v>1760</v>
      </c>
      <c r="D77" s="76">
        <v>1760</v>
      </c>
      <c r="E77" s="76">
        <v>1760</v>
      </c>
      <c r="G77" s="105">
        <v>1760</v>
      </c>
      <c r="H77" s="105">
        <v>1760</v>
      </c>
      <c r="I77" s="105">
        <v>1760</v>
      </c>
      <c r="J77" s="82">
        <f>D77</f>
        <v>1760</v>
      </c>
      <c r="K77" s="105">
        <v>1760</v>
      </c>
      <c r="L77" s="105">
        <v>1760</v>
      </c>
      <c r="M77" s="105">
        <v>1760</v>
      </c>
      <c r="N77" s="82">
        <f>E77</f>
        <v>1760</v>
      </c>
      <c r="O77" s="105">
        <v>1760</v>
      </c>
      <c r="P77" s="105">
        <v>1760</v>
      </c>
      <c r="Q77" s="105">
        <v>1760</v>
      </c>
      <c r="S77" s="30">
        <f t="shared" ref="S77:S81" si="196">J77</f>
        <v>1760</v>
      </c>
      <c r="T77" s="30">
        <f t="shared" ref="T77:T81" si="197">K77</f>
        <v>1760</v>
      </c>
      <c r="U77" s="30">
        <f t="shared" ref="U77:U81" si="198">L77</f>
        <v>1760</v>
      </c>
      <c r="V77" s="30">
        <f t="shared" ref="V77:V81" si="199">M77</f>
        <v>1760</v>
      </c>
      <c r="W77" s="30">
        <f t="shared" ref="W77:W81" si="200">N77</f>
        <v>1760</v>
      </c>
      <c r="X77" s="30">
        <f t="shared" ref="X77:X81" si="201">O77</f>
        <v>1760</v>
      </c>
      <c r="Y77" s="30">
        <f t="shared" ref="Y77:Y81" si="202">P77</f>
        <v>1760</v>
      </c>
      <c r="Z77" s="30">
        <f t="shared" ref="Z77:Z81" si="203">Q77</f>
        <v>1760</v>
      </c>
      <c r="AA77" s="11"/>
      <c r="AB77" s="68">
        <f t="shared" ref="AB77:AB81" si="204">SUM(Z77/V77)-1</f>
        <v>0</v>
      </c>
    </row>
    <row r="78" spans="2:28" ht="12.75" customHeight="1">
      <c r="B78" s="104" t="s">
        <v>155</v>
      </c>
      <c r="C78" s="76">
        <v>18822</v>
      </c>
      <c r="D78" s="76">
        <v>19209</v>
      </c>
      <c r="E78" s="76">
        <v>19801</v>
      </c>
      <c r="G78" s="105">
        <v>18889</v>
      </c>
      <c r="H78" s="105">
        <v>18993</v>
      </c>
      <c r="I78" s="105">
        <v>19081</v>
      </c>
      <c r="J78" s="82">
        <f>D78</f>
        <v>19209</v>
      </c>
      <c r="K78" s="105">
        <v>19321</v>
      </c>
      <c r="L78" s="105">
        <v>19468</v>
      </c>
      <c r="M78" s="105">
        <v>19710</v>
      </c>
      <c r="N78" s="82">
        <f>E78</f>
        <v>19801</v>
      </c>
      <c r="O78" s="105">
        <v>19873</v>
      </c>
      <c r="P78" s="105">
        <v>19970</v>
      </c>
      <c r="Q78" s="105">
        <v>20489</v>
      </c>
      <c r="S78" s="30">
        <f t="shared" ref="S78" si="205">J78</f>
        <v>19209</v>
      </c>
      <c r="T78" s="30">
        <f t="shared" ref="T78" si="206">K78</f>
        <v>19321</v>
      </c>
      <c r="U78" s="30">
        <f t="shared" ref="U78" si="207">L78</f>
        <v>19468</v>
      </c>
      <c r="V78" s="30">
        <f t="shared" ref="V78" si="208">M78</f>
        <v>19710</v>
      </c>
      <c r="W78" s="30">
        <f t="shared" ref="W78" si="209">N78</f>
        <v>19801</v>
      </c>
      <c r="X78" s="30">
        <f t="shared" ref="X78" si="210">O78</f>
        <v>19873</v>
      </c>
      <c r="Y78" s="30">
        <f t="shared" ref="Y78" si="211">P78</f>
        <v>19970</v>
      </c>
      <c r="Z78" s="30">
        <f t="shared" ref="Z78" si="212">Q78</f>
        <v>20489</v>
      </c>
      <c r="AA78" s="11"/>
      <c r="AB78" s="68"/>
    </row>
    <row r="79" spans="2:28" ht="12.75" customHeight="1">
      <c r="B79" s="104" t="s">
        <v>133</v>
      </c>
      <c r="C79" s="76">
        <v>71019</v>
      </c>
      <c r="D79" s="76">
        <v>73782</v>
      </c>
      <c r="E79" s="76">
        <v>76054</v>
      </c>
      <c r="G79" s="105">
        <v>72137</v>
      </c>
      <c r="H79" s="105">
        <v>72695</v>
      </c>
      <c r="I79" s="105">
        <v>73793</v>
      </c>
      <c r="J79" s="82">
        <f>D79</f>
        <v>73782</v>
      </c>
      <c r="K79" s="105">
        <v>74868</v>
      </c>
      <c r="L79" s="105">
        <v>75189</v>
      </c>
      <c r="M79" s="105">
        <v>75946</v>
      </c>
      <c r="N79" s="82">
        <f>E79</f>
        <v>76054</v>
      </c>
      <c r="O79" s="105">
        <v>77189</v>
      </c>
      <c r="P79" s="105">
        <v>78803</v>
      </c>
      <c r="Q79" s="105">
        <v>80305</v>
      </c>
      <c r="S79" s="30">
        <f t="shared" ref="S79:S80" si="213">J79</f>
        <v>73782</v>
      </c>
      <c r="T79" s="30">
        <f t="shared" ref="T79:T80" si="214">K79</f>
        <v>74868</v>
      </c>
      <c r="U79" s="30">
        <f t="shared" ref="U79:U80" si="215">L79</f>
        <v>75189</v>
      </c>
      <c r="V79" s="30">
        <f t="shared" ref="V79:V80" si="216">M79</f>
        <v>75946</v>
      </c>
      <c r="W79" s="30">
        <f t="shared" ref="W79:W80" si="217">N79</f>
        <v>76054</v>
      </c>
      <c r="X79" s="30">
        <f t="shared" ref="X79:X80" si="218">O79</f>
        <v>77189</v>
      </c>
      <c r="Y79" s="30">
        <f t="shared" ref="Y79:Y80" si="219">P79</f>
        <v>78803</v>
      </c>
      <c r="Z79" s="30">
        <f t="shared" ref="Z79:Z80" si="220">Q79</f>
        <v>80305</v>
      </c>
      <c r="AA79" s="11"/>
      <c r="AB79" s="68">
        <f t="shared" ref="AB79:AB80" si="221">SUM(Z79/V79)-1</f>
        <v>5.7396044557975312E-2</v>
      </c>
    </row>
    <row r="80" spans="2:28" ht="12.75" customHeight="1">
      <c r="B80" s="104" t="s">
        <v>156</v>
      </c>
      <c r="C80" s="76">
        <v>-14895</v>
      </c>
      <c r="D80" s="76">
        <v>-14275</v>
      </c>
      <c r="E80" s="76">
        <v>-16843</v>
      </c>
      <c r="G80" s="105">
        <v>-14322</v>
      </c>
      <c r="H80" s="105">
        <v>-14017</v>
      </c>
      <c r="I80" s="105">
        <v>-14815</v>
      </c>
      <c r="J80" s="82">
        <f>D80</f>
        <v>-14275</v>
      </c>
      <c r="K80" s="105">
        <v>-14504</v>
      </c>
      <c r="L80" s="105">
        <v>-15458</v>
      </c>
      <c r="M80" s="105">
        <v>-15536</v>
      </c>
      <c r="N80" s="82">
        <f>E80</f>
        <v>-16843</v>
      </c>
      <c r="O80" s="105">
        <v>-16482</v>
      </c>
      <c r="P80" s="105">
        <v>-15758</v>
      </c>
      <c r="Q80" s="105">
        <v>-14952</v>
      </c>
      <c r="S80" s="30">
        <f t="shared" si="213"/>
        <v>-14275</v>
      </c>
      <c r="T80" s="30">
        <f t="shared" si="214"/>
        <v>-14504</v>
      </c>
      <c r="U80" s="30">
        <f t="shared" si="215"/>
        <v>-15458</v>
      </c>
      <c r="V80" s="30">
        <f t="shared" si="216"/>
        <v>-15536</v>
      </c>
      <c r="W80" s="30">
        <f t="shared" si="217"/>
        <v>-16843</v>
      </c>
      <c r="X80" s="30">
        <f t="shared" si="218"/>
        <v>-16482</v>
      </c>
      <c r="Y80" s="30">
        <f t="shared" si="219"/>
        <v>-15758</v>
      </c>
      <c r="Z80" s="30">
        <f t="shared" si="220"/>
        <v>-14952</v>
      </c>
      <c r="AA80" s="11"/>
      <c r="AB80" s="68">
        <f t="shared" si="221"/>
        <v>-3.7590113285272952E-2</v>
      </c>
    </row>
    <row r="81" spans="1:28" ht="12.75" customHeight="1">
      <c r="B81" s="104" t="s">
        <v>131</v>
      </c>
      <c r="C81" s="76">
        <v>-52601</v>
      </c>
      <c r="D81" s="76">
        <v>-54535</v>
      </c>
      <c r="E81" s="76">
        <v>-55916</v>
      </c>
      <c r="G81" s="105">
        <v>-53247</v>
      </c>
      <c r="H81" s="105">
        <v>-53418</v>
      </c>
      <c r="I81" s="105">
        <v>-53494</v>
      </c>
      <c r="J81" s="82">
        <f>D81</f>
        <v>-54535</v>
      </c>
      <c r="K81" s="105">
        <v>-55016</v>
      </c>
      <c r="L81" s="105">
        <v>-55106</v>
      </c>
      <c r="M81" s="105">
        <v>-55362</v>
      </c>
      <c r="N81" s="82">
        <f>E81</f>
        <v>-55916</v>
      </c>
      <c r="O81" s="105">
        <v>-56138</v>
      </c>
      <c r="P81" s="105">
        <v>-56190</v>
      </c>
      <c r="Q81" s="105">
        <v>-56355</v>
      </c>
      <c r="S81" s="30">
        <f t="shared" si="196"/>
        <v>-54535</v>
      </c>
      <c r="T81" s="30">
        <f t="shared" si="197"/>
        <v>-55016</v>
      </c>
      <c r="U81" s="30">
        <f t="shared" si="198"/>
        <v>-55106</v>
      </c>
      <c r="V81" s="30">
        <f t="shared" si="199"/>
        <v>-55362</v>
      </c>
      <c r="W81" s="30">
        <f t="shared" si="200"/>
        <v>-55916</v>
      </c>
      <c r="X81" s="30">
        <f t="shared" si="201"/>
        <v>-56138</v>
      </c>
      <c r="Y81" s="30">
        <f t="shared" si="202"/>
        <v>-56190</v>
      </c>
      <c r="Z81" s="30">
        <f t="shared" si="203"/>
        <v>-56355</v>
      </c>
      <c r="AA81" s="11"/>
      <c r="AB81" s="68">
        <f t="shared" si="204"/>
        <v>1.7936490733716282E-2</v>
      </c>
    </row>
    <row r="82" spans="1:28" ht="12.75" customHeight="1">
      <c r="B82" s="12" t="s">
        <v>157</v>
      </c>
      <c r="C82" s="13">
        <f>SUM(C77:C81)</f>
        <v>24105</v>
      </c>
      <c r="D82" s="13">
        <f>SUM(D77:D81)</f>
        <v>25941</v>
      </c>
      <c r="E82" s="13">
        <f>SUM(E77:E81)</f>
        <v>24856</v>
      </c>
      <c r="F82" s="48"/>
      <c r="G82" s="13">
        <f>SUM(G77:G81)</f>
        <v>25217</v>
      </c>
      <c r="H82" s="13">
        <f>SUM(H77:H81)</f>
        <v>26013</v>
      </c>
      <c r="I82" s="13">
        <f>SUM(I77:I81)</f>
        <v>26325</v>
      </c>
      <c r="J82" s="13">
        <f>SUM(J77:J81)</f>
        <v>25941</v>
      </c>
      <c r="K82" s="13">
        <f>SUM(K77:K81)</f>
        <v>26429</v>
      </c>
      <c r="L82" s="13">
        <f>SUM(L77:L81)</f>
        <v>25853</v>
      </c>
      <c r="M82" s="13">
        <f>SUM(M77:M81)</f>
        <v>26518</v>
      </c>
      <c r="N82" s="13">
        <f>SUM(N77:N81)</f>
        <v>24856</v>
      </c>
      <c r="O82" s="13">
        <f>SUM(O77:O81)</f>
        <v>26202</v>
      </c>
      <c r="P82" s="13">
        <f>SUM(P77:P81)</f>
        <v>28585</v>
      </c>
      <c r="Q82" s="13">
        <f>SUM(Q77:Q81)</f>
        <v>31247</v>
      </c>
      <c r="S82" s="13">
        <f>SUM(S77:S81)</f>
        <v>25941</v>
      </c>
      <c r="T82" s="13">
        <f>SUM(T77:T81)</f>
        <v>26429</v>
      </c>
      <c r="U82" s="13">
        <f>SUM(U77:U81)</f>
        <v>25853</v>
      </c>
      <c r="V82" s="13">
        <f>SUM(V77:V81)</f>
        <v>26518</v>
      </c>
      <c r="W82" s="13">
        <f>SUM(W77:W81)</f>
        <v>24856</v>
      </c>
      <c r="X82" s="13">
        <f>SUM(X77:X81)</f>
        <v>26202</v>
      </c>
      <c r="Y82" s="13">
        <f>SUM(Y77:Y81)</f>
        <v>28585</v>
      </c>
      <c r="Z82" s="13">
        <f>SUM(Z77:Z81)</f>
        <v>31247</v>
      </c>
      <c r="AA82" s="39"/>
      <c r="AB82" s="69">
        <f>SUM(Z82/V82)-1</f>
        <v>0.17833169922316916</v>
      </c>
    </row>
    <row r="83" spans="1:28" s="150" customFormat="1" ht="5.0999999999999996" customHeight="1">
      <c r="B83" s="151"/>
      <c r="C83" s="152"/>
      <c r="D83" s="152"/>
      <c r="E83" s="152"/>
      <c r="F83" s="153"/>
      <c r="G83" s="152"/>
      <c r="H83" s="152"/>
      <c r="I83" s="152"/>
      <c r="J83" s="152"/>
      <c r="K83" s="152"/>
      <c r="L83" s="152"/>
      <c r="M83" s="152"/>
      <c r="N83" s="152"/>
      <c r="O83" s="152"/>
      <c r="P83" s="152"/>
      <c r="Q83" s="152"/>
      <c r="S83" s="152"/>
      <c r="T83" s="152"/>
      <c r="U83" s="152"/>
      <c r="V83" s="152"/>
      <c r="W83" s="152"/>
      <c r="X83" s="152"/>
      <c r="Y83" s="152"/>
      <c r="Z83" s="152"/>
      <c r="AA83" s="154"/>
      <c r="AB83" s="68"/>
    </row>
    <row r="84" spans="1:28" ht="12.75" customHeight="1">
      <c r="B84" s="104" t="s">
        <v>132</v>
      </c>
      <c r="C84" s="76">
        <v>1721</v>
      </c>
      <c r="D84" s="76">
        <v>1539</v>
      </c>
      <c r="E84" s="76">
        <v>1516</v>
      </c>
      <c r="G84" s="105">
        <v>1651</v>
      </c>
      <c r="H84" s="105">
        <v>1539</v>
      </c>
      <c r="I84" s="105">
        <v>1508</v>
      </c>
      <c r="J84" s="82">
        <f>D84</f>
        <v>1539</v>
      </c>
      <c r="K84" s="105">
        <v>1517</v>
      </c>
      <c r="L84" s="105">
        <v>1558</v>
      </c>
      <c r="M84" s="105">
        <v>1636</v>
      </c>
      <c r="N84" s="82">
        <f>E84</f>
        <v>1516</v>
      </c>
      <c r="O84" s="105">
        <v>1552</v>
      </c>
      <c r="P84" s="105">
        <v>1597</v>
      </c>
      <c r="Q84" s="105">
        <v>2020</v>
      </c>
      <c r="S84" s="30">
        <f t="shared" ref="S84" si="222">J84</f>
        <v>1539</v>
      </c>
      <c r="T84" s="30">
        <f t="shared" ref="T84" si="223">K84</f>
        <v>1517</v>
      </c>
      <c r="U84" s="30">
        <f t="shared" ref="U84" si="224">L84</f>
        <v>1558</v>
      </c>
      <c r="V84" s="30">
        <f t="shared" ref="V84" si="225">M84</f>
        <v>1636</v>
      </c>
      <c r="W84" s="30">
        <f t="shared" ref="W84" si="226">N84</f>
        <v>1516</v>
      </c>
      <c r="X84" s="30">
        <f t="shared" ref="X84" si="227">O84</f>
        <v>1552</v>
      </c>
      <c r="Y84" s="30">
        <f t="shared" ref="Y84" si="228">P84</f>
        <v>1597</v>
      </c>
      <c r="Z84" s="30">
        <f t="shared" ref="Z84" si="229">Q84</f>
        <v>2020</v>
      </c>
      <c r="AA84" s="11"/>
      <c r="AB84" s="68">
        <f t="shared" ref="AB84" si="230">SUM(Z84/V84)-1</f>
        <v>0.23471882640586794</v>
      </c>
    </row>
    <row r="85" spans="1:28" ht="12.75" customHeight="1">
      <c r="B85" s="12" t="s">
        <v>174</v>
      </c>
      <c r="C85" s="13">
        <f>SUM(C82:C84)</f>
        <v>25826</v>
      </c>
      <c r="D85" s="13">
        <f t="shared" ref="D85:E85" si="231">SUM(D82:D84)</f>
        <v>27480</v>
      </c>
      <c r="E85" s="13">
        <f t="shared" si="231"/>
        <v>26372</v>
      </c>
      <c r="F85" s="48"/>
      <c r="G85" s="13">
        <f t="shared" ref="G85" si="232">SUM(G82:G84)</f>
        <v>26868</v>
      </c>
      <c r="H85" s="13">
        <f t="shared" ref="H85" si="233">SUM(H82:H84)</f>
        <v>27552</v>
      </c>
      <c r="I85" s="13">
        <f t="shared" ref="I85" si="234">SUM(I82:I84)</f>
        <v>27833</v>
      </c>
      <c r="J85" s="13">
        <f t="shared" ref="J85" si="235">SUM(J82:J84)</f>
        <v>27480</v>
      </c>
      <c r="K85" s="13">
        <f t="shared" ref="K85" si="236">SUM(K82:K84)</f>
        <v>27946</v>
      </c>
      <c r="L85" s="13">
        <f t="shared" ref="L85" si="237">SUM(L82:L84)</f>
        <v>27411</v>
      </c>
      <c r="M85" s="13">
        <f t="shared" ref="M85" si="238">SUM(M82:M84)</f>
        <v>28154</v>
      </c>
      <c r="N85" s="13">
        <f t="shared" ref="N85" si="239">SUM(N82:N84)</f>
        <v>26372</v>
      </c>
      <c r="O85" s="13">
        <f t="shared" ref="O85" si="240">SUM(O82:O84)</f>
        <v>27754</v>
      </c>
      <c r="P85" s="13">
        <f t="shared" ref="P85" si="241">SUM(P82:P84)</f>
        <v>30182</v>
      </c>
      <c r="Q85" s="13">
        <f t="shared" ref="Q85" si="242">SUM(Q82:Q84)</f>
        <v>33267</v>
      </c>
      <c r="S85" s="13">
        <f t="shared" ref="S85" si="243">SUM(S82:S84)</f>
        <v>27480</v>
      </c>
      <c r="T85" s="13">
        <f t="shared" ref="T85" si="244">SUM(T82:T84)</f>
        <v>27946</v>
      </c>
      <c r="U85" s="13">
        <f t="shared" ref="U85" si="245">SUM(U82:U84)</f>
        <v>27411</v>
      </c>
      <c r="V85" s="13">
        <f t="shared" ref="V85" si="246">SUM(V82:V84)</f>
        <v>28154</v>
      </c>
      <c r="W85" s="13">
        <f t="shared" ref="W85" si="247">SUM(W82:W84)</f>
        <v>26372</v>
      </c>
      <c r="X85" s="13">
        <f t="shared" ref="X85" si="248">SUM(X82:X84)</f>
        <v>27754</v>
      </c>
      <c r="Y85" s="13">
        <f t="shared" ref="Y85" si="249">SUM(Y82:Y84)</f>
        <v>30182</v>
      </c>
      <c r="Z85" s="13">
        <f t="shared" ref="Z85" si="250">SUM(Z82:Z84)</f>
        <v>33267</v>
      </c>
      <c r="AA85" s="39"/>
      <c r="AB85" s="69">
        <f>SUM(Z85/V85)-1</f>
        <v>0.18160829722241956</v>
      </c>
    </row>
    <row r="86" spans="1:28" ht="12.75" customHeight="1">
      <c r="B86" s="23" t="s">
        <v>49</v>
      </c>
      <c r="C86" s="30">
        <f>SUM(C85+C75)</f>
        <v>92763</v>
      </c>
      <c r="D86" s="30">
        <f t="shared" ref="D86:E86" si="251">SUM(D85+D75)</f>
        <v>97703</v>
      </c>
      <c r="E86" s="30">
        <f t="shared" si="251"/>
        <v>100549</v>
      </c>
      <c r="F86" s="30"/>
      <c r="G86" s="30">
        <f t="shared" ref="G86" si="252">SUM(G85+G75)</f>
        <v>97404</v>
      </c>
      <c r="H86" s="30">
        <f t="shared" ref="H86" si="253">SUM(H85+H75)</f>
        <v>98456</v>
      </c>
      <c r="I86" s="30">
        <f t="shared" ref="I86" si="254">SUM(I85+I75)</f>
        <v>97578</v>
      </c>
      <c r="J86" s="30">
        <f t="shared" ref="J86" si="255">SUM(J85+J75)</f>
        <v>97703</v>
      </c>
      <c r="K86" s="30">
        <f t="shared" ref="K86" si="256">SUM(K85+K75)</f>
        <v>99392</v>
      </c>
      <c r="L86" s="30">
        <f t="shared" ref="L86" si="257">SUM(L85+L75)</f>
        <v>101202</v>
      </c>
      <c r="M86" s="30">
        <f t="shared" ref="M86" si="258">SUM(M85+M75)</f>
        <v>106266</v>
      </c>
      <c r="N86" s="30">
        <f t="shared" ref="N86" si="259">SUM(N85+N75)</f>
        <v>100549</v>
      </c>
      <c r="O86" s="30">
        <f t="shared" ref="O86" si="260">SUM(O85+O75)</f>
        <v>101716</v>
      </c>
      <c r="P86" s="30">
        <f t="shared" ref="P86" si="261">SUM(P85+P75)</f>
        <v>104333</v>
      </c>
      <c r="Q86" s="30">
        <f t="shared" ref="Q86" si="262">SUM(Q85+Q75)</f>
        <v>106045</v>
      </c>
      <c r="R86" s="30"/>
      <c r="S86" s="30">
        <f t="shared" ref="S86" si="263">SUM(S85+S75)</f>
        <v>97703</v>
      </c>
      <c r="T86" s="30">
        <f t="shared" ref="T86" si="264">SUM(T85+T75)</f>
        <v>99392</v>
      </c>
      <c r="U86" s="30">
        <f t="shared" ref="U86" si="265">SUM(U85+U75)</f>
        <v>101202</v>
      </c>
      <c r="V86" s="30">
        <f t="shared" ref="V86" si="266">SUM(V85+V75)</f>
        <v>106266</v>
      </c>
      <c r="W86" s="30">
        <f t="shared" ref="W86" si="267">SUM(W85+W75)</f>
        <v>100549</v>
      </c>
      <c r="X86" s="30">
        <f t="shared" ref="X86" si="268">SUM(X85+X75)</f>
        <v>101716</v>
      </c>
      <c r="Y86" s="30">
        <f t="shared" ref="Y86" si="269">SUM(Y85+Y75)</f>
        <v>104333</v>
      </c>
      <c r="Z86" s="30">
        <f t="shared" ref="Z86" si="270">SUM(Z85+Z75)</f>
        <v>106045</v>
      </c>
      <c r="AA86" s="11"/>
      <c r="AB86" s="69">
        <f>SUM(Z86/V86)-1</f>
        <v>-2.0796868236312438E-3</v>
      </c>
    </row>
    <row r="87" spans="1:28" ht="5.0999999999999996" customHeight="1">
      <c r="B87" s="23"/>
      <c r="C87" s="30"/>
      <c r="D87" s="30"/>
      <c r="E87" s="30"/>
      <c r="F87" s="30"/>
      <c r="G87" s="30"/>
      <c r="H87" s="30"/>
      <c r="I87" s="30"/>
      <c r="J87" s="30"/>
      <c r="K87" s="30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11"/>
    </row>
    <row r="88" spans="1:28" ht="12.75" customHeight="1">
      <c r="B88" s="62" t="s">
        <v>60</v>
      </c>
      <c r="C88" s="63">
        <f>C86-C62</f>
        <v>0</v>
      </c>
      <c r="D88" s="63">
        <f>D86-D62</f>
        <v>0</v>
      </c>
      <c r="E88" s="63">
        <f>E86-E62</f>
        <v>0</v>
      </c>
      <c r="F88" s="64"/>
      <c r="G88" s="63">
        <f>G86-G62</f>
        <v>0</v>
      </c>
      <c r="H88" s="63">
        <f>H86-H62</f>
        <v>0</v>
      </c>
      <c r="I88" s="63">
        <f>I86-I62</f>
        <v>0</v>
      </c>
      <c r="J88" s="63">
        <f>J86-J62</f>
        <v>0</v>
      </c>
      <c r="K88" s="63">
        <f>K86-K62</f>
        <v>0</v>
      </c>
      <c r="L88" s="63">
        <f>L86-L62</f>
        <v>0</v>
      </c>
      <c r="M88" s="63">
        <f>M86-M62</f>
        <v>0</v>
      </c>
      <c r="N88" s="63">
        <f>N86-N62</f>
        <v>0</v>
      </c>
      <c r="O88" s="63">
        <f>O86-O62</f>
        <v>0</v>
      </c>
      <c r="P88" s="63">
        <f>P86-P62</f>
        <v>0</v>
      </c>
      <c r="Q88" s="63">
        <f>Q86-Q62</f>
        <v>0</v>
      </c>
      <c r="R88" s="26"/>
      <c r="S88" s="63">
        <f>S86-S62</f>
        <v>0</v>
      </c>
      <c r="T88" s="63">
        <f>T86-T62</f>
        <v>0</v>
      </c>
      <c r="U88" s="63">
        <f>U86-U62</f>
        <v>0</v>
      </c>
      <c r="V88" s="63">
        <f>V86-V62</f>
        <v>0</v>
      </c>
      <c r="W88" s="63">
        <f>W86-W62</f>
        <v>0</v>
      </c>
      <c r="X88" s="63">
        <f>X86-X62</f>
        <v>0</v>
      </c>
      <c r="Y88" s="63">
        <f>Y86-Y62</f>
        <v>0</v>
      </c>
      <c r="Z88" s="63">
        <f>Z86-Z62</f>
        <v>0</v>
      </c>
    </row>
    <row r="89" spans="1:28" ht="5.0999999999999996" customHeight="1" thickBot="1">
      <c r="B89" s="100"/>
      <c r="C89" s="101"/>
      <c r="D89" s="101"/>
      <c r="E89" s="101"/>
      <c r="F89" s="102"/>
      <c r="G89" s="101"/>
      <c r="H89" s="101"/>
      <c r="I89" s="101"/>
      <c r="J89" s="101"/>
      <c r="K89" s="101"/>
      <c r="L89" s="101"/>
      <c r="M89" s="101"/>
      <c r="N89" s="101"/>
      <c r="O89" s="101"/>
      <c r="P89" s="101"/>
      <c r="Q89" s="101"/>
      <c r="R89" s="103"/>
      <c r="S89" s="101"/>
      <c r="T89" s="101"/>
      <c r="U89" s="101"/>
      <c r="V89" s="101"/>
      <c r="W89" s="101"/>
      <c r="X89" s="101"/>
      <c r="Y89" s="101"/>
      <c r="Z89" s="101"/>
      <c r="AA89" s="66"/>
      <c r="AB89" s="66"/>
    </row>
    <row r="90" spans="1:28">
      <c r="B90" s="61"/>
      <c r="C90" s="22"/>
      <c r="D90" s="22"/>
      <c r="E90" s="22"/>
      <c r="F90" s="49"/>
    </row>
    <row r="91" spans="1:28" ht="12.75" customHeight="1">
      <c r="A91" s="5" t="s">
        <v>16</v>
      </c>
      <c r="B91" s="83" t="s">
        <v>14</v>
      </c>
      <c r="C91" s="87" t="s">
        <v>0</v>
      </c>
      <c r="D91" s="87"/>
      <c r="E91" s="87"/>
      <c r="F91" s="88"/>
      <c r="G91" s="87"/>
      <c r="H91" s="87"/>
      <c r="I91" s="87"/>
      <c r="J91" s="87"/>
      <c r="K91" s="87"/>
      <c r="L91" s="87"/>
      <c r="M91" s="87" t="s">
        <v>1</v>
      </c>
      <c r="N91" s="87"/>
      <c r="O91" s="87"/>
      <c r="P91" s="87"/>
      <c r="Q91" s="87"/>
      <c r="R91" s="83"/>
      <c r="S91" s="87"/>
      <c r="T91" s="87"/>
      <c r="U91" s="87"/>
      <c r="V91" s="87" t="s">
        <v>10</v>
      </c>
      <c r="W91" s="87"/>
      <c r="X91" s="87"/>
      <c r="Y91" s="87"/>
      <c r="Z91" s="87"/>
      <c r="AA91" s="88"/>
      <c r="AB91" s="148" t="s">
        <v>22</v>
      </c>
    </row>
    <row r="92" spans="1:28" ht="12.75" customHeight="1">
      <c r="B92" s="84" t="str">
        <f t="shared" ref="B92:E93" si="271">B7</f>
        <v>Fiscal Period</v>
      </c>
      <c r="C92" s="89">
        <f t="shared" si="271"/>
        <v>2022</v>
      </c>
      <c r="D92" s="89">
        <f t="shared" si="271"/>
        <v>2023</v>
      </c>
      <c r="E92" s="89">
        <f t="shared" si="271"/>
        <v>2024</v>
      </c>
      <c r="F92" s="88"/>
      <c r="G92" s="89" t="str">
        <f t="shared" ref="G92:Q92" si="272">G7</f>
        <v>1Q23</v>
      </c>
      <c r="H92" s="89" t="str">
        <f t="shared" si="272"/>
        <v>2Q23</v>
      </c>
      <c r="I92" s="89" t="str">
        <f t="shared" si="272"/>
        <v>3Q23</v>
      </c>
      <c r="J92" s="89" t="str">
        <f t="shared" si="272"/>
        <v>4Q23</v>
      </c>
      <c r="K92" s="89" t="str">
        <f t="shared" si="272"/>
        <v>1Q24</v>
      </c>
      <c r="L92" s="89" t="str">
        <f t="shared" si="272"/>
        <v>2Q24</v>
      </c>
      <c r="M92" s="89" t="str">
        <f t="shared" si="272"/>
        <v>3Q24</v>
      </c>
      <c r="N92" s="89" t="str">
        <f t="shared" si="272"/>
        <v>4Q24</v>
      </c>
      <c r="O92" s="89" t="str">
        <f t="shared" si="272"/>
        <v>1Q25</v>
      </c>
      <c r="P92" s="89" t="str">
        <f t="shared" si="272"/>
        <v>2Q25</v>
      </c>
      <c r="Q92" s="89" t="str">
        <f t="shared" si="272"/>
        <v>3Q25</v>
      </c>
      <c r="R92" s="89"/>
      <c r="S92" s="89" t="str">
        <f t="shared" ref="S92:Z93" si="273">S7</f>
        <v>4Q23</v>
      </c>
      <c r="T92" s="89" t="str">
        <f t="shared" si="273"/>
        <v>1Q24</v>
      </c>
      <c r="U92" s="89" t="str">
        <f t="shared" si="273"/>
        <v>2Q24</v>
      </c>
      <c r="V92" s="89" t="str">
        <f t="shared" si="273"/>
        <v>3Q24</v>
      </c>
      <c r="W92" s="89" t="str">
        <f t="shared" si="273"/>
        <v>4Q24</v>
      </c>
      <c r="X92" s="89" t="str">
        <f t="shared" si="273"/>
        <v>1Q25</v>
      </c>
      <c r="Y92" s="89" t="str">
        <f t="shared" si="273"/>
        <v>2Q25</v>
      </c>
      <c r="Z92" s="89" t="str">
        <f t="shared" si="273"/>
        <v>3Q25</v>
      </c>
      <c r="AA92" s="88"/>
      <c r="AB92" s="148"/>
    </row>
    <row r="93" spans="1:28" ht="12.75" customHeight="1">
      <c r="B93" s="84" t="str">
        <f t="shared" si="271"/>
        <v>Fiscal Period End Date</v>
      </c>
      <c r="C93" s="90">
        <f t="shared" si="271"/>
        <v>44926</v>
      </c>
      <c r="D93" s="90">
        <f t="shared" si="271"/>
        <v>45291</v>
      </c>
      <c r="E93" s="90">
        <f t="shared" si="271"/>
        <v>45657</v>
      </c>
      <c r="F93" s="88"/>
      <c r="G93" s="90">
        <f t="shared" ref="G93:Q93" si="274">G8</f>
        <v>45016</v>
      </c>
      <c r="H93" s="90">
        <f t="shared" si="274"/>
        <v>45107</v>
      </c>
      <c r="I93" s="90">
        <f t="shared" si="274"/>
        <v>45198</v>
      </c>
      <c r="J93" s="90">
        <f t="shared" si="274"/>
        <v>45291</v>
      </c>
      <c r="K93" s="90">
        <f t="shared" si="274"/>
        <v>45380</v>
      </c>
      <c r="L93" s="90">
        <f t="shared" si="274"/>
        <v>45471</v>
      </c>
      <c r="M93" s="90">
        <f t="shared" si="274"/>
        <v>45562</v>
      </c>
      <c r="N93" s="90">
        <f t="shared" si="274"/>
        <v>45657</v>
      </c>
      <c r="O93" s="90">
        <f t="shared" si="274"/>
        <v>45744</v>
      </c>
      <c r="P93" s="90">
        <f t="shared" si="274"/>
        <v>45835</v>
      </c>
      <c r="Q93" s="90">
        <f t="shared" si="274"/>
        <v>45926</v>
      </c>
      <c r="R93" s="90"/>
      <c r="S93" s="90">
        <f t="shared" si="273"/>
        <v>45291</v>
      </c>
      <c r="T93" s="90">
        <f t="shared" si="273"/>
        <v>45380</v>
      </c>
      <c r="U93" s="90">
        <f t="shared" si="273"/>
        <v>45471</v>
      </c>
      <c r="V93" s="90">
        <f t="shared" si="273"/>
        <v>45562</v>
      </c>
      <c r="W93" s="90">
        <f t="shared" si="273"/>
        <v>45657</v>
      </c>
      <c r="X93" s="90">
        <f t="shared" si="273"/>
        <v>45744</v>
      </c>
      <c r="Y93" s="90">
        <f t="shared" si="273"/>
        <v>45835</v>
      </c>
      <c r="Z93" s="90">
        <f t="shared" si="273"/>
        <v>45926</v>
      </c>
      <c r="AA93" s="88"/>
      <c r="AB93" s="148"/>
    </row>
    <row r="94" spans="1:28" ht="5.0999999999999996" customHeight="1">
      <c r="B94" s="50"/>
      <c r="C94" s="44"/>
      <c r="D94" s="44"/>
      <c r="E94" s="44"/>
    </row>
    <row r="95" spans="1:28" ht="12.75" customHeight="1">
      <c r="B95" s="51" t="s">
        <v>50</v>
      </c>
      <c r="C95" s="52"/>
      <c r="D95" s="52"/>
      <c r="E95" s="52"/>
    </row>
    <row r="96" spans="1:28" ht="12.75" customHeight="1">
      <c r="B96" s="53" t="s">
        <v>51</v>
      </c>
      <c r="C96" s="30">
        <f>C30</f>
        <v>9571</v>
      </c>
      <c r="D96" s="30">
        <f>D30</f>
        <v>10703</v>
      </c>
      <c r="E96" s="30">
        <f>E30</f>
        <v>10649</v>
      </c>
      <c r="F96" s="30"/>
      <c r="G96" s="30">
        <f>G30</f>
        <v>3113</v>
      </c>
      <c r="H96" s="30">
        <f>H30</f>
        <v>2521</v>
      </c>
      <c r="I96" s="30">
        <f>I30</f>
        <v>3083</v>
      </c>
      <c r="J96" s="30">
        <f>J30</f>
        <v>1986</v>
      </c>
      <c r="K96" s="30">
        <f>K30</f>
        <v>3185</v>
      </c>
      <c r="L96" s="30">
        <f>L30</f>
        <v>2401</v>
      </c>
      <c r="M96" s="30">
        <f>M30</f>
        <v>2850</v>
      </c>
      <c r="N96" s="30">
        <f>N30</f>
        <v>2213</v>
      </c>
      <c r="O96" s="30">
        <f>O30</f>
        <v>3335</v>
      </c>
      <c r="P96" s="30">
        <f>P30</f>
        <v>3803</v>
      </c>
      <c r="Q96" s="30">
        <f>Q30</f>
        <v>3683</v>
      </c>
      <c r="S96" s="30">
        <f t="shared" ref="S96:Z96" si="275">SUM(G96:J96)</f>
        <v>10703</v>
      </c>
      <c r="T96" s="30">
        <f t="shared" si="275"/>
        <v>10775</v>
      </c>
      <c r="U96" s="30">
        <f t="shared" si="275"/>
        <v>10655</v>
      </c>
      <c r="V96" s="30">
        <f t="shared" si="275"/>
        <v>10422</v>
      </c>
      <c r="W96" s="30">
        <f t="shared" si="275"/>
        <v>10649</v>
      </c>
      <c r="X96" s="30">
        <f t="shared" si="275"/>
        <v>10799</v>
      </c>
      <c r="Y96" s="30">
        <f t="shared" si="275"/>
        <v>12201</v>
      </c>
      <c r="Z96" s="30">
        <f t="shared" si="275"/>
        <v>13034</v>
      </c>
      <c r="AA96" s="11"/>
      <c r="AB96" s="68">
        <f>SUM(Z96/V96)-1</f>
        <v>0.25062368067549423</v>
      </c>
    </row>
    <row r="97" spans="2:28" ht="5.0999999999999996" customHeight="1">
      <c r="C97" s="30"/>
      <c r="D97" s="30"/>
      <c r="E97" s="30"/>
      <c r="F97" s="30"/>
      <c r="G97" s="30"/>
      <c r="H97" s="30"/>
      <c r="I97" s="30"/>
      <c r="J97" s="30"/>
      <c r="K97" s="30"/>
      <c r="L97" s="30"/>
      <c r="M97" s="30"/>
      <c r="N97" s="30"/>
      <c r="O97" s="30"/>
      <c r="P97" s="30"/>
      <c r="Q97" s="30"/>
      <c r="S97" s="30"/>
      <c r="T97" s="30"/>
      <c r="U97" s="30"/>
      <c r="V97" s="30"/>
      <c r="W97" s="30"/>
      <c r="X97" s="30"/>
      <c r="Y97" s="30"/>
      <c r="Z97" s="30"/>
      <c r="AA97" s="11"/>
      <c r="AB97" s="68"/>
    </row>
    <row r="98" spans="2:28" ht="12.75" customHeight="1">
      <c r="B98" s="33" t="s">
        <v>59</v>
      </c>
      <c r="C98" s="30"/>
      <c r="D98" s="30"/>
      <c r="E98" s="30"/>
      <c r="F98" s="30"/>
      <c r="G98" s="76"/>
      <c r="H98" s="76"/>
      <c r="I98" s="76"/>
      <c r="J98" s="30"/>
      <c r="K98" s="76"/>
      <c r="L98" s="76"/>
      <c r="M98" s="76"/>
      <c r="N98" s="30"/>
      <c r="O98" s="76"/>
      <c r="P98" s="76"/>
      <c r="Q98" s="76"/>
      <c r="S98" s="30"/>
      <c r="T98" s="30"/>
      <c r="U98" s="30"/>
      <c r="V98" s="30"/>
      <c r="W98" s="30"/>
      <c r="X98" s="30"/>
      <c r="Y98" s="30"/>
      <c r="Z98" s="30"/>
      <c r="AA98" s="55"/>
      <c r="AB98" s="68"/>
    </row>
    <row r="99" spans="2:28" ht="12.75" customHeight="1">
      <c r="B99" s="56" t="s">
        <v>52</v>
      </c>
      <c r="C99" s="76">
        <v>1260</v>
      </c>
      <c r="D99" s="76">
        <v>1128</v>
      </c>
      <c r="E99" s="76">
        <v>1075</v>
      </c>
      <c r="F99" s="30"/>
      <c r="G99" s="76">
        <v>286</v>
      </c>
      <c r="H99" s="76">
        <f>567-G99</f>
        <v>281</v>
      </c>
      <c r="I99" s="76">
        <f>857-SUM(G99:H99)</f>
        <v>290</v>
      </c>
      <c r="J99" s="30">
        <f>SUM(D99-SUM(G99:I99))</f>
        <v>271</v>
      </c>
      <c r="K99" s="76">
        <v>262</v>
      </c>
      <c r="L99" s="76">
        <f>531-K99</f>
        <v>269</v>
      </c>
      <c r="M99" s="76">
        <f>799-SUM(K99:L99)</f>
        <v>268</v>
      </c>
      <c r="N99" s="30">
        <f t="shared" ref="N99:N107" si="276">SUM(E99-SUM(K99:M99))</f>
        <v>276</v>
      </c>
      <c r="O99" s="76">
        <v>267</v>
      </c>
      <c r="P99" s="76">
        <f>546-O99</f>
        <v>279</v>
      </c>
      <c r="Q99" s="76">
        <f>814-P99-O99</f>
        <v>268</v>
      </c>
      <c r="S99" s="30">
        <f t="shared" ref="S99:Z106" si="277">SUM(G99:J99)</f>
        <v>1128</v>
      </c>
      <c r="T99" s="30">
        <f t="shared" si="277"/>
        <v>1104</v>
      </c>
      <c r="U99" s="30">
        <f t="shared" si="277"/>
        <v>1092</v>
      </c>
      <c r="V99" s="30">
        <f t="shared" si="277"/>
        <v>1070</v>
      </c>
      <c r="W99" s="30">
        <f t="shared" si="277"/>
        <v>1075</v>
      </c>
      <c r="X99" s="30">
        <f t="shared" si="277"/>
        <v>1080</v>
      </c>
      <c r="Y99" s="30">
        <f t="shared" si="277"/>
        <v>1090</v>
      </c>
      <c r="Z99" s="30">
        <f t="shared" si="277"/>
        <v>1090</v>
      </c>
      <c r="AA99" s="11"/>
      <c r="AB99" s="68">
        <f t="shared" ref="AB99" si="278">SUM(Z99/V99)-1</f>
        <v>1.8691588785046731E-2</v>
      </c>
    </row>
    <row r="100" spans="2:28" ht="12.75" customHeight="1">
      <c r="B100" s="56" t="s">
        <v>134</v>
      </c>
      <c r="C100" s="76">
        <v>356</v>
      </c>
      <c r="D100" s="76">
        <v>254</v>
      </c>
      <c r="E100" s="76">
        <v>286</v>
      </c>
      <c r="F100" s="30"/>
      <c r="G100" s="76">
        <v>58</v>
      </c>
      <c r="H100" s="76">
        <f>120-G100</f>
        <v>62</v>
      </c>
      <c r="I100" s="76">
        <f>177-SUM(G100:H100)</f>
        <v>57</v>
      </c>
      <c r="J100" s="30">
        <f t="shared" ref="J100:J107" si="279">SUM(D100-SUM(G100:I100))</f>
        <v>77</v>
      </c>
      <c r="K100" s="76">
        <v>68</v>
      </c>
      <c r="L100" s="76">
        <f>140-K100</f>
        <v>72</v>
      </c>
      <c r="M100" s="76">
        <f>207-SUM(K100:L100)</f>
        <v>67</v>
      </c>
      <c r="N100" s="30">
        <f t="shared" si="276"/>
        <v>79</v>
      </c>
      <c r="O100" s="76">
        <v>63</v>
      </c>
      <c r="P100" s="76">
        <f>130-O100</f>
        <v>67</v>
      </c>
      <c r="Q100" s="76">
        <f>204-P100-O100</f>
        <v>74</v>
      </c>
      <c r="S100" s="30">
        <f t="shared" si="277"/>
        <v>254</v>
      </c>
      <c r="T100" s="30">
        <f t="shared" si="277"/>
        <v>264</v>
      </c>
      <c r="U100" s="30">
        <f t="shared" si="277"/>
        <v>274</v>
      </c>
      <c r="V100" s="30">
        <f t="shared" si="277"/>
        <v>284</v>
      </c>
      <c r="W100" s="30">
        <f t="shared" si="277"/>
        <v>286</v>
      </c>
      <c r="X100" s="30">
        <f t="shared" si="277"/>
        <v>281</v>
      </c>
      <c r="Y100" s="30">
        <f t="shared" si="277"/>
        <v>276</v>
      </c>
      <c r="Z100" s="30">
        <f t="shared" si="277"/>
        <v>283</v>
      </c>
      <c r="AA100" s="11"/>
      <c r="AB100" s="68">
        <f t="shared" ref="AB100" si="280">SUM(Z100/V100)-1</f>
        <v>-3.5211267605633756E-3</v>
      </c>
    </row>
    <row r="101" spans="2:28" ht="12.75" customHeight="1">
      <c r="B101" s="56" t="s">
        <v>135</v>
      </c>
      <c r="C101" s="76">
        <v>-122</v>
      </c>
      <c r="D101" s="76">
        <v>-2</v>
      </c>
      <c r="E101" s="76">
        <v>-11</v>
      </c>
      <c r="F101" s="30"/>
      <c r="G101" s="76">
        <v>260</v>
      </c>
      <c r="H101" s="76">
        <f>-211-G101</f>
        <v>-471</v>
      </c>
      <c r="I101" s="76">
        <f>-154-SUM(G101:H101)</f>
        <v>57</v>
      </c>
      <c r="J101" s="30">
        <f t="shared" si="279"/>
        <v>152</v>
      </c>
      <c r="K101" s="76">
        <v>-173</v>
      </c>
      <c r="L101" s="76">
        <f>-202-K101</f>
        <v>-29</v>
      </c>
      <c r="M101" s="76">
        <f>0-SUM(K101:L101)</f>
        <v>202</v>
      </c>
      <c r="N101" s="30">
        <f t="shared" si="276"/>
        <v>-11</v>
      </c>
      <c r="O101" s="76">
        <v>95</v>
      </c>
      <c r="P101" s="76">
        <f>459-O101</f>
        <v>364</v>
      </c>
      <c r="Q101" s="76">
        <f>496-P101-O101</f>
        <v>37</v>
      </c>
      <c r="S101" s="30">
        <f t="shared" si="277"/>
        <v>-2</v>
      </c>
      <c r="T101" s="30">
        <f t="shared" si="277"/>
        <v>-435</v>
      </c>
      <c r="U101" s="30">
        <f t="shared" si="277"/>
        <v>7</v>
      </c>
      <c r="V101" s="30">
        <f t="shared" si="277"/>
        <v>152</v>
      </c>
      <c r="W101" s="30">
        <f t="shared" si="277"/>
        <v>-11</v>
      </c>
      <c r="X101" s="30">
        <f t="shared" si="277"/>
        <v>257</v>
      </c>
      <c r="Y101" s="30">
        <f t="shared" si="277"/>
        <v>650</v>
      </c>
      <c r="Z101" s="30">
        <f t="shared" si="277"/>
        <v>485</v>
      </c>
      <c r="AA101" s="11"/>
      <c r="AB101" s="68">
        <f t="shared" ref="AB101:AB106" si="281">SUM(Z101/V101)-1</f>
        <v>2.1907894736842106</v>
      </c>
    </row>
    <row r="102" spans="2:28" ht="12.75" customHeight="1">
      <c r="B102" s="56" t="s">
        <v>136</v>
      </c>
      <c r="C102" s="76">
        <v>-838</v>
      </c>
      <c r="D102" s="76">
        <v>-1019</v>
      </c>
      <c r="E102" s="76">
        <v>-802</v>
      </c>
      <c r="F102" s="30"/>
      <c r="G102" s="76">
        <v>-249</v>
      </c>
      <c r="H102" s="76">
        <f>-467-G102</f>
        <v>-218</v>
      </c>
      <c r="I102" s="76">
        <f>-952-SUM(G102:H102)</f>
        <v>-485</v>
      </c>
      <c r="J102" s="30">
        <f t="shared" si="279"/>
        <v>-67</v>
      </c>
      <c r="K102" s="76">
        <v>-58</v>
      </c>
      <c r="L102" s="76">
        <f>-274-K102</f>
        <v>-216</v>
      </c>
      <c r="M102" s="76">
        <f>-693-SUM(K102:L102)</f>
        <v>-419</v>
      </c>
      <c r="N102" s="30">
        <f t="shared" si="276"/>
        <v>-109</v>
      </c>
      <c r="O102" s="76">
        <v>-264</v>
      </c>
      <c r="P102" s="76">
        <f>-387-O102</f>
        <v>-123</v>
      </c>
      <c r="Q102" s="76">
        <f>-859-P102-O102</f>
        <v>-472</v>
      </c>
      <c r="S102" s="30">
        <f t="shared" si="277"/>
        <v>-1019</v>
      </c>
      <c r="T102" s="30">
        <f t="shared" si="277"/>
        <v>-828</v>
      </c>
      <c r="U102" s="30">
        <f t="shared" si="277"/>
        <v>-826</v>
      </c>
      <c r="V102" s="30">
        <f t="shared" si="277"/>
        <v>-760</v>
      </c>
      <c r="W102" s="30">
        <f t="shared" si="277"/>
        <v>-802</v>
      </c>
      <c r="X102" s="30">
        <f t="shared" si="277"/>
        <v>-1008</v>
      </c>
      <c r="Y102" s="30">
        <f t="shared" si="277"/>
        <v>-915</v>
      </c>
      <c r="Z102" s="30">
        <f t="shared" si="277"/>
        <v>-968</v>
      </c>
      <c r="AA102" s="11"/>
      <c r="AB102" s="68">
        <f t="shared" si="281"/>
        <v>0.27368421052631575</v>
      </c>
    </row>
    <row r="103" spans="2:28" ht="12.75" customHeight="1">
      <c r="B103" s="56" t="s">
        <v>137</v>
      </c>
      <c r="C103" s="76">
        <v>203</v>
      </c>
      <c r="D103" s="76">
        <v>175</v>
      </c>
      <c r="E103" s="76">
        <v>-110</v>
      </c>
      <c r="F103" s="30"/>
      <c r="G103" s="76">
        <v>25</v>
      </c>
      <c r="H103" s="76">
        <f>34-G103</f>
        <v>9</v>
      </c>
      <c r="I103" s="76">
        <f>-22-SUM(G103:H103)</f>
        <v>-56</v>
      </c>
      <c r="J103" s="30">
        <f t="shared" si="279"/>
        <v>197</v>
      </c>
      <c r="K103" s="76">
        <v>17</v>
      </c>
      <c r="L103" s="76">
        <f>-87-K103</f>
        <v>-104</v>
      </c>
      <c r="M103" s="76">
        <f>-61-SUM(K103:L103)</f>
        <v>26</v>
      </c>
      <c r="N103" s="30">
        <f t="shared" si="276"/>
        <v>-49</v>
      </c>
      <c r="O103" s="76">
        <v>50</v>
      </c>
      <c r="P103" s="76">
        <f>111-O103</f>
        <v>61</v>
      </c>
      <c r="Q103" s="76">
        <f>127-P103-O103</f>
        <v>16</v>
      </c>
      <c r="S103" s="30">
        <f t="shared" si="277"/>
        <v>175</v>
      </c>
      <c r="T103" s="30">
        <f t="shared" si="277"/>
        <v>167</v>
      </c>
      <c r="U103" s="30">
        <f t="shared" si="277"/>
        <v>54</v>
      </c>
      <c r="V103" s="30">
        <f t="shared" si="277"/>
        <v>136</v>
      </c>
      <c r="W103" s="30">
        <f t="shared" si="277"/>
        <v>-110</v>
      </c>
      <c r="X103" s="30">
        <f t="shared" si="277"/>
        <v>-77</v>
      </c>
      <c r="Y103" s="30">
        <f t="shared" si="277"/>
        <v>88</v>
      </c>
      <c r="Z103" s="30">
        <f t="shared" si="277"/>
        <v>78</v>
      </c>
      <c r="AA103" s="11"/>
      <c r="AB103" s="68">
        <f t="shared" si="281"/>
        <v>-0.42647058823529416</v>
      </c>
    </row>
    <row r="104" spans="2:28" ht="12.75" customHeight="1">
      <c r="B104" s="56" t="s">
        <v>138</v>
      </c>
      <c r="C104" s="76">
        <v>-129</v>
      </c>
      <c r="D104" s="76">
        <v>-492</v>
      </c>
      <c r="E104" s="76">
        <v>-1737</v>
      </c>
      <c r="F104" s="30"/>
      <c r="G104" s="76">
        <v>-442</v>
      </c>
      <c r="H104" s="76">
        <f>-442-G104</f>
        <v>0</v>
      </c>
      <c r="I104" s="76">
        <f>-442-SUM(G104:H104)</f>
        <v>0</v>
      </c>
      <c r="J104" s="30">
        <f t="shared" si="279"/>
        <v>-50</v>
      </c>
      <c r="K104" s="76">
        <v>-1401</v>
      </c>
      <c r="L104" s="76">
        <f>-1398-K104</f>
        <v>3</v>
      </c>
      <c r="M104" s="76">
        <f>-1722-SUM(K104:L104)</f>
        <v>-324</v>
      </c>
      <c r="N104" s="30">
        <f t="shared" si="276"/>
        <v>-15</v>
      </c>
      <c r="O104" s="76">
        <v>-331</v>
      </c>
      <c r="P104" s="76">
        <f>-433-O104</f>
        <v>-102</v>
      </c>
      <c r="Q104" s="76">
        <f>-396-P104-O104</f>
        <v>37</v>
      </c>
      <c r="S104" s="30">
        <f t="shared" si="277"/>
        <v>-492</v>
      </c>
      <c r="T104" s="30">
        <f t="shared" si="277"/>
        <v>-1451</v>
      </c>
      <c r="U104" s="30">
        <f t="shared" si="277"/>
        <v>-1448</v>
      </c>
      <c r="V104" s="30">
        <f t="shared" si="277"/>
        <v>-1772</v>
      </c>
      <c r="W104" s="30">
        <f t="shared" si="277"/>
        <v>-1737</v>
      </c>
      <c r="X104" s="30">
        <f t="shared" si="277"/>
        <v>-667</v>
      </c>
      <c r="Y104" s="30">
        <f t="shared" si="277"/>
        <v>-772</v>
      </c>
      <c r="Z104" s="30">
        <f t="shared" si="277"/>
        <v>-411</v>
      </c>
      <c r="AA104" s="11"/>
      <c r="AB104" s="68">
        <f t="shared" si="281"/>
        <v>-0.76805869074492095</v>
      </c>
    </row>
    <row r="105" spans="2:28" ht="12.75" customHeight="1">
      <c r="B105" s="56" t="s">
        <v>139</v>
      </c>
      <c r="C105" s="76">
        <v>1086</v>
      </c>
      <c r="D105" s="76">
        <v>1741</v>
      </c>
      <c r="E105" s="76">
        <v>4000</v>
      </c>
      <c r="F105" s="30"/>
      <c r="G105" s="76">
        <v>88</v>
      </c>
      <c r="H105" s="76">
        <f>1375-G105</f>
        <v>1287</v>
      </c>
      <c r="I105" s="76">
        <f>1665-SUM(G105:H105)</f>
        <v>290</v>
      </c>
      <c r="J105" s="30">
        <f t="shared" si="279"/>
        <v>76</v>
      </c>
      <c r="K105" s="76">
        <v>1532</v>
      </c>
      <c r="L105" s="76">
        <f>2867-K105</f>
        <v>1335</v>
      </c>
      <c r="M105" s="76">
        <f>3874-SUM(K105:L105)</f>
        <v>1007</v>
      </c>
      <c r="N105" s="30">
        <f t="shared" si="276"/>
        <v>126</v>
      </c>
      <c r="O105" s="76">
        <v>0</v>
      </c>
      <c r="P105" s="76">
        <f>38-O105</f>
        <v>38</v>
      </c>
      <c r="Q105" s="76">
        <f>38-P105-O105</f>
        <v>0</v>
      </c>
      <c r="S105" s="30">
        <f t="shared" si="277"/>
        <v>1741</v>
      </c>
      <c r="T105" s="30">
        <f t="shared" si="277"/>
        <v>3185</v>
      </c>
      <c r="U105" s="30">
        <f t="shared" si="277"/>
        <v>3233</v>
      </c>
      <c r="V105" s="30">
        <f t="shared" si="277"/>
        <v>3950</v>
      </c>
      <c r="W105" s="30">
        <f t="shared" si="277"/>
        <v>4000</v>
      </c>
      <c r="X105" s="30">
        <f t="shared" si="277"/>
        <v>2468</v>
      </c>
      <c r="Y105" s="30">
        <f t="shared" si="277"/>
        <v>1171</v>
      </c>
      <c r="Z105" s="30">
        <f t="shared" si="277"/>
        <v>164</v>
      </c>
      <c r="AA105" s="11"/>
      <c r="AB105" s="68">
        <f t="shared" si="281"/>
        <v>-0.95848101265822783</v>
      </c>
    </row>
    <row r="106" spans="2:28" ht="12.75" customHeight="1">
      <c r="B106" s="56" t="s">
        <v>140</v>
      </c>
      <c r="C106" s="76">
        <v>236</v>
      </c>
      <c r="D106" s="76">
        <v>-43</v>
      </c>
      <c r="E106" s="76">
        <v>-311</v>
      </c>
      <c r="F106" s="30"/>
      <c r="G106" s="76">
        <v>-102</v>
      </c>
      <c r="H106" s="76">
        <f>-225-G106</f>
        <v>-123</v>
      </c>
      <c r="I106" s="76">
        <f>-48-SUM(G106:H106)</f>
        <v>177</v>
      </c>
      <c r="J106" s="30">
        <f t="shared" si="279"/>
        <v>5</v>
      </c>
      <c r="K106" s="76">
        <v>-59</v>
      </c>
      <c r="L106" s="76">
        <f>-66-K106</f>
        <v>-7</v>
      </c>
      <c r="M106" s="76">
        <f>-143-SUM(K106:L106)</f>
        <v>-77</v>
      </c>
      <c r="N106" s="30">
        <f t="shared" si="276"/>
        <v>-168</v>
      </c>
      <c r="O106" s="76">
        <v>104</v>
      </c>
      <c r="P106" s="76">
        <f>238-O106</f>
        <v>134</v>
      </c>
      <c r="Q106" s="76">
        <f>447-P106-O106</f>
        <v>209</v>
      </c>
      <c r="S106" s="30">
        <f t="shared" si="277"/>
        <v>-43</v>
      </c>
      <c r="T106" s="30">
        <f t="shared" si="277"/>
        <v>0</v>
      </c>
      <c r="U106" s="30">
        <f t="shared" si="277"/>
        <v>116</v>
      </c>
      <c r="V106" s="30">
        <f t="shared" si="277"/>
        <v>-138</v>
      </c>
      <c r="W106" s="30">
        <f t="shared" si="277"/>
        <v>-311</v>
      </c>
      <c r="X106" s="30">
        <f t="shared" si="277"/>
        <v>-148</v>
      </c>
      <c r="Y106" s="30">
        <f t="shared" si="277"/>
        <v>-7</v>
      </c>
      <c r="Z106" s="30">
        <f t="shared" si="277"/>
        <v>279</v>
      </c>
      <c r="AA106" s="11"/>
      <c r="AB106" s="68">
        <f t="shared" si="281"/>
        <v>-3.0217391304347827</v>
      </c>
    </row>
    <row r="107" spans="2:28" ht="12.75" customHeight="1">
      <c r="B107" s="56" t="s">
        <v>153</v>
      </c>
      <c r="C107" s="76">
        <v>-605</v>
      </c>
      <c r="D107" s="76">
        <v>-846</v>
      </c>
      <c r="E107" s="76">
        <v>-6234</v>
      </c>
      <c r="F107" s="30"/>
      <c r="G107" s="76">
        <v>-2877</v>
      </c>
      <c r="H107" s="76">
        <f>-1756-G107</f>
        <v>1121</v>
      </c>
      <c r="I107" s="76">
        <f>-869-SUM(G107:H107)</f>
        <v>887</v>
      </c>
      <c r="J107" s="30">
        <f t="shared" si="279"/>
        <v>23</v>
      </c>
      <c r="K107" s="76">
        <v>-2845</v>
      </c>
      <c r="L107" s="76">
        <f>-2984-K107</f>
        <v>-139</v>
      </c>
      <c r="M107" s="76">
        <f>-7843-SUM(K107:L107)</f>
        <v>-4859</v>
      </c>
      <c r="N107" s="30">
        <f t="shared" si="276"/>
        <v>1609</v>
      </c>
      <c r="O107" s="76">
        <v>-8521</v>
      </c>
      <c r="P107" s="76">
        <f>-9231-O107</f>
        <v>-710</v>
      </c>
      <c r="Q107" s="76">
        <f>-8040-P107-O107</f>
        <v>1191</v>
      </c>
      <c r="S107" s="30">
        <f t="shared" ref="S107" si="282">SUM(G107:J107)</f>
        <v>-846</v>
      </c>
      <c r="T107" s="30">
        <f t="shared" ref="T107" si="283">SUM(H107:K107)</f>
        <v>-814</v>
      </c>
      <c r="U107" s="30">
        <f t="shared" ref="U107" si="284">SUM(I107:L107)</f>
        <v>-2074</v>
      </c>
      <c r="V107" s="30">
        <f t="shared" ref="V107" si="285">SUM(J107:M107)</f>
        <v>-7820</v>
      </c>
      <c r="W107" s="30">
        <f t="shared" ref="W107" si="286">SUM(K107:N107)</f>
        <v>-6234</v>
      </c>
      <c r="X107" s="30">
        <f t="shared" ref="X107" si="287">SUM(L107:O107)</f>
        <v>-11910</v>
      </c>
      <c r="Y107" s="30">
        <f t="shared" ref="Y107" si="288">SUM(M107:P107)</f>
        <v>-12481</v>
      </c>
      <c r="Z107" s="30">
        <f t="shared" ref="Z107" si="289">SUM(N107:Q107)</f>
        <v>-6431</v>
      </c>
      <c r="AA107" s="11"/>
      <c r="AB107" s="68">
        <f t="shared" ref="AB107" si="290">SUM(Z107/V107)-1</f>
        <v>-0.17762148337595907</v>
      </c>
    </row>
    <row r="108" spans="2:28" ht="12.75" customHeight="1">
      <c r="B108" s="12" t="s">
        <v>53</v>
      </c>
      <c r="C108" s="13">
        <f>SUM(C96:C107)</f>
        <v>11018</v>
      </c>
      <c r="D108" s="13">
        <f>SUM(D96:D107)</f>
        <v>11599</v>
      </c>
      <c r="E108" s="13">
        <f>SUM(E96:E107)</f>
        <v>6805</v>
      </c>
      <c r="G108" s="13">
        <f t="shared" ref="G108:Q108" si="291">SUM(G96:G107)</f>
        <v>160</v>
      </c>
      <c r="H108" s="13">
        <f t="shared" si="291"/>
        <v>4469</v>
      </c>
      <c r="I108" s="13">
        <f t="shared" si="291"/>
        <v>4300</v>
      </c>
      <c r="J108" s="13">
        <f t="shared" si="291"/>
        <v>2670</v>
      </c>
      <c r="K108" s="13">
        <f t="shared" si="291"/>
        <v>528</v>
      </c>
      <c r="L108" s="13">
        <f t="shared" si="291"/>
        <v>3585</v>
      </c>
      <c r="M108" s="13">
        <f t="shared" si="291"/>
        <v>-1259</v>
      </c>
      <c r="N108" s="13">
        <f t="shared" si="291"/>
        <v>3951</v>
      </c>
      <c r="O108" s="13">
        <f t="shared" si="291"/>
        <v>-5202</v>
      </c>
      <c r="P108" s="13">
        <f t="shared" si="291"/>
        <v>3811</v>
      </c>
      <c r="Q108" s="13">
        <f t="shared" si="291"/>
        <v>5043</v>
      </c>
      <c r="S108" s="13">
        <f t="shared" ref="S108:Z108" si="292">SUM(S96:S107)</f>
        <v>11599</v>
      </c>
      <c r="T108" s="13">
        <f t="shared" si="292"/>
        <v>11967</v>
      </c>
      <c r="U108" s="13">
        <f t="shared" si="292"/>
        <v>11083</v>
      </c>
      <c r="V108" s="13">
        <f t="shared" si="292"/>
        <v>5524</v>
      </c>
      <c r="W108" s="13">
        <f t="shared" si="292"/>
        <v>6805</v>
      </c>
      <c r="X108" s="13">
        <f t="shared" si="292"/>
        <v>1075</v>
      </c>
      <c r="Y108" s="13">
        <f t="shared" si="292"/>
        <v>1301</v>
      </c>
      <c r="Z108" s="13">
        <f t="shared" si="292"/>
        <v>7603</v>
      </c>
      <c r="AA108" s="39"/>
      <c r="AB108" s="69">
        <f>SUM(Z108/V108)-1</f>
        <v>0.37635771180304123</v>
      </c>
    </row>
    <row r="109" spans="2:28" ht="12.75" customHeight="1">
      <c r="B109" s="49"/>
      <c r="C109" s="57"/>
      <c r="D109" s="57"/>
      <c r="E109" s="57"/>
      <c r="G109" s="57"/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S109" s="39"/>
      <c r="T109" s="39"/>
      <c r="U109" s="39"/>
      <c r="V109" s="39"/>
      <c r="W109" s="39"/>
      <c r="X109" s="39"/>
      <c r="Y109" s="39"/>
      <c r="Z109" s="39"/>
      <c r="AA109" s="39"/>
      <c r="AB109" s="36"/>
    </row>
    <row r="110" spans="2:28" ht="12.75" customHeight="1">
      <c r="B110" s="112" t="s">
        <v>54</v>
      </c>
      <c r="C110" s="54"/>
      <c r="D110" s="54"/>
      <c r="E110" s="54"/>
      <c r="G110" s="76"/>
      <c r="H110" s="76"/>
      <c r="I110" s="76"/>
      <c r="J110" s="30"/>
      <c r="K110" s="76"/>
      <c r="L110" s="76"/>
      <c r="M110" s="76"/>
      <c r="N110" s="30"/>
      <c r="O110" s="76"/>
      <c r="P110" s="76"/>
      <c r="Q110" s="76"/>
      <c r="S110" s="54"/>
      <c r="T110" s="54"/>
      <c r="U110" s="54"/>
      <c r="V110" s="54"/>
      <c r="W110" s="54"/>
      <c r="X110" s="54"/>
      <c r="Y110" s="54"/>
      <c r="Z110" s="54"/>
      <c r="AA110" s="55"/>
      <c r="AB110" s="36"/>
    </row>
    <row r="111" spans="2:28" ht="12.75" customHeight="1">
      <c r="B111" s="56" t="s">
        <v>141</v>
      </c>
      <c r="C111" s="76">
        <v>-1484</v>
      </c>
      <c r="D111" s="76">
        <v>-1852</v>
      </c>
      <c r="E111" s="76">
        <v>-2064</v>
      </c>
      <c r="F111" s="30"/>
      <c r="G111" s="76">
        <v>-276</v>
      </c>
      <c r="H111" s="76">
        <f>-615-G111</f>
        <v>-339</v>
      </c>
      <c r="I111" s="76">
        <f>-1001-SUM(G111:H111)</f>
        <v>-386</v>
      </c>
      <c r="J111" s="30">
        <f t="shared" ref="J111" si="293">SUM(D111-SUM(G111:I111))</f>
        <v>-851</v>
      </c>
      <c r="K111" s="76">
        <v>-370</v>
      </c>
      <c r="L111" s="76">
        <f>-792-K111</f>
        <v>-422</v>
      </c>
      <c r="M111" s="76">
        <f>-1261-SUM(K111:L111)</f>
        <v>-469</v>
      </c>
      <c r="N111" s="30">
        <f t="shared" ref="N111" si="294">SUM(E111-SUM(K111:M111))</f>
        <v>-803</v>
      </c>
      <c r="O111" s="76">
        <v>-309</v>
      </c>
      <c r="P111" s="76">
        <f>-751-O111</f>
        <v>-442</v>
      </c>
      <c r="Q111" s="76">
        <f>-1230-P111-O111</f>
        <v>-479</v>
      </c>
      <c r="R111" s="30"/>
      <c r="S111" s="30">
        <f t="shared" ref="S111" si="295">SUM(G111:J111)</f>
        <v>-1852</v>
      </c>
      <c r="T111" s="30">
        <f t="shared" ref="T111" si="296">SUM(H111:K111)</f>
        <v>-1946</v>
      </c>
      <c r="U111" s="30">
        <f t="shared" ref="U111" si="297">SUM(I111:L111)</f>
        <v>-2029</v>
      </c>
      <c r="V111" s="30">
        <f t="shared" ref="V111" si="298">SUM(J111:M111)</f>
        <v>-2112</v>
      </c>
      <c r="W111" s="30">
        <f t="shared" ref="W111" si="299">SUM(K111:N111)</f>
        <v>-2064</v>
      </c>
      <c r="X111" s="30">
        <f t="shared" ref="X111" si="300">SUM(L111:O111)</f>
        <v>-2003</v>
      </c>
      <c r="Y111" s="30">
        <f t="shared" ref="Y111" si="301">SUM(M111:P111)</f>
        <v>-2023</v>
      </c>
      <c r="Z111" s="30">
        <f t="shared" ref="Z111" si="302">SUM(N111:Q111)</f>
        <v>-2033</v>
      </c>
      <c r="AA111" s="55"/>
      <c r="AB111" s="68">
        <f t="shared" ref="AB111" si="303">SUM(Z111/V111)-1</f>
        <v>-3.7405303030302983E-2</v>
      </c>
    </row>
    <row r="112" spans="2:28" ht="12.75" customHeight="1">
      <c r="B112" s="56" t="s">
        <v>161</v>
      </c>
      <c r="C112" s="76">
        <f>-3751+4771</f>
        <v>1020</v>
      </c>
      <c r="D112" s="76">
        <f>-6698+4354</f>
        <v>-2344</v>
      </c>
      <c r="E112" s="76">
        <f>-5640+6589</f>
        <v>949</v>
      </c>
      <c r="F112" s="30"/>
      <c r="G112" s="76">
        <f>-739+815</f>
        <v>76</v>
      </c>
      <c r="H112" s="76">
        <f>-2103+1608-G112</f>
        <v>-571</v>
      </c>
      <c r="I112" s="76">
        <f>-4588+2892-H112-G112</f>
        <v>-1201</v>
      </c>
      <c r="J112" s="30">
        <f t="shared" ref="J112:J116" si="304">SUM(D112-SUM(G112:I112))</f>
        <v>-648</v>
      </c>
      <c r="K112" s="76">
        <f>-2552+444</f>
        <v>-2108</v>
      </c>
      <c r="L112" s="76">
        <f>-3827+2662-K112</f>
        <v>943</v>
      </c>
      <c r="M112" s="76">
        <f>-4398+5125-SUM(K112:L112)</f>
        <v>1892</v>
      </c>
      <c r="N112" s="30">
        <f t="shared" ref="N112:N116" si="305">SUM(E112-SUM(K112:M112))</f>
        <v>222</v>
      </c>
      <c r="O112" s="76">
        <f>-2507+1005</f>
        <v>-1502</v>
      </c>
      <c r="P112" s="76">
        <f>-2865+2201-O112</f>
        <v>838</v>
      </c>
      <c r="Q112" s="76">
        <f>-3292+4300-P112-O112</f>
        <v>1672</v>
      </c>
      <c r="R112" s="30"/>
      <c r="S112" s="30">
        <f t="shared" ref="S112:Z116" si="306">SUM(G112:J112)</f>
        <v>-2344</v>
      </c>
      <c r="T112" s="30">
        <f t="shared" si="306"/>
        <v>-4528</v>
      </c>
      <c r="U112" s="30">
        <f t="shared" si="306"/>
        <v>-3014</v>
      </c>
      <c r="V112" s="30">
        <f t="shared" si="306"/>
        <v>79</v>
      </c>
      <c r="W112" s="30">
        <f t="shared" si="306"/>
        <v>949</v>
      </c>
      <c r="X112" s="30">
        <f t="shared" si="306"/>
        <v>1555</v>
      </c>
      <c r="Y112" s="30">
        <f t="shared" si="306"/>
        <v>1450</v>
      </c>
      <c r="Z112" s="30">
        <f t="shared" si="306"/>
        <v>1230</v>
      </c>
      <c r="AA112" s="55"/>
      <c r="AB112" s="68">
        <f t="shared" ref="AB112" si="307">SUM(Z112/V112)-1</f>
        <v>14.569620253164556</v>
      </c>
    </row>
    <row r="113" spans="2:28" ht="12.75" customHeight="1">
      <c r="B113" s="56" t="s">
        <v>163</v>
      </c>
      <c r="C113" s="76">
        <f>-73+458</f>
        <v>385</v>
      </c>
      <c r="D113" s="76">
        <f>-62+430</f>
        <v>368</v>
      </c>
      <c r="E113" s="76">
        <f>-315+3485</f>
        <v>3170</v>
      </c>
      <c r="F113" s="30"/>
      <c r="G113" s="76">
        <f>-20+319</f>
        <v>299</v>
      </c>
      <c r="H113" s="76">
        <f>-43+320-G113</f>
        <v>-22</v>
      </c>
      <c r="I113" s="76">
        <f>-45+327-SUM(G113:H113)</f>
        <v>5</v>
      </c>
      <c r="J113" s="30">
        <f t="shared" ref="J113" si="308">SUM(D113-SUM(G113:I113))</f>
        <v>86</v>
      </c>
      <c r="K113" s="76">
        <f>-8+2893</f>
        <v>2885</v>
      </c>
      <c r="L113" s="76">
        <f>-25+2907-K113</f>
        <v>-3</v>
      </c>
      <c r="M113" s="76">
        <f>-153+3468-SUM(K113:L113)</f>
        <v>433</v>
      </c>
      <c r="N113" s="30">
        <f t="shared" ref="N113" si="309">SUM(E113-SUM(K113:M113))</f>
        <v>-145</v>
      </c>
      <c r="O113" s="76">
        <f>-42+748</f>
        <v>706</v>
      </c>
      <c r="P113" s="76">
        <f>-179+973-O113</f>
        <v>88</v>
      </c>
      <c r="Q113" s="76">
        <f>-356+1020-P113-O113</f>
        <v>-130</v>
      </c>
      <c r="R113" s="30"/>
      <c r="S113" s="30">
        <f t="shared" ref="S113" si="310">SUM(G113:J113)</f>
        <v>368</v>
      </c>
      <c r="T113" s="30">
        <f t="shared" ref="T113" si="311">SUM(H113:K113)</f>
        <v>2954</v>
      </c>
      <c r="U113" s="30">
        <f t="shared" ref="U113" si="312">SUM(I113:L113)</f>
        <v>2973</v>
      </c>
      <c r="V113" s="30">
        <f t="shared" ref="V113" si="313">SUM(J113:M113)</f>
        <v>3401</v>
      </c>
      <c r="W113" s="30">
        <f t="shared" ref="W113" si="314">SUM(K113:N113)</f>
        <v>3170</v>
      </c>
      <c r="X113" s="30">
        <f t="shared" ref="X113" si="315">SUM(L113:O113)</f>
        <v>991</v>
      </c>
      <c r="Y113" s="30">
        <f t="shared" ref="Y113" si="316">SUM(M113:P113)</f>
        <v>1082</v>
      </c>
      <c r="Z113" s="30">
        <f t="shared" ref="Z113" si="317">SUM(N113:Q113)</f>
        <v>519</v>
      </c>
      <c r="AA113" s="55"/>
      <c r="AB113" s="68">
        <f t="shared" ref="AB113" si="318">SUM(Z113/V113)-1</f>
        <v>-0.84739782416936194</v>
      </c>
    </row>
    <row r="114" spans="2:28" ht="12.75" customHeight="1">
      <c r="B114" s="56" t="s">
        <v>152</v>
      </c>
      <c r="C114" s="76">
        <v>75</v>
      </c>
      <c r="D114" s="76">
        <v>74</v>
      </c>
      <c r="E114" s="76">
        <v>40</v>
      </c>
      <c r="F114" s="30"/>
      <c r="G114" s="76">
        <v>21</v>
      </c>
      <c r="H114" s="76">
        <f>38-G114</f>
        <v>17</v>
      </c>
      <c r="I114" s="76">
        <f>46-SUM(G114:H114)</f>
        <v>8</v>
      </c>
      <c r="J114" s="30">
        <f t="shared" si="304"/>
        <v>28</v>
      </c>
      <c r="K114" s="76">
        <v>14</v>
      </c>
      <c r="L114" s="76">
        <f>21-K114</f>
        <v>7</v>
      </c>
      <c r="M114" s="76">
        <f>33-SUM(K114:L114)</f>
        <v>12</v>
      </c>
      <c r="N114" s="30">
        <f t="shared" si="305"/>
        <v>7</v>
      </c>
      <c r="O114" s="76">
        <v>8</v>
      </c>
      <c r="P114" s="76">
        <f>13-O114</f>
        <v>5</v>
      </c>
      <c r="Q114" s="76">
        <f>21-P114-O114</f>
        <v>8</v>
      </c>
      <c r="R114" s="30"/>
      <c r="S114" s="30">
        <f t="shared" ref="S114" si="319">SUM(G114:J114)</f>
        <v>74</v>
      </c>
      <c r="T114" s="30">
        <f t="shared" ref="T114" si="320">SUM(H114:K114)</f>
        <v>67</v>
      </c>
      <c r="U114" s="30">
        <f t="shared" ref="U114" si="321">SUM(I114:L114)</f>
        <v>57</v>
      </c>
      <c r="V114" s="30">
        <f t="shared" ref="V114" si="322">SUM(J114:M114)</f>
        <v>61</v>
      </c>
      <c r="W114" s="30">
        <f t="shared" ref="W114" si="323">SUM(K114:N114)</f>
        <v>40</v>
      </c>
      <c r="X114" s="30">
        <f t="shared" ref="X114" si="324">SUM(L114:O114)</f>
        <v>34</v>
      </c>
      <c r="Y114" s="30">
        <f t="shared" ref="Y114" si="325">SUM(M114:P114)</f>
        <v>32</v>
      </c>
      <c r="Z114" s="30">
        <f t="shared" ref="Z114" si="326">SUM(N114:Q114)</f>
        <v>28</v>
      </c>
      <c r="AA114" s="55"/>
      <c r="AB114" s="68">
        <f t="shared" ref="AB114" si="327">SUM(Z114/V114)-1</f>
        <v>-0.54098360655737698</v>
      </c>
    </row>
    <row r="115" spans="2:28" ht="12.75" customHeight="1">
      <c r="B115" s="56" t="s">
        <v>162</v>
      </c>
      <c r="C115" s="76">
        <v>-1465</v>
      </c>
      <c r="D115" s="76">
        <v>366</v>
      </c>
      <c r="E115" s="76">
        <v>235</v>
      </c>
      <c r="F115" s="30"/>
      <c r="G115" s="76">
        <v>18</v>
      </c>
      <c r="H115" s="76">
        <f>-15-G115</f>
        <v>-33</v>
      </c>
      <c r="I115" s="76">
        <f>-124-SUM(G115:H115)</f>
        <v>-109</v>
      </c>
      <c r="J115" s="30">
        <f t="shared" si="304"/>
        <v>490</v>
      </c>
      <c r="K115" s="76">
        <v>-105</v>
      </c>
      <c r="L115" s="76">
        <f>-76-K115</f>
        <v>29</v>
      </c>
      <c r="M115" s="76">
        <f>299-SUM(K115:L115)</f>
        <v>375</v>
      </c>
      <c r="N115" s="30">
        <f t="shared" si="305"/>
        <v>-64</v>
      </c>
      <c r="O115" s="76">
        <v>-15</v>
      </c>
      <c r="P115" s="76">
        <f>206-O115</f>
        <v>221</v>
      </c>
      <c r="Q115" s="76">
        <f>300-P115-O115</f>
        <v>94</v>
      </c>
      <c r="R115" s="30"/>
      <c r="S115" s="30">
        <f t="shared" si="306"/>
        <v>366</v>
      </c>
      <c r="T115" s="30">
        <f t="shared" si="306"/>
        <v>243</v>
      </c>
      <c r="U115" s="30">
        <f t="shared" si="306"/>
        <v>305</v>
      </c>
      <c r="V115" s="30">
        <f t="shared" si="306"/>
        <v>789</v>
      </c>
      <c r="W115" s="30">
        <f t="shared" si="306"/>
        <v>235</v>
      </c>
      <c r="X115" s="30">
        <f t="shared" si="306"/>
        <v>325</v>
      </c>
      <c r="Y115" s="30">
        <f t="shared" si="306"/>
        <v>517</v>
      </c>
      <c r="Z115" s="30">
        <f t="shared" si="306"/>
        <v>236</v>
      </c>
      <c r="AA115" s="55"/>
      <c r="AB115" s="68">
        <f t="shared" ref="AB115:AB116" si="328">SUM(Z115/V115)-1</f>
        <v>-0.70088719898605834</v>
      </c>
    </row>
    <row r="116" spans="2:28" ht="12.75" customHeight="1">
      <c r="B116" s="56" t="s">
        <v>142</v>
      </c>
      <c r="C116" s="76">
        <v>706</v>
      </c>
      <c r="D116" s="76">
        <v>39</v>
      </c>
      <c r="E116" s="76">
        <v>194</v>
      </c>
      <c r="F116" s="30"/>
      <c r="G116" s="76">
        <v>-21</v>
      </c>
      <c r="H116" s="76">
        <f>44-G116</f>
        <v>65</v>
      </c>
      <c r="I116" s="76">
        <f>70-SUM(G116:H116)</f>
        <v>26</v>
      </c>
      <c r="J116" s="30">
        <f t="shared" si="304"/>
        <v>-31</v>
      </c>
      <c r="K116" s="76">
        <v>14</v>
      </c>
      <c r="L116" s="76">
        <f>127-K116</f>
        <v>113</v>
      </c>
      <c r="M116" s="76">
        <f>194-SUM(K116:L116)</f>
        <v>67</v>
      </c>
      <c r="N116" s="30">
        <f t="shared" si="305"/>
        <v>0</v>
      </c>
      <c r="O116" s="76">
        <v>45</v>
      </c>
      <c r="P116" s="76">
        <f>124-O116</f>
        <v>79</v>
      </c>
      <c r="Q116" s="76">
        <f>214-P116-O116</f>
        <v>90</v>
      </c>
      <c r="R116" s="30"/>
      <c r="S116" s="30">
        <f t="shared" si="306"/>
        <v>39</v>
      </c>
      <c r="T116" s="30">
        <f t="shared" si="306"/>
        <v>74</v>
      </c>
      <c r="U116" s="30">
        <f t="shared" si="306"/>
        <v>122</v>
      </c>
      <c r="V116" s="30">
        <f t="shared" si="306"/>
        <v>163</v>
      </c>
      <c r="W116" s="30">
        <f t="shared" si="306"/>
        <v>194</v>
      </c>
      <c r="X116" s="30">
        <f t="shared" si="306"/>
        <v>225</v>
      </c>
      <c r="Y116" s="30">
        <f t="shared" si="306"/>
        <v>191</v>
      </c>
      <c r="Z116" s="30">
        <f t="shared" si="306"/>
        <v>214</v>
      </c>
      <c r="AA116" s="55"/>
      <c r="AB116" s="68">
        <f t="shared" si="328"/>
        <v>0.31288343558282206</v>
      </c>
    </row>
    <row r="117" spans="2:28" ht="12.75" customHeight="1">
      <c r="B117" s="12" t="s">
        <v>55</v>
      </c>
      <c r="C117" s="13">
        <f>SUM(C111:C116)</f>
        <v>-763</v>
      </c>
      <c r="D117" s="13">
        <f>SUM(D111:D116)</f>
        <v>-3349</v>
      </c>
      <c r="E117" s="13">
        <f>SUM(E111:E116)</f>
        <v>2524</v>
      </c>
      <c r="G117" s="13">
        <f>SUM(G111:G116)</f>
        <v>117</v>
      </c>
      <c r="H117" s="13">
        <f>SUM(H111:H116)</f>
        <v>-883</v>
      </c>
      <c r="I117" s="13">
        <f>SUM(I111:I116)</f>
        <v>-1657</v>
      </c>
      <c r="J117" s="13">
        <f>SUM(J111:J116)</f>
        <v>-926</v>
      </c>
      <c r="K117" s="13">
        <f>SUM(K111:K116)</f>
        <v>330</v>
      </c>
      <c r="L117" s="13">
        <f>SUM(L111:L116)</f>
        <v>667</v>
      </c>
      <c r="M117" s="13">
        <f>SUM(M111:M116)</f>
        <v>2310</v>
      </c>
      <c r="N117" s="13">
        <f>SUM(N111:N116)</f>
        <v>-783</v>
      </c>
      <c r="O117" s="13">
        <f>SUM(O111:O116)</f>
        <v>-1067</v>
      </c>
      <c r="P117" s="13">
        <f>SUM(P111:P116)</f>
        <v>789</v>
      </c>
      <c r="Q117" s="13">
        <f>SUM(Q111:Q116)</f>
        <v>1255</v>
      </c>
      <c r="S117" s="13">
        <f>SUM(S111:S116)</f>
        <v>-3349</v>
      </c>
      <c r="T117" s="13">
        <f>SUM(T111:T116)</f>
        <v>-3136</v>
      </c>
      <c r="U117" s="13">
        <f>SUM(U111:U116)</f>
        <v>-1586</v>
      </c>
      <c r="V117" s="13">
        <f>SUM(V111:V116)</f>
        <v>2381</v>
      </c>
      <c r="W117" s="13">
        <f>SUM(W111:W116)</f>
        <v>2524</v>
      </c>
      <c r="X117" s="13">
        <f>SUM(X111:X116)</f>
        <v>1127</v>
      </c>
      <c r="Y117" s="13">
        <f>SUM(Y111:Y116)</f>
        <v>1249</v>
      </c>
      <c r="Z117" s="13">
        <f>SUM(Z111:Z116)</f>
        <v>194</v>
      </c>
      <c r="AA117" s="39"/>
      <c r="AB117" s="69">
        <f>SUM(Z117/V117)-1</f>
        <v>-0.91852162956740868</v>
      </c>
    </row>
    <row r="118" spans="2:28" ht="5.0999999999999996" customHeight="1">
      <c r="B118" s="48"/>
      <c r="C118" s="57"/>
      <c r="D118" s="57"/>
      <c r="E118" s="57"/>
      <c r="G118" s="57"/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S118" s="39"/>
      <c r="T118" s="39"/>
      <c r="U118" s="39"/>
      <c r="V118" s="39"/>
      <c r="W118" s="39"/>
      <c r="X118" s="39"/>
      <c r="Y118" s="39"/>
      <c r="Z118" s="39"/>
      <c r="AA118" s="39"/>
      <c r="AB118" s="36"/>
    </row>
    <row r="119" spans="2:28" ht="12.75" customHeight="1">
      <c r="B119" s="112" t="s">
        <v>56</v>
      </c>
      <c r="C119" s="58"/>
      <c r="D119" s="58"/>
      <c r="E119" s="58"/>
      <c r="G119" s="58"/>
      <c r="H119" s="58"/>
      <c r="I119" s="58"/>
      <c r="J119" s="58"/>
      <c r="K119" s="58"/>
      <c r="L119" s="58"/>
      <c r="M119" s="58"/>
      <c r="N119" s="58"/>
      <c r="O119" s="58"/>
      <c r="P119" s="58"/>
      <c r="Q119" s="58"/>
      <c r="R119" s="30"/>
      <c r="S119" s="30"/>
      <c r="T119" s="30"/>
      <c r="U119" s="30"/>
      <c r="V119" s="30"/>
      <c r="W119" s="30"/>
      <c r="X119" s="30"/>
      <c r="Y119" s="30"/>
      <c r="Z119" s="30"/>
      <c r="AA119" s="59"/>
      <c r="AB119" s="36"/>
    </row>
    <row r="120" spans="2:28" ht="12.75" customHeight="1">
      <c r="B120" s="77" t="s">
        <v>164</v>
      </c>
      <c r="C120" s="76">
        <f>-4930+3972</f>
        <v>-958</v>
      </c>
      <c r="D120" s="76">
        <f>-5034+6891</f>
        <v>1857</v>
      </c>
      <c r="E120" s="76">
        <f>-9533+12061</f>
        <v>2528</v>
      </c>
      <c r="G120" s="76">
        <f>-1174+4074</f>
        <v>2900</v>
      </c>
      <c r="H120" s="76">
        <f>-2366+4638-G120</f>
        <v>-628</v>
      </c>
      <c r="I120" s="76">
        <f>-4794+6013-SUM(G120:H120)</f>
        <v>-1053</v>
      </c>
      <c r="J120" s="30">
        <f t="shared" ref="J120:J121" si="329">SUM(D120-SUM(G120:I120))</f>
        <v>638</v>
      </c>
      <c r="K120" s="76">
        <f>-1366+2285</f>
        <v>919</v>
      </c>
      <c r="L120" s="76">
        <f>-4734+6832-K120</f>
        <v>1179</v>
      </c>
      <c r="M120" s="76">
        <f>-7925+11298-SUM(K120:L120)</f>
        <v>1275</v>
      </c>
      <c r="N120" s="30">
        <f t="shared" ref="N120:N121" si="330">SUM(E120-SUM(K120:M120))</f>
        <v>-845</v>
      </c>
      <c r="O120" s="76">
        <f>-1599+5436</f>
        <v>3837</v>
      </c>
      <c r="P120" s="76">
        <f>-2630+5320-O120</f>
        <v>-1147</v>
      </c>
      <c r="Q120" s="76">
        <f>-4166+4854-P120-O120</f>
        <v>-2002</v>
      </c>
      <c r="R120" s="30"/>
      <c r="S120" s="30">
        <f t="shared" ref="S120" si="331">SUM(G120:J120)</f>
        <v>1857</v>
      </c>
      <c r="T120" s="30">
        <f t="shared" ref="T120" si="332">SUM(H120:K120)</f>
        <v>-124</v>
      </c>
      <c r="U120" s="30">
        <f t="shared" ref="U120" si="333">SUM(I120:L120)</f>
        <v>1683</v>
      </c>
      <c r="V120" s="30">
        <f t="shared" ref="V120" si="334">SUM(J120:M120)</f>
        <v>4011</v>
      </c>
      <c r="W120" s="30">
        <f t="shared" ref="W120" si="335">SUM(K120:N120)</f>
        <v>2528</v>
      </c>
      <c r="X120" s="30">
        <f t="shared" ref="X120" si="336">SUM(L120:O120)</f>
        <v>5446</v>
      </c>
      <c r="Y120" s="30">
        <f t="shared" ref="Y120" si="337">SUM(M120:P120)</f>
        <v>3120</v>
      </c>
      <c r="Z120" s="30">
        <f t="shared" ref="Z120" si="338">SUM(N120:Q120)</f>
        <v>-157</v>
      </c>
      <c r="AA120" s="59"/>
      <c r="AB120" s="68">
        <f t="shared" ref="AB120:AB121" si="339">SUM(Z120/V120)-1</f>
        <v>-1.0391423585140862</v>
      </c>
    </row>
    <row r="121" spans="2:28" ht="12.75" customHeight="1">
      <c r="B121" s="77" t="s">
        <v>165</v>
      </c>
      <c r="C121" s="76">
        <f>-1418+837</f>
        <v>-581</v>
      </c>
      <c r="D121" s="76">
        <f>-2289+539</f>
        <v>-1750</v>
      </c>
      <c r="E121" s="76">
        <f>-1795+747</f>
        <v>-1048</v>
      </c>
      <c r="F121" s="30"/>
      <c r="G121" s="76">
        <f>-848+229</f>
        <v>-619</v>
      </c>
      <c r="H121" s="76">
        <f>-1084+359-G121</f>
        <v>-106</v>
      </c>
      <c r="I121" s="76">
        <f>-1193+424-SUM(G121:H121)</f>
        <v>-44</v>
      </c>
      <c r="J121" s="30">
        <f t="shared" si="329"/>
        <v>-981</v>
      </c>
      <c r="K121" s="76">
        <f>-702+290</f>
        <v>-412</v>
      </c>
      <c r="L121" s="76">
        <f>-874+437-K121</f>
        <v>-25</v>
      </c>
      <c r="M121" s="76">
        <f>-1228+717-SUM(K121:L121)</f>
        <v>-74</v>
      </c>
      <c r="N121" s="30">
        <f t="shared" si="330"/>
        <v>-537</v>
      </c>
      <c r="O121" s="76">
        <f>-370+159</f>
        <v>-211</v>
      </c>
      <c r="P121" s="76">
        <f>-472+223-O121</f>
        <v>-38</v>
      </c>
      <c r="Q121" s="76">
        <f>-644+243-P121-O121</f>
        <v>-152</v>
      </c>
      <c r="R121" s="30"/>
      <c r="S121" s="30">
        <f t="shared" ref="S121:Z123" si="340">SUM(G121:J121)</f>
        <v>-1750</v>
      </c>
      <c r="T121" s="30">
        <f t="shared" si="340"/>
        <v>-1543</v>
      </c>
      <c r="U121" s="30">
        <f t="shared" si="340"/>
        <v>-1462</v>
      </c>
      <c r="V121" s="30">
        <f t="shared" si="340"/>
        <v>-1492</v>
      </c>
      <c r="W121" s="30">
        <f t="shared" si="340"/>
        <v>-1048</v>
      </c>
      <c r="X121" s="30">
        <f t="shared" si="340"/>
        <v>-847</v>
      </c>
      <c r="Y121" s="30">
        <f t="shared" si="340"/>
        <v>-860</v>
      </c>
      <c r="Z121" s="30">
        <f t="shared" si="340"/>
        <v>-938</v>
      </c>
      <c r="AA121" s="55"/>
      <c r="AB121" s="68">
        <f t="shared" si="339"/>
        <v>-0.37131367292225204</v>
      </c>
    </row>
    <row r="122" spans="2:28" ht="12.75" customHeight="1">
      <c r="B122" s="56" t="s">
        <v>143</v>
      </c>
      <c r="C122" s="76">
        <v>-7616</v>
      </c>
      <c r="D122" s="76">
        <v>-7952</v>
      </c>
      <c r="E122" s="76">
        <v>-8359</v>
      </c>
      <c r="F122" s="30"/>
      <c r="G122" s="76">
        <v>-101</v>
      </c>
      <c r="H122" s="76">
        <f>-2089-G122</f>
        <v>-1988</v>
      </c>
      <c r="I122" s="76">
        <f>-4078-SUM(G122:H122)</f>
        <v>-1989</v>
      </c>
      <c r="J122" s="30">
        <f t="shared" ref="J122:J123" si="341">SUM(D122-SUM(G122:I122))</f>
        <v>-3874</v>
      </c>
      <c r="K122" s="76">
        <v>-99</v>
      </c>
      <c r="L122" s="76">
        <f>-2184-K122</f>
        <v>-2085</v>
      </c>
      <c r="M122" s="76">
        <f>-4274-SUM(K122:L122)</f>
        <v>-2090</v>
      </c>
      <c r="N122" s="30">
        <f t="shared" ref="N122:N123" si="342">SUM(E122-SUM(K122:M122))</f>
        <v>-4085</v>
      </c>
      <c r="O122" s="76">
        <v>-89</v>
      </c>
      <c r="P122" s="76">
        <f>-2283-O122</f>
        <v>-2194</v>
      </c>
      <c r="Q122" s="76">
        <f>-4391-P122-O122</f>
        <v>-2108</v>
      </c>
      <c r="R122" s="30"/>
      <c r="S122" s="30">
        <f t="shared" si="340"/>
        <v>-7952</v>
      </c>
      <c r="T122" s="30">
        <f t="shared" si="340"/>
        <v>-7950</v>
      </c>
      <c r="U122" s="30">
        <f t="shared" si="340"/>
        <v>-8047</v>
      </c>
      <c r="V122" s="30">
        <f t="shared" si="340"/>
        <v>-8148</v>
      </c>
      <c r="W122" s="30">
        <f t="shared" si="340"/>
        <v>-8359</v>
      </c>
      <c r="X122" s="30">
        <f t="shared" si="340"/>
        <v>-8349</v>
      </c>
      <c r="Y122" s="30">
        <f t="shared" si="340"/>
        <v>-8458</v>
      </c>
      <c r="Z122" s="30">
        <f t="shared" si="340"/>
        <v>-8476</v>
      </c>
      <c r="AA122" s="55"/>
      <c r="AB122" s="68">
        <f t="shared" ref="AB122:AB123" si="343">SUM(Z122/V122)-1</f>
        <v>4.025527736867951E-2</v>
      </c>
    </row>
    <row r="123" spans="2:28" ht="12.75" customHeight="1">
      <c r="B123" s="56" t="s">
        <v>144</v>
      </c>
      <c r="C123" s="76">
        <v>-1095</v>
      </c>
      <c r="D123" s="76">
        <v>-465</v>
      </c>
      <c r="E123" s="76">
        <v>-31</v>
      </c>
      <c r="F123" s="30"/>
      <c r="G123" s="76">
        <v>-115</v>
      </c>
      <c r="H123" s="76">
        <f>-456-G123</f>
        <v>-341</v>
      </c>
      <c r="I123" s="76">
        <f>-457-SUM(G123:H123)</f>
        <v>-1</v>
      </c>
      <c r="J123" s="30">
        <f t="shared" si="341"/>
        <v>-8</v>
      </c>
      <c r="K123" s="76">
        <v>-2</v>
      </c>
      <c r="L123" s="76">
        <f>-9-K123</f>
        <v>-7</v>
      </c>
      <c r="M123" s="76">
        <f>-14-SUM(K123:L123)</f>
        <v>-5</v>
      </c>
      <c r="N123" s="30">
        <f t="shared" si="342"/>
        <v>-17</v>
      </c>
      <c r="O123" s="76">
        <v>-105</v>
      </c>
      <c r="P123" s="76">
        <f>-106-O123</f>
        <v>-1</v>
      </c>
      <c r="Q123" s="76">
        <f>1277-261-P123-O123</f>
        <v>1122</v>
      </c>
      <c r="R123" s="30"/>
      <c r="S123" s="30">
        <f t="shared" si="340"/>
        <v>-465</v>
      </c>
      <c r="T123" s="30">
        <f t="shared" si="340"/>
        <v>-352</v>
      </c>
      <c r="U123" s="30">
        <f t="shared" si="340"/>
        <v>-18</v>
      </c>
      <c r="V123" s="30">
        <f t="shared" si="340"/>
        <v>-22</v>
      </c>
      <c r="W123" s="30">
        <f t="shared" si="340"/>
        <v>-31</v>
      </c>
      <c r="X123" s="30">
        <f t="shared" si="340"/>
        <v>-134</v>
      </c>
      <c r="Y123" s="30">
        <f t="shared" si="340"/>
        <v>-128</v>
      </c>
      <c r="Z123" s="30">
        <f t="shared" si="340"/>
        <v>999</v>
      </c>
      <c r="AA123" s="55"/>
      <c r="AB123" s="68">
        <f t="shared" si="343"/>
        <v>-46.409090909090907</v>
      </c>
    </row>
    <row r="124" spans="2:28" ht="12.75" customHeight="1">
      <c r="B124" s="12" t="s">
        <v>57</v>
      </c>
      <c r="C124" s="13">
        <f>SUM(C120:C123)</f>
        <v>-10250</v>
      </c>
      <c r="D124" s="13">
        <f>SUM(D120:D123)</f>
        <v>-8310</v>
      </c>
      <c r="E124" s="13">
        <f>SUM(E120:E123)</f>
        <v>-6910</v>
      </c>
      <c r="G124" s="13">
        <f>SUM(G120:G123)</f>
        <v>2065</v>
      </c>
      <c r="H124" s="13">
        <f>SUM(H120:H123)</f>
        <v>-3063</v>
      </c>
      <c r="I124" s="13">
        <f>SUM(I120:I123)</f>
        <v>-3087</v>
      </c>
      <c r="J124" s="13">
        <f>SUM(J120:J123)</f>
        <v>-4225</v>
      </c>
      <c r="K124" s="13">
        <f>SUM(K120:K123)</f>
        <v>406</v>
      </c>
      <c r="L124" s="13">
        <f>SUM(L120:L123)</f>
        <v>-938</v>
      </c>
      <c r="M124" s="13">
        <f>SUM(M120:M123)</f>
        <v>-894</v>
      </c>
      <c r="N124" s="13">
        <f>SUM(N120:N123)</f>
        <v>-5484</v>
      </c>
      <c r="O124" s="13">
        <f>SUM(O120:O123)</f>
        <v>3432</v>
      </c>
      <c r="P124" s="13">
        <f>SUM(P120:P123)</f>
        <v>-3380</v>
      </c>
      <c r="Q124" s="13">
        <f>SUM(Q120:Q123)</f>
        <v>-3140</v>
      </c>
      <c r="S124" s="13">
        <f>SUM(S120:S123)</f>
        <v>-8310</v>
      </c>
      <c r="T124" s="13">
        <f>SUM(T120:T123)</f>
        <v>-9969</v>
      </c>
      <c r="U124" s="13">
        <f>SUM(U120:U123)</f>
        <v>-7844</v>
      </c>
      <c r="V124" s="13">
        <f>SUM(V120:V123)</f>
        <v>-5651</v>
      </c>
      <c r="W124" s="13">
        <f>SUM(W120:W123)</f>
        <v>-6910</v>
      </c>
      <c r="X124" s="13">
        <f>SUM(X120:X123)</f>
        <v>-3884</v>
      </c>
      <c r="Y124" s="13">
        <f>SUM(Y120:Y123)</f>
        <v>-6326</v>
      </c>
      <c r="Z124" s="13">
        <f>SUM(Z120:Z123)</f>
        <v>-8572</v>
      </c>
      <c r="AA124" s="39"/>
      <c r="AB124" s="69">
        <f>SUM(Z124/V124)-1</f>
        <v>0.51689966377632279</v>
      </c>
    </row>
    <row r="125" spans="2:28" ht="5.0999999999999996" customHeight="1">
      <c r="B125" s="8"/>
      <c r="C125" s="60"/>
      <c r="D125" s="60"/>
      <c r="E125" s="60"/>
      <c r="F125" s="30"/>
      <c r="G125" s="60"/>
      <c r="H125" s="60"/>
      <c r="I125" s="60"/>
      <c r="J125" s="60"/>
      <c r="K125" s="60"/>
      <c r="L125" s="60"/>
      <c r="M125" s="60"/>
      <c r="N125" s="60"/>
      <c r="O125" s="60"/>
      <c r="P125" s="60"/>
      <c r="Q125" s="60"/>
      <c r="S125" s="11"/>
      <c r="T125" s="11"/>
      <c r="U125" s="11"/>
      <c r="V125" s="11"/>
      <c r="W125" s="11"/>
      <c r="X125" s="11"/>
      <c r="Y125" s="11"/>
      <c r="Z125" s="11"/>
      <c r="AA125" s="11"/>
      <c r="AB125" s="42"/>
    </row>
    <row r="126" spans="2:28" ht="5.0999999999999996" customHeight="1">
      <c r="B126" s="65"/>
      <c r="C126" s="30"/>
      <c r="D126" s="30"/>
      <c r="E126" s="30"/>
      <c r="F126" s="30"/>
      <c r="G126" s="30"/>
      <c r="H126" s="30"/>
      <c r="I126" s="30"/>
      <c r="J126" s="30"/>
      <c r="K126" s="30"/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11"/>
      <c r="AB126" s="42"/>
    </row>
    <row r="127" spans="2:28">
      <c r="B127" s="137" t="s">
        <v>88</v>
      </c>
      <c r="C127" s="143">
        <v>10025</v>
      </c>
      <c r="D127" s="142">
        <f t="shared" ref="D127:E127" si="344">C134</f>
        <v>9519</v>
      </c>
      <c r="E127" s="142">
        <f t="shared" si="344"/>
        <v>9366</v>
      </c>
      <c r="F127" s="142"/>
      <c r="G127" s="145">
        <v>9825</v>
      </c>
      <c r="H127" s="142">
        <f t="shared" ref="H127:P127" si="345">G134</f>
        <v>12004</v>
      </c>
      <c r="I127" s="142">
        <f t="shared" si="345"/>
        <v>12564</v>
      </c>
      <c r="J127" s="142">
        <f t="shared" si="345"/>
        <v>11883</v>
      </c>
      <c r="K127" s="142">
        <f t="shared" si="345"/>
        <v>9366</v>
      </c>
      <c r="L127" s="142">
        <f t="shared" si="345"/>
        <v>10443</v>
      </c>
      <c r="M127" s="142">
        <f t="shared" si="345"/>
        <v>13708</v>
      </c>
      <c r="N127" s="142">
        <f t="shared" si="345"/>
        <v>13938</v>
      </c>
      <c r="O127" s="142">
        <f t="shared" si="345"/>
        <v>10828</v>
      </c>
      <c r="P127" s="142">
        <f t="shared" si="345"/>
        <v>8417</v>
      </c>
      <c r="Q127" s="142">
        <f t="shared" ref="Q127" si="346">P134</f>
        <v>9590</v>
      </c>
      <c r="R127" s="142"/>
      <c r="S127" s="142">
        <f>J127</f>
        <v>11883</v>
      </c>
      <c r="T127" s="142">
        <f t="shared" ref="T127:Y127" si="347">S134</f>
        <v>9366</v>
      </c>
      <c r="U127" s="142">
        <f t="shared" si="347"/>
        <v>10443</v>
      </c>
      <c r="V127" s="142">
        <f t="shared" si="347"/>
        <v>13708</v>
      </c>
      <c r="W127" s="142">
        <f t="shared" si="347"/>
        <v>13938</v>
      </c>
      <c r="X127" s="142">
        <f t="shared" si="347"/>
        <v>10828</v>
      </c>
      <c r="Y127" s="142">
        <f t="shared" si="347"/>
        <v>8417</v>
      </c>
      <c r="Z127" s="144">
        <f>Y134</f>
        <v>9590</v>
      </c>
      <c r="AA127" s="11"/>
      <c r="AB127" s="42"/>
    </row>
    <row r="128" spans="2:28">
      <c r="B128" s="138" t="s">
        <v>85</v>
      </c>
      <c r="C128" s="76">
        <v>0</v>
      </c>
      <c r="D128" s="30">
        <f t="shared" ref="D128:E128" si="348">-C132</f>
        <v>306</v>
      </c>
      <c r="E128" s="30">
        <f t="shared" si="348"/>
        <v>326</v>
      </c>
      <c r="F128" s="30"/>
      <c r="G128" s="30">
        <v>0</v>
      </c>
      <c r="H128" s="30">
        <f>-G132</f>
        <v>276</v>
      </c>
      <c r="I128" s="30">
        <f t="shared" ref="I128:P128" si="349">-H132</f>
        <v>288</v>
      </c>
      <c r="J128" s="30">
        <f t="shared" si="349"/>
        <v>327</v>
      </c>
      <c r="K128" s="30">
        <f t="shared" si="349"/>
        <v>326</v>
      </c>
      <c r="L128" s="30">
        <f t="shared" si="349"/>
        <v>375</v>
      </c>
      <c r="M128" s="30">
        <f t="shared" si="349"/>
        <v>205</v>
      </c>
      <c r="N128" s="30">
        <f t="shared" si="349"/>
        <v>223</v>
      </c>
      <c r="O128" s="30">
        <f t="shared" si="349"/>
        <v>660</v>
      </c>
      <c r="P128" s="30">
        <f t="shared" si="349"/>
        <v>397</v>
      </c>
      <c r="Q128" s="30">
        <f t="shared" ref="Q128" si="350">-P132</f>
        <v>613</v>
      </c>
      <c r="R128" s="30"/>
      <c r="S128" s="30">
        <f>J128</f>
        <v>327</v>
      </c>
      <c r="T128" s="30">
        <f t="shared" ref="T128:Z128" si="351">-S132</f>
        <v>326</v>
      </c>
      <c r="U128" s="30">
        <f t="shared" si="351"/>
        <v>375</v>
      </c>
      <c r="V128" s="30">
        <f t="shared" si="351"/>
        <v>205</v>
      </c>
      <c r="W128" s="30">
        <f t="shared" si="351"/>
        <v>223</v>
      </c>
      <c r="X128" s="30">
        <f t="shared" si="351"/>
        <v>660</v>
      </c>
      <c r="Y128" s="30">
        <f t="shared" si="351"/>
        <v>397</v>
      </c>
      <c r="Z128" s="133">
        <f t="shared" si="351"/>
        <v>613</v>
      </c>
      <c r="AA128" s="11"/>
      <c r="AB128" s="42"/>
    </row>
    <row r="129" spans="2:28">
      <c r="B129" s="139" t="s">
        <v>71</v>
      </c>
      <c r="C129" s="113">
        <f t="shared" ref="C129:E129" si="352">SUM(C127:C128)</f>
        <v>10025</v>
      </c>
      <c r="D129" s="113">
        <f t="shared" si="352"/>
        <v>9825</v>
      </c>
      <c r="E129" s="113">
        <f t="shared" si="352"/>
        <v>9692</v>
      </c>
      <c r="F129" s="30"/>
      <c r="G129" s="113">
        <f t="shared" ref="G129:P129" si="353">SUM(G127:G128)</f>
        <v>9825</v>
      </c>
      <c r="H129" s="113">
        <f t="shared" si="353"/>
        <v>12280</v>
      </c>
      <c r="I129" s="113">
        <f t="shared" si="353"/>
        <v>12852</v>
      </c>
      <c r="J129" s="113">
        <f t="shared" si="353"/>
        <v>12210</v>
      </c>
      <c r="K129" s="113">
        <f t="shared" si="353"/>
        <v>9692</v>
      </c>
      <c r="L129" s="113">
        <f t="shared" si="353"/>
        <v>10818</v>
      </c>
      <c r="M129" s="113">
        <f t="shared" si="353"/>
        <v>13913</v>
      </c>
      <c r="N129" s="113">
        <f t="shared" si="353"/>
        <v>14161</v>
      </c>
      <c r="O129" s="113">
        <f t="shared" si="353"/>
        <v>11488</v>
      </c>
      <c r="P129" s="113">
        <f t="shared" si="353"/>
        <v>8814</v>
      </c>
      <c r="Q129" s="113">
        <f t="shared" ref="Q129" si="354">SUM(Q127:Q128)</f>
        <v>10203</v>
      </c>
      <c r="R129" s="30"/>
      <c r="S129" s="113">
        <f t="shared" ref="S129:U129" si="355">SUM(S127:S128)</f>
        <v>12210</v>
      </c>
      <c r="T129" s="113">
        <f t="shared" si="355"/>
        <v>9692</v>
      </c>
      <c r="U129" s="113">
        <f t="shared" si="355"/>
        <v>10818</v>
      </c>
      <c r="V129" s="113">
        <f t="shared" ref="V129" si="356">SUM(V127:V128)</f>
        <v>13913</v>
      </c>
      <c r="W129" s="113">
        <f t="shared" ref="W129" si="357">SUM(W127:W128)</f>
        <v>14161</v>
      </c>
      <c r="X129" s="113">
        <f t="shared" ref="X129" si="358">SUM(X127:X128)</f>
        <v>11488</v>
      </c>
      <c r="Y129" s="113">
        <f t="shared" ref="Y129" si="359">SUM(Y127:Y128)</f>
        <v>8814</v>
      </c>
      <c r="Z129" s="134">
        <f t="shared" ref="Z129" si="360">SUM(Z127:Z128)</f>
        <v>10203</v>
      </c>
      <c r="AA129" s="11"/>
      <c r="AB129" s="42"/>
    </row>
    <row r="130" spans="2:28" ht="5.0999999999999996" customHeight="1">
      <c r="B130" s="140"/>
      <c r="C130" s="30"/>
      <c r="D130" s="30"/>
      <c r="E130" s="30"/>
      <c r="F130" s="30"/>
      <c r="G130" s="30"/>
      <c r="H130" s="30"/>
      <c r="I130" s="30"/>
      <c r="J130" s="30"/>
      <c r="K130" s="30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133"/>
      <c r="AA130" s="11"/>
      <c r="AB130" s="42"/>
    </row>
    <row r="131" spans="2:28">
      <c r="B131" s="138" t="s">
        <v>86</v>
      </c>
      <c r="C131" s="76">
        <v>-205</v>
      </c>
      <c r="D131" s="76">
        <v>-73</v>
      </c>
      <c r="E131" s="76">
        <v>-623</v>
      </c>
      <c r="F131" s="30"/>
      <c r="G131" s="76">
        <v>113</v>
      </c>
      <c r="H131" s="76">
        <f>162-G131</f>
        <v>49</v>
      </c>
      <c r="I131" s="76">
        <f>-36-H131-G131</f>
        <v>-198</v>
      </c>
      <c r="J131" s="30">
        <f t="shared" ref="J131" si="361">SUM(D131-SUM(G131:I131))</f>
        <v>-37</v>
      </c>
      <c r="K131" s="76">
        <v>-138</v>
      </c>
      <c r="L131" s="76">
        <f>-357-K131</f>
        <v>-219</v>
      </c>
      <c r="M131" s="76">
        <f>-266-L131-K131</f>
        <v>91</v>
      </c>
      <c r="N131" s="30">
        <f t="shared" ref="N131" si="362">SUM(E131-SUM(K131:M131))</f>
        <v>-357</v>
      </c>
      <c r="O131" s="76">
        <v>163</v>
      </c>
      <c r="P131" s="76">
        <f>332-O131</f>
        <v>169</v>
      </c>
      <c r="Q131" s="76">
        <f>335 -P131-O131</f>
        <v>3</v>
      </c>
      <c r="R131" s="30"/>
      <c r="S131" s="30">
        <f t="shared" ref="S131:Z131" si="363">J131</f>
        <v>-37</v>
      </c>
      <c r="T131" s="30">
        <f t="shared" si="363"/>
        <v>-138</v>
      </c>
      <c r="U131" s="30">
        <f t="shared" si="363"/>
        <v>-219</v>
      </c>
      <c r="V131" s="30">
        <f t="shared" si="363"/>
        <v>91</v>
      </c>
      <c r="W131" s="30">
        <f t="shared" si="363"/>
        <v>-357</v>
      </c>
      <c r="X131" s="30">
        <f t="shared" si="363"/>
        <v>163</v>
      </c>
      <c r="Y131" s="30">
        <f t="shared" si="363"/>
        <v>169</v>
      </c>
      <c r="Z131" s="133">
        <f t="shared" si="363"/>
        <v>3</v>
      </c>
      <c r="AA131" s="11"/>
      <c r="AB131" s="42"/>
    </row>
    <row r="132" spans="2:28">
      <c r="B132" s="138" t="s">
        <v>87</v>
      </c>
      <c r="C132" s="76">
        <v>-306</v>
      </c>
      <c r="D132" s="76">
        <v>-326</v>
      </c>
      <c r="E132" s="76">
        <v>-660</v>
      </c>
      <c r="F132" s="30"/>
      <c r="G132" s="76">
        <v>-276</v>
      </c>
      <c r="H132" s="76">
        <v>-288</v>
      </c>
      <c r="I132" s="76">
        <v>-327</v>
      </c>
      <c r="J132" s="30">
        <f>D132</f>
        <v>-326</v>
      </c>
      <c r="K132" s="76">
        <v>-375</v>
      </c>
      <c r="L132" s="76">
        <v>-205</v>
      </c>
      <c r="M132" s="76">
        <v>-223</v>
      </c>
      <c r="N132" s="30">
        <f>E132</f>
        <v>-660</v>
      </c>
      <c r="O132" s="76">
        <v>-397</v>
      </c>
      <c r="P132" s="76">
        <v>-613</v>
      </c>
      <c r="Q132" s="76">
        <v>-632</v>
      </c>
      <c r="R132" s="30"/>
      <c r="S132" s="30">
        <f t="shared" ref="S132:Y133" si="364">J132</f>
        <v>-326</v>
      </c>
      <c r="T132" s="30">
        <f t="shared" si="364"/>
        <v>-375</v>
      </c>
      <c r="U132" s="30">
        <f t="shared" si="364"/>
        <v>-205</v>
      </c>
      <c r="V132" s="30">
        <f t="shared" si="364"/>
        <v>-223</v>
      </c>
      <c r="W132" s="30">
        <f t="shared" si="364"/>
        <v>-660</v>
      </c>
      <c r="X132" s="30">
        <f t="shared" si="364"/>
        <v>-397</v>
      </c>
      <c r="Y132" s="30">
        <f t="shared" si="364"/>
        <v>-613</v>
      </c>
      <c r="Z132" s="133">
        <f t="shared" ref="Z132:Z133" si="365">Q132</f>
        <v>-632</v>
      </c>
      <c r="AA132" s="11"/>
      <c r="AB132" s="42"/>
    </row>
    <row r="133" spans="2:28">
      <c r="B133" s="138" t="s">
        <v>61</v>
      </c>
      <c r="C133" s="30">
        <f>+C124+C117+C108</f>
        <v>5</v>
      </c>
      <c r="D133" s="30">
        <f>+D124+D117+D108</f>
        <v>-60</v>
      </c>
      <c r="E133" s="30">
        <f>+E124+E117+E108</f>
        <v>2419</v>
      </c>
      <c r="F133" s="30"/>
      <c r="G133" s="30">
        <f>+G124+G117+G108</f>
        <v>2342</v>
      </c>
      <c r="H133" s="30">
        <f>+H124+H117+H108</f>
        <v>523</v>
      </c>
      <c r="I133" s="30">
        <f>+I124+I117+I108</f>
        <v>-444</v>
      </c>
      <c r="J133" s="30">
        <f>+J124+J117+J108</f>
        <v>-2481</v>
      </c>
      <c r="K133" s="30">
        <f>+K124+K117+K108</f>
        <v>1264</v>
      </c>
      <c r="L133" s="30">
        <f>+L124+L117+L108</f>
        <v>3314</v>
      </c>
      <c r="M133" s="30">
        <f>+M124+M117+M108</f>
        <v>157</v>
      </c>
      <c r="N133" s="30">
        <f>+N124+N117+N108</f>
        <v>-2316</v>
      </c>
      <c r="O133" s="30">
        <f>+O124+O117+O108</f>
        <v>-2837</v>
      </c>
      <c r="P133" s="30">
        <f>+P124+P117+P108</f>
        <v>1220</v>
      </c>
      <c r="Q133" s="30">
        <f>+Q124+Q117+Q108</f>
        <v>3158</v>
      </c>
      <c r="R133" s="30"/>
      <c r="S133" s="30">
        <f t="shared" si="364"/>
        <v>-2481</v>
      </c>
      <c r="T133" s="30">
        <f t="shared" si="364"/>
        <v>1264</v>
      </c>
      <c r="U133" s="30">
        <f t="shared" si="364"/>
        <v>3314</v>
      </c>
      <c r="V133" s="30">
        <f t="shared" si="364"/>
        <v>157</v>
      </c>
      <c r="W133" s="30">
        <f t="shared" si="364"/>
        <v>-2316</v>
      </c>
      <c r="X133" s="30">
        <f t="shared" si="364"/>
        <v>-2837</v>
      </c>
      <c r="Y133" s="30">
        <f t="shared" si="364"/>
        <v>1220</v>
      </c>
      <c r="Z133" s="133">
        <f t="shared" si="365"/>
        <v>3158</v>
      </c>
      <c r="AA133" s="11"/>
      <c r="AB133" s="42"/>
    </row>
    <row r="134" spans="2:28">
      <c r="B134" s="139" t="s">
        <v>72</v>
      </c>
      <c r="C134" s="113">
        <f t="shared" ref="C134:E134" si="366">SUM(C129:C133)</f>
        <v>9519</v>
      </c>
      <c r="D134" s="113">
        <f t="shared" si="366"/>
        <v>9366</v>
      </c>
      <c r="E134" s="113">
        <f t="shared" si="366"/>
        <v>10828</v>
      </c>
      <c r="F134" s="30"/>
      <c r="G134" s="113">
        <f t="shared" ref="G134:P134" si="367">SUM(G129:G133)</f>
        <v>12004</v>
      </c>
      <c r="H134" s="113">
        <f t="shared" si="367"/>
        <v>12564</v>
      </c>
      <c r="I134" s="113">
        <f t="shared" si="367"/>
        <v>11883</v>
      </c>
      <c r="J134" s="113">
        <f t="shared" si="367"/>
        <v>9366</v>
      </c>
      <c r="K134" s="113">
        <f t="shared" si="367"/>
        <v>10443</v>
      </c>
      <c r="L134" s="113">
        <f t="shared" si="367"/>
        <v>13708</v>
      </c>
      <c r="M134" s="113">
        <f t="shared" si="367"/>
        <v>13938</v>
      </c>
      <c r="N134" s="113">
        <f t="shared" si="367"/>
        <v>10828</v>
      </c>
      <c r="O134" s="113">
        <f t="shared" si="367"/>
        <v>8417</v>
      </c>
      <c r="P134" s="113">
        <f t="shared" si="367"/>
        <v>9590</v>
      </c>
      <c r="Q134" s="113">
        <f t="shared" ref="Q134" si="368">SUM(Q129:Q133)</f>
        <v>12732</v>
      </c>
      <c r="R134" s="30"/>
      <c r="S134" s="113">
        <f t="shared" ref="S134:Z134" si="369">SUM(S129:S133)</f>
        <v>9366</v>
      </c>
      <c r="T134" s="113">
        <f t="shared" si="369"/>
        <v>10443</v>
      </c>
      <c r="U134" s="113">
        <f t="shared" si="369"/>
        <v>13708</v>
      </c>
      <c r="V134" s="113">
        <f t="shared" si="369"/>
        <v>13938</v>
      </c>
      <c r="W134" s="113">
        <f t="shared" si="369"/>
        <v>10828</v>
      </c>
      <c r="X134" s="113">
        <f t="shared" si="369"/>
        <v>8417</v>
      </c>
      <c r="Y134" s="113">
        <f t="shared" si="369"/>
        <v>9590</v>
      </c>
      <c r="Z134" s="134">
        <f t="shared" si="369"/>
        <v>12732</v>
      </c>
      <c r="AA134" s="11"/>
      <c r="AB134" s="42"/>
    </row>
    <row r="135" spans="2:28" ht="5.0999999999999996" customHeight="1">
      <c r="B135" s="141"/>
      <c r="C135" s="60"/>
      <c r="D135" s="60"/>
      <c r="E135" s="60"/>
      <c r="F135" s="30"/>
      <c r="G135" s="60"/>
      <c r="H135" s="60"/>
      <c r="I135" s="60"/>
      <c r="J135" s="60"/>
      <c r="K135" s="60"/>
      <c r="L135" s="60"/>
      <c r="M135" s="60"/>
      <c r="N135" s="60"/>
      <c r="O135" s="60"/>
      <c r="P135" s="60"/>
      <c r="Q135" s="60"/>
      <c r="S135" s="11"/>
      <c r="T135" s="11"/>
      <c r="U135" s="11"/>
      <c r="V135" s="11"/>
      <c r="W135" s="11"/>
      <c r="X135" s="11"/>
      <c r="Y135" s="11"/>
      <c r="Z135" s="135"/>
      <c r="AA135" s="11"/>
      <c r="AB135" s="42"/>
    </row>
    <row r="136" spans="2:28">
      <c r="B136" s="156" t="s">
        <v>186</v>
      </c>
      <c r="C136" s="131">
        <f>C134-C47</f>
        <v>0</v>
      </c>
      <c r="D136" s="131">
        <f>D134-D47</f>
        <v>0</v>
      </c>
      <c r="E136" s="131">
        <f>E134-E47</f>
        <v>0</v>
      </c>
      <c r="F136" s="132"/>
      <c r="G136" s="131">
        <f>G134-G47</f>
        <v>0</v>
      </c>
      <c r="H136" s="131">
        <f>H134-H47</f>
        <v>0</v>
      </c>
      <c r="I136" s="131">
        <f>I134-I47</f>
        <v>0</v>
      </c>
      <c r="J136" s="131">
        <f>J134-J47</f>
        <v>0</v>
      </c>
      <c r="K136" s="131">
        <f>K134-K47</f>
        <v>0</v>
      </c>
      <c r="L136" s="131">
        <f>L134-L47</f>
        <v>0</v>
      </c>
      <c r="M136" s="131">
        <f>M134-M47</f>
        <v>0</v>
      </c>
      <c r="N136" s="131">
        <f>N134-N47</f>
        <v>0</v>
      </c>
      <c r="O136" s="131">
        <f>O134-O47</f>
        <v>0</v>
      </c>
      <c r="P136" s="131">
        <f>P134-P47</f>
        <v>0</v>
      </c>
      <c r="Q136" s="131">
        <f>Q134-Q47</f>
        <v>0</v>
      </c>
      <c r="R136" s="131"/>
      <c r="S136" s="131">
        <f>S134-S47</f>
        <v>0</v>
      </c>
      <c r="T136" s="131">
        <f>T134-T47</f>
        <v>0</v>
      </c>
      <c r="U136" s="131">
        <f>U134-U47</f>
        <v>0</v>
      </c>
      <c r="V136" s="131">
        <f>V134-V47</f>
        <v>0</v>
      </c>
      <c r="W136" s="131">
        <f>W134-W47</f>
        <v>0</v>
      </c>
      <c r="X136" s="131">
        <f>X134-X47</f>
        <v>0</v>
      </c>
      <c r="Y136" s="131">
        <f>Y134-Y47</f>
        <v>0</v>
      </c>
      <c r="Z136" s="136">
        <f>Z134-Z47</f>
        <v>0</v>
      </c>
      <c r="AA136" s="11"/>
      <c r="AB136" s="42"/>
    </row>
    <row r="137" spans="2:28" ht="5.0999999999999996" customHeight="1" thickBot="1">
      <c r="B137" s="66"/>
      <c r="C137" s="67"/>
      <c r="D137" s="67"/>
      <c r="E137" s="67"/>
      <c r="F137" s="66"/>
      <c r="G137" s="66"/>
      <c r="H137" s="66"/>
      <c r="I137" s="66"/>
      <c r="J137" s="66"/>
      <c r="K137" s="66"/>
      <c r="L137" s="66"/>
      <c r="M137" s="66"/>
      <c r="N137" s="66"/>
      <c r="O137" s="66"/>
      <c r="P137" s="66"/>
      <c r="Q137" s="66"/>
      <c r="R137" s="66"/>
      <c r="S137" s="66"/>
      <c r="T137" s="66"/>
      <c r="U137" s="66"/>
      <c r="V137" s="66"/>
      <c r="W137" s="66"/>
      <c r="X137" s="66"/>
      <c r="Y137" s="66"/>
      <c r="Z137" s="66"/>
      <c r="AB137" s="42"/>
    </row>
    <row r="138" spans="2:28" ht="12.75" customHeight="1">
      <c r="C138" s="52"/>
      <c r="D138" s="52"/>
      <c r="E138" s="52"/>
    </row>
    <row r="139" spans="2:28" ht="12.75" customHeight="1">
      <c r="C139" s="52"/>
      <c r="D139" s="52"/>
      <c r="E139" s="52"/>
    </row>
    <row r="140" spans="2:28" ht="12.75" customHeight="1">
      <c r="C140" s="52"/>
      <c r="D140" s="52"/>
      <c r="E140" s="52"/>
    </row>
    <row r="141" spans="2:28" ht="12.75" customHeight="1">
      <c r="C141" s="52"/>
      <c r="D141" s="52"/>
      <c r="E141" s="52"/>
    </row>
    <row r="142" spans="2:28" ht="12.75" customHeight="1">
      <c r="C142" s="52"/>
      <c r="D142" s="52"/>
      <c r="E142" s="52"/>
      <c r="G142" s="79"/>
      <c r="H142" s="79"/>
      <c r="I142" s="79"/>
      <c r="J142" s="79"/>
      <c r="K142" s="79"/>
      <c r="L142" s="79"/>
      <c r="M142" s="79"/>
      <c r="N142" s="79"/>
      <c r="O142" s="79"/>
      <c r="P142" s="79"/>
      <c r="Q142" s="79"/>
    </row>
    <row r="143" spans="2:28" ht="12.75" customHeight="1">
      <c r="C143" s="52"/>
      <c r="D143" s="52"/>
      <c r="E143" s="52"/>
    </row>
    <row r="144" spans="2:28" ht="12.75" customHeight="1">
      <c r="C144" s="52"/>
      <c r="D144" s="52"/>
      <c r="E144" s="52"/>
      <c r="G144" s="79"/>
      <c r="H144" s="79"/>
      <c r="I144" s="79"/>
      <c r="J144" s="79"/>
      <c r="K144" s="79"/>
      <c r="L144" s="79"/>
      <c r="M144" s="79"/>
      <c r="N144" s="79"/>
      <c r="O144" s="79"/>
      <c r="P144" s="79"/>
      <c r="Q144" s="79"/>
    </row>
    <row r="145" spans="7:17">
      <c r="G145" s="79"/>
      <c r="H145" s="79"/>
      <c r="I145" s="79"/>
      <c r="J145" s="79"/>
      <c r="K145" s="79"/>
      <c r="L145" s="79"/>
      <c r="M145" s="79"/>
      <c r="N145" s="79"/>
      <c r="O145" s="79"/>
      <c r="P145" s="79"/>
      <c r="Q145" s="79"/>
    </row>
    <row r="146" spans="7:17">
      <c r="G146" s="79"/>
      <c r="H146" s="79"/>
      <c r="I146" s="79"/>
      <c r="J146" s="79"/>
      <c r="K146" s="79"/>
      <c r="L146" s="79"/>
      <c r="M146" s="79"/>
      <c r="N146" s="79"/>
      <c r="O146" s="79"/>
      <c r="P146" s="79"/>
      <c r="Q146" s="79"/>
    </row>
    <row r="148" spans="7:17">
      <c r="G148" s="79"/>
      <c r="H148" s="79"/>
      <c r="I148" s="79"/>
      <c r="J148" s="79"/>
      <c r="K148" s="79"/>
      <c r="L148" s="79"/>
      <c r="M148" s="79"/>
      <c r="N148" s="79"/>
      <c r="O148" s="79"/>
      <c r="P148" s="79"/>
      <c r="Q148" s="79"/>
    </row>
    <row r="149" spans="7:17">
      <c r="G149" s="79"/>
      <c r="H149" s="79"/>
      <c r="I149" s="79"/>
      <c r="J149" s="79"/>
      <c r="K149" s="79"/>
      <c r="L149" s="79"/>
      <c r="M149" s="79"/>
      <c r="N149" s="79"/>
      <c r="O149" s="79"/>
      <c r="P149" s="79"/>
      <c r="Q149" s="79"/>
    </row>
  </sheetData>
  <mergeCells count="3">
    <mergeCell ref="AB6:AB8"/>
    <mergeCell ref="AB42:AB44"/>
    <mergeCell ref="AB91:AB93"/>
  </mergeCells>
  <pageMargins left="0.7" right="0.7" top="0.75" bottom="0.75" header="0.3" footer="0.3"/>
  <ignoredErrors>
    <ignoredError sqref="Z14:Z16 F53" formulaRange="1"/>
    <ignoredError sqref="AB117:AB119 AB108:AB110" evalError="1"/>
    <ignoredError sqref="K97:O98 S111:Z114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177D2-8829-42BE-A7B1-460B1A987ED3}">
  <sheetPr>
    <tabColor rgb="FFC00000"/>
  </sheetPr>
  <dimension ref="A2:Z26"/>
  <sheetViews>
    <sheetView showGridLines="0" zoomScale="130" zoomScaleNormal="130" workbookViewId="0">
      <selection activeCell="B12" sqref="B12"/>
    </sheetView>
  </sheetViews>
  <sheetFormatPr defaultRowHeight="12" outlineLevelRow="1" outlineLevelCol="1"/>
  <cols>
    <col min="1" max="1" width="1.5" style="8" customWidth="1"/>
    <col min="2" max="2" width="46.5" style="8" bestFit="1" customWidth="1"/>
    <col min="3" max="5" width="8.625" style="8" bestFit="1" customWidth="1"/>
    <col min="6" max="6" width="1.5" style="8" customWidth="1"/>
    <col min="7" max="8" width="8" style="8" customWidth="1" outlineLevel="1"/>
    <col min="9" max="10" width="8.75" style="8" customWidth="1" outlineLevel="1"/>
    <col min="11" max="11" width="8.5" style="8" customWidth="1" outlineLevel="1"/>
    <col min="12" max="12" width="8.25" style="8" customWidth="1" outlineLevel="1"/>
    <col min="13" max="13" width="8.5" style="8" bestFit="1" customWidth="1"/>
    <col min="14" max="17" width="9.125" style="8" bestFit="1" customWidth="1"/>
    <col min="18" max="18" width="1.5" style="8" customWidth="1"/>
    <col min="19" max="21" width="8.75" style="8" customWidth="1" outlineLevel="1"/>
    <col min="22" max="22" width="8.75" style="8" customWidth="1"/>
    <col min="23" max="25" width="8.75" style="8" customWidth="1" outlineLevel="1"/>
    <col min="26" max="26" width="8.75" style="8" customWidth="1"/>
    <col min="27" max="16384" width="9" style="8"/>
  </cols>
  <sheetData>
    <row r="2" spans="1:26" s="5" customFormat="1" ht="12.75" customHeight="1">
      <c r="B2" s="1" t="str">
        <f>'Historical Financials'!B2</f>
        <v>Coca-Cola Co (NASDAQ: KO)</v>
      </c>
      <c r="C2" s="2" t="s">
        <v>0</v>
      </c>
      <c r="D2" s="2"/>
      <c r="E2" s="2"/>
      <c r="F2" s="3"/>
      <c r="G2" s="2"/>
      <c r="H2" s="2"/>
      <c r="I2" s="2"/>
      <c r="J2" s="2"/>
      <c r="K2" s="2"/>
      <c r="L2" s="2"/>
      <c r="M2" s="2" t="s">
        <v>1</v>
      </c>
      <c r="N2" s="2"/>
      <c r="O2" s="2"/>
      <c r="P2" s="2"/>
      <c r="Q2" s="2"/>
      <c r="R2" s="3"/>
      <c r="S2" s="2"/>
      <c r="T2" s="2"/>
      <c r="U2" s="2"/>
      <c r="V2" s="2" t="s">
        <v>10</v>
      </c>
      <c r="W2" s="2"/>
      <c r="X2" s="2"/>
      <c r="Y2" s="2"/>
      <c r="Z2" s="2"/>
    </row>
    <row r="3" spans="1:26" s="5" customFormat="1" ht="12.75" customHeight="1">
      <c r="B3" s="6" t="s">
        <v>67</v>
      </c>
      <c r="C3" s="7">
        <f>'Historical Financials'!C7</f>
        <v>2022</v>
      </c>
      <c r="D3" s="7">
        <f>'Historical Financials'!D7</f>
        <v>2023</v>
      </c>
      <c r="E3" s="7">
        <f>'Historical Financials'!E7</f>
        <v>2024</v>
      </c>
      <c r="F3" s="3"/>
      <c r="G3" s="7" t="str">
        <f>'Historical Financials'!G7</f>
        <v>1Q23</v>
      </c>
      <c r="H3" s="7" t="str">
        <f>'Historical Financials'!H7</f>
        <v>2Q23</v>
      </c>
      <c r="I3" s="7" t="str">
        <f>'Historical Financials'!I7</f>
        <v>3Q23</v>
      </c>
      <c r="J3" s="7" t="str">
        <f>'Historical Financials'!J7</f>
        <v>4Q23</v>
      </c>
      <c r="K3" s="7" t="str">
        <f>'Historical Financials'!K7</f>
        <v>1Q24</v>
      </c>
      <c r="L3" s="7" t="str">
        <f>'Historical Financials'!L7</f>
        <v>2Q24</v>
      </c>
      <c r="M3" s="7" t="str">
        <f>'Historical Financials'!M7</f>
        <v>3Q24</v>
      </c>
      <c r="N3" s="7" t="str">
        <f>'Historical Financials'!N7</f>
        <v>4Q24</v>
      </c>
      <c r="O3" s="7" t="str">
        <f>'Historical Financials'!O7</f>
        <v>1Q25</v>
      </c>
      <c r="P3" s="7" t="str">
        <f>'Historical Financials'!P7</f>
        <v>2Q25</v>
      </c>
      <c r="Q3" s="7" t="str">
        <f>'Historical Financials'!Q7</f>
        <v>3Q25</v>
      </c>
      <c r="R3" s="4"/>
      <c r="S3" s="4" t="str">
        <f t="shared" ref="S3:Z4" si="0">J3</f>
        <v>4Q23</v>
      </c>
      <c r="T3" s="4" t="str">
        <f t="shared" si="0"/>
        <v>1Q24</v>
      </c>
      <c r="U3" s="4" t="str">
        <f t="shared" si="0"/>
        <v>2Q24</v>
      </c>
      <c r="V3" s="4" t="str">
        <f t="shared" si="0"/>
        <v>3Q24</v>
      </c>
      <c r="W3" s="4" t="str">
        <f t="shared" si="0"/>
        <v>4Q24</v>
      </c>
      <c r="X3" s="4" t="str">
        <f t="shared" si="0"/>
        <v>1Q25</v>
      </c>
      <c r="Y3" s="4" t="str">
        <f t="shared" si="0"/>
        <v>2Q25</v>
      </c>
      <c r="Z3" s="4" t="str">
        <f t="shared" si="0"/>
        <v>3Q25</v>
      </c>
    </row>
    <row r="4" spans="1:26" s="5" customFormat="1" ht="12.75" customHeight="1">
      <c r="B4" s="6" t="s">
        <v>90</v>
      </c>
      <c r="C4" s="3">
        <f>'Historical Financials'!C8</f>
        <v>44926</v>
      </c>
      <c r="D4" s="3">
        <f>'Historical Financials'!D8</f>
        <v>45291</v>
      </c>
      <c r="E4" s="3">
        <f>'Historical Financials'!E8</f>
        <v>45657</v>
      </c>
      <c r="F4" s="3"/>
      <c r="G4" s="3">
        <f>'Historical Financials'!G8</f>
        <v>45016</v>
      </c>
      <c r="H4" s="3">
        <f>'Historical Financials'!H8</f>
        <v>45107</v>
      </c>
      <c r="I4" s="3">
        <f>'Historical Financials'!I8</f>
        <v>45198</v>
      </c>
      <c r="J4" s="3">
        <f>'Historical Financials'!J8</f>
        <v>45291</v>
      </c>
      <c r="K4" s="3">
        <f>'Historical Financials'!K8</f>
        <v>45380</v>
      </c>
      <c r="L4" s="3">
        <f>'Historical Financials'!L8</f>
        <v>45471</v>
      </c>
      <c r="M4" s="3">
        <f>'Historical Financials'!M8</f>
        <v>45562</v>
      </c>
      <c r="N4" s="3">
        <f>'Historical Financials'!N8</f>
        <v>45657</v>
      </c>
      <c r="O4" s="3">
        <f>'Historical Financials'!O8</f>
        <v>45744</v>
      </c>
      <c r="P4" s="3">
        <f>'Historical Financials'!P8</f>
        <v>45835</v>
      </c>
      <c r="Q4" s="3">
        <f>'Historical Financials'!Q8</f>
        <v>45926</v>
      </c>
      <c r="R4" s="3"/>
      <c r="S4" s="3">
        <f t="shared" si="0"/>
        <v>45291</v>
      </c>
      <c r="T4" s="3">
        <f t="shared" si="0"/>
        <v>45380</v>
      </c>
      <c r="U4" s="3">
        <f t="shared" si="0"/>
        <v>45471</v>
      </c>
      <c r="V4" s="3">
        <f t="shared" si="0"/>
        <v>45562</v>
      </c>
      <c r="W4" s="3">
        <f t="shared" si="0"/>
        <v>45657</v>
      </c>
      <c r="X4" s="3">
        <f t="shared" si="0"/>
        <v>45744</v>
      </c>
      <c r="Y4" s="3">
        <f t="shared" si="0"/>
        <v>45835</v>
      </c>
      <c r="Z4" s="3">
        <f t="shared" si="0"/>
        <v>45926</v>
      </c>
    </row>
    <row r="5" spans="1:26" ht="5.0999999999999996" customHeight="1"/>
    <row r="6" spans="1:26">
      <c r="A6" s="33" t="s">
        <v>16</v>
      </c>
      <c r="B6" s="1" t="s">
        <v>92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5.0999999999999996" customHeight="1"/>
    <row r="8" spans="1:26" ht="12.75" customHeight="1">
      <c r="A8" s="74" t="s">
        <v>16</v>
      </c>
      <c r="B8" s="72" t="s">
        <v>89</v>
      </c>
      <c r="C8" s="10"/>
      <c r="D8" s="10"/>
      <c r="E8" s="10"/>
      <c r="F8" s="10"/>
      <c r="G8" s="81"/>
      <c r="H8" s="81"/>
      <c r="I8" s="81"/>
      <c r="J8" s="30"/>
      <c r="K8" s="81"/>
      <c r="L8" s="81"/>
      <c r="M8" s="81"/>
      <c r="N8" s="30"/>
      <c r="O8" s="81"/>
      <c r="P8" s="81"/>
      <c r="Q8" s="81"/>
      <c r="R8" s="5"/>
      <c r="S8" s="11"/>
      <c r="T8" s="11"/>
      <c r="U8" s="11"/>
      <c r="V8" s="11"/>
      <c r="W8" s="11"/>
      <c r="X8" s="11"/>
      <c r="Y8" s="11"/>
      <c r="Z8" s="11"/>
    </row>
    <row r="9" spans="1:26" ht="12.75" customHeight="1">
      <c r="A9" s="74"/>
      <c r="B9" s="9" t="s">
        <v>146</v>
      </c>
      <c r="C9" s="75">
        <v>24071</v>
      </c>
      <c r="D9" s="75">
        <v>26539</v>
      </c>
      <c r="E9" s="75">
        <v>27725</v>
      </c>
      <c r="F9" s="10"/>
      <c r="G9" s="75">
        <v>6333</v>
      </c>
      <c r="H9" s="75">
        <v>7050</v>
      </c>
      <c r="I9" s="75">
        <v>7212</v>
      </c>
      <c r="J9" s="30">
        <f t="shared" ref="J9:J10" si="1">SUM(D9-SUM(G9:I9))</f>
        <v>5944</v>
      </c>
      <c r="K9" s="75">
        <v>6655</v>
      </c>
      <c r="L9" s="75">
        <v>7494</v>
      </c>
      <c r="M9" s="75">
        <v>7058</v>
      </c>
      <c r="N9" s="30">
        <f t="shared" ref="N9:N10" si="2">SUM(E9-SUM(K9:M9))</f>
        <v>6518</v>
      </c>
      <c r="O9" s="75">
        <v>7183</v>
      </c>
      <c r="P9" s="75">
        <v>8289</v>
      </c>
      <c r="Q9" s="75">
        <v>8198</v>
      </c>
      <c r="R9" s="5"/>
      <c r="S9" s="30">
        <f t="shared" ref="S9:Y9" si="3">SUM(G9:J9)</f>
        <v>26539</v>
      </c>
      <c r="T9" s="30">
        <f t="shared" si="3"/>
        <v>26861</v>
      </c>
      <c r="U9" s="30">
        <f t="shared" si="3"/>
        <v>27305</v>
      </c>
      <c r="V9" s="30">
        <f t="shared" si="3"/>
        <v>27151</v>
      </c>
      <c r="W9" s="30">
        <f t="shared" si="3"/>
        <v>27725</v>
      </c>
      <c r="X9" s="30">
        <f t="shared" si="3"/>
        <v>28253</v>
      </c>
      <c r="Y9" s="30">
        <f t="shared" si="3"/>
        <v>29048</v>
      </c>
      <c r="Z9" s="30">
        <f>SUM(N9:Q9)</f>
        <v>30188</v>
      </c>
    </row>
    <row r="10" spans="1:26">
      <c r="B10" s="9" t="s">
        <v>147</v>
      </c>
      <c r="C10" s="75">
        <v>18933</v>
      </c>
      <c r="D10" s="75">
        <v>19215</v>
      </c>
      <c r="E10" s="75">
        <v>19336</v>
      </c>
      <c r="F10" s="75"/>
      <c r="G10" s="75">
        <v>4647</v>
      </c>
      <c r="H10" s="75">
        <v>4922</v>
      </c>
      <c r="I10" s="75">
        <v>4741</v>
      </c>
      <c r="J10" s="30">
        <f t="shared" si="1"/>
        <v>4905</v>
      </c>
      <c r="K10" s="75">
        <v>4645</v>
      </c>
      <c r="L10" s="75">
        <v>4869</v>
      </c>
      <c r="M10" s="75">
        <v>4796</v>
      </c>
      <c r="N10" s="30">
        <f t="shared" si="2"/>
        <v>5026</v>
      </c>
      <c r="O10" s="75">
        <v>3946</v>
      </c>
      <c r="P10" s="75">
        <v>4246</v>
      </c>
      <c r="Q10" s="75">
        <v>4257</v>
      </c>
      <c r="R10" s="5"/>
      <c r="S10" s="30">
        <f t="shared" ref="S10" si="4">SUM(G10:J10)</f>
        <v>19215</v>
      </c>
      <c r="T10" s="30">
        <f t="shared" ref="T10" si="5">SUM(H10:K10)</f>
        <v>19213</v>
      </c>
      <c r="U10" s="30">
        <f t="shared" ref="U10" si="6">SUM(I10:L10)</f>
        <v>19160</v>
      </c>
      <c r="V10" s="30">
        <f t="shared" ref="V10" si="7">SUM(J10:M10)</f>
        <v>19215</v>
      </c>
      <c r="W10" s="30">
        <f t="shared" ref="W10" si="8">SUM(K10:N10)</f>
        <v>19336</v>
      </c>
      <c r="X10" s="30">
        <f t="shared" ref="X10" si="9">SUM(L10:O10)</f>
        <v>18637</v>
      </c>
      <c r="Y10" s="30">
        <f t="shared" ref="Y10" si="10">SUM(M10:P10)</f>
        <v>18014</v>
      </c>
      <c r="Z10" s="30">
        <f>SUM(N10:Q10)</f>
        <v>17475</v>
      </c>
    </row>
    <row r="11" spans="1:26">
      <c r="B11" s="12" t="s">
        <v>68</v>
      </c>
      <c r="C11" s="13">
        <f t="shared" ref="C11:E11" si="11">SUM(C9:C10)</f>
        <v>43004</v>
      </c>
      <c r="D11" s="13">
        <f t="shared" si="11"/>
        <v>45754</v>
      </c>
      <c r="E11" s="13">
        <f t="shared" si="11"/>
        <v>47061</v>
      </c>
      <c r="F11" s="11"/>
      <c r="G11" s="13">
        <f t="shared" ref="G11:Q11" si="12">SUM(G9:G10)</f>
        <v>10980</v>
      </c>
      <c r="H11" s="13">
        <f t="shared" si="12"/>
        <v>11972</v>
      </c>
      <c r="I11" s="13">
        <f t="shared" si="12"/>
        <v>11953</v>
      </c>
      <c r="J11" s="13">
        <f t="shared" si="12"/>
        <v>10849</v>
      </c>
      <c r="K11" s="13">
        <f t="shared" si="12"/>
        <v>11300</v>
      </c>
      <c r="L11" s="13">
        <f t="shared" si="12"/>
        <v>12363</v>
      </c>
      <c r="M11" s="13">
        <f t="shared" si="12"/>
        <v>11854</v>
      </c>
      <c r="N11" s="13">
        <f t="shared" si="12"/>
        <v>11544</v>
      </c>
      <c r="O11" s="13">
        <f t="shared" si="12"/>
        <v>11129</v>
      </c>
      <c r="P11" s="13">
        <f t="shared" si="12"/>
        <v>12535</v>
      </c>
      <c r="Q11" s="13">
        <f t="shared" si="12"/>
        <v>12455</v>
      </c>
      <c r="R11" s="5"/>
      <c r="S11" s="13">
        <f t="shared" ref="S11:Y11" si="13">SUM(S9:S10)</f>
        <v>45754</v>
      </c>
      <c r="T11" s="13">
        <f t="shared" si="13"/>
        <v>46074</v>
      </c>
      <c r="U11" s="13">
        <f t="shared" si="13"/>
        <v>46465</v>
      </c>
      <c r="V11" s="13">
        <f t="shared" si="13"/>
        <v>46366</v>
      </c>
      <c r="W11" s="13">
        <f t="shared" si="13"/>
        <v>47061</v>
      </c>
      <c r="X11" s="13">
        <f t="shared" si="13"/>
        <v>46890</v>
      </c>
      <c r="Y11" s="13">
        <f t="shared" si="13"/>
        <v>47062</v>
      </c>
      <c r="Z11" s="13">
        <f>SUM(Z9:Z10)</f>
        <v>47663</v>
      </c>
    </row>
    <row r="12" spans="1:26" outlineLevel="1">
      <c r="B12" s="114" t="s">
        <v>185</v>
      </c>
      <c r="C12" s="73">
        <f>+C11-'Historical Financials'!C11</f>
        <v>0</v>
      </c>
      <c r="D12" s="73">
        <f>+D11-'Historical Financials'!D11</f>
        <v>0</v>
      </c>
      <c r="E12" s="73">
        <f>+E11-'Historical Financials'!E11</f>
        <v>0</v>
      </c>
      <c r="F12" s="11"/>
      <c r="G12" s="73">
        <f>+G11-'Historical Financials'!G11</f>
        <v>0</v>
      </c>
      <c r="H12" s="73">
        <f>+H11-'Historical Financials'!H11</f>
        <v>0</v>
      </c>
      <c r="I12" s="73">
        <f>+I11-'Historical Financials'!I11</f>
        <v>0</v>
      </c>
      <c r="J12" s="73">
        <f>+J11-'Historical Financials'!J11</f>
        <v>0</v>
      </c>
      <c r="K12" s="73">
        <f>+K11-'Historical Financials'!K11</f>
        <v>0</v>
      </c>
      <c r="L12" s="73">
        <f>+L11-'Historical Financials'!L11</f>
        <v>0</v>
      </c>
      <c r="M12" s="73">
        <f>+M11-'Historical Financials'!M11</f>
        <v>0</v>
      </c>
      <c r="N12" s="73">
        <f>+N11-'Historical Financials'!N11</f>
        <v>0</v>
      </c>
      <c r="O12" s="73">
        <f>+O11-'Historical Financials'!O11</f>
        <v>0</v>
      </c>
      <c r="P12" s="73">
        <f>+P11-'Historical Financials'!P11</f>
        <v>0</v>
      </c>
      <c r="Q12" s="73">
        <f>+Q11-'Historical Financials'!Q11</f>
        <v>0</v>
      </c>
      <c r="R12" s="73"/>
      <c r="S12" s="73">
        <f>+S11-'Historical Financials'!S11</f>
        <v>0</v>
      </c>
      <c r="T12" s="73">
        <f>+T11-'Historical Financials'!T11</f>
        <v>0</v>
      </c>
      <c r="U12" s="73">
        <f>+U11-'Historical Financials'!U11</f>
        <v>0</v>
      </c>
      <c r="V12" s="73">
        <f>+V11-'Historical Financials'!V11</f>
        <v>0</v>
      </c>
      <c r="W12" s="73">
        <f>+W11-'Historical Financials'!W11</f>
        <v>0</v>
      </c>
      <c r="X12" s="73">
        <f>+X11-'Historical Financials'!X11</f>
        <v>0</v>
      </c>
      <c r="Y12" s="73">
        <f>+Y11-'Historical Financials'!Y11</f>
        <v>0</v>
      </c>
      <c r="Z12" s="73">
        <f>+Z11-'Historical Financials'!Z11</f>
        <v>0</v>
      </c>
    </row>
    <row r="13" spans="1:26">
      <c r="B13" s="16"/>
      <c r="C13" s="17"/>
      <c r="D13" s="17"/>
      <c r="E13" s="17"/>
      <c r="F13" s="18"/>
      <c r="G13" s="19"/>
      <c r="H13" s="19"/>
      <c r="I13" s="19"/>
      <c r="J13" s="20"/>
      <c r="K13" s="19"/>
      <c r="L13" s="19"/>
      <c r="M13" s="19"/>
      <c r="N13" s="19"/>
      <c r="O13" s="19"/>
      <c r="P13" s="19"/>
      <c r="Q13" s="19"/>
      <c r="R13" s="18"/>
      <c r="S13" s="18"/>
      <c r="T13" s="18"/>
      <c r="U13" s="18"/>
      <c r="V13" s="18"/>
      <c r="W13" s="18"/>
      <c r="X13" s="18"/>
      <c r="Y13" s="18"/>
      <c r="Z13" s="18"/>
    </row>
    <row r="14" spans="1:26">
      <c r="B14" s="115" t="str">
        <f>B9&amp;"(%)"</f>
        <v>Concentrate Operations(%)</v>
      </c>
      <c r="C14" s="123">
        <f t="shared" ref="C14:E14" si="14">SUM(C9/C$11)</f>
        <v>0.55973862896474746</v>
      </c>
      <c r="D14" s="123">
        <f t="shared" si="14"/>
        <v>0.58003671810114965</v>
      </c>
      <c r="E14" s="123">
        <f t="shared" si="14"/>
        <v>0.58912900278362124</v>
      </c>
      <c r="F14" s="116"/>
      <c r="G14" s="123">
        <f t="shared" ref="G14:P14" si="15">SUM(G9/G$11)</f>
        <v>0.57677595628415301</v>
      </c>
      <c r="H14" s="123">
        <f t="shared" si="15"/>
        <v>0.58887403942532579</v>
      </c>
      <c r="I14" s="123">
        <f t="shared" si="15"/>
        <v>0.60336317242533255</v>
      </c>
      <c r="J14" s="123">
        <f t="shared" si="15"/>
        <v>0.5478845976587704</v>
      </c>
      <c r="K14" s="123">
        <f t="shared" si="15"/>
        <v>0.58893805309734515</v>
      </c>
      <c r="L14" s="123">
        <f t="shared" si="15"/>
        <v>0.60616355253579224</v>
      </c>
      <c r="M14" s="123">
        <f t="shared" si="15"/>
        <v>0.5954108317867387</v>
      </c>
      <c r="N14" s="123">
        <f t="shared" si="15"/>
        <v>0.5646223146223146</v>
      </c>
      <c r="O14" s="123">
        <f t="shared" si="15"/>
        <v>0.64543085632132269</v>
      </c>
      <c r="P14" s="123">
        <f t="shared" si="15"/>
        <v>0.66126844834463505</v>
      </c>
      <c r="Q14" s="123">
        <f t="shared" ref="Q14" si="16">SUM(Q9/Q$11)</f>
        <v>0.65820955439582496</v>
      </c>
      <c r="R14" s="116"/>
      <c r="S14" s="117">
        <f t="shared" ref="S14:Z15" si="17">J14</f>
        <v>0.5478845976587704</v>
      </c>
      <c r="T14" s="117">
        <f t="shared" si="17"/>
        <v>0.58893805309734515</v>
      </c>
      <c r="U14" s="117">
        <f t="shared" si="17"/>
        <v>0.60616355253579224</v>
      </c>
      <c r="V14" s="117">
        <f t="shared" si="17"/>
        <v>0.5954108317867387</v>
      </c>
      <c r="W14" s="117">
        <f t="shared" si="17"/>
        <v>0.5646223146223146</v>
      </c>
      <c r="X14" s="117">
        <f t="shared" si="17"/>
        <v>0.64543085632132269</v>
      </c>
      <c r="Y14" s="117">
        <f t="shared" si="17"/>
        <v>0.66126844834463505</v>
      </c>
      <c r="Z14" s="118">
        <f t="shared" si="17"/>
        <v>0.65820955439582496</v>
      </c>
    </row>
    <row r="15" spans="1:26" ht="12.75" customHeight="1">
      <c r="B15" s="119" t="str">
        <f>B10&amp;"(%)"</f>
        <v>Finished Product Operations(%)</v>
      </c>
      <c r="C15" s="124">
        <f t="shared" ref="C15:E15" si="18">SUM(C10/C$11)</f>
        <v>0.44026137103525254</v>
      </c>
      <c r="D15" s="124">
        <f t="shared" si="18"/>
        <v>0.41996328189885035</v>
      </c>
      <c r="E15" s="124">
        <f t="shared" si="18"/>
        <v>0.41087099721637876</v>
      </c>
      <c r="F15" s="120"/>
      <c r="G15" s="124">
        <f t="shared" ref="G15:P15" si="19">SUM(G10/G$11)</f>
        <v>0.42322404371584699</v>
      </c>
      <c r="H15" s="124">
        <f t="shared" si="19"/>
        <v>0.41112596057467427</v>
      </c>
      <c r="I15" s="124">
        <f t="shared" si="19"/>
        <v>0.39663682757466745</v>
      </c>
      <c r="J15" s="124">
        <f t="shared" si="19"/>
        <v>0.4521154023412296</v>
      </c>
      <c r="K15" s="124">
        <f t="shared" si="19"/>
        <v>0.41106194690265485</v>
      </c>
      <c r="L15" s="124">
        <f t="shared" si="19"/>
        <v>0.39383644746420771</v>
      </c>
      <c r="M15" s="124">
        <f t="shared" si="19"/>
        <v>0.40458916821326135</v>
      </c>
      <c r="N15" s="124">
        <f t="shared" si="19"/>
        <v>0.4353776853776854</v>
      </c>
      <c r="O15" s="124">
        <f t="shared" si="19"/>
        <v>0.35456914367867731</v>
      </c>
      <c r="P15" s="124">
        <f t="shared" si="19"/>
        <v>0.338731551655365</v>
      </c>
      <c r="Q15" s="124">
        <f t="shared" ref="Q15" si="20">SUM(Q10/Q$11)</f>
        <v>0.34179044560417504</v>
      </c>
      <c r="R15" s="120"/>
      <c r="S15" s="121">
        <f t="shared" si="17"/>
        <v>0.4521154023412296</v>
      </c>
      <c r="T15" s="121">
        <f t="shared" si="17"/>
        <v>0.41106194690265485</v>
      </c>
      <c r="U15" s="121">
        <f t="shared" si="17"/>
        <v>0.39383644746420771</v>
      </c>
      <c r="V15" s="121">
        <f t="shared" si="17"/>
        <v>0.40458916821326135</v>
      </c>
      <c r="W15" s="121">
        <f t="shared" si="17"/>
        <v>0.4353776853776854</v>
      </c>
      <c r="X15" s="121">
        <f t="shared" si="17"/>
        <v>0.35456914367867731</v>
      </c>
      <c r="Y15" s="121">
        <f t="shared" si="17"/>
        <v>0.338731551655365</v>
      </c>
      <c r="Z15" s="122">
        <f t="shared" si="17"/>
        <v>0.34179044560417504</v>
      </c>
    </row>
    <row r="16" spans="1:26">
      <c r="B16" s="16"/>
      <c r="C16" s="17"/>
      <c r="D16" s="17"/>
      <c r="E16" s="17"/>
      <c r="F16" s="18"/>
      <c r="G16" s="19"/>
      <c r="H16" s="19"/>
      <c r="I16" s="19"/>
      <c r="J16" s="20"/>
      <c r="K16" s="19"/>
      <c r="L16" s="19"/>
      <c r="M16" s="19"/>
      <c r="N16" s="19"/>
      <c r="O16" s="19"/>
      <c r="P16" s="19"/>
      <c r="Q16" s="19"/>
      <c r="R16" s="18"/>
      <c r="S16" s="18"/>
      <c r="T16" s="18"/>
      <c r="U16" s="18"/>
      <c r="V16" s="18"/>
      <c r="W16" s="18"/>
      <c r="X16" s="18"/>
      <c r="Y16" s="18"/>
      <c r="Z16" s="18"/>
    </row>
    <row r="17" spans="1:26">
      <c r="A17" s="33" t="s">
        <v>16</v>
      </c>
      <c r="B17" s="1" t="s">
        <v>148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5.0999999999999996" customHeight="1"/>
    <row r="19" spans="1:26" ht="12.75" customHeight="1">
      <c r="A19" s="74" t="s">
        <v>16</v>
      </c>
      <c r="B19" s="72" t="s">
        <v>148</v>
      </c>
      <c r="C19" s="10"/>
      <c r="D19" s="10"/>
      <c r="E19" s="10"/>
      <c r="F19" s="10"/>
      <c r="G19" s="81"/>
      <c r="H19" s="81"/>
      <c r="I19" s="81"/>
      <c r="J19" s="30"/>
      <c r="K19" s="81"/>
      <c r="L19" s="81"/>
      <c r="M19" s="81"/>
      <c r="N19" s="30"/>
      <c r="O19" s="81"/>
      <c r="P19" s="81"/>
      <c r="Q19" s="81"/>
      <c r="R19" s="5"/>
      <c r="S19" s="11"/>
      <c r="T19" s="11"/>
      <c r="U19" s="11"/>
      <c r="V19" s="11"/>
      <c r="W19" s="11"/>
      <c r="X19" s="11"/>
      <c r="Y19" s="11"/>
      <c r="Z19" s="11"/>
    </row>
    <row r="20" spans="1:26" ht="12.75" customHeight="1">
      <c r="A20" s="74"/>
      <c r="B20" s="9" t="s">
        <v>150</v>
      </c>
      <c r="C20" s="75">
        <v>15413</v>
      </c>
      <c r="D20" s="75">
        <v>16550</v>
      </c>
      <c r="E20" s="75">
        <v>18362</v>
      </c>
      <c r="F20" s="10"/>
      <c r="G20" s="75">
        <v>3849</v>
      </c>
      <c r="H20" s="75">
        <v>4302</v>
      </c>
      <c r="I20" s="75">
        <v>4411</v>
      </c>
      <c r="J20" s="30">
        <f t="shared" ref="J20:J21" si="21">SUM(D20-SUM(G20:I20))</f>
        <v>3988</v>
      </c>
      <c r="K20" s="75">
        <v>4118</v>
      </c>
      <c r="L20" s="75">
        <v>4740</v>
      </c>
      <c r="M20" s="75">
        <v>4903</v>
      </c>
      <c r="N20" s="30">
        <f t="shared" ref="N20:N21" si="22">SUM(E20-SUM(K20:M20))</f>
        <v>4601</v>
      </c>
      <c r="O20" s="75">
        <v>4253</v>
      </c>
      <c r="P20" s="75">
        <v>4935</v>
      </c>
      <c r="Q20" s="75">
        <v>5118</v>
      </c>
      <c r="R20" s="5"/>
      <c r="S20" s="30">
        <f t="shared" ref="S20:S21" si="23">SUM(G20:J20)</f>
        <v>16550</v>
      </c>
      <c r="T20" s="30">
        <f t="shared" ref="T20:T21" si="24">SUM(H20:K20)</f>
        <v>16819</v>
      </c>
      <c r="U20" s="30">
        <f t="shared" ref="U20:U21" si="25">SUM(I20:L20)</f>
        <v>17257</v>
      </c>
      <c r="V20" s="30">
        <f t="shared" ref="V20:V21" si="26">SUM(J20:M20)</f>
        <v>17749</v>
      </c>
      <c r="W20" s="30">
        <f t="shared" ref="W20:W21" si="27">SUM(K20:N20)</f>
        <v>18362</v>
      </c>
      <c r="X20" s="30">
        <f t="shared" ref="X20:X21" si="28">SUM(L20:O20)</f>
        <v>18497</v>
      </c>
      <c r="Y20" s="30">
        <f t="shared" ref="Y20:Y21" si="29">SUM(M20:P20)</f>
        <v>18692</v>
      </c>
      <c r="Z20" s="30">
        <f>SUM(N20:Q20)</f>
        <v>18907</v>
      </c>
    </row>
    <row r="21" spans="1:26">
      <c r="A21" s="74"/>
      <c r="B21" s="9" t="s">
        <v>149</v>
      </c>
      <c r="C21" s="75">
        <v>27591</v>
      </c>
      <c r="D21" s="75">
        <v>29204</v>
      </c>
      <c r="E21" s="75">
        <v>28699</v>
      </c>
      <c r="F21" s="10"/>
      <c r="G21" s="75">
        <v>7131</v>
      </c>
      <c r="H21" s="75">
        <v>7670</v>
      </c>
      <c r="I21" s="75">
        <v>7542</v>
      </c>
      <c r="J21" s="30">
        <f t="shared" si="21"/>
        <v>6861</v>
      </c>
      <c r="K21" s="75">
        <v>7182</v>
      </c>
      <c r="L21" s="75">
        <v>7623</v>
      </c>
      <c r="M21" s="75">
        <v>6951</v>
      </c>
      <c r="N21" s="30">
        <f t="shared" si="22"/>
        <v>6943</v>
      </c>
      <c r="O21" s="75">
        <v>6876</v>
      </c>
      <c r="P21" s="75">
        <v>7600</v>
      </c>
      <c r="Q21" s="75">
        <v>7337</v>
      </c>
      <c r="R21" s="5"/>
      <c r="S21" s="30">
        <f t="shared" si="23"/>
        <v>29204</v>
      </c>
      <c r="T21" s="30">
        <f t="shared" si="24"/>
        <v>29255</v>
      </c>
      <c r="U21" s="30">
        <f t="shared" si="25"/>
        <v>29208</v>
      </c>
      <c r="V21" s="30">
        <f t="shared" si="26"/>
        <v>28617</v>
      </c>
      <c r="W21" s="30">
        <f t="shared" si="27"/>
        <v>28699</v>
      </c>
      <c r="X21" s="30">
        <f t="shared" si="28"/>
        <v>28393</v>
      </c>
      <c r="Y21" s="30">
        <f t="shared" si="29"/>
        <v>28370</v>
      </c>
      <c r="Z21" s="30">
        <f>SUM(N21:Q21)</f>
        <v>28756</v>
      </c>
    </row>
    <row r="22" spans="1:26">
      <c r="B22" s="12" t="s">
        <v>12</v>
      </c>
      <c r="C22" s="13">
        <f>SUM(C20:C21)</f>
        <v>43004</v>
      </c>
      <c r="D22" s="13">
        <f>SUM(D20:D21)</f>
        <v>45754</v>
      </c>
      <c r="E22" s="13">
        <f>SUM(E20:E21)</f>
        <v>47061</v>
      </c>
      <c r="F22" s="11"/>
      <c r="G22" s="13">
        <f t="shared" ref="G22:Q22" si="30">SUM(G20:G21)</f>
        <v>10980</v>
      </c>
      <c r="H22" s="13">
        <f t="shared" si="30"/>
        <v>11972</v>
      </c>
      <c r="I22" s="13">
        <f t="shared" si="30"/>
        <v>11953</v>
      </c>
      <c r="J22" s="13">
        <f t="shared" si="30"/>
        <v>10849</v>
      </c>
      <c r="K22" s="13">
        <f t="shared" si="30"/>
        <v>11300</v>
      </c>
      <c r="L22" s="13">
        <f t="shared" si="30"/>
        <v>12363</v>
      </c>
      <c r="M22" s="13">
        <f t="shared" si="30"/>
        <v>11854</v>
      </c>
      <c r="N22" s="13">
        <f t="shared" si="30"/>
        <v>11544</v>
      </c>
      <c r="O22" s="13">
        <f t="shared" si="30"/>
        <v>11129</v>
      </c>
      <c r="P22" s="13">
        <f t="shared" si="30"/>
        <v>12535</v>
      </c>
      <c r="Q22" s="13">
        <f t="shared" si="30"/>
        <v>12455</v>
      </c>
      <c r="R22" s="5"/>
      <c r="S22" s="13">
        <f t="shared" ref="S22:Z22" si="31">SUM(S20:S21)</f>
        <v>45754</v>
      </c>
      <c r="T22" s="13">
        <f t="shared" si="31"/>
        <v>46074</v>
      </c>
      <c r="U22" s="13">
        <f t="shared" si="31"/>
        <v>46465</v>
      </c>
      <c r="V22" s="13">
        <f t="shared" si="31"/>
        <v>46366</v>
      </c>
      <c r="W22" s="13">
        <f t="shared" si="31"/>
        <v>47061</v>
      </c>
      <c r="X22" s="13">
        <f t="shared" si="31"/>
        <v>46890</v>
      </c>
      <c r="Y22" s="13">
        <f t="shared" si="31"/>
        <v>47062</v>
      </c>
      <c r="Z22" s="13">
        <f t="shared" si="31"/>
        <v>47663</v>
      </c>
    </row>
    <row r="23" spans="1:26" outlineLevel="1">
      <c r="B23" s="114" t="s">
        <v>185</v>
      </c>
      <c r="C23" s="73">
        <f>+C22-C11</f>
        <v>0</v>
      </c>
      <c r="D23" s="73">
        <f>+D22-D11</f>
        <v>0</v>
      </c>
      <c r="E23" s="73">
        <f>+E22-E11</f>
        <v>0</v>
      </c>
      <c r="F23" s="11"/>
      <c r="G23" s="73">
        <f t="shared" ref="G23:Q23" si="32">+G22-G11</f>
        <v>0</v>
      </c>
      <c r="H23" s="73">
        <f t="shared" si="32"/>
        <v>0</v>
      </c>
      <c r="I23" s="73">
        <f t="shared" si="32"/>
        <v>0</v>
      </c>
      <c r="J23" s="73">
        <f t="shared" si="32"/>
        <v>0</v>
      </c>
      <c r="K23" s="73">
        <f t="shared" si="32"/>
        <v>0</v>
      </c>
      <c r="L23" s="73">
        <f t="shared" si="32"/>
        <v>0</v>
      </c>
      <c r="M23" s="73">
        <f t="shared" si="32"/>
        <v>0</v>
      </c>
      <c r="N23" s="73">
        <f t="shared" si="32"/>
        <v>0</v>
      </c>
      <c r="O23" s="73">
        <f t="shared" si="32"/>
        <v>0</v>
      </c>
      <c r="P23" s="73">
        <f t="shared" si="32"/>
        <v>0</v>
      </c>
      <c r="Q23" s="73">
        <f t="shared" si="32"/>
        <v>0</v>
      </c>
      <c r="R23" s="5"/>
      <c r="S23" s="73">
        <f t="shared" ref="S23" si="33">+S22-S11</f>
        <v>0</v>
      </c>
      <c r="T23" s="73">
        <f t="shared" ref="T23" si="34">+T22-T11</f>
        <v>0</v>
      </c>
      <c r="U23" s="73">
        <f t="shared" ref="U23" si="35">+U22-U11</f>
        <v>0</v>
      </c>
      <c r="V23" s="73">
        <f t="shared" ref="V23" si="36">+V22-V11</f>
        <v>0</v>
      </c>
      <c r="W23" s="73">
        <f t="shared" ref="W23" si="37">+W22-W11</f>
        <v>0</v>
      </c>
      <c r="X23" s="73">
        <f t="shared" ref="X23" si="38">+X22-X11</f>
        <v>0</v>
      </c>
      <c r="Y23" s="73">
        <f t="shared" ref="Y23" si="39">+Y22-Y11</f>
        <v>0</v>
      </c>
      <c r="Z23" s="73">
        <f t="shared" ref="Z23" si="40">+Z22-Z11</f>
        <v>0</v>
      </c>
    </row>
    <row r="24" spans="1:26">
      <c r="B24" s="16"/>
      <c r="C24" s="17"/>
      <c r="D24" s="17"/>
      <c r="E24" s="17"/>
      <c r="F24" s="18"/>
      <c r="G24" s="19"/>
      <c r="H24" s="19"/>
      <c r="I24" s="19"/>
      <c r="J24" s="20"/>
      <c r="K24" s="19"/>
      <c r="L24" s="19"/>
      <c r="M24" s="19"/>
      <c r="N24" s="19"/>
      <c r="O24" s="19"/>
      <c r="P24" s="19"/>
      <c r="Q24" s="19"/>
      <c r="R24" s="18"/>
      <c r="S24" s="18"/>
      <c r="T24" s="18"/>
      <c r="U24" s="18"/>
      <c r="V24" s="18"/>
      <c r="W24" s="18"/>
      <c r="X24" s="18"/>
      <c r="Y24" s="18"/>
      <c r="Z24" s="18"/>
    </row>
    <row r="25" spans="1:26">
      <c r="B25" s="115" t="str">
        <f>B20&amp;"(%)"</f>
        <v>U.S. Revenues (%)</v>
      </c>
      <c r="C25" s="123">
        <f t="shared" ref="C25:E26" si="41">C20/C$22</f>
        <v>0.35840852013766161</v>
      </c>
      <c r="D25" s="123">
        <f t="shared" si="41"/>
        <v>0.36171700834899678</v>
      </c>
      <c r="E25" s="123">
        <f t="shared" si="41"/>
        <v>0.39017445443148252</v>
      </c>
      <c r="F25" s="116"/>
      <c r="G25" s="123">
        <f t="shared" ref="G25:Q25" si="42">G20/G$22</f>
        <v>0.35054644808743168</v>
      </c>
      <c r="H25" s="123">
        <f t="shared" si="42"/>
        <v>0.35933845639826262</v>
      </c>
      <c r="I25" s="123">
        <f t="shared" si="42"/>
        <v>0.36902869572492264</v>
      </c>
      <c r="J25" s="123">
        <f t="shared" si="42"/>
        <v>0.3675914830859987</v>
      </c>
      <c r="K25" s="123">
        <f t="shared" si="42"/>
        <v>0.36442477876106194</v>
      </c>
      <c r="L25" s="123">
        <f t="shared" si="42"/>
        <v>0.38340208687211841</v>
      </c>
      <c r="M25" s="123">
        <f t="shared" si="42"/>
        <v>0.41361565716213938</v>
      </c>
      <c r="N25" s="123">
        <f t="shared" si="42"/>
        <v>0.39856202356202358</v>
      </c>
      <c r="O25" s="123">
        <f t="shared" si="42"/>
        <v>0.38215473088327795</v>
      </c>
      <c r="P25" s="123">
        <f t="shared" si="42"/>
        <v>0.39369764658954925</v>
      </c>
      <c r="Q25" s="123">
        <f t="shared" si="42"/>
        <v>0.41091930951425132</v>
      </c>
      <c r="R25" s="116"/>
      <c r="S25" s="117">
        <f t="shared" ref="S25:Z26" si="43">S20/S$22</f>
        <v>0.36171700834899678</v>
      </c>
      <c r="T25" s="117">
        <f t="shared" si="43"/>
        <v>0.36504319138776753</v>
      </c>
      <c r="U25" s="117">
        <f t="shared" si="43"/>
        <v>0.37139782632088669</v>
      </c>
      <c r="V25" s="117">
        <f t="shared" si="43"/>
        <v>0.38280205322865896</v>
      </c>
      <c r="W25" s="117">
        <f t="shared" si="43"/>
        <v>0.39017445443148252</v>
      </c>
      <c r="X25" s="117">
        <f t="shared" si="43"/>
        <v>0.39447643420772022</v>
      </c>
      <c r="Y25" s="117">
        <f t="shared" si="43"/>
        <v>0.39717819047214314</v>
      </c>
      <c r="Z25" s="118">
        <f t="shared" si="43"/>
        <v>0.39668086356293142</v>
      </c>
    </row>
    <row r="26" spans="1:26" ht="12.75" customHeight="1">
      <c r="B26" s="119" t="str">
        <f>B21&amp;"(%)"</f>
        <v>International Revenues (%)</v>
      </c>
      <c r="C26" s="124">
        <f t="shared" si="41"/>
        <v>0.64159147986233833</v>
      </c>
      <c r="D26" s="124">
        <f t="shared" si="41"/>
        <v>0.63828299165100322</v>
      </c>
      <c r="E26" s="124">
        <f t="shared" si="41"/>
        <v>0.60982554556851742</v>
      </c>
      <c r="F26" s="120"/>
      <c r="G26" s="124">
        <f t="shared" ref="G26:Q26" si="44">G21/G$22</f>
        <v>0.64945355191256826</v>
      </c>
      <c r="H26" s="124">
        <f t="shared" si="44"/>
        <v>0.64066154360173744</v>
      </c>
      <c r="I26" s="124">
        <f t="shared" si="44"/>
        <v>0.63097130427507742</v>
      </c>
      <c r="J26" s="124">
        <f t="shared" si="44"/>
        <v>0.63240851691400124</v>
      </c>
      <c r="K26" s="124">
        <f t="shared" si="44"/>
        <v>0.63557522123893806</v>
      </c>
      <c r="L26" s="124">
        <f t="shared" si="44"/>
        <v>0.61659791312788159</v>
      </c>
      <c r="M26" s="124">
        <f t="shared" si="44"/>
        <v>0.58638434283786067</v>
      </c>
      <c r="N26" s="124">
        <f t="shared" si="44"/>
        <v>0.60143797643797647</v>
      </c>
      <c r="O26" s="124">
        <f t="shared" si="44"/>
        <v>0.61784526911672211</v>
      </c>
      <c r="P26" s="124">
        <f t="shared" si="44"/>
        <v>0.60630235341045069</v>
      </c>
      <c r="Q26" s="124">
        <f t="shared" si="44"/>
        <v>0.58908069048574874</v>
      </c>
      <c r="R26" s="120"/>
      <c r="S26" s="121">
        <f t="shared" si="43"/>
        <v>0.63828299165100322</v>
      </c>
      <c r="T26" s="121">
        <f t="shared" si="43"/>
        <v>0.63495680861223247</v>
      </c>
      <c r="U26" s="121">
        <f t="shared" si="43"/>
        <v>0.62860217367911331</v>
      </c>
      <c r="V26" s="121">
        <f t="shared" si="43"/>
        <v>0.6171979467713411</v>
      </c>
      <c r="W26" s="121">
        <f t="shared" si="43"/>
        <v>0.60982554556851742</v>
      </c>
      <c r="X26" s="121">
        <f t="shared" si="43"/>
        <v>0.60552356579227984</v>
      </c>
      <c r="Y26" s="121">
        <f t="shared" si="43"/>
        <v>0.60282180952785691</v>
      </c>
      <c r="Z26" s="122">
        <f t="shared" si="43"/>
        <v>0.60331913643706858</v>
      </c>
    </row>
  </sheetData>
  <pageMargins left="0.7" right="0.7" top="0.75" bottom="0.75" header="0.3" footer="0.3"/>
  <ignoredErrors>
    <ignoredError sqref="G14:P15 C14:E15 G25:Q25 G26:Q26" evalError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627CF-47F2-43ED-8CCB-3D99E5377DA5}">
  <sheetPr>
    <tabColor theme="6" tint="-0.249977111117893"/>
  </sheetPr>
  <dimension ref="A2:AB85"/>
  <sheetViews>
    <sheetView showGridLines="0" tabSelected="1" zoomScale="115" zoomScaleNormal="115" workbookViewId="0">
      <selection activeCell="B80" sqref="B80"/>
    </sheetView>
  </sheetViews>
  <sheetFormatPr defaultRowHeight="12" outlineLevelCol="1"/>
  <cols>
    <col min="1" max="1" width="1.5" style="8" customWidth="1"/>
    <col min="2" max="2" width="41.625" style="8" customWidth="1"/>
    <col min="3" max="3" width="8.625" style="8" customWidth="1"/>
    <col min="4" max="4" width="9" style="8" bestFit="1"/>
    <col min="5" max="5" width="9.25" style="8" bestFit="1" customWidth="1"/>
    <col min="6" max="6" width="1.5" style="8" customWidth="1"/>
    <col min="7" max="9" width="8" style="8" hidden="1" customWidth="1" outlineLevel="1"/>
    <col min="10" max="10" width="8.75" style="8" hidden="1" customWidth="1" outlineLevel="1"/>
    <col min="11" max="12" width="8" style="8" hidden="1" customWidth="1" outlineLevel="1"/>
    <col min="13" max="13" width="8.875" style="8" customWidth="1" collapsed="1"/>
    <col min="14" max="17" width="8.875" style="8" customWidth="1"/>
    <col min="18" max="18" width="1.625" style="8" customWidth="1"/>
    <col min="19" max="19" width="9.25" style="8" hidden="1" customWidth="1" outlineLevel="1"/>
    <col min="20" max="20" width="9.75" style="8" hidden="1" customWidth="1" outlineLevel="1"/>
    <col min="21" max="21" width="9" style="8" hidden="1" customWidth="1" outlineLevel="1"/>
    <col min="22" max="22" width="9" style="8" collapsed="1"/>
    <col min="23" max="24" width="9" style="8" hidden="1" customWidth="1" outlineLevel="1"/>
    <col min="25" max="25" width="8.5" style="8" hidden="1" customWidth="1" outlineLevel="1"/>
    <col min="26" max="26" width="8.5" style="8" bestFit="1" customWidth="1" collapsed="1"/>
    <col min="27" max="27" width="1.5" style="8" customWidth="1"/>
    <col min="28" max="28" width="7.5" style="111" bestFit="1" customWidth="1"/>
    <col min="29" max="16384" width="9" style="8"/>
  </cols>
  <sheetData>
    <row r="2" spans="2:28" s="5" customFormat="1" ht="12.75" customHeight="1">
      <c r="B2" s="1" t="str">
        <f>'Historical Financials'!B2</f>
        <v>Coca-Cola Co (NASDAQ: KO)</v>
      </c>
      <c r="C2" s="2" t="s">
        <v>0</v>
      </c>
      <c r="D2" s="2"/>
      <c r="E2" s="2"/>
      <c r="F2" s="3"/>
      <c r="G2" s="2" t="s">
        <v>1</v>
      </c>
      <c r="H2" s="2"/>
      <c r="I2" s="2"/>
      <c r="J2" s="2"/>
      <c r="K2" s="2"/>
      <c r="L2" s="2"/>
      <c r="M2" s="2" t="s">
        <v>1</v>
      </c>
      <c r="N2" s="2"/>
      <c r="O2" s="2"/>
      <c r="P2" s="2"/>
      <c r="Q2" s="2"/>
      <c r="R2" s="3"/>
      <c r="S2" s="2"/>
      <c r="T2" s="2"/>
      <c r="U2" s="2" t="s">
        <v>10</v>
      </c>
      <c r="V2" s="2" t="s">
        <v>10</v>
      </c>
      <c r="W2" s="2"/>
      <c r="X2" s="2"/>
      <c r="Y2" s="2"/>
      <c r="Z2" s="2"/>
      <c r="AA2" s="3"/>
      <c r="AB2" s="149" t="s">
        <v>22</v>
      </c>
    </row>
    <row r="3" spans="2:28" s="5" customFormat="1" ht="12.75" customHeight="1">
      <c r="B3" s="6" t="s">
        <v>23</v>
      </c>
      <c r="C3" s="7">
        <f>'Historical Financials'!C7</f>
        <v>2022</v>
      </c>
      <c r="D3" s="7">
        <f>'Historical Financials'!D7</f>
        <v>2023</v>
      </c>
      <c r="E3" s="7">
        <f>'Historical Financials'!E7</f>
        <v>2024</v>
      </c>
      <c r="F3" s="3"/>
      <c r="G3" s="7" t="str">
        <f>'Historical Financials'!G7</f>
        <v>1Q23</v>
      </c>
      <c r="H3" s="7" t="str">
        <f>'Historical Financials'!H7</f>
        <v>2Q23</v>
      </c>
      <c r="I3" s="7" t="str">
        <f>'Historical Financials'!I7</f>
        <v>3Q23</v>
      </c>
      <c r="J3" s="7" t="str">
        <f>'Historical Financials'!J7</f>
        <v>4Q23</v>
      </c>
      <c r="K3" s="7" t="str">
        <f>'Historical Financials'!K7</f>
        <v>1Q24</v>
      </c>
      <c r="L3" s="7" t="str">
        <f>'Historical Financials'!L7</f>
        <v>2Q24</v>
      </c>
      <c r="M3" s="7" t="str">
        <f>'Historical Financials'!M7</f>
        <v>3Q24</v>
      </c>
      <c r="N3" s="7" t="str">
        <f>'Historical Financials'!N7</f>
        <v>4Q24</v>
      </c>
      <c r="O3" s="7" t="str">
        <f>'Historical Financials'!O7</f>
        <v>1Q25</v>
      </c>
      <c r="P3" s="7" t="str">
        <f>'Historical Financials'!P7</f>
        <v>2Q25</v>
      </c>
      <c r="Q3" s="7" t="str">
        <f>'Historical Financials'!Q7</f>
        <v>3Q25</v>
      </c>
      <c r="R3" s="3"/>
      <c r="S3" s="4" t="str">
        <f>J3</f>
        <v>4Q23</v>
      </c>
      <c r="T3" s="4" t="str">
        <f>K3</f>
        <v>1Q24</v>
      </c>
      <c r="U3" s="4" t="str">
        <f>L3</f>
        <v>2Q24</v>
      </c>
      <c r="V3" s="4" t="str">
        <f>M3</f>
        <v>3Q24</v>
      </c>
      <c r="W3" s="4" t="str">
        <f>N3</f>
        <v>4Q24</v>
      </c>
      <c r="X3" s="4" t="str">
        <f>O3</f>
        <v>1Q25</v>
      </c>
      <c r="Y3" s="4" t="str">
        <f>P3</f>
        <v>2Q25</v>
      </c>
      <c r="Z3" s="4" t="str">
        <f>Q3</f>
        <v>3Q25</v>
      </c>
      <c r="AA3" s="3"/>
      <c r="AB3" s="149"/>
    </row>
    <row r="4" spans="2:28" s="5" customFormat="1" ht="12.75" customHeight="1">
      <c r="B4" s="6" t="s">
        <v>90</v>
      </c>
      <c r="C4" s="3">
        <f>'Historical Financials'!C8</f>
        <v>44926</v>
      </c>
      <c r="D4" s="3">
        <f>'Historical Financials'!D8</f>
        <v>45291</v>
      </c>
      <c r="E4" s="3">
        <f>'Historical Financials'!E8</f>
        <v>45657</v>
      </c>
      <c r="F4" s="3"/>
      <c r="G4" s="3">
        <f>'Historical Financials'!G8</f>
        <v>45016</v>
      </c>
      <c r="H4" s="3">
        <f>'Historical Financials'!H8</f>
        <v>45107</v>
      </c>
      <c r="I4" s="3">
        <f>'Historical Financials'!I8</f>
        <v>45198</v>
      </c>
      <c r="J4" s="3">
        <f>'Historical Financials'!J8</f>
        <v>45291</v>
      </c>
      <c r="K4" s="3">
        <f>'Historical Financials'!K8</f>
        <v>45380</v>
      </c>
      <c r="L4" s="3">
        <f>'Historical Financials'!L8</f>
        <v>45471</v>
      </c>
      <c r="M4" s="3">
        <f>'Historical Financials'!M8</f>
        <v>45562</v>
      </c>
      <c r="N4" s="3">
        <f>'Historical Financials'!N8</f>
        <v>45657</v>
      </c>
      <c r="O4" s="3">
        <f>'Historical Financials'!O8</f>
        <v>45744</v>
      </c>
      <c r="P4" s="3">
        <f>'Historical Financials'!P8</f>
        <v>45835</v>
      </c>
      <c r="Q4" s="3">
        <f>'Historical Financials'!Q8</f>
        <v>45926</v>
      </c>
      <c r="R4" s="3"/>
      <c r="S4" s="3">
        <f>J4</f>
        <v>45291</v>
      </c>
      <c r="T4" s="3">
        <f>K4</f>
        <v>45380</v>
      </c>
      <c r="U4" s="3">
        <f>L4</f>
        <v>45471</v>
      </c>
      <c r="V4" s="3">
        <f>M4</f>
        <v>45562</v>
      </c>
      <c r="W4" s="3">
        <f>N4</f>
        <v>45657</v>
      </c>
      <c r="X4" s="3">
        <f>O4</f>
        <v>45744</v>
      </c>
      <c r="Y4" s="3">
        <f>P4</f>
        <v>45835</v>
      </c>
      <c r="Z4" s="3">
        <f>Q4</f>
        <v>45926</v>
      </c>
      <c r="AA4" s="3"/>
      <c r="AB4" s="149"/>
    </row>
    <row r="5" spans="2:28" ht="5.0999999999999996" customHeight="1">
      <c r="AB5" s="107"/>
    </row>
    <row r="6" spans="2:28" ht="12.75" customHeight="1">
      <c r="B6" s="9" t="str">
        <f>'Revenue Drivers'!B9</f>
        <v>Concentrate Operations</v>
      </c>
      <c r="C6" s="80">
        <f>'Revenue Drivers'!C9</f>
        <v>24071</v>
      </c>
      <c r="D6" s="80">
        <f>'Revenue Drivers'!D9</f>
        <v>26539</v>
      </c>
      <c r="E6" s="80">
        <f>'Revenue Drivers'!E9</f>
        <v>27725</v>
      </c>
      <c r="F6" s="10"/>
      <c r="G6" s="80">
        <f>'Revenue Drivers'!G9</f>
        <v>6333</v>
      </c>
      <c r="H6" s="80">
        <f>'Revenue Drivers'!H9</f>
        <v>7050</v>
      </c>
      <c r="I6" s="80">
        <f>'Revenue Drivers'!I9</f>
        <v>7212</v>
      </c>
      <c r="J6" s="80">
        <f>'Revenue Drivers'!J9</f>
        <v>5944</v>
      </c>
      <c r="K6" s="80">
        <f>'Revenue Drivers'!K9</f>
        <v>6655</v>
      </c>
      <c r="L6" s="80">
        <f>'Revenue Drivers'!L9</f>
        <v>7494</v>
      </c>
      <c r="M6" s="80">
        <f>'Revenue Drivers'!M9</f>
        <v>7058</v>
      </c>
      <c r="N6" s="80">
        <f>'Revenue Drivers'!N9</f>
        <v>6518</v>
      </c>
      <c r="O6" s="80">
        <f>'Revenue Drivers'!O9</f>
        <v>7183</v>
      </c>
      <c r="P6" s="80">
        <f>'Revenue Drivers'!P9</f>
        <v>8289</v>
      </c>
      <c r="Q6" s="80">
        <f>'Revenue Drivers'!Q9</f>
        <v>8198</v>
      </c>
      <c r="R6" s="5"/>
      <c r="S6" s="126">
        <f>SUM(G6:J6)</f>
        <v>26539</v>
      </c>
      <c r="T6" s="126">
        <f>SUM(H6:K6)</f>
        <v>26861</v>
      </c>
      <c r="U6" s="126">
        <f>SUM(I6:L6)</f>
        <v>27305</v>
      </c>
      <c r="V6" s="126">
        <f>SUM(J6:M6)</f>
        <v>27151</v>
      </c>
      <c r="W6" s="126">
        <f>SUM(K6:N6)</f>
        <v>27725</v>
      </c>
      <c r="X6" s="126">
        <f>SUM(L6:O6)</f>
        <v>28253</v>
      </c>
      <c r="Y6" s="126">
        <f>SUM(M6:P6)</f>
        <v>29048</v>
      </c>
      <c r="Z6" s="126">
        <f>SUM(N6:Q6)</f>
        <v>30188</v>
      </c>
      <c r="AB6" s="108">
        <f t="shared" ref="AB6:AB7" si="0">SUM(Z6/V6)-1</f>
        <v>0.11185591690913776</v>
      </c>
    </row>
    <row r="7" spans="2:28" ht="12.75" customHeight="1">
      <c r="B7" s="9" t="str">
        <f>'Revenue Drivers'!B10</f>
        <v>Finished Product Operations</v>
      </c>
      <c r="C7" s="80">
        <f>'Revenue Drivers'!C10</f>
        <v>18933</v>
      </c>
      <c r="D7" s="80">
        <f>'Revenue Drivers'!D10</f>
        <v>19215</v>
      </c>
      <c r="E7" s="80">
        <f>'Revenue Drivers'!E10</f>
        <v>19336</v>
      </c>
      <c r="F7" s="10"/>
      <c r="G7" s="80">
        <f>'Revenue Drivers'!G10</f>
        <v>4647</v>
      </c>
      <c r="H7" s="80">
        <f>'Revenue Drivers'!H10</f>
        <v>4922</v>
      </c>
      <c r="I7" s="80">
        <f>'Revenue Drivers'!I10</f>
        <v>4741</v>
      </c>
      <c r="J7" s="80">
        <f>'Revenue Drivers'!J10</f>
        <v>4905</v>
      </c>
      <c r="K7" s="80">
        <f>'Revenue Drivers'!K10</f>
        <v>4645</v>
      </c>
      <c r="L7" s="80">
        <f>'Revenue Drivers'!L10</f>
        <v>4869</v>
      </c>
      <c r="M7" s="80">
        <f>'Revenue Drivers'!M10</f>
        <v>4796</v>
      </c>
      <c r="N7" s="80">
        <f>'Revenue Drivers'!N10</f>
        <v>5026</v>
      </c>
      <c r="O7" s="80">
        <f>'Revenue Drivers'!O10</f>
        <v>3946</v>
      </c>
      <c r="P7" s="80">
        <f>'Revenue Drivers'!P10</f>
        <v>4246</v>
      </c>
      <c r="Q7" s="80">
        <f>'Revenue Drivers'!Q10</f>
        <v>4257</v>
      </c>
      <c r="R7" s="5"/>
      <c r="S7" s="126">
        <f>SUM(G7:J7)</f>
        <v>19215</v>
      </c>
      <c r="T7" s="126">
        <f>SUM(H7:K7)</f>
        <v>19213</v>
      </c>
      <c r="U7" s="126">
        <f>SUM(I7:L7)</f>
        <v>19160</v>
      </c>
      <c r="V7" s="126">
        <f>SUM(J7:M7)</f>
        <v>19215</v>
      </c>
      <c r="W7" s="126">
        <f>SUM(K7:N7)</f>
        <v>19336</v>
      </c>
      <c r="X7" s="126">
        <f>SUM(L7:O7)</f>
        <v>18637</v>
      </c>
      <c r="Y7" s="126">
        <f>SUM(M7:P7)</f>
        <v>18014</v>
      </c>
      <c r="Z7" s="126">
        <f>SUM(N7:Q7)</f>
        <v>17475</v>
      </c>
      <c r="AB7" s="108">
        <f t="shared" si="0"/>
        <v>-9.0554254488680708E-2</v>
      </c>
    </row>
    <row r="8" spans="2:28" ht="12.75" customHeight="1">
      <c r="B8" s="12" t="s">
        <v>12</v>
      </c>
      <c r="C8" s="13">
        <f>SUM(C6:C7)</f>
        <v>43004</v>
      </c>
      <c r="D8" s="13">
        <f>SUM(D6:D7)</f>
        <v>45754</v>
      </c>
      <c r="E8" s="13">
        <f>SUM(E6:E7)</f>
        <v>47061</v>
      </c>
      <c r="F8" s="10"/>
      <c r="G8" s="13">
        <f t="shared" ref="G8:Q8" si="1">SUM(G6:G7)</f>
        <v>10980</v>
      </c>
      <c r="H8" s="13">
        <f t="shared" si="1"/>
        <v>11972</v>
      </c>
      <c r="I8" s="13">
        <f t="shared" si="1"/>
        <v>11953</v>
      </c>
      <c r="J8" s="13">
        <f t="shared" si="1"/>
        <v>10849</v>
      </c>
      <c r="K8" s="13">
        <f t="shared" si="1"/>
        <v>11300</v>
      </c>
      <c r="L8" s="13">
        <f t="shared" si="1"/>
        <v>12363</v>
      </c>
      <c r="M8" s="13">
        <f t="shared" si="1"/>
        <v>11854</v>
      </c>
      <c r="N8" s="13">
        <f t="shared" si="1"/>
        <v>11544</v>
      </c>
      <c r="O8" s="13">
        <f t="shared" si="1"/>
        <v>11129</v>
      </c>
      <c r="P8" s="13">
        <f t="shared" si="1"/>
        <v>12535</v>
      </c>
      <c r="Q8" s="13">
        <f t="shared" si="1"/>
        <v>12455</v>
      </c>
      <c r="R8" s="5"/>
      <c r="S8" s="13">
        <f t="shared" ref="S8:Z8" si="2">SUM(S6:S7)</f>
        <v>45754</v>
      </c>
      <c r="T8" s="13">
        <f t="shared" si="2"/>
        <v>46074</v>
      </c>
      <c r="U8" s="13">
        <f t="shared" si="2"/>
        <v>46465</v>
      </c>
      <c r="V8" s="13">
        <f t="shared" si="2"/>
        <v>46366</v>
      </c>
      <c r="W8" s="13">
        <f t="shared" si="2"/>
        <v>47061</v>
      </c>
      <c r="X8" s="13">
        <f t="shared" si="2"/>
        <v>46890</v>
      </c>
      <c r="Y8" s="13">
        <f t="shared" si="2"/>
        <v>47062</v>
      </c>
      <c r="Z8" s="13">
        <f t="shared" si="2"/>
        <v>47663</v>
      </c>
      <c r="AB8" s="109">
        <f>SUM(Z8/V8)-1</f>
        <v>2.797308372514351E-2</v>
      </c>
    </row>
    <row r="9" spans="2:28" ht="12.75" customHeight="1">
      <c r="B9" s="14" t="s">
        <v>26</v>
      </c>
      <c r="C9" s="99"/>
      <c r="D9" s="15">
        <f>SUM(D8/C8)-1</f>
        <v>6.3947539763743011E-2</v>
      </c>
      <c r="E9" s="15">
        <f>SUM(E8/D8)-1</f>
        <v>2.8565808453905772E-2</v>
      </c>
      <c r="F9" s="11"/>
      <c r="G9" s="99"/>
      <c r="H9" s="99"/>
      <c r="I9" s="99"/>
      <c r="J9" s="99"/>
      <c r="K9" s="15">
        <f t="shared" ref="K9:Q9" si="3">SUM(K8/G8)-1</f>
        <v>2.9143897996356971E-2</v>
      </c>
      <c r="L9" s="15">
        <f t="shared" si="3"/>
        <v>3.2659538924156406E-2</v>
      </c>
      <c r="M9" s="15">
        <f t="shared" si="3"/>
        <v>-8.2824395549234708E-3</v>
      </c>
      <c r="N9" s="15">
        <f t="shared" si="3"/>
        <v>6.4061203797584954E-2</v>
      </c>
      <c r="O9" s="15">
        <f t="shared" si="3"/>
        <v>-1.513274336283188E-2</v>
      </c>
      <c r="P9" s="15">
        <f t="shared" si="3"/>
        <v>1.3912480789452397E-2</v>
      </c>
      <c r="Q9" s="15">
        <f t="shared" si="3"/>
        <v>5.070018559136158E-2</v>
      </c>
      <c r="R9" s="5"/>
      <c r="S9" s="99"/>
      <c r="T9" s="99"/>
      <c r="U9" s="99"/>
      <c r="V9" s="99"/>
      <c r="W9" s="15">
        <f t="shared" ref="W9:Z9" si="4">SUM(W8/S8)-1</f>
        <v>2.8565808453905772E-2</v>
      </c>
      <c r="X9" s="15">
        <f t="shared" si="4"/>
        <v>1.7710639406172568E-2</v>
      </c>
      <c r="Y9" s="15">
        <f t="shared" si="4"/>
        <v>1.2848380501452761E-2</v>
      </c>
      <c r="Z9" s="15">
        <f t="shared" si="4"/>
        <v>2.797308372514351E-2</v>
      </c>
      <c r="AB9" s="110">
        <f>SUM(Z9-V9)*10000</f>
        <v>279.7308372514351</v>
      </c>
    </row>
    <row r="10" spans="2:28" ht="12.75" customHeight="1">
      <c r="B10" s="14" t="s">
        <v>27</v>
      </c>
      <c r="C10" s="15" t="s">
        <v>28</v>
      </c>
      <c r="D10" s="15" t="s">
        <v>28</v>
      </c>
      <c r="E10" s="15" t="s">
        <v>28</v>
      </c>
      <c r="F10" s="11"/>
      <c r="G10" s="99"/>
      <c r="H10" s="15">
        <f>SUM(H8/G8)-1</f>
        <v>9.0346083788706677E-2</v>
      </c>
      <c r="I10" s="15">
        <f>SUM(I8/H8)-1</f>
        <v>-1.5870364183093733E-3</v>
      </c>
      <c r="J10" s="15">
        <f>SUM(J8/I8)-1</f>
        <v>-9.2361750188237224E-2</v>
      </c>
      <c r="K10" s="15">
        <f>SUM(K8/J8)-1</f>
        <v>4.1570651672965253E-2</v>
      </c>
      <c r="L10" s="15">
        <f t="shared" ref="L10:Q10" si="5">SUM(L8/K8)-1</f>
        <v>9.407079646017702E-2</v>
      </c>
      <c r="M10" s="15">
        <f t="shared" si="5"/>
        <v>-4.1171236754832918E-2</v>
      </c>
      <c r="N10" s="15">
        <f t="shared" si="5"/>
        <v>-2.6151510038805448E-2</v>
      </c>
      <c r="O10" s="15">
        <f t="shared" si="5"/>
        <v>-3.5949410949410954E-2</v>
      </c>
      <c r="P10" s="15">
        <f t="shared" si="5"/>
        <v>0.12633659807709585</v>
      </c>
      <c r="Q10" s="15">
        <f t="shared" si="5"/>
        <v>-6.3821300358994915E-3</v>
      </c>
      <c r="R10" s="5"/>
      <c r="S10" s="15" t="s">
        <v>28</v>
      </c>
      <c r="T10" s="15" t="s">
        <v>28</v>
      </c>
      <c r="U10" s="15" t="s">
        <v>28</v>
      </c>
      <c r="V10" s="15" t="s">
        <v>28</v>
      </c>
      <c r="W10" s="15" t="s">
        <v>28</v>
      </c>
      <c r="X10" s="15" t="s">
        <v>28</v>
      </c>
      <c r="Y10" s="15" t="s">
        <v>28</v>
      </c>
      <c r="Z10" s="15" t="s">
        <v>28</v>
      </c>
      <c r="AB10" s="107"/>
    </row>
    <row r="11" spans="2:28" ht="5.0999999999999996" customHeight="1">
      <c r="B11" s="16"/>
      <c r="C11" s="17"/>
      <c r="D11" s="17"/>
      <c r="E11" s="17"/>
      <c r="F11" s="18"/>
      <c r="G11" s="19"/>
      <c r="H11" s="19"/>
      <c r="I11" s="19"/>
      <c r="J11" s="19"/>
      <c r="K11" s="19"/>
      <c r="L11" s="19"/>
      <c r="M11" s="19"/>
      <c r="N11" s="20"/>
      <c r="O11" s="19"/>
      <c r="P11" s="19"/>
      <c r="Q11" s="19"/>
      <c r="R11" s="18"/>
      <c r="S11" s="18"/>
      <c r="T11" s="18"/>
      <c r="U11" s="18"/>
      <c r="V11" s="18"/>
      <c r="W11" s="18"/>
      <c r="X11" s="18"/>
      <c r="Y11" s="18"/>
      <c r="Z11" s="18"/>
      <c r="AB11" s="107"/>
    </row>
    <row r="12" spans="2:28" ht="12.75" customHeight="1">
      <c r="B12" s="21" t="s">
        <v>29</v>
      </c>
      <c r="C12" s="80">
        <f>'Historical Financials'!C13</f>
        <v>-18000</v>
      </c>
      <c r="D12" s="80">
        <f>'Historical Financials'!D13</f>
        <v>-18520</v>
      </c>
      <c r="E12" s="80">
        <f>'Historical Financials'!E13</f>
        <v>-18324</v>
      </c>
      <c r="F12" s="10"/>
      <c r="G12" s="80">
        <f>'Historical Financials'!G13</f>
        <v>-4317</v>
      </c>
      <c r="H12" s="80">
        <f>'Historical Financials'!H13</f>
        <v>-4912</v>
      </c>
      <c r="I12" s="80">
        <f>'Historical Financials'!I13</f>
        <v>-4657</v>
      </c>
      <c r="J12" s="80">
        <f>'Historical Financials'!J13</f>
        <v>-4634</v>
      </c>
      <c r="K12" s="80">
        <f>'Historical Financials'!K13</f>
        <v>-4235</v>
      </c>
      <c r="L12" s="80">
        <f>'Historical Financials'!L13</f>
        <v>-4812</v>
      </c>
      <c r="M12" s="80">
        <f>'Historical Financials'!M13</f>
        <v>-4664</v>
      </c>
      <c r="N12" s="80">
        <f>'Historical Financials'!N13</f>
        <v>-4613</v>
      </c>
      <c r="O12" s="80">
        <f>'Historical Financials'!O13</f>
        <v>-4163</v>
      </c>
      <c r="P12" s="80">
        <f>'Historical Financials'!P13</f>
        <v>-4714</v>
      </c>
      <c r="Q12" s="80">
        <f>'Historical Financials'!Q13</f>
        <v>-4797</v>
      </c>
      <c r="R12" s="5"/>
      <c r="S12" s="126">
        <f>SUM(G12:J12)</f>
        <v>-18520</v>
      </c>
      <c r="T12" s="126">
        <f>SUM(H12:K12)</f>
        <v>-18438</v>
      </c>
      <c r="U12" s="126">
        <f>SUM(I12:L12)</f>
        <v>-18338</v>
      </c>
      <c r="V12" s="126">
        <f>SUM(J12:M12)</f>
        <v>-18345</v>
      </c>
      <c r="W12" s="126">
        <f>SUM(K12:N12)</f>
        <v>-18324</v>
      </c>
      <c r="X12" s="126">
        <f>SUM(L12:O12)</f>
        <v>-18252</v>
      </c>
      <c r="Y12" s="126">
        <f>SUM(M12:P12)</f>
        <v>-18154</v>
      </c>
      <c r="Z12" s="126">
        <f>SUM(N12:Q12)</f>
        <v>-18287</v>
      </c>
      <c r="AB12" s="108">
        <f>SUM(Z12/V12)-1</f>
        <v>-3.1616244208231281E-3</v>
      </c>
    </row>
    <row r="13" spans="2:28" ht="12.75" customHeight="1">
      <c r="B13" s="23" t="s">
        <v>20</v>
      </c>
      <c r="C13" s="24">
        <f t="shared" ref="C13:E13" si="6">SUM(C8+SUM(C12:C12))</f>
        <v>25004</v>
      </c>
      <c r="D13" s="24">
        <f t="shared" si="6"/>
        <v>27234</v>
      </c>
      <c r="E13" s="24">
        <f t="shared" si="6"/>
        <v>28737</v>
      </c>
      <c r="F13" s="5"/>
      <c r="G13" s="24">
        <f>SUM(G8+SUM(G12:G12))</f>
        <v>6663</v>
      </c>
      <c r="H13" s="24">
        <f>SUM(H8+SUM(H12:H12))</f>
        <v>7060</v>
      </c>
      <c r="I13" s="24">
        <f>SUM(I8+SUM(I12:I12))</f>
        <v>7296</v>
      </c>
      <c r="J13" s="24">
        <f>SUM(J8+SUM(J12:J12))</f>
        <v>6215</v>
      </c>
      <c r="K13" s="24">
        <f t="shared" ref="K13:P13" si="7">SUM(K8+SUM(K12:K12))</f>
        <v>7065</v>
      </c>
      <c r="L13" s="24">
        <f t="shared" si="7"/>
        <v>7551</v>
      </c>
      <c r="M13" s="24">
        <f t="shared" si="7"/>
        <v>7190</v>
      </c>
      <c r="N13" s="24">
        <f t="shared" si="7"/>
        <v>6931</v>
      </c>
      <c r="O13" s="24">
        <f t="shared" si="7"/>
        <v>6966</v>
      </c>
      <c r="P13" s="24">
        <f t="shared" si="7"/>
        <v>7821</v>
      </c>
      <c r="Q13" s="24">
        <f t="shared" ref="Q13" si="8">SUM(Q8+SUM(Q12:Q12))</f>
        <v>7658</v>
      </c>
      <c r="R13" s="5"/>
      <c r="S13" s="24">
        <f t="shared" ref="S13:Z13" si="9">SUM(S8+SUM(S12:S12))</f>
        <v>27234</v>
      </c>
      <c r="T13" s="24">
        <f t="shared" si="9"/>
        <v>27636</v>
      </c>
      <c r="U13" s="24">
        <f t="shared" si="9"/>
        <v>28127</v>
      </c>
      <c r="V13" s="24">
        <f t="shared" si="9"/>
        <v>28021</v>
      </c>
      <c r="W13" s="24">
        <f t="shared" si="9"/>
        <v>28737</v>
      </c>
      <c r="X13" s="24">
        <f t="shared" si="9"/>
        <v>28638</v>
      </c>
      <c r="Y13" s="24">
        <f t="shared" si="9"/>
        <v>28908</v>
      </c>
      <c r="Z13" s="24">
        <f t="shared" si="9"/>
        <v>29376</v>
      </c>
      <c r="AB13" s="109">
        <f>SUM(Z13/V13)-1</f>
        <v>4.8356589700581765E-2</v>
      </c>
    </row>
    <row r="14" spans="2:28" ht="12.75" customHeight="1">
      <c r="B14" s="14" t="s">
        <v>30</v>
      </c>
      <c r="C14" s="15">
        <f t="shared" ref="C14:E14" si="10">C13/C8</f>
        <v>0.58143428518277374</v>
      </c>
      <c r="D14" s="15">
        <f t="shared" si="10"/>
        <v>0.5952266468505486</v>
      </c>
      <c r="E14" s="15">
        <f t="shared" si="10"/>
        <v>0.61063300822336963</v>
      </c>
      <c r="F14" s="25"/>
      <c r="G14" s="15">
        <f>G13/G8</f>
        <v>0.60683060109289622</v>
      </c>
      <c r="H14" s="15">
        <f>H13/H8</f>
        <v>0.58970932175075175</v>
      </c>
      <c r="I14" s="15">
        <f>I13/I8</f>
        <v>0.61039069689617664</v>
      </c>
      <c r="J14" s="15">
        <f>J13/J8</f>
        <v>0.57286385842013088</v>
      </c>
      <c r="K14" s="15">
        <f t="shared" ref="K14:P14" si="11">K13/K8</f>
        <v>0.62522123893805315</v>
      </c>
      <c r="L14" s="15">
        <f t="shared" si="11"/>
        <v>0.61077408396020383</v>
      </c>
      <c r="M14" s="15">
        <f t="shared" si="11"/>
        <v>0.60654631348068166</v>
      </c>
      <c r="N14" s="15">
        <f t="shared" si="11"/>
        <v>0.60039847539847535</v>
      </c>
      <c r="O14" s="15">
        <f t="shared" si="11"/>
        <v>0.62593224907898282</v>
      </c>
      <c r="P14" s="15">
        <f t="shared" si="11"/>
        <v>0.62393298763462302</v>
      </c>
      <c r="Q14" s="15">
        <f t="shared" ref="Q14" si="12">Q13/Q8</f>
        <v>0.61485347250100364</v>
      </c>
      <c r="R14" s="26"/>
      <c r="S14" s="15">
        <f t="shared" ref="S14:Z14" si="13">S13/S8</f>
        <v>0.5952266468505486</v>
      </c>
      <c r="T14" s="15">
        <f t="shared" si="13"/>
        <v>0.59981768459434825</v>
      </c>
      <c r="U14" s="15">
        <f t="shared" si="13"/>
        <v>0.6053373506940708</v>
      </c>
      <c r="V14" s="15">
        <f t="shared" si="13"/>
        <v>0.60434370012509164</v>
      </c>
      <c r="W14" s="15">
        <f t="shared" si="13"/>
        <v>0.61063300822336963</v>
      </c>
      <c r="X14" s="15">
        <f t="shared" si="13"/>
        <v>0.61074856046065262</v>
      </c>
      <c r="Y14" s="15">
        <f t="shared" si="13"/>
        <v>0.61425353788619264</v>
      </c>
      <c r="Z14" s="15">
        <f t="shared" si="13"/>
        <v>0.61632713005895556</v>
      </c>
      <c r="AB14" s="110">
        <f>SUM(Z14-V14)*10000</f>
        <v>119.8342993386392</v>
      </c>
    </row>
    <row r="15" spans="2:28" ht="5.0999999999999996" customHeight="1">
      <c r="B15" s="27"/>
      <c r="C15" s="28"/>
      <c r="D15" s="28"/>
      <c r="E15" s="28"/>
      <c r="F15" s="28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5"/>
      <c r="S15" s="28"/>
      <c r="T15" s="28"/>
      <c r="U15" s="28"/>
      <c r="V15" s="28"/>
      <c r="W15" s="28"/>
      <c r="X15" s="28"/>
      <c r="Y15" s="28"/>
      <c r="Z15" s="28"/>
      <c r="AB15" s="107"/>
    </row>
    <row r="16" spans="2:28" ht="12.75" customHeight="1">
      <c r="B16" s="21" t="s">
        <v>159</v>
      </c>
      <c r="C16" s="127">
        <f>'Historical Financials'!C17</f>
        <v>-12880</v>
      </c>
      <c r="D16" s="127">
        <f>'Historical Financials'!D17</f>
        <v>-13972</v>
      </c>
      <c r="E16" s="127">
        <f>'Historical Financials'!E17</f>
        <v>-14582</v>
      </c>
      <c r="F16" s="80"/>
      <c r="G16" s="127">
        <f>'Historical Financials'!G17</f>
        <v>-3185</v>
      </c>
      <c r="H16" s="127">
        <f>'Historical Financials'!H17</f>
        <v>-3321</v>
      </c>
      <c r="I16" s="127">
        <f>'Historical Financials'!I17</f>
        <v>-3667</v>
      </c>
      <c r="J16" s="127">
        <f>'Historical Financials'!J17</f>
        <v>-3799</v>
      </c>
      <c r="K16" s="127">
        <f>'Historical Financials'!K17</f>
        <v>-3351</v>
      </c>
      <c r="L16" s="127">
        <f>'Historical Financials'!L17</f>
        <v>-3549</v>
      </c>
      <c r="M16" s="127">
        <f>'Historical Financials'!M17</f>
        <v>-3636</v>
      </c>
      <c r="N16" s="127">
        <f>'Historical Financials'!N17</f>
        <v>-4046</v>
      </c>
      <c r="O16" s="127">
        <f>'Historical Financials'!O17</f>
        <v>-3234</v>
      </c>
      <c r="P16" s="127">
        <f>'Historical Financials'!P17</f>
        <v>-3470</v>
      </c>
      <c r="Q16" s="127">
        <f>'Historical Financials'!Q17</f>
        <v>-3618</v>
      </c>
      <c r="R16" s="5"/>
      <c r="S16" s="126">
        <f>SUM(G16:J16)</f>
        <v>-13972</v>
      </c>
      <c r="T16" s="126">
        <f>SUM(H16:K16)</f>
        <v>-14138</v>
      </c>
      <c r="U16" s="126">
        <f>SUM(I16:L16)</f>
        <v>-14366</v>
      </c>
      <c r="V16" s="126">
        <f>SUM(J16:M16)</f>
        <v>-14335</v>
      </c>
      <c r="W16" s="126">
        <f>SUM(K16:N16)</f>
        <v>-14582</v>
      </c>
      <c r="X16" s="126">
        <f>SUM(L16:O16)</f>
        <v>-14465</v>
      </c>
      <c r="Y16" s="126">
        <f>SUM(M16:P16)</f>
        <v>-14386</v>
      </c>
      <c r="Z16" s="126">
        <f>SUM(N16:Q16)</f>
        <v>-14368</v>
      </c>
      <c r="AB16" s="108">
        <f>SUM(Z16/V16)-1</f>
        <v>2.302057900244181E-3</v>
      </c>
    </row>
    <row r="17" spans="2:28" ht="12.75" customHeight="1">
      <c r="B17" s="21" t="s">
        <v>160</v>
      </c>
      <c r="C17" s="127">
        <f>'Historical Financials'!C18</f>
        <v>-1215</v>
      </c>
      <c r="D17" s="127">
        <f>'Historical Financials'!D18</f>
        <v>-1951</v>
      </c>
      <c r="E17" s="127">
        <f>'Historical Financials'!E18</f>
        <v>-4163</v>
      </c>
      <c r="F17" s="80"/>
      <c r="G17" s="127">
        <f>'Historical Financials'!G18</f>
        <v>-111</v>
      </c>
      <c r="H17" s="127">
        <f>'Historical Financials'!H18</f>
        <v>-1338</v>
      </c>
      <c r="I17" s="127">
        <f>'Historical Financials'!I18</f>
        <v>-359</v>
      </c>
      <c r="J17" s="127">
        <f>'Historical Financials'!J18</f>
        <v>-143</v>
      </c>
      <c r="K17" s="127">
        <f>'Historical Financials'!K18</f>
        <v>-1573</v>
      </c>
      <c r="L17" s="127">
        <f>'Historical Financials'!L18</f>
        <v>-1370</v>
      </c>
      <c r="M17" s="127">
        <f>'Historical Financials'!M18</f>
        <v>-1044</v>
      </c>
      <c r="N17" s="127">
        <f>'Historical Financials'!N18</f>
        <v>-176</v>
      </c>
      <c r="O17" s="127">
        <f>'Historical Financials'!O18</f>
        <v>-73</v>
      </c>
      <c r="P17" s="127">
        <f>'Historical Financials'!P18</f>
        <v>-71</v>
      </c>
      <c r="Q17" s="127">
        <f>'Historical Financials'!Q18</f>
        <v>-58</v>
      </c>
      <c r="R17" s="5"/>
      <c r="S17" s="126">
        <f>SUM(G17:J17)</f>
        <v>-1951</v>
      </c>
      <c r="T17" s="126">
        <f>SUM(H17:K17)</f>
        <v>-3413</v>
      </c>
      <c r="U17" s="126">
        <f>SUM(I17:L17)</f>
        <v>-3445</v>
      </c>
      <c r="V17" s="126">
        <f>SUM(J17:M17)</f>
        <v>-4130</v>
      </c>
      <c r="W17" s="126">
        <f>SUM(K17:N17)</f>
        <v>-4163</v>
      </c>
      <c r="X17" s="126">
        <f>SUM(L17:O17)</f>
        <v>-2663</v>
      </c>
      <c r="Y17" s="126">
        <f>SUM(M17:P17)</f>
        <v>-1364</v>
      </c>
      <c r="Z17" s="126">
        <f>SUM(N17:Q17)</f>
        <v>-378</v>
      </c>
      <c r="AB17" s="108">
        <f t="shared" ref="AB17" si="14">SUM(Z17/V17)-1</f>
        <v>-0.90847457627118644</v>
      </c>
    </row>
    <row r="18" spans="2:28" ht="12.75" customHeight="1">
      <c r="B18" s="12" t="s">
        <v>31</v>
      </c>
      <c r="C18" s="13">
        <f>SUM(C13+SUM(C16:C17))</f>
        <v>10909</v>
      </c>
      <c r="D18" s="13">
        <f>SUM(D13+SUM(D16:D17))</f>
        <v>11311</v>
      </c>
      <c r="E18" s="13">
        <f>SUM(E13+SUM(E16:E17))</f>
        <v>9992</v>
      </c>
      <c r="F18" s="11"/>
      <c r="G18" s="13">
        <f>SUM(G13+SUM(G16:G17))</f>
        <v>3367</v>
      </c>
      <c r="H18" s="13">
        <f>SUM(H13+SUM(H16:H17))</f>
        <v>2401</v>
      </c>
      <c r="I18" s="13">
        <f>SUM(I13+SUM(I16:I17))</f>
        <v>3270</v>
      </c>
      <c r="J18" s="13">
        <f>SUM(J13+SUM(J16:J17))</f>
        <v>2273</v>
      </c>
      <c r="K18" s="13">
        <f>SUM(K13+SUM(K16:K17))</f>
        <v>2141</v>
      </c>
      <c r="L18" s="13">
        <f>SUM(L13+SUM(L16:L17))</f>
        <v>2632</v>
      </c>
      <c r="M18" s="13">
        <f>SUM(M13+SUM(M16:M17))</f>
        <v>2510</v>
      </c>
      <c r="N18" s="13">
        <f>SUM(N13+SUM(N16:N17))</f>
        <v>2709</v>
      </c>
      <c r="O18" s="13">
        <f>SUM(O13+SUM(O16:O17))</f>
        <v>3659</v>
      </c>
      <c r="P18" s="13">
        <f>SUM(P13+SUM(P16:P17))</f>
        <v>4280</v>
      </c>
      <c r="Q18" s="13">
        <f>SUM(Q13+SUM(Q16:Q17))</f>
        <v>3982</v>
      </c>
      <c r="R18" s="5"/>
      <c r="S18" s="13">
        <f>SUM(S13+SUM(S16:S17))</f>
        <v>11311</v>
      </c>
      <c r="T18" s="13">
        <f>SUM(T13+SUM(T16:T17))</f>
        <v>10085</v>
      </c>
      <c r="U18" s="13">
        <f>SUM(U13+SUM(U16:U17))</f>
        <v>10316</v>
      </c>
      <c r="V18" s="13">
        <f>SUM(V13+SUM(V16:V17))</f>
        <v>9556</v>
      </c>
      <c r="W18" s="13">
        <f>SUM(W13+SUM(W16:W17))</f>
        <v>9992</v>
      </c>
      <c r="X18" s="13">
        <f>SUM(X13+SUM(X16:X17))</f>
        <v>11510</v>
      </c>
      <c r="Y18" s="13">
        <f>SUM(Y13+SUM(Y16:Y17))</f>
        <v>13158</v>
      </c>
      <c r="Z18" s="13">
        <f>SUM(Z13+SUM(Z16:Z17))</f>
        <v>14630</v>
      </c>
      <c r="AB18" s="109">
        <f>SUM(Z18/V18)-1</f>
        <v>0.53097530347425703</v>
      </c>
    </row>
    <row r="19" spans="2:28" ht="12.75" customHeight="1">
      <c r="B19" s="14" t="s">
        <v>32</v>
      </c>
      <c r="C19" s="15">
        <f>C18/C8</f>
        <v>0.25367407683006232</v>
      </c>
      <c r="D19" s="15">
        <f>D18/D8</f>
        <v>0.24721335839489444</v>
      </c>
      <c r="E19" s="15">
        <f>E18/E8</f>
        <v>0.21232018019166612</v>
      </c>
      <c r="F19" s="25"/>
      <c r="G19" s="15">
        <f>G18/G8</f>
        <v>0.30664845173041894</v>
      </c>
      <c r="H19" s="15">
        <f>H18/H8</f>
        <v>0.20055128633478114</v>
      </c>
      <c r="I19" s="15">
        <f>I18/I8</f>
        <v>0.27357148832928974</v>
      </c>
      <c r="J19" s="15">
        <f>J18/J8</f>
        <v>0.20951239745598674</v>
      </c>
      <c r="K19" s="15">
        <f>K18/K8</f>
        <v>0.18946902654867256</v>
      </c>
      <c r="L19" s="15">
        <f>L18/L8</f>
        <v>0.21289331068510881</v>
      </c>
      <c r="M19" s="15">
        <f>M18/M8</f>
        <v>0.21174287160452168</v>
      </c>
      <c r="N19" s="15">
        <f>N18/N8</f>
        <v>0.23466735966735966</v>
      </c>
      <c r="O19" s="15">
        <f>O18/O8</f>
        <v>0.32878066313235693</v>
      </c>
      <c r="P19" s="15">
        <f>P18/P8</f>
        <v>0.34144395692062224</v>
      </c>
      <c r="Q19" s="15">
        <f>Q18/Q8</f>
        <v>0.31971095945403455</v>
      </c>
      <c r="R19" s="26"/>
      <c r="S19" s="15">
        <f>S18/S8</f>
        <v>0.24721335839489444</v>
      </c>
      <c r="T19" s="15">
        <f>T18/T8</f>
        <v>0.2188870078569258</v>
      </c>
      <c r="U19" s="15">
        <f>U18/U8</f>
        <v>0.22201657161304209</v>
      </c>
      <c r="V19" s="15">
        <f>V18/V8</f>
        <v>0.2060992968985895</v>
      </c>
      <c r="W19" s="15">
        <f>W18/W8</f>
        <v>0.21232018019166612</v>
      </c>
      <c r="X19" s="15">
        <f>X18/X8</f>
        <v>0.2454681168692685</v>
      </c>
      <c r="Y19" s="15">
        <f>Y18/Y8</f>
        <v>0.27958862776762566</v>
      </c>
      <c r="Z19" s="15">
        <f>Z18/Z8</f>
        <v>0.30694668820678511</v>
      </c>
      <c r="AB19" s="110">
        <f>SUM(Z19-V19)*10000</f>
        <v>1008.4739130819562</v>
      </c>
    </row>
    <row r="20" spans="2:28" ht="5.0999999999999996" customHeight="1">
      <c r="AB20" s="107"/>
    </row>
    <row r="21" spans="2:28" ht="12.75" customHeight="1">
      <c r="B21" s="29" t="s">
        <v>93</v>
      </c>
      <c r="C21" s="127">
        <f>-'Historical Financials'!C99</f>
        <v>-1260</v>
      </c>
      <c r="D21" s="127">
        <f>-'Historical Financials'!D99</f>
        <v>-1128</v>
      </c>
      <c r="E21" s="127">
        <f>-'Historical Financials'!E99</f>
        <v>-1075</v>
      </c>
      <c r="G21" s="127">
        <f>-'Historical Financials'!G99</f>
        <v>-286</v>
      </c>
      <c r="H21" s="127">
        <f>-'Historical Financials'!H99</f>
        <v>-281</v>
      </c>
      <c r="I21" s="127">
        <f>-'Historical Financials'!I99</f>
        <v>-290</v>
      </c>
      <c r="J21" s="127">
        <f>-'Historical Financials'!J99</f>
        <v>-271</v>
      </c>
      <c r="K21" s="127">
        <f>-'Historical Financials'!K99</f>
        <v>-262</v>
      </c>
      <c r="L21" s="127">
        <f>-'Historical Financials'!L99</f>
        <v>-269</v>
      </c>
      <c r="M21" s="127">
        <f>-'Historical Financials'!M99</f>
        <v>-268</v>
      </c>
      <c r="N21" s="127">
        <f>-'Historical Financials'!N99</f>
        <v>-276</v>
      </c>
      <c r="O21" s="127">
        <f>-'Historical Financials'!O99</f>
        <v>-267</v>
      </c>
      <c r="P21" s="127">
        <f>-'Historical Financials'!P99</f>
        <v>-279</v>
      </c>
      <c r="Q21" s="127">
        <f>-'Historical Financials'!Q99</f>
        <v>-268</v>
      </c>
      <c r="S21" s="126">
        <f>SUM(G21:J21)</f>
        <v>-1128</v>
      </c>
      <c r="T21" s="126">
        <f>SUM(H21:K21)</f>
        <v>-1104</v>
      </c>
      <c r="U21" s="126">
        <f>SUM(I21:L21)</f>
        <v>-1092</v>
      </c>
      <c r="V21" s="126">
        <f>SUM(J21:M21)</f>
        <v>-1070</v>
      </c>
      <c r="W21" s="126">
        <f>SUM(K21:N21)</f>
        <v>-1075</v>
      </c>
      <c r="X21" s="126">
        <f>SUM(L21:O21)</f>
        <v>-1080</v>
      </c>
      <c r="Y21" s="126">
        <f>SUM(M21:P21)</f>
        <v>-1090</v>
      </c>
      <c r="Z21" s="126">
        <f>SUM(N21:Q21)</f>
        <v>-1090</v>
      </c>
      <c r="AB21" s="108">
        <f>SUM(Z21/V21)-1</f>
        <v>1.8691588785046731E-2</v>
      </c>
    </row>
    <row r="22" spans="2:28" ht="12.75" customHeight="1">
      <c r="B22" s="23" t="s">
        <v>11</v>
      </c>
      <c r="C22" s="24">
        <f t="shared" ref="C22:E22" si="15">SUM(C18+SUM(C21:C21))</f>
        <v>9649</v>
      </c>
      <c r="D22" s="24">
        <f t="shared" si="15"/>
        <v>10183</v>
      </c>
      <c r="E22" s="24">
        <f t="shared" si="15"/>
        <v>8917</v>
      </c>
      <c r="G22" s="24">
        <f t="shared" ref="G22:P22" si="16">SUM(G18+SUM(G21:G21))</f>
        <v>3081</v>
      </c>
      <c r="H22" s="24">
        <f t="shared" si="16"/>
        <v>2120</v>
      </c>
      <c r="I22" s="24">
        <f t="shared" si="16"/>
        <v>2980</v>
      </c>
      <c r="J22" s="24">
        <f t="shared" si="16"/>
        <v>2002</v>
      </c>
      <c r="K22" s="24">
        <f t="shared" si="16"/>
        <v>1879</v>
      </c>
      <c r="L22" s="24">
        <f t="shared" si="16"/>
        <v>2363</v>
      </c>
      <c r="M22" s="24">
        <f t="shared" si="16"/>
        <v>2242</v>
      </c>
      <c r="N22" s="24">
        <f t="shared" si="16"/>
        <v>2433</v>
      </c>
      <c r="O22" s="24">
        <f t="shared" si="16"/>
        <v>3392</v>
      </c>
      <c r="P22" s="24">
        <f t="shared" si="16"/>
        <v>4001</v>
      </c>
      <c r="Q22" s="24">
        <f t="shared" ref="Q22" si="17">SUM(Q18+SUM(Q21:Q21))</f>
        <v>3714</v>
      </c>
      <c r="S22" s="24">
        <f t="shared" ref="S22:Z22" si="18">SUM(S18+SUM(S21:S21))</f>
        <v>10183</v>
      </c>
      <c r="T22" s="24">
        <f t="shared" si="18"/>
        <v>8981</v>
      </c>
      <c r="U22" s="24">
        <f t="shared" si="18"/>
        <v>9224</v>
      </c>
      <c r="V22" s="24">
        <f t="shared" si="18"/>
        <v>8486</v>
      </c>
      <c r="W22" s="24">
        <f t="shared" si="18"/>
        <v>8917</v>
      </c>
      <c r="X22" s="24">
        <f t="shared" si="18"/>
        <v>10430</v>
      </c>
      <c r="Y22" s="24">
        <f t="shared" si="18"/>
        <v>12068</v>
      </c>
      <c r="Z22" s="24">
        <f t="shared" si="18"/>
        <v>13540</v>
      </c>
      <c r="AB22" s="109">
        <f>SUM(Z22/V22)-1</f>
        <v>0.595569172755126</v>
      </c>
    </row>
    <row r="23" spans="2:28" ht="12.75" customHeight="1">
      <c r="B23" s="14" t="s">
        <v>33</v>
      </c>
      <c r="C23" s="15">
        <f>C22/C8</f>
        <v>0.22437447679285649</v>
      </c>
      <c r="D23" s="15">
        <f>D22/D8</f>
        <v>0.2225597761944311</v>
      </c>
      <c r="E23" s="15">
        <f>E22/E8</f>
        <v>0.18947748666624167</v>
      </c>
      <c r="G23" s="15">
        <f>G22/G8</f>
        <v>0.28060109289617485</v>
      </c>
      <c r="H23" s="15">
        <f>H22/H8</f>
        <v>0.17707985299031073</v>
      </c>
      <c r="I23" s="15">
        <f>I22/I8</f>
        <v>0.24930979670375639</v>
      </c>
      <c r="J23" s="15">
        <f>J22/J8</f>
        <v>0.18453313669462623</v>
      </c>
      <c r="K23" s="15">
        <f>K22/K8</f>
        <v>0.16628318584070798</v>
      </c>
      <c r="L23" s="15">
        <f>L22/L8</f>
        <v>0.19113483782253499</v>
      </c>
      <c r="M23" s="15">
        <f>M22/M8</f>
        <v>0.18913446937742534</v>
      </c>
      <c r="N23" s="15">
        <f>N22/N8</f>
        <v>0.21075883575883575</v>
      </c>
      <c r="O23" s="15">
        <f>O22/O8</f>
        <v>0.30478928924431664</v>
      </c>
      <c r="P23" s="15">
        <f>P22/P8</f>
        <v>0.3191862784204228</v>
      </c>
      <c r="Q23" s="15">
        <f>Q22/Q8</f>
        <v>0.29819349658771577</v>
      </c>
      <c r="S23" s="15">
        <f>S22/S8</f>
        <v>0.2225597761944311</v>
      </c>
      <c r="T23" s="15">
        <f>T22/T8</f>
        <v>0.1949255545426922</v>
      </c>
      <c r="U23" s="15">
        <f>U22/U8</f>
        <v>0.19851501129882707</v>
      </c>
      <c r="V23" s="15">
        <f>V22/V8</f>
        <v>0.18302204201354441</v>
      </c>
      <c r="W23" s="15">
        <f>W22/W8</f>
        <v>0.18947748666624167</v>
      </c>
      <c r="X23" s="15">
        <f>X22/X8</f>
        <v>0.22243548731072724</v>
      </c>
      <c r="Y23" s="15">
        <f>Y22/Y8</f>
        <v>0.25642769113084868</v>
      </c>
      <c r="Z23" s="15">
        <f>Z22/Z8</f>
        <v>0.28407779619411283</v>
      </c>
      <c r="AB23" s="110">
        <f>SUM(Z23-V23)*10000</f>
        <v>1010.5575418056842</v>
      </c>
    </row>
    <row r="24" spans="2:28" ht="5.0999999999999996" customHeight="1">
      <c r="AB24" s="107"/>
    </row>
    <row r="25" spans="2:28" ht="12.75" customHeight="1">
      <c r="B25" s="29" t="s">
        <v>94</v>
      </c>
      <c r="C25" s="127">
        <f>'Historical Financials'!C100</f>
        <v>356</v>
      </c>
      <c r="D25" s="127">
        <f>'Historical Financials'!D100</f>
        <v>254</v>
      </c>
      <c r="E25" s="127">
        <f>'Historical Financials'!E100</f>
        <v>286</v>
      </c>
      <c r="G25" s="127">
        <f>'Historical Financials'!G100</f>
        <v>58</v>
      </c>
      <c r="H25" s="127">
        <f>'Historical Financials'!H100</f>
        <v>62</v>
      </c>
      <c r="I25" s="127">
        <f>'Historical Financials'!I100</f>
        <v>57</v>
      </c>
      <c r="J25" s="127">
        <f>'Historical Financials'!J100</f>
        <v>77</v>
      </c>
      <c r="K25" s="127">
        <f>'Historical Financials'!K100</f>
        <v>68</v>
      </c>
      <c r="L25" s="127">
        <f>'Historical Financials'!L100</f>
        <v>72</v>
      </c>
      <c r="M25" s="127">
        <f>'Historical Financials'!M100</f>
        <v>67</v>
      </c>
      <c r="N25" s="127">
        <f>'Historical Financials'!N100</f>
        <v>79</v>
      </c>
      <c r="O25" s="127">
        <f>'Historical Financials'!O100</f>
        <v>63</v>
      </c>
      <c r="P25" s="127">
        <f>'Historical Financials'!P100</f>
        <v>67</v>
      </c>
      <c r="Q25" s="127">
        <f>'Historical Financials'!Q100</f>
        <v>74</v>
      </c>
      <c r="S25" s="126">
        <f>SUM(G25:J25)</f>
        <v>254</v>
      </c>
      <c r="T25" s="126">
        <f>SUM(H25:K25)</f>
        <v>264</v>
      </c>
      <c r="U25" s="126">
        <f>SUM(I25:L25)</f>
        <v>274</v>
      </c>
      <c r="V25" s="126">
        <f>SUM(J25:M25)</f>
        <v>284</v>
      </c>
      <c r="W25" s="126">
        <f>SUM(K25:N25)</f>
        <v>286</v>
      </c>
      <c r="X25" s="126">
        <f>SUM(L25:O25)</f>
        <v>281</v>
      </c>
      <c r="Y25" s="126">
        <f>SUM(M25:P25)</f>
        <v>276</v>
      </c>
      <c r="Z25" s="126">
        <f>SUM(N25:Q25)</f>
        <v>283</v>
      </c>
      <c r="AB25" s="108">
        <f>SUM(Z25/V25)-1</f>
        <v>-3.5211267605633756E-3</v>
      </c>
    </row>
    <row r="26" spans="2:28" ht="12.75" customHeight="1">
      <c r="B26" s="12" t="s">
        <v>34</v>
      </c>
      <c r="C26" s="13">
        <f>+SUM(C22+SUM(C25:C25))</f>
        <v>10005</v>
      </c>
      <c r="D26" s="13">
        <f>+SUM(D22+SUM(D25:D25))</f>
        <v>10437</v>
      </c>
      <c r="E26" s="13">
        <f>+SUM(E22+SUM(E25:E25))</f>
        <v>9203</v>
      </c>
      <c r="F26" s="11"/>
      <c r="G26" s="13">
        <f>+SUM(G22+SUM(G25:G25))</f>
        <v>3139</v>
      </c>
      <c r="H26" s="13">
        <f>+SUM(H22+SUM(H25:H25))</f>
        <v>2182</v>
      </c>
      <c r="I26" s="13">
        <f>+SUM(I22+SUM(I25:I25))</f>
        <v>3037</v>
      </c>
      <c r="J26" s="13">
        <f>+SUM(J22+SUM(J25:J25))</f>
        <v>2079</v>
      </c>
      <c r="K26" s="13">
        <f>+SUM(K22+SUM(K25:K25))</f>
        <v>1947</v>
      </c>
      <c r="L26" s="13">
        <f>+SUM(L22+SUM(L25:L25))</f>
        <v>2435</v>
      </c>
      <c r="M26" s="13">
        <f>+SUM(M22+SUM(M25:M25))</f>
        <v>2309</v>
      </c>
      <c r="N26" s="13">
        <f>+SUM(N22+SUM(N25:N25))</f>
        <v>2512</v>
      </c>
      <c r="O26" s="13">
        <f>+SUM(O22+SUM(O25:O25))</f>
        <v>3455</v>
      </c>
      <c r="P26" s="13">
        <f>+SUM(P22+SUM(P25:P25))</f>
        <v>4068</v>
      </c>
      <c r="Q26" s="13">
        <f>+SUM(Q22+SUM(Q25:Q25))</f>
        <v>3788</v>
      </c>
      <c r="S26" s="13">
        <f>+SUM(S22+SUM(S25:S25))</f>
        <v>10437</v>
      </c>
      <c r="T26" s="13">
        <f>+SUM(T22+SUM(T25:T25))</f>
        <v>9245</v>
      </c>
      <c r="U26" s="13">
        <f>+SUM(U22+SUM(U25:U25))</f>
        <v>9498</v>
      </c>
      <c r="V26" s="13">
        <f>+SUM(V22+SUM(V25:V25))</f>
        <v>8770</v>
      </c>
      <c r="W26" s="13">
        <f>+SUM(W22+SUM(W25:W25))</f>
        <v>9203</v>
      </c>
      <c r="X26" s="13">
        <f>+SUM(X22+SUM(X25:X25))</f>
        <v>10711</v>
      </c>
      <c r="Y26" s="13">
        <f>+SUM(Y22+SUM(Y25:Y25))</f>
        <v>12344</v>
      </c>
      <c r="Z26" s="13">
        <f>+SUM(Z22+SUM(Z25:Z25))</f>
        <v>13823</v>
      </c>
      <c r="AB26" s="109">
        <f>SUM(Z26/V26)-1</f>
        <v>0.5761687571265679</v>
      </c>
    </row>
    <row r="27" spans="2:28" ht="12.75" customHeight="1">
      <c r="B27" s="14" t="s">
        <v>35</v>
      </c>
      <c r="C27" s="15">
        <f>C26/C8</f>
        <v>0.23265277648590829</v>
      </c>
      <c r="D27" s="15">
        <f>D26/D8</f>
        <v>0.22811120339205315</v>
      </c>
      <c r="E27" s="15">
        <f>E26/E8</f>
        <v>0.19555470559486623</v>
      </c>
      <c r="G27" s="15">
        <f>G26/G8</f>
        <v>0.28588342440801456</v>
      </c>
      <c r="H27" s="15">
        <f>H26/H8</f>
        <v>0.18225860340795189</v>
      </c>
      <c r="I27" s="15">
        <f>I26/I8</f>
        <v>0.25407847402325778</v>
      </c>
      <c r="J27" s="15">
        <f>J26/J8</f>
        <v>0.19163056502903494</v>
      </c>
      <c r="K27" s="15">
        <f>K26/K8</f>
        <v>0.17230088495575221</v>
      </c>
      <c r="L27" s="15">
        <f>L26/L8</f>
        <v>0.19695866699021272</v>
      </c>
      <c r="M27" s="15">
        <f>M26/M8</f>
        <v>0.19478656993419943</v>
      </c>
      <c r="N27" s="15">
        <f>N26/N8</f>
        <v>0.2176022176022176</v>
      </c>
      <c r="O27" s="15">
        <f>O26/O8</f>
        <v>0.31045017521789919</v>
      </c>
      <c r="P27" s="15">
        <f>P26/P8</f>
        <v>0.32453131232548865</v>
      </c>
      <c r="Q27" s="15">
        <f>Q26/Q8</f>
        <v>0.30413488558811724</v>
      </c>
      <c r="S27" s="15">
        <f>S26/S8</f>
        <v>0.22811120339205315</v>
      </c>
      <c r="T27" s="15">
        <f>T26/T8</f>
        <v>0.20065546729174805</v>
      </c>
      <c r="U27" s="15">
        <f>U26/U8</f>
        <v>0.20441192295276014</v>
      </c>
      <c r="V27" s="15">
        <f>V26/V8</f>
        <v>0.18914721994564984</v>
      </c>
      <c r="W27" s="15">
        <f>W26/W8</f>
        <v>0.19555470559486623</v>
      </c>
      <c r="X27" s="15">
        <f>X26/X8</f>
        <v>0.22842823629771805</v>
      </c>
      <c r="Y27" s="15">
        <f>Y26/Y8</f>
        <v>0.26229229527006925</v>
      </c>
      <c r="Z27" s="15">
        <f>Z26/Z8</f>
        <v>0.29001531586345802</v>
      </c>
      <c r="AB27" s="110">
        <f>SUM(Z27-V27)*10000</f>
        <v>1008.6809591780818</v>
      </c>
    </row>
    <row r="28" spans="2:28" ht="5.0999999999999996" customHeight="1">
      <c r="AB28" s="107"/>
    </row>
    <row r="29" spans="2:28" ht="12.75" customHeight="1">
      <c r="B29" s="21" t="s">
        <v>36</v>
      </c>
      <c r="C29" s="127">
        <f>'Historical Financials'!C111</f>
        <v>-1484</v>
      </c>
      <c r="D29" s="127">
        <f>'Historical Financials'!D111</f>
        <v>-1852</v>
      </c>
      <c r="E29" s="127">
        <f>'Historical Financials'!E111</f>
        <v>-2064</v>
      </c>
      <c r="G29" s="127">
        <f>'Historical Financials'!G111</f>
        <v>-276</v>
      </c>
      <c r="H29" s="127">
        <f>'Historical Financials'!H111</f>
        <v>-339</v>
      </c>
      <c r="I29" s="127">
        <f>'Historical Financials'!I111</f>
        <v>-386</v>
      </c>
      <c r="J29" s="127">
        <f>'Historical Financials'!J111</f>
        <v>-851</v>
      </c>
      <c r="K29" s="127">
        <f>'Historical Financials'!K111</f>
        <v>-370</v>
      </c>
      <c r="L29" s="127">
        <f>'Historical Financials'!L111</f>
        <v>-422</v>
      </c>
      <c r="M29" s="127">
        <f>'Historical Financials'!M111</f>
        <v>-469</v>
      </c>
      <c r="N29" s="127">
        <f>'Historical Financials'!N111</f>
        <v>-803</v>
      </c>
      <c r="O29" s="127">
        <f>'Historical Financials'!O111</f>
        <v>-309</v>
      </c>
      <c r="P29" s="127">
        <f>'Historical Financials'!P111</f>
        <v>-442</v>
      </c>
      <c r="Q29" s="127">
        <f>'Historical Financials'!Q111</f>
        <v>-479</v>
      </c>
      <c r="S29" s="126">
        <f>SUM(G29:J29)</f>
        <v>-1852</v>
      </c>
      <c r="T29" s="126">
        <f>SUM(H29:K29)</f>
        <v>-1946</v>
      </c>
      <c r="U29" s="126">
        <f>SUM(I29:L29)</f>
        <v>-2029</v>
      </c>
      <c r="V29" s="126">
        <f>SUM(J29:M29)</f>
        <v>-2112</v>
      </c>
      <c r="W29" s="126">
        <f>SUM(K29:N29)</f>
        <v>-2064</v>
      </c>
      <c r="X29" s="126">
        <f>SUM(L29:O29)</f>
        <v>-2003</v>
      </c>
      <c r="Y29" s="126">
        <f>SUM(M29:P29)</f>
        <v>-2023</v>
      </c>
      <c r="Z29" s="126">
        <f>SUM(N29:Q29)</f>
        <v>-2033</v>
      </c>
      <c r="AB29" s="108">
        <f t="shared" ref="AB29:AB34" si="19">SUM(Z29/V29)-1</f>
        <v>-3.7405303030302983E-2</v>
      </c>
    </row>
    <row r="30" spans="2:28" ht="12.75" customHeight="1">
      <c r="B30" s="21" t="s">
        <v>37</v>
      </c>
      <c r="C30" s="127">
        <f>'Historical Financials'!C29</f>
        <v>-2115</v>
      </c>
      <c r="D30" s="127">
        <f>'Historical Financials'!D29</f>
        <v>-2249</v>
      </c>
      <c r="E30" s="127">
        <f>'Historical Financials'!E29</f>
        <v>-2437</v>
      </c>
      <c r="G30" s="127">
        <f>'Historical Financials'!G29</f>
        <v>-940</v>
      </c>
      <c r="H30" s="127">
        <f>'Historical Financials'!H29</f>
        <v>-359</v>
      </c>
      <c r="I30" s="127">
        <f>'Historical Financials'!I29</f>
        <v>-454</v>
      </c>
      <c r="J30" s="127">
        <f>'Historical Financials'!J29</f>
        <v>-496</v>
      </c>
      <c r="K30" s="127">
        <f>'Historical Financials'!K29</f>
        <v>-687</v>
      </c>
      <c r="L30" s="127">
        <f>'Historical Financials'!L29</f>
        <v>-627</v>
      </c>
      <c r="M30" s="127">
        <f>'Historical Financials'!M29</f>
        <v>-530</v>
      </c>
      <c r="N30" s="127">
        <f>'Historical Financials'!N29</f>
        <v>-593</v>
      </c>
      <c r="O30" s="127">
        <f>'Historical Financials'!O29</f>
        <v>-722</v>
      </c>
      <c r="P30" s="127">
        <f>'Historical Financials'!P29</f>
        <v>-993</v>
      </c>
      <c r="Q30" s="127">
        <f>'Historical Financials'!Q29</f>
        <v>-500</v>
      </c>
      <c r="S30" s="126">
        <f>SUM(G30:J30)</f>
        <v>-2249</v>
      </c>
      <c r="T30" s="126">
        <f>SUM(H30:K30)</f>
        <v>-1996</v>
      </c>
      <c r="U30" s="126">
        <f>SUM(I30:L30)</f>
        <v>-2264</v>
      </c>
      <c r="V30" s="126">
        <f>SUM(J30:M30)</f>
        <v>-2340</v>
      </c>
      <c r="W30" s="126">
        <f>SUM(K30:N30)</f>
        <v>-2437</v>
      </c>
      <c r="X30" s="126">
        <f>SUM(L30:O30)</f>
        <v>-2472</v>
      </c>
      <c r="Y30" s="126">
        <f>SUM(M30:P30)</f>
        <v>-2838</v>
      </c>
      <c r="Z30" s="126">
        <f>SUM(N30:Q30)</f>
        <v>-2808</v>
      </c>
      <c r="AB30" s="108">
        <f t="shared" si="19"/>
        <v>0.19999999999999996</v>
      </c>
    </row>
    <row r="31" spans="2:28" ht="12.75" customHeight="1">
      <c r="B31" s="21" t="s">
        <v>73</v>
      </c>
      <c r="C31" s="127">
        <f>'Historical Financials'!C23</f>
        <v>-882</v>
      </c>
      <c r="D31" s="127">
        <f>'Historical Financials'!D23</f>
        <v>-1527</v>
      </c>
      <c r="E31" s="127">
        <f>'Historical Financials'!E23</f>
        <v>-1656</v>
      </c>
      <c r="G31" s="127">
        <f>'Historical Financials'!G23</f>
        <v>-372</v>
      </c>
      <c r="H31" s="127">
        <f>'Historical Financials'!H23</f>
        <v>-374</v>
      </c>
      <c r="I31" s="127">
        <f>'Historical Financials'!I23</f>
        <v>-368</v>
      </c>
      <c r="J31" s="127">
        <f>'Historical Financials'!J23</f>
        <v>-413</v>
      </c>
      <c r="K31" s="127">
        <f>'Historical Financials'!K23</f>
        <v>-382</v>
      </c>
      <c r="L31" s="127">
        <f>'Historical Financials'!L23</f>
        <v>-418</v>
      </c>
      <c r="M31" s="127">
        <f>'Historical Financials'!M23</f>
        <v>-425</v>
      </c>
      <c r="N31" s="127">
        <f>'Historical Financials'!N23</f>
        <v>-431</v>
      </c>
      <c r="O31" s="127">
        <f>'Historical Financials'!O23</f>
        <v>-387</v>
      </c>
      <c r="P31" s="127">
        <f>'Historical Financials'!P23</f>
        <v>-445</v>
      </c>
      <c r="Q31" s="127">
        <f>'Historical Financials'!Q23</f>
        <v>-391</v>
      </c>
      <c r="S31" s="126">
        <f>SUM(G31:J31)</f>
        <v>-1527</v>
      </c>
      <c r="T31" s="126">
        <f>SUM(H31:K31)</f>
        <v>-1537</v>
      </c>
      <c r="U31" s="126">
        <f>SUM(I31:L31)</f>
        <v>-1581</v>
      </c>
      <c r="V31" s="126">
        <f>SUM(J31:M31)</f>
        <v>-1638</v>
      </c>
      <c r="W31" s="126">
        <f>SUM(K31:N31)</f>
        <v>-1656</v>
      </c>
      <c r="X31" s="126">
        <f>SUM(L31:O31)</f>
        <v>-1661</v>
      </c>
      <c r="Y31" s="126">
        <f>SUM(M31:P31)</f>
        <v>-1688</v>
      </c>
      <c r="Z31" s="126">
        <f>SUM(N31:Q31)</f>
        <v>-1654</v>
      </c>
      <c r="AB31" s="108">
        <f t="shared" si="19"/>
        <v>9.7680097680097333E-3</v>
      </c>
    </row>
    <row r="32" spans="2:28" ht="12.75" customHeight="1">
      <c r="B32" s="21" t="s">
        <v>166</v>
      </c>
      <c r="C32" s="127">
        <f>'Historical Financials'!C122</f>
        <v>-7616</v>
      </c>
      <c r="D32" s="127">
        <f>'Historical Financials'!D122</f>
        <v>-7952</v>
      </c>
      <c r="E32" s="127">
        <f>'Historical Financials'!E122</f>
        <v>-8359</v>
      </c>
      <c r="G32" s="127">
        <f>'Historical Financials'!G122</f>
        <v>-101</v>
      </c>
      <c r="H32" s="127">
        <f>'Historical Financials'!H122</f>
        <v>-1988</v>
      </c>
      <c r="I32" s="127">
        <f>'Historical Financials'!I122</f>
        <v>-1989</v>
      </c>
      <c r="J32" s="127">
        <f>'Historical Financials'!J122</f>
        <v>-3874</v>
      </c>
      <c r="K32" s="127">
        <f>'Historical Financials'!K122</f>
        <v>-99</v>
      </c>
      <c r="L32" s="127">
        <f>'Historical Financials'!L122</f>
        <v>-2085</v>
      </c>
      <c r="M32" s="127">
        <f>'Historical Financials'!M122</f>
        <v>-2090</v>
      </c>
      <c r="N32" s="127">
        <f>'Historical Financials'!N122</f>
        <v>-4085</v>
      </c>
      <c r="O32" s="127">
        <f>'Historical Financials'!O122</f>
        <v>-89</v>
      </c>
      <c r="P32" s="127">
        <f>'Historical Financials'!P122</f>
        <v>-2194</v>
      </c>
      <c r="Q32" s="127">
        <f>'Historical Financials'!Q122</f>
        <v>-2108</v>
      </c>
      <c r="S32" s="126">
        <f>SUM(G32:J32)</f>
        <v>-7952</v>
      </c>
      <c r="T32" s="126">
        <f>SUM(H32:K32)</f>
        <v>-7950</v>
      </c>
      <c r="U32" s="126">
        <f>SUM(I32:L32)</f>
        <v>-8047</v>
      </c>
      <c r="V32" s="126">
        <f>SUM(J32:M32)</f>
        <v>-8148</v>
      </c>
      <c r="W32" s="126">
        <f>SUM(K32:N32)</f>
        <v>-8359</v>
      </c>
      <c r="X32" s="126">
        <f>SUM(L32:O32)</f>
        <v>-8349</v>
      </c>
      <c r="Y32" s="126">
        <f>SUM(M32:P32)</f>
        <v>-8458</v>
      </c>
      <c r="Z32" s="126">
        <f>SUM(N32:Q32)</f>
        <v>-8476</v>
      </c>
      <c r="AB32" s="108">
        <f t="shared" si="19"/>
        <v>4.025527736867951E-2</v>
      </c>
    </row>
    <row r="33" spans="1:28" ht="12.75" customHeight="1">
      <c r="B33" s="21" t="s">
        <v>38</v>
      </c>
      <c r="C33" s="127">
        <f>'Historical Financials'!C107</f>
        <v>-605</v>
      </c>
      <c r="D33" s="127">
        <f>'Historical Financials'!D107</f>
        <v>-846</v>
      </c>
      <c r="E33" s="127">
        <f>'Historical Financials'!E107</f>
        <v>-6234</v>
      </c>
      <c r="G33" s="127">
        <f>'Historical Financials'!G107</f>
        <v>-2877</v>
      </c>
      <c r="H33" s="127">
        <f>'Historical Financials'!H107</f>
        <v>1121</v>
      </c>
      <c r="I33" s="127">
        <f>'Historical Financials'!I107</f>
        <v>887</v>
      </c>
      <c r="J33" s="127">
        <f>'Historical Financials'!J107</f>
        <v>23</v>
      </c>
      <c r="K33" s="127">
        <f>'Historical Financials'!K107</f>
        <v>-2845</v>
      </c>
      <c r="L33" s="127">
        <f>'Historical Financials'!L107</f>
        <v>-139</v>
      </c>
      <c r="M33" s="127">
        <f>'Historical Financials'!M107</f>
        <v>-4859</v>
      </c>
      <c r="N33" s="127">
        <f>'Historical Financials'!N107</f>
        <v>1609</v>
      </c>
      <c r="O33" s="127">
        <f>'Historical Financials'!O107</f>
        <v>-8521</v>
      </c>
      <c r="P33" s="127">
        <f>'Historical Financials'!P107</f>
        <v>-710</v>
      </c>
      <c r="Q33" s="127">
        <f>'Historical Financials'!Q107</f>
        <v>1191</v>
      </c>
      <c r="S33" s="126">
        <f>SUM(G33:J33)</f>
        <v>-846</v>
      </c>
      <c r="T33" s="126">
        <f>SUM(H33:K33)</f>
        <v>-814</v>
      </c>
      <c r="U33" s="126">
        <f>SUM(I33:L33)</f>
        <v>-2074</v>
      </c>
      <c r="V33" s="126">
        <f>SUM(J33:M33)</f>
        <v>-7820</v>
      </c>
      <c r="W33" s="126">
        <f>SUM(K33:N33)</f>
        <v>-6234</v>
      </c>
      <c r="X33" s="126">
        <f>SUM(L33:O33)</f>
        <v>-11910</v>
      </c>
      <c r="Y33" s="126">
        <f>SUM(M33:P33)</f>
        <v>-12481</v>
      </c>
      <c r="Z33" s="126">
        <f>SUM(N33:Q33)</f>
        <v>-6431</v>
      </c>
      <c r="AB33" s="108">
        <f t="shared" si="19"/>
        <v>-0.17762148337595907</v>
      </c>
    </row>
    <row r="34" spans="1:28" ht="12.75" customHeight="1">
      <c r="B34" s="12" t="s">
        <v>39</v>
      </c>
      <c r="C34" s="13">
        <f>SUM(C26+SUM(C29:C33))</f>
        <v>-2697</v>
      </c>
      <c r="D34" s="13">
        <f>SUM(D26+SUM(D29:D33))</f>
        <v>-3989</v>
      </c>
      <c r="E34" s="13">
        <f>SUM(E26+SUM(E29:E33))</f>
        <v>-11547</v>
      </c>
      <c r="G34" s="13">
        <f>SUM(G26+SUM(G29:G33))</f>
        <v>-1427</v>
      </c>
      <c r="H34" s="13">
        <f>SUM(H26+SUM(H29:H33))</f>
        <v>243</v>
      </c>
      <c r="I34" s="13">
        <f>SUM(I26+SUM(I29:I33))</f>
        <v>727</v>
      </c>
      <c r="J34" s="13">
        <f>SUM(J26+SUM(J29:J33))</f>
        <v>-3532</v>
      </c>
      <c r="K34" s="13">
        <f t="shared" ref="K34:P34" si="20">SUM(K26+SUM(K29:K33))</f>
        <v>-2436</v>
      </c>
      <c r="L34" s="13">
        <f t="shared" si="20"/>
        <v>-1256</v>
      </c>
      <c r="M34" s="13">
        <f t="shared" si="20"/>
        <v>-6064</v>
      </c>
      <c r="N34" s="13">
        <f t="shared" si="20"/>
        <v>-1791</v>
      </c>
      <c r="O34" s="13">
        <f t="shared" si="20"/>
        <v>-6573</v>
      </c>
      <c r="P34" s="13">
        <f t="shared" si="20"/>
        <v>-716</v>
      </c>
      <c r="Q34" s="13">
        <f t="shared" ref="Q34" si="21">SUM(Q26+SUM(Q29:Q33))</f>
        <v>1501</v>
      </c>
      <c r="S34" s="13">
        <f t="shared" ref="S34:X34" si="22">SUM(S26+SUM(S29:S33))</f>
        <v>-3989</v>
      </c>
      <c r="T34" s="13">
        <f t="shared" si="22"/>
        <v>-4998</v>
      </c>
      <c r="U34" s="13">
        <f t="shared" si="22"/>
        <v>-6497</v>
      </c>
      <c r="V34" s="13">
        <f t="shared" si="22"/>
        <v>-13288</v>
      </c>
      <c r="W34" s="13">
        <f t="shared" si="22"/>
        <v>-11547</v>
      </c>
      <c r="X34" s="13">
        <f t="shared" si="22"/>
        <v>-15684</v>
      </c>
      <c r="Y34" s="13">
        <f>SUM(Y26+SUM(Y29:Y33))</f>
        <v>-15144</v>
      </c>
      <c r="Z34" s="13">
        <f>SUM(Z26+SUM(Z29:Z33))</f>
        <v>-7579</v>
      </c>
      <c r="AB34" s="109">
        <f t="shared" si="19"/>
        <v>-0.42963576158940397</v>
      </c>
    </row>
    <row r="35" spans="1:28" ht="5.0999999999999996" customHeight="1"/>
    <row r="36" spans="1:28" ht="12.75" customHeight="1">
      <c r="B36" s="29" t="s">
        <v>167</v>
      </c>
      <c r="C36" s="127">
        <f>'Historical Financials'!C112</f>
        <v>1020</v>
      </c>
      <c r="D36" s="127">
        <f>'Historical Financials'!D112</f>
        <v>-2344</v>
      </c>
      <c r="E36" s="127">
        <f>'Historical Financials'!E112</f>
        <v>949</v>
      </c>
      <c r="F36" s="30"/>
      <c r="G36" s="127">
        <f>'Historical Financials'!G112</f>
        <v>76</v>
      </c>
      <c r="H36" s="127">
        <f>'Historical Financials'!H112</f>
        <v>-571</v>
      </c>
      <c r="I36" s="127">
        <f>'Historical Financials'!I112</f>
        <v>-1201</v>
      </c>
      <c r="J36" s="127">
        <f>'Historical Financials'!J112</f>
        <v>-648</v>
      </c>
      <c r="K36" s="127">
        <f>'Historical Financials'!K112</f>
        <v>-2108</v>
      </c>
      <c r="L36" s="127">
        <f>'Historical Financials'!L112</f>
        <v>943</v>
      </c>
      <c r="M36" s="127">
        <f>'Historical Financials'!M112</f>
        <v>1892</v>
      </c>
      <c r="N36" s="127">
        <f>'Historical Financials'!N112</f>
        <v>222</v>
      </c>
      <c r="O36" s="127">
        <f>'Historical Financials'!O112</f>
        <v>-1502</v>
      </c>
      <c r="P36" s="127">
        <f>'Historical Financials'!P112</f>
        <v>838</v>
      </c>
      <c r="Q36" s="127">
        <f>'Historical Financials'!Q112</f>
        <v>1672</v>
      </c>
      <c r="S36" s="126">
        <f>SUM(G36:J36)</f>
        <v>-2344</v>
      </c>
      <c r="T36" s="126">
        <f>SUM(H36:K36)</f>
        <v>-4528</v>
      </c>
      <c r="U36" s="126">
        <f>SUM(I36:L36)</f>
        <v>-3014</v>
      </c>
      <c r="V36" s="126">
        <f>SUM(J36:M36)</f>
        <v>79</v>
      </c>
      <c r="W36" s="126">
        <f>SUM(K36:N36)</f>
        <v>949</v>
      </c>
      <c r="X36" s="126">
        <f>SUM(L36:O36)</f>
        <v>1555</v>
      </c>
      <c r="Y36" s="126">
        <f>SUM(M36:P36)</f>
        <v>1450</v>
      </c>
      <c r="Z36" s="126">
        <f>SUM(N36:Q36)</f>
        <v>1230</v>
      </c>
    </row>
    <row r="37" spans="1:28" ht="12.75" customHeight="1">
      <c r="B37" s="29" t="s">
        <v>168</v>
      </c>
      <c r="C37" s="127">
        <f>'Historical Financials'!C113</f>
        <v>385</v>
      </c>
      <c r="D37" s="127">
        <f>'Historical Financials'!D113</f>
        <v>368</v>
      </c>
      <c r="E37" s="127">
        <f>'Historical Financials'!E113</f>
        <v>3170</v>
      </c>
      <c r="F37" s="30"/>
      <c r="G37" s="127">
        <f>'Historical Financials'!G113</f>
        <v>299</v>
      </c>
      <c r="H37" s="127">
        <f>'Historical Financials'!H113</f>
        <v>-22</v>
      </c>
      <c r="I37" s="127">
        <f>'Historical Financials'!I113</f>
        <v>5</v>
      </c>
      <c r="J37" s="127">
        <f>'Historical Financials'!J113</f>
        <v>86</v>
      </c>
      <c r="K37" s="127">
        <f>'Historical Financials'!K113</f>
        <v>2885</v>
      </c>
      <c r="L37" s="127">
        <f>'Historical Financials'!L113</f>
        <v>-3</v>
      </c>
      <c r="M37" s="127">
        <f>'Historical Financials'!M113</f>
        <v>433</v>
      </c>
      <c r="N37" s="127">
        <f>'Historical Financials'!N113</f>
        <v>-145</v>
      </c>
      <c r="O37" s="127">
        <f>'Historical Financials'!O113</f>
        <v>706</v>
      </c>
      <c r="P37" s="127">
        <f>'Historical Financials'!P113</f>
        <v>88</v>
      </c>
      <c r="Q37" s="127">
        <f>'Historical Financials'!Q113</f>
        <v>-130</v>
      </c>
      <c r="S37" s="126">
        <f>SUM(G37:J37)</f>
        <v>368</v>
      </c>
      <c r="T37" s="126">
        <f>SUM(H37:K37)</f>
        <v>2954</v>
      </c>
      <c r="U37" s="126">
        <f>SUM(I37:L37)</f>
        <v>2973</v>
      </c>
      <c r="V37" s="126">
        <f>SUM(J37:M37)</f>
        <v>3401</v>
      </c>
      <c r="W37" s="126">
        <f>SUM(K37:N37)</f>
        <v>3170</v>
      </c>
      <c r="X37" s="126">
        <f>SUM(L37:O37)</f>
        <v>991</v>
      </c>
      <c r="Y37" s="126">
        <f>SUM(M37:P37)</f>
        <v>1082</v>
      </c>
      <c r="Z37" s="126">
        <f>SUM(N37:Q37)</f>
        <v>519</v>
      </c>
    </row>
    <row r="38" spans="1:28" ht="12.75" customHeight="1">
      <c r="B38" s="29" t="s">
        <v>169</v>
      </c>
      <c r="C38" s="127">
        <f>'Historical Financials'!C120</f>
        <v>-958</v>
      </c>
      <c r="D38" s="127">
        <f>'Historical Financials'!D120</f>
        <v>1857</v>
      </c>
      <c r="E38" s="127">
        <f>'Historical Financials'!E120</f>
        <v>2528</v>
      </c>
      <c r="F38" s="30"/>
      <c r="G38" s="127">
        <f>'Historical Financials'!G120</f>
        <v>2900</v>
      </c>
      <c r="H38" s="127">
        <f>'Historical Financials'!H120</f>
        <v>-628</v>
      </c>
      <c r="I38" s="127">
        <f>'Historical Financials'!I120</f>
        <v>-1053</v>
      </c>
      <c r="J38" s="127">
        <f>'Historical Financials'!J120</f>
        <v>638</v>
      </c>
      <c r="K38" s="127">
        <f>'Historical Financials'!K120</f>
        <v>919</v>
      </c>
      <c r="L38" s="127">
        <f>'Historical Financials'!L120</f>
        <v>1179</v>
      </c>
      <c r="M38" s="127">
        <f>'Historical Financials'!M120</f>
        <v>1275</v>
      </c>
      <c r="N38" s="127">
        <f>'Historical Financials'!N120</f>
        <v>-845</v>
      </c>
      <c r="O38" s="127">
        <f>'Historical Financials'!O120</f>
        <v>3837</v>
      </c>
      <c r="P38" s="127">
        <f>'Historical Financials'!P120</f>
        <v>-1147</v>
      </c>
      <c r="Q38" s="127">
        <f>'Historical Financials'!Q120</f>
        <v>-2002</v>
      </c>
      <c r="S38" s="126">
        <f>SUM(G38:J38)</f>
        <v>1857</v>
      </c>
      <c r="T38" s="126">
        <f>SUM(H38:K38)</f>
        <v>-124</v>
      </c>
      <c r="U38" s="126">
        <f>SUM(I38:L38)</f>
        <v>1683</v>
      </c>
      <c r="V38" s="126">
        <f>SUM(J38:M38)</f>
        <v>4011</v>
      </c>
      <c r="W38" s="126">
        <f>SUM(K38:N38)</f>
        <v>2528</v>
      </c>
      <c r="X38" s="126">
        <f>SUM(L38:O38)</f>
        <v>5446</v>
      </c>
      <c r="Y38" s="126">
        <f>SUM(M38:P38)</f>
        <v>3120</v>
      </c>
      <c r="Z38" s="126">
        <f>SUM(N38:Q38)</f>
        <v>-157</v>
      </c>
    </row>
    <row r="39" spans="1:28" ht="12.75" customHeight="1">
      <c r="B39" s="29" t="s">
        <v>170</v>
      </c>
      <c r="C39" s="127">
        <f>'Historical Financials'!C121</f>
        <v>-581</v>
      </c>
      <c r="D39" s="127">
        <f>'Historical Financials'!D121</f>
        <v>-1750</v>
      </c>
      <c r="E39" s="127">
        <f>'Historical Financials'!E121</f>
        <v>-1048</v>
      </c>
      <c r="F39" s="30"/>
      <c r="G39" s="127">
        <f>'Historical Financials'!G121</f>
        <v>-619</v>
      </c>
      <c r="H39" s="127">
        <f>'Historical Financials'!H121</f>
        <v>-106</v>
      </c>
      <c r="I39" s="127">
        <f>'Historical Financials'!I121</f>
        <v>-44</v>
      </c>
      <c r="J39" s="127">
        <f>'Historical Financials'!J121</f>
        <v>-981</v>
      </c>
      <c r="K39" s="127">
        <f>'Historical Financials'!K121</f>
        <v>-412</v>
      </c>
      <c r="L39" s="127">
        <f>'Historical Financials'!L121</f>
        <v>-25</v>
      </c>
      <c r="M39" s="127">
        <f>'Historical Financials'!M121</f>
        <v>-74</v>
      </c>
      <c r="N39" s="127">
        <f>'Historical Financials'!N121</f>
        <v>-537</v>
      </c>
      <c r="O39" s="127">
        <f>'Historical Financials'!O121</f>
        <v>-211</v>
      </c>
      <c r="P39" s="127">
        <f>'Historical Financials'!P121</f>
        <v>-38</v>
      </c>
      <c r="Q39" s="127">
        <f>'Historical Financials'!Q121</f>
        <v>-152</v>
      </c>
      <c r="S39" s="126">
        <f>SUM(G39:J39)</f>
        <v>-1750</v>
      </c>
      <c r="T39" s="126">
        <f>SUM(H39:K39)</f>
        <v>-1543</v>
      </c>
      <c r="U39" s="126">
        <f>SUM(I39:L39)</f>
        <v>-1462</v>
      </c>
      <c r="V39" s="126">
        <f>SUM(J39:M39)</f>
        <v>-1492</v>
      </c>
      <c r="W39" s="126">
        <f>SUM(K39:N39)</f>
        <v>-1048</v>
      </c>
      <c r="X39" s="126">
        <f>SUM(L39:O39)</f>
        <v>-847</v>
      </c>
      <c r="Y39" s="126">
        <f>SUM(M39:P39)</f>
        <v>-860</v>
      </c>
      <c r="Z39" s="126">
        <f>SUM(N39:Q39)</f>
        <v>-938</v>
      </c>
    </row>
    <row r="40" spans="1:28" ht="12.75" customHeight="1">
      <c r="B40" s="29" t="s">
        <v>69</v>
      </c>
      <c r="C40" s="128"/>
      <c r="D40" s="128">
        <f>SUM(D45)-SUM(C45)-SUM(D34:D39)</f>
        <v>5705</v>
      </c>
      <c r="E40" s="128">
        <f>SUM(E45)-SUM(D45)-SUM(E34:E39)</f>
        <v>7410</v>
      </c>
      <c r="F40" s="30"/>
      <c r="G40" s="128">
        <f>SUM(G45)-SUM(C45)-SUM(G34:G39)</f>
        <v>1256</v>
      </c>
      <c r="H40" s="128">
        <f>SUM(H45)-SUM(G45)-SUM(H34:H39)</f>
        <v>1644</v>
      </c>
      <c r="I40" s="128">
        <f>SUM(I45)-SUM(H45)-SUM(I34:I39)</f>
        <v>885</v>
      </c>
      <c r="J40" s="128">
        <f>SUM(J45)-SUM(I45)-SUM(J34:J39)</f>
        <v>1920</v>
      </c>
      <c r="K40" s="128">
        <f>SUM(K45)-SUM(J45)-SUM(K34:K39)</f>
        <v>2229</v>
      </c>
      <c r="L40" s="128">
        <f>SUM(L45)-SUM(K45)-SUM(L34:L39)</f>
        <v>2427</v>
      </c>
      <c r="M40" s="128">
        <f>SUM(M45)-SUM(L45)-SUM(M34:M39)</f>
        <v>2768</v>
      </c>
      <c r="N40" s="128">
        <f>SUM(N45)-SUM(M45)-SUM(N34:N39)</f>
        <v>-14</v>
      </c>
      <c r="O40" s="128">
        <f>SUM(O45)-SUM(N45)-SUM(O34:O39)</f>
        <v>1332</v>
      </c>
      <c r="P40" s="128">
        <f>SUM(P45)-SUM(O45)-SUM(P34:P39)</f>
        <v>2148</v>
      </c>
      <c r="Q40" s="128">
        <f>SUM(Q45)-SUM(P45)-SUM(Q34:Q39)</f>
        <v>2253</v>
      </c>
      <c r="S40" s="126">
        <f>SUM(G40:J40)</f>
        <v>5705</v>
      </c>
      <c r="T40" s="126">
        <f>SUM(H40:K40)</f>
        <v>6678</v>
      </c>
      <c r="U40" s="126">
        <f>SUM(I40:L40)</f>
        <v>7461</v>
      </c>
      <c r="V40" s="126">
        <f>SUM(J40:M40)</f>
        <v>9344</v>
      </c>
      <c r="W40" s="126">
        <f>SUM(K40:N40)</f>
        <v>7410</v>
      </c>
      <c r="X40" s="126">
        <f>SUM(L40:O40)</f>
        <v>6513</v>
      </c>
      <c r="Y40" s="126">
        <f>SUM(M40:P40)</f>
        <v>6234</v>
      </c>
      <c r="Z40" s="126">
        <f>SUM(N40:Q40)</f>
        <v>5719</v>
      </c>
    </row>
    <row r="41" spans="1:28" ht="12.75" customHeight="1">
      <c r="B41" s="12" t="s">
        <v>40</v>
      </c>
      <c r="C41" s="13">
        <f>SUM(C34+SUM(C36:C40))</f>
        <v>-2831</v>
      </c>
      <c r="D41" s="13">
        <f>SUM(D34+SUM(D36:D40))</f>
        <v>-153</v>
      </c>
      <c r="E41" s="13">
        <f>SUM(E34+SUM(E36:E40))</f>
        <v>1462</v>
      </c>
      <c r="G41" s="13">
        <f>SUM(G34+SUM(G36:G40))</f>
        <v>2485</v>
      </c>
      <c r="H41" s="13">
        <f>SUM(H34+SUM(H36:H40))</f>
        <v>560</v>
      </c>
      <c r="I41" s="13">
        <f>SUM(I34+SUM(I36:I40))</f>
        <v>-681</v>
      </c>
      <c r="J41" s="13">
        <f>SUM(J34+SUM(J36:J40))</f>
        <v>-2517</v>
      </c>
      <c r="K41" s="13">
        <f>SUM(K34+SUM(K36:K40))</f>
        <v>1077</v>
      </c>
      <c r="L41" s="13">
        <f>SUM(L34+SUM(L36:L40))</f>
        <v>3265</v>
      </c>
      <c r="M41" s="13">
        <f>SUM(M34+SUM(M36:M40))</f>
        <v>230</v>
      </c>
      <c r="N41" s="13">
        <f>SUM(N34+SUM(N36:N40))</f>
        <v>-3110</v>
      </c>
      <c r="O41" s="13">
        <f>SUM(O34+SUM(O36:O40))</f>
        <v>-2411</v>
      </c>
      <c r="P41" s="13">
        <f>SUM(P34+SUM(P36:P40))</f>
        <v>1173</v>
      </c>
      <c r="Q41" s="13">
        <f>SUM(Q34+SUM(Q36:Q40))</f>
        <v>3142</v>
      </c>
      <c r="S41" s="13">
        <f>SUM(S34+SUM(S36:S40))</f>
        <v>-153</v>
      </c>
      <c r="T41" s="13">
        <f>SUM(T34+SUM(T36:T40))</f>
        <v>-1561</v>
      </c>
      <c r="U41" s="13">
        <f>SUM(U34+SUM(U36:U40))</f>
        <v>1144</v>
      </c>
      <c r="V41" s="13">
        <f>SUM(V34+SUM(V36:V40))</f>
        <v>2055</v>
      </c>
      <c r="W41" s="13">
        <f>SUM(W34+SUM(W36:W40))</f>
        <v>1462</v>
      </c>
      <c r="X41" s="13">
        <f>SUM(X34+SUM(X36:X40))</f>
        <v>-2026</v>
      </c>
      <c r="Y41" s="13">
        <f>SUM(Y34+SUM(Y36:Y40))</f>
        <v>-4118</v>
      </c>
      <c r="Z41" s="13">
        <f>SUM(Z34+SUM(Z36:Z40))</f>
        <v>-1206</v>
      </c>
    </row>
    <row r="42" spans="1:28" ht="5.0999999999999996" customHeight="1"/>
    <row r="43" spans="1:28" ht="12.75" customHeight="1">
      <c r="A43" s="5"/>
      <c r="B43" s="31" t="s">
        <v>41</v>
      </c>
      <c r="C43" s="31"/>
      <c r="D43" s="31"/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</row>
    <row r="44" spans="1:28" ht="5.0999999999999996" customHeight="1"/>
    <row r="45" spans="1:28" ht="12.75" customHeight="1">
      <c r="B45" s="8" t="s">
        <v>42</v>
      </c>
      <c r="C45" s="80">
        <f>'Historical Financials'!C47</f>
        <v>9519</v>
      </c>
      <c r="D45" s="80">
        <f>'Historical Financials'!D47</f>
        <v>9366</v>
      </c>
      <c r="E45" s="80">
        <f>'Historical Financials'!E47</f>
        <v>10828</v>
      </c>
      <c r="F45" s="30"/>
      <c r="G45" s="80">
        <f>'Historical Financials'!G47</f>
        <v>12004</v>
      </c>
      <c r="H45" s="80">
        <f>'Historical Financials'!H47</f>
        <v>12564</v>
      </c>
      <c r="I45" s="80">
        <f>'Historical Financials'!I47</f>
        <v>11883</v>
      </c>
      <c r="J45" s="80">
        <f>'Historical Financials'!J47</f>
        <v>9366</v>
      </c>
      <c r="K45" s="80">
        <f>'Historical Financials'!K47</f>
        <v>10443</v>
      </c>
      <c r="L45" s="80">
        <f>'Historical Financials'!L47</f>
        <v>13708</v>
      </c>
      <c r="M45" s="80">
        <f>'Historical Financials'!M47</f>
        <v>13938</v>
      </c>
      <c r="N45" s="80">
        <f>'Historical Financials'!N47</f>
        <v>10828</v>
      </c>
      <c r="O45" s="80">
        <f>'Historical Financials'!O47</f>
        <v>8417</v>
      </c>
      <c r="P45" s="80">
        <f>'Historical Financials'!P47</f>
        <v>9590</v>
      </c>
      <c r="Q45" s="80">
        <f>'Historical Financials'!Q47</f>
        <v>12732</v>
      </c>
      <c r="S45" s="10">
        <f>J45</f>
        <v>9366</v>
      </c>
      <c r="T45" s="10">
        <f>K45</f>
        <v>10443</v>
      </c>
      <c r="U45" s="10">
        <f>L45</f>
        <v>13708</v>
      </c>
      <c r="V45" s="10">
        <f>M45</f>
        <v>13938</v>
      </c>
      <c r="W45" s="10">
        <f>N45</f>
        <v>10828</v>
      </c>
      <c r="X45" s="10">
        <f>O45</f>
        <v>8417</v>
      </c>
      <c r="Y45" s="10">
        <f>P45</f>
        <v>9590</v>
      </c>
      <c r="Z45" s="10">
        <f>Q45</f>
        <v>12732</v>
      </c>
    </row>
    <row r="46" spans="1:28" ht="12.75" customHeight="1">
      <c r="B46" s="8" t="s">
        <v>171</v>
      </c>
      <c r="C46" s="80">
        <f>'Historical Financials'!C48</f>
        <v>1043</v>
      </c>
      <c r="D46" s="80">
        <f>'Historical Financials'!D48</f>
        <v>2997</v>
      </c>
      <c r="E46" s="80">
        <f>'Historical Financials'!E48</f>
        <v>2020</v>
      </c>
      <c r="F46" s="30"/>
      <c r="G46" s="80">
        <f>'Historical Financials'!G48</f>
        <v>1166</v>
      </c>
      <c r="H46" s="80">
        <f>'Historical Financials'!H48</f>
        <v>1867</v>
      </c>
      <c r="I46" s="80">
        <f>'Historical Financials'!I48</f>
        <v>2332</v>
      </c>
      <c r="J46" s="80">
        <f>'Historical Financials'!J48</f>
        <v>2997</v>
      </c>
      <c r="K46" s="80">
        <f>'Historical Financials'!K48</f>
        <v>4760</v>
      </c>
      <c r="L46" s="80">
        <f>'Historical Financials'!L48</f>
        <v>3691</v>
      </c>
      <c r="M46" s="80">
        <f>'Historical Financials'!M48</f>
        <v>2439</v>
      </c>
      <c r="N46" s="80">
        <f>'Historical Financials'!N48</f>
        <v>2020</v>
      </c>
      <c r="O46" s="80">
        <f>'Historical Financials'!O48</f>
        <v>3579</v>
      </c>
      <c r="P46" s="80">
        <f>'Historical Financials'!P48</f>
        <v>2658</v>
      </c>
      <c r="Q46" s="80">
        <f>'Historical Financials'!Q48</f>
        <v>1142</v>
      </c>
      <c r="S46" s="10">
        <f>J46</f>
        <v>2997</v>
      </c>
      <c r="T46" s="10">
        <f>K46</f>
        <v>4760</v>
      </c>
      <c r="U46" s="10">
        <f>L46</f>
        <v>3691</v>
      </c>
      <c r="V46" s="10">
        <f>M46</f>
        <v>2439</v>
      </c>
      <c r="W46" s="10">
        <f>N46</f>
        <v>2020</v>
      </c>
      <c r="X46" s="10">
        <f>O46</f>
        <v>3579</v>
      </c>
      <c r="Y46" s="10">
        <f>P46</f>
        <v>2658</v>
      </c>
      <c r="Z46" s="10">
        <f>Q46</f>
        <v>1142</v>
      </c>
    </row>
    <row r="47" spans="1:28" ht="12.75" customHeight="1">
      <c r="B47" s="8" t="s">
        <v>172</v>
      </c>
      <c r="C47" s="80">
        <f>'Historical Financials'!C49</f>
        <v>1069</v>
      </c>
      <c r="D47" s="80">
        <f>'Historical Financials'!D49</f>
        <v>1300</v>
      </c>
      <c r="E47" s="80">
        <f>'Historical Financials'!E49</f>
        <v>1723</v>
      </c>
      <c r="F47" s="30"/>
      <c r="G47" s="80">
        <f>'Historical Financials'!G49</f>
        <v>1125</v>
      </c>
      <c r="H47" s="80">
        <f>'Historical Financials'!H49</f>
        <v>1263</v>
      </c>
      <c r="I47" s="80">
        <f>'Historical Financials'!I49</f>
        <v>1220</v>
      </c>
      <c r="J47" s="80">
        <f>'Historical Financials'!J49</f>
        <v>1300</v>
      </c>
      <c r="K47" s="80">
        <f>'Historical Financials'!K49</f>
        <v>1716</v>
      </c>
      <c r="L47" s="80">
        <f>'Historical Financials'!L49</f>
        <v>1594</v>
      </c>
      <c r="M47" s="80">
        <f>'Historical Financials'!M49</f>
        <v>1787</v>
      </c>
      <c r="N47" s="80">
        <f>'Historical Financials'!N49</f>
        <v>1723</v>
      </c>
      <c r="O47" s="80">
        <f>'Historical Financials'!O49</f>
        <v>1791</v>
      </c>
      <c r="P47" s="80">
        <f>'Historical Financials'!P49</f>
        <v>2049</v>
      </c>
      <c r="Q47" s="80">
        <f>'Historical Financials'!Q49</f>
        <v>1907</v>
      </c>
      <c r="S47" s="10">
        <f>J47</f>
        <v>1300</v>
      </c>
      <c r="T47" s="10">
        <f>K47</f>
        <v>1716</v>
      </c>
      <c r="U47" s="10">
        <f>L47</f>
        <v>1594</v>
      </c>
      <c r="V47" s="10">
        <f>M47</f>
        <v>1787</v>
      </c>
      <c r="W47" s="10">
        <f>N47</f>
        <v>1723</v>
      </c>
      <c r="X47" s="10">
        <f>O47</f>
        <v>1791</v>
      </c>
      <c r="Y47" s="10">
        <f>P47</f>
        <v>2049</v>
      </c>
      <c r="Z47" s="10">
        <f>Q47</f>
        <v>1907</v>
      </c>
    </row>
    <row r="48" spans="1:28" ht="12.75" customHeight="1">
      <c r="B48" s="8" t="s">
        <v>183</v>
      </c>
      <c r="C48" s="75">
        <v>5712</v>
      </c>
      <c r="D48" s="75">
        <v>6159</v>
      </c>
      <c r="E48" s="75">
        <v>4550</v>
      </c>
      <c r="F48" s="30"/>
      <c r="G48" s="75">
        <v>4200</v>
      </c>
      <c r="H48" s="75">
        <v>4200</v>
      </c>
      <c r="I48" s="75">
        <v>4200</v>
      </c>
      <c r="J48" s="106">
        <f>D48</f>
        <v>6159</v>
      </c>
      <c r="K48" s="75">
        <v>4600</v>
      </c>
      <c r="L48" s="75">
        <v>4600</v>
      </c>
      <c r="M48" s="75">
        <v>4600</v>
      </c>
      <c r="N48" s="106">
        <f>E48</f>
        <v>4550</v>
      </c>
      <c r="O48" s="75">
        <v>4600</v>
      </c>
      <c r="P48" s="75">
        <v>4600</v>
      </c>
      <c r="Q48" s="75">
        <v>4600</v>
      </c>
      <c r="S48" s="10">
        <f>J48</f>
        <v>6159</v>
      </c>
      <c r="T48" s="10">
        <f>K48</f>
        <v>4600</v>
      </c>
      <c r="U48" s="10">
        <f>L48</f>
        <v>4600</v>
      </c>
      <c r="V48" s="10">
        <f>M48</f>
        <v>4600</v>
      </c>
      <c r="W48" s="10">
        <f>N48</f>
        <v>4550</v>
      </c>
      <c r="X48" s="10">
        <f>O48</f>
        <v>4600</v>
      </c>
      <c r="Y48" s="10">
        <f>P48</f>
        <v>4600</v>
      </c>
      <c r="Z48" s="10">
        <f>Q48</f>
        <v>4600</v>
      </c>
    </row>
    <row r="49" spans="2:26" ht="12.75" customHeight="1">
      <c r="B49" s="12" t="s">
        <v>43</v>
      </c>
      <c r="C49" s="13">
        <f>SUM(C45:C48)</f>
        <v>17343</v>
      </c>
      <c r="D49" s="13">
        <f t="shared" ref="D49:E49" si="23">SUM(D45:D48)</f>
        <v>19822</v>
      </c>
      <c r="E49" s="13">
        <f t="shared" si="23"/>
        <v>19121</v>
      </c>
      <c r="F49" s="30"/>
      <c r="G49" s="13">
        <f t="shared" ref="G49:Q49" si="24">SUM(G45:G48)</f>
        <v>18495</v>
      </c>
      <c r="H49" s="13">
        <f t="shared" si="24"/>
        <v>19894</v>
      </c>
      <c r="I49" s="13">
        <f t="shared" si="24"/>
        <v>19635</v>
      </c>
      <c r="J49" s="13">
        <f t="shared" si="24"/>
        <v>19822</v>
      </c>
      <c r="K49" s="13">
        <f t="shared" si="24"/>
        <v>21519</v>
      </c>
      <c r="L49" s="13">
        <f t="shared" si="24"/>
        <v>23593</v>
      </c>
      <c r="M49" s="13">
        <f t="shared" si="24"/>
        <v>22764</v>
      </c>
      <c r="N49" s="13">
        <f t="shared" si="24"/>
        <v>19121</v>
      </c>
      <c r="O49" s="13">
        <f t="shared" si="24"/>
        <v>18387</v>
      </c>
      <c r="P49" s="13">
        <f t="shared" si="24"/>
        <v>18897</v>
      </c>
      <c r="Q49" s="13">
        <f t="shared" si="24"/>
        <v>20381</v>
      </c>
      <c r="S49" s="13">
        <f t="shared" ref="S49:Z49" si="25">SUM(S45:S48)</f>
        <v>19822</v>
      </c>
      <c r="T49" s="13">
        <f t="shared" si="25"/>
        <v>21519</v>
      </c>
      <c r="U49" s="13">
        <f t="shared" si="25"/>
        <v>23593</v>
      </c>
      <c r="V49" s="13">
        <f t="shared" si="25"/>
        <v>22764</v>
      </c>
      <c r="W49" s="13">
        <f t="shared" si="25"/>
        <v>19121</v>
      </c>
      <c r="X49" s="13">
        <f t="shared" si="25"/>
        <v>18387</v>
      </c>
      <c r="Y49" s="13">
        <f t="shared" si="25"/>
        <v>18897</v>
      </c>
      <c r="Z49" s="13">
        <f t="shared" si="25"/>
        <v>20381</v>
      </c>
    </row>
    <row r="50" spans="2:26" ht="5.0999999999999996" customHeight="1"/>
    <row r="51" spans="2:26" ht="12.75" customHeight="1">
      <c r="B51" s="32" t="s">
        <v>44</v>
      </c>
    </row>
    <row r="52" spans="2:26" ht="12.75" customHeight="1">
      <c r="B52" s="8" t="s">
        <v>173</v>
      </c>
      <c r="C52" s="80">
        <f>'Historical Financials'!C50</f>
        <v>3487</v>
      </c>
      <c r="D52" s="80">
        <f>'Historical Financials'!D50</f>
        <v>3410</v>
      </c>
      <c r="E52" s="80">
        <f>'Historical Financials'!E50</f>
        <v>3569</v>
      </c>
      <c r="G52" s="80">
        <f>'Historical Financials'!G50</f>
        <v>4599</v>
      </c>
      <c r="H52" s="80">
        <f>'Historical Financials'!H50</f>
        <v>3970</v>
      </c>
      <c r="I52" s="80">
        <f>'Historical Financials'!I50</f>
        <v>3495</v>
      </c>
      <c r="J52" s="80">
        <f>'Historical Financials'!J50</f>
        <v>3410</v>
      </c>
      <c r="K52" s="80">
        <f>'Historical Financials'!K50</f>
        <v>4244</v>
      </c>
      <c r="L52" s="80">
        <f>'Historical Financials'!L50</f>
        <v>4545</v>
      </c>
      <c r="M52" s="80">
        <f>'Historical Financials'!M50</f>
        <v>4233</v>
      </c>
      <c r="N52" s="80">
        <f>'Historical Financials'!N50</f>
        <v>3569</v>
      </c>
      <c r="O52" s="80">
        <f>'Historical Financials'!O50</f>
        <v>4091</v>
      </c>
      <c r="P52" s="80">
        <f>'Historical Financials'!P50</f>
        <v>4168</v>
      </c>
      <c r="Q52" s="80">
        <f>'Historical Financials'!Q50</f>
        <v>3946</v>
      </c>
      <c r="R52" s="10"/>
      <c r="S52" s="10">
        <f>J52</f>
        <v>3410</v>
      </c>
      <c r="T52" s="10">
        <f>K52</f>
        <v>4244</v>
      </c>
      <c r="U52" s="10">
        <f>L52</f>
        <v>4545</v>
      </c>
      <c r="V52" s="10">
        <f>M52</f>
        <v>4233</v>
      </c>
      <c r="W52" s="10">
        <f>N52</f>
        <v>3569</v>
      </c>
      <c r="X52" s="10">
        <f>O52</f>
        <v>4091</v>
      </c>
      <c r="Y52" s="10">
        <f>P52</f>
        <v>4168</v>
      </c>
      <c r="Z52" s="10">
        <f>Q52</f>
        <v>3946</v>
      </c>
    </row>
    <row r="53" spans="2:26" ht="12.75" customHeight="1">
      <c r="B53" s="8" t="s">
        <v>115</v>
      </c>
      <c r="C53" s="80">
        <f>'Historical Financials'!C51</f>
        <v>4233</v>
      </c>
      <c r="D53" s="80">
        <f>'Historical Financials'!D51</f>
        <v>4424</v>
      </c>
      <c r="E53" s="80">
        <f>'Historical Financials'!E51</f>
        <v>4728</v>
      </c>
      <c r="G53" s="80">
        <f>'Historical Financials'!G51</f>
        <v>4727</v>
      </c>
      <c r="H53" s="80">
        <f>'Historical Financials'!H51</f>
        <v>4646</v>
      </c>
      <c r="I53" s="80">
        <f>'Historical Financials'!I51</f>
        <v>4252</v>
      </c>
      <c r="J53" s="80">
        <f>'Historical Financials'!J51</f>
        <v>4424</v>
      </c>
      <c r="K53" s="80">
        <f>'Historical Financials'!K51</f>
        <v>4961</v>
      </c>
      <c r="L53" s="80">
        <f>'Historical Financials'!L51</f>
        <v>4763</v>
      </c>
      <c r="M53" s="80">
        <f>'Historical Financials'!M51</f>
        <v>4714</v>
      </c>
      <c r="N53" s="80">
        <f>'Historical Financials'!N51</f>
        <v>4728</v>
      </c>
      <c r="O53" s="80">
        <f>'Historical Financials'!O51</f>
        <v>5102</v>
      </c>
      <c r="P53" s="80">
        <f>'Historical Financials'!P51</f>
        <v>5082</v>
      </c>
      <c r="Q53" s="80">
        <f>'Historical Financials'!Q51</f>
        <v>4802</v>
      </c>
      <c r="R53" s="10"/>
      <c r="S53" s="10">
        <f>J53</f>
        <v>4424</v>
      </c>
      <c r="T53" s="10">
        <f>K53</f>
        <v>4961</v>
      </c>
      <c r="U53" s="10">
        <f>L53</f>
        <v>4763</v>
      </c>
      <c r="V53" s="10">
        <f>M53</f>
        <v>4714</v>
      </c>
      <c r="W53" s="10">
        <f>N53</f>
        <v>4728</v>
      </c>
      <c r="X53" s="10">
        <f>O53</f>
        <v>5102</v>
      </c>
      <c r="Y53" s="10">
        <f>P53</f>
        <v>5082</v>
      </c>
      <c r="Z53" s="10">
        <f>Q53</f>
        <v>4802</v>
      </c>
    </row>
    <row r="54" spans="2:26" ht="12.75" customHeight="1">
      <c r="B54" s="8" t="s">
        <v>118</v>
      </c>
      <c r="C54" s="80">
        <f>'Historical Financials'!C58</f>
        <v>9841</v>
      </c>
      <c r="D54" s="80">
        <f>'Historical Financials'!D58</f>
        <v>9236</v>
      </c>
      <c r="E54" s="80">
        <f>'Historical Financials'!E58</f>
        <v>10303</v>
      </c>
      <c r="G54" s="80">
        <f>'Historical Financials'!G58</f>
        <v>9848</v>
      </c>
      <c r="H54" s="80">
        <f>'Historical Financials'!H58</f>
        <v>9706</v>
      </c>
      <c r="I54" s="80">
        <f>'Historical Financials'!I58</f>
        <v>8860</v>
      </c>
      <c r="J54" s="80">
        <f>'Historical Financials'!J58</f>
        <v>9236</v>
      </c>
      <c r="K54" s="80">
        <f>'Historical Financials'!K58</f>
        <v>9306</v>
      </c>
      <c r="L54" s="80">
        <f>'Historical Financials'!L58</f>
        <v>9508</v>
      </c>
      <c r="M54" s="80">
        <f>'Historical Financials'!M58</f>
        <v>9864</v>
      </c>
      <c r="N54" s="80">
        <f>'Historical Financials'!N58</f>
        <v>10303</v>
      </c>
      <c r="O54" s="80">
        <f>'Historical Financials'!O58</f>
        <v>10431</v>
      </c>
      <c r="P54" s="80">
        <f>'Historical Financials'!P58</f>
        <v>10784</v>
      </c>
      <c r="Q54" s="80">
        <f>'Historical Financials'!Q58</f>
        <v>10902</v>
      </c>
      <c r="R54" s="10"/>
      <c r="S54" s="10">
        <f>J54</f>
        <v>9236</v>
      </c>
      <c r="T54" s="10">
        <f>K54</f>
        <v>9306</v>
      </c>
      <c r="U54" s="10">
        <f>L54</f>
        <v>9508</v>
      </c>
      <c r="V54" s="10">
        <f>M54</f>
        <v>9864</v>
      </c>
      <c r="W54" s="10">
        <f>N54</f>
        <v>10303</v>
      </c>
      <c r="X54" s="10">
        <f>O54</f>
        <v>10431</v>
      </c>
      <c r="Y54" s="10">
        <f>P54</f>
        <v>10784</v>
      </c>
      <c r="Z54" s="10">
        <f>Q54</f>
        <v>10902</v>
      </c>
    </row>
    <row r="55" spans="2:26" ht="12.75" customHeight="1">
      <c r="B55" s="8" t="s">
        <v>124</v>
      </c>
      <c r="C55" s="80">
        <f>'Historical Financials'!C65</f>
        <v>15749</v>
      </c>
      <c r="D55" s="80">
        <f>'Historical Financials'!D65</f>
        <v>15485</v>
      </c>
      <c r="E55" s="80">
        <f>'Historical Financials'!E65</f>
        <v>21715</v>
      </c>
      <c r="G55" s="80">
        <f>'Historical Financials'!G65</f>
        <v>15593</v>
      </c>
      <c r="H55" s="80">
        <f>'Historical Financials'!H65</f>
        <v>16483</v>
      </c>
      <c r="I55" s="80">
        <f>'Historical Financials'!I65</f>
        <v>16837</v>
      </c>
      <c r="J55" s="80">
        <f>'Historical Financials'!J65</f>
        <v>15485</v>
      </c>
      <c r="K55" s="80">
        <f>'Historical Financials'!K65</f>
        <v>19425</v>
      </c>
      <c r="L55" s="80">
        <f>'Historical Financials'!L65</f>
        <v>21909</v>
      </c>
      <c r="M55" s="80">
        <f>'Historical Financials'!M65</f>
        <v>23820</v>
      </c>
      <c r="N55" s="80">
        <f>'Historical Financials'!N65</f>
        <v>21715</v>
      </c>
      <c r="O55" s="80">
        <f>'Historical Financials'!O65</f>
        <v>16499</v>
      </c>
      <c r="P55" s="80">
        <f>'Historical Financials'!P65</f>
        <v>17030</v>
      </c>
      <c r="Q55" s="80">
        <f>'Historical Financials'!Q65</f>
        <v>17692</v>
      </c>
      <c r="R55" s="10"/>
      <c r="S55" s="10">
        <f>J55</f>
        <v>15485</v>
      </c>
      <c r="T55" s="10">
        <f>K55</f>
        <v>19425</v>
      </c>
      <c r="U55" s="10">
        <f>L55</f>
        <v>21909</v>
      </c>
      <c r="V55" s="10">
        <f>M55</f>
        <v>23820</v>
      </c>
      <c r="W55" s="10">
        <f>N55</f>
        <v>21715</v>
      </c>
      <c r="X55" s="10">
        <f>O55</f>
        <v>16499</v>
      </c>
      <c r="Y55" s="10">
        <f>P55</f>
        <v>17030</v>
      </c>
      <c r="Z55" s="10">
        <f>Q55</f>
        <v>17692</v>
      </c>
    </row>
    <row r="56" spans="2:26" ht="12.75" customHeight="1">
      <c r="B56" s="8" t="s">
        <v>45</v>
      </c>
      <c r="C56" s="80">
        <f>'Historical Financials'!C69</f>
        <v>19724</v>
      </c>
      <c r="D56" s="80">
        <f>'Historical Financials'!D69</f>
        <v>23571</v>
      </c>
      <c r="E56" s="80">
        <f>'Historical Financials'!E69</f>
        <v>25249</v>
      </c>
      <c r="F56" s="80"/>
      <c r="G56" s="80">
        <f>'Historical Financials'!G69</f>
        <v>23357</v>
      </c>
      <c r="H56" s="80">
        <f>'Historical Financials'!H69</f>
        <v>24115</v>
      </c>
      <c r="I56" s="80">
        <f>'Historical Financials'!I69</f>
        <v>24409</v>
      </c>
      <c r="J56" s="80">
        <f>'Historical Financials'!J69</f>
        <v>23571</v>
      </c>
      <c r="K56" s="80">
        <f>'Historical Financials'!K69</f>
        <v>28356</v>
      </c>
      <c r="L56" s="80">
        <f>'Historical Financials'!L69</f>
        <v>29263</v>
      </c>
      <c r="M56" s="80">
        <f>'Historical Financials'!M69</f>
        <v>28569</v>
      </c>
      <c r="N56" s="80">
        <f>'Historical Financials'!N69</f>
        <v>25249</v>
      </c>
      <c r="O56" s="80">
        <f>'Historical Financials'!O69</f>
        <v>23808</v>
      </c>
      <c r="P56" s="80">
        <f>'Historical Financials'!P69</f>
        <v>21944</v>
      </c>
      <c r="Q56" s="80">
        <f>'Historical Financials'!Q69</f>
        <v>22499</v>
      </c>
      <c r="S56" s="10">
        <f>J56</f>
        <v>23571</v>
      </c>
      <c r="T56" s="10">
        <f>K56</f>
        <v>28356</v>
      </c>
      <c r="U56" s="10">
        <f>L56</f>
        <v>29263</v>
      </c>
      <c r="V56" s="10">
        <f>M56</f>
        <v>28569</v>
      </c>
      <c r="W56" s="10">
        <f>N56</f>
        <v>25249</v>
      </c>
      <c r="X56" s="10">
        <f>O56</f>
        <v>23808</v>
      </c>
      <c r="Y56" s="10">
        <f>P56</f>
        <v>21944</v>
      </c>
      <c r="Z56" s="10">
        <f>Q56</f>
        <v>22499</v>
      </c>
    </row>
    <row r="57" spans="2:26" ht="12.75" customHeight="1">
      <c r="B57" s="8" t="s">
        <v>15</v>
      </c>
      <c r="C57" s="80">
        <f>'Historical Financials'!C75</f>
        <v>66937</v>
      </c>
      <c r="D57" s="80">
        <f>'Historical Financials'!D75</f>
        <v>70223</v>
      </c>
      <c r="E57" s="80">
        <f>'Historical Financials'!E75</f>
        <v>74177</v>
      </c>
      <c r="F57" s="80"/>
      <c r="G57" s="80">
        <f>'Historical Financials'!G75</f>
        <v>70536</v>
      </c>
      <c r="H57" s="80">
        <f>'Historical Financials'!H75</f>
        <v>70904</v>
      </c>
      <c r="I57" s="80">
        <f>'Historical Financials'!I75</f>
        <v>69745</v>
      </c>
      <c r="J57" s="80">
        <f>'Historical Financials'!J75</f>
        <v>70223</v>
      </c>
      <c r="K57" s="80">
        <f>'Historical Financials'!K75</f>
        <v>71446</v>
      </c>
      <c r="L57" s="80">
        <f>'Historical Financials'!L75</f>
        <v>73791</v>
      </c>
      <c r="M57" s="80">
        <f>'Historical Financials'!M75</f>
        <v>78112</v>
      </c>
      <c r="N57" s="80">
        <f>'Historical Financials'!N75</f>
        <v>74177</v>
      </c>
      <c r="O57" s="80">
        <f>'Historical Financials'!O75</f>
        <v>73962</v>
      </c>
      <c r="P57" s="80">
        <f>'Historical Financials'!P75</f>
        <v>74151</v>
      </c>
      <c r="Q57" s="80">
        <f>'Historical Financials'!Q75</f>
        <v>72778</v>
      </c>
      <c r="S57" s="10">
        <f>J57</f>
        <v>70223</v>
      </c>
      <c r="T57" s="10">
        <f>K57</f>
        <v>71446</v>
      </c>
      <c r="U57" s="10">
        <f>L57</f>
        <v>73791</v>
      </c>
      <c r="V57" s="10">
        <f>M57</f>
        <v>78112</v>
      </c>
      <c r="W57" s="10">
        <f>N57</f>
        <v>74177</v>
      </c>
      <c r="X57" s="10">
        <f>O57</f>
        <v>73962</v>
      </c>
      <c r="Y57" s="10">
        <f>P57</f>
        <v>74151</v>
      </c>
      <c r="Z57" s="10">
        <f>Q57</f>
        <v>72778</v>
      </c>
    </row>
    <row r="58" spans="2:26" ht="5.0999999999999996" customHeight="1"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</row>
    <row r="59" spans="2:26">
      <c r="B59" s="32" t="s">
        <v>95</v>
      </c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</row>
    <row r="60" spans="2:26">
      <c r="B60" s="8" t="s">
        <v>96</v>
      </c>
      <c r="C60" s="80">
        <f>'Historical Financials'!C67+'Historical Financials'!C66</f>
        <v>2772</v>
      </c>
      <c r="D60" s="80">
        <f>'Historical Financials'!D67+'Historical Financials'!D66</f>
        <v>6517</v>
      </c>
      <c r="E60" s="80">
        <f>'Historical Financials'!E67+'Historical Financials'!E66</f>
        <v>2147</v>
      </c>
      <c r="G60" s="80">
        <f>'Historical Financials'!G67+'Historical Financials'!G66</f>
        <v>6266</v>
      </c>
      <c r="H60" s="80">
        <f>'Historical Financials'!H67+'Historical Financials'!H66</f>
        <v>5999</v>
      </c>
      <c r="I60" s="80">
        <f>'Historical Financials'!I67+'Historical Financials'!I66</f>
        <v>5995</v>
      </c>
      <c r="J60" s="80">
        <f>'Historical Financials'!J67+'Historical Financials'!J66</f>
        <v>6517</v>
      </c>
      <c r="K60" s="80">
        <f>'Historical Financials'!K67+'Historical Financials'!K66</f>
        <v>7446</v>
      </c>
      <c r="L60" s="80">
        <f>'Historical Financials'!L67+'Historical Financials'!L66</f>
        <v>5732</v>
      </c>
      <c r="M60" s="80">
        <f>'Historical Financials'!M67+'Historical Financials'!M66</f>
        <v>3270</v>
      </c>
      <c r="N60" s="80">
        <f>'Historical Financials'!N67+'Historical Financials'!N66</f>
        <v>2147</v>
      </c>
      <c r="O60" s="80">
        <f>'Historical Financials'!O67+'Historical Financials'!O66</f>
        <v>5581</v>
      </c>
      <c r="P60" s="80">
        <f>'Historical Financials'!P67+'Historical Financials'!P66</f>
        <v>4470</v>
      </c>
      <c r="Q60" s="80">
        <f>'Historical Financials'!Q67+'Historical Financials'!Q66</f>
        <v>4239</v>
      </c>
      <c r="S60" s="10">
        <f>J60</f>
        <v>6517</v>
      </c>
      <c r="T60" s="10">
        <f>K60</f>
        <v>7446</v>
      </c>
      <c r="U60" s="10">
        <f>L60</f>
        <v>5732</v>
      </c>
      <c r="V60" s="10">
        <f>M60</f>
        <v>3270</v>
      </c>
      <c r="W60" s="10">
        <f>N60</f>
        <v>2147</v>
      </c>
      <c r="X60" s="10">
        <f>O60</f>
        <v>5581</v>
      </c>
      <c r="Y60" s="10">
        <f>P60</f>
        <v>4470</v>
      </c>
      <c r="Z60" s="10">
        <f>Q60</f>
        <v>4239</v>
      </c>
    </row>
    <row r="61" spans="2:26">
      <c r="B61" s="8" t="s">
        <v>97</v>
      </c>
      <c r="C61" s="80">
        <f>'Historical Financials'!C72</f>
        <v>36377</v>
      </c>
      <c r="D61" s="80">
        <f>'Historical Financials'!D72</f>
        <v>35547</v>
      </c>
      <c r="E61" s="80">
        <f>'Historical Financials'!E72</f>
        <v>42375</v>
      </c>
      <c r="G61" s="80">
        <f>'Historical Financials'!G72</f>
        <v>36134</v>
      </c>
      <c r="H61" s="80">
        <f>'Historical Financials'!H72</f>
        <v>35626</v>
      </c>
      <c r="I61" s="80">
        <f>'Historical Financials'!I72</f>
        <v>34176</v>
      </c>
      <c r="J61" s="80">
        <f>'Historical Financials'!J72</f>
        <v>35547</v>
      </c>
      <c r="K61" s="80">
        <f>'Historical Financials'!K72</f>
        <v>35104</v>
      </c>
      <c r="L61" s="80">
        <f>'Historical Financials'!L72</f>
        <v>38085</v>
      </c>
      <c r="M61" s="80">
        <f>'Historical Financials'!M72</f>
        <v>42994</v>
      </c>
      <c r="N61" s="80">
        <f>'Historical Financials'!N72</f>
        <v>42375</v>
      </c>
      <c r="O61" s="80">
        <f>'Historical Financials'!O72</f>
        <v>43530</v>
      </c>
      <c r="P61" s="80">
        <f>'Historical Financials'!P72</f>
        <v>44976</v>
      </c>
      <c r="Q61" s="80">
        <f>'Historical Financials'!Q72</f>
        <v>43177</v>
      </c>
      <c r="S61" s="10">
        <f>J61</f>
        <v>35547</v>
      </c>
      <c r="T61" s="10">
        <f>K61</f>
        <v>35104</v>
      </c>
      <c r="U61" s="10">
        <f>L61</f>
        <v>38085</v>
      </c>
      <c r="V61" s="10">
        <f>M61</f>
        <v>42994</v>
      </c>
      <c r="W61" s="10">
        <f>N61</f>
        <v>42375</v>
      </c>
      <c r="X61" s="10">
        <f>O61</f>
        <v>43530</v>
      </c>
      <c r="Y61" s="10">
        <f>P61</f>
        <v>44976</v>
      </c>
      <c r="Z61" s="10">
        <f>Q61</f>
        <v>43177</v>
      </c>
    </row>
    <row r="63" spans="2:26">
      <c r="B63" s="8" t="s">
        <v>181</v>
      </c>
      <c r="C63" s="75">
        <v>2146</v>
      </c>
      <c r="D63" s="75">
        <v>4209</v>
      </c>
      <c r="E63" s="75">
        <v>1139</v>
      </c>
      <c r="G63" s="75">
        <v>5282</v>
      </c>
      <c r="H63" s="75">
        <v>4643</v>
      </c>
      <c r="I63" s="75">
        <v>3698</v>
      </c>
      <c r="J63" s="106">
        <f>D63</f>
        <v>4209</v>
      </c>
      <c r="K63" s="75">
        <v>5722</v>
      </c>
      <c r="L63" s="75">
        <v>3502</v>
      </c>
      <c r="M63" s="75">
        <v>1817</v>
      </c>
      <c r="N63" s="106">
        <f>E63</f>
        <v>1139</v>
      </c>
      <c r="O63" s="75">
        <v>5045</v>
      </c>
      <c r="P63" s="75">
        <v>4040</v>
      </c>
      <c r="Q63" s="75">
        <v>1992</v>
      </c>
      <c r="S63" s="10">
        <f>J63</f>
        <v>4209</v>
      </c>
      <c r="T63" s="10">
        <f>K63</f>
        <v>5722</v>
      </c>
      <c r="U63" s="10">
        <f>L63</f>
        <v>3502</v>
      </c>
      <c r="V63" s="10">
        <f>M63</f>
        <v>1817</v>
      </c>
      <c r="W63" s="10">
        <f>N63</f>
        <v>1139</v>
      </c>
      <c r="X63" s="10">
        <f>O63</f>
        <v>5045</v>
      </c>
      <c r="Y63" s="10">
        <f>P63</f>
        <v>4040</v>
      </c>
      <c r="Z63" s="10">
        <f>Q63</f>
        <v>1992</v>
      </c>
    </row>
    <row r="64" spans="2:26">
      <c r="B64" s="8" t="s">
        <v>182</v>
      </c>
      <c r="C64" s="75">
        <v>227</v>
      </c>
      <c r="D64" s="75">
        <v>348</v>
      </c>
      <c r="E64" s="75">
        <v>360</v>
      </c>
      <c r="G64" s="155"/>
      <c r="H64" s="155"/>
      <c r="I64" s="155"/>
      <c r="J64" s="106">
        <f t="shared" ref="J64:J71" si="26">D64</f>
        <v>348</v>
      </c>
      <c r="K64" s="155"/>
      <c r="L64" s="155"/>
      <c r="M64" s="155"/>
      <c r="N64" s="106">
        <f t="shared" ref="N64:N71" si="27">E64</f>
        <v>360</v>
      </c>
      <c r="O64" s="155"/>
      <c r="P64" s="155"/>
      <c r="Q64" s="155"/>
      <c r="S64" s="10">
        <f>J64</f>
        <v>348</v>
      </c>
      <c r="T64" s="10">
        <f>K64</f>
        <v>0</v>
      </c>
      <c r="U64" s="10">
        <f>L64</f>
        <v>0</v>
      </c>
      <c r="V64" s="10">
        <f>M64</f>
        <v>0</v>
      </c>
      <c r="W64" s="10">
        <f>N64</f>
        <v>360</v>
      </c>
      <c r="X64" s="10">
        <f>O64</f>
        <v>0</v>
      </c>
      <c r="Y64" s="10">
        <f>P64</f>
        <v>0</v>
      </c>
      <c r="Z64" s="10">
        <f>Q64</f>
        <v>0</v>
      </c>
    </row>
    <row r="65" spans="1:26">
      <c r="B65" s="125" t="s">
        <v>175</v>
      </c>
      <c r="C65" s="75">
        <v>21966</v>
      </c>
      <c r="D65" s="75">
        <v>21982</v>
      </c>
      <c r="E65" s="75">
        <v>26931</v>
      </c>
      <c r="G65" s="155"/>
      <c r="H65" s="155"/>
      <c r="I65" s="155"/>
      <c r="J65" s="106">
        <f t="shared" si="26"/>
        <v>21982</v>
      </c>
      <c r="K65" s="155"/>
      <c r="L65" s="155"/>
      <c r="M65" s="155"/>
      <c r="N65" s="106">
        <f t="shared" si="27"/>
        <v>26931</v>
      </c>
      <c r="O65" s="155"/>
      <c r="P65" s="155"/>
      <c r="Q65" s="155"/>
      <c r="S65" s="10">
        <f>J65</f>
        <v>21982</v>
      </c>
      <c r="T65" s="10">
        <f>K65</f>
        <v>0</v>
      </c>
      <c r="U65" s="10">
        <f>L65</f>
        <v>0</v>
      </c>
      <c r="V65" s="10">
        <f>M65</f>
        <v>0</v>
      </c>
      <c r="W65" s="10">
        <f>N65</f>
        <v>26931</v>
      </c>
      <c r="X65" s="10">
        <f>O65</f>
        <v>0</v>
      </c>
      <c r="Y65" s="10">
        <f>P65</f>
        <v>0</v>
      </c>
      <c r="Z65" s="10">
        <f>Q65</f>
        <v>0</v>
      </c>
    </row>
    <row r="66" spans="1:26">
      <c r="B66" s="125" t="s">
        <v>176</v>
      </c>
      <c r="C66" s="75">
        <v>891</v>
      </c>
      <c r="D66" s="75">
        <v>788</v>
      </c>
      <c r="E66" s="75">
        <v>778</v>
      </c>
      <c r="G66" s="155"/>
      <c r="H66" s="155"/>
      <c r="I66" s="155"/>
      <c r="J66" s="106">
        <f t="shared" si="26"/>
        <v>788</v>
      </c>
      <c r="K66" s="155"/>
      <c r="L66" s="155"/>
      <c r="M66" s="155"/>
      <c r="N66" s="106">
        <f t="shared" si="27"/>
        <v>778</v>
      </c>
      <c r="O66" s="155"/>
      <c r="P66" s="155"/>
      <c r="Q66" s="155"/>
      <c r="S66" s="10">
        <f>J66</f>
        <v>788</v>
      </c>
      <c r="T66" s="10">
        <f>K66</f>
        <v>0</v>
      </c>
      <c r="U66" s="10">
        <f>L66</f>
        <v>0</v>
      </c>
      <c r="V66" s="10">
        <f>M66</f>
        <v>0</v>
      </c>
      <c r="W66" s="10">
        <f>N66</f>
        <v>778</v>
      </c>
      <c r="X66" s="10">
        <f>O66</f>
        <v>0</v>
      </c>
      <c r="Y66" s="10">
        <f>P66</f>
        <v>0</v>
      </c>
      <c r="Z66" s="10">
        <f>Q66</f>
        <v>0</v>
      </c>
    </row>
    <row r="67" spans="1:26">
      <c r="B67" s="125" t="s">
        <v>177</v>
      </c>
      <c r="C67" s="75">
        <v>374</v>
      </c>
      <c r="D67" s="75">
        <v>374</v>
      </c>
      <c r="E67" s="75">
        <v>0</v>
      </c>
      <c r="G67" s="155"/>
      <c r="H67" s="155"/>
      <c r="I67" s="155"/>
      <c r="J67" s="106">
        <f t="shared" si="26"/>
        <v>374</v>
      </c>
      <c r="K67" s="155"/>
      <c r="L67" s="155"/>
      <c r="M67" s="155"/>
      <c r="N67" s="106">
        <f t="shared" si="27"/>
        <v>0</v>
      </c>
      <c r="O67" s="155"/>
      <c r="P67" s="155"/>
      <c r="Q67" s="155"/>
      <c r="S67" s="10">
        <f>J67</f>
        <v>374</v>
      </c>
      <c r="T67" s="10">
        <f>K67</f>
        <v>0</v>
      </c>
      <c r="U67" s="10">
        <f>L67</f>
        <v>0</v>
      </c>
      <c r="V67" s="10">
        <f>M67</f>
        <v>0</v>
      </c>
      <c r="W67" s="10">
        <f>N67</f>
        <v>0</v>
      </c>
      <c r="X67" s="10">
        <f>O67</f>
        <v>0</v>
      </c>
      <c r="Y67" s="10">
        <f>P67</f>
        <v>0</v>
      </c>
      <c r="Z67" s="10">
        <f>Q67</f>
        <v>0</v>
      </c>
    </row>
    <row r="68" spans="1:26">
      <c r="B68" s="125" t="s">
        <v>178</v>
      </c>
      <c r="C68" s="75">
        <v>12485</v>
      </c>
      <c r="D68" s="75">
        <v>12888</v>
      </c>
      <c r="E68" s="75">
        <v>13619</v>
      </c>
      <c r="G68" s="155"/>
      <c r="H68" s="155"/>
      <c r="I68" s="155"/>
      <c r="J68" s="106">
        <f t="shared" si="26"/>
        <v>12888</v>
      </c>
      <c r="K68" s="155"/>
      <c r="L68" s="155"/>
      <c r="M68" s="155"/>
      <c r="N68" s="106">
        <f t="shared" si="27"/>
        <v>13619</v>
      </c>
      <c r="O68" s="155"/>
      <c r="P68" s="155"/>
      <c r="Q68" s="155"/>
      <c r="S68" s="10">
        <f>J68</f>
        <v>12888</v>
      </c>
      <c r="T68" s="10">
        <f>K68</f>
        <v>0</v>
      </c>
      <c r="U68" s="10">
        <f>L68</f>
        <v>0</v>
      </c>
      <c r="V68" s="10">
        <f>M68</f>
        <v>0</v>
      </c>
      <c r="W68" s="10">
        <f>N68</f>
        <v>13619</v>
      </c>
      <c r="X68" s="10">
        <f>O68</f>
        <v>0</v>
      </c>
      <c r="Y68" s="10">
        <f>P68</f>
        <v>0</v>
      </c>
      <c r="Z68" s="10">
        <f>Q68</f>
        <v>0</v>
      </c>
    </row>
    <row r="69" spans="1:26">
      <c r="B69" s="125" t="s">
        <v>179</v>
      </c>
      <c r="C69" s="75">
        <v>623</v>
      </c>
      <c r="D69" s="75">
        <v>684</v>
      </c>
      <c r="E69" s="75">
        <v>635</v>
      </c>
      <c r="G69" s="155"/>
      <c r="H69" s="155"/>
      <c r="I69" s="155"/>
      <c r="J69" s="106">
        <f t="shared" si="26"/>
        <v>684</v>
      </c>
      <c r="K69" s="155"/>
      <c r="L69" s="155"/>
      <c r="M69" s="155"/>
      <c r="N69" s="106">
        <f t="shared" si="27"/>
        <v>635</v>
      </c>
      <c r="O69" s="155"/>
      <c r="P69" s="155"/>
      <c r="Q69" s="155"/>
      <c r="S69" s="10">
        <f>J69</f>
        <v>684</v>
      </c>
      <c r="T69" s="10">
        <f>K69</f>
        <v>0</v>
      </c>
      <c r="U69" s="10">
        <f>L69</f>
        <v>0</v>
      </c>
      <c r="V69" s="10">
        <f>M69</f>
        <v>0</v>
      </c>
      <c r="W69" s="10">
        <f>N69</f>
        <v>635</v>
      </c>
      <c r="X69" s="10">
        <f>O69</f>
        <v>0</v>
      </c>
      <c r="Y69" s="10">
        <f>P69</f>
        <v>0</v>
      </c>
      <c r="Z69" s="10">
        <f>Q69</f>
        <v>0</v>
      </c>
    </row>
    <row r="70" spans="1:26">
      <c r="B70" s="125" t="s">
        <v>180</v>
      </c>
      <c r="C70" s="75">
        <v>1906</v>
      </c>
      <c r="D70" s="75">
        <v>1763</v>
      </c>
      <c r="E70" s="75">
        <v>1845</v>
      </c>
      <c r="G70" s="155"/>
      <c r="H70" s="155"/>
      <c r="I70" s="155"/>
      <c r="J70" s="106">
        <f t="shared" si="26"/>
        <v>1763</v>
      </c>
      <c r="K70" s="155"/>
      <c r="L70" s="155"/>
      <c r="M70" s="155"/>
      <c r="N70" s="106">
        <f t="shared" si="27"/>
        <v>1845</v>
      </c>
      <c r="O70" s="155"/>
      <c r="P70" s="155"/>
      <c r="Q70" s="155"/>
      <c r="S70" s="10">
        <f>J70</f>
        <v>1763</v>
      </c>
      <c r="T70" s="10">
        <f>K70</f>
        <v>0</v>
      </c>
      <c r="U70" s="10">
        <f>L70</f>
        <v>0</v>
      </c>
      <c r="V70" s="10">
        <f>M70</f>
        <v>0</v>
      </c>
      <c r="W70" s="10">
        <f>N70</f>
        <v>1845</v>
      </c>
      <c r="X70" s="10">
        <f>O70</f>
        <v>0</v>
      </c>
      <c r="Y70" s="10">
        <f>P70</f>
        <v>0</v>
      </c>
      <c r="Z70" s="10">
        <f>Q70</f>
        <v>0</v>
      </c>
    </row>
    <row r="71" spans="1:26">
      <c r="B71" s="125" t="s">
        <v>184</v>
      </c>
      <c r="C71" s="75">
        <v>1125</v>
      </c>
      <c r="D71" s="75">
        <v>1018</v>
      </c>
      <c r="E71" s="75">
        <v>997</v>
      </c>
      <c r="G71" s="155"/>
      <c r="H71" s="155"/>
      <c r="I71" s="155"/>
      <c r="J71" s="106">
        <f t="shared" si="26"/>
        <v>1018</v>
      </c>
      <c r="K71" s="155"/>
      <c r="L71" s="155"/>
      <c r="M71" s="155"/>
      <c r="N71" s="106">
        <f t="shared" si="27"/>
        <v>997</v>
      </c>
      <c r="O71" s="155"/>
      <c r="P71" s="155"/>
      <c r="Q71" s="155"/>
      <c r="S71" s="10">
        <f>J71</f>
        <v>1018</v>
      </c>
      <c r="T71" s="10">
        <f>K71</f>
        <v>0</v>
      </c>
      <c r="U71" s="10">
        <f>L71</f>
        <v>0</v>
      </c>
      <c r="V71" s="10">
        <f>M71</f>
        <v>0</v>
      </c>
      <c r="W71" s="10">
        <f>N71</f>
        <v>997</v>
      </c>
      <c r="X71" s="10">
        <f>O71</f>
        <v>0</v>
      </c>
      <c r="Y71" s="10">
        <f>P71</f>
        <v>0</v>
      </c>
      <c r="Z71" s="10">
        <f>Q71</f>
        <v>0</v>
      </c>
    </row>
    <row r="72" spans="1:26" ht="12.75" customHeight="1">
      <c r="B72" s="12" t="s">
        <v>21</v>
      </c>
      <c r="C72" s="13">
        <f>SUM(C63:C71)</f>
        <v>41743</v>
      </c>
      <c r="D72" s="13">
        <f t="shared" ref="D72:E72" si="28">SUM(D63:D71)</f>
        <v>44054</v>
      </c>
      <c r="E72" s="13">
        <f t="shared" si="28"/>
        <v>46304</v>
      </c>
      <c r="G72" s="13">
        <f>SUM(G63:G71)+SUM(G60:G61)-G63</f>
        <v>42400</v>
      </c>
      <c r="H72" s="13">
        <f t="shared" ref="H72:M72" si="29">SUM(H63:H71)+SUM(H60:H61)-H63</f>
        <v>41625</v>
      </c>
      <c r="I72" s="13">
        <f t="shared" si="29"/>
        <v>40171</v>
      </c>
      <c r="J72" s="13">
        <f t="shared" ref="J72" si="30">SUM(J63:J71)</f>
        <v>44054</v>
      </c>
      <c r="K72" s="13">
        <f t="shared" si="29"/>
        <v>42550</v>
      </c>
      <c r="L72" s="13">
        <f t="shared" si="29"/>
        <v>43817</v>
      </c>
      <c r="M72" s="13">
        <f t="shared" si="29"/>
        <v>46264</v>
      </c>
      <c r="N72" s="13">
        <f t="shared" ref="N72" si="31">SUM(N63:N71)</f>
        <v>46304</v>
      </c>
      <c r="O72" s="13">
        <f t="shared" ref="O72" si="32">SUM(O63:O71)+SUM(O60:O61)-O63</f>
        <v>49111</v>
      </c>
      <c r="P72" s="13">
        <f t="shared" ref="P72" si="33">SUM(P63:P71)+SUM(P60:P61)-P63</f>
        <v>49446</v>
      </c>
      <c r="Q72" s="13">
        <f t="shared" ref="Q72" si="34">SUM(Q63:Q71)+SUM(Q60:Q61)-Q63</f>
        <v>47416</v>
      </c>
      <c r="S72" s="13">
        <f t="shared" ref="S72:Y72" si="35">J72</f>
        <v>44054</v>
      </c>
      <c r="T72" s="13">
        <f t="shared" si="35"/>
        <v>42550</v>
      </c>
      <c r="U72" s="13">
        <f t="shared" si="35"/>
        <v>43817</v>
      </c>
      <c r="V72" s="13">
        <f t="shared" si="35"/>
        <v>46264</v>
      </c>
      <c r="W72" s="13">
        <f t="shared" si="35"/>
        <v>46304</v>
      </c>
      <c r="X72" s="13">
        <f t="shared" si="35"/>
        <v>49111</v>
      </c>
      <c r="Y72" s="13">
        <f t="shared" si="35"/>
        <v>49446</v>
      </c>
      <c r="Z72" s="13">
        <f>Q72</f>
        <v>47416</v>
      </c>
    </row>
    <row r="73" spans="1:26" ht="5.0999999999999996" customHeight="1"/>
    <row r="74" spans="1:26" ht="12.75" customHeight="1">
      <c r="B74" s="8" t="s">
        <v>46</v>
      </c>
      <c r="C74" s="80">
        <f>'Historical Financials'!C85</f>
        <v>25826</v>
      </c>
      <c r="D74" s="80">
        <f>'Historical Financials'!D85</f>
        <v>27480</v>
      </c>
      <c r="E74" s="80">
        <f>'Historical Financials'!E85</f>
        <v>26372</v>
      </c>
      <c r="G74" s="80">
        <f>'Historical Financials'!G85</f>
        <v>26868</v>
      </c>
      <c r="H74" s="80">
        <f>'Historical Financials'!H85</f>
        <v>27552</v>
      </c>
      <c r="I74" s="80">
        <f>'Historical Financials'!I85</f>
        <v>27833</v>
      </c>
      <c r="J74" s="80">
        <f>'Historical Financials'!J85</f>
        <v>27480</v>
      </c>
      <c r="K74" s="80">
        <f>'Historical Financials'!K85</f>
        <v>27946</v>
      </c>
      <c r="L74" s="80">
        <f>'Historical Financials'!L85</f>
        <v>27411</v>
      </c>
      <c r="M74" s="80">
        <f>'Historical Financials'!M85</f>
        <v>28154</v>
      </c>
      <c r="N74" s="80">
        <f>'Historical Financials'!N85</f>
        <v>26372</v>
      </c>
      <c r="O74" s="80">
        <f>'Historical Financials'!O85</f>
        <v>27754</v>
      </c>
      <c r="P74" s="80">
        <f>'Historical Financials'!P85</f>
        <v>30182</v>
      </c>
      <c r="Q74" s="80">
        <f>'Historical Financials'!Q85</f>
        <v>33267</v>
      </c>
      <c r="S74" s="10">
        <f>J74</f>
        <v>27480</v>
      </c>
      <c r="T74" s="10">
        <f>K74</f>
        <v>27946</v>
      </c>
      <c r="U74" s="10">
        <f>L74</f>
        <v>27411</v>
      </c>
      <c r="V74" s="10">
        <f>M74</f>
        <v>28154</v>
      </c>
      <c r="W74" s="10">
        <f>N74</f>
        <v>26372</v>
      </c>
      <c r="X74" s="10">
        <f>O74</f>
        <v>27754</v>
      </c>
      <c r="Y74" s="10">
        <f>P74</f>
        <v>30182</v>
      </c>
      <c r="Z74" s="10">
        <f>Q74</f>
        <v>33267</v>
      </c>
    </row>
    <row r="75" spans="1:26" ht="12.75" customHeight="1">
      <c r="B75" s="12" t="s">
        <v>47</v>
      </c>
      <c r="C75" s="13">
        <f t="shared" ref="C75:E75" si="36">SUM(C72:C74)</f>
        <v>67569</v>
      </c>
      <c r="D75" s="13">
        <f t="shared" si="36"/>
        <v>71534</v>
      </c>
      <c r="E75" s="13">
        <f t="shared" si="36"/>
        <v>72676</v>
      </c>
      <c r="G75" s="13">
        <f>SUM(G72:G74)</f>
        <v>69268</v>
      </c>
      <c r="H75" s="13">
        <f>SUM(H72:H74)</f>
        <v>69177</v>
      </c>
      <c r="I75" s="13">
        <f>SUM(I72:I74)</f>
        <v>68004</v>
      </c>
      <c r="J75" s="13">
        <f>SUM(J72:J74)</f>
        <v>71534</v>
      </c>
      <c r="K75" s="13">
        <f t="shared" ref="K75:P75" si="37">SUM(K72:K74)</f>
        <v>70496</v>
      </c>
      <c r="L75" s="13">
        <f t="shared" si="37"/>
        <v>71228</v>
      </c>
      <c r="M75" s="13">
        <f t="shared" si="37"/>
        <v>74418</v>
      </c>
      <c r="N75" s="13">
        <f t="shared" si="37"/>
        <v>72676</v>
      </c>
      <c r="O75" s="13">
        <f t="shared" si="37"/>
        <v>76865</v>
      </c>
      <c r="P75" s="13">
        <f t="shared" si="37"/>
        <v>79628</v>
      </c>
      <c r="Q75" s="13">
        <f t="shared" ref="Q75" si="38">SUM(Q72:Q74)</f>
        <v>80683</v>
      </c>
      <c r="S75" s="13">
        <f t="shared" ref="S75:X75" si="39">SUM(S72:S74)</f>
        <v>71534</v>
      </c>
      <c r="T75" s="13">
        <f t="shared" si="39"/>
        <v>70496</v>
      </c>
      <c r="U75" s="13">
        <f t="shared" si="39"/>
        <v>71228</v>
      </c>
      <c r="V75" s="13">
        <f t="shared" si="39"/>
        <v>74418</v>
      </c>
      <c r="W75" s="13">
        <f t="shared" si="39"/>
        <v>72676</v>
      </c>
      <c r="X75" s="13">
        <f t="shared" si="39"/>
        <v>76865</v>
      </c>
      <c r="Y75" s="13">
        <f>SUM(Y72:Y74)</f>
        <v>79628</v>
      </c>
      <c r="Z75" s="13">
        <f>SUM(Z72:Z74)</f>
        <v>80683</v>
      </c>
    </row>
    <row r="76" spans="1:26" ht="5.0999999999999996" customHeight="1"/>
    <row r="77" spans="1:26">
      <c r="A77" s="5"/>
      <c r="B77" s="31" t="s">
        <v>70</v>
      </c>
      <c r="C77" s="31"/>
      <c r="D77" s="31"/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</row>
    <row r="78" spans="1:26" ht="5.0999999999999996" customHeight="1"/>
    <row r="79" spans="1:26" ht="12.75" customHeight="1">
      <c r="B79" s="29" t="s">
        <v>98</v>
      </c>
      <c r="C79" s="129">
        <f>C72/C26</f>
        <v>4.1722138930534731</v>
      </c>
      <c r="D79" s="129">
        <f>D72/D26</f>
        <v>4.220944715914535</v>
      </c>
      <c r="E79" s="129">
        <f>E72/E26</f>
        <v>5.0314028034336626</v>
      </c>
      <c r="G79" s="130"/>
      <c r="H79" s="130"/>
      <c r="I79" s="130"/>
      <c r="J79" s="129">
        <f>SUM(J72/SUM(G26:J26))</f>
        <v>4.220944715914535</v>
      </c>
      <c r="K79" s="129">
        <f>SUM(K72/SUM(H26:K26))</f>
        <v>4.6024878312601407</v>
      </c>
      <c r="L79" s="129">
        <f>SUM(L72/SUM(I26:L26))</f>
        <v>4.6132870077911141</v>
      </c>
      <c r="M79" s="129">
        <f>SUM(M72/SUM(J26:M26))</f>
        <v>5.2752565564424172</v>
      </c>
      <c r="N79" s="129">
        <f>SUM(N72/SUM(K26:N26))</f>
        <v>5.0314028034336626</v>
      </c>
      <c r="O79" s="129">
        <f>SUM(O72/SUM(L26:O26))</f>
        <v>4.5850994304920176</v>
      </c>
      <c r="P79" s="129">
        <f>SUM(P72/SUM(M26:P26))</f>
        <v>4.0056707712248869</v>
      </c>
      <c r="Q79" s="129">
        <f>SUM(Q72/SUM(N26:Q26))</f>
        <v>3.4302249873399409</v>
      </c>
      <c r="R79" s="129"/>
      <c r="S79" s="129">
        <f>S72/S26</f>
        <v>4.220944715914535</v>
      </c>
      <c r="T79" s="129">
        <f>T72/T26</f>
        <v>4.6024878312601407</v>
      </c>
      <c r="U79" s="129">
        <f>U72/U26</f>
        <v>4.6132870077911141</v>
      </c>
      <c r="V79" s="129">
        <f>V72/V26</f>
        <v>5.2752565564424172</v>
      </c>
      <c r="W79" s="129">
        <f>W72/W26</f>
        <v>5.0314028034336626</v>
      </c>
      <c r="X79" s="129">
        <f>X72/X26</f>
        <v>4.5850994304920176</v>
      </c>
      <c r="Y79" s="129">
        <f>Y72/Y26</f>
        <v>4.0056707712248869</v>
      </c>
      <c r="Z79" s="129">
        <f>Z72/Z26</f>
        <v>3.4302249873399409</v>
      </c>
    </row>
    <row r="80" spans="1:26" ht="12.75" customHeight="1">
      <c r="B80" s="29" t="s">
        <v>99</v>
      </c>
      <c r="C80" s="129">
        <f>SUM(C72-C45)/C26</f>
        <v>3.2207896051974014</v>
      </c>
      <c r="D80" s="129">
        <f>SUM(D72-D45)/D26</f>
        <v>3.3235604100795246</v>
      </c>
      <c r="E80" s="129">
        <f>SUM(E72-E45)/E26</f>
        <v>3.8548299467564924</v>
      </c>
      <c r="G80" s="130"/>
      <c r="H80" s="130"/>
      <c r="I80" s="130"/>
      <c r="J80" s="129">
        <f>SUM(J72-J45)/SUM(G26:J26)</f>
        <v>3.3235604100795246</v>
      </c>
      <c r="K80" s="129">
        <f>SUM(K72-K45)/SUM(H26:K26)</f>
        <v>3.4729042725797727</v>
      </c>
      <c r="L80" s="129">
        <f>SUM(L72-L45)/SUM(I26:L26)</f>
        <v>3.1700357970098967</v>
      </c>
      <c r="M80" s="129">
        <f>SUM(M72-M45)/SUM(J26:M26)</f>
        <v>3.6859749144811857</v>
      </c>
      <c r="N80" s="129">
        <f>SUM(N72-N45)/SUM(K26:N26)</f>
        <v>3.8548299467564924</v>
      </c>
      <c r="O80" s="129">
        <f>SUM(O72-O45)/SUM(L26:O26)</f>
        <v>3.7992717766781814</v>
      </c>
      <c r="P80" s="129">
        <f>SUM(P72-P45)/SUM(M26:P26)</f>
        <v>3.2287751134154243</v>
      </c>
      <c r="Q80" s="129">
        <f>SUM(Q72-Q45)/SUM(N26:Q26)</f>
        <v>2.5091514143094842</v>
      </c>
      <c r="R80" s="129"/>
      <c r="S80" s="129">
        <f>SUM(S72-S45)/S26</f>
        <v>3.3235604100795246</v>
      </c>
      <c r="T80" s="129">
        <f>SUM(T72-T45)/T26</f>
        <v>3.4729042725797727</v>
      </c>
      <c r="U80" s="129">
        <f>SUM(U72-U45)/U26</f>
        <v>3.1700357970098967</v>
      </c>
      <c r="V80" s="129">
        <f>SUM(V72-V45)/V26</f>
        <v>3.6859749144811857</v>
      </c>
      <c r="W80" s="129">
        <f>SUM(W72-W45)/W26</f>
        <v>3.8548299467564924</v>
      </c>
      <c r="X80" s="129">
        <f>SUM(X72-X45)/X26</f>
        <v>3.7992717766781814</v>
      </c>
      <c r="Y80" s="129">
        <f>SUM(Y72-Y45)/Y26</f>
        <v>3.2287751134154243</v>
      </c>
      <c r="Z80" s="129">
        <f>SUM(Z72-Z45)/Z26</f>
        <v>2.5091514143094842</v>
      </c>
    </row>
    <row r="81" spans="2:26" ht="12.75" customHeight="1">
      <c r="B81" s="29" t="s">
        <v>100</v>
      </c>
      <c r="C81" s="129">
        <f>C26/-C31</f>
        <v>11.343537414965986</v>
      </c>
      <c r="D81" s="129">
        <f>D26/-D31</f>
        <v>6.8349705304518666</v>
      </c>
      <c r="E81" s="129">
        <f>E26/-E31</f>
        <v>5.5573671497584538</v>
      </c>
      <c r="G81" s="130"/>
      <c r="H81" s="130"/>
      <c r="I81" s="130"/>
      <c r="J81" s="129" cm="1">
        <f t="array" ref="J81">SUM(G26:J26)/SUM(-G31:J31)</f>
        <v>6.8349705304518666</v>
      </c>
      <c r="K81" s="129" cm="1">
        <f t="array" ref="K81">SUM(H26:K26)/SUM(-H31:K31)</f>
        <v>6.0149642160052048</v>
      </c>
      <c r="L81" s="129" cm="1">
        <f t="array" ref="L81">SUM(I26:L26)/SUM(-I31:L31)</f>
        <v>6.0075901328273247</v>
      </c>
      <c r="M81" s="129" cm="1">
        <f t="array" ref="M81">SUM(J26:M26)/SUM(-J31:M31)</f>
        <v>5.3540903540903537</v>
      </c>
      <c r="N81" s="129" cm="1">
        <f t="array" ref="N81">SUM(K26:N26)/SUM(-K31:N31)</f>
        <v>5.5573671497584538</v>
      </c>
      <c r="O81" s="129" cm="1">
        <f t="array" ref="O81">SUM(L26:O26)/SUM(-L31:O31)</f>
        <v>6.4485249849488264</v>
      </c>
      <c r="P81" s="129" cm="1">
        <f t="array" ref="P81">SUM(M26:P26)/SUM(-M31:P31)</f>
        <v>7.3127962085308056</v>
      </c>
      <c r="Q81" s="129" cm="1">
        <f t="array" ref="Q81">SUM(N26:Q26)/SUM(-N31:Q31)</f>
        <v>8.357315598548972</v>
      </c>
      <c r="R81" s="129"/>
      <c r="S81" s="129">
        <f>S26/-S31</f>
        <v>6.8349705304518666</v>
      </c>
      <c r="T81" s="129">
        <f>T26/-T31</f>
        <v>6.0149642160052048</v>
      </c>
      <c r="U81" s="129">
        <f>U26/-U31</f>
        <v>6.0075901328273247</v>
      </c>
      <c r="V81" s="129">
        <f>V26/-V31</f>
        <v>5.3540903540903537</v>
      </c>
      <c r="W81" s="129">
        <f>W26/-W31</f>
        <v>5.5573671497584538</v>
      </c>
      <c r="X81" s="129">
        <f>X26/-X31</f>
        <v>6.4485249849488264</v>
      </c>
      <c r="Y81" s="129">
        <f>Y26/-Y31</f>
        <v>7.3127962085308056</v>
      </c>
      <c r="Z81" s="129">
        <f>Z26/-Z31</f>
        <v>8.357315598548972</v>
      </c>
    </row>
    <row r="82" spans="2:26" ht="12.75" customHeight="1">
      <c r="B82" s="29" t="s">
        <v>101</v>
      </c>
      <c r="C82" s="129" cm="1">
        <f t="array" ref="C82">SUM(C26+C29)/SUM(-C30:C31)</f>
        <v>2.8431765098431767</v>
      </c>
      <c r="D82" s="129" cm="1">
        <f t="array" ref="D82">SUM(D26+D29)/SUM(-D30:D31)</f>
        <v>2.2735699152542375</v>
      </c>
      <c r="E82" s="129" cm="1">
        <f t="array" ref="E82">SUM(E26+E29)/SUM(-E30:E31)</f>
        <v>1.7441974102125579</v>
      </c>
      <c r="G82" s="130"/>
      <c r="H82" s="130"/>
      <c r="I82" s="130"/>
      <c r="J82" s="129" cm="1">
        <f t="array" ref="J82">SUM(G26:J26+G29:J29)/SUM(-G30:J31)</f>
        <v>2.2735699152542375</v>
      </c>
      <c r="K82" s="129" cm="1">
        <f t="array" ref="K82">SUM(H26:K26+H29:K29)/SUM(-H30:K31)</f>
        <v>2.0659496178884802</v>
      </c>
      <c r="L82" s="129" cm="1">
        <f t="array" ref="L82">SUM(I26:L26+I29:L29)/SUM(-I30:L31)</f>
        <v>1.9425227568270482</v>
      </c>
      <c r="M82" s="129" cm="1">
        <f t="array" ref="M82">SUM(J26:M26+J29:M29)/SUM(-J30:M31)</f>
        <v>1.6737053795877326</v>
      </c>
      <c r="N82" s="129" cm="1">
        <f t="array" ref="N82">SUM(K26:N26+K29:N29)/SUM(-K30:N31)</f>
        <v>1.7441974102125579</v>
      </c>
      <c r="O82" s="129" cm="1">
        <f t="array" ref="O82">SUM(L26:O26+L29:O29)/SUM(-L30:O31)</f>
        <v>2.1069441083958385</v>
      </c>
      <c r="P82" s="129" cm="1">
        <f t="array" ref="P82">SUM(M26:P26+M29:P29)/SUM(-M30:P31)</f>
        <v>2.2803800265134777</v>
      </c>
      <c r="Q82" s="129" cm="1">
        <f t="array" ref="Q82">SUM(N26:Q26+N29:Q29)/SUM(-N30:Q31)</f>
        <v>2.6423128641864633</v>
      </c>
      <c r="R82" s="129"/>
      <c r="S82" s="129" cm="1">
        <f t="array" ref="S82">SUM(S26+S29)/SUM(-S30:S31)</f>
        <v>2.2735699152542375</v>
      </c>
      <c r="T82" s="129" cm="1">
        <f t="array" ref="T82">SUM(T26+T29)/SUM(-T30:T31)</f>
        <v>2.0659496178884802</v>
      </c>
      <c r="U82" s="129" cm="1">
        <f t="array" ref="U82">SUM(U26+U29)/SUM(-U30:U31)</f>
        <v>1.9425227568270482</v>
      </c>
      <c r="V82" s="129" cm="1">
        <f t="array" ref="V82">SUM(V26+V29)/SUM(-V30:V31)</f>
        <v>1.6737053795877326</v>
      </c>
      <c r="W82" s="129" cm="1">
        <f t="array" ref="W82">SUM(W26+W29)/SUM(-W30:W31)</f>
        <v>1.7441974102125579</v>
      </c>
      <c r="X82" s="129" cm="1">
        <f t="array" ref="X82">SUM(X26+X29)/SUM(-X30:X31)</f>
        <v>2.1069441083958385</v>
      </c>
      <c r="Y82" s="129" cm="1">
        <f t="array" ref="Y82">SUM(Y26+Y29)/SUM(-Y30:Y31)</f>
        <v>2.2803800265134777</v>
      </c>
      <c r="Z82" s="129" cm="1">
        <f t="array" ref="Z82">SUM(Z26+Z29)/SUM(-Z30:Z31)</f>
        <v>2.6423128641864633</v>
      </c>
    </row>
    <row r="83" spans="2:26" ht="12.75" customHeight="1">
      <c r="B83" s="29" t="s">
        <v>102</v>
      </c>
      <c r="C83" s="129" cm="1">
        <f t="array" ref="C83">SUM(C26)/SUM(-C29:C31)</f>
        <v>2.2327605445213123</v>
      </c>
      <c r="D83" s="129" cm="1">
        <f t="array" ref="D83">SUM(D26)/SUM(-D29:D31)</f>
        <v>1.8544776119402986</v>
      </c>
      <c r="E83" s="129" cm="1">
        <f t="array" ref="E83">SUM(E26)/SUM(-E29:E31)</f>
        <v>1.4947214552541823</v>
      </c>
      <c r="G83" s="130"/>
      <c r="H83" s="130"/>
      <c r="I83" s="130"/>
      <c r="J83" s="129" cm="1">
        <f t="array" ref="J83">SUM(G26:J26)/SUM(-G29:J31)</f>
        <v>1.8544776119402986</v>
      </c>
      <c r="K83" s="129" cm="1">
        <f t="array" ref="K83">SUM(H26:K26)/SUM(-H29:K31)</f>
        <v>1.6873517065157875</v>
      </c>
      <c r="L83" s="129" cm="1">
        <f t="array" ref="L83">SUM(I26:L26)/SUM(-I29:L31)</f>
        <v>1.616956077630235</v>
      </c>
      <c r="M83" s="129" cm="1">
        <f t="array" ref="M83">SUM(J26:M26)/SUM(-J29:M31)</f>
        <v>1.4400656814449917</v>
      </c>
      <c r="N83" s="129" cm="1">
        <f t="array" ref="N83">SUM(K26:N26)/SUM(-K29:N31)</f>
        <v>1.4947214552541823</v>
      </c>
      <c r="O83" s="129" cm="1">
        <f t="array" ref="O83">SUM(L26:O26)/SUM(-L29:O31)</f>
        <v>1.745599739243807</v>
      </c>
      <c r="P83" s="129" cm="1">
        <f t="array" ref="P83">SUM(M26:P26)/SUM(-M29:P31)</f>
        <v>1.8848679187662238</v>
      </c>
      <c r="Q83" s="129" cm="1">
        <f t="array" ref="Q83">SUM(N26:Q26)/SUM(-N29:Q31)</f>
        <v>2.1282525019245573</v>
      </c>
      <c r="R83" s="129"/>
      <c r="S83" s="129" cm="1">
        <f t="array" ref="S83">SUM(S26)/SUM(-S29:S31)</f>
        <v>1.8544776119402986</v>
      </c>
      <c r="T83" s="129" cm="1">
        <f t="array" ref="T83">SUM(T26)/SUM(-T29:T31)</f>
        <v>1.6873517065157875</v>
      </c>
      <c r="U83" s="129" cm="1">
        <f t="array" ref="U83">SUM(U26)/SUM(-U29:U31)</f>
        <v>1.616956077630235</v>
      </c>
      <c r="V83" s="129" cm="1">
        <f t="array" ref="V83">SUM(V26)/SUM(-V29:V31)</f>
        <v>1.4400656814449917</v>
      </c>
      <c r="W83" s="129" cm="1">
        <f t="array" ref="W83">SUM(W26)/SUM(-W29:W31)</f>
        <v>1.4947214552541823</v>
      </c>
      <c r="X83" s="129" cm="1">
        <f t="array" ref="X83">SUM(X26)/SUM(-X29:X31)</f>
        <v>1.745599739243807</v>
      </c>
      <c r="Y83" s="129" cm="1">
        <f t="array" ref="Y83">SUM(Y26)/SUM(-Y29:Y31)</f>
        <v>1.8848679187662238</v>
      </c>
      <c r="Z83" s="129" cm="1">
        <f t="array" ref="Z83">SUM(Z26)/SUM(-Z29:Z31)</f>
        <v>2.1282525019245573</v>
      </c>
    </row>
    <row r="84" spans="2:26" ht="12.75" customHeight="1">
      <c r="B84" s="8" t="s">
        <v>48</v>
      </c>
      <c r="C84" s="129">
        <f t="shared" ref="C84:E84" si="40">C75/C72</f>
        <v>1.6186905588961022</v>
      </c>
      <c r="D84" s="129">
        <f t="shared" si="40"/>
        <v>1.6237799064784129</v>
      </c>
      <c r="E84" s="129">
        <f t="shared" si="40"/>
        <v>1.5695404284727021</v>
      </c>
      <c r="G84" s="130"/>
      <c r="H84" s="130"/>
      <c r="I84" s="130"/>
      <c r="J84" s="129">
        <f t="shared" ref="J84:Q84" si="41">J75/J72</f>
        <v>1.6237799064784129</v>
      </c>
      <c r="K84" s="129">
        <f t="shared" si="41"/>
        <v>1.6567802585193889</v>
      </c>
      <c r="L84" s="129">
        <f t="shared" si="41"/>
        <v>1.6255791131296071</v>
      </c>
      <c r="M84" s="129">
        <f t="shared" si="41"/>
        <v>1.6085509251253673</v>
      </c>
      <c r="N84" s="129">
        <f t="shared" si="41"/>
        <v>1.5695404284727021</v>
      </c>
      <c r="O84" s="129">
        <f t="shared" si="41"/>
        <v>1.5651279754026592</v>
      </c>
      <c r="P84" s="129">
        <f t="shared" si="41"/>
        <v>1.6104032682117866</v>
      </c>
      <c r="Q84" s="129">
        <f t="shared" si="41"/>
        <v>1.7015986165007593</v>
      </c>
      <c r="R84" s="129"/>
      <c r="S84" s="129">
        <f t="shared" ref="S84:X84" si="42">S75/S72</f>
        <v>1.6237799064784129</v>
      </c>
      <c r="T84" s="129">
        <f t="shared" si="42"/>
        <v>1.6567802585193889</v>
      </c>
      <c r="U84" s="129">
        <f t="shared" si="42"/>
        <v>1.6255791131296071</v>
      </c>
      <c r="V84" s="129">
        <f t="shared" si="42"/>
        <v>1.6085509251253673</v>
      </c>
      <c r="W84" s="129">
        <f t="shared" si="42"/>
        <v>1.5695404284727021</v>
      </c>
      <c r="X84" s="129">
        <f t="shared" si="42"/>
        <v>1.5651279754026592</v>
      </c>
      <c r="Y84" s="129">
        <f>Y75/Y72</f>
        <v>1.6104032682117866</v>
      </c>
      <c r="Z84" s="129">
        <f>Z75/Z72</f>
        <v>1.7015986165007593</v>
      </c>
    </row>
    <row r="85" spans="2:26" ht="5.0999999999999996" customHeight="1" thickBot="1">
      <c r="B85" s="34"/>
      <c r="C85" s="34"/>
      <c r="D85" s="34"/>
      <c r="E85" s="34"/>
      <c r="F85" s="34"/>
      <c r="G85" s="34"/>
      <c r="H85" s="34"/>
      <c r="I85" s="34"/>
      <c r="J85" s="34"/>
      <c r="K85" s="34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</row>
  </sheetData>
  <mergeCells count="1">
    <mergeCell ref="AB2:AB4"/>
  </mergeCells>
  <pageMargins left="0.7" right="0.7" top="0.75" bottom="0.75" header="0.3" footer="0.3"/>
  <ignoredErrors>
    <ignoredError sqref="N72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Historical Financials</vt:lpstr>
      <vt:lpstr>Revenue Drivers</vt:lpstr>
      <vt:lpstr>FCF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Felix Garcia</dc:creator>
  <cp:lastModifiedBy>Felix Garcia</cp:lastModifiedBy>
  <dcterms:created xsi:type="dcterms:W3CDTF">2024-08-10T06:01:52Z</dcterms:created>
  <dcterms:modified xsi:type="dcterms:W3CDTF">2025-12-28T23:30:01Z</dcterms:modified>
</cp:coreProperties>
</file>