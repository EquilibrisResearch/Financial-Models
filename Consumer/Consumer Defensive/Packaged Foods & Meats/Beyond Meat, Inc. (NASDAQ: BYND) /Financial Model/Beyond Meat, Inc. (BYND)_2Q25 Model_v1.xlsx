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elix\Downloads\"/>
    </mc:Choice>
  </mc:AlternateContent>
  <xr:revisionPtr revIDLastSave="0" documentId="13_ncr:1_{B74843C5-B15A-4DC9-BB49-1B2108B2182F}" xr6:coauthVersionLast="47" xr6:coauthVersionMax="47" xr10:uidLastSave="{00000000-0000-0000-0000-000000000000}"/>
  <bookViews>
    <workbookView xWindow="28680" yWindow="-120" windowWidth="29040" windowHeight="15720" activeTab="3" xr2:uid="{BC9106CE-9107-4097-8948-317996376CB5}"/>
  </bookViews>
  <sheets>
    <sheet name="Historical Financials" sheetId="8" r:id="rId1"/>
    <sheet name="Revenue Drivers" sheetId="10" r:id="rId2"/>
    <sheet name="FCF" sheetId="9" r:id="rId3"/>
    <sheet name="3-Statement Model" sheetId="14" r:id="rId4"/>
    <sheet name="DCF" sheetId="12" r:id="rId5"/>
    <sheet name="WACC" sheetId="16" r:id="rId6"/>
    <sheet name="Shares" sheetId="17" r:id="rId7"/>
  </sheets>
  <externalReferences>
    <externalReference r:id="rId8"/>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14" l="1"/>
  <c r="E35" i="14"/>
  <c r="AD24" i="8"/>
  <c r="BB24" i="8" s="1"/>
  <c r="C35" i="14"/>
  <c r="F39" i="14"/>
  <c r="G39" i="14" s="1"/>
  <c r="H39" i="14" s="1"/>
  <c r="I39" i="14" s="1"/>
  <c r="J39" i="14" s="1"/>
  <c r="E39" i="14"/>
  <c r="D39" i="14"/>
  <c r="C39" i="14"/>
  <c r="F34" i="14"/>
  <c r="E34" i="14"/>
  <c r="D34" i="14"/>
  <c r="C34" i="14"/>
  <c r="F43" i="14"/>
  <c r="E43" i="14"/>
  <c r="D43" i="14"/>
  <c r="C43" i="14"/>
  <c r="F47" i="14"/>
  <c r="G47" i="14" s="1"/>
  <c r="H47" i="14" s="1"/>
  <c r="I47" i="14" s="1"/>
  <c r="J47" i="14" s="1"/>
  <c r="K47" i="14" s="1"/>
  <c r="E47" i="14"/>
  <c r="D47" i="14"/>
  <c r="C47" i="14"/>
  <c r="F38" i="14"/>
  <c r="E38" i="14"/>
  <c r="D38" i="14"/>
  <c r="C38" i="14"/>
  <c r="F29" i="14"/>
  <c r="E29" i="14"/>
  <c r="D29" i="14"/>
  <c r="C29" i="14"/>
  <c r="F28" i="14"/>
  <c r="E28" i="14"/>
  <c r="D28" i="14"/>
  <c r="C28" i="14"/>
  <c r="F27" i="14"/>
  <c r="E27" i="14"/>
  <c r="D27" i="14"/>
  <c r="C27" i="14"/>
  <c r="F23" i="14"/>
  <c r="E23" i="14"/>
  <c r="D23" i="14"/>
  <c r="C23" i="14"/>
  <c r="AM28" i="9"/>
  <c r="AM9" i="9"/>
  <c r="AM8" i="9"/>
  <c r="AM7" i="9"/>
  <c r="AM6" i="9"/>
  <c r="AK68" i="9"/>
  <c r="AK67" i="9"/>
  <c r="AK66" i="9"/>
  <c r="AK50" i="9"/>
  <c r="AK28" i="9"/>
  <c r="AK7" i="9"/>
  <c r="AK8" i="9" s="1"/>
  <c r="AK6" i="9"/>
  <c r="W28" i="9"/>
  <c r="W18" i="9"/>
  <c r="W27" i="9" s="1"/>
  <c r="V18" i="9"/>
  <c r="V27" i="9" s="1"/>
  <c r="U18" i="9"/>
  <c r="U27" i="9" s="1"/>
  <c r="S18" i="9"/>
  <c r="R18" i="9"/>
  <c r="Q18" i="9"/>
  <c r="Q27" i="9" s="1"/>
  <c r="O18" i="9"/>
  <c r="O27" i="9" s="1"/>
  <c r="N18" i="9"/>
  <c r="N27" i="9" s="1"/>
  <c r="M18" i="9"/>
  <c r="K18" i="9"/>
  <c r="K27" i="9" s="1"/>
  <c r="J18" i="9"/>
  <c r="I18" i="9"/>
  <c r="G18" i="9"/>
  <c r="G27" i="9" s="1"/>
  <c r="F18" i="9"/>
  <c r="F27" i="9" s="1"/>
  <c r="E18" i="9"/>
  <c r="E27" i="9" s="1"/>
  <c r="D18" i="9"/>
  <c r="D27" i="9" s="1"/>
  <c r="C18" i="9"/>
  <c r="C27" i="9" s="1"/>
  <c r="W69" i="9"/>
  <c r="W70" i="9" s="1"/>
  <c r="W64" i="9"/>
  <c r="AK64" i="9" s="1"/>
  <c r="W63" i="9"/>
  <c r="AK63" i="9" s="1"/>
  <c r="W58" i="9"/>
  <c r="AK58" i="9" s="1"/>
  <c r="W57" i="9"/>
  <c r="AK57" i="9" s="1"/>
  <c r="W56" i="9"/>
  <c r="AK56" i="9" s="1"/>
  <c r="W55" i="9"/>
  <c r="AK55" i="9" s="1"/>
  <c r="W49" i="9"/>
  <c r="AK49" i="9" s="1"/>
  <c r="W48" i="9"/>
  <c r="AK48" i="9" s="1"/>
  <c r="W47" i="9"/>
  <c r="AK47" i="9" s="1"/>
  <c r="W34" i="9"/>
  <c r="W17" i="9"/>
  <c r="W16" i="9"/>
  <c r="W12" i="9"/>
  <c r="W7" i="9"/>
  <c r="W6" i="9"/>
  <c r="W4" i="9"/>
  <c r="AK4" i="9" s="1"/>
  <c r="W3" i="9"/>
  <c r="AK3" i="9" s="1"/>
  <c r="AX128" i="8"/>
  <c r="AW128" i="8"/>
  <c r="AV128" i="8"/>
  <c r="AU128" i="8"/>
  <c r="AT128" i="8"/>
  <c r="AS128" i="8"/>
  <c r="AR128" i="8"/>
  <c r="AQ128" i="8"/>
  <c r="AX82" i="8"/>
  <c r="AW82" i="8"/>
  <c r="AV82" i="8"/>
  <c r="AT82" i="8"/>
  <c r="AS82" i="8"/>
  <c r="AR82" i="8"/>
  <c r="AX81" i="8"/>
  <c r="AW81" i="8"/>
  <c r="AV81" i="8"/>
  <c r="AT81" i="8"/>
  <c r="AS81" i="8"/>
  <c r="AR81" i="8"/>
  <c r="AX80" i="8"/>
  <c r="AW80" i="8"/>
  <c r="AV80" i="8"/>
  <c r="AT80" i="8"/>
  <c r="AS80" i="8"/>
  <c r="AR80" i="8"/>
  <c r="AX79" i="8"/>
  <c r="AW79" i="8"/>
  <c r="AV79" i="8"/>
  <c r="AT79" i="8"/>
  <c r="AS79" i="8"/>
  <c r="AR79" i="8"/>
  <c r="AX78" i="8"/>
  <c r="AW78" i="8"/>
  <c r="AV78" i="8"/>
  <c r="AT78" i="8"/>
  <c r="AS78" i="8"/>
  <c r="AR78" i="8"/>
  <c r="AX75" i="8"/>
  <c r="AW75" i="8"/>
  <c r="AV75" i="8"/>
  <c r="AT75" i="8"/>
  <c r="AS75" i="8"/>
  <c r="AR75" i="8"/>
  <c r="AX74" i="8"/>
  <c r="AW74" i="8"/>
  <c r="AV74" i="8"/>
  <c r="AT74" i="8"/>
  <c r="AS74" i="8"/>
  <c r="AR74" i="8"/>
  <c r="AX73" i="8"/>
  <c r="AW73" i="8"/>
  <c r="AV73" i="8"/>
  <c r="AT73" i="8"/>
  <c r="AS73" i="8"/>
  <c r="AR73" i="8"/>
  <c r="AX72" i="8"/>
  <c r="AW72" i="8"/>
  <c r="AV72" i="8"/>
  <c r="AT72" i="8"/>
  <c r="AS72" i="8"/>
  <c r="AR72" i="8"/>
  <c r="AX71" i="8"/>
  <c r="AW71" i="8"/>
  <c r="AV71" i="8"/>
  <c r="AT71" i="8"/>
  <c r="AS71" i="8"/>
  <c r="AR71" i="8"/>
  <c r="AX70" i="8"/>
  <c r="AW70" i="8"/>
  <c r="AV70" i="8"/>
  <c r="AT70" i="8"/>
  <c r="AS70" i="8"/>
  <c r="AR70" i="8"/>
  <c r="AX66" i="8"/>
  <c r="AW66" i="8"/>
  <c r="AV66" i="8"/>
  <c r="AT66" i="8"/>
  <c r="AS66" i="8"/>
  <c r="AR66" i="8"/>
  <c r="AX65" i="8"/>
  <c r="AW65" i="8"/>
  <c r="AV65" i="8"/>
  <c r="AT65" i="8"/>
  <c r="AS65" i="8"/>
  <c r="AR65" i="8"/>
  <c r="AX64" i="8"/>
  <c r="AW64" i="8"/>
  <c r="AV64" i="8"/>
  <c r="AT64" i="8"/>
  <c r="AS64" i="8"/>
  <c r="AR64" i="8"/>
  <c r="AX62" i="8"/>
  <c r="AW62" i="8"/>
  <c r="AV62" i="8"/>
  <c r="AT62" i="8"/>
  <c r="AS62" i="8"/>
  <c r="AR62" i="8"/>
  <c r="AX58" i="8"/>
  <c r="AW58" i="8"/>
  <c r="AV58" i="8"/>
  <c r="AT58" i="8"/>
  <c r="AS58" i="8"/>
  <c r="AR58" i="8"/>
  <c r="AX57" i="8"/>
  <c r="AW57" i="8"/>
  <c r="AV57" i="8"/>
  <c r="AT57" i="8"/>
  <c r="AS57" i="8"/>
  <c r="AR57" i="8"/>
  <c r="AX56" i="8"/>
  <c r="AW56" i="8"/>
  <c r="AV56" i="8"/>
  <c r="AT56" i="8"/>
  <c r="AS56" i="8"/>
  <c r="AR56" i="8"/>
  <c r="AX55" i="8"/>
  <c r="AW55" i="8"/>
  <c r="AV55" i="8"/>
  <c r="AT55" i="8"/>
  <c r="AS55" i="8"/>
  <c r="AR55" i="8"/>
  <c r="AX54" i="8"/>
  <c r="AW54" i="8"/>
  <c r="AV54" i="8"/>
  <c r="AT54" i="8"/>
  <c r="AS54" i="8"/>
  <c r="AR54" i="8"/>
  <c r="AX53" i="8"/>
  <c r="AW53" i="8"/>
  <c r="AV53" i="8"/>
  <c r="AT53" i="8"/>
  <c r="AS53" i="8"/>
  <c r="AR53" i="8"/>
  <c r="AX49" i="8"/>
  <c r="AW49" i="8"/>
  <c r="AV49" i="8"/>
  <c r="AT49" i="8"/>
  <c r="AS49" i="8"/>
  <c r="AR49" i="8"/>
  <c r="AX48" i="8"/>
  <c r="AW48" i="8"/>
  <c r="AV48" i="8"/>
  <c r="AT48" i="8"/>
  <c r="AS48" i="8"/>
  <c r="AR48" i="8"/>
  <c r="AX47" i="8"/>
  <c r="AW47" i="8"/>
  <c r="AV47" i="8"/>
  <c r="AT47" i="8"/>
  <c r="AS47" i="8"/>
  <c r="AR47" i="8"/>
  <c r="AX46" i="8"/>
  <c r="AW46" i="8"/>
  <c r="AV46" i="8"/>
  <c r="AT46" i="8"/>
  <c r="AS46" i="8"/>
  <c r="AR46" i="8"/>
  <c r="AX45" i="8"/>
  <c r="AW45" i="8"/>
  <c r="AV45" i="8"/>
  <c r="AT45" i="8"/>
  <c r="AS45" i="8"/>
  <c r="AR45" i="8"/>
  <c r="AX37" i="8"/>
  <c r="AW37" i="8"/>
  <c r="AV37" i="8"/>
  <c r="AT37" i="8"/>
  <c r="AS37" i="8"/>
  <c r="AR37" i="8"/>
  <c r="AX34" i="8"/>
  <c r="AW34" i="8"/>
  <c r="AV34" i="8"/>
  <c r="AT34" i="8"/>
  <c r="AS34" i="8"/>
  <c r="AR34" i="8"/>
  <c r="AX30" i="8"/>
  <c r="AW30" i="8"/>
  <c r="AV30" i="8"/>
  <c r="AU30" i="8"/>
  <c r="AX8" i="8"/>
  <c r="AX95" i="8" s="1"/>
  <c r="AW8" i="8"/>
  <c r="AW95" i="8" s="1"/>
  <c r="AV8" i="8"/>
  <c r="AV95" i="8" s="1"/>
  <c r="AU8" i="8"/>
  <c r="AU95" i="8" s="1"/>
  <c r="AT8" i="8"/>
  <c r="AT95" i="8" s="1"/>
  <c r="AS8" i="8"/>
  <c r="AS95" i="8" s="1"/>
  <c r="AR8" i="8"/>
  <c r="AR95" i="8" s="1"/>
  <c r="AQ8" i="8"/>
  <c r="AQ95" i="8" s="1"/>
  <c r="AX7" i="8"/>
  <c r="AX94" i="8" s="1"/>
  <c r="AW7" i="8"/>
  <c r="AW94" i="8" s="1"/>
  <c r="AV7" i="8"/>
  <c r="AV94" i="8" s="1"/>
  <c r="AU7" i="8"/>
  <c r="AU94" i="8" s="1"/>
  <c r="AT7" i="8"/>
  <c r="AT94" i="8" s="1"/>
  <c r="AS7" i="8"/>
  <c r="AS94" i="8" s="1"/>
  <c r="AR7" i="8"/>
  <c r="AR94" i="8" s="1"/>
  <c r="AQ7" i="8"/>
  <c r="AQ41" i="8" s="1"/>
  <c r="AN145" i="8"/>
  <c r="AO145" i="8" s="1"/>
  <c r="AJ145" i="8"/>
  <c r="AK145" i="8" s="1"/>
  <c r="AL142" i="8"/>
  <c r="BI142" i="8" s="1"/>
  <c r="AE145" i="8"/>
  <c r="AH142" i="8"/>
  <c r="BF142" i="8" s="1"/>
  <c r="AD142" i="8"/>
  <c r="BA142" i="8" s="1"/>
  <c r="AB145" i="8"/>
  <c r="Z142" i="8"/>
  <c r="AX142" i="8" s="1"/>
  <c r="X145" i="8"/>
  <c r="Y145" i="8" s="1"/>
  <c r="Z145" i="8" s="1"/>
  <c r="N142" i="8"/>
  <c r="M145" i="8"/>
  <c r="N145" i="8" s="1"/>
  <c r="U145" i="8"/>
  <c r="V145" i="8" s="1"/>
  <c r="V142" i="8"/>
  <c r="AT142" i="8" s="1"/>
  <c r="R145" i="8"/>
  <c r="R142" i="8"/>
  <c r="AO124" i="8"/>
  <c r="AN113" i="8"/>
  <c r="AO113" i="8" s="1"/>
  <c r="AJ113" i="8"/>
  <c r="AK113" i="8" s="1"/>
  <c r="AF113" i="8"/>
  <c r="AG113" i="8" s="1"/>
  <c r="AH113" i="8" s="1"/>
  <c r="AB113" i="8"/>
  <c r="AC113" i="8" s="1"/>
  <c r="X113" i="8"/>
  <c r="Y113" i="8" s="1"/>
  <c r="T113" i="8"/>
  <c r="U113" i="8" s="1"/>
  <c r="V113" i="8" s="1"/>
  <c r="P113" i="8"/>
  <c r="L113" i="8"/>
  <c r="AN112" i="8"/>
  <c r="AO112" i="8" s="1"/>
  <c r="AJ112" i="8"/>
  <c r="AF112" i="8"/>
  <c r="AG112" i="8" s="1"/>
  <c r="AH112" i="8" s="1"/>
  <c r="AB112" i="8"/>
  <c r="AC112" i="8" s="1"/>
  <c r="AD112" i="8" s="1"/>
  <c r="X112" i="8"/>
  <c r="Y112" i="8" s="1"/>
  <c r="T112" i="8"/>
  <c r="U112" i="8" s="1"/>
  <c r="V112" i="8" s="1"/>
  <c r="P112" i="8"/>
  <c r="Q112" i="8" s="1"/>
  <c r="R112" i="8" s="1"/>
  <c r="L112" i="8"/>
  <c r="P115" i="8"/>
  <c r="Q115" i="8" s="1"/>
  <c r="L115" i="8"/>
  <c r="M115" i="8" s="1"/>
  <c r="N115" i="8" s="1"/>
  <c r="AN114" i="8"/>
  <c r="AO114" i="8" s="1"/>
  <c r="AJ114" i="8"/>
  <c r="AF114" i="8"/>
  <c r="AG114" i="8" s="1"/>
  <c r="AB114" i="8"/>
  <c r="AC114" i="8" s="1"/>
  <c r="X114" i="8"/>
  <c r="Y114" i="8" s="1"/>
  <c r="Z114" i="8" s="1"/>
  <c r="V114" i="8"/>
  <c r="AQ114" i="8" s="1"/>
  <c r="R114" i="8"/>
  <c r="N114" i="8"/>
  <c r="AJ125" i="8"/>
  <c r="AK125" i="8" s="1"/>
  <c r="AL125" i="8" s="1"/>
  <c r="BI125" i="8" s="1"/>
  <c r="AB125" i="8"/>
  <c r="X125" i="8"/>
  <c r="Y125" i="8" s="1"/>
  <c r="Z125" i="8" s="1"/>
  <c r="P125" i="8"/>
  <c r="Q125" i="8" s="1"/>
  <c r="R125" i="8" s="1"/>
  <c r="L125" i="8"/>
  <c r="H106" i="8"/>
  <c r="P106" i="8"/>
  <c r="Q106" i="8" s="1"/>
  <c r="L106" i="8"/>
  <c r="M106" i="8" s="1"/>
  <c r="AM106" i="8"/>
  <c r="AN106" i="8" s="1"/>
  <c r="AO106" i="8" s="1"/>
  <c r="AI106" i="8"/>
  <c r="AJ106" i="8" s="1"/>
  <c r="AK106" i="8" s="1"/>
  <c r="AE106" i="8"/>
  <c r="AF106" i="8" s="1"/>
  <c r="AG106" i="8" s="1"/>
  <c r="AA106" i="8"/>
  <c r="AB106" i="8" s="1"/>
  <c r="AC106" i="8" s="1"/>
  <c r="W106" i="8"/>
  <c r="X106" i="8" s="1"/>
  <c r="Y106" i="8" s="1"/>
  <c r="T106" i="8"/>
  <c r="U106" i="8" s="1"/>
  <c r="I106" i="8"/>
  <c r="D106" i="8"/>
  <c r="C106" i="8"/>
  <c r="G106" i="8"/>
  <c r="AN105" i="8"/>
  <c r="AO105" i="8" s="1"/>
  <c r="AJ105" i="8"/>
  <c r="AF105" i="8"/>
  <c r="AB105" i="8"/>
  <c r="X105" i="8"/>
  <c r="V105" i="8"/>
  <c r="AQ105" i="8" s="1"/>
  <c r="R105" i="8"/>
  <c r="N105" i="8"/>
  <c r="F106" i="8"/>
  <c r="E106" i="8"/>
  <c r="AN104" i="8"/>
  <c r="AO104" i="8" s="1"/>
  <c r="AJ104" i="8"/>
  <c r="AK104" i="8" s="1"/>
  <c r="AF104" i="8"/>
  <c r="AB104" i="8"/>
  <c r="X104" i="8"/>
  <c r="T104" i="8"/>
  <c r="U104" i="8" s="1"/>
  <c r="V104" i="8" s="1"/>
  <c r="P104" i="8"/>
  <c r="Q104" i="8" s="1"/>
  <c r="L104" i="8"/>
  <c r="M104" i="8" s="1"/>
  <c r="N104" i="8" s="1"/>
  <c r="BJ73" i="8"/>
  <c r="BI73" i="8"/>
  <c r="BH73" i="8"/>
  <c r="BF73" i="8"/>
  <c r="BE73" i="8"/>
  <c r="BD73" i="8"/>
  <c r="BB73" i="8"/>
  <c r="BA73" i="8"/>
  <c r="AZ73" i="8"/>
  <c r="BJ72" i="8"/>
  <c r="BH72" i="8"/>
  <c r="BF72" i="8"/>
  <c r="BE72" i="8"/>
  <c r="BD72" i="8"/>
  <c r="BB72" i="8"/>
  <c r="BA72" i="8"/>
  <c r="AZ72" i="8"/>
  <c r="BJ71" i="8"/>
  <c r="BI71" i="8"/>
  <c r="BH71" i="8"/>
  <c r="BF71" i="8"/>
  <c r="BE71" i="8"/>
  <c r="BD71" i="8"/>
  <c r="BB71" i="8"/>
  <c r="BA71" i="8"/>
  <c r="AZ71" i="8"/>
  <c r="AN72" i="8"/>
  <c r="BI72" i="8" s="1"/>
  <c r="AL73" i="8"/>
  <c r="BG73" i="8" s="1"/>
  <c r="AH73" i="8"/>
  <c r="BC73" i="8" s="1"/>
  <c r="AD73" i="8"/>
  <c r="AY73" i="8" s="1"/>
  <c r="Z73" i="8"/>
  <c r="AU73" i="8" s="1"/>
  <c r="AL72" i="8"/>
  <c r="BG72" i="8" s="1"/>
  <c r="AH72" i="8"/>
  <c r="BC72" i="8" s="1"/>
  <c r="AD72" i="8"/>
  <c r="AY72" i="8" s="1"/>
  <c r="Z72" i="8"/>
  <c r="AU72" i="8" s="1"/>
  <c r="V73" i="8"/>
  <c r="AQ73" i="8" s="1"/>
  <c r="R73" i="8"/>
  <c r="V72" i="8"/>
  <c r="AQ72" i="8" s="1"/>
  <c r="R72" i="8"/>
  <c r="N73" i="8"/>
  <c r="N72" i="8"/>
  <c r="AO49" i="8"/>
  <c r="BJ49" i="8" s="1"/>
  <c r="AL37" i="8"/>
  <c r="BG37" i="8" s="1"/>
  <c r="AL34" i="8"/>
  <c r="BG34" i="8" s="1"/>
  <c r="AH37" i="8"/>
  <c r="BC37" i="8" s="1"/>
  <c r="AH34" i="8"/>
  <c r="BC34" i="8" s="1"/>
  <c r="AD37" i="8"/>
  <c r="AY37" i="8" s="1"/>
  <c r="AD34" i="8"/>
  <c r="Z37" i="8"/>
  <c r="AU37" i="8" s="1"/>
  <c r="Z34" i="8"/>
  <c r="AU34" i="8" s="1"/>
  <c r="V37" i="8"/>
  <c r="AQ37" i="8" s="1"/>
  <c r="V34" i="8"/>
  <c r="AQ34" i="8" s="1"/>
  <c r="V30" i="8"/>
  <c r="AT30" i="8" s="1"/>
  <c r="R30" i="8"/>
  <c r="N30" i="8"/>
  <c r="BJ30" i="8"/>
  <c r="BI30" i="8"/>
  <c r="BH30" i="8"/>
  <c r="BG30" i="8"/>
  <c r="BF30" i="8"/>
  <c r="BE30" i="8"/>
  <c r="BD30" i="8"/>
  <c r="BC30" i="8"/>
  <c r="BB30" i="8"/>
  <c r="BA30" i="8"/>
  <c r="AZ30" i="8"/>
  <c r="AY30" i="8"/>
  <c r="AL19" i="8"/>
  <c r="BI19" i="8" s="1"/>
  <c r="AH19" i="8"/>
  <c r="BF19" i="8" s="1"/>
  <c r="AD19" i="8"/>
  <c r="BB19" i="8" s="1"/>
  <c r="Z19" i="8"/>
  <c r="AW19" i="8" s="1"/>
  <c r="V19" i="8"/>
  <c r="AT19" i="8" s="1"/>
  <c r="Q19" i="8"/>
  <c r="P19" i="8"/>
  <c r="O19" i="8"/>
  <c r="M19" i="8"/>
  <c r="L19" i="8"/>
  <c r="K19" i="8"/>
  <c r="C19" i="8"/>
  <c r="BJ128" i="8"/>
  <c r="BJ82" i="8"/>
  <c r="BJ81" i="8"/>
  <c r="BJ80" i="8"/>
  <c r="BJ79" i="8"/>
  <c r="BJ78" i="8"/>
  <c r="BJ75" i="8"/>
  <c r="BJ74" i="8"/>
  <c r="BJ70" i="8"/>
  <c r="BJ66" i="8"/>
  <c r="BJ65" i="8"/>
  <c r="BJ64" i="8"/>
  <c r="BJ63" i="8"/>
  <c r="BJ62" i="8"/>
  <c r="BJ58" i="8"/>
  <c r="BJ57" i="8"/>
  <c r="BJ56" i="8"/>
  <c r="BJ55" i="8"/>
  <c r="BJ54" i="8"/>
  <c r="BJ53" i="8"/>
  <c r="BJ48" i="8"/>
  <c r="BJ47" i="8"/>
  <c r="BJ46" i="8"/>
  <c r="BJ45" i="8"/>
  <c r="BJ37" i="8"/>
  <c r="BJ34" i="8"/>
  <c r="BJ8" i="8"/>
  <c r="BJ95" i="8" s="1"/>
  <c r="BJ7" i="8"/>
  <c r="BJ94" i="8" s="1"/>
  <c r="AK19" i="10"/>
  <c r="AJ19" i="10"/>
  <c r="AI19" i="10"/>
  <c r="AH19" i="10"/>
  <c r="AG19" i="10"/>
  <c r="AF19" i="10"/>
  <c r="AE19" i="10"/>
  <c r="AD19" i="10"/>
  <c r="AC19" i="10"/>
  <c r="AB19" i="10"/>
  <c r="AA19" i="10"/>
  <c r="AK18" i="10"/>
  <c r="AJ18" i="10"/>
  <c r="AI18" i="10"/>
  <c r="AH18" i="10"/>
  <c r="AG18" i="10"/>
  <c r="AF18" i="10"/>
  <c r="AE18" i="10"/>
  <c r="AD18" i="10"/>
  <c r="AC18" i="10"/>
  <c r="AB18" i="10"/>
  <c r="AA18" i="10"/>
  <c r="AK14" i="10"/>
  <c r="AJ14" i="10"/>
  <c r="AI14" i="10"/>
  <c r="AH14" i="10"/>
  <c r="AG14" i="10"/>
  <c r="AF14" i="10"/>
  <c r="AE14" i="10"/>
  <c r="AD14" i="10"/>
  <c r="AC14" i="10"/>
  <c r="AB14" i="10"/>
  <c r="AA14" i="10"/>
  <c r="AK13" i="10"/>
  <c r="AJ13" i="10"/>
  <c r="AI13" i="10"/>
  <c r="AH13" i="10"/>
  <c r="AG13" i="10"/>
  <c r="AF13" i="10"/>
  <c r="AE13" i="10"/>
  <c r="AD13" i="10"/>
  <c r="AC13" i="10"/>
  <c r="AB13" i="10"/>
  <c r="AA13" i="10"/>
  <c r="AK8" i="10"/>
  <c r="AJ8" i="10"/>
  <c r="AI8" i="10"/>
  <c r="AH8" i="10"/>
  <c r="AG8" i="10"/>
  <c r="AF8" i="10"/>
  <c r="AE8" i="10"/>
  <c r="AD8" i="10"/>
  <c r="AC8" i="10"/>
  <c r="AB8" i="10"/>
  <c r="AA8" i="10"/>
  <c r="AJ7" i="10"/>
  <c r="AI7" i="10"/>
  <c r="AH7" i="10"/>
  <c r="AG7" i="10"/>
  <c r="AF7" i="10"/>
  <c r="AE7" i="10"/>
  <c r="AD7" i="10"/>
  <c r="AC7" i="10"/>
  <c r="AB7" i="10"/>
  <c r="AA7" i="10"/>
  <c r="AK7" i="10"/>
  <c r="Y8" i="10"/>
  <c r="Y7" i="10"/>
  <c r="Y9" i="10" s="1"/>
  <c r="X4" i="10"/>
  <c r="AJ4" i="10" s="1"/>
  <c r="W4" i="10"/>
  <c r="AI4" i="10" s="1"/>
  <c r="V4" i="10"/>
  <c r="AH4" i="10" s="1"/>
  <c r="U4" i="10"/>
  <c r="AG4" i="10" s="1"/>
  <c r="T4" i="10"/>
  <c r="AF4" i="10" s="1"/>
  <c r="S4" i="10"/>
  <c r="AE4" i="10" s="1"/>
  <c r="R4" i="10"/>
  <c r="AD4" i="10" s="1"/>
  <c r="Q4" i="10"/>
  <c r="AC4" i="10" s="1"/>
  <c r="P4" i="10"/>
  <c r="AB4" i="10" s="1"/>
  <c r="O4" i="10"/>
  <c r="AA4" i="10" s="1"/>
  <c r="N4" i="10"/>
  <c r="M4" i="10"/>
  <c r="L4" i="10"/>
  <c r="K4" i="10"/>
  <c r="X3" i="10"/>
  <c r="AJ3" i="10" s="1"/>
  <c r="W3" i="10"/>
  <c r="AI3" i="10" s="1"/>
  <c r="V3" i="10"/>
  <c r="AH3" i="10" s="1"/>
  <c r="U3" i="10"/>
  <c r="AG3" i="10" s="1"/>
  <c r="T3" i="10"/>
  <c r="AF3" i="10" s="1"/>
  <c r="S3" i="10"/>
  <c r="AE3" i="10" s="1"/>
  <c r="R3" i="10"/>
  <c r="AD3" i="10" s="1"/>
  <c r="Q3" i="10"/>
  <c r="AC3" i="10" s="1"/>
  <c r="P3" i="10"/>
  <c r="AB3" i="10" s="1"/>
  <c r="O3" i="10"/>
  <c r="AA3" i="10" s="1"/>
  <c r="N3" i="10"/>
  <c r="M3" i="10"/>
  <c r="L3" i="10"/>
  <c r="K3" i="10"/>
  <c r="Y4" i="10"/>
  <c r="AK4" i="10" s="1"/>
  <c r="Y3" i="10"/>
  <c r="AK3" i="10" s="1"/>
  <c r="Y20" i="10"/>
  <c r="Y15" i="10"/>
  <c r="AO95" i="8"/>
  <c r="AO94" i="8"/>
  <c r="AO83" i="8"/>
  <c r="W72" i="9" s="1"/>
  <c r="AK72" i="9" s="1"/>
  <c r="AO67" i="8"/>
  <c r="AO76" i="8" s="1"/>
  <c r="W60" i="9" s="1"/>
  <c r="AK60" i="9" s="1"/>
  <c r="AO42" i="8"/>
  <c r="AO41" i="8"/>
  <c r="AO11" i="8"/>
  <c r="AO14" i="8" s="1"/>
  <c r="AO20" i="8" s="1"/>
  <c r="F110" i="14"/>
  <c r="C41" i="9"/>
  <c r="D41" i="9"/>
  <c r="E41" i="9"/>
  <c r="F41" i="9"/>
  <c r="G41" i="9"/>
  <c r="I41" i="9"/>
  <c r="M41" i="9"/>
  <c r="Q41" i="9"/>
  <c r="U41" i="9"/>
  <c r="AJ68" i="9"/>
  <c r="AI68" i="9"/>
  <c r="AG68" i="9"/>
  <c r="AF68" i="9"/>
  <c r="AE68" i="9"/>
  <c r="AC68" i="9"/>
  <c r="AB68" i="9"/>
  <c r="AA68" i="9"/>
  <c r="Y68" i="9"/>
  <c r="T68" i="9"/>
  <c r="AH68" i="9" s="1"/>
  <c r="P68" i="9"/>
  <c r="AD68" i="9" s="1"/>
  <c r="L68" i="9"/>
  <c r="Z68" i="9" s="1"/>
  <c r="AN74" i="8"/>
  <c r="BI74" i="8" s="1"/>
  <c r="AJ50" i="9"/>
  <c r="AI50" i="9"/>
  <c r="AG50" i="9"/>
  <c r="AF50" i="9"/>
  <c r="AE50" i="9"/>
  <c r="AC50" i="9"/>
  <c r="AB50" i="9"/>
  <c r="AA50" i="9"/>
  <c r="Y50" i="9"/>
  <c r="T50" i="9"/>
  <c r="AH50" i="9" s="1"/>
  <c r="P50" i="9"/>
  <c r="AD50" i="9" s="1"/>
  <c r="L50" i="9"/>
  <c r="Z50" i="9" s="1"/>
  <c r="X69" i="9"/>
  <c r="U69" i="9"/>
  <c r="AI69" i="9" s="1"/>
  <c r="S69" i="9"/>
  <c r="S70" i="9" s="1"/>
  <c r="R69" i="9"/>
  <c r="AF69" i="9" s="1"/>
  <c r="Q69" i="9"/>
  <c r="AE69" i="9" s="1"/>
  <c r="O69" i="9"/>
  <c r="AC69" i="9" s="1"/>
  <c r="N69" i="9"/>
  <c r="AB69" i="9" s="1"/>
  <c r="M69" i="9"/>
  <c r="AA69" i="9" s="1"/>
  <c r="K69" i="9"/>
  <c r="K70" i="9" s="1"/>
  <c r="J69" i="9"/>
  <c r="J70" i="9" s="1"/>
  <c r="I69" i="9"/>
  <c r="I70" i="9" s="1"/>
  <c r="G69" i="9"/>
  <c r="G70" i="9" s="1"/>
  <c r="F69" i="9"/>
  <c r="F70" i="9" s="1"/>
  <c r="E69" i="9"/>
  <c r="E70" i="9" s="1"/>
  <c r="D69" i="9"/>
  <c r="D70" i="9" s="1"/>
  <c r="C69" i="9"/>
  <c r="C70" i="9" s="1"/>
  <c r="AN63" i="8"/>
  <c r="BI63" i="8" s="1"/>
  <c r="AM63" i="8"/>
  <c r="BH63" i="8" s="1"/>
  <c r="AK63" i="8"/>
  <c r="BF63" i="8" s="1"/>
  <c r="AJ63" i="8"/>
  <c r="BE63" i="8" s="1"/>
  <c r="AI63" i="8"/>
  <c r="BD63" i="8" s="1"/>
  <c r="BI65" i="8"/>
  <c r="BH65" i="8"/>
  <c r="BF65" i="8"/>
  <c r="BE65" i="8"/>
  <c r="BD65" i="8"/>
  <c r="BB65" i="8"/>
  <c r="BA65" i="8"/>
  <c r="AZ65" i="8"/>
  <c r="AG63" i="8"/>
  <c r="BB63" i="8" s="1"/>
  <c r="AF63" i="8"/>
  <c r="BA63" i="8" s="1"/>
  <c r="AE63" i="8"/>
  <c r="AZ63" i="8" s="1"/>
  <c r="U63" i="8"/>
  <c r="U67" i="8" s="1"/>
  <c r="U76" i="8" s="1"/>
  <c r="T63" i="8"/>
  <c r="S63" i="8"/>
  <c r="S66" i="8"/>
  <c r="W63" i="8"/>
  <c r="W67" i="8" s="1"/>
  <c r="AD65" i="8"/>
  <c r="Z65" i="8"/>
  <c r="AU65" i="8" s="1"/>
  <c r="V65" i="8"/>
  <c r="AQ65" i="8" s="1"/>
  <c r="Q63" i="8"/>
  <c r="P63" i="8"/>
  <c r="Q66" i="8"/>
  <c r="P66" i="8"/>
  <c r="O63" i="8"/>
  <c r="C63" i="8"/>
  <c r="N63" i="8" s="1"/>
  <c r="U64" i="9"/>
  <c r="AI64" i="9" s="1"/>
  <c r="S64" i="9"/>
  <c r="AG64" i="9" s="1"/>
  <c r="R64" i="9"/>
  <c r="AF64" i="9" s="1"/>
  <c r="Q64" i="9"/>
  <c r="AE64" i="9" s="1"/>
  <c r="O64" i="9"/>
  <c r="AC64" i="9" s="1"/>
  <c r="N64" i="9"/>
  <c r="AB64" i="9" s="1"/>
  <c r="M64" i="9"/>
  <c r="AA64" i="9" s="1"/>
  <c r="K64" i="9"/>
  <c r="Y64" i="9" s="1"/>
  <c r="J64" i="9"/>
  <c r="I64" i="9"/>
  <c r="G64" i="9"/>
  <c r="F64" i="9"/>
  <c r="E64" i="9"/>
  <c r="D64" i="9"/>
  <c r="C64" i="9"/>
  <c r="V63" i="9"/>
  <c r="AJ63" i="9" s="1"/>
  <c r="U63" i="9"/>
  <c r="AI63" i="9" s="1"/>
  <c r="S63" i="9"/>
  <c r="AG63" i="9" s="1"/>
  <c r="R63" i="9"/>
  <c r="AF63" i="9" s="1"/>
  <c r="Q63" i="9"/>
  <c r="AE63" i="9" s="1"/>
  <c r="O63" i="9"/>
  <c r="AC63" i="9" s="1"/>
  <c r="N63" i="9"/>
  <c r="AB63" i="9" s="1"/>
  <c r="M63" i="9"/>
  <c r="AA63" i="9" s="1"/>
  <c r="K63" i="9"/>
  <c r="Y63" i="9" s="1"/>
  <c r="J63" i="9"/>
  <c r="I63" i="9"/>
  <c r="G63" i="9"/>
  <c r="F63" i="9"/>
  <c r="E63" i="9"/>
  <c r="D63" i="9"/>
  <c r="D63" i="8"/>
  <c r="R63" i="8" s="1"/>
  <c r="R65" i="8"/>
  <c r="N65" i="8"/>
  <c r="AL65" i="8"/>
  <c r="AH65" i="8"/>
  <c r="I63" i="8"/>
  <c r="AL63" i="8" s="1"/>
  <c r="BG63" i="8" s="1"/>
  <c r="H63" i="8"/>
  <c r="AH63" i="8" s="1"/>
  <c r="BC63" i="8" s="1"/>
  <c r="E63" i="8"/>
  <c r="V63" i="8" s="1"/>
  <c r="AQ63" i="8" s="1"/>
  <c r="F63" i="8"/>
  <c r="Z63" i="8" s="1"/>
  <c r="AU63" i="8" s="1"/>
  <c r="G63" i="8"/>
  <c r="AD63" i="8" s="1"/>
  <c r="AY63" i="8" s="1"/>
  <c r="AJ67" i="9"/>
  <c r="AI67" i="9"/>
  <c r="AG67" i="9"/>
  <c r="AF67" i="9"/>
  <c r="AE67" i="9"/>
  <c r="AC67" i="9"/>
  <c r="AB67" i="9"/>
  <c r="AA67" i="9"/>
  <c r="Y67" i="9"/>
  <c r="T67" i="9"/>
  <c r="AH67" i="9" s="1"/>
  <c r="T66" i="9"/>
  <c r="P67" i="9"/>
  <c r="AD67" i="9" s="1"/>
  <c r="P66" i="9"/>
  <c r="AD66" i="9" s="1"/>
  <c r="L67" i="9"/>
  <c r="Z67" i="9" s="1"/>
  <c r="L66" i="9"/>
  <c r="Z66" i="9" s="1"/>
  <c r="C50" i="9"/>
  <c r="T28" i="9"/>
  <c r="AI28" i="9" s="1"/>
  <c r="P28" i="9"/>
  <c r="AG28" i="9" s="1"/>
  <c r="L28" i="9"/>
  <c r="U26" i="9"/>
  <c r="Q26" i="9"/>
  <c r="M26" i="9"/>
  <c r="I26" i="9"/>
  <c r="G26" i="9"/>
  <c r="F26" i="9"/>
  <c r="E26" i="9"/>
  <c r="D26" i="9"/>
  <c r="C26" i="9"/>
  <c r="AN102" i="8"/>
  <c r="V26" i="9" s="1"/>
  <c r="AJ102" i="8"/>
  <c r="R26" i="9" s="1"/>
  <c r="AF102" i="8"/>
  <c r="AG102" i="8" s="1"/>
  <c r="O26" i="9" s="1"/>
  <c r="AB102" i="8"/>
  <c r="J26" i="9" s="1"/>
  <c r="X102" i="8"/>
  <c r="Y102" i="8" s="1"/>
  <c r="T102" i="8"/>
  <c r="U102" i="8" s="1"/>
  <c r="V102" i="8" s="1"/>
  <c r="P102" i="8"/>
  <c r="Q102" i="8" s="1"/>
  <c r="R102" i="8" s="1"/>
  <c r="L102" i="8"/>
  <c r="M102" i="8" s="1"/>
  <c r="N102" i="8" s="1"/>
  <c r="U40" i="9"/>
  <c r="Q40" i="9"/>
  <c r="M40" i="9"/>
  <c r="I40" i="9"/>
  <c r="G40" i="9"/>
  <c r="F40" i="9"/>
  <c r="E40" i="9"/>
  <c r="D40" i="9"/>
  <c r="C40" i="9"/>
  <c r="U39" i="9"/>
  <c r="S39" i="9"/>
  <c r="R39" i="9"/>
  <c r="Q39" i="9"/>
  <c r="O39" i="9"/>
  <c r="N39" i="9"/>
  <c r="M39" i="9"/>
  <c r="K39" i="9"/>
  <c r="J39" i="9"/>
  <c r="I39" i="9"/>
  <c r="G39" i="9"/>
  <c r="F39" i="9"/>
  <c r="E39" i="9"/>
  <c r="D39" i="9"/>
  <c r="U38" i="9"/>
  <c r="V49" i="9"/>
  <c r="AJ49" i="9" s="1"/>
  <c r="U49" i="9"/>
  <c r="AI49" i="9" s="1"/>
  <c r="S49" i="9"/>
  <c r="AG49" i="9" s="1"/>
  <c r="R49" i="9"/>
  <c r="AF49" i="9" s="1"/>
  <c r="Q49" i="9"/>
  <c r="AE49" i="9" s="1"/>
  <c r="O49" i="9"/>
  <c r="AC49" i="9" s="1"/>
  <c r="N49" i="9"/>
  <c r="AB49" i="9" s="1"/>
  <c r="M49" i="9"/>
  <c r="AA49" i="9" s="1"/>
  <c r="K49" i="9"/>
  <c r="Y49" i="9" s="1"/>
  <c r="J49" i="9"/>
  <c r="I49" i="9"/>
  <c r="G49" i="9"/>
  <c r="F49" i="9"/>
  <c r="E49" i="9"/>
  <c r="D49" i="9"/>
  <c r="C49" i="9"/>
  <c r="BI128" i="8"/>
  <c r="BH128" i="8"/>
  <c r="BG128" i="8"/>
  <c r="BF128" i="8"/>
  <c r="BE128" i="8"/>
  <c r="BD128" i="8"/>
  <c r="BC128" i="8"/>
  <c r="BB128" i="8"/>
  <c r="BA128" i="8"/>
  <c r="AZ128" i="8"/>
  <c r="AY128" i="8"/>
  <c r="T137" i="8"/>
  <c r="P137" i="8"/>
  <c r="R137" i="8" s="1"/>
  <c r="M137" i="8"/>
  <c r="E137" i="8"/>
  <c r="C39" i="9" s="1"/>
  <c r="C137" i="8"/>
  <c r="AN137" i="8"/>
  <c r="AO137" i="8" s="1"/>
  <c r="AL137" i="8"/>
  <c r="AH137" i="8"/>
  <c r="BC137" i="8" s="1"/>
  <c r="AD137" i="8"/>
  <c r="BA137" i="8" s="1"/>
  <c r="X137" i="8"/>
  <c r="Y137" i="8" s="1"/>
  <c r="Z137" i="8" s="1"/>
  <c r="AX137" i="8" s="1"/>
  <c r="AD136" i="8"/>
  <c r="AY136" i="8" s="1"/>
  <c r="AH136" i="8"/>
  <c r="BF136" i="8" s="1"/>
  <c r="AL136" i="8"/>
  <c r="BG136" i="8" s="1"/>
  <c r="Z136" i="8"/>
  <c r="AX136" i="8" s="1"/>
  <c r="R136" i="8"/>
  <c r="T136" i="8"/>
  <c r="U136" i="8" s="1"/>
  <c r="V136" i="8" s="1"/>
  <c r="AT136" i="8" s="1"/>
  <c r="L136" i="8"/>
  <c r="M136" i="8" s="1"/>
  <c r="C136" i="8"/>
  <c r="L135" i="8"/>
  <c r="M135" i="8" s="1"/>
  <c r="T135" i="8"/>
  <c r="U135" i="8" s="1"/>
  <c r="V135" i="8" s="1"/>
  <c r="AT135" i="8" s="1"/>
  <c r="C135" i="8"/>
  <c r="R135" i="8"/>
  <c r="AL135" i="8"/>
  <c r="AH135" i="8"/>
  <c r="AD135" i="8"/>
  <c r="BA135" i="8" s="1"/>
  <c r="Z135" i="8"/>
  <c r="AX135" i="8" s="1"/>
  <c r="AN135" i="8"/>
  <c r="AO135" i="8" s="1"/>
  <c r="L131" i="8"/>
  <c r="M131" i="8" s="1"/>
  <c r="C131" i="8"/>
  <c r="AN134" i="8"/>
  <c r="V40" i="9" s="1"/>
  <c r="AJ134" i="8"/>
  <c r="R40" i="9" s="1"/>
  <c r="AF134" i="8"/>
  <c r="AG134" i="8" s="1"/>
  <c r="O40" i="9" s="1"/>
  <c r="AB134" i="8"/>
  <c r="J40" i="9" s="1"/>
  <c r="X134" i="8"/>
  <c r="S134" i="8"/>
  <c r="P134" i="8"/>
  <c r="L134" i="8"/>
  <c r="M134" i="8" s="1"/>
  <c r="N134" i="8" s="1"/>
  <c r="T133" i="8"/>
  <c r="U133" i="8" s="1"/>
  <c r="AL133" i="8"/>
  <c r="BG133" i="8" s="1"/>
  <c r="AH133" i="8"/>
  <c r="BE133" i="8" s="1"/>
  <c r="AD133" i="8"/>
  <c r="AY133" i="8" s="1"/>
  <c r="X133" i="8"/>
  <c r="R133" i="8"/>
  <c r="L133" i="8"/>
  <c r="M133" i="8" s="1"/>
  <c r="E133" i="8"/>
  <c r="C133" i="8"/>
  <c r="W132" i="8"/>
  <c r="X132" i="8" s="1"/>
  <c r="Y132" i="8" s="1"/>
  <c r="F132" i="8"/>
  <c r="AL132" i="8"/>
  <c r="BH132" i="8" s="1"/>
  <c r="AH132" i="8"/>
  <c r="BC132" i="8" s="1"/>
  <c r="AD132" i="8"/>
  <c r="BB132" i="8" s="1"/>
  <c r="N132" i="8"/>
  <c r="R132" i="8"/>
  <c r="V132" i="8"/>
  <c r="AM138" i="8"/>
  <c r="O138" i="8"/>
  <c r="K138" i="8"/>
  <c r="AN131" i="8"/>
  <c r="V38" i="9" s="1"/>
  <c r="AI131" i="8"/>
  <c r="AJ131" i="8" s="1"/>
  <c r="AK131" i="8" s="1"/>
  <c r="S38" i="9" s="1"/>
  <c r="AE131" i="8"/>
  <c r="AE138" i="8" s="1"/>
  <c r="AA131" i="8"/>
  <c r="AB131" i="8" s="1"/>
  <c r="AC131" i="8" s="1"/>
  <c r="K38" i="9" s="1"/>
  <c r="W131" i="8"/>
  <c r="X131" i="8" s="1"/>
  <c r="Y131" i="8" s="1"/>
  <c r="S131" i="8"/>
  <c r="T131" i="8" s="1"/>
  <c r="U131" i="8" s="1"/>
  <c r="Z130" i="8"/>
  <c r="AX130" i="8" s="1"/>
  <c r="AD130" i="8"/>
  <c r="AZ130" i="8" s="1"/>
  <c r="AH130" i="8"/>
  <c r="BF130" i="8" s="1"/>
  <c r="AL130" i="8"/>
  <c r="BJ130" i="8" s="1"/>
  <c r="V130" i="8"/>
  <c r="AT130" i="8" s="1"/>
  <c r="R130" i="8"/>
  <c r="P131" i="8"/>
  <c r="Q131" i="8" s="1"/>
  <c r="AL129" i="8"/>
  <c r="BI129" i="8" s="1"/>
  <c r="AH129" i="8"/>
  <c r="BC129" i="8" s="1"/>
  <c r="AD129" i="8"/>
  <c r="BA129" i="8" s="1"/>
  <c r="Z129" i="8"/>
  <c r="AX129" i="8" s="1"/>
  <c r="V129" i="8"/>
  <c r="AT129" i="8" s="1"/>
  <c r="P129" i="8"/>
  <c r="Q129" i="8" s="1"/>
  <c r="M130" i="8"/>
  <c r="N129" i="8"/>
  <c r="I131" i="8"/>
  <c r="I138" i="8" s="1"/>
  <c r="H131" i="8"/>
  <c r="H138" i="8" s="1"/>
  <c r="G131" i="8"/>
  <c r="G138" i="8" s="1"/>
  <c r="F131" i="8"/>
  <c r="E131" i="8"/>
  <c r="C130" i="8"/>
  <c r="D129" i="8"/>
  <c r="D138" i="8" s="1"/>
  <c r="AN49" i="8"/>
  <c r="BI49" i="8" s="1"/>
  <c r="AM49" i="8"/>
  <c r="BH49" i="8" s="1"/>
  <c r="AK49" i="8"/>
  <c r="BF49" i="8" s="1"/>
  <c r="AJ49" i="8"/>
  <c r="BE49" i="8" s="1"/>
  <c r="AI49" i="8"/>
  <c r="BD49" i="8" s="1"/>
  <c r="AG49" i="8"/>
  <c r="AG50" i="8" s="1"/>
  <c r="AG59" i="8" s="1"/>
  <c r="AF49" i="8"/>
  <c r="BA49" i="8" s="1"/>
  <c r="AE49" i="8"/>
  <c r="AZ49" i="8" s="1"/>
  <c r="I49" i="8"/>
  <c r="AL49" i="8" s="1"/>
  <c r="BG49" i="8" s="1"/>
  <c r="H49" i="8"/>
  <c r="AH49" i="8" s="1"/>
  <c r="BC49" i="8" s="1"/>
  <c r="G49" i="8"/>
  <c r="AD49" i="8" s="1"/>
  <c r="AY49" i="8" s="1"/>
  <c r="BI57" i="8"/>
  <c r="BH57" i="8"/>
  <c r="BF57" i="8"/>
  <c r="BE57" i="8"/>
  <c r="BD57" i="8"/>
  <c r="BB57" i="8"/>
  <c r="BA57" i="8"/>
  <c r="AZ57" i="8"/>
  <c r="AL57" i="8"/>
  <c r="BG57" i="8" s="1"/>
  <c r="AH57" i="8"/>
  <c r="BC57" i="8" s="1"/>
  <c r="AD57" i="8"/>
  <c r="AY57" i="8" s="1"/>
  <c r="Z57" i="8"/>
  <c r="AU57" i="8" s="1"/>
  <c r="V57" i="8"/>
  <c r="AQ57" i="8" s="1"/>
  <c r="N57" i="8"/>
  <c r="BI53" i="8"/>
  <c r="BH53" i="8"/>
  <c r="BF53" i="8"/>
  <c r="BE53" i="8"/>
  <c r="BD53" i="8"/>
  <c r="BB53" i="8"/>
  <c r="BA53" i="8"/>
  <c r="AZ53" i="8"/>
  <c r="AL53" i="8"/>
  <c r="BG53" i="8" s="1"/>
  <c r="AH53" i="8"/>
  <c r="BC53" i="8" s="1"/>
  <c r="AD53" i="8"/>
  <c r="AY53" i="8" s="1"/>
  <c r="Z53" i="8"/>
  <c r="AU53" i="8" s="1"/>
  <c r="V53" i="8"/>
  <c r="AQ53" i="8" s="1"/>
  <c r="N53" i="8"/>
  <c r="BI66" i="8"/>
  <c r="BH66" i="8"/>
  <c r="BF66" i="8"/>
  <c r="BE66" i="8"/>
  <c r="BD66" i="8"/>
  <c r="BB66" i="8"/>
  <c r="BA66" i="8"/>
  <c r="AZ66" i="8"/>
  <c r="BI70" i="8"/>
  <c r="BH70" i="8"/>
  <c r="BF70" i="8"/>
  <c r="BE70" i="8"/>
  <c r="BD70" i="8"/>
  <c r="BB70" i="8"/>
  <c r="BA70" i="8"/>
  <c r="AZ70" i="8"/>
  <c r="AL70" i="8"/>
  <c r="BG70" i="8" s="1"/>
  <c r="AH70" i="8"/>
  <c r="BC70" i="8" s="1"/>
  <c r="AD70" i="8"/>
  <c r="AY70" i="8" s="1"/>
  <c r="Z70" i="8"/>
  <c r="AU70" i="8" s="1"/>
  <c r="V70" i="8"/>
  <c r="AQ70" i="8" s="1"/>
  <c r="R70" i="8"/>
  <c r="N70" i="8"/>
  <c r="AH71" i="8"/>
  <c r="BC71" i="8" s="1"/>
  <c r="AL71" i="8"/>
  <c r="BG71" i="8" s="1"/>
  <c r="AD71" i="8"/>
  <c r="AY71" i="8" s="1"/>
  <c r="Z71" i="8"/>
  <c r="AU71" i="8" s="1"/>
  <c r="V71" i="8"/>
  <c r="AQ71" i="8" s="1"/>
  <c r="S71" i="8"/>
  <c r="Q71" i="8"/>
  <c r="P71" i="8"/>
  <c r="O71" i="8"/>
  <c r="D71" i="8"/>
  <c r="R71" i="8" s="1"/>
  <c r="C71" i="8"/>
  <c r="N71" i="8" s="1"/>
  <c r="BI64" i="8"/>
  <c r="BH64" i="8"/>
  <c r="BF64" i="8"/>
  <c r="BE64" i="8"/>
  <c r="BD64" i="8"/>
  <c r="BB64" i="8"/>
  <c r="BA64" i="8"/>
  <c r="AZ64" i="8"/>
  <c r="AL64" i="8"/>
  <c r="BG64" i="8" s="1"/>
  <c r="AH64" i="8"/>
  <c r="BC64" i="8" s="1"/>
  <c r="AD64" i="8"/>
  <c r="AY64" i="8" s="1"/>
  <c r="Z64" i="8"/>
  <c r="AU64" i="8" s="1"/>
  <c r="V64" i="8"/>
  <c r="AQ64" i="8" s="1"/>
  <c r="R64" i="8"/>
  <c r="N64" i="8"/>
  <c r="AC63" i="8"/>
  <c r="AC67" i="8" s="1"/>
  <c r="AC76" i="8" s="1"/>
  <c r="AB63" i="8"/>
  <c r="AW63" i="8" s="1"/>
  <c r="AA63" i="8"/>
  <c r="AA67" i="8" s="1"/>
  <c r="AA76" i="8" s="1"/>
  <c r="Y63" i="8"/>
  <c r="Y67" i="8" s="1"/>
  <c r="Y76" i="8" s="1"/>
  <c r="X63" i="8"/>
  <c r="AS63" i="8" s="1"/>
  <c r="AL66" i="8"/>
  <c r="BG66" i="8" s="1"/>
  <c r="AH66" i="8"/>
  <c r="BC66" i="8" s="1"/>
  <c r="AD66" i="8"/>
  <c r="AY66" i="8" s="1"/>
  <c r="Z66" i="8"/>
  <c r="AU66" i="8" s="1"/>
  <c r="N66" i="8"/>
  <c r="E66" i="8"/>
  <c r="V66" i="8" s="1"/>
  <c r="AQ66" i="8" s="1"/>
  <c r="D66" i="8"/>
  <c r="R66" i="8" s="1"/>
  <c r="U35" i="9"/>
  <c r="Q35" i="9"/>
  <c r="M35" i="9"/>
  <c r="I35" i="9"/>
  <c r="G35" i="9"/>
  <c r="F35" i="9"/>
  <c r="E35" i="9"/>
  <c r="D35" i="9"/>
  <c r="C35" i="9"/>
  <c r="V34" i="9"/>
  <c r="U34" i="9"/>
  <c r="S34" i="9"/>
  <c r="R34" i="9"/>
  <c r="Q34" i="9"/>
  <c r="O34" i="9"/>
  <c r="N34" i="9"/>
  <c r="M34" i="9"/>
  <c r="U33" i="9"/>
  <c r="Q33" i="9"/>
  <c r="N33" i="9"/>
  <c r="M33" i="9"/>
  <c r="I34" i="9"/>
  <c r="I33" i="9"/>
  <c r="G34" i="9"/>
  <c r="F34" i="9"/>
  <c r="E34" i="9"/>
  <c r="D34" i="9"/>
  <c r="G33" i="9"/>
  <c r="F33" i="9"/>
  <c r="E33" i="9"/>
  <c r="D33" i="9"/>
  <c r="C34" i="9"/>
  <c r="C33" i="9"/>
  <c r="U32" i="9"/>
  <c r="Q32" i="9"/>
  <c r="M32" i="9"/>
  <c r="I32" i="9"/>
  <c r="G32" i="9"/>
  <c r="F32" i="9"/>
  <c r="E32" i="9"/>
  <c r="D32" i="9"/>
  <c r="C32" i="9"/>
  <c r="V58" i="9"/>
  <c r="AJ58" i="9" s="1"/>
  <c r="U58" i="9"/>
  <c r="AI58" i="9" s="1"/>
  <c r="S58" i="9"/>
  <c r="AG58" i="9" s="1"/>
  <c r="R58" i="9"/>
  <c r="AF58" i="9" s="1"/>
  <c r="Q58" i="9"/>
  <c r="AE58" i="9" s="1"/>
  <c r="O58" i="9"/>
  <c r="AC58" i="9" s="1"/>
  <c r="N58" i="9"/>
  <c r="AB58" i="9" s="1"/>
  <c r="M58" i="9"/>
  <c r="AA58" i="9" s="1"/>
  <c r="K58" i="9"/>
  <c r="Y58" i="9" s="1"/>
  <c r="J58" i="9"/>
  <c r="I58" i="9"/>
  <c r="G58" i="9"/>
  <c r="F58" i="9"/>
  <c r="E58" i="9"/>
  <c r="D58" i="9"/>
  <c r="C58" i="9"/>
  <c r="V57" i="9"/>
  <c r="AJ57" i="9" s="1"/>
  <c r="U57" i="9"/>
  <c r="AI57" i="9" s="1"/>
  <c r="S57" i="9"/>
  <c r="AG57" i="9" s="1"/>
  <c r="R57" i="9"/>
  <c r="AF57" i="9" s="1"/>
  <c r="Q57" i="9"/>
  <c r="AE57" i="9" s="1"/>
  <c r="O57" i="9"/>
  <c r="AC57" i="9" s="1"/>
  <c r="N57" i="9"/>
  <c r="AB57" i="9" s="1"/>
  <c r="M57" i="9"/>
  <c r="AA57" i="9" s="1"/>
  <c r="K57" i="9"/>
  <c r="Y57" i="9" s="1"/>
  <c r="J57" i="9"/>
  <c r="I57" i="9"/>
  <c r="G57" i="9"/>
  <c r="F57" i="9"/>
  <c r="E57" i="9"/>
  <c r="D57" i="9"/>
  <c r="C57" i="9"/>
  <c r="V56" i="9"/>
  <c r="AJ56" i="9" s="1"/>
  <c r="U56" i="9"/>
  <c r="AI56" i="9" s="1"/>
  <c r="S56" i="9"/>
  <c r="AG56" i="9" s="1"/>
  <c r="R56" i="9"/>
  <c r="AF56" i="9" s="1"/>
  <c r="Q56" i="9"/>
  <c r="AE56" i="9" s="1"/>
  <c r="O56" i="9"/>
  <c r="AC56" i="9" s="1"/>
  <c r="N56" i="9"/>
  <c r="AB56" i="9" s="1"/>
  <c r="M56" i="9"/>
  <c r="AA56" i="9" s="1"/>
  <c r="K56" i="9"/>
  <c r="Y56" i="9" s="1"/>
  <c r="J56" i="9"/>
  <c r="I56" i="9"/>
  <c r="G56" i="9"/>
  <c r="F56" i="9"/>
  <c r="E56" i="9"/>
  <c r="D56" i="9"/>
  <c r="C56" i="9"/>
  <c r="V55" i="9"/>
  <c r="AJ55" i="9" s="1"/>
  <c r="U55" i="9"/>
  <c r="AI55" i="9" s="1"/>
  <c r="S55" i="9"/>
  <c r="AG55" i="9" s="1"/>
  <c r="R55" i="9"/>
  <c r="AF55" i="9" s="1"/>
  <c r="Q55" i="9"/>
  <c r="AE55" i="9" s="1"/>
  <c r="O55" i="9"/>
  <c r="AC55" i="9" s="1"/>
  <c r="N55" i="9"/>
  <c r="AB55" i="9" s="1"/>
  <c r="M55" i="9"/>
  <c r="AA55" i="9" s="1"/>
  <c r="K55" i="9"/>
  <c r="Y55" i="9" s="1"/>
  <c r="J55" i="9"/>
  <c r="I55" i="9"/>
  <c r="G55" i="9"/>
  <c r="F55" i="9"/>
  <c r="E55" i="9"/>
  <c r="D55" i="9"/>
  <c r="C55" i="9"/>
  <c r="V48" i="9"/>
  <c r="AJ48" i="9" s="1"/>
  <c r="U48" i="9"/>
  <c r="AI48" i="9" s="1"/>
  <c r="S48" i="9"/>
  <c r="AG48" i="9" s="1"/>
  <c r="R48" i="9"/>
  <c r="AF48" i="9" s="1"/>
  <c r="Q48" i="9"/>
  <c r="AE48" i="9" s="1"/>
  <c r="O48" i="9"/>
  <c r="AC48" i="9" s="1"/>
  <c r="N48" i="9"/>
  <c r="AB48" i="9" s="1"/>
  <c r="M48" i="9"/>
  <c r="AA48" i="9" s="1"/>
  <c r="K48" i="9"/>
  <c r="Y48" i="9" s="1"/>
  <c r="J48" i="9"/>
  <c r="I48" i="9"/>
  <c r="G48" i="9"/>
  <c r="F48" i="9"/>
  <c r="E48" i="9"/>
  <c r="D48" i="9"/>
  <c r="C48" i="9"/>
  <c r="V47" i="9"/>
  <c r="AJ47" i="9" s="1"/>
  <c r="U47" i="9"/>
  <c r="AI47" i="9" s="1"/>
  <c r="S47" i="9"/>
  <c r="AG47" i="9" s="1"/>
  <c r="R47" i="9"/>
  <c r="AF47" i="9" s="1"/>
  <c r="Q47" i="9"/>
  <c r="AE47" i="9" s="1"/>
  <c r="O47" i="9"/>
  <c r="AC47" i="9" s="1"/>
  <c r="N47" i="9"/>
  <c r="AB47" i="9" s="1"/>
  <c r="M47" i="9"/>
  <c r="AA47" i="9" s="1"/>
  <c r="K47" i="9"/>
  <c r="Y47" i="9" s="1"/>
  <c r="J47" i="9"/>
  <c r="I47" i="9"/>
  <c r="G47" i="9"/>
  <c r="F47" i="9"/>
  <c r="E47" i="9"/>
  <c r="D47" i="9"/>
  <c r="C47" i="9"/>
  <c r="U22" i="9"/>
  <c r="Q22" i="9"/>
  <c r="M22" i="9"/>
  <c r="I22" i="9"/>
  <c r="G22" i="9"/>
  <c r="F22" i="9"/>
  <c r="E22" i="9"/>
  <c r="D22" i="9"/>
  <c r="C22" i="9"/>
  <c r="V17" i="9"/>
  <c r="V16" i="9"/>
  <c r="U17" i="9"/>
  <c r="S17" i="9"/>
  <c r="R17" i="9"/>
  <c r="Q17" i="9"/>
  <c r="O17" i="9"/>
  <c r="N17" i="9"/>
  <c r="M17" i="9"/>
  <c r="K17" i="9"/>
  <c r="J17" i="9"/>
  <c r="U16" i="9"/>
  <c r="S16" i="9"/>
  <c r="R16" i="9"/>
  <c r="Q16" i="9"/>
  <c r="O16" i="9"/>
  <c r="N16" i="9"/>
  <c r="M16" i="9"/>
  <c r="K16" i="9"/>
  <c r="J16" i="9"/>
  <c r="I17" i="9"/>
  <c r="I16" i="9"/>
  <c r="G17" i="9"/>
  <c r="F17" i="9"/>
  <c r="E17" i="9"/>
  <c r="D17" i="9"/>
  <c r="G16" i="9"/>
  <c r="F16" i="9"/>
  <c r="E16" i="9"/>
  <c r="D16" i="9"/>
  <c r="C17" i="9"/>
  <c r="C16" i="9"/>
  <c r="V12" i="9"/>
  <c r="U12" i="9"/>
  <c r="S12" i="9"/>
  <c r="R12" i="9"/>
  <c r="Q12" i="9"/>
  <c r="O12" i="9"/>
  <c r="N12" i="9"/>
  <c r="M12" i="9"/>
  <c r="K12" i="9"/>
  <c r="J12" i="9"/>
  <c r="I12" i="9"/>
  <c r="G12" i="9"/>
  <c r="F12" i="9"/>
  <c r="E12" i="9"/>
  <c r="D12" i="9"/>
  <c r="C12" i="9"/>
  <c r="AI66" i="9"/>
  <c r="AG66" i="9"/>
  <c r="AF66" i="9"/>
  <c r="AE66" i="9"/>
  <c r="AC66" i="9"/>
  <c r="AB66" i="9"/>
  <c r="AA66" i="9"/>
  <c r="Y66" i="9"/>
  <c r="AJ66" i="9"/>
  <c r="V7" i="9"/>
  <c r="U7" i="9"/>
  <c r="N7" i="9"/>
  <c r="M7" i="9"/>
  <c r="R6" i="9"/>
  <c r="K6" i="9"/>
  <c r="J6" i="9"/>
  <c r="V4" i="9"/>
  <c r="AJ4" i="9" s="1"/>
  <c r="U4" i="9"/>
  <c r="AI4" i="9" s="1"/>
  <c r="T4" i="9"/>
  <c r="AH4" i="9" s="1"/>
  <c r="S4" i="9"/>
  <c r="AG4" i="9" s="1"/>
  <c r="R4" i="9"/>
  <c r="AF4" i="9" s="1"/>
  <c r="Q4" i="9"/>
  <c r="AE4" i="9" s="1"/>
  <c r="P4" i="9"/>
  <c r="AD4" i="9" s="1"/>
  <c r="O4" i="9"/>
  <c r="AC4" i="9" s="1"/>
  <c r="N4" i="9"/>
  <c r="AB4" i="9" s="1"/>
  <c r="M4" i="9"/>
  <c r="AA4" i="9" s="1"/>
  <c r="L4" i="9"/>
  <c r="Z4" i="9" s="1"/>
  <c r="K4" i="9"/>
  <c r="Y4" i="9" s="1"/>
  <c r="J4" i="9"/>
  <c r="V3" i="9"/>
  <c r="AJ3" i="9" s="1"/>
  <c r="U3" i="9"/>
  <c r="AI3" i="9" s="1"/>
  <c r="T3" i="9"/>
  <c r="AH3" i="9" s="1"/>
  <c r="S3" i="9"/>
  <c r="AG3" i="9" s="1"/>
  <c r="R3" i="9"/>
  <c r="AF3" i="9" s="1"/>
  <c r="Q3" i="9"/>
  <c r="AE3" i="9" s="1"/>
  <c r="P3" i="9"/>
  <c r="AD3" i="9" s="1"/>
  <c r="O3" i="9"/>
  <c r="AC3" i="9" s="1"/>
  <c r="N3" i="9"/>
  <c r="AB3" i="9" s="1"/>
  <c r="M3" i="9"/>
  <c r="AA3" i="9" s="1"/>
  <c r="L3" i="9"/>
  <c r="Z3" i="9" s="1"/>
  <c r="K3" i="9"/>
  <c r="Y3" i="9" s="1"/>
  <c r="J3" i="9"/>
  <c r="I4" i="9"/>
  <c r="I3" i="9"/>
  <c r="F7" i="9"/>
  <c r="C7" i="9"/>
  <c r="C6" i="9"/>
  <c r="G4" i="9"/>
  <c r="F4" i="9"/>
  <c r="E4" i="9"/>
  <c r="D4" i="9"/>
  <c r="G3" i="9"/>
  <c r="F3" i="9"/>
  <c r="E3" i="9"/>
  <c r="D3" i="9"/>
  <c r="C4" i="9"/>
  <c r="C3" i="9"/>
  <c r="N14" i="10"/>
  <c r="N13" i="10"/>
  <c r="N19" i="10"/>
  <c r="N18" i="10"/>
  <c r="R19" i="10"/>
  <c r="R18" i="10"/>
  <c r="R14" i="10"/>
  <c r="R13" i="10"/>
  <c r="V14" i="10"/>
  <c r="V13" i="10"/>
  <c r="V15" i="10" s="1"/>
  <c r="V19" i="10"/>
  <c r="V18" i="10"/>
  <c r="I8" i="10"/>
  <c r="G7" i="9" s="1"/>
  <c r="H8" i="10"/>
  <c r="G8" i="10"/>
  <c r="D19" i="14" s="1"/>
  <c r="F8" i="10"/>
  <c r="C19" i="14" s="1"/>
  <c r="E8" i="10"/>
  <c r="D8" i="10"/>
  <c r="I7" i="10"/>
  <c r="G6" i="9" s="1"/>
  <c r="H7" i="10"/>
  <c r="F6" i="9" s="1"/>
  <c r="G7" i="10"/>
  <c r="E6" i="9" s="1"/>
  <c r="F7" i="10"/>
  <c r="C18" i="14" s="1"/>
  <c r="E7" i="10"/>
  <c r="D7" i="10"/>
  <c r="C8" i="10"/>
  <c r="C7" i="10"/>
  <c r="W8" i="10"/>
  <c r="U8" i="10"/>
  <c r="S7" i="9" s="1"/>
  <c r="T8" i="10"/>
  <c r="R7" i="9" s="1"/>
  <c r="S8" i="10"/>
  <c r="Q7" i="9" s="1"/>
  <c r="Q8" i="10"/>
  <c r="O7" i="9" s="1"/>
  <c r="P8" i="10"/>
  <c r="O8" i="10"/>
  <c r="M8" i="10"/>
  <c r="K7" i="9" s="1"/>
  <c r="L8" i="10"/>
  <c r="J7" i="9" s="1"/>
  <c r="K8" i="10"/>
  <c r="I7" i="9" s="1"/>
  <c r="W7" i="10"/>
  <c r="U6" i="9" s="1"/>
  <c r="U7" i="10"/>
  <c r="S6" i="9" s="1"/>
  <c r="T7" i="10"/>
  <c r="S7" i="10"/>
  <c r="Q6" i="9" s="1"/>
  <c r="Q7" i="10"/>
  <c r="O6" i="9" s="1"/>
  <c r="P7" i="10"/>
  <c r="N6" i="9" s="1"/>
  <c r="O7" i="10"/>
  <c r="M6" i="9" s="1"/>
  <c r="M7" i="10"/>
  <c r="L7" i="10"/>
  <c r="K7" i="10"/>
  <c r="I6" i="9" s="1"/>
  <c r="X8" i="10"/>
  <c r="X7" i="10"/>
  <c r="V6" i="9" s="1"/>
  <c r="X20" i="10"/>
  <c r="W20" i="10"/>
  <c r="U20" i="10"/>
  <c r="T20" i="10"/>
  <c r="S20" i="10"/>
  <c r="Q20" i="10"/>
  <c r="P20" i="10"/>
  <c r="O20" i="10"/>
  <c r="M20" i="10"/>
  <c r="L20" i="10"/>
  <c r="K20" i="10"/>
  <c r="I20" i="10"/>
  <c r="H20" i="10"/>
  <c r="G20" i="10"/>
  <c r="F20" i="10"/>
  <c r="E20" i="10"/>
  <c r="D20" i="10"/>
  <c r="C20" i="10"/>
  <c r="X15" i="10"/>
  <c r="W15" i="10"/>
  <c r="U15" i="10"/>
  <c r="T15" i="10"/>
  <c r="S15" i="10"/>
  <c r="Q15" i="10"/>
  <c r="P15" i="10"/>
  <c r="O15" i="10"/>
  <c r="M15" i="10"/>
  <c r="L15" i="10"/>
  <c r="K15" i="10"/>
  <c r="I15" i="10"/>
  <c r="H15" i="10"/>
  <c r="G15" i="10"/>
  <c r="F15" i="10"/>
  <c r="E15" i="10"/>
  <c r="D15" i="10"/>
  <c r="C15" i="10"/>
  <c r="B2" i="14"/>
  <c r="AN120" i="8"/>
  <c r="V41" i="9" s="1"/>
  <c r="AN119" i="8"/>
  <c r="V32" i="9" s="1"/>
  <c r="AN103" i="8"/>
  <c r="AO103" i="8" s="1"/>
  <c r="AN101" i="8"/>
  <c r="V22" i="9" s="1"/>
  <c r="AN115" i="8"/>
  <c r="AO115" i="8" s="1"/>
  <c r="AN111" i="8"/>
  <c r="AO111" i="8" s="1"/>
  <c r="AN110" i="8"/>
  <c r="AO110" i="8" s="1"/>
  <c r="AN109" i="8"/>
  <c r="AO109" i="8" s="1"/>
  <c r="AN152" i="8"/>
  <c r="V33" i="9" s="1"/>
  <c r="AM126" i="8"/>
  <c r="AJ152" i="8"/>
  <c r="AK152" i="8" s="1"/>
  <c r="AL152" i="8" s="1"/>
  <c r="T33" i="9" s="1"/>
  <c r="AJ101" i="8"/>
  <c r="R22" i="9" s="1"/>
  <c r="AJ103" i="8"/>
  <c r="AK103" i="8" s="1"/>
  <c r="AL103" i="8" s="1"/>
  <c r="AJ115" i="8"/>
  <c r="AK115" i="8" s="1"/>
  <c r="AL115" i="8" s="1"/>
  <c r="BG115" i="8" s="1"/>
  <c r="AJ111" i="8"/>
  <c r="AK111" i="8" s="1"/>
  <c r="AL111" i="8" s="1"/>
  <c r="AJ110" i="8"/>
  <c r="AK110" i="8" s="1"/>
  <c r="AL110" i="8" s="1"/>
  <c r="BG110" i="8" s="1"/>
  <c r="AJ109" i="8"/>
  <c r="AK109" i="8" s="1"/>
  <c r="AL109" i="8" s="1"/>
  <c r="AJ120" i="8"/>
  <c r="AK120" i="8" s="1"/>
  <c r="AJ119" i="8"/>
  <c r="AK119" i="8" s="1"/>
  <c r="AL119" i="8" s="1"/>
  <c r="AI126" i="8"/>
  <c r="AL124" i="8"/>
  <c r="BI124" i="8" s="1"/>
  <c r="AH124" i="8"/>
  <c r="BC124" i="8" s="1"/>
  <c r="AG152" i="8"/>
  <c r="AH152" i="8" s="1"/>
  <c r="AF111" i="8"/>
  <c r="AG111" i="8" s="1"/>
  <c r="AH111" i="8" s="1"/>
  <c r="BD111" i="8" s="1"/>
  <c r="AF115" i="8"/>
  <c r="AG115" i="8" s="1"/>
  <c r="AH115" i="8" s="1"/>
  <c r="AF110" i="8"/>
  <c r="AG110" i="8" s="1"/>
  <c r="AF109" i="8"/>
  <c r="AG109" i="8" s="1"/>
  <c r="AH109" i="8" s="1"/>
  <c r="AF103" i="8"/>
  <c r="AG103" i="8" s="1"/>
  <c r="AH103" i="8" s="1"/>
  <c r="AF101" i="8"/>
  <c r="N22" i="9" s="1"/>
  <c r="AF123" i="8"/>
  <c r="AF120" i="8"/>
  <c r="AG120" i="8" s="1"/>
  <c r="AH120" i="8" s="1"/>
  <c r="BC120" i="8" s="1"/>
  <c r="AF119" i="8"/>
  <c r="AG119" i="8" s="1"/>
  <c r="O32" i="9" s="1"/>
  <c r="AB152" i="8"/>
  <c r="AC152" i="8" s="1"/>
  <c r="K33" i="9" s="1"/>
  <c r="AB153" i="8"/>
  <c r="J34" i="9" s="1"/>
  <c r="AC123" i="8"/>
  <c r="AD123" i="8" s="1"/>
  <c r="AB119" i="8"/>
  <c r="J32" i="9" s="1"/>
  <c r="AB101" i="8"/>
  <c r="AC101" i="8" s="1"/>
  <c r="AD101" i="8" s="1"/>
  <c r="L22" i="9" s="1"/>
  <c r="AB103" i="8"/>
  <c r="AC103" i="8" s="1"/>
  <c r="AB109" i="8"/>
  <c r="AC109" i="8" s="1"/>
  <c r="AD109" i="8" s="1"/>
  <c r="AZ109" i="8" s="1"/>
  <c r="AB110" i="8"/>
  <c r="AC110" i="8" s="1"/>
  <c r="AD110" i="8" s="1"/>
  <c r="AZ110" i="8" s="1"/>
  <c r="AB111" i="8"/>
  <c r="AC111" i="8" s="1"/>
  <c r="AD111" i="8" s="1"/>
  <c r="AB115" i="8"/>
  <c r="AC115" i="8" s="1"/>
  <c r="AD124" i="8"/>
  <c r="BB124" i="8" s="1"/>
  <c r="AD122" i="8"/>
  <c r="BB122" i="8" s="1"/>
  <c r="AD121" i="8"/>
  <c r="AZ121" i="8" s="1"/>
  <c r="AD120" i="8"/>
  <c r="Z124" i="8"/>
  <c r="AX124" i="8" s="1"/>
  <c r="Z123" i="8"/>
  <c r="Z122" i="8"/>
  <c r="AX122" i="8" s="1"/>
  <c r="Z121" i="8"/>
  <c r="AX121" i="8" s="1"/>
  <c r="Z120" i="8"/>
  <c r="AX120" i="8" s="1"/>
  <c r="X152" i="8"/>
  <c r="Y152" i="8" s="1"/>
  <c r="Z152" i="8" s="1"/>
  <c r="X153" i="8"/>
  <c r="X103" i="8"/>
  <c r="Y103" i="8" s="1"/>
  <c r="Z103" i="8" s="1"/>
  <c r="AX103" i="8" s="1"/>
  <c r="X101" i="8"/>
  <c r="Y101" i="8" s="1"/>
  <c r="Z101" i="8" s="1"/>
  <c r="X109" i="8"/>
  <c r="Y109" i="8" s="1"/>
  <c r="Z109" i="8" s="1"/>
  <c r="X110" i="8"/>
  <c r="Y110" i="8" s="1"/>
  <c r="Z110" i="8" s="1"/>
  <c r="X111" i="8"/>
  <c r="X115" i="8"/>
  <c r="Y115" i="8" s="1"/>
  <c r="Z115" i="8" s="1"/>
  <c r="AX115" i="8" s="1"/>
  <c r="X119" i="8"/>
  <c r="V124" i="8"/>
  <c r="AT124" i="8" s="1"/>
  <c r="T125" i="8"/>
  <c r="U125" i="8" s="1"/>
  <c r="V125" i="8" s="1"/>
  <c r="AT125" i="8" s="1"/>
  <c r="T121" i="8"/>
  <c r="U121" i="8" s="1"/>
  <c r="V121" i="8" s="1"/>
  <c r="AT121" i="8" s="1"/>
  <c r="T119" i="8"/>
  <c r="U119" i="8" s="1"/>
  <c r="V123" i="8"/>
  <c r="AT123" i="8" s="1"/>
  <c r="V120" i="8"/>
  <c r="AT120" i="8" s="1"/>
  <c r="T101" i="8"/>
  <c r="T103" i="8"/>
  <c r="U103" i="8" s="1"/>
  <c r="T109" i="8"/>
  <c r="U109" i="8" s="1"/>
  <c r="T110" i="8"/>
  <c r="U110" i="8" s="1"/>
  <c r="T111" i="8"/>
  <c r="U111" i="8" s="1"/>
  <c r="V111" i="8" s="1"/>
  <c r="T115" i="8"/>
  <c r="T152" i="8"/>
  <c r="T153" i="8"/>
  <c r="R123" i="8"/>
  <c r="R122" i="8"/>
  <c r="R103" i="8"/>
  <c r="P152" i="8"/>
  <c r="P153" i="8"/>
  <c r="Q153" i="8" s="1"/>
  <c r="R153" i="8" s="1"/>
  <c r="P121" i="8"/>
  <c r="P120" i="8"/>
  <c r="Q120" i="8" s="1"/>
  <c r="P119" i="8"/>
  <c r="Q119" i="8" s="1"/>
  <c r="R119" i="8" s="1"/>
  <c r="P101" i="8"/>
  <c r="P109" i="8"/>
  <c r="Q109" i="8" s="1"/>
  <c r="P110" i="8"/>
  <c r="P111" i="8"/>
  <c r="Q111" i="8" s="1"/>
  <c r="R111" i="8" s="1"/>
  <c r="L152" i="8"/>
  <c r="M152" i="8" s="1"/>
  <c r="N152" i="8" s="1"/>
  <c r="L153" i="8"/>
  <c r="M153" i="8" s="1"/>
  <c r="N153" i="8" s="1"/>
  <c r="L119" i="8"/>
  <c r="M119" i="8" s="1"/>
  <c r="N119" i="8" s="1"/>
  <c r="M120" i="8"/>
  <c r="N120" i="8" s="1"/>
  <c r="L101" i="8"/>
  <c r="M101" i="8" s="1"/>
  <c r="N101" i="8" s="1"/>
  <c r="L111" i="8"/>
  <c r="M111" i="8" s="1"/>
  <c r="N111" i="8" s="1"/>
  <c r="L110" i="8"/>
  <c r="M110" i="8" s="1"/>
  <c r="N110" i="8" s="1"/>
  <c r="L109" i="8"/>
  <c r="M109" i="8" s="1"/>
  <c r="N109" i="8" s="1"/>
  <c r="N123" i="8"/>
  <c r="N122" i="8"/>
  <c r="N121" i="8"/>
  <c r="N103" i="8"/>
  <c r="AL153" i="8"/>
  <c r="BH153" i="8" s="1"/>
  <c r="AH153" i="8"/>
  <c r="BE153" i="8" s="1"/>
  <c r="AH125" i="8"/>
  <c r="AL122" i="8"/>
  <c r="BH122" i="8" s="1"/>
  <c r="AH122" i="8"/>
  <c r="BE122" i="8" s="1"/>
  <c r="V122" i="8"/>
  <c r="AT122" i="8" s="1"/>
  <c r="AL121" i="8"/>
  <c r="BH121" i="8" s="1"/>
  <c r="AH121" i="8"/>
  <c r="BF121" i="8" s="1"/>
  <c r="AE126" i="8"/>
  <c r="AA126" i="8"/>
  <c r="W126" i="8"/>
  <c r="S126" i="8"/>
  <c r="O126" i="8"/>
  <c r="AL29" i="8"/>
  <c r="BI29" i="8" s="1"/>
  <c r="AL25" i="8"/>
  <c r="BI25" i="8" s="1"/>
  <c r="AL23" i="8"/>
  <c r="BI23" i="8" s="1"/>
  <c r="AL18" i="8"/>
  <c r="BI18" i="8" s="1"/>
  <c r="AL17" i="8"/>
  <c r="BI17" i="8" s="1"/>
  <c r="AL13" i="8"/>
  <c r="BI13" i="8" s="1"/>
  <c r="AL10" i="8"/>
  <c r="BH10" i="8" s="1"/>
  <c r="AH29" i="8"/>
  <c r="BE29" i="8" s="1"/>
  <c r="AH25" i="8"/>
  <c r="BF25" i="8" s="1"/>
  <c r="AH23" i="8"/>
  <c r="BD23" i="8" s="1"/>
  <c r="AH18" i="8"/>
  <c r="BF18" i="8" s="1"/>
  <c r="AH17" i="8"/>
  <c r="BD17" i="8" s="1"/>
  <c r="AH13" i="8"/>
  <c r="BC13" i="8" s="1"/>
  <c r="AH10" i="8"/>
  <c r="BC10" i="8" s="1"/>
  <c r="AD10" i="8"/>
  <c r="BB10" i="8" s="1"/>
  <c r="AD13" i="8"/>
  <c r="BA13" i="8" s="1"/>
  <c r="AD18" i="8"/>
  <c r="BB18" i="8" s="1"/>
  <c r="AD17" i="8"/>
  <c r="BB17" i="8" s="1"/>
  <c r="AD25" i="8"/>
  <c r="BB25" i="8" s="1"/>
  <c r="AD23" i="8"/>
  <c r="BA23" i="8" s="1"/>
  <c r="AD29" i="8"/>
  <c r="AY29" i="8" s="1"/>
  <c r="Z29" i="8"/>
  <c r="AX29" i="8" s="1"/>
  <c r="Z25" i="8"/>
  <c r="AX25" i="8" s="1"/>
  <c r="Z24" i="8"/>
  <c r="AX24" i="8" s="1"/>
  <c r="Z23" i="8"/>
  <c r="AX23" i="8" s="1"/>
  <c r="Z18" i="8"/>
  <c r="AX18" i="8" s="1"/>
  <c r="Z17" i="8"/>
  <c r="AX17" i="8" s="1"/>
  <c r="Z13" i="8"/>
  <c r="AX13" i="8" s="1"/>
  <c r="Z10" i="8"/>
  <c r="Z11" i="8" s="1"/>
  <c r="V29" i="8"/>
  <c r="AT29" i="8" s="1"/>
  <c r="V25" i="8"/>
  <c r="AT25" i="8" s="1"/>
  <c r="V24" i="8"/>
  <c r="AT24" i="8" s="1"/>
  <c r="V23" i="8"/>
  <c r="AT23" i="8" s="1"/>
  <c r="V18" i="8"/>
  <c r="AT18" i="8" s="1"/>
  <c r="V17" i="8"/>
  <c r="AT17" i="8" s="1"/>
  <c r="V13" i="8"/>
  <c r="AT13" i="8" s="1"/>
  <c r="V10" i="8"/>
  <c r="V11" i="8" s="1"/>
  <c r="R10" i="8"/>
  <c r="R11" i="8" s="1"/>
  <c r="R13" i="8"/>
  <c r="R18" i="8"/>
  <c r="R17" i="8"/>
  <c r="R25" i="8"/>
  <c r="R24" i="8"/>
  <c r="R23" i="8"/>
  <c r="R29" i="8"/>
  <c r="R37" i="8"/>
  <c r="R34" i="8"/>
  <c r="N37" i="8"/>
  <c r="N34" i="8"/>
  <c r="N29" i="8"/>
  <c r="N25" i="8"/>
  <c r="N24" i="8"/>
  <c r="N23" i="8"/>
  <c r="N18" i="8"/>
  <c r="N17" i="8"/>
  <c r="N13" i="8"/>
  <c r="N10" i="8"/>
  <c r="N11" i="8" s="1"/>
  <c r="BI75" i="8"/>
  <c r="BH75" i="8"/>
  <c r="BF75" i="8"/>
  <c r="BE75" i="8"/>
  <c r="BD75" i="8"/>
  <c r="BB75" i="8"/>
  <c r="BA75" i="8"/>
  <c r="AZ75" i="8"/>
  <c r="AL48" i="8"/>
  <c r="BG48" i="8" s="1"/>
  <c r="AL47" i="8"/>
  <c r="BG47" i="8" s="1"/>
  <c r="AL46" i="8"/>
  <c r="BG46" i="8" s="1"/>
  <c r="AL45" i="8"/>
  <c r="T47" i="9" s="1"/>
  <c r="AH47" i="9" s="1"/>
  <c r="AL58" i="8"/>
  <c r="BG58" i="8" s="1"/>
  <c r="AL56" i="8"/>
  <c r="BG56" i="8" s="1"/>
  <c r="AL55" i="8"/>
  <c r="BG55" i="8" s="1"/>
  <c r="AL54" i="8"/>
  <c r="BG54" i="8" s="1"/>
  <c r="AL62" i="8"/>
  <c r="BG62" i="8" s="1"/>
  <c r="AL75" i="8"/>
  <c r="BG75" i="8" s="1"/>
  <c r="AL74" i="8"/>
  <c r="BG74" i="8" s="1"/>
  <c r="AL81" i="8"/>
  <c r="BG81" i="8" s="1"/>
  <c r="AL80" i="8"/>
  <c r="BG80" i="8" s="1"/>
  <c r="AL79" i="8"/>
  <c r="BG79" i="8" s="1"/>
  <c r="AL78" i="8"/>
  <c r="BG78" i="8" s="1"/>
  <c r="AL82" i="8"/>
  <c r="BG82" i="8" s="1"/>
  <c r="AH82" i="8"/>
  <c r="BC82" i="8" s="1"/>
  <c r="AH81" i="8"/>
  <c r="BC81" i="8" s="1"/>
  <c r="AH80" i="8"/>
  <c r="BC80" i="8" s="1"/>
  <c r="AH79" i="8"/>
  <c r="BC79" i="8" s="1"/>
  <c r="AH78" i="8"/>
  <c r="BC78" i="8" s="1"/>
  <c r="AH75" i="8"/>
  <c r="BC75" i="8" s="1"/>
  <c r="AH74" i="8"/>
  <c r="BC74" i="8" s="1"/>
  <c r="AH62" i="8"/>
  <c r="BC62" i="8" s="1"/>
  <c r="AH58" i="8"/>
  <c r="BC58" i="8" s="1"/>
  <c r="AH56" i="8"/>
  <c r="BC56" i="8" s="1"/>
  <c r="AH55" i="8"/>
  <c r="BC55" i="8" s="1"/>
  <c r="AH54" i="8"/>
  <c r="BC54" i="8" s="1"/>
  <c r="AH48" i="8"/>
  <c r="BC48" i="8" s="1"/>
  <c r="AH47" i="8"/>
  <c r="BC47" i="8" s="1"/>
  <c r="AH46" i="8"/>
  <c r="P48" i="9" s="1"/>
  <c r="AD48" i="9" s="1"/>
  <c r="AH45" i="8"/>
  <c r="BC45" i="8" s="1"/>
  <c r="AD75" i="8"/>
  <c r="AY75" i="8" s="1"/>
  <c r="AD74" i="8"/>
  <c r="AY74" i="8" s="1"/>
  <c r="AD62" i="8"/>
  <c r="AY62" i="8" s="1"/>
  <c r="AD58" i="8"/>
  <c r="AY58" i="8" s="1"/>
  <c r="AD56" i="8"/>
  <c r="AY56" i="8" s="1"/>
  <c r="AD55" i="8"/>
  <c r="AY55" i="8" s="1"/>
  <c r="AD54" i="8"/>
  <c r="AY54" i="8" s="1"/>
  <c r="AD48" i="8"/>
  <c r="L57" i="9" s="1"/>
  <c r="Z57" i="9" s="1"/>
  <c r="AD47" i="8"/>
  <c r="AY47" i="8" s="1"/>
  <c r="AD46" i="8"/>
  <c r="AY46" i="8" s="1"/>
  <c r="AD45" i="8"/>
  <c r="AY45" i="8" s="1"/>
  <c r="BI82" i="8"/>
  <c r="BH82" i="8"/>
  <c r="BF82" i="8"/>
  <c r="BE82" i="8"/>
  <c r="BD82" i="8"/>
  <c r="BB82" i="8"/>
  <c r="BA82" i="8"/>
  <c r="AZ82" i="8"/>
  <c r="AY82" i="8"/>
  <c r="BI81" i="8"/>
  <c r="BH81" i="8"/>
  <c r="BF81" i="8"/>
  <c r="BE81" i="8"/>
  <c r="BD81" i="8"/>
  <c r="BB81" i="8"/>
  <c r="BA81" i="8"/>
  <c r="AZ81" i="8"/>
  <c r="AY81" i="8"/>
  <c r="BI80" i="8"/>
  <c r="BH80" i="8"/>
  <c r="BF80" i="8"/>
  <c r="BE80" i="8"/>
  <c r="BD80" i="8"/>
  <c r="BB80" i="8"/>
  <c r="BA80" i="8"/>
  <c r="AZ80" i="8"/>
  <c r="AY80" i="8"/>
  <c r="BI79" i="8"/>
  <c r="BH79" i="8"/>
  <c r="BF79" i="8"/>
  <c r="BE79" i="8"/>
  <c r="BD79" i="8"/>
  <c r="BB79" i="8"/>
  <c r="BA79" i="8"/>
  <c r="AZ79" i="8"/>
  <c r="AY79" i="8"/>
  <c r="BI78" i="8"/>
  <c r="BH78" i="8"/>
  <c r="BF78" i="8"/>
  <c r="BE78" i="8"/>
  <c r="BD78" i="8"/>
  <c r="BB78" i="8"/>
  <c r="BA78" i="8"/>
  <c r="AZ78" i="8"/>
  <c r="AY78" i="8"/>
  <c r="BH74" i="8"/>
  <c r="BF74" i="8"/>
  <c r="BE74" i="8"/>
  <c r="BD74" i="8"/>
  <c r="BB74" i="8"/>
  <c r="BA74" i="8"/>
  <c r="AZ74" i="8"/>
  <c r="BI62" i="8"/>
  <c r="BH62" i="8"/>
  <c r="BF62" i="8"/>
  <c r="BE62" i="8"/>
  <c r="BD62" i="8"/>
  <c r="BB62" i="8"/>
  <c r="BA62" i="8"/>
  <c r="AZ62" i="8"/>
  <c r="BI58" i="8"/>
  <c r="BH58" i="8"/>
  <c r="BF58" i="8"/>
  <c r="BE58" i="8"/>
  <c r="BD58" i="8"/>
  <c r="BB58" i="8"/>
  <c r="BA58" i="8"/>
  <c r="AZ58" i="8"/>
  <c r="BI56" i="8"/>
  <c r="BH56" i="8"/>
  <c r="BF56" i="8"/>
  <c r="BE56" i="8"/>
  <c r="BD56" i="8"/>
  <c r="BB56" i="8"/>
  <c r="BA56" i="8"/>
  <c r="AZ56" i="8"/>
  <c r="BI55" i="8"/>
  <c r="BH55" i="8"/>
  <c r="BF55" i="8"/>
  <c r="BE55" i="8"/>
  <c r="BD55" i="8"/>
  <c r="BB55" i="8"/>
  <c r="BA55" i="8"/>
  <c r="AZ55" i="8"/>
  <c r="BI54" i="8"/>
  <c r="BH54" i="8"/>
  <c r="BF54" i="8"/>
  <c r="BE54" i="8"/>
  <c r="BD54" i="8"/>
  <c r="BB54" i="8"/>
  <c r="BA54" i="8"/>
  <c r="AZ54" i="8"/>
  <c r="BI48" i="8"/>
  <c r="BH48" i="8"/>
  <c r="BF48" i="8"/>
  <c r="BE48" i="8"/>
  <c r="BD48" i="8"/>
  <c r="BB48" i="8"/>
  <c r="BA48" i="8"/>
  <c r="AZ48" i="8"/>
  <c r="BI47" i="8"/>
  <c r="BH47" i="8"/>
  <c r="BF47" i="8"/>
  <c r="BE47" i="8"/>
  <c r="BD47" i="8"/>
  <c r="BB47" i="8"/>
  <c r="BA47" i="8"/>
  <c r="AZ47" i="8"/>
  <c r="BI46" i="8"/>
  <c r="BH46" i="8"/>
  <c r="BF46" i="8"/>
  <c r="BE46" i="8"/>
  <c r="BD46" i="8"/>
  <c r="BB46" i="8"/>
  <c r="BA46" i="8"/>
  <c r="AZ46" i="8"/>
  <c r="BH45" i="8"/>
  <c r="BF45" i="8"/>
  <c r="BE45" i="8"/>
  <c r="BD45" i="8"/>
  <c r="BB45" i="8"/>
  <c r="BA45" i="8"/>
  <c r="AZ45" i="8"/>
  <c r="Z49" i="8"/>
  <c r="AU49" i="8" s="1"/>
  <c r="Z48" i="8"/>
  <c r="AU48" i="8" s="1"/>
  <c r="Z47" i="8"/>
  <c r="AU47" i="8" s="1"/>
  <c r="Z46" i="8"/>
  <c r="AU46" i="8" s="1"/>
  <c r="Z45" i="8"/>
  <c r="AU45" i="8" s="1"/>
  <c r="Z58" i="8"/>
  <c r="AU58" i="8" s="1"/>
  <c r="Z56" i="8"/>
  <c r="AU56" i="8" s="1"/>
  <c r="Z55" i="8"/>
  <c r="AU55" i="8" s="1"/>
  <c r="Z54" i="8"/>
  <c r="AU54" i="8" s="1"/>
  <c r="Z62" i="8"/>
  <c r="AU62" i="8" s="1"/>
  <c r="Z82" i="8"/>
  <c r="AU82" i="8" s="1"/>
  <c r="Z81" i="8"/>
  <c r="AU81" i="8" s="1"/>
  <c r="Z80" i="8"/>
  <c r="AU80" i="8" s="1"/>
  <c r="Z79" i="8"/>
  <c r="AU79" i="8" s="1"/>
  <c r="Z78" i="8"/>
  <c r="AU78" i="8" s="1"/>
  <c r="Z75" i="8"/>
  <c r="AU75" i="8" s="1"/>
  <c r="Z74" i="8"/>
  <c r="AU74" i="8" s="1"/>
  <c r="AG83" i="8"/>
  <c r="O72" i="9" s="1"/>
  <c r="AC72" i="9" s="1"/>
  <c r="Y83" i="8"/>
  <c r="V82" i="8"/>
  <c r="AQ82" i="8" s="1"/>
  <c r="V81" i="8"/>
  <c r="AQ81" i="8" s="1"/>
  <c r="V80" i="8"/>
  <c r="AQ80" i="8" s="1"/>
  <c r="V79" i="8"/>
  <c r="AQ79" i="8" s="1"/>
  <c r="V78" i="8"/>
  <c r="AQ78" i="8" s="1"/>
  <c r="V75" i="8"/>
  <c r="AQ75" i="8" s="1"/>
  <c r="V74" i="8"/>
  <c r="AQ74" i="8" s="1"/>
  <c r="V62" i="8"/>
  <c r="AQ62" i="8" s="1"/>
  <c r="V58" i="8"/>
  <c r="AQ58" i="8" s="1"/>
  <c r="V56" i="8"/>
  <c r="AQ56" i="8" s="1"/>
  <c r="V55" i="8"/>
  <c r="AQ55" i="8" s="1"/>
  <c r="V54" i="8"/>
  <c r="AQ54" i="8" s="1"/>
  <c r="V49" i="8"/>
  <c r="AQ49" i="8" s="1"/>
  <c r="V48" i="8"/>
  <c r="AQ48" i="8" s="1"/>
  <c r="V47" i="8"/>
  <c r="AQ47" i="8" s="1"/>
  <c r="V46" i="8"/>
  <c r="AQ46" i="8" s="1"/>
  <c r="V45" i="8"/>
  <c r="AQ45" i="8" s="1"/>
  <c r="R82" i="8"/>
  <c r="R81" i="8"/>
  <c r="R80" i="8"/>
  <c r="R79" i="8"/>
  <c r="R78" i="8"/>
  <c r="R75" i="8"/>
  <c r="R74" i="8"/>
  <c r="R62" i="8"/>
  <c r="R49" i="8"/>
  <c r="R48" i="8"/>
  <c r="R47" i="8"/>
  <c r="R46" i="8"/>
  <c r="R45" i="8"/>
  <c r="R54" i="8"/>
  <c r="R55" i="8"/>
  <c r="O78" i="8"/>
  <c r="O83" i="8" s="1"/>
  <c r="C78" i="8"/>
  <c r="N78" i="8" s="1"/>
  <c r="N74" i="8"/>
  <c r="N62" i="8"/>
  <c r="N46" i="8"/>
  <c r="T50" i="8"/>
  <c r="T59" i="8" s="1"/>
  <c r="S50" i="8"/>
  <c r="S59" i="8" s="1"/>
  <c r="O50" i="8"/>
  <c r="O59" i="8" s="1"/>
  <c r="AN95" i="8"/>
  <c r="AM95" i="8"/>
  <c r="AL95" i="8"/>
  <c r="AK95" i="8"/>
  <c r="AJ95" i="8"/>
  <c r="AI95" i="8"/>
  <c r="AH95" i="8"/>
  <c r="AG95" i="8"/>
  <c r="AF95" i="8"/>
  <c r="AE95" i="8"/>
  <c r="AD95" i="8"/>
  <c r="AC95" i="8"/>
  <c r="AB95" i="8"/>
  <c r="AA95" i="8"/>
  <c r="Z95" i="8"/>
  <c r="Y95" i="8"/>
  <c r="X95" i="8"/>
  <c r="W95" i="8"/>
  <c r="V95" i="8"/>
  <c r="U95" i="8"/>
  <c r="T95" i="8"/>
  <c r="S95" i="8"/>
  <c r="R95" i="8"/>
  <c r="Q95" i="8"/>
  <c r="P95" i="8"/>
  <c r="O95" i="8"/>
  <c r="N95" i="8"/>
  <c r="M95" i="8"/>
  <c r="L95" i="8"/>
  <c r="AN94" i="8"/>
  <c r="AM94" i="8"/>
  <c r="AL94" i="8"/>
  <c r="AK94" i="8"/>
  <c r="AJ94" i="8"/>
  <c r="AI94" i="8"/>
  <c r="AH94" i="8"/>
  <c r="AG94" i="8"/>
  <c r="AF94" i="8"/>
  <c r="AE94" i="8"/>
  <c r="AD94" i="8"/>
  <c r="AC94" i="8"/>
  <c r="AB94" i="8"/>
  <c r="AA94" i="8"/>
  <c r="Z94" i="8"/>
  <c r="Y94" i="8"/>
  <c r="X94" i="8"/>
  <c r="W94" i="8"/>
  <c r="V94" i="8"/>
  <c r="U94" i="8"/>
  <c r="T94" i="8"/>
  <c r="S94" i="8"/>
  <c r="R94" i="8"/>
  <c r="Q94" i="8"/>
  <c r="P94" i="8"/>
  <c r="O94" i="8"/>
  <c r="N94" i="8"/>
  <c r="M94" i="8"/>
  <c r="L94" i="8"/>
  <c r="N82" i="8"/>
  <c r="N81" i="8"/>
  <c r="N80" i="8"/>
  <c r="N79" i="8"/>
  <c r="N75" i="8"/>
  <c r="N58" i="8"/>
  <c r="N56" i="8"/>
  <c r="N55" i="8"/>
  <c r="N54" i="8"/>
  <c r="N49" i="8"/>
  <c r="N48" i="8"/>
  <c r="N47" i="8"/>
  <c r="N45" i="8"/>
  <c r="AK83" i="8"/>
  <c r="S72" i="9" s="1"/>
  <c r="AG72" i="9" s="1"/>
  <c r="AJ83" i="8"/>
  <c r="R72" i="9" s="1"/>
  <c r="AF72" i="9" s="1"/>
  <c r="AI83" i="8"/>
  <c r="Q72" i="9" s="1"/>
  <c r="AE72" i="9" s="1"/>
  <c r="AF83" i="8"/>
  <c r="N72" i="9" s="1"/>
  <c r="AB72" i="9" s="1"/>
  <c r="AE83" i="8"/>
  <c r="M72" i="9" s="1"/>
  <c r="AA72" i="9" s="1"/>
  <c r="AD83" i="8"/>
  <c r="L72" i="9" s="1"/>
  <c r="Z72" i="9" s="1"/>
  <c r="AC83" i="8"/>
  <c r="K72" i="9" s="1"/>
  <c r="Y72" i="9" s="1"/>
  <c r="AB83" i="8"/>
  <c r="J72" i="9" s="1"/>
  <c r="AA83" i="8"/>
  <c r="I72" i="9" s="1"/>
  <c r="X83" i="8"/>
  <c r="W83" i="8"/>
  <c r="U83" i="8"/>
  <c r="T83" i="8"/>
  <c r="S83" i="8"/>
  <c r="Q83" i="8"/>
  <c r="P83" i="8"/>
  <c r="M83" i="8"/>
  <c r="L83" i="8"/>
  <c r="M67" i="8"/>
  <c r="M76" i="8" s="1"/>
  <c r="L67" i="8"/>
  <c r="L76" i="8" s="1"/>
  <c r="K50" i="8"/>
  <c r="K59" i="8" s="1"/>
  <c r="L50" i="8"/>
  <c r="L59" i="8" s="1"/>
  <c r="M50" i="8"/>
  <c r="M59" i="8" s="1"/>
  <c r="P50" i="8"/>
  <c r="P59" i="8" s="1"/>
  <c r="Q50" i="8"/>
  <c r="Q59" i="8" s="1"/>
  <c r="U50" i="8"/>
  <c r="U59" i="8" s="1"/>
  <c r="W50" i="8"/>
  <c r="W59" i="8" s="1"/>
  <c r="X50" i="8"/>
  <c r="X59" i="8" s="1"/>
  <c r="Y50" i="8"/>
  <c r="Y59" i="8" s="1"/>
  <c r="AA50" i="8"/>
  <c r="AA59" i="8" s="1"/>
  <c r="AB50" i="8"/>
  <c r="AB59" i="8" s="1"/>
  <c r="AC50" i="8"/>
  <c r="AC59" i="8" s="1"/>
  <c r="AN42" i="8"/>
  <c r="AM42" i="8"/>
  <c r="AL42" i="8"/>
  <c r="AK42" i="8"/>
  <c r="AJ42" i="8"/>
  <c r="AI42" i="8"/>
  <c r="AH42" i="8"/>
  <c r="AG42" i="8"/>
  <c r="AF42" i="8"/>
  <c r="AE42" i="8"/>
  <c r="AD42" i="8"/>
  <c r="AC42" i="8"/>
  <c r="AB42" i="8"/>
  <c r="AA42" i="8"/>
  <c r="Z42" i="8"/>
  <c r="Y42" i="8"/>
  <c r="X42" i="8"/>
  <c r="W42" i="8"/>
  <c r="V42" i="8"/>
  <c r="U42" i="8"/>
  <c r="T42" i="8"/>
  <c r="S42" i="8"/>
  <c r="R42" i="8"/>
  <c r="Q42" i="8"/>
  <c r="P42" i="8"/>
  <c r="O42" i="8"/>
  <c r="N42" i="8"/>
  <c r="M42" i="8"/>
  <c r="L42" i="8"/>
  <c r="AN41" i="8"/>
  <c r="AM41" i="8"/>
  <c r="AL41" i="8"/>
  <c r="AK41" i="8"/>
  <c r="AJ41" i="8"/>
  <c r="AI41" i="8"/>
  <c r="AH41" i="8"/>
  <c r="AG41" i="8"/>
  <c r="AF41" i="8"/>
  <c r="AE41" i="8"/>
  <c r="AD41" i="8"/>
  <c r="AC41" i="8"/>
  <c r="AB41" i="8"/>
  <c r="AA41" i="8"/>
  <c r="Z41" i="8"/>
  <c r="Y41" i="8"/>
  <c r="X41" i="8"/>
  <c r="W41" i="8"/>
  <c r="V41" i="8"/>
  <c r="U41" i="8"/>
  <c r="T41" i="8"/>
  <c r="S41" i="8"/>
  <c r="R41" i="8"/>
  <c r="Q41" i="8"/>
  <c r="P41" i="8"/>
  <c r="O41" i="8"/>
  <c r="N41" i="8"/>
  <c r="M41" i="8"/>
  <c r="L41" i="8"/>
  <c r="K42" i="8"/>
  <c r="K41" i="8"/>
  <c r="I42" i="8"/>
  <c r="H42" i="8"/>
  <c r="G42" i="8"/>
  <c r="F42" i="8"/>
  <c r="E42" i="8"/>
  <c r="D42" i="8"/>
  <c r="C42" i="8"/>
  <c r="I41" i="8"/>
  <c r="H41" i="8"/>
  <c r="G41" i="8"/>
  <c r="F41" i="8"/>
  <c r="E41" i="8"/>
  <c r="D41" i="8"/>
  <c r="C41" i="8"/>
  <c r="BI45" i="8"/>
  <c r="BI37" i="8"/>
  <c r="BF37" i="8"/>
  <c r="BE37" i="8"/>
  <c r="BD37" i="8"/>
  <c r="BB37" i="8"/>
  <c r="BA37" i="8"/>
  <c r="AZ37" i="8"/>
  <c r="BF34" i="8"/>
  <c r="BE34" i="8"/>
  <c r="BD34" i="8"/>
  <c r="BB34" i="8"/>
  <c r="BA34" i="8"/>
  <c r="AZ34" i="8"/>
  <c r="BI34" i="8"/>
  <c r="AJ11" i="8"/>
  <c r="AJ14" i="8" s="1"/>
  <c r="AJ20" i="8" s="1"/>
  <c r="AI11" i="8"/>
  <c r="AI14" i="8" s="1"/>
  <c r="AI20" i="8" s="1"/>
  <c r="AG11" i="8"/>
  <c r="AG14" i="8" s="1"/>
  <c r="AG15" i="8" s="1"/>
  <c r="AF11" i="8"/>
  <c r="AF14" i="8" s="1"/>
  <c r="AF15" i="8" s="1"/>
  <c r="AE11" i="8"/>
  <c r="AE14" i="8" s="1"/>
  <c r="AE20" i="8" s="1"/>
  <c r="AC11" i="8"/>
  <c r="AC14" i="8" s="1"/>
  <c r="AC20" i="8" s="1"/>
  <c r="AB11" i="8"/>
  <c r="AB14" i="8" s="1"/>
  <c r="AB20" i="8" s="1"/>
  <c r="AA11" i="8"/>
  <c r="AA14" i="8" s="1"/>
  <c r="AA20" i="8" s="1"/>
  <c r="Y11" i="8"/>
  <c r="Y14" i="8" s="1"/>
  <c r="Y15" i="8" s="1"/>
  <c r="X11" i="8"/>
  <c r="X14" i="8" s="1"/>
  <c r="X20" i="8" s="1"/>
  <c r="W11" i="8"/>
  <c r="W14" i="8" s="1"/>
  <c r="W20" i="8" s="1"/>
  <c r="U11" i="8"/>
  <c r="U14" i="8" s="1"/>
  <c r="U20" i="8" s="1"/>
  <c r="T11" i="8"/>
  <c r="T14" i="8" s="1"/>
  <c r="T20" i="8" s="1"/>
  <c r="S11" i="8"/>
  <c r="S14" i="8" s="1"/>
  <c r="S20" i="8" s="1"/>
  <c r="Q11" i="8"/>
  <c r="Q14" i="8" s="1"/>
  <c r="Q15" i="8" s="1"/>
  <c r="P11" i="8"/>
  <c r="P14" i="8" s="1"/>
  <c r="P15" i="8" s="1"/>
  <c r="O11" i="8"/>
  <c r="O14" i="8" s="1"/>
  <c r="M11" i="8"/>
  <c r="M14" i="8" s="1"/>
  <c r="L11" i="8"/>
  <c r="L14" i="8" s="1"/>
  <c r="K11" i="8"/>
  <c r="K14" i="8" s="1"/>
  <c r="AN11" i="8"/>
  <c r="BD8" i="8"/>
  <c r="BC8" i="8"/>
  <c r="BB8" i="8"/>
  <c r="BA8" i="8"/>
  <c r="AZ8" i="8"/>
  <c r="AY8" i="8"/>
  <c r="BD7" i="8"/>
  <c r="BC7" i="8"/>
  <c r="BB7" i="8"/>
  <c r="BA7" i="8"/>
  <c r="AZ7" i="8"/>
  <c r="AY7" i="8"/>
  <c r="BH8" i="8"/>
  <c r="BG8" i="8"/>
  <c r="BF8" i="8"/>
  <c r="BE8" i="8"/>
  <c r="BH7" i="8"/>
  <c r="BG7" i="8"/>
  <c r="BF7" i="8"/>
  <c r="BE7" i="8"/>
  <c r="BI8" i="8"/>
  <c r="BI7" i="8"/>
  <c r="B2" i="17"/>
  <c r="F19" i="14"/>
  <c r="G19" i="14" s="1"/>
  <c r="E19" i="14"/>
  <c r="F18" i="14"/>
  <c r="E18" i="14"/>
  <c r="D18" i="14"/>
  <c r="B19" i="14"/>
  <c r="B18" i="14"/>
  <c r="H4" i="10"/>
  <c r="G4" i="10"/>
  <c r="F4" i="10"/>
  <c r="E4" i="10"/>
  <c r="D4" i="10"/>
  <c r="C4" i="10"/>
  <c r="H3" i="10"/>
  <c r="G3" i="10"/>
  <c r="F3" i="10"/>
  <c r="E3" i="10"/>
  <c r="D3" i="10"/>
  <c r="C3" i="10"/>
  <c r="I4" i="10"/>
  <c r="I3" i="10"/>
  <c r="AX101" i="8" l="1"/>
  <c r="D35" i="14"/>
  <c r="AH24" i="8"/>
  <c r="BC24" i="8" s="1"/>
  <c r="AX109" i="8"/>
  <c r="W35" i="9"/>
  <c r="AT145" i="8"/>
  <c r="AX152" i="8"/>
  <c r="AV145" i="8"/>
  <c r="AQ124" i="8"/>
  <c r="AU50" i="8"/>
  <c r="W39" i="9"/>
  <c r="AQ129" i="8"/>
  <c r="AW50" i="8"/>
  <c r="AW59" i="8" s="1"/>
  <c r="AQ130" i="8"/>
  <c r="AQ17" i="8"/>
  <c r="AW83" i="8"/>
  <c r="AQ142" i="8"/>
  <c r="AQ30" i="8"/>
  <c r="AX123" i="8"/>
  <c r="AT112" i="8"/>
  <c r="AT113" i="8"/>
  <c r="AL24" i="8"/>
  <c r="BI24" i="8" s="1"/>
  <c r="AK51" i="9"/>
  <c r="AX19" i="8"/>
  <c r="AR50" i="8"/>
  <c r="AR59" i="8" s="1"/>
  <c r="AR83" i="8"/>
  <c r="P18" i="9"/>
  <c r="P27" i="9" s="1"/>
  <c r="AK69" i="9"/>
  <c r="AK70" i="9" s="1"/>
  <c r="AK73" i="9" s="1"/>
  <c r="AK82" i="9" s="1"/>
  <c r="AT114" i="8"/>
  <c r="AR10" i="8"/>
  <c r="AR11" i="8" s="1"/>
  <c r="AQ25" i="8"/>
  <c r="AT50" i="8"/>
  <c r="AT59" i="8" s="1"/>
  <c r="AT83" i="8"/>
  <c r="AQ102" i="8"/>
  <c r="AQ122" i="8"/>
  <c r="AQ135" i="8"/>
  <c r="Z18" i="9"/>
  <c r="AT132" i="8"/>
  <c r="AQ23" i="8"/>
  <c r="AS50" i="8"/>
  <c r="AS59" i="8" s="1"/>
  <c r="AS83" i="8"/>
  <c r="AQ121" i="8"/>
  <c r="AQ132" i="8"/>
  <c r="AX110" i="8"/>
  <c r="AT102" i="8"/>
  <c r="AX114" i="8"/>
  <c r="AQ13" i="8"/>
  <c r="AQ29" i="8"/>
  <c r="AV50" i="8"/>
  <c r="AV59" i="8" s="1"/>
  <c r="AV83" i="8"/>
  <c r="AQ104" i="8"/>
  <c r="AQ123" i="8"/>
  <c r="AQ136" i="8"/>
  <c r="AQ18" i="8"/>
  <c r="AX50" i="8"/>
  <c r="AX59" i="8" s="1"/>
  <c r="AX83" i="8"/>
  <c r="AQ111" i="8"/>
  <c r="AQ125" i="8"/>
  <c r="AQ145" i="8"/>
  <c r="L18" i="9"/>
  <c r="AA18" i="9" s="1"/>
  <c r="T18" i="9"/>
  <c r="AH18" i="9" s="1"/>
  <c r="AU59" i="8"/>
  <c r="AQ19" i="8"/>
  <c r="AQ112" i="8"/>
  <c r="AV125" i="8"/>
  <c r="AV19" i="8"/>
  <c r="AQ83" i="8"/>
  <c r="AQ113" i="8"/>
  <c r="K39" i="14"/>
  <c r="AK9" i="9"/>
  <c r="I27" i="9"/>
  <c r="R27" i="9"/>
  <c r="AG18" i="9"/>
  <c r="Y18" i="9"/>
  <c r="W8" i="9"/>
  <c r="W13" i="9" s="1"/>
  <c r="W19" i="9" s="1"/>
  <c r="J27" i="9"/>
  <c r="S27" i="9"/>
  <c r="M27" i="9"/>
  <c r="W73" i="9"/>
  <c r="W82" i="9" s="1"/>
  <c r="W51" i="9"/>
  <c r="AU67" i="8"/>
  <c r="AU76" i="8" s="1"/>
  <c r="AU83" i="8"/>
  <c r="AS10" i="8"/>
  <c r="AS11" i="8" s="1"/>
  <c r="AR13" i="8"/>
  <c r="AR17" i="8"/>
  <c r="AR18" i="8"/>
  <c r="AR19" i="8"/>
  <c r="AR23" i="8"/>
  <c r="AR24" i="8"/>
  <c r="AR25" i="8"/>
  <c r="AR29" i="8"/>
  <c r="AR30" i="8"/>
  <c r="AR63" i="8"/>
  <c r="AR67" i="8" s="1"/>
  <c r="AR76" i="8" s="1"/>
  <c r="AR84" i="8" s="1"/>
  <c r="AR86" i="8" s="1"/>
  <c r="AR102" i="8"/>
  <c r="AR104" i="8"/>
  <c r="AR105" i="8"/>
  <c r="AR111" i="8"/>
  <c r="AR112" i="8"/>
  <c r="AR113" i="8"/>
  <c r="AR114" i="8"/>
  <c r="AR120" i="8"/>
  <c r="AR121" i="8"/>
  <c r="AR122" i="8"/>
  <c r="AR123" i="8"/>
  <c r="AR124" i="8"/>
  <c r="AR125" i="8"/>
  <c r="AR129" i="8"/>
  <c r="AR130" i="8"/>
  <c r="AR132" i="8"/>
  <c r="AR135" i="8"/>
  <c r="AR136" i="8"/>
  <c r="AR142" i="8"/>
  <c r="AR145" i="8"/>
  <c r="AQ50" i="8"/>
  <c r="AQ59" i="8" s="1"/>
  <c r="AQ120" i="8"/>
  <c r="AT10" i="8"/>
  <c r="AT11" i="8" s="1"/>
  <c r="AT14" i="8" s="1"/>
  <c r="AS13" i="8"/>
  <c r="AS17" i="8"/>
  <c r="AS18" i="8"/>
  <c r="AS19" i="8"/>
  <c r="AS23" i="8"/>
  <c r="AS24" i="8"/>
  <c r="AS25" i="8"/>
  <c r="AS29" i="8"/>
  <c r="AS30" i="8"/>
  <c r="AS67" i="8"/>
  <c r="AS76" i="8" s="1"/>
  <c r="AS84" i="8" s="1"/>
  <c r="AS102" i="8"/>
  <c r="AS104" i="8"/>
  <c r="AS105" i="8"/>
  <c r="AS111" i="8"/>
  <c r="AS112" i="8"/>
  <c r="AS113" i="8"/>
  <c r="AS114" i="8"/>
  <c r="AS120" i="8"/>
  <c r="AS121" i="8"/>
  <c r="AS122" i="8"/>
  <c r="AS123" i="8"/>
  <c r="AS124" i="8"/>
  <c r="AS125" i="8"/>
  <c r="AS129" i="8"/>
  <c r="AS130" i="8"/>
  <c r="AS132" i="8"/>
  <c r="AS135" i="8"/>
  <c r="AS136" i="8"/>
  <c r="AS142" i="8"/>
  <c r="AS145" i="8"/>
  <c r="AQ24" i="8"/>
  <c r="AU10" i="8"/>
  <c r="AU11" i="8" s="1"/>
  <c r="AT63" i="8"/>
  <c r="AT67" i="8" s="1"/>
  <c r="AT76" i="8" s="1"/>
  <c r="AT84" i="8" s="1"/>
  <c r="AV10" i="8"/>
  <c r="AV11" i="8" s="1"/>
  <c r="AV14" i="8" s="1"/>
  <c r="AU13" i="8"/>
  <c r="AU17" i="8"/>
  <c r="AU18" i="8"/>
  <c r="AU19" i="8"/>
  <c r="AU23" i="8"/>
  <c r="AU24" i="8"/>
  <c r="AU25" i="8"/>
  <c r="AU29" i="8"/>
  <c r="AU101" i="8"/>
  <c r="AU103" i="8"/>
  <c r="AU109" i="8"/>
  <c r="AU110" i="8"/>
  <c r="AU114" i="8"/>
  <c r="AU115" i="8"/>
  <c r="AU120" i="8"/>
  <c r="AU121" i="8"/>
  <c r="AU122" i="8"/>
  <c r="AU123" i="8"/>
  <c r="AU124" i="8"/>
  <c r="AU125" i="8"/>
  <c r="AU129" i="8"/>
  <c r="AU130" i="8"/>
  <c r="AU135" i="8"/>
  <c r="AU136" i="8"/>
  <c r="AU137" i="8"/>
  <c r="AU142" i="8"/>
  <c r="AU145" i="8"/>
  <c r="AU152" i="8"/>
  <c r="AW10" i="8"/>
  <c r="AW11" i="8" s="1"/>
  <c r="AV13" i="8"/>
  <c r="AV17" i="8"/>
  <c r="AV18" i="8"/>
  <c r="AV23" i="8"/>
  <c r="AV24" i="8"/>
  <c r="AV25" i="8"/>
  <c r="AV29" i="8"/>
  <c r="AV63" i="8"/>
  <c r="AV67" i="8" s="1"/>
  <c r="AV76" i="8" s="1"/>
  <c r="AV84" i="8" s="1"/>
  <c r="AV86" i="8" s="1"/>
  <c r="AV101" i="8"/>
  <c r="AV103" i="8"/>
  <c r="AV109" i="8"/>
  <c r="AV110" i="8"/>
  <c r="AV114" i="8"/>
  <c r="AV115" i="8"/>
  <c r="AV120" i="8"/>
  <c r="AV121" i="8"/>
  <c r="AV122" i="8"/>
  <c r="AV123" i="8"/>
  <c r="AV124" i="8"/>
  <c r="AV129" i="8"/>
  <c r="AV130" i="8"/>
  <c r="AV135" i="8"/>
  <c r="AV136" i="8"/>
  <c r="AV137" i="8"/>
  <c r="AV142" i="8"/>
  <c r="AV152" i="8"/>
  <c r="AQ67" i="8"/>
  <c r="AQ76" i="8" s="1"/>
  <c r="AX10" i="8"/>
  <c r="AX11" i="8" s="1"/>
  <c r="AX14" i="8" s="1"/>
  <c r="AW13" i="8"/>
  <c r="AW17" i="8"/>
  <c r="AW18" i="8"/>
  <c r="AW23" i="8"/>
  <c r="AW24" i="8"/>
  <c r="AW25" i="8"/>
  <c r="AW29" i="8"/>
  <c r="AW67" i="8"/>
  <c r="AW76" i="8" s="1"/>
  <c r="AW101" i="8"/>
  <c r="AW103" i="8"/>
  <c r="AW109" i="8"/>
  <c r="AW110" i="8"/>
  <c r="AW114" i="8"/>
  <c r="AW115" i="8"/>
  <c r="AW120" i="8"/>
  <c r="AW121" i="8"/>
  <c r="AW122" i="8"/>
  <c r="AW123" i="8"/>
  <c r="AW124" i="8"/>
  <c r="AW125" i="8"/>
  <c r="AW129" i="8"/>
  <c r="AW130" i="8"/>
  <c r="AW135" i="8"/>
  <c r="AW136" i="8"/>
  <c r="AW137" i="8"/>
  <c r="AW142" i="8"/>
  <c r="AW145" i="8"/>
  <c r="AW152" i="8"/>
  <c r="AQ10" i="8"/>
  <c r="AQ11" i="8" s="1"/>
  <c r="AX63" i="8"/>
  <c r="AX67" i="8" s="1"/>
  <c r="AX76" i="8" s="1"/>
  <c r="AT20" i="8"/>
  <c r="AT15" i="8"/>
  <c r="AQ94" i="8"/>
  <c r="AR41" i="8"/>
  <c r="AR42" i="8"/>
  <c r="AQ42" i="8"/>
  <c r="AS41" i="8"/>
  <c r="AS42" i="8"/>
  <c r="AT41" i="8"/>
  <c r="AT42" i="8"/>
  <c r="AU41" i="8"/>
  <c r="AU42" i="8"/>
  <c r="AV41" i="8"/>
  <c r="AV42" i="8"/>
  <c r="AW41" i="8"/>
  <c r="AW42" i="8"/>
  <c r="AX41" i="8"/>
  <c r="AX42" i="8"/>
  <c r="BH142" i="8"/>
  <c r="BB142" i="8"/>
  <c r="BD142" i="8"/>
  <c r="BG142" i="8"/>
  <c r="BC142" i="8"/>
  <c r="BE142" i="8"/>
  <c r="BJ142" i="8"/>
  <c r="AY142" i="8"/>
  <c r="AZ142" i="8"/>
  <c r="AF145" i="8"/>
  <c r="AC145" i="8"/>
  <c r="AX145" i="8" s="1"/>
  <c r="AL145" i="8"/>
  <c r="AO131" i="8"/>
  <c r="W38" i="9" s="1"/>
  <c r="AO152" i="8"/>
  <c r="AO119" i="8"/>
  <c r="BF113" i="8"/>
  <c r="AO120" i="8"/>
  <c r="W41" i="9" s="1"/>
  <c r="AO134" i="8"/>
  <c r="W40" i="9" s="1"/>
  <c r="BC113" i="8"/>
  <c r="BD113" i="8"/>
  <c r="Q113" i="8"/>
  <c r="R113" i="8" s="1"/>
  <c r="AL113" i="8"/>
  <c r="BH113" i="8" s="1"/>
  <c r="BE113" i="8"/>
  <c r="Z113" i="8"/>
  <c r="AW113" i="8" s="1"/>
  <c r="AD113" i="8"/>
  <c r="M113" i="8"/>
  <c r="N113" i="8" s="1"/>
  <c r="AY112" i="8"/>
  <c r="BB112" i="8"/>
  <c r="BA112" i="8"/>
  <c r="AZ112" i="8"/>
  <c r="BD112" i="8"/>
  <c r="Z112" i="8"/>
  <c r="AW112" i="8" s="1"/>
  <c r="AK112" i="8"/>
  <c r="AL112" i="8" s="1"/>
  <c r="BJ112" i="8" s="1"/>
  <c r="BC112" i="8"/>
  <c r="BE112" i="8"/>
  <c r="M112" i="8"/>
  <c r="N112" i="8" s="1"/>
  <c r="AO102" i="8"/>
  <c r="W26" i="9" s="1"/>
  <c r="AO101" i="8"/>
  <c r="W22" i="9" s="1"/>
  <c r="R115" i="8"/>
  <c r="AH114" i="8"/>
  <c r="BC114" i="8" s="1"/>
  <c r="AK114" i="8"/>
  <c r="AL114" i="8" s="1"/>
  <c r="BJ114" i="8" s="1"/>
  <c r="AD114" i="8"/>
  <c r="BB114" i="8" s="1"/>
  <c r="BF125" i="8"/>
  <c r="AC125" i="8"/>
  <c r="M125" i="8"/>
  <c r="N125" i="8" s="1"/>
  <c r="L20" i="8"/>
  <c r="L26" i="8" s="1"/>
  <c r="L31" i="8" s="1"/>
  <c r="R106" i="8"/>
  <c r="N106" i="8"/>
  <c r="AH106" i="8"/>
  <c r="AG67" i="8"/>
  <c r="AG76" i="8" s="1"/>
  <c r="O60" i="9" s="1"/>
  <c r="AC60" i="9" s="1"/>
  <c r="BJ109" i="8"/>
  <c r="Y105" i="8"/>
  <c r="AT105" i="8" s="1"/>
  <c r="AK105" i="8"/>
  <c r="AL105" i="8" s="1"/>
  <c r="BJ105" i="8" s="1"/>
  <c r="AC105" i="8"/>
  <c r="AG105" i="8"/>
  <c r="K20" i="8"/>
  <c r="K26" i="8" s="1"/>
  <c r="K31" i="8" s="1"/>
  <c r="AL106" i="8"/>
  <c r="BH106" i="8" s="1"/>
  <c r="V106" i="8"/>
  <c r="AR106" i="8" s="1"/>
  <c r="AD106" i="8"/>
  <c r="BB106" i="8" s="1"/>
  <c r="Z106" i="8"/>
  <c r="AX106" i="8" s="1"/>
  <c r="M20" i="8"/>
  <c r="M26" i="8" s="1"/>
  <c r="M31" i="8" s="1"/>
  <c r="Y104" i="8"/>
  <c r="BJ111" i="8"/>
  <c r="R104" i="8"/>
  <c r="AC104" i="8"/>
  <c r="AL104" i="8"/>
  <c r="BJ104" i="8" s="1"/>
  <c r="AG104" i="8"/>
  <c r="O20" i="8"/>
  <c r="O26" i="8" s="1"/>
  <c r="AY19" i="8"/>
  <c r="BJ19" i="8"/>
  <c r="BH19" i="8"/>
  <c r="AZ19" i="8"/>
  <c r="BA19" i="8"/>
  <c r="BG19" i="8"/>
  <c r="P20" i="8"/>
  <c r="AF20" i="8"/>
  <c r="AE26" i="8"/>
  <c r="AE31" i="8" s="1"/>
  <c r="AE38" i="8" s="1"/>
  <c r="Q20" i="8"/>
  <c r="Q26" i="8" s="1"/>
  <c r="Q31" i="8" s="1"/>
  <c r="Y20" i="8"/>
  <c r="Y26" i="8" s="1"/>
  <c r="Y31" i="8" s="1"/>
  <c r="Y38" i="8" s="1"/>
  <c r="AG20" i="8"/>
  <c r="AG26" i="8" s="1"/>
  <c r="AG31" i="8" s="1"/>
  <c r="BC19" i="8"/>
  <c r="BD19" i="8"/>
  <c r="W26" i="8"/>
  <c r="W31" i="8" s="1"/>
  <c r="W98" i="8" s="1"/>
  <c r="BE19" i="8"/>
  <c r="AO50" i="8"/>
  <c r="N19" i="8"/>
  <c r="R19" i="8"/>
  <c r="BJ103" i="8"/>
  <c r="BJ135" i="8"/>
  <c r="BJ137" i="8"/>
  <c r="BJ83" i="8"/>
  <c r="BJ50" i="8"/>
  <c r="BJ59" i="8" s="1"/>
  <c r="AC102" i="8"/>
  <c r="K26" i="9" s="1"/>
  <c r="BJ10" i="8"/>
  <c r="BJ11" i="8" s="1"/>
  <c r="AK10" i="10" s="1"/>
  <c r="C38" i="9"/>
  <c r="BJ122" i="8"/>
  <c r="AF67" i="8"/>
  <c r="AF76" i="8" s="1"/>
  <c r="AF84" i="8" s="1"/>
  <c r="S41" i="9"/>
  <c r="BJ121" i="8"/>
  <c r="BJ129" i="8"/>
  <c r="P63" i="9"/>
  <c r="AD63" i="9" s="1"/>
  <c r="BJ23" i="8"/>
  <c r="BJ25" i="8"/>
  <c r="BJ132" i="8"/>
  <c r="BJ13" i="8"/>
  <c r="BJ67" i="8"/>
  <c r="BJ76" i="8" s="1"/>
  <c r="BJ115" i="8"/>
  <c r="BJ133" i="8"/>
  <c r="BJ153" i="8"/>
  <c r="BJ17" i="8"/>
  <c r="BJ29" i="8"/>
  <c r="BJ124" i="8"/>
  <c r="BJ18" i="8"/>
  <c r="BJ125" i="8"/>
  <c r="BJ110" i="8"/>
  <c r="BJ136" i="8"/>
  <c r="BJ41" i="8"/>
  <c r="BJ42" i="8"/>
  <c r="T63" i="9"/>
  <c r="AH63" i="9" s="1"/>
  <c r="BC65" i="8"/>
  <c r="BI135" i="8"/>
  <c r="BI137" i="8"/>
  <c r="L63" i="9"/>
  <c r="Z63" i="9" s="1"/>
  <c r="Y10" i="10"/>
  <c r="D6" i="9"/>
  <c r="C9" i="10"/>
  <c r="D7" i="9"/>
  <c r="E7" i="9"/>
  <c r="AO84" i="8"/>
  <c r="AO26" i="8"/>
  <c r="AO31" i="8" s="1"/>
  <c r="AO21" i="8"/>
  <c r="AO15" i="8"/>
  <c r="L64" i="9"/>
  <c r="Z64" i="9" s="1"/>
  <c r="T64" i="9"/>
  <c r="AH64" i="9" s="1"/>
  <c r="P69" i="9"/>
  <c r="AD69" i="9" s="1"/>
  <c r="AD70" i="9" s="1"/>
  <c r="N41" i="9"/>
  <c r="BD129" i="8"/>
  <c r="R41" i="9"/>
  <c r="P64" i="9"/>
  <c r="AD64" i="9" s="1"/>
  <c r="AY65" i="8"/>
  <c r="BG65" i="8"/>
  <c r="L69" i="9"/>
  <c r="Z69" i="9" s="1"/>
  <c r="Z70" i="9" s="1"/>
  <c r="Z73" i="9" s="1"/>
  <c r="Z82" i="9" s="1"/>
  <c r="T69" i="9"/>
  <c r="AH69" i="9" s="1"/>
  <c r="D38" i="9"/>
  <c r="AE67" i="8"/>
  <c r="AE76" i="8" s="1"/>
  <c r="M60" i="9" s="1"/>
  <c r="AA60" i="9" s="1"/>
  <c r="C63" i="9"/>
  <c r="J41" i="9"/>
  <c r="N70" i="9"/>
  <c r="J51" i="9"/>
  <c r="E51" i="9"/>
  <c r="M70" i="9"/>
  <c r="F51" i="9"/>
  <c r="U70" i="9"/>
  <c r="V69" i="9"/>
  <c r="V64" i="9"/>
  <c r="AJ64" i="9" s="1"/>
  <c r="D51" i="9"/>
  <c r="O70" i="9"/>
  <c r="Q70" i="9"/>
  <c r="R70" i="9"/>
  <c r="AF70" i="9"/>
  <c r="AF73" i="9" s="1"/>
  <c r="AF82" i="9" s="1"/>
  <c r="G51" i="9"/>
  <c r="Y69" i="9"/>
  <c r="Y70" i="9" s="1"/>
  <c r="Y73" i="9" s="1"/>
  <c r="Y82" i="9" s="1"/>
  <c r="AG69" i="9"/>
  <c r="AG70" i="9" s="1"/>
  <c r="AG73" i="9" s="1"/>
  <c r="AG82" i="9" s="1"/>
  <c r="AC70" i="9"/>
  <c r="AC73" i="9" s="1"/>
  <c r="AC82" i="9" s="1"/>
  <c r="AI70" i="9"/>
  <c r="AE70" i="9"/>
  <c r="AE73" i="9" s="1"/>
  <c r="AE82" i="9" s="1"/>
  <c r="AB70" i="9"/>
  <c r="AB73" i="9" s="1"/>
  <c r="AB82" i="9" s="1"/>
  <c r="AA70" i="9"/>
  <c r="AA73" i="9" s="1"/>
  <c r="AA82" i="9" s="1"/>
  <c r="P39" i="9"/>
  <c r="AD39" i="9" s="1"/>
  <c r="BB129" i="8"/>
  <c r="N26" i="9"/>
  <c r="BB130" i="8"/>
  <c r="AZ133" i="8"/>
  <c r="BA133" i="8"/>
  <c r="V39" i="9"/>
  <c r="BB135" i="8"/>
  <c r="BD137" i="8"/>
  <c r="AH66" i="9"/>
  <c r="I51" i="9"/>
  <c r="C51" i="9"/>
  <c r="M51" i="9"/>
  <c r="U51" i="9"/>
  <c r="N51" i="9"/>
  <c r="V51" i="9"/>
  <c r="O51" i="9"/>
  <c r="Q51" i="9"/>
  <c r="R51" i="9"/>
  <c r="K51" i="9"/>
  <c r="S51" i="9"/>
  <c r="AJ28" i="9"/>
  <c r="AH28" i="9"/>
  <c r="AF28" i="9"/>
  <c r="BH135" i="8"/>
  <c r="BE129" i="8"/>
  <c r="BF133" i="8"/>
  <c r="AZ136" i="8"/>
  <c r="BF129" i="8"/>
  <c r="BH133" i="8"/>
  <c r="BE136" i="8"/>
  <c r="AY130" i="8"/>
  <c r="BI133" i="8"/>
  <c r="BH136" i="8"/>
  <c r="BA130" i="8"/>
  <c r="AZ135" i="8"/>
  <c r="BB137" i="8"/>
  <c r="AH102" i="8"/>
  <c r="BC102" i="8" s="1"/>
  <c r="N40" i="9"/>
  <c r="BI132" i="8"/>
  <c r="BC135" i="8"/>
  <c r="BE137" i="8"/>
  <c r="M38" i="9"/>
  <c r="BD135" i="8"/>
  <c r="BF137" i="8"/>
  <c r="P49" i="9"/>
  <c r="AD49" i="9" s="1"/>
  <c r="Z102" i="8"/>
  <c r="AX102" i="8" s="1"/>
  <c r="AK102" i="8"/>
  <c r="BC130" i="8"/>
  <c r="BE132" i="8"/>
  <c r="BB133" i="8"/>
  <c r="BA136" i="8"/>
  <c r="BI136" i="8"/>
  <c r="E38" i="9"/>
  <c r="AY129" i="8"/>
  <c r="BG129" i="8"/>
  <c r="BD130" i="8"/>
  <c r="BF132" i="8"/>
  <c r="BC133" i="8"/>
  <c r="BE135" i="8"/>
  <c r="BB136" i="8"/>
  <c r="AY137" i="8"/>
  <c r="BG137" i="8"/>
  <c r="F38" i="9"/>
  <c r="L39" i="9"/>
  <c r="AB39" i="9" s="1"/>
  <c r="T39" i="9"/>
  <c r="BD132" i="8"/>
  <c r="AZ129" i="8"/>
  <c r="BH129" i="8"/>
  <c r="BE130" i="8"/>
  <c r="AY132" i="8"/>
  <c r="BG132" i="8"/>
  <c r="BD133" i="8"/>
  <c r="BF135" i="8"/>
  <c r="BC136" i="8"/>
  <c r="AZ137" i="8"/>
  <c r="BH137" i="8"/>
  <c r="G38" i="9"/>
  <c r="AZ132" i="8"/>
  <c r="AY135" i="8"/>
  <c r="BG135" i="8"/>
  <c r="BD136" i="8"/>
  <c r="L49" i="9"/>
  <c r="Z49" i="9" s="1"/>
  <c r="T49" i="9"/>
  <c r="AH49" i="9" s="1"/>
  <c r="I38" i="9"/>
  <c r="Q38" i="9"/>
  <c r="BG130" i="8"/>
  <c r="BA132" i="8"/>
  <c r="J38" i="9"/>
  <c r="R38" i="9"/>
  <c r="BH130" i="8"/>
  <c r="BI130" i="8"/>
  <c r="Y39" i="9"/>
  <c r="Y6" i="9"/>
  <c r="Y7" i="9"/>
  <c r="N137" i="8"/>
  <c r="U137" i="8"/>
  <c r="N136" i="8"/>
  <c r="N135" i="8"/>
  <c r="AF50" i="8"/>
  <c r="AF59" i="8" s="1"/>
  <c r="AH134" i="8"/>
  <c r="BD134" i="8" s="1"/>
  <c r="Y134" i="8"/>
  <c r="Q134" i="8"/>
  <c r="R134" i="8" s="1"/>
  <c r="AK134" i="8"/>
  <c r="AC134" i="8"/>
  <c r="T134" i="8"/>
  <c r="E138" i="8"/>
  <c r="V133" i="8"/>
  <c r="AR133" i="8" s="1"/>
  <c r="N133" i="8"/>
  <c r="Y133" i="8"/>
  <c r="F138" i="8"/>
  <c r="Z132" i="8"/>
  <c r="AX132" i="8" s="1"/>
  <c r="AF131" i="8"/>
  <c r="C138" i="8"/>
  <c r="AN138" i="8"/>
  <c r="S138" i="8"/>
  <c r="AA138" i="8"/>
  <c r="AI138" i="8"/>
  <c r="L138" i="8"/>
  <c r="AB138" i="8"/>
  <c r="AJ138" i="8"/>
  <c r="W138" i="8"/>
  <c r="P138" i="8"/>
  <c r="X138" i="8"/>
  <c r="AN50" i="8"/>
  <c r="AN59" i="8" s="1"/>
  <c r="AK50" i="8"/>
  <c r="AK59" i="8" s="1"/>
  <c r="AE50" i="8"/>
  <c r="AE59" i="8" s="1"/>
  <c r="R131" i="8"/>
  <c r="AD131" i="8"/>
  <c r="V131" i="8"/>
  <c r="AS131" i="8" s="1"/>
  <c r="Z131" i="8"/>
  <c r="AX131" i="8" s="1"/>
  <c r="AL131" i="8"/>
  <c r="R129" i="8"/>
  <c r="N130" i="8"/>
  <c r="N131" i="8"/>
  <c r="AJ50" i="8"/>
  <c r="AJ59" i="8" s="1"/>
  <c r="AI50" i="8"/>
  <c r="AI59" i="8" s="1"/>
  <c r="BB49" i="8"/>
  <c r="K60" i="9"/>
  <c r="Y60" i="9" s="1"/>
  <c r="I60" i="9"/>
  <c r="S67" i="8"/>
  <c r="S76" i="8" s="1"/>
  <c r="AI67" i="8"/>
  <c r="X67" i="8"/>
  <c r="X76" i="8" s="1"/>
  <c r="X84" i="8" s="1"/>
  <c r="X86" i="8" s="1"/>
  <c r="P67" i="8"/>
  <c r="P76" i="8" s="1"/>
  <c r="O67" i="8"/>
  <c r="T67" i="8"/>
  <c r="AK67" i="8"/>
  <c r="I67" i="8"/>
  <c r="I76" i="8" s="1"/>
  <c r="Q67" i="8"/>
  <c r="Q76" i="8" s="1"/>
  <c r="AB67" i="8"/>
  <c r="AJ67" i="8"/>
  <c r="BF152" i="8"/>
  <c r="BI119" i="8"/>
  <c r="Y12" i="9"/>
  <c r="Y17" i="9"/>
  <c r="BD124" i="8"/>
  <c r="BA120" i="8"/>
  <c r="AF51" i="9"/>
  <c r="P56" i="9"/>
  <c r="AD56" i="9" s="1"/>
  <c r="O33" i="9"/>
  <c r="V35" i="9"/>
  <c r="K22" i="9"/>
  <c r="AB22" i="9" s="1"/>
  <c r="L47" i="9"/>
  <c r="Y51" i="9"/>
  <c r="P17" i="9"/>
  <c r="AG17" i="9" s="1"/>
  <c r="O59" i="9"/>
  <c r="AC59" i="9" s="1"/>
  <c r="N32" i="9"/>
  <c r="T16" i="9"/>
  <c r="O35" i="9"/>
  <c r="BE124" i="8"/>
  <c r="L55" i="9"/>
  <c r="Z55" i="9" s="1"/>
  <c r="T55" i="9"/>
  <c r="AH55" i="9" s="1"/>
  <c r="R32" i="9"/>
  <c r="P33" i="9"/>
  <c r="BI111" i="8"/>
  <c r="AK101" i="8"/>
  <c r="AG51" i="9"/>
  <c r="L58" i="9"/>
  <c r="Z58" i="9" s="1"/>
  <c r="T58" i="9"/>
  <c r="AH58" i="9" s="1"/>
  <c r="I59" i="9"/>
  <c r="S32" i="9"/>
  <c r="T34" i="9"/>
  <c r="AK34" i="9" s="1"/>
  <c r="AE51" i="9"/>
  <c r="L16" i="9"/>
  <c r="Z16" i="9" s="1"/>
  <c r="P12" i="9"/>
  <c r="AG12" i="9" s="1"/>
  <c r="L48" i="9"/>
  <c r="Z48" i="9" s="1"/>
  <c r="T48" i="9"/>
  <c r="AH48" i="9" s="1"/>
  <c r="P57" i="9"/>
  <c r="AD57" i="9" s="1"/>
  <c r="J59" i="9"/>
  <c r="T32" i="9"/>
  <c r="J33" i="9"/>
  <c r="Y33" i="9" s="1"/>
  <c r="R33" i="9"/>
  <c r="J35" i="9"/>
  <c r="R35" i="9"/>
  <c r="BI152" i="8"/>
  <c r="P16" i="9"/>
  <c r="AF16" i="9" s="1"/>
  <c r="L17" i="9"/>
  <c r="AA17" i="9" s="1"/>
  <c r="T17" i="9"/>
  <c r="AK17" i="9" s="1"/>
  <c r="AM17" i="9" s="1"/>
  <c r="P47" i="9"/>
  <c r="L56" i="9"/>
  <c r="Z56" i="9" s="1"/>
  <c r="T56" i="9"/>
  <c r="AH56" i="9" s="1"/>
  <c r="K59" i="9"/>
  <c r="Y59" i="9" s="1"/>
  <c r="S33" i="9"/>
  <c r="AJ33" i="9" s="1"/>
  <c r="P55" i="9"/>
  <c r="AD55" i="9" s="1"/>
  <c r="AB51" i="9"/>
  <c r="P58" i="9"/>
  <c r="AD58" i="9" s="1"/>
  <c r="P34" i="9"/>
  <c r="AG34" i="9" s="1"/>
  <c r="L12" i="9"/>
  <c r="AC12" i="9" s="1"/>
  <c r="T12" i="9"/>
  <c r="J22" i="9"/>
  <c r="T57" i="9"/>
  <c r="AH57" i="9" s="1"/>
  <c r="N35" i="9"/>
  <c r="AA51" i="9"/>
  <c r="AI51" i="9"/>
  <c r="AC51" i="9"/>
  <c r="Y16" i="9"/>
  <c r="N20" i="10"/>
  <c r="N8" i="10"/>
  <c r="L7" i="9" s="1"/>
  <c r="AB7" i="9" s="1"/>
  <c r="AB15" i="10"/>
  <c r="N15" i="10"/>
  <c r="AA20" i="10"/>
  <c r="AB20" i="10"/>
  <c r="AC20" i="10"/>
  <c r="N7" i="10"/>
  <c r="L6" i="9" s="1"/>
  <c r="Z6" i="9" s="1"/>
  <c r="D9" i="10"/>
  <c r="AH15" i="10"/>
  <c r="AI15" i="10"/>
  <c r="AJ15" i="10"/>
  <c r="AM19" i="10"/>
  <c r="R20" i="10"/>
  <c r="AF20" i="10"/>
  <c r="AD15" i="10"/>
  <c r="R8" i="10"/>
  <c r="P7" i="9" s="1"/>
  <c r="AD7" i="9" s="1"/>
  <c r="AE15" i="10"/>
  <c r="R15" i="10"/>
  <c r="R7" i="10"/>
  <c r="P6" i="9" s="1"/>
  <c r="AF6" i="9" s="1"/>
  <c r="AG15" i="10"/>
  <c r="AM14" i="10"/>
  <c r="V8" i="10"/>
  <c r="T7" i="9" s="1"/>
  <c r="AI7" i="9" s="1"/>
  <c r="AI20" i="10"/>
  <c r="V20" i="10"/>
  <c r="V7" i="10"/>
  <c r="T6" i="9" s="1"/>
  <c r="AJ6" i="9" s="1"/>
  <c r="AM18" i="10"/>
  <c r="AC15" i="10"/>
  <c r="AK15" i="10"/>
  <c r="AE20" i="10"/>
  <c r="AA15" i="10"/>
  <c r="AH20" i="10"/>
  <c r="AF15" i="10"/>
  <c r="AM13" i="10"/>
  <c r="AF126" i="8"/>
  <c r="BI109" i="8"/>
  <c r="AN126" i="8"/>
  <c r="AL120" i="8"/>
  <c r="BF124" i="8"/>
  <c r="AJ126" i="8"/>
  <c r="BB121" i="8"/>
  <c r="BF103" i="8"/>
  <c r="X126" i="8"/>
  <c r="AY120" i="8"/>
  <c r="BF115" i="8"/>
  <c r="AG123" i="8"/>
  <c r="AG126" i="8" s="1"/>
  <c r="BA121" i="8"/>
  <c r="L126" i="8"/>
  <c r="Y119" i="8"/>
  <c r="AD115" i="8"/>
  <c r="BA115" i="8" s="1"/>
  <c r="BF109" i="8"/>
  <c r="BI103" i="8"/>
  <c r="BG153" i="8"/>
  <c r="AK126" i="8"/>
  <c r="AH119" i="8"/>
  <c r="BC119" i="8" s="1"/>
  <c r="BB120" i="8"/>
  <c r="AD152" i="8"/>
  <c r="AZ123" i="8"/>
  <c r="AG101" i="8"/>
  <c r="BB101" i="8" s="1"/>
  <c r="V119" i="8"/>
  <c r="AR119" i="8" s="1"/>
  <c r="AY122" i="8"/>
  <c r="AY124" i="8"/>
  <c r="Y153" i="8"/>
  <c r="BA123" i="8"/>
  <c r="BI153" i="8"/>
  <c r="U153" i="8"/>
  <c r="Y111" i="8"/>
  <c r="AT111" i="8" s="1"/>
  <c r="AZ120" i="8"/>
  <c r="AZ122" i="8"/>
  <c r="AZ124" i="8"/>
  <c r="BA122" i="8"/>
  <c r="BA124" i="8"/>
  <c r="U152" i="8"/>
  <c r="U115" i="8"/>
  <c r="AD103" i="8"/>
  <c r="AC119" i="8"/>
  <c r="AC153" i="8"/>
  <c r="AY121" i="8"/>
  <c r="BI122" i="8"/>
  <c r="R109" i="8"/>
  <c r="AY123" i="8"/>
  <c r="BG152" i="8"/>
  <c r="BH152" i="8"/>
  <c r="R120" i="8"/>
  <c r="BG119" i="8"/>
  <c r="BH119" i="8"/>
  <c r="BG125" i="8"/>
  <c r="BI121" i="8"/>
  <c r="BG122" i="8"/>
  <c r="AL123" i="8"/>
  <c r="BH125" i="8"/>
  <c r="BG121" i="8"/>
  <c r="BG124" i="8"/>
  <c r="BH124" i="8"/>
  <c r="BF120" i="8"/>
  <c r="AH110" i="8"/>
  <c r="BF110" i="8" s="1"/>
  <c r="BD152" i="8"/>
  <c r="BE152" i="8"/>
  <c r="BB111" i="8"/>
  <c r="BC125" i="8"/>
  <c r="BF122" i="8"/>
  <c r="BD120" i="8"/>
  <c r="BE120" i="8"/>
  <c r="BD125" i="8"/>
  <c r="BE125" i="8"/>
  <c r="BC122" i="8"/>
  <c r="BD122" i="8"/>
  <c r="BC121" i="8"/>
  <c r="BD121" i="8"/>
  <c r="BE121" i="8"/>
  <c r="BF153" i="8"/>
  <c r="BC153" i="8"/>
  <c r="BD153" i="8"/>
  <c r="BC152" i="8"/>
  <c r="AZ101" i="8"/>
  <c r="AY101" i="8"/>
  <c r="AY110" i="8"/>
  <c r="AB126" i="8"/>
  <c r="BA111" i="8"/>
  <c r="BA101" i="8"/>
  <c r="BB109" i="8"/>
  <c r="V103" i="8"/>
  <c r="AR103" i="8" s="1"/>
  <c r="V109" i="8"/>
  <c r="AR109" i="8" s="1"/>
  <c r="V110" i="8"/>
  <c r="AR110" i="8" s="1"/>
  <c r="P126" i="8"/>
  <c r="Q152" i="8"/>
  <c r="R152" i="8" s="1"/>
  <c r="T126" i="8"/>
  <c r="Q101" i="8"/>
  <c r="R101" i="8" s="1"/>
  <c r="Q110" i="8"/>
  <c r="R110" i="8" s="1"/>
  <c r="U101" i="8"/>
  <c r="Q121" i="8"/>
  <c r="R121" i="8" s="1"/>
  <c r="U126" i="8"/>
  <c r="BC115" i="8"/>
  <c r="BG103" i="8"/>
  <c r="BH110" i="8"/>
  <c r="BD103" i="8"/>
  <c r="BD115" i="8"/>
  <c r="BE115" i="8"/>
  <c r="BC109" i="8"/>
  <c r="BE111" i="8"/>
  <c r="BH103" i="8"/>
  <c r="BD109" i="8"/>
  <c r="BA110" i="8"/>
  <c r="BI110" i="8"/>
  <c r="BF111" i="8"/>
  <c r="BE109" i="8"/>
  <c r="BB110" i="8"/>
  <c r="AY111" i="8"/>
  <c r="BG111" i="8"/>
  <c r="AZ111" i="8"/>
  <c r="BH111" i="8"/>
  <c r="BC103" i="8"/>
  <c r="AY109" i="8"/>
  <c r="BG109" i="8"/>
  <c r="BH109" i="8"/>
  <c r="BE103" i="8"/>
  <c r="BA109" i="8"/>
  <c r="BC111" i="8"/>
  <c r="AZ29" i="8"/>
  <c r="BA29" i="8"/>
  <c r="AY10" i="8"/>
  <c r="AZ10" i="8"/>
  <c r="AD11" i="8"/>
  <c r="AD14" i="8" s="1"/>
  <c r="BA10" i="8"/>
  <c r="BB23" i="8"/>
  <c r="BF29" i="8"/>
  <c r="BG23" i="8"/>
  <c r="BD10" i="8"/>
  <c r="AY17" i="8"/>
  <c r="N14" i="8"/>
  <c r="AH11" i="8"/>
  <c r="AH14" i="8" s="1"/>
  <c r="BE10" i="8"/>
  <c r="BF10" i="8"/>
  <c r="BD13" i="8"/>
  <c r="BE13" i="8"/>
  <c r="BH23" i="8"/>
  <c r="BC29" i="8"/>
  <c r="BF13" i="8"/>
  <c r="AY23" i="8"/>
  <c r="BH25" i="8"/>
  <c r="BF23" i="8"/>
  <c r="BA18" i="8"/>
  <c r="BB29" i="8"/>
  <c r="AY13" i="8"/>
  <c r="BB13" i="8"/>
  <c r="BE23" i="8"/>
  <c r="BL23" i="8" s="1"/>
  <c r="Z14" i="8"/>
  <c r="AY18" i="8"/>
  <c r="AZ18" i="8"/>
  <c r="BG18" i="8"/>
  <c r="BH18" i="8"/>
  <c r="AZ13" i="8"/>
  <c r="BE17" i="8"/>
  <c r="AZ23" i="8"/>
  <c r="BD29" i="8"/>
  <c r="BF17" i="8"/>
  <c r="AY24" i="8"/>
  <c r="BG25" i="8"/>
  <c r="BC23" i="8"/>
  <c r="BG29" i="8"/>
  <c r="BH29" i="8"/>
  <c r="AY25" i="8"/>
  <c r="AZ25" i="8"/>
  <c r="BA25" i="8"/>
  <c r="V14" i="8"/>
  <c r="BI10" i="8"/>
  <c r="AZ24" i="8"/>
  <c r="BG10" i="8"/>
  <c r="BA24" i="8"/>
  <c r="BC17" i="8"/>
  <c r="BG17" i="8"/>
  <c r="BH17" i="8"/>
  <c r="BG13" i="8"/>
  <c r="BH13" i="8"/>
  <c r="BC25" i="8"/>
  <c r="BD25" i="8"/>
  <c r="BE25" i="8"/>
  <c r="BL25" i="8" s="1"/>
  <c r="BC18" i="8"/>
  <c r="BD18" i="8"/>
  <c r="BE18" i="8"/>
  <c r="AZ17" i="8"/>
  <c r="BA17" i="8"/>
  <c r="R14" i="8"/>
  <c r="AY34" i="8"/>
  <c r="AH83" i="8"/>
  <c r="P72" i="9" s="1"/>
  <c r="AD72" i="9" s="1"/>
  <c r="AH50" i="8"/>
  <c r="AH59" i="8" s="1"/>
  <c r="AL50" i="8"/>
  <c r="AL59" i="8" s="1"/>
  <c r="Z83" i="8"/>
  <c r="V83" i="8"/>
  <c r="V67" i="8"/>
  <c r="V76" i="8" s="1"/>
  <c r="AD67" i="8"/>
  <c r="AD76" i="8" s="1"/>
  <c r="Z67" i="8"/>
  <c r="Z76" i="8" s="1"/>
  <c r="Z50" i="8"/>
  <c r="Z59" i="8" s="1"/>
  <c r="BC46" i="8"/>
  <c r="AH67" i="8"/>
  <c r="AD50" i="8"/>
  <c r="AD59" i="8" s="1"/>
  <c r="BG45" i="8"/>
  <c r="AY48" i="8"/>
  <c r="V50" i="8"/>
  <c r="V59" i="8" s="1"/>
  <c r="R50" i="8"/>
  <c r="R59" i="8" s="1"/>
  <c r="R83" i="8"/>
  <c r="R67" i="8"/>
  <c r="R76" i="8" s="1"/>
  <c r="N83" i="8"/>
  <c r="L84" i="8"/>
  <c r="M84" i="8"/>
  <c r="N50" i="8"/>
  <c r="N59" i="8" s="1"/>
  <c r="N67" i="8"/>
  <c r="N76" i="8" s="1"/>
  <c r="AA84" i="8"/>
  <c r="AA86" i="8" s="1"/>
  <c r="Y84" i="8"/>
  <c r="Y86" i="8" s="1"/>
  <c r="U84" i="8"/>
  <c r="U86" i="8" s="1"/>
  <c r="AC84" i="8"/>
  <c r="AC86" i="8" s="1"/>
  <c r="AJ15" i="8"/>
  <c r="X15" i="8"/>
  <c r="L15" i="8"/>
  <c r="T15" i="8"/>
  <c r="AB15" i="8"/>
  <c r="AB26" i="8"/>
  <c r="AB31" i="8" s="1"/>
  <c r="M15" i="8"/>
  <c r="U15" i="8"/>
  <c r="U26" i="8"/>
  <c r="U31" i="8" s="1"/>
  <c r="AC15" i="8"/>
  <c r="AC26" i="8"/>
  <c r="AC31" i="8" s="1"/>
  <c r="K15" i="8"/>
  <c r="S15" i="8"/>
  <c r="S26" i="8"/>
  <c r="S31" i="8" s="1"/>
  <c r="AA15" i="8"/>
  <c r="AA26" i="8"/>
  <c r="AA31" i="8" s="1"/>
  <c r="AI15" i="8"/>
  <c r="AI26" i="8"/>
  <c r="AI31" i="8" s="1"/>
  <c r="O15" i="8"/>
  <c r="W15" i="8"/>
  <c r="AE15" i="8"/>
  <c r="W21" i="8"/>
  <c r="AE21" i="8"/>
  <c r="E54" i="14"/>
  <c r="D54" i="14"/>
  <c r="F55" i="14"/>
  <c r="F54" i="14"/>
  <c r="E55" i="14"/>
  <c r="D55" i="14"/>
  <c r="D20" i="14"/>
  <c r="F20" i="14"/>
  <c r="E20" i="14"/>
  <c r="C20" i="14"/>
  <c r="AX20" i="8" l="1"/>
  <c r="AS86" i="8"/>
  <c r="AF27" i="9"/>
  <c r="AU84" i="8"/>
  <c r="AU86" i="8" s="1"/>
  <c r="BF24" i="8"/>
  <c r="BD24" i="8"/>
  <c r="BE24" i="8"/>
  <c r="BL24" i="8" s="1"/>
  <c r="AQ84" i="8"/>
  <c r="AQ86" i="8" s="1"/>
  <c r="AE18" i="9"/>
  <c r="L27" i="9"/>
  <c r="AQ14" i="8"/>
  <c r="AQ15" i="8" s="1"/>
  <c r="AR14" i="8"/>
  <c r="AF18" i="9"/>
  <c r="AD18" i="9"/>
  <c r="AW84" i="8"/>
  <c r="AW86" i="8" s="1"/>
  <c r="AQ20" i="8"/>
  <c r="AQ26" i="8" s="1"/>
  <c r="AX84" i="8"/>
  <c r="AX86" i="8" s="1"/>
  <c r="AT86" i="8"/>
  <c r="AX15" i="8"/>
  <c r="AR126" i="8"/>
  <c r="AS14" i="8"/>
  <c r="AS20" i="8" s="1"/>
  <c r="AS21" i="8" s="1"/>
  <c r="AC18" i="9"/>
  <c r="AK39" i="9"/>
  <c r="AB18" i="9"/>
  <c r="BG24" i="8"/>
  <c r="BH24" i="8"/>
  <c r="BJ24" i="8"/>
  <c r="AR20" i="8"/>
  <c r="AR26" i="8" s="1"/>
  <c r="AR15" i="8"/>
  <c r="AJ12" i="9"/>
  <c r="AK12" i="9"/>
  <c r="AJ16" i="9"/>
  <c r="AK16" i="9"/>
  <c r="AU106" i="8"/>
  <c r="AW102" i="8"/>
  <c r="AM34" i="9"/>
  <c r="AW106" i="8"/>
  <c r="AV20" i="8"/>
  <c r="AV26" i="8" s="1"/>
  <c r="AS106" i="8"/>
  <c r="AO59" i="8"/>
  <c r="AO86" i="8" s="1"/>
  <c r="W59" i="9"/>
  <c r="AK59" i="9" s="1"/>
  <c r="BJ119" i="8"/>
  <c r="W32" i="9"/>
  <c r="AK32" i="9" s="1"/>
  <c r="AV15" i="8"/>
  <c r="AV132" i="8"/>
  <c r="AK18" i="9"/>
  <c r="AM18" i="9" s="1"/>
  <c r="T27" i="9"/>
  <c r="AI18" i="9"/>
  <c r="BJ152" i="8"/>
  <c r="W33" i="9"/>
  <c r="AK33" i="9" s="1"/>
  <c r="AU113" i="8"/>
  <c r="AJ18" i="9"/>
  <c r="AG27" i="9"/>
  <c r="W14" i="9"/>
  <c r="Z7" i="9"/>
  <c r="Z8" i="9" s="1"/>
  <c r="AC6" i="9"/>
  <c r="AA7" i="9"/>
  <c r="AA8" i="9" s="1"/>
  <c r="AI6" i="9"/>
  <c r="AI8" i="9" s="1"/>
  <c r="AA6" i="9"/>
  <c r="V101" i="8"/>
  <c r="AT101" i="8" s="1"/>
  <c r="V115" i="8"/>
  <c r="AT115" i="8" s="1"/>
  <c r="AU112" i="8"/>
  <c r="AS133" i="8"/>
  <c r="AS119" i="8"/>
  <c r="AS126" i="8" s="1"/>
  <c r="U134" i="8"/>
  <c r="Z104" i="8"/>
  <c r="AX104" i="8" s="1"/>
  <c r="V152" i="8"/>
  <c r="AT152" i="8" s="1"/>
  <c r="Z119" i="8"/>
  <c r="AV119" i="8" s="1"/>
  <c r="AV126" i="8" s="1"/>
  <c r="V137" i="8"/>
  <c r="AQ137" i="8" s="1"/>
  <c r="AS15" i="8"/>
  <c r="AV106" i="8"/>
  <c r="AW131" i="8"/>
  <c r="AW132" i="8"/>
  <c r="AS110" i="8"/>
  <c r="AQ103" i="8"/>
  <c r="AT103" i="8"/>
  <c r="V153" i="8"/>
  <c r="AT153" i="8" s="1"/>
  <c r="Z105" i="8"/>
  <c r="AV105" i="8" s="1"/>
  <c r="AD125" i="8"/>
  <c r="BB125" i="8" s="1"/>
  <c r="AX125" i="8"/>
  <c r="AU132" i="8"/>
  <c r="AR152" i="8"/>
  <c r="AQ131" i="8"/>
  <c r="AT131" i="8"/>
  <c r="Z153" i="8"/>
  <c r="AX153" i="8" s="1"/>
  <c r="W116" i="8"/>
  <c r="W146" i="8" s="1"/>
  <c r="AV102" i="8"/>
  <c r="AU131" i="8"/>
  <c r="AU14" i="8"/>
  <c r="Z111" i="8"/>
  <c r="AX111" i="8" s="1"/>
  <c r="Z133" i="8"/>
  <c r="AX133" i="8" s="1"/>
  <c r="AR131" i="8"/>
  <c r="AS103" i="8"/>
  <c r="AT109" i="8"/>
  <c r="AQ109" i="8"/>
  <c r="Z134" i="8"/>
  <c r="AX134" i="8" s="1"/>
  <c r="AT106" i="8"/>
  <c r="AQ106" i="8"/>
  <c r="AV131" i="8"/>
  <c r="AS109" i="8"/>
  <c r="AQ110" i="8"/>
  <c r="AT110" i="8"/>
  <c r="V126" i="8"/>
  <c r="AT119" i="8"/>
  <c r="AT126" i="8" s="1"/>
  <c r="AQ119" i="8"/>
  <c r="AQ126" i="8" s="1"/>
  <c r="AQ133" i="8"/>
  <c r="AT133" i="8"/>
  <c r="AX112" i="8"/>
  <c r="AV112" i="8"/>
  <c r="AX113" i="8"/>
  <c r="AV113" i="8"/>
  <c r="AW14" i="8"/>
  <c r="AU102" i="8"/>
  <c r="AT104" i="8"/>
  <c r="AU104" i="8"/>
  <c r="AT26" i="8"/>
  <c r="AT21" i="8"/>
  <c r="AS26" i="8"/>
  <c r="AX26" i="8"/>
  <c r="AX21" i="8"/>
  <c r="AV21" i="8"/>
  <c r="BG145" i="8"/>
  <c r="BI145" i="8"/>
  <c r="BJ145" i="8"/>
  <c r="AD145" i="8"/>
  <c r="BA145" i="8" s="1"/>
  <c r="AG145" i="8"/>
  <c r="BH145" i="8"/>
  <c r="BJ120" i="8"/>
  <c r="AG84" i="8"/>
  <c r="AG86" i="8" s="1"/>
  <c r="BI106" i="8"/>
  <c r="BF112" i="8"/>
  <c r="AO126" i="8"/>
  <c r="AO138" i="8"/>
  <c r="BG113" i="8"/>
  <c r="BB113" i="8"/>
  <c r="BA113" i="8"/>
  <c r="AZ113" i="8"/>
  <c r="BJ113" i="8"/>
  <c r="BI113" i="8"/>
  <c r="BL113" i="8" s="1"/>
  <c r="AY113" i="8"/>
  <c r="BH112" i="8"/>
  <c r="BG112" i="8"/>
  <c r="BI112" i="8"/>
  <c r="BG106" i="8"/>
  <c r="AY106" i="8"/>
  <c r="BC106" i="8"/>
  <c r="BF106" i="8"/>
  <c r="BD106" i="8"/>
  <c r="BJ106" i="8"/>
  <c r="BE106" i="8"/>
  <c r="AZ106" i="8"/>
  <c r="BA106" i="8"/>
  <c r="BE114" i="8"/>
  <c r="BD114" i="8"/>
  <c r="K41" i="9"/>
  <c r="BF114" i="8"/>
  <c r="BA114" i="8"/>
  <c r="BI114" i="8"/>
  <c r="AZ114" i="8"/>
  <c r="AY114" i="8"/>
  <c r="BH114" i="8"/>
  <c r="S35" i="9"/>
  <c r="BG114" i="8"/>
  <c r="AZ125" i="8"/>
  <c r="L41" i="9"/>
  <c r="N126" i="8"/>
  <c r="AD105" i="8"/>
  <c r="BB105" i="8" s="1"/>
  <c r="BG105" i="8"/>
  <c r="BI105" i="8"/>
  <c r="BH105" i="8"/>
  <c r="AH105" i="8"/>
  <c r="O21" i="8"/>
  <c r="AE27" i="8"/>
  <c r="BI104" i="8"/>
  <c r="BH104" i="8"/>
  <c r="BG104" i="8"/>
  <c r="AH104" i="8"/>
  <c r="BD104" i="8" s="1"/>
  <c r="AD104" i="8"/>
  <c r="BB104" i="8" s="1"/>
  <c r="O31" i="8"/>
  <c r="O98" i="8" s="1"/>
  <c r="O116" i="8" s="1"/>
  <c r="O146" i="8" s="1"/>
  <c r="O27" i="8"/>
  <c r="AE98" i="8"/>
  <c r="AE116" i="8" s="1"/>
  <c r="AE146" i="8" s="1"/>
  <c r="W27" i="8"/>
  <c r="AH15" i="8"/>
  <c r="AH20" i="8"/>
  <c r="AD15" i="8"/>
  <c r="AD20" i="8"/>
  <c r="R15" i="8"/>
  <c r="R20" i="8"/>
  <c r="V15" i="8"/>
  <c r="V20" i="8"/>
  <c r="Z15" i="8"/>
  <c r="Z20" i="8"/>
  <c r="N15" i="8"/>
  <c r="N20" i="8"/>
  <c r="AF86" i="8"/>
  <c r="N60" i="9"/>
  <c r="AB60" i="9" s="1"/>
  <c r="BJ84" i="8"/>
  <c r="BJ86" i="8" s="1"/>
  <c r="L70" i="9"/>
  <c r="AD102" i="8"/>
  <c r="BJ14" i="8"/>
  <c r="BJ20" i="8" s="1"/>
  <c r="BG123" i="8"/>
  <c r="BJ123" i="8"/>
  <c r="AE84" i="8"/>
  <c r="AE86" i="8" s="1"/>
  <c r="BG131" i="8"/>
  <c r="BJ131" i="8"/>
  <c r="O41" i="9"/>
  <c r="AC7" i="9"/>
  <c r="AE6" i="9"/>
  <c r="AH6" i="9"/>
  <c r="AJ7" i="9"/>
  <c r="AD6" i="9"/>
  <c r="AD8" i="9" s="1"/>
  <c r="AG7" i="9"/>
  <c r="AH7" i="9"/>
  <c r="AH8" i="9" s="1"/>
  <c r="AK20" i="10"/>
  <c r="AM20" i="10" s="1"/>
  <c r="AE7" i="9"/>
  <c r="AG6" i="9"/>
  <c r="AF7" i="9"/>
  <c r="AF8" i="9" s="1"/>
  <c r="AB6" i="9"/>
  <c r="AB8" i="9" s="1"/>
  <c r="AO27" i="8"/>
  <c r="P70" i="9"/>
  <c r="BE102" i="8"/>
  <c r="T41" i="9"/>
  <c r="AK41" i="9" s="1"/>
  <c r="AH70" i="9"/>
  <c r="T70" i="9"/>
  <c r="AG39" i="9"/>
  <c r="AE39" i="9"/>
  <c r="AF39" i="9"/>
  <c r="AJ69" i="9"/>
  <c r="AJ70" i="9" s="1"/>
  <c r="V70" i="9"/>
  <c r="AJ39" i="9"/>
  <c r="AD73" i="9"/>
  <c r="AD82" i="9" s="1"/>
  <c r="BI131" i="8"/>
  <c r="AL102" i="8"/>
  <c r="S26" i="9"/>
  <c r="BB103" i="8"/>
  <c r="BI120" i="8"/>
  <c r="BD102" i="8"/>
  <c r="P26" i="9"/>
  <c r="AF26" i="9" s="1"/>
  <c r="P51" i="9"/>
  <c r="L51" i="9"/>
  <c r="T51" i="9"/>
  <c r="AH39" i="9"/>
  <c r="AI39" i="9"/>
  <c r="AC39" i="9"/>
  <c r="Z39" i="9"/>
  <c r="AA39" i="9"/>
  <c r="BF102" i="8"/>
  <c r="L38" i="9"/>
  <c r="Z38" i="9" s="1"/>
  <c r="AY131" i="8"/>
  <c r="AK138" i="8"/>
  <c r="S40" i="9"/>
  <c r="BA131" i="8"/>
  <c r="BH131" i="8"/>
  <c r="AD134" i="8"/>
  <c r="BA134" i="8" s="1"/>
  <c r="K40" i="9"/>
  <c r="Y38" i="9"/>
  <c r="AZ131" i="8"/>
  <c r="AG131" i="8"/>
  <c r="N38" i="9"/>
  <c r="BE134" i="8"/>
  <c r="BC134" i="8"/>
  <c r="P40" i="9"/>
  <c r="BF134" i="8"/>
  <c r="T38" i="9"/>
  <c r="AK38" i="9" s="1"/>
  <c r="Z47" i="9"/>
  <c r="Z51" i="9" s="1"/>
  <c r="AD47" i="9"/>
  <c r="AD51" i="9" s="1"/>
  <c r="Y8" i="9"/>
  <c r="AL134" i="8"/>
  <c r="AC138" i="8"/>
  <c r="N59" i="9"/>
  <c r="AB59" i="9" s="1"/>
  <c r="T138" i="8"/>
  <c r="V134" i="8"/>
  <c r="Y138" i="8"/>
  <c r="V59" i="9"/>
  <c r="AJ59" i="9" s="1"/>
  <c r="AF138" i="8"/>
  <c r="S59" i="9"/>
  <c r="AG59" i="9" s="1"/>
  <c r="R59" i="9"/>
  <c r="AF59" i="9" s="1"/>
  <c r="N138" i="8"/>
  <c r="R138" i="8"/>
  <c r="Q138" i="8"/>
  <c r="M138" i="8"/>
  <c r="M59" i="9"/>
  <c r="AA59" i="9" s="1"/>
  <c r="U138" i="8"/>
  <c r="Q59" i="9"/>
  <c r="AE59" i="9" s="1"/>
  <c r="O76" i="8"/>
  <c r="O84" i="8" s="1"/>
  <c r="O86" i="8" s="1"/>
  <c r="T76" i="8"/>
  <c r="T84" i="8" s="1"/>
  <c r="T86" i="8" s="1"/>
  <c r="AJ76" i="8"/>
  <c r="AJ84" i="8" s="1"/>
  <c r="AJ86" i="8" s="1"/>
  <c r="P84" i="8"/>
  <c r="P86" i="8" s="1"/>
  <c r="AB76" i="8"/>
  <c r="AB84" i="8" s="1"/>
  <c r="AB86" i="8" s="1"/>
  <c r="W76" i="8"/>
  <c r="W84" i="8" s="1"/>
  <c r="W86" i="8" s="1"/>
  <c r="Q84" i="8"/>
  <c r="Q86" i="8" s="1"/>
  <c r="AI76" i="8"/>
  <c r="AI84" i="8" s="1"/>
  <c r="AI86" i="8" s="1"/>
  <c r="S84" i="8"/>
  <c r="S86" i="8" s="1"/>
  <c r="AH76" i="8"/>
  <c r="P60" i="9" s="1"/>
  <c r="AD60" i="9" s="1"/>
  <c r="AK76" i="8"/>
  <c r="S60" i="9" s="1"/>
  <c r="AG60" i="9" s="1"/>
  <c r="AI16" i="9"/>
  <c r="AZ103" i="8"/>
  <c r="AD17" i="9"/>
  <c r="Y26" i="9"/>
  <c r="AH16" i="9"/>
  <c r="Y22" i="9"/>
  <c r="AH51" i="9"/>
  <c r="AE17" i="9"/>
  <c r="AF12" i="9"/>
  <c r="AA22" i="9"/>
  <c r="AF17" i="9"/>
  <c r="AE33" i="9"/>
  <c r="L35" i="9"/>
  <c r="AC35" i="9" s="1"/>
  <c r="AE12" i="9"/>
  <c r="AG16" i="9"/>
  <c r="AH33" i="9"/>
  <c r="AI32" i="9"/>
  <c r="T35" i="9"/>
  <c r="AK35" i="9" s="1"/>
  <c r="AC17" i="9"/>
  <c r="AB17" i="9"/>
  <c r="Z17" i="9"/>
  <c r="AE34" i="9"/>
  <c r="AI12" i="9"/>
  <c r="P59" i="9"/>
  <c r="AD59" i="9" s="1"/>
  <c r="BH120" i="8"/>
  <c r="K35" i="9"/>
  <c r="Y35" i="9" s="1"/>
  <c r="AF33" i="9"/>
  <c r="BG120" i="8"/>
  <c r="AD153" i="8"/>
  <c r="L34" i="9" s="1"/>
  <c r="AC34" i="9" s="1"/>
  <c r="K34" i="9"/>
  <c r="BB152" i="8"/>
  <c r="L33" i="9"/>
  <c r="AI17" i="9"/>
  <c r="AH17" i="9"/>
  <c r="AJ17" i="9"/>
  <c r="AJ34" i="9"/>
  <c r="AI34" i="9"/>
  <c r="AC126" i="8"/>
  <c r="K32" i="9"/>
  <c r="AI33" i="9"/>
  <c r="AB12" i="9"/>
  <c r="AA12" i="9"/>
  <c r="Z22" i="9"/>
  <c r="AF34" i="9"/>
  <c r="AJ32" i="9"/>
  <c r="AH12" i="9"/>
  <c r="AD12" i="9"/>
  <c r="AH34" i="9"/>
  <c r="T59" i="9"/>
  <c r="AH59" i="9" s="1"/>
  <c r="AC16" i="9"/>
  <c r="AB16" i="9"/>
  <c r="AD84" i="8"/>
  <c r="L60" i="9"/>
  <c r="Z60" i="9" s="1"/>
  <c r="AY103" i="8"/>
  <c r="BF119" i="8"/>
  <c r="P32" i="9"/>
  <c r="AE16" i="9"/>
  <c r="AD16" i="9"/>
  <c r="AG33" i="9"/>
  <c r="Z12" i="9"/>
  <c r="AH32" i="9"/>
  <c r="AH123" i="8"/>
  <c r="P41" i="9" s="1"/>
  <c r="AG41" i="9" s="1"/>
  <c r="AA16" i="9"/>
  <c r="L59" i="9"/>
  <c r="Z59" i="9" s="1"/>
  <c r="BA103" i="8"/>
  <c r="AH101" i="8"/>
  <c r="P22" i="9" s="1"/>
  <c r="O22" i="9"/>
  <c r="AD34" i="9"/>
  <c r="AL101" i="8"/>
  <c r="BJ101" i="8" s="1"/>
  <c r="S22" i="9"/>
  <c r="AD33" i="9"/>
  <c r="P35" i="9"/>
  <c r="AD20" i="10"/>
  <c r="AJ20" i="10"/>
  <c r="AG20" i="10"/>
  <c r="AM15" i="10"/>
  <c r="BB123" i="8"/>
  <c r="BE119" i="8"/>
  <c r="BD119" i="8"/>
  <c r="Q126" i="8"/>
  <c r="BA152" i="8"/>
  <c r="BC110" i="8"/>
  <c r="Y126" i="8"/>
  <c r="BE110" i="8"/>
  <c r="AY115" i="8"/>
  <c r="BD110" i="8"/>
  <c r="BB115" i="8"/>
  <c r="AZ115" i="8"/>
  <c r="AY152" i="8"/>
  <c r="AL126" i="8"/>
  <c r="AZ152" i="8"/>
  <c r="AD119" i="8"/>
  <c r="L32" i="9" s="1"/>
  <c r="AC32" i="9" s="1"/>
  <c r="M126" i="8"/>
  <c r="BI123" i="8"/>
  <c r="BH123" i="8"/>
  <c r="R126" i="8"/>
  <c r="AE32" i="8"/>
  <c r="W32" i="8"/>
  <c r="W35" i="8"/>
  <c r="W38" i="8"/>
  <c r="T21" i="8"/>
  <c r="T26" i="8"/>
  <c r="T31" i="8" s="1"/>
  <c r="AJ21" i="8"/>
  <c r="AJ26" i="8"/>
  <c r="P21" i="8"/>
  <c r="P26" i="8"/>
  <c r="P31" i="8" s="1"/>
  <c r="X21" i="8"/>
  <c r="X26" i="8"/>
  <c r="AF21" i="8"/>
  <c r="AF26" i="8"/>
  <c r="AE35" i="8"/>
  <c r="V84" i="8"/>
  <c r="V86" i="8" s="1"/>
  <c r="R84" i="8"/>
  <c r="R86" i="8" s="1"/>
  <c r="Z84" i="8"/>
  <c r="Z86" i="8" s="1"/>
  <c r="N84" i="8"/>
  <c r="N86" i="8" s="1"/>
  <c r="L21" i="8"/>
  <c r="AB21" i="8"/>
  <c r="K21" i="8"/>
  <c r="K27" i="8"/>
  <c r="AA21" i="8"/>
  <c r="U21" i="8"/>
  <c r="AI21" i="8"/>
  <c r="S21" i="8"/>
  <c r="AC21" i="8"/>
  <c r="M21" i="8"/>
  <c r="AG21" i="8"/>
  <c r="Y21" i="8"/>
  <c r="Q21" i="8"/>
  <c r="E21" i="14"/>
  <c r="F21" i="14"/>
  <c r="D21" i="14"/>
  <c r="E53" i="14"/>
  <c r="F53" i="14"/>
  <c r="D53" i="14"/>
  <c r="AQ21" i="8" l="1"/>
  <c r="AY125" i="8"/>
  <c r="AR134" i="8"/>
  <c r="Z126" i="8"/>
  <c r="BA125" i="8"/>
  <c r="AW111" i="8"/>
  <c r="AQ152" i="8"/>
  <c r="Z138" i="8"/>
  <c r="AR21" i="8"/>
  <c r="AQ134" i="8"/>
  <c r="AW133" i="8"/>
  <c r="AS137" i="8"/>
  <c r="AV133" i="8"/>
  <c r="AM33" i="9"/>
  <c r="AM16" i="9"/>
  <c r="AV104" i="8"/>
  <c r="AV153" i="8"/>
  <c r="AQ101" i="8"/>
  <c r="AW119" i="8"/>
  <c r="AW126" i="8" s="1"/>
  <c r="AV134" i="8"/>
  <c r="AK27" i="9"/>
  <c r="AM27" i="9" s="1"/>
  <c r="AJ27" i="9"/>
  <c r="AI27" i="9"/>
  <c r="AH27" i="9"/>
  <c r="AV111" i="8"/>
  <c r="AW105" i="8"/>
  <c r="AU111" i="8"/>
  <c r="AM12" i="9"/>
  <c r="AK13" i="9"/>
  <c r="AV138" i="8"/>
  <c r="AX138" i="8"/>
  <c r="AS101" i="8"/>
  <c r="AE8" i="9"/>
  <c r="AE9" i="9" s="1"/>
  <c r="AC8" i="9"/>
  <c r="AG8" i="9"/>
  <c r="AG13" i="9" s="1"/>
  <c r="W23" i="9"/>
  <c r="W20" i="9"/>
  <c r="AR153" i="8"/>
  <c r="AW134" i="8"/>
  <c r="AR115" i="8"/>
  <c r="AW153" i="8"/>
  <c r="AW104" i="8"/>
  <c r="AW15" i="8"/>
  <c r="AW20" i="8"/>
  <c r="AQ153" i="8"/>
  <c r="AT137" i="8"/>
  <c r="AR137" i="8"/>
  <c r="AR138" i="8" s="1"/>
  <c r="AU134" i="8"/>
  <c r="AU15" i="8"/>
  <c r="AU20" i="8"/>
  <c r="AQ138" i="8"/>
  <c r="AX105" i="8"/>
  <c r="AU105" i="8"/>
  <c r="AX119" i="8"/>
  <c r="AX126" i="8" s="1"/>
  <c r="AU119" i="8"/>
  <c r="AU126" i="8" s="1"/>
  <c r="AS115" i="8"/>
  <c r="V138" i="8"/>
  <c r="AT134" i="8"/>
  <c r="AR101" i="8"/>
  <c r="AS153" i="8"/>
  <c r="AU133" i="8"/>
  <c r="AS152" i="8"/>
  <c r="AS134" i="8"/>
  <c r="AQ115" i="8"/>
  <c r="AU153" i="8"/>
  <c r="AV31" i="8"/>
  <c r="AV27" i="8"/>
  <c r="AT31" i="8"/>
  <c r="AT27" i="8"/>
  <c r="AX31" i="8"/>
  <c r="AX27" i="8"/>
  <c r="AR31" i="8"/>
  <c r="AR27" i="8"/>
  <c r="AS31" i="8"/>
  <c r="AS27" i="8"/>
  <c r="AQ27" i="8"/>
  <c r="AQ31" i="8"/>
  <c r="AZ145" i="8"/>
  <c r="BA138" i="8"/>
  <c r="AH145" i="8"/>
  <c r="BE145" i="8" s="1"/>
  <c r="BB145" i="8"/>
  <c r="AY145" i="8"/>
  <c r="BL114" i="8"/>
  <c r="AJ35" i="9"/>
  <c r="O35" i="8"/>
  <c r="BA105" i="8"/>
  <c r="AZ105" i="8"/>
  <c r="AY105" i="8"/>
  <c r="BF105" i="8"/>
  <c r="BD105" i="8"/>
  <c r="BC105" i="8"/>
  <c r="BE105" i="8"/>
  <c r="BE104" i="8"/>
  <c r="AY104" i="8"/>
  <c r="BA104" i="8"/>
  <c r="AZ104" i="8"/>
  <c r="BF104" i="8"/>
  <c r="BC104" i="8"/>
  <c r="O38" i="8"/>
  <c r="O32" i="8"/>
  <c r="AJ27" i="8"/>
  <c r="AJ31" i="8"/>
  <c r="X31" i="8"/>
  <c r="X98" i="8" s="1"/>
  <c r="AF31" i="8"/>
  <c r="AF98" i="8" s="1"/>
  <c r="AF116" i="8" s="1"/>
  <c r="AF146" i="8" s="1"/>
  <c r="BJ15" i="8"/>
  <c r="BJ21" i="8"/>
  <c r="BJ26" i="8"/>
  <c r="BJ31" i="8" s="1"/>
  <c r="BJ126" i="8"/>
  <c r="L26" i="9"/>
  <c r="BB102" i="8"/>
  <c r="BA102" i="8"/>
  <c r="AZ102" i="8"/>
  <c r="AY102" i="8"/>
  <c r="BI134" i="8"/>
  <c r="BI138" i="8" s="1"/>
  <c r="BJ134" i="8"/>
  <c r="BJ138" i="8" s="1"/>
  <c r="T26" i="9"/>
  <c r="BJ102" i="8"/>
  <c r="AO32" i="8"/>
  <c r="AO98" i="8"/>
  <c r="AO38" i="8"/>
  <c r="AO35" i="8"/>
  <c r="AJ41" i="9"/>
  <c r="AI41" i="9"/>
  <c r="AF41" i="9"/>
  <c r="AH41" i="9"/>
  <c r="AD26" i="9"/>
  <c r="BE123" i="8"/>
  <c r="AE26" i="9"/>
  <c r="AG26" i="9"/>
  <c r="BI102" i="8"/>
  <c r="BH102" i="8"/>
  <c r="BG102" i="8"/>
  <c r="AA13" i="9"/>
  <c r="BG134" i="8"/>
  <c r="BG138" i="8" s="1"/>
  <c r="AD138" i="8"/>
  <c r="AF40" i="9"/>
  <c r="AE40" i="9"/>
  <c r="AG40" i="9"/>
  <c r="AD40" i="9"/>
  <c r="Y40" i="9"/>
  <c r="L40" i="9"/>
  <c r="AC40" i="9" s="1"/>
  <c r="BB134" i="8"/>
  <c r="AY134" i="8"/>
  <c r="AY138" i="8" s="1"/>
  <c r="AI38" i="9"/>
  <c r="AJ38" i="9"/>
  <c r="AG138" i="8"/>
  <c r="O38" i="9"/>
  <c r="AC38" i="9" s="1"/>
  <c r="BB131" i="8"/>
  <c r="AH131" i="8"/>
  <c r="BE131" i="8" s="1"/>
  <c r="BE138" i="8" s="1"/>
  <c r="AZ134" i="8"/>
  <c r="AZ138" i="8" s="1"/>
  <c r="AH38" i="9"/>
  <c r="AA38" i="9"/>
  <c r="AB38" i="9"/>
  <c r="T40" i="9"/>
  <c r="BH134" i="8"/>
  <c r="BH138" i="8" s="1"/>
  <c r="Z13" i="9"/>
  <c r="AF9" i="9"/>
  <c r="AI9" i="9"/>
  <c r="AF13" i="9"/>
  <c r="AD9" i="9"/>
  <c r="AB13" i="9"/>
  <c r="AI13" i="9"/>
  <c r="AH13" i="9"/>
  <c r="AC9" i="9"/>
  <c r="AC13" i="9"/>
  <c r="AD13" i="9"/>
  <c r="AH9" i="9"/>
  <c r="Y13" i="9"/>
  <c r="Y19" i="9" s="1"/>
  <c r="AL138" i="8"/>
  <c r="J60" i="9"/>
  <c r="R60" i="9"/>
  <c r="AF60" i="9" s="1"/>
  <c r="Q60" i="9"/>
  <c r="AE60" i="9" s="1"/>
  <c r="AK84" i="8"/>
  <c r="AK86" i="8" s="1"/>
  <c r="AH84" i="8"/>
  <c r="AH86" i="8" s="1"/>
  <c r="BE101" i="8"/>
  <c r="AI35" i="9"/>
  <c r="AH126" i="8"/>
  <c r="BC101" i="8"/>
  <c r="BF101" i="8"/>
  <c r="BD101" i="8"/>
  <c r="AH35" i="9"/>
  <c r="BA153" i="8"/>
  <c r="AZ153" i="8"/>
  <c r="AY153" i="8"/>
  <c r="BB153" i="8"/>
  <c r="AD86" i="8"/>
  <c r="BF123" i="8"/>
  <c r="BD123" i="8"/>
  <c r="BC123" i="8"/>
  <c r="AB32" i="9"/>
  <c r="AA32" i="9"/>
  <c r="Y32" i="9"/>
  <c r="Z32" i="9"/>
  <c r="AB34" i="9"/>
  <c r="AA34" i="9"/>
  <c r="Y34" i="9"/>
  <c r="Z34" i="9"/>
  <c r="AB35" i="9"/>
  <c r="Z35" i="9"/>
  <c r="AA35" i="9"/>
  <c r="AC33" i="9"/>
  <c r="AA33" i="9"/>
  <c r="AB33" i="9"/>
  <c r="Z33" i="9"/>
  <c r="AF32" i="9"/>
  <c r="AE32" i="9"/>
  <c r="AG32" i="9"/>
  <c r="AM32" i="9" s="1"/>
  <c r="AD32" i="9"/>
  <c r="BI101" i="8"/>
  <c r="T22" i="9"/>
  <c r="BH101" i="8"/>
  <c r="BG101" i="8"/>
  <c r="AG35" i="9"/>
  <c r="AM35" i="9" s="1"/>
  <c r="AD35" i="9"/>
  <c r="AE35" i="9"/>
  <c r="AF22" i="9"/>
  <c r="AD22" i="9"/>
  <c r="AE22" i="9"/>
  <c r="AC22" i="9"/>
  <c r="AG22" i="9"/>
  <c r="AF35" i="9"/>
  <c r="BB119" i="8"/>
  <c r="AZ119" i="8"/>
  <c r="AD126" i="8"/>
  <c r="BA119" i="8"/>
  <c r="AY119" i="8"/>
  <c r="R21" i="8"/>
  <c r="R26" i="8"/>
  <c r="R31" i="8" s="1"/>
  <c r="V26" i="8"/>
  <c r="AH21" i="8"/>
  <c r="AH26" i="8"/>
  <c r="Z21" i="8"/>
  <c r="Z26" i="8"/>
  <c r="Z31" i="8" s="1"/>
  <c r="AD26" i="8"/>
  <c r="N26" i="8"/>
  <c r="N21" i="8"/>
  <c r="AD21" i="8"/>
  <c r="V21" i="8"/>
  <c r="X27" i="8"/>
  <c r="AF27" i="8"/>
  <c r="U98" i="8"/>
  <c r="U27" i="8"/>
  <c r="T27" i="8"/>
  <c r="T98" i="8"/>
  <c r="M98" i="8"/>
  <c r="M116" i="8" s="1"/>
  <c r="M146" i="8" s="1"/>
  <c r="M27" i="8"/>
  <c r="Q98" i="8"/>
  <c r="Q116" i="8" s="1"/>
  <c r="Q146" i="8" s="1"/>
  <c r="Q27" i="8"/>
  <c r="P98" i="8"/>
  <c r="P116" i="8" s="1"/>
  <c r="P146" i="8" s="1"/>
  <c r="P27" i="8"/>
  <c r="AA98" i="8"/>
  <c r="AA116" i="8" s="1"/>
  <c r="AA146" i="8" s="1"/>
  <c r="AA27" i="8"/>
  <c r="AB27" i="8"/>
  <c r="AB98" i="8"/>
  <c r="AB116" i="8" s="1"/>
  <c r="AB146" i="8" s="1"/>
  <c r="Y98" i="8"/>
  <c r="Y27" i="8"/>
  <c r="AC98" i="8"/>
  <c r="AC116" i="8" s="1"/>
  <c r="AC146" i="8" s="1"/>
  <c r="AC27" i="8"/>
  <c r="S98" i="8"/>
  <c r="S27" i="8"/>
  <c r="AG98" i="8"/>
  <c r="AG116" i="8" s="1"/>
  <c r="AG27" i="8"/>
  <c r="AI98" i="8"/>
  <c r="AI116" i="8" s="1"/>
  <c r="AI146" i="8" s="1"/>
  <c r="AI27" i="8"/>
  <c r="L27" i="8"/>
  <c r="H19" i="14"/>
  <c r="AS138" i="8" l="1"/>
  <c r="AW138" i="8"/>
  <c r="AT138" i="8"/>
  <c r="AJ26" i="9"/>
  <c r="AK26" i="9"/>
  <c r="AM26" i="9" s="1"/>
  <c r="AM13" i="9"/>
  <c r="AK19" i="9"/>
  <c r="AK14" i="9"/>
  <c r="AJ22" i="9"/>
  <c r="AK22" i="9"/>
  <c r="AM22" i="9" s="1"/>
  <c r="AJ40" i="9"/>
  <c r="AK40" i="9"/>
  <c r="I19" i="14"/>
  <c r="AG9" i="9"/>
  <c r="AE13" i="9"/>
  <c r="AE19" i="9" s="1"/>
  <c r="AE20" i="9" s="1"/>
  <c r="AH19" i="9"/>
  <c r="AH20" i="9" s="1"/>
  <c r="AI14" i="9"/>
  <c r="AI19" i="9"/>
  <c r="AI20" i="9" s="1"/>
  <c r="AA14" i="9"/>
  <c r="AA19" i="9"/>
  <c r="AB14" i="9"/>
  <c r="AB19" i="9"/>
  <c r="AB20" i="9" s="1"/>
  <c r="AF14" i="9"/>
  <c r="AF19" i="9"/>
  <c r="AF20" i="9" s="1"/>
  <c r="AG14" i="9"/>
  <c r="AG19" i="9"/>
  <c r="AG20" i="9" s="1"/>
  <c r="Z14" i="9"/>
  <c r="Z19" i="9"/>
  <c r="Z23" i="9" s="1"/>
  <c r="AD14" i="9"/>
  <c r="AD19" i="9"/>
  <c r="AD20" i="9" s="1"/>
  <c r="AC14" i="9"/>
  <c r="AC19" i="9"/>
  <c r="AC23" i="9" s="1"/>
  <c r="W29" i="9"/>
  <c r="W24" i="9"/>
  <c r="AU26" i="8"/>
  <c r="AU21" i="8"/>
  <c r="Y116" i="8"/>
  <c r="Y146" i="8" s="1"/>
  <c r="U116" i="8"/>
  <c r="U146" i="8" s="1"/>
  <c r="AU138" i="8"/>
  <c r="T116" i="8"/>
  <c r="T146" i="8" s="1"/>
  <c r="AW21" i="8"/>
  <c r="AW26" i="8"/>
  <c r="S116" i="8"/>
  <c r="S146" i="8" s="1"/>
  <c r="X116" i="8"/>
  <c r="X146" i="8" s="1"/>
  <c r="AV38" i="8"/>
  <c r="AV35" i="8"/>
  <c r="AV32" i="8"/>
  <c r="AQ32" i="8"/>
  <c r="AQ38" i="8"/>
  <c r="AQ35" i="8"/>
  <c r="AX38" i="8"/>
  <c r="AX35" i="8"/>
  <c r="AX32" i="8"/>
  <c r="AS38" i="8"/>
  <c r="AS35" i="8"/>
  <c r="AS32" i="8"/>
  <c r="AT38" i="8"/>
  <c r="AT35" i="8"/>
  <c r="AT32" i="8"/>
  <c r="AR38" i="8"/>
  <c r="AR35" i="8"/>
  <c r="AR32" i="8"/>
  <c r="BC145" i="8"/>
  <c r="BB138" i="8"/>
  <c r="BF145" i="8"/>
  <c r="BD145" i="8"/>
  <c r="AF38" i="8"/>
  <c r="X32" i="8"/>
  <c r="X35" i="8"/>
  <c r="X38" i="8"/>
  <c r="AI26" i="9"/>
  <c r="AF32" i="8"/>
  <c r="V27" i="8"/>
  <c r="V31" i="8"/>
  <c r="AF35" i="8"/>
  <c r="N31" i="8"/>
  <c r="N32" i="8" s="1"/>
  <c r="AD27" i="8"/>
  <c r="AD31" i="8"/>
  <c r="AD35" i="8" s="1"/>
  <c r="AH27" i="8"/>
  <c r="AH31" i="8"/>
  <c r="AH38" i="8" s="1"/>
  <c r="AH26" i="9"/>
  <c r="BJ27" i="8"/>
  <c r="AC26" i="9"/>
  <c r="AB26" i="9"/>
  <c r="AA26" i="9"/>
  <c r="Z26" i="9"/>
  <c r="AO116" i="8"/>
  <c r="AO146" i="8" s="1"/>
  <c r="BJ35" i="8"/>
  <c r="BJ32" i="8"/>
  <c r="BJ38" i="8"/>
  <c r="BC131" i="8"/>
  <c r="BC138" i="8" s="1"/>
  <c r="AA23" i="9"/>
  <c r="AG146" i="8"/>
  <c r="AH40" i="9"/>
  <c r="AI40" i="9"/>
  <c r="Z40" i="9"/>
  <c r="AA40" i="9"/>
  <c r="AH138" i="8"/>
  <c r="BF131" i="8"/>
  <c r="BF138" i="8" s="1"/>
  <c r="P38" i="9"/>
  <c r="AG38" i="9" s="1"/>
  <c r="BD131" i="8"/>
  <c r="BD138" i="8" s="1"/>
  <c r="AB40" i="9"/>
  <c r="AH14" i="9"/>
  <c r="Y14" i="9"/>
  <c r="AI22" i="9"/>
  <c r="AH22" i="9"/>
  <c r="L98" i="8"/>
  <c r="L116" i="8" s="1"/>
  <c r="L146" i="8" s="1"/>
  <c r="N27" i="8"/>
  <c r="Z27" i="8"/>
  <c r="R27" i="8"/>
  <c r="Z35" i="8"/>
  <c r="R35" i="8"/>
  <c r="AJ35" i="8"/>
  <c r="AJ98" i="8"/>
  <c r="AJ116" i="8" s="1"/>
  <c r="AJ146" i="8" s="1"/>
  <c r="AJ38" i="8"/>
  <c r="AJ32" i="8"/>
  <c r="R32" i="8"/>
  <c r="R38" i="8"/>
  <c r="AA32" i="8"/>
  <c r="AA38" i="8"/>
  <c r="AA35" i="8"/>
  <c r="P38" i="8"/>
  <c r="P35" i="8"/>
  <c r="P32" i="8"/>
  <c r="U32" i="8"/>
  <c r="U38" i="8"/>
  <c r="U35" i="8"/>
  <c r="AG35" i="8"/>
  <c r="AG32" i="8"/>
  <c r="AG38" i="8"/>
  <c r="AI32" i="8"/>
  <c r="AI38" i="8"/>
  <c r="AI35" i="8"/>
  <c r="AC32" i="8"/>
  <c r="AC35" i="8"/>
  <c r="AC38" i="8"/>
  <c r="Q35" i="8"/>
  <c r="Q32" i="8"/>
  <c r="Q38" i="8"/>
  <c r="S38" i="8"/>
  <c r="S32" i="8"/>
  <c r="S35" i="8"/>
  <c r="M35" i="8"/>
  <c r="M32" i="8"/>
  <c r="M38" i="8"/>
  <c r="L32" i="8"/>
  <c r="L38" i="8"/>
  <c r="L35" i="8"/>
  <c r="Z32" i="8"/>
  <c r="Z38" i="8"/>
  <c r="Y32" i="8"/>
  <c r="Y35" i="8"/>
  <c r="AB32" i="8"/>
  <c r="AB38" i="8"/>
  <c r="AB35" i="8"/>
  <c r="T32" i="8"/>
  <c r="T38" i="8"/>
  <c r="T35" i="8"/>
  <c r="AE14" i="9" l="1"/>
  <c r="AM14" i="9"/>
  <c r="AM19" i="9"/>
  <c r="AK23" i="9"/>
  <c r="AK20" i="9"/>
  <c r="AM20" i="9" s="1"/>
  <c r="J19" i="14"/>
  <c r="AH23" i="9"/>
  <c r="AH29" i="9" s="1"/>
  <c r="AH79" i="9" s="1"/>
  <c r="AG23" i="9"/>
  <c r="AG29" i="9" s="1"/>
  <c r="AG79" i="9" s="1"/>
  <c r="W30" i="9"/>
  <c r="W36" i="9"/>
  <c r="AW27" i="8"/>
  <c r="AW31" i="8"/>
  <c r="AU31" i="8"/>
  <c r="AU27" i="8"/>
  <c r="AC29" i="9"/>
  <c r="AC79" i="9" s="1"/>
  <c r="N35" i="8"/>
  <c r="N98" i="8"/>
  <c r="N116" i="8" s="1"/>
  <c r="N146" i="8" s="1"/>
  <c r="N38" i="8"/>
  <c r="AA29" i="9"/>
  <c r="AA79" i="9" s="1"/>
  <c r="Z29" i="9"/>
  <c r="Z79" i="9" s="1"/>
  <c r="Z20" i="9"/>
  <c r="AA24" i="9"/>
  <c r="AA20" i="9"/>
  <c r="AG24" i="9"/>
  <c r="AE23" i="9"/>
  <c r="AE29" i="9" s="1"/>
  <c r="AI23" i="9"/>
  <c r="AI29" i="9" s="1"/>
  <c r="AI79" i="9" s="1"/>
  <c r="Z24" i="9"/>
  <c r="AF23" i="9"/>
  <c r="AF29" i="9" s="1"/>
  <c r="AF79" i="9" s="1"/>
  <c r="AD38" i="9"/>
  <c r="AE38" i="9"/>
  <c r="AF38" i="9"/>
  <c r="AC20" i="9"/>
  <c r="AB23" i="9"/>
  <c r="AD23" i="9"/>
  <c r="Y23" i="9"/>
  <c r="Y29" i="9" s="1"/>
  <c r="Y79" i="9" s="1"/>
  <c r="Y20" i="9"/>
  <c r="AC24" i="9"/>
  <c r="AH24" i="9"/>
  <c r="AG80" i="9" a="1"/>
  <c r="AG80" i="9" s="1"/>
  <c r="V32" i="8"/>
  <c r="V38" i="8"/>
  <c r="V35" i="8"/>
  <c r="AD32" i="8"/>
  <c r="AD38" i="8"/>
  <c r="AH32" i="8"/>
  <c r="AH98" i="8"/>
  <c r="AH35" i="8"/>
  <c r="AG36" i="9" l="1"/>
  <c r="AG81" i="9" a="1"/>
  <c r="AG81" i="9" s="1"/>
  <c r="AG78" i="9"/>
  <c r="AG30" i="9"/>
  <c r="AM23" i="9"/>
  <c r="AK29" i="9"/>
  <c r="AK24" i="9"/>
  <c r="AM24" i="9" s="1"/>
  <c r="AG77" i="9"/>
  <c r="K19" i="14"/>
  <c r="W42" i="9"/>
  <c r="W43" i="9" s="1"/>
  <c r="AW38" i="8"/>
  <c r="AW35" i="8"/>
  <c r="AW32" i="8"/>
  <c r="AU38" i="8"/>
  <c r="AU32" i="8"/>
  <c r="AU35" i="8"/>
  <c r="AC30" i="9"/>
  <c r="AC77" i="9"/>
  <c r="AC78" i="9"/>
  <c r="AC80" i="9" a="1"/>
  <c r="AC80" i="9" s="1"/>
  <c r="AC36" i="9"/>
  <c r="AC81" i="9" a="1"/>
  <c r="AC81" i="9" s="1"/>
  <c r="AA78" i="9"/>
  <c r="AA77" i="9"/>
  <c r="AH77" i="9"/>
  <c r="AH78" i="9"/>
  <c r="AH80" i="9" a="1"/>
  <c r="AH80" i="9" s="1"/>
  <c r="AA30" i="9"/>
  <c r="AH30" i="9"/>
  <c r="AH81" i="9" a="1"/>
  <c r="AH81" i="9" s="1"/>
  <c r="AH36" i="9"/>
  <c r="AA81" i="9" a="1"/>
  <c r="AA81" i="9" s="1"/>
  <c r="Z30" i="9"/>
  <c r="AA80" i="9" a="1"/>
  <c r="AA80" i="9" s="1"/>
  <c r="Z80" i="9" a="1"/>
  <c r="Z80" i="9" s="1"/>
  <c r="AA36" i="9"/>
  <c r="Z81" i="9" a="1"/>
  <c r="Z81" i="9" s="1"/>
  <c r="Z77" i="9"/>
  <c r="Z78" i="9"/>
  <c r="Z36" i="9"/>
  <c r="AI80" i="9" a="1"/>
  <c r="AI80" i="9" s="1"/>
  <c r="AE36" i="9"/>
  <c r="AE79" i="9"/>
  <c r="AE80" i="9" a="1"/>
  <c r="AE80" i="9" s="1"/>
  <c r="AE30" i="9"/>
  <c r="AE77" i="9"/>
  <c r="AE78" i="9"/>
  <c r="AE81" i="9" a="1"/>
  <c r="AE81" i="9" s="1"/>
  <c r="AI24" i="9"/>
  <c r="AE24" i="9"/>
  <c r="AD24" i="9"/>
  <c r="AD29" i="9"/>
  <c r="AB24" i="9"/>
  <c r="AB29" i="9"/>
  <c r="AB79" i="9" s="1"/>
  <c r="AF24" i="9"/>
  <c r="AF81" i="9" a="1"/>
  <c r="AF81" i="9" s="1"/>
  <c r="Y24" i="9"/>
  <c r="AI77" i="9"/>
  <c r="AI78" i="9"/>
  <c r="AI36" i="9"/>
  <c r="AI30" i="9"/>
  <c r="AI81" i="9" a="1"/>
  <c r="AI81" i="9" s="1"/>
  <c r="BC98" i="8"/>
  <c r="AH116" i="8"/>
  <c r="AH146" i="8" s="1"/>
  <c r="BD98" i="8"/>
  <c r="BE98" i="8"/>
  <c r="AM29" i="9" l="1"/>
  <c r="AK30" i="9"/>
  <c r="AM30" i="9" s="1"/>
  <c r="AK78" i="9"/>
  <c r="AK77" i="9"/>
  <c r="AK80" i="9" a="1"/>
  <c r="AK80" i="9" s="1"/>
  <c r="AK81" i="9" a="1"/>
  <c r="AK81" i="9" s="1"/>
  <c r="AK36" i="9"/>
  <c r="AK79" i="9"/>
  <c r="BD146" i="8"/>
  <c r="BE146" i="8"/>
  <c r="BC146" i="8"/>
  <c r="AD81" i="9" a="1"/>
  <c r="AD81" i="9" s="1"/>
  <c r="AD79" i="9"/>
  <c r="AB78" i="9"/>
  <c r="AB77" i="9"/>
  <c r="AD80" i="9" a="1"/>
  <c r="AD80" i="9" s="1"/>
  <c r="AB30" i="9"/>
  <c r="AB81" i="9" a="1"/>
  <c r="AB81" i="9" s="1"/>
  <c r="AB80" i="9" a="1"/>
  <c r="AB80" i="9" s="1"/>
  <c r="AD78" i="9"/>
  <c r="AB36" i="9"/>
  <c r="AF78" i="9"/>
  <c r="AF77" i="9"/>
  <c r="AF80" i="9" a="1"/>
  <c r="AF80" i="9" s="1"/>
  <c r="AD30" i="9"/>
  <c r="AF36" i="9"/>
  <c r="AD36" i="9"/>
  <c r="AF30" i="9"/>
  <c r="AD77" i="9"/>
  <c r="Y30" i="9"/>
  <c r="Y77" i="9"/>
  <c r="Y78" i="9"/>
  <c r="Y81" i="9" a="1"/>
  <c r="Y81" i="9" s="1"/>
  <c r="Y36" i="9"/>
  <c r="Y80" i="9" a="1"/>
  <c r="Y80" i="9" s="1"/>
  <c r="B2" i="16"/>
  <c r="H10" i="12"/>
  <c r="B2" i="12"/>
  <c r="C6" i="12"/>
  <c r="D14" i="12" s="1"/>
  <c r="E14" i="12" s="1"/>
  <c r="F14" i="12" s="1"/>
  <c r="C11" i="14"/>
  <c r="B95" i="8"/>
  <c r="B94" i="8"/>
  <c r="K95" i="8"/>
  <c r="K94" i="8"/>
  <c r="I95" i="8"/>
  <c r="H95" i="8"/>
  <c r="G95" i="8"/>
  <c r="F95" i="8"/>
  <c r="E95" i="8"/>
  <c r="D95" i="8"/>
  <c r="C95" i="8"/>
  <c r="I94" i="8"/>
  <c r="H94" i="8"/>
  <c r="G94" i="8"/>
  <c r="F94" i="8"/>
  <c r="E94" i="8"/>
  <c r="D94" i="8"/>
  <c r="C94" i="8"/>
  <c r="B42" i="8"/>
  <c r="B41" i="8"/>
  <c r="BI42" i="8"/>
  <c r="BH42" i="8"/>
  <c r="BG42" i="8"/>
  <c r="BE42" i="8"/>
  <c r="BD42" i="8"/>
  <c r="BC42" i="8"/>
  <c r="BA42" i="8"/>
  <c r="AZ42" i="8"/>
  <c r="AY42" i="8"/>
  <c r="BF42" i="8"/>
  <c r="BB42" i="8"/>
  <c r="BI41" i="8"/>
  <c r="BH41" i="8"/>
  <c r="BG41" i="8"/>
  <c r="BF41" i="8"/>
  <c r="BE41" i="8"/>
  <c r="BD41" i="8"/>
  <c r="BC41" i="8"/>
  <c r="BB41" i="8"/>
  <c r="BA41" i="8"/>
  <c r="AZ41" i="8"/>
  <c r="AY41" i="8"/>
  <c r="BL108" i="8"/>
  <c r="BL100" i="8"/>
  <c r="BH37" i="8"/>
  <c r="BH34" i="8"/>
  <c r="E6" i="17"/>
  <c r="E12" i="17" s="1"/>
  <c r="E111" i="14"/>
  <c r="D111" i="14"/>
  <c r="E110" i="14"/>
  <c r="D110" i="14"/>
  <c r="E109" i="14"/>
  <c r="D109" i="14"/>
  <c r="D100" i="14"/>
  <c r="F100" i="14"/>
  <c r="E100" i="14"/>
  <c r="Q134" i="12"/>
  <c r="O134" i="12"/>
  <c r="D134" i="12"/>
  <c r="Q133" i="12"/>
  <c r="O133" i="12"/>
  <c r="G133" i="12"/>
  <c r="E133" i="12"/>
  <c r="C133" i="12"/>
  <c r="Q132" i="12"/>
  <c r="O132" i="12"/>
  <c r="E132" i="12"/>
  <c r="C132" i="12"/>
  <c r="D132" i="12" s="1"/>
  <c r="L107" i="12"/>
  <c r="L108" i="12" s="1"/>
  <c r="D107" i="12"/>
  <c r="D108" i="12" s="1"/>
  <c r="L105" i="12"/>
  <c r="L104" i="12" s="1"/>
  <c r="D105" i="12"/>
  <c r="D104" i="12" s="1"/>
  <c r="P103" i="12"/>
  <c r="Q103" i="12" s="1"/>
  <c r="N103" i="12"/>
  <c r="M103" i="12" s="1"/>
  <c r="H103" i="12"/>
  <c r="I103" i="12" s="1"/>
  <c r="F103" i="12"/>
  <c r="E103" i="12" s="1"/>
  <c r="B132" i="12" s="1"/>
  <c r="L98" i="12"/>
  <c r="L99" i="12" s="1"/>
  <c r="D98" i="12"/>
  <c r="D99" i="12" s="1"/>
  <c r="L96" i="12"/>
  <c r="L95" i="12" s="1"/>
  <c r="D96" i="12"/>
  <c r="D95" i="12" s="1"/>
  <c r="P94" i="12"/>
  <c r="Q94" i="12" s="1"/>
  <c r="N94" i="12"/>
  <c r="M94" i="12"/>
  <c r="H94" i="12"/>
  <c r="I94" i="12" s="1"/>
  <c r="F94" i="12"/>
  <c r="E94" i="12" s="1"/>
  <c r="D40" i="12"/>
  <c r="B37" i="12"/>
  <c r="C14" i="12"/>
  <c r="E40" i="17"/>
  <c r="E41" i="17" s="1"/>
  <c r="E31" i="17"/>
  <c r="E30" i="17" s="1"/>
  <c r="C19" i="17"/>
  <c r="B48" i="16"/>
  <c r="C45" i="16"/>
  <c r="F44" i="16"/>
  <c r="F43" i="16"/>
  <c r="F42" i="16"/>
  <c r="C31" i="16"/>
  <c r="C32" i="16" s="1"/>
  <c r="C29" i="16"/>
  <c r="C28" i="16" s="1"/>
  <c r="F27" i="16"/>
  <c r="D27" i="16"/>
  <c r="D21" i="16"/>
  <c r="F45" i="16"/>
  <c r="C13" i="16"/>
  <c r="C15" i="16" s="1"/>
  <c r="C10" i="16"/>
  <c r="AM36" i="9" l="1"/>
  <c r="AY94" i="8"/>
  <c r="BB94" i="8"/>
  <c r="BC94" i="8"/>
  <c r="BC95" i="8"/>
  <c r="BF94" i="8"/>
  <c r="BG94" i="8"/>
  <c r="BB95" i="8"/>
  <c r="BG95" i="8"/>
  <c r="BH95" i="8"/>
  <c r="BE94" i="8"/>
  <c r="AZ94" i="8"/>
  <c r="BH94" i="8"/>
  <c r="BE95" i="8"/>
  <c r="BD95" i="8"/>
  <c r="BA94" i="8"/>
  <c r="BI94" i="8"/>
  <c r="BF95" i="8"/>
  <c r="AY95" i="8"/>
  <c r="AZ95" i="8"/>
  <c r="BD94" i="8"/>
  <c r="BA95" i="8"/>
  <c r="BI95" i="8"/>
  <c r="E33" i="17"/>
  <c r="E34" i="17" s="1"/>
  <c r="E43" i="17"/>
  <c r="E44" i="17" s="1"/>
  <c r="D133" i="12"/>
  <c r="C7" i="12"/>
  <c r="C10" i="12" s="1"/>
  <c r="C41" i="12" s="1"/>
  <c r="P134" i="12"/>
  <c r="P132" i="12"/>
  <c r="B133" i="12"/>
  <c r="G132" i="12"/>
  <c r="G134" i="12"/>
  <c r="P133" i="12"/>
  <c r="I42" i="16"/>
  <c r="I43" i="16"/>
  <c r="I44" i="16"/>
  <c r="G14" i="12"/>
  <c r="F40" i="12"/>
  <c r="E40" i="12"/>
  <c r="E16" i="17"/>
  <c r="E17" i="17"/>
  <c r="E13" i="17"/>
  <c r="E14" i="17"/>
  <c r="E15" i="17"/>
  <c r="E18" i="17"/>
  <c r="H45" i="16"/>
  <c r="E21" i="17" l="1"/>
  <c r="E22" i="17" s="1"/>
  <c r="E19" i="17"/>
  <c r="I65" i="12" s="1"/>
  <c r="C76" i="12" s="1"/>
  <c r="D76" i="12" s="1"/>
  <c r="G40" i="12"/>
  <c r="H14" i="12"/>
  <c r="E23" i="17" l="1"/>
  <c r="H40" i="12"/>
  <c r="I14" i="12"/>
  <c r="B48" i="12" l="1"/>
  <c r="B47" i="12"/>
  <c r="E48" i="12"/>
  <c r="I40" i="12"/>
  <c r="C179" i="14" l="1"/>
  <c r="G87" i="14"/>
  <c r="H87" i="14" s="1"/>
  <c r="I87" i="14" s="1"/>
  <c r="J87" i="14" s="1"/>
  <c r="K87" i="14" s="1"/>
  <c r="F148" i="14"/>
  <c r="E175" i="14"/>
  <c r="F175" i="14"/>
  <c r="D104" i="14"/>
  <c r="D105" i="14" s="1"/>
  <c r="C129" i="14"/>
  <c r="F104" i="14"/>
  <c r="F105" i="14" s="1"/>
  <c r="C67" i="8"/>
  <c r="C76" i="8" s="1"/>
  <c r="C143" i="8"/>
  <c r="D126" i="8"/>
  <c r="C126" i="8"/>
  <c r="D83" i="8"/>
  <c r="C83" i="8"/>
  <c r="D67" i="8"/>
  <c r="D76" i="8" s="1"/>
  <c r="D50" i="8"/>
  <c r="D59" i="8" s="1"/>
  <c r="C50" i="8"/>
  <c r="C59" i="8" s="1"/>
  <c r="D11" i="8"/>
  <c r="D10" i="10" s="1"/>
  <c r="C11" i="8"/>
  <c r="C10" i="10" s="1"/>
  <c r="G184" i="14"/>
  <c r="H184" i="14" s="1"/>
  <c r="F195" i="14"/>
  <c r="E195" i="14"/>
  <c r="D195" i="14"/>
  <c r="C195" i="14"/>
  <c r="G200" i="14"/>
  <c r="F192" i="14"/>
  <c r="E192" i="14"/>
  <c r="D192" i="14"/>
  <c r="C192" i="14"/>
  <c r="F141" i="14"/>
  <c r="G138" i="14" s="1"/>
  <c r="E141" i="14"/>
  <c r="D141" i="14"/>
  <c r="F127" i="14"/>
  <c r="G124" i="14" s="1"/>
  <c r="E127" i="14"/>
  <c r="F124" i="14" s="1"/>
  <c r="D127" i="14"/>
  <c r="E124" i="14" s="1"/>
  <c r="C127" i="14"/>
  <c r="D124" i="14" s="1"/>
  <c r="C135" i="14"/>
  <c r="C133" i="14" s="1"/>
  <c r="F24" i="14"/>
  <c r="F30" i="14" s="1"/>
  <c r="E24" i="14"/>
  <c r="E30" i="14" s="1"/>
  <c r="D24" i="14"/>
  <c r="D30" i="14" s="1"/>
  <c r="C24" i="14"/>
  <c r="C30" i="14" s="1"/>
  <c r="F16" i="14"/>
  <c r="E16" i="14" s="1"/>
  <c r="E189" i="14" s="1"/>
  <c r="C10" i="14"/>
  <c r="K232" i="14"/>
  <c r="J232" i="14"/>
  <c r="I232" i="14"/>
  <c r="H232" i="14"/>
  <c r="G232" i="14"/>
  <c r="K230" i="14"/>
  <c r="K215" i="14" s="1"/>
  <c r="J230" i="14"/>
  <c r="J215" i="14" s="1"/>
  <c r="I230" i="14"/>
  <c r="I215" i="14" s="1"/>
  <c r="H230" i="14"/>
  <c r="H215" i="14" s="1"/>
  <c r="G230" i="14"/>
  <c r="K228" i="14"/>
  <c r="J228" i="14"/>
  <c r="I228" i="14"/>
  <c r="H228" i="14"/>
  <c r="G228" i="14"/>
  <c r="K226" i="14"/>
  <c r="K214" i="14" s="1"/>
  <c r="J226" i="14"/>
  <c r="J214" i="14" s="1"/>
  <c r="I226" i="14"/>
  <c r="H226" i="14"/>
  <c r="H214" i="14" s="1"/>
  <c r="G226" i="14"/>
  <c r="G214" i="14" s="1"/>
  <c r="K224" i="14"/>
  <c r="J224" i="14"/>
  <c r="I224" i="14"/>
  <c r="H224" i="14"/>
  <c r="G224" i="14"/>
  <c r="K222" i="14"/>
  <c r="J222" i="14"/>
  <c r="J213" i="14" s="1"/>
  <c r="I222" i="14"/>
  <c r="I213" i="14" s="1"/>
  <c r="H222" i="14"/>
  <c r="H213" i="14" s="1"/>
  <c r="G222" i="14"/>
  <c r="G213" i="14" s="1"/>
  <c r="H220" i="14"/>
  <c r="G220" i="14"/>
  <c r="I219" i="14"/>
  <c r="I220" i="14" s="1"/>
  <c r="H218" i="14"/>
  <c r="G218" i="14"/>
  <c r="G212" i="14" s="1"/>
  <c r="G215" i="14"/>
  <c r="F215" i="14"/>
  <c r="I214" i="14"/>
  <c r="F214" i="14"/>
  <c r="K213" i="14"/>
  <c r="F213" i="14"/>
  <c r="H212" i="14"/>
  <c r="F212" i="14"/>
  <c r="C210" i="14"/>
  <c r="G203" i="14"/>
  <c r="F185" i="14"/>
  <c r="E185" i="14"/>
  <c r="D185" i="14"/>
  <c r="C185" i="14"/>
  <c r="G174" i="14"/>
  <c r="H174" i="14" s="1"/>
  <c r="I174" i="14" s="1"/>
  <c r="J174" i="14" s="1"/>
  <c r="K174" i="14" s="1"/>
  <c r="F171" i="14"/>
  <c r="E171" i="14"/>
  <c r="D171" i="14"/>
  <c r="C171" i="14"/>
  <c r="B169" i="14"/>
  <c r="B168" i="14"/>
  <c r="B152" i="14"/>
  <c r="B151" i="14"/>
  <c r="B122" i="14"/>
  <c r="B121" i="14"/>
  <c r="B93" i="14"/>
  <c r="B92" i="14"/>
  <c r="B67" i="14"/>
  <c r="B66" i="14"/>
  <c r="B7" i="9"/>
  <c r="B6" i="9"/>
  <c r="H9" i="10"/>
  <c r="G9" i="10"/>
  <c r="F9" i="10"/>
  <c r="E9" i="10"/>
  <c r="X9" i="10"/>
  <c r="X10" i="10" s="1"/>
  <c r="W9" i="10"/>
  <c r="V9" i="10"/>
  <c r="U9" i="10"/>
  <c r="T9" i="10"/>
  <c r="T10" i="10" s="1"/>
  <c r="S9" i="10"/>
  <c r="S10" i="10" s="1"/>
  <c r="R9" i="10"/>
  <c r="R10" i="10" s="1"/>
  <c r="Q9" i="10"/>
  <c r="Q10" i="10" s="1"/>
  <c r="P9" i="10"/>
  <c r="P10" i="10" s="1"/>
  <c r="O9" i="10"/>
  <c r="O10" i="10" s="1"/>
  <c r="N9" i="10"/>
  <c r="N10" i="10" s="1"/>
  <c r="M9" i="10"/>
  <c r="M10" i="10" s="1"/>
  <c r="L9" i="10"/>
  <c r="L10" i="10" s="1"/>
  <c r="K9" i="10"/>
  <c r="K10" i="10" s="1"/>
  <c r="I9" i="10"/>
  <c r="K83" i="8"/>
  <c r="AL83" i="8"/>
  <c r="T72" i="9" s="1"/>
  <c r="AH72" i="9" s="1"/>
  <c r="AH73" i="9" s="1"/>
  <c r="AH82" i="9" s="1"/>
  <c r="AN83" i="8"/>
  <c r="V72" i="9" s="1"/>
  <c r="AJ72" i="9" s="1"/>
  <c r="AM50" i="8" l="1"/>
  <c r="AM59" i="8" s="1"/>
  <c r="C14" i="8"/>
  <c r="D14" i="8"/>
  <c r="F62" i="14"/>
  <c r="E57" i="14"/>
  <c r="E25" i="14"/>
  <c r="F57" i="14"/>
  <c r="F25" i="14"/>
  <c r="C57" i="14"/>
  <c r="C25" i="14"/>
  <c r="D57" i="14"/>
  <c r="D25" i="14"/>
  <c r="E96" i="14"/>
  <c r="E62" i="14"/>
  <c r="D97" i="14"/>
  <c r="D63" i="14"/>
  <c r="E97" i="14"/>
  <c r="E63" i="14"/>
  <c r="F97" i="14"/>
  <c r="F63" i="14"/>
  <c r="D96" i="14"/>
  <c r="D62" i="14"/>
  <c r="F129" i="14"/>
  <c r="F164" i="14"/>
  <c r="G161" i="14" s="1"/>
  <c r="E164" i="14"/>
  <c r="F108" i="14"/>
  <c r="F107" i="14"/>
  <c r="F101" i="14"/>
  <c r="J219" i="14"/>
  <c r="K219" i="14" s="1"/>
  <c r="D108" i="14"/>
  <c r="D107" i="14"/>
  <c r="D98" i="14"/>
  <c r="D135" i="14"/>
  <c r="D133" i="14" s="1"/>
  <c r="D134" i="14" s="1"/>
  <c r="F98" i="14"/>
  <c r="E101" i="14"/>
  <c r="E98" i="14"/>
  <c r="E108" i="14"/>
  <c r="E107" i="14"/>
  <c r="D175" i="14"/>
  <c r="D176" i="14" s="1"/>
  <c r="D181" i="14" s="1"/>
  <c r="F99" i="14"/>
  <c r="D101" i="14"/>
  <c r="AJ51" i="9"/>
  <c r="E99" i="14"/>
  <c r="D99" i="14"/>
  <c r="G147" i="14"/>
  <c r="H147" i="14" s="1"/>
  <c r="H111" i="14" s="1"/>
  <c r="F109" i="14"/>
  <c r="F111" i="14"/>
  <c r="E129" i="14"/>
  <c r="E104" i="14"/>
  <c r="E105" i="14" s="1"/>
  <c r="G104" i="14"/>
  <c r="F96" i="14"/>
  <c r="D27" i="12"/>
  <c r="F8" i="9"/>
  <c r="Q8" i="9"/>
  <c r="O8" i="9"/>
  <c r="J8" i="9"/>
  <c r="R8" i="9"/>
  <c r="K8" i="9"/>
  <c r="S8" i="9"/>
  <c r="W9" i="9" s="1"/>
  <c r="C8" i="9"/>
  <c r="L8" i="9"/>
  <c r="D8" i="9"/>
  <c r="I8" i="9"/>
  <c r="M8" i="9"/>
  <c r="U8" i="9"/>
  <c r="G8" i="9"/>
  <c r="E8" i="9"/>
  <c r="F135" i="14"/>
  <c r="F133" i="14" s="1"/>
  <c r="D58" i="14"/>
  <c r="C88" i="14"/>
  <c r="E135" i="14"/>
  <c r="E133" i="14" s="1"/>
  <c r="D84" i="8"/>
  <c r="D86" i="8" s="1"/>
  <c r="C84" i="8"/>
  <c r="C86" i="8" s="1"/>
  <c r="C58" i="14"/>
  <c r="E58" i="14"/>
  <c r="D59" i="14"/>
  <c r="G78" i="14"/>
  <c r="H78" i="14" s="1"/>
  <c r="F59" i="14"/>
  <c r="C83" i="14"/>
  <c r="E169" i="14"/>
  <c r="D16" i="14"/>
  <c r="C16" i="14" s="1"/>
  <c r="C189" i="14" s="1"/>
  <c r="E67" i="14"/>
  <c r="E93" i="14" s="1"/>
  <c r="E122" i="14"/>
  <c r="E152" i="14"/>
  <c r="D164" i="14"/>
  <c r="F58" i="14"/>
  <c r="D129" i="14"/>
  <c r="I184" i="14"/>
  <c r="J184" i="14" s="1"/>
  <c r="K184" i="14" s="1"/>
  <c r="E88" i="14"/>
  <c r="F88" i="14"/>
  <c r="D75" i="14"/>
  <c r="C75" i="14"/>
  <c r="F176" i="14"/>
  <c r="F181" i="14" s="1"/>
  <c r="C134" i="14"/>
  <c r="E59" i="14"/>
  <c r="C59" i="14"/>
  <c r="F169" i="14"/>
  <c r="F67" i="14"/>
  <c r="F93" i="14" s="1"/>
  <c r="F15" i="14"/>
  <c r="F121" i="14" s="1"/>
  <c r="G82" i="14"/>
  <c r="G101" i="14" s="1"/>
  <c r="G72" i="14"/>
  <c r="H72" i="14" s="1"/>
  <c r="F152" i="14"/>
  <c r="G144" i="14"/>
  <c r="D88" i="14"/>
  <c r="E75" i="14"/>
  <c r="G16" i="14"/>
  <c r="F189" i="14"/>
  <c r="F122" i="14"/>
  <c r="G155" i="14"/>
  <c r="F75" i="14"/>
  <c r="G70" i="14"/>
  <c r="G79" i="14"/>
  <c r="H79" i="14" s="1"/>
  <c r="G74" i="14"/>
  <c r="I218" i="14"/>
  <c r="I212" i="14" s="1"/>
  <c r="V8" i="9"/>
  <c r="W10" i="9" s="1"/>
  <c r="T8" i="9"/>
  <c r="D179" i="14"/>
  <c r="P8" i="9"/>
  <c r="N8" i="9"/>
  <c r="E83" i="14"/>
  <c r="G81" i="14"/>
  <c r="G179" i="14" s="1"/>
  <c r="AM83" i="8"/>
  <c r="U72" i="9" s="1"/>
  <c r="AI72" i="9" s="1"/>
  <c r="AI73" i="9" s="1"/>
  <c r="AI82" i="9" s="1"/>
  <c r="D20" i="8" l="1"/>
  <c r="D26" i="8" s="1"/>
  <c r="D31" i="8" s="1"/>
  <c r="C20" i="8"/>
  <c r="C21" i="8" s="1"/>
  <c r="U59" i="9"/>
  <c r="AI59" i="9" s="1"/>
  <c r="BI115" i="8"/>
  <c r="BH115" i="8"/>
  <c r="D15" i="8"/>
  <c r="C15" i="8"/>
  <c r="G199" i="14"/>
  <c r="G85" i="14"/>
  <c r="C31" i="14"/>
  <c r="C36" i="14" s="1"/>
  <c r="C40" i="14" s="1"/>
  <c r="F112" i="14"/>
  <c r="G129" i="14"/>
  <c r="H129" i="14" s="1"/>
  <c r="I129" i="14" s="1"/>
  <c r="J129" i="14" s="1"/>
  <c r="K129" i="14" s="1"/>
  <c r="I147" i="14"/>
  <c r="J147" i="14" s="1"/>
  <c r="J109" i="14" s="1"/>
  <c r="J198" i="14" s="1"/>
  <c r="D112" i="14"/>
  <c r="J218" i="14"/>
  <c r="J212" i="14" s="1"/>
  <c r="J220" i="14"/>
  <c r="G109" i="14"/>
  <c r="E176" i="14"/>
  <c r="E181" i="14" s="1"/>
  <c r="AJ73" i="9"/>
  <c r="AJ82" i="9" s="1"/>
  <c r="E112" i="14"/>
  <c r="G111" i="14"/>
  <c r="H109" i="14"/>
  <c r="H198" i="14" s="1"/>
  <c r="G105" i="14"/>
  <c r="AJ8" i="9"/>
  <c r="F134" i="14"/>
  <c r="G134" i="14" s="1"/>
  <c r="H134" i="14" s="1"/>
  <c r="I134" i="14" s="1"/>
  <c r="C44" i="14"/>
  <c r="C45" i="14" s="1"/>
  <c r="C89" i="14"/>
  <c r="E134" i="14"/>
  <c r="D189" i="14"/>
  <c r="D83" i="14"/>
  <c r="D89" i="14" s="1"/>
  <c r="F188" i="14"/>
  <c r="F168" i="14"/>
  <c r="D180" i="14"/>
  <c r="D169" i="14"/>
  <c r="G107" i="14"/>
  <c r="H81" i="14"/>
  <c r="H179" i="14" s="1"/>
  <c r="F179" i="14"/>
  <c r="E179" i="14"/>
  <c r="F83" i="14"/>
  <c r="F89" i="14" s="1"/>
  <c r="G15" i="14"/>
  <c r="G92" i="14" s="1"/>
  <c r="D122" i="14"/>
  <c r="C67" i="14"/>
  <c r="C93" i="14" s="1"/>
  <c r="D67" i="14"/>
  <c r="D93" i="14" s="1"/>
  <c r="F151" i="14"/>
  <c r="D152" i="14"/>
  <c r="F66" i="14"/>
  <c r="F92" i="14" s="1"/>
  <c r="E15" i="14"/>
  <c r="H82" i="14"/>
  <c r="H101" i="14" s="1"/>
  <c r="G97" i="14"/>
  <c r="H97" i="14"/>
  <c r="I78" i="14"/>
  <c r="G93" i="14"/>
  <c r="G189" i="14"/>
  <c r="G122" i="14"/>
  <c r="G211" i="14"/>
  <c r="H16" i="14"/>
  <c r="G169" i="14"/>
  <c r="G152" i="14"/>
  <c r="G67" i="14"/>
  <c r="K220" i="14"/>
  <c r="K218" i="14"/>
  <c r="K212" i="14" s="1"/>
  <c r="E89" i="14"/>
  <c r="H74" i="14"/>
  <c r="G141" i="14"/>
  <c r="I79" i="14"/>
  <c r="H70" i="14"/>
  <c r="I72" i="14"/>
  <c r="D21" i="8" l="1"/>
  <c r="C26" i="8"/>
  <c r="C31" i="8" s="1"/>
  <c r="C32" i="8" s="1"/>
  <c r="D27" i="8"/>
  <c r="C48" i="14"/>
  <c r="C49" i="14" s="1"/>
  <c r="C60" i="14"/>
  <c r="D31" i="14"/>
  <c r="D36" i="14" s="1"/>
  <c r="D40" i="14" s="1"/>
  <c r="E44" i="14"/>
  <c r="E45" i="14" s="1"/>
  <c r="E31" i="14"/>
  <c r="E36" i="14" s="1"/>
  <c r="F44" i="14"/>
  <c r="F45" i="14" s="1"/>
  <c r="F31" i="14"/>
  <c r="G198" i="14"/>
  <c r="G192" i="14" s="1"/>
  <c r="G195" i="14" s="1"/>
  <c r="C68" i="12"/>
  <c r="C74" i="12" s="1"/>
  <c r="D74" i="12" s="1"/>
  <c r="C21" i="16"/>
  <c r="G126" i="14"/>
  <c r="G127" i="14" s="1"/>
  <c r="H124" i="14" s="1"/>
  <c r="I111" i="14"/>
  <c r="I109" i="14"/>
  <c r="I198" i="14" s="1"/>
  <c r="J78" i="14"/>
  <c r="K78" i="14" s="1"/>
  <c r="J79" i="14"/>
  <c r="K79" i="14" s="1"/>
  <c r="J72" i="14"/>
  <c r="K72" i="14" s="1"/>
  <c r="E180" i="14"/>
  <c r="H104" i="14"/>
  <c r="H105" i="14" s="1"/>
  <c r="H126" i="14"/>
  <c r="G66" i="14"/>
  <c r="G121" i="14"/>
  <c r="G188" i="14"/>
  <c r="D44" i="14"/>
  <c r="D45" i="14" s="1"/>
  <c r="I81" i="14"/>
  <c r="I179" i="14" s="1"/>
  <c r="F180" i="14"/>
  <c r="D32" i="8"/>
  <c r="D98" i="8"/>
  <c r="D38" i="8"/>
  <c r="D35" i="8"/>
  <c r="G210" i="14"/>
  <c r="G168" i="14"/>
  <c r="H15" i="14"/>
  <c r="H121" i="14" s="1"/>
  <c r="H107" i="14"/>
  <c r="G151" i="14"/>
  <c r="K147" i="14"/>
  <c r="J111" i="14"/>
  <c r="I126" i="14"/>
  <c r="D15" i="14"/>
  <c r="E151" i="14"/>
  <c r="E121" i="14"/>
  <c r="E188" i="14"/>
  <c r="E66" i="14"/>
  <c r="E92" i="14" s="1"/>
  <c r="E168" i="14"/>
  <c r="I82" i="14"/>
  <c r="H85" i="14"/>
  <c r="I199" i="14"/>
  <c r="H199" i="14"/>
  <c r="I104" i="14"/>
  <c r="H138" i="14"/>
  <c r="I70" i="14"/>
  <c r="J134" i="14"/>
  <c r="H122" i="14"/>
  <c r="H211" i="14"/>
  <c r="H93" i="14"/>
  <c r="H189" i="14"/>
  <c r="I16" i="14"/>
  <c r="H169" i="14"/>
  <c r="H152" i="14"/>
  <c r="H67" i="14"/>
  <c r="H141" i="14"/>
  <c r="I74" i="14"/>
  <c r="E60" i="14" l="1"/>
  <c r="E40" i="14"/>
  <c r="C27" i="8"/>
  <c r="C35" i="8"/>
  <c r="C38" i="8"/>
  <c r="C98" i="8"/>
  <c r="C116" i="8" s="1"/>
  <c r="C146" i="8" s="1"/>
  <c r="C147" i="8" s="1"/>
  <c r="D141" i="8" s="1"/>
  <c r="D143" i="8" s="1"/>
  <c r="D116" i="8"/>
  <c r="D146" i="8" s="1"/>
  <c r="R98" i="8"/>
  <c r="R116" i="8" s="1"/>
  <c r="R146" i="8" s="1"/>
  <c r="G180" i="14"/>
  <c r="G181" i="14" s="1"/>
  <c r="D48" i="14"/>
  <c r="D49" i="14" s="1"/>
  <c r="F48" i="14"/>
  <c r="F49" i="14" s="1"/>
  <c r="E48" i="14"/>
  <c r="E49" i="14" s="1"/>
  <c r="G204" i="14"/>
  <c r="G205" i="14" s="1"/>
  <c r="H203" i="14" s="1"/>
  <c r="C191" i="14"/>
  <c r="C41" i="14"/>
  <c r="D60" i="14"/>
  <c r="D41" i="14"/>
  <c r="G45" i="16"/>
  <c r="I45" i="16" s="1"/>
  <c r="C47" i="16" s="1"/>
  <c r="C48" i="16" s="1"/>
  <c r="C37" i="16" s="1"/>
  <c r="E20" i="16"/>
  <c r="E21" i="16" s="1"/>
  <c r="E23" i="16" s="1"/>
  <c r="H127" i="14"/>
  <c r="I124" i="14" s="1"/>
  <c r="I127" i="14" s="1"/>
  <c r="I105" i="14"/>
  <c r="H92" i="14"/>
  <c r="I107" i="14"/>
  <c r="J81" i="14"/>
  <c r="K81" i="14" s="1"/>
  <c r="I15" i="14"/>
  <c r="I66" i="14" s="1"/>
  <c r="H151" i="14"/>
  <c r="H188" i="14"/>
  <c r="H210" i="14"/>
  <c r="H66" i="14"/>
  <c r="H168" i="14"/>
  <c r="K109" i="14"/>
  <c r="K198" i="14" s="1"/>
  <c r="K111" i="14"/>
  <c r="D66" i="14"/>
  <c r="D92" i="14" s="1"/>
  <c r="D168" i="14"/>
  <c r="D188" i="14"/>
  <c r="D151" i="14"/>
  <c r="D121" i="14"/>
  <c r="C15" i="14"/>
  <c r="I97" i="14"/>
  <c r="I85" i="14"/>
  <c r="I101" i="14"/>
  <c r="J82" i="14"/>
  <c r="I138" i="14"/>
  <c r="J70" i="14"/>
  <c r="J104" i="14"/>
  <c r="K104" i="14"/>
  <c r="J126" i="14"/>
  <c r="J74" i="14"/>
  <c r="I141" i="14"/>
  <c r="I67" i="14"/>
  <c r="I211" i="14"/>
  <c r="I93" i="14"/>
  <c r="I169" i="14"/>
  <c r="I152" i="14"/>
  <c r="I122" i="14"/>
  <c r="I189" i="14"/>
  <c r="J16" i="14"/>
  <c r="K134" i="14"/>
  <c r="D147" i="8" l="1"/>
  <c r="D149" i="8" s="1"/>
  <c r="C149" i="8"/>
  <c r="H180" i="14"/>
  <c r="H181" i="14" s="1"/>
  <c r="G206" i="14"/>
  <c r="C27" i="16"/>
  <c r="D95" i="14"/>
  <c r="D102" i="14" s="1"/>
  <c r="D114" i="14" s="1"/>
  <c r="E95" i="14"/>
  <c r="E102" i="14" s="1"/>
  <c r="E114" i="14" s="1"/>
  <c r="E41" i="14"/>
  <c r="C196" i="14"/>
  <c r="C193" i="14"/>
  <c r="D191" i="14"/>
  <c r="D193" i="14" s="1"/>
  <c r="E191" i="14"/>
  <c r="E193" i="14" s="1"/>
  <c r="J105" i="14"/>
  <c r="K105" i="14"/>
  <c r="J107" i="14"/>
  <c r="J15" i="14"/>
  <c r="K15" i="14" s="1"/>
  <c r="I168" i="14"/>
  <c r="I121" i="14"/>
  <c r="I188" i="14"/>
  <c r="I210" i="14"/>
  <c r="I92" i="14"/>
  <c r="I151" i="14"/>
  <c r="J179" i="14"/>
  <c r="C188" i="14"/>
  <c r="C66" i="14"/>
  <c r="C92" i="14" s="1"/>
  <c r="J199" i="14"/>
  <c r="J97" i="14"/>
  <c r="J85" i="14"/>
  <c r="K85" i="14" s="1"/>
  <c r="K82" i="14"/>
  <c r="K101" i="14" s="1"/>
  <c r="J101" i="14"/>
  <c r="K126" i="14"/>
  <c r="K107" i="14"/>
  <c r="K179" i="14"/>
  <c r="J169" i="14"/>
  <c r="J152" i="14"/>
  <c r="J93" i="14"/>
  <c r="J67" i="14"/>
  <c r="J211" i="14"/>
  <c r="J122" i="14"/>
  <c r="J189" i="14"/>
  <c r="K16" i="14"/>
  <c r="J124" i="14"/>
  <c r="J127" i="14" s="1"/>
  <c r="K97" i="14"/>
  <c r="K199" i="14"/>
  <c r="J138" i="14"/>
  <c r="K74" i="14"/>
  <c r="K141" i="14" s="1"/>
  <c r="J141" i="14"/>
  <c r="K70" i="14"/>
  <c r="E141" i="8" l="1"/>
  <c r="E143" i="8" s="1"/>
  <c r="I180" i="14"/>
  <c r="J180" i="14" s="1"/>
  <c r="K180" i="14" s="1"/>
  <c r="K181" i="14" s="1"/>
  <c r="D196" i="14"/>
  <c r="E196" i="14"/>
  <c r="J66" i="14"/>
  <c r="J188" i="14"/>
  <c r="J210" i="14"/>
  <c r="J92" i="14"/>
  <c r="J121" i="14"/>
  <c r="J151" i="14"/>
  <c r="J168" i="14"/>
  <c r="K138" i="14"/>
  <c r="K124" i="14"/>
  <c r="K127" i="14" s="1"/>
  <c r="K67" i="14"/>
  <c r="K169" i="14"/>
  <c r="K152" i="14"/>
  <c r="K211" i="14"/>
  <c r="K122" i="14"/>
  <c r="K189" i="14"/>
  <c r="K93" i="14"/>
  <c r="K210" i="14"/>
  <c r="K168" i="14"/>
  <c r="K151" i="14"/>
  <c r="K66" i="14"/>
  <c r="K121" i="14"/>
  <c r="K92" i="14"/>
  <c r="K188" i="14"/>
  <c r="I181" i="14" l="1"/>
  <c r="J181" i="14"/>
  <c r="BD11" i="8"/>
  <c r="AE10" i="10" s="1"/>
  <c r="H50" i="8"/>
  <c r="H59" i="8" s="1"/>
  <c r="G50" i="8"/>
  <c r="G59" i="8" s="1"/>
  <c r="F50" i="8"/>
  <c r="F59" i="8" s="1"/>
  <c r="E50" i="8"/>
  <c r="E59" i="8" s="1"/>
  <c r="I50" i="8"/>
  <c r="I59" i="8" s="1"/>
  <c r="D59" i="9" l="1"/>
  <c r="F59" i="9"/>
  <c r="C59" i="9"/>
  <c r="E59" i="9"/>
  <c r="G59" i="9"/>
  <c r="BL47" i="8"/>
  <c r="BL75" i="8"/>
  <c r="AY67" i="8"/>
  <c r="AY76" i="8" s="1"/>
  <c r="AY50" i="8"/>
  <c r="AY59" i="8" s="1"/>
  <c r="AY83" i="8"/>
  <c r="BL52" i="8"/>
  <c r="BL45" i="8"/>
  <c r="BA83" i="8"/>
  <c r="BE11" i="8"/>
  <c r="AF10" i="10" s="1"/>
  <c r="BD14" i="8"/>
  <c r="BE50" i="8"/>
  <c r="BE59" i="8" s="1"/>
  <c r="BE83" i="8"/>
  <c r="BL29" i="8"/>
  <c r="BB83" i="8"/>
  <c r="BC50" i="8"/>
  <c r="BC59" i="8" s="1"/>
  <c r="BE67" i="8"/>
  <c r="BE76" i="8" s="1"/>
  <c r="BD67" i="8"/>
  <c r="BD76" i="8" s="1"/>
  <c r="AZ67" i="8"/>
  <c r="AZ76" i="8" s="1"/>
  <c r="BB11" i="8"/>
  <c r="AC10" i="10" s="1"/>
  <c r="AZ50" i="8"/>
  <c r="AZ59" i="8" s="1"/>
  <c r="BD50" i="8"/>
  <c r="BD59" i="8" s="1"/>
  <c r="BC83" i="8"/>
  <c r="BC11" i="8"/>
  <c r="AD10" i="10" s="1"/>
  <c r="BA50" i="8"/>
  <c r="BA59" i="8" s="1"/>
  <c r="BA67" i="8"/>
  <c r="BA76" i="8" s="1"/>
  <c r="BC67" i="8"/>
  <c r="BC76" i="8" s="1"/>
  <c r="BD83" i="8"/>
  <c r="AZ83" i="8"/>
  <c r="BG83" i="8"/>
  <c r="BG50" i="8"/>
  <c r="BG59" i="8" s="1"/>
  <c r="BH83" i="8"/>
  <c r="BG11" i="8"/>
  <c r="AH10" i="10" s="1"/>
  <c r="BG67" i="8"/>
  <c r="BG76" i="8" s="1"/>
  <c r="BH67" i="8"/>
  <c r="BH76" i="8" s="1"/>
  <c r="BF11" i="8"/>
  <c r="AG10" i="10" s="1"/>
  <c r="BH11" i="8"/>
  <c r="AI10" i="10" s="1"/>
  <c r="BH50" i="8"/>
  <c r="BH59" i="8" s="1"/>
  <c r="BD20" i="8" l="1"/>
  <c r="BD26" i="8" s="1"/>
  <c r="BD31" i="8" s="1"/>
  <c r="BC14" i="8"/>
  <c r="BL18" i="8"/>
  <c r="AJ13" i="9"/>
  <c r="AJ19" i="9" s="1"/>
  <c r="AG9" i="10"/>
  <c r="AM8" i="10"/>
  <c r="AH9" i="10"/>
  <c r="AY84" i="8"/>
  <c r="AY86" i="8" s="1"/>
  <c r="C13" i="9"/>
  <c r="BG14" i="8"/>
  <c r="BL10" i="8"/>
  <c r="BE84" i="8"/>
  <c r="BE86" i="8" s="1"/>
  <c r="BC84" i="8"/>
  <c r="BC86" i="8" s="1"/>
  <c r="BA84" i="8"/>
  <c r="BA86" i="8" s="1"/>
  <c r="BL17" i="8"/>
  <c r="BD84" i="8"/>
  <c r="BD86" i="8" s="1"/>
  <c r="BE14" i="8"/>
  <c r="AZ84" i="8"/>
  <c r="AZ86" i="8" s="1"/>
  <c r="BB14" i="8"/>
  <c r="BD15" i="8"/>
  <c r="BL13" i="8"/>
  <c r="BG84" i="8"/>
  <c r="BG86" i="8" s="1"/>
  <c r="BH14" i="8"/>
  <c r="BF14" i="8"/>
  <c r="BH84" i="8"/>
  <c r="BH86" i="8" s="1"/>
  <c r="C19" i="9" l="1"/>
  <c r="C23" i="9" s="1"/>
  <c r="BF20" i="8"/>
  <c r="BF26" i="8" s="1"/>
  <c r="BF31" i="8" s="1"/>
  <c r="BB20" i="8"/>
  <c r="BB26" i="8" s="1"/>
  <c r="BB31" i="8" s="1"/>
  <c r="BG20" i="8"/>
  <c r="BG26" i="8" s="1"/>
  <c r="BG31" i="8" s="1"/>
  <c r="BC20" i="8"/>
  <c r="BC21" i="8" s="1"/>
  <c r="BE20" i="8"/>
  <c r="BE26" i="8" s="1"/>
  <c r="BE31" i="8" s="1"/>
  <c r="BD21" i="8"/>
  <c r="BH20" i="8"/>
  <c r="BH21" i="8" s="1"/>
  <c r="BG15" i="8"/>
  <c r="BF15" i="8"/>
  <c r="BC15" i="8"/>
  <c r="BH15" i="8"/>
  <c r="BE15" i="8"/>
  <c r="AJ14" i="9"/>
  <c r="AE9" i="10"/>
  <c r="AF9" i="10"/>
  <c r="AI9" i="10"/>
  <c r="AK9" i="10"/>
  <c r="AD9" i="10"/>
  <c r="C14" i="9"/>
  <c r="BD27" i="8"/>
  <c r="BB15" i="8"/>
  <c r="C20" i="9" l="1"/>
  <c r="C29" i="9"/>
  <c r="C79" i="9" s="1"/>
  <c r="C24" i="9"/>
  <c r="BB21" i="8"/>
  <c r="BG21" i="8"/>
  <c r="BF21" i="8"/>
  <c r="BE21" i="8"/>
  <c r="BC26" i="8"/>
  <c r="BC31" i="8" s="1"/>
  <c r="BC32" i="8" s="1"/>
  <c r="BH26" i="8"/>
  <c r="BH31" i="8" s="1"/>
  <c r="AC9" i="10"/>
  <c r="AB9" i="10"/>
  <c r="BB27" i="8"/>
  <c r="BG27" i="8"/>
  <c r="AJ23" i="9"/>
  <c r="AJ29" i="9" s="1"/>
  <c r="AJ79" i="9" s="1"/>
  <c r="AJ20" i="9"/>
  <c r="AA9" i="10"/>
  <c r="AJ9" i="10"/>
  <c r="AM9" i="10"/>
  <c r="AM7" i="10"/>
  <c r="BD32" i="8"/>
  <c r="BD35" i="8"/>
  <c r="BD38" i="8"/>
  <c r="BB35" i="8"/>
  <c r="BB38" i="8"/>
  <c r="BB32" i="8"/>
  <c r="BE27" i="8"/>
  <c r="C77" i="9"/>
  <c r="C36" i="9"/>
  <c r="C43" i="9" s="1"/>
  <c r="C78" i="9"/>
  <c r="BF27" i="8"/>
  <c r="C80" i="9" l="1" a="1"/>
  <c r="C80" i="9" s="1"/>
  <c r="C30" i="9"/>
  <c r="C81" i="9" a="1"/>
  <c r="C81" i="9" s="1"/>
  <c r="BC27" i="8"/>
  <c r="BH27" i="8"/>
  <c r="BC38" i="8"/>
  <c r="BC35" i="8"/>
  <c r="AJ24" i="9"/>
  <c r="BF32" i="8"/>
  <c r="BF38" i="8"/>
  <c r="BF35" i="8"/>
  <c r="BE38" i="8"/>
  <c r="BE32" i="8"/>
  <c r="BE35" i="8"/>
  <c r="BG32" i="8"/>
  <c r="BG35" i="8"/>
  <c r="BG38" i="8"/>
  <c r="BH32" i="8"/>
  <c r="BH35" i="8"/>
  <c r="BH38" i="8"/>
  <c r="AJ81" i="9" l="1" a="1"/>
  <c r="AJ81" i="9" s="1"/>
  <c r="AJ30" i="9"/>
  <c r="AJ80" i="9" a="1"/>
  <c r="AJ80" i="9" s="1"/>
  <c r="AJ77" i="9"/>
  <c r="AJ78" i="9"/>
  <c r="AJ36" i="9"/>
  <c r="BL101" i="8" l="1"/>
  <c r="BL109" i="8"/>
  <c r="BB67" i="8"/>
  <c r="BF67" i="8"/>
  <c r="BF76" i="8" s="1"/>
  <c r="BL115" i="8"/>
  <c r="BB76" i="8" l="1"/>
  <c r="BB84" i="8" s="1"/>
  <c r="AZ126" i="8"/>
  <c r="BA126" i="8"/>
  <c r="AY126" i="8"/>
  <c r="BE126" i="8"/>
  <c r="BB126" i="8"/>
  <c r="BC126" i="8"/>
  <c r="BD126" i="8"/>
  <c r="BF126" i="8"/>
  <c r="BH126" i="8"/>
  <c r="BG126" i="8"/>
  <c r="E126" i="8" l="1"/>
  <c r="E83" i="8"/>
  <c r="C72" i="9" s="1"/>
  <c r="E67" i="8"/>
  <c r="E11" i="8"/>
  <c r="E10" i="10" s="1"/>
  <c r="AK11" i="8"/>
  <c r="U10" i="10" s="1"/>
  <c r="I11" i="8"/>
  <c r="I10" i="10" s="1"/>
  <c r="H11" i="8"/>
  <c r="H10" i="10" s="1"/>
  <c r="G11" i="8"/>
  <c r="G10" i="10" s="1"/>
  <c r="F11" i="8"/>
  <c r="F10" i="10" s="1"/>
  <c r="K126" i="8"/>
  <c r="I126" i="8"/>
  <c r="H126" i="8"/>
  <c r="G126" i="8"/>
  <c r="F126" i="8"/>
  <c r="I83" i="8"/>
  <c r="G72" i="9" s="1"/>
  <c r="H83" i="8"/>
  <c r="F72" i="9" s="1"/>
  <c r="G83" i="8"/>
  <c r="E72" i="9" s="1"/>
  <c r="F83" i="8"/>
  <c r="D72" i="9" s="1"/>
  <c r="AN67" i="8"/>
  <c r="AN76" i="8" s="1"/>
  <c r="AL67" i="8"/>
  <c r="AL76" i="8" s="1"/>
  <c r="K67" i="8"/>
  <c r="K76" i="8" s="1"/>
  <c r="G60" i="9"/>
  <c r="H67" i="8"/>
  <c r="G67" i="8"/>
  <c r="F67" i="8"/>
  <c r="BI11" i="8"/>
  <c r="AJ10" i="10" s="1"/>
  <c r="U73" i="9"/>
  <c r="U82" i="9" s="1"/>
  <c r="M73" i="9"/>
  <c r="M82" i="9" s="1"/>
  <c r="D9" i="9"/>
  <c r="F76" i="8" l="1"/>
  <c r="D60" i="9" s="1"/>
  <c r="H76" i="8"/>
  <c r="F60" i="9" s="1"/>
  <c r="E76" i="8"/>
  <c r="C60" i="9" s="1"/>
  <c r="G76" i="8"/>
  <c r="G84" i="8" s="1"/>
  <c r="G86" i="8" s="1"/>
  <c r="C73" i="9"/>
  <c r="C82" i="9" s="1"/>
  <c r="N73" i="9"/>
  <c r="N82" i="9" s="1"/>
  <c r="V73" i="9"/>
  <c r="V82" i="9" s="1"/>
  <c r="E73" i="9"/>
  <c r="E82" i="9" s="1"/>
  <c r="O73" i="9"/>
  <c r="O82" i="9" s="1"/>
  <c r="T60" i="9"/>
  <c r="AH60" i="9" s="1"/>
  <c r="BL11" i="8"/>
  <c r="V60" i="9"/>
  <c r="AJ60" i="9" s="1"/>
  <c r="E14" i="8"/>
  <c r="K73" i="9"/>
  <c r="G73" i="9"/>
  <c r="G82" i="9" s="1"/>
  <c r="J73" i="9"/>
  <c r="O13" i="9"/>
  <c r="O19" i="9" s="1"/>
  <c r="M9" i="9"/>
  <c r="U9" i="9"/>
  <c r="F73" i="9"/>
  <c r="F82" i="9" s="1"/>
  <c r="I73" i="9"/>
  <c r="U10" i="9"/>
  <c r="BF83" i="8"/>
  <c r="BF84" i="8" s="1"/>
  <c r="H14" i="8"/>
  <c r="G14" i="8"/>
  <c r="AK14" i="8"/>
  <c r="I14" i="8"/>
  <c r="AN14" i="8"/>
  <c r="F14" i="8"/>
  <c r="AM67" i="8"/>
  <c r="AM76" i="8" s="1"/>
  <c r="BI67" i="8"/>
  <c r="BI76" i="8" s="1"/>
  <c r="BI83" i="8"/>
  <c r="BL83" i="8" s="1"/>
  <c r="G13" i="9"/>
  <c r="G19" i="9" s="1"/>
  <c r="G9" i="9"/>
  <c r="E13" i="9"/>
  <c r="E19" i="9" s="1"/>
  <c r="E9" i="9"/>
  <c r="F13" i="9"/>
  <c r="F19" i="9" s="1"/>
  <c r="F9" i="9"/>
  <c r="M10" i="9"/>
  <c r="Q73" i="9"/>
  <c r="Q82" i="9" s="1"/>
  <c r="D13" i="9"/>
  <c r="D19" i="9" s="1"/>
  <c r="R73" i="9"/>
  <c r="R82" i="9" s="1"/>
  <c r="S73" i="9"/>
  <c r="S82" i="9" s="1"/>
  <c r="D73" i="9"/>
  <c r="D82" i="9" s="1"/>
  <c r="AN20" i="8" l="1"/>
  <c r="AN26" i="8" s="1"/>
  <c r="AN31" i="8" s="1"/>
  <c r="I20" i="8"/>
  <c r="I26" i="8" s="1"/>
  <c r="I31" i="8" s="1"/>
  <c r="I98" i="8" s="1"/>
  <c r="AK20" i="8"/>
  <c r="AK21" i="8" s="1"/>
  <c r="E20" i="8"/>
  <c r="E26" i="8" s="1"/>
  <c r="E31" i="8" s="1"/>
  <c r="F20" i="8"/>
  <c r="F26" i="8" s="1"/>
  <c r="F31" i="8" s="1"/>
  <c r="G20" i="8"/>
  <c r="G26" i="8" s="1"/>
  <c r="G31" i="8" s="1"/>
  <c r="H20" i="8"/>
  <c r="H21" i="8" s="1"/>
  <c r="F84" i="8"/>
  <c r="F86" i="8" s="1"/>
  <c r="E60" i="9"/>
  <c r="AK15" i="8"/>
  <c r="F15" i="8"/>
  <c r="E15" i="8"/>
  <c r="T73" i="9"/>
  <c r="T82" i="9" s="1"/>
  <c r="AL84" i="8"/>
  <c r="AL86" i="8" s="1"/>
  <c r="BF50" i="8"/>
  <c r="K84" i="8"/>
  <c r="BB50" i="8"/>
  <c r="AN84" i="8"/>
  <c r="AN86" i="8" s="1"/>
  <c r="H84" i="8"/>
  <c r="H86" i="8" s="1"/>
  <c r="I84" i="8"/>
  <c r="I86" i="8" s="1"/>
  <c r="E84" i="8"/>
  <c r="E86" i="8" s="1"/>
  <c r="U60" i="9"/>
  <c r="AI60" i="9" s="1"/>
  <c r="P73" i="9"/>
  <c r="P82" i="9" s="1"/>
  <c r="BL76" i="8"/>
  <c r="BL67" i="8"/>
  <c r="L73" i="9"/>
  <c r="L82" i="9" s="1"/>
  <c r="P10" i="9"/>
  <c r="T9" i="9"/>
  <c r="Q9" i="9"/>
  <c r="R10" i="9"/>
  <c r="T13" i="9"/>
  <c r="T19" i="9" s="1"/>
  <c r="O10" i="9"/>
  <c r="Q10" i="9"/>
  <c r="N10" i="9"/>
  <c r="R13" i="9"/>
  <c r="P13" i="9"/>
  <c r="P19" i="9" s="1"/>
  <c r="J10" i="9"/>
  <c r="R9" i="9"/>
  <c r="N9" i="9"/>
  <c r="J13" i="9"/>
  <c r="P9" i="9"/>
  <c r="BI50" i="8"/>
  <c r="BI59" i="8" s="1"/>
  <c r="H15" i="8"/>
  <c r="I15" i="8"/>
  <c r="G15" i="8"/>
  <c r="BI14" i="8"/>
  <c r="BI20" i="8" s="1"/>
  <c r="AN15" i="8"/>
  <c r="O14" i="9"/>
  <c r="F14" i="9"/>
  <c r="S9" i="9"/>
  <c r="S13" i="9"/>
  <c r="S19" i="9" s="1"/>
  <c r="S10" i="9"/>
  <c r="K13" i="9"/>
  <c r="K19" i="9" s="1"/>
  <c r="K10" i="9"/>
  <c r="U13" i="9"/>
  <c r="U19" i="9" s="1"/>
  <c r="AJ9" i="9"/>
  <c r="N13" i="9"/>
  <c r="N19" i="9" s="1"/>
  <c r="T10" i="9"/>
  <c r="D14" i="9"/>
  <c r="V9" i="9"/>
  <c r="V13" i="9"/>
  <c r="V19" i="9" s="1"/>
  <c r="V10" i="9"/>
  <c r="L13" i="9"/>
  <c r="L19" i="9" s="1"/>
  <c r="L10" i="9"/>
  <c r="O9" i="9"/>
  <c r="M13" i="9"/>
  <c r="M19" i="9" s="1"/>
  <c r="G14" i="9"/>
  <c r="Q13" i="9"/>
  <c r="Q19" i="9" s="1"/>
  <c r="E14" i="9"/>
  <c r="I13" i="9"/>
  <c r="I19" i="9" s="1"/>
  <c r="J14" i="9" l="1"/>
  <c r="J19" i="9"/>
  <c r="R14" i="9"/>
  <c r="R19" i="9"/>
  <c r="AN21" i="8"/>
  <c r="I21" i="8"/>
  <c r="F21" i="8"/>
  <c r="E21" i="8"/>
  <c r="H26" i="8"/>
  <c r="H31" i="8" s="1"/>
  <c r="H98" i="8" s="1"/>
  <c r="H116" i="8" s="1"/>
  <c r="H146" i="8" s="1"/>
  <c r="AK26" i="8"/>
  <c r="AK31" i="8" s="1"/>
  <c r="AK98" i="8" s="1"/>
  <c r="AK116" i="8" s="1"/>
  <c r="G21" i="8"/>
  <c r="BB59" i="8"/>
  <c r="BB86" i="8" s="1"/>
  <c r="BF59" i="8"/>
  <c r="BF86" i="8" s="1"/>
  <c r="BL20" i="8"/>
  <c r="BI26" i="8"/>
  <c r="BI31" i="8" s="1"/>
  <c r="K32" i="8"/>
  <c r="K38" i="8"/>
  <c r="E98" i="8"/>
  <c r="G27" i="8"/>
  <c r="G38" i="8"/>
  <c r="AN27" i="8"/>
  <c r="AN35" i="8"/>
  <c r="BI21" i="8"/>
  <c r="I27" i="8"/>
  <c r="D21" i="12"/>
  <c r="D24" i="12"/>
  <c r="D25" i="12"/>
  <c r="E27" i="8"/>
  <c r="BL138" i="8"/>
  <c r="BI84" i="8"/>
  <c r="BL84" i="8" s="1"/>
  <c r="AM84" i="8"/>
  <c r="AM86" i="8" s="1"/>
  <c r="BL59" i="8"/>
  <c r="BL50" i="8"/>
  <c r="T14" i="9"/>
  <c r="P14" i="9"/>
  <c r="I35" i="8"/>
  <c r="I38" i="8"/>
  <c r="R20" i="9"/>
  <c r="J20" i="9"/>
  <c r="BL14" i="8"/>
  <c r="I32" i="8"/>
  <c r="I116" i="8"/>
  <c r="I146" i="8" s="1"/>
  <c r="F27" i="8"/>
  <c r="BI126" i="8"/>
  <c r="BL126" i="8" s="1"/>
  <c r="BI15" i="8"/>
  <c r="BL15" i="8" s="1"/>
  <c r="I14" i="9"/>
  <c r="E23" i="9"/>
  <c r="E29" i="9" s="1"/>
  <c r="E79" i="9" s="1"/>
  <c r="E20" i="9"/>
  <c r="D23" i="9"/>
  <c r="D29" i="9" s="1"/>
  <c r="D79" i="9" s="1"/>
  <c r="D20" i="9"/>
  <c r="K14" i="9"/>
  <c r="Q14" i="9"/>
  <c r="L14" i="9"/>
  <c r="F23" i="9"/>
  <c r="F29" i="9" s="1"/>
  <c r="F79" i="9" s="1"/>
  <c r="F20" i="9"/>
  <c r="O23" i="9"/>
  <c r="O29" i="9" s="1"/>
  <c r="O20" i="9"/>
  <c r="V14" i="9"/>
  <c r="S14" i="9"/>
  <c r="T23" i="9"/>
  <c r="T29" i="9" s="1"/>
  <c r="T20" i="9"/>
  <c r="P20" i="9"/>
  <c r="P23" i="9"/>
  <c r="P29" i="9" s="1"/>
  <c r="G20" i="9"/>
  <c r="G23" i="9"/>
  <c r="G29" i="9" s="1"/>
  <c r="G79" i="9" s="1"/>
  <c r="U14" i="9"/>
  <c r="M14" i="9"/>
  <c r="N14" i="9"/>
  <c r="H27" i="8" l="1"/>
  <c r="H35" i="8"/>
  <c r="H38" i="8"/>
  <c r="H32" i="8"/>
  <c r="AK27" i="8"/>
  <c r="BF98" i="8"/>
  <c r="D19" i="12"/>
  <c r="E116" i="8"/>
  <c r="E146" i="8" s="1"/>
  <c r="V98" i="8"/>
  <c r="E35" i="8"/>
  <c r="G32" i="8"/>
  <c r="G98" i="8"/>
  <c r="E32" i="8"/>
  <c r="E38" i="8"/>
  <c r="AN98" i="8"/>
  <c r="AN116" i="8" s="1"/>
  <c r="AN146" i="8" s="1"/>
  <c r="AN32" i="8"/>
  <c r="AN38" i="8"/>
  <c r="G35" i="8"/>
  <c r="K98" i="8"/>
  <c r="K116" i="8" s="1"/>
  <c r="K146" i="8" s="1"/>
  <c r="K35" i="8"/>
  <c r="F98" i="8"/>
  <c r="F32" i="8"/>
  <c r="F38" i="8"/>
  <c r="F35" i="8"/>
  <c r="BL26" i="8"/>
  <c r="BI86" i="8"/>
  <c r="R23" i="9"/>
  <c r="R29" i="9" s="1"/>
  <c r="AK35" i="8"/>
  <c r="AK38" i="8"/>
  <c r="J23" i="9"/>
  <c r="J29" i="9" s="1"/>
  <c r="BI27" i="8"/>
  <c r="BL27" i="8" s="1"/>
  <c r="AK32" i="8"/>
  <c r="AK146" i="8"/>
  <c r="G24" i="9"/>
  <c r="N23" i="9"/>
  <c r="N29" i="9" s="1"/>
  <c r="N20" i="9"/>
  <c r="T24" i="9"/>
  <c r="F24" i="9"/>
  <c r="D24" i="9"/>
  <c r="O24" i="9"/>
  <c r="S20" i="9"/>
  <c r="S23" i="9"/>
  <c r="S29" i="9" s="1"/>
  <c r="E24" i="9"/>
  <c r="U23" i="9"/>
  <c r="U29" i="9" s="1"/>
  <c r="U20" i="9"/>
  <c r="Q20" i="9"/>
  <c r="Q23" i="9"/>
  <c r="Q29" i="9" s="1"/>
  <c r="M23" i="9"/>
  <c r="M29" i="9" s="1"/>
  <c r="M20" i="9"/>
  <c r="P24" i="9"/>
  <c r="L23" i="9"/>
  <c r="L29" i="9" s="1"/>
  <c r="L20" i="9"/>
  <c r="K20" i="9"/>
  <c r="K23" i="9"/>
  <c r="K29" i="9" s="1"/>
  <c r="V23" i="9"/>
  <c r="V29" i="9" s="1"/>
  <c r="V20" i="9"/>
  <c r="I20" i="9"/>
  <c r="I23" i="9"/>
  <c r="I29" i="9" s="1"/>
  <c r="W81" i="9" l="1" a="1"/>
  <c r="W81" i="9" s="1"/>
  <c r="W77" i="9"/>
  <c r="W78" i="9"/>
  <c r="W79" i="9" a="1"/>
  <c r="W79" i="9" s="1"/>
  <c r="W80" i="9" a="1"/>
  <c r="W80" i="9" s="1"/>
  <c r="V116" i="8"/>
  <c r="V146" i="8" s="1"/>
  <c r="AT98" i="8"/>
  <c r="AT116" i="8" s="1"/>
  <c r="AR98" i="8"/>
  <c r="AR116" i="8" s="1"/>
  <c r="AS98" i="8"/>
  <c r="AS116" i="8" s="1"/>
  <c r="AQ98" i="8"/>
  <c r="AQ116" i="8" s="1"/>
  <c r="BF146" i="8"/>
  <c r="Q79" i="9" a="1"/>
  <c r="Q79" i="9" s="1"/>
  <c r="P79" i="9" a="1"/>
  <c r="P79" i="9" s="1"/>
  <c r="V79" i="9" a="1"/>
  <c r="V79" i="9" s="1"/>
  <c r="L79" i="9" a="1"/>
  <c r="L79" i="9" s="1"/>
  <c r="N79" i="9" a="1"/>
  <c r="N79" i="9" s="1"/>
  <c r="U79" i="9" a="1"/>
  <c r="U79" i="9" s="1"/>
  <c r="T79" i="9" a="1"/>
  <c r="T79" i="9" s="1"/>
  <c r="M79" i="9" a="1"/>
  <c r="M79" i="9" s="1"/>
  <c r="R79" i="9" a="1"/>
  <c r="R79" i="9" s="1"/>
  <c r="O79" i="9" a="1"/>
  <c r="O79" i="9" s="1"/>
  <c r="S79" i="9" a="1"/>
  <c r="S79" i="9" s="1"/>
  <c r="G116" i="8"/>
  <c r="G146" i="8" s="1"/>
  <c r="AD98" i="8"/>
  <c r="F116" i="8"/>
  <c r="F146" i="8" s="1"/>
  <c r="Z98" i="8"/>
  <c r="BE116" i="8"/>
  <c r="BI38" i="8"/>
  <c r="R24" i="9"/>
  <c r="J24" i="9"/>
  <c r="BF116" i="8"/>
  <c r="M24" i="9"/>
  <c r="Q24" i="9"/>
  <c r="R81" i="9" a="1"/>
  <c r="R81" i="9" s="1"/>
  <c r="J36" i="9"/>
  <c r="J42" i="9" s="1"/>
  <c r="J30" i="9"/>
  <c r="N24" i="9"/>
  <c r="D80" i="9" a="1"/>
  <c r="D80" i="9" s="1"/>
  <c r="D81" i="9" a="1"/>
  <c r="D81" i="9" s="1"/>
  <c r="D36" i="9"/>
  <c r="D42" i="9" s="1"/>
  <c r="D30" i="9"/>
  <c r="D78" i="9"/>
  <c r="D77" i="9"/>
  <c r="F81" i="9" a="1"/>
  <c r="F81" i="9" s="1"/>
  <c r="F80" i="9" a="1"/>
  <c r="F80" i="9" s="1"/>
  <c r="F30" i="9"/>
  <c r="F36" i="9"/>
  <c r="F42" i="9" s="1"/>
  <c r="F77" i="9"/>
  <c r="F78" i="9"/>
  <c r="G80" i="9" a="1"/>
  <c r="G80" i="9" s="1"/>
  <c r="G81" i="9" a="1"/>
  <c r="G81" i="9" s="1"/>
  <c r="G30" i="9"/>
  <c r="G78" i="9"/>
  <c r="G36" i="9"/>
  <c r="G42" i="9" s="1"/>
  <c r="G77" i="9"/>
  <c r="R30" i="9"/>
  <c r="R36" i="9"/>
  <c r="R42" i="9" s="1"/>
  <c r="V24" i="9"/>
  <c r="L24" i="9"/>
  <c r="U24" i="9"/>
  <c r="P36" i="9"/>
  <c r="P42" i="9" s="1"/>
  <c r="P30" i="9"/>
  <c r="O36" i="9"/>
  <c r="O42" i="9" s="1"/>
  <c r="O30" i="9"/>
  <c r="S24" i="9"/>
  <c r="I24" i="9"/>
  <c r="K24" i="9"/>
  <c r="E81" i="9" a="1"/>
  <c r="E81" i="9" s="1"/>
  <c r="E36" i="9"/>
  <c r="E42" i="9" s="1"/>
  <c r="E30" i="9"/>
  <c r="E80" i="9" a="1"/>
  <c r="E80" i="9" s="1"/>
  <c r="E78" i="9"/>
  <c r="E77" i="9"/>
  <c r="T30" i="9"/>
  <c r="T36" i="9"/>
  <c r="T42" i="9" s="1"/>
  <c r="Z116" i="8" l="1"/>
  <c r="Z146" i="8" s="1"/>
  <c r="AX98" i="8"/>
  <c r="AX116" i="8" s="1"/>
  <c r="AW98" i="8"/>
  <c r="AW116" i="8" s="1"/>
  <c r="AU98" i="8"/>
  <c r="AU116" i="8" s="1"/>
  <c r="AV98" i="8"/>
  <c r="AV116" i="8" s="1"/>
  <c r="AT146" i="8"/>
  <c r="AS146" i="8"/>
  <c r="AQ146" i="8"/>
  <c r="AR146" i="8"/>
  <c r="AD116" i="8"/>
  <c r="AD146" i="8" s="1"/>
  <c r="AZ98" i="8"/>
  <c r="BA98" i="8"/>
  <c r="BB98" i="8"/>
  <c r="BB116" i="8" s="1"/>
  <c r="AY98" i="8"/>
  <c r="BC116" i="8"/>
  <c r="BD116" i="8"/>
  <c r="BL31" i="8"/>
  <c r="BI35" i="8"/>
  <c r="BI32" i="8"/>
  <c r="BL32" i="8" s="1"/>
  <c r="R80" i="9" a="1"/>
  <c r="R80" i="9" s="1"/>
  <c r="D43" i="9"/>
  <c r="U80" i="9" a="1"/>
  <c r="U80" i="9" s="1"/>
  <c r="S80" i="9" a="1"/>
  <c r="S80" i="9" s="1"/>
  <c r="U78" i="9"/>
  <c r="N81" i="9" a="1"/>
  <c r="N81" i="9" s="1"/>
  <c r="N80" i="9" a="1"/>
  <c r="N80" i="9" s="1"/>
  <c r="N77" i="9"/>
  <c r="K36" i="9"/>
  <c r="K42" i="9" s="1"/>
  <c r="K30" i="9"/>
  <c r="N78" i="9"/>
  <c r="M80" i="9" a="1"/>
  <c r="M80" i="9" s="1"/>
  <c r="Q36" i="9"/>
  <c r="Q42" i="9" s="1"/>
  <c r="T80" i="9" a="1"/>
  <c r="T80" i="9" s="1"/>
  <c r="T81" i="9" a="1"/>
  <c r="T81" i="9" s="1"/>
  <c r="Q30" i="9"/>
  <c r="T77" i="9"/>
  <c r="T78" i="9"/>
  <c r="I36" i="9"/>
  <c r="I42" i="9" s="1"/>
  <c r="L80" i="9" a="1"/>
  <c r="L80" i="9" s="1"/>
  <c r="L81" i="9" a="1"/>
  <c r="L81" i="9" s="1"/>
  <c r="I30" i="9"/>
  <c r="L77" i="9"/>
  <c r="L78" i="9"/>
  <c r="R78" i="9"/>
  <c r="S77" i="9"/>
  <c r="G43" i="9"/>
  <c r="J43" i="9"/>
  <c r="R77" i="9"/>
  <c r="O80" i="9" a="1"/>
  <c r="O80" i="9" s="1"/>
  <c r="L36" i="9"/>
  <c r="L42" i="9" s="1"/>
  <c r="L30" i="9"/>
  <c r="O81" i="9" a="1"/>
  <c r="O81" i="9" s="1"/>
  <c r="O77" i="9"/>
  <c r="O78" i="9"/>
  <c r="F43" i="9"/>
  <c r="M77" i="9"/>
  <c r="U36" i="9"/>
  <c r="U42" i="9" s="1"/>
  <c r="U30" i="9"/>
  <c r="Q81" i="9" a="1"/>
  <c r="Q81" i="9" s="1"/>
  <c r="N36" i="9"/>
  <c r="N42" i="9" s="1"/>
  <c r="N30" i="9"/>
  <c r="Q80" i="9" a="1"/>
  <c r="Q80" i="9" s="1"/>
  <c r="Q77" i="9"/>
  <c r="Q78" i="9"/>
  <c r="S81" i="9" a="1"/>
  <c r="S81" i="9" s="1"/>
  <c r="U77" i="9"/>
  <c r="M81" i="9" a="1"/>
  <c r="M81" i="9" s="1"/>
  <c r="E43" i="9"/>
  <c r="V81" i="9" a="1"/>
  <c r="V81" i="9" s="1"/>
  <c r="V80" i="9" a="1"/>
  <c r="V80" i="9" s="1"/>
  <c r="V77" i="9"/>
  <c r="S30" i="9"/>
  <c r="S36" i="9"/>
  <c r="S42" i="9" s="1"/>
  <c r="V78" i="9"/>
  <c r="T43" i="9"/>
  <c r="U81" i="9" a="1"/>
  <c r="U81" i="9" s="1"/>
  <c r="P80" i="9" a="1"/>
  <c r="P80" i="9" s="1"/>
  <c r="P81" i="9" a="1"/>
  <c r="P81" i="9" s="1"/>
  <c r="M36" i="9"/>
  <c r="M42" i="9" s="1"/>
  <c r="M30" i="9"/>
  <c r="P77" i="9"/>
  <c r="P78" i="9"/>
  <c r="S78" i="9"/>
  <c r="V30" i="9"/>
  <c r="V36" i="9"/>
  <c r="V42" i="9" s="1"/>
  <c r="M78" i="9"/>
  <c r="AK42" i="9" l="1"/>
  <c r="AK43" i="9" s="1"/>
  <c r="AX146" i="8"/>
  <c r="AV146" i="8"/>
  <c r="AU146" i="8"/>
  <c r="AW146" i="8"/>
  <c r="BB146" i="8"/>
  <c r="AZ146" i="8"/>
  <c r="BA146" i="8"/>
  <c r="AY146" i="8"/>
  <c r="AE42" i="9"/>
  <c r="AE43" i="9" s="1"/>
  <c r="AA42" i="9"/>
  <c r="AA43" i="9" s="1"/>
  <c r="AH42" i="9"/>
  <c r="AH43" i="9" s="1"/>
  <c r="AG42" i="9"/>
  <c r="AG43" i="9" s="1"/>
  <c r="AD42" i="9"/>
  <c r="AD43" i="9" s="1"/>
  <c r="AJ42" i="9"/>
  <c r="AJ43" i="9" s="1"/>
  <c r="AC42" i="9"/>
  <c r="AC43" i="9" s="1"/>
  <c r="AF42" i="9"/>
  <c r="AF43" i="9" s="1"/>
  <c r="AB42" i="9"/>
  <c r="AB43" i="9" s="1"/>
  <c r="AI42" i="9"/>
  <c r="AI43" i="9" s="1"/>
  <c r="BL35" i="8"/>
  <c r="BL38" i="8"/>
  <c r="U43" i="9"/>
  <c r="V43" i="9"/>
  <c r="S43" i="9"/>
  <c r="K43" i="9"/>
  <c r="R43" i="9"/>
  <c r="M43" i="9"/>
  <c r="O43" i="9"/>
  <c r="P43" i="9"/>
  <c r="I43" i="9" l="1"/>
  <c r="Z42" i="9"/>
  <c r="Z43" i="9" s="1"/>
  <c r="Y42" i="9"/>
  <c r="Y43" i="9" s="1"/>
  <c r="N43" i="9"/>
  <c r="Q43" i="9"/>
  <c r="L43" i="9"/>
  <c r="E147" i="8" l="1"/>
  <c r="E149" i="8" l="1"/>
  <c r="F141" i="8"/>
  <c r="F143" i="8" s="1"/>
  <c r="F147" i="8" s="1"/>
  <c r="K143" i="8" l="1"/>
  <c r="K147" i="8" s="1"/>
  <c r="K149" i="8" s="1"/>
  <c r="G141" i="8"/>
  <c r="G143" i="8" s="1"/>
  <c r="G147" i="8" s="1"/>
  <c r="G149" i="8" s="1"/>
  <c r="F149" i="8"/>
  <c r="L141" i="8" l="1"/>
  <c r="L143" i="8" s="1"/>
  <c r="L147" i="8" s="1"/>
  <c r="L149" i="8" s="1"/>
  <c r="H141" i="8"/>
  <c r="H143" i="8" s="1"/>
  <c r="H147" i="8" s="1"/>
  <c r="I141" i="8" l="1"/>
  <c r="I143" i="8" s="1"/>
  <c r="I147" i="8" s="1"/>
  <c r="I149" i="8" s="1"/>
  <c r="H149" i="8"/>
  <c r="M141" i="8"/>
  <c r="M143" i="8" s="1"/>
  <c r="M147" i="8" s="1"/>
  <c r="M149" i="8" s="1"/>
  <c r="N141" i="8" l="1"/>
  <c r="N143" i="8" s="1"/>
  <c r="N147" i="8" s="1"/>
  <c r="N149" i="8" s="1"/>
  <c r="G35" i="14"/>
  <c r="H35" i="14" s="1"/>
  <c r="I35" i="14" s="1"/>
  <c r="J35" i="14" s="1"/>
  <c r="K35" i="14" s="1"/>
  <c r="F36" i="14"/>
  <c r="F40" i="14" l="1"/>
  <c r="F41" i="14" s="1"/>
  <c r="O141" i="8"/>
  <c r="O143" i="8" s="1"/>
  <c r="O147" i="8" s="1"/>
  <c r="O149" i="8" s="1"/>
  <c r="F60" i="14"/>
  <c r="G60" i="14" s="1"/>
  <c r="F191" i="14" l="1"/>
  <c r="F196" i="14" s="1"/>
  <c r="F95" i="14"/>
  <c r="F102" i="14" s="1"/>
  <c r="F114" i="14" s="1"/>
  <c r="F145" i="14"/>
  <c r="H60" i="14"/>
  <c r="G29" i="14"/>
  <c r="P141" i="8"/>
  <c r="P143" i="8" s="1"/>
  <c r="P147" i="8" s="1"/>
  <c r="P149" i="8" s="1"/>
  <c r="F193" i="14" l="1"/>
  <c r="I60" i="14"/>
  <c r="H29" i="14"/>
  <c r="Q141" i="8"/>
  <c r="Q143" i="8" s="1"/>
  <c r="Q147" i="8" s="1"/>
  <c r="Q149" i="8" s="1"/>
  <c r="J60" i="14" l="1"/>
  <c r="I29" i="14"/>
  <c r="R141" i="8"/>
  <c r="R143" i="8" s="1"/>
  <c r="R147" i="8" s="1"/>
  <c r="K60" i="14" l="1"/>
  <c r="K29" i="14" s="1"/>
  <c r="J29" i="14"/>
  <c r="R149" i="8"/>
  <c r="AQ141" i="8"/>
  <c r="AQ143" i="8" s="1"/>
  <c r="AQ147" i="8" s="1"/>
  <c r="AQ149" i="8" s="1"/>
  <c r="S141" i="8"/>
  <c r="S143" i="8" s="1"/>
  <c r="S147" i="8" s="1"/>
  <c r="S149" i="8" l="1"/>
  <c r="AR141" i="8"/>
  <c r="AR143" i="8" s="1"/>
  <c r="AR147" i="8" s="1"/>
  <c r="AR149" i="8" s="1"/>
  <c r="T141" i="8"/>
  <c r="T143" i="8" s="1"/>
  <c r="T147" i="8" s="1"/>
  <c r="T149" i="8" l="1"/>
  <c r="AS141" i="8"/>
  <c r="AS143" i="8" s="1"/>
  <c r="AS147" i="8" s="1"/>
  <c r="AS149" i="8" s="1"/>
  <c r="U141" i="8"/>
  <c r="U143" i="8" s="1"/>
  <c r="U147" i="8" s="1"/>
  <c r="U149" i="8" l="1"/>
  <c r="AT141" i="8"/>
  <c r="AT143" i="8" s="1"/>
  <c r="AT147" i="8" s="1"/>
  <c r="AT149" i="8" s="1"/>
  <c r="V141" i="8"/>
  <c r="V143" i="8" s="1"/>
  <c r="V147" i="8" s="1"/>
  <c r="V149" i="8" l="1"/>
  <c r="AU141" i="8"/>
  <c r="AU143" i="8" s="1"/>
  <c r="AU147" i="8" s="1"/>
  <c r="AU149" i="8" s="1"/>
  <c r="W141" i="8"/>
  <c r="W143" i="8" s="1"/>
  <c r="W147" i="8" s="1"/>
  <c r="W149" i="8" l="1"/>
  <c r="AV141" i="8"/>
  <c r="AV143" i="8" s="1"/>
  <c r="AV147" i="8" s="1"/>
  <c r="AV149" i="8" s="1"/>
  <c r="X141" i="8"/>
  <c r="X143" i="8" s="1"/>
  <c r="X147" i="8" s="1"/>
  <c r="G18" i="14"/>
  <c r="G27" i="14" s="1"/>
  <c r="X149" i="8" l="1"/>
  <c r="AW141" i="8"/>
  <c r="AW143" i="8" s="1"/>
  <c r="AW147" i="8" s="1"/>
  <c r="AW149" i="8" s="1"/>
  <c r="E17" i="12"/>
  <c r="G28" i="14"/>
  <c r="H18" i="14"/>
  <c r="G133" i="14"/>
  <c r="G139" i="14" s="1"/>
  <c r="G140" i="14" s="1"/>
  <c r="G100" i="14" s="1"/>
  <c r="G20" i="14"/>
  <c r="G21" i="14" s="1"/>
  <c r="Y141" i="8"/>
  <c r="Y143" i="8" s="1"/>
  <c r="Y147" i="8" s="1"/>
  <c r="E30" i="12"/>
  <c r="Y149" i="8" l="1"/>
  <c r="AX141" i="8"/>
  <c r="AX143" i="8" s="1"/>
  <c r="AX147" i="8" s="1"/>
  <c r="AX149" i="8" s="1"/>
  <c r="G24" i="14"/>
  <c r="H27" i="14"/>
  <c r="H20" i="14"/>
  <c r="H24" i="14" s="1"/>
  <c r="H28" i="14"/>
  <c r="I18" i="14"/>
  <c r="I27" i="14" s="1"/>
  <c r="H133" i="14"/>
  <c r="H139" i="14" s="1"/>
  <c r="H140" i="14" s="1"/>
  <c r="H100" i="14" s="1"/>
  <c r="G135" i="14"/>
  <c r="G96" i="14" s="1"/>
  <c r="Z141" i="8"/>
  <c r="Z143" i="8" s="1"/>
  <c r="Z147" i="8" s="1"/>
  <c r="F30" i="12"/>
  <c r="F17" i="12"/>
  <c r="H25" i="14" l="1"/>
  <c r="H30" i="14"/>
  <c r="H31" i="14" s="1"/>
  <c r="G25" i="14"/>
  <c r="G30" i="14"/>
  <c r="G31" i="14" s="1"/>
  <c r="Z149" i="8"/>
  <c r="AY141" i="8"/>
  <c r="G23" i="14"/>
  <c r="G71" i="14" s="1"/>
  <c r="G98" i="14" s="1"/>
  <c r="G30" i="12"/>
  <c r="I28" i="14"/>
  <c r="J18" i="14"/>
  <c r="J20" i="14" s="1"/>
  <c r="H21" i="14"/>
  <c r="I20" i="14"/>
  <c r="I24" i="14" s="1"/>
  <c r="I133" i="14"/>
  <c r="I135" i="14" s="1"/>
  <c r="H135" i="14"/>
  <c r="H96" i="14" s="1"/>
  <c r="H23" i="14"/>
  <c r="AA141" i="8"/>
  <c r="AA143" i="8" s="1"/>
  <c r="AA147" i="8" s="1"/>
  <c r="I25" i="14" l="1"/>
  <c r="I30" i="14"/>
  <c r="I31" i="14" s="1"/>
  <c r="AA149" i="8"/>
  <c r="AZ141" i="8"/>
  <c r="G17" i="12"/>
  <c r="J27" i="14"/>
  <c r="H30" i="12"/>
  <c r="K18" i="14"/>
  <c r="K133" i="14" s="1"/>
  <c r="J133" i="14"/>
  <c r="J139" i="14" s="1"/>
  <c r="J140" i="14" s="1"/>
  <c r="J100" i="14" s="1"/>
  <c r="I21" i="14"/>
  <c r="G77" i="14"/>
  <c r="G99" i="14" s="1"/>
  <c r="E23" i="12"/>
  <c r="G44" i="14"/>
  <c r="G45" i="14" s="1"/>
  <c r="I139" i="14"/>
  <c r="I140" i="14" s="1"/>
  <c r="I100" i="14" s="1"/>
  <c r="F21" i="12"/>
  <c r="H44" i="14"/>
  <c r="H45" i="14" s="1"/>
  <c r="H71" i="14"/>
  <c r="H98" i="14" s="1"/>
  <c r="I23" i="14"/>
  <c r="AB141" i="8"/>
  <c r="AB143" i="8" s="1"/>
  <c r="AB147" i="8" s="1"/>
  <c r="J24" i="14"/>
  <c r="J21" i="14"/>
  <c r="H17" i="12"/>
  <c r="I96" i="14"/>
  <c r="J25" i="14" l="1"/>
  <c r="K27" i="14"/>
  <c r="AB149" i="8"/>
  <c r="BA141" i="8"/>
  <c r="K20" i="14"/>
  <c r="J135" i="14"/>
  <c r="E19" i="12"/>
  <c r="G48" i="14"/>
  <c r="G49" i="14" s="1"/>
  <c r="H77" i="14"/>
  <c r="H99" i="14" s="1"/>
  <c r="F35" i="12" s="1"/>
  <c r="E21" i="12"/>
  <c r="E25" i="12"/>
  <c r="I44" i="14"/>
  <c r="I45" i="14" s="1"/>
  <c r="F23" i="12"/>
  <c r="F25" i="12"/>
  <c r="H48" i="14"/>
  <c r="H49" i="14" s="1"/>
  <c r="G25" i="12"/>
  <c r="F19" i="12"/>
  <c r="I71" i="14"/>
  <c r="I98" i="14" s="1"/>
  <c r="J23" i="14"/>
  <c r="AC141" i="8"/>
  <c r="AC143" i="8" s="1"/>
  <c r="AC147" i="8" s="1"/>
  <c r="K24" i="14"/>
  <c r="K21" i="14"/>
  <c r="K139" i="14"/>
  <c r="K140" i="14" s="1"/>
  <c r="K100" i="14" s="1"/>
  <c r="K135" i="14"/>
  <c r="E35" i="12"/>
  <c r="E28" i="12"/>
  <c r="I17" i="12"/>
  <c r="I30" i="12"/>
  <c r="J96" i="14"/>
  <c r="K25" i="14" l="1"/>
  <c r="AC149" i="8"/>
  <c r="BB141" i="8"/>
  <c r="G19" i="12"/>
  <c r="I77" i="14"/>
  <c r="J77" i="14" s="1"/>
  <c r="J99" i="14" s="1"/>
  <c r="I48" i="14"/>
  <c r="I49" i="14" s="1"/>
  <c r="E32" i="12"/>
  <c r="E41" i="12" s="1"/>
  <c r="E42" i="12" s="1"/>
  <c r="G21" i="12"/>
  <c r="G23" i="12"/>
  <c r="J71" i="14"/>
  <c r="J98" i="14" s="1"/>
  <c r="F28" i="12"/>
  <c r="F32" i="12" s="1"/>
  <c r="F41" i="12" s="1"/>
  <c r="F42" i="12" s="1"/>
  <c r="K23" i="14"/>
  <c r="AD141" i="8"/>
  <c r="AD143" i="8" s="1"/>
  <c r="AD147" i="8" s="1"/>
  <c r="K96" i="14"/>
  <c r="I99" i="14" l="1"/>
  <c r="G28" i="12" s="1"/>
  <c r="G32" i="12" s="1"/>
  <c r="G41" i="12" s="1"/>
  <c r="G42" i="12" s="1"/>
  <c r="AD149" i="8"/>
  <c r="BC141" i="8"/>
  <c r="K77" i="14"/>
  <c r="K99" i="14" s="1"/>
  <c r="G35" i="12"/>
  <c r="AY143" i="8"/>
  <c r="K71" i="14"/>
  <c r="K98" i="14" s="1"/>
  <c r="AE141" i="8"/>
  <c r="AE143" i="8" s="1"/>
  <c r="AE147" i="8" s="1"/>
  <c r="AE149" i="8" l="1"/>
  <c r="BD141" i="8"/>
  <c r="I35" i="12"/>
  <c r="AF141" i="8"/>
  <c r="AF143" i="8" s="1"/>
  <c r="AF147" i="8" s="1"/>
  <c r="H35" i="12"/>
  <c r="H28" i="12"/>
  <c r="AF149" i="8" l="1"/>
  <c r="BE141" i="8"/>
  <c r="I28" i="12"/>
  <c r="AG141" i="8"/>
  <c r="AG143" i="8" s="1"/>
  <c r="AG147" i="8" s="1"/>
  <c r="AG149" i="8" l="1"/>
  <c r="BF141" i="8"/>
  <c r="AH141" i="8"/>
  <c r="AH143" i="8" s="1"/>
  <c r="AH147" i="8" s="1"/>
  <c r="K28" i="14"/>
  <c r="K30" i="14" s="1"/>
  <c r="J28" i="14"/>
  <c r="J30" i="14" s="1"/>
  <c r="AH149" i="8" l="1"/>
  <c r="BG141" i="8"/>
  <c r="AI141" i="8"/>
  <c r="AI143" i="8" s="1"/>
  <c r="AI147" i="8" s="1"/>
  <c r="J44" i="14"/>
  <c r="J45" i="14" s="1"/>
  <c r="J48" i="14" s="1"/>
  <c r="J49" i="14" s="1"/>
  <c r="J31" i="14"/>
  <c r="K44" i="14"/>
  <c r="K45" i="14" s="1"/>
  <c r="K31" i="14"/>
  <c r="H25" i="12"/>
  <c r="H32" i="12" s="1"/>
  <c r="H41" i="12" s="1"/>
  <c r="H42" i="12" s="1"/>
  <c r="I21" i="12"/>
  <c r="AI149" i="8" l="1"/>
  <c r="BH141" i="8"/>
  <c r="BD143" i="8"/>
  <c r="BD147" i="8" s="1"/>
  <c r="BD149" i="8" s="1"/>
  <c r="AJ141" i="8"/>
  <c r="AJ143" i="8" s="1"/>
  <c r="AJ147" i="8" s="1"/>
  <c r="K48" i="14"/>
  <c r="K49" i="14" s="1"/>
  <c r="H19" i="12"/>
  <c r="I46" i="12"/>
  <c r="I48" i="12" s="1"/>
  <c r="I49" i="12" s="1"/>
  <c r="H21" i="12"/>
  <c r="I23" i="12"/>
  <c r="H23" i="12"/>
  <c r="I25" i="12"/>
  <c r="I32" i="12" s="1"/>
  <c r="I41" i="12" s="1"/>
  <c r="I42" i="12" s="1"/>
  <c r="C50" i="12" s="1"/>
  <c r="AJ149" i="8" l="1"/>
  <c r="BI141" i="8"/>
  <c r="BE143" i="8"/>
  <c r="BE147" i="8" s="1"/>
  <c r="BE149" i="8" s="1"/>
  <c r="AK141" i="8"/>
  <c r="AK143" i="8" s="1"/>
  <c r="AK147" i="8" s="1"/>
  <c r="I19" i="12"/>
  <c r="C47" i="12"/>
  <c r="C48" i="12" s="1"/>
  <c r="C55" i="12" s="1"/>
  <c r="I50" i="12"/>
  <c r="I51" i="12" s="1"/>
  <c r="D73" i="12" s="1"/>
  <c r="I55" i="12"/>
  <c r="AK149" i="8" l="1"/>
  <c r="BJ141" i="8"/>
  <c r="BF143" i="8"/>
  <c r="BF147" i="8" s="1"/>
  <c r="BF149" i="8" s="1"/>
  <c r="AZ143" i="8"/>
  <c r="AL141" i="8"/>
  <c r="AL143" i="8" s="1"/>
  <c r="C49" i="12"/>
  <c r="C51" i="12" s="1"/>
  <c r="C73" i="12" s="1"/>
  <c r="I53" i="12"/>
  <c r="I54" i="12" s="1"/>
  <c r="D88" i="12"/>
  <c r="D75" i="12"/>
  <c r="D77" i="12" s="1"/>
  <c r="D103" i="12" s="1"/>
  <c r="D83" i="12"/>
  <c r="D86" i="12"/>
  <c r="D81" i="12"/>
  <c r="D87" i="12"/>
  <c r="D82" i="12"/>
  <c r="L103" i="12" s="1"/>
  <c r="C75" i="12" l="1"/>
  <c r="C77" i="12" s="1"/>
  <c r="D94" i="12" s="1"/>
  <c r="C83" i="12"/>
  <c r="C86" i="12"/>
  <c r="C81" i="12"/>
  <c r="C87" i="12"/>
  <c r="C82" i="12"/>
  <c r="L94" i="12" s="1"/>
  <c r="C88" i="12"/>
  <c r="C53" i="12"/>
  <c r="C54" i="12" s="1"/>
  <c r="AM11" i="8" l="1"/>
  <c r="AM14" i="8" l="1"/>
  <c r="W10" i="10"/>
  <c r="AM20" i="8" l="1"/>
  <c r="AM26" i="8" s="1"/>
  <c r="AM31" i="8" s="1"/>
  <c r="AM15" i="8"/>
  <c r="AM21" i="8" l="1"/>
  <c r="AM27" i="8"/>
  <c r="AM35" i="8" l="1"/>
  <c r="AM98" i="8"/>
  <c r="AM32" i="8"/>
  <c r="AM38" i="8"/>
  <c r="AM116" i="8" l="1"/>
  <c r="AM146" i="8" s="1"/>
  <c r="BA116" i="8"/>
  <c r="AY11" i="8"/>
  <c r="BA11" i="8"/>
  <c r="AB10" i="10" s="1"/>
  <c r="AL11" i="8"/>
  <c r="AZ11" i="8"/>
  <c r="AZ14" i="8" l="1"/>
  <c r="AA10" i="10"/>
  <c r="AL14" i="8"/>
  <c r="V10" i="10"/>
  <c r="BA14" i="8"/>
  <c r="BA20" i="8" s="1"/>
  <c r="AY14" i="8"/>
  <c r="AY20" i="8" s="1"/>
  <c r="AL15" i="8" l="1"/>
  <c r="AL20" i="8"/>
  <c r="AL26" i="8" s="1"/>
  <c r="AL31" i="8" s="1"/>
  <c r="AZ20" i="8"/>
  <c r="AZ21" i="8" s="1"/>
  <c r="AZ15" i="8"/>
  <c r="BA26" i="8"/>
  <c r="BA31" i="8" s="1"/>
  <c r="BA15" i="8"/>
  <c r="AY15" i="8"/>
  <c r="AY26" i="8"/>
  <c r="AY31" i="8" s="1"/>
  <c r="AZ26" i="8" l="1"/>
  <c r="AZ31" i="8" s="1"/>
  <c r="AL21" i="8"/>
  <c r="AL27" i="8"/>
  <c r="AL35" i="8"/>
  <c r="AY21" i="8"/>
  <c r="BA21" i="8"/>
  <c r="AZ27" i="8" l="1"/>
  <c r="AL32" i="8"/>
  <c r="AL38" i="8"/>
  <c r="AL98" i="8"/>
  <c r="BJ98" i="8" s="1"/>
  <c r="BJ116" i="8" s="1"/>
  <c r="BA27" i="8"/>
  <c r="AY27" i="8"/>
  <c r="AZ35" i="8"/>
  <c r="AZ32" i="8"/>
  <c r="AZ38" i="8"/>
  <c r="BI98" i="8" l="1"/>
  <c r="BG98" i="8"/>
  <c r="BG116" i="8" s="1"/>
  <c r="BH98" i="8"/>
  <c r="BH116" i="8" s="1"/>
  <c r="AZ116" i="8"/>
  <c r="AZ147" i="8" s="1"/>
  <c r="AZ149" i="8" s="1"/>
  <c r="AL116" i="8"/>
  <c r="AL146" i="8" s="1"/>
  <c r="AY116" i="8"/>
  <c r="AY32" i="8"/>
  <c r="AY38" i="8"/>
  <c r="AY35" i="8"/>
  <c r="BA35" i="8"/>
  <c r="BA32" i="8"/>
  <c r="BA38" i="8"/>
  <c r="AL147" i="8" l="1"/>
  <c r="AL149" i="8" s="1"/>
  <c r="BJ146" i="8"/>
  <c r="BI146" i="8"/>
  <c r="BH146" i="8"/>
  <c r="BG146" i="8"/>
  <c r="AY147" i="8"/>
  <c r="AY149" i="8" s="1"/>
  <c r="BG143" i="8"/>
  <c r="BI116" i="8"/>
  <c r="BL98" i="8"/>
  <c r="BA143" i="8"/>
  <c r="BA147" i="8" s="1"/>
  <c r="BA149" i="8" s="1"/>
  <c r="AM141" i="8" l="1"/>
  <c r="AM143" i="8" s="1"/>
  <c r="AM147" i="8" s="1"/>
  <c r="AM149" i="8" s="1"/>
  <c r="BG147" i="8"/>
  <c r="BG149" i="8" s="1"/>
  <c r="BH143" i="8"/>
  <c r="BH147" i="8" s="1"/>
  <c r="BH149" i="8" s="1"/>
  <c r="BL116" i="8"/>
  <c r="BB143" i="8"/>
  <c r="BB147" i="8" s="1"/>
  <c r="BB149" i="8" s="1"/>
  <c r="AN141" i="8" l="1"/>
  <c r="AN143" i="8" s="1"/>
  <c r="AN147" i="8" s="1"/>
  <c r="AN149" i="8" s="1"/>
  <c r="BI143" i="8"/>
  <c r="BI147" i="8" s="1"/>
  <c r="BI149" i="8" s="1"/>
  <c r="BC143" i="8"/>
  <c r="BC147" i="8" s="1"/>
  <c r="BC149" i="8" s="1"/>
  <c r="AO141" i="8" l="1"/>
  <c r="AO143" i="8" s="1"/>
  <c r="AO147" i="8" s="1"/>
  <c r="AO149" i="8" s="1"/>
  <c r="BJ143" i="8"/>
  <c r="BJ147" i="8" s="1"/>
  <c r="BJ149" i="8" s="1"/>
  <c r="G88" i="14" l="1"/>
  <c r="H88" i="14" l="1"/>
  <c r="I88" i="14" l="1"/>
  <c r="J88" i="14" l="1"/>
  <c r="K36" i="14"/>
  <c r="K40" i="14" s="1"/>
  <c r="H36" i="14"/>
  <c r="H40" i="14" s="1"/>
  <c r="G36" i="14"/>
  <c r="G40" i="14" s="1"/>
  <c r="I36" i="14"/>
  <c r="J36" i="14"/>
  <c r="J40" i="14" s="1"/>
  <c r="K88" i="14"/>
  <c r="I40" i="14" l="1"/>
  <c r="I95" i="14" s="1"/>
  <c r="I102" i="14" s="1"/>
  <c r="H191" i="14"/>
  <c r="H41" i="14"/>
  <c r="J191" i="14"/>
  <c r="J95" i="14"/>
  <c r="J102" i="14" s="1"/>
  <c r="J145" i="14"/>
  <c r="J41" i="14"/>
  <c r="H95" i="14"/>
  <c r="H102" i="14" s="1"/>
  <c r="H145" i="14"/>
  <c r="G41" i="14"/>
  <c r="G191" i="14"/>
  <c r="G95" i="14"/>
  <c r="G102" i="14" s="1"/>
  <c r="K145" i="14"/>
  <c r="K191" i="14"/>
  <c r="K95" i="14"/>
  <c r="K102" i="14" s="1"/>
  <c r="K41" i="14"/>
  <c r="G145" i="14"/>
  <c r="H201" i="14" l="1"/>
  <c r="H200" i="14" s="1"/>
  <c r="I41" i="14"/>
  <c r="I145" i="14"/>
  <c r="I191" i="14"/>
  <c r="I201" i="14" s="1"/>
  <c r="G196" i="14"/>
  <c r="G193" i="14"/>
  <c r="K201" i="14"/>
  <c r="H204" i="14"/>
  <c r="H205" i="14" s="1"/>
  <c r="H192" i="14"/>
  <c r="G146" i="14"/>
  <c r="G148" i="14" s="1"/>
  <c r="H144" i="14" s="1"/>
  <c r="I200" i="14" l="1"/>
  <c r="J201" i="14"/>
  <c r="J200" i="14" s="1"/>
  <c r="I192" i="14"/>
  <c r="H195" i="14"/>
  <c r="H196" i="14" s="1"/>
  <c r="H193" i="14"/>
  <c r="G110" i="14"/>
  <c r="G157" i="14" s="1"/>
  <c r="G158" i="14" s="1"/>
  <c r="G162" i="14" s="1"/>
  <c r="G164" i="14" s="1"/>
  <c r="H161" i="14" s="1"/>
  <c r="H146" i="14"/>
  <c r="H148" i="14" s="1"/>
  <c r="I144" i="14" s="1"/>
  <c r="I203" i="14"/>
  <c r="H206" i="14"/>
  <c r="I204" i="14"/>
  <c r="G80" i="14" l="1"/>
  <c r="G83" i="14" s="1"/>
  <c r="G165" i="14"/>
  <c r="I205" i="14"/>
  <c r="I206" i="14" s="1"/>
  <c r="H110" i="14"/>
  <c r="H157" i="14" s="1"/>
  <c r="I146" i="14"/>
  <c r="I148" i="14" s="1"/>
  <c r="J144" i="14" s="1"/>
  <c r="K200" i="14"/>
  <c r="K204" i="14" s="1"/>
  <c r="J204" i="14"/>
  <c r="J192" i="14"/>
  <c r="I195" i="14"/>
  <c r="I196" i="14" s="1"/>
  <c r="I193" i="14"/>
  <c r="G175" i="14" l="1"/>
  <c r="G176" i="14" s="1"/>
  <c r="G171" i="14" s="1"/>
  <c r="G108" i="14"/>
  <c r="G112" i="14" s="1"/>
  <c r="G114" i="14" s="1"/>
  <c r="G69" i="14" s="1"/>
  <c r="G185" i="14" s="1"/>
  <c r="J203" i="14"/>
  <c r="J205" i="14" s="1"/>
  <c r="J206" i="14" s="1"/>
  <c r="H155" i="14"/>
  <c r="H158" i="14" s="1"/>
  <c r="H162" i="14" s="1"/>
  <c r="H164" i="14" s="1"/>
  <c r="K192" i="14"/>
  <c r="J193" i="14"/>
  <c r="J195" i="14"/>
  <c r="J196" i="14" s="1"/>
  <c r="J146" i="14"/>
  <c r="J148" i="14" s="1"/>
  <c r="K144" i="14" s="1"/>
  <c r="I110" i="14"/>
  <c r="I157" i="14" s="1"/>
  <c r="G75" i="14" l="1"/>
  <c r="G89" i="14" s="1"/>
  <c r="K203" i="14"/>
  <c r="K205" i="14" s="1"/>
  <c r="K206" i="14" s="1"/>
  <c r="H165" i="14"/>
  <c r="I161" i="14"/>
  <c r="H80" i="14"/>
  <c r="J110" i="14"/>
  <c r="J157" i="14" s="1"/>
  <c r="K146" i="14"/>
  <c r="K110" i="14" s="1"/>
  <c r="K157" i="14" s="1"/>
  <c r="K195" i="14"/>
  <c r="K196" i="14" s="1"/>
  <c r="K193" i="14"/>
  <c r="H83" i="14" l="1"/>
  <c r="H175" i="14"/>
  <c r="H108" i="14"/>
  <c r="H112" i="14" s="1"/>
  <c r="H114" i="14" s="1"/>
  <c r="H69" i="14" s="1"/>
  <c r="K148" i="14"/>
  <c r="H176" i="14" l="1"/>
  <c r="H171" i="14" s="1"/>
  <c r="H185" i="14"/>
  <c r="I155" i="14"/>
  <c r="I158" i="14" s="1"/>
  <c r="I162" i="14" s="1"/>
  <c r="I164" i="14" s="1"/>
  <c r="H75" i="14"/>
  <c r="H89" i="14" s="1"/>
  <c r="J161" i="14" l="1"/>
  <c r="I165" i="14"/>
  <c r="I80" i="14"/>
  <c r="I83" i="14" l="1"/>
  <c r="I175" i="14"/>
  <c r="I108" i="14"/>
  <c r="I112" i="14" s="1"/>
  <c r="I114" i="14" s="1"/>
  <c r="I69" i="14" s="1"/>
  <c r="I185" i="14" l="1"/>
  <c r="I75" i="14"/>
  <c r="I89" i="14" s="1"/>
  <c r="J155" i="14"/>
  <c r="J158" i="14" s="1"/>
  <c r="J162" i="14" s="1"/>
  <c r="J164" i="14" s="1"/>
  <c r="I176" i="14"/>
  <c r="I171" i="14" s="1"/>
  <c r="J165" i="14" l="1"/>
  <c r="J80" i="14"/>
  <c r="K161" i="14"/>
  <c r="J83" i="14" l="1"/>
  <c r="J175" i="14"/>
  <c r="J108" i="14"/>
  <c r="J112" i="14" s="1"/>
  <c r="J114" i="14" s="1"/>
  <c r="J69" i="14" s="1"/>
  <c r="J75" i="14" l="1"/>
  <c r="J89" i="14" s="1"/>
  <c r="K155" i="14"/>
  <c r="K158" i="14" s="1"/>
  <c r="K162" i="14" s="1"/>
  <c r="K164" i="14" s="1"/>
  <c r="J185" i="14"/>
  <c r="J176" i="14"/>
  <c r="J171" i="14" s="1"/>
  <c r="K80" i="14" l="1"/>
  <c r="K165" i="14"/>
  <c r="K108" i="14" l="1"/>
  <c r="K112" i="14" s="1"/>
  <c r="K114" i="14" s="1"/>
  <c r="K69" i="14" s="1"/>
  <c r="K175" i="14"/>
  <c r="K176" i="14" s="1"/>
  <c r="K171" i="14" s="1"/>
  <c r="K83" i="14"/>
  <c r="K75" i="14" l="1"/>
  <c r="K89" i="14" s="1"/>
  <c r="K185"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tc={0DF19354-479D-46FC-9A52-B4B9B52A764D}</author>
  </authors>
  <commentList>
    <comment ref="AE142" authorId="0" shapeId="0" xr:uid="{0DF19354-479D-46FC-9A52-B4B9B52A764D}">
      <text>
        <t>[Threaded comment]
Your version of Excel allows you to read this threaded comment; however, any edits to it will get removed if the file is opened in a newer version of Excel. Learn more: https://go.microsoft.com/fwlink/?linkid=870924
Comment:
    Rounding Adjustment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7A2FC6D1-536F-436C-91AF-4AA7C24B849D}">
      <text>
        <r>
          <rPr>
            <sz val="9"/>
            <color indexed="81"/>
            <rFont val="Tahoma"/>
            <family val="2"/>
          </rPr>
          <t>Front cover of Apple 2019 10K
As of October 18, 2019</t>
        </r>
      </text>
    </comment>
    <comment ref="B72" authorId="0" shapeId="0" xr:uid="{6439A3EF-3E3E-42F8-8BFB-2C48CCCD7462}">
      <text>
        <r>
          <rPr>
            <sz val="9"/>
            <color indexed="81"/>
            <rFont val="Tahoma"/>
            <family val="2"/>
          </rPr>
          <t>Includes vendor non-trade receivables</t>
        </r>
      </text>
    </comment>
    <comment ref="B74"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30" authorId="0" shapeId="0" xr:uid="{2219FFFC-2383-4581-B375-CA03D19C612B}">
      <text>
        <r>
          <rPr>
            <sz val="9"/>
            <color indexed="81"/>
            <rFont val="Tahoma"/>
            <family val="2"/>
          </rPr>
          <t>WSP estimate</t>
        </r>
      </text>
    </comment>
    <comment ref="B146" authorId="0" shapeId="0" xr:uid="{7085AA9A-84A7-492A-B8CA-274A5CE6CD98}">
      <text>
        <r>
          <rPr>
            <sz val="9"/>
            <color indexed="81"/>
            <rFont val="Tahoma"/>
            <family val="2"/>
          </rPr>
          <t>Statement of shareholders equity schedule, p.41 Apple 2018 10K</t>
        </r>
      </text>
    </comment>
    <comment ref="B147" authorId="0" shapeId="0" xr:uid="{BBB1E183-5B22-4E4E-B78A-A975E679C8A1}">
      <text>
        <r>
          <rPr>
            <sz val="9"/>
            <color indexed="81"/>
            <rFont val="Tahoma"/>
            <family val="2"/>
          </rPr>
          <t>Statement of shareholders equity schedule, p.41 Apple 2018 10K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9"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9"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66"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<sst xmlns="http://schemas.openxmlformats.org/spreadsheetml/2006/main" count="829" uniqueCount="571">
  <si>
    <t>FYE</t>
  </si>
  <si>
    <t>Quarterly</t>
  </si>
  <si>
    <t>1Q24</t>
  </si>
  <si>
    <t>2Q24</t>
  </si>
  <si>
    <t>3Q24</t>
  </si>
  <si>
    <t>4Q24</t>
  </si>
  <si>
    <t>1Q23</t>
  </si>
  <si>
    <t>2Q23</t>
  </si>
  <si>
    <t>3Q23</t>
  </si>
  <si>
    <t>4Q23</t>
  </si>
  <si>
    <t>LTM</t>
  </si>
  <si>
    <t>EBITDA</t>
  </si>
  <si>
    <t>Adjusted EBITDA</t>
  </si>
  <si>
    <t>Total Revenue</t>
  </si>
  <si>
    <t>Cost of Sales</t>
  </si>
  <si>
    <t>Accounts receivable</t>
  </si>
  <si>
    <t>Inventories</t>
  </si>
  <si>
    <t>Accounts payable</t>
  </si>
  <si>
    <t>Net income</t>
  </si>
  <si>
    <t>Changes in assets and liabilities:</t>
  </si>
  <si>
    <t>Cash-Flows Statement</t>
  </si>
  <si>
    <t>Other current assets</t>
  </si>
  <si>
    <t>Debt</t>
  </si>
  <si>
    <t>Total stockholders' equity</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</si>
  <si>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</si>
  <si>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</si>
  <si>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</si>
  <si>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</si>
  <si>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</si>
  <si>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</si>
  <si>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</si>
  <si>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</si>
  <si>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</si>
  <si>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</si>
  <si>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</si>
  <si>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</si>
  <si>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</si>
  <si>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</si>
  <si>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</si>
  <si>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</si>
  <si>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</si>
  <si>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</si>
  <si>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</si>
  <si>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</si>
  <si>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</si>
  <si>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</si>
  <si>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</si>
  <si>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</si>
  <si>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</si>
  <si>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</si>
  <si>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</si>
  <si>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</si>
  <si>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</si>
  <si>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</si>
  <si>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</si>
  <si>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</si>
  <si>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</si>
  <si>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</si>
  <si>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</si>
  <si>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</si>
  <si>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</si>
  <si>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</si>
  <si>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</si>
  <si>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</si>
  <si>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</si>
  <si>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</si>
  <si>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</si>
  <si>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</si>
  <si>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</si>
  <si>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</si>
  <si>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</si>
  <si>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Summary Debt (BS):</t>
  </si>
  <si>
    <t>CPLTD</t>
  </si>
  <si>
    <t>LTD</t>
  </si>
  <si>
    <t>Total Shareholder Equity</t>
  </si>
  <si>
    <t>Total Book Capitalization</t>
  </si>
  <si>
    <t>Total Leverage</t>
  </si>
  <si>
    <t>Net Leverage (C&amp;CE)</t>
  </si>
  <si>
    <t xml:space="preserve">Interest Coverage </t>
  </si>
  <si>
    <t>Debt Service Coverage</t>
  </si>
  <si>
    <t>Fixed Charge Coverage</t>
  </si>
  <si>
    <t>Debt-to-Book Capitalization</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</si>
  <si>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</si>
  <si>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</si>
  <si>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</si>
  <si>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</si>
  <si>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</si>
  <si>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</si>
  <si>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</si>
  <si>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</si>
  <si>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</si>
  <si>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</si>
  <si>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Consolidated Revenue</t>
  </si>
  <si>
    <t>Adjustments to reconcile net income:</t>
  </si>
  <si>
    <t>Balance Check</t>
  </si>
  <si>
    <t>Net Change in Cash</t>
  </si>
  <si>
    <t>Inventory</t>
  </si>
  <si>
    <t>Cash paid during the period for:</t>
  </si>
  <si>
    <t xml:space="preserve">Provision for taxes </t>
  </si>
  <si>
    <t xml:space="preserve">1) Includes $50MM cash recorded within other current assets on the Consolidated Condensed Balance Sheets relating to Altera cash held for sale. </t>
  </si>
  <si>
    <t>3Q25</t>
  </si>
  <si>
    <t>Net Margin (%)</t>
  </si>
  <si>
    <t>Basic shares</t>
  </si>
  <si>
    <t>Basic EPS</t>
  </si>
  <si>
    <t>Fully Diluted Shares</t>
  </si>
  <si>
    <t>Diluted EPS</t>
  </si>
  <si>
    <t>Segment Anaysis</t>
  </si>
  <si>
    <t>Total Net Revenue</t>
  </si>
  <si>
    <t>(-) Research and Development (R&amp;D)</t>
  </si>
  <si>
    <t xml:space="preserve">(+/-) Other </t>
  </si>
  <si>
    <t>Credit Metrics</t>
  </si>
  <si>
    <t>Company name</t>
  </si>
  <si>
    <t>Select an operating scenario:</t>
  </si>
  <si>
    <t>Base case</t>
  </si>
  <si>
    <t>Ticker</t>
  </si>
  <si>
    <t>Circ break 1=off, 0=on</t>
  </si>
  <si>
    <t>Latest closing share price</t>
  </si>
  <si>
    <t>Latest closing share price date</t>
  </si>
  <si>
    <t>Latest fiscal year end date</t>
  </si>
  <si>
    <t>Shares outstanding (millions)</t>
  </si>
  <si>
    <t xml:space="preserve">Fiscal year  </t>
  </si>
  <si>
    <t>Fiscal year end date</t>
  </si>
  <si>
    <t>Plug = Revenue - Gross Profit</t>
  </si>
  <si>
    <t>Revenue x Gross Profit Margin forecast</t>
  </si>
  <si>
    <t>Revenue x R&amp;D % of sales forecast</t>
  </si>
  <si>
    <t>Revenue x SG&amp;A % of sales forecast</t>
  </si>
  <si>
    <t>Operating profit (EBIT)</t>
  </si>
  <si>
    <t>Interest income</t>
  </si>
  <si>
    <t>Reference from interest expense schedule</t>
  </si>
  <si>
    <t>Straight-line</t>
  </si>
  <si>
    <t>Pretax profit</t>
  </si>
  <si>
    <t>EBIT + interest income less interest expense less other expense</t>
  </si>
  <si>
    <t>Pre-tax Profit x Tax Rate forecast</t>
  </si>
  <si>
    <t>Pre-tax Profit less taxes</t>
  </si>
  <si>
    <t>Depreciation &amp; amortization</t>
  </si>
  <si>
    <t>Reference from D&amp;A schedule</t>
  </si>
  <si>
    <t>EBIT + D&amp;A</t>
  </si>
  <si>
    <t>Stock based compensation</t>
  </si>
  <si>
    <t>EBITDA + Stock-based compensation</t>
  </si>
  <si>
    <t>Growth rates &amp; margins</t>
  </si>
  <si>
    <t>Revenue growth</t>
  </si>
  <si>
    <t>Gross profit margin</t>
  </si>
  <si>
    <t>R&amp;D % of sales</t>
  </si>
  <si>
    <t>SG&amp;A % of sales</t>
  </si>
  <si>
    <t>Tax rate</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</si>
  <si>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</si>
  <si>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</si>
  <si>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</si>
  <si>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</si>
  <si>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</si>
  <si>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</si>
  <si>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</si>
  <si>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Other current liabilities</t>
  </si>
  <si>
    <t>Deferred revenue (current)</t>
  </si>
  <si>
    <t>Commercial paper / revolver</t>
  </si>
  <si>
    <t>Reference EOP balance from CP/revolver schedule</t>
  </si>
  <si>
    <t>Long term debt (includes current portion)</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</si>
  <si>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</si>
  <si>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</si>
  <si>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</si>
  <si>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</si>
  <si>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</si>
  <si>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</si>
  <si>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</si>
  <si>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</si>
  <si>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Reference from the I/S</t>
  </si>
  <si>
    <t>Decreases / (Increases) in working capital assets</t>
  </si>
  <si>
    <t>Increases / (Decreases) in working capital liabilities</t>
  </si>
  <si>
    <t>Reference from schedule NOT the B/S: Only include 'Additions' (as outflow)</t>
  </si>
  <si>
    <t>Capital expenditures</t>
  </si>
  <si>
    <t>Long term debt</t>
  </si>
  <si>
    <t>Commercial paper/ Revolver</t>
  </si>
  <si>
    <t>Reference from B/S</t>
  </si>
  <si>
    <t>Share repurchases</t>
  </si>
  <si>
    <t>Common dividends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</si>
  <si>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</si>
  <si>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</si>
  <si>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</si>
  <si>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</si>
  <si>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</si>
  <si>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</si>
  <si>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</si>
  <si>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</si>
  <si>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</si>
  <si>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</si>
  <si>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</si>
  <si>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D&amp;A related to PP&amp;E as a % of capex</t>
  </si>
  <si>
    <t>Revenue x 'as % of revenue' assumption</t>
  </si>
  <si>
    <t>as % of revenue</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</si>
  <si>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</si>
  <si>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</si>
  <si>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</si>
  <si>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</si>
  <si>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</si>
  <si>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</si>
  <si>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Referenced from balance sheet</t>
  </si>
  <si>
    <t>RETAINED EARNINGS</t>
  </si>
  <si>
    <t>Plus: Net income</t>
  </si>
  <si>
    <t>Reference from income statement</t>
  </si>
  <si>
    <t>Less: Dividends</t>
  </si>
  <si>
    <t>Less: Repurchases</t>
  </si>
  <si>
    <t>BOP + net income - dividends - repurchases</t>
  </si>
  <si>
    <t>REVOLVER (MODEL PLUG)</t>
  </si>
  <si>
    <t>Revolver needs analysis</t>
  </si>
  <si>
    <t>Cash at beginning of period (BOP)</t>
  </si>
  <si>
    <t>Reference prior period EOP from B/S</t>
  </si>
  <si>
    <t>Less: Minimum cash balance</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</si>
  <si>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</si>
  <si>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</si>
  <si>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</si>
  <si>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</si>
  <si>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</si>
  <si>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</si>
  <si>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</si>
  <si>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</si>
  <si>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</si>
  <si>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</si>
  <si>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</si>
  <si>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</si>
  <si>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</si>
  <si>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</si>
  <si>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</si>
  <si>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</si>
  <si>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</si>
  <si>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</si>
  <si>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</si>
  <si>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</si>
  <si>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</si>
  <si>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</si>
  <si>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</si>
  <si>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</si>
  <si>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</si>
  <si>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</si>
  <si>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</si>
  <si>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</si>
  <si>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</si>
  <si>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</si>
  <si>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</si>
  <si>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</si>
  <si>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</si>
  <si>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</si>
  <si>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</si>
  <si>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</si>
  <si>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</si>
  <si>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</si>
  <si>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</si>
  <si>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</si>
  <si>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</si>
  <si>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</si>
  <si>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</si>
  <si>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</si>
  <si>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</si>
  <si>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</si>
  <si>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</si>
  <si>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</si>
  <si>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</si>
  <si>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</si>
  <si>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</si>
  <si>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</si>
  <si>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</si>
  <si>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</si>
  <si>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</si>
  <si>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</si>
  <si>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Depreciation and Amortization</t>
  </si>
  <si>
    <t>Capital Expenditures</t>
  </si>
  <si>
    <t>Cash paid for income taxes, net</t>
  </si>
  <si>
    <t>Cash paid for interest</t>
  </si>
  <si>
    <t>Adjusted Cash Position BOP</t>
  </si>
  <si>
    <t>Adjusted Cash Position EOP</t>
  </si>
  <si>
    <t>(-) Selling, General &amp; Administrative (SG&amp;A)</t>
  </si>
  <si>
    <t xml:space="preserve">(-) Cash Interest </t>
  </si>
  <si>
    <t>WACC Buildup</t>
  </si>
  <si>
    <t>Cost of capital assumptions</t>
  </si>
  <si>
    <t>Source</t>
  </si>
  <si>
    <t>Cost of debt</t>
  </si>
  <si>
    <t>From terminal year of UFCF forecast</t>
  </si>
  <si>
    <t>Cost of debt (after tax)</t>
  </si>
  <si>
    <t>Cost of debt x (1 - tax rate)</t>
  </si>
  <si>
    <t xml:space="preserve">Risk free rate </t>
  </si>
  <si>
    <t>WSJ: 10 Year US Treasury Yield</t>
  </si>
  <si>
    <t>Bloomberg 2 year weekly adjusted beta</t>
  </si>
  <si>
    <t>Market risk premium</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</si>
  <si>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</si>
  <si>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</si>
  <si>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</si>
  <si>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</si>
  <si>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</si>
  <si>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</si>
  <si>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</si>
  <si>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</si>
  <si>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</si>
  <si>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</si>
  <si>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</si>
  <si>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</si>
  <si>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</si>
  <si>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</si>
  <si>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</si>
  <si>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</si>
  <si>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</si>
  <si>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</si>
  <si>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</si>
  <si>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</si>
  <si>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</si>
  <si>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</si>
  <si>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</si>
  <si>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</si>
  <si>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</si>
  <si>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</si>
  <si>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</si>
  <si>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</si>
  <si>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</si>
  <si>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</si>
  <si>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</si>
  <si>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</si>
  <si>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</si>
  <si>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</si>
  <si>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</si>
  <si>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</si>
  <si>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</si>
  <si>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</si>
  <si>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</si>
  <si>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</si>
  <si>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</si>
  <si>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</si>
  <si>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</si>
  <si>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</si>
  <si>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</si>
  <si>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</si>
  <si>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</si>
  <si>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</si>
  <si>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</si>
  <si>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</si>
  <si>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</si>
  <si>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</si>
  <si>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</si>
  <si>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</si>
  <si>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</si>
  <si>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</si>
  <si>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</si>
  <si>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</si>
  <si>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</si>
  <si>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</si>
  <si>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</si>
  <si>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</si>
  <si>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</si>
  <si>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</si>
  <si>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</si>
  <si>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</si>
  <si>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</si>
  <si>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</si>
  <si>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</si>
  <si>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</si>
  <si>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</si>
  <si>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</si>
  <si>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</si>
  <si>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</si>
  <si>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</si>
  <si>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</si>
  <si>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</si>
  <si>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</si>
  <si>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</si>
  <si>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</si>
  <si>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</si>
  <si>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</si>
  <si>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</si>
  <si>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</si>
  <si>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</si>
  <si>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</si>
  <si>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</si>
  <si>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</si>
  <si>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</si>
  <si>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</si>
  <si>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</si>
  <si>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</si>
  <si>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</si>
  <si>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</si>
  <si>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</si>
  <si>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</si>
  <si>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</si>
  <si>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</si>
  <si>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</si>
  <si>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</si>
  <si>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</si>
  <si>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</si>
  <si>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</si>
  <si>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</si>
  <si>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</si>
  <si>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</si>
  <si>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</si>
  <si>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</si>
  <si>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</si>
  <si>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</si>
  <si>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</si>
  <si>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</si>
  <si>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</si>
  <si>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</si>
  <si>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</si>
  <si>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</si>
  <si>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</si>
  <si>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</si>
  <si>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</si>
  <si>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</si>
  <si>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</si>
  <si>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</si>
  <si>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</si>
  <si>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</si>
  <si>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</si>
  <si>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</si>
  <si>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</si>
  <si>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</si>
  <si>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</si>
  <si>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</si>
  <si>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</si>
  <si>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</si>
  <si>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</si>
  <si>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</si>
  <si>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</si>
  <si>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</si>
  <si>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</si>
  <si>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</si>
  <si>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</si>
  <si>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</si>
  <si>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 mm except per share</t>
  </si>
  <si>
    <t>Actuals</t>
  </si>
  <si>
    <t>Commentary</t>
  </si>
  <si>
    <t>Income Statement</t>
  </si>
  <si>
    <t xml:space="preserve">Balance Sheet </t>
  </si>
  <si>
    <t>Cash from Operating Activities</t>
  </si>
  <si>
    <t>Cash from Investing Activities</t>
  </si>
  <si>
    <t>Cash from Financing Activities</t>
  </si>
  <si>
    <t>Supporting Schedules</t>
  </si>
  <si>
    <t>3-Statement Model</t>
  </si>
  <si>
    <t>Historical Financials</t>
  </si>
  <si>
    <t>Fiscal Period</t>
  </si>
  <si>
    <t>Fiscal Period End Date</t>
  </si>
  <si>
    <t>TOTAL DEPRECIATION &amp; AMORTIZATION</t>
  </si>
  <si>
    <t xml:space="preserve">$ and shares in millions, except per share data </t>
  </si>
  <si>
    <t>Margin (%)</t>
  </si>
  <si>
    <t xml:space="preserve">Other expense, net </t>
  </si>
  <si>
    <t xml:space="preserve">Cost of Sales </t>
  </si>
  <si>
    <t xml:space="preserve">Taxes </t>
  </si>
  <si>
    <t>Consensus</t>
  </si>
  <si>
    <t>Interest Income</t>
  </si>
  <si>
    <t>D&amp;A</t>
  </si>
  <si>
    <t>SBC</t>
  </si>
  <si>
    <t>As of 3Q25 (period ended x/xx/xx)</t>
  </si>
  <si>
    <t>Selling, General &amp; Administrative (SG&amp;A)</t>
  </si>
  <si>
    <t>Research &amp; Development (R&amp;D)</t>
  </si>
  <si>
    <t>D&amp;A related to PP&amp;E as a % of capex Step-Up</t>
  </si>
  <si>
    <t>Interest Expense</t>
  </si>
  <si>
    <t>Other, Net</t>
  </si>
  <si>
    <t>Remeasurement of Warrant Liability</t>
  </si>
  <si>
    <t>Beyond Meat, Inc. (NASDAQ: BYND)</t>
  </si>
  <si>
    <t>Operating Profit</t>
  </si>
  <si>
    <t>Earning Before Taxes</t>
  </si>
  <si>
    <t>EBT Margin (%)</t>
  </si>
  <si>
    <t>1Q21</t>
  </si>
  <si>
    <t>2Q21</t>
  </si>
  <si>
    <t>3Q21</t>
  </si>
  <si>
    <t>4Q21</t>
  </si>
  <si>
    <t>1Q18</t>
  </si>
  <si>
    <t>2Q18</t>
  </si>
  <si>
    <t>3Q18</t>
  </si>
  <si>
    <t>4Q18</t>
  </si>
  <si>
    <t>1Q19</t>
  </si>
  <si>
    <t>2Q19</t>
  </si>
  <si>
    <t>3Q19</t>
  </si>
  <si>
    <t>4Q19</t>
  </si>
  <si>
    <t>1Q20</t>
  </si>
  <si>
    <t>2Q20</t>
  </si>
  <si>
    <t>3Q20</t>
  </si>
  <si>
    <t>4Q20</t>
  </si>
  <si>
    <t>Cash and Cash Equivalents</t>
  </si>
  <si>
    <t>Accounts Receivables</t>
  </si>
  <si>
    <t>Current Assets</t>
  </si>
  <si>
    <t>Non-Current Assets</t>
  </si>
  <si>
    <t>Operating Lease Right-of-use Assets</t>
  </si>
  <si>
    <t>Property, Plant and Equipment, Net</t>
  </si>
  <si>
    <t>Investments in Unconsolidated Joint Ventures</t>
  </si>
  <si>
    <t>Other Non-current Assets (Net)</t>
  </si>
  <si>
    <t>Prepaid lease Costs, non-current</t>
  </si>
  <si>
    <t>Accrued Expenses and Other Current Liabilities</t>
  </si>
  <si>
    <t>Current Portion of Operating Lease Liabilities</t>
  </si>
  <si>
    <t>Operating Lease Liabilities, Net of Current Portion</t>
  </si>
  <si>
    <t>Preferred Stock Convertible</t>
  </si>
  <si>
    <t>Common Stock - Par Value</t>
  </si>
  <si>
    <t>Additional Paid in Capital</t>
  </si>
  <si>
    <t>Accumulated Deficit</t>
  </si>
  <si>
    <t>Accumulated Other Comprehensive (Loss) income</t>
  </si>
  <si>
    <t>Convertible Senior Notes, Net</t>
  </si>
  <si>
    <t>Restricted Cash</t>
  </si>
  <si>
    <t>Non-Current Liabilities</t>
  </si>
  <si>
    <t>Equity in Losses of Unconsolidated Joint Ventures</t>
  </si>
  <si>
    <t>Share-based Compensation Expense</t>
  </si>
  <si>
    <t>Non-cash Lease Expense</t>
  </si>
  <si>
    <t>Prepaid Expense and Other Assets</t>
  </si>
  <si>
    <t>Purchase of Property Plant, and Equipment</t>
  </si>
  <si>
    <t>Asset Acquisitions</t>
  </si>
  <si>
    <t>Purchases of Property, Plant and Equipment, Held for Sale</t>
  </si>
  <si>
    <t>Proceeds from Sale of Fixed Assets</t>
  </si>
  <si>
    <t>Payments for Investment in Joint Venture</t>
  </si>
  <si>
    <t>Proceeds from (payments of) Security Deposits</t>
  </si>
  <si>
    <t>Amortization of Debt Issuance Costs</t>
  </si>
  <si>
    <t>Equity in Losses of Unconsolidated Joint Venture</t>
  </si>
  <si>
    <t xml:space="preserve">Proceeds from note receivable on assets previously held for sale	</t>
  </si>
  <si>
    <t xml:space="preserve">Prepaid lease costs, non-current	</t>
  </si>
  <si>
    <t>BYND</t>
  </si>
  <si>
    <t>Beyond Meat, Inc.</t>
  </si>
  <si>
    <t>Retail</t>
  </si>
  <si>
    <t>Foodservice</t>
  </si>
  <si>
    <t>Total Net U.S Revenue</t>
  </si>
  <si>
    <t>Total Net International Revenue</t>
  </si>
  <si>
    <t>Net Revenues by Channel</t>
  </si>
  <si>
    <t>Revenue by Channel: U.S</t>
  </si>
  <si>
    <t>Revenue by Channel: International</t>
  </si>
  <si>
    <t>Restricted Cash, Current</t>
  </si>
  <si>
    <t>Restricted Cash, Non-Current</t>
  </si>
  <si>
    <r>
      <t xml:space="preserve">Prepaid Expenses and Other Current Assets </t>
    </r>
    <r>
      <rPr>
        <vertAlign val="superscript"/>
        <sz val="9"/>
        <rFont val="Calibri"/>
        <family val="2"/>
      </rPr>
      <t>(1)</t>
    </r>
  </si>
  <si>
    <r>
      <t xml:space="preserve">2) </t>
    </r>
    <r>
      <rPr>
        <b/>
        <i/>
        <sz val="8"/>
        <rFont val="Calibri"/>
        <family val="2"/>
      </rPr>
      <t>Accrued Expenses, Other Current Liabilities, and Other Payables consists of</t>
    </r>
    <r>
      <rPr>
        <i/>
        <sz val="8"/>
        <rFont val="Calibri"/>
        <family val="2"/>
      </rPr>
      <t>: Accrued Expenses and Other Current Liabilities + Accrued Bonus + Stock warrant liability + Accrued Litigation Settlement + Wages Payable.</t>
    </r>
  </si>
  <si>
    <r>
      <t xml:space="preserve">3) </t>
    </r>
    <r>
      <rPr>
        <b/>
        <i/>
        <sz val="8"/>
        <rFont val="Calibri"/>
        <family val="2"/>
      </rPr>
      <t>Consolidated Short-Term Borrowings consists of</t>
    </r>
    <r>
      <rPr>
        <i/>
        <sz val="8"/>
        <rFont val="Calibri"/>
        <family val="2"/>
      </rPr>
      <t>: Short-term borrowings under revolving credit Facility + Short-term borrowings under revolving credit line and bank term loan + Short-term Finance Lease Liabilities.</t>
    </r>
  </si>
  <si>
    <r>
      <t xml:space="preserve">4) </t>
    </r>
    <r>
      <rPr>
        <b/>
        <i/>
        <sz val="8"/>
        <rFont val="Calibri"/>
        <family val="2"/>
      </rPr>
      <t>Consolidated Other Long-Term Borrowings consists of</t>
    </r>
    <r>
      <rPr>
        <i/>
        <sz val="8"/>
        <rFont val="Calibri"/>
        <family val="2"/>
      </rPr>
      <t>: Revolving Credit Line + Long-term Portion of Bank Term Loan, Net + Equipment loan, net + Delayed draw term loan, net + Delayed draw term loan warrants.</t>
    </r>
  </si>
  <si>
    <r>
      <t xml:space="preserve">Consolidated Other Long-Term Borrowings </t>
    </r>
    <r>
      <rPr>
        <vertAlign val="superscript"/>
        <sz val="9"/>
        <rFont val="Calibri"/>
        <family val="2"/>
      </rPr>
      <t>(4)</t>
    </r>
  </si>
  <si>
    <r>
      <t xml:space="preserve">Accrued Expenses, Other Current Liabilities, and Other Payables </t>
    </r>
    <r>
      <rPr>
        <vertAlign val="superscript"/>
        <sz val="9"/>
        <rFont val="Calibri"/>
        <family val="2"/>
      </rPr>
      <t>(2)</t>
    </r>
  </si>
  <si>
    <r>
      <t xml:space="preserve">Consolidated Short-Term Borrowings </t>
    </r>
    <r>
      <rPr>
        <vertAlign val="superscript"/>
        <sz val="9"/>
        <rFont val="Calibri"/>
        <family val="2"/>
      </rPr>
      <t>(3)</t>
    </r>
  </si>
  <si>
    <r>
      <t xml:space="preserve">1) </t>
    </r>
    <r>
      <rPr>
        <b/>
        <i/>
        <sz val="8"/>
        <rFont val="Calibri"/>
        <family val="2"/>
      </rPr>
      <t>Prepaid Expenses and Other Current Assets consists of</t>
    </r>
    <r>
      <rPr>
        <i/>
        <sz val="8"/>
        <rFont val="Calibri"/>
        <family val="2"/>
      </rPr>
      <t>: Prepaid Expenses and Other Current Assets + Asset Held for Sale.</t>
    </r>
  </si>
  <si>
    <t>(+/-) Proceeds / (Purchases) of Other Equity Adjustments</t>
  </si>
  <si>
    <t xml:space="preserve">(+/-) Proceeds / (Repurchases) of Common Stock </t>
  </si>
  <si>
    <t>(+/-) Proceeds / (Repurchases) of Preferred Stock</t>
  </si>
  <si>
    <t xml:space="preserve">(+/-) Issuance / (Repayment) of Convertible Notes, net </t>
  </si>
  <si>
    <t>(+/-) Issuance / (Repayment) of Revolving Credit Lines &amp; Facilities</t>
  </si>
  <si>
    <t>(+/-) Payments of Capital Lease Obligations</t>
  </si>
  <si>
    <t>(+/-) Issuance / (Repayment) of Consolidated Term Loans</t>
  </si>
  <si>
    <t>(+/-) Issuance / (Repayment) of Consolidated Other Borrowings</t>
  </si>
  <si>
    <t>(+/-) Issuance / (Repayment) of Consolidated Other Debt Adjustments</t>
  </si>
  <si>
    <t>(+/-) Issuance / (Repayment) of Debt, net</t>
  </si>
  <si>
    <t>(+/-) Proceeds / (Purchases) of Equity, net</t>
  </si>
  <si>
    <t>(+/-) Other Financing Activities</t>
  </si>
  <si>
    <t>(+) Restructuring Expenses</t>
  </si>
  <si>
    <t>Outstanding L/Cs</t>
  </si>
  <si>
    <t>$1.0Bn 0.00% Convertible Senior Notes due  March 15, 2027</t>
  </si>
  <si>
    <t>$150MM Sr. Secured 3.500% RCF due April 21, 2025 (Terminated)</t>
  </si>
  <si>
    <t>Current Portion of Finance Lease Liabilities</t>
  </si>
  <si>
    <t>Finance Lease Obligations and Other Long-term Liabilities</t>
  </si>
  <si>
    <t xml:space="preserve">Finance Lease Obligations </t>
  </si>
  <si>
    <t>$100MM Delayed Draw Term Loan</t>
  </si>
  <si>
    <t>straight-line</t>
  </si>
  <si>
    <t xml:space="preserve">Consensus estimates </t>
  </si>
  <si>
    <t>grow SBC in-line with revenue growth</t>
  </si>
  <si>
    <t>Reference from interest on cash schedule</t>
  </si>
  <si>
    <t xml:space="preserve">Straight line last historical % of revenue </t>
  </si>
  <si>
    <t>plug: EOP - D&amp;A not from PP&amp;E - BOP</t>
  </si>
  <si>
    <t>Hold last historical year's dividend payout ratio constant</t>
  </si>
  <si>
    <t>Straight-line last historical year repurchases</t>
  </si>
  <si>
    <t>assumption</t>
  </si>
  <si>
    <t>grow with net income growth rate (calculated below)</t>
  </si>
  <si>
    <t>TBD</t>
  </si>
  <si>
    <t>Market risk premium from D&amp;P - TBD</t>
  </si>
  <si>
    <t>Restructuring Charges &amp; Other Impairments</t>
  </si>
  <si>
    <t xml:space="preserve">Delayed draw term loan, net </t>
  </si>
  <si>
    <t>Delayed draw term loan warrants</t>
  </si>
  <si>
    <t>Other Changes in Gains, Losses, and provisions, net</t>
  </si>
  <si>
    <t>Operating Lease Liabilities and Other Long-term Liabilities</t>
  </si>
  <si>
    <t>Unrestricted Cash BOP</t>
  </si>
  <si>
    <t>BOP FX Adjustment</t>
  </si>
  <si>
    <t>EOP FX Adjustment</t>
  </si>
  <si>
    <t>(-) Restructuring Charges &amp; Other Impairments</t>
  </si>
  <si>
    <t>(+) Accrued litigation settlement costs &amp; other charges</t>
  </si>
  <si>
    <t>Depreciation &amp; Amortization (D&amp;A)</t>
  </si>
  <si>
    <t>Stock-Based Compensation (SBC)</t>
  </si>
  <si>
    <t>Straight Line</t>
  </si>
  <si>
    <t>straight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</si>
</sst>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
    <numFmt numFmtId="167" formatCode="#,##0.0%;\(#,##0.0%\)"/>
    <numFmt numFmtId="168" formatCode="#,##0.0&quot;bps&quot;_);\(#,##0.0&quot;bps&quot;\)"/>
    <numFmt numFmtId="169" formatCode="#,##0.00&quot;bps&quot;_);\(#,##0.00&quot;bps&quot;\)"/>
    <numFmt numFmtId="170" formatCode="_(* #,##0.00&quot;x&quot;_);_(* \(#,##0.00&quot;x&quot;\);_(* &quot;-&quot;_);_(@_)"/>
    <numFmt numFmtId="171" formatCode="_(#,##0_)_%;\(#,##0\)_%;_(&quot;–&quot;_)_%;_(@_)_%"/>
    <numFmt numFmtId="172" formatCode="m/d/yy;@"/>
    <numFmt numFmtId="173" formatCode="#,##0.000_);\(#,##0.000\)"/>
    <numFmt numFmtId="174" formatCode="0\A;[Red]0\A"/>
    <numFmt numFmtId="175" formatCode="0\P_);\(0\P\)"/>
    <numFmt numFmtId="176" formatCode="0.0%_);\(0.0%\);@_)"/>
    <numFmt numFmtId="177" formatCode="_(#,##0.0%_);\(#,##0.0%\);_(&quot;–&quot;_)_%;_(@_)_%"/>
    <numFmt numFmtId="178" formatCode="0.00%_);\(0.00%\);@_)"/>
    <numFmt numFmtId="179" formatCode="_(#,##0.00%_);\(#,##0.00%\);_(&quot;–&quot;_)_%;_(@_)_%"/>
    <numFmt numFmtId="180" formatCode="0%_);\(0%\);@_)"/>
    <numFmt numFmtId="184" formatCode="#,##0.0_);\(#,##0.0\);@_)"/>
    <numFmt numFmtId="185" formatCode="0.000"/>
    <numFmt numFmtId="186" formatCode="_([$$]#,##0.00_)_%;\([$$]#,##0.00\)_%;_(&quot;–&quot;_)_%;_(@_)_%"/>
    <numFmt numFmtId="187" formatCode="_([$$]#,##0_)_%;\([$$]#,##0\)_%;_(&quot;–&quot;_)_%;_(@_)_%"/>
    <numFmt numFmtId="188" formatCode="[$$-380A]\ #,##0.00;\-[$$-380A]\ #,##0.00"/>
    <numFmt numFmtId="189" formatCode="0000\A"/>
    <numFmt numFmtId="190" formatCode="0000\P"/>
    <numFmt numFmtId="191" formatCode="#,##0_);\(#,##0\);@_)"/>
    <numFmt numFmtId="192" formatCode="0.0\x_);\(0.0\x\);@_)"/>
    <numFmt numFmtId="193" formatCode="0.000%_);\(0.000%\);@_)"/>
    <numFmt numFmtId="194" formatCode="#,##0.000_);\(#,##0.000\);@_)"/>
    <numFmt numFmtId="195" formatCode="#,##0.000"/>
    <numFmt numFmtId="196" formatCode="&quot;$&quot;#,##0.00_);\(&quot;$&quot;#,##0.00\);@_)"/>
    <numFmt numFmtId="197" formatCode="_(0.0\x_)_';_(\(0.0\x\)_';_(&quot;–&quot;_)_%;_(@_)_%"/>
    <numFmt numFmtId="198" formatCode="_(0.0_)_'_x;_(\(0.0\)_';_(&quot;–&quot;_)_%;_(@_)_%"/>
    <numFmt numFmtId="199" formatCode="#,##0.00_);\(#,##0.00\);\-_);@_)"/>
    <numFmt numFmtId="200" formatCode="#,##0.0_);\(#,##0.0\);\-_);@_)"/>
    <numFmt numFmtId="201" formatCode="General&quot;F&quot;"/>
    <numFmt numFmtId="202" formatCode="General&quot;A&quot;"/>
  </numFmts>
  <fonts count="54">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b/>
      <u val="singleAccounting"/>
      <sz val="9"/>
      <color theme="1"/>
      <name val="Calibri"/>
      <family val="2"/>
    </font>
    <font>
      <sz val="9"/>
      <color theme="0"/>
      <name val="Calibri"/>
      <family val="2"/>
    </font>
    <font>
      <i/>
      <sz val="8"/>
      <color rgb="FFFF0000"/>
      <name val="Calibri"/>
      <family val="2"/>
    </font>
    <font>
      <sz val="9"/>
      <color rgb="FF00B03C"/>
      <name val="Calibri"/>
      <family val="2"/>
    </font>
    <font>
      <b/>
      <sz val="9"/>
      <color rgb="FF008000"/>
      <name val="Calibri"/>
      <family val="2"/>
    </font>
    <font>
      <b/>
      <u val="singleAccounting"/>
      <sz val="9"/>
      <color rgb="FF000000"/>
      <name val="Calibri"/>
      <family val="2"/>
    </font>
    <font>
      <i/>
      <sz val="8"/>
      <color rgb="FF0000FF"/>
      <name val="Calibri"/>
      <family val="2"/>
    </font>
    <font>
      <vertAlign val="superscript"/>
      <sz val="9"/>
      <name val="Calibri"/>
      <family val="2"/>
    </font>
    <font>
      <b/>
      <i/>
      <sz val="8"/>
      <name val="Calibri"/>
      <family val="2"/>
    </font>
    <font>
      <b/>
      <sz val="8"/>
      <color theme="0"/>
      <name val="Calibri"/>
      <family val="2"/>
    </font>
  </fonts>
  <fills count="21">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rgb="FF0E5672"/>
        <bgColor indexed="64"/>
      </patternFill>
    </fill>
    <fill>
      <patternFill patternType="solid">
        <fgColor rgb="FF487B79"/>
        <bgColor indexed="64"/>
      </patternFill>
    </fill>
    <fill>
      <patternFill patternType="solid">
        <fgColor theme="0" tint="-0.14999847407452621"/>
        <bgColor indexed="64"/>
      </patternFill>
    </fill>
    <fill>
      <patternFill patternType="gray0625"/>
    </fill>
  </fills>
  <borders count="52">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hair">
        <color indexed="64"/>
      </left>
      <right style="hair">
        <color indexed="64"/>
      </right>
      <top style="hair">
        <color indexed="64"/>
      </top>
      <bottom style="hair">
        <color indexed="64"/>
      </bottom>
      <diagonal/>
    </border>
    <border>
      <left style="hair">
        <color rgb="FF000000"/>
      </left>
      <right style="hair">
        <color indexed="64"/>
      </right>
      <top style="hair">
        <color indexed="64"/>
      </top>
      <bottom style="hair">
        <color rgb="FF00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rgb="FF000000"/>
      </left>
      <right style="hair">
        <color rgb="FF000000"/>
      </right>
      <top style="hair">
        <color indexed="64"/>
      </top>
      <bottom style="hair">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36" fillId="0" borderId="0" applyNumberFormat="0" applyFont="0" applyFill="0" applyBorder="0" applyAlignment="0" applyProtection="0"/>
    <xf numFmtId="37" fontId="40" fillId="0" borderId="0"/>
    <xf numFmtId="0" fontId="41" fillId="0" borderId="0" applyNumberFormat="0" applyFill="0" applyBorder="0" applyAlignment="0" applyProtection="0"/>
  </cellStyleXfs>
  <cellXfs count="520">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7"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7"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67" fontId="10" fillId="0" borderId="0" xfId="1" applyNumberFormat="1" applyFont="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7" fontId="7" fillId="0" borderId="0" xfId="1" applyNumberFormat="1" applyFont="1" applyBorder="1" applyAlignment="1">
      <alignment horizontal="right" vertical="center" wrapText="1"/>
    </xf>
    <xf numFmtId="37" fontId="15" fillId="0" borderId="0" xfId="0" applyNumberFormat="1" applyFont="1"/>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8" fillId="0" borderId="0" xfId="2" applyNumberFormat="1" applyFont="1" applyFill="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0" fillId="0" borderId="0" xfId="0" applyFont="1" applyAlignment="1">
      <alignment vertical="top" wrapText="1"/>
    </xf>
    <xf numFmtId="43" fontId="20" fillId="0" borderId="0" xfId="0" applyNumberFormat="1" applyFont="1" applyAlignment="1">
      <alignment wrapText="1"/>
    </xf>
    <xf numFmtId="0" fontId="22" fillId="0" borderId="0" xfId="0" applyFont="1" applyAlignment="1">
      <alignment vertical="top" wrapText="1"/>
    </xf>
    <xf numFmtId="43" fontId="22" fillId="0" borderId="0" xfId="0" applyNumberFormat="1" applyFont="1" applyAlignment="1">
      <alignment wrapText="1"/>
    </xf>
    <xf numFmtId="0" fontId="23"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7" fontId="7" fillId="5" borderId="0" xfId="1" applyNumberFormat="1" applyFont="1" applyFill="1" applyBorder="1" applyAlignment="1">
      <alignment horizontal="right" vertical="center" wrapText="1"/>
    </xf>
    <xf numFmtId="167" fontId="9" fillId="5" borderId="0" xfId="1" applyNumberFormat="1" applyFont="1" applyFill="1" applyBorder="1" applyAlignment="1">
      <alignment horizontal="right" vertical="center" wrapText="1"/>
    </xf>
    <xf numFmtId="169" fontId="9" fillId="5" borderId="0" xfId="1" applyNumberFormat="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8" fillId="0" borderId="6" xfId="0" applyFont="1" applyBorder="1" applyAlignment="1">
      <alignment vertical="top" wrapText="1"/>
    </xf>
    <xf numFmtId="0" fontId="26" fillId="0" borderId="0" xfId="0" applyFont="1" applyAlignment="1">
      <alignment horizontal="right" vertical="center" wrapText="1"/>
    </xf>
    <xf numFmtId="41" fontId="26"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41" fontId="11" fillId="0" borderId="0" xfId="0" applyNumberFormat="1" applyFont="1" applyAlignment="1">
      <alignment horizontal="right" vertical="top" wrapText="1"/>
    </xf>
    <xf numFmtId="170" fontId="4" fillId="0" borderId="0" xfId="0" applyNumberFormat="1" applyFont="1"/>
    <xf numFmtId="0" fontId="29" fillId="0" borderId="11" xfId="0" applyFont="1" applyBorder="1" applyAlignment="1">
      <alignment horizontal="left" indent="2"/>
    </xf>
    <xf numFmtId="0" fontId="29" fillId="0" borderId="12" xfId="0" applyFont="1" applyBorder="1" applyAlignment="1">
      <alignment horizontal="left" indent="2"/>
    </xf>
    <xf numFmtId="0" fontId="29"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31" fillId="0" borderId="0" xfId="0" applyFont="1"/>
    <xf numFmtId="0" fontId="15" fillId="0" borderId="8" xfId="0" applyFont="1" applyBorder="1"/>
    <xf numFmtId="0" fontId="4" fillId="0" borderId="8" xfId="0" applyFont="1" applyBorder="1"/>
    <xf numFmtId="0" fontId="16" fillId="0" borderId="0" xfId="0" applyFont="1"/>
    <xf numFmtId="172" fontId="32" fillId="0" borderId="0" xfId="0" applyNumberFormat="1" applyFont="1"/>
    <xf numFmtId="172" fontId="16" fillId="0" borderId="0" xfId="0" applyNumberFormat="1" applyFont="1"/>
    <xf numFmtId="9" fontId="16" fillId="0" borderId="0" xfId="0" applyNumberFormat="1" applyFont="1"/>
    <xf numFmtId="166" fontId="16" fillId="0" borderId="0" xfId="0" applyNumberFormat="1" applyFont="1"/>
    <xf numFmtId="37" fontId="12" fillId="0" borderId="0" xfId="0" applyNumberFormat="1" applyFont="1"/>
    <xf numFmtId="37" fontId="31" fillId="0" borderId="0" xfId="0" applyNumberFormat="1" applyFont="1"/>
    <xf numFmtId="37" fontId="33"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4" fillId="0" borderId="0" xfId="0" applyFont="1"/>
    <xf numFmtId="176" fontId="31" fillId="0" borderId="0" xfId="0" applyNumberFormat="1" applyFont="1"/>
    <xf numFmtId="176" fontId="12" fillId="0" borderId="0" xfId="0" applyNumberFormat="1" applyFont="1"/>
    <xf numFmtId="14" fontId="16" fillId="0" borderId="0" xfId="0" applyNumberFormat="1" applyFont="1"/>
    <xf numFmtId="174" fontId="33" fillId="0" borderId="0" xfId="0" applyNumberFormat="1" applyFont="1"/>
    <xf numFmtId="175" fontId="33" fillId="0" borderId="0" xfId="0" applyNumberFormat="1" applyFont="1"/>
    <xf numFmtId="172" fontId="30" fillId="0" borderId="8" xfId="0" applyNumberFormat="1" applyFont="1" applyBorder="1"/>
    <xf numFmtId="3" fontId="4" fillId="0" borderId="0" xfId="0" applyNumberFormat="1" applyFont="1"/>
    <xf numFmtId="0" fontId="15" fillId="0" borderId="9" xfId="0" applyFont="1" applyBorder="1" applyAlignment="1">
      <alignment horizontal="centerContinuous"/>
    </xf>
    <xf numFmtId="0" fontId="4" fillId="0" borderId="0" xfId="0" quotePrefix="1" applyFont="1" applyAlignment="1">
      <alignment horizontal="left" indent="1"/>
    </xf>
    <xf numFmtId="0" fontId="4" fillId="0" borderId="10" xfId="0" quotePrefix="1" applyFont="1" applyBorder="1" applyAlignment="1">
      <alignment horizontal="left" indent="1"/>
    </xf>
    <xf numFmtId="37" fontId="12" fillId="0" borderId="10" xfId="0" applyNumberFormat="1" applyFont="1" applyBorder="1"/>
    <xf numFmtId="37" fontId="4" fillId="0" borderId="10" xfId="0" applyNumberFormat="1" applyFont="1" applyBorder="1"/>
    <xf numFmtId="0" fontId="15" fillId="0" borderId="0" xfId="0" applyFont="1" applyAlignment="1">
      <alignment horizontal="left" indent="1"/>
    </xf>
    <xf numFmtId="176" fontId="4" fillId="0" borderId="0" xfId="0" applyNumberFormat="1" applyFont="1"/>
    <xf numFmtId="177" fontId="12" fillId="0" borderId="0" xfId="0" applyNumberFormat="1" applyFont="1"/>
    <xf numFmtId="171" fontId="4" fillId="0" borderId="0" xfId="0" applyNumberFormat="1" applyFont="1"/>
    <xf numFmtId="0" fontId="15" fillId="0" borderId="8" xfId="0" applyFont="1" applyBorder="1" applyAlignment="1">
      <alignment horizontal="left"/>
    </xf>
    <xf numFmtId="176" fontId="4" fillId="0" borderId="8" xfId="0" applyNumberFormat="1" applyFont="1" applyBorder="1"/>
    <xf numFmtId="176" fontId="31" fillId="0" borderId="8" xfId="0" applyNumberFormat="1" applyFont="1" applyBorder="1"/>
    <xf numFmtId="177" fontId="4" fillId="0" borderId="0" xfId="0" applyNumberFormat="1" applyFont="1"/>
    <xf numFmtId="37" fontId="15" fillId="0" borderId="8" xfId="0" applyNumberFormat="1" applyFont="1" applyBorder="1"/>
    <xf numFmtId="37" fontId="31" fillId="0" borderId="9" xfId="0" applyNumberFormat="1" applyFont="1" applyBorder="1"/>
    <xf numFmtId="0" fontId="4" fillId="0" borderId="10" xfId="0" applyFont="1" applyBorder="1" applyAlignment="1">
      <alignment horizontal="left" indent="1"/>
    </xf>
    <xf numFmtId="0" fontId="4" fillId="0" borderId="10" xfId="0" applyFont="1" applyBorder="1"/>
    <xf numFmtId="37" fontId="31" fillId="0" borderId="10" xfId="0" applyNumberFormat="1" applyFont="1" applyBorder="1"/>
    <xf numFmtId="37" fontId="15" fillId="0" borderId="8" xfId="0" applyNumberFormat="1" applyFont="1" applyBorder="1" applyAlignment="1">
      <alignment horizontal="left"/>
    </xf>
    <xf numFmtId="37" fontId="15" fillId="0" borderId="10" xfId="0" applyNumberFormat="1" applyFont="1" applyBorder="1"/>
    <xf numFmtId="37" fontId="4" fillId="0" borderId="12" xfId="0" applyNumberFormat="1" applyFont="1" applyBorder="1"/>
    <xf numFmtId="0" fontId="4" fillId="0" borderId="12" xfId="0" applyFont="1" applyBorder="1"/>
    <xf numFmtId="37" fontId="21" fillId="0" borderId="12" xfId="0" applyNumberFormat="1" applyFont="1" applyBorder="1" applyAlignment="1">
      <alignment horizontal="right"/>
    </xf>
    <xf numFmtId="37" fontId="21" fillId="0" borderId="0" xfId="0" applyNumberFormat="1" applyFont="1" applyAlignment="1">
      <alignment horizontal="right"/>
    </xf>
    <xf numFmtId="9" fontId="12" fillId="0" borderId="8" xfId="0" applyNumberFormat="1" applyFont="1" applyBorder="1"/>
    <xf numFmtId="3" fontId="31" fillId="0" borderId="0" xfId="0" applyNumberFormat="1" applyFont="1"/>
    <xf numFmtId="37" fontId="4" fillId="0" borderId="9" xfId="0" applyNumberFormat="1" applyFont="1" applyBorder="1"/>
    <xf numFmtId="0" fontId="34" fillId="0" borderId="0" xfId="0" applyFont="1" applyAlignment="1">
      <alignment horizontal="left" indent="1"/>
    </xf>
    <xf numFmtId="0" fontId="35" fillId="0" borderId="0" xfId="0" applyFont="1" applyAlignment="1">
      <alignment horizontal="left"/>
    </xf>
    <xf numFmtId="178" fontId="12" fillId="0" borderId="0" xfId="0" applyNumberFormat="1" applyFont="1"/>
    <xf numFmtId="0" fontId="33" fillId="0" borderId="13" xfId="0" applyFont="1" applyBorder="1" applyAlignment="1">
      <alignment horizontal="left" indent="1"/>
    </xf>
    <xf numFmtId="37" fontId="33" fillId="0" borderId="13" xfId="0" applyNumberFormat="1" applyFont="1" applyBorder="1"/>
    <xf numFmtId="0" fontId="4" fillId="0" borderId="0" xfId="0" applyFont="1" applyAlignment="1">
      <alignment horizontal="left" indent="2"/>
    </xf>
    <xf numFmtId="10" fontId="12" fillId="0" borderId="0" xfId="0" applyNumberFormat="1" applyFont="1"/>
    <xf numFmtId="179" fontId="31" fillId="0" borderId="0" xfId="0" applyNumberFormat="1" applyFont="1"/>
    <xf numFmtId="37" fontId="31" fillId="0" borderId="0" xfId="0" applyNumberFormat="1" applyFont="1" applyAlignment="1">
      <alignment horizontal="left" indent="1"/>
    </xf>
    <xf numFmtId="8" fontId="4" fillId="0" borderId="0" xfId="0" applyNumberFormat="1" applyFont="1"/>
    <xf numFmtId="9" fontId="31" fillId="0" borderId="0" xfId="0" applyNumberFormat="1" applyFont="1"/>
    <xf numFmtId="0" fontId="4" fillId="0" borderId="0" xfId="0" applyFont="1" applyAlignment="1">
      <alignment horizontal="right"/>
    </xf>
    <xf numFmtId="37" fontId="15" fillId="0" borderId="14" xfId="0" applyNumberFormat="1" applyFont="1" applyBorder="1"/>
    <xf numFmtId="171" fontId="15" fillId="0" borderId="15" xfId="0" applyNumberFormat="1" applyFont="1" applyBorder="1"/>
    <xf numFmtId="176" fontId="4" fillId="0" borderId="18" xfId="0" applyNumberFormat="1" applyFont="1" applyBorder="1" applyAlignment="1">
      <alignment horizontal="center"/>
    </xf>
    <xf numFmtId="0" fontId="4" fillId="0" borderId="18" xfId="0" applyFont="1" applyBorder="1"/>
    <xf numFmtId="177" fontId="12" fillId="0" borderId="18" xfId="0" applyNumberFormat="1" applyFont="1" applyBorder="1" applyAlignment="1">
      <alignment horizontal="center"/>
    </xf>
    <xf numFmtId="0" fontId="4" fillId="0" borderId="18" xfId="0" applyFont="1" applyBorder="1" applyAlignment="1">
      <alignment horizontal="center"/>
    </xf>
    <xf numFmtId="180" fontId="4" fillId="0" borderId="0" xfId="0" applyNumberFormat="1" applyFont="1"/>
    <xf numFmtId="177" fontId="12" fillId="0" borderId="19" xfId="0" applyNumberFormat="1" applyFont="1" applyBorder="1" applyAlignment="1">
      <alignment horizontal="center"/>
    </xf>
    <xf numFmtId="37" fontId="27" fillId="0" borderId="0" xfId="0" applyNumberFormat="1" applyFont="1"/>
    <xf numFmtId="14" fontId="3" fillId="2" borderId="0" xfId="0" quotePrefix="1" applyNumberFormat="1" applyFont="1" applyFill="1" applyAlignment="1">
      <alignment horizontal="center" vertical="center" wrapText="1"/>
    </xf>
    <xf numFmtId="41" fontId="6" fillId="6" borderId="2" xfId="0" applyNumberFormat="1" applyFont="1" applyFill="1" applyBorder="1" applyAlignment="1">
      <alignment horizontal="right" vertical="top"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3" fontId="22" fillId="0" borderId="20" xfId="0" applyNumberFormat="1" applyFont="1" applyBorder="1" applyAlignment="1">
      <alignment wrapText="1"/>
    </xf>
    <xf numFmtId="41" fontId="6" fillId="0" borderId="20" xfId="0" applyNumberFormat="1" applyFont="1" applyBorder="1" applyAlignment="1">
      <alignment horizontal="right" vertical="top" wrapText="1"/>
    </xf>
    <xf numFmtId="0" fontId="8" fillId="6" borderId="22" xfId="0" applyFont="1" applyFill="1" applyBorder="1" applyAlignment="1">
      <alignment horizontal="right" vertical="center" wrapText="1"/>
    </xf>
    <xf numFmtId="0" fontId="4" fillId="0" borderId="22" xfId="0" applyFont="1" applyBorder="1"/>
    <xf numFmtId="0" fontId="22" fillId="0" borderId="21" xfId="0" applyFont="1" applyBorder="1" applyAlignment="1">
      <alignment horizontal="right" vertical="top" wrapText="1"/>
    </xf>
    <xf numFmtId="37" fontId="4" fillId="0" borderId="23" xfId="0" applyNumberFormat="1" applyFont="1" applyBorder="1" applyAlignment="1">
      <alignment wrapText="1"/>
    </xf>
    <xf numFmtId="41" fontId="8" fillId="0" borderId="25" xfId="0" applyNumberFormat="1" applyFont="1" applyBorder="1" applyAlignment="1">
      <alignment horizontal="right" vertical="top" wrapText="1"/>
    </xf>
    <xf numFmtId="41" fontId="6" fillId="0" borderId="26" xfId="0" applyNumberFormat="1" applyFont="1" applyBorder="1" applyAlignment="1">
      <alignment horizontal="right" vertical="top" wrapText="1"/>
    </xf>
    <xf numFmtId="41" fontId="27" fillId="0" borderId="0" xfId="0" applyNumberFormat="1" applyFont="1"/>
    <xf numFmtId="0" fontId="15" fillId="0" borderId="26" xfId="0" applyFont="1" applyBorder="1" applyAlignment="1">
      <alignment horizontal="left"/>
    </xf>
    <xf numFmtId="37" fontId="33" fillId="0" borderId="26" xfId="0" applyNumberFormat="1" applyFont="1" applyBorder="1"/>
    <xf numFmtId="0" fontId="15" fillId="0" borderId="26" xfId="0" applyFont="1" applyBorder="1"/>
    <xf numFmtId="0" fontId="4" fillId="0" borderId="26" xfId="0" applyFont="1" applyBorder="1"/>
    <xf numFmtId="0" fontId="4" fillId="7" borderId="26" xfId="0" applyFont="1" applyFill="1" applyBorder="1"/>
    <xf numFmtId="37" fontId="15" fillId="0" borderId="26" xfId="0" applyNumberFormat="1" applyFont="1" applyBorder="1"/>
    <xf numFmtId="37" fontId="4" fillId="6" borderId="0" xfId="0" applyNumberFormat="1" applyFont="1" applyFill="1"/>
    <xf numFmtId="8" fontId="27" fillId="0" borderId="0" xfId="0" applyNumberFormat="1" applyFont="1"/>
    <xf numFmtId="0" fontId="15" fillId="0" borderId="26" xfId="0" applyFont="1" applyBorder="1" applyAlignment="1">
      <alignment horizontal="left" indent="1"/>
    </xf>
    <xf numFmtId="37" fontId="31" fillId="6" borderId="9" xfId="0" applyNumberFormat="1" applyFont="1" applyFill="1" applyBorder="1"/>
    <xf numFmtId="37" fontId="31" fillId="6" borderId="10" xfId="0" applyNumberFormat="1" applyFont="1" applyFill="1" applyBorder="1"/>
    <xf numFmtId="37" fontId="31" fillId="6" borderId="0" xfId="0" applyNumberFormat="1" applyFont="1" applyFill="1"/>
    <xf numFmtId="176" fontId="31" fillId="6" borderId="0" xfId="0" applyNumberFormat="1" applyFont="1" applyFill="1"/>
    <xf numFmtId="37" fontId="33" fillId="6" borderId="0" xfId="0" applyNumberFormat="1" applyFont="1" applyFill="1"/>
    <xf numFmtId="37" fontId="12" fillId="6" borderId="0" xfId="0" applyNumberFormat="1" applyFont="1" applyFill="1"/>
    <xf numFmtId="37" fontId="4" fillId="6" borderId="10" xfId="0" applyNumberFormat="1" applyFont="1" applyFill="1" applyBorder="1"/>
    <xf numFmtId="37" fontId="12" fillId="6" borderId="10" xfId="0" applyNumberFormat="1" applyFont="1" applyFill="1" applyBorder="1"/>
    <xf numFmtId="179" fontId="6" fillId="6" borderId="0" xfId="0" applyNumberFormat="1" applyFont="1" applyFill="1"/>
    <xf numFmtId="177" fontId="6" fillId="6" borderId="0" xfId="0" applyNumberFormat="1" applyFont="1" applyFill="1"/>
    <xf numFmtId="179" fontId="31" fillId="6" borderId="0" xfId="0" applyNumberFormat="1" applyFont="1" applyFill="1"/>
    <xf numFmtId="0" fontId="33" fillId="0" borderId="10" xfId="0" applyFont="1" applyBorder="1"/>
    <xf numFmtId="0" fontId="31" fillId="0" borderId="10" xfId="0" applyFont="1" applyBorder="1"/>
    <xf numFmtId="0" fontId="34" fillId="0" borderId="0" xfId="0" applyFont="1" applyAlignment="1">
      <alignment horizontal="left"/>
    </xf>
    <xf numFmtId="166" fontId="31" fillId="0" borderId="0" xfId="0" applyNumberFormat="1" applyFont="1"/>
    <xf numFmtId="166" fontId="37" fillId="0" borderId="0" xfId="0" applyNumberFormat="1" applyFont="1" applyAlignment="1">
      <alignment horizontal="right"/>
    </xf>
    <xf numFmtId="0" fontId="15" fillId="0" borderId="28" xfId="0" applyFont="1" applyBorder="1"/>
    <xf numFmtId="0" fontId="15" fillId="0" borderId="29" xfId="0" applyFont="1" applyBorder="1"/>
    <xf numFmtId="0" fontId="4" fillId="0" borderId="29" xfId="0" applyFont="1" applyBorder="1"/>
    <xf numFmtId="173" fontId="12" fillId="0" borderId="0" xfId="0" applyNumberFormat="1" applyFont="1"/>
    <xf numFmtId="179" fontId="29" fillId="0" borderId="10" xfId="0" applyNumberFormat="1" applyFont="1" applyBorder="1"/>
    <xf numFmtId="173" fontId="31" fillId="0" borderId="0" xfId="0" applyNumberFormat="1" applyFont="1"/>
    <xf numFmtId="184" fontId="29" fillId="0" borderId="0" xfId="0" applyNumberFormat="1" applyFont="1"/>
    <xf numFmtId="9" fontId="12" fillId="8" borderId="0" xfId="0" applyNumberFormat="1" applyFont="1" applyFill="1"/>
    <xf numFmtId="176" fontId="15" fillId="0" borderId="30" xfId="0" applyNumberFormat="1" applyFont="1" applyBorder="1"/>
    <xf numFmtId="39" fontId="15" fillId="0" borderId="0" xfId="0" applyNumberFormat="1" applyFont="1"/>
    <xf numFmtId="0" fontId="4" fillId="0" borderId="0" xfId="0" applyFont="1" applyAlignment="1">
      <alignment horizontal="centerContinuous"/>
    </xf>
    <xf numFmtId="0" fontId="4" fillId="0" borderId="9" xfId="0" applyFont="1" applyBorder="1" applyAlignment="1">
      <alignment horizontal="centerContinuous"/>
    </xf>
    <xf numFmtId="176" fontId="4" fillId="8" borderId="0" xfId="0" applyNumberFormat="1" applyFont="1" applyFill="1"/>
    <xf numFmtId="185" fontId="31" fillId="0" borderId="31" xfId="0" applyNumberFormat="1" applyFont="1" applyBorder="1"/>
    <xf numFmtId="173" fontId="12" fillId="0" borderId="32" xfId="0" applyNumberFormat="1" applyFont="1" applyBorder="1"/>
    <xf numFmtId="185" fontId="31" fillId="0" borderId="32" xfId="0" applyNumberFormat="1" applyFont="1" applyBorder="1"/>
    <xf numFmtId="10" fontId="31" fillId="0" borderId="33" xfId="0" applyNumberFormat="1" applyFont="1" applyBorder="1"/>
    <xf numFmtId="177" fontId="4" fillId="0" borderId="9" xfId="0" applyNumberFormat="1" applyFont="1" applyBorder="1"/>
    <xf numFmtId="10" fontId="12" fillId="0" borderId="33" xfId="0" applyNumberFormat="1" applyFont="1" applyBorder="1"/>
    <xf numFmtId="10" fontId="31" fillId="0" borderId="34" xfId="0" applyNumberFormat="1" applyFont="1" applyBorder="1"/>
    <xf numFmtId="0" fontId="12" fillId="10" borderId="7" xfId="0" applyFont="1" applyFill="1" applyBorder="1" applyAlignment="1">
      <alignment horizontal="right"/>
    </xf>
    <xf numFmtId="173" fontId="4" fillId="0" borderId="0" xfId="0" applyNumberFormat="1" applyFont="1"/>
    <xf numFmtId="0" fontId="4" fillId="0" borderId="35" xfId="0" applyFont="1" applyBorder="1"/>
    <xf numFmtId="0" fontId="4" fillId="0" borderId="35" xfId="0" applyFont="1" applyBorder="1" applyAlignment="1">
      <alignment wrapText="1"/>
    </xf>
    <xf numFmtId="0" fontId="12" fillId="0" borderId="0" xfId="0" applyFont="1"/>
    <xf numFmtId="39" fontId="12" fillId="0" borderId="0" xfId="0" applyNumberFormat="1" applyFont="1"/>
    <xf numFmtId="39" fontId="29" fillId="0" borderId="0" xfId="0" applyNumberFormat="1" applyFont="1"/>
    <xf numFmtId="37" fontId="29" fillId="0" borderId="0" xfId="0" applyNumberFormat="1" applyFont="1"/>
    <xf numFmtId="176" fontId="31" fillId="0" borderId="36" xfId="0" applyNumberFormat="1" applyFont="1" applyBorder="1"/>
    <xf numFmtId="173" fontId="15" fillId="0" borderId="0" xfId="0" applyNumberFormat="1" applyFont="1"/>
    <xf numFmtId="39" fontId="4" fillId="0" borderId="0" xfId="0" applyNumberFormat="1" applyFont="1"/>
    <xf numFmtId="186" fontId="12" fillId="0" borderId="0" xfId="0" applyNumberFormat="1" applyFont="1"/>
    <xf numFmtId="173" fontId="39" fillId="0" borderId="0" xfId="0" applyNumberFormat="1" applyFont="1"/>
    <xf numFmtId="187" fontId="12" fillId="0" borderId="0" xfId="0" applyNumberFormat="1" applyFont="1"/>
    <xf numFmtId="173" fontId="37" fillId="0" borderId="0" xfId="0" applyNumberFormat="1" applyFont="1"/>
    <xf numFmtId="0" fontId="15" fillId="0" borderId="10" xfId="0" applyFont="1" applyBorder="1"/>
    <xf numFmtId="188" fontId="31" fillId="0" borderId="0" xfId="0" applyNumberFormat="1" applyFont="1"/>
    <xf numFmtId="39" fontId="31" fillId="0" borderId="0" xfId="0" applyNumberFormat="1" applyFont="1"/>
    <xf numFmtId="7" fontId="4" fillId="0" borderId="0" xfId="0" applyNumberFormat="1" applyFont="1"/>
    <xf numFmtId="37" fontId="30" fillId="0" borderId="0" xfId="0" applyNumberFormat="1" applyFont="1"/>
    <xf numFmtId="7" fontId="31" fillId="0" borderId="0" xfId="0" applyNumberFormat="1" applyFont="1"/>
    <xf numFmtId="14" fontId="12" fillId="0" borderId="0" xfId="0" applyNumberFormat="1" applyFont="1" applyAlignment="1">
      <alignment horizontal="right"/>
    </xf>
    <xf numFmtId="0" fontId="42" fillId="0" borderId="0" xfId="6" applyFont="1" applyBorder="1"/>
    <xf numFmtId="177" fontId="31" fillId="0" borderId="0" xfId="0" applyNumberFormat="1" applyFont="1"/>
    <xf numFmtId="7" fontId="29" fillId="0" borderId="0" xfId="0" applyNumberFormat="1" applyFont="1" applyAlignment="1">
      <alignment horizontal="right"/>
    </xf>
    <xf numFmtId="0" fontId="38" fillId="0" borderId="0" xfId="0" applyFont="1" applyAlignment="1">
      <alignment horizontal="centerContinuous"/>
    </xf>
    <xf numFmtId="14" fontId="4" fillId="0" borderId="0" xfId="0" applyNumberFormat="1" applyFont="1" applyAlignment="1">
      <alignment horizontal="center"/>
    </xf>
    <xf numFmtId="172" fontId="4" fillId="0" borderId="37" xfId="0" applyNumberFormat="1" applyFont="1" applyBorder="1" applyAlignment="1">
      <alignment horizontal="center"/>
    </xf>
    <xf numFmtId="172" fontId="4" fillId="0" borderId="34" xfId="0" applyNumberFormat="1" applyFont="1" applyBorder="1" applyAlignment="1">
      <alignment horizontal="center"/>
    </xf>
    <xf numFmtId="172" fontId="4" fillId="0" borderId="0" xfId="0" applyNumberFormat="1" applyFont="1" applyAlignment="1">
      <alignment horizontal="center"/>
    </xf>
    <xf numFmtId="189" fontId="15" fillId="0" borderId="37" xfId="0" applyNumberFormat="1" applyFont="1" applyBorder="1"/>
    <xf numFmtId="190" fontId="15" fillId="0" borderId="0" xfId="0" applyNumberFormat="1" applyFont="1"/>
    <xf numFmtId="191" fontId="29" fillId="0" borderId="0" xfId="0" applyNumberFormat="1" applyFont="1"/>
    <xf numFmtId="191" fontId="31" fillId="0" borderId="0" xfId="0" applyNumberFormat="1" applyFont="1"/>
    <xf numFmtId="191" fontId="4" fillId="0" borderId="0" xfId="0" applyNumberFormat="1" applyFont="1"/>
    <xf numFmtId="191" fontId="33" fillId="0" borderId="0" xfId="0" applyNumberFormat="1" applyFont="1"/>
    <xf numFmtId="14" fontId="4" fillId="0" borderId="0" xfId="0" applyNumberFormat="1" applyFont="1"/>
    <xf numFmtId="177" fontId="4" fillId="0" borderId="0" xfId="0" applyNumberFormat="1" applyFont="1" applyAlignment="1">
      <alignment horizontal="center"/>
    </xf>
    <xf numFmtId="190" fontId="4" fillId="0" borderId="0" xfId="0" applyNumberFormat="1" applyFont="1"/>
    <xf numFmtId="192" fontId="12" fillId="0" borderId="0" xfId="0" applyNumberFormat="1" applyFont="1"/>
    <xf numFmtId="191" fontId="15" fillId="0" borderId="0" xfId="0" applyNumberFormat="1" applyFont="1"/>
    <xf numFmtId="0" fontId="16" fillId="0" borderId="0" xfId="0" applyFont="1" applyAlignment="1">
      <alignment horizontal="left"/>
    </xf>
    <xf numFmtId="177" fontId="16" fillId="0" borderId="0" xfId="0" applyNumberFormat="1" applyFont="1"/>
    <xf numFmtId="193" fontId="16" fillId="0" borderId="0" xfId="0" applyNumberFormat="1" applyFont="1"/>
    <xf numFmtId="192" fontId="16" fillId="0" borderId="0" xfId="0" applyNumberFormat="1" applyFont="1"/>
    <xf numFmtId="176" fontId="4" fillId="0" borderId="0" xfId="0" quotePrefix="1" applyNumberFormat="1" applyFont="1"/>
    <xf numFmtId="0" fontId="34" fillId="0" borderId="0" xfId="0" applyFont="1" applyAlignment="1">
      <alignment horizontal="right"/>
    </xf>
    <xf numFmtId="0" fontId="34" fillId="0" borderId="0" xfId="0" applyFont="1" applyAlignment="1">
      <alignment horizontal="left" vertical="center"/>
    </xf>
    <xf numFmtId="14" fontId="31" fillId="0" borderId="0" xfId="0" applyNumberFormat="1" applyFont="1"/>
    <xf numFmtId="194" fontId="12" fillId="0" borderId="0" xfId="0" applyNumberFormat="1" applyFont="1"/>
    <xf numFmtId="0" fontId="31" fillId="0" borderId="0" xfId="0" applyFont="1" applyAlignment="1">
      <alignment horizontal="left" indent="1"/>
    </xf>
    <xf numFmtId="0" fontId="4" fillId="0" borderId="0" xfId="0" applyFont="1" applyAlignment="1">
      <alignment horizontal="left" vertical="center" indent="1"/>
    </xf>
    <xf numFmtId="191" fontId="4" fillId="0" borderId="0" xfId="0" applyNumberFormat="1" applyFont="1" applyAlignment="1">
      <alignment horizontal="right"/>
    </xf>
    <xf numFmtId="37" fontId="16" fillId="0" borderId="10" xfId="0" applyNumberFormat="1" applyFont="1" applyBorder="1" applyAlignment="1">
      <alignment horizontal="right"/>
    </xf>
    <xf numFmtId="37" fontId="4" fillId="0" borderId="0" xfId="0" applyNumberFormat="1" applyFont="1" applyAlignment="1">
      <alignment horizontal="right"/>
    </xf>
    <xf numFmtId="197" fontId="4" fillId="9" borderId="0" xfId="0" applyNumberFormat="1" applyFont="1" applyFill="1" applyAlignment="1">
      <alignment horizontal="right"/>
    </xf>
    <xf numFmtId="198" fontId="4" fillId="9" borderId="0" xfId="0" applyNumberFormat="1" applyFont="1" applyFill="1" applyAlignment="1">
      <alignment horizontal="right"/>
    </xf>
    <xf numFmtId="198" fontId="4" fillId="0" borderId="0" xfId="0" applyNumberFormat="1" applyFont="1" applyAlignment="1">
      <alignment horizontal="right"/>
    </xf>
    <xf numFmtId="197" fontId="4" fillId="0" borderId="0" xfId="0" applyNumberFormat="1" applyFont="1" applyAlignment="1">
      <alignment horizontal="right"/>
    </xf>
    <xf numFmtId="0" fontId="31" fillId="10" borderId="0" xfId="0" applyFont="1" applyFill="1"/>
    <xf numFmtId="0" fontId="44" fillId="0" borderId="0" xfId="0" applyFont="1" applyAlignment="1">
      <alignment horizontal="centerContinuous"/>
    </xf>
    <xf numFmtId="0" fontId="38" fillId="0" borderId="34" xfId="0" applyFont="1" applyBorder="1" applyAlignment="1">
      <alignment horizontal="centerContinuous"/>
    </xf>
    <xf numFmtId="0" fontId="4" fillId="0" borderId="34" xfId="0" applyFont="1" applyBorder="1" applyAlignment="1">
      <alignment horizontal="centerContinuous"/>
    </xf>
    <xf numFmtId="196" fontId="4" fillId="0" borderId="8" xfId="0" applyNumberFormat="1" applyFont="1" applyBorder="1" applyAlignment="1">
      <alignment horizontal="right"/>
    </xf>
    <xf numFmtId="166" fontId="31" fillId="11" borderId="28" xfId="0" applyNumberFormat="1" applyFont="1" applyFill="1" applyBorder="1"/>
    <xf numFmtId="166" fontId="31" fillId="11" borderId="29" xfId="0" applyNumberFormat="1" applyFont="1" applyFill="1" applyBorder="1"/>
    <xf numFmtId="166" fontId="12" fillId="11" borderId="29" xfId="0" applyNumberFormat="1" applyFont="1" applyFill="1" applyBorder="1"/>
    <xf numFmtId="166" fontId="31" fillId="11" borderId="34" xfId="0" applyNumberFormat="1" applyFont="1" applyFill="1" applyBorder="1"/>
    <xf numFmtId="192" fontId="4" fillId="0" borderId="38" xfId="0" applyNumberFormat="1" applyFont="1" applyBorder="1" applyAlignment="1">
      <alignment horizontal="right"/>
    </xf>
    <xf numFmtId="166" fontId="31" fillId="11" borderId="30" xfId="0" applyNumberFormat="1" applyFont="1" applyFill="1" applyBorder="1"/>
    <xf numFmtId="166" fontId="31" fillId="11" borderId="39" xfId="0" applyNumberFormat="1" applyFont="1" applyFill="1" applyBorder="1" applyAlignment="1">
      <alignment horizontal="right"/>
    </xf>
    <xf numFmtId="199" fontId="4" fillId="0" borderId="0" xfId="0" applyNumberFormat="1" applyFont="1"/>
    <xf numFmtId="199" fontId="4" fillId="0" borderId="34" xfId="0" applyNumberFormat="1" applyFont="1" applyBorder="1"/>
    <xf numFmtId="192" fontId="4" fillId="0" borderId="0" xfId="0" applyNumberFormat="1" applyFont="1" applyAlignment="1">
      <alignment horizontal="right"/>
    </xf>
    <xf numFmtId="166" fontId="12" fillId="11" borderId="39" xfId="0" applyNumberFormat="1" applyFont="1" applyFill="1" applyBorder="1" applyAlignment="1">
      <alignment horizontal="right"/>
    </xf>
    <xf numFmtId="0" fontId="33" fillId="10" borderId="0" xfId="0" applyFont="1" applyFill="1" applyAlignment="1">
      <alignment horizontal="center"/>
    </xf>
    <xf numFmtId="166" fontId="31" fillId="11" borderId="40" xfId="0" applyNumberFormat="1" applyFont="1" applyFill="1" applyBorder="1" applyAlignment="1">
      <alignment horizontal="right"/>
    </xf>
    <xf numFmtId="200" fontId="4" fillId="0" borderId="0" xfId="0" applyNumberFormat="1" applyFont="1"/>
    <xf numFmtId="200" fontId="4" fillId="0" borderId="34" xfId="0" applyNumberFormat="1" applyFont="1" applyBorder="1"/>
    <xf numFmtId="196" fontId="4" fillId="0" borderId="38" xfId="0" applyNumberFormat="1" applyFont="1" applyBorder="1"/>
    <xf numFmtId="192" fontId="31" fillId="11" borderId="29" xfId="0" applyNumberFormat="1" applyFont="1" applyFill="1" applyBorder="1"/>
    <xf numFmtId="192" fontId="12" fillId="11" borderId="29" xfId="0" applyNumberFormat="1" applyFont="1" applyFill="1" applyBorder="1"/>
    <xf numFmtId="192" fontId="31" fillId="11" borderId="34" xfId="0" applyNumberFormat="1" applyFont="1" applyFill="1" applyBorder="1"/>
    <xf numFmtId="192" fontId="31" fillId="11" borderId="30" xfId="0" applyNumberFormat="1" applyFont="1" applyFill="1" applyBorder="1"/>
    <xf numFmtId="0" fontId="4" fillId="0" borderId="34" xfId="0" applyFont="1" applyBorder="1"/>
    <xf numFmtId="0" fontId="15" fillId="12" borderId="0" xfId="0" applyFont="1" applyFill="1"/>
    <xf numFmtId="0" fontId="15" fillId="12" borderId="34" xfId="0" applyFont="1" applyFill="1" applyBorder="1"/>
    <xf numFmtId="179" fontId="4" fillId="0" borderId="0" xfId="0" applyNumberFormat="1" applyFont="1"/>
    <xf numFmtId="0" fontId="4" fillId="0" borderId="28" xfId="0" applyFont="1" applyBorder="1"/>
    <xf numFmtId="0" fontId="4" fillId="0" borderId="29" xfId="0" applyFont="1" applyBorder="1" applyAlignment="1">
      <alignment horizontal="right"/>
    </xf>
    <xf numFmtId="0" fontId="4" fillId="0" borderId="30" xfId="0" applyFont="1" applyBorder="1" applyAlignment="1">
      <alignment horizontal="right"/>
    </xf>
    <xf numFmtId="0" fontId="4" fillId="0" borderId="41" xfId="0" applyFont="1" applyBorder="1"/>
    <xf numFmtId="0" fontId="4" fillId="0" borderId="42" xfId="0" quotePrefix="1" applyFont="1" applyBorder="1"/>
    <xf numFmtId="39" fontId="4" fillId="0" borderId="43" xfId="0" applyNumberFormat="1" applyFont="1" applyBorder="1"/>
    <xf numFmtId="39" fontId="31" fillId="0" borderId="43" xfId="0" applyNumberFormat="1" applyFont="1" applyBorder="1"/>
    <xf numFmtId="0" fontId="4" fillId="0" borderId="42" xfId="0" applyFont="1" applyBorder="1"/>
    <xf numFmtId="0" fontId="4" fillId="0" borderId="44" xfId="0" applyFont="1" applyBorder="1"/>
    <xf numFmtId="39" fontId="4" fillId="0" borderId="8" xfId="0" applyNumberFormat="1" applyFont="1" applyBorder="1"/>
    <xf numFmtId="39" fontId="31" fillId="0" borderId="8" xfId="0" applyNumberFormat="1" applyFont="1" applyBorder="1"/>
    <xf numFmtId="39" fontId="4" fillId="0" borderId="38" xfId="0" applyNumberFormat="1" applyFont="1" applyBorder="1"/>
    <xf numFmtId="0" fontId="4" fillId="0" borderId="45" xfId="0" applyFont="1" applyBorder="1"/>
    <xf numFmtId="39" fontId="31" fillId="0" borderId="38" xfId="0" applyNumberFormat="1" applyFont="1" applyBorder="1"/>
    <xf numFmtId="37" fontId="4" fillId="1" borderId="0" xfId="0" applyNumberFormat="1" applyFont="1" applyFill="1"/>
    <xf numFmtId="0" fontId="4" fillId="1" borderId="0" xfId="0" applyFont="1" applyFill="1"/>
    <xf numFmtId="195" fontId="15" fillId="0" borderId="26" xfId="0" applyNumberFormat="1" applyFont="1" applyBorder="1"/>
    <xf numFmtId="37" fontId="11" fillId="0" borderId="0" xfId="0" applyNumberFormat="1" applyFont="1" applyAlignment="1">
      <alignment horizontal="right" vertical="top" wrapText="1"/>
    </xf>
    <xf numFmtId="0" fontId="12" fillId="0" borderId="0" xfId="0" applyFont="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72" fontId="12" fillId="0" borderId="0" xfId="0" applyNumberFormat="1" applyFont="1" applyAlignment="1">
      <alignment horizontal="center"/>
    </xf>
    <xf numFmtId="0" fontId="4" fillId="0" borderId="20" xfId="0" applyFont="1" applyBorder="1"/>
    <xf numFmtId="173" fontId="12" fillId="0" borderId="20" xfId="0" applyNumberFormat="1" applyFont="1" applyBorder="1" applyAlignment="1">
      <alignment horizontal="center"/>
    </xf>
    <xf numFmtId="0" fontId="4" fillId="0" borderId="21" xfId="0" applyFont="1" applyBorder="1"/>
    <xf numFmtId="0" fontId="4" fillId="0" borderId="23" xfId="0" applyFont="1" applyBorder="1"/>
    <xf numFmtId="0" fontId="4" fillId="0" borderId="24" xfId="0" applyFont="1" applyBorder="1"/>
    <xf numFmtId="0" fontId="12" fillId="0" borderId="26" xfId="0" applyFont="1" applyBorder="1" applyAlignment="1">
      <alignment horizontal="center"/>
    </xf>
    <xf numFmtId="0" fontId="4" fillId="0" borderId="27" xfId="0" applyFont="1" applyBorder="1"/>
    <xf numFmtId="0" fontId="33" fillId="0" borderId="25" xfId="0" applyFont="1" applyBorder="1"/>
    <xf numFmtId="0" fontId="33" fillId="0" borderId="22" xfId="0" applyFont="1" applyBorder="1"/>
    <xf numFmtId="0" fontId="15" fillId="0" borderId="22" xfId="0" applyFont="1" applyBorder="1"/>
    <xf numFmtId="0" fontId="15" fillId="0" borderId="21" xfId="0" applyFont="1" applyBorder="1"/>
    <xf numFmtId="0" fontId="4" fillId="0" borderId="0" xfId="0" applyFont="1" applyAlignment="1">
      <alignment horizontal="center"/>
    </xf>
    <xf numFmtId="171" fontId="12" fillId="6" borderId="7" xfId="0" applyNumberFormat="1" applyFont="1" applyFill="1" applyBorder="1" applyAlignment="1">
      <alignment horizontal="center"/>
    </xf>
    <xf numFmtId="171" fontId="12" fillId="6" borderId="47" xfId="0" applyNumberFormat="1" applyFont="1" applyFill="1" applyBorder="1" applyAlignment="1">
      <alignment horizontal="center"/>
    </xf>
    <xf numFmtId="0" fontId="4" fillId="0" borderId="0" xfId="0" applyFont="1" applyAlignment="1">
      <alignment vertical="center"/>
    </xf>
    <xf numFmtId="0" fontId="4" fillId="0" borderId="0" xfId="0" applyFont="1" applyAlignment="1">
      <alignment horizontal="left" vertical="center"/>
    </xf>
    <xf numFmtId="202" fontId="5" fillId="2" borderId="0" xfId="0" applyNumberFormat="1" applyFont="1" applyFill="1" applyAlignment="1">
      <alignment horizontal="center" vertical="center" wrapText="1"/>
    </xf>
    <xf numFmtId="0" fontId="4" fillId="0" borderId="22" xfId="0" applyFont="1" applyBorder="1" applyAlignment="1">
      <alignment horizontal="left" indent="1"/>
    </xf>
    <xf numFmtId="176" fontId="31" fillId="0" borderId="23" xfId="0" applyNumberFormat="1" applyFont="1" applyBorder="1"/>
    <xf numFmtId="0" fontId="45" fillId="2" borderId="26" xfId="0" applyFont="1" applyFill="1" applyBorder="1"/>
    <xf numFmtId="0" fontId="45" fillId="2" borderId="27" xfId="0" applyFont="1" applyFill="1" applyBorder="1"/>
    <xf numFmtId="0" fontId="2" fillId="2" borderId="25" xfId="0" applyFont="1" applyFill="1" applyBorder="1"/>
    <xf numFmtId="0" fontId="45" fillId="0" borderId="0" xfId="0" applyFont="1"/>
    <xf numFmtId="0" fontId="45" fillId="0" borderId="23" xfId="0" applyFont="1" applyBorder="1"/>
    <xf numFmtId="0" fontId="2" fillId="0" borderId="22" xfId="0" applyFont="1" applyBorder="1"/>
    <xf numFmtId="0" fontId="3" fillId="0" borderId="0" xfId="0" applyFont="1" applyAlignment="1">
      <alignment vertical="center" wrapText="1"/>
    </xf>
    <xf numFmtId="14" fontId="3" fillId="0" borderId="0" xfId="0" applyNumberFormat="1" applyFont="1" applyAlignment="1">
      <alignment horizontal="center" vertical="center" wrapText="1"/>
    </xf>
    <xf numFmtId="0" fontId="15" fillId="13" borderId="26" xfId="0" applyFont="1" applyFill="1" applyBorder="1" applyAlignment="1">
      <alignment horizontal="left"/>
    </xf>
    <xf numFmtId="5" fontId="33" fillId="13" borderId="26" xfId="0" applyNumberFormat="1" applyFont="1" applyFill="1" applyBorder="1"/>
    <xf numFmtId="5" fontId="15" fillId="13" borderId="26" xfId="0" applyNumberFormat="1" applyFont="1" applyFill="1" applyBorder="1"/>
    <xf numFmtId="5" fontId="33" fillId="0" borderId="26" xfId="0" applyNumberFormat="1" applyFont="1" applyBorder="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41" fontId="27" fillId="0" borderId="0" xfId="0" applyNumberFormat="1" applyFont="1" applyAlignment="1">
      <alignment horizontal="right" wrapText="1"/>
    </xf>
    <xf numFmtId="0" fontId="2" fillId="14" borderId="0" xfId="0" applyFont="1" applyFill="1" applyAlignment="1">
      <alignment vertical="center" wrapText="1"/>
    </xf>
    <xf numFmtId="0" fontId="3" fillId="14" borderId="0" xfId="0" applyFont="1" applyFill="1" applyAlignment="1">
      <alignment vertical="center" wrapText="1"/>
    </xf>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0" fontId="3" fillId="15" borderId="0" xfId="0" applyFont="1" applyFill="1" applyAlignment="1">
      <alignment vertical="center" wrapText="1"/>
    </xf>
    <xf numFmtId="14" fontId="3" fillId="15" borderId="0" xfId="0" applyNumberFormat="1" applyFont="1" applyFill="1" applyAlignment="1">
      <alignment horizontal="center" vertical="center" wrapText="1"/>
    </xf>
    <xf numFmtId="167" fontId="7" fillId="0" borderId="0" xfId="1" applyNumberFormat="1" applyFont="1" applyFill="1" applyBorder="1" applyAlignment="1">
      <alignment horizontal="right" vertical="center" wrapText="1"/>
    </xf>
    <xf numFmtId="0" fontId="2" fillId="2" borderId="0" xfId="0" applyFont="1" applyFill="1" applyAlignment="1">
      <alignment horizontal="centerContinuous" vertical="center" wrapText="1"/>
    </xf>
    <xf numFmtId="0" fontId="2" fillId="14" borderId="4" xfId="0" applyFont="1" applyFill="1" applyBorder="1" applyAlignment="1">
      <alignment horizontal="centerContinuous" vertical="center" wrapText="1"/>
    </xf>
    <xf numFmtId="0" fontId="4" fillId="14" borderId="0" xfId="0" applyFont="1" applyFill="1" applyAlignment="1">
      <alignment wrapText="1"/>
    </xf>
    <xf numFmtId="0" fontId="5" fillId="14" borderId="0" xfId="0" applyFont="1" applyFill="1" applyAlignment="1">
      <alignment horizontal="center" vertical="center" wrapText="1"/>
    </xf>
    <xf numFmtId="14" fontId="3" fillId="14" borderId="0" xfId="0" applyNumberFormat="1" applyFont="1" applyFill="1" applyAlignment="1">
      <alignment horizontal="center" vertical="center" wrapText="1"/>
    </xf>
    <xf numFmtId="201" fontId="5" fillId="2" borderId="0" xfId="0" applyNumberFormat="1" applyFont="1" applyFill="1" applyAlignment="1">
      <alignment horizontal="center" vertical="center" wrapText="1"/>
    </xf>
    <xf numFmtId="0" fontId="2" fillId="16" borderId="0" xfId="0" applyFont="1" applyFill="1" applyAlignment="1">
      <alignment vertical="center" wrapText="1"/>
    </xf>
    <xf numFmtId="0" fontId="3" fillId="16" borderId="0" xfId="0" applyFont="1" applyFill="1" applyAlignment="1">
      <alignment vertical="center" wrapText="1"/>
    </xf>
    <xf numFmtId="202" fontId="5" fillId="16" borderId="0" xfId="0" applyNumberFormat="1" applyFont="1" applyFill="1" applyAlignment="1">
      <alignment horizontal="center" vertical="center" wrapText="1"/>
    </xf>
    <xf numFmtId="201" fontId="5" fillId="16" borderId="0" xfId="0" applyNumberFormat="1" applyFont="1" applyFill="1" applyAlignment="1">
      <alignment horizontal="center" vertical="center" wrapText="1"/>
    </xf>
    <xf numFmtId="14" fontId="3" fillId="16" borderId="0" xfId="0" applyNumberFormat="1" applyFont="1" applyFill="1" applyAlignment="1">
      <alignment horizontal="center" vertical="center" wrapText="1"/>
    </xf>
    <xf numFmtId="0" fontId="2" fillId="17" borderId="0" xfId="0" applyFont="1" applyFill="1" applyAlignment="1">
      <alignment vertical="center" wrapText="1"/>
    </xf>
    <xf numFmtId="0" fontId="2" fillId="17" borderId="4" xfId="0" applyFont="1" applyFill="1" applyBorder="1" applyAlignment="1">
      <alignment horizontal="centerContinuous" vertical="center" wrapText="1"/>
    </xf>
    <xf numFmtId="0" fontId="4" fillId="17" borderId="0" xfId="0" applyFont="1" applyFill="1" applyAlignment="1">
      <alignment wrapText="1"/>
    </xf>
    <xf numFmtId="0" fontId="5" fillId="17" borderId="0" xfId="0" applyFont="1" applyFill="1" applyAlignment="1">
      <alignment horizontal="center" vertical="center" wrapText="1"/>
    </xf>
    <xf numFmtId="0" fontId="3" fillId="17" borderId="0" xfId="0" applyFont="1" applyFill="1" applyAlignment="1">
      <alignment vertical="center" wrapText="1"/>
    </xf>
    <xf numFmtId="0" fontId="5" fillId="17" borderId="0" xfId="0" applyFont="1" applyFill="1" applyAlignment="1">
      <alignment vertical="center" wrapText="1"/>
    </xf>
    <xf numFmtId="14" fontId="3" fillId="17" borderId="0" xfId="0" applyNumberFormat="1" applyFont="1" applyFill="1" applyAlignment="1">
      <alignment horizontal="center" vertical="center" wrapText="1"/>
    </xf>
    <xf numFmtId="14" fontId="3" fillId="17" borderId="0" xfId="0" applyNumberFormat="1" applyFont="1" applyFill="1" applyAlignment="1">
      <alignment vertical="center" wrapText="1"/>
    </xf>
    <xf numFmtId="0" fontId="2" fillId="18" borderId="0" xfId="0" applyFont="1" applyFill="1" applyAlignment="1">
      <alignment vertical="center" wrapText="1"/>
    </xf>
    <xf numFmtId="0" fontId="2" fillId="18" borderId="4" xfId="0" applyFont="1" applyFill="1" applyBorder="1" applyAlignment="1">
      <alignment horizontal="centerContinuous" vertical="center" wrapText="1"/>
    </xf>
    <xf numFmtId="0" fontId="3" fillId="18" borderId="0" xfId="0" applyFont="1" applyFill="1" applyAlignment="1">
      <alignment vertical="center" wrapText="1"/>
    </xf>
    <xf numFmtId="202" fontId="5" fillId="18" borderId="0" xfId="0" applyNumberFormat="1" applyFont="1" applyFill="1" applyAlignment="1">
      <alignment horizontal="center" vertical="center" wrapText="1"/>
    </xf>
    <xf numFmtId="201" fontId="5" fillId="18" borderId="0" xfId="0" applyNumberFormat="1" applyFont="1" applyFill="1" applyAlignment="1">
      <alignment horizontal="center" vertical="center" wrapText="1"/>
    </xf>
    <xf numFmtId="14" fontId="3" fillId="18" borderId="0" xfId="0" applyNumberFormat="1" applyFont="1" applyFill="1" applyAlignment="1">
      <alignment horizontal="center" vertical="center" wrapText="1"/>
    </xf>
    <xf numFmtId="202" fontId="5" fillId="15" borderId="0" xfId="0" applyNumberFormat="1" applyFont="1" applyFill="1" applyAlignment="1">
      <alignment horizontal="center" vertical="center" wrapText="1"/>
    </xf>
    <xf numFmtId="201" fontId="5" fillId="15" borderId="0" xfId="0" applyNumberFormat="1" applyFont="1" applyFill="1" applyAlignment="1">
      <alignment horizontal="center" vertical="center" wrapText="1"/>
    </xf>
    <xf numFmtId="14" fontId="12" fillId="0" borderId="0" xfId="5" applyNumberFormat="1" applyFont="1" applyAlignment="1">
      <alignment horizontal="right"/>
    </xf>
    <xf numFmtId="14" fontId="31" fillId="0" borderId="0" xfId="5" applyNumberFormat="1" applyFont="1" applyAlignment="1">
      <alignment horizontal="right"/>
    </xf>
    <xf numFmtId="7" fontId="12" fillId="0" borderId="0" xfId="0" applyNumberFormat="1" applyFont="1"/>
    <xf numFmtId="0" fontId="43" fillId="0" borderId="0" xfId="0" applyFont="1" applyAlignment="1">
      <alignment horizontal="center"/>
    </xf>
    <xf numFmtId="177" fontId="31" fillId="0" borderId="20" xfId="0" applyNumberFormat="1" applyFont="1" applyBorder="1"/>
    <xf numFmtId="7" fontId="29" fillId="0" borderId="20" xfId="0" applyNumberFormat="1" applyFont="1" applyBorder="1" applyAlignment="1">
      <alignment horizontal="right"/>
    </xf>
    <xf numFmtId="0" fontId="42" fillId="0" borderId="23" xfId="6" applyFont="1" applyBorder="1"/>
    <xf numFmtId="0" fontId="4" fillId="0" borderId="25" xfId="0" applyFont="1" applyBorder="1"/>
    <xf numFmtId="14" fontId="12" fillId="0" borderId="26" xfId="5" applyNumberFormat="1" applyFont="1" applyBorder="1" applyAlignment="1">
      <alignment horizontal="right"/>
    </xf>
    <xf numFmtId="176" fontId="29" fillId="0" borderId="26" xfId="0" applyNumberFormat="1" applyFont="1" applyBorder="1"/>
    <xf numFmtId="0" fontId="6" fillId="0" borderId="0" xfId="0" applyFont="1" applyAlignment="1">
      <alignment vertical="center" wrapText="1"/>
    </xf>
    <xf numFmtId="0" fontId="16" fillId="0" borderId="22" xfId="0" applyFont="1" applyBorder="1" applyAlignment="1">
      <alignment horizontal="left" indent="2"/>
    </xf>
    <xf numFmtId="176" fontId="27" fillId="0" borderId="0" xfId="0" applyNumberFormat="1" applyFont="1"/>
    <xf numFmtId="0" fontId="24" fillId="0" borderId="0" xfId="0" applyFont="1" applyAlignment="1">
      <alignment horizontal="left" vertical="center" indent="1"/>
    </xf>
    <xf numFmtId="167" fontId="10" fillId="0" borderId="0" xfId="1" applyNumberFormat="1" applyFont="1" applyFill="1" applyAlignment="1">
      <alignment horizontal="right" vertical="center"/>
    </xf>
    <xf numFmtId="0" fontId="16" fillId="0" borderId="0" xfId="0" applyFont="1" applyAlignment="1">
      <alignment horizontal="left" vertical="center" indent="1"/>
    </xf>
    <xf numFmtId="0" fontId="2" fillId="2" borderId="0" xfId="0" applyFont="1" applyFill="1" applyAlignment="1">
      <alignment horizontal="centerContinuous" vertical="center"/>
    </xf>
    <xf numFmtId="0" fontId="34" fillId="0" borderId="22" xfId="0" applyFont="1" applyBorder="1" applyAlignment="1">
      <alignment horizontal="left" indent="1"/>
    </xf>
    <xf numFmtId="37" fontId="47" fillId="6" borderId="0" xfId="0" applyNumberFormat="1" applyFont="1" applyFill="1"/>
    <xf numFmtId="0" fontId="15" fillId="6" borderId="26" xfId="0" applyFont="1" applyFill="1" applyBorder="1"/>
    <xf numFmtId="7" fontId="33" fillId="6" borderId="26" xfId="0" applyNumberFormat="1" applyFont="1" applyFill="1" applyBorder="1"/>
    <xf numFmtId="173" fontId="29" fillId="0" borderId="0" xfId="0" applyNumberFormat="1" applyFont="1" applyAlignment="1">
      <alignment horizontal="right" vertical="center"/>
    </xf>
    <xf numFmtId="0" fontId="15" fillId="0" borderId="48" xfId="0" applyFont="1" applyBorder="1"/>
    <xf numFmtId="0" fontId="15" fillId="0" borderId="49" xfId="0" applyFont="1" applyBorder="1"/>
    <xf numFmtId="7" fontId="48" fillId="0" borderId="50" xfId="0" applyNumberFormat="1" applyFont="1" applyBorder="1"/>
    <xf numFmtId="0" fontId="2" fillId="2" borderId="0" xfId="0" applyFont="1" applyFill="1" applyAlignment="1">
      <alignment horizontal="centerContinuous"/>
    </xf>
    <xf numFmtId="0" fontId="2" fillId="2" borderId="0" xfId="0" applyFont="1" applyFill="1" applyAlignment="1">
      <alignment horizontal="left" vertical="center" wrapText="1"/>
    </xf>
    <xf numFmtId="0" fontId="3" fillId="2" borderId="4" xfId="0" applyFont="1" applyFill="1" applyBorder="1" applyAlignment="1">
      <alignment horizontal="left" vertical="center" wrapText="1"/>
    </xf>
    <xf numFmtId="0" fontId="2" fillId="0" borderId="0" xfId="0" applyFont="1" applyAlignment="1">
      <alignment horizontal="centerContinuous" vertical="center"/>
    </xf>
    <xf numFmtId="0" fontId="44" fillId="0" borderId="0" xfId="0" applyFont="1" applyAlignment="1">
      <alignment horizontal="center"/>
    </xf>
    <xf numFmtId="173" fontId="33" fillId="6" borderId="26" xfId="0" applyNumberFormat="1" applyFont="1" applyFill="1" applyBorder="1"/>
    <xf numFmtId="0" fontId="4" fillId="6" borderId="26" xfId="0" applyFont="1" applyFill="1" applyBorder="1"/>
    <xf numFmtId="173" fontId="11" fillId="0" borderId="0" xfId="0" applyNumberFormat="1" applyFont="1" applyAlignment="1">
      <alignment horizontal="right" vertical="center"/>
    </xf>
    <xf numFmtId="0" fontId="2" fillId="2" borderId="0" xfId="0" applyFont="1" applyFill="1" applyAlignment="1">
      <alignment horizontal="left" vertical="center"/>
    </xf>
    <xf numFmtId="0" fontId="15" fillId="7" borderId="26" xfId="0" applyFont="1" applyFill="1" applyBorder="1"/>
    <xf numFmtId="191" fontId="15" fillId="7" borderId="26" xfId="0" applyNumberFormat="1" applyFont="1" applyFill="1" applyBorder="1"/>
    <xf numFmtId="191" fontId="31" fillId="0" borderId="0" xfId="0" applyNumberFormat="1" applyFont="1" applyAlignment="1">
      <alignment vertical="center"/>
    </xf>
    <xf numFmtId="0" fontId="15" fillId="7" borderId="26" xfId="0" applyFont="1" applyFill="1" applyBorder="1" applyAlignment="1">
      <alignment vertical="center"/>
    </xf>
    <xf numFmtId="0" fontId="33" fillId="7" borderId="26" xfId="0" applyFont="1" applyFill="1" applyBorder="1" applyAlignment="1">
      <alignment vertical="center"/>
    </xf>
    <xf numFmtId="191" fontId="33" fillId="7" borderId="26" xfId="0" applyNumberFormat="1" applyFont="1" applyFill="1" applyBorder="1" applyAlignment="1">
      <alignment vertical="center"/>
    </xf>
    <xf numFmtId="0" fontId="2" fillId="0" borderId="0" xfId="0" applyFont="1" applyAlignment="1">
      <alignment horizontal="left" vertical="center" wrapText="1"/>
    </xf>
    <xf numFmtId="0" fontId="2" fillId="0" borderId="0" xfId="0" applyFont="1" applyAlignment="1">
      <alignment horizontal="centerContinuous" vertical="center" wrapText="1"/>
    </xf>
    <xf numFmtId="191" fontId="49" fillId="0" borderId="10" xfId="0" applyNumberFormat="1" applyFont="1" applyBorder="1" applyAlignment="1">
      <alignment horizontal="center"/>
    </xf>
    <xf numFmtId="191" fontId="49" fillId="0" borderId="0" xfId="0" applyNumberFormat="1" applyFont="1" applyAlignment="1">
      <alignment horizontal="center"/>
    </xf>
    <xf numFmtId="14" fontId="47" fillId="0" borderId="0" xfId="0" applyNumberFormat="1" applyFont="1" applyAlignment="1">
      <alignment horizontal="center"/>
    </xf>
    <xf numFmtId="0" fontId="2" fillId="0" borderId="0" xfId="0" applyFont="1" applyAlignment="1">
      <alignment horizontal="left" vertical="center"/>
    </xf>
    <xf numFmtId="37" fontId="15" fillId="7" borderId="26" xfId="0" applyNumberFormat="1" applyFont="1" applyFill="1" applyBorder="1"/>
    <xf numFmtId="196" fontId="15" fillId="6" borderId="26" xfId="0" applyNumberFormat="1" applyFont="1" applyFill="1" applyBorder="1" applyAlignment="1">
      <alignment horizontal="right"/>
    </xf>
    <xf numFmtId="191" fontId="29" fillId="0" borderId="37" xfId="0" applyNumberFormat="1" applyFont="1" applyBorder="1"/>
    <xf numFmtId="0" fontId="4" fillId="0" borderId="37" xfId="0" applyFont="1" applyBorder="1"/>
    <xf numFmtId="177" fontId="31" fillId="0" borderId="37" xfId="0" applyNumberFormat="1" applyFont="1" applyBorder="1"/>
    <xf numFmtId="191" fontId="31" fillId="0" borderId="37" xfId="0" applyNumberFormat="1" applyFont="1" applyBorder="1"/>
    <xf numFmtId="176" fontId="29" fillId="0" borderId="34" xfId="0" applyNumberFormat="1" applyFont="1" applyBorder="1" applyAlignment="1">
      <alignment vertical="center"/>
    </xf>
    <xf numFmtId="176" fontId="29" fillId="0" borderId="0" xfId="0" applyNumberFormat="1" applyFont="1" applyAlignment="1">
      <alignment vertical="center"/>
    </xf>
    <xf numFmtId="0" fontId="37" fillId="0" borderId="10" xfId="0" applyFont="1" applyBorder="1" applyAlignment="1">
      <alignment horizontal="centerContinuous"/>
    </xf>
    <xf numFmtId="191" fontId="33" fillId="6" borderId="26" xfId="0" applyNumberFormat="1" applyFont="1" applyFill="1" applyBorder="1"/>
    <xf numFmtId="191" fontId="33" fillId="7" borderId="51" xfId="0" applyNumberFormat="1" applyFont="1" applyFill="1" applyBorder="1"/>
    <xf numFmtId="191" fontId="33" fillId="7" borderId="26" xfId="0" applyNumberFormat="1" applyFont="1" applyFill="1" applyBorder="1"/>
    <xf numFmtId="167" fontId="10" fillId="20" borderId="0" xfId="1" applyNumberFormat="1" applyFont="1" applyFill="1" applyAlignment="1">
      <alignment horizontal="right" vertical="center"/>
    </xf>
    <xf numFmtId="177" fontId="50" fillId="19" borderId="46" xfId="0" applyNumberFormat="1" applyFont="1" applyFill="1" applyBorder="1" applyAlignment="1">
      <alignment horizontal="center" vertical="center"/>
    </xf>
    <xf numFmtId="41" fontId="22" fillId="0" borderId="0" xfId="0" applyNumberFormat="1" applyFont="1" applyAlignment="1">
      <alignment horizontal="right" vertical="center" wrapText="1"/>
    </xf>
    <xf numFmtId="0" fontId="46" fillId="0" borderId="0" xfId="0" applyFont="1" applyAlignment="1">
      <alignment horizontal="left" vertical="center" indent="1"/>
    </xf>
    <xf numFmtId="41" fontId="8" fillId="0" borderId="2" xfId="0" applyNumberFormat="1" applyFont="1" applyBorder="1" applyAlignment="1">
      <alignment horizontal="right" vertical="top" wrapText="1"/>
    </xf>
    <xf numFmtId="41" fontId="11" fillId="20" borderId="0" xfId="0" applyNumberFormat="1" applyFont="1" applyFill="1" applyAlignment="1">
      <alignment horizontal="right" vertical="top" wrapText="1"/>
    </xf>
    <xf numFmtId="43" fontId="22" fillId="20" borderId="0" xfId="0" applyNumberFormat="1" applyFont="1" applyFill="1" applyAlignment="1">
      <alignment wrapText="1"/>
    </xf>
    <xf numFmtId="167" fontId="9" fillId="0" borderId="0" xfId="1" applyNumberFormat="1" applyFont="1" applyFill="1" applyBorder="1" applyAlignment="1">
      <alignment horizontal="right" vertical="center" wrapText="1"/>
    </xf>
    <xf numFmtId="167" fontId="10" fillId="20" borderId="0" xfId="1" applyNumberFormat="1" applyFont="1" applyFill="1" applyBorder="1" applyAlignment="1">
      <alignment horizontal="right" vertical="center" wrapText="1"/>
    </xf>
    <xf numFmtId="0" fontId="22" fillId="0" borderId="1" xfId="0" applyFont="1" applyBorder="1" applyAlignment="1">
      <alignment vertical="top" wrapText="1"/>
    </xf>
    <xf numFmtId="43" fontId="22" fillId="0" borderId="1" xfId="0" applyNumberFormat="1" applyFont="1" applyBorder="1" applyAlignment="1">
      <alignment wrapText="1"/>
    </xf>
    <xf numFmtId="0" fontId="23" fillId="0" borderId="1" xfId="0" applyFont="1" applyBorder="1" applyAlignment="1">
      <alignment wrapText="1"/>
    </xf>
    <xf numFmtId="0" fontId="14" fillId="0" borderId="1" xfId="0" applyFont="1" applyBorder="1" applyAlignment="1">
      <alignment wrapText="1"/>
    </xf>
    <xf numFmtId="0" fontId="6" fillId="0" borderId="0" xfId="0" applyFont="1" applyAlignment="1">
      <alignment wrapText="1"/>
    </xf>
    <xf numFmtId="41" fontId="11" fillId="0" borderId="0" xfId="0" applyNumberFormat="1" applyFont="1" applyAlignment="1">
      <alignment horizontal="right" wrapText="1"/>
    </xf>
    <xf numFmtId="41" fontId="11" fillId="20" borderId="0" xfId="0" applyNumberFormat="1" applyFont="1" applyFill="1" applyAlignment="1">
      <alignment horizontal="right" wrapText="1"/>
    </xf>
    <xf numFmtId="167" fontId="7" fillId="5" borderId="0" xfId="1" applyNumberFormat="1" applyFont="1" applyFill="1" applyBorder="1" applyAlignment="1">
      <alignment horizontal="right" wrapText="1"/>
    </xf>
    <xf numFmtId="0" fontId="4" fillId="0" borderId="0" xfId="0" applyFont="1" applyAlignment="1">
      <alignment vertical="center" wrapText="1"/>
    </xf>
    <xf numFmtId="41" fontId="11" fillId="0" borderId="0" xfId="0" applyNumberFormat="1" applyFont="1" applyAlignment="1">
      <alignment horizontal="right" vertical="center" wrapText="1"/>
    </xf>
    <xf numFmtId="41" fontId="11" fillId="20" borderId="0" xfId="0" applyNumberFormat="1" applyFont="1" applyFill="1" applyAlignment="1">
      <alignment horizontal="right" vertical="center" wrapText="1"/>
    </xf>
    <xf numFmtId="37" fontId="4" fillId="0" borderId="0" xfId="0" applyNumberFormat="1" applyFont="1" applyAlignment="1">
      <alignment vertical="center" wrapText="1"/>
    </xf>
    <xf numFmtId="41" fontId="6" fillId="0" borderId="0" xfId="0" applyNumberFormat="1" applyFont="1"/>
    <xf numFmtId="41" fontId="10" fillId="0" borderId="0" xfId="0" applyNumberFormat="1" applyFont="1" applyAlignment="1">
      <alignment horizontal="right"/>
    </xf>
    <xf numFmtId="41" fontId="47" fillId="0" borderId="0" xfId="0" applyNumberFormat="1" applyFont="1"/>
    <xf numFmtId="0" fontId="14" fillId="3" borderId="0" xfId="0" applyFont="1" applyFill="1"/>
    <xf numFmtId="167" fontId="10" fillId="3" borderId="0" xfId="1" applyNumberFormat="1" applyFont="1" applyFill="1" applyBorder="1" applyAlignment="1">
      <alignment horizontal="right" vertical="center" wrapText="1"/>
    </xf>
    <xf numFmtId="167" fontId="52" fillId="3" borderId="0" xfId="1" applyNumberFormat="1" applyFont="1" applyFill="1" applyBorder="1" applyAlignment="1">
      <alignment horizontal="right" vertical="center" wrapText="1"/>
    </xf>
    <xf numFmtId="168" fontId="52" fillId="3" borderId="0" xfId="1" applyNumberFormat="1" applyFont="1" applyFill="1" applyBorder="1" applyAlignment="1">
      <alignment horizontal="right" vertical="center" wrapText="1"/>
    </xf>
    <xf numFmtId="0" fontId="14" fillId="0" borderId="0" xfId="0" applyFont="1"/>
    <xf numFmtId="0" fontId="24" fillId="0" borderId="3" xfId="0" applyFont="1" applyBorder="1" applyAlignment="1">
      <alignment horizontal="left" wrapText="1"/>
    </xf>
    <xf numFmtId="0" fontId="2" fillId="2" borderId="0" xfId="0" applyFont="1" applyFill="1" applyAlignment="1">
      <alignment horizontal="center" vertical="center" wrapText="1"/>
    </xf>
    <xf numFmtId="0" fontId="5" fillId="17" borderId="0" xfId="0" applyFont="1" applyFill="1" applyAlignment="1">
      <alignment horizontal="center" vertical="center" wrapText="1"/>
    </xf>
    <xf numFmtId="0" fontId="5" fillId="14" borderId="0" xfId="0" applyFont="1" applyFill="1" applyAlignment="1">
      <alignment horizontal="center" vertical="center" wrapText="1"/>
    </xf>
    <xf numFmtId="0" fontId="10" fillId="0" borderId="3" xfId="0" quotePrefix="1" applyFont="1" applyBorder="1" applyAlignment="1">
      <alignment horizontal="left" vertical="top" wrapText="1"/>
    </xf>
    <xf numFmtId="0" fontId="10" fillId="0" borderId="3" xfId="0" applyFont="1" applyBorder="1" applyAlignment="1">
      <alignment horizontal="left" vertical="top" wrapText="1"/>
    </xf>
    <xf numFmtId="0" fontId="10" fillId="0" borderId="0" xfId="0" quotePrefix="1" applyFont="1" applyAlignment="1">
      <alignment horizontal="left" vertical="top" wrapText="1"/>
    </xf>
    <xf numFmtId="0" fontId="10" fillId="0" borderId="0" xfId="0" applyFont="1" applyAlignment="1">
      <alignment horizontal="left" vertical="top" wrapText="1"/>
    </xf>
    <xf numFmtId="0" fontId="53" fillId="2" borderId="0" xfId="0" applyFont="1" applyFill="1" applyAlignment="1">
      <alignment horizontal="center" vertical="center" wrapText="1"/>
    </xf>
    <xf numFmtId="176" fontId="6" fillId="0" borderId="34" xfId="0" applyNumberFormat="1" applyFont="1" applyBorder="1" applyAlignment="1">
      <alignment vertical="center"/>
    </xf>
    <xf numFmtId="41" fontId="8" fillId="6" borderId="0" xfId="0" applyNumberFormat="1" applyFont="1" applyFill="1" applyBorder="1" applyAlignment="1">
      <alignment horizontal="right" vertical="top" wrapText="1"/>
    </xf>
    <xf numFmtId="41" fontId="6" fillId="6" borderId="0" xfId="0" applyNumberFormat="1" applyFont="1" applyFill="1" applyBorder="1" applyAlignment="1">
      <alignment horizontal="right" vertical="top" wrapText="1"/>
    </xf>
    <xf numFmtId="41" fontId="6" fillId="0" borderId="0" xfId="0" applyNumberFormat="1" applyFont="1" applyBorder="1" applyAlignment="1">
      <alignment horizontal="right" vertical="top" wrapText="1"/>
    </xf>
    <xf numFmtId="0" fontId="24" fillId="0" borderId="0" xfId="0" applyFont="1" applyBorder="1" applyAlignment="1">
      <alignment horizontal="left" wrapText="1"/>
    </xf>
    <xf numFmtId="41" fontId="11" fillId="0" borderId="0" xfId="0" applyNumberFormat="1" applyFont="1" applyFill="1" applyAlignment="1">
      <alignment horizontal="right" vertical="top" wrapText="1"/>
    </xf>
    <xf numFmtId="41" fontId="11" fillId="0" borderId="26" xfId="0" applyNumberFormat="1" applyFont="1" applyBorder="1" applyAlignment="1">
      <alignment horizontal="right" vertical="top" wrapText="1"/>
    </xf>
    <xf numFmtId="41" fontId="7" fillId="0" borderId="0" xfId="0" applyNumberFormat="1" applyFont="1" applyBorder="1" applyAlignment="1">
      <alignment horizontal="right" vertical="top" wrapText="1"/>
    </xf>
    <xf numFmtId="41" fontId="11" fillId="0" borderId="0" xfId="0" applyNumberFormat="1" applyFont="1" applyBorder="1" applyAlignment="1">
      <alignment horizontal="right" vertical="top" wrapText="1"/>
    </xf>
    <xf numFmtId="0" fontId="4" fillId="0" borderId="0" xfId="0" applyFont="1" applyFill="1" applyAlignment="1">
      <alignment wrapText="1"/>
    </xf>
    <xf numFmtId="0" fontId="8" fillId="0" borderId="0" xfId="0" applyFont="1" applyFill="1" applyBorder="1" applyAlignment="1">
      <alignment horizontal="right" vertical="center" wrapText="1"/>
    </xf>
    <xf numFmtId="41" fontId="8" fillId="0" borderId="0" xfId="0" applyNumberFormat="1" applyFont="1" applyFill="1" applyBorder="1" applyAlignment="1">
      <alignment horizontal="right" vertical="top" wrapText="1"/>
    </xf>
    <xf numFmtId="41" fontId="6" fillId="0" borderId="0" xfId="0" applyNumberFormat="1" applyFont="1" applyFill="1" applyAlignment="1">
      <alignment horizontal="right" vertical="top" wrapText="1"/>
    </xf>
    <xf numFmtId="37" fontId="4" fillId="0" borderId="0" xfId="0" applyNumberFormat="1" applyFont="1" applyFill="1" applyAlignment="1">
      <alignment wrapText="1"/>
    </xf>
    <xf numFmtId="41" fontId="7" fillId="0" borderId="22" xfId="0" applyNumberFormat="1" applyFont="1" applyBorder="1" applyAlignment="1">
      <alignment horizontal="right" vertical="top" wrapText="1"/>
    </xf>
    <xf numFmtId="176" fontId="30" fillId="0" borderId="0" xfId="0" applyNumberFormat="1" applyFont="1"/>
    <xf numFmtId="41" fontId="12" fillId="0" borderId="0" xfId="0" applyNumberFormat="1" applyFont="1"/>
    <xf numFmtId="41" fontId="31" fillId="0" borderId="0" xfId="0" applyNumberFormat="1" applyFont="1"/>
    <xf numFmtId="176" fontId="6" fillId="0" borderId="0" xfId="0" applyNumberFormat="1" applyFont="1"/>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CC"/>
      <color rgb="FF00B03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General</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General</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General</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General" sourceLinked="1"/>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General</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General</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General</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110</xdr:row>
      <xdr:rowOff>149424</xdr:rowOff>
    </xdr:from>
    <xdr:to>
      <xdr:col>4</xdr:col>
      <xdr:colOff>654844</xdr:colOff>
      <xdr:row>129</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110</xdr:row>
      <xdr:rowOff>149424</xdr:rowOff>
    </xdr:from>
    <xdr:to>
      <xdr:col>15</xdr:col>
      <xdr:colOff>657225</xdr:colOff>
      <xdr:row>129</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sheetData sheetId="1" refreshError="1"/>
      <sheetData sheetId="2">
        <row r="5">
          <cell r="H5">
            <v>273.52</v>
          </cell>
        </row>
      </sheetData>
      <sheetData sheetId="3" refreshError="1"/>
      <sheetData sheetId="4"/>
      <sheetData sheetId="5" refreshError="1"/>
      <sheetData sheetId="6">
        <row r="25">
          <cell r="E25">
            <v>14543</v>
          </cell>
        </row>
      </sheetData>
      <sheetData sheetId="7" refreshError="1"/>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Felix Garcia" id="{16C3545F-562D-4160-BC17-705257A81564}" userId="361af505b8eb0eeb" providerId="Windows Live"/>
</personList>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hreadedComments/threadedComment1.xml><?xml version="1.0" encoding="utf-8"?>
<ThreadedComments xmlns="http://schemas.microsoft.com/office/spreadsheetml/2018/threadedcomments" xmlns:x="http://schemas.openxmlformats.org/spreadsheetml/2006/main">
  <threadedComment ref="AE142" dT="2025-11-11T23:56:39.18" personId="{16C3545F-562D-4160-BC17-705257A81564}" id="{0DF19354-479D-46FC-9A52-B4B9B52A764D}">
    <text>Rounding Adjustment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BL168"/>
  <sheetViews>
    <sheetView showGridLines="0" zoomScale="115" zoomScaleNormal="115" workbookViewId="0">
      <selection activeCell="B24" sqref="A24:XFD24"/>
    </sheetView>
  </sheetViews>
  <sheetFormatPr defaultRowHeight="12" outlineLevelCol="3"/>
  <cols>
    <col min="1" max="1" width="1.625" style="5" bestFit="1" customWidth="1"/>
    <col min="2" max="2" width="49.125" style="5" bestFit="1" customWidth="1"/>
    <col min="3" max="4" width="8.625" style="5" hidden="1" customWidth="1" outlineLevel="2"/>
    <col min="5" max="5" width="8.625" style="5" customWidth="1" outlineLevel="1" collapsed="1"/>
    <col min="6" max="6" width="8.625" style="5" customWidth="1" outlineLevel="1"/>
    <col min="7" max="9" width="8.625" style="5" bestFit="1" customWidth="1"/>
    <col min="10" max="10" width="1.5" style="5" customWidth="1"/>
    <col min="11" max="13" width="7.875" style="5" customWidth="1" outlineLevel="3"/>
    <col min="14" max="14" width="8.625" style="5" customWidth="1" outlineLevel="3"/>
    <col min="15" max="17" width="7.875" style="5" customWidth="1" outlineLevel="3"/>
    <col min="18" max="18" width="8.625" style="5" customWidth="1" outlineLevel="3"/>
    <col min="19" max="21" width="7.875" style="5" customWidth="1" outlineLevel="3"/>
    <col min="22" max="22" width="8.625" style="5" customWidth="1" outlineLevel="3"/>
    <col min="23" max="25" width="8" style="5" customWidth="1" outlineLevel="3"/>
    <col min="26" max="26" width="8.625" style="5" customWidth="1" outlineLevel="3"/>
    <col min="27" max="29" width="8" style="5" customWidth="1" outlineLevel="2"/>
    <col min="30" max="30" width="8.625" style="5" customWidth="1" outlineLevel="2"/>
    <col min="31" max="31" width="8.375" style="5" customWidth="1" outlineLevel="1"/>
    <col min="32" max="33" width="8" style="5" customWidth="1" outlineLevel="1"/>
    <col min="34" max="34" width="8.625" style="5" customWidth="1" outlineLevel="1"/>
    <col min="35" max="36" width="8.25" style="5" customWidth="1" outlineLevel="1"/>
    <col min="37" max="37" width="8.25" style="5" bestFit="1" customWidth="1"/>
    <col min="38" max="38" width="8.625" style="5" bestFit="1" customWidth="1"/>
    <col min="39" max="39" width="8.25" style="5" bestFit="1" customWidth="1"/>
    <col min="40" max="41" width="8.625" style="5" bestFit="1" customWidth="1"/>
    <col min="42" max="42" width="1.5" style="5" customWidth="1"/>
    <col min="43" max="51" width="8.625" style="5" hidden="1" customWidth="1" outlineLevel="1"/>
    <col min="52" max="54" width="8" style="5" hidden="1" customWidth="1" outlineLevel="1"/>
    <col min="55" max="55" width="8.625" style="5" hidden="1" customWidth="1" outlineLevel="1"/>
    <col min="56" max="57" width="8.25" style="5" hidden="1" customWidth="1" outlineLevel="1"/>
    <col min="58" max="58" width="8.25" style="5" customWidth="1" collapsed="1"/>
    <col min="59" max="59" width="8.625" style="5" hidden="1" customWidth="1" outlineLevel="1"/>
    <col min="60" max="60" width="8.25" style="5" hidden="1" customWidth="1" outlineLevel="1"/>
    <col min="61" max="61" width="8.625" style="5" hidden="1" customWidth="1" outlineLevel="1"/>
    <col min="62" max="62" width="8.625" style="5" bestFit="1" customWidth="1" collapsed="1"/>
    <col min="63" max="63" width="1.25" style="5" customWidth="1"/>
    <col min="64" max="64" width="8" style="5" bestFit="1" customWidth="1"/>
    <col min="65" max="65" width="1.375" style="5" customWidth="1"/>
    <col min="66" max="16384" width="9" style="5"/>
  </cols>
  <sheetData>
    <row r="2" spans="1:64" ht="12.75" customHeight="1">
      <c r="B2" s="1" t="s">
        <v>452</v>
      </c>
      <c r="C2" s="378"/>
      <c r="D2" s="378"/>
      <c r="E2" s="378"/>
      <c r="F2" s="378"/>
      <c r="G2" s="378"/>
      <c r="H2" s="378"/>
      <c r="I2" s="378"/>
      <c r="J2" s="3"/>
      <c r="K2" s="378"/>
      <c r="L2" s="378"/>
      <c r="M2" s="378"/>
      <c r="N2" s="378"/>
      <c r="O2" s="378"/>
      <c r="P2" s="378"/>
      <c r="Q2" s="378"/>
      <c r="R2" s="378"/>
      <c r="S2" s="378"/>
      <c r="T2" s="378"/>
      <c r="U2" s="378"/>
      <c r="V2" s="378"/>
      <c r="W2" s="378"/>
      <c r="X2" s="378"/>
      <c r="Y2" s="378"/>
      <c r="Z2" s="378"/>
      <c r="AA2" s="378"/>
      <c r="AB2" s="378"/>
      <c r="AC2" s="378"/>
      <c r="AD2" s="378"/>
      <c r="AE2" s="378"/>
      <c r="AF2" s="378"/>
      <c r="AG2" s="378"/>
      <c r="AH2" s="378"/>
      <c r="AI2" s="378"/>
      <c r="AJ2" s="378"/>
      <c r="AK2" s="378"/>
      <c r="AL2" s="378"/>
      <c r="AM2" s="378"/>
      <c r="AN2" s="378"/>
      <c r="AO2" s="378"/>
      <c r="AP2" s="3"/>
      <c r="AQ2" s="378"/>
      <c r="AR2" s="378"/>
      <c r="AS2" s="378"/>
      <c r="AT2" s="378"/>
      <c r="AU2" s="378"/>
      <c r="AV2" s="378"/>
      <c r="AW2" s="378"/>
      <c r="AX2" s="378"/>
      <c r="AY2" s="378"/>
      <c r="AZ2" s="378"/>
      <c r="BA2" s="378"/>
      <c r="BB2" s="378"/>
      <c r="BC2" s="378"/>
      <c r="BD2" s="378"/>
      <c r="BE2" s="378"/>
      <c r="BF2" s="378"/>
      <c r="BG2" s="378"/>
      <c r="BH2" s="378"/>
      <c r="BI2" s="378"/>
      <c r="BJ2" s="378"/>
      <c r="BK2" s="3"/>
      <c r="BL2" s="1"/>
    </row>
    <row r="3" spans="1:64" ht="12.75" customHeight="1">
      <c r="B3" s="6" t="s">
        <v>432</v>
      </c>
      <c r="C3" s="7"/>
      <c r="D3" s="7"/>
      <c r="E3" s="7"/>
      <c r="F3" s="7"/>
      <c r="G3" s="7"/>
      <c r="H3" s="7"/>
      <c r="I3" s="7"/>
      <c r="J3" s="3"/>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3"/>
      <c r="AQ3" s="4"/>
      <c r="AR3" s="4"/>
      <c r="AS3" s="4"/>
      <c r="AT3" s="4"/>
      <c r="AU3" s="4"/>
      <c r="AV3" s="4"/>
      <c r="AW3" s="4"/>
      <c r="AX3" s="4"/>
      <c r="AY3" s="4"/>
      <c r="AZ3" s="4"/>
      <c r="BA3" s="4"/>
      <c r="BB3" s="4"/>
      <c r="BC3" s="4"/>
      <c r="BD3" s="4"/>
      <c r="BE3" s="4"/>
      <c r="BF3" s="4"/>
      <c r="BG3" s="4"/>
      <c r="BH3" s="4"/>
      <c r="BI3" s="4"/>
      <c r="BJ3" s="4"/>
      <c r="BK3" s="3"/>
      <c r="BL3" s="1"/>
    </row>
    <row r="4" spans="1:64" ht="12.75" customHeight="1">
      <c r="B4" s="6" t="s">
        <v>422</v>
      </c>
      <c r="C4" s="3"/>
      <c r="D4" s="3"/>
      <c r="E4" s="3"/>
      <c r="F4" s="3"/>
      <c r="G4" s="3"/>
      <c r="H4" s="169"/>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1"/>
    </row>
    <row r="6" spans="1:64" ht="12.75" customHeight="1">
      <c r="A6" s="5" t="s">
        <v>25</v>
      </c>
      <c r="B6" s="1" t="s">
        <v>425</v>
      </c>
      <c r="C6" s="2"/>
      <c r="D6" s="2"/>
      <c r="E6" s="2"/>
      <c r="F6" s="2"/>
      <c r="G6" s="2" t="s">
        <v>0</v>
      </c>
      <c r="H6" s="2"/>
      <c r="I6" s="2"/>
      <c r="J6" s="3"/>
      <c r="K6" s="2" t="s">
        <v>1</v>
      </c>
      <c r="L6" s="2"/>
      <c r="M6" s="2"/>
      <c r="N6" s="2"/>
      <c r="O6" s="2"/>
      <c r="P6" s="2"/>
      <c r="Q6" s="2"/>
      <c r="R6" s="2"/>
      <c r="S6" s="2"/>
      <c r="T6" s="2"/>
      <c r="U6" s="2"/>
      <c r="V6" s="2"/>
      <c r="W6" s="2"/>
      <c r="X6" s="2"/>
      <c r="Y6" s="2"/>
      <c r="Z6" s="2"/>
      <c r="AA6" s="2" t="s">
        <v>1</v>
      </c>
      <c r="AB6" s="2"/>
      <c r="AC6" s="2"/>
      <c r="AD6" s="2"/>
      <c r="AE6" s="2"/>
      <c r="AF6" s="2"/>
      <c r="AG6" s="2"/>
      <c r="AH6" s="2"/>
      <c r="AI6" s="2"/>
      <c r="AJ6" s="2"/>
      <c r="AK6" s="2" t="s">
        <v>1</v>
      </c>
      <c r="AL6" s="2"/>
      <c r="AM6" s="2"/>
      <c r="AN6" s="2"/>
      <c r="AO6" s="2"/>
      <c r="AP6" s="3"/>
      <c r="AQ6" s="2" t="s">
        <v>10</v>
      </c>
      <c r="AR6" s="2"/>
      <c r="AS6" s="2"/>
      <c r="AT6" s="2"/>
      <c r="AU6" s="2"/>
      <c r="AV6" s="2"/>
      <c r="AW6" s="2"/>
      <c r="AX6" s="2"/>
      <c r="AY6" s="2"/>
      <c r="AZ6" s="2"/>
      <c r="BA6" s="2"/>
      <c r="BB6" s="2"/>
      <c r="BC6" s="2"/>
      <c r="BD6" s="2"/>
      <c r="BE6" s="2" t="s">
        <v>10</v>
      </c>
      <c r="BF6" s="2" t="s">
        <v>10</v>
      </c>
      <c r="BG6" s="2"/>
      <c r="BH6" s="2"/>
      <c r="BI6" s="2"/>
      <c r="BJ6" s="2"/>
      <c r="BK6" s="41"/>
      <c r="BL6" s="493" t="s">
        <v>38</v>
      </c>
    </row>
    <row r="7" spans="1:64" ht="12.75" customHeight="1">
      <c r="B7" s="6" t="s">
        <v>433</v>
      </c>
      <c r="C7" s="7">
        <v>2018</v>
      </c>
      <c r="D7" s="7">
        <v>2019</v>
      </c>
      <c r="E7" s="7">
        <v>2020</v>
      </c>
      <c r="F7" s="7">
        <v>2021</v>
      </c>
      <c r="G7" s="7">
        <v>2022</v>
      </c>
      <c r="H7" s="7">
        <v>2023</v>
      </c>
      <c r="I7" s="7">
        <v>2024</v>
      </c>
      <c r="J7" s="3"/>
      <c r="K7" s="4" t="s">
        <v>460</v>
      </c>
      <c r="L7" s="4" t="s">
        <v>461</v>
      </c>
      <c r="M7" s="4" t="s">
        <v>462</v>
      </c>
      <c r="N7" s="4" t="s">
        <v>463</v>
      </c>
      <c r="O7" s="4" t="s">
        <v>464</v>
      </c>
      <c r="P7" s="4" t="s">
        <v>465</v>
      </c>
      <c r="Q7" s="4" t="s">
        <v>466</v>
      </c>
      <c r="R7" s="4" t="s">
        <v>467</v>
      </c>
      <c r="S7" s="4" t="s">
        <v>468</v>
      </c>
      <c r="T7" s="4" t="s">
        <v>469</v>
      </c>
      <c r="U7" s="4" t="s">
        <v>470</v>
      </c>
      <c r="V7" s="4" t="s">
        <v>471</v>
      </c>
      <c r="W7" s="4" t="s">
        <v>456</v>
      </c>
      <c r="X7" s="4" t="s">
        <v>457</v>
      </c>
      <c r="Y7" s="4" t="s">
        <v>458</v>
      </c>
      <c r="Z7" s="4" t="s">
        <v>459</v>
      </c>
      <c r="AA7" s="4" t="s">
        <v>40</v>
      </c>
      <c r="AB7" s="4" t="s">
        <v>41</v>
      </c>
      <c r="AC7" s="4" t="s">
        <v>42</v>
      </c>
      <c r="AD7" s="4" t="s">
        <v>43</v>
      </c>
      <c r="AE7" s="4" t="s">
        <v>6</v>
      </c>
      <c r="AF7" s="4" t="s">
        <v>7</v>
      </c>
      <c r="AG7" s="4" t="s">
        <v>8</v>
      </c>
      <c r="AH7" s="4" t="s">
        <v>9</v>
      </c>
      <c r="AI7" s="4" t="s">
        <v>2</v>
      </c>
      <c r="AJ7" s="4" t="s">
        <v>3</v>
      </c>
      <c r="AK7" s="4" t="s">
        <v>4</v>
      </c>
      <c r="AL7" s="4" t="s">
        <v>5</v>
      </c>
      <c r="AM7" s="4" t="s">
        <v>44</v>
      </c>
      <c r="AN7" s="4" t="s">
        <v>45</v>
      </c>
      <c r="AO7" s="4" t="s">
        <v>100</v>
      </c>
      <c r="AP7" s="3"/>
      <c r="AQ7" s="4" t="str">
        <f>V7</f>
        <v>4Q20</v>
      </c>
      <c r="AR7" s="4" t="str">
        <f>W7</f>
        <v>1Q21</v>
      </c>
      <c r="AS7" s="4" t="str">
        <f>X7</f>
        <v>2Q21</v>
      </c>
      <c r="AT7" s="4" t="str">
        <f>Y7</f>
        <v>3Q21</v>
      </c>
      <c r="AU7" s="4" t="str">
        <f>Z7</f>
        <v>4Q21</v>
      </c>
      <c r="AV7" s="4" t="str">
        <f>AA7</f>
        <v>1Q22</v>
      </c>
      <c r="AW7" s="4" t="str">
        <f>AB7</f>
        <v>2Q22</v>
      </c>
      <c r="AX7" s="4" t="str">
        <f>AC7</f>
        <v>3Q22</v>
      </c>
      <c r="AY7" s="4" t="str">
        <f>AD7</f>
        <v>4Q22</v>
      </c>
      <c r="AZ7" s="4" t="str">
        <f>AE7</f>
        <v>1Q23</v>
      </c>
      <c r="BA7" s="4" t="str">
        <f>AF7</f>
        <v>2Q23</v>
      </c>
      <c r="BB7" s="4" t="str">
        <f>AG7</f>
        <v>3Q23</v>
      </c>
      <c r="BC7" s="4" t="str">
        <f>AH7</f>
        <v>4Q23</v>
      </c>
      <c r="BD7" s="4" t="str">
        <f>AI7</f>
        <v>1Q24</v>
      </c>
      <c r="BE7" s="4" t="str">
        <f>AJ7</f>
        <v>2Q24</v>
      </c>
      <c r="BF7" s="4" t="str">
        <f>AK7</f>
        <v>3Q24</v>
      </c>
      <c r="BG7" s="4" t="str">
        <f>AL7</f>
        <v>4Q24</v>
      </c>
      <c r="BH7" s="4" t="str">
        <f>AM7</f>
        <v>1Q25</v>
      </c>
      <c r="BI7" s="4" t="str">
        <f>AN7</f>
        <v>2Q25</v>
      </c>
      <c r="BJ7" s="4" t="str">
        <f>AO7</f>
        <v>3Q25</v>
      </c>
      <c r="BK7" s="41"/>
      <c r="BL7" s="493"/>
    </row>
    <row r="8" spans="1:64" ht="12.75" customHeight="1">
      <c r="B8" s="6" t="s">
        <v>434</v>
      </c>
      <c r="C8" s="3">
        <v>43465</v>
      </c>
      <c r="D8" s="3">
        <v>43830</v>
      </c>
      <c r="E8" s="3">
        <v>44196</v>
      </c>
      <c r="F8" s="3">
        <v>44561</v>
      </c>
      <c r="G8" s="3">
        <v>44926</v>
      </c>
      <c r="H8" s="169">
        <v>45291</v>
      </c>
      <c r="I8" s="3">
        <v>45657</v>
      </c>
      <c r="J8" s="3"/>
      <c r="K8" s="3">
        <v>43190</v>
      </c>
      <c r="L8" s="3">
        <v>43281</v>
      </c>
      <c r="M8" s="3">
        <v>43372</v>
      </c>
      <c r="N8" s="3">
        <v>43465</v>
      </c>
      <c r="O8" s="3">
        <v>43554</v>
      </c>
      <c r="P8" s="3">
        <v>43645</v>
      </c>
      <c r="Q8" s="3">
        <v>43736</v>
      </c>
      <c r="R8" s="3">
        <v>43830</v>
      </c>
      <c r="S8" s="3">
        <v>43918</v>
      </c>
      <c r="T8" s="3">
        <v>44009</v>
      </c>
      <c r="U8" s="3">
        <v>44100</v>
      </c>
      <c r="V8" s="3">
        <v>44196</v>
      </c>
      <c r="W8" s="3">
        <v>44289</v>
      </c>
      <c r="X8" s="3">
        <v>44380</v>
      </c>
      <c r="Y8" s="3">
        <v>44471</v>
      </c>
      <c r="Z8" s="3">
        <v>44561</v>
      </c>
      <c r="AA8" s="3">
        <v>44653</v>
      </c>
      <c r="AB8" s="3">
        <v>44744</v>
      </c>
      <c r="AC8" s="3">
        <v>44835</v>
      </c>
      <c r="AD8" s="3">
        <v>44926</v>
      </c>
      <c r="AE8" s="3">
        <v>45017</v>
      </c>
      <c r="AF8" s="3">
        <v>45108</v>
      </c>
      <c r="AG8" s="3">
        <v>45199</v>
      </c>
      <c r="AH8" s="3">
        <v>45291</v>
      </c>
      <c r="AI8" s="3">
        <v>45381</v>
      </c>
      <c r="AJ8" s="3">
        <v>45472</v>
      </c>
      <c r="AK8" s="3">
        <v>45563</v>
      </c>
      <c r="AL8" s="3">
        <v>45657</v>
      </c>
      <c r="AM8" s="3">
        <v>45745</v>
      </c>
      <c r="AN8" s="3">
        <v>45836</v>
      </c>
      <c r="AO8" s="3">
        <v>45927</v>
      </c>
      <c r="AP8" s="3"/>
      <c r="AQ8" s="3">
        <f>V8</f>
        <v>44196</v>
      </c>
      <c r="AR8" s="3">
        <f>W8</f>
        <v>44289</v>
      </c>
      <c r="AS8" s="3">
        <f>X8</f>
        <v>44380</v>
      </c>
      <c r="AT8" s="3">
        <f>Y8</f>
        <v>44471</v>
      </c>
      <c r="AU8" s="3">
        <f>Z8</f>
        <v>44561</v>
      </c>
      <c r="AV8" s="3">
        <f>AA8</f>
        <v>44653</v>
      </c>
      <c r="AW8" s="3">
        <f>AB8</f>
        <v>44744</v>
      </c>
      <c r="AX8" s="3">
        <f>AC8</f>
        <v>44835</v>
      </c>
      <c r="AY8" s="3">
        <f>AD8</f>
        <v>44926</v>
      </c>
      <c r="AZ8" s="3">
        <f>AE8</f>
        <v>45017</v>
      </c>
      <c r="BA8" s="3">
        <f>AF8</f>
        <v>45108</v>
      </c>
      <c r="BB8" s="3">
        <f>AG8</f>
        <v>45199</v>
      </c>
      <c r="BC8" s="3">
        <f>AH8</f>
        <v>45291</v>
      </c>
      <c r="BD8" s="3">
        <f>AI8</f>
        <v>45381</v>
      </c>
      <c r="BE8" s="3">
        <f>AJ8</f>
        <v>45472</v>
      </c>
      <c r="BF8" s="3">
        <f>AK8</f>
        <v>45563</v>
      </c>
      <c r="BG8" s="3">
        <f>AL8</f>
        <v>45657</v>
      </c>
      <c r="BH8" s="3">
        <f>AM8</f>
        <v>45745</v>
      </c>
      <c r="BI8" s="3">
        <f>AN8</f>
        <v>45836</v>
      </c>
      <c r="BJ8" s="3">
        <f>AO8</f>
        <v>45927</v>
      </c>
      <c r="BK8" s="41"/>
      <c r="BL8" s="493"/>
    </row>
    <row r="9" spans="1:64" ht="5.0999999999999996" customHeight="1">
      <c r="BL9" s="377"/>
    </row>
    <row r="10" spans="1:64" ht="12.75" customHeight="1">
      <c r="B10" s="10" t="s">
        <v>92</v>
      </c>
      <c r="C10" s="332">
        <v>87934</v>
      </c>
      <c r="D10" s="332">
        <v>297897</v>
      </c>
      <c r="E10" s="332">
        <v>406785</v>
      </c>
      <c r="F10" s="332">
        <v>464700</v>
      </c>
      <c r="G10" s="332">
        <v>418933</v>
      </c>
      <c r="H10" s="332">
        <v>343376</v>
      </c>
      <c r="I10" s="332">
        <v>326452</v>
      </c>
      <c r="J10" s="12"/>
      <c r="K10" s="332">
        <v>12776</v>
      </c>
      <c r="L10" s="332">
        <v>17367</v>
      </c>
      <c r="M10" s="332">
        <v>26277</v>
      </c>
      <c r="N10" s="26">
        <f>SUM(C10-SUM(K10:M10))</f>
        <v>31514</v>
      </c>
      <c r="O10" s="332">
        <v>40206</v>
      </c>
      <c r="P10" s="332">
        <v>67251</v>
      </c>
      <c r="Q10" s="332">
        <v>91961</v>
      </c>
      <c r="R10" s="34">
        <f>SUM(D10-SUM(O10:Q10))</f>
        <v>98479</v>
      </c>
      <c r="S10" s="332">
        <v>97074</v>
      </c>
      <c r="T10" s="332">
        <v>113338</v>
      </c>
      <c r="U10" s="332">
        <v>94436</v>
      </c>
      <c r="V10" s="34">
        <f>SUM(E10-SUM(S10:U10))</f>
        <v>101937</v>
      </c>
      <c r="W10" s="332">
        <v>108164</v>
      </c>
      <c r="X10" s="332">
        <v>149426</v>
      </c>
      <c r="Y10" s="332">
        <v>106432</v>
      </c>
      <c r="Z10" s="34">
        <f>SUM(F10-SUM(W10:Y10))</f>
        <v>100678</v>
      </c>
      <c r="AA10" s="332">
        <v>109455</v>
      </c>
      <c r="AB10" s="332">
        <v>147040</v>
      </c>
      <c r="AC10" s="332">
        <v>82500</v>
      </c>
      <c r="AD10" s="34">
        <f>SUM(G10-SUM(AA10:AC10))</f>
        <v>79938</v>
      </c>
      <c r="AE10" s="332">
        <v>92236</v>
      </c>
      <c r="AF10" s="332">
        <v>102149</v>
      </c>
      <c r="AG10" s="332">
        <v>75312</v>
      </c>
      <c r="AH10" s="34">
        <f>SUM(H10-SUM(AE10:AG10))</f>
        <v>73679</v>
      </c>
      <c r="AI10" s="332">
        <v>75603</v>
      </c>
      <c r="AJ10" s="332">
        <v>93185</v>
      </c>
      <c r="AK10" s="332">
        <v>81006</v>
      </c>
      <c r="AL10" s="34">
        <f>SUM(I10-SUM(AI10:AK10))</f>
        <v>76658</v>
      </c>
      <c r="AM10" s="92">
        <v>68731</v>
      </c>
      <c r="AN10" s="92">
        <v>74958</v>
      </c>
      <c r="AO10" s="92">
        <v>70218</v>
      </c>
      <c r="AQ10" s="34">
        <f>SUM(S10:V10)</f>
        <v>406785</v>
      </c>
      <c r="AR10" s="34">
        <f>SUM(T10:W10)</f>
        <v>417875</v>
      </c>
      <c r="AS10" s="34">
        <f>SUM(U10:X10)</f>
        <v>453963</v>
      </c>
      <c r="AT10" s="34">
        <f>SUM(V10:Y10)</f>
        <v>465959</v>
      </c>
      <c r="AU10" s="34">
        <f>SUM(W10:Z10)</f>
        <v>464700</v>
      </c>
      <c r="AV10" s="34">
        <f>SUM(X10:AA10)</f>
        <v>465991</v>
      </c>
      <c r="AW10" s="34">
        <f>SUM(Y10:AB10)</f>
        <v>463605</v>
      </c>
      <c r="AX10" s="34">
        <f>SUM(Z10:AC10)</f>
        <v>439673</v>
      </c>
      <c r="AY10" s="34">
        <f>SUM(AA10:AD10)</f>
        <v>418933</v>
      </c>
      <c r="AZ10" s="34">
        <f>SUM(AB10:AE10)</f>
        <v>401714</v>
      </c>
      <c r="BA10" s="34">
        <f>SUM(AC10:AF10)</f>
        <v>356823</v>
      </c>
      <c r="BB10" s="34">
        <f>SUM(AD10:AG10)</f>
        <v>349635</v>
      </c>
      <c r="BC10" s="34">
        <f>SUM(AE10:AH10)</f>
        <v>343376</v>
      </c>
      <c r="BD10" s="34">
        <f>SUM(AF10:AI10)</f>
        <v>326743</v>
      </c>
      <c r="BE10" s="34">
        <f>SUM(AG10:AJ10)</f>
        <v>317779</v>
      </c>
      <c r="BF10" s="34">
        <f>SUM(AH10:AK10)</f>
        <v>323473</v>
      </c>
      <c r="BG10" s="34">
        <f>SUM(AI10:AL10)</f>
        <v>326452</v>
      </c>
      <c r="BH10" s="34">
        <f>SUM(AJ10:AM10)</f>
        <v>319580</v>
      </c>
      <c r="BI10" s="34">
        <f>SUM(AK10:AN10)</f>
        <v>301353</v>
      </c>
      <c r="BJ10" s="34">
        <f>SUM(AL10:AO10)</f>
        <v>290565</v>
      </c>
      <c r="BK10" s="43"/>
      <c r="BL10" s="83">
        <f>SUM(BI10/BE10)-1</f>
        <v>-5.1690010982475276E-2</v>
      </c>
    </row>
    <row r="11" spans="1:64" ht="12.75" customHeight="1">
      <c r="B11" s="14" t="s">
        <v>13</v>
      </c>
      <c r="C11" s="15">
        <f t="shared" ref="C11:I11" si="0">+SUM(C10:C10)</f>
        <v>87934</v>
      </c>
      <c r="D11" s="15">
        <f t="shared" si="0"/>
        <v>297897</v>
      </c>
      <c r="E11" s="15">
        <f t="shared" si="0"/>
        <v>406785</v>
      </c>
      <c r="F11" s="15">
        <f t="shared" si="0"/>
        <v>464700</v>
      </c>
      <c r="G11" s="15">
        <f t="shared" si="0"/>
        <v>418933</v>
      </c>
      <c r="H11" s="15">
        <f t="shared" si="0"/>
        <v>343376</v>
      </c>
      <c r="I11" s="15">
        <f t="shared" si="0"/>
        <v>326452</v>
      </c>
      <c r="J11" s="12"/>
      <c r="K11" s="15">
        <f t="shared" ref="K11:AN11" si="1">+SUM(K10:K10)</f>
        <v>12776</v>
      </c>
      <c r="L11" s="15">
        <f t="shared" si="1"/>
        <v>17367</v>
      </c>
      <c r="M11" s="15">
        <f t="shared" si="1"/>
        <v>26277</v>
      </c>
      <c r="N11" s="15">
        <f t="shared" si="1"/>
        <v>31514</v>
      </c>
      <c r="O11" s="15">
        <f t="shared" si="1"/>
        <v>40206</v>
      </c>
      <c r="P11" s="15">
        <f t="shared" si="1"/>
        <v>67251</v>
      </c>
      <c r="Q11" s="15">
        <f t="shared" si="1"/>
        <v>91961</v>
      </c>
      <c r="R11" s="15">
        <f t="shared" si="1"/>
        <v>98479</v>
      </c>
      <c r="S11" s="15">
        <f t="shared" si="1"/>
        <v>97074</v>
      </c>
      <c r="T11" s="15">
        <f t="shared" si="1"/>
        <v>113338</v>
      </c>
      <c r="U11" s="15">
        <f t="shared" si="1"/>
        <v>94436</v>
      </c>
      <c r="V11" s="15">
        <f t="shared" si="1"/>
        <v>101937</v>
      </c>
      <c r="W11" s="15">
        <f t="shared" si="1"/>
        <v>108164</v>
      </c>
      <c r="X11" s="15">
        <f t="shared" si="1"/>
        <v>149426</v>
      </c>
      <c r="Y11" s="15">
        <f t="shared" si="1"/>
        <v>106432</v>
      </c>
      <c r="Z11" s="15">
        <f t="shared" si="1"/>
        <v>100678</v>
      </c>
      <c r="AA11" s="15">
        <f t="shared" si="1"/>
        <v>109455</v>
      </c>
      <c r="AB11" s="15">
        <f t="shared" si="1"/>
        <v>147040</v>
      </c>
      <c r="AC11" s="15">
        <f t="shared" si="1"/>
        <v>82500</v>
      </c>
      <c r="AD11" s="15">
        <f t="shared" si="1"/>
        <v>79938</v>
      </c>
      <c r="AE11" s="15">
        <f t="shared" si="1"/>
        <v>92236</v>
      </c>
      <c r="AF11" s="15">
        <f t="shared" si="1"/>
        <v>102149</v>
      </c>
      <c r="AG11" s="15">
        <f t="shared" si="1"/>
        <v>75312</v>
      </c>
      <c r="AH11" s="15">
        <f t="shared" si="1"/>
        <v>73679</v>
      </c>
      <c r="AI11" s="15">
        <f t="shared" si="1"/>
        <v>75603</v>
      </c>
      <c r="AJ11" s="15">
        <f t="shared" si="1"/>
        <v>93185</v>
      </c>
      <c r="AK11" s="15">
        <f t="shared" si="1"/>
        <v>81006</v>
      </c>
      <c r="AL11" s="15">
        <f t="shared" si="1"/>
        <v>76658</v>
      </c>
      <c r="AM11" s="15">
        <f t="shared" si="1"/>
        <v>68731</v>
      </c>
      <c r="AN11" s="15">
        <f t="shared" si="1"/>
        <v>74958</v>
      </c>
      <c r="AO11" s="15">
        <f t="shared" ref="AO11" si="2">+SUM(AO10:AO10)</f>
        <v>70218</v>
      </c>
      <c r="AQ11" s="15">
        <f t="shared" ref="AQ11:AX11" si="3">+SUM(AQ10:AQ10)</f>
        <v>406785</v>
      </c>
      <c r="AR11" s="15">
        <f t="shared" si="3"/>
        <v>417875</v>
      </c>
      <c r="AS11" s="15">
        <f t="shared" si="3"/>
        <v>453963</v>
      </c>
      <c r="AT11" s="15">
        <f t="shared" si="3"/>
        <v>465959</v>
      </c>
      <c r="AU11" s="15">
        <f t="shared" si="3"/>
        <v>464700</v>
      </c>
      <c r="AV11" s="15">
        <f t="shared" si="3"/>
        <v>465991</v>
      </c>
      <c r="AW11" s="15">
        <f t="shared" si="3"/>
        <v>463605</v>
      </c>
      <c r="AX11" s="15">
        <f t="shared" si="3"/>
        <v>439673</v>
      </c>
      <c r="AY11" s="15">
        <f t="shared" ref="AY11:BI11" si="4">+SUM(AY10:AY10)</f>
        <v>418933</v>
      </c>
      <c r="AZ11" s="15">
        <f t="shared" si="4"/>
        <v>401714</v>
      </c>
      <c r="BA11" s="15">
        <f t="shared" si="4"/>
        <v>356823</v>
      </c>
      <c r="BB11" s="15">
        <f t="shared" si="4"/>
        <v>349635</v>
      </c>
      <c r="BC11" s="15">
        <f t="shared" si="4"/>
        <v>343376</v>
      </c>
      <c r="BD11" s="15">
        <f t="shared" si="4"/>
        <v>326743</v>
      </c>
      <c r="BE11" s="15">
        <f t="shared" si="4"/>
        <v>317779</v>
      </c>
      <c r="BF11" s="15">
        <f t="shared" si="4"/>
        <v>323473</v>
      </c>
      <c r="BG11" s="15">
        <f t="shared" si="4"/>
        <v>326452</v>
      </c>
      <c r="BH11" s="15">
        <f t="shared" si="4"/>
        <v>319580</v>
      </c>
      <c r="BI11" s="15">
        <f t="shared" si="4"/>
        <v>301353</v>
      </c>
      <c r="BJ11" s="15">
        <f t="shared" ref="BJ11" si="5">+SUM(BJ10:BJ10)</f>
        <v>290565</v>
      </c>
      <c r="BK11" s="43"/>
      <c r="BL11" s="84">
        <f t="shared" ref="BL11:BL31" si="6">SUM(BI11/BE11)-1</f>
        <v>-5.1690010982475276E-2</v>
      </c>
    </row>
    <row r="12" spans="1:64" s="22" customFormat="1" ht="5.0999999999999996" customHeight="1">
      <c r="B12" s="20"/>
      <c r="C12" s="21"/>
      <c r="D12" s="21"/>
      <c r="E12" s="21"/>
      <c r="F12" s="21"/>
      <c r="G12" s="21"/>
      <c r="H12" s="21"/>
      <c r="I12" s="21"/>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4"/>
      <c r="AN12" s="23"/>
      <c r="AO12" s="23"/>
      <c r="BL12" s="83"/>
    </row>
    <row r="13" spans="1:64" ht="12.75" customHeight="1">
      <c r="B13" s="10" t="s">
        <v>14</v>
      </c>
      <c r="C13" s="92">
        <v>-70360</v>
      </c>
      <c r="D13" s="92">
        <v>-198141</v>
      </c>
      <c r="E13" s="92">
        <v>-284510</v>
      </c>
      <c r="F13" s="92">
        <v>-347419</v>
      </c>
      <c r="G13" s="92">
        <v>-442676</v>
      </c>
      <c r="H13" s="92">
        <v>-426031</v>
      </c>
      <c r="I13" s="92">
        <v>-284753</v>
      </c>
      <c r="J13" s="26"/>
      <c r="K13" s="92">
        <v>-10719</v>
      </c>
      <c r="L13" s="92">
        <v>-14755</v>
      </c>
      <c r="M13" s="92">
        <v>-21235</v>
      </c>
      <c r="N13" s="26">
        <f>SUM(C13-SUM(K13:M13))</f>
        <v>-23651</v>
      </c>
      <c r="O13" s="92">
        <v>-29435</v>
      </c>
      <c r="P13" s="92">
        <v>-44510</v>
      </c>
      <c r="Q13" s="92">
        <v>-59178</v>
      </c>
      <c r="R13" s="34">
        <f>SUM(D13-SUM(O13:Q13))</f>
        <v>-65018</v>
      </c>
      <c r="S13" s="92">
        <v>-59383</v>
      </c>
      <c r="T13" s="92">
        <v>-79687</v>
      </c>
      <c r="U13" s="92">
        <v>-68908</v>
      </c>
      <c r="V13" s="34">
        <f>SUM(E13-SUM(S13:U13))</f>
        <v>-76532</v>
      </c>
      <c r="W13" s="92">
        <v>-75456</v>
      </c>
      <c r="X13" s="92">
        <v>-102074</v>
      </c>
      <c r="Y13" s="92">
        <v>-83456</v>
      </c>
      <c r="Z13" s="34">
        <f>SUM(F13-SUM(W13:Y13))</f>
        <v>-86433</v>
      </c>
      <c r="AA13" s="92">
        <v>-109265</v>
      </c>
      <c r="AB13" s="92">
        <v>-153202</v>
      </c>
      <c r="AC13" s="92">
        <v>-97340</v>
      </c>
      <c r="AD13" s="34">
        <f>SUM(G13-SUM(AA13:AC13))</f>
        <v>-82869</v>
      </c>
      <c r="AE13" s="92">
        <v>-86051</v>
      </c>
      <c r="AF13" s="92">
        <v>-99876</v>
      </c>
      <c r="AG13" s="92">
        <v>-82566</v>
      </c>
      <c r="AH13" s="34">
        <f>SUM(H13-SUM(AE13:AG13))</f>
        <v>-157538</v>
      </c>
      <c r="AI13" s="92">
        <v>-71935</v>
      </c>
      <c r="AJ13" s="92">
        <v>-79468</v>
      </c>
      <c r="AK13" s="92">
        <v>-66698</v>
      </c>
      <c r="AL13" s="34">
        <f>SUM(I13-SUM(AI13:AK13))</f>
        <v>-66652</v>
      </c>
      <c r="AM13" s="92">
        <v>-69796</v>
      </c>
      <c r="AN13" s="92">
        <v>-66367</v>
      </c>
      <c r="AO13" s="92">
        <v>-62988</v>
      </c>
      <c r="AQ13" s="34">
        <f>SUM(S13:V13)</f>
        <v>-284510</v>
      </c>
      <c r="AR13" s="34">
        <f>SUM(T13:W13)</f>
        <v>-300583</v>
      </c>
      <c r="AS13" s="34">
        <f>SUM(U13:X13)</f>
        <v>-322970</v>
      </c>
      <c r="AT13" s="34">
        <f>SUM(V13:Y13)</f>
        <v>-337518</v>
      </c>
      <c r="AU13" s="34">
        <f>SUM(W13:Z13)</f>
        <v>-347419</v>
      </c>
      <c r="AV13" s="34">
        <f>SUM(X13:AA13)</f>
        <v>-381228</v>
      </c>
      <c r="AW13" s="34">
        <f>SUM(Y13:AB13)</f>
        <v>-432356</v>
      </c>
      <c r="AX13" s="34">
        <f>SUM(Z13:AC13)</f>
        <v>-446240</v>
      </c>
      <c r="AY13" s="34">
        <f>SUM(AA13:AD13)</f>
        <v>-442676</v>
      </c>
      <c r="AZ13" s="34">
        <f>SUM(AB13:AE13)</f>
        <v>-419462</v>
      </c>
      <c r="BA13" s="34">
        <f>SUM(AC13:AF13)</f>
        <v>-366136</v>
      </c>
      <c r="BB13" s="34">
        <f>SUM(AD13:AG13)</f>
        <v>-351362</v>
      </c>
      <c r="BC13" s="34">
        <f>SUM(AE13:AH13)</f>
        <v>-426031</v>
      </c>
      <c r="BD13" s="34">
        <f>SUM(AF13:AI13)</f>
        <v>-411915</v>
      </c>
      <c r="BE13" s="34">
        <f>SUM(AG13:AJ13)</f>
        <v>-391507</v>
      </c>
      <c r="BF13" s="34">
        <f>SUM(AH13:AK13)</f>
        <v>-375639</v>
      </c>
      <c r="BG13" s="34">
        <f>SUM(AI13:AL13)</f>
        <v>-284753</v>
      </c>
      <c r="BH13" s="34">
        <f>SUM(AJ13:AM13)</f>
        <v>-282614</v>
      </c>
      <c r="BI13" s="34">
        <f>SUM(AK13:AN13)</f>
        <v>-269513</v>
      </c>
      <c r="BJ13" s="34">
        <f>SUM(AL13:AO13)</f>
        <v>-265803</v>
      </c>
      <c r="BK13" s="12"/>
      <c r="BL13" s="83">
        <f t="shared" si="6"/>
        <v>-0.31160106971267432</v>
      </c>
    </row>
    <row r="14" spans="1:64" ht="12.75" customHeight="1">
      <c r="B14" s="27" t="s">
        <v>31</v>
      </c>
      <c r="C14" s="28">
        <f t="shared" ref="C14:I14" si="7">+SUM(C11+SUM(C13:C13))</f>
        <v>17574</v>
      </c>
      <c r="D14" s="28">
        <f t="shared" si="7"/>
        <v>99756</v>
      </c>
      <c r="E14" s="28">
        <f t="shared" si="7"/>
        <v>122275</v>
      </c>
      <c r="F14" s="28">
        <f t="shared" si="7"/>
        <v>117281</v>
      </c>
      <c r="G14" s="28">
        <f t="shared" si="7"/>
        <v>-23743</v>
      </c>
      <c r="H14" s="28">
        <f t="shared" si="7"/>
        <v>-82655</v>
      </c>
      <c r="I14" s="28">
        <f t="shared" si="7"/>
        <v>41699</v>
      </c>
      <c r="K14" s="28">
        <f t="shared" ref="K14:AJ14" si="8">+SUM(K11+SUM(K13:K13))</f>
        <v>2057</v>
      </c>
      <c r="L14" s="28">
        <f t="shared" si="8"/>
        <v>2612</v>
      </c>
      <c r="M14" s="28">
        <f t="shared" si="8"/>
        <v>5042</v>
      </c>
      <c r="N14" s="28">
        <f t="shared" si="8"/>
        <v>7863</v>
      </c>
      <c r="O14" s="28">
        <f t="shared" si="8"/>
        <v>10771</v>
      </c>
      <c r="P14" s="28">
        <f t="shared" si="8"/>
        <v>22741</v>
      </c>
      <c r="Q14" s="28">
        <f t="shared" si="8"/>
        <v>32783</v>
      </c>
      <c r="R14" s="28">
        <f t="shared" si="8"/>
        <v>33461</v>
      </c>
      <c r="S14" s="28">
        <f t="shared" si="8"/>
        <v>37691</v>
      </c>
      <c r="T14" s="28">
        <f t="shared" si="8"/>
        <v>33651</v>
      </c>
      <c r="U14" s="28">
        <f t="shared" si="8"/>
        <v>25528</v>
      </c>
      <c r="V14" s="28">
        <f t="shared" si="8"/>
        <v>25405</v>
      </c>
      <c r="W14" s="28">
        <f t="shared" si="8"/>
        <v>32708</v>
      </c>
      <c r="X14" s="28">
        <f t="shared" si="8"/>
        <v>47352</v>
      </c>
      <c r="Y14" s="28">
        <f t="shared" si="8"/>
        <v>22976</v>
      </c>
      <c r="Z14" s="28">
        <f t="shared" si="8"/>
        <v>14245</v>
      </c>
      <c r="AA14" s="28">
        <f t="shared" si="8"/>
        <v>190</v>
      </c>
      <c r="AB14" s="28">
        <f t="shared" si="8"/>
        <v>-6162</v>
      </c>
      <c r="AC14" s="28">
        <f t="shared" si="8"/>
        <v>-14840</v>
      </c>
      <c r="AD14" s="28">
        <f t="shared" si="8"/>
        <v>-2931</v>
      </c>
      <c r="AE14" s="28">
        <f t="shared" si="8"/>
        <v>6185</v>
      </c>
      <c r="AF14" s="28">
        <f t="shared" si="8"/>
        <v>2273</v>
      </c>
      <c r="AG14" s="28">
        <f t="shared" si="8"/>
        <v>-7254</v>
      </c>
      <c r="AH14" s="28">
        <f t="shared" si="8"/>
        <v>-83859</v>
      </c>
      <c r="AI14" s="28">
        <f t="shared" si="8"/>
        <v>3668</v>
      </c>
      <c r="AJ14" s="28">
        <f t="shared" si="8"/>
        <v>13717</v>
      </c>
      <c r="AK14" s="28">
        <f>+SUM(AK11+SUM(AK13:AK13))</f>
        <v>14308</v>
      </c>
      <c r="AL14" s="28">
        <f>+SUM(AL11+SUM(AL13:AL13))</f>
        <v>10006</v>
      </c>
      <c r="AM14" s="28">
        <f>+SUM(AM11+SUM(AM13:AM13))</f>
        <v>-1065</v>
      </c>
      <c r="AN14" s="28">
        <f>+SUM(AN11+SUM(AN13:AN13))</f>
        <v>8591</v>
      </c>
      <c r="AO14" s="28">
        <f>+SUM(AO11+SUM(AO13:AO13))</f>
        <v>7230</v>
      </c>
      <c r="AQ14" s="28">
        <f t="shared" ref="AQ14:AX14" si="9">+SUM(AQ11+SUM(AQ13:AQ13))</f>
        <v>122275</v>
      </c>
      <c r="AR14" s="28">
        <f t="shared" si="9"/>
        <v>117292</v>
      </c>
      <c r="AS14" s="28">
        <f t="shared" si="9"/>
        <v>130993</v>
      </c>
      <c r="AT14" s="28">
        <f t="shared" si="9"/>
        <v>128441</v>
      </c>
      <c r="AU14" s="28">
        <f t="shared" si="9"/>
        <v>117281</v>
      </c>
      <c r="AV14" s="28">
        <f t="shared" si="9"/>
        <v>84763</v>
      </c>
      <c r="AW14" s="28">
        <f t="shared" si="9"/>
        <v>31249</v>
      </c>
      <c r="AX14" s="28">
        <f t="shared" si="9"/>
        <v>-6567</v>
      </c>
      <c r="AY14" s="28">
        <f t="shared" ref="AY14:BI14" si="10">+SUM(AY11+SUM(AY13:AY13))</f>
        <v>-23743</v>
      </c>
      <c r="AZ14" s="28">
        <f t="shared" si="10"/>
        <v>-17748</v>
      </c>
      <c r="BA14" s="28">
        <f t="shared" si="10"/>
        <v>-9313</v>
      </c>
      <c r="BB14" s="28">
        <f t="shared" si="10"/>
        <v>-1727</v>
      </c>
      <c r="BC14" s="28">
        <f t="shared" si="10"/>
        <v>-82655</v>
      </c>
      <c r="BD14" s="28">
        <f t="shared" si="10"/>
        <v>-85172</v>
      </c>
      <c r="BE14" s="28">
        <f t="shared" si="10"/>
        <v>-73728</v>
      </c>
      <c r="BF14" s="28">
        <f t="shared" si="10"/>
        <v>-52166</v>
      </c>
      <c r="BG14" s="28">
        <f t="shared" si="10"/>
        <v>41699</v>
      </c>
      <c r="BH14" s="28">
        <f t="shared" si="10"/>
        <v>36966</v>
      </c>
      <c r="BI14" s="28">
        <f t="shared" si="10"/>
        <v>31840</v>
      </c>
      <c r="BJ14" s="28">
        <f t="shared" ref="BJ14" si="11">+SUM(BJ11+SUM(BJ13:BJ13))</f>
        <v>24762</v>
      </c>
      <c r="BK14" s="45"/>
      <c r="BL14" s="84">
        <f t="shared" si="6"/>
        <v>-1.4318576388888888</v>
      </c>
    </row>
    <row r="15" spans="1:64" ht="12.75" customHeight="1">
      <c r="B15" s="17" t="s">
        <v>50</v>
      </c>
      <c r="C15" s="19">
        <f t="shared" ref="C15:I15" si="12">C14/C11</f>
        <v>0.19985443628175678</v>
      </c>
      <c r="D15" s="19">
        <f t="shared" si="12"/>
        <v>0.33486742061853592</v>
      </c>
      <c r="E15" s="19">
        <f t="shared" si="12"/>
        <v>0.30058876310581756</v>
      </c>
      <c r="F15" s="19">
        <f t="shared" si="12"/>
        <v>0.25238003012696364</v>
      </c>
      <c r="G15" s="19">
        <f t="shared" si="12"/>
        <v>-5.6674933700615611E-2</v>
      </c>
      <c r="H15" s="19">
        <f t="shared" si="12"/>
        <v>-0.24071280462233818</v>
      </c>
      <c r="I15" s="19">
        <f t="shared" si="12"/>
        <v>0.1277339394459216</v>
      </c>
      <c r="J15" s="29"/>
      <c r="K15" s="19">
        <f t="shared" ref="K15:AJ15" si="13">K14/K11</f>
        <v>0.16100500939261114</v>
      </c>
      <c r="L15" s="19">
        <f t="shared" si="13"/>
        <v>0.15040018425749985</v>
      </c>
      <c r="M15" s="19">
        <f t="shared" si="13"/>
        <v>0.19187882939452752</v>
      </c>
      <c r="N15" s="19">
        <f t="shared" si="13"/>
        <v>0.24950815510566732</v>
      </c>
      <c r="O15" s="19">
        <f t="shared" si="13"/>
        <v>0.26789533900412876</v>
      </c>
      <c r="P15" s="19">
        <f t="shared" si="13"/>
        <v>0.33815110555976863</v>
      </c>
      <c r="Q15" s="19">
        <f t="shared" si="13"/>
        <v>0.35648807646719805</v>
      </c>
      <c r="R15" s="19">
        <f t="shared" si="13"/>
        <v>0.33977802374110216</v>
      </c>
      <c r="S15" s="19">
        <f t="shared" si="13"/>
        <v>0.38827080371675216</v>
      </c>
      <c r="T15" s="19">
        <f t="shared" si="13"/>
        <v>0.29690836259683423</v>
      </c>
      <c r="U15" s="19">
        <f t="shared" si="13"/>
        <v>0.27032064043373288</v>
      </c>
      <c r="V15" s="19">
        <f t="shared" si="13"/>
        <v>0.24922255903155871</v>
      </c>
      <c r="W15" s="19">
        <f t="shared" si="13"/>
        <v>0.30239266299323247</v>
      </c>
      <c r="X15" s="19">
        <f t="shared" si="13"/>
        <v>0.31689264251201266</v>
      </c>
      <c r="Y15" s="19">
        <f t="shared" si="13"/>
        <v>0.21587492483463619</v>
      </c>
      <c r="Z15" s="19">
        <f t="shared" si="13"/>
        <v>0.14149069310077672</v>
      </c>
      <c r="AA15" s="19">
        <f t="shared" si="13"/>
        <v>1.7358731898953908E-3</v>
      </c>
      <c r="AB15" s="19">
        <f t="shared" si="13"/>
        <v>-4.1906964091403702E-2</v>
      </c>
      <c r="AC15" s="19">
        <f t="shared" si="13"/>
        <v>-0.17987878787878789</v>
      </c>
      <c r="AD15" s="19">
        <f t="shared" si="13"/>
        <v>-3.6665916084965847E-2</v>
      </c>
      <c r="AE15" s="19">
        <f t="shared" si="13"/>
        <v>6.7056247018517715E-2</v>
      </c>
      <c r="AF15" s="19">
        <f t="shared" si="13"/>
        <v>2.2251808632487838E-2</v>
      </c>
      <c r="AG15" s="19">
        <f t="shared" si="13"/>
        <v>-9.6319311663479928E-2</v>
      </c>
      <c r="AH15" s="19">
        <f t="shared" si="13"/>
        <v>-1.1381669132317214</v>
      </c>
      <c r="AI15" s="19">
        <f t="shared" si="13"/>
        <v>4.8516593256881339E-2</v>
      </c>
      <c r="AJ15" s="19">
        <f t="shared" si="13"/>
        <v>0.14720180286526802</v>
      </c>
      <c r="AK15" s="19">
        <f>AK14/AK11</f>
        <v>0.17662889168703552</v>
      </c>
      <c r="AL15" s="19">
        <f>AL14/AL11</f>
        <v>0.13052779879464635</v>
      </c>
      <c r="AM15" s="19">
        <f>AM14/AM11</f>
        <v>-1.5495191398350089E-2</v>
      </c>
      <c r="AN15" s="19">
        <f>AN14/AN11</f>
        <v>0.11461084874196216</v>
      </c>
      <c r="AO15" s="19">
        <f>AO14/AO11</f>
        <v>0.10296505169614628</v>
      </c>
      <c r="AP15" s="30"/>
      <c r="AQ15" s="19">
        <f t="shared" ref="AQ15:AX15" si="14">AQ14/AQ11</f>
        <v>0.30058876310581756</v>
      </c>
      <c r="AR15" s="19">
        <f t="shared" si="14"/>
        <v>0.28068680825605741</v>
      </c>
      <c r="AS15" s="19">
        <f t="shared" si="14"/>
        <v>0.28855435354863723</v>
      </c>
      <c r="AT15" s="19">
        <f t="shared" si="14"/>
        <v>0.27564871587414341</v>
      </c>
      <c r="AU15" s="19">
        <f t="shared" si="14"/>
        <v>0.25238003012696364</v>
      </c>
      <c r="AV15" s="19">
        <f t="shared" si="14"/>
        <v>0.18189836284391758</v>
      </c>
      <c r="AW15" s="19">
        <f t="shared" si="14"/>
        <v>6.7404363628519967E-2</v>
      </c>
      <c r="AX15" s="19">
        <f t="shared" si="14"/>
        <v>-1.493610023813152E-2</v>
      </c>
      <c r="AY15" s="19">
        <f t="shared" ref="AY15:BI15" si="15">AY14/AY11</f>
        <v>-5.6674933700615611E-2</v>
      </c>
      <c r="AZ15" s="19">
        <f t="shared" si="15"/>
        <v>-4.418068576151192E-2</v>
      </c>
      <c r="BA15" s="19">
        <f t="shared" si="15"/>
        <v>-2.6099774958452792E-2</v>
      </c>
      <c r="BB15" s="19">
        <f t="shared" si="15"/>
        <v>-4.9394368412773318E-3</v>
      </c>
      <c r="BC15" s="19">
        <f t="shared" si="15"/>
        <v>-0.24071280462233818</v>
      </c>
      <c r="BD15" s="19">
        <f t="shared" si="15"/>
        <v>-0.26066970065158246</v>
      </c>
      <c r="BE15" s="19">
        <f t="shared" si="15"/>
        <v>-0.23201029646389473</v>
      </c>
      <c r="BF15" s="19">
        <f t="shared" si="15"/>
        <v>-0.16126848299548957</v>
      </c>
      <c r="BG15" s="19">
        <f t="shared" si="15"/>
        <v>0.1277339394459216</v>
      </c>
      <c r="BH15" s="19">
        <f t="shared" si="15"/>
        <v>0.11567056762000125</v>
      </c>
      <c r="BI15" s="19">
        <f t="shared" si="15"/>
        <v>0.10565682107030626</v>
      </c>
      <c r="BJ15" s="19">
        <f t="shared" ref="BJ15" si="16">BJ14/BJ11</f>
        <v>8.5220174487636163E-2</v>
      </c>
      <c r="BK15" s="45"/>
      <c r="BL15" s="85">
        <f>SUM(BI15-BE15)*1000</f>
        <v>337.667117534201</v>
      </c>
    </row>
    <row r="16" spans="1:64" ht="5.0999999999999996" customHeight="1">
      <c r="B16" s="31"/>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Q16" s="32"/>
      <c r="AR16" s="32"/>
      <c r="AS16" s="32"/>
      <c r="AT16" s="32"/>
      <c r="AU16" s="32"/>
      <c r="AV16" s="32"/>
      <c r="AW16" s="32"/>
      <c r="AX16" s="32"/>
      <c r="AY16" s="32"/>
      <c r="AZ16" s="32"/>
      <c r="BA16" s="32"/>
      <c r="BB16" s="32"/>
      <c r="BC16" s="32"/>
      <c r="BD16" s="32"/>
      <c r="BE16" s="32"/>
      <c r="BF16" s="32"/>
      <c r="BG16" s="32"/>
      <c r="BH16" s="32"/>
      <c r="BI16" s="32"/>
      <c r="BJ16" s="32"/>
      <c r="BK16" s="45"/>
      <c r="BL16" s="83"/>
    </row>
    <row r="17" spans="2:64" ht="12.75" customHeight="1">
      <c r="B17" s="10" t="s">
        <v>446</v>
      </c>
      <c r="C17" s="92">
        <v>-34461</v>
      </c>
      <c r="D17" s="92">
        <v>-74726</v>
      </c>
      <c r="E17" s="92">
        <v>-133655</v>
      </c>
      <c r="F17" s="92">
        <v>-209474</v>
      </c>
      <c r="G17" s="92">
        <v>-239505</v>
      </c>
      <c r="H17" s="92">
        <v>-220344</v>
      </c>
      <c r="I17" s="92">
        <v>-169674</v>
      </c>
      <c r="J17" s="34"/>
      <c r="K17" s="92">
        <v>-5737</v>
      </c>
      <c r="L17" s="92">
        <v>-7043</v>
      </c>
      <c r="M17" s="92">
        <v>-10353</v>
      </c>
      <c r="N17" s="26">
        <f>SUM(C17-SUM(K17:M17))</f>
        <v>-11328</v>
      </c>
      <c r="O17" s="92">
        <v>-11177</v>
      </c>
      <c r="P17" s="92">
        <v>-15515</v>
      </c>
      <c r="Q17" s="92">
        <v>-20944</v>
      </c>
      <c r="R17" s="34">
        <f>SUM(D17-SUM(O17:Q17))</f>
        <v>-27090</v>
      </c>
      <c r="S17" s="92">
        <v>-27315</v>
      </c>
      <c r="T17" s="92">
        <v>-34292</v>
      </c>
      <c r="U17" s="92">
        <v>-33560</v>
      </c>
      <c r="V17" s="34">
        <f>SUM(E17-SUM(S17:U17))</f>
        <v>-38488</v>
      </c>
      <c r="W17" s="92">
        <v>-38954</v>
      </c>
      <c r="X17" s="92">
        <v>-48286</v>
      </c>
      <c r="Y17" s="92">
        <v>-56362</v>
      </c>
      <c r="Z17" s="34">
        <f>SUM(F17-SUM(W17:Y17))</f>
        <v>-65872</v>
      </c>
      <c r="AA17" s="92">
        <v>-75114</v>
      </c>
      <c r="AB17" s="92">
        <v>-63015</v>
      </c>
      <c r="AC17" s="92">
        <v>-54495</v>
      </c>
      <c r="AD17" s="34">
        <f>SUM(G17-SUM(AA17:AC17))</f>
        <v>-46881</v>
      </c>
      <c r="AE17" s="92">
        <v>-51900</v>
      </c>
      <c r="AF17" s="92">
        <v>-47455</v>
      </c>
      <c r="AG17" s="92">
        <v>-53252</v>
      </c>
      <c r="AH17" s="34">
        <f>SUM(H17-SUM(AE17:AG17))</f>
        <v>-67737</v>
      </c>
      <c r="AI17" s="92">
        <v>-47282</v>
      </c>
      <c r="AJ17" s="92">
        <v>-42163</v>
      </c>
      <c r="AK17" s="92">
        <v>-39084</v>
      </c>
      <c r="AL17" s="34">
        <f>SUM(I17-SUM(AI17:AK17))</f>
        <v>-41145</v>
      </c>
      <c r="AM17" s="92">
        <v>-47672</v>
      </c>
      <c r="AN17" s="92">
        <v>-37696</v>
      </c>
      <c r="AO17" s="92">
        <v>-37230</v>
      </c>
      <c r="AQ17" s="34">
        <f>SUM(S17:V17)</f>
        <v>-133655</v>
      </c>
      <c r="AR17" s="34">
        <f>SUM(T17:W17)</f>
        <v>-145294</v>
      </c>
      <c r="AS17" s="34">
        <f>SUM(U17:X17)</f>
        <v>-159288</v>
      </c>
      <c r="AT17" s="34">
        <f>SUM(V17:Y17)</f>
        <v>-182090</v>
      </c>
      <c r="AU17" s="34">
        <f>SUM(W17:Z17)</f>
        <v>-209474</v>
      </c>
      <c r="AV17" s="34">
        <f>SUM(X17:AA17)</f>
        <v>-245634</v>
      </c>
      <c r="AW17" s="34">
        <f>SUM(Y17:AB17)</f>
        <v>-260363</v>
      </c>
      <c r="AX17" s="34">
        <f>SUM(Z17:AC17)</f>
        <v>-258496</v>
      </c>
      <c r="AY17" s="34">
        <f>SUM(AA17:AD17)</f>
        <v>-239505</v>
      </c>
      <c r="AZ17" s="34">
        <f>SUM(AB17:AE17)</f>
        <v>-216291</v>
      </c>
      <c r="BA17" s="34">
        <f>SUM(AC17:AF17)</f>
        <v>-200731</v>
      </c>
      <c r="BB17" s="34">
        <f>SUM(AD17:AG17)</f>
        <v>-199488</v>
      </c>
      <c r="BC17" s="34">
        <f>SUM(AE17:AH17)</f>
        <v>-220344</v>
      </c>
      <c r="BD17" s="34">
        <f>SUM(AF17:AI17)</f>
        <v>-215726</v>
      </c>
      <c r="BE17" s="34">
        <f>SUM(AG17:AJ17)</f>
        <v>-210434</v>
      </c>
      <c r="BF17" s="34">
        <f>SUM(AH17:AK17)</f>
        <v>-196266</v>
      </c>
      <c r="BG17" s="34">
        <f>SUM(AI17:AL17)</f>
        <v>-169674</v>
      </c>
      <c r="BH17" s="34">
        <f>SUM(AJ17:AM17)</f>
        <v>-170064</v>
      </c>
      <c r="BI17" s="34">
        <f>SUM(AK17:AN17)</f>
        <v>-165597</v>
      </c>
      <c r="BJ17" s="34">
        <f>SUM(AL17:AO17)</f>
        <v>-163743</v>
      </c>
      <c r="BK17" s="12"/>
      <c r="BL17" s="83">
        <f t="shared" si="6"/>
        <v>-0.21306918083579651</v>
      </c>
    </row>
    <row r="18" spans="2:64" ht="12.75" customHeight="1">
      <c r="B18" s="10" t="s">
        <v>447</v>
      </c>
      <c r="C18" s="92">
        <v>-9587</v>
      </c>
      <c r="D18" s="92">
        <v>-20650</v>
      </c>
      <c r="E18" s="92">
        <v>-31535</v>
      </c>
      <c r="F18" s="92">
        <v>-66946</v>
      </c>
      <c r="G18" s="92">
        <v>-62264</v>
      </c>
      <c r="H18" s="92">
        <v>-39530</v>
      </c>
      <c r="I18" s="92">
        <v>-28149</v>
      </c>
      <c r="J18" s="34"/>
      <c r="K18" s="92">
        <v>-1605</v>
      </c>
      <c r="L18" s="92">
        <v>-2497</v>
      </c>
      <c r="M18" s="92">
        <v>-2165</v>
      </c>
      <c r="N18" s="26">
        <f>SUM(C18-SUM(K18:M18))</f>
        <v>-3320</v>
      </c>
      <c r="O18" s="92">
        <v>-4498</v>
      </c>
      <c r="P18" s="92">
        <v>-4212</v>
      </c>
      <c r="Q18" s="92">
        <v>-5951</v>
      </c>
      <c r="R18" s="34">
        <f>SUM(D18-SUM(O18:Q18))</f>
        <v>-5989</v>
      </c>
      <c r="S18" s="92">
        <v>-6194</v>
      </c>
      <c r="T18" s="92">
        <v>-6016</v>
      </c>
      <c r="U18" s="92">
        <v>-8278</v>
      </c>
      <c r="V18" s="34">
        <f>SUM(E18-SUM(S18:U18))</f>
        <v>-11047</v>
      </c>
      <c r="W18" s="92">
        <v>-15925</v>
      </c>
      <c r="X18" s="92">
        <v>-13823</v>
      </c>
      <c r="Y18" s="92">
        <v>-14862</v>
      </c>
      <c r="Z18" s="34">
        <f>SUM(F18-SUM(W18:Y18))</f>
        <v>-22336</v>
      </c>
      <c r="AA18" s="92">
        <v>-19678</v>
      </c>
      <c r="AB18" s="92">
        <v>-16202</v>
      </c>
      <c r="AC18" s="92">
        <v>-13413</v>
      </c>
      <c r="AD18" s="34">
        <f>SUM(G18-SUM(AA18:AC18))</f>
        <v>-12971</v>
      </c>
      <c r="AE18" s="92">
        <v>-12432</v>
      </c>
      <c r="AF18" s="92">
        <v>-8773</v>
      </c>
      <c r="AG18" s="92">
        <v>-9118</v>
      </c>
      <c r="AH18" s="34">
        <f>SUM(H18-SUM(AE18:AG18))</f>
        <v>-9207</v>
      </c>
      <c r="AI18" s="92">
        <v>-9860</v>
      </c>
      <c r="AJ18" s="92">
        <v>-5485</v>
      </c>
      <c r="AK18" s="92">
        <v>-6133</v>
      </c>
      <c r="AL18" s="34">
        <f>SUM(I18-SUM(AI18:AK18))</f>
        <v>-6671</v>
      </c>
      <c r="AM18" s="92">
        <v>-7462</v>
      </c>
      <c r="AN18" s="92">
        <v>-5807</v>
      </c>
      <c r="AO18" s="92">
        <v>-4917</v>
      </c>
      <c r="AQ18" s="34">
        <f>SUM(S18:V18)</f>
        <v>-31535</v>
      </c>
      <c r="AR18" s="34">
        <f>SUM(T18:W18)</f>
        <v>-41266</v>
      </c>
      <c r="AS18" s="34">
        <f>SUM(U18:X18)</f>
        <v>-49073</v>
      </c>
      <c r="AT18" s="34">
        <f>SUM(V18:Y18)</f>
        <v>-55657</v>
      </c>
      <c r="AU18" s="34">
        <f>SUM(W18:Z18)</f>
        <v>-66946</v>
      </c>
      <c r="AV18" s="34">
        <f>SUM(X18:AA18)</f>
        <v>-70699</v>
      </c>
      <c r="AW18" s="34">
        <f>SUM(Y18:AB18)</f>
        <v>-73078</v>
      </c>
      <c r="AX18" s="34">
        <f>SUM(Z18:AC18)</f>
        <v>-71629</v>
      </c>
      <c r="AY18" s="34">
        <f>SUM(AA18:AD18)</f>
        <v>-62264</v>
      </c>
      <c r="AZ18" s="34">
        <f>SUM(AB18:AE18)</f>
        <v>-55018</v>
      </c>
      <c r="BA18" s="34">
        <f>SUM(AC18:AF18)</f>
        <v>-47589</v>
      </c>
      <c r="BB18" s="34">
        <f>SUM(AD18:AG18)</f>
        <v>-43294</v>
      </c>
      <c r="BC18" s="34">
        <f>SUM(AE18:AH18)</f>
        <v>-39530</v>
      </c>
      <c r="BD18" s="34">
        <f>SUM(AF18:AI18)</f>
        <v>-36958</v>
      </c>
      <c r="BE18" s="34">
        <f>SUM(AG18:AJ18)</f>
        <v>-33670</v>
      </c>
      <c r="BF18" s="34">
        <f>SUM(AH18:AK18)</f>
        <v>-30685</v>
      </c>
      <c r="BG18" s="34">
        <f>SUM(AI18:AL18)</f>
        <v>-28149</v>
      </c>
      <c r="BH18" s="34">
        <f>SUM(AJ18:AM18)</f>
        <v>-25751</v>
      </c>
      <c r="BI18" s="34">
        <f>SUM(AK18:AN18)</f>
        <v>-26073</v>
      </c>
      <c r="BJ18" s="34">
        <f>SUM(AL18:AO18)</f>
        <v>-24857</v>
      </c>
      <c r="BK18" s="12"/>
      <c r="BL18" s="83">
        <f t="shared" si="6"/>
        <v>-0.22563112563112564</v>
      </c>
    </row>
    <row r="19" spans="2:64" ht="12.75" customHeight="1">
      <c r="B19" s="10" t="s">
        <v>557</v>
      </c>
      <c r="C19" s="92">
        <f>-1515-1128</f>
        <v>-2643</v>
      </c>
      <c r="D19" s="92">
        <v>-4869</v>
      </c>
      <c r="E19" s="92">
        <v>-6430</v>
      </c>
      <c r="F19" s="92">
        <v>-15794</v>
      </c>
      <c r="G19" s="92">
        <v>-17259</v>
      </c>
      <c r="H19" s="92">
        <v>631</v>
      </c>
      <c r="I19" s="92">
        <v>0</v>
      </c>
      <c r="J19" s="34"/>
      <c r="K19" s="92">
        <f>-47-294</f>
        <v>-341</v>
      </c>
      <c r="L19" s="92">
        <f>-28-348</f>
        <v>-376</v>
      </c>
      <c r="M19" s="92">
        <f>-313-528</f>
        <v>-841</v>
      </c>
      <c r="N19" s="26">
        <f>SUM(C19-SUM(K19:M19))</f>
        <v>-1085</v>
      </c>
      <c r="O19" s="92">
        <f>-733-394</f>
        <v>-1127</v>
      </c>
      <c r="P19" s="92">
        <f>-741-847</f>
        <v>-1588</v>
      </c>
      <c r="Q19" s="92">
        <f>-855-2319</f>
        <v>-3174</v>
      </c>
      <c r="R19" s="34">
        <f>SUM(D19-SUM(O19:Q19))</f>
        <v>1020</v>
      </c>
      <c r="S19" s="92">
        <v>-2373</v>
      </c>
      <c r="T19" s="92">
        <v>-1509</v>
      </c>
      <c r="U19" s="92">
        <v>-2146</v>
      </c>
      <c r="V19" s="34">
        <f>SUM(E19-SUM(S19:U19))</f>
        <v>-402</v>
      </c>
      <c r="W19" s="92">
        <v>-2474</v>
      </c>
      <c r="X19" s="92">
        <v>-3844</v>
      </c>
      <c r="Y19" s="92">
        <v>-5750</v>
      </c>
      <c r="Z19" s="34">
        <f>SUM(F19-SUM(W19:Y19))</f>
        <v>-3726</v>
      </c>
      <c r="AA19" s="92">
        <v>-3026</v>
      </c>
      <c r="AB19" s="92">
        <v>-4302</v>
      </c>
      <c r="AC19" s="92">
        <v>-6993</v>
      </c>
      <c r="AD19" s="34">
        <f>SUM(G19-SUM(AA19:AC19))</f>
        <v>-2938</v>
      </c>
      <c r="AE19" s="92">
        <v>426</v>
      </c>
      <c r="AF19" s="92">
        <v>201</v>
      </c>
      <c r="AG19" s="92">
        <v>4</v>
      </c>
      <c r="AH19" s="34">
        <f>SUM(H19-SUM(AE19:AG19))</f>
        <v>0</v>
      </c>
      <c r="AI19" s="92">
        <v>0</v>
      </c>
      <c r="AJ19" s="92">
        <v>0</v>
      </c>
      <c r="AK19" s="92">
        <v>0</v>
      </c>
      <c r="AL19" s="34">
        <f>SUM(I19-SUM(AI19:AK19))</f>
        <v>0</v>
      </c>
      <c r="AM19" s="92">
        <v>0</v>
      </c>
      <c r="AN19" s="92">
        <v>0</v>
      </c>
      <c r="AO19" s="92">
        <v>-77414</v>
      </c>
      <c r="AQ19" s="34">
        <f>SUM(S19:V19)</f>
        <v>-6430</v>
      </c>
      <c r="AR19" s="34">
        <f>SUM(T19:W19)</f>
        <v>-6531</v>
      </c>
      <c r="AS19" s="34">
        <f>SUM(U19:X19)</f>
        <v>-8866</v>
      </c>
      <c r="AT19" s="34">
        <f>SUM(V19:Y19)</f>
        <v>-12470</v>
      </c>
      <c r="AU19" s="34">
        <f>SUM(W19:Z19)</f>
        <v>-15794</v>
      </c>
      <c r="AV19" s="34">
        <f>SUM(X19:AA19)</f>
        <v>-16346</v>
      </c>
      <c r="AW19" s="34">
        <f>SUM(Y19:AB19)</f>
        <v>-16804</v>
      </c>
      <c r="AX19" s="34">
        <f>SUM(Z19:AC19)</f>
        <v>-18047</v>
      </c>
      <c r="AY19" s="34">
        <f>SUM(AA19:AD19)</f>
        <v>-17259</v>
      </c>
      <c r="AZ19" s="34">
        <f>SUM(AB19:AE19)</f>
        <v>-13807</v>
      </c>
      <c r="BA19" s="34">
        <f>SUM(AC19:AF19)</f>
        <v>-9304</v>
      </c>
      <c r="BB19" s="34">
        <f>SUM(AD19:AG19)</f>
        <v>-2307</v>
      </c>
      <c r="BC19" s="34">
        <f>SUM(AE19:AH19)</f>
        <v>631</v>
      </c>
      <c r="BD19" s="34">
        <f>SUM(AF19:AI19)</f>
        <v>205</v>
      </c>
      <c r="BE19" s="34">
        <f>SUM(AG19:AJ19)</f>
        <v>4</v>
      </c>
      <c r="BF19" s="34">
        <f>SUM(AH19:AK19)</f>
        <v>0</v>
      </c>
      <c r="BG19" s="34">
        <f>SUM(AI19:AL19)</f>
        <v>0</v>
      </c>
      <c r="BH19" s="34">
        <f>SUM(AJ19:AM19)</f>
        <v>0</v>
      </c>
      <c r="BI19" s="34">
        <f>SUM(AK19:AN19)</f>
        <v>0</v>
      </c>
      <c r="BJ19" s="34">
        <f>SUM(AL19:AO19)</f>
        <v>-77414</v>
      </c>
      <c r="BK19" s="12"/>
      <c r="BL19" s="83"/>
    </row>
    <row r="20" spans="2:64" ht="12.75" customHeight="1">
      <c r="B20" s="27" t="s">
        <v>453</v>
      </c>
      <c r="C20" s="28">
        <f t="shared" ref="C20:H20" si="17">+SUM(C14+SUM(C17:C19))</f>
        <v>-29117</v>
      </c>
      <c r="D20" s="28">
        <f t="shared" si="17"/>
        <v>-489</v>
      </c>
      <c r="E20" s="28">
        <f t="shared" si="17"/>
        <v>-49345</v>
      </c>
      <c r="F20" s="28">
        <f t="shared" si="17"/>
        <v>-174933</v>
      </c>
      <c r="G20" s="28">
        <f t="shared" si="17"/>
        <v>-342771</v>
      </c>
      <c r="H20" s="28">
        <f t="shared" si="17"/>
        <v>-341898</v>
      </c>
      <c r="I20" s="28">
        <f>+SUM(I14+SUM(I17:I19))</f>
        <v>-156124</v>
      </c>
      <c r="J20" s="34"/>
      <c r="K20" s="28">
        <f t="shared" ref="K20:AO20" si="18">+SUM(K14+SUM(K17:K19))</f>
        <v>-5626</v>
      </c>
      <c r="L20" s="28">
        <f t="shared" si="18"/>
        <v>-7304</v>
      </c>
      <c r="M20" s="28">
        <f t="shared" si="18"/>
        <v>-8317</v>
      </c>
      <c r="N20" s="28">
        <f t="shared" si="18"/>
        <v>-7870</v>
      </c>
      <c r="O20" s="28">
        <f t="shared" si="18"/>
        <v>-6031</v>
      </c>
      <c r="P20" s="28">
        <f t="shared" si="18"/>
        <v>1426</v>
      </c>
      <c r="Q20" s="28">
        <f t="shared" si="18"/>
        <v>2714</v>
      </c>
      <c r="R20" s="28">
        <f t="shared" si="18"/>
        <v>1402</v>
      </c>
      <c r="S20" s="28">
        <f t="shared" si="18"/>
        <v>1809</v>
      </c>
      <c r="T20" s="28">
        <f t="shared" si="18"/>
        <v>-8166</v>
      </c>
      <c r="U20" s="28">
        <f t="shared" si="18"/>
        <v>-18456</v>
      </c>
      <c r="V20" s="28">
        <f t="shared" si="18"/>
        <v>-24532</v>
      </c>
      <c r="W20" s="28">
        <f t="shared" si="18"/>
        <v>-24645</v>
      </c>
      <c r="X20" s="28">
        <f t="shared" si="18"/>
        <v>-18601</v>
      </c>
      <c r="Y20" s="28">
        <f t="shared" si="18"/>
        <v>-53998</v>
      </c>
      <c r="Z20" s="28">
        <f t="shared" si="18"/>
        <v>-77689</v>
      </c>
      <c r="AA20" s="28">
        <f t="shared" si="18"/>
        <v>-97628</v>
      </c>
      <c r="AB20" s="28">
        <f t="shared" si="18"/>
        <v>-89681</v>
      </c>
      <c r="AC20" s="28">
        <f t="shared" si="18"/>
        <v>-89741</v>
      </c>
      <c r="AD20" s="28">
        <f t="shared" si="18"/>
        <v>-65721</v>
      </c>
      <c r="AE20" s="28">
        <f t="shared" si="18"/>
        <v>-57721</v>
      </c>
      <c r="AF20" s="28">
        <f t="shared" si="18"/>
        <v>-53754</v>
      </c>
      <c r="AG20" s="28">
        <f t="shared" si="18"/>
        <v>-69620</v>
      </c>
      <c r="AH20" s="28">
        <f t="shared" si="18"/>
        <v>-160803</v>
      </c>
      <c r="AI20" s="28">
        <f t="shared" si="18"/>
        <v>-53474</v>
      </c>
      <c r="AJ20" s="28">
        <f t="shared" si="18"/>
        <v>-33931</v>
      </c>
      <c r="AK20" s="28">
        <f t="shared" si="18"/>
        <v>-30909</v>
      </c>
      <c r="AL20" s="28">
        <f t="shared" si="18"/>
        <v>-37810</v>
      </c>
      <c r="AM20" s="28">
        <f t="shared" si="18"/>
        <v>-56199</v>
      </c>
      <c r="AN20" s="28">
        <f t="shared" si="18"/>
        <v>-34912</v>
      </c>
      <c r="AO20" s="28">
        <f t="shared" si="18"/>
        <v>-112331</v>
      </c>
      <c r="AQ20" s="28">
        <f t="shared" ref="AQ20" si="19">+SUM(AQ14+SUM(AQ17:AQ19))</f>
        <v>-49345</v>
      </c>
      <c r="AR20" s="28">
        <f t="shared" ref="AR20" si="20">+SUM(AR14+SUM(AR17:AR19))</f>
        <v>-75799</v>
      </c>
      <c r="AS20" s="28">
        <f t="shared" ref="AS20" si="21">+SUM(AS14+SUM(AS17:AS19))</f>
        <v>-86234</v>
      </c>
      <c r="AT20" s="28">
        <f t="shared" ref="AT20" si="22">+SUM(AT14+SUM(AT17:AT19))</f>
        <v>-121776</v>
      </c>
      <c r="AU20" s="28">
        <f t="shared" ref="AU20" si="23">+SUM(AU14+SUM(AU17:AU19))</f>
        <v>-174933</v>
      </c>
      <c r="AV20" s="28">
        <f t="shared" ref="AV20" si="24">+SUM(AV14+SUM(AV17:AV19))</f>
        <v>-247916</v>
      </c>
      <c r="AW20" s="28">
        <f t="shared" ref="AW20" si="25">+SUM(AW14+SUM(AW17:AW19))</f>
        <v>-318996</v>
      </c>
      <c r="AX20" s="28">
        <f t="shared" ref="AX20" si="26">+SUM(AX14+SUM(AX17:AX19))</f>
        <v>-354739</v>
      </c>
      <c r="AY20" s="28">
        <f t="shared" ref="AY20" si="27">+SUM(AY14+SUM(AY17:AY19))</f>
        <v>-342771</v>
      </c>
      <c r="AZ20" s="28">
        <f t="shared" ref="AZ20" si="28">+SUM(AZ14+SUM(AZ17:AZ19))</f>
        <v>-302864</v>
      </c>
      <c r="BA20" s="28">
        <f t="shared" ref="BA20" si="29">+SUM(BA14+SUM(BA17:BA19))</f>
        <v>-266937</v>
      </c>
      <c r="BB20" s="28">
        <f t="shared" ref="BB20" si="30">+SUM(BB14+SUM(BB17:BB19))</f>
        <v>-246816</v>
      </c>
      <c r="BC20" s="28">
        <f t="shared" ref="BC20" si="31">+SUM(BC14+SUM(BC17:BC19))</f>
        <v>-341898</v>
      </c>
      <c r="BD20" s="28">
        <f t="shared" ref="BD20" si="32">+SUM(BD14+SUM(BD17:BD19))</f>
        <v>-337651</v>
      </c>
      <c r="BE20" s="28">
        <f t="shared" ref="BE20" si="33">+SUM(BE14+SUM(BE17:BE19))</f>
        <v>-317828</v>
      </c>
      <c r="BF20" s="28">
        <f t="shared" ref="BF20" si="34">+SUM(BF14+SUM(BF17:BF19))</f>
        <v>-279117</v>
      </c>
      <c r="BG20" s="28">
        <f t="shared" ref="BG20" si="35">+SUM(BG14+SUM(BG17:BG19))</f>
        <v>-156124</v>
      </c>
      <c r="BH20" s="28">
        <f t="shared" ref="BH20" si="36">+SUM(BH14+SUM(BH17:BH19))</f>
        <v>-158849</v>
      </c>
      <c r="BI20" s="28">
        <f t="shared" ref="BI20" si="37">+SUM(BI14+SUM(BI17:BI19))</f>
        <v>-159830</v>
      </c>
      <c r="BJ20" s="28">
        <f t="shared" ref="BJ20" si="38">+SUM(BJ14+SUM(BJ17:BJ19))</f>
        <v>-241252</v>
      </c>
      <c r="BK20" s="12"/>
      <c r="BL20" s="83">
        <f t="shared" si="6"/>
        <v>-0.49711793800420356</v>
      </c>
    </row>
    <row r="21" spans="2:64" ht="12.75" customHeight="1">
      <c r="B21" s="17" t="s">
        <v>52</v>
      </c>
      <c r="C21" s="19">
        <f>C20/C11</f>
        <v>-0.33112334250688014</v>
      </c>
      <c r="D21" s="19">
        <f>D20/D11</f>
        <v>-1.6415069638163527E-3</v>
      </c>
      <c r="E21" s="19">
        <f>E20/E11</f>
        <v>-0.12130486620696437</v>
      </c>
      <c r="F21" s="19">
        <f>F20/F11</f>
        <v>-0.37644286636539703</v>
      </c>
      <c r="G21" s="19">
        <f>G20/G11</f>
        <v>-0.81820004630812082</v>
      </c>
      <c r="H21" s="19">
        <f>H20/H11</f>
        <v>-0.9956956805367877</v>
      </c>
      <c r="I21" s="19">
        <f>I20/I11</f>
        <v>-0.47824488745665517</v>
      </c>
      <c r="J21" s="34"/>
      <c r="K21" s="19">
        <f>K20/K11</f>
        <v>-0.44035691922354414</v>
      </c>
      <c r="L21" s="19">
        <f>L20/L11</f>
        <v>-0.42056774342143144</v>
      </c>
      <c r="M21" s="19">
        <f>M20/M11</f>
        <v>-0.31651253948319824</v>
      </c>
      <c r="N21" s="19">
        <f>N20/N11</f>
        <v>-0.24973027860633371</v>
      </c>
      <c r="O21" s="19">
        <f>O20/O11</f>
        <v>-0.15000248719096651</v>
      </c>
      <c r="P21" s="19">
        <f>P20/P11</f>
        <v>2.1204145663261512E-2</v>
      </c>
      <c r="Q21" s="19">
        <f>Q20/Q11</f>
        <v>2.9512510738247736E-2</v>
      </c>
      <c r="R21" s="19">
        <f>R20/R11</f>
        <v>1.4236537739010348E-2</v>
      </c>
      <c r="S21" s="19">
        <f>S20/S11</f>
        <v>1.863526793992212E-2</v>
      </c>
      <c r="T21" s="19">
        <f>T20/T11</f>
        <v>-7.2049974412818296E-2</v>
      </c>
      <c r="U21" s="19">
        <f>U20/U11</f>
        <v>-0.19543394468211275</v>
      </c>
      <c r="V21" s="19">
        <f>V20/V11</f>
        <v>-0.24065844590286156</v>
      </c>
      <c r="W21" s="19">
        <f>W20/W11</f>
        <v>-0.22784845235013498</v>
      </c>
      <c r="X21" s="19">
        <f>X20/X11</f>
        <v>-0.12448302169635807</v>
      </c>
      <c r="Y21" s="19">
        <f>Y20/Y11</f>
        <v>-0.50734741431148522</v>
      </c>
      <c r="Z21" s="19">
        <f>Z20/Z11</f>
        <v>-0.77165815769085599</v>
      </c>
      <c r="AA21" s="19">
        <f>AA20/AA11</f>
        <v>-0.89194646201635375</v>
      </c>
      <c r="AB21" s="19">
        <f>AB20/AB11</f>
        <v>-0.6099088683351469</v>
      </c>
      <c r="AC21" s="19">
        <f>AC20/AC11</f>
        <v>-1.0877696969696971</v>
      </c>
      <c r="AD21" s="19">
        <f>AD20/AD11</f>
        <v>-0.82214966599114314</v>
      </c>
      <c r="AE21" s="19">
        <f>AE20/AE11</f>
        <v>-0.62579686890151354</v>
      </c>
      <c r="AF21" s="19">
        <f>AF20/AF11</f>
        <v>-0.52623128958678012</v>
      </c>
      <c r="AG21" s="19">
        <f>AG20/AG11</f>
        <v>-0.92442107499468873</v>
      </c>
      <c r="AH21" s="19">
        <f>AH20/AH11</f>
        <v>-2.1824807611395376</v>
      </c>
      <c r="AI21" s="19">
        <f>AI20/AI11</f>
        <v>-0.70729997486872209</v>
      </c>
      <c r="AJ21" s="19">
        <f>AJ20/AJ11</f>
        <v>-0.36412512743467296</v>
      </c>
      <c r="AK21" s="19">
        <f>AK20/AK11</f>
        <v>-0.38156432856825423</v>
      </c>
      <c r="AL21" s="19">
        <f>AL20/AL11</f>
        <v>-0.4932296694408933</v>
      </c>
      <c r="AM21" s="19">
        <f>AM20/AM11</f>
        <v>-0.81766597314166822</v>
      </c>
      <c r="AN21" s="19">
        <f>AN20/AN11</f>
        <v>-0.46575415566050321</v>
      </c>
      <c r="AO21" s="19">
        <f>AO20/AO11</f>
        <v>-1.5997465037454783</v>
      </c>
      <c r="AQ21" s="19">
        <f t="shared" ref="AQ21:AX21" si="39">AQ20/AQ11</f>
        <v>-0.12130486620696437</v>
      </c>
      <c r="AR21" s="19">
        <f t="shared" si="39"/>
        <v>-0.18139156446305713</v>
      </c>
      <c r="AS21" s="19">
        <f t="shared" si="39"/>
        <v>-0.18995821245343783</v>
      </c>
      <c r="AT21" s="19">
        <f t="shared" si="39"/>
        <v>-0.26134488227504993</v>
      </c>
      <c r="AU21" s="19">
        <f t="shared" si="39"/>
        <v>-0.37644286636539703</v>
      </c>
      <c r="AV21" s="19">
        <f t="shared" si="39"/>
        <v>-0.53201885873332322</v>
      </c>
      <c r="AW21" s="19">
        <f t="shared" si="39"/>
        <v>-0.68807713462969555</v>
      </c>
      <c r="AX21" s="19">
        <f t="shared" si="39"/>
        <v>-0.80682461738610289</v>
      </c>
      <c r="AY21" s="19">
        <f>AY20/AY11</f>
        <v>-0.81820004630812082</v>
      </c>
      <c r="AZ21" s="19">
        <f>AZ20/AZ11</f>
        <v>-0.75392941246757639</v>
      </c>
      <c r="BA21" s="19">
        <f>BA20/BA11</f>
        <v>-0.74809359262155184</v>
      </c>
      <c r="BB21" s="19">
        <f>BB20/BB11</f>
        <v>-0.70592475009652922</v>
      </c>
      <c r="BC21" s="19">
        <f>BC20/BC11</f>
        <v>-0.9956956805367877</v>
      </c>
      <c r="BD21" s="19">
        <f>BD20/BD11</f>
        <v>-1.0333840357712329</v>
      </c>
      <c r="BE21" s="19">
        <f>BE20/BE11</f>
        <v>-1.0001541952111372</v>
      </c>
      <c r="BF21" s="19">
        <f>BF20/BF11</f>
        <v>-0.86287572687674086</v>
      </c>
      <c r="BG21" s="19">
        <f>BG20/BG11</f>
        <v>-0.47824488745665517</v>
      </c>
      <c r="BH21" s="19">
        <f>BH20/BH11</f>
        <v>-0.49705551035734402</v>
      </c>
      <c r="BI21" s="19">
        <f>BI20/BI11</f>
        <v>-0.53037467687396511</v>
      </c>
      <c r="BJ21" s="19">
        <f>BJ20/BJ11</f>
        <v>-0.83028582244936588</v>
      </c>
      <c r="BK21" s="12"/>
      <c r="BL21" s="83"/>
    </row>
    <row r="22" spans="2:64" ht="5.0999999999999996" customHeight="1">
      <c r="B22" s="17"/>
      <c r="C22" s="19"/>
      <c r="D22" s="19"/>
      <c r="E22" s="19"/>
      <c r="F22" s="19"/>
      <c r="G22" s="19"/>
      <c r="H22" s="19"/>
      <c r="I22" s="19"/>
      <c r="J22" s="34"/>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34"/>
      <c r="AN22" s="92"/>
      <c r="AO22" s="92"/>
      <c r="AQ22" s="34"/>
      <c r="AR22" s="34"/>
      <c r="AS22" s="34"/>
      <c r="AT22" s="34"/>
      <c r="AU22" s="34"/>
      <c r="AV22" s="34"/>
      <c r="AW22" s="34"/>
      <c r="AX22" s="34"/>
      <c r="AY22" s="34"/>
      <c r="AZ22" s="34"/>
      <c r="BA22" s="34"/>
      <c r="BB22" s="34"/>
      <c r="BC22" s="34"/>
      <c r="BD22" s="34"/>
      <c r="BE22" s="34"/>
      <c r="BF22" s="34"/>
      <c r="BG22" s="34"/>
      <c r="BH22" s="34"/>
      <c r="BI22" s="34"/>
      <c r="BJ22" s="34"/>
      <c r="BK22" s="12"/>
      <c r="BL22" s="83"/>
    </row>
    <row r="23" spans="2:64" ht="12.75" customHeight="1">
      <c r="B23" s="10" t="s">
        <v>449</v>
      </c>
      <c r="C23" s="92">
        <v>352</v>
      </c>
      <c r="D23" s="92">
        <v>-3071</v>
      </c>
      <c r="E23" s="92">
        <v>-2576</v>
      </c>
      <c r="F23" s="92">
        <v>-3648</v>
      </c>
      <c r="G23" s="92">
        <v>-3966</v>
      </c>
      <c r="H23" s="92">
        <v>-3955</v>
      </c>
      <c r="I23" s="92">
        <v>-4097</v>
      </c>
      <c r="J23" s="34"/>
      <c r="K23" s="92">
        <v>-70</v>
      </c>
      <c r="L23" s="92">
        <v>38</v>
      </c>
      <c r="M23" s="92">
        <v>-31</v>
      </c>
      <c r="N23" s="26">
        <f>SUM(C23-SUM(K23:M23))</f>
        <v>415</v>
      </c>
      <c r="O23" s="92">
        <v>141</v>
      </c>
      <c r="P23" s="92">
        <v>898</v>
      </c>
      <c r="Q23" s="92">
        <v>0</v>
      </c>
      <c r="R23" s="34">
        <f>SUM(D23-SUM(O23:Q23))</f>
        <v>-4110</v>
      </c>
      <c r="S23" s="92">
        <v>-705</v>
      </c>
      <c r="T23" s="92">
        <v>-569</v>
      </c>
      <c r="U23" s="92">
        <v>-689</v>
      </c>
      <c r="V23" s="34">
        <f>SUM(E23-SUM(S23:U23))</f>
        <v>-613</v>
      </c>
      <c r="W23" s="92">
        <v>-629</v>
      </c>
      <c r="X23" s="92">
        <v>-1022</v>
      </c>
      <c r="Y23" s="92">
        <v>-1005</v>
      </c>
      <c r="Z23" s="34">
        <f>SUM(F23-SUM(W23:Y23))</f>
        <v>-992</v>
      </c>
      <c r="AA23" s="92">
        <v>-1025</v>
      </c>
      <c r="AB23" s="92">
        <v>-1108</v>
      </c>
      <c r="AC23" s="92">
        <v>-1040</v>
      </c>
      <c r="AD23" s="34">
        <f>SUM(G23-SUM(AA23:AC23))</f>
        <v>-793</v>
      </c>
      <c r="AE23" s="92">
        <v>-989</v>
      </c>
      <c r="AF23" s="92">
        <v>-989</v>
      </c>
      <c r="AG23" s="92">
        <v>-989</v>
      </c>
      <c r="AH23" s="34">
        <f>SUM(H23-SUM(AE23:AG23))</f>
        <v>-988</v>
      </c>
      <c r="AI23" s="92">
        <v>-1015</v>
      </c>
      <c r="AJ23" s="92">
        <v>-1029</v>
      </c>
      <c r="AK23" s="92">
        <v>-1028</v>
      </c>
      <c r="AL23" s="34">
        <f>SUM(I23-SUM(AI23:AK23))</f>
        <v>-1025</v>
      </c>
      <c r="AM23" s="92">
        <v>-1024</v>
      </c>
      <c r="AN23" s="92">
        <v>-2002</v>
      </c>
      <c r="AO23" s="92">
        <v>-4418</v>
      </c>
      <c r="AQ23" s="34">
        <f>SUM(S23:V23)</f>
        <v>-2576</v>
      </c>
      <c r="AR23" s="34">
        <f>SUM(T23:W23)</f>
        <v>-2500</v>
      </c>
      <c r="AS23" s="34">
        <f>SUM(U23:X23)</f>
        <v>-2953</v>
      </c>
      <c r="AT23" s="34">
        <f>SUM(V23:Y23)</f>
        <v>-3269</v>
      </c>
      <c r="AU23" s="34">
        <f>SUM(W23:Z23)</f>
        <v>-3648</v>
      </c>
      <c r="AV23" s="34">
        <f>SUM(X23:AA23)</f>
        <v>-4044</v>
      </c>
      <c r="AW23" s="34">
        <f>SUM(Y23:AB23)</f>
        <v>-4130</v>
      </c>
      <c r="AX23" s="34">
        <f>SUM(Z23:AC23)</f>
        <v>-4165</v>
      </c>
      <c r="AY23" s="34">
        <f>SUM(AA23:AD23)</f>
        <v>-3966</v>
      </c>
      <c r="AZ23" s="34">
        <f>SUM(AB23:AE23)</f>
        <v>-3930</v>
      </c>
      <c r="BA23" s="34">
        <f>SUM(AC23:AF23)</f>
        <v>-3811</v>
      </c>
      <c r="BB23" s="34">
        <f>SUM(AD23:AG23)</f>
        <v>-3760</v>
      </c>
      <c r="BC23" s="34">
        <f>SUM(AE23:AH23)</f>
        <v>-3955</v>
      </c>
      <c r="BD23" s="34">
        <f>SUM(AF23:AI23)</f>
        <v>-3981</v>
      </c>
      <c r="BE23" s="34">
        <f>SUM(AG23:AJ23)</f>
        <v>-4021</v>
      </c>
      <c r="BF23" s="34">
        <f>SUM(AH23:AK23)</f>
        <v>-4060</v>
      </c>
      <c r="BG23" s="34">
        <f>SUM(AI23:AL23)</f>
        <v>-4097</v>
      </c>
      <c r="BH23" s="34">
        <f>SUM(AJ23:AM23)</f>
        <v>-4106</v>
      </c>
      <c r="BI23" s="34">
        <f>SUM(AK23:AN23)</f>
        <v>-5079</v>
      </c>
      <c r="BJ23" s="34">
        <f>SUM(AL23:AO23)</f>
        <v>-8469</v>
      </c>
      <c r="BK23" s="12"/>
      <c r="BL23" s="83">
        <f t="shared" si="6"/>
        <v>0.26311862720716239</v>
      </c>
    </row>
    <row r="24" spans="2:64" ht="12.75" customHeight="1">
      <c r="B24" s="10" t="s">
        <v>450</v>
      </c>
      <c r="C24" s="92">
        <v>-1120</v>
      </c>
      <c r="D24" s="92">
        <v>3629</v>
      </c>
      <c r="E24" s="92">
        <v>-759</v>
      </c>
      <c r="F24" s="92">
        <v>-487</v>
      </c>
      <c r="G24" s="92">
        <v>-420</v>
      </c>
      <c r="H24" s="92">
        <v>11616</v>
      </c>
      <c r="I24" s="92">
        <v>-10</v>
      </c>
      <c r="J24" s="34"/>
      <c r="K24" s="92">
        <v>0</v>
      </c>
      <c r="L24" s="92">
        <v>0</v>
      </c>
      <c r="M24" s="92">
        <v>0</v>
      </c>
      <c r="N24" s="26">
        <f>SUM(C24-SUM(K24:M24))</f>
        <v>-1120</v>
      </c>
      <c r="O24" s="92">
        <v>0</v>
      </c>
      <c r="P24" s="92">
        <v>0</v>
      </c>
      <c r="Q24" s="92">
        <v>1385</v>
      </c>
      <c r="R24" s="34">
        <f>SUM(D24-SUM(O24:Q24))</f>
        <v>2244</v>
      </c>
      <c r="S24" s="92">
        <v>0</v>
      </c>
      <c r="T24" s="92">
        <v>0</v>
      </c>
      <c r="U24" s="92">
        <v>0</v>
      </c>
      <c r="V24" s="34">
        <f>SUM(E24-SUM(S24:U24))</f>
        <v>-759</v>
      </c>
      <c r="W24" s="92">
        <v>0</v>
      </c>
      <c r="X24" s="92">
        <v>0</v>
      </c>
      <c r="Y24" s="92">
        <v>0</v>
      </c>
      <c r="Z24" s="34">
        <f>SUM(F24-SUM(W24:Y24))</f>
        <v>-487</v>
      </c>
      <c r="AA24" s="92">
        <v>0</v>
      </c>
      <c r="AB24" s="92">
        <v>0</v>
      </c>
      <c r="AC24" s="92">
        <v>0</v>
      </c>
      <c r="AD24" s="34">
        <f>SUM(G24-SUM(AA24:AC24))</f>
        <v>-420</v>
      </c>
      <c r="AE24" s="92">
        <v>0</v>
      </c>
      <c r="AF24" s="92">
        <v>0</v>
      </c>
      <c r="AG24" s="92">
        <v>0</v>
      </c>
      <c r="AH24" s="34">
        <f>SUM(H24-SUM(AE24:AG24))</f>
        <v>11616</v>
      </c>
      <c r="AI24" s="92">
        <v>0</v>
      </c>
      <c r="AJ24" s="92">
        <v>0</v>
      </c>
      <c r="AK24" s="92">
        <v>0</v>
      </c>
      <c r="AL24" s="34">
        <f>SUM(I24-SUM(AI24:AK24))</f>
        <v>-10</v>
      </c>
      <c r="AM24" s="92">
        <v>0</v>
      </c>
      <c r="AN24" s="92">
        <v>0</v>
      </c>
      <c r="AO24" s="92">
        <v>750</v>
      </c>
      <c r="AQ24" s="34">
        <f>SUM(S24:V24)</f>
        <v>-759</v>
      </c>
      <c r="AR24" s="34">
        <f>SUM(T24:W24)</f>
        <v>-759</v>
      </c>
      <c r="AS24" s="34">
        <f>SUM(U24:X24)</f>
        <v>-759</v>
      </c>
      <c r="AT24" s="34">
        <f>SUM(V24:Y24)</f>
        <v>-759</v>
      </c>
      <c r="AU24" s="34">
        <f>SUM(W24:Z24)</f>
        <v>-487</v>
      </c>
      <c r="AV24" s="34">
        <f>SUM(X24:AA24)</f>
        <v>-487</v>
      </c>
      <c r="AW24" s="34">
        <f>SUM(Y24:AB24)</f>
        <v>-487</v>
      </c>
      <c r="AX24" s="34">
        <f>SUM(Z24:AC24)</f>
        <v>-487</v>
      </c>
      <c r="AY24" s="34">
        <f>SUM(AA24:AD24)</f>
        <v>-420</v>
      </c>
      <c r="AZ24" s="34">
        <f>SUM(AB24:AE24)</f>
        <v>-420</v>
      </c>
      <c r="BA24" s="34">
        <f>SUM(AC24:AF24)</f>
        <v>-420</v>
      </c>
      <c r="BB24" s="34">
        <f>SUM(AD24:AG24)</f>
        <v>-420</v>
      </c>
      <c r="BC24" s="34">
        <f>SUM(AE24:AH24)</f>
        <v>11616</v>
      </c>
      <c r="BD24" s="34">
        <f>SUM(AF24:AI24)</f>
        <v>11616</v>
      </c>
      <c r="BE24" s="34">
        <f>SUM(AG24:AJ24)</f>
        <v>11616</v>
      </c>
      <c r="BF24" s="34">
        <f>SUM(AH24:AK24)</f>
        <v>11616</v>
      </c>
      <c r="BG24" s="34">
        <f>SUM(AI24:AL24)</f>
        <v>-10</v>
      </c>
      <c r="BH24" s="34">
        <f>SUM(AJ24:AM24)</f>
        <v>-10</v>
      </c>
      <c r="BI24" s="34">
        <f>SUM(AK24:AN24)</f>
        <v>-10</v>
      </c>
      <c r="BJ24" s="34">
        <f>SUM(AL24:AO24)</f>
        <v>740</v>
      </c>
      <c r="BK24" s="12"/>
      <c r="BL24" s="83">
        <f t="shared" si="6"/>
        <v>-1.0008608815426998</v>
      </c>
    </row>
    <row r="25" spans="2:64" ht="12.75" customHeight="1">
      <c r="B25" s="10" t="s">
        <v>451</v>
      </c>
      <c r="C25" s="92">
        <v>0</v>
      </c>
      <c r="D25" s="92">
        <v>-12503</v>
      </c>
      <c r="E25" s="92">
        <v>0</v>
      </c>
      <c r="F25" s="92">
        <v>0</v>
      </c>
      <c r="G25" s="92">
        <v>0</v>
      </c>
      <c r="H25" s="92">
        <v>0</v>
      </c>
      <c r="I25" s="92">
        <v>0</v>
      </c>
      <c r="J25" s="34"/>
      <c r="K25" s="92">
        <v>0</v>
      </c>
      <c r="L25" s="92">
        <v>-130</v>
      </c>
      <c r="M25" s="92">
        <v>-994</v>
      </c>
      <c r="N25" s="26">
        <f>SUM(C25-SUM(K25:M25))</f>
        <v>1124</v>
      </c>
      <c r="O25" s="92">
        <v>-759</v>
      </c>
      <c r="P25" s="92">
        <v>-11744</v>
      </c>
      <c r="Q25" s="92">
        <v>0</v>
      </c>
      <c r="R25" s="34">
        <f>SUM(D25-SUM(O25:Q25))</f>
        <v>0</v>
      </c>
      <c r="S25" s="92">
        <v>710</v>
      </c>
      <c r="T25" s="92">
        <v>-1454</v>
      </c>
      <c r="U25" s="92">
        <v>-85</v>
      </c>
      <c r="V25" s="34">
        <f>SUM(E25-SUM(S25:U25))</f>
        <v>829</v>
      </c>
      <c r="W25" s="92">
        <v>-1570</v>
      </c>
      <c r="X25" s="92">
        <v>180</v>
      </c>
      <c r="Y25" s="92">
        <v>759</v>
      </c>
      <c r="Z25" s="34">
        <f>SUM(F25-SUM(W25:Y25))</f>
        <v>631</v>
      </c>
      <c r="AA25" s="92">
        <v>-1124</v>
      </c>
      <c r="AB25" s="92">
        <v>-4902</v>
      </c>
      <c r="AC25" s="92">
        <v>-2151</v>
      </c>
      <c r="AD25" s="34">
        <f>SUM(G25-SUM(AA25:AC25))</f>
        <v>8177</v>
      </c>
      <c r="AE25" s="92">
        <v>2908</v>
      </c>
      <c r="AF25" s="92">
        <v>1746</v>
      </c>
      <c r="AG25" s="92">
        <v>243</v>
      </c>
      <c r="AH25" s="34">
        <f>SUM(H25-SUM(AE25:AG25))</f>
        <v>-4897</v>
      </c>
      <c r="AI25" s="92">
        <v>123</v>
      </c>
      <c r="AJ25" s="92">
        <v>477</v>
      </c>
      <c r="AK25" s="92">
        <v>5405</v>
      </c>
      <c r="AL25" s="34">
        <f>SUM(I25-SUM(AI25:AK25))</f>
        <v>-6005</v>
      </c>
      <c r="AM25" s="92">
        <v>4318</v>
      </c>
      <c r="AN25" s="92">
        <v>7731</v>
      </c>
      <c r="AO25" s="92">
        <v>5318</v>
      </c>
      <c r="AQ25" s="34">
        <f>SUM(S25:V25)</f>
        <v>0</v>
      </c>
      <c r="AR25" s="34">
        <f>SUM(T25:W25)</f>
        <v>-2280</v>
      </c>
      <c r="AS25" s="34">
        <f>SUM(U25:X25)</f>
        <v>-646</v>
      </c>
      <c r="AT25" s="34">
        <f>SUM(V25:Y25)</f>
        <v>198</v>
      </c>
      <c r="AU25" s="34">
        <f>SUM(W25:Z25)</f>
        <v>0</v>
      </c>
      <c r="AV25" s="34">
        <f>SUM(X25:AA25)</f>
        <v>446</v>
      </c>
      <c r="AW25" s="34">
        <f>SUM(Y25:AB25)</f>
        <v>-4636</v>
      </c>
      <c r="AX25" s="34">
        <f>SUM(Z25:AC25)</f>
        <v>-7546</v>
      </c>
      <c r="AY25" s="34">
        <f>SUM(AA25:AD25)</f>
        <v>0</v>
      </c>
      <c r="AZ25" s="34">
        <f>SUM(AB25:AE25)</f>
        <v>4032</v>
      </c>
      <c r="BA25" s="34">
        <f>SUM(AC25:AF25)</f>
        <v>10680</v>
      </c>
      <c r="BB25" s="34">
        <f>SUM(AD25:AG25)</f>
        <v>13074</v>
      </c>
      <c r="BC25" s="34">
        <f>SUM(AE25:AH25)</f>
        <v>0</v>
      </c>
      <c r="BD25" s="34">
        <f>SUM(AF25:AI25)</f>
        <v>-2785</v>
      </c>
      <c r="BE25" s="34">
        <f>SUM(AG25:AJ25)</f>
        <v>-4054</v>
      </c>
      <c r="BF25" s="34">
        <f>SUM(AH25:AK25)</f>
        <v>1108</v>
      </c>
      <c r="BG25" s="34">
        <f>SUM(AI25:AL25)</f>
        <v>0</v>
      </c>
      <c r="BH25" s="34">
        <f>SUM(AJ25:AM25)</f>
        <v>4195</v>
      </c>
      <c r="BI25" s="34">
        <f>SUM(AK25:AN25)</f>
        <v>11449</v>
      </c>
      <c r="BJ25" s="34">
        <f>SUM(AL25:AO25)</f>
        <v>11362</v>
      </c>
      <c r="BK25" s="12"/>
      <c r="BL25" s="83">
        <f t="shared" si="6"/>
        <v>-3.8241243216576222</v>
      </c>
    </row>
    <row r="26" spans="2:64" ht="12.75" customHeight="1">
      <c r="B26" s="27" t="s">
        <v>454</v>
      </c>
      <c r="C26" s="28">
        <f>SUM(C20+SUM(C23:C25))</f>
        <v>-29885</v>
      </c>
      <c r="D26" s="28">
        <f>SUM(D20+SUM(D23:D25))</f>
        <v>-12434</v>
      </c>
      <c r="E26" s="28">
        <f>SUM(E20+SUM(E23:E25))</f>
        <v>-52680</v>
      </c>
      <c r="F26" s="28">
        <f>SUM(F20+SUM(F23:F25))</f>
        <v>-179068</v>
      </c>
      <c r="G26" s="28">
        <f>SUM(G20+SUM(G23:G25))</f>
        <v>-347157</v>
      </c>
      <c r="H26" s="28">
        <f>SUM(H20+SUM(H23:H25))</f>
        <v>-334237</v>
      </c>
      <c r="I26" s="28">
        <f>SUM(I20+SUM(I23:I25))</f>
        <v>-160231</v>
      </c>
      <c r="K26" s="28">
        <f>SUM(K20+SUM(K23:K25))</f>
        <v>-5696</v>
      </c>
      <c r="L26" s="28">
        <f>SUM(L20+SUM(L23:L25))</f>
        <v>-7396</v>
      </c>
      <c r="M26" s="28">
        <f>SUM(M20+SUM(M23:M25))</f>
        <v>-9342</v>
      </c>
      <c r="N26" s="28">
        <f>SUM(N20+SUM(N23:N25))</f>
        <v>-7451</v>
      </c>
      <c r="O26" s="28">
        <f>SUM(O20+SUM(O23:O25))</f>
        <v>-6649</v>
      </c>
      <c r="P26" s="28">
        <f>SUM(P20+SUM(P23:P25))</f>
        <v>-9420</v>
      </c>
      <c r="Q26" s="28">
        <f>SUM(Q20+SUM(Q23:Q25))</f>
        <v>4099</v>
      </c>
      <c r="R26" s="28">
        <f>SUM(R20+SUM(R23:R25))</f>
        <v>-464</v>
      </c>
      <c r="S26" s="28">
        <f>SUM(S20+SUM(S23:S25))</f>
        <v>1814</v>
      </c>
      <c r="T26" s="28">
        <f>SUM(T20+SUM(T23:T25))</f>
        <v>-10189</v>
      </c>
      <c r="U26" s="28">
        <f>SUM(U20+SUM(U23:U25))</f>
        <v>-19230</v>
      </c>
      <c r="V26" s="28">
        <f>SUM(V20+SUM(V23:V25))</f>
        <v>-25075</v>
      </c>
      <c r="W26" s="28">
        <f>SUM(W20+SUM(W23:W25))</f>
        <v>-26844</v>
      </c>
      <c r="X26" s="28">
        <f>SUM(X20+SUM(X23:X25))</f>
        <v>-19443</v>
      </c>
      <c r="Y26" s="28">
        <f>SUM(Y20+SUM(Y23:Y25))</f>
        <v>-54244</v>
      </c>
      <c r="Z26" s="28">
        <f>SUM(Z20+SUM(Z23:Z25))</f>
        <v>-78537</v>
      </c>
      <c r="AA26" s="28">
        <f>SUM(AA20+SUM(AA23:AA25))</f>
        <v>-99777</v>
      </c>
      <c r="AB26" s="28">
        <f>SUM(AB20+SUM(AB23:AB25))</f>
        <v>-95691</v>
      </c>
      <c r="AC26" s="28">
        <f>SUM(AC20+SUM(AC23:AC25))</f>
        <v>-92932</v>
      </c>
      <c r="AD26" s="28">
        <f>SUM(AD20+SUM(AD23:AD25))</f>
        <v>-58757</v>
      </c>
      <c r="AE26" s="28">
        <f>SUM(AE20+SUM(AE23:AE25))</f>
        <v>-55802</v>
      </c>
      <c r="AF26" s="28">
        <f>SUM(AF20+SUM(AF23:AF25))</f>
        <v>-52997</v>
      </c>
      <c r="AG26" s="28">
        <f>SUM(AG20+SUM(AG23:AG25))</f>
        <v>-70366</v>
      </c>
      <c r="AH26" s="28">
        <f>SUM(AH20+SUM(AH23:AH25))</f>
        <v>-155072</v>
      </c>
      <c r="AI26" s="28">
        <f>SUM(AI20+SUM(AI23:AI25))</f>
        <v>-54366</v>
      </c>
      <c r="AJ26" s="28">
        <f>SUM(AJ20+SUM(AJ23:AJ25))</f>
        <v>-34483</v>
      </c>
      <c r="AK26" s="28">
        <f>SUM(AK20+SUM(AK23:AK25))</f>
        <v>-26532</v>
      </c>
      <c r="AL26" s="28">
        <f>SUM(AL20+SUM(AL23:AL25))</f>
        <v>-44850</v>
      </c>
      <c r="AM26" s="28">
        <f>SUM(AM20+SUM(AM23:AM25))</f>
        <v>-52905</v>
      </c>
      <c r="AN26" s="28">
        <f>SUM(AN20+SUM(AN23:AN25))</f>
        <v>-29183</v>
      </c>
      <c r="AO26" s="28">
        <f>SUM(AO20+SUM(AO23:AO25))</f>
        <v>-110681</v>
      </c>
      <c r="AQ26" s="28">
        <f>SUM(AQ20+SUM(AQ23:AQ25))</f>
        <v>-52680</v>
      </c>
      <c r="AR26" s="28">
        <f>SUM(AR20+SUM(AR23:AR25))</f>
        <v>-81338</v>
      </c>
      <c r="AS26" s="28">
        <f>SUM(AS20+SUM(AS23:AS25))</f>
        <v>-90592</v>
      </c>
      <c r="AT26" s="28">
        <f>SUM(AT20+SUM(AT23:AT25))</f>
        <v>-125606</v>
      </c>
      <c r="AU26" s="28">
        <f>SUM(AU20+SUM(AU23:AU25))</f>
        <v>-179068</v>
      </c>
      <c r="AV26" s="28">
        <f>SUM(AV20+SUM(AV23:AV25))</f>
        <v>-252001</v>
      </c>
      <c r="AW26" s="28">
        <f>SUM(AW20+SUM(AW23:AW25))</f>
        <v>-328249</v>
      </c>
      <c r="AX26" s="28">
        <f>SUM(AX20+SUM(AX23:AX25))</f>
        <v>-366937</v>
      </c>
      <c r="AY26" s="28">
        <f>SUM(AY20+SUM(AY23:AY25))</f>
        <v>-347157</v>
      </c>
      <c r="AZ26" s="28">
        <f>SUM(AZ20+SUM(AZ23:AZ25))</f>
        <v>-303182</v>
      </c>
      <c r="BA26" s="28">
        <f>SUM(BA20+SUM(BA23:BA25))</f>
        <v>-260488</v>
      </c>
      <c r="BB26" s="28">
        <f>SUM(BB20+SUM(BB23:BB25))</f>
        <v>-237922</v>
      </c>
      <c r="BC26" s="28">
        <f>SUM(BC20+SUM(BC23:BC25))</f>
        <v>-334237</v>
      </c>
      <c r="BD26" s="28">
        <f>SUM(BD20+SUM(BD23:BD25))</f>
        <v>-332801</v>
      </c>
      <c r="BE26" s="28">
        <f>SUM(BE20+SUM(BE23:BE25))</f>
        <v>-314287</v>
      </c>
      <c r="BF26" s="28">
        <f>SUM(BF20+SUM(BF23:BF25))</f>
        <v>-270453</v>
      </c>
      <c r="BG26" s="28">
        <f>SUM(BG20+SUM(BG23:BG25))</f>
        <v>-160231</v>
      </c>
      <c r="BH26" s="28">
        <f>SUM(BH20+SUM(BH23:BH25))</f>
        <v>-158770</v>
      </c>
      <c r="BI26" s="28">
        <f>SUM(BI20+SUM(BI23:BI25))</f>
        <v>-153470</v>
      </c>
      <c r="BJ26" s="28">
        <f>SUM(BJ20+SUM(BJ23:BJ25))</f>
        <v>-237619</v>
      </c>
      <c r="BK26" s="45"/>
      <c r="BL26" s="83">
        <f t="shared" si="6"/>
        <v>-0.51168836127488571</v>
      </c>
    </row>
    <row r="27" spans="2:64" ht="12.75" customHeight="1">
      <c r="B27" s="17" t="s">
        <v>455</v>
      </c>
      <c r="C27" s="19">
        <f>C26/C11</f>
        <v>-0.33985716560147383</v>
      </c>
      <c r="D27" s="19">
        <f>D26/D11</f>
        <v>-4.1739258871354865E-2</v>
      </c>
      <c r="E27" s="19">
        <f>E26/E11</f>
        <v>-0.12950330026918397</v>
      </c>
      <c r="F27" s="19">
        <f>F26/F11</f>
        <v>-0.38534108026683883</v>
      </c>
      <c r="G27" s="19">
        <f>G26/G11</f>
        <v>-0.82866950085097135</v>
      </c>
      <c r="H27" s="19">
        <f>H26/H11</f>
        <v>-0.97338486091048881</v>
      </c>
      <c r="I27" s="19">
        <f>I26/I11</f>
        <v>-0.49082560376410622</v>
      </c>
      <c r="J27" s="29"/>
      <c r="K27" s="19">
        <f>K26/K11</f>
        <v>-0.44583594239198499</v>
      </c>
      <c r="L27" s="19">
        <f>L26/L11</f>
        <v>-0.42586514654229285</v>
      </c>
      <c r="M27" s="19">
        <f>M26/M11</f>
        <v>-0.35552003653385089</v>
      </c>
      <c r="N27" s="19">
        <f>N26/N11</f>
        <v>-0.23643460049501808</v>
      </c>
      <c r="O27" s="19">
        <f>O26/O11</f>
        <v>-0.16537332736407501</v>
      </c>
      <c r="P27" s="19">
        <f>P26/P11</f>
        <v>-0.14007226658339653</v>
      </c>
      <c r="Q27" s="19">
        <f>Q26/Q11</f>
        <v>4.4573243005186981E-2</v>
      </c>
      <c r="R27" s="19">
        <f>R26/R11</f>
        <v>-4.7116644157637671E-3</v>
      </c>
      <c r="S27" s="19">
        <f>S26/S11</f>
        <v>1.8686775037600183E-2</v>
      </c>
      <c r="T27" s="19">
        <f>T26/T11</f>
        <v>-8.9899239443081758E-2</v>
      </c>
      <c r="U27" s="19">
        <f>U26/U11</f>
        <v>-0.203629971620992</v>
      </c>
      <c r="V27" s="19">
        <f>V26/V11</f>
        <v>-0.24598526540902715</v>
      </c>
      <c r="W27" s="19">
        <f>W26/W11</f>
        <v>-0.2481786916164343</v>
      </c>
      <c r="X27" s="19">
        <f>X26/X11</f>
        <v>-0.1301179178991608</v>
      </c>
      <c r="Y27" s="19">
        <f>Y26/Y11</f>
        <v>-0.50965874924834631</v>
      </c>
      <c r="Z27" s="19">
        <f>Z26/Z11</f>
        <v>-0.78008105047776077</v>
      </c>
      <c r="AA27" s="19">
        <f>AA26/AA11</f>
        <v>-0.911580101411539</v>
      </c>
      <c r="AB27" s="19">
        <f>AB26/AB11</f>
        <v>-0.65078210010881388</v>
      </c>
      <c r="AC27" s="19">
        <f>AC26/AC11</f>
        <v>-1.1264484848484848</v>
      </c>
      <c r="AD27" s="19">
        <f>AD26/AD11</f>
        <v>-0.73503214991618504</v>
      </c>
      <c r="AE27" s="19">
        <f>AE26/AE11</f>
        <v>-0.60499154343206563</v>
      </c>
      <c r="AF27" s="19">
        <f>AF26/AF11</f>
        <v>-0.51882054645664666</v>
      </c>
      <c r="AG27" s="19">
        <f>AG26/AG11</f>
        <v>-0.93432653494794982</v>
      </c>
      <c r="AH27" s="19">
        <f>AH26/AH11</f>
        <v>-2.104697403602112</v>
      </c>
      <c r="AI27" s="19">
        <f>AI26/AI11</f>
        <v>-0.71909844847426685</v>
      </c>
      <c r="AJ27" s="19">
        <f>AJ26/AJ11</f>
        <v>-0.37004882760100877</v>
      </c>
      <c r="AK27" s="19">
        <f>AK26/AK11</f>
        <v>-0.32753129397822384</v>
      </c>
      <c r="AL27" s="19">
        <f>AL26/AL11</f>
        <v>-0.58506613791124218</v>
      </c>
      <c r="AM27" s="19">
        <f>AM26/AM11</f>
        <v>-0.76974000087296857</v>
      </c>
      <c r="AN27" s="19">
        <f>AN26/AN11</f>
        <v>-0.38932468849222229</v>
      </c>
      <c r="AO27" s="19">
        <f>AO26/AO11</f>
        <v>-1.5762482554330799</v>
      </c>
      <c r="AP27" s="30"/>
      <c r="AQ27" s="19">
        <f>AQ26/AQ11</f>
        <v>-0.12950330026918397</v>
      </c>
      <c r="AR27" s="19">
        <f>AR26/AR11</f>
        <v>-0.19464672449895304</v>
      </c>
      <c r="AS27" s="19">
        <f>AS26/AS11</f>
        <v>-0.19955811376698102</v>
      </c>
      <c r="AT27" s="19">
        <f>AT26/AT11</f>
        <v>-0.26956448957955526</v>
      </c>
      <c r="AU27" s="19">
        <f>AU26/AU11</f>
        <v>-0.38534108026683883</v>
      </c>
      <c r="AV27" s="19">
        <f>AV26/AV11</f>
        <v>-0.54078512245944665</v>
      </c>
      <c r="AW27" s="19">
        <f>AW26/AW11</f>
        <v>-0.70803593576428214</v>
      </c>
      <c r="AX27" s="19">
        <f>AX26/AX11</f>
        <v>-0.83456796300887248</v>
      </c>
      <c r="AY27" s="19">
        <f>AY26/AY11</f>
        <v>-0.82866950085097135</v>
      </c>
      <c r="AZ27" s="19">
        <f>AZ26/AZ11</f>
        <v>-0.75472102042746825</v>
      </c>
      <c r="BA27" s="19">
        <f>BA26/BA11</f>
        <v>-0.73002020609658014</v>
      </c>
      <c r="BB27" s="19">
        <f>BB26/BB11</f>
        <v>-0.68048679337022899</v>
      </c>
      <c r="BC27" s="19">
        <f>BC26/BC11</f>
        <v>-0.97338486091048881</v>
      </c>
      <c r="BD27" s="19">
        <f>BD26/BD11</f>
        <v>-1.0185405655209141</v>
      </c>
      <c r="BE27" s="19">
        <f>BE26/BE11</f>
        <v>-0.98901123107568467</v>
      </c>
      <c r="BF27" s="19">
        <f>BF26/BF11</f>
        <v>-0.83609142030401296</v>
      </c>
      <c r="BG27" s="19">
        <f>BG26/BG11</f>
        <v>-0.49082560376410622</v>
      </c>
      <c r="BH27" s="19">
        <f>BH26/BH11</f>
        <v>-0.49680831090806682</v>
      </c>
      <c r="BI27" s="19">
        <f>BI26/BI11</f>
        <v>-0.50926985959987126</v>
      </c>
      <c r="BJ27" s="19">
        <f>BJ26/BJ11</f>
        <v>-0.81778259597680381</v>
      </c>
      <c r="BK27" s="46"/>
      <c r="BL27" s="85">
        <f>SUM(BI27-BE27)*1000</f>
        <v>479.74137147581342</v>
      </c>
    </row>
    <row r="28" spans="2:64" ht="5.0999999999999996" customHeight="1">
      <c r="B28" s="31"/>
      <c r="C28" s="47"/>
      <c r="D28" s="47"/>
      <c r="E28" s="47"/>
      <c r="F28" s="47"/>
      <c r="G28" s="47"/>
      <c r="H28" s="47"/>
      <c r="I28" s="47"/>
      <c r="J28" s="32"/>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Q28" s="47"/>
      <c r="AR28" s="47"/>
      <c r="AS28" s="47"/>
      <c r="AT28" s="47"/>
      <c r="AU28" s="47"/>
      <c r="AV28" s="47"/>
      <c r="AW28" s="47"/>
      <c r="AX28" s="47"/>
      <c r="AY28" s="47"/>
      <c r="AZ28" s="47"/>
      <c r="BA28" s="47"/>
      <c r="BB28" s="47"/>
      <c r="BC28" s="47"/>
      <c r="BD28" s="47"/>
      <c r="BE28" s="47"/>
      <c r="BF28" s="47"/>
      <c r="BG28" s="47"/>
      <c r="BH28" s="47"/>
      <c r="BI28" s="47"/>
      <c r="BJ28" s="47"/>
      <c r="BK28" s="46"/>
      <c r="BL28" s="83"/>
    </row>
    <row r="29" spans="2:64" ht="12.75" customHeight="1">
      <c r="B29" s="49" t="s">
        <v>98</v>
      </c>
      <c r="C29" s="92">
        <v>-1</v>
      </c>
      <c r="D29" s="92">
        <v>-9</v>
      </c>
      <c r="E29" s="92">
        <v>-72</v>
      </c>
      <c r="F29" s="92">
        <v>-60</v>
      </c>
      <c r="G29" s="92">
        <v>-32</v>
      </c>
      <c r="H29" s="92">
        <v>-5</v>
      </c>
      <c r="I29" s="92">
        <v>26</v>
      </c>
      <c r="J29" s="34"/>
      <c r="K29" s="92">
        <v>0</v>
      </c>
      <c r="L29" s="92">
        <v>0</v>
      </c>
      <c r="M29" s="92">
        <v>0</v>
      </c>
      <c r="N29" s="34">
        <f>SUM(C29-SUM(K29:M29))</f>
        <v>-1</v>
      </c>
      <c r="O29" s="92">
        <v>0</v>
      </c>
      <c r="P29" s="92">
        <v>-21</v>
      </c>
      <c r="Q29" s="92">
        <v>0</v>
      </c>
      <c r="R29" s="34">
        <f>SUM(D29-SUM(O29:Q29))</f>
        <v>12</v>
      </c>
      <c r="S29" s="92">
        <v>1</v>
      </c>
      <c r="T29" s="92">
        <v>-16</v>
      </c>
      <c r="U29" s="92">
        <v>-55</v>
      </c>
      <c r="V29" s="34">
        <f>SUM(E29-SUM(S29:U29))</f>
        <v>-2</v>
      </c>
      <c r="W29" s="92">
        <v>-48</v>
      </c>
      <c r="X29" s="92">
        <v>-2</v>
      </c>
      <c r="Y29" s="92">
        <v>23</v>
      </c>
      <c r="Z29" s="34">
        <f>SUM(F29-SUM(W29:Y29))</f>
        <v>-33</v>
      </c>
      <c r="AA29" s="92">
        <v>-10</v>
      </c>
      <c r="AB29" s="92">
        <v>-11</v>
      </c>
      <c r="AC29" s="92">
        <v>0</v>
      </c>
      <c r="AD29" s="34">
        <f>SUM(G29-SUM(AA29:AC29))</f>
        <v>-11</v>
      </c>
      <c r="AE29" s="92">
        <v>0</v>
      </c>
      <c r="AF29" s="92">
        <v>-5</v>
      </c>
      <c r="AG29" s="92">
        <v>0</v>
      </c>
      <c r="AH29" s="34">
        <f>SUM(H29-SUM(AE29:AG29))</f>
        <v>0</v>
      </c>
      <c r="AI29" s="92">
        <v>-2</v>
      </c>
      <c r="AJ29" s="92">
        <v>34</v>
      </c>
      <c r="AK29" s="92">
        <v>-6</v>
      </c>
      <c r="AL29" s="34">
        <f>SUM(I29-SUM(AI29:AK29))</f>
        <v>0</v>
      </c>
      <c r="AM29" s="92">
        <v>0</v>
      </c>
      <c r="AN29" s="92">
        <v>0</v>
      </c>
      <c r="AO29" s="92">
        <v>0</v>
      </c>
      <c r="AP29" s="34"/>
      <c r="AQ29" s="34">
        <f>SUM(S29:V29)</f>
        <v>-72</v>
      </c>
      <c r="AR29" s="34">
        <f>SUM(T29:W29)</f>
        <v>-121</v>
      </c>
      <c r="AS29" s="34">
        <f>SUM(U29:X29)</f>
        <v>-107</v>
      </c>
      <c r="AT29" s="34">
        <f>SUM(V29:Y29)</f>
        <v>-29</v>
      </c>
      <c r="AU29" s="34">
        <f>SUM(W29:Z29)</f>
        <v>-60</v>
      </c>
      <c r="AV29" s="34">
        <f>SUM(X29:AA29)</f>
        <v>-22</v>
      </c>
      <c r="AW29" s="34">
        <f>SUM(Y29:AB29)</f>
        <v>-31</v>
      </c>
      <c r="AX29" s="34">
        <f>SUM(Z29:AC29)</f>
        <v>-54</v>
      </c>
      <c r="AY29" s="34">
        <f>SUM(AA29:AD29)</f>
        <v>-32</v>
      </c>
      <c r="AZ29" s="34">
        <f>SUM(AB29:AE29)</f>
        <v>-22</v>
      </c>
      <c r="BA29" s="34">
        <f>SUM(AC29:AF29)</f>
        <v>-16</v>
      </c>
      <c r="BB29" s="34">
        <f>SUM(AD29:AG29)</f>
        <v>-16</v>
      </c>
      <c r="BC29" s="34">
        <f>SUM(AE29:AH29)</f>
        <v>-5</v>
      </c>
      <c r="BD29" s="34">
        <f>SUM(AF29:AI29)</f>
        <v>-7</v>
      </c>
      <c r="BE29" s="34">
        <f>SUM(AG29:AJ29)</f>
        <v>32</v>
      </c>
      <c r="BF29" s="34">
        <f>SUM(AH29:AK29)</f>
        <v>26</v>
      </c>
      <c r="BG29" s="34">
        <f>SUM(AI29:AL29)</f>
        <v>26</v>
      </c>
      <c r="BH29" s="34">
        <f>SUM(AJ29:AM29)</f>
        <v>28</v>
      </c>
      <c r="BI29" s="34">
        <f>SUM(AK29:AN29)</f>
        <v>-6</v>
      </c>
      <c r="BJ29" s="34">
        <f>SUM(AL29:AO29)</f>
        <v>0</v>
      </c>
      <c r="BK29" s="46"/>
      <c r="BL29" s="83">
        <f t="shared" si="6"/>
        <v>-1.1875</v>
      </c>
    </row>
    <row r="30" spans="2:64" ht="12.75" customHeight="1">
      <c r="B30" s="10" t="s">
        <v>503</v>
      </c>
      <c r="C30" s="92">
        <v>0</v>
      </c>
      <c r="D30" s="92">
        <v>0</v>
      </c>
      <c r="E30" s="92">
        <v>0</v>
      </c>
      <c r="F30" s="92">
        <v>-2977</v>
      </c>
      <c r="G30" s="92">
        <v>-18948</v>
      </c>
      <c r="H30" s="92">
        <v>-3902</v>
      </c>
      <c r="I30" s="92">
        <v>-73</v>
      </c>
      <c r="J30" s="34"/>
      <c r="K30" s="92">
        <v>0</v>
      </c>
      <c r="L30" s="92">
        <v>0</v>
      </c>
      <c r="M30" s="92">
        <v>0</v>
      </c>
      <c r="N30" s="34">
        <f>SUM(C30-SUM(K30:M30))</f>
        <v>0</v>
      </c>
      <c r="O30" s="92">
        <v>0</v>
      </c>
      <c r="P30" s="92">
        <v>0</v>
      </c>
      <c r="Q30" s="92">
        <v>0</v>
      </c>
      <c r="R30" s="34">
        <f>SUM(D30-SUM(O30:Q30))</f>
        <v>0</v>
      </c>
      <c r="S30" s="92">
        <v>0</v>
      </c>
      <c r="T30" s="92">
        <v>0</v>
      </c>
      <c r="U30" s="92">
        <v>0</v>
      </c>
      <c r="V30" s="34">
        <f>SUM(E30-SUM(S30:U30))</f>
        <v>0</v>
      </c>
      <c r="W30" s="92">
        <v>-374</v>
      </c>
      <c r="X30" s="92">
        <v>-207</v>
      </c>
      <c r="Y30" s="92">
        <v>-595</v>
      </c>
      <c r="Z30" s="34">
        <v>-1801</v>
      </c>
      <c r="AA30" s="92">
        <v>-671</v>
      </c>
      <c r="AB30" s="92">
        <v>-1432</v>
      </c>
      <c r="AC30" s="92">
        <v>-8746</v>
      </c>
      <c r="AD30" s="34">
        <v>-8099</v>
      </c>
      <c r="AE30" s="92">
        <v>-3235</v>
      </c>
      <c r="AF30" s="92">
        <v>-503</v>
      </c>
      <c r="AG30" s="92">
        <v>-126</v>
      </c>
      <c r="AH30" s="34">
        <v>-38</v>
      </c>
      <c r="AI30" s="92">
        <v>7</v>
      </c>
      <c r="AJ30" s="92">
        <v>-30</v>
      </c>
      <c r="AK30" s="92">
        <v>-38</v>
      </c>
      <c r="AL30" s="34">
        <v>-12</v>
      </c>
      <c r="AM30" s="92">
        <v>-11</v>
      </c>
      <c r="AN30" s="92">
        <v>-59</v>
      </c>
      <c r="AO30" s="92">
        <v>-7</v>
      </c>
      <c r="AQ30" s="34">
        <f>SUM(S30:V30)</f>
        <v>0</v>
      </c>
      <c r="AR30" s="34">
        <f>SUM(T30:W30)</f>
        <v>-374</v>
      </c>
      <c r="AS30" s="34">
        <f>SUM(U30:X30)</f>
        <v>-581</v>
      </c>
      <c r="AT30" s="34">
        <f>SUM(V30:Y30)</f>
        <v>-1176</v>
      </c>
      <c r="AU30" s="34">
        <f>SUM(W30:Z30)</f>
        <v>-2977</v>
      </c>
      <c r="AV30" s="34">
        <f>SUM(X30:AA30)</f>
        <v>-3274</v>
      </c>
      <c r="AW30" s="34">
        <f>SUM(Y30:AB30)</f>
        <v>-4499</v>
      </c>
      <c r="AX30" s="34">
        <f>SUM(Z30:AC30)</f>
        <v>-12650</v>
      </c>
      <c r="AY30" s="34">
        <f>SUM(AA30:AD30)</f>
        <v>-18948</v>
      </c>
      <c r="AZ30" s="34">
        <f>SUM(AB30:AE30)</f>
        <v>-21512</v>
      </c>
      <c r="BA30" s="34">
        <f>SUM(AC30:AF30)</f>
        <v>-20583</v>
      </c>
      <c r="BB30" s="34">
        <f>SUM(AD30:AG30)</f>
        <v>-11963</v>
      </c>
      <c r="BC30" s="34">
        <f>SUM(AE30:AH30)</f>
        <v>-3902</v>
      </c>
      <c r="BD30" s="34">
        <f>SUM(AF30:AI30)</f>
        <v>-660</v>
      </c>
      <c r="BE30" s="34">
        <f>SUM(AG30:AJ30)</f>
        <v>-187</v>
      </c>
      <c r="BF30" s="34">
        <f>SUM(AH30:AK30)</f>
        <v>-99</v>
      </c>
      <c r="BG30" s="34">
        <f>SUM(AI30:AL30)</f>
        <v>-73</v>
      </c>
      <c r="BH30" s="34">
        <f>SUM(AJ30:AM30)</f>
        <v>-91</v>
      </c>
      <c r="BI30" s="34">
        <f>SUM(AK30:AN30)</f>
        <v>-120</v>
      </c>
      <c r="BJ30" s="34">
        <f>SUM(AL30:AO30)</f>
        <v>-89</v>
      </c>
      <c r="BK30" s="12"/>
      <c r="BL30" s="83"/>
    </row>
    <row r="31" spans="2:64" ht="12.75" customHeight="1">
      <c r="B31" s="14" t="s">
        <v>82</v>
      </c>
      <c r="C31" s="15">
        <f t="shared" ref="C31:H31" si="40">SUM(C26+SUM(C29:C30))</f>
        <v>-29886</v>
      </c>
      <c r="D31" s="15">
        <f t="shared" si="40"/>
        <v>-12443</v>
      </c>
      <c r="E31" s="15">
        <f t="shared" si="40"/>
        <v>-52752</v>
      </c>
      <c r="F31" s="15">
        <f t="shared" si="40"/>
        <v>-182105</v>
      </c>
      <c r="G31" s="15">
        <f t="shared" si="40"/>
        <v>-366137</v>
      </c>
      <c r="H31" s="15">
        <f t="shared" si="40"/>
        <v>-338144</v>
      </c>
      <c r="I31" s="15">
        <f>SUM(I26+SUM(I29:I30))</f>
        <v>-160278</v>
      </c>
      <c r="J31" s="12"/>
      <c r="K31" s="15">
        <f t="shared" ref="K31:AO31" si="41">SUM(K26+SUM(K29:K30))</f>
        <v>-5696</v>
      </c>
      <c r="L31" s="15">
        <f t="shared" si="41"/>
        <v>-7396</v>
      </c>
      <c r="M31" s="15">
        <f t="shared" si="41"/>
        <v>-9342</v>
      </c>
      <c r="N31" s="15">
        <f t="shared" si="41"/>
        <v>-7452</v>
      </c>
      <c r="O31" s="15">
        <f t="shared" si="41"/>
        <v>-6649</v>
      </c>
      <c r="P31" s="15">
        <f t="shared" si="41"/>
        <v>-9441</v>
      </c>
      <c r="Q31" s="15">
        <f t="shared" si="41"/>
        <v>4099</v>
      </c>
      <c r="R31" s="15">
        <f t="shared" si="41"/>
        <v>-452</v>
      </c>
      <c r="S31" s="15">
        <f t="shared" si="41"/>
        <v>1815</v>
      </c>
      <c r="T31" s="15">
        <f t="shared" si="41"/>
        <v>-10205</v>
      </c>
      <c r="U31" s="15">
        <f t="shared" si="41"/>
        <v>-19285</v>
      </c>
      <c r="V31" s="15">
        <f t="shared" si="41"/>
        <v>-25077</v>
      </c>
      <c r="W31" s="15">
        <f t="shared" si="41"/>
        <v>-27266</v>
      </c>
      <c r="X31" s="15">
        <f t="shared" si="41"/>
        <v>-19652</v>
      </c>
      <c r="Y31" s="15">
        <f t="shared" si="41"/>
        <v>-54816</v>
      </c>
      <c r="Z31" s="15">
        <f t="shared" si="41"/>
        <v>-80371</v>
      </c>
      <c r="AA31" s="15">
        <f t="shared" si="41"/>
        <v>-100458</v>
      </c>
      <c r="AB31" s="15">
        <f t="shared" si="41"/>
        <v>-97134</v>
      </c>
      <c r="AC31" s="15">
        <f t="shared" si="41"/>
        <v>-101678</v>
      </c>
      <c r="AD31" s="15">
        <f t="shared" si="41"/>
        <v>-66867</v>
      </c>
      <c r="AE31" s="15">
        <f t="shared" si="41"/>
        <v>-59037</v>
      </c>
      <c r="AF31" s="15">
        <f t="shared" si="41"/>
        <v>-53505</v>
      </c>
      <c r="AG31" s="15">
        <f t="shared" si="41"/>
        <v>-70492</v>
      </c>
      <c r="AH31" s="15">
        <f t="shared" si="41"/>
        <v>-155110</v>
      </c>
      <c r="AI31" s="15">
        <f t="shared" si="41"/>
        <v>-54361</v>
      </c>
      <c r="AJ31" s="15">
        <f t="shared" si="41"/>
        <v>-34479</v>
      </c>
      <c r="AK31" s="15">
        <f t="shared" si="41"/>
        <v>-26576</v>
      </c>
      <c r="AL31" s="15">
        <f t="shared" si="41"/>
        <v>-44862</v>
      </c>
      <c r="AM31" s="15">
        <f t="shared" si="41"/>
        <v>-52916</v>
      </c>
      <c r="AN31" s="15">
        <f t="shared" si="41"/>
        <v>-29242</v>
      </c>
      <c r="AO31" s="15">
        <f t="shared" si="41"/>
        <v>-110688</v>
      </c>
      <c r="AP31" s="34"/>
      <c r="AQ31" s="15">
        <f t="shared" ref="AQ31" si="42">SUM(AQ26+SUM(AQ29:AQ30))</f>
        <v>-52752</v>
      </c>
      <c r="AR31" s="15">
        <f t="shared" ref="AR31" si="43">SUM(AR26+SUM(AR29:AR30))</f>
        <v>-81833</v>
      </c>
      <c r="AS31" s="15">
        <f t="shared" ref="AS31" si="44">SUM(AS26+SUM(AS29:AS30))</f>
        <v>-91280</v>
      </c>
      <c r="AT31" s="15">
        <f t="shared" ref="AT31" si="45">SUM(AT26+SUM(AT29:AT30))</f>
        <v>-126811</v>
      </c>
      <c r="AU31" s="15">
        <f t="shared" ref="AU31" si="46">SUM(AU26+SUM(AU29:AU30))</f>
        <v>-182105</v>
      </c>
      <c r="AV31" s="15">
        <f t="shared" ref="AV31" si="47">SUM(AV26+SUM(AV29:AV30))</f>
        <v>-255297</v>
      </c>
      <c r="AW31" s="15">
        <f t="shared" ref="AW31" si="48">SUM(AW26+SUM(AW29:AW30))</f>
        <v>-332779</v>
      </c>
      <c r="AX31" s="15">
        <f t="shared" ref="AX31" si="49">SUM(AX26+SUM(AX29:AX30))</f>
        <v>-379641</v>
      </c>
      <c r="AY31" s="15">
        <f t="shared" ref="AY31" si="50">SUM(AY26+SUM(AY29:AY30))</f>
        <v>-366137</v>
      </c>
      <c r="AZ31" s="15">
        <f t="shared" ref="AZ31" si="51">SUM(AZ26+SUM(AZ29:AZ30))</f>
        <v>-324716</v>
      </c>
      <c r="BA31" s="15">
        <f t="shared" ref="BA31" si="52">SUM(BA26+SUM(BA29:BA30))</f>
        <v>-281087</v>
      </c>
      <c r="BB31" s="15">
        <f t="shared" ref="BB31" si="53">SUM(BB26+SUM(BB29:BB30))</f>
        <v>-249901</v>
      </c>
      <c r="BC31" s="15">
        <f t="shared" ref="BC31" si="54">SUM(BC26+SUM(BC29:BC30))</f>
        <v>-338144</v>
      </c>
      <c r="BD31" s="15">
        <f t="shared" ref="BD31" si="55">SUM(BD26+SUM(BD29:BD30))</f>
        <v>-333468</v>
      </c>
      <c r="BE31" s="15">
        <f t="shared" ref="BE31" si="56">SUM(BE26+SUM(BE29:BE30))</f>
        <v>-314442</v>
      </c>
      <c r="BF31" s="15">
        <f t="shared" ref="BF31" si="57">SUM(BF26+SUM(BF29:BF30))</f>
        <v>-270526</v>
      </c>
      <c r="BG31" s="15">
        <f t="shared" ref="BG31" si="58">SUM(BG26+SUM(BG29:BG30))</f>
        <v>-160278</v>
      </c>
      <c r="BH31" s="15">
        <f t="shared" ref="BH31" si="59">SUM(BH26+SUM(BH29:BH30))</f>
        <v>-158833</v>
      </c>
      <c r="BI31" s="15">
        <f t="shared" ref="BI31" si="60">SUM(BI26+SUM(BI29:BI30))</f>
        <v>-153596</v>
      </c>
      <c r="BJ31" s="15">
        <f t="shared" ref="BJ31" si="61">SUM(BJ26+SUM(BJ29:BJ30))</f>
        <v>-237708</v>
      </c>
      <c r="BK31" s="38"/>
      <c r="BL31" s="84">
        <f t="shared" si="6"/>
        <v>-0.51152835817098219</v>
      </c>
    </row>
    <row r="32" spans="2:64" ht="12.75" customHeight="1">
      <c r="B32" s="17" t="s">
        <v>101</v>
      </c>
      <c r="C32" s="19">
        <f>C31/C11</f>
        <v>-0.33986853776696158</v>
      </c>
      <c r="D32" s="19">
        <f>D31/D11</f>
        <v>-4.176947065596498E-2</v>
      </c>
      <c r="E32" s="19">
        <f>E31/E11</f>
        <v>-0.12968029794608946</v>
      </c>
      <c r="F32" s="19">
        <f>F31/F11</f>
        <v>-0.39187647944910697</v>
      </c>
      <c r="G32" s="19">
        <f>G31/G11</f>
        <v>-0.87397507477329306</v>
      </c>
      <c r="H32" s="19">
        <f>H31/H11</f>
        <v>-0.98476305857136204</v>
      </c>
      <c r="I32" s="19">
        <f>I31/I11</f>
        <v>-0.49096957592540402</v>
      </c>
      <c r="J32" s="29"/>
      <c r="K32" s="19">
        <f>K31/K11</f>
        <v>-0.44583594239198499</v>
      </c>
      <c r="L32" s="19">
        <f>L31/L11</f>
        <v>-0.42586514654229285</v>
      </c>
      <c r="M32" s="19">
        <f>M31/M11</f>
        <v>-0.35552003653385089</v>
      </c>
      <c r="N32" s="19">
        <f>N31/N11</f>
        <v>-0.2364663324236847</v>
      </c>
      <c r="O32" s="19">
        <f>O31/O11</f>
        <v>-0.16537332736407501</v>
      </c>
      <c r="P32" s="19">
        <f>P31/P11</f>
        <v>-0.1403845295980729</v>
      </c>
      <c r="Q32" s="19">
        <f>Q31/Q11</f>
        <v>4.4573243005186981E-2</v>
      </c>
      <c r="R32" s="19">
        <f>R31/R11</f>
        <v>-4.5898110257009111E-3</v>
      </c>
      <c r="S32" s="19">
        <f>S31/S11</f>
        <v>1.8697076457135794E-2</v>
      </c>
      <c r="T32" s="19">
        <f>T31/T11</f>
        <v>-9.0040410100760554E-2</v>
      </c>
      <c r="U32" s="19">
        <f>U31/U11</f>
        <v>-0.20421237663602862</v>
      </c>
      <c r="V32" s="19">
        <f>V31/V11</f>
        <v>-0.24600488537037582</v>
      </c>
      <c r="W32" s="19">
        <f>W31/W11</f>
        <v>-0.25208017454975779</v>
      </c>
      <c r="X32" s="19">
        <f>X31/X11</f>
        <v>-0.13151660353619851</v>
      </c>
      <c r="Y32" s="19">
        <f>Y31/Y11</f>
        <v>-0.51503307276007215</v>
      </c>
      <c r="Z32" s="19">
        <f>Z31/Z11</f>
        <v>-0.79829754266076003</v>
      </c>
      <c r="AA32" s="19">
        <f>AA31/AA11</f>
        <v>-0.91780183637111146</v>
      </c>
      <c r="AB32" s="19">
        <f>AB31/AB11</f>
        <v>-0.66059575625680089</v>
      </c>
      <c r="AC32" s="19">
        <f>AC31/AC11</f>
        <v>-1.232460606060606</v>
      </c>
      <c r="AD32" s="19">
        <f>AD31/AD11</f>
        <v>-0.83648577647676947</v>
      </c>
      <c r="AE32" s="19">
        <f>AE31/AE11</f>
        <v>-0.640064616852422</v>
      </c>
      <c r="AF32" s="19">
        <f>AF31/AF11</f>
        <v>-0.52379367394688148</v>
      </c>
      <c r="AG32" s="19">
        <f>AG31/AG11</f>
        <v>-0.93599957510091358</v>
      </c>
      <c r="AH32" s="19">
        <f>AH31/AH11</f>
        <v>-2.1052131543587724</v>
      </c>
      <c r="AI32" s="19">
        <f>AI31/AI11</f>
        <v>-0.71903231353253183</v>
      </c>
      <c r="AJ32" s="19">
        <f>AJ31/AJ11</f>
        <v>-0.37000590223748459</v>
      </c>
      <c r="AK32" s="19">
        <f>AK31/AK11</f>
        <v>-0.32807446361997877</v>
      </c>
      <c r="AL32" s="19">
        <f>AL31/AL11</f>
        <v>-0.58522267734613476</v>
      </c>
      <c r="AM32" s="19">
        <f>AM31/AM11</f>
        <v>-0.76990004510337406</v>
      </c>
      <c r="AN32" s="19">
        <f>AN31/AN11</f>
        <v>-0.3901117959390592</v>
      </c>
      <c r="AO32" s="19">
        <f>AO31/AO11</f>
        <v>-1.5763479449713749</v>
      </c>
      <c r="AP32" s="30"/>
      <c r="AQ32" s="19">
        <f>AQ31/AQ11</f>
        <v>-0.12968029794608946</v>
      </c>
      <c r="AR32" s="19">
        <f>AR31/AR11</f>
        <v>-0.19583128926114268</v>
      </c>
      <c r="AS32" s="19">
        <f>AS31/AS11</f>
        <v>-0.20107365578251973</v>
      </c>
      <c r="AT32" s="19">
        <f>AT31/AT11</f>
        <v>-0.2721505540187012</v>
      </c>
      <c r="AU32" s="19">
        <f>AU31/AU11</f>
        <v>-0.39187647944910697</v>
      </c>
      <c r="AV32" s="19">
        <f>AV31/AV11</f>
        <v>-0.5478582204377338</v>
      </c>
      <c r="AW32" s="19">
        <f>AW31/AW11</f>
        <v>-0.71780718499584772</v>
      </c>
      <c r="AX32" s="19">
        <f>AX31/AX11</f>
        <v>-0.86346216392637254</v>
      </c>
      <c r="AY32" s="19">
        <f>AY31/AY11</f>
        <v>-0.87397507477329306</v>
      </c>
      <c r="AZ32" s="19">
        <f>AZ31/AZ11</f>
        <v>-0.80832632171146634</v>
      </c>
      <c r="BA32" s="19">
        <f>BA31/BA11</f>
        <v>-0.78774910810121546</v>
      </c>
      <c r="BB32" s="19">
        <f>BB31/BB11</f>
        <v>-0.71474823744762395</v>
      </c>
      <c r="BC32" s="19">
        <f>BC31/BC11</f>
        <v>-0.98476305857136204</v>
      </c>
      <c r="BD32" s="19">
        <f>BD31/BD11</f>
        <v>-1.0205819252439992</v>
      </c>
      <c r="BE32" s="19">
        <f>BE31/BE11</f>
        <v>-0.98949899143744557</v>
      </c>
      <c r="BF32" s="19">
        <f>BF31/BF11</f>
        <v>-0.83631709601728743</v>
      </c>
      <c r="BG32" s="19">
        <f>BG31/BG11</f>
        <v>-0.49096957592540402</v>
      </c>
      <c r="BH32" s="19">
        <f>BH31/BH11</f>
        <v>-0.49700544464609803</v>
      </c>
      <c r="BI32" s="19">
        <f>BI31/BI11</f>
        <v>-0.50968797390435805</v>
      </c>
      <c r="BJ32" s="19">
        <f>BJ31/BJ11</f>
        <v>-0.81808889577203037</v>
      </c>
      <c r="BK32" s="46"/>
      <c r="BL32" s="85">
        <f>SUM(BI32-BE32)*1000</f>
        <v>479.81101753308752</v>
      </c>
    </row>
    <row r="33" spans="1:64" ht="5.0999999999999996" customHeight="1">
      <c r="B33" s="17"/>
      <c r="C33" s="19"/>
      <c r="D33" s="19"/>
      <c r="E33" s="19"/>
      <c r="F33" s="19"/>
      <c r="G33" s="19"/>
      <c r="H33" s="19"/>
      <c r="I33" s="19"/>
      <c r="J33" s="2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30"/>
      <c r="AQ33" s="19"/>
      <c r="AR33" s="19"/>
      <c r="AS33" s="19"/>
      <c r="AT33" s="19"/>
      <c r="AU33" s="19"/>
      <c r="AV33" s="19"/>
      <c r="AW33" s="19"/>
      <c r="AX33" s="19"/>
      <c r="AY33" s="19"/>
      <c r="AZ33" s="19"/>
      <c r="BA33" s="19"/>
      <c r="BB33" s="19"/>
      <c r="BC33" s="19"/>
      <c r="BD33" s="19"/>
      <c r="BE33" s="19"/>
      <c r="BF33" s="19"/>
      <c r="BG33" s="19"/>
      <c r="BH33" s="19"/>
      <c r="BI33" s="19"/>
      <c r="BJ33" s="19"/>
      <c r="BK33" s="46"/>
      <c r="BL33" s="85"/>
    </row>
    <row r="34" spans="1:64" ht="12.75" customHeight="1">
      <c r="B34" s="49" t="s">
        <v>102</v>
      </c>
      <c r="C34" s="92">
        <v>0</v>
      </c>
      <c r="D34" s="92">
        <v>61845.095999999998</v>
      </c>
      <c r="E34" s="92">
        <v>62940.338000000003</v>
      </c>
      <c r="F34" s="92">
        <v>63455.45</v>
      </c>
      <c r="G34" s="92">
        <v>64094.519</v>
      </c>
      <c r="H34" s="92">
        <v>64677.260999999999</v>
      </c>
      <c r="I34" s="92">
        <v>76131.339000000007</v>
      </c>
      <c r="J34" s="29"/>
      <c r="K34" s="468"/>
      <c r="L34" s="468"/>
      <c r="M34" s="92">
        <v>6441.8379999999997</v>
      </c>
      <c r="N34" s="92">
        <f>D34</f>
        <v>61845.095999999998</v>
      </c>
      <c r="O34" s="92">
        <v>60122.796999999999</v>
      </c>
      <c r="P34" s="92">
        <v>60178.252</v>
      </c>
      <c r="Q34" s="92">
        <v>60415.866000000002</v>
      </c>
      <c r="R34" s="34">
        <f>H34</f>
        <v>64677.260999999999</v>
      </c>
      <c r="S34" s="92">
        <v>61679.928999999996</v>
      </c>
      <c r="T34" s="92">
        <v>62098.860999999997</v>
      </c>
      <c r="U34" s="92">
        <v>62487.152000000002</v>
      </c>
      <c r="V34" s="34">
        <f>E34</f>
        <v>62940.338000000003</v>
      </c>
      <c r="W34" s="92">
        <v>62941.748</v>
      </c>
      <c r="X34" s="92">
        <v>63121.4</v>
      </c>
      <c r="Y34" s="92">
        <v>63280.122000000003</v>
      </c>
      <c r="Z34" s="34">
        <f>F34</f>
        <v>63455.45</v>
      </c>
      <c r="AA34" s="92">
        <v>63465.205000000002</v>
      </c>
      <c r="AB34" s="92">
        <v>63573.658000000003</v>
      </c>
      <c r="AC34" s="92">
        <v>63694.591999999997</v>
      </c>
      <c r="AD34" s="34">
        <f>G34</f>
        <v>64094.519</v>
      </c>
      <c r="AE34" s="92">
        <v>64004.894</v>
      </c>
      <c r="AF34" s="92">
        <v>64246.048000000003</v>
      </c>
      <c r="AG34" s="92">
        <v>64398.447999999997</v>
      </c>
      <c r="AH34" s="34">
        <f>H34</f>
        <v>64677.260999999999</v>
      </c>
      <c r="AI34" s="92">
        <v>64702.249000000003</v>
      </c>
      <c r="AJ34" s="92">
        <v>64901.584000000003</v>
      </c>
      <c r="AK34" s="92">
        <v>65060.728999999999</v>
      </c>
      <c r="AL34" s="34">
        <f>I34</f>
        <v>76131.339000000007</v>
      </c>
      <c r="AM34" s="92">
        <v>76194.915999999997</v>
      </c>
      <c r="AN34" s="92">
        <v>76491.593999999997</v>
      </c>
      <c r="AO34" s="92">
        <v>76670.868000000002</v>
      </c>
      <c r="AP34" s="30"/>
      <c r="AQ34" s="34">
        <f>V34</f>
        <v>62940.338000000003</v>
      </c>
      <c r="AR34" s="34">
        <f>W34</f>
        <v>62941.748</v>
      </c>
      <c r="AS34" s="34">
        <f>X34</f>
        <v>63121.4</v>
      </c>
      <c r="AT34" s="34">
        <f>Y34</f>
        <v>63280.122000000003</v>
      </c>
      <c r="AU34" s="34">
        <f>Z34</f>
        <v>63455.45</v>
      </c>
      <c r="AV34" s="34">
        <f>AA34</f>
        <v>63465.205000000002</v>
      </c>
      <c r="AW34" s="34">
        <f>AB34</f>
        <v>63573.658000000003</v>
      </c>
      <c r="AX34" s="34">
        <f>AC34</f>
        <v>63694.591999999997</v>
      </c>
      <c r="AY34" s="34">
        <f>AD34</f>
        <v>64094.519</v>
      </c>
      <c r="AZ34" s="34">
        <f>AE34</f>
        <v>64004.894</v>
      </c>
      <c r="BA34" s="34">
        <f>AF34</f>
        <v>64246.048000000003</v>
      </c>
      <c r="BB34" s="34">
        <f>AG34</f>
        <v>64398.447999999997</v>
      </c>
      <c r="BC34" s="34">
        <f>AH34</f>
        <v>64677.260999999999</v>
      </c>
      <c r="BD34" s="34">
        <f>AI34</f>
        <v>64702.249000000003</v>
      </c>
      <c r="BE34" s="34">
        <f>AJ34</f>
        <v>64901.584000000003</v>
      </c>
      <c r="BF34" s="34">
        <f>AK34</f>
        <v>65060.728999999999</v>
      </c>
      <c r="BG34" s="34">
        <f>AL34</f>
        <v>76131.339000000007</v>
      </c>
      <c r="BH34" s="34">
        <f>AM34</f>
        <v>76194.915999999997</v>
      </c>
      <c r="BI34" s="34">
        <f>AN34</f>
        <v>76491.593999999997</v>
      </c>
      <c r="BJ34" s="34">
        <f>AO34</f>
        <v>76670.868000000002</v>
      </c>
      <c r="BK34" s="46"/>
      <c r="BL34" s="85"/>
    </row>
    <row r="35" spans="1:64" ht="12.75" customHeight="1">
      <c r="B35" s="14" t="s">
        <v>103</v>
      </c>
      <c r="C35" s="86" t="e">
        <f t="shared" ref="C35:I35" si="62">C31/C34</f>
        <v>#DIV/0!</v>
      </c>
      <c r="D35" s="86">
        <f t="shared" si="62"/>
        <v>-0.20119622742601936</v>
      </c>
      <c r="E35" s="86">
        <f t="shared" si="62"/>
        <v>-0.83812705295608669</v>
      </c>
      <c r="F35" s="86">
        <f t="shared" si="62"/>
        <v>-2.8698086610369953</v>
      </c>
      <c r="G35" s="86">
        <f t="shared" si="62"/>
        <v>-5.7124541335585963</v>
      </c>
      <c r="H35" s="86">
        <f t="shared" si="62"/>
        <v>-5.2281743965626495</v>
      </c>
      <c r="I35" s="86">
        <f t="shared" si="62"/>
        <v>-2.1052828192080004</v>
      </c>
      <c r="J35" s="12"/>
      <c r="K35" s="86" t="e">
        <f t="shared" ref="K35:AJ35" si="63">K31/K34</f>
        <v>#DIV/0!</v>
      </c>
      <c r="L35" s="86" t="e">
        <f t="shared" si="63"/>
        <v>#DIV/0!</v>
      </c>
      <c r="M35" s="86">
        <f t="shared" si="63"/>
        <v>-1.4502072234663461</v>
      </c>
      <c r="N35" s="86">
        <f t="shared" si="63"/>
        <v>-0.120494598310592</v>
      </c>
      <c r="O35" s="86">
        <f t="shared" si="63"/>
        <v>-0.11059033065278051</v>
      </c>
      <c r="P35" s="86">
        <f t="shared" si="63"/>
        <v>-0.15688391879511554</v>
      </c>
      <c r="Q35" s="86">
        <f t="shared" si="63"/>
        <v>6.784641637016342E-2</v>
      </c>
      <c r="R35" s="86">
        <f>R31/R34</f>
        <v>-6.9885457889133553E-3</v>
      </c>
      <c r="S35" s="86">
        <f t="shared" si="63"/>
        <v>2.9426103911371234E-2</v>
      </c>
      <c r="T35" s="86">
        <f t="shared" si="63"/>
        <v>-0.16433473715403574</v>
      </c>
      <c r="U35" s="86">
        <f t="shared" si="63"/>
        <v>-0.30862344310395201</v>
      </c>
      <c r="V35" s="86">
        <f>V31/V34</f>
        <v>-0.39842493378411786</v>
      </c>
      <c r="W35" s="86">
        <f t="shared" si="63"/>
        <v>-0.4331941972758685</v>
      </c>
      <c r="X35" s="86">
        <f t="shared" si="63"/>
        <v>-0.3113365673131458</v>
      </c>
      <c r="Y35" s="86">
        <f t="shared" si="63"/>
        <v>-0.86624358910053934</v>
      </c>
      <c r="Z35" s="86">
        <f>Z31/Z34</f>
        <v>-1.2665736355190926</v>
      </c>
      <c r="AA35" s="86">
        <f t="shared" si="63"/>
        <v>-1.5828830931846829</v>
      </c>
      <c r="AB35" s="86">
        <f t="shared" si="63"/>
        <v>-1.527896978965722</v>
      </c>
      <c r="AC35" s="86">
        <f t="shared" si="63"/>
        <v>-1.5963364676234995</v>
      </c>
      <c r="AD35" s="86">
        <f>AD31/AD34</f>
        <v>-1.0432561324003382</v>
      </c>
      <c r="AE35" s="86">
        <f t="shared" si="63"/>
        <v>-0.92238259155620195</v>
      </c>
      <c r="AF35" s="86">
        <f t="shared" si="63"/>
        <v>-0.8328138720688314</v>
      </c>
      <c r="AG35" s="86">
        <f t="shared" si="63"/>
        <v>-1.0946226530179735</v>
      </c>
      <c r="AH35" s="86">
        <f>AH31/AH34</f>
        <v>-2.3982153480494484</v>
      </c>
      <c r="AI35" s="86">
        <f t="shared" si="63"/>
        <v>-0.84017172262435569</v>
      </c>
      <c r="AJ35" s="86">
        <f t="shared" si="63"/>
        <v>-0.5312505161661385</v>
      </c>
      <c r="AK35" s="86">
        <f>AK31/AK34</f>
        <v>-0.40847989883421071</v>
      </c>
      <c r="AL35" s="86">
        <f>AL31/AL34</f>
        <v>-0.58927112788598135</v>
      </c>
      <c r="AM35" s="86">
        <f>AM31/AM34</f>
        <v>-0.69448203079586046</v>
      </c>
      <c r="AN35" s="86">
        <f>AN31/AN34</f>
        <v>-0.38229037297876156</v>
      </c>
      <c r="AO35" s="86">
        <f>AO31/AO34</f>
        <v>-1.4436774082171602</v>
      </c>
      <c r="AP35" s="30"/>
      <c r="AQ35" s="86">
        <f t="shared" ref="AQ35:AX35" si="64">AQ31/AQ34</f>
        <v>-0.83812705295608669</v>
      </c>
      <c r="AR35" s="86">
        <f t="shared" si="64"/>
        <v>-1.3001386615446398</v>
      </c>
      <c r="AS35" s="86">
        <f t="shared" si="64"/>
        <v>-1.4461022727632784</v>
      </c>
      <c r="AT35" s="86">
        <f t="shared" si="64"/>
        <v>-2.0039626345853123</v>
      </c>
      <c r="AU35" s="86">
        <f t="shared" si="64"/>
        <v>-2.8698086610369953</v>
      </c>
      <c r="AV35" s="86">
        <f t="shared" si="64"/>
        <v>-4.0226294077203404</v>
      </c>
      <c r="AW35" s="86">
        <f t="shared" si="64"/>
        <v>-5.2345422690637058</v>
      </c>
      <c r="AX35" s="86">
        <f t="shared" si="64"/>
        <v>-5.9603333356778547</v>
      </c>
      <c r="AY35" s="86">
        <f t="shared" ref="AY35:BI35" si="65">AY31/AY34</f>
        <v>-5.7124541335585963</v>
      </c>
      <c r="AZ35" s="86">
        <f t="shared" si="65"/>
        <v>-5.0732995511249497</v>
      </c>
      <c r="BA35" s="86">
        <f t="shared" si="65"/>
        <v>-4.3751640567836949</v>
      </c>
      <c r="BB35" s="86">
        <f t="shared" si="65"/>
        <v>-3.8805438292550156</v>
      </c>
      <c r="BC35" s="86">
        <f t="shared" si="65"/>
        <v>-5.2281743965626495</v>
      </c>
      <c r="BD35" s="86">
        <f t="shared" si="65"/>
        <v>-5.1538857636926965</v>
      </c>
      <c r="BE35" s="86">
        <f t="shared" si="65"/>
        <v>-4.8449048639552466</v>
      </c>
      <c r="BF35" s="86">
        <f t="shared" si="65"/>
        <v>-4.158053624022565</v>
      </c>
      <c r="BG35" s="86">
        <f t="shared" si="65"/>
        <v>-2.1052828192080004</v>
      </c>
      <c r="BH35" s="86">
        <f t="shared" si="65"/>
        <v>-2.0845616523811117</v>
      </c>
      <c r="BI35" s="86">
        <f t="shared" si="65"/>
        <v>-2.0080114947009733</v>
      </c>
      <c r="BJ35" s="86">
        <f t="shared" ref="BJ35" si="66">BJ31/BJ34</f>
        <v>-3.1003692302009673</v>
      </c>
      <c r="BK35" s="38"/>
      <c r="BL35" s="84">
        <f>SUM(BI35/BE35)-1</f>
        <v>-0.58554160482282658</v>
      </c>
    </row>
    <row r="36" spans="1:64" ht="5.0999999999999996" customHeight="1">
      <c r="B36" s="17"/>
      <c r="C36" s="19"/>
      <c r="D36" s="19"/>
      <c r="E36" s="19"/>
      <c r="F36" s="19"/>
      <c r="G36" s="19"/>
      <c r="H36" s="19"/>
      <c r="I36" s="19"/>
      <c r="J36" s="2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34"/>
      <c r="AN36" s="19"/>
      <c r="AO36" s="19"/>
      <c r="AP36" s="30"/>
      <c r="AQ36" s="19"/>
      <c r="AR36" s="19"/>
      <c r="AS36" s="19"/>
      <c r="AT36" s="19"/>
      <c r="AU36" s="19"/>
      <c r="AV36" s="19"/>
      <c r="AW36" s="19"/>
      <c r="AX36" s="19"/>
      <c r="AY36" s="19"/>
      <c r="AZ36" s="19"/>
      <c r="BA36" s="19"/>
      <c r="BB36" s="19"/>
      <c r="BC36" s="19"/>
      <c r="BD36" s="19"/>
      <c r="BE36" s="19"/>
      <c r="BF36" s="19"/>
      <c r="BG36" s="19"/>
      <c r="BH36" s="19"/>
      <c r="BI36" s="19"/>
      <c r="BJ36" s="19"/>
      <c r="BK36" s="46"/>
      <c r="BL36" s="85"/>
    </row>
    <row r="37" spans="1:64" ht="12.75" customHeight="1">
      <c r="B37" s="49" t="s">
        <v>104</v>
      </c>
      <c r="C37" s="92">
        <v>6287.1719999999996</v>
      </c>
      <c r="D37" s="92">
        <v>42274.777000000002</v>
      </c>
      <c r="E37" s="92">
        <v>62290.445</v>
      </c>
      <c r="F37" s="92">
        <v>63172.368000000002</v>
      </c>
      <c r="G37" s="92">
        <v>63622.432000000001</v>
      </c>
      <c r="H37" s="92">
        <v>64300.099000000002</v>
      </c>
      <c r="I37" s="92">
        <v>66004.815000000002</v>
      </c>
      <c r="J37" s="29"/>
      <c r="K37" s="92">
        <v>5793.8010000000004</v>
      </c>
      <c r="L37" s="92">
        <v>6072.3190000000004</v>
      </c>
      <c r="M37" s="92">
        <v>6441.8379999999997</v>
      </c>
      <c r="N37" s="34">
        <f>D37</f>
        <v>42274.777000000002</v>
      </c>
      <c r="O37" s="92">
        <v>6974.3010000000004</v>
      </c>
      <c r="P37" s="92">
        <v>39081.358999999997</v>
      </c>
      <c r="Q37" s="92">
        <v>66026.490000000005</v>
      </c>
      <c r="R37" s="34">
        <f>H37</f>
        <v>64300.099000000002</v>
      </c>
      <c r="S37" s="92">
        <v>65927.987999999998</v>
      </c>
      <c r="T37" s="92">
        <v>62098.860999999997</v>
      </c>
      <c r="U37" s="92">
        <v>62487.152000000002</v>
      </c>
      <c r="V37" s="34">
        <f>E37</f>
        <v>62290.445</v>
      </c>
      <c r="W37" s="92">
        <v>62941.748</v>
      </c>
      <c r="X37" s="92">
        <v>63121.4</v>
      </c>
      <c r="Y37" s="92">
        <v>63280.122000000003</v>
      </c>
      <c r="Z37" s="34">
        <f>F37</f>
        <v>63172.368000000002</v>
      </c>
      <c r="AA37" s="92">
        <v>63465.205000000002</v>
      </c>
      <c r="AB37" s="92">
        <v>63573.658000000003</v>
      </c>
      <c r="AC37" s="92">
        <v>63694.591999999997</v>
      </c>
      <c r="AD37" s="34">
        <f>G37</f>
        <v>63622.432000000001</v>
      </c>
      <c r="AE37" s="92">
        <v>64004.894</v>
      </c>
      <c r="AF37" s="92">
        <v>64246.048000000003</v>
      </c>
      <c r="AG37" s="92">
        <v>64398.447999999997</v>
      </c>
      <c r="AH37" s="34">
        <f>H37</f>
        <v>64300.099000000002</v>
      </c>
      <c r="AI37" s="92">
        <v>64702.249000000003</v>
      </c>
      <c r="AJ37" s="92">
        <v>64901.584000000003</v>
      </c>
      <c r="AK37" s="92">
        <v>65060.728999999999</v>
      </c>
      <c r="AL37" s="34">
        <f>I37</f>
        <v>66004.815000000002</v>
      </c>
      <c r="AM37" s="92">
        <v>76194.915999999997</v>
      </c>
      <c r="AN37" s="92">
        <v>76491.593999999997</v>
      </c>
      <c r="AO37" s="92">
        <v>76670.868000000002</v>
      </c>
      <c r="AP37" s="34"/>
      <c r="AQ37" s="34">
        <f>V37</f>
        <v>62290.445</v>
      </c>
      <c r="AR37" s="34">
        <f>W37</f>
        <v>62941.748</v>
      </c>
      <c r="AS37" s="34">
        <f>X37</f>
        <v>63121.4</v>
      </c>
      <c r="AT37" s="34">
        <f>Y37</f>
        <v>63280.122000000003</v>
      </c>
      <c r="AU37" s="34">
        <f>Z37</f>
        <v>63172.368000000002</v>
      </c>
      <c r="AV37" s="34">
        <f>AA37</f>
        <v>63465.205000000002</v>
      </c>
      <c r="AW37" s="34">
        <f>AB37</f>
        <v>63573.658000000003</v>
      </c>
      <c r="AX37" s="34">
        <f>AC37</f>
        <v>63694.591999999997</v>
      </c>
      <c r="AY37" s="34">
        <f>AD37</f>
        <v>63622.432000000001</v>
      </c>
      <c r="AZ37" s="34">
        <f>AE37</f>
        <v>64004.894</v>
      </c>
      <c r="BA37" s="34">
        <f>AF37</f>
        <v>64246.048000000003</v>
      </c>
      <c r="BB37" s="34">
        <f>AG37</f>
        <v>64398.447999999997</v>
      </c>
      <c r="BC37" s="34">
        <f>AH37</f>
        <v>64300.099000000002</v>
      </c>
      <c r="BD37" s="34">
        <f>AI37</f>
        <v>64702.249000000003</v>
      </c>
      <c r="BE37" s="34">
        <f>AJ37</f>
        <v>64901.584000000003</v>
      </c>
      <c r="BF37" s="34">
        <f>AK37</f>
        <v>65060.728999999999</v>
      </c>
      <c r="BG37" s="34">
        <f>AL37</f>
        <v>66004.815000000002</v>
      </c>
      <c r="BH37" s="34">
        <f>AM37</f>
        <v>76194.915999999997</v>
      </c>
      <c r="BI37" s="34">
        <f>AN37</f>
        <v>76491.593999999997</v>
      </c>
      <c r="BJ37" s="34">
        <f>AO37</f>
        <v>76670.868000000002</v>
      </c>
      <c r="BK37" s="46"/>
      <c r="BL37" s="85"/>
    </row>
    <row r="38" spans="1:64" ht="12.75" customHeight="1">
      <c r="B38" s="14" t="s">
        <v>105</v>
      </c>
      <c r="C38" s="86">
        <f t="shared" ref="C38:I38" si="67">C31/C37</f>
        <v>-4.7534885318868332</v>
      </c>
      <c r="D38" s="86">
        <f t="shared" si="67"/>
        <v>-0.29433626580691363</v>
      </c>
      <c r="E38" s="86">
        <f t="shared" si="67"/>
        <v>-0.8468714583753576</v>
      </c>
      <c r="F38" s="86">
        <f t="shared" si="67"/>
        <v>-2.8826685743361717</v>
      </c>
      <c r="G38" s="86">
        <f t="shared" si="67"/>
        <v>-5.7548413113161097</v>
      </c>
      <c r="H38" s="86">
        <f t="shared" si="67"/>
        <v>-5.2588410478186045</v>
      </c>
      <c r="I38" s="86">
        <f t="shared" si="67"/>
        <v>-2.4282773915812048</v>
      </c>
      <c r="J38" s="29"/>
      <c r="K38" s="86">
        <f t="shared" ref="K38:AJ38" si="68">K31/K37</f>
        <v>-0.98311971709073187</v>
      </c>
      <c r="L38" s="86">
        <f t="shared" si="68"/>
        <v>-1.2179860774771549</v>
      </c>
      <c r="M38" s="86">
        <f t="shared" si="68"/>
        <v>-1.4502072234663461</v>
      </c>
      <c r="N38" s="86">
        <f t="shared" si="68"/>
        <v>-0.17627532369951945</v>
      </c>
      <c r="O38" s="86">
        <f t="shared" si="68"/>
        <v>-0.95335718948751991</v>
      </c>
      <c r="P38" s="86">
        <f t="shared" si="68"/>
        <v>-0.24157297088875546</v>
      </c>
      <c r="Q38" s="86">
        <f t="shared" si="68"/>
        <v>6.2081143492558818E-2</v>
      </c>
      <c r="R38" s="86">
        <f t="shared" si="68"/>
        <v>-7.0295381660298844E-3</v>
      </c>
      <c r="S38" s="86">
        <f t="shared" si="68"/>
        <v>2.7530037773942077E-2</v>
      </c>
      <c r="T38" s="86">
        <f t="shared" si="68"/>
        <v>-0.16433473715403574</v>
      </c>
      <c r="U38" s="86">
        <f t="shared" si="68"/>
        <v>-0.30862344310395201</v>
      </c>
      <c r="V38" s="86">
        <f t="shared" si="68"/>
        <v>-0.40258180849406355</v>
      </c>
      <c r="W38" s="86">
        <f t="shared" si="68"/>
        <v>-0.4331941972758685</v>
      </c>
      <c r="X38" s="86">
        <f t="shared" si="68"/>
        <v>-0.3113365673131458</v>
      </c>
      <c r="Y38" s="86">
        <f t="shared" si="68"/>
        <v>-0.86624358910053934</v>
      </c>
      <c r="Z38" s="86">
        <f t="shared" si="68"/>
        <v>-1.2722492846872544</v>
      </c>
      <c r="AA38" s="86">
        <f t="shared" si="68"/>
        <v>-1.5828830931846829</v>
      </c>
      <c r="AB38" s="86">
        <f t="shared" si="68"/>
        <v>-1.527896978965722</v>
      </c>
      <c r="AC38" s="86">
        <f t="shared" si="68"/>
        <v>-1.5963364676234995</v>
      </c>
      <c r="AD38" s="86">
        <f t="shared" si="68"/>
        <v>-1.0509972331771285</v>
      </c>
      <c r="AE38" s="86">
        <f t="shared" si="68"/>
        <v>-0.92238259155620195</v>
      </c>
      <c r="AF38" s="86">
        <f t="shared" si="68"/>
        <v>-0.8328138720688314</v>
      </c>
      <c r="AG38" s="86">
        <f t="shared" si="68"/>
        <v>-1.0946226530179735</v>
      </c>
      <c r="AH38" s="86">
        <f t="shared" si="68"/>
        <v>-2.4122824445418036</v>
      </c>
      <c r="AI38" s="86">
        <f t="shared" si="68"/>
        <v>-0.84017172262435569</v>
      </c>
      <c r="AJ38" s="86">
        <f t="shared" si="68"/>
        <v>-0.5312505161661385</v>
      </c>
      <c r="AK38" s="86">
        <f>AK31/AK37</f>
        <v>-0.40847989883421071</v>
      </c>
      <c r="AL38" s="86">
        <f>AL31/AL37</f>
        <v>-0.67967768715055099</v>
      </c>
      <c r="AM38" s="86">
        <f>AM31/AM37</f>
        <v>-0.69448203079586046</v>
      </c>
      <c r="AN38" s="86">
        <f>AN31/AN37</f>
        <v>-0.38229037297876156</v>
      </c>
      <c r="AO38" s="86">
        <f>AO31/AO37</f>
        <v>-1.4436774082171602</v>
      </c>
      <c r="AP38" s="34"/>
      <c r="AQ38" s="86">
        <f t="shared" ref="AQ38:AX38" si="69">AQ31/AQ37</f>
        <v>-0.8468714583753576</v>
      </c>
      <c r="AR38" s="86">
        <f t="shared" si="69"/>
        <v>-1.3001386615446398</v>
      </c>
      <c r="AS38" s="86">
        <f t="shared" si="69"/>
        <v>-1.4461022727632784</v>
      </c>
      <c r="AT38" s="86">
        <f t="shared" si="69"/>
        <v>-2.0039626345853123</v>
      </c>
      <c r="AU38" s="86">
        <f t="shared" si="69"/>
        <v>-2.8826685743361717</v>
      </c>
      <c r="AV38" s="86">
        <f t="shared" si="69"/>
        <v>-4.0226294077203404</v>
      </c>
      <c r="AW38" s="86">
        <f t="shared" si="69"/>
        <v>-5.2345422690637058</v>
      </c>
      <c r="AX38" s="86">
        <f t="shared" si="69"/>
        <v>-5.9603333356778547</v>
      </c>
      <c r="AY38" s="86">
        <f t="shared" ref="AY38:BI38" si="70">AY31/AY37</f>
        <v>-5.7548413113161097</v>
      </c>
      <c r="AZ38" s="86">
        <f t="shared" si="70"/>
        <v>-5.0732995511249497</v>
      </c>
      <c r="BA38" s="86">
        <f t="shared" si="70"/>
        <v>-4.3751640567836949</v>
      </c>
      <c r="BB38" s="86">
        <f t="shared" si="70"/>
        <v>-3.8805438292550156</v>
      </c>
      <c r="BC38" s="86">
        <f t="shared" si="70"/>
        <v>-5.2588410478186045</v>
      </c>
      <c r="BD38" s="86">
        <f t="shared" si="70"/>
        <v>-5.1538857636926965</v>
      </c>
      <c r="BE38" s="86">
        <f t="shared" si="70"/>
        <v>-4.8449048639552466</v>
      </c>
      <c r="BF38" s="86">
        <f t="shared" si="70"/>
        <v>-4.158053624022565</v>
      </c>
      <c r="BG38" s="86">
        <f t="shared" si="70"/>
        <v>-2.4282773915812048</v>
      </c>
      <c r="BH38" s="86">
        <f t="shared" si="70"/>
        <v>-2.0845616523811117</v>
      </c>
      <c r="BI38" s="86">
        <f t="shared" si="70"/>
        <v>-2.0080114947009733</v>
      </c>
      <c r="BJ38" s="86">
        <f t="shared" ref="BJ38" si="71">BJ31/BJ37</f>
        <v>-3.1003692302009673</v>
      </c>
      <c r="BK38" s="38"/>
      <c r="BL38" s="84">
        <f>SUM(BI38/BE38)-1</f>
        <v>-0.58554160482282658</v>
      </c>
    </row>
    <row r="39" spans="1:64">
      <c r="B39" s="17"/>
      <c r="C39" s="19"/>
      <c r="D39" s="19"/>
      <c r="E39" s="19"/>
      <c r="F39" s="19"/>
      <c r="G39" s="19"/>
      <c r="H39" s="19"/>
      <c r="I39" s="19"/>
      <c r="J39" s="2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30"/>
      <c r="AQ39" s="19"/>
      <c r="AR39" s="19"/>
      <c r="AS39" s="19"/>
      <c r="AT39" s="19"/>
      <c r="AU39" s="19"/>
      <c r="AV39" s="19"/>
      <c r="AW39" s="19"/>
      <c r="AX39" s="19"/>
      <c r="AY39" s="19"/>
      <c r="AZ39" s="19"/>
      <c r="BA39" s="19"/>
      <c r="BB39" s="19"/>
      <c r="BC39" s="19"/>
      <c r="BD39" s="19"/>
      <c r="BE39" s="19"/>
      <c r="BF39" s="19"/>
      <c r="BG39" s="19"/>
      <c r="BH39" s="19"/>
      <c r="BI39" s="19"/>
      <c r="BJ39" s="19"/>
      <c r="BK39" s="46"/>
    </row>
    <row r="40" spans="1:64" ht="12.75" customHeight="1">
      <c r="A40" s="5" t="s">
        <v>25</v>
      </c>
      <c r="B40" s="389" t="s">
        <v>426</v>
      </c>
      <c r="C40" s="390"/>
      <c r="D40" s="390"/>
      <c r="E40" s="390"/>
      <c r="F40" s="390"/>
      <c r="G40" s="390"/>
      <c r="H40" s="390"/>
      <c r="I40" s="390"/>
      <c r="J40" s="391"/>
      <c r="K40" s="390" t="s">
        <v>1</v>
      </c>
      <c r="L40" s="390"/>
      <c r="M40" s="390"/>
      <c r="N40" s="390"/>
      <c r="O40" s="390"/>
      <c r="P40" s="390"/>
      <c r="Q40" s="390"/>
      <c r="R40" s="390"/>
      <c r="S40" s="390"/>
      <c r="T40" s="390"/>
      <c r="U40" s="390"/>
      <c r="V40" s="390"/>
      <c r="W40" s="390"/>
      <c r="X40" s="390"/>
      <c r="Y40" s="390"/>
      <c r="Z40" s="390"/>
      <c r="AA40" s="390"/>
      <c r="AB40" s="390"/>
      <c r="AC40" s="390"/>
      <c r="AD40" s="390"/>
      <c r="AE40" s="390"/>
      <c r="AF40" s="390"/>
      <c r="AG40" s="390"/>
      <c r="AH40" s="390"/>
      <c r="AI40" s="390"/>
      <c r="AJ40" s="390"/>
      <c r="AK40" s="390"/>
      <c r="AL40" s="390"/>
      <c r="AM40" s="390"/>
      <c r="AN40" s="390"/>
      <c r="AO40" s="390"/>
      <c r="AP40" s="389"/>
      <c r="AQ40" s="390"/>
      <c r="AR40" s="390"/>
      <c r="AS40" s="390"/>
      <c r="AT40" s="390"/>
      <c r="AU40" s="390"/>
      <c r="AV40" s="390"/>
      <c r="AW40" s="390"/>
      <c r="AX40" s="390"/>
      <c r="AY40" s="390"/>
      <c r="AZ40" s="390"/>
      <c r="BA40" s="390"/>
      <c r="BB40" s="390"/>
      <c r="BC40" s="390"/>
      <c r="BD40" s="390"/>
      <c r="BE40" s="390" t="s">
        <v>10</v>
      </c>
      <c r="BF40" s="390"/>
      <c r="BG40" s="390"/>
      <c r="BH40" s="390"/>
      <c r="BI40" s="390"/>
      <c r="BJ40" s="390"/>
      <c r="BK40" s="391"/>
      <c r="BL40" s="494" t="s">
        <v>38</v>
      </c>
    </row>
    <row r="41" spans="1:64" ht="12.75" customHeight="1">
      <c r="B41" s="393" t="str">
        <f>B7</f>
        <v>Fiscal Period</v>
      </c>
      <c r="C41" s="392">
        <f>C7</f>
        <v>2018</v>
      </c>
      <c r="D41" s="392">
        <f>D7</f>
        <v>2019</v>
      </c>
      <c r="E41" s="392">
        <f>E7</f>
        <v>2020</v>
      </c>
      <c r="F41" s="392">
        <f>F7</f>
        <v>2021</v>
      </c>
      <c r="G41" s="392">
        <f>G7</f>
        <v>2022</v>
      </c>
      <c r="H41" s="392">
        <f>H7</f>
        <v>2023</v>
      </c>
      <c r="I41" s="392">
        <f>I7</f>
        <v>2024</v>
      </c>
      <c r="J41" s="391"/>
      <c r="K41" s="392" t="str">
        <f>K7</f>
        <v>1Q18</v>
      </c>
      <c r="L41" s="392" t="str">
        <f>L7</f>
        <v>2Q18</v>
      </c>
      <c r="M41" s="392" t="str">
        <f>M7</f>
        <v>3Q18</v>
      </c>
      <c r="N41" s="392" t="str">
        <f>N7</f>
        <v>4Q18</v>
      </c>
      <c r="O41" s="392" t="str">
        <f>O7</f>
        <v>1Q19</v>
      </c>
      <c r="P41" s="392" t="str">
        <f>P7</f>
        <v>2Q19</v>
      </c>
      <c r="Q41" s="392" t="str">
        <f>Q7</f>
        <v>3Q19</v>
      </c>
      <c r="R41" s="392" t="str">
        <f>R7</f>
        <v>4Q19</v>
      </c>
      <c r="S41" s="392" t="str">
        <f>S7</f>
        <v>1Q20</v>
      </c>
      <c r="T41" s="392" t="str">
        <f>T7</f>
        <v>2Q20</v>
      </c>
      <c r="U41" s="392" t="str">
        <f>U7</f>
        <v>3Q20</v>
      </c>
      <c r="V41" s="392" t="str">
        <f>V7</f>
        <v>4Q20</v>
      </c>
      <c r="W41" s="392" t="str">
        <f>W7</f>
        <v>1Q21</v>
      </c>
      <c r="X41" s="392" t="str">
        <f>X7</f>
        <v>2Q21</v>
      </c>
      <c r="Y41" s="392" t="str">
        <f>Y7</f>
        <v>3Q21</v>
      </c>
      <c r="Z41" s="392" t="str">
        <f>Z7</f>
        <v>4Q21</v>
      </c>
      <c r="AA41" s="392" t="str">
        <f>AA7</f>
        <v>1Q22</v>
      </c>
      <c r="AB41" s="392" t="str">
        <f>AB7</f>
        <v>2Q22</v>
      </c>
      <c r="AC41" s="392" t="str">
        <f>AC7</f>
        <v>3Q22</v>
      </c>
      <c r="AD41" s="392" t="str">
        <f>AD7</f>
        <v>4Q22</v>
      </c>
      <c r="AE41" s="392" t="str">
        <f>AE7</f>
        <v>1Q23</v>
      </c>
      <c r="AF41" s="392" t="str">
        <f>AF7</f>
        <v>2Q23</v>
      </c>
      <c r="AG41" s="392" t="str">
        <f>AG7</f>
        <v>3Q23</v>
      </c>
      <c r="AH41" s="392" t="str">
        <f>AH7</f>
        <v>4Q23</v>
      </c>
      <c r="AI41" s="392" t="str">
        <f>AI7</f>
        <v>1Q24</v>
      </c>
      <c r="AJ41" s="392" t="str">
        <f>AJ7</f>
        <v>2Q24</v>
      </c>
      <c r="AK41" s="392" t="str">
        <f>AK7</f>
        <v>3Q24</v>
      </c>
      <c r="AL41" s="392" t="str">
        <f>AL7</f>
        <v>4Q24</v>
      </c>
      <c r="AM41" s="392" t="str">
        <f>AM7</f>
        <v>1Q25</v>
      </c>
      <c r="AN41" s="392" t="str">
        <f>AN7</f>
        <v>2Q25</v>
      </c>
      <c r="AO41" s="392" t="str">
        <f>AO7</f>
        <v>3Q25</v>
      </c>
      <c r="AP41" s="394"/>
      <c r="AQ41" s="392" t="str">
        <f t="shared" ref="AQ41:AX41" si="72">AQ7</f>
        <v>4Q20</v>
      </c>
      <c r="AR41" s="392" t="str">
        <f t="shared" si="72"/>
        <v>1Q21</v>
      </c>
      <c r="AS41" s="392" t="str">
        <f t="shared" si="72"/>
        <v>2Q21</v>
      </c>
      <c r="AT41" s="392" t="str">
        <f t="shared" si="72"/>
        <v>3Q21</v>
      </c>
      <c r="AU41" s="392" t="str">
        <f t="shared" si="72"/>
        <v>4Q21</v>
      </c>
      <c r="AV41" s="392" t="str">
        <f t="shared" si="72"/>
        <v>1Q22</v>
      </c>
      <c r="AW41" s="392" t="str">
        <f t="shared" si="72"/>
        <v>2Q22</v>
      </c>
      <c r="AX41" s="392" t="str">
        <f t="shared" si="72"/>
        <v>3Q22</v>
      </c>
      <c r="AY41" s="392" t="str">
        <f>AY7</f>
        <v>4Q22</v>
      </c>
      <c r="AZ41" s="392" t="str">
        <f>AZ7</f>
        <v>1Q23</v>
      </c>
      <c r="BA41" s="392" t="str">
        <f>BA7</f>
        <v>2Q23</v>
      </c>
      <c r="BB41" s="392" t="str">
        <f>BB7</f>
        <v>3Q23</v>
      </c>
      <c r="BC41" s="392" t="str">
        <f>BC7</f>
        <v>4Q23</v>
      </c>
      <c r="BD41" s="392" t="str">
        <f>BD7</f>
        <v>1Q24</v>
      </c>
      <c r="BE41" s="392" t="str">
        <f>BE7</f>
        <v>2Q24</v>
      </c>
      <c r="BF41" s="392" t="str">
        <f>BF7</f>
        <v>3Q24</v>
      </c>
      <c r="BG41" s="392" t="str">
        <f>BG7</f>
        <v>4Q24</v>
      </c>
      <c r="BH41" s="392" t="str">
        <f>BH7</f>
        <v>1Q25</v>
      </c>
      <c r="BI41" s="392" t="str">
        <f>BI7</f>
        <v>2Q25</v>
      </c>
      <c r="BJ41" s="392" t="str">
        <f>BJ7</f>
        <v>3Q25</v>
      </c>
      <c r="BK41" s="391"/>
      <c r="BL41" s="494"/>
    </row>
    <row r="42" spans="1:64" ht="12.75" customHeight="1">
      <c r="B42" s="393" t="str">
        <f>B8</f>
        <v>Fiscal Period End Date</v>
      </c>
      <c r="C42" s="395">
        <f>C8</f>
        <v>43465</v>
      </c>
      <c r="D42" s="395">
        <f>D8</f>
        <v>43830</v>
      </c>
      <c r="E42" s="395">
        <f>E8</f>
        <v>44196</v>
      </c>
      <c r="F42" s="395">
        <f>F8</f>
        <v>44561</v>
      </c>
      <c r="G42" s="395">
        <f>G8</f>
        <v>44926</v>
      </c>
      <c r="H42" s="395">
        <f>H8</f>
        <v>45291</v>
      </c>
      <c r="I42" s="395">
        <f>I8</f>
        <v>45657</v>
      </c>
      <c r="J42" s="391"/>
      <c r="K42" s="395">
        <f>K8</f>
        <v>43190</v>
      </c>
      <c r="L42" s="395">
        <f>L8</f>
        <v>43281</v>
      </c>
      <c r="M42" s="395">
        <f>M8</f>
        <v>43372</v>
      </c>
      <c r="N42" s="395">
        <f>N8</f>
        <v>43465</v>
      </c>
      <c r="O42" s="395">
        <f>O8</f>
        <v>43554</v>
      </c>
      <c r="P42" s="395">
        <f>P8</f>
        <v>43645</v>
      </c>
      <c r="Q42" s="395">
        <f>Q8</f>
        <v>43736</v>
      </c>
      <c r="R42" s="395">
        <f>R8</f>
        <v>43830</v>
      </c>
      <c r="S42" s="395">
        <f>S8</f>
        <v>43918</v>
      </c>
      <c r="T42" s="395">
        <f>T8</f>
        <v>44009</v>
      </c>
      <c r="U42" s="395">
        <f>U8</f>
        <v>44100</v>
      </c>
      <c r="V42" s="395">
        <f>V8</f>
        <v>44196</v>
      </c>
      <c r="W42" s="395">
        <f>W8</f>
        <v>44289</v>
      </c>
      <c r="X42" s="395">
        <f>X8</f>
        <v>44380</v>
      </c>
      <c r="Y42" s="395">
        <f>Y8</f>
        <v>44471</v>
      </c>
      <c r="Z42" s="395">
        <f>Z8</f>
        <v>44561</v>
      </c>
      <c r="AA42" s="395">
        <f>AA8</f>
        <v>44653</v>
      </c>
      <c r="AB42" s="395">
        <f>AB8</f>
        <v>44744</v>
      </c>
      <c r="AC42" s="395">
        <f>AC8</f>
        <v>44835</v>
      </c>
      <c r="AD42" s="395">
        <f>AD8</f>
        <v>44926</v>
      </c>
      <c r="AE42" s="395">
        <f>AE8</f>
        <v>45017</v>
      </c>
      <c r="AF42" s="395">
        <f>AF8</f>
        <v>45108</v>
      </c>
      <c r="AG42" s="395">
        <f>AG8</f>
        <v>45199</v>
      </c>
      <c r="AH42" s="395">
        <f>AH8</f>
        <v>45291</v>
      </c>
      <c r="AI42" s="395">
        <f>AI8</f>
        <v>45381</v>
      </c>
      <c r="AJ42" s="395">
        <f>AJ8</f>
        <v>45472</v>
      </c>
      <c r="AK42" s="395">
        <f>AK8</f>
        <v>45563</v>
      </c>
      <c r="AL42" s="395">
        <f>AL8</f>
        <v>45657</v>
      </c>
      <c r="AM42" s="395">
        <f>AM8</f>
        <v>45745</v>
      </c>
      <c r="AN42" s="395">
        <f>AN8</f>
        <v>45836</v>
      </c>
      <c r="AO42" s="395">
        <f>AO8</f>
        <v>45927</v>
      </c>
      <c r="AP42" s="396"/>
      <c r="AQ42" s="395">
        <f t="shared" ref="AQ42:AX42" si="73">AQ8</f>
        <v>44196</v>
      </c>
      <c r="AR42" s="395">
        <f t="shared" si="73"/>
        <v>44289</v>
      </c>
      <c r="AS42" s="395">
        <f t="shared" si="73"/>
        <v>44380</v>
      </c>
      <c r="AT42" s="395">
        <f t="shared" si="73"/>
        <v>44471</v>
      </c>
      <c r="AU42" s="395">
        <f t="shared" si="73"/>
        <v>44561</v>
      </c>
      <c r="AV42" s="395">
        <f t="shared" si="73"/>
        <v>44653</v>
      </c>
      <c r="AW42" s="395">
        <f t="shared" si="73"/>
        <v>44744</v>
      </c>
      <c r="AX42" s="395">
        <f t="shared" si="73"/>
        <v>44835</v>
      </c>
      <c r="AY42" s="395">
        <f>AY8</f>
        <v>44926</v>
      </c>
      <c r="AZ42" s="395">
        <f>AZ8</f>
        <v>45017</v>
      </c>
      <c r="BA42" s="395">
        <f>BA8</f>
        <v>45108</v>
      </c>
      <c r="BB42" s="395">
        <f>BB8</f>
        <v>45199</v>
      </c>
      <c r="BC42" s="395">
        <f>BC8</f>
        <v>45291</v>
      </c>
      <c r="BD42" s="395">
        <f>BD8</f>
        <v>45381</v>
      </c>
      <c r="BE42" s="395">
        <f>BE8</f>
        <v>45472</v>
      </c>
      <c r="BF42" s="395">
        <f>BF8</f>
        <v>45563</v>
      </c>
      <c r="BG42" s="395">
        <f>BG8</f>
        <v>45657</v>
      </c>
      <c r="BH42" s="395">
        <f>BH8</f>
        <v>45745</v>
      </c>
      <c r="BI42" s="395">
        <f>BI8</f>
        <v>45836</v>
      </c>
      <c r="BJ42" s="395">
        <f>BJ8</f>
        <v>45927</v>
      </c>
      <c r="BK42" s="391"/>
      <c r="BL42" s="494"/>
    </row>
    <row r="43" spans="1:64" ht="5.0999999999999996" customHeight="1">
      <c r="B43" s="51"/>
      <c r="C43" s="52"/>
      <c r="D43" s="52"/>
      <c r="E43" s="52"/>
      <c r="F43" s="52"/>
      <c r="G43" s="52"/>
      <c r="H43" s="52"/>
      <c r="I43" s="52"/>
    </row>
    <row r="44" spans="1:64">
      <c r="B44" s="87" t="s">
        <v>474</v>
      </c>
      <c r="C44" s="52"/>
      <c r="D44" s="52"/>
      <c r="E44" s="52"/>
      <c r="F44" s="52"/>
      <c r="G44" s="52"/>
      <c r="H44" s="52"/>
      <c r="I44" s="52"/>
    </row>
    <row r="45" spans="1:64" s="480" customFormat="1" ht="12.75" customHeight="1">
      <c r="B45" s="415" t="s">
        <v>472</v>
      </c>
      <c r="C45" s="481">
        <v>54271</v>
      </c>
      <c r="D45" s="481">
        <v>275988</v>
      </c>
      <c r="E45" s="481">
        <v>159127</v>
      </c>
      <c r="F45" s="481">
        <v>733294</v>
      </c>
      <c r="G45" s="481">
        <v>309922</v>
      </c>
      <c r="H45" s="481">
        <v>190505</v>
      </c>
      <c r="I45" s="481">
        <v>131913</v>
      </c>
      <c r="K45" s="481">
        <v>29047</v>
      </c>
      <c r="L45" s="481">
        <v>23489</v>
      </c>
      <c r="M45" s="481">
        <v>49780</v>
      </c>
      <c r="N45" s="368">
        <f>C45</f>
        <v>54271</v>
      </c>
      <c r="O45" s="481">
        <v>35409</v>
      </c>
      <c r="P45" s="481">
        <v>276987</v>
      </c>
      <c r="Q45" s="481">
        <v>312451</v>
      </c>
      <c r="R45" s="368">
        <f>D45</f>
        <v>275988</v>
      </c>
      <c r="S45" s="481">
        <v>246410</v>
      </c>
      <c r="T45" s="481">
        <v>222334</v>
      </c>
      <c r="U45" s="481">
        <v>214615</v>
      </c>
      <c r="V45" s="368">
        <f>E45</f>
        <v>159127</v>
      </c>
      <c r="W45" s="481">
        <v>1125017</v>
      </c>
      <c r="X45" s="481">
        <v>1009337</v>
      </c>
      <c r="Y45" s="481">
        <v>886442</v>
      </c>
      <c r="Z45" s="368">
        <f>F45</f>
        <v>733294</v>
      </c>
      <c r="AA45" s="481">
        <v>547858</v>
      </c>
      <c r="AB45" s="481">
        <v>454674</v>
      </c>
      <c r="AC45" s="481">
        <v>390176</v>
      </c>
      <c r="AD45" s="368">
        <f>G45</f>
        <v>309922</v>
      </c>
      <c r="AE45" s="481">
        <v>258566</v>
      </c>
      <c r="AF45" s="481">
        <v>210781</v>
      </c>
      <c r="AG45" s="481">
        <v>217545</v>
      </c>
      <c r="AH45" s="368">
        <f>H45</f>
        <v>190505</v>
      </c>
      <c r="AI45" s="481">
        <v>157913</v>
      </c>
      <c r="AJ45" s="481">
        <v>144873</v>
      </c>
      <c r="AK45" s="481">
        <v>121732</v>
      </c>
      <c r="AL45" s="368">
        <f>I45</f>
        <v>131913</v>
      </c>
      <c r="AM45" s="481">
        <v>102143</v>
      </c>
      <c r="AN45" s="481">
        <v>103497</v>
      </c>
      <c r="AO45" s="481">
        <v>117296</v>
      </c>
      <c r="AQ45" s="368">
        <f>V45</f>
        <v>159127</v>
      </c>
      <c r="AR45" s="368">
        <f>W45</f>
        <v>1125017</v>
      </c>
      <c r="AS45" s="368">
        <f>X45</f>
        <v>1009337</v>
      </c>
      <c r="AT45" s="368">
        <f>Y45</f>
        <v>886442</v>
      </c>
      <c r="AU45" s="368">
        <f>Z45</f>
        <v>733294</v>
      </c>
      <c r="AV45" s="368">
        <f>AA45</f>
        <v>547858</v>
      </c>
      <c r="AW45" s="368">
        <f>AB45</f>
        <v>454674</v>
      </c>
      <c r="AX45" s="368">
        <f>AC45</f>
        <v>390176</v>
      </c>
      <c r="AY45" s="368">
        <f>AD45</f>
        <v>309922</v>
      </c>
      <c r="AZ45" s="368">
        <f>AE45</f>
        <v>258566</v>
      </c>
      <c r="BA45" s="368">
        <f>AF45</f>
        <v>210781</v>
      </c>
      <c r="BB45" s="368">
        <f>AG45</f>
        <v>217545</v>
      </c>
      <c r="BC45" s="368">
        <f>AH45</f>
        <v>190505</v>
      </c>
      <c r="BD45" s="368">
        <f>AI45</f>
        <v>157913</v>
      </c>
      <c r="BE45" s="368">
        <f>AJ45</f>
        <v>144873</v>
      </c>
      <c r="BF45" s="368">
        <f>AK45</f>
        <v>121732</v>
      </c>
      <c r="BG45" s="368">
        <f>AL45</f>
        <v>131913</v>
      </c>
      <c r="BH45" s="368">
        <f>AM45</f>
        <v>102143</v>
      </c>
      <c r="BI45" s="368">
        <f>AN45</f>
        <v>103497</v>
      </c>
      <c r="BJ45" s="368">
        <f>AO45</f>
        <v>117296</v>
      </c>
      <c r="BK45" s="483"/>
      <c r="BL45" s="83">
        <f>SUM(BI45/BE45)-1</f>
        <v>-0.28560187198442777</v>
      </c>
    </row>
    <row r="46" spans="1:64" s="480" customFormat="1" ht="12.75" customHeight="1">
      <c r="B46" s="415" t="s">
        <v>490</v>
      </c>
      <c r="C46" s="481">
        <v>0</v>
      </c>
      <c r="D46" s="481">
        <v>0</v>
      </c>
      <c r="E46" s="481">
        <v>0</v>
      </c>
      <c r="F46" s="481">
        <v>0</v>
      </c>
      <c r="G46" s="481">
        <v>0</v>
      </c>
      <c r="H46" s="481">
        <v>2830</v>
      </c>
      <c r="I46" s="481">
        <v>1041</v>
      </c>
      <c r="K46" s="482"/>
      <c r="L46" s="482"/>
      <c r="M46" s="482"/>
      <c r="N46" s="368">
        <f>C46</f>
        <v>0</v>
      </c>
      <c r="O46" s="481">
        <v>0</v>
      </c>
      <c r="P46" s="481">
        <v>0</v>
      </c>
      <c r="Q46" s="481">
        <v>0</v>
      </c>
      <c r="R46" s="368">
        <f>D46</f>
        <v>0</v>
      </c>
      <c r="S46" s="481">
        <v>0</v>
      </c>
      <c r="T46" s="481">
        <v>0</v>
      </c>
      <c r="U46" s="481">
        <v>0</v>
      </c>
      <c r="V46" s="368">
        <f>E46</f>
        <v>0</v>
      </c>
      <c r="W46" s="481">
        <v>0</v>
      </c>
      <c r="X46" s="481">
        <v>0</v>
      </c>
      <c r="Y46" s="481">
        <v>0</v>
      </c>
      <c r="Z46" s="368">
        <f>F46</f>
        <v>0</v>
      </c>
      <c r="AA46" s="481">
        <v>0</v>
      </c>
      <c r="AB46" s="481">
        <v>0</v>
      </c>
      <c r="AC46" s="481">
        <v>0</v>
      </c>
      <c r="AD46" s="368">
        <f>G46</f>
        <v>0</v>
      </c>
      <c r="AE46" s="481">
        <v>2426</v>
      </c>
      <c r="AF46" s="481">
        <v>2552</v>
      </c>
      <c r="AG46" s="481">
        <v>2689</v>
      </c>
      <c r="AH46" s="368">
        <f>H46</f>
        <v>2830</v>
      </c>
      <c r="AI46" s="481">
        <v>2971</v>
      </c>
      <c r="AJ46" s="481">
        <v>536</v>
      </c>
      <c r="AK46" s="481">
        <v>558</v>
      </c>
      <c r="AL46" s="368">
        <f>I46</f>
        <v>1041</v>
      </c>
      <c r="AM46" s="481">
        <v>1083</v>
      </c>
      <c r="AN46" s="481">
        <v>1172</v>
      </c>
      <c r="AO46" s="481">
        <v>1170</v>
      </c>
      <c r="AQ46" s="368">
        <f>V46</f>
        <v>0</v>
      </c>
      <c r="AR46" s="368">
        <f>W46</f>
        <v>0</v>
      </c>
      <c r="AS46" s="368">
        <f>X46</f>
        <v>0</v>
      </c>
      <c r="AT46" s="368">
        <f>Y46</f>
        <v>0</v>
      </c>
      <c r="AU46" s="368">
        <f>Z46</f>
        <v>0</v>
      </c>
      <c r="AV46" s="368">
        <f>AA46</f>
        <v>0</v>
      </c>
      <c r="AW46" s="368">
        <f>AB46</f>
        <v>0</v>
      </c>
      <c r="AX46" s="368">
        <f>AC46</f>
        <v>0</v>
      </c>
      <c r="AY46" s="368">
        <f>AD46</f>
        <v>0</v>
      </c>
      <c r="AZ46" s="368">
        <f>AE46</f>
        <v>2426</v>
      </c>
      <c r="BA46" s="368">
        <f>AF46</f>
        <v>2552</v>
      </c>
      <c r="BB46" s="368">
        <f>AG46</f>
        <v>2689</v>
      </c>
      <c r="BC46" s="368">
        <f>AH46</f>
        <v>2830</v>
      </c>
      <c r="BD46" s="368">
        <f>AI46</f>
        <v>2971</v>
      </c>
      <c r="BE46" s="368">
        <f>AJ46</f>
        <v>536</v>
      </c>
      <c r="BF46" s="368">
        <f>AK46</f>
        <v>558</v>
      </c>
      <c r="BG46" s="368">
        <f>AL46</f>
        <v>1041</v>
      </c>
      <c r="BH46" s="368">
        <f>AM46</f>
        <v>1083</v>
      </c>
      <c r="BI46" s="368">
        <f>AN46</f>
        <v>1172</v>
      </c>
      <c r="BJ46" s="368">
        <f>AO46</f>
        <v>1170</v>
      </c>
      <c r="BK46" s="483"/>
      <c r="BL46" s="83"/>
    </row>
    <row r="47" spans="1:64" s="480" customFormat="1" ht="12.75" customHeight="1">
      <c r="B47" s="415" t="s">
        <v>473</v>
      </c>
      <c r="C47" s="481">
        <v>12626</v>
      </c>
      <c r="D47" s="481">
        <v>40080</v>
      </c>
      <c r="E47" s="481">
        <v>35975</v>
      </c>
      <c r="F47" s="481">
        <v>43806</v>
      </c>
      <c r="G47" s="481">
        <v>34198</v>
      </c>
      <c r="H47" s="481">
        <v>31730</v>
      </c>
      <c r="I47" s="481">
        <v>26862</v>
      </c>
      <c r="K47" s="482"/>
      <c r="L47" s="482"/>
      <c r="M47" s="482"/>
      <c r="N47" s="368">
        <f>C47</f>
        <v>12626</v>
      </c>
      <c r="O47" s="481">
        <v>16194</v>
      </c>
      <c r="P47" s="481">
        <v>34388</v>
      </c>
      <c r="Q47" s="481">
        <v>34482</v>
      </c>
      <c r="R47" s="368">
        <f>D47</f>
        <v>40080</v>
      </c>
      <c r="S47" s="481">
        <v>36333</v>
      </c>
      <c r="T47" s="481">
        <v>45986</v>
      </c>
      <c r="U47" s="481">
        <v>29760</v>
      </c>
      <c r="V47" s="368">
        <f>E47</f>
        <v>35975</v>
      </c>
      <c r="W47" s="481">
        <v>36653</v>
      </c>
      <c r="X47" s="481">
        <v>63369</v>
      </c>
      <c r="Y47" s="481">
        <v>48849</v>
      </c>
      <c r="Z47" s="368">
        <f>F47</f>
        <v>43806</v>
      </c>
      <c r="AA47" s="481">
        <v>52675</v>
      </c>
      <c r="AB47" s="481">
        <v>77154</v>
      </c>
      <c r="AC47" s="481">
        <v>34949</v>
      </c>
      <c r="AD47" s="368">
        <f>G47</f>
        <v>34198</v>
      </c>
      <c r="AE47" s="481">
        <v>42395</v>
      </c>
      <c r="AF47" s="481">
        <v>50821</v>
      </c>
      <c r="AG47" s="481">
        <v>35763</v>
      </c>
      <c r="AH47" s="368">
        <f>H47</f>
        <v>31730</v>
      </c>
      <c r="AI47" s="481">
        <v>35648</v>
      </c>
      <c r="AJ47" s="481">
        <v>34463</v>
      </c>
      <c r="AK47" s="481">
        <v>34674</v>
      </c>
      <c r="AL47" s="368">
        <f>I47</f>
        <v>26862</v>
      </c>
      <c r="AM47" s="481">
        <v>33267</v>
      </c>
      <c r="AN47" s="481">
        <v>37338</v>
      </c>
      <c r="AO47" s="481">
        <v>27920</v>
      </c>
      <c r="AQ47" s="368">
        <f>V47</f>
        <v>35975</v>
      </c>
      <c r="AR47" s="368">
        <f>W47</f>
        <v>36653</v>
      </c>
      <c r="AS47" s="368">
        <f>X47</f>
        <v>63369</v>
      </c>
      <c r="AT47" s="368">
        <f>Y47</f>
        <v>48849</v>
      </c>
      <c r="AU47" s="368">
        <f>Z47</f>
        <v>43806</v>
      </c>
      <c r="AV47" s="368">
        <f>AA47</f>
        <v>52675</v>
      </c>
      <c r="AW47" s="368">
        <f>AB47</f>
        <v>77154</v>
      </c>
      <c r="AX47" s="368">
        <f>AC47</f>
        <v>34949</v>
      </c>
      <c r="AY47" s="368">
        <f>AD47</f>
        <v>34198</v>
      </c>
      <c r="AZ47" s="368">
        <f>AE47</f>
        <v>42395</v>
      </c>
      <c r="BA47" s="368">
        <f>AF47</f>
        <v>50821</v>
      </c>
      <c r="BB47" s="368">
        <f>AG47</f>
        <v>35763</v>
      </c>
      <c r="BC47" s="368">
        <f>AH47</f>
        <v>31730</v>
      </c>
      <c r="BD47" s="368">
        <f>AI47</f>
        <v>35648</v>
      </c>
      <c r="BE47" s="368">
        <f>AJ47</f>
        <v>34463</v>
      </c>
      <c r="BF47" s="368">
        <f>AK47</f>
        <v>34674</v>
      </c>
      <c r="BG47" s="368">
        <f>AL47</f>
        <v>26862</v>
      </c>
      <c r="BH47" s="368">
        <f>AM47</f>
        <v>33267</v>
      </c>
      <c r="BI47" s="368">
        <f>AN47</f>
        <v>37338</v>
      </c>
      <c r="BJ47" s="368">
        <f>AO47</f>
        <v>27920</v>
      </c>
      <c r="BK47" s="483"/>
      <c r="BL47" s="83">
        <f>SUM(BI47/BE47)-1</f>
        <v>8.3422801265125024E-2</v>
      </c>
    </row>
    <row r="48" spans="1:64" s="480" customFormat="1" ht="12.75" customHeight="1">
      <c r="B48" s="415" t="s">
        <v>96</v>
      </c>
      <c r="C48" s="481">
        <v>30257</v>
      </c>
      <c r="D48" s="481">
        <v>81596</v>
      </c>
      <c r="E48" s="481">
        <v>121717</v>
      </c>
      <c r="F48" s="481">
        <v>241870</v>
      </c>
      <c r="G48" s="481">
        <v>235696</v>
      </c>
      <c r="H48" s="481">
        <v>130336</v>
      </c>
      <c r="I48" s="481">
        <v>113444</v>
      </c>
      <c r="K48" s="482"/>
      <c r="L48" s="482"/>
      <c r="M48" s="482"/>
      <c r="N48" s="368">
        <f>C48</f>
        <v>30257</v>
      </c>
      <c r="O48" s="481">
        <v>34281</v>
      </c>
      <c r="P48" s="481">
        <v>42695</v>
      </c>
      <c r="Q48" s="481">
        <v>60270</v>
      </c>
      <c r="R48" s="368">
        <f>D48</f>
        <v>81596</v>
      </c>
      <c r="S48" s="481">
        <v>120702</v>
      </c>
      <c r="T48" s="481">
        <v>143033</v>
      </c>
      <c r="U48" s="481">
        <v>132359</v>
      </c>
      <c r="V48" s="368">
        <f>E48</f>
        <v>121717</v>
      </c>
      <c r="W48" s="481">
        <v>145524</v>
      </c>
      <c r="X48" s="481">
        <v>165746</v>
      </c>
      <c r="Y48" s="481">
        <v>193490</v>
      </c>
      <c r="Z48" s="368">
        <f>F48</f>
        <v>241870</v>
      </c>
      <c r="AA48" s="481">
        <v>283754</v>
      </c>
      <c r="AB48" s="481">
        <v>254653</v>
      </c>
      <c r="AC48" s="481">
        <v>246987</v>
      </c>
      <c r="AD48" s="368">
        <f>G48</f>
        <v>235696</v>
      </c>
      <c r="AE48" s="481">
        <v>222370</v>
      </c>
      <c r="AF48" s="481">
        <v>207138</v>
      </c>
      <c r="AG48" s="481">
        <v>194570</v>
      </c>
      <c r="AH48" s="368">
        <f>H48</f>
        <v>130336</v>
      </c>
      <c r="AI48" s="481">
        <v>122538</v>
      </c>
      <c r="AJ48" s="481">
        <v>119532</v>
      </c>
      <c r="AK48" s="481">
        <v>125158</v>
      </c>
      <c r="AL48" s="368">
        <f>I48</f>
        <v>113444</v>
      </c>
      <c r="AM48" s="481">
        <v>100068</v>
      </c>
      <c r="AN48" s="481">
        <v>110868</v>
      </c>
      <c r="AO48" s="481">
        <v>110294</v>
      </c>
      <c r="AQ48" s="368">
        <f>V48</f>
        <v>121717</v>
      </c>
      <c r="AR48" s="368">
        <f>W48</f>
        <v>145524</v>
      </c>
      <c r="AS48" s="368">
        <f>X48</f>
        <v>165746</v>
      </c>
      <c r="AT48" s="368">
        <f>Y48</f>
        <v>193490</v>
      </c>
      <c r="AU48" s="368">
        <f>Z48</f>
        <v>241870</v>
      </c>
      <c r="AV48" s="368">
        <f>AA48</f>
        <v>283754</v>
      </c>
      <c r="AW48" s="368">
        <f>AB48</f>
        <v>254653</v>
      </c>
      <c r="AX48" s="368">
        <f>AC48</f>
        <v>246987</v>
      </c>
      <c r="AY48" s="368">
        <f>AD48</f>
        <v>235696</v>
      </c>
      <c r="AZ48" s="368">
        <f>AE48</f>
        <v>222370</v>
      </c>
      <c r="BA48" s="368">
        <f>AF48</f>
        <v>207138</v>
      </c>
      <c r="BB48" s="368">
        <f>AG48</f>
        <v>194570</v>
      </c>
      <c r="BC48" s="368">
        <f>AH48</f>
        <v>130336</v>
      </c>
      <c r="BD48" s="368">
        <f>AI48</f>
        <v>122538</v>
      </c>
      <c r="BE48" s="368">
        <f>AJ48</f>
        <v>119532</v>
      </c>
      <c r="BF48" s="368">
        <f>AK48</f>
        <v>125158</v>
      </c>
      <c r="BG48" s="368">
        <f>AL48</f>
        <v>113444</v>
      </c>
      <c r="BH48" s="368">
        <f>AM48</f>
        <v>100068</v>
      </c>
      <c r="BI48" s="368">
        <f>AN48</f>
        <v>110868</v>
      </c>
      <c r="BJ48" s="368">
        <f>AO48</f>
        <v>110294</v>
      </c>
      <c r="BK48" s="483"/>
      <c r="BL48" s="83"/>
    </row>
    <row r="49" spans="2:64" s="480" customFormat="1" ht="12.75" customHeight="1">
      <c r="B49" s="415" t="s">
        <v>517</v>
      </c>
      <c r="C49" s="481">
        <v>5672</v>
      </c>
      <c r="D49" s="481">
        <v>5930</v>
      </c>
      <c r="E49" s="481">
        <v>15407</v>
      </c>
      <c r="F49" s="481">
        <v>33078</v>
      </c>
      <c r="G49" s="481">
        <f>20700+5943</f>
        <v>26643</v>
      </c>
      <c r="H49" s="481">
        <f>12904+4539</f>
        <v>17443</v>
      </c>
      <c r="I49" s="481">
        <f>11332+1864</f>
        <v>13196</v>
      </c>
      <c r="K49" s="482"/>
      <c r="L49" s="482"/>
      <c r="M49" s="482"/>
      <c r="N49" s="368">
        <f>C49</f>
        <v>5672</v>
      </c>
      <c r="O49" s="481">
        <v>6525</v>
      </c>
      <c r="P49" s="481">
        <v>7726</v>
      </c>
      <c r="Q49" s="481">
        <v>11742</v>
      </c>
      <c r="R49" s="368">
        <f>D49</f>
        <v>5930</v>
      </c>
      <c r="S49" s="481">
        <v>12498</v>
      </c>
      <c r="T49" s="481">
        <v>17990</v>
      </c>
      <c r="U49" s="481">
        <v>14195</v>
      </c>
      <c r="V49" s="368">
        <f>E49</f>
        <v>15407</v>
      </c>
      <c r="W49" s="481">
        <v>17788</v>
      </c>
      <c r="X49" s="481">
        <v>25630</v>
      </c>
      <c r="Y49" s="481">
        <v>24341</v>
      </c>
      <c r="Z49" s="368">
        <f>F49</f>
        <v>33078</v>
      </c>
      <c r="AA49" s="481">
        <v>33010</v>
      </c>
      <c r="AB49" s="481">
        <v>33029</v>
      </c>
      <c r="AC49" s="481">
        <v>23868</v>
      </c>
      <c r="AD49" s="368">
        <f>G49</f>
        <v>26643</v>
      </c>
      <c r="AE49" s="481">
        <f>16561+4737</f>
        <v>21298</v>
      </c>
      <c r="AF49" s="481">
        <f>26051+98</f>
        <v>26149</v>
      </c>
      <c r="AG49" s="481">
        <f>20938+118</f>
        <v>21056</v>
      </c>
      <c r="AH49" s="368">
        <f>H49</f>
        <v>17443</v>
      </c>
      <c r="AI49" s="481">
        <f>15032+2401</f>
        <v>17433</v>
      </c>
      <c r="AJ49" s="481">
        <f>15538+2323</f>
        <v>17861</v>
      </c>
      <c r="AK49" s="481">
        <f>13016+2275</f>
        <v>15291</v>
      </c>
      <c r="AL49" s="368">
        <f>I49</f>
        <v>13196</v>
      </c>
      <c r="AM49" s="481">
        <f>19135+1576</f>
        <v>20711</v>
      </c>
      <c r="AN49" s="481">
        <f>42596+1664</f>
        <v>44260</v>
      </c>
      <c r="AO49" s="481">
        <f>31048+910</f>
        <v>31958</v>
      </c>
      <c r="AQ49" s="368">
        <f>V49</f>
        <v>15407</v>
      </c>
      <c r="AR49" s="368">
        <f>W49</f>
        <v>17788</v>
      </c>
      <c r="AS49" s="368">
        <f>X49</f>
        <v>25630</v>
      </c>
      <c r="AT49" s="368">
        <f>Y49</f>
        <v>24341</v>
      </c>
      <c r="AU49" s="368">
        <f>Z49</f>
        <v>33078</v>
      </c>
      <c r="AV49" s="368">
        <f>AA49</f>
        <v>33010</v>
      </c>
      <c r="AW49" s="368">
        <f>AB49</f>
        <v>33029</v>
      </c>
      <c r="AX49" s="368">
        <f>AC49</f>
        <v>23868</v>
      </c>
      <c r="AY49" s="368">
        <f>AD49</f>
        <v>26643</v>
      </c>
      <c r="AZ49" s="368">
        <f>AE49</f>
        <v>21298</v>
      </c>
      <c r="BA49" s="368">
        <f>AF49</f>
        <v>26149</v>
      </c>
      <c r="BB49" s="368">
        <f>AG49</f>
        <v>21056</v>
      </c>
      <c r="BC49" s="368">
        <f>AH49</f>
        <v>17443</v>
      </c>
      <c r="BD49" s="368">
        <f>AI49</f>
        <v>17433</v>
      </c>
      <c r="BE49" s="368">
        <f>AJ49</f>
        <v>17861</v>
      </c>
      <c r="BF49" s="368">
        <f>AK49</f>
        <v>15291</v>
      </c>
      <c r="BG49" s="368">
        <f>AL49</f>
        <v>13196</v>
      </c>
      <c r="BH49" s="368">
        <f>AM49</f>
        <v>20711</v>
      </c>
      <c r="BI49" s="368">
        <f>AN49</f>
        <v>44260</v>
      </c>
      <c r="BJ49" s="368">
        <f>AO49</f>
        <v>31958</v>
      </c>
      <c r="BK49" s="483"/>
      <c r="BL49" s="83"/>
    </row>
    <row r="50" spans="2:64" ht="12.75" customHeight="1">
      <c r="B50" s="27" t="s">
        <v>29</v>
      </c>
      <c r="C50" s="28">
        <f t="shared" ref="C50:I50" si="74">SUM(C45:C49)</f>
        <v>102826</v>
      </c>
      <c r="D50" s="28">
        <f t="shared" si="74"/>
        <v>403594</v>
      </c>
      <c r="E50" s="28">
        <f t="shared" si="74"/>
        <v>332226</v>
      </c>
      <c r="F50" s="28">
        <f t="shared" si="74"/>
        <v>1052048</v>
      </c>
      <c r="G50" s="28">
        <f t="shared" si="74"/>
        <v>606459</v>
      </c>
      <c r="H50" s="28">
        <f t="shared" si="74"/>
        <v>372844</v>
      </c>
      <c r="I50" s="28">
        <f t="shared" si="74"/>
        <v>286456</v>
      </c>
      <c r="J50" s="53"/>
      <c r="K50" s="28">
        <f t="shared" ref="K50:AN50" si="75">SUM(K45:K49)</f>
        <v>29047</v>
      </c>
      <c r="L50" s="28">
        <f t="shared" si="75"/>
        <v>23489</v>
      </c>
      <c r="M50" s="28">
        <f t="shared" si="75"/>
        <v>49780</v>
      </c>
      <c r="N50" s="28">
        <f t="shared" si="75"/>
        <v>102826</v>
      </c>
      <c r="O50" s="28">
        <f t="shared" si="75"/>
        <v>92409</v>
      </c>
      <c r="P50" s="28">
        <f t="shared" si="75"/>
        <v>361796</v>
      </c>
      <c r="Q50" s="28">
        <f t="shared" si="75"/>
        <v>418945</v>
      </c>
      <c r="R50" s="28">
        <f t="shared" si="75"/>
        <v>403594</v>
      </c>
      <c r="S50" s="28">
        <f t="shared" si="75"/>
        <v>415943</v>
      </c>
      <c r="T50" s="28">
        <f t="shared" si="75"/>
        <v>429343</v>
      </c>
      <c r="U50" s="28">
        <f t="shared" si="75"/>
        <v>390929</v>
      </c>
      <c r="V50" s="28">
        <f t="shared" si="75"/>
        <v>332226</v>
      </c>
      <c r="W50" s="28">
        <f t="shared" si="75"/>
        <v>1324982</v>
      </c>
      <c r="X50" s="28">
        <f t="shared" si="75"/>
        <v>1264082</v>
      </c>
      <c r="Y50" s="28">
        <f t="shared" si="75"/>
        <v>1153122</v>
      </c>
      <c r="Z50" s="28">
        <f t="shared" si="75"/>
        <v>1052048</v>
      </c>
      <c r="AA50" s="28">
        <f t="shared" si="75"/>
        <v>917297</v>
      </c>
      <c r="AB50" s="28">
        <f t="shared" si="75"/>
        <v>819510</v>
      </c>
      <c r="AC50" s="28">
        <f t="shared" si="75"/>
        <v>695980</v>
      </c>
      <c r="AD50" s="28">
        <f t="shared" si="75"/>
        <v>606459</v>
      </c>
      <c r="AE50" s="28">
        <f t="shared" si="75"/>
        <v>547055</v>
      </c>
      <c r="AF50" s="28">
        <f t="shared" si="75"/>
        <v>497441</v>
      </c>
      <c r="AG50" s="28">
        <f t="shared" si="75"/>
        <v>471623</v>
      </c>
      <c r="AH50" s="28">
        <f t="shared" si="75"/>
        <v>372844</v>
      </c>
      <c r="AI50" s="28">
        <f t="shared" si="75"/>
        <v>336503</v>
      </c>
      <c r="AJ50" s="28">
        <f t="shared" si="75"/>
        <v>317265</v>
      </c>
      <c r="AK50" s="28">
        <f t="shared" si="75"/>
        <v>297413</v>
      </c>
      <c r="AL50" s="28">
        <f t="shared" si="75"/>
        <v>286456</v>
      </c>
      <c r="AM50" s="28">
        <f t="shared" si="75"/>
        <v>257272</v>
      </c>
      <c r="AN50" s="28">
        <f t="shared" si="75"/>
        <v>297135</v>
      </c>
      <c r="AO50" s="28">
        <f t="shared" ref="AO50" si="76">SUM(AO45:AO49)</f>
        <v>288638</v>
      </c>
      <c r="AP50" s="53"/>
      <c r="AQ50" s="28">
        <f t="shared" ref="AQ50:AX50" si="77">SUM(AQ45:AQ49)</f>
        <v>332226</v>
      </c>
      <c r="AR50" s="28">
        <f t="shared" si="77"/>
        <v>1324982</v>
      </c>
      <c r="AS50" s="28">
        <f t="shared" si="77"/>
        <v>1264082</v>
      </c>
      <c r="AT50" s="28">
        <f t="shared" si="77"/>
        <v>1153122</v>
      </c>
      <c r="AU50" s="28">
        <f t="shared" si="77"/>
        <v>1052048</v>
      </c>
      <c r="AV50" s="28">
        <f t="shared" si="77"/>
        <v>917297</v>
      </c>
      <c r="AW50" s="28">
        <f t="shared" si="77"/>
        <v>819510</v>
      </c>
      <c r="AX50" s="28">
        <f t="shared" si="77"/>
        <v>695980</v>
      </c>
      <c r="AY50" s="28">
        <f t="shared" ref="AY50:BI50" si="78">SUM(AY45:AY49)</f>
        <v>606459</v>
      </c>
      <c r="AZ50" s="28">
        <f t="shared" si="78"/>
        <v>547055</v>
      </c>
      <c r="BA50" s="28">
        <f t="shared" si="78"/>
        <v>497441</v>
      </c>
      <c r="BB50" s="28">
        <f t="shared" si="78"/>
        <v>471623</v>
      </c>
      <c r="BC50" s="28">
        <f t="shared" si="78"/>
        <v>372844</v>
      </c>
      <c r="BD50" s="28">
        <f t="shared" si="78"/>
        <v>336503</v>
      </c>
      <c r="BE50" s="28">
        <f t="shared" si="78"/>
        <v>317265</v>
      </c>
      <c r="BF50" s="28">
        <f t="shared" si="78"/>
        <v>297413</v>
      </c>
      <c r="BG50" s="28">
        <f t="shared" si="78"/>
        <v>286456</v>
      </c>
      <c r="BH50" s="28">
        <f t="shared" si="78"/>
        <v>257272</v>
      </c>
      <c r="BI50" s="28">
        <f t="shared" si="78"/>
        <v>297135</v>
      </c>
      <c r="BJ50" s="28">
        <f t="shared" ref="BJ50" si="79">SUM(BJ45:BJ49)</f>
        <v>288638</v>
      </c>
      <c r="BK50" s="45"/>
      <c r="BL50" s="84">
        <f>SUM(BI50/BE50)-1</f>
        <v>-6.3448536712212178E-2</v>
      </c>
    </row>
    <row r="51" spans="2:64" ht="5.0999999999999996" customHeight="1">
      <c r="B51" s="27"/>
      <c r="C51" s="54"/>
      <c r="D51" s="54"/>
      <c r="E51" s="54"/>
      <c r="F51" s="54"/>
      <c r="G51" s="54"/>
      <c r="H51" s="44"/>
      <c r="I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Q51" s="45"/>
      <c r="AR51" s="45"/>
      <c r="AS51" s="45"/>
      <c r="AT51" s="45"/>
      <c r="AU51" s="45"/>
      <c r="AV51" s="45"/>
      <c r="AW51" s="45"/>
      <c r="AX51" s="45"/>
      <c r="AY51" s="45"/>
      <c r="AZ51" s="45"/>
      <c r="BA51" s="45"/>
      <c r="BB51" s="45"/>
      <c r="BC51" s="45"/>
      <c r="BD51" s="45"/>
      <c r="BE51" s="45"/>
      <c r="BF51" s="45"/>
      <c r="BG51" s="45"/>
      <c r="BH51" s="45"/>
      <c r="BI51" s="45"/>
      <c r="BJ51" s="45"/>
      <c r="BK51" s="45"/>
      <c r="BL51" s="42"/>
    </row>
    <row r="52" spans="2:64" ht="12.75" customHeight="1">
      <c r="B52" s="87" t="s">
        <v>475</v>
      </c>
      <c r="C52" s="92"/>
      <c r="D52" s="92"/>
      <c r="E52" s="92"/>
      <c r="F52" s="92"/>
      <c r="G52" s="92"/>
      <c r="H52" s="92"/>
      <c r="I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34"/>
      <c r="AN52" s="92"/>
      <c r="AO52" s="92"/>
      <c r="AQ52" s="34"/>
      <c r="AR52" s="34"/>
      <c r="AS52" s="34"/>
      <c r="AT52" s="34"/>
      <c r="AU52" s="34"/>
      <c r="AV52" s="34"/>
      <c r="AW52" s="34"/>
      <c r="AX52" s="34"/>
      <c r="AY52" s="34"/>
      <c r="AZ52" s="34"/>
      <c r="BA52" s="34"/>
      <c r="BB52" s="34"/>
      <c r="BC52" s="34"/>
      <c r="BD52" s="34"/>
      <c r="BE52" s="34"/>
      <c r="BF52" s="34"/>
      <c r="BG52" s="34"/>
      <c r="BH52" s="34"/>
      <c r="BI52" s="34"/>
      <c r="BJ52" s="34"/>
      <c r="BK52" s="12"/>
      <c r="BL52" s="83" t="e">
        <f>SUM(BI52/BE52)-1</f>
        <v>#DIV/0!</v>
      </c>
    </row>
    <row r="53" spans="2:64" ht="12.75" customHeight="1">
      <c r="B53" s="10" t="s">
        <v>516</v>
      </c>
      <c r="C53" s="92">
        <v>0</v>
      </c>
      <c r="D53" s="92">
        <v>0</v>
      </c>
      <c r="E53" s="92">
        <v>0</v>
      </c>
      <c r="F53" s="92">
        <v>0</v>
      </c>
      <c r="G53" s="92">
        <v>12627</v>
      </c>
      <c r="H53" s="92">
        <v>12600</v>
      </c>
      <c r="I53" s="92">
        <v>12600</v>
      </c>
      <c r="K53" s="468"/>
      <c r="L53" s="468"/>
      <c r="M53" s="468"/>
      <c r="N53" s="34">
        <f t="shared" ref="N53:N58" si="80">C53</f>
        <v>0</v>
      </c>
      <c r="O53" s="92">
        <v>0</v>
      </c>
      <c r="P53" s="92">
        <v>0</v>
      </c>
      <c r="Q53" s="92">
        <v>0</v>
      </c>
      <c r="R53" s="34">
        <v>0</v>
      </c>
      <c r="S53" s="92">
        <v>0</v>
      </c>
      <c r="T53" s="92">
        <v>0</v>
      </c>
      <c r="U53" s="92">
        <v>0</v>
      </c>
      <c r="V53" s="34">
        <f t="shared" ref="V53:V58" si="81">E53</f>
        <v>0</v>
      </c>
      <c r="W53" s="92">
        <v>0</v>
      </c>
      <c r="X53" s="92">
        <v>0</v>
      </c>
      <c r="Y53" s="92">
        <v>0</v>
      </c>
      <c r="Z53" s="34">
        <f t="shared" ref="Z53:Z58" si="82">F53</f>
        <v>0</v>
      </c>
      <c r="AA53" s="92">
        <v>0</v>
      </c>
      <c r="AB53" s="92">
        <v>0</v>
      </c>
      <c r="AC53" s="92">
        <v>0</v>
      </c>
      <c r="AD53" s="34">
        <f t="shared" ref="AD53:AD58" si="83">G53</f>
        <v>12627</v>
      </c>
      <c r="AE53" s="92">
        <v>12600</v>
      </c>
      <c r="AF53" s="92">
        <v>12600</v>
      </c>
      <c r="AG53" s="92">
        <v>12600</v>
      </c>
      <c r="AH53" s="34">
        <f t="shared" ref="AH53:AH58" si="84">H53</f>
        <v>12600</v>
      </c>
      <c r="AI53" s="92">
        <v>12600</v>
      </c>
      <c r="AJ53" s="92">
        <v>12600</v>
      </c>
      <c r="AK53" s="92">
        <v>12600</v>
      </c>
      <c r="AL53" s="34">
        <f t="shared" ref="AL53:AL58" si="85">I53</f>
        <v>12600</v>
      </c>
      <c r="AM53" s="92">
        <v>12600</v>
      </c>
      <c r="AN53" s="92">
        <v>12600</v>
      </c>
      <c r="AO53" s="92">
        <v>12600</v>
      </c>
      <c r="AQ53" s="34">
        <f>V53</f>
        <v>0</v>
      </c>
      <c r="AR53" s="34">
        <f>W53</f>
        <v>0</v>
      </c>
      <c r="AS53" s="34">
        <f>X53</f>
        <v>0</v>
      </c>
      <c r="AT53" s="34">
        <f>Y53</f>
        <v>0</v>
      </c>
      <c r="AU53" s="34">
        <f>Z53</f>
        <v>0</v>
      </c>
      <c r="AV53" s="34">
        <f>AA53</f>
        <v>0</v>
      </c>
      <c r="AW53" s="34">
        <f>AB53</f>
        <v>0</v>
      </c>
      <c r="AX53" s="34">
        <f>AC53</f>
        <v>0</v>
      </c>
      <c r="AY53" s="34">
        <f>AD53</f>
        <v>12627</v>
      </c>
      <c r="AZ53" s="34">
        <f>AE53</f>
        <v>12600</v>
      </c>
      <c r="BA53" s="34">
        <f>AF53</f>
        <v>12600</v>
      </c>
      <c r="BB53" s="34">
        <f>AG53</f>
        <v>12600</v>
      </c>
      <c r="BC53" s="34">
        <f>AH53</f>
        <v>12600</v>
      </c>
      <c r="BD53" s="34">
        <f>AI53</f>
        <v>12600</v>
      </c>
      <c r="BE53" s="34">
        <f>AJ53</f>
        <v>12600</v>
      </c>
      <c r="BF53" s="34">
        <f>AK53</f>
        <v>12600</v>
      </c>
      <c r="BG53" s="34">
        <f>AL53</f>
        <v>12600</v>
      </c>
      <c r="BH53" s="34">
        <f>AM53</f>
        <v>12600</v>
      </c>
      <c r="BI53" s="34">
        <f>AN53</f>
        <v>12600</v>
      </c>
      <c r="BJ53" s="34">
        <f>AO53</f>
        <v>12600</v>
      </c>
      <c r="BK53" s="12"/>
      <c r="BL53" s="83"/>
    </row>
    <row r="54" spans="2:64" ht="12.75" customHeight="1">
      <c r="B54" s="10" t="s">
        <v>476</v>
      </c>
      <c r="C54" s="92">
        <v>396</v>
      </c>
      <c r="D54" s="92">
        <v>855</v>
      </c>
      <c r="E54" s="92">
        <v>14570</v>
      </c>
      <c r="F54" s="92">
        <v>26815</v>
      </c>
      <c r="G54" s="92">
        <v>87595</v>
      </c>
      <c r="H54" s="92">
        <v>130460</v>
      </c>
      <c r="I54" s="92">
        <v>123975</v>
      </c>
      <c r="K54" s="468"/>
      <c r="L54" s="468"/>
      <c r="M54" s="468"/>
      <c r="N54" s="34">
        <f t="shared" si="80"/>
        <v>396</v>
      </c>
      <c r="O54" s="92">
        <v>887</v>
      </c>
      <c r="P54" s="92">
        <v>792</v>
      </c>
      <c r="Q54" s="92">
        <v>846</v>
      </c>
      <c r="R54" s="34">
        <f>D54</f>
        <v>855</v>
      </c>
      <c r="S54" s="92">
        <v>12431</v>
      </c>
      <c r="T54" s="92">
        <v>13793</v>
      </c>
      <c r="U54" s="92">
        <v>13736</v>
      </c>
      <c r="V54" s="34">
        <f t="shared" si="81"/>
        <v>14570</v>
      </c>
      <c r="W54" s="92">
        <v>13938</v>
      </c>
      <c r="X54" s="92">
        <v>14672</v>
      </c>
      <c r="Y54" s="92">
        <v>25444</v>
      </c>
      <c r="Z54" s="34">
        <f t="shared" si="82"/>
        <v>26815</v>
      </c>
      <c r="AA54" s="92">
        <v>25692</v>
      </c>
      <c r="AB54" s="92">
        <v>25464</v>
      </c>
      <c r="AC54" s="92">
        <v>88335</v>
      </c>
      <c r="AD54" s="34">
        <f t="shared" si="83"/>
        <v>87595</v>
      </c>
      <c r="AE54" s="92">
        <v>75056</v>
      </c>
      <c r="AF54" s="92">
        <v>136264</v>
      </c>
      <c r="AG54" s="92">
        <v>132671</v>
      </c>
      <c r="AH54" s="34">
        <f t="shared" si="84"/>
        <v>130460</v>
      </c>
      <c r="AI54" s="92">
        <v>129379</v>
      </c>
      <c r="AJ54" s="92">
        <v>127679</v>
      </c>
      <c r="AK54" s="92">
        <v>126092</v>
      </c>
      <c r="AL54" s="34">
        <f t="shared" si="85"/>
        <v>123975</v>
      </c>
      <c r="AM54" s="92">
        <v>121131</v>
      </c>
      <c r="AN54" s="92">
        <v>6527</v>
      </c>
      <c r="AO54" s="92">
        <v>5218</v>
      </c>
      <c r="AQ54" s="34">
        <f>V54</f>
        <v>14570</v>
      </c>
      <c r="AR54" s="34">
        <f>W54</f>
        <v>13938</v>
      </c>
      <c r="AS54" s="34">
        <f>X54</f>
        <v>14672</v>
      </c>
      <c r="AT54" s="34">
        <f>Y54</f>
        <v>25444</v>
      </c>
      <c r="AU54" s="34">
        <f>Z54</f>
        <v>26815</v>
      </c>
      <c r="AV54" s="34">
        <f>AA54</f>
        <v>25692</v>
      </c>
      <c r="AW54" s="34">
        <f>AB54</f>
        <v>25464</v>
      </c>
      <c r="AX54" s="34">
        <f>AC54</f>
        <v>88335</v>
      </c>
      <c r="AY54" s="34">
        <f>AD54</f>
        <v>87595</v>
      </c>
      <c r="AZ54" s="34">
        <f>AE54</f>
        <v>75056</v>
      </c>
      <c r="BA54" s="34">
        <f>AF54</f>
        <v>136264</v>
      </c>
      <c r="BB54" s="34">
        <f>AG54</f>
        <v>132671</v>
      </c>
      <c r="BC54" s="34">
        <f>AH54</f>
        <v>130460</v>
      </c>
      <c r="BD54" s="34">
        <f>AI54</f>
        <v>129379</v>
      </c>
      <c r="BE54" s="34">
        <f>AJ54</f>
        <v>127679</v>
      </c>
      <c r="BF54" s="34">
        <f>AK54</f>
        <v>126092</v>
      </c>
      <c r="BG54" s="34">
        <f>AL54</f>
        <v>123975</v>
      </c>
      <c r="BH54" s="34">
        <f>AM54</f>
        <v>121131</v>
      </c>
      <c r="BI54" s="34">
        <f>AN54</f>
        <v>6527</v>
      </c>
      <c r="BJ54" s="34">
        <f>AO54</f>
        <v>5218</v>
      </c>
      <c r="BK54" s="12"/>
      <c r="BL54" s="83"/>
    </row>
    <row r="55" spans="2:64" ht="12.75" customHeight="1">
      <c r="B55" s="10" t="s">
        <v>477</v>
      </c>
      <c r="C55" s="92">
        <v>30527</v>
      </c>
      <c r="D55" s="92">
        <v>47474</v>
      </c>
      <c r="E55" s="92">
        <v>115299</v>
      </c>
      <c r="F55" s="92">
        <v>226489</v>
      </c>
      <c r="G55" s="92">
        <v>257002</v>
      </c>
      <c r="H55" s="92">
        <v>194046</v>
      </c>
      <c r="I55" s="92">
        <v>184887</v>
      </c>
      <c r="K55" s="468"/>
      <c r="L55" s="468"/>
      <c r="M55" s="468"/>
      <c r="N55" s="34">
        <f t="shared" si="80"/>
        <v>30527</v>
      </c>
      <c r="O55" s="92">
        <v>31861</v>
      </c>
      <c r="P55" s="92">
        <v>34473</v>
      </c>
      <c r="Q55" s="92">
        <v>35050</v>
      </c>
      <c r="R55" s="34">
        <f>D55</f>
        <v>47474</v>
      </c>
      <c r="S55" s="92">
        <v>61758</v>
      </c>
      <c r="T55" s="92">
        <v>70286</v>
      </c>
      <c r="U55" s="92">
        <v>77002</v>
      </c>
      <c r="V55" s="34">
        <f t="shared" si="81"/>
        <v>115299</v>
      </c>
      <c r="W55" s="92">
        <v>132094</v>
      </c>
      <c r="X55" s="92">
        <v>157449</v>
      </c>
      <c r="Y55" s="92">
        <v>197290</v>
      </c>
      <c r="Z55" s="34">
        <f t="shared" si="82"/>
        <v>226489</v>
      </c>
      <c r="AA55" s="92">
        <v>241389</v>
      </c>
      <c r="AB55" s="92">
        <v>258075</v>
      </c>
      <c r="AC55" s="92">
        <v>262595</v>
      </c>
      <c r="AD55" s="34">
        <f t="shared" si="83"/>
        <v>257002</v>
      </c>
      <c r="AE55" s="92">
        <v>251218</v>
      </c>
      <c r="AF55" s="92">
        <v>250335</v>
      </c>
      <c r="AG55" s="92">
        <v>245373</v>
      </c>
      <c r="AH55" s="34">
        <f t="shared" si="84"/>
        <v>194046</v>
      </c>
      <c r="AI55" s="92">
        <v>190896</v>
      </c>
      <c r="AJ55" s="92">
        <v>186584</v>
      </c>
      <c r="AK55" s="92">
        <v>188115</v>
      </c>
      <c r="AL55" s="34">
        <f t="shared" si="85"/>
        <v>184887</v>
      </c>
      <c r="AM55" s="92">
        <v>180781</v>
      </c>
      <c r="AN55" s="92">
        <v>320988</v>
      </c>
      <c r="AO55" s="92">
        <v>254387</v>
      </c>
      <c r="AQ55" s="34">
        <f>V55</f>
        <v>115299</v>
      </c>
      <c r="AR55" s="34">
        <f>W55</f>
        <v>132094</v>
      </c>
      <c r="AS55" s="34">
        <f>X55</f>
        <v>157449</v>
      </c>
      <c r="AT55" s="34">
        <f>Y55</f>
        <v>197290</v>
      </c>
      <c r="AU55" s="34">
        <f>Z55</f>
        <v>226489</v>
      </c>
      <c r="AV55" s="34">
        <f>AA55</f>
        <v>241389</v>
      </c>
      <c r="AW55" s="34">
        <f>AB55</f>
        <v>258075</v>
      </c>
      <c r="AX55" s="34">
        <f>AC55</f>
        <v>262595</v>
      </c>
      <c r="AY55" s="34">
        <f>AD55</f>
        <v>257002</v>
      </c>
      <c r="AZ55" s="34">
        <f>AE55</f>
        <v>251218</v>
      </c>
      <c r="BA55" s="34">
        <f>AF55</f>
        <v>250335</v>
      </c>
      <c r="BB55" s="34">
        <f>AG55</f>
        <v>245373</v>
      </c>
      <c r="BC55" s="34">
        <f>AH55</f>
        <v>194046</v>
      </c>
      <c r="BD55" s="34">
        <f>AI55</f>
        <v>190896</v>
      </c>
      <c r="BE55" s="34">
        <f>AJ55</f>
        <v>186584</v>
      </c>
      <c r="BF55" s="34">
        <f>AK55</f>
        <v>188115</v>
      </c>
      <c r="BG55" s="34">
        <f>AL55</f>
        <v>184887</v>
      </c>
      <c r="BH55" s="34">
        <f>AM55</f>
        <v>180781</v>
      </c>
      <c r="BI55" s="34">
        <f>AN55</f>
        <v>320988</v>
      </c>
      <c r="BJ55" s="34">
        <f>AO55</f>
        <v>254387</v>
      </c>
      <c r="BK55" s="12"/>
      <c r="BL55" s="83"/>
    </row>
    <row r="56" spans="2:64" ht="12.75" customHeight="1">
      <c r="B56" s="10" t="s">
        <v>478</v>
      </c>
      <c r="C56" s="92">
        <v>0</v>
      </c>
      <c r="D56" s="92">
        <v>0</v>
      </c>
      <c r="E56" s="92">
        <v>0</v>
      </c>
      <c r="F56" s="92">
        <v>8023</v>
      </c>
      <c r="G56" s="92">
        <v>2325</v>
      </c>
      <c r="H56" s="92">
        <v>1673</v>
      </c>
      <c r="I56" s="92">
        <v>1601</v>
      </c>
      <c r="K56" s="468"/>
      <c r="L56" s="468"/>
      <c r="M56" s="468"/>
      <c r="N56" s="34">
        <f t="shared" si="80"/>
        <v>0</v>
      </c>
      <c r="O56" s="92">
        <v>0</v>
      </c>
      <c r="P56" s="92">
        <v>0</v>
      </c>
      <c r="Q56" s="92">
        <v>0</v>
      </c>
      <c r="R56" s="34">
        <v>0</v>
      </c>
      <c r="S56" s="92">
        <v>0</v>
      </c>
      <c r="T56" s="92">
        <v>0</v>
      </c>
      <c r="U56" s="92">
        <v>0</v>
      </c>
      <c r="V56" s="34">
        <f t="shared" si="81"/>
        <v>0</v>
      </c>
      <c r="W56" s="92">
        <v>0</v>
      </c>
      <c r="X56" s="92">
        <v>0</v>
      </c>
      <c r="Y56" s="92">
        <v>0</v>
      </c>
      <c r="Z56" s="34">
        <f t="shared" si="82"/>
        <v>8023</v>
      </c>
      <c r="AA56" s="92">
        <v>7353</v>
      </c>
      <c r="AB56" s="92">
        <v>5920</v>
      </c>
      <c r="AC56" s="92">
        <v>7174</v>
      </c>
      <c r="AD56" s="34">
        <f t="shared" si="83"/>
        <v>2325</v>
      </c>
      <c r="AE56" s="92">
        <v>2340</v>
      </c>
      <c r="AF56" s="92">
        <v>1837</v>
      </c>
      <c r="AG56" s="92">
        <v>1711</v>
      </c>
      <c r="AH56" s="34">
        <f t="shared" si="84"/>
        <v>1673</v>
      </c>
      <c r="AI56" s="92">
        <v>1680</v>
      </c>
      <c r="AJ56" s="92">
        <v>1650</v>
      </c>
      <c r="AK56" s="92">
        <v>1612</v>
      </c>
      <c r="AL56" s="34">
        <f t="shared" si="85"/>
        <v>1601</v>
      </c>
      <c r="AM56" s="92">
        <v>1589</v>
      </c>
      <c r="AN56" s="92">
        <v>1531</v>
      </c>
      <c r="AO56" s="92">
        <v>1523</v>
      </c>
      <c r="AQ56" s="34">
        <f>V56</f>
        <v>0</v>
      </c>
      <c r="AR56" s="34">
        <f>W56</f>
        <v>0</v>
      </c>
      <c r="AS56" s="34">
        <f>X56</f>
        <v>0</v>
      </c>
      <c r="AT56" s="34">
        <f>Y56</f>
        <v>0</v>
      </c>
      <c r="AU56" s="34">
        <f>Z56</f>
        <v>8023</v>
      </c>
      <c r="AV56" s="34">
        <f>AA56</f>
        <v>7353</v>
      </c>
      <c r="AW56" s="34">
        <f>AB56</f>
        <v>5920</v>
      </c>
      <c r="AX56" s="34">
        <f>AC56</f>
        <v>7174</v>
      </c>
      <c r="AY56" s="34">
        <f>AD56</f>
        <v>2325</v>
      </c>
      <c r="AZ56" s="34">
        <f>AE56</f>
        <v>2340</v>
      </c>
      <c r="BA56" s="34">
        <f>AF56</f>
        <v>1837</v>
      </c>
      <c r="BB56" s="34">
        <f>AG56</f>
        <v>1711</v>
      </c>
      <c r="BC56" s="34">
        <f>AH56</f>
        <v>1673</v>
      </c>
      <c r="BD56" s="34">
        <f>AI56</f>
        <v>1680</v>
      </c>
      <c r="BE56" s="34">
        <f>AJ56</f>
        <v>1650</v>
      </c>
      <c r="BF56" s="34">
        <f>AK56</f>
        <v>1612</v>
      </c>
      <c r="BG56" s="34">
        <f>AL56</f>
        <v>1601</v>
      </c>
      <c r="BH56" s="34">
        <f>AM56</f>
        <v>1589</v>
      </c>
      <c r="BI56" s="34">
        <f>AN56</f>
        <v>1531</v>
      </c>
      <c r="BJ56" s="34">
        <f>AO56</f>
        <v>1523</v>
      </c>
      <c r="BK56" s="12"/>
      <c r="BL56" s="83"/>
    </row>
    <row r="57" spans="2:64" ht="12.75" customHeight="1">
      <c r="B57" s="10" t="s">
        <v>480</v>
      </c>
      <c r="C57" s="92">
        <v>0</v>
      </c>
      <c r="D57" s="92">
        <v>0</v>
      </c>
      <c r="E57" s="92">
        <v>0</v>
      </c>
      <c r="F57" s="92">
        <v>59188</v>
      </c>
      <c r="G57" s="92">
        <v>85472</v>
      </c>
      <c r="H57" s="92">
        <v>61635</v>
      </c>
      <c r="I57" s="92">
        <v>68005</v>
      </c>
      <c r="K57" s="468"/>
      <c r="L57" s="468"/>
      <c r="M57" s="468"/>
      <c r="N57" s="34">
        <f t="shared" si="80"/>
        <v>0</v>
      </c>
      <c r="O57" s="92">
        <v>0</v>
      </c>
      <c r="P57" s="92">
        <v>0</v>
      </c>
      <c r="Q57" s="92">
        <v>0</v>
      </c>
      <c r="R57" s="34">
        <v>0</v>
      </c>
      <c r="S57" s="92">
        <v>0</v>
      </c>
      <c r="T57" s="92">
        <v>0</v>
      </c>
      <c r="U57" s="92">
        <v>0</v>
      </c>
      <c r="V57" s="34">
        <f t="shared" si="81"/>
        <v>0</v>
      </c>
      <c r="W57" s="92">
        <v>0</v>
      </c>
      <c r="X57" s="92">
        <v>26578</v>
      </c>
      <c r="Y57" s="92">
        <v>49456</v>
      </c>
      <c r="Z57" s="34">
        <f t="shared" si="82"/>
        <v>59188</v>
      </c>
      <c r="AA57" s="92">
        <v>96166</v>
      </c>
      <c r="AB57" s="92">
        <v>102839</v>
      </c>
      <c r="AC57" s="92">
        <v>80533</v>
      </c>
      <c r="AD57" s="34">
        <f t="shared" si="83"/>
        <v>85472</v>
      </c>
      <c r="AE57" s="92">
        <v>88035</v>
      </c>
      <c r="AF57" s="92">
        <v>60794</v>
      </c>
      <c r="AG57" s="92">
        <v>60680</v>
      </c>
      <c r="AH57" s="34">
        <f t="shared" si="84"/>
        <v>61635</v>
      </c>
      <c r="AI57" s="92">
        <v>63264</v>
      </c>
      <c r="AJ57" s="92">
        <v>64822</v>
      </c>
      <c r="AK57" s="92">
        <v>66444</v>
      </c>
      <c r="AL57" s="34">
        <f t="shared" si="85"/>
        <v>68005</v>
      </c>
      <c r="AM57" s="92">
        <v>69814</v>
      </c>
      <c r="AN57" s="92">
        <v>52272</v>
      </c>
      <c r="AO57" s="92">
        <v>35704</v>
      </c>
      <c r="AQ57" s="34">
        <f>V57</f>
        <v>0</v>
      </c>
      <c r="AR57" s="34">
        <f>W57</f>
        <v>0</v>
      </c>
      <c r="AS57" s="34">
        <f>X57</f>
        <v>26578</v>
      </c>
      <c r="AT57" s="34">
        <f>Y57</f>
        <v>49456</v>
      </c>
      <c r="AU57" s="34">
        <f>Z57</f>
        <v>59188</v>
      </c>
      <c r="AV57" s="34">
        <f>AA57</f>
        <v>96166</v>
      </c>
      <c r="AW57" s="34">
        <f>AB57</f>
        <v>102839</v>
      </c>
      <c r="AX57" s="34">
        <f>AC57</f>
        <v>80533</v>
      </c>
      <c r="AY57" s="34">
        <f>AD57</f>
        <v>85472</v>
      </c>
      <c r="AZ57" s="34">
        <f>AE57</f>
        <v>88035</v>
      </c>
      <c r="BA57" s="34">
        <f>AF57</f>
        <v>60794</v>
      </c>
      <c r="BB57" s="34">
        <f>AG57</f>
        <v>60680</v>
      </c>
      <c r="BC57" s="34">
        <f>AH57</f>
        <v>61635</v>
      </c>
      <c r="BD57" s="34">
        <f>AI57</f>
        <v>63264</v>
      </c>
      <c r="BE57" s="34">
        <f>AJ57</f>
        <v>64822</v>
      </c>
      <c r="BF57" s="34">
        <f>AK57</f>
        <v>66444</v>
      </c>
      <c r="BG57" s="34">
        <f>AL57</f>
        <v>68005</v>
      </c>
      <c r="BH57" s="34">
        <f>AM57</f>
        <v>69814</v>
      </c>
      <c r="BI57" s="34">
        <f>AN57</f>
        <v>52272</v>
      </c>
      <c r="BJ57" s="34">
        <f>AO57</f>
        <v>35704</v>
      </c>
      <c r="BK57" s="12"/>
      <c r="BL57" s="83"/>
    </row>
    <row r="58" spans="2:64" ht="12.75" customHeight="1">
      <c r="B58" s="10" t="s">
        <v>479</v>
      </c>
      <c r="C58" s="92">
        <v>0</v>
      </c>
      <c r="D58" s="92">
        <v>0</v>
      </c>
      <c r="E58" s="92">
        <v>5911</v>
      </c>
      <c r="F58" s="92">
        <v>6836</v>
      </c>
      <c r="G58" s="92">
        <v>10744</v>
      </c>
      <c r="H58" s="92">
        <v>1192</v>
      </c>
      <c r="I58" s="92">
        <v>622</v>
      </c>
      <c r="K58" s="468"/>
      <c r="L58" s="468"/>
      <c r="M58" s="468"/>
      <c r="N58" s="34">
        <f t="shared" si="80"/>
        <v>0</v>
      </c>
      <c r="O58" s="92">
        <v>0</v>
      </c>
      <c r="P58" s="92">
        <v>0</v>
      </c>
      <c r="Q58" s="92">
        <v>0</v>
      </c>
      <c r="R58" s="34">
        <v>0</v>
      </c>
      <c r="S58" s="92">
        <v>1501</v>
      </c>
      <c r="T58" s="92">
        <v>4552</v>
      </c>
      <c r="U58" s="92">
        <v>4970</v>
      </c>
      <c r="V58" s="34">
        <f t="shared" si="81"/>
        <v>5911</v>
      </c>
      <c r="W58" s="92">
        <v>4505</v>
      </c>
      <c r="X58" s="92">
        <v>3739</v>
      </c>
      <c r="Y58" s="92">
        <v>7062</v>
      </c>
      <c r="Z58" s="34">
        <f t="shared" si="82"/>
        <v>6836</v>
      </c>
      <c r="AA58" s="92">
        <v>6613</v>
      </c>
      <c r="AB58" s="92">
        <v>6301</v>
      </c>
      <c r="AC58" s="92">
        <v>6670</v>
      </c>
      <c r="AD58" s="34">
        <f t="shared" si="83"/>
        <v>10744</v>
      </c>
      <c r="AE58" s="92">
        <v>10273</v>
      </c>
      <c r="AF58" s="92">
        <v>9314</v>
      </c>
      <c r="AG58" s="92">
        <v>4550</v>
      </c>
      <c r="AH58" s="34">
        <f t="shared" si="84"/>
        <v>1192</v>
      </c>
      <c r="AI58" s="92">
        <v>704</v>
      </c>
      <c r="AJ58" s="92">
        <v>634</v>
      </c>
      <c r="AK58" s="92">
        <v>662</v>
      </c>
      <c r="AL58" s="34">
        <f t="shared" si="85"/>
        <v>622</v>
      </c>
      <c r="AM58" s="92">
        <v>643</v>
      </c>
      <c r="AN58" s="92">
        <v>688</v>
      </c>
      <c r="AO58" s="92">
        <v>1599</v>
      </c>
      <c r="AQ58" s="34">
        <f>V58</f>
        <v>5911</v>
      </c>
      <c r="AR58" s="34">
        <f>W58</f>
        <v>4505</v>
      </c>
      <c r="AS58" s="34">
        <f>X58</f>
        <v>3739</v>
      </c>
      <c r="AT58" s="34">
        <f>Y58</f>
        <v>7062</v>
      </c>
      <c r="AU58" s="34">
        <f>Z58</f>
        <v>6836</v>
      </c>
      <c r="AV58" s="34">
        <f>AA58</f>
        <v>6613</v>
      </c>
      <c r="AW58" s="34">
        <f>AB58</f>
        <v>6301</v>
      </c>
      <c r="AX58" s="34">
        <f>AC58</f>
        <v>6670</v>
      </c>
      <c r="AY58" s="34">
        <f>AD58</f>
        <v>10744</v>
      </c>
      <c r="AZ58" s="34">
        <f>AE58</f>
        <v>10273</v>
      </c>
      <c r="BA58" s="34">
        <f>AF58</f>
        <v>9314</v>
      </c>
      <c r="BB58" s="34">
        <f>AG58</f>
        <v>4550</v>
      </c>
      <c r="BC58" s="34">
        <f>AH58</f>
        <v>1192</v>
      </c>
      <c r="BD58" s="34">
        <f>AI58</f>
        <v>704</v>
      </c>
      <c r="BE58" s="34">
        <f>AJ58</f>
        <v>634</v>
      </c>
      <c r="BF58" s="34">
        <f>AK58</f>
        <v>662</v>
      </c>
      <c r="BG58" s="34">
        <f>AL58</f>
        <v>622</v>
      </c>
      <c r="BH58" s="34">
        <f>AM58</f>
        <v>643</v>
      </c>
      <c r="BI58" s="34">
        <f>AN58</f>
        <v>688</v>
      </c>
      <c r="BJ58" s="34">
        <f>AO58</f>
        <v>1599</v>
      </c>
      <c r="BK58" s="12"/>
      <c r="BL58" s="83"/>
    </row>
    <row r="59" spans="2:64" ht="12.75" customHeight="1">
      <c r="B59" s="14" t="s">
        <v>30</v>
      </c>
      <c r="C59" s="15">
        <f>SUM(C53:C58)+C50</f>
        <v>133749</v>
      </c>
      <c r="D59" s="15">
        <f t="shared" ref="D59:I59" si="86">SUM(D53:D58)+D50</f>
        <v>451923</v>
      </c>
      <c r="E59" s="15">
        <f t="shared" si="86"/>
        <v>468006</v>
      </c>
      <c r="F59" s="15">
        <f t="shared" si="86"/>
        <v>1379399</v>
      </c>
      <c r="G59" s="15">
        <f t="shared" si="86"/>
        <v>1062224</v>
      </c>
      <c r="H59" s="15">
        <f t="shared" si="86"/>
        <v>774450</v>
      </c>
      <c r="I59" s="15">
        <f t="shared" si="86"/>
        <v>678146</v>
      </c>
      <c r="K59" s="15">
        <f t="shared" ref="K59:AN59" si="87">SUM(K53:K58)+K50</f>
        <v>29047</v>
      </c>
      <c r="L59" s="15">
        <f t="shared" si="87"/>
        <v>23489</v>
      </c>
      <c r="M59" s="15">
        <f t="shared" si="87"/>
        <v>49780</v>
      </c>
      <c r="N59" s="15">
        <f t="shared" si="87"/>
        <v>133749</v>
      </c>
      <c r="O59" s="15">
        <f t="shared" si="87"/>
        <v>125157</v>
      </c>
      <c r="P59" s="15">
        <f t="shared" si="87"/>
        <v>397061</v>
      </c>
      <c r="Q59" s="15">
        <f t="shared" si="87"/>
        <v>454841</v>
      </c>
      <c r="R59" s="15">
        <f t="shared" si="87"/>
        <v>451923</v>
      </c>
      <c r="S59" s="15">
        <f t="shared" si="87"/>
        <v>491633</v>
      </c>
      <c r="T59" s="15">
        <f t="shared" si="87"/>
        <v>517974</v>
      </c>
      <c r="U59" s="15">
        <f t="shared" si="87"/>
        <v>486637</v>
      </c>
      <c r="V59" s="15">
        <f t="shared" si="87"/>
        <v>468006</v>
      </c>
      <c r="W59" s="15">
        <f t="shared" si="87"/>
        <v>1475519</v>
      </c>
      <c r="X59" s="15">
        <f t="shared" si="87"/>
        <v>1466520</v>
      </c>
      <c r="Y59" s="15">
        <f t="shared" si="87"/>
        <v>1432374</v>
      </c>
      <c r="Z59" s="15">
        <f t="shared" si="87"/>
        <v>1379399</v>
      </c>
      <c r="AA59" s="15">
        <f t="shared" si="87"/>
        <v>1294510</v>
      </c>
      <c r="AB59" s="15">
        <f t="shared" si="87"/>
        <v>1218109</v>
      </c>
      <c r="AC59" s="15">
        <f t="shared" si="87"/>
        <v>1141287</v>
      </c>
      <c r="AD59" s="15">
        <f t="shared" si="87"/>
        <v>1062224</v>
      </c>
      <c r="AE59" s="15">
        <f t="shared" si="87"/>
        <v>986577</v>
      </c>
      <c r="AF59" s="15">
        <f t="shared" si="87"/>
        <v>968585</v>
      </c>
      <c r="AG59" s="15">
        <f t="shared" si="87"/>
        <v>929208</v>
      </c>
      <c r="AH59" s="15">
        <f t="shared" si="87"/>
        <v>774450</v>
      </c>
      <c r="AI59" s="15">
        <f t="shared" si="87"/>
        <v>735026</v>
      </c>
      <c r="AJ59" s="15">
        <f t="shared" si="87"/>
        <v>711234</v>
      </c>
      <c r="AK59" s="15">
        <f t="shared" si="87"/>
        <v>692938</v>
      </c>
      <c r="AL59" s="15">
        <f t="shared" si="87"/>
        <v>678146</v>
      </c>
      <c r="AM59" s="15">
        <f t="shared" si="87"/>
        <v>643830</v>
      </c>
      <c r="AN59" s="15">
        <f t="shared" si="87"/>
        <v>691741</v>
      </c>
      <c r="AO59" s="15">
        <f t="shared" ref="AO59" si="88">SUM(AO53:AO58)+AO50</f>
        <v>599669</v>
      </c>
      <c r="AQ59" s="15">
        <f t="shared" ref="AQ59:AX59" si="89">SUM(AQ53:AQ58)+AQ50</f>
        <v>468006</v>
      </c>
      <c r="AR59" s="15">
        <f t="shared" si="89"/>
        <v>1475519</v>
      </c>
      <c r="AS59" s="15">
        <f t="shared" si="89"/>
        <v>1466520</v>
      </c>
      <c r="AT59" s="15">
        <f t="shared" si="89"/>
        <v>1432374</v>
      </c>
      <c r="AU59" s="15">
        <f t="shared" si="89"/>
        <v>1379399</v>
      </c>
      <c r="AV59" s="15">
        <f t="shared" si="89"/>
        <v>1294510</v>
      </c>
      <c r="AW59" s="15">
        <f t="shared" si="89"/>
        <v>1218109</v>
      </c>
      <c r="AX59" s="15">
        <f t="shared" si="89"/>
        <v>1141287</v>
      </c>
      <c r="AY59" s="15">
        <f t="shared" ref="AY59:BI59" si="90">SUM(AY53:AY58)+AY50</f>
        <v>1062224</v>
      </c>
      <c r="AZ59" s="15">
        <f t="shared" si="90"/>
        <v>986577</v>
      </c>
      <c r="BA59" s="15">
        <f t="shared" si="90"/>
        <v>968585</v>
      </c>
      <c r="BB59" s="15">
        <f t="shared" si="90"/>
        <v>929208</v>
      </c>
      <c r="BC59" s="15">
        <f t="shared" si="90"/>
        <v>774450</v>
      </c>
      <c r="BD59" s="15">
        <f t="shared" si="90"/>
        <v>735026</v>
      </c>
      <c r="BE59" s="15">
        <f t="shared" si="90"/>
        <v>711234</v>
      </c>
      <c r="BF59" s="15">
        <f t="shared" si="90"/>
        <v>692938</v>
      </c>
      <c r="BG59" s="15">
        <f t="shared" si="90"/>
        <v>678146</v>
      </c>
      <c r="BH59" s="15">
        <f t="shared" si="90"/>
        <v>643830</v>
      </c>
      <c r="BI59" s="15">
        <f t="shared" si="90"/>
        <v>691741</v>
      </c>
      <c r="BJ59" s="36">
        <f>SUM(BJ53:BJ58)+BJ50</f>
        <v>599669</v>
      </c>
      <c r="BK59" s="45"/>
      <c r="BL59" s="84">
        <f>SUM(BI59/BE59)-1</f>
        <v>-2.740729492684546E-2</v>
      </c>
    </row>
    <row r="60" spans="2:64" ht="12.75" customHeight="1">
      <c r="B60" s="27"/>
      <c r="C60" s="55"/>
      <c r="D60" s="55"/>
      <c r="E60" s="55"/>
      <c r="F60" s="55"/>
      <c r="G60" s="55"/>
      <c r="H60" s="44"/>
      <c r="I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Q60" s="45"/>
      <c r="AR60" s="45"/>
      <c r="AS60" s="45"/>
      <c r="AT60" s="45"/>
      <c r="AU60" s="45"/>
      <c r="AV60" s="45"/>
      <c r="AW60" s="45"/>
      <c r="AX60" s="45"/>
      <c r="AY60" s="45"/>
      <c r="AZ60" s="45"/>
      <c r="BA60" s="45"/>
      <c r="BB60" s="45"/>
      <c r="BC60" s="45"/>
      <c r="BD60" s="45"/>
      <c r="BE60" s="45"/>
      <c r="BF60" s="45"/>
      <c r="BG60" s="45"/>
      <c r="BH60" s="45"/>
      <c r="BI60" s="45"/>
      <c r="BJ60" s="45"/>
      <c r="BK60" s="45"/>
      <c r="BL60" s="42"/>
    </row>
    <row r="61" spans="2:64" ht="12.75" customHeight="1">
      <c r="B61" s="87" t="s">
        <v>70</v>
      </c>
      <c r="C61" s="55"/>
      <c r="D61" s="55"/>
      <c r="E61" s="55"/>
      <c r="F61" s="55"/>
      <c r="G61" s="55"/>
      <c r="H61" s="44"/>
      <c r="I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Q61" s="45"/>
      <c r="AR61" s="45"/>
      <c r="AS61" s="45"/>
      <c r="AT61" s="45"/>
      <c r="AU61" s="45"/>
      <c r="AV61" s="45"/>
      <c r="AW61" s="45"/>
      <c r="AX61" s="45"/>
      <c r="AY61" s="45"/>
      <c r="AZ61" s="45"/>
      <c r="BA61" s="45"/>
      <c r="BB61" s="45"/>
      <c r="BC61" s="45"/>
      <c r="BD61" s="45"/>
      <c r="BE61" s="45"/>
      <c r="BF61" s="45"/>
      <c r="BG61" s="45"/>
      <c r="BH61" s="45"/>
      <c r="BI61" s="45"/>
      <c r="BJ61" s="45"/>
      <c r="BK61" s="45"/>
      <c r="BL61" s="42"/>
    </row>
    <row r="62" spans="2:64" ht="12.75" customHeight="1">
      <c r="B62" s="476" t="s">
        <v>68</v>
      </c>
      <c r="C62" s="477">
        <v>17247</v>
      </c>
      <c r="D62" s="477">
        <v>26923</v>
      </c>
      <c r="E62" s="477">
        <v>53071</v>
      </c>
      <c r="F62" s="477">
        <v>69040</v>
      </c>
      <c r="G62" s="477">
        <v>55300</v>
      </c>
      <c r="H62" s="477">
        <v>56032</v>
      </c>
      <c r="I62" s="477">
        <v>37571</v>
      </c>
      <c r="K62" s="478"/>
      <c r="L62" s="478"/>
      <c r="M62" s="478"/>
      <c r="N62" s="369">
        <f>C62</f>
        <v>17247</v>
      </c>
      <c r="O62" s="477">
        <v>11663</v>
      </c>
      <c r="P62" s="477">
        <v>27383</v>
      </c>
      <c r="Q62" s="477">
        <v>38348</v>
      </c>
      <c r="R62" s="369">
        <f>D62</f>
        <v>26923</v>
      </c>
      <c r="S62" s="477">
        <v>48219</v>
      </c>
      <c r="T62" s="477">
        <v>51567</v>
      </c>
      <c r="U62" s="477">
        <v>30531</v>
      </c>
      <c r="V62" s="369">
        <f>E62</f>
        <v>53071</v>
      </c>
      <c r="W62" s="477">
        <v>51456</v>
      </c>
      <c r="X62" s="477">
        <v>49951</v>
      </c>
      <c r="Y62" s="477">
        <v>45387</v>
      </c>
      <c r="Z62" s="369">
        <f>F62</f>
        <v>69040</v>
      </c>
      <c r="AA62" s="477">
        <v>67387</v>
      </c>
      <c r="AB62" s="477">
        <v>74430</v>
      </c>
      <c r="AC62" s="477">
        <v>68676</v>
      </c>
      <c r="AD62" s="369">
        <f>G62</f>
        <v>55300</v>
      </c>
      <c r="AE62" s="477">
        <v>41131</v>
      </c>
      <c r="AF62" s="477">
        <v>39508</v>
      </c>
      <c r="AG62" s="477">
        <v>61861</v>
      </c>
      <c r="AH62" s="369">
        <f>H62</f>
        <v>56032</v>
      </c>
      <c r="AI62" s="477">
        <v>55836</v>
      </c>
      <c r="AJ62" s="477">
        <v>59449</v>
      </c>
      <c r="AK62" s="477">
        <v>59633</v>
      </c>
      <c r="AL62" s="369">
        <f>I62</f>
        <v>37571</v>
      </c>
      <c r="AM62" s="477">
        <v>50512</v>
      </c>
      <c r="AN62" s="477">
        <v>68837</v>
      </c>
      <c r="AO62" s="477">
        <v>46091</v>
      </c>
      <c r="AQ62" s="369">
        <f>V62</f>
        <v>53071</v>
      </c>
      <c r="AR62" s="369">
        <f>W62</f>
        <v>51456</v>
      </c>
      <c r="AS62" s="369">
        <f>X62</f>
        <v>49951</v>
      </c>
      <c r="AT62" s="369">
        <f>Y62</f>
        <v>45387</v>
      </c>
      <c r="AU62" s="369">
        <f>Z62</f>
        <v>69040</v>
      </c>
      <c r="AV62" s="369">
        <f>AA62</f>
        <v>67387</v>
      </c>
      <c r="AW62" s="369">
        <f>AB62</f>
        <v>74430</v>
      </c>
      <c r="AX62" s="369">
        <f>AC62</f>
        <v>68676</v>
      </c>
      <c r="AY62" s="369">
        <f>AD62</f>
        <v>55300</v>
      </c>
      <c r="AZ62" s="369">
        <f>AE62</f>
        <v>41131</v>
      </c>
      <c r="BA62" s="369">
        <f>AF62</f>
        <v>39508</v>
      </c>
      <c r="BB62" s="369">
        <f>AG62</f>
        <v>61861</v>
      </c>
      <c r="BC62" s="369">
        <f>AH62</f>
        <v>56032</v>
      </c>
      <c r="BD62" s="369">
        <f>AI62</f>
        <v>55836</v>
      </c>
      <c r="BE62" s="369">
        <f>AJ62</f>
        <v>59449</v>
      </c>
      <c r="BF62" s="369">
        <f>AK62</f>
        <v>59633</v>
      </c>
      <c r="BG62" s="369">
        <f>AL62</f>
        <v>37571</v>
      </c>
      <c r="BH62" s="369">
        <f>AM62</f>
        <v>50512</v>
      </c>
      <c r="BI62" s="369">
        <f>AN62</f>
        <v>68837</v>
      </c>
      <c r="BJ62" s="369">
        <f>AO62</f>
        <v>46091</v>
      </c>
      <c r="BK62" s="12"/>
      <c r="BL62" s="479"/>
    </row>
    <row r="63" spans="2:64" ht="12.75" customHeight="1">
      <c r="B63" s="476" t="s">
        <v>522</v>
      </c>
      <c r="C63" s="477">
        <f>2391+2312+1918+1255</f>
        <v>7876</v>
      </c>
      <c r="D63" s="369">
        <f>3805+4129+1768-D65</f>
        <v>9630</v>
      </c>
      <c r="E63" s="369">
        <f>4830+57+2843-E65</f>
        <v>7659</v>
      </c>
      <c r="F63" s="369">
        <f>20226+128+155-F65</f>
        <v>20327</v>
      </c>
      <c r="G63" s="369">
        <f>16729-G65</f>
        <v>16505</v>
      </c>
      <c r="H63" s="369">
        <f>9855+4790-H65</f>
        <v>14449</v>
      </c>
      <c r="I63" s="369">
        <f>11925+582+7250-I65</f>
        <v>18906</v>
      </c>
      <c r="K63" s="478"/>
      <c r="L63" s="478"/>
      <c r="M63" s="478"/>
      <c r="N63" s="369">
        <f>C63</f>
        <v>7876</v>
      </c>
      <c r="O63" s="477">
        <f>3094+3387+2677+1085</f>
        <v>10243</v>
      </c>
      <c r="P63" s="477">
        <f>3622+2157+1208</f>
        <v>6987</v>
      </c>
      <c r="Q63" s="477">
        <f>4113+3181+1433</f>
        <v>8727</v>
      </c>
      <c r="R63" s="369">
        <f>D63</f>
        <v>9630</v>
      </c>
      <c r="S63" s="477">
        <f>5297+723+1949</f>
        <v>7969</v>
      </c>
      <c r="T63" s="477">
        <f>8829+1416+2024</f>
        <v>12269</v>
      </c>
      <c r="U63" s="477">
        <f>10241+43+2289</f>
        <v>12573</v>
      </c>
      <c r="V63" s="369">
        <f>E63</f>
        <v>7659</v>
      </c>
      <c r="W63" s="477">
        <f>11903+2565+3899</f>
        <v>18367</v>
      </c>
      <c r="X63" s="477">
        <f>14369+2696+648</f>
        <v>17713</v>
      </c>
      <c r="Y63" s="477">
        <f>19091+1400+4269</f>
        <v>24760</v>
      </c>
      <c r="Z63" s="369">
        <f>F63</f>
        <v>20327</v>
      </c>
      <c r="AA63" s="477">
        <f>22807+2754+3406</f>
        <v>28967</v>
      </c>
      <c r="AB63" s="477">
        <f>22975+4333+2984</f>
        <v>30292</v>
      </c>
      <c r="AC63" s="477">
        <f>14693+148+2348</f>
        <v>17189</v>
      </c>
      <c r="AD63" s="369">
        <f>G63</f>
        <v>16505</v>
      </c>
      <c r="AE63" s="369">
        <f>15826-AE65</f>
        <v>15580</v>
      </c>
      <c r="AF63" s="369">
        <f>12009-AF65</f>
        <v>11791</v>
      </c>
      <c r="AG63" s="369">
        <f>13914-AG65</f>
        <v>13705</v>
      </c>
      <c r="AH63" s="369">
        <f>H63</f>
        <v>14449</v>
      </c>
      <c r="AI63" s="369">
        <f>10665+822+7500-AI65</f>
        <v>18224</v>
      </c>
      <c r="AJ63" s="369">
        <f>12051+393+7500-AJ65</f>
        <v>18939</v>
      </c>
      <c r="AK63" s="369">
        <f>15260+345+7250-AK65</f>
        <v>21715</v>
      </c>
      <c r="AL63" s="369">
        <f>I63</f>
        <v>18906</v>
      </c>
      <c r="AM63" s="369">
        <f>14199+7250-AM65</f>
        <v>20620</v>
      </c>
      <c r="AN63" s="477">
        <f>15618</f>
        <v>15618</v>
      </c>
      <c r="AO63" s="477">
        <v>11244</v>
      </c>
      <c r="AQ63" s="369">
        <f>V63</f>
        <v>7659</v>
      </c>
      <c r="AR63" s="369">
        <f>W63</f>
        <v>18367</v>
      </c>
      <c r="AS63" s="369">
        <f>X63</f>
        <v>17713</v>
      </c>
      <c r="AT63" s="369">
        <f>Y63</f>
        <v>24760</v>
      </c>
      <c r="AU63" s="369">
        <f>Z63</f>
        <v>20327</v>
      </c>
      <c r="AV63" s="369">
        <f>AA63</f>
        <v>28967</v>
      </c>
      <c r="AW63" s="369">
        <f>AB63</f>
        <v>30292</v>
      </c>
      <c r="AX63" s="369">
        <f>AC63</f>
        <v>17189</v>
      </c>
      <c r="AY63" s="369">
        <f>AD63</f>
        <v>16505</v>
      </c>
      <c r="AZ63" s="369">
        <f>AE63</f>
        <v>15580</v>
      </c>
      <c r="BA63" s="369">
        <f>AF63</f>
        <v>11791</v>
      </c>
      <c r="BB63" s="369">
        <f>AG63</f>
        <v>13705</v>
      </c>
      <c r="BC63" s="369">
        <f>AH63</f>
        <v>14449</v>
      </c>
      <c r="BD63" s="369">
        <f>AI63</f>
        <v>18224</v>
      </c>
      <c r="BE63" s="369">
        <f>AJ63</f>
        <v>18939</v>
      </c>
      <c r="BF63" s="369">
        <f>AK63</f>
        <v>21715</v>
      </c>
      <c r="BG63" s="369">
        <f>AL63</f>
        <v>18906</v>
      </c>
      <c r="BH63" s="369">
        <f>AM63</f>
        <v>20620</v>
      </c>
      <c r="BI63" s="369">
        <f>AN63</f>
        <v>15618</v>
      </c>
      <c r="BJ63" s="369">
        <f>AO63</f>
        <v>11244</v>
      </c>
      <c r="BK63" s="12"/>
      <c r="BL63" s="479"/>
    </row>
    <row r="64" spans="2:64" ht="12.75" customHeight="1">
      <c r="B64" s="476" t="s">
        <v>482</v>
      </c>
      <c r="C64" s="477">
        <v>0</v>
      </c>
      <c r="D64" s="477">
        <v>0</v>
      </c>
      <c r="E64" s="477">
        <v>3095</v>
      </c>
      <c r="F64" s="477">
        <v>4458</v>
      </c>
      <c r="G64" s="477">
        <v>3812</v>
      </c>
      <c r="H64" s="477">
        <v>3677</v>
      </c>
      <c r="I64" s="477">
        <v>4125</v>
      </c>
      <c r="K64" s="478"/>
      <c r="L64" s="478"/>
      <c r="M64" s="478"/>
      <c r="N64" s="369">
        <f>C64</f>
        <v>0</v>
      </c>
      <c r="O64" s="477">
        <v>0</v>
      </c>
      <c r="P64" s="477">
        <v>0</v>
      </c>
      <c r="Q64" s="477">
        <v>0</v>
      </c>
      <c r="R64" s="369">
        <f>D64</f>
        <v>0</v>
      </c>
      <c r="S64" s="477">
        <v>1628</v>
      </c>
      <c r="T64" s="477">
        <v>2367</v>
      </c>
      <c r="U64" s="477">
        <v>2481</v>
      </c>
      <c r="V64" s="369">
        <f>E64</f>
        <v>3095</v>
      </c>
      <c r="W64" s="477">
        <v>3101</v>
      </c>
      <c r="X64" s="477">
        <v>3651</v>
      </c>
      <c r="Y64" s="477">
        <v>3962</v>
      </c>
      <c r="Z64" s="369">
        <f>F64</f>
        <v>4458</v>
      </c>
      <c r="AA64" s="477">
        <v>4454</v>
      </c>
      <c r="AB64" s="477">
        <v>4595</v>
      </c>
      <c r="AC64" s="477">
        <v>4585</v>
      </c>
      <c r="AD64" s="369">
        <f>G64</f>
        <v>3812</v>
      </c>
      <c r="AE64" s="477">
        <v>2960</v>
      </c>
      <c r="AF64" s="477">
        <v>3127</v>
      </c>
      <c r="AG64" s="477">
        <v>3083</v>
      </c>
      <c r="AH64" s="369">
        <f>H64</f>
        <v>3677</v>
      </c>
      <c r="AI64" s="477">
        <v>3976</v>
      </c>
      <c r="AJ64" s="477">
        <v>4125</v>
      </c>
      <c r="AK64" s="477">
        <v>4103</v>
      </c>
      <c r="AL64" s="369">
        <f>I64</f>
        <v>4125</v>
      </c>
      <c r="AM64" s="477">
        <v>3941</v>
      </c>
      <c r="AN64" s="477">
        <v>1798</v>
      </c>
      <c r="AO64" s="477">
        <v>1753</v>
      </c>
      <c r="AQ64" s="369">
        <f>V64</f>
        <v>3095</v>
      </c>
      <c r="AR64" s="369">
        <f>W64</f>
        <v>3101</v>
      </c>
      <c r="AS64" s="369">
        <f>X64</f>
        <v>3651</v>
      </c>
      <c r="AT64" s="369">
        <f>Y64</f>
        <v>3962</v>
      </c>
      <c r="AU64" s="369">
        <f>Z64</f>
        <v>4458</v>
      </c>
      <c r="AV64" s="369">
        <f>AA64</f>
        <v>4454</v>
      </c>
      <c r="AW64" s="369">
        <f>AB64</f>
        <v>4595</v>
      </c>
      <c r="AX64" s="369">
        <f>AC64</f>
        <v>4585</v>
      </c>
      <c r="AY64" s="369">
        <f>AD64</f>
        <v>3812</v>
      </c>
      <c r="AZ64" s="369">
        <f>AE64</f>
        <v>2960</v>
      </c>
      <c r="BA64" s="369">
        <f>AF64</f>
        <v>3127</v>
      </c>
      <c r="BB64" s="369">
        <f>AG64</f>
        <v>3083</v>
      </c>
      <c r="BC64" s="369">
        <f>AH64</f>
        <v>3677</v>
      </c>
      <c r="BD64" s="369">
        <f>AI64</f>
        <v>3976</v>
      </c>
      <c r="BE64" s="369">
        <f>AJ64</f>
        <v>4125</v>
      </c>
      <c r="BF64" s="369">
        <f>AK64</f>
        <v>4103</v>
      </c>
      <c r="BG64" s="369">
        <f>AL64</f>
        <v>4125</v>
      </c>
      <c r="BH64" s="369">
        <f>AM64</f>
        <v>3941</v>
      </c>
      <c r="BI64" s="369">
        <f>AN64</f>
        <v>1798</v>
      </c>
      <c r="BJ64" s="369">
        <f>AO64</f>
        <v>1753</v>
      </c>
      <c r="BK64" s="12"/>
      <c r="BL64" s="479"/>
    </row>
    <row r="65" spans="2:64" ht="12.75" customHeight="1">
      <c r="B65" s="476" t="s">
        <v>541</v>
      </c>
      <c r="C65" s="477">
        <v>44</v>
      </c>
      <c r="D65" s="477">
        <v>72</v>
      </c>
      <c r="E65" s="477">
        <v>71</v>
      </c>
      <c r="F65" s="477">
        <v>182</v>
      </c>
      <c r="G65" s="477">
        <v>224</v>
      </c>
      <c r="H65" s="477">
        <v>196</v>
      </c>
      <c r="I65" s="477">
        <v>851</v>
      </c>
      <c r="K65" s="478"/>
      <c r="L65" s="478"/>
      <c r="M65" s="478"/>
      <c r="N65" s="369">
        <f>C65</f>
        <v>44</v>
      </c>
      <c r="O65" s="477">
        <v>36</v>
      </c>
      <c r="P65" s="477">
        <v>33</v>
      </c>
      <c r="Q65" s="477">
        <v>30</v>
      </c>
      <c r="R65" s="369">
        <f>D65</f>
        <v>72</v>
      </c>
      <c r="S65" s="477">
        <v>73</v>
      </c>
      <c r="T65" s="477">
        <v>72</v>
      </c>
      <c r="U65" s="477">
        <v>72</v>
      </c>
      <c r="V65" s="369">
        <f>E65</f>
        <v>71</v>
      </c>
      <c r="W65" s="477">
        <v>185</v>
      </c>
      <c r="X65" s="477">
        <v>184</v>
      </c>
      <c r="Y65" s="477">
        <v>183</v>
      </c>
      <c r="Z65" s="369">
        <f>F65</f>
        <v>182</v>
      </c>
      <c r="AA65" s="477">
        <v>183</v>
      </c>
      <c r="AB65" s="477">
        <v>210</v>
      </c>
      <c r="AC65" s="477">
        <v>226</v>
      </c>
      <c r="AD65" s="369">
        <f>G65</f>
        <v>224</v>
      </c>
      <c r="AE65" s="477">
        <v>246</v>
      </c>
      <c r="AF65" s="477">
        <v>218</v>
      </c>
      <c r="AG65" s="477">
        <v>209</v>
      </c>
      <c r="AH65" s="369">
        <f>H65</f>
        <v>196</v>
      </c>
      <c r="AI65" s="477">
        <v>763</v>
      </c>
      <c r="AJ65" s="477">
        <v>1005</v>
      </c>
      <c r="AK65" s="477">
        <v>1140</v>
      </c>
      <c r="AL65" s="369">
        <f>I65</f>
        <v>851</v>
      </c>
      <c r="AM65" s="477">
        <v>829</v>
      </c>
      <c r="AN65" s="477">
        <v>3934</v>
      </c>
      <c r="AO65" s="477">
        <v>4554</v>
      </c>
      <c r="AQ65" s="369">
        <f>V65</f>
        <v>71</v>
      </c>
      <c r="AR65" s="369">
        <f>W65</f>
        <v>185</v>
      </c>
      <c r="AS65" s="369">
        <f>X65</f>
        <v>184</v>
      </c>
      <c r="AT65" s="369">
        <f>Y65</f>
        <v>183</v>
      </c>
      <c r="AU65" s="369">
        <f>Z65</f>
        <v>182</v>
      </c>
      <c r="AV65" s="369">
        <f>AA65</f>
        <v>183</v>
      </c>
      <c r="AW65" s="369">
        <f>AB65</f>
        <v>210</v>
      </c>
      <c r="AX65" s="369">
        <f>AC65</f>
        <v>226</v>
      </c>
      <c r="AY65" s="369">
        <f>AD65</f>
        <v>224</v>
      </c>
      <c r="AZ65" s="369">
        <f>AE65</f>
        <v>246</v>
      </c>
      <c r="BA65" s="369">
        <f>AF65</f>
        <v>218</v>
      </c>
      <c r="BB65" s="369">
        <f>AG65</f>
        <v>209</v>
      </c>
      <c r="BC65" s="369">
        <f>AH65</f>
        <v>196</v>
      </c>
      <c r="BD65" s="369">
        <f>AI65</f>
        <v>763</v>
      </c>
      <c r="BE65" s="369">
        <f>AJ65</f>
        <v>1005</v>
      </c>
      <c r="BF65" s="369">
        <f>AK65</f>
        <v>1140</v>
      </c>
      <c r="BG65" s="369">
        <f>AL65</f>
        <v>851</v>
      </c>
      <c r="BH65" s="369">
        <f>AM65</f>
        <v>829</v>
      </c>
      <c r="BI65" s="369">
        <f>AN65</f>
        <v>3934</v>
      </c>
      <c r="BJ65" s="369">
        <f>AO65</f>
        <v>4554</v>
      </c>
      <c r="BK65" s="12"/>
      <c r="BL65" s="479"/>
    </row>
    <row r="66" spans="2:64" ht="12.75" customHeight="1">
      <c r="B66" s="476" t="s">
        <v>523</v>
      </c>
      <c r="C66" s="477">
        <v>0</v>
      </c>
      <c r="D66" s="477">
        <f>11000+72</f>
        <v>11072</v>
      </c>
      <c r="E66" s="477">
        <f>25000+71</f>
        <v>25071</v>
      </c>
      <c r="F66" s="477">
        <v>182</v>
      </c>
      <c r="G66" s="477">
        <v>0</v>
      </c>
      <c r="H66" s="477">
        <v>0</v>
      </c>
      <c r="I66" s="477">
        <v>0</v>
      </c>
      <c r="K66" s="478"/>
      <c r="L66" s="478"/>
      <c r="M66" s="478"/>
      <c r="N66" s="369">
        <f>C66</f>
        <v>0</v>
      </c>
      <c r="O66" s="477">
        <v>0</v>
      </c>
      <c r="P66" s="477">
        <f>6000</f>
        <v>6000</v>
      </c>
      <c r="Q66" s="477">
        <f>9087</f>
        <v>9087</v>
      </c>
      <c r="R66" s="369">
        <f>D66</f>
        <v>11072</v>
      </c>
      <c r="S66" s="477">
        <f>14094</f>
        <v>14094</v>
      </c>
      <c r="T66" s="477">
        <v>0</v>
      </c>
      <c r="U66" s="477">
        <v>0</v>
      </c>
      <c r="V66" s="369">
        <f>E66</f>
        <v>25071</v>
      </c>
      <c r="W66" s="477">
        <v>0</v>
      </c>
      <c r="X66" s="477">
        <v>0</v>
      </c>
      <c r="Y66" s="477">
        <v>0</v>
      </c>
      <c r="Z66" s="369">
        <f>F66</f>
        <v>182</v>
      </c>
      <c r="AA66" s="477">
        <v>0</v>
      </c>
      <c r="AB66" s="477">
        <v>0</v>
      </c>
      <c r="AC66" s="477">
        <v>0</v>
      </c>
      <c r="AD66" s="369">
        <f>G66</f>
        <v>0</v>
      </c>
      <c r="AE66" s="477">
        <v>0</v>
      </c>
      <c r="AF66" s="477">
        <v>0</v>
      </c>
      <c r="AG66" s="477">
        <v>0</v>
      </c>
      <c r="AH66" s="369">
        <f>H66</f>
        <v>0</v>
      </c>
      <c r="AI66" s="477">
        <v>0</v>
      </c>
      <c r="AJ66" s="477">
        <v>0</v>
      </c>
      <c r="AK66" s="477">
        <v>0</v>
      </c>
      <c r="AL66" s="369">
        <f>I66</f>
        <v>0</v>
      </c>
      <c r="AM66" s="477">
        <v>0</v>
      </c>
      <c r="AN66" s="477">
        <v>0</v>
      </c>
      <c r="AO66" s="477">
        <v>0</v>
      </c>
      <c r="AQ66" s="369">
        <f>V66</f>
        <v>25071</v>
      </c>
      <c r="AR66" s="369">
        <f>W66</f>
        <v>0</v>
      </c>
      <c r="AS66" s="369">
        <f>X66</f>
        <v>0</v>
      </c>
      <c r="AT66" s="369">
        <f>Y66</f>
        <v>0</v>
      </c>
      <c r="AU66" s="369">
        <f>Z66</f>
        <v>182</v>
      </c>
      <c r="AV66" s="369">
        <f>AA66</f>
        <v>0</v>
      </c>
      <c r="AW66" s="369">
        <f>AB66</f>
        <v>0</v>
      </c>
      <c r="AX66" s="369">
        <f>AC66</f>
        <v>0</v>
      </c>
      <c r="AY66" s="369">
        <f>AD66</f>
        <v>0</v>
      </c>
      <c r="AZ66" s="369">
        <f>AE66</f>
        <v>0</v>
      </c>
      <c r="BA66" s="369">
        <f>AF66</f>
        <v>0</v>
      </c>
      <c r="BB66" s="369">
        <f>AG66</f>
        <v>0</v>
      </c>
      <c r="BC66" s="369">
        <f>AH66</f>
        <v>0</v>
      </c>
      <c r="BD66" s="369">
        <f>AI66</f>
        <v>0</v>
      </c>
      <c r="BE66" s="369">
        <f>AJ66</f>
        <v>0</v>
      </c>
      <c r="BF66" s="369">
        <f>AK66</f>
        <v>0</v>
      </c>
      <c r="BG66" s="369">
        <f>AL66</f>
        <v>0</v>
      </c>
      <c r="BH66" s="369">
        <f>AM66</f>
        <v>0</v>
      </c>
      <c r="BI66" s="369">
        <f>AN66</f>
        <v>0</v>
      </c>
      <c r="BJ66" s="369">
        <f>AO66</f>
        <v>0</v>
      </c>
      <c r="BK66" s="12"/>
      <c r="BL66" s="479"/>
    </row>
    <row r="67" spans="2:64" ht="12.75" customHeight="1">
      <c r="B67" s="27" t="s">
        <v>26</v>
      </c>
      <c r="C67" s="28">
        <f t="shared" ref="C67:I67" si="91">SUM(C62:C66)</f>
        <v>25167</v>
      </c>
      <c r="D67" s="28">
        <f t="shared" si="91"/>
        <v>47697</v>
      </c>
      <c r="E67" s="28">
        <f t="shared" si="91"/>
        <v>88967</v>
      </c>
      <c r="F67" s="28">
        <f t="shared" si="91"/>
        <v>94189</v>
      </c>
      <c r="G67" s="28">
        <f t="shared" si="91"/>
        <v>75841</v>
      </c>
      <c r="H67" s="28">
        <f t="shared" si="91"/>
        <v>74354</v>
      </c>
      <c r="I67" s="467">
        <f t="shared" si="91"/>
        <v>61453</v>
      </c>
      <c r="K67" s="28">
        <f t="shared" ref="K67:AN67" si="92">SUM(K62:K66)</f>
        <v>0</v>
      </c>
      <c r="L67" s="28">
        <f t="shared" si="92"/>
        <v>0</v>
      </c>
      <c r="M67" s="28">
        <f t="shared" si="92"/>
        <v>0</v>
      </c>
      <c r="N67" s="28">
        <f t="shared" si="92"/>
        <v>25167</v>
      </c>
      <c r="O67" s="28">
        <f t="shared" si="92"/>
        <v>21942</v>
      </c>
      <c r="P67" s="28">
        <f t="shared" si="92"/>
        <v>40403</v>
      </c>
      <c r="Q67" s="28">
        <f t="shared" si="92"/>
        <v>56192</v>
      </c>
      <c r="R67" s="28">
        <f t="shared" si="92"/>
        <v>47697</v>
      </c>
      <c r="S67" s="28">
        <f t="shared" si="92"/>
        <v>71983</v>
      </c>
      <c r="T67" s="28">
        <f t="shared" si="92"/>
        <v>66275</v>
      </c>
      <c r="U67" s="28">
        <f t="shared" si="92"/>
        <v>45657</v>
      </c>
      <c r="V67" s="28">
        <f t="shared" si="92"/>
        <v>88967</v>
      </c>
      <c r="W67" s="28">
        <f t="shared" si="92"/>
        <v>73109</v>
      </c>
      <c r="X67" s="28">
        <f t="shared" si="92"/>
        <v>71499</v>
      </c>
      <c r="Y67" s="28">
        <f t="shared" si="92"/>
        <v>74292</v>
      </c>
      <c r="Z67" s="28">
        <f t="shared" si="92"/>
        <v>94189</v>
      </c>
      <c r="AA67" s="28">
        <f t="shared" si="92"/>
        <v>100991</v>
      </c>
      <c r="AB67" s="28">
        <f t="shared" si="92"/>
        <v>109527</v>
      </c>
      <c r="AC67" s="28">
        <f t="shared" si="92"/>
        <v>90676</v>
      </c>
      <c r="AD67" s="28">
        <f t="shared" si="92"/>
        <v>75841</v>
      </c>
      <c r="AE67" s="28">
        <f t="shared" si="92"/>
        <v>59917</v>
      </c>
      <c r="AF67" s="28">
        <f t="shared" si="92"/>
        <v>54644</v>
      </c>
      <c r="AG67" s="28">
        <f t="shared" si="92"/>
        <v>78858</v>
      </c>
      <c r="AH67" s="28">
        <f t="shared" si="92"/>
        <v>74354</v>
      </c>
      <c r="AI67" s="28">
        <f t="shared" si="92"/>
        <v>78799</v>
      </c>
      <c r="AJ67" s="28">
        <f t="shared" si="92"/>
        <v>83518</v>
      </c>
      <c r="AK67" s="28">
        <f t="shared" si="92"/>
        <v>86591</v>
      </c>
      <c r="AL67" s="28">
        <f t="shared" si="92"/>
        <v>61453</v>
      </c>
      <c r="AM67" s="28">
        <f t="shared" si="92"/>
        <v>75902</v>
      </c>
      <c r="AN67" s="28">
        <f t="shared" si="92"/>
        <v>90187</v>
      </c>
      <c r="AO67" s="28">
        <f t="shared" ref="AO67" si="93">SUM(AO62:AO66)</f>
        <v>63642</v>
      </c>
      <c r="AP67" s="53"/>
      <c r="AQ67" s="28">
        <f t="shared" ref="AQ67:AX67" si="94">SUM(AQ62:AQ66)</f>
        <v>88967</v>
      </c>
      <c r="AR67" s="28">
        <f t="shared" si="94"/>
        <v>73109</v>
      </c>
      <c r="AS67" s="28">
        <f t="shared" si="94"/>
        <v>71499</v>
      </c>
      <c r="AT67" s="28">
        <f t="shared" si="94"/>
        <v>74292</v>
      </c>
      <c r="AU67" s="28">
        <f t="shared" si="94"/>
        <v>94189</v>
      </c>
      <c r="AV67" s="28">
        <f t="shared" si="94"/>
        <v>100991</v>
      </c>
      <c r="AW67" s="28">
        <f t="shared" si="94"/>
        <v>109527</v>
      </c>
      <c r="AX67" s="28">
        <f t="shared" si="94"/>
        <v>90676</v>
      </c>
      <c r="AY67" s="28">
        <f t="shared" ref="AY67:BI67" si="95">SUM(AY62:AY66)</f>
        <v>75841</v>
      </c>
      <c r="AZ67" s="28">
        <f t="shared" si="95"/>
        <v>59917</v>
      </c>
      <c r="BA67" s="28">
        <f t="shared" si="95"/>
        <v>54644</v>
      </c>
      <c r="BB67" s="28">
        <f t="shared" si="95"/>
        <v>78858</v>
      </c>
      <c r="BC67" s="28">
        <f t="shared" si="95"/>
        <v>74354</v>
      </c>
      <c r="BD67" s="28">
        <f t="shared" si="95"/>
        <v>78799</v>
      </c>
      <c r="BE67" s="28">
        <f t="shared" si="95"/>
        <v>83518</v>
      </c>
      <c r="BF67" s="28">
        <f t="shared" si="95"/>
        <v>86591</v>
      </c>
      <c r="BG67" s="28">
        <f t="shared" si="95"/>
        <v>61453</v>
      </c>
      <c r="BH67" s="28">
        <f t="shared" si="95"/>
        <v>75902</v>
      </c>
      <c r="BI67" s="28">
        <f t="shared" si="95"/>
        <v>90187</v>
      </c>
      <c r="BJ67" s="28">
        <f t="shared" ref="BJ67" si="96">SUM(BJ62:BJ66)</f>
        <v>63642</v>
      </c>
      <c r="BK67" s="45"/>
      <c r="BL67" s="84">
        <f>SUM(BI67/BE67)-1</f>
        <v>7.9851050073038055E-2</v>
      </c>
    </row>
    <row r="68" spans="2:64" ht="5.0999999999999996" customHeight="1">
      <c r="B68" s="27"/>
      <c r="C68" s="55"/>
      <c r="D68" s="55"/>
      <c r="E68" s="55"/>
      <c r="F68" s="55"/>
      <c r="G68" s="55"/>
      <c r="H68" s="44"/>
      <c r="I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Q68" s="45"/>
      <c r="AR68" s="45"/>
      <c r="AS68" s="45"/>
      <c r="AT68" s="45"/>
      <c r="AU68" s="45"/>
      <c r="AV68" s="45"/>
      <c r="AW68" s="45"/>
      <c r="AX68" s="45"/>
      <c r="AY68" s="45"/>
      <c r="AZ68" s="45"/>
      <c r="BA68" s="45"/>
      <c r="BB68" s="45"/>
      <c r="BC68" s="45"/>
      <c r="BD68" s="45"/>
      <c r="BE68" s="45"/>
      <c r="BF68" s="45"/>
      <c r="BG68" s="45"/>
      <c r="BH68" s="45"/>
      <c r="BI68" s="45"/>
      <c r="BJ68" s="45"/>
      <c r="BK68" s="45"/>
      <c r="BL68" s="42"/>
    </row>
    <row r="69" spans="2:64">
      <c r="B69" s="87" t="s">
        <v>491</v>
      </c>
      <c r="C69" s="55"/>
      <c r="D69" s="55"/>
      <c r="E69" s="55"/>
      <c r="F69" s="55"/>
      <c r="G69" s="55"/>
      <c r="H69" s="44"/>
      <c r="I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Q69" s="45"/>
      <c r="AR69" s="45"/>
      <c r="AS69" s="45"/>
      <c r="AT69" s="45"/>
      <c r="AU69" s="45"/>
      <c r="AV69" s="45"/>
      <c r="AW69" s="45"/>
      <c r="AX69" s="45"/>
      <c r="AY69" s="45"/>
      <c r="AZ69" s="45"/>
      <c r="BA69" s="45"/>
      <c r="BB69" s="45"/>
      <c r="BC69" s="45"/>
      <c r="BD69" s="45"/>
      <c r="BE69" s="45"/>
      <c r="BF69" s="45"/>
      <c r="BG69" s="45"/>
      <c r="BH69" s="45"/>
      <c r="BI69" s="45"/>
      <c r="BJ69" s="45"/>
      <c r="BK69" s="45"/>
      <c r="BL69" s="42"/>
    </row>
    <row r="70" spans="2:64" ht="12.75" customHeight="1">
      <c r="B70" s="476" t="s">
        <v>489</v>
      </c>
      <c r="C70" s="477">
        <v>0</v>
      </c>
      <c r="D70" s="477">
        <v>0</v>
      </c>
      <c r="E70" s="477">
        <v>0</v>
      </c>
      <c r="F70" s="477">
        <v>1129674</v>
      </c>
      <c r="G70" s="477">
        <v>1133608</v>
      </c>
      <c r="H70" s="477">
        <v>1137542</v>
      </c>
      <c r="I70" s="477">
        <v>1141476</v>
      </c>
      <c r="J70" s="56"/>
      <c r="K70" s="478"/>
      <c r="L70" s="478"/>
      <c r="M70" s="478"/>
      <c r="N70" s="369">
        <f>C70</f>
        <v>0</v>
      </c>
      <c r="O70" s="477">
        <v>0</v>
      </c>
      <c r="P70" s="477">
        <v>0</v>
      </c>
      <c r="Q70" s="477">
        <v>0</v>
      </c>
      <c r="R70" s="369">
        <f>D70</f>
        <v>0</v>
      </c>
      <c r="S70" s="477">
        <v>0</v>
      </c>
      <c r="T70" s="477">
        <v>0</v>
      </c>
      <c r="U70" s="477">
        <v>0</v>
      </c>
      <c r="V70" s="369">
        <f>E70</f>
        <v>0</v>
      </c>
      <c r="W70" s="477">
        <v>1126723</v>
      </c>
      <c r="X70" s="477">
        <v>1127707</v>
      </c>
      <c r="Y70" s="477">
        <v>1128690</v>
      </c>
      <c r="Z70" s="369">
        <f>F70</f>
        <v>1129674</v>
      </c>
      <c r="AA70" s="477">
        <v>1130657</v>
      </c>
      <c r="AB70" s="477">
        <v>1131641</v>
      </c>
      <c r="AC70" s="477">
        <v>1132624</v>
      </c>
      <c r="AD70" s="369">
        <f>G70</f>
        <v>1133608</v>
      </c>
      <c r="AE70" s="477">
        <v>1134591</v>
      </c>
      <c r="AF70" s="477">
        <v>1135575</v>
      </c>
      <c r="AG70" s="477">
        <v>1136558</v>
      </c>
      <c r="AH70" s="369">
        <f>H70</f>
        <v>1137542</v>
      </c>
      <c r="AI70" s="477">
        <v>1138525</v>
      </c>
      <c r="AJ70" s="477">
        <v>1139509</v>
      </c>
      <c r="AK70" s="477">
        <v>1140492</v>
      </c>
      <c r="AL70" s="369">
        <f>I70</f>
        <v>1141476</v>
      </c>
      <c r="AM70" s="477">
        <v>1142459</v>
      </c>
      <c r="AN70" s="477">
        <v>1143443</v>
      </c>
      <c r="AO70" s="477">
        <v>1144427</v>
      </c>
      <c r="AQ70" s="369">
        <f>V70</f>
        <v>0</v>
      </c>
      <c r="AR70" s="369">
        <f>W70</f>
        <v>1126723</v>
      </c>
      <c r="AS70" s="369">
        <f>X70</f>
        <v>1127707</v>
      </c>
      <c r="AT70" s="369">
        <f>Y70</f>
        <v>1128690</v>
      </c>
      <c r="AU70" s="369">
        <f>Z70</f>
        <v>1129674</v>
      </c>
      <c r="AV70" s="369">
        <f>AA70</f>
        <v>1130657</v>
      </c>
      <c r="AW70" s="369">
        <f>AB70</f>
        <v>1131641</v>
      </c>
      <c r="AX70" s="369">
        <f>AC70</f>
        <v>1132624</v>
      </c>
      <c r="AY70" s="369">
        <f>AD70</f>
        <v>1133608</v>
      </c>
      <c r="AZ70" s="369">
        <f>AE70</f>
        <v>1134591</v>
      </c>
      <c r="BA70" s="369">
        <f>AF70</f>
        <v>1135575</v>
      </c>
      <c r="BB70" s="369">
        <f>AG70</f>
        <v>1136558</v>
      </c>
      <c r="BC70" s="369">
        <f>AH70</f>
        <v>1137542</v>
      </c>
      <c r="BD70" s="369">
        <f>AI70</f>
        <v>1138525</v>
      </c>
      <c r="BE70" s="369">
        <f>AJ70</f>
        <v>1139509</v>
      </c>
      <c r="BF70" s="369">
        <f>AK70</f>
        <v>1140492</v>
      </c>
      <c r="BG70" s="369">
        <f>AL70</f>
        <v>1141476</v>
      </c>
      <c r="BH70" s="369">
        <f>AM70</f>
        <v>1142459</v>
      </c>
      <c r="BI70" s="369">
        <f>AN70</f>
        <v>1143443</v>
      </c>
      <c r="BJ70" s="369">
        <f>AO70</f>
        <v>1144427</v>
      </c>
      <c r="BK70" s="45"/>
      <c r="BL70" s="479"/>
    </row>
    <row r="71" spans="2:64" ht="12.75" customHeight="1">
      <c r="B71" s="476" t="s">
        <v>521</v>
      </c>
      <c r="C71" s="477">
        <f>6000+19388+5000</f>
        <v>30388</v>
      </c>
      <c r="D71" s="477">
        <f>4932+14637</f>
        <v>19569</v>
      </c>
      <c r="E71" s="477">
        <v>0</v>
      </c>
      <c r="F71" s="477">
        <v>0</v>
      </c>
      <c r="G71" s="477">
        <v>0</v>
      </c>
      <c r="H71" s="477">
        <v>0</v>
      </c>
      <c r="I71" s="477">
        <v>0</v>
      </c>
      <c r="J71" s="56"/>
      <c r="K71" s="478"/>
      <c r="L71" s="478"/>
      <c r="M71" s="478"/>
      <c r="N71" s="369">
        <f>C71</f>
        <v>30388</v>
      </c>
      <c r="O71" s="477">
        <f>4914+19533+6000</f>
        <v>30447</v>
      </c>
      <c r="P71" s="477">
        <f>4924+19543</f>
        <v>24467</v>
      </c>
      <c r="Q71" s="477">
        <f>4922+16503</f>
        <v>21425</v>
      </c>
      <c r="R71" s="369">
        <f>D71</f>
        <v>19569</v>
      </c>
      <c r="S71" s="477">
        <f>12185+4347</f>
        <v>16532</v>
      </c>
      <c r="T71" s="477">
        <v>50000</v>
      </c>
      <c r="U71" s="477">
        <v>50000</v>
      </c>
      <c r="V71" s="369">
        <f>E71</f>
        <v>0</v>
      </c>
      <c r="W71" s="477">
        <v>0</v>
      </c>
      <c r="X71" s="477">
        <v>0</v>
      </c>
      <c r="Y71" s="477">
        <v>0</v>
      </c>
      <c r="Z71" s="369">
        <f>F71</f>
        <v>0</v>
      </c>
      <c r="AA71" s="477">
        <v>0</v>
      </c>
      <c r="AB71" s="477">
        <v>0</v>
      </c>
      <c r="AC71" s="477">
        <v>0</v>
      </c>
      <c r="AD71" s="369">
        <f>G71</f>
        <v>0</v>
      </c>
      <c r="AE71" s="477">
        <v>0</v>
      </c>
      <c r="AF71" s="477">
        <v>0</v>
      </c>
      <c r="AG71" s="477">
        <v>0</v>
      </c>
      <c r="AH71" s="369">
        <f>H71</f>
        <v>0</v>
      </c>
      <c r="AI71" s="477">
        <v>0</v>
      </c>
      <c r="AJ71" s="477">
        <v>0</v>
      </c>
      <c r="AK71" s="477">
        <v>0</v>
      </c>
      <c r="AL71" s="369">
        <f>I71</f>
        <v>0</v>
      </c>
      <c r="AM71" s="477">
        <v>0</v>
      </c>
      <c r="AN71" s="477">
        <v>0</v>
      </c>
      <c r="AO71" s="477">
        <v>0</v>
      </c>
      <c r="AP71" s="477"/>
      <c r="AQ71" s="369">
        <f>V71</f>
        <v>0</v>
      </c>
      <c r="AR71" s="369">
        <f>W71</f>
        <v>0</v>
      </c>
      <c r="AS71" s="369">
        <f>X71</f>
        <v>0</v>
      </c>
      <c r="AT71" s="369">
        <f>Y71</f>
        <v>0</v>
      </c>
      <c r="AU71" s="369">
        <f>Z71</f>
        <v>0</v>
      </c>
      <c r="AV71" s="369">
        <f>AA71</f>
        <v>0</v>
      </c>
      <c r="AW71" s="369">
        <f>AB71</f>
        <v>0</v>
      </c>
      <c r="AX71" s="369">
        <f>AC71</f>
        <v>0</v>
      </c>
      <c r="AY71" s="369">
        <f>AD71</f>
        <v>0</v>
      </c>
      <c r="AZ71" s="369">
        <f>AE71</f>
        <v>0</v>
      </c>
      <c r="BA71" s="369">
        <f>AF71</f>
        <v>0</v>
      </c>
      <c r="BB71" s="369">
        <f>AG71</f>
        <v>0</v>
      </c>
      <c r="BC71" s="369">
        <f>AH71</f>
        <v>0</v>
      </c>
      <c r="BD71" s="369">
        <f>AI71</f>
        <v>0</v>
      </c>
      <c r="BE71" s="369">
        <f>AJ71</f>
        <v>0</v>
      </c>
      <c r="BF71" s="369">
        <f>AK71</f>
        <v>0</v>
      </c>
      <c r="BG71" s="369">
        <f>AL71</f>
        <v>0</v>
      </c>
      <c r="BH71" s="369">
        <f>AM71</f>
        <v>0</v>
      </c>
      <c r="BI71" s="369">
        <f>AN71</f>
        <v>0</v>
      </c>
      <c r="BJ71" s="369">
        <f>AO71</f>
        <v>0</v>
      </c>
      <c r="BK71" s="45"/>
      <c r="BL71" s="479"/>
    </row>
    <row r="72" spans="2:64" ht="12.75" customHeight="1">
      <c r="B72" s="476" t="s">
        <v>558</v>
      </c>
      <c r="C72" s="477">
        <v>0</v>
      </c>
      <c r="D72" s="477">
        <v>0</v>
      </c>
      <c r="E72" s="477">
        <v>0</v>
      </c>
      <c r="F72" s="477">
        <v>0</v>
      </c>
      <c r="G72" s="477">
        <v>0</v>
      </c>
      <c r="H72" s="477">
        <v>0</v>
      </c>
      <c r="I72" s="477">
        <v>0</v>
      </c>
      <c r="J72" s="56"/>
      <c r="K72" s="478"/>
      <c r="L72" s="478"/>
      <c r="M72" s="478"/>
      <c r="N72" s="369">
        <f t="shared" ref="N72:N73" si="97">C72</f>
        <v>0</v>
      </c>
      <c r="O72" s="477">
        <v>0</v>
      </c>
      <c r="P72" s="477">
        <v>0</v>
      </c>
      <c r="Q72" s="477">
        <v>0</v>
      </c>
      <c r="R72" s="369">
        <f>D72</f>
        <v>0</v>
      </c>
      <c r="S72" s="477">
        <v>0</v>
      </c>
      <c r="T72" s="477">
        <v>0</v>
      </c>
      <c r="U72" s="477">
        <v>0</v>
      </c>
      <c r="V72" s="369">
        <f>E72</f>
        <v>0</v>
      </c>
      <c r="W72" s="477">
        <v>0</v>
      </c>
      <c r="X72" s="477">
        <v>0</v>
      </c>
      <c r="Y72" s="477">
        <v>0</v>
      </c>
      <c r="Z72" s="369">
        <f>F72</f>
        <v>0</v>
      </c>
      <c r="AA72" s="477">
        <v>0</v>
      </c>
      <c r="AB72" s="477">
        <v>0</v>
      </c>
      <c r="AC72" s="477">
        <v>0</v>
      </c>
      <c r="AD72" s="369">
        <f>G72</f>
        <v>0</v>
      </c>
      <c r="AE72" s="477">
        <v>0</v>
      </c>
      <c r="AF72" s="477">
        <v>0</v>
      </c>
      <c r="AG72" s="477">
        <v>0</v>
      </c>
      <c r="AH72" s="369">
        <f>H72</f>
        <v>0</v>
      </c>
      <c r="AI72" s="477">
        <v>0</v>
      </c>
      <c r="AJ72" s="477">
        <v>0</v>
      </c>
      <c r="AK72" s="477">
        <v>0</v>
      </c>
      <c r="AL72" s="369">
        <f>I72</f>
        <v>0</v>
      </c>
      <c r="AM72" s="477">
        <v>0</v>
      </c>
      <c r="AN72" s="477">
        <f>30525</f>
        <v>30525</v>
      </c>
      <c r="AO72" s="477">
        <v>77734</v>
      </c>
      <c r="AP72" s="477"/>
      <c r="AQ72" s="369">
        <f>V72</f>
        <v>0</v>
      </c>
      <c r="AR72" s="369">
        <f>W72</f>
        <v>0</v>
      </c>
      <c r="AS72" s="369">
        <f>X72</f>
        <v>0</v>
      </c>
      <c r="AT72" s="369">
        <f>Y72</f>
        <v>0</v>
      </c>
      <c r="AU72" s="369">
        <f>Z72</f>
        <v>0</v>
      </c>
      <c r="AV72" s="369">
        <f>AA72</f>
        <v>0</v>
      </c>
      <c r="AW72" s="369">
        <f>AB72</f>
        <v>0</v>
      </c>
      <c r="AX72" s="369">
        <f>AC72</f>
        <v>0</v>
      </c>
      <c r="AY72" s="369">
        <f>AD72</f>
        <v>0</v>
      </c>
      <c r="AZ72" s="369">
        <f>AE72</f>
        <v>0</v>
      </c>
      <c r="BA72" s="369">
        <f>AF72</f>
        <v>0</v>
      </c>
      <c r="BB72" s="369">
        <f>AG72</f>
        <v>0</v>
      </c>
      <c r="BC72" s="369">
        <f>AH72</f>
        <v>0</v>
      </c>
      <c r="BD72" s="369">
        <f>AI72</f>
        <v>0</v>
      </c>
      <c r="BE72" s="369">
        <f>AJ72</f>
        <v>0</v>
      </c>
      <c r="BF72" s="369">
        <f>AK72</f>
        <v>0</v>
      </c>
      <c r="BG72" s="369">
        <f>AL72</f>
        <v>0</v>
      </c>
      <c r="BH72" s="369">
        <f>AM72</f>
        <v>0</v>
      </c>
      <c r="BI72" s="369">
        <f>AN72</f>
        <v>30525</v>
      </c>
      <c r="BJ72" s="369">
        <f>AO72</f>
        <v>77734</v>
      </c>
      <c r="BK72" s="45"/>
      <c r="BL72" s="479"/>
    </row>
    <row r="73" spans="2:64" ht="12.75" customHeight="1">
      <c r="B73" s="476" t="s">
        <v>559</v>
      </c>
      <c r="C73" s="477">
        <v>0</v>
      </c>
      <c r="D73" s="477">
        <v>0</v>
      </c>
      <c r="E73" s="477">
        <v>0</v>
      </c>
      <c r="F73" s="477">
        <v>0</v>
      </c>
      <c r="G73" s="477">
        <v>0</v>
      </c>
      <c r="H73" s="477">
        <v>0</v>
      </c>
      <c r="I73" s="477">
        <v>0</v>
      </c>
      <c r="J73" s="56"/>
      <c r="K73" s="478"/>
      <c r="L73" s="478"/>
      <c r="M73" s="478"/>
      <c r="N73" s="369">
        <f t="shared" si="97"/>
        <v>0</v>
      </c>
      <c r="O73" s="477">
        <v>0</v>
      </c>
      <c r="P73" s="477">
        <v>0</v>
      </c>
      <c r="Q73" s="477">
        <v>0</v>
      </c>
      <c r="R73" s="369">
        <f>D73</f>
        <v>0</v>
      </c>
      <c r="S73" s="477">
        <v>0</v>
      </c>
      <c r="T73" s="477">
        <v>0</v>
      </c>
      <c r="U73" s="477">
        <v>0</v>
      </c>
      <c r="V73" s="369">
        <f>E73</f>
        <v>0</v>
      </c>
      <c r="W73" s="477">
        <v>0</v>
      </c>
      <c r="X73" s="477">
        <v>0</v>
      </c>
      <c r="Y73" s="477">
        <v>0</v>
      </c>
      <c r="Z73" s="369">
        <f>F73</f>
        <v>0</v>
      </c>
      <c r="AA73" s="477">
        <v>0</v>
      </c>
      <c r="AB73" s="477">
        <v>0</v>
      </c>
      <c r="AC73" s="477">
        <v>0</v>
      </c>
      <c r="AD73" s="369">
        <f>G73</f>
        <v>0</v>
      </c>
      <c r="AE73" s="477">
        <v>0</v>
      </c>
      <c r="AF73" s="477">
        <v>0</v>
      </c>
      <c r="AG73" s="477">
        <v>0</v>
      </c>
      <c r="AH73" s="369">
        <f>H73</f>
        <v>0</v>
      </c>
      <c r="AI73" s="477">
        <v>0</v>
      </c>
      <c r="AJ73" s="477">
        <v>0</v>
      </c>
      <c r="AK73" s="477">
        <v>0</v>
      </c>
      <c r="AL73" s="369">
        <f>I73</f>
        <v>0</v>
      </c>
      <c r="AM73" s="477">
        <v>0</v>
      </c>
      <c r="AN73" s="477">
        <v>20143</v>
      </c>
      <c r="AO73" s="477">
        <v>14825</v>
      </c>
      <c r="AP73" s="477"/>
      <c r="AQ73" s="369">
        <f>V73</f>
        <v>0</v>
      </c>
      <c r="AR73" s="369">
        <f>W73</f>
        <v>0</v>
      </c>
      <c r="AS73" s="369">
        <f>X73</f>
        <v>0</v>
      </c>
      <c r="AT73" s="369">
        <f>Y73</f>
        <v>0</v>
      </c>
      <c r="AU73" s="369">
        <f>Z73</f>
        <v>0</v>
      </c>
      <c r="AV73" s="369">
        <f>AA73</f>
        <v>0</v>
      </c>
      <c r="AW73" s="369">
        <f>AB73</f>
        <v>0</v>
      </c>
      <c r="AX73" s="369">
        <f>AC73</f>
        <v>0</v>
      </c>
      <c r="AY73" s="369">
        <f>AD73</f>
        <v>0</v>
      </c>
      <c r="AZ73" s="369">
        <f>AE73</f>
        <v>0</v>
      </c>
      <c r="BA73" s="369">
        <f>AF73</f>
        <v>0</v>
      </c>
      <c r="BB73" s="369">
        <f>AG73</f>
        <v>0</v>
      </c>
      <c r="BC73" s="369">
        <f>AH73</f>
        <v>0</v>
      </c>
      <c r="BD73" s="369">
        <f>AI73</f>
        <v>0</v>
      </c>
      <c r="BE73" s="369">
        <f>AJ73</f>
        <v>0</v>
      </c>
      <c r="BF73" s="369">
        <f>AK73</f>
        <v>0</v>
      </c>
      <c r="BG73" s="369">
        <f>AL73</f>
        <v>0</v>
      </c>
      <c r="BH73" s="369">
        <f>AM73</f>
        <v>0</v>
      </c>
      <c r="BI73" s="369">
        <f>AN73</f>
        <v>20143</v>
      </c>
      <c r="BJ73" s="369">
        <f>AO73</f>
        <v>14825</v>
      </c>
      <c r="BK73" s="45"/>
      <c r="BL73" s="479"/>
    </row>
    <row r="74" spans="2:64" ht="12.75" customHeight="1">
      <c r="B74" s="476" t="s">
        <v>542</v>
      </c>
      <c r="C74" s="477">
        <v>404</v>
      </c>
      <c r="D74" s="477">
        <v>567</v>
      </c>
      <c r="E74" s="477">
        <v>149</v>
      </c>
      <c r="F74" s="477">
        <v>442</v>
      </c>
      <c r="G74" s="477">
        <v>469</v>
      </c>
      <c r="H74" s="477">
        <v>274</v>
      </c>
      <c r="I74" s="477">
        <v>2812</v>
      </c>
      <c r="J74" s="56"/>
      <c r="K74" s="478"/>
      <c r="L74" s="478"/>
      <c r="M74" s="478"/>
      <c r="N74" s="369">
        <f>C74</f>
        <v>404</v>
      </c>
      <c r="O74" s="477">
        <v>406</v>
      </c>
      <c r="P74" s="477">
        <v>406</v>
      </c>
      <c r="Q74" s="477">
        <v>396</v>
      </c>
      <c r="R74" s="369">
        <f>D74</f>
        <v>567</v>
      </c>
      <c r="S74" s="477">
        <v>202</v>
      </c>
      <c r="T74" s="477">
        <v>185</v>
      </c>
      <c r="U74" s="477">
        <v>167</v>
      </c>
      <c r="V74" s="369">
        <f>E74</f>
        <v>149</v>
      </c>
      <c r="W74" s="477">
        <v>579</v>
      </c>
      <c r="X74" s="477">
        <v>533</v>
      </c>
      <c r="Y74" s="477">
        <v>488</v>
      </c>
      <c r="Z74" s="369">
        <f>F74</f>
        <v>442</v>
      </c>
      <c r="AA74" s="477">
        <v>396</v>
      </c>
      <c r="AB74" s="477">
        <v>3739</v>
      </c>
      <c r="AC74" s="477">
        <v>3547</v>
      </c>
      <c r="AD74" s="369">
        <f>G74</f>
        <v>469</v>
      </c>
      <c r="AE74" s="477">
        <v>416</v>
      </c>
      <c r="AF74" s="477">
        <v>362</v>
      </c>
      <c r="AG74" s="477">
        <v>316</v>
      </c>
      <c r="AH74" s="369">
        <f>H74</f>
        <v>274</v>
      </c>
      <c r="AI74" s="477">
        <v>3623</v>
      </c>
      <c r="AJ74" s="477">
        <v>3348</v>
      </c>
      <c r="AK74" s="477">
        <v>3273</v>
      </c>
      <c r="AL74" s="369">
        <f>I74</f>
        <v>2812</v>
      </c>
      <c r="AM74" s="477">
        <v>2853</v>
      </c>
      <c r="AN74" s="477">
        <f>80025</f>
        <v>80025</v>
      </c>
      <c r="AO74" s="477">
        <v>79083</v>
      </c>
      <c r="AQ74" s="369">
        <f>V74</f>
        <v>149</v>
      </c>
      <c r="AR74" s="369">
        <f>W74</f>
        <v>579</v>
      </c>
      <c r="AS74" s="369">
        <f>X74</f>
        <v>533</v>
      </c>
      <c r="AT74" s="369">
        <f>Y74</f>
        <v>488</v>
      </c>
      <c r="AU74" s="369">
        <f>Z74</f>
        <v>442</v>
      </c>
      <c r="AV74" s="369">
        <f>AA74</f>
        <v>396</v>
      </c>
      <c r="AW74" s="369">
        <f>AB74</f>
        <v>3739</v>
      </c>
      <c r="AX74" s="369">
        <f>AC74</f>
        <v>3547</v>
      </c>
      <c r="AY74" s="369">
        <f>AD74</f>
        <v>469</v>
      </c>
      <c r="AZ74" s="369">
        <f>AE74</f>
        <v>416</v>
      </c>
      <c r="BA74" s="369">
        <f>AF74</f>
        <v>362</v>
      </c>
      <c r="BB74" s="369">
        <f>AG74</f>
        <v>316</v>
      </c>
      <c r="BC74" s="369">
        <f>AH74</f>
        <v>274</v>
      </c>
      <c r="BD74" s="369">
        <f>AI74</f>
        <v>3623</v>
      </c>
      <c r="BE74" s="369">
        <f>AJ74</f>
        <v>3348</v>
      </c>
      <c r="BF74" s="369">
        <f>AK74</f>
        <v>3273</v>
      </c>
      <c r="BG74" s="369">
        <f>AL74</f>
        <v>2812</v>
      </c>
      <c r="BH74" s="369">
        <f>AM74</f>
        <v>2853</v>
      </c>
      <c r="BI74" s="369">
        <f>AN74</f>
        <v>80025</v>
      </c>
      <c r="BJ74" s="369">
        <f>AO74</f>
        <v>79083</v>
      </c>
      <c r="BK74" s="45"/>
      <c r="BL74" s="479"/>
    </row>
    <row r="75" spans="2:64" ht="12.75" customHeight="1">
      <c r="B75" s="476" t="s">
        <v>483</v>
      </c>
      <c r="C75" s="477">
        <v>0</v>
      </c>
      <c r="D75" s="477">
        <v>0</v>
      </c>
      <c r="E75" s="477">
        <v>11793</v>
      </c>
      <c r="F75" s="477">
        <v>22599</v>
      </c>
      <c r="G75" s="477">
        <v>55854</v>
      </c>
      <c r="H75" s="477">
        <v>75648</v>
      </c>
      <c r="I75" s="477">
        <v>73613</v>
      </c>
      <c r="J75" s="56"/>
      <c r="K75" s="478"/>
      <c r="L75" s="478"/>
      <c r="M75" s="478"/>
      <c r="N75" s="369">
        <f>C75</f>
        <v>0</v>
      </c>
      <c r="O75" s="477">
        <v>0</v>
      </c>
      <c r="P75" s="477">
        <v>0</v>
      </c>
      <c r="Q75" s="477">
        <v>0</v>
      </c>
      <c r="R75" s="369">
        <f>D75</f>
        <v>0</v>
      </c>
      <c r="S75" s="477">
        <v>10935</v>
      </c>
      <c r="T75" s="477">
        <v>11604</v>
      </c>
      <c r="U75" s="477">
        <v>11413</v>
      </c>
      <c r="V75" s="369">
        <f>E75</f>
        <v>11793</v>
      </c>
      <c r="W75" s="477">
        <v>11061</v>
      </c>
      <c r="X75" s="477">
        <v>11300</v>
      </c>
      <c r="Y75" s="477">
        <v>21799</v>
      </c>
      <c r="Z75" s="369">
        <f>F75</f>
        <v>22599</v>
      </c>
      <c r="AA75" s="477">
        <v>21485</v>
      </c>
      <c r="AB75" s="477">
        <v>21143</v>
      </c>
      <c r="AC75" s="477">
        <v>56484</v>
      </c>
      <c r="AD75" s="369">
        <f>G75</f>
        <v>55854</v>
      </c>
      <c r="AE75" s="477">
        <v>44787</v>
      </c>
      <c r="AF75" s="477">
        <v>77122</v>
      </c>
      <c r="AG75" s="477">
        <v>76382</v>
      </c>
      <c r="AH75" s="369">
        <f>H75</f>
        <v>75648</v>
      </c>
      <c r="AI75" s="477">
        <v>75490</v>
      </c>
      <c r="AJ75" s="477">
        <v>74884</v>
      </c>
      <c r="AK75" s="477">
        <v>74506</v>
      </c>
      <c r="AL75" s="369">
        <f>I75</f>
        <v>73613</v>
      </c>
      <c r="AM75" s="477">
        <v>72147</v>
      </c>
      <c r="AN75" s="477">
        <v>4441</v>
      </c>
      <c r="AO75" s="477">
        <v>4023</v>
      </c>
      <c r="AQ75" s="369">
        <f>V75</f>
        <v>11793</v>
      </c>
      <c r="AR75" s="369">
        <f>W75</f>
        <v>11061</v>
      </c>
      <c r="AS75" s="369">
        <f>X75</f>
        <v>11300</v>
      </c>
      <c r="AT75" s="369">
        <f>Y75</f>
        <v>21799</v>
      </c>
      <c r="AU75" s="369">
        <f>Z75</f>
        <v>22599</v>
      </c>
      <c r="AV75" s="369">
        <f>AA75</f>
        <v>21485</v>
      </c>
      <c r="AW75" s="369">
        <f>AB75</f>
        <v>21143</v>
      </c>
      <c r="AX75" s="369">
        <f>AC75</f>
        <v>56484</v>
      </c>
      <c r="AY75" s="369">
        <f>AD75</f>
        <v>55854</v>
      </c>
      <c r="AZ75" s="369">
        <f>AE75</f>
        <v>44787</v>
      </c>
      <c r="BA75" s="369">
        <f>AF75</f>
        <v>77122</v>
      </c>
      <c r="BB75" s="369">
        <f>AG75</f>
        <v>76382</v>
      </c>
      <c r="BC75" s="369">
        <f>AH75</f>
        <v>75648</v>
      </c>
      <c r="BD75" s="369">
        <f>AI75</f>
        <v>75490</v>
      </c>
      <c r="BE75" s="369">
        <f>AJ75</f>
        <v>74884</v>
      </c>
      <c r="BF75" s="369">
        <f>AK75</f>
        <v>74506</v>
      </c>
      <c r="BG75" s="369">
        <f>AL75</f>
        <v>73613</v>
      </c>
      <c r="BH75" s="369">
        <f>AM75</f>
        <v>72147</v>
      </c>
      <c r="BI75" s="369">
        <f>AN75</f>
        <v>4441</v>
      </c>
      <c r="BJ75" s="369">
        <f>AO75</f>
        <v>4023</v>
      </c>
      <c r="BK75" s="12"/>
      <c r="BL75" s="479">
        <f>SUM(BI75/BE75)-1</f>
        <v>-0.9406949415095347</v>
      </c>
    </row>
    <row r="76" spans="2:64" ht="12.75" customHeight="1">
      <c r="B76" s="14" t="s">
        <v>24</v>
      </c>
      <c r="C76" s="15">
        <f t="shared" ref="C76:H76" si="98">SUM(C70:C75)+C67</f>
        <v>55959</v>
      </c>
      <c r="D76" s="15">
        <f t="shared" si="98"/>
        <v>67833</v>
      </c>
      <c r="E76" s="15">
        <f t="shared" si="98"/>
        <v>100909</v>
      </c>
      <c r="F76" s="15">
        <f t="shared" si="98"/>
        <v>1246904</v>
      </c>
      <c r="G76" s="15">
        <f t="shared" si="98"/>
        <v>1265772</v>
      </c>
      <c r="H76" s="15">
        <f t="shared" si="98"/>
        <v>1287818</v>
      </c>
      <c r="I76" s="15">
        <f>SUM(I70:I75)+I67</f>
        <v>1279354</v>
      </c>
      <c r="K76" s="15">
        <f t="shared" ref="K76:AN76" si="99">SUM(K70:K75)+K67</f>
        <v>0</v>
      </c>
      <c r="L76" s="15">
        <f t="shared" si="99"/>
        <v>0</v>
      </c>
      <c r="M76" s="15">
        <f t="shared" si="99"/>
        <v>0</v>
      </c>
      <c r="N76" s="15">
        <f t="shared" si="99"/>
        <v>55959</v>
      </c>
      <c r="O76" s="15">
        <f t="shared" si="99"/>
        <v>52795</v>
      </c>
      <c r="P76" s="15">
        <f t="shared" si="99"/>
        <v>65276</v>
      </c>
      <c r="Q76" s="15">
        <f t="shared" si="99"/>
        <v>78013</v>
      </c>
      <c r="R76" s="15">
        <f t="shared" si="99"/>
        <v>67833</v>
      </c>
      <c r="S76" s="15">
        <f t="shared" si="99"/>
        <v>99652</v>
      </c>
      <c r="T76" s="15">
        <f t="shared" si="99"/>
        <v>128064</v>
      </c>
      <c r="U76" s="15">
        <f t="shared" si="99"/>
        <v>107237</v>
      </c>
      <c r="V76" s="15">
        <f t="shared" si="99"/>
        <v>100909</v>
      </c>
      <c r="W76" s="15">
        <f t="shared" si="99"/>
        <v>1211472</v>
      </c>
      <c r="X76" s="15">
        <f t="shared" si="99"/>
        <v>1211039</v>
      </c>
      <c r="Y76" s="15">
        <f t="shared" si="99"/>
        <v>1225269</v>
      </c>
      <c r="Z76" s="15">
        <f t="shared" si="99"/>
        <v>1246904</v>
      </c>
      <c r="AA76" s="15">
        <f t="shared" si="99"/>
        <v>1253529</v>
      </c>
      <c r="AB76" s="15">
        <f t="shared" si="99"/>
        <v>1266050</v>
      </c>
      <c r="AC76" s="15">
        <f t="shared" si="99"/>
        <v>1283331</v>
      </c>
      <c r="AD76" s="15">
        <f t="shared" si="99"/>
        <v>1265772</v>
      </c>
      <c r="AE76" s="15">
        <f t="shared" si="99"/>
        <v>1239711</v>
      </c>
      <c r="AF76" s="15">
        <f t="shared" si="99"/>
        <v>1267703</v>
      </c>
      <c r="AG76" s="15">
        <f t="shared" si="99"/>
        <v>1292114</v>
      </c>
      <c r="AH76" s="15">
        <f t="shared" si="99"/>
        <v>1287818</v>
      </c>
      <c r="AI76" s="15">
        <f t="shared" si="99"/>
        <v>1296437</v>
      </c>
      <c r="AJ76" s="15">
        <f t="shared" si="99"/>
        <v>1301259</v>
      </c>
      <c r="AK76" s="15">
        <f t="shared" si="99"/>
        <v>1304862</v>
      </c>
      <c r="AL76" s="15">
        <f t="shared" si="99"/>
        <v>1279354</v>
      </c>
      <c r="AM76" s="15">
        <f t="shared" si="99"/>
        <v>1293361</v>
      </c>
      <c r="AN76" s="15">
        <f t="shared" si="99"/>
        <v>1368764</v>
      </c>
      <c r="AO76" s="15">
        <f t="shared" ref="AO76" si="100">SUM(AO70:AO75)+AO67</f>
        <v>1383734</v>
      </c>
      <c r="AQ76" s="15">
        <f t="shared" ref="AQ76:AX76" si="101">SUM(AQ70:AQ75)+AQ67</f>
        <v>100909</v>
      </c>
      <c r="AR76" s="15">
        <f t="shared" si="101"/>
        <v>1211472</v>
      </c>
      <c r="AS76" s="15">
        <f t="shared" si="101"/>
        <v>1211039</v>
      </c>
      <c r="AT76" s="15">
        <f t="shared" si="101"/>
        <v>1225269</v>
      </c>
      <c r="AU76" s="15">
        <f t="shared" si="101"/>
        <v>1246904</v>
      </c>
      <c r="AV76" s="15">
        <f t="shared" si="101"/>
        <v>1253529</v>
      </c>
      <c r="AW76" s="15">
        <f t="shared" si="101"/>
        <v>1266050</v>
      </c>
      <c r="AX76" s="15">
        <f t="shared" si="101"/>
        <v>1283331</v>
      </c>
      <c r="AY76" s="15">
        <f t="shared" ref="AY76:BI76" si="102">SUM(AY70:AY75)+AY67</f>
        <v>1265772</v>
      </c>
      <c r="AZ76" s="15">
        <f t="shared" si="102"/>
        <v>1239711</v>
      </c>
      <c r="BA76" s="15">
        <f t="shared" si="102"/>
        <v>1267703</v>
      </c>
      <c r="BB76" s="15">
        <f t="shared" si="102"/>
        <v>1292114</v>
      </c>
      <c r="BC76" s="15">
        <f t="shared" si="102"/>
        <v>1287818</v>
      </c>
      <c r="BD76" s="15">
        <f t="shared" si="102"/>
        <v>1296437</v>
      </c>
      <c r="BE76" s="15">
        <f t="shared" si="102"/>
        <v>1301259</v>
      </c>
      <c r="BF76" s="15">
        <f t="shared" si="102"/>
        <v>1304862</v>
      </c>
      <c r="BG76" s="15">
        <f t="shared" si="102"/>
        <v>1279354</v>
      </c>
      <c r="BH76" s="15">
        <f t="shared" si="102"/>
        <v>1293361</v>
      </c>
      <c r="BI76" s="15">
        <f t="shared" si="102"/>
        <v>1368764</v>
      </c>
      <c r="BJ76" s="15">
        <f t="shared" ref="BJ76" si="103">SUM(BJ70:BJ75)+BJ67</f>
        <v>1383734</v>
      </c>
      <c r="BK76" s="45"/>
      <c r="BL76" s="84">
        <f>SUM(BI76/BE76)-1</f>
        <v>5.1876682505173743E-2</v>
      </c>
    </row>
    <row r="77" spans="2:64" ht="5.0999999999999996" customHeight="1">
      <c r="B77" s="27"/>
      <c r="C77" s="54"/>
      <c r="D77" s="54"/>
      <c r="E77" s="54"/>
      <c r="F77" s="54"/>
      <c r="G77" s="54"/>
      <c r="H77" s="44"/>
      <c r="I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Q77" s="45"/>
      <c r="AR77" s="45"/>
      <c r="AS77" s="45"/>
      <c r="AT77" s="45"/>
      <c r="AU77" s="45"/>
      <c r="AV77" s="45"/>
      <c r="AW77" s="45"/>
      <c r="AX77" s="45"/>
      <c r="AY77" s="45"/>
      <c r="AZ77" s="45"/>
      <c r="BA77" s="45"/>
      <c r="BB77" s="45"/>
      <c r="BC77" s="45"/>
      <c r="BD77" s="45"/>
      <c r="BE77" s="45"/>
      <c r="BF77" s="45"/>
      <c r="BG77" s="45"/>
      <c r="BH77" s="45"/>
      <c r="BI77" s="45"/>
      <c r="BJ77" s="45"/>
      <c r="BK77" s="45"/>
      <c r="BL77" s="42"/>
    </row>
    <row r="78" spans="2:64" ht="12.75" customHeight="1">
      <c r="B78" s="10" t="s">
        <v>484</v>
      </c>
      <c r="C78" s="92">
        <f>2000+4999+14882+24948+17214+29840+55658+49999</f>
        <v>199540</v>
      </c>
      <c r="D78" s="92">
        <v>0</v>
      </c>
      <c r="E78" s="92">
        <v>0</v>
      </c>
      <c r="F78" s="92">
        <v>0</v>
      </c>
      <c r="G78" s="92">
        <v>0</v>
      </c>
      <c r="H78" s="92">
        <v>0</v>
      </c>
      <c r="I78" s="92">
        <v>0</v>
      </c>
      <c r="J78" s="34"/>
      <c r="K78" s="468"/>
      <c r="L78" s="468"/>
      <c r="M78" s="468"/>
      <c r="N78" s="34">
        <f>C78</f>
        <v>199540</v>
      </c>
      <c r="O78" s="92">
        <f>2000+4999+14882+24948+17214+29840+55658+49999</f>
        <v>199540</v>
      </c>
      <c r="P78" s="92">
        <v>0</v>
      </c>
      <c r="Q78" s="92">
        <v>0</v>
      </c>
      <c r="R78" s="34">
        <f>D78</f>
        <v>0</v>
      </c>
      <c r="S78" s="92">
        <v>0</v>
      </c>
      <c r="T78" s="92">
        <v>0</v>
      </c>
      <c r="U78" s="92">
        <v>0</v>
      </c>
      <c r="V78" s="34">
        <f>E78</f>
        <v>0</v>
      </c>
      <c r="W78" s="92">
        <v>0</v>
      </c>
      <c r="X78" s="92">
        <v>0</v>
      </c>
      <c r="Y78" s="92">
        <v>0</v>
      </c>
      <c r="Z78" s="34">
        <f>F78</f>
        <v>0</v>
      </c>
      <c r="AA78" s="92">
        <v>0</v>
      </c>
      <c r="AB78" s="92">
        <v>0</v>
      </c>
      <c r="AC78" s="92">
        <v>0</v>
      </c>
      <c r="AD78" s="34">
        <v>0</v>
      </c>
      <c r="AE78" s="92">
        <v>0</v>
      </c>
      <c r="AF78" s="92">
        <v>0</v>
      </c>
      <c r="AG78" s="92">
        <v>0</v>
      </c>
      <c r="AH78" s="34">
        <f>H78</f>
        <v>0</v>
      </c>
      <c r="AI78" s="92">
        <v>0</v>
      </c>
      <c r="AJ78" s="92">
        <v>0</v>
      </c>
      <c r="AK78" s="92">
        <v>0</v>
      </c>
      <c r="AL78" s="34">
        <f>I78</f>
        <v>0</v>
      </c>
      <c r="AM78" s="92">
        <v>0</v>
      </c>
      <c r="AN78" s="92">
        <v>0</v>
      </c>
      <c r="AO78" s="92">
        <v>0</v>
      </c>
      <c r="AQ78" s="34">
        <f>V78</f>
        <v>0</v>
      </c>
      <c r="AR78" s="34">
        <f>W78</f>
        <v>0</v>
      </c>
      <c r="AS78" s="34">
        <f>X78</f>
        <v>0</v>
      </c>
      <c r="AT78" s="34">
        <f>Y78</f>
        <v>0</v>
      </c>
      <c r="AU78" s="34">
        <f>Z78</f>
        <v>0</v>
      </c>
      <c r="AV78" s="34">
        <f>AA78</f>
        <v>0</v>
      </c>
      <c r="AW78" s="34">
        <f>AB78</f>
        <v>0</v>
      </c>
      <c r="AX78" s="34">
        <f>AC78</f>
        <v>0</v>
      </c>
      <c r="AY78" s="34">
        <f>AD78</f>
        <v>0</v>
      </c>
      <c r="AZ78" s="34">
        <f>AE78</f>
        <v>0</v>
      </c>
      <c r="BA78" s="34">
        <f>AF78</f>
        <v>0</v>
      </c>
      <c r="BB78" s="34">
        <f>AG78</f>
        <v>0</v>
      </c>
      <c r="BC78" s="34">
        <f>AH78</f>
        <v>0</v>
      </c>
      <c r="BD78" s="34">
        <f>AI78</f>
        <v>0</v>
      </c>
      <c r="BE78" s="34">
        <f>AJ78</f>
        <v>0</v>
      </c>
      <c r="BF78" s="34">
        <f>AK78</f>
        <v>0</v>
      </c>
      <c r="BG78" s="34">
        <f>AL78</f>
        <v>0</v>
      </c>
      <c r="BH78" s="34">
        <f>AM78</f>
        <v>0</v>
      </c>
      <c r="BI78" s="34">
        <f>AN78</f>
        <v>0</v>
      </c>
      <c r="BJ78" s="34">
        <f>AO78</f>
        <v>0</v>
      </c>
      <c r="BK78" s="12"/>
      <c r="BL78" s="83"/>
    </row>
    <row r="79" spans="2:64" ht="12.75" customHeight="1">
      <c r="B79" s="10" t="s">
        <v>485</v>
      </c>
      <c r="C79" s="92">
        <v>1</v>
      </c>
      <c r="D79" s="92">
        <v>6</v>
      </c>
      <c r="E79" s="92">
        <v>6</v>
      </c>
      <c r="F79" s="92">
        <v>6</v>
      </c>
      <c r="G79" s="92">
        <v>6</v>
      </c>
      <c r="H79" s="92">
        <v>6</v>
      </c>
      <c r="I79" s="92">
        <v>8</v>
      </c>
      <c r="J79" s="34"/>
      <c r="K79" s="468"/>
      <c r="L79" s="468"/>
      <c r="M79" s="468"/>
      <c r="N79" s="34">
        <f>C79</f>
        <v>1</v>
      </c>
      <c r="O79" s="92">
        <v>1</v>
      </c>
      <c r="P79" s="92">
        <v>6</v>
      </c>
      <c r="Q79" s="92">
        <v>6</v>
      </c>
      <c r="R79" s="34">
        <f>D79</f>
        <v>6</v>
      </c>
      <c r="S79" s="92">
        <v>6</v>
      </c>
      <c r="T79" s="92">
        <v>6</v>
      </c>
      <c r="U79" s="92">
        <v>6</v>
      </c>
      <c r="V79" s="34">
        <f>E79</f>
        <v>6</v>
      </c>
      <c r="W79" s="92">
        <v>6</v>
      </c>
      <c r="X79" s="92">
        <v>6</v>
      </c>
      <c r="Y79" s="92">
        <v>6</v>
      </c>
      <c r="Z79" s="34">
        <f>F79</f>
        <v>6</v>
      </c>
      <c r="AA79" s="92">
        <v>6</v>
      </c>
      <c r="AB79" s="92">
        <v>6</v>
      </c>
      <c r="AC79" s="92">
        <v>6</v>
      </c>
      <c r="AD79" s="34">
        <v>6</v>
      </c>
      <c r="AE79" s="92">
        <v>6</v>
      </c>
      <c r="AF79" s="92">
        <v>6</v>
      </c>
      <c r="AG79" s="92">
        <v>6</v>
      </c>
      <c r="AH79" s="34">
        <f>H79</f>
        <v>6</v>
      </c>
      <c r="AI79" s="92">
        <v>6</v>
      </c>
      <c r="AJ79" s="92">
        <v>6</v>
      </c>
      <c r="AK79" s="92">
        <v>6</v>
      </c>
      <c r="AL79" s="34">
        <f>I79</f>
        <v>8</v>
      </c>
      <c r="AM79" s="92">
        <v>8</v>
      </c>
      <c r="AN79" s="92">
        <v>8</v>
      </c>
      <c r="AO79" s="92">
        <v>8</v>
      </c>
      <c r="AQ79" s="34">
        <f>V79</f>
        <v>6</v>
      </c>
      <c r="AR79" s="34">
        <f>W79</f>
        <v>6</v>
      </c>
      <c r="AS79" s="34">
        <f>X79</f>
        <v>6</v>
      </c>
      <c r="AT79" s="34">
        <f>Y79</f>
        <v>6</v>
      </c>
      <c r="AU79" s="34">
        <f>Z79</f>
        <v>6</v>
      </c>
      <c r="AV79" s="34">
        <f>AA79</f>
        <v>6</v>
      </c>
      <c r="AW79" s="34">
        <f>AB79</f>
        <v>6</v>
      </c>
      <c r="AX79" s="34">
        <f>AC79</f>
        <v>6</v>
      </c>
      <c r="AY79" s="34">
        <f>AD79</f>
        <v>6</v>
      </c>
      <c r="AZ79" s="34">
        <f>AE79</f>
        <v>6</v>
      </c>
      <c r="BA79" s="34">
        <f>AF79</f>
        <v>6</v>
      </c>
      <c r="BB79" s="34">
        <f>AG79</f>
        <v>6</v>
      </c>
      <c r="BC79" s="34">
        <f>AH79</f>
        <v>6</v>
      </c>
      <c r="BD79" s="34">
        <f>AI79</f>
        <v>6</v>
      </c>
      <c r="BE79" s="34">
        <f>AJ79</f>
        <v>6</v>
      </c>
      <c r="BF79" s="34">
        <f>AK79</f>
        <v>6</v>
      </c>
      <c r="BG79" s="34">
        <f>AL79</f>
        <v>8</v>
      </c>
      <c r="BH79" s="34">
        <f>AM79</f>
        <v>8</v>
      </c>
      <c r="BI79" s="34">
        <f>AN79</f>
        <v>8</v>
      </c>
      <c r="BJ79" s="34">
        <f>AO79</f>
        <v>8</v>
      </c>
      <c r="BK79" s="12"/>
      <c r="BL79" s="83"/>
    </row>
    <row r="80" spans="2:64" ht="12.75" customHeight="1">
      <c r="B80" s="10" t="s">
        <v>486</v>
      </c>
      <c r="C80" s="92">
        <v>7921</v>
      </c>
      <c r="D80" s="92">
        <v>526199</v>
      </c>
      <c r="E80" s="92">
        <v>560210</v>
      </c>
      <c r="F80" s="92">
        <v>510014</v>
      </c>
      <c r="G80" s="92">
        <v>544357</v>
      </c>
      <c r="H80" s="92">
        <v>573128</v>
      </c>
      <c r="I80" s="92">
        <v>644004</v>
      </c>
      <c r="J80" s="34"/>
      <c r="K80" s="468"/>
      <c r="L80" s="468"/>
      <c r="M80" s="468"/>
      <c r="N80" s="34">
        <f>C80</f>
        <v>7921</v>
      </c>
      <c r="O80" s="92">
        <v>9142</v>
      </c>
      <c r="P80" s="92">
        <v>477541</v>
      </c>
      <c r="Q80" s="92">
        <v>518485</v>
      </c>
      <c r="R80" s="34">
        <f>D80</f>
        <v>526199</v>
      </c>
      <c r="S80" s="92">
        <v>532275</v>
      </c>
      <c r="T80" s="92">
        <v>540576</v>
      </c>
      <c r="U80" s="92">
        <v>548706</v>
      </c>
      <c r="V80" s="34">
        <f>E80</f>
        <v>560210</v>
      </c>
      <c r="W80" s="92">
        <v>485684</v>
      </c>
      <c r="X80" s="92">
        <v>496210</v>
      </c>
      <c r="Y80" s="92">
        <v>503690</v>
      </c>
      <c r="Z80" s="34">
        <f>F80</f>
        <v>510014</v>
      </c>
      <c r="AA80" s="92">
        <v>519681</v>
      </c>
      <c r="AB80" s="92">
        <v>530152</v>
      </c>
      <c r="AC80" s="92">
        <v>539399</v>
      </c>
      <c r="AD80" s="34">
        <v>544357</v>
      </c>
      <c r="AE80" s="92">
        <v>553805</v>
      </c>
      <c r="AF80" s="92">
        <v>561484</v>
      </c>
      <c r="AG80" s="92">
        <v>567927</v>
      </c>
      <c r="AH80" s="34">
        <f>H80</f>
        <v>573128</v>
      </c>
      <c r="AI80" s="92">
        <v>578773</v>
      </c>
      <c r="AJ80" s="92">
        <v>584441</v>
      </c>
      <c r="AK80" s="92">
        <v>590282</v>
      </c>
      <c r="AL80" s="34">
        <f>I80</f>
        <v>644004</v>
      </c>
      <c r="AM80" s="92">
        <v>649637</v>
      </c>
      <c r="AN80" s="92">
        <v>653855</v>
      </c>
      <c r="AO80" s="92">
        <v>657549</v>
      </c>
      <c r="AQ80" s="34">
        <f>V80</f>
        <v>560210</v>
      </c>
      <c r="AR80" s="34">
        <f>W80</f>
        <v>485684</v>
      </c>
      <c r="AS80" s="34">
        <f>X80</f>
        <v>496210</v>
      </c>
      <c r="AT80" s="34">
        <f>Y80</f>
        <v>503690</v>
      </c>
      <c r="AU80" s="34">
        <f>Z80</f>
        <v>510014</v>
      </c>
      <c r="AV80" s="34">
        <f>AA80</f>
        <v>519681</v>
      </c>
      <c r="AW80" s="34">
        <f>AB80</f>
        <v>530152</v>
      </c>
      <c r="AX80" s="34">
        <f>AC80</f>
        <v>539399</v>
      </c>
      <c r="AY80" s="34">
        <f>AD80</f>
        <v>544357</v>
      </c>
      <c r="AZ80" s="34">
        <f>AE80</f>
        <v>553805</v>
      </c>
      <c r="BA80" s="34">
        <f>AF80</f>
        <v>561484</v>
      </c>
      <c r="BB80" s="34">
        <f>AG80</f>
        <v>567927</v>
      </c>
      <c r="BC80" s="34">
        <f>AH80</f>
        <v>573128</v>
      </c>
      <c r="BD80" s="34">
        <f>AI80</f>
        <v>578773</v>
      </c>
      <c r="BE80" s="34">
        <f>AJ80</f>
        <v>584441</v>
      </c>
      <c r="BF80" s="34">
        <f>AK80</f>
        <v>590282</v>
      </c>
      <c r="BG80" s="34">
        <f>AL80</f>
        <v>644004</v>
      </c>
      <c r="BH80" s="34">
        <f>AM80</f>
        <v>649637</v>
      </c>
      <c r="BI80" s="34">
        <f>AN80</f>
        <v>653855</v>
      </c>
      <c r="BJ80" s="34">
        <f>AO80</f>
        <v>657549</v>
      </c>
      <c r="BK80" s="12"/>
      <c r="BL80" s="83"/>
    </row>
    <row r="81" spans="1:64" ht="12.75" customHeight="1">
      <c r="B81" s="10" t="s">
        <v>487</v>
      </c>
      <c r="C81" s="92">
        <v>-129672</v>
      </c>
      <c r="D81" s="92">
        <v>-142115</v>
      </c>
      <c r="E81" s="92">
        <v>-194867</v>
      </c>
      <c r="F81" s="92">
        <v>-376972</v>
      </c>
      <c r="G81" s="92">
        <v>-743109</v>
      </c>
      <c r="H81" s="92">
        <v>-1081253</v>
      </c>
      <c r="I81" s="92">
        <v>-1241531</v>
      </c>
      <c r="J81" s="34"/>
      <c r="K81" s="468"/>
      <c r="L81" s="468"/>
      <c r="M81" s="468"/>
      <c r="N81" s="34">
        <f>C81</f>
        <v>-129672</v>
      </c>
      <c r="O81" s="92">
        <v>-136321</v>
      </c>
      <c r="P81" s="92">
        <v>-145762</v>
      </c>
      <c r="Q81" s="92">
        <v>-141663</v>
      </c>
      <c r="R81" s="34">
        <f>D81</f>
        <v>-142115</v>
      </c>
      <c r="S81" s="92">
        <v>-140300</v>
      </c>
      <c r="T81" s="92">
        <v>-150505</v>
      </c>
      <c r="U81" s="92">
        <v>-169790</v>
      </c>
      <c r="V81" s="34">
        <f>E81</f>
        <v>-194867</v>
      </c>
      <c r="W81" s="92">
        <v>-222133</v>
      </c>
      <c r="X81" s="92">
        <v>-241785</v>
      </c>
      <c r="Y81" s="92">
        <v>-296601</v>
      </c>
      <c r="Z81" s="34">
        <f>F81</f>
        <v>-376972</v>
      </c>
      <c r="AA81" s="92">
        <v>-477430</v>
      </c>
      <c r="AB81" s="92">
        <v>-574564</v>
      </c>
      <c r="AC81" s="92">
        <v>-676242</v>
      </c>
      <c r="AD81" s="34">
        <v>-743109</v>
      </c>
      <c r="AE81" s="92">
        <v>-802146</v>
      </c>
      <c r="AF81" s="92">
        <v>-855651</v>
      </c>
      <c r="AG81" s="92">
        <v>-926143</v>
      </c>
      <c r="AH81" s="34">
        <f>H81</f>
        <v>-1081253</v>
      </c>
      <c r="AI81" s="92">
        <v>-1135614</v>
      </c>
      <c r="AJ81" s="92">
        <v>-1170093</v>
      </c>
      <c r="AK81" s="92">
        <v>-1196669</v>
      </c>
      <c r="AL81" s="34">
        <f>I81</f>
        <v>-1241531</v>
      </c>
      <c r="AM81" s="92">
        <v>-1294447</v>
      </c>
      <c r="AN81" s="92">
        <v>-1323689</v>
      </c>
      <c r="AO81" s="92">
        <v>-1434377</v>
      </c>
      <c r="AQ81" s="34">
        <f>V81</f>
        <v>-194867</v>
      </c>
      <c r="AR81" s="34">
        <f>W81</f>
        <v>-222133</v>
      </c>
      <c r="AS81" s="34">
        <f>X81</f>
        <v>-241785</v>
      </c>
      <c r="AT81" s="34">
        <f>Y81</f>
        <v>-296601</v>
      </c>
      <c r="AU81" s="34">
        <f>Z81</f>
        <v>-376972</v>
      </c>
      <c r="AV81" s="34">
        <f>AA81</f>
        <v>-477430</v>
      </c>
      <c r="AW81" s="34">
        <f>AB81</f>
        <v>-574564</v>
      </c>
      <c r="AX81" s="34">
        <f>AC81</f>
        <v>-676242</v>
      </c>
      <c r="AY81" s="34">
        <f>AD81</f>
        <v>-743109</v>
      </c>
      <c r="AZ81" s="34">
        <f>AE81</f>
        <v>-802146</v>
      </c>
      <c r="BA81" s="34">
        <f>AF81</f>
        <v>-855651</v>
      </c>
      <c r="BB81" s="34">
        <f>AG81</f>
        <v>-926143</v>
      </c>
      <c r="BC81" s="34">
        <f>AH81</f>
        <v>-1081253</v>
      </c>
      <c r="BD81" s="34">
        <f>AI81</f>
        <v>-1135614</v>
      </c>
      <c r="BE81" s="34">
        <f>AJ81</f>
        <v>-1170093</v>
      </c>
      <c r="BF81" s="34">
        <f>AK81</f>
        <v>-1196669</v>
      </c>
      <c r="BG81" s="34">
        <f>AL81</f>
        <v>-1241531</v>
      </c>
      <c r="BH81" s="34">
        <f>AM81</f>
        <v>-1294447</v>
      </c>
      <c r="BI81" s="34">
        <f>AN81</f>
        <v>-1323689</v>
      </c>
      <c r="BJ81" s="34">
        <f>AO81</f>
        <v>-1434377</v>
      </c>
      <c r="BK81" s="12"/>
      <c r="BL81" s="83"/>
    </row>
    <row r="82" spans="1:64" ht="12.75" customHeight="1">
      <c r="B82" s="10" t="s">
        <v>488</v>
      </c>
      <c r="C82" s="92">
        <v>0</v>
      </c>
      <c r="D82" s="92">
        <v>0</v>
      </c>
      <c r="E82" s="92">
        <v>1748</v>
      </c>
      <c r="F82" s="92">
        <v>-553</v>
      </c>
      <c r="G82" s="92">
        <v>-4802</v>
      </c>
      <c r="H82" s="92">
        <v>-5249</v>
      </c>
      <c r="I82" s="92">
        <v>-3689</v>
      </c>
      <c r="J82" s="34"/>
      <c r="K82" s="468"/>
      <c r="L82" s="468"/>
      <c r="M82" s="468"/>
      <c r="N82" s="34">
        <f>C82</f>
        <v>0</v>
      </c>
      <c r="O82" s="92">
        <v>0</v>
      </c>
      <c r="P82" s="92">
        <v>0</v>
      </c>
      <c r="Q82" s="92"/>
      <c r="R82" s="34">
        <f>D82</f>
        <v>0</v>
      </c>
      <c r="S82" s="92">
        <v>0</v>
      </c>
      <c r="T82" s="92">
        <v>-167</v>
      </c>
      <c r="U82" s="92">
        <v>478</v>
      </c>
      <c r="V82" s="34">
        <f>E82</f>
        <v>1748</v>
      </c>
      <c r="W82" s="92">
        <v>490</v>
      </c>
      <c r="X82" s="92">
        <v>1050</v>
      </c>
      <c r="Y82" s="92">
        <v>10</v>
      </c>
      <c r="Z82" s="34">
        <f>F82</f>
        <v>-553</v>
      </c>
      <c r="AA82" s="92">
        <v>-1276</v>
      </c>
      <c r="AB82" s="92">
        <v>-3535</v>
      </c>
      <c r="AC82" s="92">
        <v>-5207</v>
      </c>
      <c r="AD82" s="34">
        <v>-4802</v>
      </c>
      <c r="AE82" s="92">
        <v>-4799</v>
      </c>
      <c r="AF82" s="92">
        <v>-4957</v>
      </c>
      <c r="AG82" s="92">
        <v>-4696</v>
      </c>
      <c r="AH82" s="34">
        <f>H82</f>
        <v>-5249</v>
      </c>
      <c r="AI82" s="92">
        <v>-4576</v>
      </c>
      <c r="AJ82" s="92">
        <v>-4379</v>
      </c>
      <c r="AK82" s="92">
        <v>-5543</v>
      </c>
      <c r="AL82" s="34">
        <f>I82</f>
        <v>-3689</v>
      </c>
      <c r="AM82" s="92">
        <v>-4729</v>
      </c>
      <c r="AN82" s="92">
        <v>-7197</v>
      </c>
      <c r="AO82" s="92">
        <v>-7245</v>
      </c>
      <c r="AQ82" s="34">
        <f>V82</f>
        <v>1748</v>
      </c>
      <c r="AR82" s="34">
        <f>W82</f>
        <v>490</v>
      </c>
      <c r="AS82" s="34">
        <f>X82</f>
        <v>1050</v>
      </c>
      <c r="AT82" s="34">
        <f>Y82</f>
        <v>10</v>
      </c>
      <c r="AU82" s="34">
        <f>Z82</f>
        <v>-553</v>
      </c>
      <c r="AV82" s="34">
        <f>AA82</f>
        <v>-1276</v>
      </c>
      <c r="AW82" s="34">
        <f>AB82</f>
        <v>-3535</v>
      </c>
      <c r="AX82" s="34">
        <f>AC82</f>
        <v>-5207</v>
      </c>
      <c r="AY82" s="34">
        <f>AD82</f>
        <v>-4802</v>
      </c>
      <c r="AZ82" s="34">
        <f>AE82</f>
        <v>-4799</v>
      </c>
      <c r="BA82" s="34">
        <f>AF82</f>
        <v>-4957</v>
      </c>
      <c r="BB82" s="34">
        <f>AG82</f>
        <v>-4696</v>
      </c>
      <c r="BC82" s="34">
        <f>AH82</f>
        <v>-5249</v>
      </c>
      <c r="BD82" s="34">
        <f>AI82</f>
        <v>-4576</v>
      </c>
      <c r="BE82" s="34">
        <f>AJ82</f>
        <v>-4379</v>
      </c>
      <c r="BF82" s="34">
        <f>AK82</f>
        <v>-5543</v>
      </c>
      <c r="BG82" s="34">
        <f>AL82</f>
        <v>-3689</v>
      </c>
      <c r="BH82" s="34">
        <f>AM82</f>
        <v>-4729</v>
      </c>
      <c r="BI82" s="34">
        <f>AN82</f>
        <v>-7197</v>
      </c>
      <c r="BJ82" s="34">
        <f>AO82</f>
        <v>-7245</v>
      </c>
      <c r="BK82" s="12"/>
      <c r="BL82" s="83"/>
    </row>
    <row r="83" spans="1:64" ht="12.75" customHeight="1">
      <c r="B83" s="14" t="s">
        <v>23</v>
      </c>
      <c r="C83" s="15">
        <f t="shared" ref="C83:I83" si="104">SUM(C78:C82)</f>
        <v>77790</v>
      </c>
      <c r="D83" s="15">
        <f t="shared" si="104"/>
        <v>384090</v>
      </c>
      <c r="E83" s="15">
        <f t="shared" si="104"/>
        <v>367097</v>
      </c>
      <c r="F83" s="15">
        <f t="shared" si="104"/>
        <v>132495</v>
      </c>
      <c r="G83" s="15">
        <f t="shared" si="104"/>
        <v>-203548</v>
      </c>
      <c r="H83" s="15">
        <f t="shared" si="104"/>
        <v>-513368</v>
      </c>
      <c r="I83" s="15">
        <f t="shared" si="104"/>
        <v>-601208</v>
      </c>
      <c r="J83" s="57"/>
      <c r="K83" s="15">
        <f t="shared" ref="K83:AN83" si="105">SUM(K78:K82)</f>
        <v>0</v>
      </c>
      <c r="L83" s="15">
        <f t="shared" si="105"/>
        <v>0</v>
      </c>
      <c r="M83" s="15">
        <f t="shared" si="105"/>
        <v>0</v>
      </c>
      <c r="N83" s="15">
        <f t="shared" si="105"/>
        <v>77790</v>
      </c>
      <c r="O83" s="15">
        <f t="shared" si="105"/>
        <v>72362</v>
      </c>
      <c r="P83" s="15">
        <f t="shared" si="105"/>
        <v>331785</v>
      </c>
      <c r="Q83" s="15">
        <f t="shared" si="105"/>
        <v>376828</v>
      </c>
      <c r="R83" s="15">
        <f t="shared" si="105"/>
        <v>384090</v>
      </c>
      <c r="S83" s="15">
        <f t="shared" si="105"/>
        <v>391981</v>
      </c>
      <c r="T83" s="15">
        <f t="shared" si="105"/>
        <v>389910</v>
      </c>
      <c r="U83" s="15">
        <f t="shared" si="105"/>
        <v>379400</v>
      </c>
      <c r="V83" s="15">
        <f t="shared" si="105"/>
        <v>367097</v>
      </c>
      <c r="W83" s="15">
        <f t="shared" si="105"/>
        <v>264047</v>
      </c>
      <c r="X83" s="15">
        <f t="shared" si="105"/>
        <v>255481</v>
      </c>
      <c r="Y83" s="15">
        <f t="shared" si="105"/>
        <v>207105</v>
      </c>
      <c r="Z83" s="15">
        <f t="shared" si="105"/>
        <v>132495</v>
      </c>
      <c r="AA83" s="15">
        <f t="shared" si="105"/>
        <v>40981</v>
      </c>
      <c r="AB83" s="15">
        <f t="shared" si="105"/>
        <v>-47941</v>
      </c>
      <c r="AC83" s="15">
        <f t="shared" si="105"/>
        <v>-142044</v>
      </c>
      <c r="AD83" s="15">
        <f t="shared" si="105"/>
        <v>-203548</v>
      </c>
      <c r="AE83" s="15">
        <f t="shared" si="105"/>
        <v>-253134</v>
      </c>
      <c r="AF83" s="15">
        <f t="shared" si="105"/>
        <v>-299118</v>
      </c>
      <c r="AG83" s="15">
        <f t="shared" si="105"/>
        <v>-362906</v>
      </c>
      <c r="AH83" s="15">
        <f t="shared" si="105"/>
        <v>-513368</v>
      </c>
      <c r="AI83" s="15">
        <f t="shared" si="105"/>
        <v>-561411</v>
      </c>
      <c r="AJ83" s="15">
        <f t="shared" si="105"/>
        <v>-590025</v>
      </c>
      <c r="AK83" s="15">
        <f t="shared" si="105"/>
        <v>-611924</v>
      </c>
      <c r="AL83" s="15">
        <f t="shared" si="105"/>
        <v>-601208</v>
      </c>
      <c r="AM83" s="15">
        <f t="shared" si="105"/>
        <v>-649531</v>
      </c>
      <c r="AN83" s="15">
        <f t="shared" si="105"/>
        <v>-677023</v>
      </c>
      <c r="AO83" s="15">
        <f t="shared" ref="AO83" si="106">SUM(AO78:AO82)</f>
        <v>-784065</v>
      </c>
      <c r="AQ83" s="15">
        <f t="shared" ref="AQ83:AX83" si="107">SUM(AQ78:AQ82)</f>
        <v>367097</v>
      </c>
      <c r="AR83" s="15">
        <f t="shared" si="107"/>
        <v>264047</v>
      </c>
      <c r="AS83" s="15">
        <f t="shared" si="107"/>
        <v>255481</v>
      </c>
      <c r="AT83" s="15">
        <f t="shared" si="107"/>
        <v>207105</v>
      </c>
      <c r="AU83" s="15">
        <f t="shared" si="107"/>
        <v>132495</v>
      </c>
      <c r="AV83" s="15">
        <f t="shared" si="107"/>
        <v>40981</v>
      </c>
      <c r="AW83" s="15">
        <f t="shared" si="107"/>
        <v>-47941</v>
      </c>
      <c r="AX83" s="15">
        <f t="shared" si="107"/>
        <v>-142044</v>
      </c>
      <c r="AY83" s="15">
        <f t="shared" ref="AY83:BI83" si="108">SUM(AY78:AY82)</f>
        <v>-203548</v>
      </c>
      <c r="AZ83" s="15">
        <f t="shared" si="108"/>
        <v>-253134</v>
      </c>
      <c r="BA83" s="15">
        <f t="shared" si="108"/>
        <v>-299118</v>
      </c>
      <c r="BB83" s="15">
        <f t="shared" si="108"/>
        <v>-362906</v>
      </c>
      <c r="BC83" s="15">
        <f t="shared" si="108"/>
        <v>-513368</v>
      </c>
      <c r="BD83" s="15">
        <f t="shared" si="108"/>
        <v>-561411</v>
      </c>
      <c r="BE83" s="15">
        <f t="shared" si="108"/>
        <v>-590025</v>
      </c>
      <c r="BF83" s="15">
        <f t="shared" si="108"/>
        <v>-611924</v>
      </c>
      <c r="BG83" s="15">
        <f t="shared" si="108"/>
        <v>-601208</v>
      </c>
      <c r="BH83" s="15">
        <f t="shared" si="108"/>
        <v>-649531</v>
      </c>
      <c r="BI83" s="15">
        <f t="shared" si="108"/>
        <v>-677023</v>
      </c>
      <c r="BJ83" s="15">
        <f t="shared" ref="BJ83" si="109">SUM(BJ78:BJ82)</f>
        <v>-784065</v>
      </c>
      <c r="BK83" s="45"/>
      <c r="BL83" s="84">
        <f>SUM(BI83/BE83)-1</f>
        <v>0.14744798949197069</v>
      </c>
    </row>
    <row r="84" spans="1:64" ht="12.75" customHeight="1">
      <c r="B84" s="27" t="s">
        <v>83</v>
      </c>
      <c r="C84" s="34">
        <f t="shared" ref="C84:I84" si="110">SUM(C83+C76)</f>
        <v>133749</v>
      </c>
      <c r="D84" s="34">
        <f t="shared" si="110"/>
        <v>451923</v>
      </c>
      <c r="E84" s="34">
        <f t="shared" si="110"/>
        <v>468006</v>
      </c>
      <c r="F84" s="34">
        <f t="shared" si="110"/>
        <v>1379399</v>
      </c>
      <c r="G84" s="34">
        <f t="shared" si="110"/>
        <v>1062224</v>
      </c>
      <c r="H84" s="34">
        <f t="shared" si="110"/>
        <v>774450</v>
      </c>
      <c r="I84" s="34">
        <f t="shared" si="110"/>
        <v>678146</v>
      </c>
      <c r="J84" s="34"/>
      <c r="K84" s="34">
        <f t="shared" ref="K84:AN84" si="111">SUM(K83+K76)</f>
        <v>0</v>
      </c>
      <c r="L84" s="34">
        <f t="shared" si="111"/>
        <v>0</v>
      </c>
      <c r="M84" s="34">
        <f t="shared" si="111"/>
        <v>0</v>
      </c>
      <c r="N84" s="34">
        <f t="shared" si="111"/>
        <v>133749</v>
      </c>
      <c r="O84" s="34">
        <f t="shared" si="111"/>
        <v>125157</v>
      </c>
      <c r="P84" s="34">
        <f t="shared" si="111"/>
        <v>397061</v>
      </c>
      <c r="Q84" s="34">
        <f t="shared" si="111"/>
        <v>454841</v>
      </c>
      <c r="R84" s="34">
        <f t="shared" si="111"/>
        <v>451923</v>
      </c>
      <c r="S84" s="34">
        <f t="shared" si="111"/>
        <v>491633</v>
      </c>
      <c r="T84" s="34">
        <f t="shared" si="111"/>
        <v>517974</v>
      </c>
      <c r="U84" s="34">
        <f t="shared" si="111"/>
        <v>486637</v>
      </c>
      <c r="V84" s="34">
        <f t="shared" si="111"/>
        <v>468006</v>
      </c>
      <c r="W84" s="34">
        <f t="shared" si="111"/>
        <v>1475519</v>
      </c>
      <c r="X84" s="34">
        <f t="shared" si="111"/>
        <v>1466520</v>
      </c>
      <c r="Y84" s="34">
        <f t="shared" si="111"/>
        <v>1432374</v>
      </c>
      <c r="Z84" s="34">
        <f t="shared" si="111"/>
        <v>1379399</v>
      </c>
      <c r="AA84" s="34">
        <f t="shared" si="111"/>
        <v>1294510</v>
      </c>
      <c r="AB84" s="34">
        <f t="shared" si="111"/>
        <v>1218109</v>
      </c>
      <c r="AC84" s="34">
        <f t="shared" si="111"/>
        <v>1141287</v>
      </c>
      <c r="AD84" s="34">
        <f t="shared" si="111"/>
        <v>1062224</v>
      </c>
      <c r="AE84" s="34">
        <f t="shared" si="111"/>
        <v>986577</v>
      </c>
      <c r="AF84" s="34">
        <f t="shared" si="111"/>
        <v>968585</v>
      </c>
      <c r="AG84" s="34">
        <f t="shared" si="111"/>
        <v>929208</v>
      </c>
      <c r="AH84" s="34">
        <f t="shared" si="111"/>
        <v>774450</v>
      </c>
      <c r="AI84" s="34">
        <f t="shared" si="111"/>
        <v>735026</v>
      </c>
      <c r="AJ84" s="34">
        <f t="shared" si="111"/>
        <v>711234</v>
      </c>
      <c r="AK84" s="34">
        <f t="shared" si="111"/>
        <v>692938</v>
      </c>
      <c r="AL84" s="34">
        <f t="shared" si="111"/>
        <v>678146</v>
      </c>
      <c r="AM84" s="34">
        <f t="shared" si="111"/>
        <v>643830</v>
      </c>
      <c r="AN84" s="34">
        <f t="shared" si="111"/>
        <v>691741</v>
      </c>
      <c r="AO84" s="34">
        <f t="shared" ref="AO84" si="112">SUM(AO83+AO76)</f>
        <v>599669</v>
      </c>
      <c r="AP84" s="34"/>
      <c r="AQ84" s="34">
        <f t="shared" ref="AQ84:AX84" si="113">SUM(AQ83+AQ76)</f>
        <v>468006</v>
      </c>
      <c r="AR84" s="34">
        <f t="shared" si="113"/>
        <v>1475519</v>
      </c>
      <c r="AS84" s="34">
        <f t="shared" si="113"/>
        <v>1466520</v>
      </c>
      <c r="AT84" s="34">
        <f t="shared" si="113"/>
        <v>1432374</v>
      </c>
      <c r="AU84" s="34">
        <f t="shared" si="113"/>
        <v>1379399</v>
      </c>
      <c r="AV84" s="34">
        <f t="shared" si="113"/>
        <v>1294510</v>
      </c>
      <c r="AW84" s="34">
        <f t="shared" si="113"/>
        <v>1218109</v>
      </c>
      <c r="AX84" s="34">
        <f t="shared" si="113"/>
        <v>1141287</v>
      </c>
      <c r="AY84" s="34">
        <f t="shared" ref="AY84:BI84" si="114">SUM(AY83+AY76)</f>
        <v>1062224</v>
      </c>
      <c r="AZ84" s="34">
        <f t="shared" si="114"/>
        <v>986577</v>
      </c>
      <c r="BA84" s="34">
        <f t="shared" si="114"/>
        <v>968585</v>
      </c>
      <c r="BB84" s="34">
        <f t="shared" si="114"/>
        <v>929208</v>
      </c>
      <c r="BC84" s="34">
        <f t="shared" si="114"/>
        <v>774450</v>
      </c>
      <c r="BD84" s="34">
        <f t="shared" si="114"/>
        <v>735026</v>
      </c>
      <c r="BE84" s="34">
        <f t="shared" si="114"/>
        <v>711234</v>
      </c>
      <c r="BF84" s="34">
        <f t="shared" si="114"/>
        <v>692938</v>
      </c>
      <c r="BG84" s="34">
        <f t="shared" si="114"/>
        <v>678146</v>
      </c>
      <c r="BH84" s="34">
        <f t="shared" si="114"/>
        <v>643830</v>
      </c>
      <c r="BI84" s="34">
        <f t="shared" si="114"/>
        <v>691741</v>
      </c>
      <c r="BJ84" s="34">
        <f t="shared" ref="BJ84" si="115">SUM(BJ83+BJ76)</f>
        <v>599669</v>
      </c>
      <c r="BK84" s="12"/>
      <c r="BL84" s="84">
        <f>SUM(BI84/BE84)-1</f>
        <v>-2.740729492684546E-2</v>
      </c>
    </row>
    <row r="85" spans="1:64" ht="5.0999999999999996" customHeight="1">
      <c r="B85" s="27"/>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12"/>
    </row>
    <row r="86" spans="1:64" ht="12.75" customHeight="1">
      <c r="B86" s="76" t="s">
        <v>94</v>
      </c>
      <c r="C86" s="77">
        <f t="shared" ref="C86:I86" si="116">C84-C59</f>
        <v>0</v>
      </c>
      <c r="D86" s="77">
        <f t="shared" si="116"/>
        <v>0</v>
      </c>
      <c r="E86" s="77">
        <f t="shared" si="116"/>
        <v>0</v>
      </c>
      <c r="F86" s="77">
        <f t="shared" si="116"/>
        <v>0</v>
      </c>
      <c r="G86" s="77">
        <f t="shared" si="116"/>
        <v>0</v>
      </c>
      <c r="H86" s="77">
        <f t="shared" si="116"/>
        <v>0</v>
      </c>
      <c r="I86" s="77">
        <f t="shared" si="116"/>
        <v>0</v>
      </c>
      <c r="J86" s="78"/>
      <c r="K86" s="469"/>
      <c r="L86" s="469"/>
      <c r="M86" s="469"/>
      <c r="N86" s="77">
        <f t="shared" ref="N86:AN86" si="117">N84-N59</f>
        <v>0</v>
      </c>
      <c r="O86" s="77">
        <f t="shared" si="117"/>
        <v>0</v>
      </c>
      <c r="P86" s="77">
        <f t="shared" si="117"/>
        <v>0</v>
      </c>
      <c r="Q86" s="77">
        <f t="shared" si="117"/>
        <v>0</v>
      </c>
      <c r="R86" s="77">
        <f t="shared" si="117"/>
        <v>0</v>
      </c>
      <c r="S86" s="77">
        <f t="shared" si="117"/>
        <v>0</v>
      </c>
      <c r="T86" s="77">
        <f t="shared" si="117"/>
        <v>0</v>
      </c>
      <c r="U86" s="77">
        <f t="shared" si="117"/>
        <v>0</v>
      </c>
      <c r="V86" s="77">
        <f t="shared" si="117"/>
        <v>0</v>
      </c>
      <c r="W86" s="77">
        <f t="shared" si="117"/>
        <v>0</v>
      </c>
      <c r="X86" s="77">
        <f t="shared" si="117"/>
        <v>0</v>
      </c>
      <c r="Y86" s="77">
        <f t="shared" si="117"/>
        <v>0</v>
      </c>
      <c r="Z86" s="77">
        <f t="shared" si="117"/>
        <v>0</v>
      </c>
      <c r="AA86" s="77">
        <f t="shared" si="117"/>
        <v>0</v>
      </c>
      <c r="AB86" s="77">
        <f t="shared" si="117"/>
        <v>0</v>
      </c>
      <c r="AC86" s="77">
        <f t="shared" si="117"/>
        <v>0</v>
      </c>
      <c r="AD86" s="77">
        <f t="shared" si="117"/>
        <v>0</v>
      </c>
      <c r="AE86" s="77">
        <f t="shared" si="117"/>
        <v>0</v>
      </c>
      <c r="AF86" s="77">
        <f t="shared" si="117"/>
        <v>0</v>
      </c>
      <c r="AG86" s="77">
        <f t="shared" si="117"/>
        <v>0</v>
      </c>
      <c r="AH86" s="77">
        <f t="shared" si="117"/>
        <v>0</v>
      </c>
      <c r="AI86" s="77">
        <f t="shared" si="117"/>
        <v>0</v>
      </c>
      <c r="AJ86" s="77">
        <f t="shared" si="117"/>
        <v>0</v>
      </c>
      <c r="AK86" s="77">
        <f t="shared" si="117"/>
        <v>0</v>
      </c>
      <c r="AL86" s="77">
        <f t="shared" si="117"/>
        <v>0</v>
      </c>
      <c r="AM86" s="77">
        <f t="shared" si="117"/>
        <v>0</v>
      </c>
      <c r="AN86" s="77">
        <f t="shared" si="117"/>
        <v>0</v>
      </c>
      <c r="AO86" s="77">
        <f t="shared" ref="AO86" si="118">AO84-AO59</f>
        <v>0</v>
      </c>
      <c r="AP86" s="30"/>
      <c r="AQ86" s="77">
        <f t="shared" ref="AQ86:AX86" si="119">AQ84-AQ59</f>
        <v>0</v>
      </c>
      <c r="AR86" s="77">
        <f t="shared" si="119"/>
        <v>0</v>
      </c>
      <c r="AS86" s="77">
        <f t="shared" si="119"/>
        <v>0</v>
      </c>
      <c r="AT86" s="77">
        <f t="shared" si="119"/>
        <v>0</v>
      </c>
      <c r="AU86" s="77">
        <f t="shared" si="119"/>
        <v>0</v>
      </c>
      <c r="AV86" s="77">
        <f t="shared" si="119"/>
        <v>0</v>
      </c>
      <c r="AW86" s="77">
        <f t="shared" si="119"/>
        <v>0</v>
      </c>
      <c r="AX86" s="77">
        <f t="shared" si="119"/>
        <v>0</v>
      </c>
      <c r="AY86" s="77">
        <f t="shared" ref="AY86:BI86" si="120">AY84-AY59</f>
        <v>0</v>
      </c>
      <c r="AZ86" s="77">
        <f t="shared" si="120"/>
        <v>0</v>
      </c>
      <c r="BA86" s="77">
        <f t="shared" si="120"/>
        <v>0</v>
      </c>
      <c r="BB86" s="77">
        <f t="shared" si="120"/>
        <v>0</v>
      </c>
      <c r="BC86" s="77">
        <f t="shared" si="120"/>
        <v>0</v>
      </c>
      <c r="BD86" s="77">
        <f t="shared" si="120"/>
        <v>0</v>
      </c>
      <c r="BE86" s="77">
        <f t="shared" si="120"/>
        <v>0</v>
      </c>
      <c r="BF86" s="77">
        <f t="shared" si="120"/>
        <v>0</v>
      </c>
      <c r="BG86" s="77">
        <f t="shared" si="120"/>
        <v>0</v>
      </c>
      <c r="BH86" s="77">
        <f t="shared" si="120"/>
        <v>0</v>
      </c>
      <c r="BI86" s="77">
        <f t="shared" si="120"/>
        <v>0</v>
      </c>
      <c r="BJ86" s="77">
        <f t="shared" ref="BJ86" si="121">BJ84-BJ59</f>
        <v>0</v>
      </c>
    </row>
    <row r="87" spans="1:64" ht="5.0999999999999996" customHeight="1" thickBot="1">
      <c r="B87" s="472"/>
      <c r="C87" s="473"/>
      <c r="D87" s="473"/>
      <c r="E87" s="473"/>
      <c r="F87" s="473"/>
      <c r="G87" s="473"/>
      <c r="H87" s="473"/>
      <c r="I87" s="473"/>
      <c r="J87" s="474"/>
      <c r="K87" s="473"/>
      <c r="L87" s="473"/>
      <c r="M87" s="473"/>
      <c r="N87" s="473"/>
      <c r="O87" s="473"/>
      <c r="P87" s="473"/>
      <c r="Q87" s="473"/>
      <c r="R87" s="473"/>
      <c r="S87" s="473"/>
      <c r="T87" s="473"/>
      <c r="U87" s="473"/>
      <c r="V87" s="473"/>
      <c r="W87" s="473"/>
      <c r="X87" s="473"/>
      <c r="Y87" s="473"/>
      <c r="Z87" s="473"/>
      <c r="AA87" s="473"/>
      <c r="AB87" s="473"/>
      <c r="AC87" s="473"/>
      <c r="AD87" s="473"/>
      <c r="AE87" s="473"/>
      <c r="AF87" s="473"/>
      <c r="AG87" s="473"/>
      <c r="AH87" s="473"/>
      <c r="AI87" s="473"/>
      <c r="AJ87" s="473"/>
      <c r="AK87" s="473"/>
      <c r="AL87" s="473"/>
      <c r="AM87" s="473"/>
      <c r="AN87" s="473"/>
      <c r="AO87" s="473"/>
      <c r="AP87" s="475"/>
      <c r="AQ87" s="473"/>
      <c r="AR87" s="473"/>
      <c r="AS87" s="473"/>
      <c r="AT87" s="473"/>
      <c r="AU87" s="473"/>
      <c r="AV87" s="473"/>
      <c r="AW87" s="473"/>
      <c r="AX87" s="473"/>
      <c r="AY87" s="473"/>
      <c r="AZ87" s="473"/>
      <c r="BA87" s="473"/>
      <c r="BB87" s="473"/>
      <c r="BC87" s="473"/>
      <c r="BD87" s="473"/>
      <c r="BE87" s="473"/>
      <c r="BF87" s="473"/>
      <c r="BG87" s="473"/>
      <c r="BH87" s="473"/>
      <c r="BI87" s="473"/>
      <c r="BJ87" s="473"/>
      <c r="BK87" s="81"/>
      <c r="BL87" s="81"/>
    </row>
    <row r="88" spans="1:64" ht="12.75" customHeight="1">
      <c r="B88" s="496" t="s">
        <v>524</v>
      </c>
      <c r="C88" s="497"/>
      <c r="D88" s="497"/>
      <c r="E88" s="497"/>
      <c r="F88" s="497"/>
      <c r="G88" s="497"/>
      <c r="H88" s="497"/>
      <c r="I88" s="497"/>
      <c r="J88" s="497"/>
      <c r="K88" s="497"/>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c r="AW88" s="497"/>
      <c r="AX88" s="497"/>
      <c r="AY88" s="497"/>
      <c r="AZ88" s="497"/>
      <c r="BA88" s="497"/>
      <c r="BB88" s="497"/>
      <c r="BC88" s="497"/>
      <c r="BD88" s="497"/>
      <c r="BE88" s="497"/>
      <c r="BF88" s="497"/>
      <c r="BG88" s="497"/>
      <c r="BH88" s="497"/>
      <c r="BI88" s="497"/>
      <c r="BJ88" s="497"/>
      <c r="BK88" s="497"/>
      <c r="BL88" s="497"/>
    </row>
    <row r="89" spans="1:64" ht="12.75" customHeight="1">
      <c r="B89" s="498" t="s">
        <v>518</v>
      </c>
      <c r="C89" s="499"/>
      <c r="D89" s="499"/>
      <c r="E89" s="499"/>
      <c r="F89" s="499"/>
      <c r="G89" s="499"/>
      <c r="H89" s="499"/>
      <c r="I89" s="499"/>
      <c r="J89" s="499"/>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c r="AK89" s="499"/>
      <c r="AL89" s="499"/>
      <c r="AM89" s="499"/>
      <c r="AN89" s="499"/>
      <c r="AO89" s="499"/>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row>
    <row r="90" spans="1:64" ht="12.75" customHeight="1">
      <c r="B90" s="498" t="s">
        <v>519</v>
      </c>
      <c r="C90" s="499"/>
      <c r="D90" s="499"/>
      <c r="E90" s="499"/>
      <c r="F90" s="499"/>
      <c r="G90" s="499"/>
      <c r="H90" s="499"/>
      <c r="I90" s="499"/>
      <c r="J90" s="499"/>
      <c r="K90" s="499"/>
      <c r="L90" s="499"/>
      <c r="M90" s="499"/>
      <c r="N90" s="499"/>
      <c r="O90" s="499"/>
      <c r="P90" s="499"/>
      <c r="Q90" s="499"/>
      <c r="R90" s="499"/>
      <c r="S90" s="499"/>
      <c r="T90" s="499"/>
      <c r="U90" s="499"/>
      <c r="V90" s="499"/>
      <c r="W90" s="499"/>
      <c r="X90" s="499"/>
      <c r="Y90" s="499"/>
      <c r="Z90" s="499"/>
      <c r="AA90" s="499"/>
      <c r="AB90" s="499"/>
      <c r="AC90" s="499"/>
      <c r="AD90" s="499"/>
      <c r="AE90" s="499"/>
      <c r="AF90" s="499"/>
      <c r="AG90" s="499"/>
      <c r="AH90" s="499"/>
      <c r="AI90" s="499"/>
      <c r="AJ90" s="499"/>
      <c r="AK90" s="499"/>
      <c r="AL90" s="499"/>
      <c r="AM90" s="499"/>
      <c r="AN90" s="499"/>
      <c r="AO90" s="499"/>
      <c r="AP90" s="499"/>
      <c r="AQ90" s="499"/>
      <c r="AR90" s="499"/>
      <c r="AS90" s="499"/>
      <c r="AT90" s="499"/>
      <c r="AU90" s="499"/>
      <c r="AV90" s="499"/>
      <c r="AW90" s="499"/>
      <c r="AX90" s="499"/>
      <c r="AY90" s="499"/>
      <c r="AZ90" s="499"/>
      <c r="BA90" s="499"/>
      <c r="BB90" s="499"/>
      <c r="BC90" s="499"/>
      <c r="BD90" s="499"/>
      <c r="BE90" s="499"/>
      <c r="BF90" s="499"/>
      <c r="BG90" s="499"/>
      <c r="BH90" s="499"/>
      <c r="BI90" s="499"/>
      <c r="BJ90" s="499"/>
      <c r="BK90" s="499"/>
      <c r="BL90" s="499"/>
    </row>
    <row r="91" spans="1:64" ht="12.75" customHeight="1">
      <c r="B91" s="498" t="s">
        <v>520</v>
      </c>
      <c r="C91" s="499"/>
      <c r="D91" s="499"/>
      <c r="E91" s="499"/>
      <c r="F91" s="499"/>
      <c r="G91" s="499"/>
      <c r="H91" s="499"/>
      <c r="I91" s="499"/>
      <c r="J91" s="499"/>
      <c r="K91" s="499"/>
      <c r="L91" s="499"/>
      <c r="M91" s="499"/>
      <c r="N91" s="499"/>
      <c r="O91" s="499"/>
      <c r="P91" s="499"/>
      <c r="Q91" s="499"/>
      <c r="R91" s="499"/>
      <c r="S91" s="499"/>
      <c r="T91" s="499"/>
      <c r="U91" s="499"/>
      <c r="V91" s="499"/>
      <c r="W91" s="499"/>
      <c r="X91" s="499"/>
      <c r="Y91" s="499"/>
      <c r="Z91" s="499"/>
      <c r="AA91" s="499"/>
      <c r="AB91" s="499"/>
      <c r="AC91" s="499"/>
      <c r="AD91" s="499"/>
      <c r="AE91" s="499"/>
      <c r="AF91" s="499"/>
      <c r="AG91" s="499"/>
      <c r="AH91" s="499"/>
      <c r="AI91" s="499"/>
      <c r="AJ91" s="499"/>
      <c r="AK91" s="499"/>
      <c r="AL91" s="499"/>
      <c r="AM91" s="499"/>
      <c r="AN91" s="499"/>
      <c r="AO91" s="499"/>
      <c r="AP91" s="499"/>
      <c r="AQ91" s="499"/>
      <c r="AR91" s="499"/>
      <c r="AS91" s="499"/>
      <c r="AT91" s="499"/>
      <c r="AU91" s="499"/>
      <c r="AV91" s="499"/>
      <c r="AW91" s="499"/>
      <c r="AX91" s="499"/>
      <c r="AY91" s="499"/>
      <c r="AZ91" s="499"/>
      <c r="BA91" s="499"/>
      <c r="BB91" s="499"/>
      <c r="BC91" s="499"/>
      <c r="BD91" s="499"/>
      <c r="BE91" s="499"/>
      <c r="BF91" s="499"/>
      <c r="BG91" s="499"/>
      <c r="BH91" s="499"/>
      <c r="BI91" s="499"/>
      <c r="BJ91" s="499"/>
      <c r="BK91" s="499"/>
      <c r="BL91" s="499"/>
    </row>
    <row r="92" spans="1:64">
      <c r="B92" s="74"/>
      <c r="C92" s="75"/>
      <c r="D92" s="75"/>
      <c r="E92" s="75"/>
      <c r="F92" s="58"/>
      <c r="G92" s="26"/>
      <c r="H92" s="26"/>
      <c r="I92" s="26"/>
      <c r="J92" s="58"/>
    </row>
    <row r="93" spans="1:64" ht="12.75" customHeight="1">
      <c r="A93" s="5" t="s">
        <v>25</v>
      </c>
      <c r="B93" s="371" t="s">
        <v>20</v>
      </c>
      <c r="C93" s="379"/>
      <c r="D93" s="379"/>
      <c r="E93" s="379"/>
      <c r="F93" s="379"/>
      <c r="G93" s="379"/>
      <c r="H93" s="379"/>
      <c r="I93" s="379"/>
      <c r="J93" s="380"/>
      <c r="K93" s="379" t="s">
        <v>1</v>
      </c>
      <c r="L93" s="379"/>
      <c r="M93" s="379"/>
      <c r="N93" s="379"/>
      <c r="O93" s="379"/>
      <c r="P93" s="379"/>
      <c r="Q93" s="379"/>
      <c r="R93" s="379"/>
      <c r="S93" s="379"/>
      <c r="T93" s="379"/>
      <c r="U93" s="379"/>
      <c r="V93" s="379"/>
      <c r="W93" s="379"/>
      <c r="X93" s="379"/>
      <c r="Y93" s="379"/>
      <c r="Z93" s="379"/>
      <c r="AA93" s="379"/>
      <c r="AB93" s="379"/>
      <c r="AC93" s="379"/>
      <c r="AD93" s="379"/>
      <c r="AE93" s="379"/>
      <c r="AF93" s="379"/>
      <c r="AG93" s="379"/>
      <c r="AH93" s="379"/>
      <c r="AI93" s="379"/>
      <c r="AJ93" s="379"/>
      <c r="AK93" s="379"/>
      <c r="AL93" s="379"/>
      <c r="AM93" s="379"/>
      <c r="AN93" s="379"/>
      <c r="AO93" s="379"/>
      <c r="AP93" s="371"/>
      <c r="AQ93" s="379"/>
      <c r="AR93" s="379"/>
      <c r="AS93" s="379"/>
      <c r="AT93" s="379"/>
      <c r="AU93" s="379"/>
      <c r="AV93" s="379"/>
      <c r="AW93" s="379"/>
      <c r="AX93" s="379"/>
      <c r="AY93" s="379"/>
      <c r="AZ93" s="379"/>
      <c r="BA93" s="379"/>
      <c r="BB93" s="379"/>
      <c r="BC93" s="379"/>
      <c r="BD93" s="379"/>
      <c r="BE93" s="379" t="s">
        <v>10</v>
      </c>
      <c r="BF93" s="379"/>
      <c r="BG93" s="379"/>
      <c r="BH93" s="379"/>
      <c r="BI93" s="379"/>
      <c r="BJ93" s="379"/>
      <c r="BK93" s="380"/>
      <c r="BL93" s="495" t="s">
        <v>38</v>
      </c>
    </row>
    <row r="94" spans="1:64" ht="12.75" customHeight="1">
      <c r="B94" s="372" t="str">
        <f>B7</f>
        <v>Fiscal Period</v>
      </c>
      <c r="C94" s="381">
        <f>C7</f>
        <v>2018</v>
      </c>
      <c r="D94" s="381">
        <f>D7</f>
        <v>2019</v>
      </c>
      <c r="E94" s="381">
        <f>E7</f>
        <v>2020</v>
      </c>
      <c r="F94" s="381">
        <f>F7</f>
        <v>2021</v>
      </c>
      <c r="G94" s="381">
        <f>G7</f>
        <v>2022</v>
      </c>
      <c r="H94" s="381">
        <f>H7</f>
        <v>2023</v>
      </c>
      <c r="I94" s="381">
        <f>I7</f>
        <v>2024</v>
      </c>
      <c r="J94" s="380"/>
      <c r="K94" s="381" t="str">
        <f>K7</f>
        <v>1Q18</v>
      </c>
      <c r="L94" s="381" t="str">
        <f>L7</f>
        <v>2Q18</v>
      </c>
      <c r="M94" s="381" t="str">
        <f>M7</f>
        <v>3Q18</v>
      </c>
      <c r="N94" s="381" t="str">
        <f>N7</f>
        <v>4Q18</v>
      </c>
      <c r="O94" s="381" t="str">
        <f>O7</f>
        <v>1Q19</v>
      </c>
      <c r="P94" s="381" t="str">
        <f>P7</f>
        <v>2Q19</v>
      </c>
      <c r="Q94" s="381" t="str">
        <f>Q7</f>
        <v>3Q19</v>
      </c>
      <c r="R94" s="381" t="str">
        <f>R7</f>
        <v>4Q19</v>
      </c>
      <c r="S94" s="381" t="str">
        <f>S7</f>
        <v>1Q20</v>
      </c>
      <c r="T94" s="381" t="str">
        <f>T7</f>
        <v>2Q20</v>
      </c>
      <c r="U94" s="381" t="str">
        <f>U7</f>
        <v>3Q20</v>
      </c>
      <c r="V94" s="381" t="str">
        <f>V7</f>
        <v>4Q20</v>
      </c>
      <c r="W94" s="381" t="str">
        <f>W7</f>
        <v>1Q21</v>
      </c>
      <c r="X94" s="381" t="str">
        <f>X7</f>
        <v>2Q21</v>
      </c>
      <c r="Y94" s="381" t="str">
        <f>Y7</f>
        <v>3Q21</v>
      </c>
      <c r="Z94" s="381" t="str">
        <f>Z7</f>
        <v>4Q21</v>
      </c>
      <c r="AA94" s="381" t="str">
        <f>AA7</f>
        <v>1Q22</v>
      </c>
      <c r="AB94" s="381" t="str">
        <f>AB7</f>
        <v>2Q22</v>
      </c>
      <c r="AC94" s="381" t="str">
        <f>AC7</f>
        <v>3Q22</v>
      </c>
      <c r="AD94" s="381" t="str">
        <f>AD7</f>
        <v>4Q22</v>
      </c>
      <c r="AE94" s="381" t="str">
        <f>AE7</f>
        <v>1Q23</v>
      </c>
      <c r="AF94" s="381" t="str">
        <f>AF7</f>
        <v>2Q23</v>
      </c>
      <c r="AG94" s="381" t="str">
        <f>AG7</f>
        <v>3Q23</v>
      </c>
      <c r="AH94" s="381" t="str">
        <f>AH7</f>
        <v>4Q23</v>
      </c>
      <c r="AI94" s="381" t="str">
        <f>AI7</f>
        <v>1Q24</v>
      </c>
      <c r="AJ94" s="381" t="str">
        <f>AJ7</f>
        <v>2Q24</v>
      </c>
      <c r="AK94" s="381" t="str">
        <f>AK7</f>
        <v>3Q24</v>
      </c>
      <c r="AL94" s="381" t="str">
        <f>AL7</f>
        <v>4Q24</v>
      </c>
      <c r="AM94" s="381" t="str">
        <f>AM7</f>
        <v>1Q25</v>
      </c>
      <c r="AN94" s="381" t="str">
        <f>AN7</f>
        <v>2Q25</v>
      </c>
      <c r="AO94" s="381" t="str">
        <f>AO7</f>
        <v>3Q25</v>
      </c>
      <c r="AP94" s="381"/>
      <c r="AQ94" s="381" t="str">
        <f t="shared" ref="AQ94:AX94" si="122">AQ7</f>
        <v>4Q20</v>
      </c>
      <c r="AR94" s="381" t="str">
        <f t="shared" si="122"/>
        <v>1Q21</v>
      </c>
      <c r="AS94" s="381" t="str">
        <f t="shared" si="122"/>
        <v>2Q21</v>
      </c>
      <c r="AT94" s="381" t="str">
        <f t="shared" si="122"/>
        <v>3Q21</v>
      </c>
      <c r="AU94" s="381" t="str">
        <f t="shared" si="122"/>
        <v>4Q21</v>
      </c>
      <c r="AV94" s="381" t="str">
        <f t="shared" si="122"/>
        <v>1Q22</v>
      </c>
      <c r="AW94" s="381" t="str">
        <f t="shared" si="122"/>
        <v>2Q22</v>
      </c>
      <c r="AX94" s="381" t="str">
        <f t="shared" si="122"/>
        <v>3Q22</v>
      </c>
      <c r="AY94" s="381" t="str">
        <f>AY7</f>
        <v>4Q22</v>
      </c>
      <c r="AZ94" s="381" t="str">
        <f>AZ7</f>
        <v>1Q23</v>
      </c>
      <c r="BA94" s="381" t="str">
        <f>BA7</f>
        <v>2Q23</v>
      </c>
      <c r="BB94" s="381" t="str">
        <f>BB7</f>
        <v>3Q23</v>
      </c>
      <c r="BC94" s="381" t="str">
        <f>BC7</f>
        <v>4Q23</v>
      </c>
      <c r="BD94" s="381" t="str">
        <f>BD7</f>
        <v>1Q24</v>
      </c>
      <c r="BE94" s="381" t="str">
        <f>BE7</f>
        <v>2Q24</v>
      </c>
      <c r="BF94" s="381" t="str">
        <f>BF7</f>
        <v>3Q24</v>
      </c>
      <c r="BG94" s="381" t="str">
        <f>BG7</f>
        <v>4Q24</v>
      </c>
      <c r="BH94" s="381" t="str">
        <f>BH7</f>
        <v>1Q25</v>
      </c>
      <c r="BI94" s="381" t="str">
        <f>BI7</f>
        <v>2Q25</v>
      </c>
      <c r="BJ94" s="381" t="str">
        <f>BJ7</f>
        <v>3Q25</v>
      </c>
      <c r="BK94" s="380"/>
      <c r="BL94" s="495"/>
    </row>
    <row r="95" spans="1:64" ht="12.75" customHeight="1">
      <c r="B95" s="372" t="str">
        <f>B8</f>
        <v>Fiscal Period End Date</v>
      </c>
      <c r="C95" s="382">
        <f>C8</f>
        <v>43465</v>
      </c>
      <c r="D95" s="382">
        <f>D8</f>
        <v>43830</v>
      </c>
      <c r="E95" s="382">
        <f>E8</f>
        <v>44196</v>
      </c>
      <c r="F95" s="382">
        <f>F8</f>
        <v>44561</v>
      </c>
      <c r="G95" s="382">
        <f>G8</f>
        <v>44926</v>
      </c>
      <c r="H95" s="382">
        <f>H8</f>
        <v>45291</v>
      </c>
      <c r="I95" s="382">
        <f>I8</f>
        <v>45657</v>
      </c>
      <c r="J95" s="380"/>
      <c r="K95" s="382">
        <f>K8</f>
        <v>43190</v>
      </c>
      <c r="L95" s="382">
        <f>L8</f>
        <v>43281</v>
      </c>
      <c r="M95" s="382">
        <f>M8</f>
        <v>43372</v>
      </c>
      <c r="N95" s="382">
        <f>N8</f>
        <v>43465</v>
      </c>
      <c r="O95" s="382">
        <f>O8</f>
        <v>43554</v>
      </c>
      <c r="P95" s="382">
        <f>P8</f>
        <v>43645</v>
      </c>
      <c r="Q95" s="382">
        <f>Q8</f>
        <v>43736</v>
      </c>
      <c r="R95" s="382">
        <f>R8</f>
        <v>43830</v>
      </c>
      <c r="S95" s="382">
        <f>S8</f>
        <v>43918</v>
      </c>
      <c r="T95" s="382">
        <f>T8</f>
        <v>44009</v>
      </c>
      <c r="U95" s="382">
        <f>U8</f>
        <v>44100</v>
      </c>
      <c r="V95" s="382">
        <f>V8</f>
        <v>44196</v>
      </c>
      <c r="W95" s="382">
        <f>W8</f>
        <v>44289</v>
      </c>
      <c r="X95" s="382">
        <f>X8</f>
        <v>44380</v>
      </c>
      <c r="Y95" s="382">
        <f>Y8</f>
        <v>44471</v>
      </c>
      <c r="Z95" s="382">
        <f>Z8</f>
        <v>44561</v>
      </c>
      <c r="AA95" s="382">
        <f>AA8</f>
        <v>44653</v>
      </c>
      <c r="AB95" s="382">
        <f>AB8</f>
        <v>44744</v>
      </c>
      <c r="AC95" s="382">
        <f>AC8</f>
        <v>44835</v>
      </c>
      <c r="AD95" s="382">
        <f>AD8</f>
        <v>44926</v>
      </c>
      <c r="AE95" s="382">
        <f>AE8</f>
        <v>45017</v>
      </c>
      <c r="AF95" s="382">
        <f>AF8</f>
        <v>45108</v>
      </c>
      <c r="AG95" s="382">
        <f>AG8</f>
        <v>45199</v>
      </c>
      <c r="AH95" s="382">
        <f>AH8</f>
        <v>45291</v>
      </c>
      <c r="AI95" s="382">
        <f>AI8</f>
        <v>45381</v>
      </c>
      <c r="AJ95" s="382">
        <f>AJ8</f>
        <v>45472</v>
      </c>
      <c r="AK95" s="382">
        <f>AK8</f>
        <v>45563</v>
      </c>
      <c r="AL95" s="382">
        <f>AL8</f>
        <v>45657</v>
      </c>
      <c r="AM95" s="382">
        <f>AM8</f>
        <v>45745</v>
      </c>
      <c r="AN95" s="382">
        <f>AN8</f>
        <v>45836</v>
      </c>
      <c r="AO95" s="382">
        <f>AO8</f>
        <v>45927</v>
      </c>
      <c r="AP95" s="382"/>
      <c r="AQ95" s="382">
        <f t="shared" ref="AQ95:AX95" si="123">AQ8</f>
        <v>44196</v>
      </c>
      <c r="AR95" s="382">
        <f t="shared" si="123"/>
        <v>44289</v>
      </c>
      <c r="AS95" s="382">
        <f t="shared" si="123"/>
        <v>44380</v>
      </c>
      <c r="AT95" s="382">
        <f t="shared" si="123"/>
        <v>44471</v>
      </c>
      <c r="AU95" s="382">
        <f t="shared" si="123"/>
        <v>44561</v>
      </c>
      <c r="AV95" s="382">
        <f t="shared" si="123"/>
        <v>44653</v>
      </c>
      <c r="AW95" s="382">
        <f t="shared" si="123"/>
        <v>44744</v>
      </c>
      <c r="AX95" s="382">
        <f t="shared" si="123"/>
        <v>44835</v>
      </c>
      <c r="AY95" s="382">
        <f>AY8</f>
        <v>44926</v>
      </c>
      <c r="AZ95" s="382">
        <f>AZ8</f>
        <v>45017</v>
      </c>
      <c r="BA95" s="382">
        <f>BA8</f>
        <v>45108</v>
      </c>
      <c r="BB95" s="382">
        <f>BB8</f>
        <v>45199</v>
      </c>
      <c r="BC95" s="382">
        <f>BC8</f>
        <v>45291</v>
      </c>
      <c r="BD95" s="382">
        <f>BD8</f>
        <v>45381</v>
      </c>
      <c r="BE95" s="382">
        <f>BE8</f>
        <v>45472</v>
      </c>
      <c r="BF95" s="382">
        <f>BF8</f>
        <v>45563</v>
      </c>
      <c r="BG95" s="382">
        <f>BG8</f>
        <v>45657</v>
      </c>
      <c r="BH95" s="382">
        <f>BH8</f>
        <v>45745</v>
      </c>
      <c r="BI95" s="382">
        <f>BI8</f>
        <v>45836</v>
      </c>
      <c r="BJ95" s="382">
        <f>BJ8</f>
        <v>45927</v>
      </c>
      <c r="BK95" s="380"/>
      <c r="BL95" s="495"/>
    </row>
    <row r="96" spans="1:64" ht="5.0999999999999996" customHeight="1">
      <c r="B96" s="59"/>
      <c r="C96" s="52"/>
      <c r="D96" s="52"/>
      <c r="E96" s="52"/>
      <c r="F96" s="52"/>
      <c r="G96" s="52"/>
      <c r="H96" s="52"/>
      <c r="I96" s="52"/>
    </row>
    <row r="97" spans="2:64" ht="12.75" customHeight="1">
      <c r="B97" s="60" t="s">
        <v>84</v>
      </c>
      <c r="C97" s="61"/>
      <c r="D97" s="61"/>
      <c r="E97" s="61"/>
      <c r="F97" s="61"/>
      <c r="G97" s="61"/>
      <c r="H97" s="61"/>
      <c r="I97" s="61"/>
    </row>
    <row r="98" spans="2:64" ht="12.75" customHeight="1">
      <c r="B98" s="62" t="s">
        <v>85</v>
      </c>
      <c r="C98" s="34">
        <f t="shared" ref="C98:I98" si="124">C31</f>
        <v>-29886</v>
      </c>
      <c r="D98" s="34">
        <f t="shared" si="124"/>
        <v>-12443</v>
      </c>
      <c r="E98" s="34">
        <f t="shared" si="124"/>
        <v>-52752</v>
      </c>
      <c r="F98" s="34">
        <f t="shared" si="124"/>
        <v>-182105</v>
      </c>
      <c r="G98" s="34">
        <f t="shared" si="124"/>
        <v>-366137</v>
      </c>
      <c r="H98" s="34">
        <f t="shared" si="124"/>
        <v>-338144</v>
      </c>
      <c r="I98" s="34">
        <f t="shared" si="124"/>
        <v>-160278</v>
      </c>
      <c r="J98" s="34"/>
      <c r="K98" s="34">
        <f t="shared" ref="K98:Q98" si="125">K31</f>
        <v>-5696</v>
      </c>
      <c r="L98" s="34">
        <f t="shared" si="125"/>
        <v>-7396</v>
      </c>
      <c r="M98" s="34">
        <f t="shared" si="125"/>
        <v>-9342</v>
      </c>
      <c r="N98" s="34">
        <f t="shared" si="125"/>
        <v>-7452</v>
      </c>
      <c r="O98" s="34">
        <f t="shared" si="125"/>
        <v>-6649</v>
      </c>
      <c r="P98" s="34">
        <f t="shared" si="125"/>
        <v>-9441</v>
      </c>
      <c r="Q98" s="34">
        <f t="shared" si="125"/>
        <v>4099</v>
      </c>
      <c r="R98" s="34">
        <f>SUM(D98-SUM(O98:Q98))</f>
        <v>-452</v>
      </c>
      <c r="S98" s="34">
        <f>S31</f>
        <v>1815</v>
      </c>
      <c r="T98" s="34">
        <f>T31</f>
        <v>-10205</v>
      </c>
      <c r="U98" s="34">
        <f>U31</f>
        <v>-19285</v>
      </c>
      <c r="V98" s="34">
        <f t="shared" ref="V98:V115" si="126">SUM(E98-SUM(S98:U98))</f>
        <v>-25077</v>
      </c>
      <c r="W98" s="34">
        <f>W31</f>
        <v>-27266</v>
      </c>
      <c r="X98" s="34">
        <f>X31</f>
        <v>-19652</v>
      </c>
      <c r="Y98" s="34">
        <f>Y31</f>
        <v>-54816</v>
      </c>
      <c r="Z98" s="34">
        <f>SUM(F98-SUM(W98:Y98))</f>
        <v>-80371</v>
      </c>
      <c r="AA98" s="34">
        <f>AA31</f>
        <v>-100458</v>
      </c>
      <c r="AB98" s="34">
        <f>AB31</f>
        <v>-97134</v>
      </c>
      <c r="AC98" s="34">
        <f>AC31</f>
        <v>-101678</v>
      </c>
      <c r="AD98" s="34">
        <f>SUM(G98-SUM(AA98:AC98))</f>
        <v>-66867</v>
      </c>
      <c r="AE98" s="34">
        <f t="shared" ref="AE98:AN98" si="127">AE31</f>
        <v>-59037</v>
      </c>
      <c r="AF98" s="34">
        <f t="shared" si="127"/>
        <v>-53505</v>
      </c>
      <c r="AG98" s="34">
        <f t="shared" si="127"/>
        <v>-70492</v>
      </c>
      <c r="AH98" s="34">
        <f t="shared" si="127"/>
        <v>-155110</v>
      </c>
      <c r="AI98" s="34">
        <f t="shared" si="127"/>
        <v>-54361</v>
      </c>
      <c r="AJ98" s="34">
        <f t="shared" si="127"/>
        <v>-34479</v>
      </c>
      <c r="AK98" s="34">
        <f t="shared" si="127"/>
        <v>-26576</v>
      </c>
      <c r="AL98" s="34">
        <f t="shared" si="127"/>
        <v>-44862</v>
      </c>
      <c r="AM98" s="34">
        <f t="shared" si="127"/>
        <v>-52916</v>
      </c>
      <c r="AN98" s="34">
        <f t="shared" si="127"/>
        <v>-29242</v>
      </c>
      <c r="AO98" s="34">
        <f t="shared" ref="AO98" si="128">AO31</f>
        <v>-110688</v>
      </c>
      <c r="AQ98" s="34">
        <f>SUM(S98:V98)</f>
        <v>-52752</v>
      </c>
      <c r="AR98" s="34">
        <f>SUM(T98:W98)</f>
        <v>-81833</v>
      </c>
      <c r="AS98" s="34">
        <f>SUM(U98:X98)</f>
        <v>-91280</v>
      </c>
      <c r="AT98" s="34">
        <f>SUM(V98:Y98)</f>
        <v>-126811</v>
      </c>
      <c r="AU98" s="34">
        <f>SUM(W98:Z98)</f>
        <v>-182105</v>
      </c>
      <c r="AV98" s="34">
        <f>SUM(X98:AA98)</f>
        <v>-255297</v>
      </c>
      <c r="AW98" s="34">
        <f>SUM(Y98:AB98)</f>
        <v>-332779</v>
      </c>
      <c r="AX98" s="34">
        <f>SUM(Z98:AC98)</f>
        <v>-379641</v>
      </c>
      <c r="AY98" s="34">
        <f>SUM(AA98:AD98)</f>
        <v>-366137</v>
      </c>
      <c r="AZ98" s="34">
        <f>SUM(AB98:AE98)</f>
        <v>-324716</v>
      </c>
      <c r="BA98" s="34">
        <f>SUM(AC98:AF98)</f>
        <v>-281087</v>
      </c>
      <c r="BB98" s="34">
        <f>SUM(AD98:AG98)</f>
        <v>-249901</v>
      </c>
      <c r="BC98" s="34">
        <f>SUM(AE98:AH98)</f>
        <v>-338144</v>
      </c>
      <c r="BD98" s="34">
        <f>SUM(AF98:AI98)</f>
        <v>-333468</v>
      </c>
      <c r="BE98" s="34">
        <f>SUM(AG98:AJ98)</f>
        <v>-314442</v>
      </c>
      <c r="BF98" s="34">
        <f>SUM(AH98:AK98)</f>
        <v>-270526</v>
      </c>
      <c r="BG98" s="34">
        <f>SUM(AI98:AL98)</f>
        <v>-160278</v>
      </c>
      <c r="BH98" s="34">
        <f>SUM(AJ98:AM98)</f>
        <v>-158833</v>
      </c>
      <c r="BI98" s="34">
        <f>SUM(AK98:AN98)</f>
        <v>-153596</v>
      </c>
      <c r="BJ98" s="34">
        <f>SUM(AL98:AO98)</f>
        <v>-237708</v>
      </c>
      <c r="BK98" s="12"/>
      <c r="BL98" s="83">
        <f>SUM(BI98/BE98)-1</f>
        <v>-0.51152835817098219</v>
      </c>
    </row>
    <row r="99" spans="2:64" ht="5.0999999999999996" customHeight="1">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Q99" s="34"/>
      <c r="AR99" s="34"/>
      <c r="AS99" s="34"/>
      <c r="AT99" s="34"/>
      <c r="AU99" s="34"/>
      <c r="AV99" s="34"/>
      <c r="AW99" s="34"/>
      <c r="AX99" s="34"/>
      <c r="AY99" s="34"/>
      <c r="AZ99" s="34"/>
      <c r="BA99" s="34"/>
      <c r="BB99" s="34"/>
      <c r="BC99" s="34"/>
      <c r="BD99" s="34"/>
      <c r="BE99" s="34"/>
      <c r="BF99" s="34"/>
      <c r="BG99" s="34"/>
      <c r="BH99" s="34"/>
      <c r="BI99" s="34"/>
      <c r="BJ99" s="34"/>
      <c r="BK99" s="12"/>
      <c r="BL99" s="83"/>
    </row>
    <row r="100" spans="2:64" ht="12.75" customHeight="1">
      <c r="B100" s="38" t="s">
        <v>93</v>
      </c>
      <c r="C100" s="34"/>
      <c r="D100" s="34"/>
      <c r="E100" s="34"/>
      <c r="F100" s="34"/>
      <c r="G100" s="34"/>
      <c r="H100" s="34"/>
      <c r="I100" s="34"/>
      <c r="J100" s="34"/>
      <c r="K100" s="34"/>
      <c r="L100" s="34"/>
      <c r="M100" s="34"/>
      <c r="N100" s="34"/>
      <c r="O100" s="92"/>
      <c r="P100" s="92"/>
      <c r="Q100" s="92"/>
      <c r="R100" s="34"/>
      <c r="S100" s="92"/>
      <c r="T100" s="92"/>
      <c r="U100" s="92"/>
      <c r="V100" s="34"/>
      <c r="W100" s="92"/>
      <c r="X100" s="92"/>
      <c r="Y100" s="92"/>
      <c r="Z100" s="34"/>
      <c r="AA100" s="92"/>
      <c r="AB100" s="92"/>
      <c r="AC100" s="92"/>
      <c r="AD100" s="34"/>
      <c r="AE100" s="92"/>
      <c r="AF100" s="92"/>
      <c r="AG100" s="92"/>
      <c r="AH100" s="34"/>
      <c r="AI100" s="92"/>
      <c r="AJ100" s="92"/>
      <c r="AK100" s="92"/>
      <c r="AL100" s="34"/>
      <c r="AM100" s="92"/>
      <c r="AN100" s="92"/>
      <c r="AO100" s="92"/>
      <c r="AQ100" s="34"/>
      <c r="AR100" s="34"/>
      <c r="AS100" s="34"/>
      <c r="AT100" s="34"/>
      <c r="AU100" s="34"/>
      <c r="AV100" s="34"/>
      <c r="AW100" s="34"/>
      <c r="AX100" s="34"/>
      <c r="AY100" s="34"/>
      <c r="AZ100" s="34"/>
      <c r="BA100" s="34"/>
      <c r="BB100" s="34"/>
      <c r="BC100" s="34"/>
      <c r="BD100" s="34"/>
      <c r="BE100" s="34"/>
      <c r="BF100" s="34"/>
      <c r="BG100" s="34"/>
      <c r="BH100" s="34"/>
      <c r="BI100" s="34"/>
      <c r="BJ100" s="34"/>
      <c r="BK100" s="64"/>
      <c r="BL100" s="83" t="e">
        <f>SUM(BI100/BE100)-1</f>
        <v>#DIV/0!</v>
      </c>
    </row>
    <row r="101" spans="2:64" ht="12.75" customHeight="1">
      <c r="B101" s="65" t="s">
        <v>263</v>
      </c>
      <c r="C101" s="92">
        <v>4921</v>
      </c>
      <c r="D101" s="92">
        <v>8106</v>
      </c>
      <c r="E101" s="92">
        <v>13299</v>
      </c>
      <c r="F101" s="92">
        <v>21663</v>
      </c>
      <c r="G101" s="92">
        <v>32582</v>
      </c>
      <c r="H101" s="92">
        <v>48094</v>
      </c>
      <c r="I101" s="92">
        <v>23121</v>
      </c>
      <c r="J101" s="34"/>
      <c r="K101" s="92">
        <v>733</v>
      </c>
      <c r="L101" s="34">
        <f>1620-K101</f>
        <v>887</v>
      </c>
      <c r="M101" s="34">
        <f>3046-L101-K101</f>
        <v>1426</v>
      </c>
      <c r="N101" s="34">
        <f t="shared" ref="N101:N103" si="129">SUM(C101-SUM(K101:M101))</f>
        <v>1875</v>
      </c>
      <c r="O101" s="92">
        <v>1905</v>
      </c>
      <c r="P101" s="34">
        <f>3957-O101</f>
        <v>2052</v>
      </c>
      <c r="Q101" s="34">
        <f>5980-P101-O101</f>
        <v>2023</v>
      </c>
      <c r="R101" s="34">
        <f t="shared" ref="R101:R115" si="130">SUM(D101-SUM(O101:Q101))</f>
        <v>2126</v>
      </c>
      <c r="S101" s="92">
        <v>2583</v>
      </c>
      <c r="T101" s="92">
        <f>5855-S101</f>
        <v>3272</v>
      </c>
      <c r="U101" s="92">
        <f>9276-T101-S101</f>
        <v>3421</v>
      </c>
      <c r="V101" s="34">
        <f t="shared" si="126"/>
        <v>4023</v>
      </c>
      <c r="W101" s="92">
        <v>4326</v>
      </c>
      <c r="X101" s="92">
        <f>9207-W101</f>
        <v>4881</v>
      </c>
      <c r="Y101" s="92">
        <f>14910-X101-W101</f>
        <v>5703</v>
      </c>
      <c r="Z101" s="34">
        <f t="shared" ref="Z101:Z103" si="131">SUM(F101-SUM(W101:Y101))</f>
        <v>6753</v>
      </c>
      <c r="AA101" s="92">
        <v>7091</v>
      </c>
      <c r="AB101" s="92">
        <f>14820-AA101</f>
        <v>7729</v>
      </c>
      <c r="AC101" s="92">
        <f>23255-AB101-AA101</f>
        <v>8435</v>
      </c>
      <c r="AD101" s="34">
        <f t="shared" ref="AD101:AD103" si="132">SUM(G101-SUM(AA101:AC101))</f>
        <v>9327</v>
      </c>
      <c r="AE101" s="92">
        <v>6049</v>
      </c>
      <c r="AF101" s="92">
        <f>11928-AE101</f>
        <v>5879</v>
      </c>
      <c r="AG101" s="92">
        <f>17707-AF101-AE101</f>
        <v>5779</v>
      </c>
      <c r="AH101" s="34">
        <f t="shared" ref="AH101:AH115" si="133">SUM(H101-SUM(AE101:AG101))</f>
        <v>30387</v>
      </c>
      <c r="AI101" s="92">
        <v>6969</v>
      </c>
      <c r="AJ101" s="92">
        <f>12182-AI101</f>
        <v>5213</v>
      </c>
      <c r="AK101" s="92">
        <f>17464-AJ101-AI101</f>
        <v>5282</v>
      </c>
      <c r="AL101" s="34">
        <f t="shared" ref="AL101:AL115" si="134">SUM(I101-SUM(AI101:AK101))</f>
        <v>5657</v>
      </c>
      <c r="AM101" s="92">
        <v>7416</v>
      </c>
      <c r="AN101" s="92">
        <f>15682-AM101</f>
        <v>8266</v>
      </c>
      <c r="AO101" s="92">
        <f>25043-AN101-AM101</f>
        <v>9361</v>
      </c>
      <c r="AQ101" s="34">
        <f>SUM(S101:V101)</f>
        <v>13299</v>
      </c>
      <c r="AR101" s="34">
        <f>SUM(T101:W101)</f>
        <v>15042</v>
      </c>
      <c r="AS101" s="34">
        <f>SUM(U101:X101)</f>
        <v>16651</v>
      </c>
      <c r="AT101" s="34">
        <f>SUM(V101:Y101)</f>
        <v>18933</v>
      </c>
      <c r="AU101" s="34">
        <f>SUM(W101:Z101)</f>
        <v>21663</v>
      </c>
      <c r="AV101" s="34">
        <f>SUM(X101:AA101)</f>
        <v>24428</v>
      </c>
      <c r="AW101" s="34">
        <f>SUM(Y101:AB101)</f>
        <v>27276</v>
      </c>
      <c r="AX101" s="34">
        <f>SUM(Z101:AC101)</f>
        <v>30008</v>
      </c>
      <c r="AY101" s="34">
        <f>SUM(AA101:AD101)</f>
        <v>32582</v>
      </c>
      <c r="AZ101" s="34">
        <f>SUM(AB101:AE101)</f>
        <v>31540</v>
      </c>
      <c r="BA101" s="34">
        <f>SUM(AC101:AF101)</f>
        <v>29690</v>
      </c>
      <c r="BB101" s="34">
        <f>SUM(AD101:AG101)</f>
        <v>27034</v>
      </c>
      <c r="BC101" s="34">
        <f>SUM(AE101:AH101)</f>
        <v>48094</v>
      </c>
      <c r="BD101" s="34">
        <f>SUM(AF101:AI101)</f>
        <v>49014</v>
      </c>
      <c r="BE101" s="34">
        <f>SUM(AG101:AJ101)</f>
        <v>48348</v>
      </c>
      <c r="BF101" s="34">
        <f>SUM(AH101:AK101)</f>
        <v>47851</v>
      </c>
      <c r="BG101" s="34">
        <f>SUM(AI101:AL101)</f>
        <v>23121</v>
      </c>
      <c r="BH101" s="34">
        <f>SUM(AJ101:AM101)</f>
        <v>23568</v>
      </c>
      <c r="BI101" s="34">
        <f>SUM(AK101:AN101)</f>
        <v>26621</v>
      </c>
      <c r="BJ101" s="34">
        <f>SUM(AL101:AO101)</f>
        <v>30700</v>
      </c>
      <c r="BK101" s="12"/>
      <c r="BL101" s="83">
        <f>SUM(BI101/BE101)-1</f>
        <v>-0.44938777198643165</v>
      </c>
    </row>
    <row r="102" spans="2:64" ht="12.75" customHeight="1">
      <c r="B102" s="65" t="s">
        <v>493</v>
      </c>
      <c r="C102" s="92">
        <v>2241</v>
      </c>
      <c r="D102" s="92">
        <v>12807</v>
      </c>
      <c r="E102" s="92">
        <v>27279</v>
      </c>
      <c r="F102" s="92">
        <v>27698</v>
      </c>
      <c r="G102" s="92">
        <v>33857</v>
      </c>
      <c r="H102" s="92">
        <v>29098</v>
      </c>
      <c r="I102" s="92">
        <v>23923</v>
      </c>
      <c r="J102" s="34"/>
      <c r="K102" s="92">
        <v>260</v>
      </c>
      <c r="L102" s="34">
        <f>710-K102</f>
        <v>450</v>
      </c>
      <c r="M102" s="34">
        <f>1090-L102-K102</f>
        <v>380</v>
      </c>
      <c r="N102" s="34">
        <f>SUM(C102-SUM(K102:M102))</f>
        <v>1151</v>
      </c>
      <c r="O102" s="92">
        <v>855</v>
      </c>
      <c r="P102" s="34">
        <f>2678-O102</f>
        <v>1823</v>
      </c>
      <c r="Q102" s="34">
        <f>5807-P102-O102</f>
        <v>3129</v>
      </c>
      <c r="R102" s="34">
        <f>SUM(D102-SUM(O102:Q102))</f>
        <v>7000</v>
      </c>
      <c r="S102" s="92">
        <v>5949</v>
      </c>
      <c r="T102" s="92">
        <f>13535-S102</f>
        <v>7586</v>
      </c>
      <c r="U102" s="92">
        <f>20377-T102-S102</f>
        <v>6842</v>
      </c>
      <c r="V102" s="34">
        <f>SUM(E102-SUM(S102:U102))</f>
        <v>6902</v>
      </c>
      <c r="W102" s="92">
        <v>7376</v>
      </c>
      <c r="X102" s="92">
        <f>15239-W102</f>
        <v>7863</v>
      </c>
      <c r="Y102" s="92">
        <f>21624-X102-W102</f>
        <v>6385</v>
      </c>
      <c r="Z102" s="34">
        <f>SUM(F102-SUM(W102:Y102))</f>
        <v>6074</v>
      </c>
      <c r="AA102" s="92">
        <v>9292</v>
      </c>
      <c r="AB102" s="92">
        <f>19598-AA102</f>
        <v>10306</v>
      </c>
      <c r="AC102" s="92">
        <f>28848-AB102-AA102</f>
        <v>9250</v>
      </c>
      <c r="AD102" s="34">
        <f>SUM(G102-SUM(AA102:AC102))</f>
        <v>5009</v>
      </c>
      <c r="AE102" s="92">
        <v>9565</v>
      </c>
      <c r="AF102" s="92">
        <f>17313-AE102</f>
        <v>7748</v>
      </c>
      <c r="AG102" s="92">
        <f>23791-AF102-AE102</f>
        <v>6478</v>
      </c>
      <c r="AH102" s="34">
        <f>SUM(H102-SUM(AE102:AG102))</f>
        <v>5307</v>
      </c>
      <c r="AI102" s="92">
        <v>6075</v>
      </c>
      <c r="AJ102" s="92">
        <f>11848-AI102</f>
        <v>5773</v>
      </c>
      <c r="AK102" s="92">
        <f>17753-AJ102-AI102</f>
        <v>5905</v>
      </c>
      <c r="AL102" s="34">
        <f>SUM(I102-SUM(AI102:AK102))</f>
        <v>6170</v>
      </c>
      <c r="AM102" s="92">
        <v>5853</v>
      </c>
      <c r="AN102" s="92">
        <f>10157-AM102</f>
        <v>4304</v>
      </c>
      <c r="AO102" s="92">
        <f>13924-AN102-AM102</f>
        <v>3767</v>
      </c>
      <c r="AQ102" s="34">
        <f>SUM(S102:V102)</f>
        <v>27279</v>
      </c>
      <c r="AR102" s="34">
        <f>SUM(T102:W102)</f>
        <v>28706</v>
      </c>
      <c r="AS102" s="34">
        <f>SUM(U102:X102)</f>
        <v>28983</v>
      </c>
      <c r="AT102" s="34">
        <f>SUM(V102:Y102)</f>
        <v>28526</v>
      </c>
      <c r="AU102" s="34">
        <f>SUM(W102:Z102)</f>
        <v>27698</v>
      </c>
      <c r="AV102" s="34">
        <f>SUM(X102:AA102)</f>
        <v>29614</v>
      </c>
      <c r="AW102" s="34">
        <f>SUM(Y102:AB102)</f>
        <v>32057</v>
      </c>
      <c r="AX102" s="34">
        <f>SUM(Z102:AC102)</f>
        <v>34922</v>
      </c>
      <c r="AY102" s="34">
        <f>SUM(AA102:AD102)</f>
        <v>33857</v>
      </c>
      <c r="AZ102" s="34">
        <f>SUM(AB102:AE102)</f>
        <v>34130</v>
      </c>
      <c r="BA102" s="34">
        <f>SUM(AC102:AF102)</f>
        <v>31572</v>
      </c>
      <c r="BB102" s="34">
        <f>SUM(AD102:AG102)</f>
        <v>28800</v>
      </c>
      <c r="BC102" s="34">
        <f>SUM(AE102:AH102)</f>
        <v>29098</v>
      </c>
      <c r="BD102" s="34">
        <f>SUM(AF102:AI102)</f>
        <v>25608</v>
      </c>
      <c r="BE102" s="34">
        <f>SUM(AG102:AJ102)</f>
        <v>23633</v>
      </c>
      <c r="BF102" s="34">
        <f>SUM(AH102:AK102)</f>
        <v>23060</v>
      </c>
      <c r="BG102" s="34">
        <f>SUM(AI102:AL102)</f>
        <v>23923</v>
      </c>
      <c r="BH102" s="34">
        <f>SUM(AJ102:AM102)</f>
        <v>23701</v>
      </c>
      <c r="BI102" s="34">
        <f>SUM(AK102:AN102)</f>
        <v>22232</v>
      </c>
      <c r="BJ102" s="34">
        <f>SUM(AL102:AO102)</f>
        <v>20094</v>
      </c>
      <c r="BK102" s="12"/>
      <c r="BL102" s="83"/>
    </row>
    <row r="103" spans="2:64" ht="12.75" customHeight="1">
      <c r="B103" s="65" t="s">
        <v>494</v>
      </c>
      <c r="C103" s="92">
        <v>0</v>
      </c>
      <c r="D103" s="92">
        <v>0</v>
      </c>
      <c r="E103" s="92">
        <v>2341</v>
      </c>
      <c r="F103" s="92">
        <v>3418</v>
      </c>
      <c r="G103" s="92">
        <v>5167</v>
      </c>
      <c r="H103" s="92">
        <v>8140</v>
      </c>
      <c r="I103" s="92">
        <v>8279</v>
      </c>
      <c r="J103" s="34"/>
      <c r="K103" s="92">
        <v>0</v>
      </c>
      <c r="L103" s="34">
        <v>0</v>
      </c>
      <c r="M103" s="34">
        <v>0</v>
      </c>
      <c r="N103" s="34">
        <f t="shared" si="129"/>
        <v>0</v>
      </c>
      <c r="O103" s="92">
        <v>0</v>
      </c>
      <c r="P103" s="34">
        <v>0</v>
      </c>
      <c r="Q103" s="34">
        <v>0</v>
      </c>
      <c r="R103" s="34">
        <f t="shared" si="130"/>
        <v>0</v>
      </c>
      <c r="S103" s="92">
        <v>445</v>
      </c>
      <c r="T103" s="92">
        <f>1193-S103</f>
        <v>748</v>
      </c>
      <c r="U103" s="92">
        <f>1573-T103-S103</f>
        <v>380</v>
      </c>
      <c r="V103" s="34">
        <f t="shared" si="126"/>
        <v>768</v>
      </c>
      <c r="W103" s="92">
        <v>724</v>
      </c>
      <c r="X103" s="92">
        <f>1580-W103</f>
        <v>856</v>
      </c>
      <c r="Y103" s="92">
        <f>2351-X103-W103</f>
        <v>771</v>
      </c>
      <c r="Z103" s="34">
        <f t="shared" si="131"/>
        <v>1067</v>
      </c>
      <c r="AA103" s="92">
        <v>1118</v>
      </c>
      <c r="AB103" s="92">
        <f>2091-AA103</f>
        <v>973</v>
      </c>
      <c r="AC103" s="92">
        <f>3389-AB103-AA103</f>
        <v>1298</v>
      </c>
      <c r="AD103" s="34">
        <f t="shared" si="132"/>
        <v>1778</v>
      </c>
      <c r="AE103" s="92">
        <v>1783</v>
      </c>
      <c r="AF103" s="92">
        <f>3613-AE103</f>
        <v>1830</v>
      </c>
      <c r="AG103" s="92">
        <f>5997-AF103-AE103</f>
        <v>2384</v>
      </c>
      <c r="AH103" s="34">
        <f t="shared" si="133"/>
        <v>2143</v>
      </c>
      <c r="AI103" s="92">
        <v>2074</v>
      </c>
      <c r="AJ103" s="92">
        <f>4130-AI103</f>
        <v>2056</v>
      </c>
      <c r="AK103" s="92">
        <f>6198-AJ103-AI103</f>
        <v>2068</v>
      </c>
      <c r="AL103" s="34">
        <f t="shared" si="134"/>
        <v>2081</v>
      </c>
      <c r="AM103" s="92">
        <v>2079</v>
      </c>
      <c r="AN103" s="92">
        <f>2889-AM103</f>
        <v>810</v>
      </c>
      <c r="AO103" s="92">
        <f>3331-AN103-AM103</f>
        <v>442</v>
      </c>
      <c r="AQ103" s="34">
        <f>SUM(S103:V103)</f>
        <v>2341</v>
      </c>
      <c r="AR103" s="34">
        <f>SUM(T103:W103)</f>
        <v>2620</v>
      </c>
      <c r="AS103" s="34">
        <f>SUM(U103:X103)</f>
        <v>2728</v>
      </c>
      <c r="AT103" s="34">
        <f>SUM(V103:Y103)</f>
        <v>3119</v>
      </c>
      <c r="AU103" s="34">
        <f>SUM(W103:Z103)</f>
        <v>3418</v>
      </c>
      <c r="AV103" s="34">
        <f>SUM(X103:AA103)</f>
        <v>3812</v>
      </c>
      <c r="AW103" s="34">
        <f>SUM(Y103:AB103)</f>
        <v>3929</v>
      </c>
      <c r="AX103" s="34">
        <f>SUM(Z103:AC103)</f>
        <v>4456</v>
      </c>
      <c r="AY103" s="34">
        <f>SUM(AA103:AD103)</f>
        <v>5167</v>
      </c>
      <c r="AZ103" s="34">
        <f>SUM(AB103:AE103)</f>
        <v>5832</v>
      </c>
      <c r="BA103" s="34">
        <f>SUM(AC103:AF103)</f>
        <v>6689</v>
      </c>
      <c r="BB103" s="34">
        <f>SUM(AD103:AG103)</f>
        <v>7775</v>
      </c>
      <c r="BC103" s="34">
        <f>SUM(AE103:AH103)</f>
        <v>8140</v>
      </c>
      <c r="BD103" s="34">
        <f>SUM(AF103:AI103)</f>
        <v>8431</v>
      </c>
      <c r="BE103" s="34">
        <f>SUM(AG103:AJ103)</f>
        <v>8657</v>
      </c>
      <c r="BF103" s="34">
        <f>SUM(AH103:AK103)</f>
        <v>8341</v>
      </c>
      <c r="BG103" s="34">
        <f>SUM(AI103:AL103)</f>
        <v>8279</v>
      </c>
      <c r="BH103" s="34">
        <f>SUM(AJ103:AM103)</f>
        <v>8284</v>
      </c>
      <c r="BI103" s="34">
        <f>SUM(AK103:AN103)</f>
        <v>7038</v>
      </c>
      <c r="BJ103" s="34">
        <f>SUM(AL103:AO103)</f>
        <v>5412</v>
      </c>
      <c r="BK103" s="12"/>
      <c r="BL103" s="83"/>
    </row>
    <row r="104" spans="2:64" ht="12.75" customHeight="1">
      <c r="B104" s="65" t="s">
        <v>502</v>
      </c>
      <c r="C104" s="92">
        <v>109</v>
      </c>
      <c r="D104" s="92">
        <v>181</v>
      </c>
      <c r="E104" s="92">
        <v>256</v>
      </c>
      <c r="F104" s="92">
        <v>3322</v>
      </c>
      <c r="G104" s="92">
        <v>3934</v>
      </c>
      <c r="H104" s="92">
        <v>3934</v>
      </c>
      <c r="I104" s="92">
        <v>3934</v>
      </c>
      <c r="J104" s="34"/>
      <c r="K104" s="92">
        <v>9</v>
      </c>
      <c r="L104" s="34">
        <f>35-K104</f>
        <v>26</v>
      </c>
      <c r="M104" s="34">
        <f>51-L104-K104</f>
        <v>16</v>
      </c>
      <c r="N104" s="34">
        <f t="shared" ref="N104:N105" si="135">SUM(C104-SUM(K104:M104))</f>
        <v>58</v>
      </c>
      <c r="O104" s="92">
        <v>58</v>
      </c>
      <c r="P104" s="34">
        <f>78-O104</f>
        <v>20</v>
      </c>
      <c r="Q104" s="34">
        <f>124-P104-O104</f>
        <v>46</v>
      </c>
      <c r="R104" s="34">
        <f t="shared" ref="R104:R105" si="136">SUM(D104-SUM(O104:Q104))</f>
        <v>57</v>
      </c>
      <c r="S104" s="92">
        <v>57</v>
      </c>
      <c r="T104" s="92">
        <f>93-S104</f>
        <v>36</v>
      </c>
      <c r="U104" s="92">
        <f>195-T104-S104</f>
        <v>102</v>
      </c>
      <c r="V104" s="34">
        <f t="shared" ref="V104:V105" si="137">SUM(E104-SUM(S104:U104))</f>
        <v>61</v>
      </c>
      <c r="W104" s="92">
        <v>369</v>
      </c>
      <c r="X104" s="92">
        <f>1352-W104</f>
        <v>983</v>
      </c>
      <c r="Y104" s="92">
        <f>2338-X104-W104</f>
        <v>986</v>
      </c>
      <c r="Z104" s="34">
        <f t="shared" ref="Z104:Z105" si="138">SUM(F104-SUM(W104:Y104))</f>
        <v>984</v>
      </c>
      <c r="AA104" s="92">
        <v>984</v>
      </c>
      <c r="AB104" s="92">
        <f>1967-AA104</f>
        <v>983</v>
      </c>
      <c r="AC104" s="92">
        <f>2951-AB104-AA104</f>
        <v>984</v>
      </c>
      <c r="AD104" s="34">
        <f t="shared" ref="AD104:AD105" si="139">SUM(G104-SUM(AA104:AC104))</f>
        <v>983</v>
      </c>
      <c r="AE104" s="92">
        <v>984</v>
      </c>
      <c r="AF104" s="92">
        <f>1967-AE104</f>
        <v>983</v>
      </c>
      <c r="AG104" s="92">
        <f>2951-AF104-AE104</f>
        <v>984</v>
      </c>
      <c r="AH104" s="34">
        <f t="shared" ref="AH104:AH105" si="140">SUM(H104-SUM(AE104:AG104))</f>
        <v>983</v>
      </c>
      <c r="AI104" s="92">
        <v>984</v>
      </c>
      <c r="AJ104" s="92">
        <f>1967-AI104</f>
        <v>983</v>
      </c>
      <c r="AK104" s="92">
        <f>2951-AJ104-AI104</f>
        <v>984</v>
      </c>
      <c r="AL104" s="34">
        <f t="shared" ref="AL104:AL105" si="141">SUM(I104-SUM(AI104:AK104))</f>
        <v>983</v>
      </c>
      <c r="AM104" s="92">
        <v>984</v>
      </c>
      <c r="AN104" s="92">
        <f>1970-AM104</f>
        <v>986</v>
      </c>
      <c r="AO104" s="92">
        <f>2987-AN104-AM104</f>
        <v>1017</v>
      </c>
      <c r="AQ104" s="34">
        <f>SUM(S104:V104)</f>
        <v>256</v>
      </c>
      <c r="AR104" s="34">
        <f>SUM(T104:W104)</f>
        <v>568</v>
      </c>
      <c r="AS104" s="34">
        <f>SUM(U104:X104)</f>
        <v>1515</v>
      </c>
      <c r="AT104" s="34">
        <f>SUM(V104:Y104)</f>
        <v>2399</v>
      </c>
      <c r="AU104" s="34">
        <f>SUM(W104:Z104)</f>
        <v>3322</v>
      </c>
      <c r="AV104" s="34">
        <f>SUM(X104:AA104)</f>
        <v>3937</v>
      </c>
      <c r="AW104" s="34">
        <f>SUM(Y104:AB104)</f>
        <v>3937</v>
      </c>
      <c r="AX104" s="34">
        <f>SUM(Z104:AC104)</f>
        <v>3935</v>
      </c>
      <c r="AY104" s="34">
        <f>SUM(AA104:AD104)</f>
        <v>3934</v>
      </c>
      <c r="AZ104" s="34">
        <f>SUM(AB104:AE104)</f>
        <v>3934</v>
      </c>
      <c r="BA104" s="34">
        <f>SUM(AC104:AF104)</f>
        <v>3934</v>
      </c>
      <c r="BB104" s="34">
        <f>SUM(AD104:AG104)</f>
        <v>3934</v>
      </c>
      <c r="BC104" s="34">
        <f>SUM(AE104:AH104)</f>
        <v>3934</v>
      </c>
      <c r="BD104" s="34">
        <f>SUM(AF104:AI104)</f>
        <v>3934</v>
      </c>
      <c r="BE104" s="34">
        <f>SUM(AG104:AJ104)</f>
        <v>3934</v>
      </c>
      <c r="BF104" s="34">
        <f>SUM(AH104:AK104)</f>
        <v>3934</v>
      </c>
      <c r="BG104" s="34">
        <f>SUM(AI104:AL104)</f>
        <v>3934</v>
      </c>
      <c r="BH104" s="34">
        <f>SUM(AJ104:AM104)</f>
        <v>3934</v>
      </c>
      <c r="BI104" s="34">
        <f>SUM(AK104:AN104)</f>
        <v>3937</v>
      </c>
      <c r="BJ104" s="34">
        <f>SUM(AL104:AO104)</f>
        <v>3970</v>
      </c>
      <c r="BK104" s="12"/>
      <c r="BL104" s="83"/>
    </row>
    <row r="105" spans="2:64" ht="12.75" customHeight="1">
      <c r="B105" s="65" t="s">
        <v>492</v>
      </c>
      <c r="C105" s="92">
        <v>0</v>
      </c>
      <c r="D105" s="92">
        <v>0</v>
      </c>
      <c r="E105" s="92">
        <v>0</v>
      </c>
      <c r="F105" s="92">
        <v>2977</v>
      </c>
      <c r="G105" s="92">
        <v>18948</v>
      </c>
      <c r="H105" s="92">
        <v>3902</v>
      </c>
      <c r="I105" s="92">
        <v>73</v>
      </c>
      <c r="J105" s="34"/>
      <c r="K105" s="92">
        <v>0</v>
      </c>
      <c r="L105" s="34">
        <v>0</v>
      </c>
      <c r="M105" s="34">
        <v>0</v>
      </c>
      <c r="N105" s="34">
        <f t="shared" si="135"/>
        <v>0</v>
      </c>
      <c r="O105" s="92">
        <v>0</v>
      </c>
      <c r="P105" s="34">
        <v>0</v>
      </c>
      <c r="Q105" s="34">
        <v>0</v>
      </c>
      <c r="R105" s="34">
        <f t="shared" si="136"/>
        <v>0</v>
      </c>
      <c r="S105" s="92">
        <v>0</v>
      </c>
      <c r="T105" s="92">
        <v>0</v>
      </c>
      <c r="U105" s="92">
        <v>0</v>
      </c>
      <c r="V105" s="34">
        <f t="shared" si="137"/>
        <v>0</v>
      </c>
      <c r="W105" s="92">
        <v>374</v>
      </c>
      <c r="X105" s="92">
        <f>581-W105</f>
        <v>207</v>
      </c>
      <c r="Y105" s="92">
        <f>1176-X105-W105</f>
        <v>595</v>
      </c>
      <c r="Z105" s="34">
        <f t="shared" si="138"/>
        <v>1801</v>
      </c>
      <c r="AA105" s="92">
        <v>0</v>
      </c>
      <c r="AB105" s="92">
        <f>2103-AA105</f>
        <v>2103</v>
      </c>
      <c r="AC105" s="92">
        <f>10849-AB105-AA105</f>
        <v>8746</v>
      </c>
      <c r="AD105" s="34">
        <f t="shared" si="139"/>
        <v>8099</v>
      </c>
      <c r="AE105" s="92">
        <v>3235</v>
      </c>
      <c r="AF105" s="92">
        <f>3738-AE105</f>
        <v>503</v>
      </c>
      <c r="AG105" s="92">
        <f>3864-AF105-AE105</f>
        <v>126</v>
      </c>
      <c r="AH105" s="34">
        <f t="shared" si="140"/>
        <v>38</v>
      </c>
      <c r="AI105" s="92">
        <v>-7</v>
      </c>
      <c r="AJ105" s="92">
        <f>23-AI105</f>
        <v>30</v>
      </c>
      <c r="AK105" s="92">
        <f>61-AJ105-AI105</f>
        <v>38</v>
      </c>
      <c r="AL105" s="34">
        <f t="shared" si="141"/>
        <v>12</v>
      </c>
      <c r="AM105" s="92">
        <v>11</v>
      </c>
      <c r="AN105" s="92">
        <f>70-AM105</f>
        <v>59</v>
      </c>
      <c r="AO105" s="92">
        <f>77-AN105-AM105</f>
        <v>7</v>
      </c>
      <c r="AQ105" s="34">
        <f>SUM(S105:V105)</f>
        <v>0</v>
      </c>
      <c r="AR105" s="34">
        <f>SUM(T105:W105)</f>
        <v>374</v>
      </c>
      <c r="AS105" s="34">
        <f>SUM(U105:X105)</f>
        <v>581</v>
      </c>
      <c r="AT105" s="34">
        <f>SUM(V105:Y105)</f>
        <v>1176</v>
      </c>
      <c r="AU105" s="34">
        <f>SUM(W105:Z105)</f>
        <v>2977</v>
      </c>
      <c r="AV105" s="34">
        <f>SUM(X105:AA105)</f>
        <v>2603</v>
      </c>
      <c r="AW105" s="34">
        <f>SUM(Y105:AB105)</f>
        <v>4499</v>
      </c>
      <c r="AX105" s="34">
        <f>SUM(Z105:AC105)</f>
        <v>12650</v>
      </c>
      <c r="AY105" s="34">
        <f>SUM(AA105:AD105)</f>
        <v>18948</v>
      </c>
      <c r="AZ105" s="34">
        <f>SUM(AB105:AE105)</f>
        <v>22183</v>
      </c>
      <c r="BA105" s="34">
        <f>SUM(AC105:AF105)</f>
        <v>20583</v>
      </c>
      <c r="BB105" s="34">
        <f>SUM(AD105:AG105)</f>
        <v>11963</v>
      </c>
      <c r="BC105" s="34">
        <f>SUM(AE105:AH105)</f>
        <v>3902</v>
      </c>
      <c r="BD105" s="34">
        <f>SUM(AF105:AI105)</f>
        <v>660</v>
      </c>
      <c r="BE105" s="34">
        <f>SUM(AG105:AJ105)</f>
        <v>187</v>
      </c>
      <c r="BF105" s="34">
        <f>SUM(AH105:AK105)</f>
        <v>99</v>
      </c>
      <c r="BG105" s="34">
        <f>SUM(AI105:AL105)</f>
        <v>73</v>
      </c>
      <c r="BH105" s="34">
        <f>SUM(AJ105:AM105)</f>
        <v>91</v>
      </c>
      <c r="BI105" s="34">
        <f>SUM(AK105:AN105)</f>
        <v>120</v>
      </c>
      <c r="BJ105" s="34">
        <f>SUM(AL105:AO105)</f>
        <v>89</v>
      </c>
      <c r="BK105" s="12"/>
      <c r="BL105" s="83"/>
    </row>
    <row r="106" spans="2:64" ht="12.75" customHeight="1">
      <c r="B106" s="65" t="s">
        <v>560</v>
      </c>
      <c r="C106" s="92">
        <f>76+1120</f>
        <v>1196</v>
      </c>
      <c r="D106" s="92">
        <f>93+12503</f>
        <v>12596</v>
      </c>
      <c r="E106" s="92">
        <f>222+1538</f>
        <v>1760</v>
      </c>
      <c r="F106" s="92">
        <f>199+1037</f>
        <v>1236</v>
      </c>
      <c r="G106" s="92">
        <f>486+5106</f>
        <v>5592</v>
      </c>
      <c r="H106" s="92">
        <f>20515-1822+3795</f>
        <v>22488</v>
      </c>
      <c r="I106" s="92">
        <f>809+5113+221</f>
        <v>6143</v>
      </c>
      <c r="J106" s="34"/>
      <c r="K106" s="92">
        <v>129</v>
      </c>
      <c r="L106" s="34">
        <f>259-K106</f>
        <v>130</v>
      </c>
      <c r="M106" s="34">
        <f>76+1253-L106-K106</f>
        <v>1070</v>
      </c>
      <c r="N106" s="34">
        <f t="shared" ref="N106" si="142">SUM(C106-SUM(K106:M106))</f>
        <v>-133</v>
      </c>
      <c r="O106" s="92">
        <v>759</v>
      </c>
      <c r="P106" s="34">
        <f>12503-O106</f>
        <v>11744</v>
      </c>
      <c r="Q106" s="34">
        <f>12503-P106-O106</f>
        <v>0</v>
      </c>
      <c r="R106" s="34">
        <f t="shared" ref="R106" si="143">SUM(D106-SUM(O106:Q106))</f>
        <v>93</v>
      </c>
      <c r="S106" s="92">
        <v>0</v>
      </c>
      <c r="T106" s="92">
        <f>183+1538-S106</f>
        <v>1721</v>
      </c>
      <c r="U106" s="92">
        <f>218+1538-T106-S106</f>
        <v>35</v>
      </c>
      <c r="V106" s="34">
        <f t="shared" ref="V106" si="144">SUM(E106-SUM(S106:U106))</f>
        <v>4</v>
      </c>
      <c r="W106" s="92">
        <f>3+1037</f>
        <v>1040</v>
      </c>
      <c r="X106" s="92">
        <f>111+1037-W106</f>
        <v>108</v>
      </c>
      <c r="Y106" s="92">
        <f>199+1037-X106-W106</f>
        <v>88</v>
      </c>
      <c r="Z106" s="34">
        <f t="shared" ref="Z106" si="145">SUM(F106-SUM(W106:Y106))</f>
        <v>0</v>
      </c>
      <c r="AA106" s="506">
        <f>315+671</f>
        <v>986</v>
      </c>
      <c r="AB106" s="506">
        <f>400+7076-AA106</f>
        <v>6490</v>
      </c>
      <c r="AC106" s="506">
        <f>946+11160-AB106-AA106</f>
        <v>4630</v>
      </c>
      <c r="AD106" s="34">
        <f t="shared" ref="AD106" si="146">SUM(G106-SUM(AA106:AC106))</f>
        <v>-6514</v>
      </c>
      <c r="AE106" s="92">
        <f>3907-731</f>
        <v>3176</v>
      </c>
      <c r="AF106" s="92">
        <f>3804+213-AE106</f>
        <v>841</v>
      </c>
      <c r="AG106" s="92">
        <f>3876+2740+3795-AF106-AE106</f>
        <v>6394</v>
      </c>
      <c r="AH106" s="34">
        <f t="shared" ref="AH106" si="147">SUM(H106-SUM(AE106:AG106))</f>
        <v>12077</v>
      </c>
      <c r="AI106" s="92">
        <f>183+2173</f>
        <v>2356</v>
      </c>
      <c r="AJ106" s="92">
        <f>363+2671+232-AI106</f>
        <v>910</v>
      </c>
      <c r="AK106" s="92">
        <f>493-1118+232-AJ106-AI106</f>
        <v>-3659</v>
      </c>
      <c r="AL106" s="34">
        <f t="shared" ref="AL106" si="148">SUM(I106-SUM(AI106:AK106))</f>
        <v>6536</v>
      </c>
      <c r="AM106" s="92">
        <f>98-3571</f>
        <v>-3473</v>
      </c>
      <c r="AN106" s="92">
        <f>223-11161-AM106</f>
        <v>-7465</v>
      </c>
      <c r="AO106" s="92">
        <f>77414-198+128-11193-5318+1499-AN106-AM106</f>
        <v>73270</v>
      </c>
      <c r="AQ106" s="34">
        <f>SUM(S106:V106)</f>
        <v>1760</v>
      </c>
      <c r="AR106" s="34">
        <f>SUM(T106:W106)</f>
        <v>2800</v>
      </c>
      <c r="AS106" s="34">
        <f>SUM(U106:X106)</f>
        <v>1187</v>
      </c>
      <c r="AT106" s="34">
        <f>SUM(V106:Y106)</f>
        <v>1240</v>
      </c>
      <c r="AU106" s="34">
        <f>SUM(W106:Z106)</f>
        <v>1236</v>
      </c>
      <c r="AV106" s="34">
        <f>SUM(X106:AA106)</f>
        <v>1182</v>
      </c>
      <c r="AW106" s="34">
        <f>SUM(Y106:AB106)</f>
        <v>7564</v>
      </c>
      <c r="AX106" s="34">
        <f>SUM(Z106:AC106)</f>
        <v>12106</v>
      </c>
      <c r="AY106" s="34">
        <f>SUM(AA106:AD106)</f>
        <v>5592</v>
      </c>
      <c r="AZ106" s="34">
        <f>SUM(AB106:AE106)</f>
        <v>7782</v>
      </c>
      <c r="BA106" s="34">
        <f>SUM(AC106:AF106)</f>
        <v>2133</v>
      </c>
      <c r="BB106" s="34">
        <f>SUM(AD106:AG106)</f>
        <v>3897</v>
      </c>
      <c r="BC106" s="34">
        <f>SUM(AE106:AH106)</f>
        <v>22488</v>
      </c>
      <c r="BD106" s="34">
        <f>SUM(AF106:AI106)</f>
        <v>21668</v>
      </c>
      <c r="BE106" s="34">
        <f>SUM(AG106:AJ106)</f>
        <v>21737</v>
      </c>
      <c r="BF106" s="34">
        <f>SUM(AH106:AK106)</f>
        <v>11684</v>
      </c>
      <c r="BG106" s="34">
        <f>SUM(AI106:AL106)</f>
        <v>6143</v>
      </c>
      <c r="BH106" s="34">
        <f>SUM(AJ106:AM106)</f>
        <v>314</v>
      </c>
      <c r="BI106" s="34">
        <f>SUM(AK106:AN106)</f>
        <v>-8061</v>
      </c>
      <c r="BJ106" s="34">
        <f>SUM(AL106:AO106)</f>
        <v>68868</v>
      </c>
      <c r="BK106" s="12"/>
      <c r="BL106" s="83"/>
    </row>
    <row r="107" spans="2:64" ht="5.0999999999999996" customHeight="1">
      <c r="B107" s="8"/>
      <c r="C107" s="92"/>
      <c r="D107" s="92"/>
      <c r="E107" s="92"/>
      <c r="F107" s="92"/>
      <c r="G107" s="92"/>
      <c r="H107" s="92"/>
      <c r="I107" s="92"/>
      <c r="J107" s="34"/>
      <c r="K107" s="92"/>
      <c r="L107" s="34"/>
      <c r="M107" s="34"/>
      <c r="N107" s="34"/>
      <c r="O107" s="92"/>
      <c r="P107" s="92"/>
      <c r="Q107" s="92"/>
      <c r="R107" s="34"/>
      <c r="S107" s="92"/>
      <c r="T107" s="92"/>
      <c r="U107" s="92"/>
      <c r="V107" s="34"/>
      <c r="W107" s="92"/>
      <c r="X107" s="92"/>
      <c r="Y107" s="92"/>
      <c r="Z107" s="34"/>
      <c r="AA107" s="92"/>
      <c r="AB107" s="92"/>
      <c r="AC107" s="92"/>
      <c r="AD107" s="34"/>
      <c r="AE107" s="92"/>
      <c r="AF107" s="92"/>
      <c r="AG107" s="92"/>
      <c r="AH107" s="34"/>
      <c r="AI107" s="92"/>
      <c r="AJ107" s="92"/>
      <c r="AK107" s="92"/>
      <c r="AL107" s="34"/>
      <c r="AM107" s="92"/>
      <c r="AN107" s="92"/>
      <c r="AO107" s="92"/>
      <c r="AQ107" s="34"/>
      <c r="AR107" s="34"/>
      <c r="AS107" s="34"/>
      <c r="AT107" s="34"/>
      <c r="AU107" s="34"/>
      <c r="AV107" s="34"/>
      <c r="AW107" s="34"/>
      <c r="AX107" s="34"/>
      <c r="AY107" s="34"/>
      <c r="AZ107" s="34"/>
      <c r="BA107" s="34"/>
      <c r="BB107" s="34"/>
      <c r="BC107" s="34"/>
      <c r="BD107" s="34"/>
      <c r="BE107" s="34"/>
      <c r="BF107" s="34"/>
      <c r="BG107" s="34"/>
      <c r="BH107" s="34"/>
      <c r="BI107" s="34"/>
      <c r="BJ107" s="34"/>
      <c r="BK107" s="12"/>
      <c r="BL107" s="83"/>
    </row>
    <row r="108" spans="2:64" ht="12.75" customHeight="1">
      <c r="B108" s="38" t="s">
        <v>19</v>
      </c>
      <c r="C108" s="92"/>
      <c r="D108" s="92"/>
      <c r="E108" s="92"/>
      <c r="F108" s="92"/>
      <c r="G108" s="92"/>
      <c r="H108" s="92"/>
      <c r="I108" s="92"/>
      <c r="J108" s="34"/>
      <c r="K108" s="92"/>
      <c r="L108" s="34"/>
      <c r="M108" s="34"/>
      <c r="N108" s="34"/>
      <c r="O108" s="92"/>
      <c r="P108" s="92"/>
      <c r="Q108" s="92"/>
      <c r="R108" s="34"/>
      <c r="S108" s="92"/>
      <c r="T108" s="92"/>
      <c r="U108" s="92"/>
      <c r="V108" s="34"/>
      <c r="W108" s="92"/>
      <c r="X108" s="92"/>
      <c r="Y108" s="92"/>
      <c r="Z108" s="34"/>
      <c r="AA108" s="92"/>
      <c r="AB108" s="92"/>
      <c r="AC108" s="92"/>
      <c r="AD108" s="34"/>
      <c r="AE108" s="92"/>
      <c r="AF108" s="92"/>
      <c r="AG108" s="92"/>
      <c r="AH108" s="34"/>
      <c r="AI108" s="92"/>
      <c r="AJ108" s="92"/>
      <c r="AK108" s="92"/>
      <c r="AL108" s="34"/>
      <c r="AM108" s="92"/>
      <c r="AN108" s="92"/>
      <c r="AO108" s="92"/>
      <c r="AQ108" s="34"/>
      <c r="AR108" s="34"/>
      <c r="AS108" s="34"/>
      <c r="AT108" s="34"/>
      <c r="AU108" s="34"/>
      <c r="AV108" s="34"/>
      <c r="AW108" s="34"/>
      <c r="AX108" s="34"/>
      <c r="AY108" s="34"/>
      <c r="AZ108" s="34"/>
      <c r="BA108" s="34"/>
      <c r="BB108" s="34"/>
      <c r="BC108" s="34"/>
      <c r="BD108" s="34"/>
      <c r="BE108" s="34"/>
      <c r="BF108" s="34"/>
      <c r="BG108" s="34"/>
      <c r="BH108" s="34"/>
      <c r="BI108" s="34"/>
      <c r="BJ108" s="34"/>
      <c r="BK108" s="64"/>
      <c r="BL108" s="83" t="e">
        <f>SUM(BI108/BE108)-1</f>
        <v>#DIV/0!</v>
      </c>
    </row>
    <row r="109" spans="2:64" ht="12.75" customHeight="1">
      <c r="B109" s="65" t="s">
        <v>67</v>
      </c>
      <c r="C109" s="92">
        <v>-9045</v>
      </c>
      <c r="D109" s="92">
        <v>-27454</v>
      </c>
      <c r="E109" s="92">
        <v>4516</v>
      </c>
      <c r="F109" s="92">
        <v>-8463</v>
      </c>
      <c r="G109" s="92">
        <v>9063</v>
      </c>
      <c r="H109" s="92">
        <v>2717</v>
      </c>
      <c r="I109" s="92">
        <v>4193</v>
      </c>
      <c r="J109" s="34"/>
      <c r="K109" s="92">
        <v>-991</v>
      </c>
      <c r="L109" s="34">
        <f>-2788-K109</f>
        <v>-1797</v>
      </c>
      <c r="M109" s="34">
        <f>-8499-L109-K109</f>
        <v>-5711</v>
      </c>
      <c r="N109" s="34">
        <f t="shared" ref="N109:N115" si="149">SUM(C109-SUM(K109:M109))</f>
        <v>-546</v>
      </c>
      <c r="O109" s="92">
        <v>-3568</v>
      </c>
      <c r="P109" s="34">
        <f>-21762-O109</f>
        <v>-18194</v>
      </c>
      <c r="Q109" s="34">
        <f>-21856-P109-O109</f>
        <v>-94</v>
      </c>
      <c r="R109" s="34">
        <f t="shared" si="130"/>
        <v>-5598</v>
      </c>
      <c r="S109" s="92">
        <v>3746</v>
      </c>
      <c r="T109" s="92">
        <f>-5907-S109</f>
        <v>-9653</v>
      </c>
      <c r="U109" s="92">
        <f>10365-T109-S109</f>
        <v>16272</v>
      </c>
      <c r="V109" s="34">
        <f t="shared" si="126"/>
        <v>-5849</v>
      </c>
      <c r="W109" s="92">
        <v>-963</v>
      </c>
      <c r="X109" s="92">
        <f>-27713-W109</f>
        <v>-26750</v>
      </c>
      <c r="Y109" s="92">
        <f>-13495-X109-W109</f>
        <v>14218</v>
      </c>
      <c r="Z109" s="34">
        <f t="shared" ref="Z109:Z115" si="150">SUM(F109-SUM(W109:Y109))</f>
        <v>5032</v>
      </c>
      <c r="AA109" s="92">
        <v>-9108</v>
      </c>
      <c r="AB109" s="92">
        <f>-30158-AA109</f>
        <v>-21050</v>
      </c>
      <c r="AC109" s="92">
        <f>7703-AB109-AA109</f>
        <v>37861</v>
      </c>
      <c r="AD109" s="34">
        <f t="shared" ref="AD109:AD115" si="151">SUM(G109-SUM(AA109:AC109))</f>
        <v>1360</v>
      </c>
      <c r="AE109" s="92">
        <v>-8078</v>
      </c>
      <c r="AF109" s="92">
        <f>-16462-AE109</f>
        <v>-8384</v>
      </c>
      <c r="AG109" s="92">
        <f>-1806-AF109-AE109</f>
        <v>14656</v>
      </c>
      <c r="AH109" s="34">
        <f t="shared" si="133"/>
        <v>4523</v>
      </c>
      <c r="AI109" s="92">
        <v>-4143</v>
      </c>
      <c r="AJ109" s="92">
        <f>-3273-AI109</f>
        <v>870</v>
      </c>
      <c r="AK109" s="92">
        <f>-2977-AJ109-AI109</f>
        <v>296</v>
      </c>
      <c r="AL109" s="34">
        <f t="shared" si="134"/>
        <v>7170</v>
      </c>
      <c r="AM109" s="92">
        <v>-6038</v>
      </c>
      <c r="AN109" s="92">
        <f>-9291-AM109</f>
        <v>-3253</v>
      </c>
      <c r="AO109" s="92">
        <f>-38-AN109-AM109</f>
        <v>9253</v>
      </c>
      <c r="AQ109" s="34">
        <f>SUM(S109:V109)</f>
        <v>4516</v>
      </c>
      <c r="AR109" s="34">
        <f>SUM(T109:W109)</f>
        <v>-193</v>
      </c>
      <c r="AS109" s="34">
        <f>SUM(U109:X109)</f>
        <v>-17290</v>
      </c>
      <c r="AT109" s="34">
        <f>SUM(V109:Y109)</f>
        <v>-19344</v>
      </c>
      <c r="AU109" s="34">
        <f>SUM(W109:Z109)</f>
        <v>-8463</v>
      </c>
      <c r="AV109" s="34">
        <f>SUM(X109:AA109)</f>
        <v>-16608</v>
      </c>
      <c r="AW109" s="34">
        <f>SUM(Y109:AB109)</f>
        <v>-10908</v>
      </c>
      <c r="AX109" s="34">
        <f>SUM(Z109:AC109)</f>
        <v>12735</v>
      </c>
      <c r="AY109" s="34">
        <f>SUM(AA109:AD109)</f>
        <v>9063</v>
      </c>
      <c r="AZ109" s="34">
        <f>SUM(AB109:AE109)</f>
        <v>10093</v>
      </c>
      <c r="BA109" s="34">
        <f>SUM(AC109:AF109)</f>
        <v>22759</v>
      </c>
      <c r="BB109" s="34">
        <f>SUM(AD109:AG109)</f>
        <v>-446</v>
      </c>
      <c r="BC109" s="34">
        <f>SUM(AE109:AH109)</f>
        <v>2717</v>
      </c>
      <c r="BD109" s="34">
        <f>SUM(AF109:AI109)</f>
        <v>6652</v>
      </c>
      <c r="BE109" s="34">
        <f>SUM(AG109:AJ109)</f>
        <v>15906</v>
      </c>
      <c r="BF109" s="34">
        <f>SUM(AH109:AK109)</f>
        <v>1546</v>
      </c>
      <c r="BG109" s="34">
        <f>SUM(AI109:AL109)</f>
        <v>4193</v>
      </c>
      <c r="BH109" s="34">
        <f>SUM(AJ109:AM109)</f>
        <v>2298</v>
      </c>
      <c r="BI109" s="34">
        <f>SUM(AK109:AN109)</f>
        <v>-1825</v>
      </c>
      <c r="BJ109" s="34">
        <f>SUM(AL109:AO109)</f>
        <v>7132</v>
      </c>
      <c r="BK109" s="64"/>
      <c r="BL109" s="83">
        <f>SUM(BI109/BE109)-1</f>
        <v>-1.1147365773921791</v>
      </c>
    </row>
    <row r="110" spans="2:64" ht="12.75" customHeight="1">
      <c r="B110" s="65" t="s">
        <v>16</v>
      </c>
      <c r="C110" s="92">
        <v>-22113</v>
      </c>
      <c r="D110" s="92">
        <v>-51339</v>
      </c>
      <c r="E110" s="92">
        <v>-38863</v>
      </c>
      <c r="F110" s="92">
        <v>-122666</v>
      </c>
      <c r="G110" s="92">
        <v>2572</v>
      </c>
      <c r="H110" s="92">
        <v>106087</v>
      </c>
      <c r="I110" s="92">
        <v>15576</v>
      </c>
      <c r="J110" s="34"/>
      <c r="K110" s="92">
        <v>-1144</v>
      </c>
      <c r="L110" s="34">
        <f>-6178-K110</f>
        <v>-5034</v>
      </c>
      <c r="M110" s="34">
        <f>-9627-L110-K110</f>
        <v>-3449</v>
      </c>
      <c r="N110" s="34">
        <f t="shared" si="149"/>
        <v>-12486</v>
      </c>
      <c r="O110" s="92">
        <v>-4025</v>
      </c>
      <c r="P110" s="34">
        <f>-12438-O110</f>
        <v>-8413</v>
      </c>
      <c r="Q110" s="34">
        <f>-30013-P110-O110</f>
        <v>-17575</v>
      </c>
      <c r="R110" s="34">
        <f t="shared" si="130"/>
        <v>-21326</v>
      </c>
      <c r="S110" s="92">
        <v>-39106</v>
      </c>
      <c r="T110" s="92">
        <f>-61437-S110</f>
        <v>-22331</v>
      </c>
      <c r="U110" s="92">
        <f>-50263-T110-S110</f>
        <v>11174</v>
      </c>
      <c r="V110" s="34">
        <f t="shared" si="126"/>
        <v>11400</v>
      </c>
      <c r="W110" s="92">
        <v>-24729</v>
      </c>
      <c r="X110" s="92">
        <f>-44741-W110</f>
        <v>-20012</v>
      </c>
      <c r="Y110" s="92">
        <f>-73557-X110-W110</f>
        <v>-28816</v>
      </c>
      <c r="Z110" s="34">
        <f t="shared" si="150"/>
        <v>-49109</v>
      </c>
      <c r="AA110" s="92">
        <v>-43043</v>
      </c>
      <c r="AB110" s="92">
        <f>-17036-AA110</f>
        <v>26007</v>
      </c>
      <c r="AC110" s="92">
        <f>-12411-AB110-AA110</f>
        <v>4625</v>
      </c>
      <c r="AD110" s="34">
        <f t="shared" si="151"/>
        <v>14983</v>
      </c>
      <c r="AE110" s="92">
        <v>13779</v>
      </c>
      <c r="AF110" s="92">
        <f>28975-AE110</f>
        <v>15196</v>
      </c>
      <c r="AG110" s="92">
        <f>40470-AF110-AE110</f>
        <v>11495</v>
      </c>
      <c r="AH110" s="34">
        <f t="shared" si="133"/>
        <v>65617</v>
      </c>
      <c r="AI110" s="92">
        <v>7162</v>
      </c>
      <c r="AJ110" s="92">
        <f>10005-AI110</f>
        <v>2843</v>
      </c>
      <c r="AK110" s="92">
        <f>5361-AJ110-AI110</f>
        <v>-4644</v>
      </c>
      <c r="AL110" s="34">
        <f t="shared" si="134"/>
        <v>10215</v>
      </c>
      <c r="AM110" s="92">
        <v>14113</v>
      </c>
      <c r="AN110" s="92">
        <f>4709-AM110</f>
        <v>-9404</v>
      </c>
      <c r="AO110" s="92">
        <f>5334-AN110-AM110</f>
        <v>625</v>
      </c>
      <c r="AQ110" s="34">
        <f>SUM(S110:V110)</f>
        <v>-38863</v>
      </c>
      <c r="AR110" s="34">
        <f>SUM(T110:W110)</f>
        <v>-24486</v>
      </c>
      <c r="AS110" s="34">
        <f>SUM(U110:X110)</f>
        <v>-22167</v>
      </c>
      <c r="AT110" s="34">
        <f>SUM(V110:Y110)</f>
        <v>-62157</v>
      </c>
      <c r="AU110" s="34">
        <f>SUM(W110:Z110)</f>
        <v>-122666</v>
      </c>
      <c r="AV110" s="34">
        <f>SUM(X110:AA110)</f>
        <v>-140980</v>
      </c>
      <c r="AW110" s="34">
        <f>SUM(Y110:AB110)</f>
        <v>-94961</v>
      </c>
      <c r="AX110" s="34">
        <f>SUM(Z110:AC110)</f>
        <v>-61520</v>
      </c>
      <c r="AY110" s="34">
        <f>SUM(AA110:AD110)</f>
        <v>2572</v>
      </c>
      <c r="AZ110" s="34">
        <f>SUM(AB110:AE110)</f>
        <v>59394</v>
      </c>
      <c r="BA110" s="34">
        <f>SUM(AC110:AF110)</f>
        <v>48583</v>
      </c>
      <c r="BB110" s="34">
        <f>SUM(AD110:AG110)</f>
        <v>55453</v>
      </c>
      <c r="BC110" s="34">
        <f>SUM(AE110:AH110)</f>
        <v>106087</v>
      </c>
      <c r="BD110" s="34">
        <f>SUM(AF110:AI110)</f>
        <v>99470</v>
      </c>
      <c r="BE110" s="34">
        <f>SUM(AG110:AJ110)</f>
        <v>87117</v>
      </c>
      <c r="BF110" s="34">
        <f>SUM(AH110:AK110)</f>
        <v>70978</v>
      </c>
      <c r="BG110" s="34">
        <f>SUM(AI110:AL110)</f>
        <v>15576</v>
      </c>
      <c r="BH110" s="34">
        <f>SUM(AJ110:AM110)</f>
        <v>22527</v>
      </c>
      <c r="BI110" s="34">
        <f>SUM(AK110:AN110)</f>
        <v>10280</v>
      </c>
      <c r="BJ110" s="34">
        <f>SUM(AL110:AO110)</f>
        <v>15549</v>
      </c>
      <c r="BK110" s="64"/>
      <c r="BL110" s="83"/>
    </row>
    <row r="111" spans="2:64" ht="12.75" customHeight="1">
      <c r="B111" s="65" t="s">
        <v>495</v>
      </c>
      <c r="C111" s="92">
        <v>325</v>
      </c>
      <c r="D111" s="92">
        <v>-2362</v>
      </c>
      <c r="E111" s="92">
        <v>-9699</v>
      </c>
      <c r="F111" s="92">
        <v>-21414</v>
      </c>
      <c r="G111" s="92">
        <v>11595</v>
      </c>
      <c r="H111" s="92">
        <v>12873</v>
      </c>
      <c r="I111" s="92">
        <v>2013</v>
      </c>
      <c r="J111" s="34"/>
      <c r="K111" s="92">
        <v>60</v>
      </c>
      <c r="L111" s="34">
        <f>-154-K111</f>
        <v>-214</v>
      </c>
      <c r="M111" s="34">
        <f>-615-L111-K111</f>
        <v>-461</v>
      </c>
      <c r="N111" s="34">
        <f t="shared" si="149"/>
        <v>940</v>
      </c>
      <c r="O111" s="92">
        <v>122</v>
      </c>
      <c r="P111" s="34">
        <f>-2131-O111</f>
        <v>-2253</v>
      </c>
      <c r="Q111" s="34">
        <f>-1878-P111-O111</f>
        <v>253</v>
      </c>
      <c r="R111" s="34">
        <f t="shared" si="130"/>
        <v>-484</v>
      </c>
      <c r="S111" s="92">
        <v>-6255</v>
      </c>
      <c r="T111" s="92">
        <f>-12192-S111</f>
        <v>-5937</v>
      </c>
      <c r="U111" s="92">
        <f>-9444-T111-S111</f>
        <v>2748</v>
      </c>
      <c r="V111" s="34">
        <f t="shared" si="126"/>
        <v>-255</v>
      </c>
      <c r="W111" s="92">
        <v>-2877</v>
      </c>
      <c r="X111" s="92">
        <f>-9943-W111</f>
        <v>-7066</v>
      </c>
      <c r="Y111" s="92">
        <f>-13249-X111-W111</f>
        <v>-3306</v>
      </c>
      <c r="Z111" s="34">
        <f t="shared" si="150"/>
        <v>-8165</v>
      </c>
      <c r="AA111" s="92">
        <v>-213</v>
      </c>
      <c r="AB111" s="92">
        <f>-992-AA111</f>
        <v>-779</v>
      </c>
      <c r="AC111" s="92">
        <f>7802-AB111-AA111</f>
        <v>8794</v>
      </c>
      <c r="AD111" s="34">
        <f t="shared" si="151"/>
        <v>3793</v>
      </c>
      <c r="AE111" s="92">
        <v>3926</v>
      </c>
      <c r="AF111" s="92">
        <f>-4705-AE111</f>
        <v>-8631</v>
      </c>
      <c r="AG111" s="92">
        <f>1282-AF111-AE111</f>
        <v>5987</v>
      </c>
      <c r="AH111" s="34">
        <f t="shared" si="133"/>
        <v>11591</v>
      </c>
      <c r="AI111" s="92">
        <v>410</v>
      </c>
      <c r="AJ111" s="92">
        <f>-2450-AI111</f>
        <v>-2860</v>
      </c>
      <c r="AK111" s="92">
        <f>144-AJ111-AI111</f>
        <v>2594</v>
      </c>
      <c r="AL111" s="34">
        <f t="shared" si="134"/>
        <v>1869</v>
      </c>
      <c r="AM111" s="92">
        <v>-4425</v>
      </c>
      <c r="AN111" s="92">
        <f>-8473-AM111</f>
        <v>-4048</v>
      </c>
      <c r="AO111" s="92">
        <f>-1322-AN111-AM111</f>
        <v>7151</v>
      </c>
      <c r="AQ111" s="34">
        <f>SUM(S111:V111)</f>
        <v>-9699</v>
      </c>
      <c r="AR111" s="34">
        <f>SUM(T111:W111)</f>
        <v>-6321</v>
      </c>
      <c r="AS111" s="34">
        <f>SUM(U111:X111)</f>
        <v>-7450</v>
      </c>
      <c r="AT111" s="34">
        <f>SUM(V111:Y111)</f>
        <v>-13504</v>
      </c>
      <c r="AU111" s="34">
        <f>SUM(W111:Z111)</f>
        <v>-21414</v>
      </c>
      <c r="AV111" s="34">
        <f>SUM(X111:AA111)</f>
        <v>-18750</v>
      </c>
      <c r="AW111" s="34">
        <f>SUM(Y111:AB111)</f>
        <v>-12463</v>
      </c>
      <c r="AX111" s="34">
        <f>SUM(Z111:AC111)</f>
        <v>-363</v>
      </c>
      <c r="AY111" s="34">
        <f>SUM(AA111:AD111)</f>
        <v>11595</v>
      </c>
      <c r="AZ111" s="34">
        <f>SUM(AB111:AE111)</f>
        <v>15734</v>
      </c>
      <c r="BA111" s="34">
        <f>SUM(AC111:AF111)</f>
        <v>7882</v>
      </c>
      <c r="BB111" s="34">
        <f>SUM(AD111:AG111)</f>
        <v>5075</v>
      </c>
      <c r="BC111" s="34">
        <f>SUM(AE111:AH111)</f>
        <v>12873</v>
      </c>
      <c r="BD111" s="34">
        <f>SUM(AF111:AI111)</f>
        <v>9357</v>
      </c>
      <c r="BE111" s="34">
        <f>SUM(AG111:AJ111)</f>
        <v>15128</v>
      </c>
      <c r="BF111" s="34">
        <f>SUM(AH111:AK111)</f>
        <v>11735</v>
      </c>
      <c r="BG111" s="34">
        <f>SUM(AI111:AL111)</f>
        <v>2013</v>
      </c>
      <c r="BH111" s="34">
        <f>SUM(AJ111:AM111)</f>
        <v>-2822</v>
      </c>
      <c r="BI111" s="34">
        <f>SUM(AK111:AN111)</f>
        <v>-4010</v>
      </c>
      <c r="BJ111" s="34">
        <f>SUM(AL111:AO111)</f>
        <v>547</v>
      </c>
      <c r="BK111" s="64"/>
      <c r="BL111" s="83"/>
    </row>
    <row r="112" spans="2:64" ht="12.75" customHeight="1">
      <c r="B112" s="65" t="s">
        <v>68</v>
      </c>
      <c r="C112" s="92">
        <v>10455</v>
      </c>
      <c r="D112" s="92">
        <v>10149</v>
      </c>
      <c r="E112" s="92">
        <v>16027</v>
      </c>
      <c r="F112" s="92">
        <v>21665</v>
      </c>
      <c r="G112" s="92">
        <v>-10826</v>
      </c>
      <c r="H112" s="92">
        <v>3004</v>
      </c>
      <c r="I112" s="92">
        <v>-20564</v>
      </c>
      <c r="J112" s="34"/>
      <c r="K112" s="92">
        <v>1845</v>
      </c>
      <c r="L112" s="34">
        <f>6623-K112</f>
        <v>4778</v>
      </c>
      <c r="M112" s="34">
        <f>7670-L112-K112</f>
        <v>1047</v>
      </c>
      <c r="N112" s="34">
        <f t="shared" ref="N112:N113" si="152">SUM(C112-SUM(K112:M112))</f>
        <v>2785</v>
      </c>
      <c r="O112" s="92">
        <v>-4349</v>
      </c>
      <c r="P112" s="34">
        <f>9799-O112</f>
        <v>14148</v>
      </c>
      <c r="Q112" s="34">
        <f>20206-P112-O112</f>
        <v>10407</v>
      </c>
      <c r="R112" s="34">
        <f t="shared" ref="R112:R113" si="153">SUM(D112-SUM(O112:Q112))</f>
        <v>-10057</v>
      </c>
      <c r="S112" s="92">
        <v>16651</v>
      </c>
      <c r="T112" s="92">
        <f>21564-S112</f>
        <v>4913</v>
      </c>
      <c r="U112" s="92">
        <f>2442-T112-S112</f>
        <v>-19122</v>
      </c>
      <c r="V112" s="34">
        <f t="shared" ref="V112:V113" si="154">SUM(E112-SUM(S112:U112))</f>
        <v>13585</v>
      </c>
      <c r="W112" s="92">
        <v>1098</v>
      </c>
      <c r="X112" s="92">
        <f>-2197-W112</f>
        <v>-3295</v>
      </c>
      <c r="Y112" s="92">
        <f>965-X112-W112</f>
        <v>3162</v>
      </c>
      <c r="Z112" s="34">
        <f t="shared" ref="Z112:Z113" si="155">SUM(F112-SUM(W112:Y112))</f>
        <v>20700</v>
      </c>
      <c r="AA112" s="92">
        <v>-2295</v>
      </c>
      <c r="AB112" s="92">
        <f>-206-AA112</f>
        <v>2089</v>
      </c>
      <c r="AC112" s="92">
        <f>-2922-AB112-AA112</f>
        <v>-2716</v>
      </c>
      <c r="AD112" s="34">
        <f t="shared" ref="AD112:AD113" si="156">SUM(G112-SUM(AA112:AC112))</f>
        <v>-7904</v>
      </c>
      <c r="AE112" s="92">
        <v>-13271</v>
      </c>
      <c r="AF112" s="92">
        <f>-14177-AE112</f>
        <v>-906</v>
      </c>
      <c r="AG112" s="92">
        <f>8335-AF112-AE112</f>
        <v>22512</v>
      </c>
      <c r="AH112" s="34">
        <f t="shared" ref="AH112:AH113" si="157">SUM(H112-SUM(AE112:AG112))</f>
        <v>-5331</v>
      </c>
      <c r="AI112" s="92">
        <v>214</v>
      </c>
      <c r="AJ112" s="92">
        <f>3633-AI112</f>
        <v>3419</v>
      </c>
      <c r="AK112" s="92">
        <f>-797-AJ112-AI112</f>
        <v>-4430</v>
      </c>
      <c r="AL112" s="34">
        <f t="shared" ref="AL112:AL113" si="158">SUM(I112-SUM(AI112:AK112))</f>
        <v>-19767</v>
      </c>
      <c r="AM112" s="92">
        <v>13976</v>
      </c>
      <c r="AN112" s="92">
        <f>25710-AM112</f>
        <v>11734</v>
      </c>
      <c r="AO112" s="92">
        <f>-1379-AN112-AM112</f>
        <v>-27089</v>
      </c>
      <c r="AQ112" s="34">
        <f>SUM(S112:V112)</f>
        <v>16027</v>
      </c>
      <c r="AR112" s="34">
        <f>SUM(T112:W112)</f>
        <v>474</v>
      </c>
      <c r="AS112" s="34">
        <f>SUM(U112:X112)</f>
        <v>-7734</v>
      </c>
      <c r="AT112" s="34">
        <f>SUM(V112:Y112)</f>
        <v>14550</v>
      </c>
      <c r="AU112" s="34">
        <f>SUM(W112:Z112)</f>
        <v>21665</v>
      </c>
      <c r="AV112" s="34">
        <f>SUM(X112:AA112)</f>
        <v>18272</v>
      </c>
      <c r="AW112" s="34">
        <f>SUM(Y112:AB112)</f>
        <v>23656</v>
      </c>
      <c r="AX112" s="34">
        <f>SUM(Z112:AC112)</f>
        <v>17778</v>
      </c>
      <c r="AY112" s="34">
        <f>SUM(AA112:AD112)</f>
        <v>-10826</v>
      </c>
      <c r="AZ112" s="34">
        <f>SUM(AB112:AE112)</f>
        <v>-21802</v>
      </c>
      <c r="BA112" s="34">
        <f>SUM(AC112:AF112)</f>
        <v>-24797</v>
      </c>
      <c r="BB112" s="34">
        <f>SUM(AD112:AG112)</f>
        <v>431</v>
      </c>
      <c r="BC112" s="34">
        <f>SUM(AE112:AH112)</f>
        <v>3004</v>
      </c>
      <c r="BD112" s="34">
        <f>SUM(AF112:AI112)</f>
        <v>16489</v>
      </c>
      <c r="BE112" s="34">
        <f>SUM(AG112:AJ112)</f>
        <v>20814</v>
      </c>
      <c r="BF112" s="34">
        <f>SUM(AH112:AK112)</f>
        <v>-6128</v>
      </c>
      <c r="BG112" s="34">
        <f>SUM(AI112:AL112)</f>
        <v>-20564</v>
      </c>
      <c r="BH112" s="34">
        <f>SUM(AJ112:AM112)</f>
        <v>-6802</v>
      </c>
      <c r="BI112" s="34">
        <f>SUM(AK112:AN112)</f>
        <v>1513</v>
      </c>
      <c r="BJ112" s="34">
        <f>SUM(AL112:AO112)</f>
        <v>-21146</v>
      </c>
      <c r="BK112" s="64"/>
      <c r="BL112" s="83"/>
    </row>
    <row r="113" spans="2:64" ht="12.75" customHeight="1">
      <c r="B113" s="65" t="s">
        <v>481</v>
      </c>
      <c r="C113" s="92">
        <v>3798</v>
      </c>
      <c r="D113" s="92">
        <v>2743</v>
      </c>
      <c r="E113" s="92">
        <v>-1965</v>
      </c>
      <c r="F113" s="92">
        <v>13961</v>
      </c>
      <c r="G113" s="92">
        <v>-7148</v>
      </c>
      <c r="H113" s="92">
        <v>-2492</v>
      </c>
      <c r="I113" s="92">
        <v>4511</v>
      </c>
      <c r="J113" s="34"/>
      <c r="K113" s="92">
        <v>-133</v>
      </c>
      <c r="L113" s="34">
        <f>259-K113</f>
        <v>392</v>
      </c>
      <c r="M113" s="34">
        <f>3573-L113-K113</f>
        <v>3314</v>
      </c>
      <c r="N113" s="34">
        <f t="shared" si="152"/>
        <v>225</v>
      </c>
      <c r="O113" s="92">
        <v>1608</v>
      </c>
      <c r="P113" s="34">
        <f>1028-O113</f>
        <v>-580</v>
      </c>
      <c r="Q113" s="34">
        <f>2768-P113-O113</f>
        <v>1740</v>
      </c>
      <c r="R113" s="34">
        <f t="shared" si="153"/>
        <v>-25</v>
      </c>
      <c r="S113" s="92">
        <v>-2608</v>
      </c>
      <c r="T113" s="92">
        <f>818-S113</f>
        <v>3426</v>
      </c>
      <c r="U113" s="92">
        <f>245-T113-S113</f>
        <v>-573</v>
      </c>
      <c r="V113" s="34">
        <f t="shared" si="154"/>
        <v>-2210</v>
      </c>
      <c r="W113" s="92">
        <v>10689</v>
      </c>
      <c r="X113" s="92">
        <f>10157-W113</f>
        <v>-532</v>
      </c>
      <c r="Y113" s="92">
        <f>18176-X113-W113</f>
        <v>8019</v>
      </c>
      <c r="Z113" s="34">
        <f t="shared" si="155"/>
        <v>-4215</v>
      </c>
      <c r="AA113" s="92">
        <v>8527</v>
      </c>
      <c r="AB113" s="92">
        <f>7949-AA113</f>
        <v>-578</v>
      </c>
      <c r="AC113" s="92">
        <f>-3429-AB113-AA113</f>
        <v>-11378</v>
      </c>
      <c r="AD113" s="34">
        <f t="shared" si="156"/>
        <v>-3719</v>
      </c>
      <c r="AE113" s="92">
        <v>-528</v>
      </c>
      <c r="AF113" s="92">
        <f>-4852-AE113</f>
        <v>-4324</v>
      </c>
      <c r="AG113" s="92">
        <f>-2752-AF113-AE113</f>
        <v>2100</v>
      </c>
      <c r="AH113" s="34">
        <f t="shared" si="157"/>
        <v>260</v>
      </c>
      <c r="AI113" s="92">
        <v>2953</v>
      </c>
      <c r="AJ113" s="92">
        <f>4557-AI113</f>
        <v>1604</v>
      </c>
      <c r="AK113" s="92">
        <f>7135-AJ113-AI113</f>
        <v>2578</v>
      </c>
      <c r="AL113" s="34">
        <f t="shared" si="158"/>
        <v>-2624</v>
      </c>
      <c r="AM113" s="92">
        <v>-1031</v>
      </c>
      <c r="AN113" s="92">
        <f>-3638-AM113</f>
        <v>-2607</v>
      </c>
      <c r="AO113" s="92">
        <f>-7847-AN113-AM113</f>
        <v>-4209</v>
      </c>
      <c r="AQ113" s="34">
        <f>SUM(S113:V113)</f>
        <v>-1965</v>
      </c>
      <c r="AR113" s="34">
        <f>SUM(T113:W113)</f>
        <v>11332</v>
      </c>
      <c r="AS113" s="34">
        <f>SUM(U113:X113)</f>
        <v>7374</v>
      </c>
      <c r="AT113" s="34">
        <f>SUM(V113:Y113)</f>
        <v>15966</v>
      </c>
      <c r="AU113" s="34">
        <f>SUM(W113:Z113)</f>
        <v>13961</v>
      </c>
      <c r="AV113" s="34">
        <f>SUM(X113:AA113)</f>
        <v>11799</v>
      </c>
      <c r="AW113" s="34">
        <f>SUM(Y113:AB113)</f>
        <v>11753</v>
      </c>
      <c r="AX113" s="34">
        <f>SUM(Z113:AC113)</f>
        <v>-7644</v>
      </c>
      <c r="AY113" s="34">
        <f>SUM(AA113:AD113)</f>
        <v>-7148</v>
      </c>
      <c r="AZ113" s="34">
        <f>SUM(AB113:AE113)</f>
        <v>-16203</v>
      </c>
      <c r="BA113" s="34">
        <f>SUM(AC113:AF113)</f>
        <v>-19949</v>
      </c>
      <c r="BB113" s="34">
        <f>SUM(AD113:AG113)</f>
        <v>-6471</v>
      </c>
      <c r="BC113" s="34">
        <f>SUM(AE113:AH113)</f>
        <v>-2492</v>
      </c>
      <c r="BD113" s="34">
        <f>SUM(AF113:AI113)</f>
        <v>989</v>
      </c>
      <c r="BE113" s="34">
        <f>SUM(AG113:AJ113)</f>
        <v>6917</v>
      </c>
      <c r="BF113" s="34">
        <f>SUM(AH113:AK113)</f>
        <v>7395</v>
      </c>
      <c r="BG113" s="34">
        <f>SUM(AI113:AL113)</f>
        <v>4511</v>
      </c>
      <c r="BH113" s="34">
        <f>SUM(AJ113:AM113)</f>
        <v>527</v>
      </c>
      <c r="BI113" s="34">
        <f>SUM(AK113:AN113)</f>
        <v>-3684</v>
      </c>
      <c r="BJ113" s="34">
        <f>SUM(AL113:AO113)</f>
        <v>-10471</v>
      </c>
      <c r="BK113" s="64"/>
      <c r="BL113" s="83">
        <f>SUM(BI113/BE113)-1</f>
        <v>-1.5326008385138066</v>
      </c>
    </row>
    <row r="114" spans="2:64" ht="12.75" customHeight="1">
      <c r="B114" s="65" t="s">
        <v>505</v>
      </c>
      <c r="C114" s="92">
        <v>0</v>
      </c>
      <c r="D114" s="92">
        <v>0</v>
      </c>
      <c r="E114" s="92">
        <v>0</v>
      </c>
      <c r="F114" s="92">
        <v>-59188</v>
      </c>
      <c r="G114" s="92">
        <v>-55110</v>
      </c>
      <c r="H114" s="92">
        <v>-4245</v>
      </c>
      <c r="I114" s="92">
        <v>-6502</v>
      </c>
      <c r="J114" s="34"/>
      <c r="K114" s="92">
        <v>0</v>
      </c>
      <c r="L114" s="34">
        <v>0</v>
      </c>
      <c r="M114" s="34">
        <v>0</v>
      </c>
      <c r="N114" s="34">
        <f t="shared" ref="N114" si="159">SUM(C114-SUM(K114:M114))</f>
        <v>0</v>
      </c>
      <c r="O114" s="92">
        <v>0</v>
      </c>
      <c r="P114" s="34">
        <v>0</v>
      </c>
      <c r="Q114" s="34">
        <v>0</v>
      </c>
      <c r="R114" s="34">
        <f t="shared" ref="R114" si="160">SUM(D114-SUM(O114:Q114))</f>
        <v>0</v>
      </c>
      <c r="S114" s="92">
        <v>0</v>
      </c>
      <c r="T114" s="92">
        <v>0</v>
      </c>
      <c r="U114" s="92">
        <v>0</v>
      </c>
      <c r="V114" s="34">
        <f t="shared" ref="V114" si="161">SUM(E114-SUM(S114:U114))</f>
        <v>0</v>
      </c>
      <c r="W114" s="92">
        <v>0</v>
      </c>
      <c r="X114" s="92">
        <f>-26578-W114</f>
        <v>-26578</v>
      </c>
      <c r="Y114" s="92">
        <f>-49456-X114-W114</f>
        <v>-22878</v>
      </c>
      <c r="Z114" s="34">
        <f t="shared" ref="Z114" si="162">SUM(F114-SUM(W114:Y114))</f>
        <v>-9732</v>
      </c>
      <c r="AA114" s="92">
        <v>-36978</v>
      </c>
      <c r="AB114" s="92">
        <f>-43651-AA114</f>
        <v>-6673</v>
      </c>
      <c r="AC114" s="92">
        <f>-49063-AB114-AA114</f>
        <v>-5412</v>
      </c>
      <c r="AD114" s="34">
        <f t="shared" ref="AD114" si="163">SUM(G114-SUM(AA114:AC114))</f>
        <v>-6047</v>
      </c>
      <c r="AE114" s="92">
        <v>-3082</v>
      </c>
      <c r="AF114" s="92">
        <f>-4593-AE114</f>
        <v>-1511</v>
      </c>
      <c r="AG114" s="92">
        <f>-3254-AF114-AE114</f>
        <v>1339</v>
      </c>
      <c r="AH114" s="34">
        <f t="shared" ref="AH114" si="164">SUM(H114-SUM(AE114:AG114))</f>
        <v>-991</v>
      </c>
      <c r="AI114" s="92">
        <v>-1669</v>
      </c>
      <c r="AJ114" s="92">
        <f>-3236-AI114</f>
        <v>-1567</v>
      </c>
      <c r="AK114" s="92">
        <f>-4933-AJ114-AI114</f>
        <v>-1697</v>
      </c>
      <c r="AL114" s="34">
        <f t="shared" ref="AL114" si="165">SUM(I114-SUM(AI114:AK114))</f>
        <v>-1569</v>
      </c>
      <c r="AM114" s="92">
        <v>-1768</v>
      </c>
      <c r="AN114" s="92">
        <f>-3888-AM114</f>
        <v>-2120</v>
      </c>
      <c r="AO114" s="92">
        <f>-5117-AN114-AM114</f>
        <v>-1229</v>
      </c>
      <c r="AQ114" s="34">
        <f>SUM(S114:V114)</f>
        <v>0</v>
      </c>
      <c r="AR114" s="34">
        <f>SUM(T114:W114)</f>
        <v>0</v>
      </c>
      <c r="AS114" s="34">
        <f>SUM(U114:X114)</f>
        <v>-26578</v>
      </c>
      <c r="AT114" s="34">
        <f>SUM(V114:Y114)</f>
        <v>-49456</v>
      </c>
      <c r="AU114" s="34">
        <f>SUM(W114:Z114)</f>
        <v>-59188</v>
      </c>
      <c r="AV114" s="34">
        <f>SUM(X114:AA114)</f>
        <v>-96166</v>
      </c>
      <c r="AW114" s="34">
        <f>SUM(Y114:AB114)</f>
        <v>-76261</v>
      </c>
      <c r="AX114" s="34">
        <f>SUM(Z114:AC114)</f>
        <v>-58795</v>
      </c>
      <c r="AY114" s="34">
        <f>SUM(AA114:AD114)</f>
        <v>-55110</v>
      </c>
      <c r="AZ114" s="34">
        <f>SUM(AB114:AE114)</f>
        <v>-21214</v>
      </c>
      <c r="BA114" s="34">
        <f>SUM(AC114:AF114)</f>
        <v>-16052</v>
      </c>
      <c r="BB114" s="34">
        <f>SUM(AD114:AG114)</f>
        <v>-9301</v>
      </c>
      <c r="BC114" s="34">
        <f>SUM(AE114:AH114)</f>
        <v>-4245</v>
      </c>
      <c r="BD114" s="34">
        <f>SUM(AF114:AI114)</f>
        <v>-2832</v>
      </c>
      <c r="BE114" s="34">
        <f>SUM(AG114:AJ114)</f>
        <v>-2888</v>
      </c>
      <c r="BF114" s="34">
        <f>SUM(AH114:AK114)</f>
        <v>-5924</v>
      </c>
      <c r="BG114" s="34">
        <f>SUM(AI114:AL114)</f>
        <v>-6502</v>
      </c>
      <c r="BH114" s="34">
        <f>SUM(AJ114:AM114)</f>
        <v>-6601</v>
      </c>
      <c r="BI114" s="34">
        <f>SUM(AK114:AN114)</f>
        <v>-7154</v>
      </c>
      <c r="BJ114" s="34">
        <f>SUM(AL114:AO114)</f>
        <v>-6686</v>
      </c>
      <c r="BK114" s="64"/>
      <c r="BL114" s="83">
        <f>SUM(BI114/BE114)-1</f>
        <v>1.4771468144044322</v>
      </c>
    </row>
    <row r="115" spans="2:64" ht="12.75" customHeight="1">
      <c r="B115" s="65" t="s">
        <v>561</v>
      </c>
      <c r="C115" s="92">
        <v>278</v>
      </c>
      <c r="D115" s="92">
        <v>21</v>
      </c>
      <c r="E115" s="92">
        <v>-2194</v>
      </c>
      <c r="F115" s="92">
        <v>-3474</v>
      </c>
      <c r="G115" s="92">
        <v>-4333</v>
      </c>
      <c r="H115" s="92">
        <v>-3281</v>
      </c>
      <c r="I115" s="92">
        <v>-3235</v>
      </c>
      <c r="J115" s="34"/>
      <c r="K115" s="92">
        <v>40</v>
      </c>
      <c r="L115" s="34">
        <f>39-K115</f>
        <v>-1</v>
      </c>
      <c r="M115" s="34">
        <f>39-L115-K115</f>
        <v>0</v>
      </c>
      <c r="N115" s="34">
        <f t="shared" si="149"/>
        <v>239</v>
      </c>
      <c r="O115" s="92">
        <v>4</v>
      </c>
      <c r="P115" s="34">
        <f>12-O115</f>
        <v>8</v>
      </c>
      <c r="Q115" s="34">
        <f>11-P115-O115</f>
        <v>-1</v>
      </c>
      <c r="R115" s="34">
        <f t="shared" si="130"/>
        <v>10</v>
      </c>
      <c r="S115" s="92">
        <v>-479</v>
      </c>
      <c r="T115" s="92">
        <f>-1188-S115</f>
        <v>-709</v>
      </c>
      <c r="U115" s="92">
        <f>-1584-T115-S115</f>
        <v>-396</v>
      </c>
      <c r="V115" s="34">
        <f t="shared" si="126"/>
        <v>-610</v>
      </c>
      <c r="W115" s="92">
        <v>-818</v>
      </c>
      <c r="X115" s="92">
        <f>-1619-W115</f>
        <v>-801</v>
      </c>
      <c r="Y115" s="92">
        <f>-2332-X115-W115</f>
        <v>-713</v>
      </c>
      <c r="Z115" s="34">
        <f t="shared" si="150"/>
        <v>-1142</v>
      </c>
      <c r="AA115" s="92">
        <v>-1113</v>
      </c>
      <c r="AB115" s="92">
        <f>-2059-AA115</f>
        <v>-946</v>
      </c>
      <c r="AC115" s="92">
        <f>-3177+3022-AB115-AA115</f>
        <v>1904</v>
      </c>
      <c r="AD115" s="34">
        <f t="shared" si="151"/>
        <v>-4178</v>
      </c>
      <c r="AE115" s="92">
        <v>-678</v>
      </c>
      <c r="AF115" s="92">
        <f>-2556-AE115</f>
        <v>-1878</v>
      </c>
      <c r="AG115" s="92">
        <f>-3244-AF115-AE115</f>
        <v>-688</v>
      </c>
      <c r="AH115" s="34">
        <f t="shared" si="133"/>
        <v>-37</v>
      </c>
      <c r="AI115" s="92">
        <v>-822</v>
      </c>
      <c r="AJ115" s="92">
        <f>-1626-AI115</f>
        <v>-804</v>
      </c>
      <c r="AK115" s="92">
        <f>-2412-AJ115-AI115</f>
        <v>-786</v>
      </c>
      <c r="AL115" s="34">
        <f t="shared" si="134"/>
        <v>-823</v>
      </c>
      <c r="AM115" s="92">
        <v>-927</v>
      </c>
      <c r="AN115" s="92">
        <f>-2156-AM115</f>
        <v>-1229</v>
      </c>
      <c r="AO115" s="92">
        <f>-2617-AN115-AM115</f>
        <v>-461</v>
      </c>
      <c r="AQ115" s="34">
        <f>SUM(S115:V115)</f>
        <v>-2194</v>
      </c>
      <c r="AR115" s="34">
        <f>SUM(T115:W115)</f>
        <v>-2533</v>
      </c>
      <c r="AS115" s="34">
        <f>SUM(U115:X115)</f>
        <v>-2625</v>
      </c>
      <c r="AT115" s="34">
        <f>SUM(V115:Y115)</f>
        <v>-2942</v>
      </c>
      <c r="AU115" s="34">
        <f>SUM(W115:Z115)</f>
        <v>-3474</v>
      </c>
      <c r="AV115" s="34">
        <f>SUM(X115:AA115)</f>
        <v>-3769</v>
      </c>
      <c r="AW115" s="34">
        <f>SUM(Y115:AB115)</f>
        <v>-3914</v>
      </c>
      <c r="AX115" s="34">
        <f>SUM(Z115:AC115)</f>
        <v>-1297</v>
      </c>
      <c r="AY115" s="34">
        <f>SUM(AA115:AD115)</f>
        <v>-4333</v>
      </c>
      <c r="AZ115" s="34">
        <f>SUM(AB115:AE115)</f>
        <v>-3898</v>
      </c>
      <c r="BA115" s="34">
        <f>SUM(AC115:AF115)</f>
        <v>-4830</v>
      </c>
      <c r="BB115" s="34">
        <f>SUM(AD115:AG115)</f>
        <v>-7422</v>
      </c>
      <c r="BC115" s="34">
        <f>SUM(AE115:AH115)</f>
        <v>-3281</v>
      </c>
      <c r="BD115" s="34">
        <f>SUM(AF115:AI115)</f>
        <v>-3425</v>
      </c>
      <c r="BE115" s="34">
        <f>SUM(AG115:AJ115)</f>
        <v>-2351</v>
      </c>
      <c r="BF115" s="34">
        <f>SUM(AH115:AK115)</f>
        <v>-2449</v>
      </c>
      <c r="BG115" s="34">
        <f>SUM(AI115:AL115)</f>
        <v>-3235</v>
      </c>
      <c r="BH115" s="34">
        <f>SUM(AJ115:AM115)</f>
        <v>-3340</v>
      </c>
      <c r="BI115" s="34">
        <f>SUM(AK115:AN115)</f>
        <v>-3765</v>
      </c>
      <c r="BJ115" s="34">
        <f>SUM(AL115:AO115)</f>
        <v>-3440</v>
      </c>
      <c r="BK115" s="64"/>
      <c r="BL115" s="83">
        <f>SUM(BI115/BE115)-1</f>
        <v>0.60144619310931513</v>
      </c>
    </row>
    <row r="116" spans="2:64" ht="12.75" customHeight="1">
      <c r="B116" s="14" t="s">
        <v>87</v>
      </c>
      <c r="C116" s="36">
        <f>SUM(C98:C115)</f>
        <v>-37721</v>
      </c>
      <c r="D116" s="36">
        <f>SUM(D98:D115)</f>
        <v>-46995</v>
      </c>
      <c r="E116" s="36">
        <f>SUM(E98:E115)</f>
        <v>-39995</v>
      </c>
      <c r="F116" s="15">
        <f>SUM(F98:F115)</f>
        <v>-301370</v>
      </c>
      <c r="G116" s="15">
        <f>SUM(G98:G115)</f>
        <v>-320244</v>
      </c>
      <c r="H116" s="15">
        <f>SUM(H98:H115)</f>
        <v>-107825</v>
      </c>
      <c r="I116" s="15">
        <f>SUM(I98:I115)</f>
        <v>-98813</v>
      </c>
      <c r="K116" s="15">
        <f>SUM(K98:K115)</f>
        <v>-4888</v>
      </c>
      <c r="L116" s="15">
        <f>SUM(L98:L115)</f>
        <v>-7779</v>
      </c>
      <c r="M116" s="15">
        <f>SUM(M98:M115)</f>
        <v>-11710</v>
      </c>
      <c r="N116" s="15">
        <f>SUM(N98:N115)</f>
        <v>-13344</v>
      </c>
      <c r="O116" s="36">
        <f>SUM(O98:O115)</f>
        <v>-13280</v>
      </c>
      <c r="P116" s="15">
        <f>SUM(P98:P115)</f>
        <v>-9086</v>
      </c>
      <c r="Q116" s="15">
        <f>SUM(Q98:Q115)</f>
        <v>4027</v>
      </c>
      <c r="R116" s="15">
        <f>SUM(R98:R115)</f>
        <v>-28656</v>
      </c>
      <c r="S116" s="15">
        <f>SUM(S98:S115)</f>
        <v>-17202</v>
      </c>
      <c r="T116" s="15">
        <f>SUM(T98:T115)</f>
        <v>-27133</v>
      </c>
      <c r="U116" s="15">
        <f>SUM(U98:U115)</f>
        <v>1598</v>
      </c>
      <c r="V116" s="15">
        <f>SUM(V98:V115)</f>
        <v>2742</v>
      </c>
      <c r="W116" s="15">
        <f>SUM(W98:W115)</f>
        <v>-30657</v>
      </c>
      <c r="X116" s="15">
        <f>SUM(X98:X115)</f>
        <v>-89788</v>
      </c>
      <c r="Y116" s="15">
        <f>SUM(Y98:Y115)</f>
        <v>-70602</v>
      </c>
      <c r="Z116" s="15">
        <f>SUM(Z98:Z115)</f>
        <v>-110323</v>
      </c>
      <c r="AA116" s="15">
        <f>SUM(AA98:AA115)</f>
        <v>-165210</v>
      </c>
      <c r="AB116" s="15">
        <f>SUM(AB98:AB115)</f>
        <v>-70480</v>
      </c>
      <c r="AC116" s="15">
        <f>SUM(AC98:AC115)</f>
        <v>-34657</v>
      </c>
      <c r="AD116" s="15">
        <f>SUM(AD98:AD115)</f>
        <v>-49897</v>
      </c>
      <c r="AE116" s="15">
        <f>SUM(AE98:AE115)</f>
        <v>-42177</v>
      </c>
      <c r="AF116" s="15">
        <f>SUM(AF98:AF115)</f>
        <v>-46159</v>
      </c>
      <c r="AG116" s="15">
        <f>SUM(AG98:AG115)</f>
        <v>9054</v>
      </c>
      <c r="AH116" s="15">
        <f>SUM(AH98:AH115)</f>
        <v>-28543</v>
      </c>
      <c r="AI116" s="15">
        <f>SUM(AI98:AI115)</f>
        <v>-31805</v>
      </c>
      <c r="AJ116" s="15">
        <f>SUM(AJ98:AJ115)</f>
        <v>-16009</v>
      </c>
      <c r="AK116" s="15">
        <f>SUM(AK98:AK115)</f>
        <v>-22047</v>
      </c>
      <c r="AL116" s="15">
        <f>SUM(AL98:AL115)</f>
        <v>-28952</v>
      </c>
      <c r="AM116" s="15">
        <f>SUM(AM98:AM115)</f>
        <v>-26146</v>
      </c>
      <c r="AN116" s="15">
        <f>SUM(AN98:AN115)</f>
        <v>-33209</v>
      </c>
      <c r="AO116" s="15">
        <f>SUM(AO98:AO115)</f>
        <v>-38783</v>
      </c>
      <c r="AQ116" s="15">
        <f t="shared" ref="AQ116:AX116" si="166">SUM(AQ98:AQ115)</f>
        <v>-39995</v>
      </c>
      <c r="AR116" s="15">
        <f t="shared" si="166"/>
        <v>-53450</v>
      </c>
      <c r="AS116" s="15">
        <f t="shared" si="166"/>
        <v>-116105</v>
      </c>
      <c r="AT116" s="15">
        <f t="shared" si="166"/>
        <v>-188305</v>
      </c>
      <c r="AU116" s="15">
        <f t="shared" si="166"/>
        <v>-301370</v>
      </c>
      <c r="AV116" s="15">
        <f t="shared" si="166"/>
        <v>-435923</v>
      </c>
      <c r="AW116" s="15">
        <f t="shared" si="166"/>
        <v>-416615</v>
      </c>
      <c r="AX116" s="15">
        <f t="shared" si="166"/>
        <v>-380670</v>
      </c>
      <c r="AY116" s="15">
        <f>SUM(AY98:AY115)</f>
        <v>-320244</v>
      </c>
      <c r="AZ116" s="15">
        <f>SUM(AZ98:AZ115)</f>
        <v>-197211</v>
      </c>
      <c r="BA116" s="15">
        <f>SUM(BA98:BA115)</f>
        <v>-172890</v>
      </c>
      <c r="BB116" s="15">
        <f>SUM(BB98:BB115)</f>
        <v>-129179</v>
      </c>
      <c r="BC116" s="15">
        <f>SUM(BC98:BC115)</f>
        <v>-107825</v>
      </c>
      <c r="BD116" s="15">
        <f>SUM(BD98:BD115)</f>
        <v>-97453</v>
      </c>
      <c r="BE116" s="15">
        <f>SUM(BE98:BE115)</f>
        <v>-67303</v>
      </c>
      <c r="BF116" s="15">
        <f>SUM(BF98:BF115)</f>
        <v>-98404</v>
      </c>
      <c r="BG116" s="15">
        <f>SUM(BG98:BG115)</f>
        <v>-98813</v>
      </c>
      <c r="BH116" s="15">
        <f>SUM(BH98:BH115)</f>
        <v>-93154</v>
      </c>
      <c r="BI116" s="15">
        <f>SUM(BI98:BI115)</f>
        <v>-110354</v>
      </c>
      <c r="BJ116" s="15">
        <f>SUM(BJ98:BJ115)</f>
        <v>-127090</v>
      </c>
      <c r="BK116" s="45"/>
      <c r="BL116" s="84">
        <f>SUM(BI116/BE116)-1</f>
        <v>0.63965945054455231</v>
      </c>
    </row>
    <row r="117" spans="2:64" ht="12.75" customHeight="1">
      <c r="B117" s="58"/>
      <c r="C117" s="66"/>
      <c r="D117" s="66"/>
      <c r="E117" s="66"/>
      <c r="F117" s="66"/>
      <c r="G117" s="66"/>
      <c r="H117" s="66"/>
      <c r="I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2"/>
    </row>
    <row r="118" spans="2:64" ht="12.75" customHeight="1">
      <c r="B118" s="58" t="s">
        <v>88</v>
      </c>
      <c r="C118" s="64"/>
      <c r="D118" s="64"/>
      <c r="E118" s="63"/>
      <c r="F118" s="63"/>
      <c r="G118" s="63"/>
      <c r="H118" s="63"/>
      <c r="I118" s="63"/>
      <c r="K118" s="63"/>
      <c r="L118" s="63"/>
      <c r="M118" s="63"/>
      <c r="N118" s="34"/>
      <c r="O118" s="92"/>
      <c r="P118" s="92"/>
      <c r="Q118" s="92"/>
      <c r="R118" s="34"/>
      <c r="S118" s="92"/>
      <c r="T118" s="92"/>
      <c r="U118" s="92"/>
      <c r="V118" s="34"/>
      <c r="W118" s="92"/>
      <c r="X118" s="92"/>
      <c r="Y118" s="92"/>
      <c r="Z118" s="34"/>
      <c r="AA118" s="92"/>
      <c r="AB118" s="92"/>
      <c r="AC118" s="92"/>
      <c r="AD118" s="34"/>
      <c r="AE118" s="92"/>
      <c r="AF118" s="92"/>
      <c r="AG118" s="92"/>
      <c r="AH118" s="34"/>
      <c r="AI118" s="92"/>
      <c r="AJ118" s="92"/>
      <c r="AK118" s="92"/>
      <c r="AL118" s="34"/>
      <c r="AM118" s="63"/>
      <c r="AN118" s="63"/>
      <c r="AO118" s="63"/>
      <c r="AQ118" s="63"/>
      <c r="AR118" s="63"/>
      <c r="AS118" s="63"/>
      <c r="AT118" s="63"/>
      <c r="AU118" s="63"/>
      <c r="AV118" s="63"/>
      <c r="AW118" s="63"/>
      <c r="AX118" s="63"/>
      <c r="AY118" s="63"/>
      <c r="AZ118" s="63"/>
      <c r="BA118" s="63"/>
      <c r="BB118" s="63"/>
      <c r="BC118" s="63"/>
      <c r="BD118" s="63"/>
      <c r="BE118" s="63"/>
      <c r="BF118" s="63"/>
      <c r="BG118" s="63"/>
      <c r="BH118" s="63"/>
      <c r="BI118" s="63"/>
      <c r="BJ118" s="63"/>
      <c r="BK118" s="64"/>
      <c r="BL118" s="42"/>
    </row>
    <row r="119" spans="2:64" ht="12.75" customHeight="1">
      <c r="B119" s="65" t="s">
        <v>496</v>
      </c>
      <c r="C119" s="92">
        <v>-22228</v>
      </c>
      <c r="D119" s="92">
        <v>-23795</v>
      </c>
      <c r="E119" s="92">
        <v>-57696</v>
      </c>
      <c r="F119" s="92">
        <v>-135961</v>
      </c>
      <c r="G119" s="92">
        <v>-70475</v>
      </c>
      <c r="H119" s="92">
        <v>-10564</v>
      </c>
      <c r="I119" s="92">
        <v>-11015</v>
      </c>
      <c r="J119" s="34"/>
      <c r="K119" s="92">
        <v>-3719</v>
      </c>
      <c r="L119" s="34">
        <f>-9973-K119</f>
        <v>-6254</v>
      </c>
      <c r="M119" s="34">
        <f>-18250-L119-K119</f>
        <v>-8277</v>
      </c>
      <c r="N119" s="34">
        <f t="shared" ref="N119:N123" si="167">SUM(C119-SUM(K119:M119))</f>
        <v>-3978</v>
      </c>
      <c r="O119" s="92">
        <v>-3795</v>
      </c>
      <c r="P119" s="34">
        <f>-7502-O119</f>
        <v>-3707</v>
      </c>
      <c r="Q119" s="34">
        <f>-9515-P119-O119</f>
        <v>-2013</v>
      </c>
      <c r="R119" s="34">
        <f t="shared" ref="R119:R123" si="168">SUM(D119-SUM(O119:Q119))</f>
        <v>-14280</v>
      </c>
      <c r="S119" s="92">
        <v>-12398</v>
      </c>
      <c r="T119" s="92">
        <f>-26031-S119</f>
        <v>-13633</v>
      </c>
      <c r="U119" s="92">
        <f>-38048-T119-S119</f>
        <v>-12017</v>
      </c>
      <c r="V119" s="34">
        <f t="shared" ref="V119:V125" si="169">SUM(E119-SUM(S119:U119))</f>
        <v>-19648</v>
      </c>
      <c r="W119" s="92">
        <v>-23363</v>
      </c>
      <c r="X119" s="92">
        <f>-51420-W119</f>
        <v>-28057</v>
      </c>
      <c r="Y119" s="92">
        <f>-104301-X119-W119</f>
        <v>-52881</v>
      </c>
      <c r="Z119" s="34">
        <f t="shared" ref="Z119:Z124" si="170">SUM(F119-SUM(W119:Y119))</f>
        <v>-31660</v>
      </c>
      <c r="AA119" s="92">
        <v>-21548</v>
      </c>
      <c r="AB119" s="92">
        <f>-41965-AA119</f>
        <v>-20417</v>
      </c>
      <c r="AC119" s="92">
        <f>-59952-AB119-AA119</f>
        <v>-17987</v>
      </c>
      <c r="AD119" s="34">
        <f t="shared" ref="AD119:AD124" si="171">SUM(G119-SUM(AA119:AC119))</f>
        <v>-10523</v>
      </c>
      <c r="AE119" s="92">
        <v>-5302</v>
      </c>
      <c r="AF119" s="92">
        <f>-7139-AE119</f>
        <v>-1837</v>
      </c>
      <c r="AG119" s="92">
        <f>-8567-AF119-AE119</f>
        <v>-1428</v>
      </c>
      <c r="AH119" s="34">
        <f t="shared" ref="AH119:AH125" si="172">SUM(H119-SUM(AE119:AG119))</f>
        <v>-1997</v>
      </c>
      <c r="AI119" s="92">
        <v>-1197</v>
      </c>
      <c r="AJ119" s="92">
        <f>-2520-AI119</f>
        <v>-1323</v>
      </c>
      <c r="AK119" s="92">
        <f>-4540-AJ119-AI119</f>
        <v>-2020</v>
      </c>
      <c r="AL119" s="34">
        <f t="shared" ref="AL119:AL125" si="173">SUM(I119-SUM(AI119:AK119))</f>
        <v>-6475</v>
      </c>
      <c r="AM119" s="92">
        <v>-4485</v>
      </c>
      <c r="AN119" s="92">
        <f>-6423-AM119</f>
        <v>-1938</v>
      </c>
      <c r="AO119" s="92">
        <f>-9330-AN119-AM119</f>
        <v>-2907</v>
      </c>
      <c r="AP119" s="34"/>
      <c r="AQ119" s="34">
        <f>SUM(S119:V119)</f>
        <v>-57696</v>
      </c>
      <c r="AR119" s="34">
        <f>SUM(T119:W119)</f>
        <v>-68661</v>
      </c>
      <c r="AS119" s="34">
        <f>SUM(U119:X119)</f>
        <v>-83085</v>
      </c>
      <c r="AT119" s="34">
        <f>SUM(V119:Y119)</f>
        <v>-123949</v>
      </c>
      <c r="AU119" s="34">
        <f>SUM(W119:Z119)</f>
        <v>-135961</v>
      </c>
      <c r="AV119" s="34">
        <f>SUM(X119:AA119)</f>
        <v>-134146</v>
      </c>
      <c r="AW119" s="34">
        <f>SUM(Y119:AB119)</f>
        <v>-126506</v>
      </c>
      <c r="AX119" s="34">
        <f>SUM(Z119:AC119)</f>
        <v>-91612</v>
      </c>
      <c r="AY119" s="34">
        <f>SUM(AA119:AD119)</f>
        <v>-70475</v>
      </c>
      <c r="AZ119" s="34">
        <f>SUM(AB119:AE119)</f>
        <v>-54229</v>
      </c>
      <c r="BA119" s="34">
        <f>SUM(AC119:AF119)</f>
        <v>-35649</v>
      </c>
      <c r="BB119" s="34">
        <f>SUM(AD119:AG119)</f>
        <v>-19090</v>
      </c>
      <c r="BC119" s="34">
        <f>SUM(AE119:AH119)</f>
        <v>-10564</v>
      </c>
      <c r="BD119" s="34">
        <f>SUM(AF119:AI119)</f>
        <v>-6459</v>
      </c>
      <c r="BE119" s="34">
        <f>SUM(AG119:AJ119)</f>
        <v>-5945</v>
      </c>
      <c r="BF119" s="34">
        <f>SUM(AH119:AK119)</f>
        <v>-6537</v>
      </c>
      <c r="BG119" s="34">
        <f>SUM(AI119:AL119)</f>
        <v>-11015</v>
      </c>
      <c r="BH119" s="34">
        <f>SUM(AJ119:AM119)</f>
        <v>-14303</v>
      </c>
      <c r="BI119" s="34">
        <f>SUM(AK119:AN119)</f>
        <v>-14918</v>
      </c>
      <c r="BJ119" s="34">
        <f>SUM(AL119:AO119)</f>
        <v>-15805</v>
      </c>
      <c r="BK119" s="64"/>
      <c r="BL119" s="83"/>
    </row>
    <row r="120" spans="2:64" ht="12.75" customHeight="1">
      <c r="B120" s="65" t="s">
        <v>499</v>
      </c>
      <c r="C120" s="92">
        <v>67</v>
      </c>
      <c r="D120" s="92">
        <v>299</v>
      </c>
      <c r="E120" s="92">
        <v>599</v>
      </c>
      <c r="F120" s="92">
        <v>0</v>
      </c>
      <c r="G120" s="92">
        <v>0</v>
      </c>
      <c r="H120" s="92">
        <v>4323</v>
      </c>
      <c r="I120" s="92">
        <v>4348</v>
      </c>
      <c r="J120" s="34"/>
      <c r="K120" s="92">
        <v>0</v>
      </c>
      <c r="L120" s="34">
        <v>0</v>
      </c>
      <c r="M120" s="34">
        <f>104-L120-K120</f>
        <v>104</v>
      </c>
      <c r="N120" s="34">
        <f t="shared" si="167"/>
        <v>-37</v>
      </c>
      <c r="O120" s="92">
        <v>132</v>
      </c>
      <c r="P120" s="34">
        <f>232-O120</f>
        <v>100</v>
      </c>
      <c r="Q120" s="34">
        <f>307-P120-O120</f>
        <v>75</v>
      </c>
      <c r="R120" s="34">
        <f t="shared" si="168"/>
        <v>-8</v>
      </c>
      <c r="S120" s="92">
        <v>0</v>
      </c>
      <c r="T120" s="92">
        <v>0</v>
      </c>
      <c r="U120" s="92">
        <v>0</v>
      </c>
      <c r="V120" s="34">
        <f t="shared" si="169"/>
        <v>599</v>
      </c>
      <c r="W120" s="92">
        <v>0</v>
      </c>
      <c r="X120" s="92">
        <v>0</v>
      </c>
      <c r="Y120" s="92">
        <v>0</v>
      </c>
      <c r="Z120" s="34">
        <f t="shared" si="170"/>
        <v>0</v>
      </c>
      <c r="AA120" s="92">
        <v>0</v>
      </c>
      <c r="AB120" s="92">
        <v>0</v>
      </c>
      <c r="AC120" s="92">
        <v>0</v>
      </c>
      <c r="AD120" s="34">
        <f t="shared" si="171"/>
        <v>0</v>
      </c>
      <c r="AE120" s="92">
        <v>2250</v>
      </c>
      <c r="AF120" s="92">
        <f>2316-AE120</f>
        <v>66</v>
      </c>
      <c r="AG120" s="92">
        <f>2477-AF120-AE120</f>
        <v>161</v>
      </c>
      <c r="AH120" s="34">
        <f t="shared" si="172"/>
        <v>1846</v>
      </c>
      <c r="AI120" s="92">
        <v>429</v>
      </c>
      <c r="AJ120" s="92">
        <f>3157-AI120</f>
        <v>2728</v>
      </c>
      <c r="AK120" s="92">
        <f>4093-AJ120-AI120</f>
        <v>936</v>
      </c>
      <c r="AL120" s="34">
        <f t="shared" si="173"/>
        <v>255</v>
      </c>
      <c r="AM120" s="92">
        <v>348</v>
      </c>
      <c r="AN120" s="92">
        <f>348-AM120</f>
        <v>0</v>
      </c>
      <c r="AO120" s="92">
        <f>1256-AN120-AM120</f>
        <v>908</v>
      </c>
      <c r="AP120" s="34"/>
      <c r="AQ120" s="34">
        <f>SUM(S120:V120)</f>
        <v>599</v>
      </c>
      <c r="AR120" s="34">
        <f>SUM(T120:W120)</f>
        <v>599</v>
      </c>
      <c r="AS120" s="34">
        <f>SUM(U120:X120)</f>
        <v>599</v>
      </c>
      <c r="AT120" s="34">
        <f>SUM(V120:Y120)</f>
        <v>599</v>
      </c>
      <c r="AU120" s="34">
        <f>SUM(W120:Z120)</f>
        <v>0</v>
      </c>
      <c r="AV120" s="34">
        <f>SUM(X120:AA120)</f>
        <v>0</v>
      </c>
      <c r="AW120" s="34">
        <f>SUM(Y120:AB120)</f>
        <v>0</v>
      </c>
      <c r="AX120" s="34">
        <f>SUM(Z120:AC120)</f>
        <v>0</v>
      </c>
      <c r="AY120" s="34">
        <f>SUM(AA120:AD120)</f>
        <v>0</v>
      </c>
      <c r="AZ120" s="34">
        <f>SUM(AB120:AE120)</f>
        <v>2250</v>
      </c>
      <c r="BA120" s="34">
        <f>SUM(AC120:AF120)</f>
        <v>2316</v>
      </c>
      <c r="BB120" s="34">
        <f>SUM(AD120:AG120)</f>
        <v>2477</v>
      </c>
      <c r="BC120" s="34">
        <f>SUM(AE120:AH120)</f>
        <v>4323</v>
      </c>
      <c r="BD120" s="34">
        <f>SUM(AF120:AI120)</f>
        <v>2502</v>
      </c>
      <c r="BE120" s="34">
        <f>SUM(AG120:AJ120)</f>
        <v>5164</v>
      </c>
      <c r="BF120" s="34">
        <f>SUM(AH120:AK120)</f>
        <v>5939</v>
      </c>
      <c r="BG120" s="34">
        <f>SUM(AI120:AL120)</f>
        <v>4348</v>
      </c>
      <c r="BH120" s="34">
        <f>SUM(AJ120:AM120)</f>
        <v>4267</v>
      </c>
      <c r="BI120" s="34">
        <f>SUM(AK120:AN120)</f>
        <v>1539</v>
      </c>
      <c r="BJ120" s="34">
        <f>SUM(AL120:AO120)</f>
        <v>1511</v>
      </c>
      <c r="BK120" s="64"/>
      <c r="BL120" s="83"/>
    </row>
    <row r="121" spans="2:64" ht="12.75" customHeight="1">
      <c r="B121" s="65" t="s">
        <v>498</v>
      </c>
      <c r="C121" s="92">
        <v>-1022</v>
      </c>
      <c r="D121" s="92">
        <v>-2123</v>
      </c>
      <c r="E121" s="92">
        <v>-2288</v>
      </c>
      <c r="F121" s="92">
        <v>0</v>
      </c>
      <c r="G121" s="92">
        <v>-2821</v>
      </c>
      <c r="H121" s="92">
        <v>0</v>
      </c>
      <c r="I121" s="92">
        <v>0</v>
      </c>
      <c r="J121" s="34"/>
      <c r="K121" s="92">
        <v>0</v>
      </c>
      <c r="L121" s="34">
        <v>0</v>
      </c>
      <c r="M121" s="34">
        <v>0</v>
      </c>
      <c r="N121" s="34">
        <f t="shared" si="167"/>
        <v>-1022</v>
      </c>
      <c r="O121" s="92">
        <v>-829</v>
      </c>
      <c r="P121" s="34">
        <f>-3121-O121</f>
        <v>-2292</v>
      </c>
      <c r="Q121" s="34">
        <f>-7403-P121-O121</f>
        <v>-4282</v>
      </c>
      <c r="R121" s="34">
        <f t="shared" si="168"/>
        <v>5280</v>
      </c>
      <c r="S121" s="92">
        <v>-964</v>
      </c>
      <c r="T121" s="92">
        <f>-2288-S121</f>
        <v>-1324</v>
      </c>
      <c r="U121" s="92">
        <f>-2288-T121-S121</f>
        <v>0</v>
      </c>
      <c r="V121" s="34">
        <f t="shared" si="169"/>
        <v>0</v>
      </c>
      <c r="W121" s="92">
        <v>0</v>
      </c>
      <c r="X121" s="92">
        <v>0</v>
      </c>
      <c r="Y121" s="92">
        <v>0</v>
      </c>
      <c r="Z121" s="34">
        <f t="shared" si="170"/>
        <v>0</v>
      </c>
      <c r="AA121" s="92">
        <v>0</v>
      </c>
      <c r="AB121" s="92">
        <v>0</v>
      </c>
      <c r="AC121" s="92">
        <v>0</v>
      </c>
      <c r="AD121" s="34">
        <f t="shared" si="171"/>
        <v>-2821</v>
      </c>
      <c r="AE121" s="92">
        <v>0</v>
      </c>
      <c r="AF121" s="92">
        <v>0</v>
      </c>
      <c r="AG121" s="92">
        <v>0</v>
      </c>
      <c r="AH121" s="34">
        <f t="shared" si="172"/>
        <v>0</v>
      </c>
      <c r="AI121" s="92">
        <v>0</v>
      </c>
      <c r="AJ121" s="92">
        <v>0</v>
      </c>
      <c r="AK121" s="92">
        <v>0</v>
      </c>
      <c r="AL121" s="34">
        <f t="shared" si="173"/>
        <v>0</v>
      </c>
      <c r="AM121" s="92">
        <v>0</v>
      </c>
      <c r="AN121" s="92">
        <v>0</v>
      </c>
      <c r="AO121" s="92">
        <v>0</v>
      </c>
      <c r="AP121" s="34"/>
      <c r="AQ121" s="34">
        <f>SUM(S121:V121)</f>
        <v>-2288</v>
      </c>
      <c r="AR121" s="34">
        <f>SUM(T121:W121)</f>
        <v>-1324</v>
      </c>
      <c r="AS121" s="34">
        <f>SUM(U121:X121)</f>
        <v>0</v>
      </c>
      <c r="AT121" s="34">
        <f>SUM(V121:Y121)</f>
        <v>0</v>
      </c>
      <c r="AU121" s="34">
        <f>SUM(W121:Z121)</f>
        <v>0</v>
      </c>
      <c r="AV121" s="34">
        <f>SUM(X121:AA121)</f>
        <v>0</v>
      </c>
      <c r="AW121" s="34">
        <f>SUM(Y121:AB121)</f>
        <v>0</v>
      </c>
      <c r="AX121" s="34">
        <f>SUM(Z121:AC121)</f>
        <v>0</v>
      </c>
      <c r="AY121" s="34">
        <f>SUM(AA121:AD121)</f>
        <v>-2821</v>
      </c>
      <c r="AZ121" s="34">
        <f>SUM(AB121:AE121)</f>
        <v>-2821</v>
      </c>
      <c r="BA121" s="34">
        <f>SUM(AC121:AF121)</f>
        <v>-2821</v>
      </c>
      <c r="BB121" s="34">
        <f>SUM(AD121:AG121)</f>
        <v>-2821</v>
      </c>
      <c r="BC121" s="34">
        <f>SUM(AE121:AH121)</f>
        <v>0</v>
      </c>
      <c r="BD121" s="34">
        <f>SUM(AF121:AI121)</f>
        <v>0</v>
      </c>
      <c r="BE121" s="34">
        <f>SUM(AG121:AJ121)</f>
        <v>0</v>
      </c>
      <c r="BF121" s="34">
        <f>SUM(AH121:AK121)</f>
        <v>0</v>
      </c>
      <c r="BG121" s="34">
        <f>SUM(AI121:AL121)</f>
        <v>0</v>
      </c>
      <c r="BH121" s="34">
        <f>SUM(AJ121:AM121)</f>
        <v>0</v>
      </c>
      <c r="BI121" s="34">
        <f>SUM(AK121:AN121)</f>
        <v>0</v>
      </c>
      <c r="BJ121" s="34">
        <f>SUM(AL121:AO121)</f>
        <v>0</v>
      </c>
      <c r="BK121" s="64"/>
      <c r="BL121" s="83"/>
    </row>
    <row r="122" spans="2:64" ht="12.75" customHeight="1">
      <c r="B122" s="65" t="s">
        <v>497</v>
      </c>
      <c r="C122" s="92">
        <v>0</v>
      </c>
      <c r="D122" s="92">
        <v>0</v>
      </c>
      <c r="E122" s="92">
        <v>-15482</v>
      </c>
      <c r="F122" s="92">
        <v>0</v>
      </c>
      <c r="G122" s="92">
        <v>0</v>
      </c>
      <c r="H122" s="92">
        <v>0</v>
      </c>
      <c r="I122" s="92">
        <v>0</v>
      </c>
      <c r="J122" s="34"/>
      <c r="K122" s="92">
        <v>0</v>
      </c>
      <c r="L122" s="34">
        <v>0</v>
      </c>
      <c r="M122" s="34">
        <v>0</v>
      </c>
      <c r="N122" s="34">
        <f t="shared" si="167"/>
        <v>0</v>
      </c>
      <c r="O122" s="92">
        <v>0</v>
      </c>
      <c r="P122" s="34">
        <v>0</v>
      </c>
      <c r="Q122" s="34">
        <v>0</v>
      </c>
      <c r="R122" s="34">
        <f t="shared" si="168"/>
        <v>0</v>
      </c>
      <c r="S122" s="92">
        <v>0</v>
      </c>
      <c r="T122" s="92">
        <v>0</v>
      </c>
      <c r="U122" s="92">
        <v>0</v>
      </c>
      <c r="V122" s="34">
        <f t="shared" si="169"/>
        <v>-15482</v>
      </c>
      <c r="W122" s="92">
        <v>0</v>
      </c>
      <c r="X122" s="92">
        <v>0</v>
      </c>
      <c r="Y122" s="92">
        <v>0</v>
      </c>
      <c r="Z122" s="34">
        <f t="shared" si="170"/>
        <v>0</v>
      </c>
      <c r="AA122" s="92">
        <v>0</v>
      </c>
      <c r="AB122" s="92">
        <v>0</v>
      </c>
      <c r="AC122" s="92">
        <v>0</v>
      </c>
      <c r="AD122" s="34">
        <f t="shared" si="171"/>
        <v>0</v>
      </c>
      <c r="AE122" s="92">
        <v>0</v>
      </c>
      <c r="AF122" s="92">
        <v>0</v>
      </c>
      <c r="AG122" s="92">
        <v>0</v>
      </c>
      <c r="AH122" s="34">
        <f t="shared" si="172"/>
        <v>0</v>
      </c>
      <c r="AI122" s="92">
        <v>0</v>
      </c>
      <c r="AJ122" s="92">
        <v>0</v>
      </c>
      <c r="AK122" s="92">
        <v>0</v>
      </c>
      <c r="AL122" s="34">
        <f t="shared" si="173"/>
        <v>0</v>
      </c>
      <c r="AM122" s="92">
        <v>0</v>
      </c>
      <c r="AN122" s="92">
        <v>0</v>
      </c>
      <c r="AO122" s="92">
        <v>0</v>
      </c>
      <c r="AP122" s="34"/>
      <c r="AQ122" s="34">
        <f>SUM(S122:V122)</f>
        <v>-15482</v>
      </c>
      <c r="AR122" s="34">
        <f>SUM(T122:W122)</f>
        <v>-15482</v>
      </c>
      <c r="AS122" s="34">
        <f>SUM(U122:X122)</f>
        <v>-15482</v>
      </c>
      <c r="AT122" s="34">
        <f>SUM(V122:Y122)</f>
        <v>-15482</v>
      </c>
      <c r="AU122" s="34">
        <f>SUM(W122:Z122)</f>
        <v>0</v>
      </c>
      <c r="AV122" s="34">
        <f>SUM(X122:AA122)</f>
        <v>0</v>
      </c>
      <c r="AW122" s="34">
        <f>SUM(Y122:AB122)</f>
        <v>0</v>
      </c>
      <c r="AX122" s="34">
        <f>SUM(Z122:AC122)</f>
        <v>0</v>
      </c>
      <c r="AY122" s="34">
        <f>SUM(AA122:AD122)</f>
        <v>0</v>
      </c>
      <c r="AZ122" s="34">
        <f>SUM(AB122:AE122)</f>
        <v>0</v>
      </c>
      <c r="BA122" s="34">
        <f>SUM(AC122:AF122)</f>
        <v>0</v>
      </c>
      <c r="BB122" s="34">
        <f>SUM(AD122:AG122)</f>
        <v>0</v>
      </c>
      <c r="BC122" s="34">
        <f>SUM(AE122:AH122)</f>
        <v>0</v>
      </c>
      <c r="BD122" s="34">
        <f>SUM(AF122:AI122)</f>
        <v>0</v>
      </c>
      <c r="BE122" s="34">
        <f>SUM(AG122:AJ122)</f>
        <v>0</v>
      </c>
      <c r="BF122" s="34">
        <f>SUM(AH122:AK122)</f>
        <v>0</v>
      </c>
      <c r="BG122" s="34">
        <f>SUM(AI122:AL122)</f>
        <v>0</v>
      </c>
      <c r="BH122" s="34">
        <f>SUM(AJ122:AM122)</f>
        <v>0</v>
      </c>
      <c r="BI122" s="34">
        <f>SUM(AK122:AN122)</f>
        <v>0</v>
      </c>
      <c r="BJ122" s="34">
        <f>SUM(AL122:AO122)</f>
        <v>0</v>
      </c>
      <c r="BK122" s="64"/>
      <c r="BL122" s="83"/>
    </row>
    <row r="123" spans="2:64" ht="12.75" customHeight="1">
      <c r="B123" s="65" t="s">
        <v>500</v>
      </c>
      <c r="C123" s="92">
        <v>0</v>
      </c>
      <c r="D123" s="92">
        <v>0</v>
      </c>
      <c r="E123" s="92">
        <v>0</v>
      </c>
      <c r="F123" s="92">
        <v>-11000</v>
      </c>
      <c r="G123" s="92">
        <v>-13250</v>
      </c>
      <c r="H123" s="92">
        <v>-3250</v>
      </c>
      <c r="I123" s="92">
        <v>0</v>
      </c>
      <c r="J123" s="34"/>
      <c r="K123" s="92">
        <v>0</v>
      </c>
      <c r="L123" s="34">
        <v>0</v>
      </c>
      <c r="M123" s="34">
        <v>0</v>
      </c>
      <c r="N123" s="34">
        <f t="shared" si="167"/>
        <v>0</v>
      </c>
      <c r="O123" s="92">
        <v>0</v>
      </c>
      <c r="P123" s="34">
        <v>0</v>
      </c>
      <c r="Q123" s="34">
        <v>0</v>
      </c>
      <c r="R123" s="34">
        <f t="shared" si="168"/>
        <v>0</v>
      </c>
      <c r="S123" s="92">
        <v>0</v>
      </c>
      <c r="T123" s="92">
        <v>0</v>
      </c>
      <c r="U123" s="92">
        <v>0</v>
      </c>
      <c r="V123" s="34">
        <f t="shared" si="169"/>
        <v>0</v>
      </c>
      <c r="W123" s="92">
        <v>0</v>
      </c>
      <c r="X123" s="92">
        <v>0</v>
      </c>
      <c r="Y123" s="92">
        <v>0</v>
      </c>
      <c r="Z123" s="34">
        <f t="shared" si="170"/>
        <v>-11000</v>
      </c>
      <c r="AA123" s="92">
        <v>0</v>
      </c>
      <c r="AB123" s="92">
        <v>0</v>
      </c>
      <c r="AC123" s="92">
        <f>-10000-AB123-AA123</f>
        <v>-10000</v>
      </c>
      <c r="AD123" s="34">
        <f t="shared" si="171"/>
        <v>-3250</v>
      </c>
      <c r="AE123" s="92">
        <v>-3250</v>
      </c>
      <c r="AF123" s="92">
        <f>-3250-AE123</f>
        <v>0</v>
      </c>
      <c r="AG123" s="92">
        <f>-3250-AF123-AE123</f>
        <v>0</v>
      </c>
      <c r="AH123" s="34">
        <f t="shared" si="172"/>
        <v>0</v>
      </c>
      <c r="AI123" s="92">
        <v>0</v>
      </c>
      <c r="AJ123" s="92">
        <v>0</v>
      </c>
      <c r="AK123" s="92">
        <v>0</v>
      </c>
      <c r="AL123" s="34">
        <f t="shared" si="173"/>
        <v>0</v>
      </c>
      <c r="AM123" s="92">
        <v>0</v>
      </c>
      <c r="AN123" s="92">
        <v>0</v>
      </c>
      <c r="AO123" s="92">
        <v>0</v>
      </c>
      <c r="AP123" s="34"/>
      <c r="AQ123" s="34">
        <f>SUM(S123:V123)</f>
        <v>0</v>
      </c>
      <c r="AR123" s="34">
        <f>SUM(T123:W123)</f>
        <v>0</v>
      </c>
      <c r="AS123" s="34">
        <f>SUM(U123:X123)</f>
        <v>0</v>
      </c>
      <c r="AT123" s="34">
        <f>SUM(V123:Y123)</f>
        <v>0</v>
      </c>
      <c r="AU123" s="34">
        <f>SUM(W123:Z123)</f>
        <v>-11000</v>
      </c>
      <c r="AV123" s="34">
        <f>SUM(X123:AA123)</f>
        <v>-11000</v>
      </c>
      <c r="AW123" s="34">
        <f>SUM(Y123:AB123)</f>
        <v>-11000</v>
      </c>
      <c r="AX123" s="34">
        <f>SUM(Z123:AC123)</f>
        <v>-21000</v>
      </c>
      <c r="AY123" s="34">
        <f>SUM(AA123:AD123)</f>
        <v>-13250</v>
      </c>
      <c r="AZ123" s="34">
        <f>SUM(AB123:AE123)</f>
        <v>-16500</v>
      </c>
      <c r="BA123" s="34">
        <f>SUM(AC123:AF123)</f>
        <v>-16500</v>
      </c>
      <c r="BB123" s="34">
        <f>SUM(AD123:AG123)</f>
        <v>-6500</v>
      </c>
      <c r="BC123" s="34">
        <f>SUM(AE123:AH123)</f>
        <v>-3250</v>
      </c>
      <c r="BD123" s="34">
        <f>SUM(AF123:AI123)</f>
        <v>0</v>
      </c>
      <c r="BE123" s="34">
        <f>SUM(AG123:AJ123)</f>
        <v>0</v>
      </c>
      <c r="BF123" s="34">
        <f>SUM(AH123:AK123)</f>
        <v>0</v>
      </c>
      <c r="BG123" s="34">
        <f>SUM(AI123:AL123)</f>
        <v>0</v>
      </c>
      <c r="BH123" s="34">
        <f>SUM(AJ123:AM123)</f>
        <v>0</v>
      </c>
      <c r="BI123" s="34">
        <f>SUM(AK123:AN123)</f>
        <v>0</v>
      </c>
      <c r="BJ123" s="34">
        <f>SUM(AL123:AO123)</f>
        <v>0</v>
      </c>
      <c r="BK123" s="64"/>
      <c r="BL123" s="83"/>
    </row>
    <row r="124" spans="2:64" ht="12.75" customHeight="1">
      <c r="B124" s="65" t="s">
        <v>504</v>
      </c>
      <c r="C124" s="92">
        <v>0</v>
      </c>
      <c r="D124" s="92">
        <v>0</v>
      </c>
      <c r="E124" s="92">
        <v>0</v>
      </c>
      <c r="F124" s="92">
        <v>0</v>
      </c>
      <c r="G124" s="92">
        <v>0</v>
      </c>
      <c r="H124" s="92">
        <v>0</v>
      </c>
      <c r="I124" s="92">
        <v>0</v>
      </c>
      <c r="J124" s="34"/>
      <c r="K124" s="92"/>
      <c r="L124" s="34"/>
      <c r="M124" s="34"/>
      <c r="N124" s="34"/>
      <c r="O124" s="92"/>
      <c r="P124" s="34"/>
      <c r="Q124" s="34"/>
      <c r="R124" s="34"/>
      <c r="S124" s="92">
        <v>0</v>
      </c>
      <c r="T124" s="92">
        <v>0</v>
      </c>
      <c r="U124" s="92">
        <v>599</v>
      </c>
      <c r="V124" s="34">
        <f t="shared" si="169"/>
        <v>-599</v>
      </c>
      <c r="W124" s="92">
        <v>0</v>
      </c>
      <c r="X124" s="92">
        <v>0</v>
      </c>
      <c r="Y124" s="92">
        <v>0</v>
      </c>
      <c r="Z124" s="34">
        <f t="shared" si="170"/>
        <v>0</v>
      </c>
      <c r="AA124" s="92">
        <v>0</v>
      </c>
      <c r="AB124" s="92">
        <v>0</v>
      </c>
      <c r="AC124" s="92">
        <v>0</v>
      </c>
      <c r="AD124" s="34">
        <f t="shared" si="171"/>
        <v>0</v>
      </c>
      <c r="AE124" s="92">
        <v>0</v>
      </c>
      <c r="AF124" s="92">
        <v>0</v>
      </c>
      <c r="AG124" s="92">
        <v>0</v>
      </c>
      <c r="AH124" s="34">
        <f t="shared" si="172"/>
        <v>0</v>
      </c>
      <c r="AI124" s="92">
        <v>0</v>
      </c>
      <c r="AJ124" s="92">
        <v>0</v>
      </c>
      <c r="AK124" s="92">
        <v>0</v>
      </c>
      <c r="AL124" s="34">
        <f t="shared" si="173"/>
        <v>0</v>
      </c>
      <c r="AM124" s="92">
        <v>0</v>
      </c>
      <c r="AN124" s="92">
        <v>0</v>
      </c>
      <c r="AO124" s="92">
        <f>83-AN124-AM124</f>
        <v>83</v>
      </c>
      <c r="AP124" s="34"/>
      <c r="AQ124" s="34">
        <f>SUM(S124:V124)</f>
        <v>0</v>
      </c>
      <c r="AR124" s="34">
        <f>SUM(T124:W124)</f>
        <v>0</v>
      </c>
      <c r="AS124" s="34">
        <f>SUM(U124:X124)</f>
        <v>0</v>
      </c>
      <c r="AT124" s="34">
        <f>SUM(V124:Y124)</f>
        <v>-599</v>
      </c>
      <c r="AU124" s="34">
        <f>SUM(W124:Z124)</f>
        <v>0</v>
      </c>
      <c r="AV124" s="34">
        <f>SUM(X124:AA124)</f>
        <v>0</v>
      </c>
      <c r="AW124" s="34">
        <f>SUM(Y124:AB124)</f>
        <v>0</v>
      </c>
      <c r="AX124" s="34">
        <f>SUM(Z124:AC124)</f>
        <v>0</v>
      </c>
      <c r="AY124" s="34">
        <f>SUM(AA124:AD124)</f>
        <v>0</v>
      </c>
      <c r="AZ124" s="34">
        <f>SUM(AB124:AE124)</f>
        <v>0</v>
      </c>
      <c r="BA124" s="34">
        <f>SUM(AC124:AF124)</f>
        <v>0</v>
      </c>
      <c r="BB124" s="34">
        <f>SUM(AD124:AG124)</f>
        <v>0</v>
      </c>
      <c r="BC124" s="34">
        <f>SUM(AE124:AH124)</f>
        <v>0</v>
      </c>
      <c r="BD124" s="34">
        <f>SUM(AF124:AI124)</f>
        <v>0</v>
      </c>
      <c r="BE124" s="34">
        <f>SUM(AG124:AJ124)</f>
        <v>0</v>
      </c>
      <c r="BF124" s="34">
        <f>SUM(AH124:AK124)</f>
        <v>0</v>
      </c>
      <c r="BG124" s="34">
        <f>SUM(AI124:AL124)</f>
        <v>0</v>
      </c>
      <c r="BH124" s="34">
        <f>SUM(AJ124:AM124)</f>
        <v>0</v>
      </c>
      <c r="BI124" s="34">
        <f>SUM(AK124:AN124)</f>
        <v>0</v>
      </c>
      <c r="BJ124" s="34">
        <f>SUM(AL124:AO124)</f>
        <v>83</v>
      </c>
      <c r="BK124" s="64"/>
      <c r="BL124" s="83"/>
    </row>
    <row r="125" spans="2:64" ht="12.75" customHeight="1">
      <c r="B125" s="65" t="s">
        <v>501</v>
      </c>
      <c r="C125" s="92">
        <v>-59</v>
      </c>
      <c r="D125" s="92">
        <v>-545</v>
      </c>
      <c r="E125" s="92">
        <v>-33</v>
      </c>
      <c r="F125" s="92">
        <v>-518</v>
      </c>
      <c r="G125" s="92">
        <v>-981</v>
      </c>
      <c r="H125" s="92">
        <v>0</v>
      </c>
      <c r="I125" s="92">
        <v>435</v>
      </c>
      <c r="J125" s="34"/>
      <c r="K125" s="92">
        <v>-13</v>
      </c>
      <c r="L125" s="34">
        <f>-60-K125</f>
        <v>-47</v>
      </c>
      <c r="M125" s="34">
        <f>-59-L125-K125</f>
        <v>1</v>
      </c>
      <c r="N125" s="34">
        <f t="shared" ref="N125" si="174">SUM(C125-SUM(K125:M125))</f>
        <v>0</v>
      </c>
      <c r="O125" s="92">
        <v>-501</v>
      </c>
      <c r="P125" s="34">
        <f>-487-O125</f>
        <v>14</v>
      </c>
      <c r="Q125" s="34">
        <f>-542-P125-O125</f>
        <v>-55</v>
      </c>
      <c r="R125" s="34">
        <f t="shared" ref="R125" si="175">SUM(D125-SUM(O125:Q125))</f>
        <v>-3</v>
      </c>
      <c r="S125" s="92">
        <v>0</v>
      </c>
      <c r="T125" s="92">
        <f>-9-S125</f>
        <v>-9</v>
      </c>
      <c r="U125" s="92">
        <f>-9-T125-S125</f>
        <v>0</v>
      </c>
      <c r="V125" s="34">
        <f t="shared" si="169"/>
        <v>-24</v>
      </c>
      <c r="W125" s="92">
        <v>-18</v>
      </c>
      <c r="X125" s="34">
        <f>-145-W125</f>
        <v>-127</v>
      </c>
      <c r="Y125" s="34">
        <f>-132-X125-W125</f>
        <v>13</v>
      </c>
      <c r="Z125" s="34">
        <f t="shared" ref="Z125" si="176">SUM(F125-SUM(W125:Y125))</f>
        <v>-386</v>
      </c>
      <c r="AA125" s="92">
        <v>49</v>
      </c>
      <c r="AB125" s="34">
        <f>-23-AA125</f>
        <v>-72</v>
      </c>
      <c r="AC125" s="34">
        <f>-752-AB125-AA125</f>
        <v>-729</v>
      </c>
      <c r="AD125" s="34">
        <f t="shared" ref="AD125" si="177">SUM(G125-SUM(AA125:AC125))</f>
        <v>-229</v>
      </c>
      <c r="AE125" s="92">
        <v>0</v>
      </c>
      <c r="AF125" s="92">
        <v>0</v>
      </c>
      <c r="AG125" s="92">
        <v>0</v>
      </c>
      <c r="AH125" s="34">
        <f t="shared" si="172"/>
        <v>0</v>
      </c>
      <c r="AI125" s="92">
        <v>466</v>
      </c>
      <c r="AJ125" s="34">
        <f>532-AI125</f>
        <v>66</v>
      </c>
      <c r="AK125" s="34">
        <f>437-AJ125-AI125</f>
        <v>-95</v>
      </c>
      <c r="AL125" s="34">
        <f t="shared" si="173"/>
        <v>-2</v>
      </c>
      <c r="AM125" s="92">
        <v>0</v>
      </c>
      <c r="AN125" s="92">
        <v>0</v>
      </c>
      <c r="AO125" s="92">
        <v>0</v>
      </c>
      <c r="AP125" s="34"/>
      <c r="AQ125" s="34">
        <f>SUM(S125:V125)</f>
        <v>-33</v>
      </c>
      <c r="AR125" s="34">
        <f>SUM(T125:W125)</f>
        <v>-51</v>
      </c>
      <c r="AS125" s="34">
        <f>SUM(U125:X125)</f>
        <v>-169</v>
      </c>
      <c r="AT125" s="34">
        <f>SUM(V125:Y125)</f>
        <v>-156</v>
      </c>
      <c r="AU125" s="34">
        <f>SUM(W125:Z125)</f>
        <v>-518</v>
      </c>
      <c r="AV125" s="34">
        <f>SUM(X125:AA125)</f>
        <v>-451</v>
      </c>
      <c r="AW125" s="34">
        <f>SUM(Y125:AB125)</f>
        <v>-396</v>
      </c>
      <c r="AX125" s="34">
        <f>SUM(Z125:AC125)</f>
        <v>-1138</v>
      </c>
      <c r="AY125" s="34">
        <f>SUM(AA125:AD125)</f>
        <v>-981</v>
      </c>
      <c r="AZ125" s="34">
        <f>SUM(AB125:AE125)</f>
        <v>-1030</v>
      </c>
      <c r="BA125" s="34">
        <f>SUM(AC125:AF125)</f>
        <v>-958</v>
      </c>
      <c r="BB125" s="34">
        <f>SUM(AD125:AG125)</f>
        <v>-229</v>
      </c>
      <c r="BC125" s="34">
        <f>SUM(AE125:AH125)</f>
        <v>0</v>
      </c>
      <c r="BD125" s="34">
        <f>SUM(AF125:AI125)</f>
        <v>466</v>
      </c>
      <c r="BE125" s="34">
        <f>SUM(AG125:AJ125)</f>
        <v>532</v>
      </c>
      <c r="BF125" s="34">
        <f>SUM(AH125:AK125)</f>
        <v>437</v>
      </c>
      <c r="BG125" s="34">
        <f>SUM(AI125:AL125)</f>
        <v>435</v>
      </c>
      <c r="BH125" s="34">
        <f>SUM(AJ125:AM125)</f>
        <v>-31</v>
      </c>
      <c r="BI125" s="34">
        <f>SUM(AK125:AN125)</f>
        <v>-97</v>
      </c>
      <c r="BJ125" s="34">
        <f>SUM(AL125:AO125)</f>
        <v>-2</v>
      </c>
      <c r="BK125" s="64"/>
      <c r="BL125" s="83"/>
    </row>
    <row r="126" spans="2:64" ht="12.75" customHeight="1">
      <c r="B126" s="14" t="s">
        <v>89</v>
      </c>
      <c r="C126" s="15">
        <f>SUM(C119:C125)</f>
        <v>-23242</v>
      </c>
      <c r="D126" s="15">
        <f>SUM(D119:D125)</f>
        <v>-26164</v>
      </c>
      <c r="E126" s="15">
        <f>SUM(E119:E125)</f>
        <v>-74900</v>
      </c>
      <c r="F126" s="15">
        <f>SUM(F119:F125)</f>
        <v>-147479</v>
      </c>
      <c r="G126" s="15">
        <f>SUM(G119:G125)</f>
        <v>-87527</v>
      </c>
      <c r="H126" s="15">
        <f>SUM(H119:H125)</f>
        <v>-9491</v>
      </c>
      <c r="I126" s="15">
        <f>SUM(I119:I125)</f>
        <v>-6232</v>
      </c>
      <c r="K126" s="15">
        <f>SUM(K119:K125)</f>
        <v>-3732</v>
      </c>
      <c r="L126" s="15">
        <f>SUM(L119:L125)</f>
        <v>-6301</v>
      </c>
      <c r="M126" s="15">
        <f>SUM(M119:M125)</f>
        <v>-8172</v>
      </c>
      <c r="N126" s="15">
        <f>SUM(N119:N125)</f>
        <v>-5037</v>
      </c>
      <c r="O126" s="15">
        <f>SUM(O119:O125)</f>
        <v>-4993</v>
      </c>
      <c r="P126" s="15">
        <f>SUM(P119:P125)</f>
        <v>-5885</v>
      </c>
      <c r="Q126" s="15">
        <f>SUM(Q119:Q125)</f>
        <v>-6275</v>
      </c>
      <c r="R126" s="15">
        <f>SUM(R119:R125)</f>
        <v>-9011</v>
      </c>
      <c r="S126" s="15">
        <f>SUM(S119:S125)</f>
        <v>-13362</v>
      </c>
      <c r="T126" s="15">
        <f>SUM(T119:T125)</f>
        <v>-14966</v>
      </c>
      <c r="U126" s="15">
        <f>SUM(U119:U125)</f>
        <v>-11418</v>
      </c>
      <c r="V126" s="15">
        <f>SUM(V119:V125)</f>
        <v>-35154</v>
      </c>
      <c r="W126" s="15">
        <f>SUM(W119:W125)</f>
        <v>-23381</v>
      </c>
      <c r="X126" s="15">
        <f>SUM(X119:X125)</f>
        <v>-28184</v>
      </c>
      <c r="Y126" s="15">
        <f>SUM(Y119:Y125)</f>
        <v>-52868</v>
      </c>
      <c r="Z126" s="15">
        <f>SUM(Z119:Z125)</f>
        <v>-43046</v>
      </c>
      <c r="AA126" s="15">
        <f>SUM(AA119:AA125)</f>
        <v>-21499</v>
      </c>
      <c r="AB126" s="15">
        <f>SUM(AB119:AB125)</f>
        <v>-20489</v>
      </c>
      <c r="AC126" s="15">
        <f>SUM(AC119:AC125)</f>
        <v>-28716</v>
      </c>
      <c r="AD126" s="15">
        <f>SUM(AD119:AD125)</f>
        <v>-16823</v>
      </c>
      <c r="AE126" s="15">
        <f>SUM(AE119:AE125)</f>
        <v>-6302</v>
      </c>
      <c r="AF126" s="15">
        <f>SUM(AF119:AF125)</f>
        <v>-1771</v>
      </c>
      <c r="AG126" s="15">
        <f>SUM(AG119:AG125)</f>
        <v>-1267</v>
      </c>
      <c r="AH126" s="15">
        <f>SUM(AH119:AH125)</f>
        <v>-151</v>
      </c>
      <c r="AI126" s="15">
        <f>SUM(AI119:AI125)</f>
        <v>-302</v>
      </c>
      <c r="AJ126" s="15">
        <f>SUM(AJ119:AJ125)</f>
        <v>1471</v>
      </c>
      <c r="AK126" s="15">
        <f>SUM(AK119:AK125)</f>
        <v>-1179</v>
      </c>
      <c r="AL126" s="15">
        <f>SUM(AL119:AL125)</f>
        <v>-6222</v>
      </c>
      <c r="AM126" s="15">
        <f>SUM(AM119:AM125)</f>
        <v>-4137</v>
      </c>
      <c r="AN126" s="15">
        <f>SUM(AN119:AN125)</f>
        <v>-1938</v>
      </c>
      <c r="AO126" s="15">
        <f>SUM(AO119:AO125)</f>
        <v>-1916</v>
      </c>
      <c r="AQ126" s="15">
        <f t="shared" ref="AQ126:AX126" si="178">SUM(AQ119:AQ125)</f>
        <v>-74900</v>
      </c>
      <c r="AR126" s="15">
        <f t="shared" si="178"/>
        <v>-84919</v>
      </c>
      <c r="AS126" s="15">
        <f t="shared" si="178"/>
        <v>-98137</v>
      </c>
      <c r="AT126" s="15">
        <f t="shared" si="178"/>
        <v>-139587</v>
      </c>
      <c r="AU126" s="15">
        <f t="shared" si="178"/>
        <v>-147479</v>
      </c>
      <c r="AV126" s="15">
        <f t="shared" si="178"/>
        <v>-145597</v>
      </c>
      <c r="AW126" s="15">
        <f t="shared" si="178"/>
        <v>-137902</v>
      </c>
      <c r="AX126" s="15">
        <f t="shared" si="178"/>
        <v>-113750</v>
      </c>
      <c r="AY126" s="15">
        <f>SUM(AY119:AY125)</f>
        <v>-87527</v>
      </c>
      <c r="AZ126" s="15">
        <f>SUM(AZ119:AZ125)</f>
        <v>-72330</v>
      </c>
      <c r="BA126" s="15">
        <f>SUM(BA119:BA125)</f>
        <v>-53612</v>
      </c>
      <c r="BB126" s="15">
        <f>SUM(BB119:BB125)</f>
        <v>-26163</v>
      </c>
      <c r="BC126" s="15">
        <f>SUM(BC119:BC125)</f>
        <v>-9491</v>
      </c>
      <c r="BD126" s="15">
        <f>SUM(BD119:BD125)</f>
        <v>-3491</v>
      </c>
      <c r="BE126" s="15">
        <f>SUM(BE119:BE125)</f>
        <v>-249</v>
      </c>
      <c r="BF126" s="15">
        <f>SUM(BF119:BF125)</f>
        <v>-161</v>
      </c>
      <c r="BG126" s="15">
        <f>SUM(BG119:BG125)</f>
        <v>-6232</v>
      </c>
      <c r="BH126" s="15">
        <f>SUM(BH119:BH125)</f>
        <v>-10067</v>
      </c>
      <c r="BI126" s="15">
        <f>SUM(BI119:BI125)</f>
        <v>-13476</v>
      </c>
      <c r="BJ126" s="15">
        <f>SUM(BJ119:BJ125)</f>
        <v>-14213</v>
      </c>
      <c r="BK126" s="45"/>
      <c r="BL126" s="84">
        <f>SUM(BI126/BE126)-1</f>
        <v>53.120481927710841</v>
      </c>
    </row>
    <row r="127" spans="2:64" ht="5.0999999999999996" customHeight="1">
      <c r="B127" s="57"/>
      <c r="C127" s="66"/>
      <c r="D127" s="66"/>
      <c r="E127" s="66"/>
      <c r="F127" s="66"/>
      <c r="G127" s="66"/>
      <c r="H127" s="66"/>
      <c r="I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2"/>
    </row>
    <row r="128" spans="2:64" ht="12.75" customHeight="1">
      <c r="B128" s="58" t="s">
        <v>90</v>
      </c>
      <c r="C128" s="68"/>
      <c r="D128" s="68"/>
      <c r="E128" s="68"/>
      <c r="F128" s="68"/>
      <c r="G128" s="68"/>
      <c r="H128" s="68"/>
      <c r="I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34"/>
      <c r="AQ128" s="34">
        <f>SUM(S128:V128)</f>
        <v>0</v>
      </c>
      <c r="AR128" s="34">
        <f>SUM(T128:W128)</f>
        <v>0</v>
      </c>
      <c r="AS128" s="34">
        <f>SUM(U128:X128)</f>
        <v>0</v>
      </c>
      <c r="AT128" s="34">
        <f>SUM(V128:Y128)</f>
        <v>0</v>
      </c>
      <c r="AU128" s="34">
        <f>SUM(W128:Z128)</f>
        <v>0</v>
      </c>
      <c r="AV128" s="34">
        <f>SUM(X128:AA128)</f>
        <v>0</v>
      </c>
      <c r="AW128" s="34">
        <f>SUM(Y128:AB128)</f>
        <v>0</v>
      </c>
      <c r="AX128" s="34">
        <f>SUM(Z128:AC128)</f>
        <v>0</v>
      </c>
      <c r="AY128" s="34">
        <f>SUM(AA128:AD128)</f>
        <v>0</v>
      </c>
      <c r="AZ128" s="34">
        <f>SUM(AB128:AE128)</f>
        <v>0</v>
      </c>
      <c r="BA128" s="34">
        <f>SUM(AC128:AF128)</f>
        <v>0</v>
      </c>
      <c r="BB128" s="34">
        <f>SUM(AD128:AG128)</f>
        <v>0</v>
      </c>
      <c r="BC128" s="34">
        <f>SUM(AE128:AH128)</f>
        <v>0</v>
      </c>
      <c r="BD128" s="34">
        <f>SUM(AF128:AI128)</f>
        <v>0</v>
      </c>
      <c r="BE128" s="34">
        <f>SUM(AG128:AJ128)</f>
        <v>0</v>
      </c>
      <c r="BF128" s="34">
        <f>SUM(AH128:AK128)</f>
        <v>0</v>
      </c>
      <c r="BG128" s="34">
        <f>SUM(AI128:AL128)</f>
        <v>0</v>
      </c>
      <c r="BH128" s="34">
        <f>SUM(AJ128:AM128)</f>
        <v>0</v>
      </c>
      <c r="BI128" s="34">
        <f>SUM(AK128:AN128)</f>
        <v>0</v>
      </c>
      <c r="BJ128" s="34">
        <f>SUM(AL128:AO128)</f>
        <v>0</v>
      </c>
      <c r="BK128" s="69"/>
      <c r="BL128" s="42"/>
    </row>
    <row r="129" spans="2:64" ht="12.75" customHeight="1">
      <c r="B129" s="122" t="s">
        <v>526</v>
      </c>
      <c r="C129" s="92">
        <v>-514</v>
      </c>
      <c r="D129" s="92">
        <f>254868+37394</f>
        <v>292262</v>
      </c>
      <c r="E129" s="92">
        <v>0</v>
      </c>
      <c r="F129" s="92">
        <v>0</v>
      </c>
      <c r="G129" s="92">
        <v>0</v>
      </c>
      <c r="H129" s="92">
        <v>0</v>
      </c>
      <c r="I129" s="92">
        <v>46725</v>
      </c>
      <c r="K129" s="92">
        <v>0</v>
      </c>
      <c r="L129" s="34">
        <v>0</v>
      </c>
      <c r="M129" s="34">
        <v>-514</v>
      </c>
      <c r="N129" s="34">
        <f t="shared" ref="N129:N137" si="179">SUM(C129-SUM(K129:M129))</f>
        <v>0</v>
      </c>
      <c r="O129" s="92">
        <v>0</v>
      </c>
      <c r="P129" s="34">
        <f>255448-O129</f>
        <v>255448</v>
      </c>
      <c r="Q129" s="34">
        <f>37937+254868-P129-O129</f>
        <v>37357</v>
      </c>
      <c r="R129" s="34">
        <f t="shared" ref="R129:R137" si="180">SUM(D129-SUM(O129:Q129))</f>
        <v>-543</v>
      </c>
      <c r="S129" s="92">
        <v>0</v>
      </c>
      <c r="T129" s="92">
        <v>0</v>
      </c>
      <c r="U129" s="92">
        <v>0</v>
      </c>
      <c r="V129" s="34">
        <f t="shared" ref="V129:V137" si="181">SUM(E129-SUM(S129:U129))</f>
        <v>0</v>
      </c>
      <c r="W129" s="92">
        <v>0</v>
      </c>
      <c r="X129" s="92">
        <v>0</v>
      </c>
      <c r="Y129" s="92">
        <v>0</v>
      </c>
      <c r="Z129" s="34">
        <f t="shared" ref="Z129:Z137" si="182">SUM(F129-SUM(W129:Y129))</f>
        <v>0</v>
      </c>
      <c r="AA129" s="92">
        <v>0</v>
      </c>
      <c r="AB129" s="92">
        <v>0</v>
      </c>
      <c r="AC129" s="92">
        <v>0</v>
      </c>
      <c r="AD129" s="34">
        <f t="shared" ref="AD129:AD137" si="183">SUM(G129-SUM(AA129:AC129))</f>
        <v>0</v>
      </c>
      <c r="AE129" s="92">
        <v>0</v>
      </c>
      <c r="AF129" s="92">
        <v>0</v>
      </c>
      <c r="AG129" s="92">
        <v>0</v>
      </c>
      <c r="AH129" s="34">
        <f t="shared" ref="AH129:AH137" si="184">SUM(H129-SUM(AE129:AG129))</f>
        <v>0</v>
      </c>
      <c r="AI129" s="92">
        <v>0</v>
      </c>
      <c r="AJ129" s="92">
        <v>0</v>
      </c>
      <c r="AK129" s="92">
        <v>0</v>
      </c>
      <c r="AL129" s="34">
        <f t="shared" ref="AL129:AL137" si="185">SUM(I129-SUM(AI129:AK129))</f>
        <v>46725</v>
      </c>
      <c r="AM129" s="92">
        <v>0</v>
      </c>
      <c r="AN129" s="92">
        <v>0</v>
      </c>
      <c r="AO129" s="92">
        <v>0</v>
      </c>
      <c r="AP129" s="34"/>
      <c r="AQ129" s="34">
        <f>SUM(S129:V129)</f>
        <v>0</v>
      </c>
      <c r="AR129" s="34">
        <f>SUM(T129:W129)</f>
        <v>0</v>
      </c>
      <c r="AS129" s="34">
        <f>SUM(U129:X129)</f>
        <v>0</v>
      </c>
      <c r="AT129" s="34">
        <f>SUM(V129:Y129)</f>
        <v>0</v>
      </c>
      <c r="AU129" s="34">
        <f>SUM(W129:Z129)</f>
        <v>0</v>
      </c>
      <c r="AV129" s="34">
        <f>SUM(X129:AA129)</f>
        <v>0</v>
      </c>
      <c r="AW129" s="34">
        <f>SUM(Y129:AB129)</f>
        <v>0</v>
      </c>
      <c r="AX129" s="34">
        <f>SUM(Z129:AC129)</f>
        <v>0</v>
      </c>
      <c r="AY129" s="34">
        <f>SUM(AA129:AD129)</f>
        <v>0</v>
      </c>
      <c r="AZ129" s="34">
        <f>SUM(AB129:AE129)</f>
        <v>0</v>
      </c>
      <c r="BA129" s="34">
        <f>SUM(AC129:AF129)</f>
        <v>0</v>
      </c>
      <c r="BB129" s="34">
        <f>SUM(AD129:AG129)</f>
        <v>0</v>
      </c>
      <c r="BC129" s="34">
        <f>SUM(AE129:AH129)</f>
        <v>0</v>
      </c>
      <c r="BD129" s="34">
        <f>SUM(AF129:AI129)</f>
        <v>0</v>
      </c>
      <c r="BE129" s="34">
        <f>SUM(AG129:AJ129)</f>
        <v>0</v>
      </c>
      <c r="BF129" s="34">
        <f>SUM(AH129:AK129)</f>
        <v>0</v>
      </c>
      <c r="BG129" s="34">
        <f>SUM(AI129:AL129)</f>
        <v>46725</v>
      </c>
      <c r="BH129" s="34">
        <f>SUM(AJ129:AM129)</f>
        <v>46725</v>
      </c>
      <c r="BI129" s="34">
        <f>SUM(AK129:AN129)</f>
        <v>46725</v>
      </c>
      <c r="BJ129" s="34">
        <f>SUM(AL129:AO129)</f>
        <v>46725</v>
      </c>
      <c r="BK129" s="69"/>
      <c r="BL129" s="42"/>
    </row>
    <row r="130" spans="2:64" ht="12.75" customHeight="1">
      <c r="B130" s="122" t="s">
        <v>527</v>
      </c>
      <c r="C130" s="92">
        <f>49999+1347</f>
        <v>51346</v>
      </c>
      <c r="D130" s="92">
        <v>0</v>
      </c>
      <c r="E130" s="92">
        <v>0</v>
      </c>
      <c r="F130" s="92">
        <v>0</v>
      </c>
      <c r="G130" s="92">
        <v>0</v>
      </c>
      <c r="H130" s="92">
        <v>0</v>
      </c>
      <c r="I130" s="92">
        <v>0</v>
      </c>
      <c r="K130" s="92">
        <v>1229</v>
      </c>
      <c r="L130" s="34">
        <v>0</v>
      </c>
      <c r="M130" s="34">
        <f>25000+1347-L130-K130</f>
        <v>25118</v>
      </c>
      <c r="N130" s="34">
        <f t="shared" si="179"/>
        <v>24999</v>
      </c>
      <c r="O130" s="92">
        <v>0</v>
      </c>
      <c r="P130" s="92">
        <v>0</v>
      </c>
      <c r="Q130" s="92">
        <v>0</v>
      </c>
      <c r="R130" s="34">
        <f t="shared" si="180"/>
        <v>0</v>
      </c>
      <c r="S130" s="92">
        <v>0</v>
      </c>
      <c r="T130" s="92">
        <v>0</v>
      </c>
      <c r="U130" s="92">
        <v>0</v>
      </c>
      <c r="V130" s="34">
        <f t="shared" si="181"/>
        <v>0</v>
      </c>
      <c r="W130" s="92">
        <v>0</v>
      </c>
      <c r="X130" s="92">
        <v>0</v>
      </c>
      <c r="Y130" s="92">
        <v>0</v>
      </c>
      <c r="Z130" s="34">
        <f t="shared" si="182"/>
        <v>0</v>
      </c>
      <c r="AA130" s="92">
        <v>0</v>
      </c>
      <c r="AB130" s="92">
        <v>0</v>
      </c>
      <c r="AC130" s="92">
        <v>0</v>
      </c>
      <c r="AD130" s="34">
        <f t="shared" si="183"/>
        <v>0</v>
      </c>
      <c r="AE130" s="92">
        <v>0</v>
      </c>
      <c r="AF130" s="92">
        <v>0</v>
      </c>
      <c r="AG130" s="92">
        <v>0</v>
      </c>
      <c r="AH130" s="34">
        <f t="shared" si="184"/>
        <v>0</v>
      </c>
      <c r="AI130" s="92">
        <v>0</v>
      </c>
      <c r="AJ130" s="92">
        <v>0</v>
      </c>
      <c r="AK130" s="92">
        <v>0</v>
      </c>
      <c r="AL130" s="34">
        <f t="shared" si="185"/>
        <v>0</v>
      </c>
      <c r="AM130" s="92">
        <v>0</v>
      </c>
      <c r="AN130" s="92">
        <v>0</v>
      </c>
      <c r="AO130" s="92">
        <v>0</v>
      </c>
      <c r="AP130" s="34"/>
      <c r="AQ130" s="34">
        <f>SUM(S130:V130)</f>
        <v>0</v>
      </c>
      <c r="AR130" s="34">
        <f>SUM(T130:W130)</f>
        <v>0</v>
      </c>
      <c r="AS130" s="34">
        <f>SUM(U130:X130)</f>
        <v>0</v>
      </c>
      <c r="AT130" s="34">
        <f>SUM(V130:Y130)</f>
        <v>0</v>
      </c>
      <c r="AU130" s="34">
        <f>SUM(W130:Z130)</f>
        <v>0</v>
      </c>
      <c r="AV130" s="34">
        <f>SUM(X130:AA130)</f>
        <v>0</v>
      </c>
      <c r="AW130" s="34">
        <f>SUM(Y130:AB130)</f>
        <v>0</v>
      </c>
      <c r="AX130" s="34">
        <f>SUM(Z130:AC130)</f>
        <v>0</v>
      </c>
      <c r="AY130" s="34">
        <f>SUM(AA130:AD130)</f>
        <v>0</v>
      </c>
      <c r="AZ130" s="34">
        <f>SUM(AB130:AE130)</f>
        <v>0</v>
      </c>
      <c r="BA130" s="34">
        <f>SUM(AC130:AF130)</f>
        <v>0</v>
      </c>
      <c r="BB130" s="34">
        <f>SUM(AD130:AG130)</f>
        <v>0</v>
      </c>
      <c r="BC130" s="34">
        <f>SUM(AE130:AH130)</f>
        <v>0</v>
      </c>
      <c r="BD130" s="34">
        <f>SUM(AF130:AI130)</f>
        <v>0</v>
      </c>
      <c r="BE130" s="34">
        <f>SUM(AG130:AJ130)</f>
        <v>0</v>
      </c>
      <c r="BF130" s="34">
        <f>SUM(AH130:AK130)</f>
        <v>0</v>
      </c>
      <c r="BG130" s="34">
        <f>SUM(AI130:AL130)</f>
        <v>0</v>
      </c>
      <c r="BH130" s="34">
        <f>SUM(AJ130:AM130)</f>
        <v>0</v>
      </c>
      <c r="BI130" s="34">
        <f>SUM(AK130:AN130)</f>
        <v>0</v>
      </c>
      <c r="BJ130" s="34">
        <f>SUM(AL130:AO130)</f>
        <v>0</v>
      </c>
      <c r="BK130" s="69"/>
      <c r="BL130" s="42"/>
    </row>
    <row r="131" spans="2:64" ht="12.75" customHeight="1">
      <c r="B131" s="122" t="s">
        <v>525</v>
      </c>
      <c r="C131" s="92">
        <f>1369+2+951</f>
        <v>2322</v>
      </c>
      <c r="D131" s="92">
        <v>2669</v>
      </c>
      <c r="E131" s="92">
        <f>9007-2275</f>
        <v>6732</v>
      </c>
      <c r="F131" s="92">
        <f>8135-3081</f>
        <v>5054</v>
      </c>
      <c r="G131" s="92">
        <f>1626-1140</f>
        <v>486</v>
      </c>
      <c r="H131" s="92">
        <f>170-497</f>
        <v>-327</v>
      </c>
      <c r="I131" s="92">
        <f>924-695</f>
        <v>229</v>
      </c>
      <c r="K131" s="92">
        <v>87</v>
      </c>
      <c r="L131" s="34">
        <f>871+951-K131</f>
        <v>1735</v>
      </c>
      <c r="M131" s="34">
        <f>1128+951-L131-K131</f>
        <v>257</v>
      </c>
      <c r="N131" s="34">
        <f t="shared" si="179"/>
        <v>243</v>
      </c>
      <c r="O131" s="92">
        <v>366</v>
      </c>
      <c r="P131" s="34">
        <f>533-O131</f>
        <v>167</v>
      </c>
      <c r="Q131" s="34">
        <f>898-P131-O131</f>
        <v>365</v>
      </c>
      <c r="R131" s="34">
        <f t="shared" si="180"/>
        <v>1771</v>
      </c>
      <c r="S131" s="92">
        <f>1014-12</f>
        <v>1002</v>
      </c>
      <c r="T131" s="92">
        <f>3824-1231-S131</f>
        <v>1591</v>
      </c>
      <c r="U131" s="92">
        <f>6491-1736-T131-S131</f>
        <v>2162</v>
      </c>
      <c r="V131" s="34">
        <f t="shared" si="181"/>
        <v>1977</v>
      </c>
      <c r="W131" s="92">
        <f>2861-812</f>
        <v>2049</v>
      </c>
      <c r="X131" s="92">
        <f>6499-1787-W131</f>
        <v>2663</v>
      </c>
      <c r="Y131" s="92">
        <f>7554-2749 -X131-W131</f>
        <v>93</v>
      </c>
      <c r="Z131" s="34">
        <f t="shared" si="182"/>
        <v>249</v>
      </c>
      <c r="AA131" s="92">
        <f>815-439</f>
        <v>376</v>
      </c>
      <c r="AB131" s="92">
        <f>1309-769-AA131</f>
        <v>164</v>
      </c>
      <c r="AC131" s="92">
        <f>1610-1073-AB131-AA131</f>
        <v>-3</v>
      </c>
      <c r="AD131" s="34">
        <f t="shared" si="183"/>
        <v>-51</v>
      </c>
      <c r="AE131" s="92">
        <f>136-252</f>
        <v>-116</v>
      </c>
      <c r="AF131" s="92">
        <f>152-337-AE131</f>
        <v>-69</v>
      </c>
      <c r="AG131" s="92">
        <f>171-391-AF131-AE131</f>
        <v>-35</v>
      </c>
      <c r="AH131" s="34">
        <f t="shared" si="184"/>
        <v>-107</v>
      </c>
      <c r="AI131" s="92">
        <f>5-435</f>
        <v>-430</v>
      </c>
      <c r="AJ131" s="92">
        <f>5-539-AI131</f>
        <v>-104</v>
      </c>
      <c r="AK131" s="92">
        <f>18-617-AJ131-AI131</f>
        <v>-65</v>
      </c>
      <c r="AL131" s="34">
        <f t="shared" si="185"/>
        <v>828</v>
      </c>
      <c r="AM131" s="92">
        <v>-220</v>
      </c>
      <c r="AN131" s="92">
        <f>6-312-AM131</f>
        <v>-86</v>
      </c>
      <c r="AO131" s="92">
        <f>6-385-AN131-AM131</f>
        <v>-73</v>
      </c>
      <c r="AP131" s="34"/>
      <c r="AQ131" s="34">
        <f>SUM(S131:V131)</f>
        <v>6732</v>
      </c>
      <c r="AR131" s="34">
        <f>SUM(T131:W131)</f>
        <v>7779</v>
      </c>
      <c r="AS131" s="34">
        <f>SUM(U131:X131)</f>
        <v>8851</v>
      </c>
      <c r="AT131" s="34">
        <f>SUM(V131:Y131)</f>
        <v>6782</v>
      </c>
      <c r="AU131" s="34">
        <f>SUM(W131:Z131)</f>
        <v>5054</v>
      </c>
      <c r="AV131" s="34">
        <f>SUM(X131:AA131)</f>
        <v>3381</v>
      </c>
      <c r="AW131" s="34">
        <f>SUM(Y131:AB131)</f>
        <v>882</v>
      </c>
      <c r="AX131" s="34">
        <f>SUM(Z131:AC131)</f>
        <v>786</v>
      </c>
      <c r="AY131" s="34">
        <f>SUM(AA131:AD131)</f>
        <v>486</v>
      </c>
      <c r="AZ131" s="34">
        <f>SUM(AB131:AE131)</f>
        <v>-6</v>
      </c>
      <c r="BA131" s="34">
        <f>SUM(AC131:AF131)</f>
        <v>-239</v>
      </c>
      <c r="BB131" s="34">
        <f>SUM(AD131:AG131)</f>
        <v>-271</v>
      </c>
      <c r="BC131" s="34">
        <f>SUM(AE131:AH131)</f>
        <v>-327</v>
      </c>
      <c r="BD131" s="34">
        <f>SUM(AF131:AI131)</f>
        <v>-641</v>
      </c>
      <c r="BE131" s="34">
        <f>SUM(AG131:AJ131)</f>
        <v>-676</v>
      </c>
      <c r="BF131" s="34">
        <f>SUM(AH131:AK131)</f>
        <v>-706</v>
      </c>
      <c r="BG131" s="34">
        <f>SUM(AI131:AL131)</f>
        <v>229</v>
      </c>
      <c r="BH131" s="34">
        <f>SUM(AJ131:AM131)</f>
        <v>439</v>
      </c>
      <c r="BI131" s="34">
        <f>SUM(AK131:AN131)</f>
        <v>457</v>
      </c>
      <c r="BJ131" s="34">
        <f>SUM(AL131:AO131)</f>
        <v>449</v>
      </c>
      <c r="BK131" s="69"/>
      <c r="BL131" s="42"/>
    </row>
    <row r="132" spans="2:64" ht="12.75" customHeight="1">
      <c r="B132" s="122" t="s">
        <v>528</v>
      </c>
      <c r="C132" s="92">
        <v>0</v>
      </c>
      <c r="D132" s="92">
        <v>0</v>
      </c>
      <c r="E132" s="92">
        <v>0</v>
      </c>
      <c r="F132" s="92">
        <f>1150000-83950</f>
        <v>1066050</v>
      </c>
      <c r="G132" s="92">
        <v>0</v>
      </c>
      <c r="H132" s="92">
        <v>0</v>
      </c>
      <c r="I132" s="92">
        <v>0</v>
      </c>
      <c r="K132" s="92">
        <v>0</v>
      </c>
      <c r="L132" s="92">
        <v>0</v>
      </c>
      <c r="M132" s="92">
        <v>0</v>
      </c>
      <c r="N132" s="34">
        <f t="shared" si="179"/>
        <v>0</v>
      </c>
      <c r="O132" s="92">
        <v>0</v>
      </c>
      <c r="P132" s="92">
        <v>0</v>
      </c>
      <c r="Q132" s="92">
        <v>0</v>
      </c>
      <c r="R132" s="34">
        <f t="shared" si="180"/>
        <v>0</v>
      </c>
      <c r="S132" s="92">
        <v>0</v>
      </c>
      <c r="T132" s="92">
        <v>0</v>
      </c>
      <c r="U132" s="92">
        <v>0</v>
      </c>
      <c r="V132" s="34">
        <f t="shared" si="181"/>
        <v>0</v>
      </c>
      <c r="W132" s="92">
        <f>1150000-83950</f>
        <v>1066050</v>
      </c>
      <c r="X132" s="92">
        <f>1150000-83950-W132</f>
        <v>0</v>
      </c>
      <c r="Y132" s="92">
        <f>1150000-83950-X132-W132</f>
        <v>0</v>
      </c>
      <c r="Z132" s="34">
        <f t="shared" si="182"/>
        <v>0</v>
      </c>
      <c r="AA132" s="92">
        <v>0</v>
      </c>
      <c r="AB132" s="92">
        <v>0</v>
      </c>
      <c r="AC132" s="92">
        <v>0</v>
      </c>
      <c r="AD132" s="34">
        <f t="shared" si="183"/>
        <v>0</v>
      </c>
      <c r="AE132" s="92">
        <v>0</v>
      </c>
      <c r="AF132" s="92">
        <v>0</v>
      </c>
      <c r="AG132" s="92">
        <v>0</v>
      </c>
      <c r="AH132" s="34">
        <f t="shared" si="184"/>
        <v>0</v>
      </c>
      <c r="AI132" s="92">
        <v>0</v>
      </c>
      <c r="AJ132" s="92">
        <v>0</v>
      </c>
      <c r="AK132" s="92">
        <v>0</v>
      </c>
      <c r="AL132" s="34">
        <f t="shared" si="185"/>
        <v>0</v>
      </c>
      <c r="AM132" s="92">
        <v>0</v>
      </c>
      <c r="AN132" s="92">
        <v>0</v>
      </c>
      <c r="AO132" s="92">
        <v>0</v>
      </c>
      <c r="AP132" s="34"/>
      <c r="AQ132" s="34">
        <f>SUM(S132:V132)</f>
        <v>0</v>
      </c>
      <c r="AR132" s="34">
        <f>SUM(T132:W132)</f>
        <v>1066050</v>
      </c>
      <c r="AS132" s="34">
        <f>SUM(U132:X132)</f>
        <v>1066050</v>
      </c>
      <c r="AT132" s="34">
        <f>SUM(V132:Y132)</f>
        <v>1066050</v>
      </c>
      <c r="AU132" s="34">
        <f>SUM(W132:Z132)</f>
        <v>1066050</v>
      </c>
      <c r="AV132" s="34">
        <f>SUM(X132:AA132)</f>
        <v>0</v>
      </c>
      <c r="AW132" s="34">
        <f>SUM(Y132:AB132)</f>
        <v>0</v>
      </c>
      <c r="AX132" s="34">
        <f>SUM(Z132:AC132)</f>
        <v>0</v>
      </c>
      <c r="AY132" s="34">
        <f>SUM(AA132:AD132)</f>
        <v>0</v>
      </c>
      <c r="AZ132" s="34">
        <f>SUM(AB132:AE132)</f>
        <v>0</v>
      </c>
      <c r="BA132" s="34">
        <f>SUM(AC132:AF132)</f>
        <v>0</v>
      </c>
      <c r="BB132" s="34">
        <f>SUM(AD132:AG132)</f>
        <v>0</v>
      </c>
      <c r="BC132" s="34">
        <f>SUM(AE132:AH132)</f>
        <v>0</v>
      </c>
      <c r="BD132" s="34">
        <f>SUM(AF132:AI132)</f>
        <v>0</v>
      </c>
      <c r="BE132" s="34">
        <f>SUM(AG132:AJ132)</f>
        <v>0</v>
      </c>
      <c r="BF132" s="34">
        <f>SUM(AH132:AK132)</f>
        <v>0</v>
      </c>
      <c r="BG132" s="34">
        <f>SUM(AI132:AL132)</f>
        <v>0</v>
      </c>
      <c r="BH132" s="34">
        <f>SUM(AJ132:AM132)</f>
        <v>0</v>
      </c>
      <c r="BI132" s="34">
        <f>SUM(AK132:AN132)</f>
        <v>0</v>
      </c>
      <c r="BJ132" s="34">
        <f>SUM(AL132:AO132)</f>
        <v>0</v>
      </c>
      <c r="BK132" s="69"/>
      <c r="BL132" s="42"/>
    </row>
    <row r="133" spans="2:64" ht="12.75" customHeight="1">
      <c r="B133" s="122" t="s">
        <v>529</v>
      </c>
      <c r="C133" s="92">
        <f>6000-2500</f>
        <v>3500</v>
      </c>
      <c r="D133" s="92">
        <v>0</v>
      </c>
      <c r="E133" s="92">
        <f>50000-6000-25000</f>
        <v>19000</v>
      </c>
      <c r="F133" s="92">
        <v>-25000</v>
      </c>
      <c r="G133" s="92">
        <v>0</v>
      </c>
      <c r="H133" s="92">
        <v>0</v>
      </c>
      <c r="I133" s="92">
        <v>0</v>
      </c>
      <c r="K133" s="92">
        <v>-2500</v>
      </c>
      <c r="L133" s="34">
        <f>-2500-K133</f>
        <v>0</v>
      </c>
      <c r="M133" s="34">
        <f>6000-2500-L133-K133</f>
        <v>6000</v>
      </c>
      <c r="N133" s="34">
        <f t="shared" si="179"/>
        <v>0</v>
      </c>
      <c r="O133" s="92">
        <v>0</v>
      </c>
      <c r="P133" s="34">
        <v>0</v>
      </c>
      <c r="Q133" s="34">
        <v>0</v>
      </c>
      <c r="R133" s="34">
        <f t="shared" si="180"/>
        <v>0</v>
      </c>
      <c r="S133" s="92">
        <v>0</v>
      </c>
      <c r="T133" s="92">
        <f>50000-6000-S133</f>
        <v>44000</v>
      </c>
      <c r="U133" s="92">
        <f>50000-6000-T133-S133</f>
        <v>0</v>
      </c>
      <c r="V133" s="34">
        <f t="shared" si="181"/>
        <v>-25000</v>
      </c>
      <c r="W133" s="92">
        <v>-25000</v>
      </c>
      <c r="X133" s="92">
        <f>-25000-W133</f>
        <v>0</v>
      </c>
      <c r="Y133" s="92">
        <f>-25000-X133-W133</f>
        <v>0</v>
      </c>
      <c r="Z133" s="34">
        <f t="shared" si="182"/>
        <v>0</v>
      </c>
      <c r="AA133" s="92">
        <v>0</v>
      </c>
      <c r="AB133" s="92">
        <v>0</v>
      </c>
      <c r="AC133" s="92">
        <v>0</v>
      </c>
      <c r="AD133" s="34">
        <f t="shared" si="183"/>
        <v>0</v>
      </c>
      <c r="AE133" s="92">
        <v>0</v>
      </c>
      <c r="AF133" s="92">
        <v>0</v>
      </c>
      <c r="AG133" s="92">
        <v>0</v>
      </c>
      <c r="AH133" s="34">
        <f t="shared" si="184"/>
        <v>0</v>
      </c>
      <c r="AI133" s="92">
        <v>0</v>
      </c>
      <c r="AJ133" s="92">
        <v>0</v>
      </c>
      <c r="AK133" s="92">
        <v>0</v>
      </c>
      <c r="AL133" s="34">
        <f t="shared" si="185"/>
        <v>0</v>
      </c>
      <c r="AM133" s="92">
        <v>0</v>
      </c>
      <c r="AN133" s="92">
        <v>0</v>
      </c>
      <c r="AO133" s="92">
        <v>0</v>
      </c>
      <c r="AP133" s="34"/>
      <c r="AQ133" s="34">
        <f>SUM(S133:V133)</f>
        <v>19000</v>
      </c>
      <c r="AR133" s="34">
        <f>SUM(T133:W133)</f>
        <v>-6000</v>
      </c>
      <c r="AS133" s="34">
        <f>SUM(U133:X133)</f>
        <v>-50000</v>
      </c>
      <c r="AT133" s="34">
        <f>SUM(V133:Y133)</f>
        <v>-50000</v>
      </c>
      <c r="AU133" s="34">
        <f>SUM(W133:Z133)</f>
        <v>-25000</v>
      </c>
      <c r="AV133" s="34">
        <f>SUM(X133:AA133)</f>
        <v>0</v>
      </c>
      <c r="AW133" s="34">
        <f>SUM(Y133:AB133)</f>
        <v>0</v>
      </c>
      <c r="AX133" s="34">
        <f>SUM(Z133:AC133)</f>
        <v>0</v>
      </c>
      <c r="AY133" s="34">
        <f>SUM(AA133:AD133)</f>
        <v>0</v>
      </c>
      <c r="AZ133" s="34">
        <f>SUM(AB133:AE133)</f>
        <v>0</v>
      </c>
      <c r="BA133" s="34">
        <f>SUM(AC133:AF133)</f>
        <v>0</v>
      </c>
      <c r="BB133" s="34">
        <f>SUM(AD133:AG133)</f>
        <v>0</v>
      </c>
      <c r="BC133" s="34">
        <f>SUM(AE133:AH133)</f>
        <v>0</v>
      </c>
      <c r="BD133" s="34">
        <f>SUM(AF133:AI133)</f>
        <v>0</v>
      </c>
      <c r="BE133" s="34">
        <f>SUM(AG133:AJ133)</f>
        <v>0</v>
      </c>
      <c r="BF133" s="34">
        <f>SUM(AH133:AK133)</f>
        <v>0</v>
      </c>
      <c r="BG133" s="34">
        <f>SUM(AI133:AL133)</f>
        <v>0</v>
      </c>
      <c r="BH133" s="34">
        <f>SUM(AJ133:AM133)</f>
        <v>0</v>
      </c>
      <c r="BI133" s="34">
        <f>SUM(AK133:AN133)</f>
        <v>0</v>
      </c>
      <c r="BJ133" s="34">
        <f>SUM(AL133:AO133)</f>
        <v>0</v>
      </c>
      <c r="BK133" s="69"/>
      <c r="BL133" s="42"/>
    </row>
    <row r="134" spans="2:64" ht="12.75" customHeight="1">
      <c r="B134" s="122" t="s">
        <v>530</v>
      </c>
      <c r="C134" s="92">
        <v>-153</v>
      </c>
      <c r="D134" s="92">
        <v>-55</v>
      </c>
      <c r="E134" s="92">
        <v>-70</v>
      </c>
      <c r="F134" s="92">
        <v>-177</v>
      </c>
      <c r="G134" s="92">
        <v>-210</v>
      </c>
      <c r="H134" s="92">
        <v>-223</v>
      </c>
      <c r="I134" s="92">
        <v>-1177</v>
      </c>
      <c r="K134" s="92">
        <v>-59</v>
      </c>
      <c r="L134" s="34">
        <f>-117-K134</f>
        <v>-58</v>
      </c>
      <c r="M134" s="34">
        <f>-143-L134-K134</f>
        <v>-26</v>
      </c>
      <c r="N134" s="34">
        <f t="shared" si="179"/>
        <v>-10</v>
      </c>
      <c r="O134" s="92">
        <v>-9</v>
      </c>
      <c r="P134" s="34">
        <f>-21-O134</f>
        <v>-12</v>
      </c>
      <c r="Q134" s="34">
        <f>-31-P134-O134</f>
        <v>-10</v>
      </c>
      <c r="R134" s="34">
        <f t="shared" si="180"/>
        <v>-24</v>
      </c>
      <c r="S134" s="92">
        <f>-(16)</f>
        <v>-16</v>
      </c>
      <c r="T134" s="92">
        <f>-34-S134</f>
        <v>-18</v>
      </c>
      <c r="U134" s="92">
        <f>-52-T134-S134</f>
        <v>-18</v>
      </c>
      <c r="V134" s="34">
        <f t="shared" si="181"/>
        <v>-18</v>
      </c>
      <c r="W134" s="92">
        <v>-36</v>
      </c>
      <c r="X134" s="92">
        <f>-83-W134</f>
        <v>-47</v>
      </c>
      <c r="Y134" s="92">
        <f>-130-X134-W134</f>
        <v>-47</v>
      </c>
      <c r="Z134" s="34">
        <f t="shared" si="182"/>
        <v>-47</v>
      </c>
      <c r="AA134" s="92">
        <v>-45</v>
      </c>
      <c r="AB134" s="92">
        <f>-43-AA134</f>
        <v>2</v>
      </c>
      <c r="AC134" s="92">
        <f>-152-AB134-AA134</f>
        <v>-109</v>
      </c>
      <c r="AD134" s="34">
        <f t="shared" si="183"/>
        <v>-58</v>
      </c>
      <c r="AE134" s="92">
        <v>-33</v>
      </c>
      <c r="AF134" s="92">
        <f>-115-AE134</f>
        <v>-82</v>
      </c>
      <c r="AG134" s="92">
        <f>-168-AF134-AE134</f>
        <v>-53</v>
      </c>
      <c r="AH134" s="34">
        <f t="shared" si="184"/>
        <v>-55</v>
      </c>
      <c r="AI134" s="92">
        <v>-511</v>
      </c>
      <c r="AJ134" s="92">
        <f>-514-AI134</f>
        <v>-3</v>
      </c>
      <c r="AK134" s="92">
        <f>-683-AJ134-AI134</f>
        <v>-169</v>
      </c>
      <c r="AL134" s="34">
        <f t="shared" si="185"/>
        <v>-494</v>
      </c>
      <c r="AM134" s="92">
        <v>-244</v>
      </c>
      <c r="AN134" s="92">
        <f>-937-AM134</f>
        <v>-693</v>
      </c>
      <c r="AO134" s="92">
        <f>-1486-AN134-AM134</f>
        <v>-549</v>
      </c>
      <c r="AP134" s="34"/>
      <c r="AQ134" s="34">
        <f>SUM(S134:V134)</f>
        <v>-70</v>
      </c>
      <c r="AR134" s="34">
        <f>SUM(T134:W134)</f>
        <v>-90</v>
      </c>
      <c r="AS134" s="34">
        <f>SUM(U134:X134)</f>
        <v>-119</v>
      </c>
      <c r="AT134" s="34">
        <f>SUM(V134:Y134)</f>
        <v>-148</v>
      </c>
      <c r="AU134" s="34">
        <f>SUM(W134:Z134)</f>
        <v>-177</v>
      </c>
      <c r="AV134" s="34">
        <f>SUM(X134:AA134)</f>
        <v>-186</v>
      </c>
      <c r="AW134" s="34">
        <f>SUM(Y134:AB134)</f>
        <v>-137</v>
      </c>
      <c r="AX134" s="34">
        <f>SUM(Z134:AC134)</f>
        <v>-199</v>
      </c>
      <c r="AY134" s="34">
        <f>SUM(AA134:AD134)</f>
        <v>-210</v>
      </c>
      <c r="AZ134" s="34">
        <f>SUM(AB134:AE134)</f>
        <v>-198</v>
      </c>
      <c r="BA134" s="34">
        <f>SUM(AC134:AF134)</f>
        <v>-282</v>
      </c>
      <c r="BB134" s="34">
        <f>SUM(AD134:AG134)</f>
        <v>-226</v>
      </c>
      <c r="BC134" s="34">
        <f>SUM(AE134:AH134)</f>
        <v>-223</v>
      </c>
      <c r="BD134" s="34">
        <f>SUM(AF134:AI134)</f>
        <v>-701</v>
      </c>
      <c r="BE134" s="34">
        <f>SUM(AG134:AJ134)</f>
        <v>-622</v>
      </c>
      <c r="BF134" s="34">
        <f>SUM(AH134:AK134)</f>
        <v>-738</v>
      </c>
      <c r="BG134" s="34">
        <f>SUM(AI134:AL134)</f>
        <v>-1177</v>
      </c>
      <c r="BH134" s="34">
        <f>SUM(AJ134:AM134)</f>
        <v>-910</v>
      </c>
      <c r="BI134" s="34">
        <f>SUM(AK134:AN134)</f>
        <v>-1600</v>
      </c>
      <c r="BJ134" s="34">
        <f>SUM(AL134:AO134)</f>
        <v>-1980</v>
      </c>
      <c r="BK134" s="69"/>
      <c r="BL134" s="42"/>
    </row>
    <row r="135" spans="2:64" ht="12.75" customHeight="1">
      <c r="B135" s="122" t="s">
        <v>531</v>
      </c>
      <c r="C135" s="92">
        <f>-1000+20000</f>
        <v>19000</v>
      </c>
      <c r="D135" s="92">
        <v>0</v>
      </c>
      <c r="E135" s="92">
        <v>-20000</v>
      </c>
      <c r="F135" s="92">
        <v>0</v>
      </c>
      <c r="G135" s="92">
        <v>0</v>
      </c>
      <c r="H135" s="92">
        <v>0</v>
      </c>
      <c r="I135" s="92">
        <v>0</v>
      </c>
      <c r="K135" s="92">
        <v>-125</v>
      </c>
      <c r="L135" s="92">
        <f>-1000+10000-K135</f>
        <v>9125</v>
      </c>
      <c r="M135" s="34">
        <f>-1000+20000-L135-K135</f>
        <v>10000</v>
      </c>
      <c r="N135" s="34">
        <f t="shared" si="179"/>
        <v>0</v>
      </c>
      <c r="O135" s="92">
        <v>0</v>
      </c>
      <c r="P135" s="92">
        <v>0</v>
      </c>
      <c r="Q135" s="92">
        <v>0</v>
      </c>
      <c r="R135" s="34">
        <f t="shared" si="180"/>
        <v>0</v>
      </c>
      <c r="S135" s="92">
        <v>0</v>
      </c>
      <c r="T135" s="92">
        <f>-20000-S135</f>
        <v>-20000</v>
      </c>
      <c r="U135" s="92">
        <f>-20000-T135-S135</f>
        <v>0</v>
      </c>
      <c r="V135" s="34">
        <f t="shared" si="181"/>
        <v>0</v>
      </c>
      <c r="W135" s="92">
        <v>0</v>
      </c>
      <c r="X135" s="92">
        <v>0</v>
      </c>
      <c r="Y135" s="92">
        <v>0</v>
      </c>
      <c r="Z135" s="34">
        <f t="shared" si="182"/>
        <v>0</v>
      </c>
      <c r="AA135" s="92">
        <v>0</v>
      </c>
      <c r="AB135" s="92">
        <v>0</v>
      </c>
      <c r="AC135" s="92">
        <v>0</v>
      </c>
      <c r="AD135" s="34">
        <f t="shared" si="183"/>
        <v>0</v>
      </c>
      <c r="AE135" s="92">
        <v>0</v>
      </c>
      <c r="AF135" s="92">
        <v>0</v>
      </c>
      <c r="AG135" s="92">
        <v>0</v>
      </c>
      <c r="AH135" s="34">
        <f t="shared" si="184"/>
        <v>0</v>
      </c>
      <c r="AI135" s="92">
        <v>0</v>
      </c>
      <c r="AJ135" s="92">
        <v>0</v>
      </c>
      <c r="AK135" s="92">
        <v>0</v>
      </c>
      <c r="AL135" s="34">
        <f t="shared" si="185"/>
        <v>0</v>
      </c>
      <c r="AM135" s="92">
        <v>0</v>
      </c>
      <c r="AN135" s="92">
        <f>40000-AM135</f>
        <v>40000</v>
      </c>
      <c r="AO135" s="92">
        <f>100000-AN135-AM135</f>
        <v>60000</v>
      </c>
      <c r="AP135" s="34"/>
      <c r="AQ135" s="34">
        <f>SUM(S135:V135)</f>
        <v>-20000</v>
      </c>
      <c r="AR135" s="34">
        <f>SUM(T135:W135)</f>
        <v>-20000</v>
      </c>
      <c r="AS135" s="34">
        <f>SUM(U135:X135)</f>
        <v>0</v>
      </c>
      <c r="AT135" s="34">
        <f>SUM(V135:Y135)</f>
        <v>0</v>
      </c>
      <c r="AU135" s="34">
        <f>SUM(W135:Z135)</f>
        <v>0</v>
      </c>
      <c r="AV135" s="34">
        <f>SUM(X135:AA135)</f>
        <v>0</v>
      </c>
      <c r="AW135" s="34">
        <f>SUM(Y135:AB135)</f>
        <v>0</v>
      </c>
      <c r="AX135" s="34">
        <f>SUM(Z135:AC135)</f>
        <v>0</v>
      </c>
      <c r="AY135" s="34">
        <f>SUM(AA135:AD135)</f>
        <v>0</v>
      </c>
      <c r="AZ135" s="34">
        <f>SUM(AB135:AE135)</f>
        <v>0</v>
      </c>
      <c r="BA135" s="34">
        <f>SUM(AC135:AF135)</f>
        <v>0</v>
      </c>
      <c r="BB135" s="34">
        <f>SUM(AD135:AG135)</f>
        <v>0</v>
      </c>
      <c r="BC135" s="34">
        <f>SUM(AE135:AH135)</f>
        <v>0</v>
      </c>
      <c r="BD135" s="34">
        <f>SUM(AF135:AI135)</f>
        <v>0</v>
      </c>
      <c r="BE135" s="34">
        <f>SUM(AG135:AJ135)</f>
        <v>0</v>
      </c>
      <c r="BF135" s="34">
        <f>SUM(AH135:AK135)</f>
        <v>0</v>
      </c>
      <c r="BG135" s="34">
        <f>SUM(AI135:AL135)</f>
        <v>0</v>
      </c>
      <c r="BH135" s="34">
        <f>SUM(AJ135:AM135)</f>
        <v>0</v>
      </c>
      <c r="BI135" s="34">
        <f>SUM(AK135:AN135)</f>
        <v>40000</v>
      </c>
      <c r="BJ135" s="34">
        <f>SUM(AL135:AO135)</f>
        <v>100000</v>
      </c>
      <c r="BK135" s="69"/>
      <c r="BL135" s="42"/>
    </row>
    <row r="136" spans="2:64" ht="12.75" customHeight="1">
      <c r="B136" s="122" t="s">
        <v>532</v>
      </c>
      <c r="C136" s="92">
        <f>5000-1450</f>
        <v>3550</v>
      </c>
      <c r="D136" s="92">
        <v>0</v>
      </c>
      <c r="E136" s="92">
        <v>-5000</v>
      </c>
      <c r="F136" s="92">
        <v>0</v>
      </c>
      <c r="G136" s="92">
        <v>0</v>
      </c>
      <c r="H136" s="92">
        <v>0</v>
      </c>
      <c r="I136" s="92">
        <v>0</v>
      </c>
      <c r="K136" s="92">
        <v>0</v>
      </c>
      <c r="L136" s="34">
        <f>-1450-K136</f>
        <v>-1450</v>
      </c>
      <c r="M136" s="34">
        <f>5000-1450-L136-K136</f>
        <v>5000</v>
      </c>
      <c r="N136" s="34">
        <f t="shared" si="179"/>
        <v>0</v>
      </c>
      <c r="O136" s="92">
        <v>0</v>
      </c>
      <c r="P136" s="92">
        <v>0</v>
      </c>
      <c r="Q136" s="92">
        <v>0</v>
      </c>
      <c r="R136" s="34">
        <f t="shared" si="180"/>
        <v>0</v>
      </c>
      <c r="S136" s="92">
        <v>0</v>
      </c>
      <c r="T136" s="92">
        <f>-5000-S136</f>
        <v>-5000</v>
      </c>
      <c r="U136" s="92">
        <f>-5000-T136-S136</f>
        <v>0</v>
      </c>
      <c r="V136" s="34">
        <f t="shared" si="181"/>
        <v>0</v>
      </c>
      <c r="W136" s="92">
        <v>0</v>
      </c>
      <c r="X136" s="92">
        <v>0</v>
      </c>
      <c r="Y136" s="92">
        <v>0</v>
      </c>
      <c r="Z136" s="34">
        <f t="shared" si="182"/>
        <v>0</v>
      </c>
      <c r="AA136" s="92">
        <v>0</v>
      </c>
      <c r="AB136" s="92">
        <v>0</v>
      </c>
      <c r="AC136" s="92">
        <v>0</v>
      </c>
      <c r="AD136" s="34">
        <f t="shared" si="183"/>
        <v>0</v>
      </c>
      <c r="AE136" s="92">
        <v>0</v>
      </c>
      <c r="AF136" s="92">
        <v>0</v>
      </c>
      <c r="AG136" s="92">
        <v>0</v>
      </c>
      <c r="AH136" s="34">
        <f t="shared" si="184"/>
        <v>0</v>
      </c>
      <c r="AI136" s="92">
        <v>0</v>
      </c>
      <c r="AJ136" s="92">
        <v>0</v>
      </c>
      <c r="AK136" s="92">
        <v>0</v>
      </c>
      <c r="AL136" s="34">
        <f t="shared" si="185"/>
        <v>0</v>
      </c>
      <c r="AM136" s="92">
        <v>0</v>
      </c>
      <c r="AN136" s="92">
        <v>0</v>
      </c>
      <c r="AO136" s="92">
        <v>0</v>
      </c>
      <c r="AP136" s="34"/>
      <c r="AQ136" s="34">
        <f>SUM(S136:V136)</f>
        <v>-5000</v>
      </c>
      <c r="AR136" s="34">
        <f>SUM(T136:W136)</f>
        <v>-5000</v>
      </c>
      <c r="AS136" s="34">
        <f>SUM(U136:X136)</f>
        <v>0</v>
      </c>
      <c r="AT136" s="34">
        <f>SUM(V136:Y136)</f>
        <v>0</v>
      </c>
      <c r="AU136" s="34">
        <f>SUM(W136:Z136)</f>
        <v>0</v>
      </c>
      <c r="AV136" s="34">
        <f>SUM(X136:AA136)</f>
        <v>0</v>
      </c>
      <c r="AW136" s="34">
        <f>SUM(Y136:AB136)</f>
        <v>0</v>
      </c>
      <c r="AX136" s="34">
        <f>SUM(Z136:AC136)</f>
        <v>0</v>
      </c>
      <c r="AY136" s="34">
        <f>SUM(AA136:AD136)</f>
        <v>0</v>
      </c>
      <c r="AZ136" s="34">
        <f>SUM(AB136:AE136)</f>
        <v>0</v>
      </c>
      <c r="BA136" s="34">
        <f>SUM(AC136:AF136)</f>
        <v>0</v>
      </c>
      <c r="BB136" s="34">
        <f>SUM(AD136:AG136)</f>
        <v>0</v>
      </c>
      <c r="BC136" s="34">
        <f>SUM(AE136:AH136)</f>
        <v>0</v>
      </c>
      <c r="BD136" s="34">
        <f>SUM(AF136:AI136)</f>
        <v>0</v>
      </c>
      <c r="BE136" s="34">
        <f>SUM(AG136:AJ136)</f>
        <v>0</v>
      </c>
      <c r="BF136" s="34">
        <f>SUM(AH136:AK136)</f>
        <v>0</v>
      </c>
      <c r="BG136" s="34">
        <f>SUM(AI136:AL136)</f>
        <v>0</v>
      </c>
      <c r="BH136" s="34">
        <f>SUM(AJ136:AM136)</f>
        <v>0</v>
      </c>
      <c r="BI136" s="34">
        <f>SUM(AK136:AN136)</f>
        <v>0</v>
      </c>
      <c r="BJ136" s="34">
        <f>SUM(AL136:AO136)</f>
        <v>0</v>
      </c>
      <c r="BK136" s="69"/>
      <c r="BL136" s="42"/>
    </row>
    <row r="137" spans="2:64" ht="12.75" customHeight="1">
      <c r="B137" s="122" t="s">
        <v>533</v>
      </c>
      <c r="C137" s="92">
        <f>-437-2415</f>
        <v>-2852</v>
      </c>
      <c r="D137" s="92">
        <v>0</v>
      </c>
      <c r="E137" s="92">
        <f>-1224-1200</f>
        <v>-2424</v>
      </c>
      <c r="F137" s="92">
        <v>-23605</v>
      </c>
      <c r="G137" s="92">
        <v>0</v>
      </c>
      <c r="H137" s="92">
        <v>0</v>
      </c>
      <c r="I137" s="92">
        <v>0</v>
      </c>
      <c r="K137" s="92">
        <v>0</v>
      </c>
      <c r="L137" s="34">
        <v>0</v>
      </c>
      <c r="M137" s="34">
        <f>-492-L137-K137</f>
        <v>-492</v>
      </c>
      <c r="N137" s="34">
        <f t="shared" si="179"/>
        <v>-2360</v>
      </c>
      <c r="O137" s="92">
        <v>-946</v>
      </c>
      <c r="P137" s="34">
        <f>0-O137</f>
        <v>946</v>
      </c>
      <c r="Q137" s="34">
        <v>0</v>
      </c>
      <c r="R137" s="34">
        <f t="shared" si="180"/>
        <v>0</v>
      </c>
      <c r="S137" s="92">
        <v>0</v>
      </c>
      <c r="T137" s="92">
        <f>-1183-1200-S137</f>
        <v>-2383</v>
      </c>
      <c r="U137" s="92">
        <f>-1224-1200-T137-S137</f>
        <v>-41</v>
      </c>
      <c r="V137" s="34">
        <f t="shared" si="181"/>
        <v>0</v>
      </c>
      <c r="W137" s="92">
        <v>-23150</v>
      </c>
      <c r="X137" s="92">
        <f>-23605-W137</f>
        <v>-455</v>
      </c>
      <c r="Y137" s="92">
        <f>-23605-X137-W137</f>
        <v>0</v>
      </c>
      <c r="Z137" s="34">
        <f t="shared" si="182"/>
        <v>0</v>
      </c>
      <c r="AA137" s="92">
        <v>0</v>
      </c>
      <c r="AB137" s="92">
        <v>0</v>
      </c>
      <c r="AC137" s="92">
        <v>0</v>
      </c>
      <c r="AD137" s="34">
        <f t="shared" si="183"/>
        <v>0</v>
      </c>
      <c r="AE137" s="92">
        <v>0</v>
      </c>
      <c r="AF137" s="92">
        <v>0</v>
      </c>
      <c r="AG137" s="92">
        <v>0</v>
      </c>
      <c r="AH137" s="34">
        <f t="shared" si="184"/>
        <v>0</v>
      </c>
      <c r="AI137" s="92">
        <v>0</v>
      </c>
      <c r="AJ137" s="92">
        <v>0</v>
      </c>
      <c r="AK137" s="92">
        <v>0</v>
      </c>
      <c r="AL137" s="34">
        <f t="shared" si="185"/>
        <v>0</v>
      </c>
      <c r="AM137" s="92">
        <v>-125</v>
      </c>
      <c r="AN137" s="92">
        <f>-5117-AM137</f>
        <v>-4992</v>
      </c>
      <c r="AO137" s="92">
        <f>-10314-AN137-AM137</f>
        <v>-5197</v>
      </c>
      <c r="AP137" s="34"/>
      <c r="AQ137" s="34">
        <f>SUM(S137:V137)</f>
        <v>-2424</v>
      </c>
      <c r="AR137" s="34">
        <f>SUM(T137:W137)</f>
        <v>-25574</v>
      </c>
      <c r="AS137" s="34">
        <f>SUM(U137:X137)</f>
        <v>-23646</v>
      </c>
      <c r="AT137" s="34">
        <f>SUM(V137:Y137)</f>
        <v>-23605</v>
      </c>
      <c r="AU137" s="34">
        <f>SUM(W137:Z137)</f>
        <v>-23605</v>
      </c>
      <c r="AV137" s="34">
        <f>SUM(X137:AA137)</f>
        <v>-455</v>
      </c>
      <c r="AW137" s="34">
        <f>SUM(Y137:AB137)</f>
        <v>0</v>
      </c>
      <c r="AX137" s="34">
        <f>SUM(Z137:AC137)</f>
        <v>0</v>
      </c>
      <c r="AY137" s="34">
        <f>SUM(AA137:AD137)</f>
        <v>0</v>
      </c>
      <c r="AZ137" s="34">
        <f>SUM(AB137:AE137)</f>
        <v>0</v>
      </c>
      <c r="BA137" s="34">
        <f>SUM(AC137:AF137)</f>
        <v>0</v>
      </c>
      <c r="BB137" s="34">
        <f>SUM(AD137:AG137)</f>
        <v>0</v>
      </c>
      <c r="BC137" s="34">
        <f>SUM(AE137:AH137)</f>
        <v>0</v>
      </c>
      <c r="BD137" s="34">
        <f>SUM(AF137:AI137)</f>
        <v>0</v>
      </c>
      <c r="BE137" s="34">
        <f>SUM(AG137:AJ137)</f>
        <v>0</v>
      </c>
      <c r="BF137" s="34">
        <f>SUM(AH137:AK137)</f>
        <v>0</v>
      </c>
      <c r="BG137" s="34">
        <f>SUM(AI137:AL137)</f>
        <v>0</v>
      </c>
      <c r="BH137" s="34">
        <f>SUM(AJ137:AM137)</f>
        <v>-125</v>
      </c>
      <c r="BI137" s="34">
        <f>SUM(AK137:AN137)</f>
        <v>-5117</v>
      </c>
      <c r="BJ137" s="34">
        <f>SUM(AL137:AO137)</f>
        <v>-10314</v>
      </c>
      <c r="BK137" s="69"/>
      <c r="BL137" s="42"/>
    </row>
    <row r="138" spans="2:64" ht="12.75" customHeight="1">
      <c r="B138" s="14" t="s">
        <v>91</v>
      </c>
      <c r="C138" s="36">
        <f t="shared" ref="C138:I138" si="186">SUM(C129:C137)</f>
        <v>76199</v>
      </c>
      <c r="D138" s="36">
        <f t="shared" si="186"/>
        <v>294876</v>
      </c>
      <c r="E138" s="36">
        <f t="shared" si="186"/>
        <v>-1762</v>
      </c>
      <c r="F138" s="36">
        <f t="shared" si="186"/>
        <v>1022322</v>
      </c>
      <c r="G138" s="36">
        <f t="shared" si="186"/>
        <v>276</v>
      </c>
      <c r="H138" s="36">
        <f t="shared" si="186"/>
        <v>-550</v>
      </c>
      <c r="I138" s="36">
        <f t="shared" si="186"/>
        <v>45777</v>
      </c>
      <c r="J138" s="34"/>
      <c r="K138" s="36">
        <f t="shared" ref="K138:AN138" si="187">SUM(K129:K137)</f>
        <v>-1368</v>
      </c>
      <c r="L138" s="36">
        <f t="shared" si="187"/>
        <v>9352</v>
      </c>
      <c r="M138" s="36">
        <f t="shared" si="187"/>
        <v>45343</v>
      </c>
      <c r="N138" s="36">
        <f t="shared" si="187"/>
        <v>22872</v>
      </c>
      <c r="O138" s="36">
        <f t="shared" si="187"/>
        <v>-589</v>
      </c>
      <c r="P138" s="36">
        <f t="shared" si="187"/>
        <v>256549</v>
      </c>
      <c r="Q138" s="36">
        <f t="shared" si="187"/>
        <v>37712</v>
      </c>
      <c r="R138" s="36">
        <f t="shared" si="187"/>
        <v>1204</v>
      </c>
      <c r="S138" s="36">
        <f t="shared" si="187"/>
        <v>986</v>
      </c>
      <c r="T138" s="36">
        <f t="shared" si="187"/>
        <v>18190</v>
      </c>
      <c r="U138" s="36">
        <f t="shared" si="187"/>
        <v>2103</v>
      </c>
      <c r="V138" s="36">
        <f t="shared" si="187"/>
        <v>-23041</v>
      </c>
      <c r="W138" s="36">
        <f t="shared" si="187"/>
        <v>1019913</v>
      </c>
      <c r="X138" s="36">
        <f t="shared" si="187"/>
        <v>2161</v>
      </c>
      <c r="Y138" s="36">
        <f t="shared" si="187"/>
        <v>46</v>
      </c>
      <c r="Z138" s="36">
        <f t="shared" si="187"/>
        <v>202</v>
      </c>
      <c r="AA138" s="36">
        <f t="shared" si="187"/>
        <v>331</v>
      </c>
      <c r="AB138" s="36">
        <f t="shared" si="187"/>
        <v>166</v>
      </c>
      <c r="AC138" s="36">
        <f t="shared" si="187"/>
        <v>-112</v>
      </c>
      <c r="AD138" s="36">
        <f t="shared" si="187"/>
        <v>-109</v>
      </c>
      <c r="AE138" s="36">
        <f t="shared" si="187"/>
        <v>-149</v>
      </c>
      <c r="AF138" s="36">
        <f t="shared" si="187"/>
        <v>-151</v>
      </c>
      <c r="AG138" s="36">
        <f t="shared" si="187"/>
        <v>-88</v>
      </c>
      <c r="AH138" s="36">
        <f t="shared" si="187"/>
        <v>-162</v>
      </c>
      <c r="AI138" s="36">
        <f t="shared" si="187"/>
        <v>-941</v>
      </c>
      <c r="AJ138" s="36">
        <f t="shared" si="187"/>
        <v>-107</v>
      </c>
      <c r="AK138" s="36">
        <f t="shared" si="187"/>
        <v>-234</v>
      </c>
      <c r="AL138" s="36">
        <f t="shared" si="187"/>
        <v>47059</v>
      </c>
      <c r="AM138" s="36">
        <f t="shared" si="187"/>
        <v>-589</v>
      </c>
      <c r="AN138" s="36">
        <f t="shared" si="187"/>
        <v>34229</v>
      </c>
      <c r="AO138" s="36">
        <f t="shared" ref="AO138:BJ138" si="188">SUM(AO129:AO137)</f>
        <v>54181</v>
      </c>
      <c r="AP138" s="34"/>
      <c r="AQ138" s="36">
        <f t="shared" ref="AQ138:AX138" si="189">SUM(AQ129:AQ137)</f>
        <v>-1762</v>
      </c>
      <c r="AR138" s="36">
        <f t="shared" si="189"/>
        <v>1017165</v>
      </c>
      <c r="AS138" s="36">
        <f t="shared" si="189"/>
        <v>1001136</v>
      </c>
      <c r="AT138" s="36">
        <f t="shared" si="189"/>
        <v>999079</v>
      </c>
      <c r="AU138" s="36">
        <f t="shared" si="189"/>
        <v>1022322</v>
      </c>
      <c r="AV138" s="36">
        <f t="shared" si="189"/>
        <v>2740</v>
      </c>
      <c r="AW138" s="36">
        <f t="shared" si="189"/>
        <v>745</v>
      </c>
      <c r="AX138" s="36">
        <f t="shared" si="189"/>
        <v>587</v>
      </c>
      <c r="AY138" s="36">
        <f t="shared" si="188"/>
        <v>276</v>
      </c>
      <c r="AZ138" s="36">
        <f t="shared" si="188"/>
        <v>-204</v>
      </c>
      <c r="BA138" s="36">
        <f t="shared" si="188"/>
        <v>-521</v>
      </c>
      <c r="BB138" s="36">
        <f t="shared" si="188"/>
        <v>-497</v>
      </c>
      <c r="BC138" s="36">
        <f t="shared" si="188"/>
        <v>-550</v>
      </c>
      <c r="BD138" s="36">
        <f t="shared" si="188"/>
        <v>-1342</v>
      </c>
      <c r="BE138" s="36">
        <f t="shared" si="188"/>
        <v>-1298</v>
      </c>
      <c r="BF138" s="36">
        <f t="shared" si="188"/>
        <v>-1444</v>
      </c>
      <c r="BG138" s="36">
        <f t="shared" si="188"/>
        <v>45777</v>
      </c>
      <c r="BH138" s="36">
        <f t="shared" si="188"/>
        <v>46129</v>
      </c>
      <c r="BI138" s="36">
        <f t="shared" si="188"/>
        <v>80465</v>
      </c>
      <c r="BJ138" s="36">
        <f t="shared" si="188"/>
        <v>134880</v>
      </c>
      <c r="BK138" s="45"/>
      <c r="BL138" s="84">
        <f>SUM(BI138/BE138)-1</f>
        <v>-62.991525423728817</v>
      </c>
    </row>
    <row r="139" spans="2:64" ht="5.0999999999999996" customHeight="1">
      <c r="B139" s="8"/>
      <c r="C139" s="71"/>
      <c r="D139" s="71"/>
      <c r="E139" s="71"/>
      <c r="F139" s="71"/>
      <c r="G139" s="71"/>
      <c r="H139" s="71"/>
      <c r="I139" s="71"/>
      <c r="J139" s="34"/>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50"/>
    </row>
    <row r="140" spans="2:64" ht="5.0999999999999996" customHeight="1">
      <c r="B140" s="79"/>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12"/>
      <c r="BL140" s="50"/>
    </row>
    <row r="141" spans="2:64">
      <c r="B141" s="179" t="s">
        <v>562</v>
      </c>
      <c r="C141" s="507">
        <v>39035</v>
      </c>
      <c r="D141" s="180">
        <f t="shared" ref="D141:I141" si="190">C147</f>
        <v>54271</v>
      </c>
      <c r="E141" s="180">
        <f t="shared" si="190"/>
        <v>275988</v>
      </c>
      <c r="F141" s="180">
        <f t="shared" si="190"/>
        <v>159127</v>
      </c>
      <c r="G141" s="180">
        <f t="shared" si="190"/>
        <v>733294</v>
      </c>
      <c r="H141" s="180">
        <f t="shared" si="190"/>
        <v>322549</v>
      </c>
      <c r="I141" s="180">
        <f t="shared" si="190"/>
        <v>205935</v>
      </c>
      <c r="J141" s="180"/>
      <c r="K141" s="180">
        <v>39035</v>
      </c>
      <c r="L141" s="180">
        <f>K147</f>
        <v>29047</v>
      </c>
      <c r="M141" s="180">
        <f t="shared" ref="M141:AO141" si="191">L147</f>
        <v>23489</v>
      </c>
      <c r="N141" s="180">
        <f t="shared" si="191"/>
        <v>49780</v>
      </c>
      <c r="O141" s="180">
        <f t="shared" si="191"/>
        <v>54271</v>
      </c>
      <c r="P141" s="180">
        <f t="shared" si="191"/>
        <v>35409</v>
      </c>
      <c r="Q141" s="180">
        <f t="shared" si="191"/>
        <v>276987</v>
      </c>
      <c r="R141" s="180">
        <f t="shared" si="191"/>
        <v>312451</v>
      </c>
      <c r="S141" s="180">
        <f t="shared" si="191"/>
        <v>275988</v>
      </c>
      <c r="T141" s="180">
        <f t="shared" si="191"/>
        <v>246410</v>
      </c>
      <c r="U141" s="180">
        <f t="shared" si="191"/>
        <v>222334</v>
      </c>
      <c r="V141" s="180">
        <f t="shared" si="191"/>
        <v>214615</v>
      </c>
      <c r="W141" s="180">
        <f t="shared" si="191"/>
        <v>159127</v>
      </c>
      <c r="X141" s="180">
        <f t="shared" si="191"/>
        <v>1125017</v>
      </c>
      <c r="Y141" s="180">
        <f t="shared" si="191"/>
        <v>1009337</v>
      </c>
      <c r="Z141" s="180">
        <f t="shared" si="191"/>
        <v>886442</v>
      </c>
      <c r="AA141" s="180">
        <f t="shared" si="191"/>
        <v>733294</v>
      </c>
      <c r="AB141" s="180">
        <f t="shared" si="191"/>
        <v>547858</v>
      </c>
      <c r="AC141" s="180">
        <f t="shared" si="191"/>
        <v>454674</v>
      </c>
      <c r="AD141" s="180">
        <f t="shared" si="191"/>
        <v>390176</v>
      </c>
      <c r="AE141" s="180">
        <f t="shared" si="191"/>
        <v>322549</v>
      </c>
      <c r="AF141" s="180">
        <f t="shared" si="191"/>
        <v>273592</v>
      </c>
      <c r="AG141" s="180">
        <f t="shared" si="191"/>
        <v>225933</v>
      </c>
      <c r="AH141" s="180">
        <f t="shared" si="191"/>
        <v>232834</v>
      </c>
      <c r="AI141" s="180">
        <f t="shared" si="191"/>
        <v>205935</v>
      </c>
      <c r="AJ141" s="180">
        <f t="shared" si="191"/>
        <v>173484</v>
      </c>
      <c r="AK141" s="180">
        <f t="shared" si="191"/>
        <v>158009</v>
      </c>
      <c r="AL141" s="180">
        <f t="shared" si="191"/>
        <v>134890</v>
      </c>
      <c r="AM141" s="180">
        <f t="shared" si="191"/>
        <v>145554</v>
      </c>
      <c r="AN141" s="180">
        <f t="shared" si="191"/>
        <v>115826</v>
      </c>
      <c r="AO141" s="180">
        <f t="shared" si="191"/>
        <v>117269</v>
      </c>
      <c r="AP141" s="180"/>
      <c r="AQ141" s="504">
        <f>R147</f>
        <v>275988</v>
      </c>
      <c r="AR141" s="504">
        <f>S147</f>
        <v>246410</v>
      </c>
      <c r="AS141" s="504">
        <f>T147</f>
        <v>222334</v>
      </c>
      <c r="AT141" s="504">
        <f>U147</f>
        <v>214615</v>
      </c>
      <c r="AU141" s="504">
        <f>V147</f>
        <v>159127</v>
      </c>
      <c r="AV141" s="504">
        <f>W147</f>
        <v>1125017</v>
      </c>
      <c r="AW141" s="504">
        <f>X147</f>
        <v>1009337</v>
      </c>
      <c r="AX141" s="504">
        <f>Y147</f>
        <v>886442</v>
      </c>
      <c r="AY141" s="504">
        <f>Z147</f>
        <v>733294</v>
      </c>
      <c r="AZ141" s="504">
        <f>AA147</f>
        <v>547858</v>
      </c>
      <c r="BA141" s="504">
        <f>AB147</f>
        <v>454674</v>
      </c>
      <c r="BB141" s="504">
        <f>AC147</f>
        <v>390176</v>
      </c>
      <c r="BC141" s="504">
        <f>AD147</f>
        <v>322549</v>
      </c>
      <c r="BD141" s="504">
        <f>AE147</f>
        <v>273592</v>
      </c>
      <c r="BE141" s="504">
        <f>AF147</f>
        <v>225933</v>
      </c>
      <c r="BF141" s="504">
        <f>AG147</f>
        <v>232834</v>
      </c>
      <c r="BG141" s="504">
        <f>AH147</f>
        <v>205935</v>
      </c>
      <c r="BH141" s="504">
        <f>AI147</f>
        <v>173484</v>
      </c>
      <c r="BI141" s="504">
        <f>AJ147</f>
        <v>158009</v>
      </c>
      <c r="BJ141" s="504">
        <f>AK147</f>
        <v>134890</v>
      </c>
      <c r="BK141" s="12"/>
      <c r="BL141" s="50"/>
    </row>
    <row r="142" spans="2:64">
      <c r="B142" s="508" t="s">
        <v>563</v>
      </c>
      <c r="C142" s="509">
        <v>0</v>
      </c>
      <c r="D142" s="509">
        <v>0</v>
      </c>
      <c r="E142" s="509">
        <v>0</v>
      </c>
      <c r="F142" s="509">
        <v>0</v>
      </c>
      <c r="G142" s="509">
        <v>0</v>
      </c>
      <c r="H142" s="509">
        <v>0</v>
      </c>
      <c r="I142" s="509">
        <v>0</v>
      </c>
      <c r="J142" s="504"/>
      <c r="K142" s="509">
        <v>0</v>
      </c>
      <c r="L142" s="509">
        <v>0</v>
      </c>
      <c r="M142" s="504">
        <v>0</v>
      </c>
      <c r="N142" s="34">
        <f t="shared" ref="N142" si="192">SUM(C142-SUM(K142:M142))</f>
        <v>0</v>
      </c>
      <c r="O142" s="92">
        <v>0</v>
      </c>
      <c r="P142" s="92">
        <v>0</v>
      </c>
      <c r="Q142" s="92">
        <v>0</v>
      </c>
      <c r="R142" s="34">
        <f t="shared" ref="R142" si="193">SUM(D142-SUM(O142:Q142))</f>
        <v>0</v>
      </c>
      <c r="S142" s="92">
        <v>0</v>
      </c>
      <c r="T142" s="92">
        <v>0</v>
      </c>
      <c r="U142" s="92">
        <v>0</v>
      </c>
      <c r="V142" s="34">
        <f>SUM(E142-SUM(S142:U142))</f>
        <v>0</v>
      </c>
      <c r="W142" s="509">
        <v>0</v>
      </c>
      <c r="X142" s="504">
        <v>0</v>
      </c>
      <c r="Y142" s="504">
        <v>0</v>
      </c>
      <c r="Z142" s="34">
        <f>SUM(F142-SUM(W142:Y142))</f>
        <v>0</v>
      </c>
      <c r="AA142" s="92">
        <v>0</v>
      </c>
      <c r="AB142" s="504">
        <v>0</v>
      </c>
      <c r="AC142" s="504">
        <v>0</v>
      </c>
      <c r="AD142" s="34">
        <f t="shared" ref="AD142" si="194">SUM(G142-SUM(AA142:AC142))</f>
        <v>0</v>
      </c>
      <c r="AE142" s="504">
        <v>-1</v>
      </c>
      <c r="AF142" s="504">
        <v>0</v>
      </c>
      <c r="AG142" s="504">
        <v>0</v>
      </c>
      <c r="AH142" s="34">
        <f>SUM(H142-SUM(AE142:AG142))</f>
        <v>1</v>
      </c>
      <c r="AI142" s="504">
        <v>0</v>
      </c>
      <c r="AJ142" s="504">
        <v>0</v>
      </c>
      <c r="AK142" s="504">
        <v>0</v>
      </c>
      <c r="AL142" s="34">
        <f>SUM(I142-SUM(AI142:AK142))</f>
        <v>0</v>
      </c>
      <c r="AM142" s="504">
        <v>0</v>
      </c>
      <c r="AN142" s="504">
        <v>0</v>
      </c>
      <c r="AO142" s="92">
        <v>0</v>
      </c>
      <c r="AP142" s="504"/>
      <c r="AQ142" s="504">
        <f>SUM(S142:V142)</f>
        <v>0</v>
      </c>
      <c r="AR142" s="504">
        <f>SUM(T142:W142)</f>
        <v>0</v>
      </c>
      <c r="AS142" s="504">
        <f>SUM(U142:X142)</f>
        <v>0</v>
      </c>
      <c r="AT142" s="504">
        <f>SUM(V142:Y142)</f>
        <v>0</v>
      </c>
      <c r="AU142" s="504">
        <f>SUM(W142:Z142)</f>
        <v>0</v>
      </c>
      <c r="AV142" s="504">
        <f>SUM(X142:AA142)</f>
        <v>0</v>
      </c>
      <c r="AW142" s="504">
        <f>SUM(Y142:AB142)</f>
        <v>0</v>
      </c>
      <c r="AX142" s="504">
        <f>SUM(Z142:AC142)</f>
        <v>0</v>
      </c>
      <c r="AY142" s="504">
        <f>SUM(AA142:AD142)</f>
        <v>0</v>
      </c>
      <c r="AZ142" s="504">
        <f>SUM(AB142:AE142)</f>
        <v>-1</v>
      </c>
      <c r="BA142" s="504">
        <f>SUM(AC142:AF142)</f>
        <v>-1</v>
      </c>
      <c r="BB142" s="504">
        <f>SUM(AD142:AG142)</f>
        <v>-1</v>
      </c>
      <c r="BC142" s="504">
        <f>SUM(AE142:AH142)</f>
        <v>0</v>
      </c>
      <c r="BD142" s="504">
        <f>SUM(AF142:AI142)</f>
        <v>1</v>
      </c>
      <c r="BE142" s="504">
        <f>SUM(AG142:AJ142)</f>
        <v>1</v>
      </c>
      <c r="BF142" s="504">
        <f>SUM(AH142:AK142)</f>
        <v>1</v>
      </c>
      <c r="BG142" s="504">
        <f>SUM(AI142:AL142)</f>
        <v>0</v>
      </c>
      <c r="BH142" s="504">
        <f>SUM(AJ142:AM142)</f>
        <v>0</v>
      </c>
      <c r="BI142" s="504">
        <f>SUM(AK142:AN142)</f>
        <v>0</v>
      </c>
      <c r="BJ142" s="504">
        <f>SUM(AL142:AO142)</f>
        <v>0</v>
      </c>
      <c r="BK142" s="12"/>
      <c r="BL142" s="50"/>
    </row>
    <row r="143" spans="2:64">
      <c r="B143" s="175" t="s">
        <v>267</v>
      </c>
      <c r="C143" s="171">
        <f>SUM(C141:C142)</f>
        <v>39035</v>
      </c>
      <c r="D143" s="171">
        <f>SUM(D141:D142)</f>
        <v>54271</v>
      </c>
      <c r="E143" s="171">
        <f>SUM(E141:E142)</f>
        <v>275988</v>
      </c>
      <c r="F143" s="171">
        <f>SUM(F141:F142)</f>
        <v>159127</v>
      </c>
      <c r="G143" s="171">
        <f>SUM(G141:G142)</f>
        <v>733294</v>
      </c>
      <c r="H143" s="171">
        <f>SUM(H141:H142)</f>
        <v>322549</v>
      </c>
      <c r="I143" s="171">
        <f>SUM(I141:I142)</f>
        <v>205935</v>
      </c>
      <c r="J143" s="34"/>
      <c r="K143" s="171">
        <f>SUM(K141:K142)</f>
        <v>39035</v>
      </c>
      <c r="L143" s="171">
        <f>SUM(L141:L142)</f>
        <v>29047</v>
      </c>
      <c r="M143" s="171">
        <f>SUM(M141:M142)</f>
        <v>23489</v>
      </c>
      <c r="N143" s="171">
        <f>SUM(N141:N142)</f>
        <v>49780</v>
      </c>
      <c r="O143" s="171">
        <f>SUM(O141:O142)</f>
        <v>54271</v>
      </c>
      <c r="P143" s="171">
        <f>SUM(P141:P142)</f>
        <v>35409</v>
      </c>
      <c r="Q143" s="171">
        <f>SUM(Q141:Q142)</f>
        <v>276987</v>
      </c>
      <c r="R143" s="171">
        <f>SUM(R141:R142)</f>
        <v>312451</v>
      </c>
      <c r="S143" s="171">
        <f>SUM(S141:S142)</f>
        <v>275988</v>
      </c>
      <c r="T143" s="171">
        <f>SUM(T141:T142)</f>
        <v>246410</v>
      </c>
      <c r="U143" s="171">
        <f>SUM(U141:U142)</f>
        <v>222334</v>
      </c>
      <c r="V143" s="171">
        <f>SUM(V141:V142)</f>
        <v>214615</v>
      </c>
      <c r="W143" s="171">
        <f>SUM(W141:W142)</f>
        <v>159127</v>
      </c>
      <c r="X143" s="171">
        <f>SUM(X141:X142)</f>
        <v>1125017</v>
      </c>
      <c r="Y143" s="171">
        <f>SUM(Y141:Y142)</f>
        <v>1009337</v>
      </c>
      <c r="Z143" s="171">
        <f>SUM(Z141:Z142)</f>
        <v>886442</v>
      </c>
      <c r="AA143" s="171">
        <f>SUM(AA141:AA142)</f>
        <v>733294</v>
      </c>
      <c r="AB143" s="171">
        <f>SUM(AB141:AB142)</f>
        <v>547858</v>
      </c>
      <c r="AC143" s="171">
        <f>SUM(AC141:AC142)</f>
        <v>454674</v>
      </c>
      <c r="AD143" s="171">
        <f>SUM(AD141:AD142)</f>
        <v>390176</v>
      </c>
      <c r="AE143" s="171">
        <f>SUM(AE141:AE142)</f>
        <v>322548</v>
      </c>
      <c r="AF143" s="171">
        <f>SUM(AF141:AF142)</f>
        <v>273592</v>
      </c>
      <c r="AG143" s="171">
        <f>SUM(AG141:AG142)</f>
        <v>225933</v>
      </c>
      <c r="AH143" s="171">
        <f>SUM(AH141:AH142)</f>
        <v>232835</v>
      </c>
      <c r="AI143" s="171">
        <f>SUM(AI141:AI142)</f>
        <v>205935</v>
      </c>
      <c r="AJ143" s="171">
        <f>SUM(AJ141:AJ142)</f>
        <v>173484</v>
      </c>
      <c r="AK143" s="171">
        <f>SUM(AK141:AK142)</f>
        <v>158009</v>
      </c>
      <c r="AL143" s="171">
        <f>SUM(AL141:AL142)</f>
        <v>134890</v>
      </c>
      <c r="AM143" s="171">
        <f>SUM(AM141:AM142)</f>
        <v>145554</v>
      </c>
      <c r="AN143" s="171">
        <f>SUM(AN141:AN142)</f>
        <v>115826</v>
      </c>
      <c r="AO143" s="171">
        <f>SUM(AO141:AO142)</f>
        <v>117269</v>
      </c>
      <c r="AP143" s="34"/>
      <c r="AQ143" s="502">
        <f t="shared" ref="AQ143:AX143" si="195">SUM(AQ141:AQ142)</f>
        <v>275988</v>
      </c>
      <c r="AR143" s="502">
        <f t="shared" si="195"/>
        <v>246410</v>
      </c>
      <c r="AS143" s="502">
        <f t="shared" si="195"/>
        <v>222334</v>
      </c>
      <c r="AT143" s="502">
        <f t="shared" si="195"/>
        <v>214615</v>
      </c>
      <c r="AU143" s="502">
        <f t="shared" si="195"/>
        <v>159127</v>
      </c>
      <c r="AV143" s="502">
        <f t="shared" si="195"/>
        <v>1125017</v>
      </c>
      <c r="AW143" s="502">
        <f t="shared" si="195"/>
        <v>1009337</v>
      </c>
      <c r="AX143" s="502">
        <f t="shared" si="195"/>
        <v>886442</v>
      </c>
      <c r="AY143" s="502">
        <f>SUM(AY141:AY142)</f>
        <v>733294</v>
      </c>
      <c r="AZ143" s="502">
        <f>SUM(AZ141:AZ142)</f>
        <v>547857</v>
      </c>
      <c r="BA143" s="502">
        <f>SUM(BA141:BA142)</f>
        <v>454673</v>
      </c>
      <c r="BB143" s="502">
        <f>SUM(BB141:BB142)</f>
        <v>390175</v>
      </c>
      <c r="BC143" s="502">
        <f>SUM(BC141:BC142)</f>
        <v>322549</v>
      </c>
      <c r="BD143" s="502">
        <f>SUM(BD141:BD142)</f>
        <v>273593</v>
      </c>
      <c r="BE143" s="502">
        <f>SUM(BE141:BE142)</f>
        <v>225934</v>
      </c>
      <c r="BF143" s="502">
        <f>SUM(BF141:BF142)</f>
        <v>232835</v>
      </c>
      <c r="BG143" s="502">
        <f>SUM(BG141:BG142)</f>
        <v>205935</v>
      </c>
      <c r="BH143" s="502">
        <f>SUM(BH141:BH142)</f>
        <v>173484</v>
      </c>
      <c r="BI143" s="502">
        <f>SUM(BI141:BI142)</f>
        <v>158009</v>
      </c>
      <c r="BJ143" s="502">
        <f>SUM(BJ141:BJ142)</f>
        <v>134890</v>
      </c>
      <c r="BK143" s="12"/>
      <c r="BL143" s="50"/>
    </row>
    <row r="144" spans="2:64" s="510" customFormat="1" ht="5.0999999999999996" customHeight="1">
      <c r="B144" s="511"/>
      <c r="C144" s="512"/>
      <c r="D144" s="512"/>
      <c r="E144" s="512"/>
      <c r="F144" s="512"/>
      <c r="G144" s="512"/>
      <c r="H144" s="512"/>
      <c r="I144" s="512"/>
      <c r="J144" s="513"/>
      <c r="K144" s="512"/>
      <c r="L144" s="512"/>
      <c r="M144" s="512"/>
      <c r="N144" s="512"/>
      <c r="O144" s="512"/>
      <c r="P144" s="512"/>
      <c r="Q144" s="512"/>
      <c r="R144" s="512"/>
      <c r="S144" s="512"/>
      <c r="T144" s="512"/>
      <c r="U144" s="512"/>
      <c r="V144" s="512"/>
      <c r="W144" s="512"/>
      <c r="X144" s="512"/>
      <c r="Y144" s="512"/>
      <c r="Z144" s="512"/>
      <c r="AA144" s="512"/>
      <c r="AB144" s="512"/>
      <c r="AC144" s="512"/>
      <c r="AD144" s="512"/>
      <c r="AE144" s="512"/>
      <c r="AF144" s="512"/>
      <c r="AG144" s="512"/>
      <c r="AH144" s="512"/>
      <c r="AI144" s="512"/>
      <c r="AJ144" s="512"/>
      <c r="AK144" s="512"/>
      <c r="AL144" s="512"/>
      <c r="AM144" s="512"/>
      <c r="AN144" s="512"/>
      <c r="AO144" s="512"/>
      <c r="AP144" s="513"/>
      <c r="AQ144" s="512"/>
      <c r="AR144" s="512"/>
      <c r="AS144" s="512"/>
      <c r="AT144" s="512"/>
      <c r="AU144" s="512"/>
      <c r="AV144" s="512"/>
      <c r="AW144" s="512"/>
      <c r="AX144" s="512"/>
      <c r="AY144" s="512"/>
      <c r="AZ144" s="512"/>
      <c r="BA144" s="512"/>
      <c r="BB144" s="512"/>
      <c r="BC144" s="512"/>
      <c r="BD144" s="512"/>
      <c r="BE144" s="512"/>
      <c r="BF144" s="512"/>
      <c r="BG144" s="512"/>
      <c r="BH144" s="512"/>
      <c r="BI144" s="512"/>
      <c r="BJ144" s="512"/>
      <c r="BK144" s="514"/>
      <c r="BL144" s="50"/>
    </row>
    <row r="145" spans="2:64">
      <c r="B145" s="508" t="s">
        <v>564</v>
      </c>
      <c r="C145" s="92">
        <v>0</v>
      </c>
      <c r="D145" s="92">
        <v>0</v>
      </c>
      <c r="E145" s="92">
        <v>-204</v>
      </c>
      <c r="F145" s="92">
        <v>694</v>
      </c>
      <c r="G145" s="92">
        <v>-3250</v>
      </c>
      <c r="H145" s="92">
        <v>1252</v>
      </c>
      <c r="I145" s="92">
        <v>-1113</v>
      </c>
      <c r="J145" s="34"/>
      <c r="K145" s="509">
        <v>0</v>
      </c>
      <c r="L145" s="34">
        <v>-830</v>
      </c>
      <c r="M145" s="92">
        <f>0-L145</f>
        <v>830</v>
      </c>
      <c r="N145" s="34">
        <f t="shared" ref="N145" si="196">SUM(C145-SUM(K145:M145))</f>
        <v>0</v>
      </c>
      <c r="O145" s="92">
        <v>0</v>
      </c>
      <c r="P145" s="92">
        <v>0</v>
      </c>
      <c r="Q145" s="92">
        <v>0</v>
      </c>
      <c r="R145" s="34">
        <f t="shared" ref="R145" si="197">SUM(D145-SUM(O145:Q145))</f>
        <v>0</v>
      </c>
      <c r="S145" s="92">
        <v>0</v>
      </c>
      <c r="T145" s="92">
        <v>-167</v>
      </c>
      <c r="U145" s="34">
        <f>-169-T145</f>
        <v>-2</v>
      </c>
      <c r="V145" s="34">
        <f>SUM(E145-SUM(S145:U145))</f>
        <v>-35</v>
      </c>
      <c r="W145" s="92">
        <v>15</v>
      </c>
      <c r="X145" s="34">
        <f>146-W145</f>
        <v>131</v>
      </c>
      <c r="Y145" s="92">
        <f>675-X145-W145</f>
        <v>529</v>
      </c>
      <c r="Z145" s="34">
        <f>SUM(F145-SUM(W145:Y145))</f>
        <v>19</v>
      </c>
      <c r="AA145" s="92">
        <v>942</v>
      </c>
      <c r="AB145" s="34">
        <f>-1439-AA145</f>
        <v>-2381</v>
      </c>
      <c r="AC145" s="34">
        <f>-2452-AB145-AA145</f>
        <v>-1013</v>
      </c>
      <c r="AD145" s="34">
        <f t="shared" ref="AD145" si="198">SUM(G145-SUM(AA145:AC145))</f>
        <v>-798</v>
      </c>
      <c r="AE145" s="92">
        <f>-328</f>
        <v>-328</v>
      </c>
      <c r="AF145" s="34">
        <f>94-AE145</f>
        <v>422</v>
      </c>
      <c r="AG145" s="34">
        <f>-704-AF145-AE145</f>
        <v>-798</v>
      </c>
      <c r="AH145" s="34">
        <f>SUM(H145-SUM(AE145:AG145))</f>
        <v>1956</v>
      </c>
      <c r="AI145" s="92">
        <v>597</v>
      </c>
      <c r="AJ145" s="34">
        <f>-233-AI145</f>
        <v>-830</v>
      </c>
      <c r="AK145" s="34">
        <f>108-AJ145-AI145</f>
        <v>341</v>
      </c>
      <c r="AL145" s="34">
        <f>SUM(I145-SUM(AI145:AK145))</f>
        <v>-1221</v>
      </c>
      <c r="AM145" s="92">
        <v>1144</v>
      </c>
      <c r="AN145" s="34">
        <f>3505-AM145</f>
        <v>2361</v>
      </c>
      <c r="AO145" s="34">
        <f>3820-AN145-AM145</f>
        <v>315</v>
      </c>
      <c r="AP145" s="34"/>
      <c r="AQ145" s="504">
        <f>SUM(S145:V145)</f>
        <v>-204</v>
      </c>
      <c r="AR145" s="504">
        <f>SUM(T145:W145)</f>
        <v>-189</v>
      </c>
      <c r="AS145" s="504">
        <f>SUM(U145:X145)</f>
        <v>109</v>
      </c>
      <c r="AT145" s="504">
        <f>SUM(V145:Y145)</f>
        <v>640</v>
      </c>
      <c r="AU145" s="504">
        <f>SUM(W145:Z145)</f>
        <v>694</v>
      </c>
      <c r="AV145" s="504">
        <f>SUM(X145:AA145)</f>
        <v>1621</v>
      </c>
      <c r="AW145" s="504">
        <f>SUM(Y145:AB145)</f>
        <v>-891</v>
      </c>
      <c r="AX145" s="504">
        <f>SUM(Z145:AC145)</f>
        <v>-2433</v>
      </c>
      <c r="AY145" s="504">
        <f>SUM(AA145:AD145)</f>
        <v>-3250</v>
      </c>
      <c r="AZ145" s="504">
        <f>SUM(AB145:AE145)</f>
        <v>-4520</v>
      </c>
      <c r="BA145" s="504">
        <f>SUM(AC145:AF145)</f>
        <v>-1717</v>
      </c>
      <c r="BB145" s="504">
        <f>SUM(AD145:AG145)</f>
        <v>-1502</v>
      </c>
      <c r="BC145" s="504">
        <f>SUM(AE145:AH145)</f>
        <v>1252</v>
      </c>
      <c r="BD145" s="504">
        <f>SUM(AF145:AI145)</f>
        <v>2177</v>
      </c>
      <c r="BE145" s="504">
        <f>SUM(AG145:AJ145)</f>
        <v>925</v>
      </c>
      <c r="BF145" s="504">
        <f>SUM(AH145:AK145)</f>
        <v>2064</v>
      </c>
      <c r="BG145" s="504">
        <f>SUM(AI145:AL145)</f>
        <v>-1113</v>
      </c>
      <c r="BH145" s="504">
        <f>SUM(AJ145:AM145)</f>
        <v>-566</v>
      </c>
      <c r="BI145" s="504">
        <f>SUM(AK145:AN145)</f>
        <v>2625</v>
      </c>
      <c r="BJ145" s="504">
        <f>SUM(AL145:AO145)</f>
        <v>2599</v>
      </c>
      <c r="BK145" s="12"/>
      <c r="BL145" s="50"/>
    </row>
    <row r="146" spans="2:64">
      <c r="B146" s="515" t="s">
        <v>95</v>
      </c>
      <c r="C146" s="34">
        <f>+C138+C126+C116</f>
        <v>15236</v>
      </c>
      <c r="D146" s="34">
        <f>+D138+D126+D116</f>
        <v>221717</v>
      </c>
      <c r="E146" s="34">
        <f>+E138+E126+E116</f>
        <v>-116657</v>
      </c>
      <c r="F146" s="34">
        <f>+F138+F126+F116</f>
        <v>573473</v>
      </c>
      <c r="G146" s="34">
        <f>+G138+G126+G116</f>
        <v>-407495</v>
      </c>
      <c r="H146" s="34">
        <f>+H138+H126+H116</f>
        <v>-117866</v>
      </c>
      <c r="I146" s="34">
        <f>+I138+I126+I116</f>
        <v>-59268</v>
      </c>
      <c r="J146" s="34"/>
      <c r="K146" s="34">
        <f>+K138+K126+K116</f>
        <v>-9988</v>
      </c>
      <c r="L146" s="34">
        <f>+L138+L126+L116</f>
        <v>-4728</v>
      </c>
      <c r="M146" s="34">
        <f>+M138+M126+M116</f>
        <v>25461</v>
      </c>
      <c r="N146" s="34">
        <f>+N138+N126+N116</f>
        <v>4491</v>
      </c>
      <c r="O146" s="34">
        <f>+O138+O126+O116</f>
        <v>-18862</v>
      </c>
      <c r="P146" s="34">
        <f>+P138+P126+P116</f>
        <v>241578</v>
      </c>
      <c r="Q146" s="34">
        <f>+Q138+Q126+Q116</f>
        <v>35464</v>
      </c>
      <c r="R146" s="34">
        <f>+R138+R126+R116</f>
        <v>-36463</v>
      </c>
      <c r="S146" s="34">
        <f>+S138+S126+S116</f>
        <v>-29578</v>
      </c>
      <c r="T146" s="34">
        <f>+T138+T126+T116</f>
        <v>-23909</v>
      </c>
      <c r="U146" s="34">
        <f>+U138+U126+U116</f>
        <v>-7717</v>
      </c>
      <c r="V146" s="34">
        <f>+V138+V126+V116</f>
        <v>-55453</v>
      </c>
      <c r="W146" s="34">
        <f>+W138+W126+W116</f>
        <v>965875</v>
      </c>
      <c r="X146" s="34">
        <f>+X138+X126+X116</f>
        <v>-115811</v>
      </c>
      <c r="Y146" s="34">
        <f>+Y138+Y126+Y116</f>
        <v>-123424</v>
      </c>
      <c r="Z146" s="34">
        <f>+Z138+Z126+Z116</f>
        <v>-153167</v>
      </c>
      <c r="AA146" s="34">
        <f>+AA138+AA126+AA116</f>
        <v>-186378</v>
      </c>
      <c r="AB146" s="34">
        <f>+AB138+AB126+AB116</f>
        <v>-90803</v>
      </c>
      <c r="AC146" s="34">
        <f>+AC138+AC126+AC116</f>
        <v>-63485</v>
      </c>
      <c r="AD146" s="34">
        <f>+AD138+AD126+AD116</f>
        <v>-66829</v>
      </c>
      <c r="AE146" s="34">
        <f>+AE138+AE126+AE116</f>
        <v>-48628</v>
      </c>
      <c r="AF146" s="34">
        <f>+AF138+AF126+AF116</f>
        <v>-48081</v>
      </c>
      <c r="AG146" s="34">
        <f>+AG138+AG126+AG116</f>
        <v>7699</v>
      </c>
      <c r="AH146" s="34">
        <f>+AH138+AH126+AH116</f>
        <v>-28856</v>
      </c>
      <c r="AI146" s="34">
        <f>+AI138+AI126+AI116</f>
        <v>-33048</v>
      </c>
      <c r="AJ146" s="34">
        <f>+AJ138+AJ126+AJ116</f>
        <v>-14645</v>
      </c>
      <c r="AK146" s="34">
        <f>+AK138+AK126+AK116</f>
        <v>-23460</v>
      </c>
      <c r="AL146" s="34">
        <f>+AL138+AL126+AL116</f>
        <v>11885</v>
      </c>
      <c r="AM146" s="34">
        <f>+AM138+AM126+AM116</f>
        <v>-30872</v>
      </c>
      <c r="AN146" s="34">
        <f>+AN138+AN126+AN116</f>
        <v>-918</v>
      </c>
      <c r="AO146" s="34">
        <f>+AO138+AO126+AO116</f>
        <v>13482</v>
      </c>
      <c r="AP146" s="34"/>
      <c r="AQ146" s="504">
        <f>SUM(S146:V146)</f>
        <v>-116657</v>
      </c>
      <c r="AR146" s="504">
        <f>SUM(T146:W146)</f>
        <v>878796</v>
      </c>
      <c r="AS146" s="504">
        <f>SUM(U146:X146)</f>
        <v>786894</v>
      </c>
      <c r="AT146" s="504">
        <f>SUM(V146:Y146)</f>
        <v>671187</v>
      </c>
      <c r="AU146" s="504">
        <f>SUM(W146:Z146)</f>
        <v>573473</v>
      </c>
      <c r="AV146" s="504">
        <f>SUM(X146:AA146)</f>
        <v>-578780</v>
      </c>
      <c r="AW146" s="504">
        <f>SUM(Y146:AB146)</f>
        <v>-553772</v>
      </c>
      <c r="AX146" s="504">
        <f>SUM(Z146:AC146)</f>
        <v>-493833</v>
      </c>
      <c r="AY146" s="504">
        <f>SUM(AA146:AD146)</f>
        <v>-407495</v>
      </c>
      <c r="AZ146" s="504">
        <f>SUM(AB146:AE146)</f>
        <v>-269745</v>
      </c>
      <c r="BA146" s="504">
        <f>SUM(AC146:AF146)</f>
        <v>-227023</v>
      </c>
      <c r="BB146" s="504">
        <f>SUM(AD146:AG146)</f>
        <v>-155839</v>
      </c>
      <c r="BC146" s="504">
        <f>SUM(AE146:AH146)</f>
        <v>-117866</v>
      </c>
      <c r="BD146" s="504">
        <f>SUM(AF146:AI146)</f>
        <v>-102286</v>
      </c>
      <c r="BE146" s="504">
        <f>SUM(AG146:AJ146)</f>
        <v>-68850</v>
      </c>
      <c r="BF146" s="504">
        <f>SUM(AH146:AK146)</f>
        <v>-100009</v>
      </c>
      <c r="BG146" s="504">
        <f>SUM(AI146:AL146)</f>
        <v>-59268</v>
      </c>
      <c r="BH146" s="504">
        <f>SUM(AJ146:AM146)</f>
        <v>-57092</v>
      </c>
      <c r="BI146" s="504">
        <f>SUM(AK146:AN146)</f>
        <v>-43365</v>
      </c>
      <c r="BJ146" s="504">
        <f>SUM(AL146:AO146)</f>
        <v>-6423</v>
      </c>
      <c r="BK146" s="12"/>
      <c r="BL146" s="50"/>
    </row>
    <row r="147" spans="2:64">
      <c r="B147" s="175" t="s">
        <v>268</v>
      </c>
      <c r="C147" s="171">
        <f>SUM(C143:C146)</f>
        <v>54271</v>
      </c>
      <c r="D147" s="171">
        <f>SUM(D143:D146)</f>
        <v>275988</v>
      </c>
      <c r="E147" s="171">
        <f>SUM(E143:E146)</f>
        <v>159127</v>
      </c>
      <c r="F147" s="171">
        <f>SUM(F143:F146)</f>
        <v>733294</v>
      </c>
      <c r="G147" s="171">
        <f>SUM(G143:G146)</f>
        <v>322549</v>
      </c>
      <c r="H147" s="171">
        <f>SUM(H143:H146)</f>
        <v>205935</v>
      </c>
      <c r="I147" s="171">
        <f>SUM(I143:I146)</f>
        <v>145554</v>
      </c>
      <c r="J147" s="34"/>
      <c r="K147" s="170">
        <f>SUM(K143:K146)</f>
        <v>29047</v>
      </c>
      <c r="L147" s="170">
        <f>SUM(L143:L146)</f>
        <v>23489</v>
      </c>
      <c r="M147" s="170">
        <f>SUM(M143:M146)</f>
        <v>49780</v>
      </c>
      <c r="N147" s="170">
        <f>SUM(N143:N146)</f>
        <v>54271</v>
      </c>
      <c r="O147" s="170">
        <f>SUM(O143:O146)</f>
        <v>35409</v>
      </c>
      <c r="P147" s="170">
        <f>SUM(P143:P146)</f>
        <v>276987</v>
      </c>
      <c r="Q147" s="170">
        <f>SUM(Q143:Q146)</f>
        <v>312451</v>
      </c>
      <c r="R147" s="170">
        <f>SUM(R143:R146)</f>
        <v>275988</v>
      </c>
      <c r="S147" s="170">
        <f>SUM(S143:S146)</f>
        <v>246410</v>
      </c>
      <c r="T147" s="170">
        <f>SUM(T143:T146)</f>
        <v>222334</v>
      </c>
      <c r="U147" s="170">
        <f>SUM(U143:U146)</f>
        <v>214615</v>
      </c>
      <c r="V147" s="170">
        <f>SUM(V143:V146)</f>
        <v>159127</v>
      </c>
      <c r="W147" s="170">
        <f>SUM(W143:W146)</f>
        <v>1125017</v>
      </c>
      <c r="X147" s="170">
        <f>SUM(X143:X146)</f>
        <v>1009337</v>
      </c>
      <c r="Y147" s="170">
        <f>SUM(Y143:Y146)</f>
        <v>886442</v>
      </c>
      <c r="Z147" s="170">
        <f>SUM(Z143:Z146)</f>
        <v>733294</v>
      </c>
      <c r="AA147" s="170">
        <f>SUM(AA143:AA146)</f>
        <v>547858</v>
      </c>
      <c r="AB147" s="170">
        <f>SUM(AB143:AB146)</f>
        <v>454674</v>
      </c>
      <c r="AC147" s="170">
        <f>SUM(AC143:AC146)</f>
        <v>390176</v>
      </c>
      <c r="AD147" s="170">
        <f>SUM(AD143:AD146)</f>
        <v>322549</v>
      </c>
      <c r="AE147" s="170">
        <f>SUM(AE143:AE146)</f>
        <v>273592</v>
      </c>
      <c r="AF147" s="170">
        <f>SUM(AF143:AF146)</f>
        <v>225933</v>
      </c>
      <c r="AG147" s="170">
        <f>SUM(AG143:AG146)</f>
        <v>232834</v>
      </c>
      <c r="AH147" s="170">
        <f>SUM(AH143:AH146)</f>
        <v>205935</v>
      </c>
      <c r="AI147" s="170">
        <f>SUM(AI143:AI146)</f>
        <v>173484</v>
      </c>
      <c r="AJ147" s="170">
        <f>SUM(AJ143:AJ146)</f>
        <v>158009</v>
      </c>
      <c r="AK147" s="170">
        <f>SUM(AK143:AK146)</f>
        <v>134890</v>
      </c>
      <c r="AL147" s="170">
        <f>SUM(AL143:AL146)</f>
        <v>145554</v>
      </c>
      <c r="AM147" s="170">
        <f>SUM(AM143:AM146)</f>
        <v>115826</v>
      </c>
      <c r="AN147" s="170">
        <f>SUM(AN143:AN146)</f>
        <v>117269</v>
      </c>
      <c r="AO147" s="170">
        <f>SUM(AO143:AO146)</f>
        <v>131066</v>
      </c>
      <c r="AP147" s="34"/>
      <c r="AQ147" s="503">
        <f t="shared" ref="AQ147:AX147" si="199">SUM(AQ143:AQ146)</f>
        <v>159127</v>
      </c>
      <c r="AR147" s="503">
        <f t="shared" si="199"/>
        <v>1125017</v>
      </c>
      <c r="AS147" s="503">
        <f t="shared" si="199"/>
        <v>1009337</v>
      </c>
      <c r="AT147" s="503">
        <f t="shared" si="199"/>
        <v>886442</v>
      </c>
      <c r="AU147" s="503">
        <f t="shared" si="199"/>
        <v>733294</v>
      </c>
      <c r="AV147" s="503">
        <f t="shared" si="199"/>
        <v>547858</v>
      </c>
      <c r="AW147" s="503">
        <f t="shared" si="199"/>
        <v>454674</v>
      </c>
      <c r="AX147" s="503">
        <f t="shared" si="199"/>
        <v>390176</v>
      </c>
      <c r="AY147" s="503">
        <f>SUM(AY143:AY146)</f>
        <v>322549</v>
      </c>
      <c r="AZ147" s="503">
        <f>SUM(AZ143:AZ146)</f>
        <v>273592</v>
      </c>
      <c r="BA147" s="503">
        <f>SUM(BA143:BA146)</f>
        <v>225933</v>
      </c>
      <c r="BB147" s="503">
        <f>SUM(BB143:BB146)</f>
        <v>232834</v>
      </c>
      <c r="BC147" s="503">
        <f>SUM(BC143:BC146)</f>
        <v>205935</v>
      </c>
      <c r="BD147" s="503">
        <f>SUM(BD143:BD146)</f>
        <v>173484</v>
      </c>
      <c r="BE147" s="503">
        <f>SUM(BE143:BE146)</f>
        <v>158009</v>
      </c>
      <c r="BF147" s="503">
        <f>SUM(BF143:BF146)</f>
        <v>134890</v>
      </c>
      <c r="BG147" s="503">
        <f>SUM(BG143:BG146)</f>
        <v>145554</v>
      </c>
      <c r="BH147" s="503">
        <f>SUM(BH143:BH146)</f>
        <v>115826</v>
      </c>
      <c r="BI147" s="503">
        <f>SUM(BI143:BI146)</f>
        <v>117269</v>
      </c>
      <c r="BJ147" s="503">
        <f>SUM(BJ143:BJ146)</f>
        <v>131066</v>
      </c>
      <c r="BK147" s="12"/>
      <c r="BL147" s="50"/>
    </row>
    <row r="148" spans="2:64" ht="5.0999999999999996" customHeight="1">
      <c r="B148" s="176"/>
      <c r="C148" s="71"/>
      <c r="D148" s="71"/>
      <c r="E148" s="71"/>
      <c r="F148" s="71"/>
      <c r="G148" s="71"/>
      <c r="H148" s="71"/>
      <c r="I148" s="71"/>
      <c r="J148" s="34"/>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Q148" s="12"/>
      <c r="AR148" s="12"/>
      <c r="AS148" s="12"/>
      <c r="AT148" s="12"/>
      <c r="AU148" s="12"/>
      <c r="AV148" s="12"/>
      <c r="AW148" s="12"/>
      <c r="AX148" s="12"/>
      <c r="AY148" s="12"/>
      <c r="AZ148" s="12"/>
      <c r="BA148" s="12"/>
      <c r="BB148" s="12"/>
      <c r="BC148" s="12"/>
      <c r="BD148" s="12"/>
      <c r="BE148" s="12"/>
      <c r="BF148" s="12"/>
      <c r="BG148" s="12"/>
      <c r="BH148" s="12"/>
      <c r="BI148" s="178"/>
      <c r="BJ148" s="178"/>
      <c r="BK148" s="12"/>
      <c r="BL148" s="50"/>
    </row>
    <row r="149" spans="2:64">
      <c r="B149" s="177" t="s">
        <v>94</v>
      </c>
      <c r="C149" s="173">
        <f>C147-C45</f>
        <v>0</v>
      </c>
      <c r="D149" s="173">
        <f>D147-D45</f>
        <v>0</v>
      </c>
      <c r="E149" s="173">
        <f>E147-E45</f>
        <v>0</v>
      </c>
      <c r="F149" s="173">
        <f>F147-F45</f>
        <v>0</v>
      </c>
      <c r="G149" s="173">
        <f>G147-G45-G53-G46</f>
        <v>0</v>
      </c>
      <c r="H149" s="173">
        <f>H147-H45-H53-H46</f>
        <v>0</v>
      </c>
      <c r="I149" s="173">
        <f>I147-I45-I53-I46</f>
        <v>0</v>
      </c>
      <c r="J149" s="174"/>
      <c r="K149" s="173">
        <f>K147-K45-K53-K46</f>
        <v>0</v>
      </c>
      <c r="L149" s="173">
        <f>L147-L45-L53-L46</f>
        <v>0</v>
      </c>
      <c r="M149" s="173">
        <f>M147-M45-M53-M46</f>
        <v>0</v>
      </c>
      <c r="N149" s="173">
        <f>N147-N45-N53-N46</f>
        <v>0</v>
      </c>
      <c r="O149" s="173">
        <f>O147-O45-O53-O46</f>
        <v>0</v>
      </c>
      <c r="P149" s="173">
        <f>P147-P45-P53-P46</f>
        <v>0</v>
      </c>
      <c r="Q149" s="173">
        <f>Q147-Q45-Q53-Q46</f>
        <v>0</v>
      </c>
      <c r="R149" s="173">
        <f>R147-R45-R53-R46</f>
        <v>0</v>
      </c>
      <c r="S149" s="173">
        <f>S147-S45-S53-S46</f>
        <v>0</v>
      </c>
      <c r="T149" s="173">
        <f>T147-T45-T53-T46</f>
        <v>0</v>
      </c>
      <c r="U149" s="173">
        <f>U147-U45-U53-U46</f>
        <v>0</v>
      </c>
      <c r="V149" s="173">
        <f>V147-V45-V53-V46</f>
        <v>0</v>
      </c>
      <c r="W149" s="173">
        <f>W147-W45-W53-W46</f>
        <v>0</v>
      </c>
      <c r="X149" s="173">
        <f>X147-X45-X53-X46</f>
        <v>0</v>
      </c>
      <c r="Y149" s="173">
        <f>Y147-Y45-Y53-Y46</f>
        <v>0</v>
      </c>
      <c r="Z149" s="173">
        <f>Z147-Z45-Z53-Z46</f>
        <v>0</v>
      </c>
      <c r="AA149" s="173">
        <f>AA147-AA45-AA53-AA46</f>
        <v>0</v>
      </c>
      <c r="AB149" s="173">
        <f>AB147-AB45-AB53-AB46</f>
        <v>0</v>
      </c>
      <c r="AC149" s="173">
        <f>AC147-AC45-AC53-AC46</f>
        <v>0</v>
      </c>
      <c r="AD149" s="173">
        <f>AD147-AD45-AD53-AD46</f>
        <v>0</v>
      </c>
      <c r="AE149" s="173">
        <f>AE147-AE45-AE53-AE46</f>
        <v>0</v>
      </c>
      <c r="AF149" s="173">
        <f>AF147-AF45-AF53-AF46</f>
        <v>0</v>
      </c>
      <c r="AG149" s="173">
        <f>AG147-AG45-AG53-AG46</f>
        <v>0</v>
      </c>
      <c r="AH149" s="173">
        <f>AH147-AH45-AH53-AH46</f>
        <v>0</v>
      </c>
      <c r="AI149" s="173">
        <f>AI147-AI45-AI53-AI46</f>
        <v>0</v>
      </c>
      <c r="AJ149" s="173">
        <f>AJ147-AJ45-AJ53-AJ46</f>
        <v>0</v>
      </c>
      <c r="AK149" s="173">
        <f>AK147-AK45-AK53-AK46</f>
        <v>0</v>
      </c>
      <c r="AL149" s="173">
        <f>AL147-AL45-AL53-AL46</f>
        <v>0</v>
      </c>
      <c r="AM149" s="173">
        <f>AM147-AM45-AM53-AM46</f>
        <v>0</v>
      </c>
      <c r="AN149" s="173">
        <f>AN147-AN45-AN53-AN46</f>
        <v>0</v>
      </c>
      <c r="AO149" s="173">
        <f>AO147-AO45-AO53-AO46</f>
        <v>0</v>
      </c>
      <c r="AP149" s="173"/>
      <c r="AQ149" s="173">
        <f t="shared" ref="AQ149:AX149" si="200">AQ147-AQ45-AQ53-AQ46</f>
        <v>0</v>
      </c>
      <c r="AR149" s="173">
        <f t="shared" si="200"/>
        <v>0</v>
      </c>
      <c r="AS149" s="173">
        <f t="shared" si="200"/>
        <v>0</v>
      </c>
      <c r="AT149" s="173">
        <f t="shared" si="200"/>
        <v>0</v>
      </c>
      <c r="AU149" s="173">
        <f t="shared" si="200"/>
        <v>0</v>
      </c>
      <c r="AV149" s="173">
        <f t="shared" si="200"/>
        <v>0</v>
      </c>
      <c r="AW149" s="173">
        <f t="shared" si="200"/>
        <v>0</v>
      </c>
      <c r="AX149" s="173">
        <f t="shared" si="200"/>
        <v>0</v>
      </c>
      <c r="AY149" s="173">
        <f>AY147-AY45-AY53-AY46</f>
        <v>0</v>
      </c>
      <c r="AZ149" s="173">
        <f>AZ147-AZ45-AZ53-AZ46</f>
        <v>0</v>
      </c>
      <c r="BA149" s="173">
        <f>BA147-BA45-BA53-BA46</f>
        <v>0</v>
      </c>
      <c r="BB149" s="173">
        <f>BB147-BB45-BB53-BB46</f>
        <v>0</v>
      </c>
      <c r="BC149" s="173">
        <f>BC147-BC45-BC53-BC46</f>
        <v>0</v>
      </c>
      <c r="BD149" s="173">
        <f>BD147-BD45-BD53-BD46</f>
        <v>0</v>
      </c>
      <c r="BE149" s="173">
        <f>BE147-BE45-BE53-BE46</f>
        <v>0</v>
      </c>
      <c r="BF149" s="173">
        <f>BF147-BF45-BF53-BF46</f>
        <v>0</v>
      </c>
      <c r="BG149" s="173">
        <f>BG147-BG45-BG53-BG46</f>
        <v>0</v>
      </c>
      <c r="BH149" s="173">
        <f>BH147-BH45-BH53-BH46</f>
        <v>0</v>
      </c>
      <c r="BI149" s="173">
        <f>BI147-BI45-BI53-BI46</f>
        <v>0</v>
      </c>
      <c r="BJ149" s="173">
        <f>BJ147-BJ45-BJ53-BJ46</f>
        <v>0</v>
      </c>
      <c r="BK149" s="12"/>
      <c r="BL149" s="50"/>
    </row>
    <row r="150" spans="2:64" ht="5.0999999999999996" customHeight="1">
      <c r="B150" s="8"/>
      <c r="C150" s="71"/>
      <c r="D150" s="71"/>
      <c r="E150" s="71"/>
      <c r="F150" s="71"/>
      <c r="G150" s="71"/>
      <c r="H150" s="71"/>
      <c r="I150" s="71"/>
      <c r="J150" s="34"/>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50"/>
    </row>
    <row r="151" spans="2:64" ht="12.75" customHeight="1">
      <c r="B151" s="80" t="s">
        <v>97</v>
      </c>
      <c r="C151" s="67"/>
      <c r="D151" s="67"/>
      <c r="E151" s="67"/>
      <c r="F151" s="67"/>
      <c r="G151" s="67"/>
      <c r="H151" s="67"/>
      <c r="I151" s="67"/>
      <c r="J151" s="12"/>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92"/>
      <c r="AN151" s="67"/>
      <c r="AO151" s="67"/>
      <c r="AQ151" s="67"/>
      <c r="AR151" s="67"/>
      <c r="AS151" s="67"/>
      <c r="AT151" s="67"/>
      <c r="AU151" s="67"/>
      <c r="AV151" s="67"/>
      <c r="AW151" s="67"/>
      <c r="AX151" s="67"/>
      <c r="AY151" s="67"/>
      <c r="AZ151" s="67"/>
      <c r="BA151" s="67"/>
      <c r="BB151" s="67"/>
      <c r="BC151" s="67"/>
      <c r="BD151" s="67"/>
      <c r="BE151" s="67"/>
      <c r="BF151" s="67"/>
      <c r="BG151" s="67"/>
      <c r="BH151" s="67"/>
      <c r="BI151" s="67"/>
      <c r="BJ151" s="67"/>
      <c r="BK151" s="72"/>
      <c r="BL151" s="50"/>
    </row>
    <row r="152" spans="2:64" ht="12.75" customHeight="1">
      <c r="B152" s="8" t="s">
        <v>265</v>
      </c>
      <c r="C152" s="92">
        <v>4</v>
      </c>
      <c r="D152" s="92">
        <v>9</v>
      </c>
      <c r="E152" s="92">
        <v>18</v>
      </c>
      <c r="F152" s="92">
        <v>-10</v>
      </c>
      <c r="G152" s="92">
        <v>38</v>
      </c>
      <c r="H152" s="92">
        <v>-1</v>
      </c>
      <c r="I152" s="92">
        <v>6</v>
      </c>
      <c r="J152" s="34"/>
      <c r="K152" s="92">
        <v>0</v>
      </c>
      <c r="L152" s="92">
        <f>3-K152</f>
        <v>3</v>
      </c>
      <c r="M152" s="92">
        <f>3-L152-K152</f>
        <v>0</v>
      </c>
      <c r="N152" s="34">
        <f>SUM(C152-SUM(K152:M152))</f>
        <v>1</v>
      </c>
      <c r="O152" s="92">
        <v>0</v>
      </c>
      <c r="P152" s="92">
        <f>21-O152</f>
        <v>21</v>
      </c>
      <c r="Q152" s="92">
        <f>21-P152-O152</f>
        <v>0</v>
      </c>
      <c r="R152" s="34">
        <f>SUM(D152-SUM(O152:Q152))</f>
        <v>-12</v>
      </c>
      <c r="S152" s="92">
        <v>0</v>
      </c>
      <c r="T152" s="92">
        <f>15-S152</f>
        <v>15</v>
      </c>
      <c r="U152" s="92">
        <f>15 -T152</f>
        <v>0</v>
      </c>
      <c r="V152" s="34">
        <f>SUM(E152-SUM(S152:U152))</f>
        <v>3</v>
      </c>
      <c r="W152" s="92">
        <v>48</v>
      </c>
      <c r="X152" s="92">
        <f>98 -W152</f>
        <v>50</v>
      </c>
      <c r="Y152" s="92">
        <f>24-X152-W152</f>
        <v>-74</v>
      </c>
      <c r="Z152" s="34">
        <f>SUM(F152-SUM(W152:Y152))</f>
        <v>-34</v>
      </c>
      <c r="AA152" s="92">
        <v>52</v>
      </c>
      <c r="AB152" s="92">
        <f>21-AA152</f>
        <v>-31</v>
      </c>
      <c r="AC152" s="92">
        <f>21 -AB152-AA152</f>
        <v>0</v>
      </c>
      <c r="AD152" s="34">
        <f>SUM(G152-SUM(AA152:AC152))</f>
        <v>17</v>
      </c>
      <c r="AE152" s="92">
        <v>0</v>
      </c>
      <c r="AF152" s="92">
        <v>9</v>
      </c>
      <c r="AG152" s="92">
        <f>9-AF152-AE152</f>
        <v>0</v>
      </c>
      <c r="AH152" s="34">
        <f>SUM(H152-SUM(AE152:AG152))</f>
        <v>-10</v>
      </c>
      <c r="AI152" s="92">
        <v>2</v>
      </c>
      <c r="AJ152" s="92">
        <f>16-AI152</f>
        <v>14</v>
      </c>
      <c r="AK152" s="92">
        <f>16-AJ152-AI152</f>
        <v>0</v>
      </c>
      <c r="AL152" s="34">
        <f>SUM(I152-SUM(AI152:AK152))</f>
        <v>-10</v>
      </c>
      <c r="AM152" s="92">
        <v>0</v>
      </c>
      <c r="AN152" s="92">
        <f>2-AM152</f>
        <v>2</v>
      </c>
      <c r="AO152" s="92">
        <f>2-AN152-AM152</f>
        <v>0</v>
      </c>
      <c r="AP152" s="34"/>
      <c r="AQ152" s="34">
        <f>SUM(S152:V152)</f>
        <v>18</v>
      </c>
      <c r="AR152" s="34">
        <f>SUM(T152:W152)</f>
        <v>66</v>
      </c>
      <c r="AS152" s="34">
        <f>SUM(U152:X152)</f>
        <v>101</v>
      </c>
      <c r="AT152" s="34">
        <f>SUM(V152:Y152)</f>
        <v>27</v>
      </c>
      <c r="AU152" s="34">
        <f>SUM(W152:Z152)</f>
        <v>-10</v>
      </c>
      <c r="AV152" s="34">
        <f>SUM(X152:AA152)</f>
        <v>-6</v>
      </c>
      <c r="AW152" s="34">
        <f>SUM(Y152:AB152)</f>
        <v>-87</v>
      </c>
      <c r="AX152" s="34">
        <f>SUM(Z152:AC152)</f>
        <v>-13</v>
      </c>
      <c r="AY152" s="34">
        <f>SUM(AA152:AD152)</f>
        <v>38</v>
      </c>
      <c r="AZ152" s="34">
        <f>SUM(AB152:AE152)</f>
        <v>-14</v>
      </c>
      <c r="BA152" s="34">
        <f>SUM(AC152:AF152)</f>
        <v>26</v>
      </c>
      <c r="BB152" s="34">
        <f>SUM(AD152:AG152)</f>
        <v>26</v>
      </c>
      <c r="BC152" s="34">
        <f>SUM(AE152:AH152)</f>
        <v>-1</v>
      </c>
      <c r="BD152" s="34">
        <f>SUM(AF152:AI152)</f>
        <v>1</v>
      </c>
      <c r="BE152" s="34">
        <f>SUM(AG152:AJ152)</f>
        <v>6</v>
      </c>
      <c r="BF152" s="34">
        <f>SUM(AH152:AK152)</f>
        <v>6</v>
      </c>
      <c r="BG152" s="34">
        <f>SUM(AI152:AL152)</f>
        <v>6</v>
      </c>
      <c r="BH152" s="34">
        <f>SUM(AJ152:AM152)</f>
        <v>4</v>
      </c>
      <c r="BI152" s="34">
        <f>SUM(AK152:AN152)</f>
        <v>-8</v>
      </c>
      <c r="BJ152" s="34">
        <f>SUM(AL152:AO152)</f>
        <v>-8</v>
      </c>
      <c r="BK152" s="12"/>
      <c r="BL152" s="50"/>
    </row>
    <row r="153" spans="2:64" ht="12.75" customHeight="1">
      <c r="B153" s="5" t="s">
        <v>266</v>
      </c>
      <c r="C153" s="92">
        <v>924</v>
      </c>
      <c r="D153" s="92">
        <v>3019</v>
      </c>
      <c r="E153" s="92">
        <v>2564</v>
      </c>
      <c r="F153" s="92">
        <v>348</v>
      </c>
      <c r="G153" s="92">
        <v>10</v>
      </c>
      <c r="H153" s="92">
        <v>0</v>
      </c>
      <c r="I153" s="92">
        <v>0</v>
      </c>
      <c r="J153" s="34"/>
      <c r="K153" s="92">
        <v>38</v>
      </c>
      <c r="L153" s="92">
        <f>356-K153</f>
        <v>318</v>
      </c>
      <c r="M153" s="92">
        <f>356-L153-K153</f>
        <v>0</v>
      </c>
      <c r="N153" s="34">
        <f>SUM(C153-SUM(K153:M153))</f>
        <v>568</v>
      </c>
      <c r="O153" s="92">
        <v>715</v>
      </c>
      <c r="P153" s="92">
        <f>1445-O153</f>
        <v>730</v>
      </c>
      <c r="Q153" s="92">
        <f>2261-P153-O153</f>
        <v>816</v>
      </c>
      <c r="R153" s="34">
        <f>SUM(D153-SUM(O153:Q153))</f>
        <v>758</v>
      </c>
      <c r="S153" s="92">
        <v>682</v>
      </c>
      <c r="T153" s="92">
        <f>1265-S153</f>
        <v>583</v>
      </c>
      <c r="U153" s="92">
        <f>2114-T153-S153</f>
        <v>849</v>
      </c>
      <c r="V153" s="34">
        <f>SUM(E153-SUM(S153:U153))</f>
        <v>450</v>
      </c>
      <c r="W153" s="92">
        <v>297</v>
      </c>
      <c r="X153" s="92">
        <f>306 -W153</f>
        <v>9</v>
      </c>
      <c r="Y153" s="92">
        <f>323-X153-W153</f>
        <v>17</v>
      </c>
      <c r="Z153" s="34">
        <f>SUM(F153-SUM(W153:Y153))</f>
        <v>25</v>
      </c>
      <c r="AA153" s="92">
        <v>17</v>
      </c>
      <c r="AB153" s="92">
        <f>153 -AA153</f>
        <v>136</v>
      </c>
      <c r="AC153" s="92">
        <f>3-AB153-AA153</f>
        <v>-150</v>
      </c>
      <c r="AD153" s="34">
        <f>SUM(G153-SUM(AA153:AC153))</f>
        <v>7</v>
      </c>
      <c r="AE153" s="92">
        <v>0</v>
      </c>
      <c r="AF153" s="92">
        <v>0</v>
      </c>
      <c r="AG153" s="92">
        <v>0</v>
      </c>
      <c r="AH153" s="34">
        <f>SUM(H153-SUM(AE153:AG153))</f>
        <v>0</v>
      </c>
      <c r="AI153" s="92">
        <v>0</v>
      </c>
      <c r="AJ153" s="92">
        <v>0</v>
      </c>
      <c r="AK153" s="92">
        <v>0</v>
      </c>
      <c r="AL153" s="34">
        <f>SUM(I153-SUM(AI153:AK153))</f>
        <v>0</v>
      </c>
      <c r="AM153" s="92">
        <v>0</v>
      </c>
      <c r="AN153" s="92">
        <v>0</v>
      </c>
      <c r="AO153" s="92">
        <v>0</v>
      </c>
      <c r="AP153" s="34"/>
      <c r="AQ153" s="34">
        <f>SUM(S153:V153)</f>
        <v>2564</v>
      </c>
      <c r="AR153" s="34">
        <f>SUM(T153:W153)</f>
        <v>2179</v>
      </c>
      <c r="AS153" s="34">
        <f>SUM(U153:X153)</f>
        <v>1605</v>
      </c>
      <c r="AT153" s="34">
        <f>SUM(V153:Y153)</f>
        <v>773</v>
      </c>
      <c r="AU153" s="34">
        <f>SUM(W153:Z153)</f>
        <v>348</v>
      </c>
      <c r="AV153" s="34">
        <f>SUM(X153:AA153)</f>
        <v>68</v>
      </c>
      <c r="AW153" s="34">
        <f>SUM(Y153:AB153)</f>
        <v>195</v>
      </c>
      <c r="AX153" s="34">
        <f>SUM(Z153:AC153)</f>
        <v>28</v>
      </c>
      <c r="AY153" s="34">
        <f>SUM(AA153:AD153)</f>
        <v>10</v>
      </c>
      <c r="AZ153" s="34">
        <f>SUM(AB153:AE153)</f>
        <v>-7</v>
      </c>
      <c r="BA153" s="34">
        <f>SUM(AC153:AF153)</f>
        <v>-143</v>
      </c>
      <c r="BB153" s="34">
        <f>SUM(AD153:AG153)</f>
        <v>7</v>
      </c>
      <c r="BC153" s="34">
        <f>SUM(AE153:AH153)</f>
        <v>0</v>
      </c>
      <c r="BD153" s="34">
        <f>SUM(AF153:AI153)</f>
        <v>0</v>
      </c>
      <c r="BE153" s="34">
        <f>SUM(AG153:AJ153)</f>
        <v>0</v>
      </c>
      <c r="BF153" s="34">
        <f>SUM(AH153:AK153)</f>
        <v>0</v>
      </c>
      <c r="BG153" s="34">
        <f>SUM(AI153:AL153)</f>
        <v>0</v>
      </c>
      <c r="BH153" s="34">
        <f>SUM(AJ153:AM153)</f>
        <v>0</v>
      </c>
      <c r="BI153" s="34">
        <f>SUM(AK153:AN153)</f>
        <v>0</v>
      </c>
      <c r="BJ153" s="34">
        <f>SUM(AL153:AO153)</f>
        <v>0</v>
      </c>
      <c r="BL153" s="50"/>
    </row>
    <row r="154" spans="2:64" ht="5.0999999999999996" customHeight="1" thickBot="1">
      <c r="B154" s="81"/>
      <c r="C154" s="82"/>
      <c r="D154" s="82"/>
      <c r="E154" s="82"/>
      <c r="F154" s="82"/>
      <c r="G154" s="82"/>
      <c r="H154" s="82"/>
      <c r="I154" s="82"/>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L154" s="50"/>
    </row>
    <row r="155" spans="2:64" ht="12.75" customHeight="1">
      <c r="B155" s="492" t="s">
        <v>99</v>
      </c>
      <c r="C155" s="492"/>
      <c r="D155" s="492"/>
      <c r="E155" s="492"/>
      <c r="F155" s="492"/>
      <c r="G155" s="492"/>
      <c r="H155" s="492"/>
      <c r="I155" s="492"/>
      <c r="J155" s="492"/>
      <c r="K155" s="492"/>
      <c r="L155" s="492"/>
      <c r="M155" s="492"/>
      <c r="N155" s="492"/>
      <c r="O155" s="492"/>
      <c r="P155" s="492"/>
      <c r="Q155" s="492"/>
      <c r="R155" s="492"/>
      <c r="S155" s="492"/>
      <c r="T155" s="492"/>
      <c r="U155" s="492"/>
      <c r="V155" s="492"/>
      <c r="W155" s="492"/>
      <c r="X155" s="492"/>
      <c r="Y155" s="492"/>
      <c r="Z155" s="492"/>
      <c r="AA155" s="492"/>
      <c r="AB155" s="492"/>
      <c r="AC155" s="492"/>
      <c r="AD155" s="492"/>
      <c r="AE155" s="492"/>
      <c r="AF155" s="492"/>
      <c r="AG155" s="492"/>
      <c r="AH155" s="492"/>
      <c r="AI155" s="492"/>
      <c r="AJ155" s="492"/>
      <c r="AK155" s="492"/>
      <c r="AL155" s="492"/>
      <c r="AM155" s="492"/>
      <c r="AN155" s="492"/>
      <c r="AO155" s="492"/>
      <c r="AP155" s="492"/>
      <c r="AQ155" s="492"/>
      <c r="AR155" s="492"/>
      <c r="AS155" s="492"/>
      <c r="AT155" s="492"/>
      <c r="AU155" s="492"/>
      <c r="AV155" s="492"/>
      <c r="AW155" s="492"/>
      <c r="AX155" s="492"/>
      <c r="AY155" s="492"/>
      <c r="AZ155" s="492"/>
      <c r="BA155" s="492"/>
      <c r="BB155" s="492"/>
      <c r="BC155" s="492"/>
      <c r="BD155" s="492"/>
      <c r="BE155" s="492"/>
      <c r="BF155" s="492"/>
      <c r="BG155" s="492"/>
      <c r="BH155" s="492"/>
      <c r="BI155" s="492"/>
      <c r="BJ155" s="505"/>
      <c r="BL155" s="50"/>
    </row>
    <row r="156" spans="2:64" ht="12.75" customHeight="1">
      <c r="B156" s="58"/>
      <c r="C156" s="73"/>
      <c r="D156" s="73"/>
      <c r="E156" s="73"/>
      <c r="F156" s="73"/>
      <c r="G156" s="73"/>
      <c r="H156" s="73"/>
      <c r="I156" s="73"/>
    </row>
    <row r="157" spans="2:64" ht="12.75" customHeight="1">
      <c r="C157" s="61"/>
      <c r="D157" s="61"/>
      <c r="E157" s="61"/>
      <c r="F157" s="61"/>
      <c r="G157" s="61"/>
      <c r="H157" s="61"/>
      <c r="I157" s="61"/>
    </row>
    <row r="158" spans="2:64" ht="12.75" customHeight="1">
      <c r="C158" s="61"/>
      <c r="D158" s="61"/>
      <c r="E158" s="61"/>
      <c r="F158" s="61"/>
      <c r="G158" s="61"/>
      <c r="H158" s="61"/>
      <c r="I158" s="61"/>
    </row>
    <row r="159" spans="2:64" ht="12.75" customHeight="1">
      <c r="C159" s="61"/>
      <c r="D159" s="61"/>
      <c r="E159" s="61"/>
      <c r="F159" s="61"/>
      <c r="G159" s="61"/>
      <c r="H159" s="61"/>
      <c r="I159" s="61"/>
    </row>
    <row r="160" spans="2:64" ht="12.75" customHeight="1">
      <c r="C160" s="61"/>
      <c r="D160" s="61"/>
      <c r="E160" s="61"/>
      <c r="F160" s="61"/>
      <c r="G160" s="61"/>
      <c r="H160" s="61"/>
      <c r="I160" s="61"/>
    </row>
    <row r="161" spans="3:36" ht="12.75" customHeight="1">
      <c r="C161" s="61"/>
      <c r="D161" s="61"/>
      <c r="E161" s="61"/>
      <c r="F161" s="61"/>
      <c r="G161" s="61"/>
      <c r="H161" s="61"/>
      <c r="I161" s="61"/>
      <c r="K161" s="172"/>
      <c r="L161" s="172"/>
      <c r="M161" s="172"/>
      <c r="N161" s="172"/>
      <c r="O161" s="172"/>
      <c r="P161" s="172"/>
      <c r="Q161" s="172"/>
      <c r="R161" s="172"/>
      <c r="S161" s="172"/>
      <c r="T161" s="172"/>
      <c r="U161" s="172"/>
      <c r="V161" s="172"/>
      <c r="W161" s="172"/>
      <c r="X161" s="172"/>
      <c r="Y161" s="172"/>
      <c r="Z161" s="172"/>
      <c r="AA161" s="172"/>
      <c r="AB161" s="172"/>
      <c r="AC161" s="172"/>
      <c r="AD161" s="172"/>
      <c r="AE161" s="172"/>
      <c r="AF161" s="172"/>
      <c r="AG161" s="172"/>
      <c r="AH161" s="172"/>
      <c r="AI161" s="172"/>
      <c r="AJ161" s="172"/>
    </row>
    <row r="162" spans="3:36" ht="12.75" customHeight="1">
      <c r="C162" s="61"/>
      <c r="D162" s="61"/>
      <c r="E162" s="61"/>
      <c r="F162" s="61"/>
      <c r="G162" s="61"/>
      <c r="H162" s="61"/>
      <c r="I162" s="61"/>
    </row>
    <row r="163" spans="3:36" ht="12.75" customHeight="1">
      <c r="C163" s="61"/>
      <c r="D163" s="61"/>
      <c r="E163" s="61"/>
      <c r="F163" s="61"/>
      <c r="G163" s="61"/>
      <c r="H163" s="61"/>
      <c r="I163" s="61"/>
      <c r="K163" s="172"/>
      <c r="L163" s="172"/>
      <c r="M163" s="172"/>
      <c r="N163" s="172"/>
      <c r="O163" s="172"/>
      <c r="P163" s="172"/>
      <c r="Q163" s="172"/>
      <c r="R163" s="172"/>
      <c r="S163" s="172"/>
      <c r="T163" s="172"/>
      <c r="U163" s="172"/>
      <c r="V163" s="172"/>
      <c r="W163" s="172"/>
      <c r="X163" s="172"/>
      <c r="Y163" s="172"/>
      <c r="Z163" s="172"/>
      <c r="AA163" s="172"/>
      <c r="AB163" s="172"/>
      <c r="AC163" s="172"/>
      <c r="AD163" s="172"/>
      <c r="AE163" s="172"/>
      <c r="AF163" s="172"/>
      <c r="AG163" s="172"/>
      <c r="AH163" s="172"/>
      <c r="AI163" s="172"/>
      <c r="AJ163" s="172"/>
    </row>
    <row r="164" spans="3:36">
      <c r="K164" s="172"/>
      <c r="L164" s="172"/>
      <c r="M164" s="172"/>
      <c r="N164" s="172"/>
      <c r="O164" s="172"/>
      <c r="P164" s="172"/>
      <c r="Q164" s="172"/>
      <c r="R164" s="172"/>
      <c r="S164" s="172"/>
      <c r="T164" s="172"/>
      <c r="U164" s="172"/>
      <c r="V164" s="172"/>
      <c r="W164" s="172"/>
      <c r="X164" s="172"/>
      <c r="Y164" s="172"/>
      <c r="Z164" s="172"/>
      <c r="AA164" s="172"/>
      <c r="AB164" s="172"/>
      <c r="AC164" s="172"/>
      <c r="AD164" s="172"/>
      <c r="AE164" s="172"/>
      <c r="AF164" s="172"/>
      <c r="AG164" s="172"/>
      <c r="AH164" s="172"/>
      <c r="AI164" s="172"/>
      <c r="AJ164" s="172"/>
    </row>
    <row r="165" spans="3:36">
      <c r="K165" s="172"/>
      <c r="L165" s="172"/>
      <c r="M165" s="172"/>
      <c r="N165" s="172"/>
      <c r="O165" s="172"/>
      <c r="P165" s="172"/>
      <c r="Q165" s="172"/>
      <c r="R165" s="172"/>
      <c r="S165" s="172"/>
      <c r="T165" s="172"/>
      <c r="U165" s="172"/>
      <c r="V165" s="172"/>
      <c r="W165" s="172"/>
      <c r="X165" s="172"/>
      <c r="Y165" s="172"/>
      <c r="Z165" s="172"/>
      <c r="AA165" s="172"/>
      <c r="AB165" s="172"/>
      <c r="AC165" s="172"/>
      <c r="AD165" s="172"/>
      <c r="AE165" s="172"/>
      <c r="AF165" s="172"/>
      <c r="AG165" s="172"/>
      <c r="AH165" s="172"/>
      <c r="AI165" s="172"/>
      <c r="AJ165" s="172"/>
    </row>
    <row r="167" spans="3:36">
      <c r="K167" s="172"/>
      <c r="L167" s="172"/>
      <c r="M167" s="172"/>
      <c r="N167" s="172"/>
      <c r="O167" s="172"/>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row>
    <row r="168" spans="3:36">
      <c r="K168" s="172"/>
      <c r="L168" s="172"/>
      <c r="M168" s="172"/>
      <c r="N168" s="172"/>
      <c r="O168" s="172"/>
      <c r="P168" s="172"/>
      <c r="Q168" s="172"/>
      <c r="R168" s="172"/>
      <c r="S168" s="172"/>
      <c r="T168" s="172"/>
      <c r="U168" s="172"/>
      <c r="V168" s="172"/>
      <c r="W168" s="172"/>
      <c r="X168" s="172"/>
      <c r="Y168" s="172"/>
      <c r="Z168" s="172"/>
      <c r="AA168" s="172"/>
      <c r="AB168" s="172"/>
      <c r="AC168" s="172"/>
      <c r="AD168" s="172"/>
      <c r="AE168" s="172"/>
      <c r="AF168" s="172"/>
      <c r="AG168" s="172"/>
      <c r="AH168" s="172"/>
      <c r="AI168" s="172"/>
      <c r="AJ168" s="172"/>
    </row>
  </sheetData>
  <mergeCells count="8">
    <mergeCell ref="B155:BI155"/>
    <mergeCell ref="BL6:BL8"/>
    <mergeCell ref="BL40:BL42"/>
    <mergeCell ref="BL93:BL95"/>
    <mergeCell ref="B88:BL88"/>
    <mergeCell ref="B89:BL89"/>
    <mergeCell ref="B90:BL90"/>
    <mergeCell ref="B91:BL91"/>
  </mergeCells>
  <dataValidations disablePrompts="1"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BI14:BI16 BI32 J50 AH103 AY119:BI121 AH101 AH109:AH111 AH115 R141:R145 AU21:BG30 BH30:BJ30" formulaRange="1"/>
    <ignoredError sqref="BL100:BL101 BL107:BL109 BL126:BL128 C35:I36 K35:T36 C38:I38 C37:D37 G37:I37 K38:T38 N37 R37 BL115 BL116:BL118" evalError="1"/>
    <ignoredError sqref="R98 S98:AD100 S101:AB101 AD101 G149" formula="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M20"/>
  <sheetViews>
    <sheetView showGridLines="0" topLeftCell="B1" zoomScale="115" zoomScaleNormal="115" workbookViewId="0">
      <selection activeCell="G7" sqref="G7"/>
    </sheetView>
  </sheetViews>
  <sheetFormatPr defaultRowHeight="12" outlineLevelCol="1"/>
  <cols>
    <col min="1" max="1" width="1.5" style="8" customWidth="1"/>
    <col min="2" max="2" width="46.5" style="8" bestFit="1" customWidth="1"/>
    <col min="3" max="6" width="8.625" style="8" hidden="1" customWidth="1" outlineLevel="1"/>
    <col min="7" max="7" width="8.625" style="8" bestFit="1" customWidth="1" collapsed="1"/>
    <col min="8" max="9" width="8.625" style="8" bestFit="1" customWidth="1"/>
    <col min="10" max="10" width="1.5" style="8" customWidth="1"/>
    <col min="11" max="13" width="7.875" style="8" hidden="1" customWidth="1" outlineLevel="1"/>
    <col min="14" max="14" width="8.75" style="8" hidden="1" customWidth="1" outlineLevel="1"/>
    <col min="15" max="17" width="8" style="8" hidden="1" customWidth="1" outlineLevel="1"/>
    <col min="18" max="18" width="8.75" style="8" hidden="1" customWidth="1" outlineLevel="1"/>
    <col min="19" max="19" width="8.5" style="8" hidden="1" customWidth="1" outlineLevel="1"/>
    <col min="20" max="20" width="8.25" style="8" bestFit="1" customWidth="1" collapsed="1"/>
    <col min="21" max="21" width="8.5" style="8" bestFit="1" customWidth="1"/>
    <col min="22" max="25" width="9.125" style="8" bestFit="1" customWidth="1"/>
    <col min="26" max="26" width="1.5" style="8" customWidth="1"/>
    <col min="27" max="32" width="8.75" style="8" hidden="1" customWidth="1" outlineLevel="1"/>
    <col min="33" max="33" width="8.75" style="8" bestFit="1" customWidth="1" collapsed="1"/>
    <col min="34" max="36" width="8.75" style="8" hidden="1" customWidth="1" outlineLevel="1"/>
    <col min="37" max="37" width="8.75" style="8" bestFit="1" customWidth="1" collapsed="1"/>
    <col min="38" max="38" width="1.5" style="8" customWidth="1"/>
    <col min="39" max="39" width="9.875" style="8" bestFit="1" customWidth="1"/>
    <col min="40" max="16384" width="9" style="8"/>
  </cols>
  <sheetData>
    <row r="2" spans="1:39" s="5" customFormat="1" ht="12.75" customHeight="1">
      <c r="B2" s="1" t="s">
        <v>452</v>
      </c>
      <c r="C2" s="2" t="s">
        <v>0</v>
      </c>
      <c r="D2" s="2"/>
      <c r="E2" s="2"/>
      <c r="F2" s="2"/>
      <c r="G2" s="2" t="s">
        <v>0</v>
      </c>
      <c r="H2" s="2"/>
      <c r="I2" s="2"/>
      <c r="J2" s="3"/>
      <c r="K2" s="2" t="s">
        <v>1</v>
      </c>
      <c r="L2" s="2"/>
      <c r="M2" s="2"/>
      <c r="N2" s="2"/>
      <c r="O2" s="2"/>
      <c r="P2" s="2"/>
      <c r="Q2" s="2"/>
      <c r="R2" s="2"/>
      <c r="S2" s="2" t="s">
        <v>1</v>
      </c>
      <c r="T2" s="2" t="s">
        <v>1</v>
      </c>
      <c r="U2" s="2"/>
      <c r="V2" s="2"/>
      <c r="W2" s="2"/>
      <c r="X2" s="2"/>
      <c r="Y2" s="2"/>
      <c r="Z2" s="3"/>
      <c r="AA2" s="2" t="s">
        <v>10</v>
      </c>
      <c r="AB2" s="2"/>
      <c r="AC2" s="2"/>
      <c r="AD2" s="2"/>
      <c r="AE2" s="2" t="s">
        <v>10</v>
      </c>
      <c r="AF2" s="2"/>
      <c r="AG2" s="2" t="s">
        <v>10</v>
      </c>
      <c r="AH2" s="2"/>
      <c r="AI2" s="2"/>
      <c r="AJ2" s="2"/>
      <c r="AK2" s="2"/>
      <c r="AL2" s="3"/>
      <c r="AM2" s="493" t="s">
        <v>38</v>
      </c>
    </row>
    <row r="3" spans="1:39" s="5" customFormat="1" ht="12.75" customHeight="1">
      <c r="B3" s="6" t="s">
        <v>106</v>
      </c>
      <c r="C3" s="7">
        <f>'Historical Financials'!C7</f>
        <v>2018</v>
      </c>
      <c r="D3" s="7">
        <f>'Historical Financials'!D7</f>
        <v>2019</v>
      </c>
      <c r="E3" s="7">
        <f>'Historical Financials'!E7</f>
        <v>2020</v>
      </c>
      <c r="F3" s="7">
        <f>'Historical Financials'!F7</f>
        <v>2021</v>
      </c>
      <c r="G3" s="7">
        <f>'Historical Financials'!G7</f>
        <v>2022</v>
      </c>
      <c r="H3" s="7">
        <f>'Historical Financials'!H7</f>
        <v>2023</v>
      </c>
      <c r="I3" s="7">
        <f>'Historical Financials'!I7</f>
        <v>2024</v>
      </c>
      <c r="J3" s="3"/>
      <c r="K3" s="7" t="str">
        <f>'Historical Financials'!AA7</f>
        <v>1Q22</v>
      </c>
      <c r="L3" s="7" t="str">
        <f>'Historical Financials'!AB7</f>
        <v>2Q22</v>
      </c>
      <c r="M3" s="7" t="str">
        <f>'Historical Financials'!AC7</f>
        <v>3Q22</v>
      </c>
      <c r="N3" s="7" t="str">
        <f>'Historical Financials'!AD7</f>
        <v>4Q22</v>
      </c>
      <c r="O3" s="7" t="str">
        <f>'Historical Financials'!AE7</f>
        <v>1Q23</v>
      </c>
      <c r="P3" s="7" t="str">
        <f>'Historical Financials'!AF7</f>
        <v>2Q23</v>
      </c>
      <c r="Q3" s="7" t="str">
        <f>'Historical Financials'!AG7</f>
        <v>3Q23</v>
      </c>
      <c r="R3" s="7" t="str">
        <f>'Historical Financials'!AH7</f>
        <v>4Q23</v>
      </c>
      <c r="S3" s="7" t="str">
        <f>'Historical Financials'!AI7</f>
        <v>1Q24</v>
      </c>
      <c r="T3" s="7" t="str">
        <f>'Historical Financials'!AJ7</f>
        <v>2Q24</v>
      </c>
      <c r="U3" s="7" t="str">
        <f>'Historical Financials'!AK7</f>
        <v>3Q24</v>
      </c>
      <c r="V3" s="7" t="str">
        <f>'Historical Financials'!AL7</f>
        <v>4Q24</v>
      </c>
      <c r="W3" s="7" t="str">
        <f>'Historical Financials'!AM7</f>
        <v>1Q25</v>
      </c>
      <c r="X3" s="7" t="str">
        <f>'Historical Financials'!AN7</f>
        <v>2Q25</v>
      </c>
      <c r="Y3" s="7" t="str">
        <f>'Historical Financials'!AO7</f>
        <v>3Q25</v>
      </c>
      <c r="Z3" s="4"/>
      <c r="AA3" s="4" t="str">
        <f t="shared" ref="Z3:AJ4" si="0">O3</f>
        <v>1Q23</v>
      </c>
      <c r="AB3" s="4" t="str">
        <f t="shared" si="0"/>
        <v>2Q23</v>
      </c>
      <c r="AC3" s="4" t="str">
        <f t="shared" si="0"/>
        <v>3Q23</v>
      </c>
      <c r="AD3" s="4" t="str">
        <f t="shared" si="0"/>
        <v>4Q23</v>
      </c>
      <c r="AE3" s="4" t="str">
        <f t="shared" si="0"/>
        <v>1Q24</v>
      </c>
      <c r="AF3" s="4" t="str">
        <f t="shared" si="0"/>
        <v>2Q24</v>
      </c>
      <c r="AG3" s="4" t="str">
        <f t="shared" si="0"/>
        <v>3Q24</v>
      </c>
      <c r="AH3" s="4" t="str">
        <f t="shared" si="0"/>
        <v>4Q24</v>
      </c>
      <c r="AI3" s="4" t="str">
        <f t="shared" si="0"/>
        <v>1Q25</v>
      </c>
      <c r="AJ3" s="4" t="str">
        <f t="shared" si="0"/>
        <v>2Q25</v>
      </c>
      <c r="AK3" s="4" t="str">
        <f>Y3</f>
        <v>3Q25</v>
      </c>
      <c r="AL3" s="3"/>
      <c r="AM3" s="493"/>
    </row>
    <row r="4" spans="1:39" s="5" customFormat="1" ht="12.75" customHeight="1">
      <c r="B4" s="6" t="s">
        <v>422</v>
      </c>
      <c r="C4" s="3">
        <f>'Historical Financials'!C8</f>
        <v>43465</v>
      </c>
      <c r="D4" s="3">
        <f>'Historical Financials'!D8</f>
        <v>43830</v>
      </c>
      <c r="E4" s="3">
        <f>'Historical Financials'!E8</f>
        <v>44196</v>
      </c>
      <c r="F4" s="3">
        <f>'Historical Financials'!F8</f>
        <v>44561</v>
      </c>
      <c r="G4" s="3">
        <f>'Historical Financials'!G8</f>
        <v>44926</v>
      </c>
      <c r="H4" s="3">
        <f>'Historical Financials'!H8</f>
        <v>45291</v>
      </c>
      <c r="I4" s="3">
        <f>'Historical Financials'!I8</f>
        <v>45657</v>
      </c>
      <c r="J4" s="3"/>
      <c r="K4" s="3">
        <f>'Historical Financials'!AA8</f>
        <v>44653</v>
      </c>
      <c r="L4" s="3">
        <f>'Historical Financials'!AB8</f>
        <v>44744</v>
      </c>
      <c r="M4" s="3">
        <f>'Historical Financials'!AC8</f>
        <v>44835</v>
      </c>
      <c r="N4" s="3">
        <f>'Historical Financials'!AD8</f>
        <v>44926</v>
      </c>
      <c r="O4" s="3">
        <f>'Historical Financials'!AE8</f>
        <v>45017</v>
      </c>
      <c r="P4" s="3">
        <f>'Historical Financials'!AF8</f>
        <v>45108</v>
      </c>
      <c r="Q4" s="3">
        <f>'Historical Financials'!AG8</f>
        <v>45199</v>
      </c>
      <c r="R4" s="3">
        <f>'Historical Financials'!AH8</f>
        <v>45291</v>
      </c>
      <c r="S4" s="3">
        <f>'Historical Financials'!AI8</f>
        <v>45381</v>
      </c>
      <c r="T4" s="3">
        <f>'Historical Financials'!AJ8</f>
        <v>45472</v>
      </c>
      <c r="U4" s="3">
        <f>'Historical Financials'!AK8</f>
        <v>45563</v>
      </c>
      <c r="V4" s="3">
        <f>'Historical Financials'!AL8</f>
        <v>45657</v>
      </c>
      <c r="W4" s="3">
        <f>'Historical Financials'!AM8</f>
        <v>45745</v>
      </c>
      <c r="X4" s="3">
        <f>'Historical Financials'!AN8</f>
        <v>45836</v>
      </c>
      <c r="Y4" s="3">
        <f>'Historical Financials'!AO8</f>
        <v>45927</v>
      </c>
      <c r="Z4" s="3"/>
      <c r="AA4" s="3">
        <f t="shared" si="0"/>
        <v>45017</v>
      </c>
      <c r="AB4" s="3">
        <f t="shared" si="0"/>
        <v>45108</v>
      </c>
      <c r="AC4" s="3">
        <f t="shared" si="0"/>
        <v>45199</v>
      </c>
      <c r="AD4" s="3">
        <f t="shared" si="0"/>
        <v>45291</v>
      </c>
      <c r="AE4" s="3">
        <f t="shared" si="0"/>
        <v>45381</v>
      </c>
      <c r="AF4" s="3">
        <f t="shared" si="0"/>
        <v>45472</v>
      </c>
      <c r="AG4" s="3">
        <f t="shared" si="0"/>
        <v>45563</v>
      </c>
      <c r="AH4" s="3">
        <f t="shared" si="0"/>
        <v>45657</v>
      </c>
      <c r="AI4" s="3">
        <f t="shared" si="0"/>
        <v>45745</v>
      </c>
      <c r="AJ4" s="3">
        <f t="shared" si="0"/>
        <v>45836</v>
      </c>
      <c r="AK4" s="3">
        <f>Y4</f>
        <v>45927</v>
      </c>
      <c r="AL4" s="3"/>
      <c r="AM4" s="493"/>
    </row>
    <row r="5" spans="1:39" ht="5.0999999999999996" customHeight="1">
      <c r="AM5" s="9"/>
    </row>
    <row r="6" spans="1:39" ht="12.75" customHeight="1">
      <c r="A6" s="90" t="s">
        <v>25</v>
      </c>
      <c r="B6" s="87" t="s">
        <v>512</v>
      </c>
      <c r="C6" s="27"/>
      <c r="D6" s="27"/>
      <c r="E6" s="11"/>
      <c r="F6" s="11"/>
      <c r="G6" s="11"/>
      <c r="H6" s="11"/>
      <c r="I6" s="11"/>
      <c r="J6" s="11"/>
      <c r="K6" s="11"/>
      <c r="L6" s="11"/>
      <c r="M6" s="11"/>
      <c r="N6" s="11"/>
      <c r="O6" s="11"/>
      <c r="P6" s="11"/>
      <c r="Q6" s="11"/>
      <c r="R6" s="11"/>
      <c r="S6" s="11"/>
      <c r="T6" s="11"/>
      <c r="U6" s="11"/>
      <c r="V6" s="11"/>
      <c r="W6" s="11"/>
      <c r="X6" s="11"/>
      <c r="Y6" s="11"/>
      <c r="Z6" s="5"/>
      <c r="AA6" s="12"/>
      <c r="AB6" s="12"/>
      <c r="AC6" s="12"/>
      <c r="AD6" s="12"/>
      <c r="AE6" s="12"/>
      <c r="AF6" s="12"/>
      <c r="AG6" s="12"/>
      <c r="AH6" s="12"/>
      <c r="AI6" s="12"/>
      <c r="AJ6" s="12"/>
      <c r="AM6" s="13"/>
    </row>
    <row r="7" spans="1:39" ht="12.75" customHeight="1">
      <c r="B7" s="10" t="s">
        <v>508</v>
      </c>
      <c r="C7" s="484">
        <f t="shared" ref="C7:I7" si="1">+C13+C18</f>
        <v>50779</v>
      </c>
      <c r="D7" s="484">
        <f t="shared" si="1"/>
        <v>144809</v>
      </c>
      <c r="E7" s="484">
        <f t="shared" si="1"/>
        <v>300583</v>
      </c>
      <c r="F7" s="484">
        <f t="shared" si="1"/>
        <v>324843</v>
      </c>
      <c r="G7" s="484">
        <f t="shared" si="1"/>
        <v>295651</v>
      </c>
      <c r="H7" s="484">
        <f t="shared" si="1"/>
        <v>216963</v>
      </c>
      <c r="I7" s="484">
        <f t="shared" si="1"/>
        <v>210595</v>
      </c>
      <c r="J7" s="91"/>
      <c r="K7" s="484">
        <f t="shared" ref="K7:W7" si="2">+K13+K18</f>
        <v>84397</v>
      </c>
      <c r="L7" s="484">
        <f t="shared" si="2"/>
        <v>102553</v>
      </c>
      <c r="M7" s="484">
        <f t="shared" si="2"/>
        <v>56372</v>
      </c>
      <c r="N7" s="484">
        <f t="shared" si="2"/>
        <v>52329</v>
      </c>
      <c r="O7" s="484">
        <f t="shared" si="2"/>
        <v>58448</v>
      </c>
      <c r="P7" s="484">
        <f t="shared" si="2"/>
        <v>68485</v>
      </c>
      <c r="Q7" s="484">
        <f t="shared" si="2"/>
        <v>44671</v>
      </c>
      <c r="R7" s="484">
        <f t="shared" si="2"/>
        <v>45359</v>
      </c>
      <c r="S7" s="484">
        <f t="shared" si="2"/>
        <v>49666</v>
      </c>
      <c r="T7" s="484">
        <f t="shared" si="2"/>
        <v>62454</v>
      </c>
      <c r="U7" s="484">
        <f t="shared" si="2"/>
        <v>51534</v>
      </c>
      <c r="V7" s="484">
        <f t="shared" si="2"/>
        <v>46941</v>
      </c>
      <c r="W7" s="484">
        <f t="shared" si="2"/>
        <v>44042</v>
      </c>
      <c r="X7" s="484">
        <f>+X13+X18</f>
        <v>48776</v>
      </c>
      <c r="Y7" s="484">
        <f>+Y13+Y18</f>
        <v>44347</v>
      </c>
      <c r="Z7" s="12"/>
      <c r="AA7" s="12">
        <f t="shared" ref="Z7:AJ7" si="3">SUM(L7:O7)</f>
        <v>269702</v>
      </c>
      <c r="AB7" s="12">
        <f t="shared" si="3"/>
        <v>235634</v>
      </c>
      <c r="AC7" s="12">
        <f t="shared" si="3"/>
        <v>223933</v>
      </c>
      <c r="AD7" s="12">
        <f t="shared" si="3"/>
        <v>216963</v>
      </c>
      <c r="AE7" s="12">
        <f t="shared" si="3"/>
        <v>208181</v>
      </c>
      <c r="AF7" s="12">
        <f t="shared" si="3"/>
        <v>202150</v>
      </c>
      <c r="AG7" s="12">
        <f t="shared" si="3"/>
        <v>209013</v>
      </c>
      <c r="AH7" s="12">
        <f t="shared" si="3"/>
        <v>210595</v>
      </c>
      <c r="AI7" s="12">
        <f t="shared" si="3"/>
        <v>204971</v>
      </c>
      <c r="AJ7" s="12">
        <f t="shared" si="3"/>
        <v>191293</v>
      </c>
      <c r="AK7" s="12">
        <f>SUM(V7:Y7)</f>
        <v>184106</v>
      </c>
      <c r="AM7" s="13">
        <f>SUM(AK7/AG7)-1</f>
        <v>-0.11916483663695565</v>
      </c>
    </row>
    <row r="8" spans="1:39" ht="12.75" customHeight="1">
      <c r="B8" s="10" t="s">
        <v>509</v>
      </c>
      <c r="C8" s="484">
        <f t="shared" ref="C8:I8" si="4">+C14+C19</f>
        <v>37155</v>
      </c>
      <c r="D8" s="484">
        <f t="shared" si="4"/>
        <v>153088</v>
      </c>
      <c r="E8" s="484">
        <f t="shared" si="4"/>
        <v>106202</v>
      </c>
      <c r="F8" s="484">
        <f t="shared" si="4"/>
        <v>139857</v>
      </c>
      <c r="G8" s="484">
        <f t="shared" si="4"/>
        <v>123282</v>
      </c>
      <c r="H8" s="484">
        <f t="shared" si="4"/>
        <v>126413</v>
      </c>
      <c r="I8" s="484">
        <f t="shared" si="4"/>
        <v>115857</v>
      </c>
      <c r="J8" s="91"/>
      <c r="K8" s="484">
        <f t="shared" ref="K8:W8" si="5">+K14+K19</f>
        <v>25058</v>
      </c>
      <c r="L8" s="484">
        <f t="shared" si="5"/>
        <v>44487</v>
      </c>
      <c r="M8" s="484">
        <f t="shared" si="5"/>
        <v>26128</v>
      </c>
      <c r="N8" s="484">
        <f t="shared" si="5"/>
        <v>27609</v>
      </c>
      <c r="O8" s="484">
        <f t="shared" si="5"/>
        <v>33788</v>
      </c>
      <c r="P8" s="484">
        <f t="shared" si="5"/>
        <v>33664</v>
      </c>
      <c r="Q8" s="484">
        <f t="shared" si="5"/>
        <v>30641</v>
      </c>
      <c r="R8" s="484">
        <f t="shared" si="5"/>
        <v>28320</v>
      </c>
      <c r="S8" s="484">
        <f t="shared" si="5"/>
        <v>25937</v>
      </c>
      <c r="T8" s="484">
        <f t="shared" si="5"/>
        <v>30731</v>
      </c>
      <c r="U8" s="484">
        <f t="shared" si="5"/>
        <v>29472</v>
      </c>
      <c r="V8" s="484">
        <f t="shared" si="5"/>
        <v>29717</v>
      </c>
      <c r="W8" s="484">
        <f t="shared" si="5"/>
        <v>24689</v>
      </c>
      <c r="X8" s="484">
        <f>+X14+X19</f>
        <v>26182</v>
      </c>
      <c r="Y8" s="484">
        <f>+Y14+Y19</f>
        <v>25871</v>
      </c>
      <c r="Z8" s="12"/>
      <c r="AA8" s="12">
        <f t="shared" ref="AA8" si="6">SUM(L8:O8)</f>
        <v>132012</v>
      </c>
      <c r="AB8" s="12">
        <f t="shared" ref="AB8" si="7">SUM(M8:P8)</f>
        <v>121189</v>
      </c>
      <c r="AC8" s="12">
        <f t="shared" ref="AC8" si="8">SUM(N8:Q8)</f>
        <v>125702</v>
      </c>
      <c r="AD8" s="12">
        <f t="shared" ref="AD8" si="9">SUM(O8:R8)</f>
        <v>126413</v>
      </c>
      <c r="AE8" s="12">
        <f t="shared" ref="AE8" si="10">SUM(P8:S8)</f>
        <v>118562</v>
      </c>
      <c r="AF8" s="12">
        <f t="shared" ref="AF8" si="11">SUM(Q8:T8)</f>
        <v>115629</v>
      </c>
      <c r="AG8" s="12">
        <f t="shared" ref="AG8" si="12">SUM(R8:U8)</f>
        <v>114460</v>
      </c>
      <c r="AH8" s="12">
        <f t="shared" ref="AH8" si="13">SUM(S8:V8)</f>
        <v>115857</v>
      </c>
      <c r="AI8" s="12">
        <f t="shared" ref="AI8" si="14">SUM(T8:W8)</f>
        <v>114609</v>
      </c>
      <c r="AJ8" s="12">
        <f t="shared" ref="AJ8" si="15">SUM(U8:X8)</f>
        <v>110060</v>
      </c>
      <c r="AK8" s="12">
        <f>SUM(V8:Y8)</f>
        <v>106459</v>
      </c>
      <c r="AM8" s="13">
        <f>SUM(AK8/AG8)-1</f>
        <v>-6.9902149222435761E-2</v>
      </c>
    </row>
    <row r="9" spans="1:39" ht="12.75" customHeight="1">
      <c r="B9" s="14" t="s">
        <v>107</v>
      </c>
      <c r="C9" s="36">
        <f t="shared" ref="C9:I9" si="16">SUM(C7:C8)</f>
        <v>87934</v>
      </c>
      <c r="D9" s="36">
        <f t="shared" si="16"/>
        <v>297897</v>
      </c>
      <c r="E9" s="36">
        <f t="shared" si="16"/>
        <v>406785</v>
      </c>
      <c r="F9" s="36">
        <f t="shared" si="16"/>
        <v>464700</v>
      </c>
      <c r="G9" s="36">
        <f t="shared" si="16"/>
        <v>418933</v>
      </c>
      <c r="H9" s="36">
        <f t="shared" si="16"/>
        <v>343376</v>
      </c>
      <c r="I9" s="36">
        <f t="shared" si="16"/>
        <v>326452</v>
      </c>
      <c r="J9" s="12"/>
      <c r="K9" s="36">
        <f t="shared" ref="K9:X9" si="17">SUM(K7:K8)</f>
        <v>109455</v>
      </c>
      <c r="L9" s="36">
        <f t="shared" si="17"/>
        <v>147040</v>
      </c>
      <c r="M9" s="36">
        <f t="shared" si="17"/>
        <v>82500</v>
      </c>
      <c r="N9" s="36">
        <f t="shared" si="17"/>
        <v>79938</v>
      </c>
      <c r="O9" s="36">
        <f t="shared" si="17"/>
        <v>92236</v>
      </c>
      <c r="P9" s="36">
        <f t="shared" si="17"/>
        <v>102149</v>
      </c>
      <c r="Q9" s="36">
        <f t="shared" si="17"/>
        <v>75312</v>
      </c>
      <c r="R9" s="36">
        <f t="shared" si="17"/>
        <v>73679</v>
      </c>
      <c r="S9" s="36">
        <f t="shared" si="17"/>
        <v>75603</v>
      </c>
      <c r="T9" s="36">
        <f t="shared" si="17"/>
        <v>93185</v>
      </c>
      <c r="U9" s="36">
        <f t="shared" si="17"/>
        <v>81006</v>
      </c>
      <c r="V9" s="36">
        <f t="shared" si="17"/>
        <v>76658</v>
      </c>
      <c r="W9" s="36">
        <f t="shared" si="17"/>
        <v>68731</v>
      </c>
      <c r="X9" s="36">
        <f t="shared" si="17"/>
        <v>74958</v>
      </c>
      <c r="Y9" s="36">
        <f t="shared" ref="Y9" si="18">SUM(Y7:Y8)</f>
        <v>70218</v>
      </c>
      <c r="Z9" s="5"/>
      <c r="AA9" s="36">
        <f t="shared" ref="AA9:AK9" si="19">SUM(AA7:AA8)</f>
        <v>401714</v>
      </c>
      <c r="AB9" s="36">
        <f t="shared" si="19"/>
        <v>356823</v>
      </c>
      <c r="AC9" s="36">
        <f t="shared" si="19"/>
        <v>349635</v>
      </c>
      <c r="AD9" s="36">
        <f t="shared" si="19"/>
        <v>343376</v>
      </c>
      <c r="AE9" s="36">
        <f t="shared" si="19"/>
        <v>326743</v>
      </c>
      <c r="AF9" s="36">
        <f t="shared" si="19"/>
        <v>317779</v>
      </c>
      <c r="AG9" s="36">
        <f t="shared" si="19"/>
        <v>323473</v>
      </c>
      <c r="AH9" s="36">
        <f t="shared" si="19"/>
        <v>326452</v>
      </c>
      <c r="AI9" s="36">
        <f t="shared" si="19"/>
        <v>319580</v>
      </c>
      <c r="AJ9" s="36">
        <f t="shared" si="19"/>
        <v>301353</v>
      </c>
      <c r="AK9" s="36">
        <f t="shared" si="19"/>
        <v>290565</v>
      </c>
      <c r="AM9" s="16">
        <f>SUM(AK9/AG9)-1</f>
        <v>-0.10173337496483481</v>
      </c>
    </row>
    <row r="10" spans="1:39">
      <c r="B10" s="88" t="s">
        <v>94</v>
      </c>
      <c r="C10" s="89">
        <f>+C9-'Historical Financials'!C11</f>
        <v>0</v>
      </c>
      <c r="D10" s="89">
        <f>+D9-'Historical Financials'!D11</f>
        <v>0</v>
      </c>
      <c r="E10" s="89">
        <f>+E9-'Historical Financials'!E11</f>
        <v>0</v>
      </c>
      <c r="F10" s="89">
        <f>+F9-'Historical Financials'!F11</f>
        <v>0</v>
      </c>
      <c r="G10" s="89">
        <f>+G9-'Historical Financials'!G11</f>
        <v>0</v>
      </c>
      <c r="H10" s="89">
        <f>+H9-'Historical Financials'!H11</f>
        <v>0</v>
      </c>
      <c r="I10" s="89">
        <f>+I9-'Historical Financials'!I11</f>
        <v>0</v>
      </c>
      <c r="J10" s="12"/>
      <c r="K10" s="89">
        <f>K9-'Historical Financials'!AA11</f>
        <v>0</v>
      </c>
      <c r="L10" s="89">
        <f>L9-'Historical Financials'!AB11</f>
        <v>0</v>
      </c>
      <c r="M10" s="89">
        <f>M9-'Historical Financials'!AC11</f>
        <v>0</v>
      </c>
      <c r="N10" s="89">
        <f>N9-'Historical Financials'!AD11</f>
        <v>0</v>
      </c>
      <c r="O10" s="89">
        <f>O9-'Historical Financials'!AE11</f>
        <v>0</v>
      </c>
      <c r="P10" s="89">
        <f>P9-'Historical Financials'!AF11</f>
        <v>0</v>
      </c>
      <c r="Q10" s="89">
        <f>Q9-'Historical Financials'!AG11</f>
        <v>0</v>
      </c>
      <c r="R10" s="89">
        <f>R9-'Historical Financials'!AH11</f>
        <v>0</v>
      </c>
      <c r="S10" s="89">
        <f>S9-'Historical Financials'!AI11</f>
        <v>0</v>
      </c>
      <c r="T10" s="89">
        <f>T9-'Historical Financials'!AJ11</f>
        <v>0</v>
      </c>
      <c r="U10" s="89">
        <f>U9-'Historical Financials'!AK11</f>
        <v>0</v>
      </c>
      <c r="V10" s="89">
        <f>V9-'Historical Financials'!AL11</f>
        <v>0</v>
      </c>
      <c r="W10" s="89">
        <f>W9-'Historical Financials'!AM11</f>
        <v>0</v>
      </c>
      <c r="X10" s="89">
        <f>X9-'Historical Financials'!AN11</f>
        <v>0</v>
      </c>
      <c r="Y10" s="89">
        <f>Y9-'Historical Financials'!AO11</f>
        <v>0</v>
      </c>
      <c r="Z10" s="89"/>
      <c r="AA10" s="89">
        <f>+AA9-'Historical Financials'!AZ11</f>
        <v>0</v>
      </c>
      <c r="AB10" s="89">
        <f>+AB9-'Historical Financials'!BA11</f>
        <v>0</v>
      </c>
      <c r="AC10" s="89">
        <f>+AC9-'Historical Financials'!BB11</f>
        <v>0</v>
      </c>
      <c r="AD10" s="89">
        <f>+AD9-'Historical Financials'!BC11</f>
        <v>0</v>
      </c>
      <c r="AE10" s="89">
        <f>+AE9-'Historical Financials'!BD11</f>
        <v>0</v>
      </c>
      <c r="AF10" s="89">
        <f>+AF9-'Historical Financials'!BE11</f>
        <v>0</v>
      </c>
      <c r="AG10" s="89">
        <f>+AG9-'Historical Financials'!BF11</f>
        <v>0</v>
      </c>
      <c r="AH10" s="89">
        <f>+AH9-'Historical Financials'!BG11</f>
        <v>0</v>
      </c>
      <c r="AI10" s="89">
        <f>+AI9-'Historical Financials'!BH11</f>
        <v>0</v>
      </c>
      <c r="AJ10" s="89">
        <f>+AJ9-'Historical Financials'!BI11</f>
        <v>0</v>
      </c>
      <c r="AK10" s="89">
        <f>+AK9-'Historical Financials'!BJ11</f>
        <v>0</v>
      </c>
      <c r="AM10" s="9"/>
    </row>
    <row r="11" spans="1:39">
      <c r="B11" s="20"/>
      <c r="C11" s="20"/>
      <c r="D11" s="20"/>
      <c r="E11" s="21"/>
      <c r="F11" s="21"/>
      <c r="G11" s="21"/>
      <c r="H11" s="21"/>
      <c r="I11" s="21"/>
      <c r="J11" s="22"/>
      <c r="K11" s="23"/>
      <c r="L11" s="23"/>
      <c r="M11" s="23"/>
      <c r="N11" s="24"/>
      <c r="O11" s="23"/>
      <c r="P11" s="23"/>
      <c r="Q11" s="23"/>
      <c r="R11" s="24"/>
      <c r="S11" s="23"/>
      <c r="T11" s="23"/>
      <c r="U11" s="23"/>
      <c r="V11" s="23"/>
      <c r="W11" s="23"/>
      <c r="X11" s="23"/>
      <c r="Y11" s="23"/>
      <c r="Z11" s="22"/>
      <c r="AA11" s="22"/>
      <c r="AB11" s="22"/>
      <c r="AC11" s="22"/>
      <c r="AD11" s="22"/>
      <c r="AE11" s="22"/>
      <c r="AF11" s="22"/>
      <c r="AG11" s="22"/>
      <c r="AH11" s="22"/>
      <c r="AI11" s="22"/>
      <c r="AJ11" s="22"/>
      <c r="AK11" s="22"/>
      <c r="AM11" s="9"/>
    </row>
    <row r="12" spans="1:39" ht="12.75" customHeight="1">
      <c r="A12" s="90" t="s">
        <v>25</v>
      </c>
      <c r="B12" s="87" t="s">
        <v>513</v>
      </c>
      <c r="C12" s="27"/>
      <c r="D12" s="27"/>
      <c r="E12" s="11"/>
      <c r="F12" s="11"/>
      <c r="G12" s="11"/>
      <c r="H12" s="11"/>
      <c r="I12" s="11"/>
      <c r="J12" s="11"/>
      <c r="K12" s="11"/>
      <c r="L12" s="11"/>
      <c r="M12" s="11"/>
      <c r="N12" s="11"/>
      <c r="O12" s="11"/>
      <c r="P12" s="11"/>
      <c r="Q12" s="11"/>
      <c r="R12" s="11"/>
      <c r="S12" s="11"/>
      <c r="T12" s="11"/>
      <c r="U12" s="11"/>
      <c r="V12" s="11"/>
      <c r="W12" s="11"/>
      <c r="X12" s="11"/>
      <c r="Y12" s="11"/>
      <c r="Z12" s="5"/>
      <c r="AA12" s="12"/>
      <c r="AB12" s="12"/>
      <c r="AC12" s="12"/>
      <c r="AD12" s="12"/>
      <c r="AE12" s="12"/>
      <c r="AF12" s="12"/>
      <c r="AG12" s="12"/>
      <c r="AH12" s="12"/>
      <c r="AI12" s="12"/>
      <c r="AJ12" s="12"/>
      <c r="AM12" s="13"/>
    </row>
    <row r="13" spans="1:39" ht="12.75" customHeight="1">
      <c r="B13" s="10" t="s">
        <v>508</v>
      </c>
      <c r="C13" s="91">
        <v>49772</v>
      </c>
      <c r="D13" s="91">
        <v>129383</v>
      </c>
      <c r="E13" s="91">
        <v>264111</v>
      </c>
      <c r="F13" s="91">
        <v>243360</v>
      </c>
      <c r="G13" s="91">
        <v>234744</v>
      </c>
      <c r="H13" s="91">
        <v>155240</v>
      </c>
      <c r="I13" s="91">
        <v>150812</v>
      </c>
      <c r="J13" s="91"/>
      <c r="K13" s="91">
        <v>68260</v>
      </c>
      <c r="L13" s="91">
        <v>78861</v>
      </c>
      <c r="M13" s="91">
        <v>46177</v>
      </c>
      <c r="N13" s="91">
        <f>SUM(G13-SUM(K13:M13))</f>
        <v>41446</v>
      </c>
      <c r="O13" s="91">
        <v>44159</v>
      </c>
      <c r="P13" s="91">
        <v>48490</v>
      </c>
      <c r="Q13" s="91">
        <v>30518</v>
      </c>
      <c r="R13" s="91">
        <f>SUM(H13-SUM(O13:Q13))</f>
        <v>32073</v>
      </c>
      <c r="S13" s="91">
        <v>37088</v>
      </c>
      <c r="T13" s="91">
        <v>44869</v>
      </c>
      <c r="U13" s="91">
        <v>34969</v>
      </c>
      <c r="V13" s="91">
        <f>SUM(I13-SUM(S13:U13))</f>
        <v>33886</v>
      </c>
      <c r="W13" s="91">
        <v>31360</v>
      </c>
      <c r="X13" s="91">
        <v>32909</v>
      </c>
      <c r="Y13" s="91">
        <v>28537</v>
      </c>
      <c r="Z13" s="12"/>
      <c r="AA13" s="12">
        <f t="shared" ref="AA13:AA14" si="20">SUM(L13:O13)</f>
        <v>210643</v>
      </c>
      <c r="AB13" s="12">
        <f t="shared" ref="AB13:AB14" si="21">SUM(M13:P13)</f>
        <v>180272</v>
      </c>
      <c r="AC13" s="12">
        <f t="shared" ref="AC13:AC14" si="22">SUM(N13:Q13)</f>
        <v>164613</v>
      </c>
      <c r="AD13" s="12">
        <f t="shared" ref="AD13:AD14" si="23">SUM(O13:R13)</f>
        <v>155240</v>
      </c>
      <c r="AE13" s="12">
        <f t="shared" ref="AE13:AE14" si="24">SUM(P13:S13)</f>
        <v>148169</v>
      </c>
      <c r="AF13" s="12">
        <f t="shared" ref="AF13:AF14" si="25">SUM(Q13:T13)</f>
        <v>144548</v>
      </c>
      <c r="AG13" s="12">
        <f t="shared" ref="AG13:AG14" si="26">SUM(R13:U13)</f>
        <v>148999</v>
      </c>
      <c r="AH13" s="12">
        <f t="shared" ref="AH13:AH14" si="27">SUM(S13:V13)</f>
        <v>150812</v>
      </c>
      <c r="AI13" s="12">
        <f t="shared" ref="AI13:AI14" si="28">SUM(T13:W13)</f>
        <v>145084</v>
      </c>
      <c r="AJ13" s="12">
        <f t="shared" ref="AJ13:AJ14" si="29">SUM(U13:X13)</f>
        <v>133124</v>
      </c>
      <c r="AK13" s="12">
        <f>SUM(V13:Y13)</f>
        <v>126692</v>
      </c>
      <c r="AM13" s="13">
        <f>SUM(AK13/AG13)-1</f>
        <v>-0.14971241417727632</v>
      </c>
    </row>
    <row r="14" spans="1:39" ht="12.75" customHeight="1">
      <c r="B14" s="10" t="s">
        <v>509</v>
      </c>
      <c r="C14" s="91">
        <v>20717</v>
      </c>
      <c r="D14" s="91">
        <v>70372</v>
      </c>
      <c r="E14" s="91">
        <v>60763</v>
      </c>
      <c r="F14" s="91">
        <v>76475</v>
      </c>
      <c r="G14" s="91">
        <v>69289</v>
      </c>
      <c r="H14" s="91">
        <v>50647</v>
      </c>
      <c r="I14" s="91">
        <v>47584</v>
      </c>
      <c r="J14" s="91"/>
      <c r="K14" s="91">
        <v>15493</v>
      </c>
      <c r="L14" s="91">
        <v>23389</v>
      </c>
      <c r="M14" s="91">
        <v>15994</v>
      </c>
      <c r="N14" s="91">
        <f>SUM(G14-SUM(K14:M14))</f>
        <v>14413</v>
      </c>
      <c r="O14" s="91">
        <v>14675</v>
      </c>
      <c r="P14" s="91">
        <v>12764</v>
      </c>
      <c r="Q14" s="91">
        <v>12535</v>
      </c>
      <c r="R14" s="91">
        <f>SUM(H14-SUM(O14:Q14))</f>
        <v>10673</v>
      </c>
      <c r="S14" s="91">
        <v>12304</v>
      </c>
      <c r="T14" s="91">
        <v>10350</v>
      </c>
      <c r="U14" s="91">
        <v>14478</v>
      </c>
      <c r="V14" s="91">
        <f>SUM(I14-SUM(S14:U14))</f>
        <v>10452</v>
      </c>
      <c r="W14" s="91">
        <v>9413</v>
      </c>
      <c r="X14" s="91">
        <v>11055</v>
      </c>
      <c r="Y14" s="91">
        <v>10524</v>
      </c>
      <c r="Z14" s="12"/>
      <c r="AA14" s="12">
        <f t="shared" si="20"/>
        <v>68471</v>
      </c>
      <c r="AB14" s="12">
        <f t="shared" si="21"/>
        <v>57846</v>
      </c>
      <c r="AC14" s="12">
        <f t="shared" si="22"/>
        <v>54387</v>
      </c>
      <c r="AD14" s="12">
        <f t="shared" si="23"/>
        <v>50647</v>
      </c>
      <c r="AE14" s="12">
        <f t="shared" si="24"/>
        <v>48276</v>
      </c>
      <c r="AF14" s="12">
        <f t="shared" si="25"/>
        <v>45862</v>
      </c>
      <c r="AG14" s="12">
        <f t="shared" si="26"/>
        <v>47805</v>
      </c>
      <c r="AH14" s="12">
        <f t="shared" si="27"/>
        <v>47584</v>
      </c>
      <c r="AI14" s="12">
        <f t="shared" si="28"/>
        <v>44693</v>
      </c>
      <c r="AJ14" s="12">
        <f t="shared" si="29"/>
        <v>45398</v>
      </c>
      <c r="AK14" s="12">
        <f>SUM(V14:Y14)</f>
        <v>41444</v>
      </c>
      <c r="AM14" s="13">
        <f>SUM(AK14/AG14)-1</f>
        <v>-0.1330613952515427</v>
      </c>
    </row>
    <row r="15" spans="1:39" ht="12.75" customHeight="1">
      <c r="B15" s="14" t="s">
        <v>510</v>
      </c>
      <c r="C15" s="36">
        <f t="shared" ref="C15:I15" si="30">SUM(C13:C14)</f>
        <v>70489</v>
      </c>
      <c r="D15" s="36">
        <f t="shared" si="30"/>
        <v>199755</v>
      </c>
      <c r="E15" s="36">
        <f t="shared" si="30"/>
        <v>324874</v>
      </c>
      <c r="F15" s="36">
        <f t="shared" si="30"/>
        <v>319835</v>
      </c>
      <c r="G15" s="36">
        <f t="shared" si="30"/>
        <v>304033</v>
      </c>
      <c r="H15" s="36">
        <f t="shared" si="30"/>
        <v>205887</v>
      </c>
      <c r="I15" s="36">
        <f t="shared" si="30"/>
        <v>198396</v>
      </c>
      <c r="J15" s="12"/>
      <c r="K15" s="36">
        <f t="shared" ref="K15:X15" si="31">SUM(K13:K14)</f>
        <v>83753</v>
      </c>
      <c r="L15" s="36">
        <f t="shared" si="31"/>
        <v>102250</v>
      </c>
      <c r="M15" s="36">
        <f t="shared" si="31"/>
        <v>62171</v>
      </c>
      <c r="N15" s="36">
        <f t="shared" si="31"/>
        <v>55859</v>
      </c>
      <c r="O15" s="36">
        <f t="shared" si="31"/>
        <v>58834</v>
      </c>
      <c r="P15" s="36">
        <f t="shared" si="31"/>
        <v>61254</v>
      </c>
      <c r="Q15" s="36">
        <f t="shared" si="31"/>
        <v>43053</v>
      </c>
      <c r="R15" s="36">
        <f t="shared" si="31"/>
        <v>42746</v>
      </c>
      <c r="S15" s="36">
        <f t="shared" si="31"/>
        <v>49392</v>
      </c>
      <c r="T15" s="36">
        <f t="shared" si="31"/>
        <v>55219</v>
      </c>
      <c r="U15" s="36">
        <f t="shared" si="31"/>
        <v>49447</v>
      </c>
      <c r="V15" s="36">
        <f t="shared" si="31"/>
        <v>44338</v>
      </c>
      <c r="W15" s="36">
        <f t="shared" si="31"/>
        <v>40773</v>
      </c>
      <c r="X15" s="36">
        <f t="shared" si="31"/>
        <v>43964</v>
      </c>
      <c r="Y15" s="36">
        <f t="shared" ref="Y15" si="32">SUM(Y13:Y14)</f>
        <v>39061</v>
      </c>
      <c r="Z15" s="5"/>
      <c r="AA15" s="36">
        <f t="shared" ref="AA15:AK15" si="33">SUM(AA13:AA14)</f>
        <v>279114</v>
      </c>
      <c r="AB15" s="36">
        <f t="shared" si="33"/>
        <v>238118</v>
      </c>
      <c r="AC15" s="36">
        <f t="shared" si="33"/>
        <v>219000</v>
      </c>
      <c r="AD15" s="36">
        <f t="shared" si="33"/>
        <v>205887</v>
      </c>
      <c r="AE15" s="36">
        <f t="shared" si="33"/>
        <v>196445</v>
      </c>
      <c r="AF15" s="36">
        <f t="shared" si="33"/>
        <v>190410</v>
      </c>
      <c r="AG15" s="36">
        <f t="shared" si="33"/>
        <v>196804</v>
      </c>
      <c r="AH15" s="36">
        <f t="shared" si="33"/>
        <v>198396</v>
      </c>
      <c r="AI15" s="36">
        <f t="shared" si="33"/>
        <v>189777</v>
      </c>
      <c r="AJ15" s="36">
        <f t="shared" si="33"/>
        <v>178522</v>
      </c>
      <c r="AK15" s="36">
        <f t="shared" si="33"/>
        <v>168136</v>
      </c>
      <c r="AM15" s="16">
        <f>SUM(AK15/AG15)-1</f>
        <v>-0.14566777098026462</v>
      </c>
    </row>
    <row r="16" spans="1:39" ht="12.75" customHeight="1">
      <c r="B16" s="27"/>
      <c r="C16" s="79"/>
      <c r="D16" s="79"/>
      <c r="E16" s="79"/>
      <c r="F16" s="79"/>
      <c r="G16" s="79"/>
      <c r="H16" s="79"/>
      <c r="I16" s="79"/>
      <c r="J16" s="12"/>
      <c r="K16" s="79"/>
      <c r="L16" s="79"/>
      <c r="M16" s="79"/>
      <c r="N16" s="79"/>
      <c r="O16" s="79"/>
      <c r="P16" s="79"/>
      <c r="Q16" s="79"/>
      <c r="R16" s="79"/>
      <c r="S16" s="79"/>
      <c r="T16" s="79"/>
      <c r="U16" s="79"/>
      <c r="V16" s="79"/>
      <c r="W16" s="79"/>
      <c r="X16" s="79"/>
      <c r="Y16" s="79"/>
      <c r="Z16" s="5"/>
      <c r="AA16" s="79"/>
      <c r="AB16" s="79"/>
      <c r="AC16" s="79"/>
      <c r="AD16" s="79"/>
      <c r="AE16" s="79"/>
      <c r="AF16" s="79"/>
      <c r="AG16" s="79"/>
      <c r="AH16" s="79"/>
      <c r="AI16" s="79"/>
      <c r="AJ16" s="79"/>
      <c r="AK16" s="79"/>
      <c r="AM16" s="470"/>
    </row>
    <row r="17" spans="1:39" ht="12.75" customHeight="1">
      <c r="A17" s="90" t="s">
        <v>25</v>
      </c>
      <c r="B17" s="87" t="s">
        <v>514</v>
      </c>
      <c r="C17" s="27"/>
      <c r="D17" s="27"/>
      <c r="E17" s="11"/>
      <c r="F17" s="11"/>
      <c r="G17" s="11"/>
      <c r="H17" s="11"/>
      <c r="I17" s="11"/>
      <c r="J17" s="11"/>
      <c r="K17" s="11"/>
      <c r="L17" s="11"/>
      <c r="M17" s="11"/>
      <c r="N17" s="11"/>
      <c r="O17" s="11"/>
      <c r="P17" s="11"/>
      <c r="Q17" s="11"/>
      <c r="R17" s="11"/>
      <c r="S17" s="11"/>
      <c r="T17" s="11"/>
      <c r="U17" s="11"/>
      <c r="V17" s="11"/>
      <c r="W17" s="11"/>
      <c r="X17" s="11"/>
      <c r="Y17" s="11"/>
      <c r="Z17" s="5"/>
      <c r="AA17" s="12"/>
      <c r="AB17" s="12"/>
      <c r="AC17" s="12"/>
      <c r="AD17" s="12"/>
      <c r="AE17" s="12"/>
      <c r="AF17" s="12"/>
      <c r="AG17" s="12"/>
      <c r="AH17" s="12"/>
      <c r="AI17" s="12"/>
      <c r="AJ17" s="12"/>
      <c r="AM17" s="13"/>
    </row>
    <row r="18" spans="1:39" ht="12.75" customHeight="1">
      <c r="B18" s="10" t="s">
        <v>508</v>
      </c>
      <c r="C18" s="91">
        <v>1007</v>
      </c>
      <c r="D18" s="91">
        <v>15426</v>
      </c>
      <c r="E18" s="91">
        <v>36472</v>
      </c>
      <c r="F18" s="91">
        <v>81483</v>
      </c>
      <c r="G18" s="91">
        <v>60907</v>
      </c>
      <c r="H18" s="91">
        <v>61723</v>
      </c>
      <c r="I18" s="91">
        <v>59783</v>
      </c>
      <c r="J18" s="91"/>
      <c r="K18" s="91">
        <v>16137</v>
      </c>
      <c r="L18" s="91">
        <v>23692</v>
      </c>
      <c r="M18" s="91">
        <v>10195</v>
      </c>
      <c r="N18" s="91">
        <f>SUM(G18-SUM(K18:M18))</f>
        <v>10883</v>
      </c>
      <c r="O18" s="91">
        <v>14289</v>
      </c>
      <c r="P18" s="91">
        <v>19995</v>
      </c>
      <c r="Q18" s="91">
        <v>14153</v>
      </c>
      <c r="R18" s="91">
        <f>SUM(H18-SUM(O18:Q18))</f>
        <v>13286</v>
      </c>
      <c r="S18" s="91">
        <v>12578</v>
      </c>
      <c r="T18" s="91">
        <v>17585</v>
      </c>
      <c r="U18" s="91">
        <v>16565</v>
      </c>
      <c r="V18" s="91">
        <f>SUM(I18-SUM(S18:U18))</f>
        <v>13055</v>
      </c>
      <c r="W18" s="91">
        <v>12682</v>
      </c>
      <c r="X18" s="91">
        <v>15867</v>
      </c>
      <c r="Y18" s="91">
        <v>15810</v>
      </c>
      <c r="Z18" s="12"/>
      <c r="AA18" s="12">
        <f t="shared" ref="AA18:AA19" si="34">SUM(L18:O18)</f>
        <v>59059</v>
      </c>
      <c r="AB18" s="12">
        <f t="shared" ref="AB18:AB19" si="35">SUM(M18:P18)</f>
        <v>55362</v>
      </c>
      <c r="AC18" s="12">
        <f t="shared" ref="AC18:AC19" si="36">SUM(N18:Q18)</f>
        <v>59320</v>
      </c>
      <c r="AD18" s="12">
        <f t="shared" ref="AD18:AD19" si="37">SUM(O18:R18)</f>
        <v>61723</v>
      </c>
      <c r="AE18" s="12">
        <f t="shared" ref="AE18:AE19" si="38">SUM(P18:S18)</f>
        <v>60012</v>
      </c>
      <c r="AF18" s="12">
        <f t="shared" ref="AF18:AF19" si="39">SUM(Q18:T18)</f>
        <v>57602</v>
      </c>
      <c r="AG18" s="12">
        <f t="shared" ref="AG18:AG19" si="40">SUM(R18:U18)</f>
        <v>60014</v>
      </c>
      <c r="AH18" s="12">
        <f t="shared" ref="AH18:AH19" si="41">SUM(S18:V18)</f>
        <v>59783</v>
      </c>
      <c r="AI18" s="12">
        <f t="shared" ref="AI18:AI19" si="42">SUM(T18:W18)</f>
        <v>59887</v>
      </c>
      <c r="AJ18" s="12">
        <f t="shared" ref="AJ18:AJ19" si="43">SUM(U18:X18)</f>
        <v>58169</v>
      </c>
      <c r="AK18" s="12">
        <f>SUM(V18:Y18)</f>
        <v>57414</v>
      </c>
      <c r="AM18" s="13">
        <f>SUM(AK18/AG18)-1</f>
        <v>-4.3323224580931075E-2</v>
      </c>
    </row>
    <row r="19" spans="1:39" ht="12.75" customHeight="1">
      <c r="B19" s="10" t="s">
        <v>509</v>
      </c>
      <c r="C19" s="91">
        <v>16438</v>
      </c>
      <c r="D19" s="91">
        <v>82716</v>
      </c>
      <c r="E19" s="91">
        <v>45439</v>
      </c>
      <c r="F19" s="91">
        <v>63382</v>
      </c>
      <c r="G19" s="91">
        <v>53993</v>
      </c>
      <c r="H19" s="91">
        <v>75766</v>
      </c>
      <c r="I19" s="91">
        <v>68273</v>
      </c>
      <c r="J19" s="91"/>
      <c r="K19" s="91">
        <v>9565</v>
      </c>
      <c r="L19" s="91">
        <v>21098</v>
      </c>
      <c r="M19" s="91">
        <v>10134</v>
      </c>
      <c r="N19" s="91">
        <f>SUM(G19-SUM(K19:M19))</f>
        <v>13196</v>
      </c>
      <c r="O19" s="91">
        <v>19113</v>
      </c>
      <c r="P19" s="91">
        <v>20900</v>
      </c>
      <c r="Q19" s="91">
        <v>18106</v>
      </c>
      <c r="R19" s="91">
        <f>SUM(H19-SUM(O19:Q19))</f>
        <v>17647</v>
      </c>
      <c r="S19" s="91">
        <v>13633</v>
      </c>
      <c r="T19" s="91">
        <v>20381</v>
      </c>
      <c r="U19" s="91">
        <v>14994</v>
      </c>
      <c r="V19" s="91">
        <f>SUM(I19-SUM(S19:U19))</f>
        <v>19265</v>
      </c>
      <c r="W19" s="91">
        <v>15276</v>
      </c>
      <c r="X19" s="91">
        <v>15127</v>
      </c>
      <c r="Y19" s="91">
        <v>15347</v>
      </c>
      <c r="Z19" s="12"/>
      <c r="AA19" s="12">
        <f t="shared" si="34"/>
        <v>63541</v>
      </c>
      <c r="AB19" s="12">
        <f t="shared" si="35"/>
        <v>63343</v>
      </c>
      <c r="AC19" s="12">
        <f t="shared" si="36"/>
        <v>71315</v>
      </c>
      <c r="AD19" s="12">
        <f t="shared" si="37"/>
        <v>75766</v>
      </c>
      <c r="AE19" s="12">
        <f t="shared" si="38"/>
        <v>70286</v>
      </c>
      <c r="AF19" s="12">
        <f t="shared" si="39"/>
        <v>69767</v>
      </c>
      <c r="AG19" s="12">
        <f t="shared" si="40"/>
        <v>66655</v>
      </c>
      <c r="AH19" s="12">
        <f t="shared" si="41"/>
        <v>68273</v>
      </c>
      <c r="AI19" s="12">
        <f t="shared" si="42"/>
        <v>69916</v>
      </c>
      <c r="AJ19" s="12">
        <f t="shared" si="43"/>
        <v>64662</v>
      </c>
      <c r="AK19" s="12">
        <f>SUM(V19:Y19)</f>
        <v>65015</v>
      </c>
      <c r="AM19" s="13">
        <f>SUM(AK19/AG19)-1</f>
        <v>-2.4604305753506917E-2</v>
      </c>
    </row>
    <row r="20" spans="1:39" ht="12.75" customHeight="1">
      <c r="B20" s="14" t="s">
        <v>511</v>
      </c>
      <c r="C20" s="36">
        <f t="shared" ref="C20:I20" si="44">SUM(C18:C19)</f>
        <v>17445</v>
      </c>
      <c r="D20" s="36">
        <f t="shared" si="44"/>
        <v>98142</v>
      </c>
      <c r="E20" s="36">
        <f t="shared" si="44"/>
        <v>81911</v>
      </c>
      <c r="F20" s="36">
        <f t="shared" si="44"/>
        <v>144865</v>
      </c>
      <c r="G20" s="36">
        <f t="shared" si="44"/>
        <v>114900</v>
      </c>
      <c r="H20" s="36">
        <f t="shared" si="44"/>
        <v>137489</v>
      </c>
      <c r="I20" s="36">
        <f t="shared" si="44"/>
        <v>128056</v>
      </c>
      <c r="J20" s="12"/>
      <c r="K20" s="36">
        <f t="shared" ref="K20:X20" si="45">SUM(K18:K19)</f>
        <v>25702</v>
      </c>
      <c r="L20" s="36">
        <f t="shared" si="45"/>
        <v>44790</v>
      </c>
      <c r="M20" s="36">
        <f t="shared" si="45"/>
        <v>20329</v>
      </c>
      <c r="N20" s="36">
        <f t="shared" si="45"/>
        <v>24079</v>
      </c>
      <c r="O20" s="36">
        <f t="shared" si="45"/>
        <v>33402</v>
      </c>
      <c r="P20" s="36">
        <f t="shared" si="45"/>
        <v>40895</v>
      </c>
      <c r="Q20" s="36">
        <f t="shared" si="45"/>
        <v>32259</v>
      </c>
      <c r="R20" s="36">
        <f t="shared" si="45"/>
        <v>30933</v>
      </c>
      <c r="S20" s="36">
        <f t="shared" si="45"/>
        <v>26211</v>
      </c>
      <c r="T20" s="36">
        <f t="shared" si="45"/>
        <v>37966</v>
      </c>
      <c r="U20" s="36">
        <f t="shared" si="45"/>
        <v>31559</v>
      </c>
      <c r="V20" s="36">
        <f t="shared" si="45"/>
        <v>32320</v>
      </c>
      <c r="W20" s="36">
        <f t="shared" si="45"/>
        <v>27958</v>
      </c>
      <c r="X20" s="36">
        <f t="shared" si="45"/>
        <v>30994</v>
      </c>
      <c r="Y20" s="36">
        <f t="shared" ref="Y20" si="46">SUM(Y18:Y19)</f>
        <v>31157</v>
      </c>
      <c r="Z20" s="5"/>
      <c r="AA20" s="36">
        <f t="shared" ref="AA20:AK20" si="47">SUM(AA18:AA19)</f>
        <v>122600</v>
      </c>
      <c r="AB20" s="36">
        <f t="shared" si="47"/>
        <v>118705</v>
      </c>
      <c r="AC20" s="36">
        <f t="shared" si="47"/>
        <v>130635</v>
      </c>
      <c r="AD20" s="36">
        <f t="shared" si="47"/>
        <v>137489</v>
      </c>
      <c r="AE20" s="36">
        <f t="shared" si="47"/>
        <v>130298</v>
      </c>
      <c r="AF20" s="36">
        <f t="shared" si="47"/>
        <v>127369</v>
      </c>
      <c r="AG20" s="36">
        <f t="shared" si="47"/>
        <v>126669</v>
      </c>
      <c r="AH20" s="36">
        <f t="shared" si="47"/>
        <v>128056</v>
      </c>
      <c r="AI20" s="36">
        <f t="shared" si="47"/>
        <v>129803</v>
      </c>
      <c r="AJ20" s="36">
        <f t="shared" si="47"/>
        <v>122831</v>
      </c>
      <c r="AK20" s="36">
        <f t="shared" si="47"/>
        <v>122429</v>
      </c>
      <c r="AM20" s="16">
        <f>SUM(AK20/AG20)-1</f>
        <v>-3.3473067601386242E-2</v>
      </c>
    </row>
  </sheetData>
  <mergeCells count="1">
    <mergeCell ref="AM2:AM4"/>
  </mergeCells>
  <dataValidations disablePrompts="1"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M83"/>
  <sheetViews>
    <sheetView showGridLines="0" zoomScale="115" zoomScaleNormal="115" workbookViewId="0">
      <selection activeCell="B18" sqref="B18"/>
    </sheetView>
  </sheetViews>
  <sheetFormatPr defaultRowHeight="12" outlineLevelCol="1"/>
  <cols>
    <col min="1" max="1" width="1.5" style="8" customWidth="1"/>
    <col min="2" max="2" width="41.625" style="8" customWidth="1"/>
    <col min="3" max="4" width="8.625" style="8" hidden="1" customWidth="1" outlineLevel="1"/>
    <col min="5" max="5" width="9" style="8" bestFit="1" customWidth="1" collapsed="1"/>
    <col min="6" max="6" width="9.25" style="8" bestFit="1" customWidth="1"/>
    <col min="7" max="7" width="9" style="8"/>
    <col min="8" max="8" width="1.5" style="8" customWidth="1"/>
    <col min="9" max="11" width="7.875" style="8" hidden="1" customWidth="1" outlineLevel="1"/>
    <col min="12" max="12" width="9" style="8" hidden="1" customWidth="1" outlineLevel="1"/>
    <col min="13" max="13" width="8.5" style="8" hidden="1" customWidth="1" outlineLevel="1"/>
    <col min="14" max="14" width="7.875" style="8" hidden="1" customWidth="1" outlineLevel="1"/>
    <col min="15" max="15" width="9" style="8" hidden="1" customWidth="1" outlineLevel="1"/>
    <col min="16" max="16" width="9.25" style="8" hidden="1" customWidth="1" outlineLevel="1"/>
    <col min="17" max="17" width="9.75" style="8" hidden="1" customWidth="1" outlineLevel="1"/>
    <col min="18" max="18" width="9" style="8" hidden="1" customWidth="1" outlineLevel="1"/>
    <col min="19" max="19" width="9" style="8" bestFit="1" customWidth="1" collapsed="1"/>
    <col min="20" max="21" width="9" style="8" bestFit="1" customWidth="1"/>
    <col min="22" max="23" width="8.5" style="8" bestFit="1" customWidth="1"/>
    <col min="24" max="24" width="1.625" style="8" customWidth="1"/>
    <col min="25" max="25" width="9" style="8" hidden="1" customWidth="1" outlineLevel="1"/>
    <col min="26" max="26" width="8.625" style="8" hidden="1" customWidth="1" outlineLevel="1"/>
    <col min="27" max="27" width="8.5" style="8" hidden="1" customWidth="1" outlineLevel="1"/>
    <col min="28" max="29" width="8.25" style="8" hidden="1" customWidth="1" outlineLevel="1"/>
    <col min="30" max="30" width="9.25" style="8" hidden="1" customWidth="1" outlineLevel="1"/>
    <col min="31" max="31" width="9.75" style="8" hidden="1" customWidth="1" outlineLevel="1"/>
    <col min="32" max="32" width="9" style="8" hidden="1" customWidth="1" outlineLevel="1"/>
    <col min="33" max="33" width="9" style="8" customWidth="1" collapsed="1"/>
    <col min="34" max="35" width="9" style="8" hidden="1" customWidth="1" outlineLevel="1"/>
    <col min="36" max="36" width="8.5" style="8" hidden="1" customWidth="1" outlineLevel="1"/>
    <col min="37" max="37" width="8.5" style="8" bestFit="1" customWidth="1" collapsed="1"/>
    <col min="38" max="38" width="1.5" style="8" customWidth="1"/>
    <col min="39" max="39" width="8.375" style="491" bestFit="1" customWidth="1"/>
    <col min="40" max="16384" width="9" style="8"/>
  </cols>
  <sheetData>
    <row r="2" spans="2:39" s="5" customFormat="1" ht="12.75" customHeight="1">
      <c r="B2" s="1" t="s">
        <v>452</v>
      </c>
      <c r="C2" s="2" t="s">
        <v>0</v>
      </c>
      <c r="D2" s="2"/>
      <c r="E2" s="2" t="s">
        <v>0</v>
      </c>
      <c r="F2" s="2"/>
      <c r="G2" s="2"/>
      <c r="H2" s="3"/>
      <c r="I2" s="2" t="s">
        <v>1</v>
      </c>
      <c r="J2" s="2"/>
      <c r="K2" s="2"/>
      <c r="L2" s="2"/>
      <c r="M2" s="2"/>
      <c r="N2" s="2"/>
      <c r="O2" s="2"/>
      <c r="P2" s="2"/>
      <c r="Q2" s="2"/>
      <c r="R2" s="2"/>
      <c r="S2" s="2" t="s">
        <v>1</v>
      </c>
      <c r="T2" s="2"/>
      <c r="U2" s="2"/>
      <c r="V2" s="2"/>
      <c r="W2" s="2"/>
      <c r="X2" s="3"/>
      <c r="Y2" s="2" t="s">
        <v>10</v>
      </c>
      <c r="Z2" s="2"/>
      <c r="AA2" s="2"/>
      <c r="AB2" s="2"/>
      <c r="AC2" s="2"/>
      <c r="AD2" s="2"/>
      <c r="AE2" s="2"/>
      <c r="AF2" s="2" t="s">
        <v>10</v>
      </c>
      <c r="AG2" s="2" t="s">
        <v>10</v>
      </c>
      <c r="AH2" s="2"/>
      <c r="AI2" s="2"/>
      <c r="AJ2" s="2"/>
      <c r="AK2" s="2"/>
      <c r="AL2" s="3"/>
      <c r="AM2" s="500" t="s">
        <v>38</v>
      </c>
    </row>
    <row r="3" spans="2:39" s="5" customFormat="1" ht="12.75" customHeight="1">
      <c r="B3" s="6" t="s">
        <v>39</v>
      </c>
      <c r="C3" s="7">
        <f>'Historical Financials'!E7</f>
        <v>2020</v>
      </c>
      <c r="D3" s="7">
        <f>'Historical Financials'!F7</f>
        <v>2021</v>
      </c>
      <c r="E3" s="7">
        <f>'Historical Financials'!G7</f>
        <v>2022</v>
      </c>
      <c r="F3" s="7">
        <f>'Historical Financials'!H7</f>
        <v>2023</v>
      </c>
      <c r="G3" s="7">
        <f>'Historical Financials'!I7</f>
        <v>2024</v>
      </c>
      <c r="H3" s="3"/>
      <c r="I3" s="7" t="str">
        <f>'Historical Financials'!AA7</f>
        <v>1Q22</v>
      </c>
      <c r="J3" s="7" t="str">
        <f>'Historical Financials'!AB7</f>
        <v>2Q22</v>
      </c>
      <c r="K3" s="7" t="str">
        <f>'Historical Financials'!AC7</f>
        <v>3Q22</v>
      </c>
      <c r="L3" s="7" t="str">
        <f>'Historical Financials'!AD7</f>
        <v>4Q22</v>
      </c>
      <c r="M3" s="7" t="str">
        <f>'Historical Financials'!AE7</f>
        <v>1Q23</v>
      </c>
      <c r="N3" s="7" t="str">
        <f>'Historical Financials'!AF7</f>
        <v>2Q23</v>
      </c>
      <c r="O3" s="7" t="str">
        <f>'Historical Financials'!AG7</f>
        <v>3Q23</v>
      </c>
      <c r="P3" s="7" t="str">
        <f>'Historical Financials'!AH7</f>
        <v>4Q23</v>
      </c>
      <c r="Q3" s="7" t="str">
        <f>'Historical Financials'!AI7</f>
        <v>1Q24</v>
      </c>
      <c r="R3" s="7" t="str">
        <f>'Historical Financials'!AJ7</f>
        <v>2Q24</v>
      </c>
      <c r="S3" s="7" t="str">
        <f>'Historical Financials'!AK7</f>
        <v>3Q24</v>
      </c>
      <c r="T3" s="7" t="str">
        <f>'Historical Financials'!AL7</f>
        <v>4Q24</v>
      </c>
      <c r="U3" s="7" t="str">
        <f>'Historical Financials'!AM7</f>
        <v>1Q25</v>
      </c>
      <c r="V3" s="7" t="str">
        <f>'Historical Financials'!AN7</f>
        <v>2Q25</v>
      </c>
      <c r="W3" s="7" t="str">
        <f>'Historical Financials'!AO7</f>
        <v>3Q25</v>
      </c>
      <c r="X3" s="3"/>
      <c r="Y3" s="4" t="str">
        <f>K3</f>
        <v>3Q22</v>
      </c>
      <c r="Z3" s="4" t="str">
        <f>L3</f>
        <v>4Q22</v>
      </c>
      <c r="AA3" s="4" t="str">
        <f>M3</f>
        <v>1Q23</v>
      </c>
      <c r="AB3" s="4" t="str">
        <f>N3</f>
        <v>2Q23</v>
      </c>
      <c r="AC3" s="4" t="str">
        <f>O3</f>
        <v>3Q23</v>
      </c>
      <c r="AD3" s="4" t="str">
        <f>P3</f>
        <v>4Q23</v>
      </c>
      <c r="AE3" s="4" t="str">
        <f>Q3</f>
        <v>1Q24</v>
      </c>
      <c r="AF3" s="4" t="str">
        <f>R3</f>
        <v>2Q24</v>
      </c>
      <c r="AG3" s="4" t="str">
        <f>S3</f>
        <v>3Q24</v>
      </c>
      <c r="AH3" s="4" t="str">
        <f>T3</f>
        <v>4Q24</v>
      </c>
      <c r="AI3" s="4" t="str">
        <f>U3</f>
        <v>1Q25</v>
      </c>
      <c r="AJ3" s="4" t="str">
        <f>V3</f>
        <v>2Q25</v>
      </c>
      <c r="AK3" s="4" t="str">
        <f>W3</f>
        <v>3Q25</v>
      </c>
      <c r="AL3" s="3"/>
      <c r="AM3" s="500"/>
    </row>
    <row r="4" spans="2:39" s="5" customFormat="1" ht="12.75" customHeight="1">
      <c r="B4" s="6" t="s">
        <v>422</v>
      </c>
      <c r="C4" s="3">
        <f>'Historical Financials'!E8</f>
        <v>44196</v>
      </c>
      <c r="D4" s="3">
        <f>'Historical Financials'!F8</f>
        <v>44561</v>
      </c>
      <c r="E4" s="3">
        <f>'Historical Financials'!G8</f>
        <v>44926</v>
      </c>
      <c r="F4" s="3">
        <f>'Historical Financials'!H8</f>
        <v>45291</v>
      </c>
      <c r="G4" s="3">
        <f>'Historical Financials'!I8</f>
        <v>45657</v>
      </c>
      <c r="H4" s="3"/>
      <c r="I4" s="3">
        <f>'Historical Financials'!AA8</f>
        <v>44653</v>
      </c>
      <c r="J4" s="3">
        <f>'Historical Financials'!AB8</f>
        <v>44744</v>
      </c>
      <c r="K4" s="3">
        <f>'Historical Financials'!AC8</f>
        <v>44835</v>
      </c>
      <c r="L4" s="3">
        <f>'Historical Financials'!AD8</f>
        <v>44926</v>
      </c>
      <c r="M4" s="3">
        <f>'Historical Financials'!AE8</f>
        <v>45017</v>
      </c>
      <c r="N4" s="3">
        <f>'Historical Financials'!AF8</f>
        <v>45108</v>
      </c>
      <c r="O4" s="3">
        <f>'Historical Financials'!AG8</f>
        <v>45199</v>
      </c>
      <c r="P4" s="3">
        <f>'Historical Financials'!AH8</f>
        <v>45291</v>
      </c>
      <c r="Q4" s="3">
        <f>'Historical Financials'!AI8</f>
        <v>45381</v>
      </c>
      <c r="R4" s="3">
        <f>'Historical Financials'!AJ8</f>
        <v>45472</v>
      </c>
      <c r="S4" s="3">
        <f>'Historical Financials'!AK8</f>
        <v>45563</v>
      </c>
      <c r="T4" s="3">
        <f>'Historical Financials'!AL8</f>
        <v>45657</v>
      </c>
      <c r="U4" s="3">
        <f>'Historical Financials'!AM8</f>
        <v>45745</v>
      </c>
      <c r="V4" s="3">
        <f>'Historical Financials'!AN8</f>
        <v>45836</v>
      </c>
      <c r="W4" s="3">
        <f>'Historical Financials'!AO8</f>
        <v>45927</v>
      </c>
      <c r="X4" s="3"/>
      <c r="Y4" s="3">
        <f>K4</f>
        <v>44835</v>
      </c>
      <c r="Z4" s="3">
        <f>L4</f>
        <v>44926</v>
      </c>
      <c r="AA4" s="3">
        <f>M4</f>
        <v>45017</v>
      </c>
      <c r="AB4" s="3">
        <f>N4</f>
        <v>45108</v>
      </c>
      <c r="AC4" s="3">
        <f>O4</f>
        <v>45199</v>
      </c>
      <c r="AD4" s="3">
        <f>P4</f>
        <v>45291</v>
      </c>
      <c r="AE4" s="3">
        <f>Q4</f>
        <v>45381</v>
      </c>
      <c r="AF4" s="3">
        <f>R4</f>
        <v>45472</v>
      </c>
      <c r="AG4" s="3">
        <f>S4</f>
        <v>45563</v>
      </c>
      <c r="AH4" s="3">
        <f>T4</f>
        <v>45657</v>
      </c>
      <c r="AI4" s="3">
        <f>U4</f>
        <v>45745</v>
      </c>
      <c r="AJ4" s="3">
        <f>V4</f>
        <v>45836</v>
      </c>
      <c r="AK4" s="3">
        <f>W4</f>
        <v>45927</v>
      </c>
      <c r="AL4" s="3"/>
      <c r="AM4" s="500"/>
    </row>
    <row r="5" spans="2:39" ht="5.0999999999999996" customHeight="1">
      <c r="AM5" s="487"/>
    </row>
    <row r="6" spans="2:39" ht="12.75" customHeight="1">
      <c r="B6" s="10" t="str">
        <f>'Revenue Drivers'!B7</f>
        <v>Retail</v>
      </c>
      <c r="C6" s="181">
        <f>'Revenue Drivers'!E7</f>
        <v>300583</v>
      </c>
      <c r="D6" s="181">
        <f>'Revenue Drivers'!F7</f>
        <v>324843</v>
      </c>
      <c r="E6" s="181">
        <f>'Revenue Drivers'!G7</f>
        <v>295651</v>
      </c>
      <c r="F6" s="181">
        <f>'Revenue Drivers'!H7</f>
        <v>216963</v>
      </c>
      <c r="G6" s="181">
        <f>'Revenue Drivers'!I7</f>
        <v>210595</v>
      </c>
      <c r="H6" s="11"/>
      <c r="I6" s="181">
        <f>'Revenue Drivers'!K7</f>
        <v>84397</v>
      </c>
      <c r="J6" s="181">
        <f>'Revenue Drivers'!L7</f>
        <v>102553</v>
      </c>
      <c r="K6" s="181">
        <f>'Revenue Drivers'!M7</f>
        <v>56372</v>
      </c>
      <c r="L6" s="181">
        <f>'Revenue Drivers'!N7</f>
        <v>52329</v>
      </c>
      <c r="M6" s="181">
        <f>'Revenue Drivers'!O7</f>
        <v>58448</v>
      </c>
      <c r="N6" s="181">
        <f>'Revenue Drivers'!P7</f>
        <v>68485</v>
      </c>
      <c r="O6" s="181">
        <f>'Revenue Drivers'!Q7</f>
        <v>44671</v>
      </c>
      <c r="P6" s="181">
        <f>'Revenue Drivers'!R7</f>
        <v>45359</v>
      </c>
      <c r="Q6" s="181">
        <f>'Revenue Drivers'!S7</f>
        <v>49666</v>
      </c>
      <c r="R6" s="181">
        <f>'Revenue Drivers'!T7</f>
        <v>62454</v>
      </c>
      <c r="S6" s="181">
        <f>'Revenue Drivers'!U7</f>
        <v>51534</v>
      </c>
      <c r="T6" s="181">
        <f>'Revenue Drivers'!V7</f>
        <v>46941</v>
      </c>
      <c r="U6" s="181">
        <f>'Revenue Drivers'!W7</f>
        <v>44042</v>
      </c>
      <c r="V6" s="181">
        <f>'Revenue Drivers'!X7</f>
        <v>48776</v>
      </c>
      <c r="W6" s="181">
        <f>'Revenue Drivers'!Y7</f>
        <v>44347</v>
      </c>
      <c r="X6" s="5"/>
      <c r="Y6" s="11">
        <f>SUM(H6:K6)</f>
        <v>243322</v>
      </c>
      <c r="Z6" s="11">
        <f>SUM(I6:L6)</f>
        <v>295651</v>
      </c>
      <c r="AA6" s="11">
        <f>SUM(J6:M6)</f>
        <v>269702</v>
      </c>
      <c r="AB6" s="11">
        <f>SUM(K6:N6)</f>
        <v>235634</v>
      </c>
      <c r="AC6" s="11">
        <f>SUM(L6:O6)</f>
        <v>223933</v>
      </c>
      <c r="AD6" s="11">
        <f>SUM(M6:P6)</f>
        <v>216963</v>
      </c>
      <c r="AE6" s="11">
        <f>SUM(N6:Q6)</f>
        <v>208181</v>
      </c>
      <c r="AF6" s="11">
        <f>SUM(O6:R6)</f>
        <v>202150</v>
      </c>
      <c r="AG6" s="11">
        <f>SUM(P6:S6)</f>
        <v>209013</v>
      </c>
      <c r="AH6" s="11">
        <f>SUM(Q6:T6)</f>
        <v>210595</v>
      </c>
      <c r="AI6" s="11">
        <f>SUM(R6:U6)</f>
        <v>204971</v>
      </c>
      <c r="AJ6" s="11">
        <f>SUM(S6:V6)</f>
        <v>191293</v>
      </c>
      <c r="AK6" s="11">
        <f>SUM(T6:W6)</f>
        <v>184106</v>
      </c>
      <c r="AM6" s="488">
        <f>SUM(AK6/AG6)-1</f>
        <v>-0.11916483663695565</v>
      </c>
    </row>
    <row r="7" spans="2:39" ht="12.75" customHeight="1">
      <c r="B7" s="10" t="str">
        <f>'Revenue Drivers'!B8</f>
        <v>Foodservice</v>
      </c>
      <c r="C7" s="181">
        <f>'Revenue Drivers'!E8</f>
        <v>106202</v>
      </c>
      <c r="D7" s="181">
        <f>'Revenue Drivers'!F8</f>
        <v>139857</v>
      </c>
      <c r="E7" s="181">
        <f>'Revenue Drivers'!G8</f>
        <v>123282</v>
      </c>
      <c r="F7" s="181">
        <f>'Revenue Drivers'!H8</f>
        <v>126413</v>
      </c>
      <c r="G7" s="181">
        <f>'Revenue Drivers'!I8</f>
        <v>115857</v>
      </c>
      <c r="H7" s="11"/>
      <c r="I7" s="181">
        <f>'Revenue Drivers'!K8</f>
        <v>25058</v>
      </c>
      <c r="J7" s="181">
        <f>'Revenue Drivers'!L8</f>
        <v>44487</v>
      </c>
      <c r="K7" s="181">
        <f>'Revenue Drivers'!M8</f>
        <v>26128</v>
      </c>
      <c r="L7" s="181">
        <f>'Revenue Drivers'!N8</f>
        <v>27609</v>
      </c>
      <c r="M7" s="181">
        <f>'Revenue Drivers'!O8</f>
        <v>33788</v>
      </c>
      <c r="N7" s="181">
        <f>'Revenue Drivers'!P8</f>
        <v>33664</v>
      </c>
      <c r="O7" s="181">
        <f>'Revenue Drivers'!Q8</f>
        <v>30641</v>
      </c>
      <c r="P7" s="181">
        <f>'Revenue Drivers'!R8</f>
        <v>28320</v>
      </c>
      <c r="Q7" s="181">
        <f>'Revenue Drivers'!S8</f>
        <v>25937</v>
      </c>
      <c r="R7" s="181">
        <f>'Revenue Drivers'!T8</f>
        <v>30731</v>
      </c>
      <c r="S7" s="181">
        <f>'Revenue Drivers'!U8</f>
        <v>29472</v>
      </c>
      <c r="T7" s="181">
        <f>'Revenue Drivers'!V8</f>
        <v>29717</v>
      </c>
      <c r="U7" s="181">
        <f>'Revenue Drivers'!W8</f>
        <v>24689</v>
      </c>
      <c r="V7" s="181">
        <f>'Revenue Drivers'!X8</f>
        <v>26182</v>
      </c>
      <c r="W7" s="181">
        <f>'Revenue Drivers'!Y8</f>
        <v>25871</v>
      </c>
      <c r="X7" s="5"/>
      <c r="Y7" s="11">
        <f>SUM(H7:K7)</f>
        <v>95673</v>
      </c>
      <c r="Z7" s="11">
        <f>SUM(I7:L7)</f>
        <v>123282</v>
      </c>
      <c r="AA7" s="11">
        <f>SUM(J7:M7)</f>
        <v>132012</v>
      </c>
      <c r="AB7" s="11">
        <f>SUM(K7:N7)</f>
        <v>121189</v>
      </c>
      <c r="AC7" s="11">
        <f>SUM(L7:O7)</f>
        <v>125702</v>
      </c>
      <c r="AD7" s="11">
        <f>SUM(M7:P7)</f>
        <v>126413</v>
      </c>
      <c r="AE7" s="11">
        <f>SUM(N7:Q7)</f>
        <v>118562</v>
      </c>
      <c r="AF7" s="11">
        <f>SUM(O7:R7)</f>
        <v>115629</v>
      </c>
      <c r="AG7" s="11">
        <f>SUM(P7:S7)</f>
        <v>114460</v>
      </c>
      <c r="AH7" s="11">
        <f>SUM(Q7:T7)</f>
        <v>115857</v>
      </c>
      <c r="AI7" s="11">
        <f>SUM(R7:U7)</f>
        <v>114609</v>
      </c>
      <c r="AJ7" s="11">
        <f>SUM(S7:V7)</f>
        <v>110060</v>
      </c>
      <c r="AK7" s="11">
        <f>SUM(T7:W7)</f>
        <v>106459</v>
      </c>
      <c r="AM7" s="488">
        <f>SUM(AK7/AG7)-1</f>
        <v>-6.9902149222435761E-2</v>
      </c>
    </row>
    <row r="8" spans="2:39" ht="12.75" customHeight="1">
      <c r="B8" s="14" t="s">
        <v>13</v>
      </c>
      <c r="C8" s="15">
        <f>SUM(C6:C7)</f>
        <v>406785</v>
      </c>
      <c r="D8" s="15">
        <f>SUM(D6:D7)</f>
        <v>464700</v>
      </c>
      <c r="E8" s="15">
        <f>SUM(E6:E7)</f>
        <v>418933</v>
      </c>
      <c r="F8" s="15">
        <f>SUM(F6:F7)</f>
        <v>343376</v>
      </c>
      <c r="G8" s="15">
        <f>SUM(G6:G7)</f>
        <v>326452</v>
      </c>
      <c r="H8" s="11"/>
      <c r="I8" s="15">
        <f t="shared" ref="I8:V8" si="0">SUM(I6:I7)</f>
        <v>109455</v>
      </c>
      <c r="J8" s="15">
        <f t="shared" si="0"/>
        <v>147040</v>
      </c>
      <c r="K8" s="15">
        <f t="shared" si="0"/>
        <v>82500</v>
      </c>
      <c r="L8" s="15">
        <f t="shared" si="0"/>
        <v>79938</v>
      </c>
      <c r="M8" s="15">
        <f t="shared" si="0"/>
        <v>92236</v>
      </c>
      <c r="N8" s="15">
        <f t="shared" si="0"/>
        <v>102149</v>
      </c>
      <c r="O8" s="15">
        <f t="shared" si="0"/>
        <v>75312</v>
      </c>
      <c r="P8" s="15">
        <f t="shared" si="0"/>
        <v>73679</v>
      </c>
      <c r="Q8" s="15">
        <f t="shared" si="0"/>
        <v>75603</v>
      </c>
      <c r="R8" s="15">
        <f t="shared" si="0"/>
        <v>93185</v>
      </c>
      <c r="S8" s="15">
        <f t="shared" si="0"/>
        <v>81006</v>
      </c>
      <c r="T8" s="15">
        <f t="shared" si="0"/>
        <v>76658</v>
      </c>
      <c r="U8" s="15">
        <f t="shared" si="0"/>
        <v>68731</v>
      </c>
      <c r="V8" s="15">
        <f t="shared" si="0"/>
        <v>74958</v>
      </c>
      <c r="W8" s="15">
        <f t="shared" ref="W8" si="1">SUM(W6:W7)</f>
        <v>70218</v>
      </c>
      <c r="X8" s="5"/>
      <c r="Y8" s="15">
        <f t="shared" ref="Y8:AI8" si="2">SUM(Y6:Y7)</f>
        <v>338995</v>
      </c>
      <c r="Z8" s="15">
        <f t="shared" si="2"/>
        <v>418933</v>
      </c>
      <c r="AA8" s="15">
        <f t="shared" si="2"/>
        <v>401714</v>
      </c>
      <c r="AB8" s="15">
        <f t="shared" si="2"/>
        <v>356823</v>
      </c>
      <c r="AC8" s="15">
        <f t="shared" si="2"/>
        <v>349635</v>
      </c>
      <c r="AD8" s="15">
        <f t="shared" si="2"/>
        <v>343376</v>
      </c>
      <c r="AE8" s="15">
        <f t="shared" si="2"/>
        <v>326743</v>
      </c>
      <c r="AF8" s="15">
        <f t="shared" si="2"/>
        <v>317779</v>
      </c>
      <c r="AG8" s="15">
        <f t="shared" si="2"/>
        <v>323473</v>
      </c>
      <c r="AH8" s="15">
        <f t="shared" si="2"/>
        <v>326452</v>
      </c>
      <c r="AI8" s="15">
        <f t="shared" si="2"/>
        <v>319580</v>
      </c>
      <c r="AJ8" s="15">
        <f>SUM(AJ6:AJ7)</f>
        <v>301353</v>
      </c>
      <c r="AK8" s="15">
        <f>SUM(AK6:AK7)</f>
        <v>290565</v>
      </c>
      <c r="AM8" s="489">
        <f>SUM(AK8/AG8)-1</f>
        <v>-0.10173337496483481</v>
      </c>
    </row>
    <row r="9" spans="2:39" ht="12.75" customHeight="1">
      <c r="B9" s="17" t="s">
        <v>46</v>
      </c>
      <c r="C9" s="18"/>
      <c r="D9" s="19">
        <f>SUM(D8/C8)-1</f>
        <v>0.14237250636085408</v>
      </c>
      <c r="E9" s="19">
        <f>SUM(E8/D8)-1</f>
        <v>-9.8487196040456193E-2</v>
      </c>
      <c r="F9" s="19">
        <f>SUM(F8/E8)-1</f>
        <v>-0.18035580868539836</v>
      </c>
      <c r="G9" s="19">
        <f>SUM(G8/F8)-1</f>
        <v>-4.9287078887283897E-2</v>
      </c>
      <c r="H9" s="12"/>
      <c r="I9" s="18"/>
      <c r="J9" s="18"/>
      <c r="K9" s="18"/>
      <c r="L9" s="18"/>
      <c r="M9" s="19">
        <f>SUM(M8/I8)-1</f>
        <v>-0.15731579187794076</v>
      </c>
      <c r="N9" s="19">
        <f t="shared" ref="N9:W9" si="3">SUM(N8/J8)-1</f>
        <v>-0.30529787812840048</v>
      </c>
      <c r="O9" s="19">
        <f t="shared" si="3"/>
        <v>-8.712727272727272E-2</v>
      </c>
      <c r="P9" s="19">
        <f t="shared" si="3"/>
        <v>-7.8298181090345031E-2</v>
      </c>
      <c r="Q9" s="19">
        <f t="shared" si="3"/>
        <v>-0.18033089032481897</v>
      </c>
      <c r="R9" s="19">
        <f t="shared" si="3"/>
        <v>-8.7754163036348865E-2</v>
      </c>
      <c r="S9" s="19">
        <f t="shared" si="3"/>
        <v>7.5605481198215418E-2</v>
      </c>
      <c r="T9" s="19">
        <f t="shared" si="3"/>
        <v>4.0432144844528395E-2</v>
      </c>
      <c r="U9" s="19">
        <f t="shared" si="3"/>
        <v>-9.0895863920743891E-2</v>
      </c>
      <c r="V9" s="19">
        <f t="shared" si="3"/>
        <v>-0.19560015023877231</v>
      </c>
      <c r="W9" s="19">
        <f t="shared" si="3"/>
        <v>-0.13317532034664104</v>
      </c>
      <c r="X9" s="5"/>
      <c r="Y9" s="471"/>
      <c r="Z9" s="471"/>
      <c r="AA9" s="471"/>
      <c r="AB9" s="471"/>
      <c r="AC9" s="19">
        <f t="shared" ref="AC9:AK9" si="4">SUM(AC8/Y8)-1</f>
        <v>3.1386893612000089E-2</v>
      </c>
      <c r="AD9" s="19">
        <f t="shared" si="4"/>
        <v>-0.18035580868539836</v>
      </c>
      <c r="AE9" s="19">
        <f t="shared" si="4"/>
        <v>-0.18662779987752476</v>
      </c>
      <c r="AF9" s="19">
        <f t="shared" si="4"/>
        <v>-0.10942119762459257</v>
      </c>
      <c r="AG9" s="19">
        <f t="shared" si="4"/>
        <v>-7.4826604887954562E-2</v>
      </c>
      <c r="AH9" s="19">
        <f t="shared" si="4"/>
        <v>-4.9287078887283897E-2</v>
      </c>
      <c r="AI9" s="19">
        <f t="shared" si="4"/>
        <v>-2.1922428330522714E-2</v>
      </c>
      <c r="AJ9" s="19">
        <f t="shared" si="4"/>
        <v>-5.1690010982475276E-2</v>
      </c>
      <c r="AK9" s="19">
        <f t="shared" si="4"/>
        <v>-0.10173337496483481</v>
      </c>
      <c r="AM9" s="490">
        <f>SUM(AK9-AG9)*10000</f>
        <v>-269.06770076880247</v>
      </c>
    </row>
    <row r="10" spans="2:39" ht="12.75" customHeight="1">
      <c r="B10" s="17" t="s">
        <v>47</v>
      </c>
      <c r="C10" s="19" t="s">
        <v>48</v>
      </c>
      <c r="D10" s="19" t="s">
        <v>48</v>
      </c>
      <c r="E10" s="19" t="s">
        <v>48</v>
      </c>
      <c r="F10" s="19" t="s">
        <v>48</v>
      </c>
      <c r="G10" s="19" t="s">
        <v>48</v>
      </c>
      <c r="H10" s="12"/>
      <c r="I10" s="18"/>
      <c r="J10" s="19">
        <f>SUM(J8/I8)-1</f>
        <v>0.34338312548535921</v>
      </c>
      <c r="K10" s="19">
        <f t="shared" ref="K10:W10" si="5">SUM(K8/J8)-1</f>
        <v>-0.43892818280739931</v>
      </c>
      <c r="L10" s="19">
        <f t="shared" si="5"/>
        <v>-3.1054545454545446E-2</v>
      </c>
      <c r="M10" s="19">
        <f t="shared" si="5"/>
        <v>0.15384422927769026</v>
      </c>
      <c r="N10" s="19">
        <f t="shared" si="5"/>
        <v>0.1074743050435838</v>
      </c>
      <c r="O10" s="19">
        <f t="shared" si="5"/>
        <v>-0.26272405995163928</v>
      </c>
      <c r="P10" s="19">
        <f t="shared" si="5"/>
        <v>-2.1683131506267217E-2</v>
      </c>
      <c r="Q10" s="19">
        <f t="shared" si="5"/>
        <v>2.6113275153028637E-2</v>
      </c>
      <c r="R10" s="19">
        <f t="shared" si="5"/>
        <v>0.23255690911736315</v>
      </c>
      <c r="S10" s="19">
        <f t="shared" si="5"/>
        <v>-0.13069700059022371</v>
      </c>
      <c r="T10" s="19">
        <f t="shared" si="5"/>
        <v>-5.3675036417055511E-2</v>
      </c>
      <c r="U10" s="19">
        <f t="shared" si="5"/>
        <v>-0.1034073416994965</v>
      </c>
      <c r="V10" s="19">
        <f t="shared" si="5"/>
        <v>9.0599583885000889E-2</v>
      </c>
      <c r="W10" s="19">
        <f t="shared" si="5"/>
        <v>-6.3235411830625199E-2</v>
      </c>
      <c r="X10" s="5"/>
      <c r="Y10" s="19" t="s">
        <v>48</v>
      </c>
      <c r="Z10" s="19" t="s">
        <v>48</v>
      </c>
      <c r="AA10" s="19" t="s">
        <v>48</v>
      </c>
      <c r="AB10" s="19" t="s">
        <v>48</v>
      </c>
      <c r="AC10" s="19" t="s">
        <v>48</v>
      </c>
      <c r="AD10" s="19" t="s">
        <v>48</v>
      </c>
      <c r="AE10" s="19" t="s">
        <v>48</v>
      </c>
      <c r="AF10" s="19" t="s">
        <v>48</v>
      </c>
      <c r="AG10" s="19" t="s">
        <v>48</v>
      </c>
      <c r="AH10" s="19" t="s">
        <v>48</v>
      </c>
      <c r="AI10" s="19" t="s">
        <v>48</v>
      </c>
      <c r="AJ10" s="19" t="s">
        <v>48</v>
      </c>
      <c r="AK10" s="19" t="s">
        <v>48</v>
      </c>
      <c r="AM10" s="487"/>
    </row>
    <row r="11" spans="2:39" ht="5.0999999999999996" customHeight="1">
      <c r="B11" s="20"/>
      <c r="C11" s="181"/>
      <c r="D11" s="21"/>
      <c r="E11" s="21"/>
      <c r="F11" s="21"/>
      <c r="G11" s="21"/>
      <c r="H11" s="22"/>
      <c r="I11" s="23"/>
      <c r="J11" s="23"/>
      <c r="K11" s="23"/>
      <c r="L11" s="24"/>
      <c r="M11" s="23"/>
      <c r="N11" s="23"/>
      <c r="O11" s="23"/>
      <c r="P11" s="24"/>
      <c r="Q11" s="23"/>
      <c r="R11" s="23"/>
      <c r="S11" s="23"/>
      <c r="T11" s="23"/>
      <c r="U11" s="23"/>
      <c r="V11" s="23"/>
      <c r="W11" s="23"/>
      <c r="X11" s="22"/>
      <c r="Y11" s="22"/>
      <c r="Z11" s="22"/>
      <c r="AA11" s="22"/>
      <c r="AB11" s="22"/>
      <c r="AC11" s="22"/>
      <c r="AD11" s="22"/>
      <c r="AE11" s="22"/>
      <c r="AF11" s="22"/>
      <c r="AG11" s="22"/>
      <c r="AH11" s="22"/>
      <c r="AI11" s="22"/>
      <c r="AJ11" s="22"/>
      <c r="AK11" s="22"/>
      <c r="AM11" s="487"/>
    </row>
    <row r="12" spans="2:39" ht="12.75" customHeight="1">
      <c r="B12" s="25" t="s">
        <v>49</v>
      </c>
      <c r="C12" s="181">
        <f>'Historical Financials'!E13</f>
        <v>-284510</v>
      </c>
      <c r="D12" s="181">
        <f>'Historical Financials'!F13</f>
        <v>-347419</v>
      </c>
      <c r="E12" s="181">
        <f>'Historical Financials'!G13</f>
        <v>-442676</v>
      </c>
      <c r="F12" s="181">
        <f>'Historical Financials'!H13</f>
        <v>-426031</v>
      </c>
      <c r="G12" s="181">
        <f>'Historical Financials'!I13</f>
        <v>-284753</v>
      </c>
      <c r="H12" s="11"/>
      <c r="I12" s="181">
        <f>'Historical Financials'!AA13</f>
        <v>-109265</v>
      </c>
      <c r="J12" s="181">
        <f>'Historical Financials'!AB13</f>
        <v>-153202</v>
      </c>
      <c r="K12" s="181">
        <f>'Historical Financials'!AC13</f>
        <v>-97340</v>
      </c>
      <c r="L12" s="181">
        <f>'Historical Financials'!AD13</f>
        <v>-82869</v>
      </c>
      <c r="M12" s="181">
        <f>'Historical Financials'!AE13</f>
        <v>-86051</v>
      </c>
      <c r="N12" s="181">
        <f>'Historical Financials'!AF13</f>
        <v>-99876</v>
      </c>
      <c r="O12" s="181">
        <f>'Historical Financials'!AG13</f>
        <v>-82566</v>
      </c>
      <c r="P12" s="181">
        <f>'Historical Financials'!AH13</f>
        <v>-157538</v>
      </c>
      <c r="Q12" s="181">
        <f>'Historical Financials'!AI13</f>
        <v>-71935</v>
      </c>
      <c r="R12" s="181">
        <f>'Historical Financials'!AJ13</f>
        <v>-79468</v>
      </c>
      <c r="S12" s="181">
        <f>'Historical Financials'!AK13</f>
        <v>-66698</v>
      </c>
      <c r="T12" s="181">
        <f>'Historical Financials'!AL13</f>
        <v>-66652</v>
      </c>
      <c r="U12" s="181">
        <f>'Historical Financials'!AM13</f>
        <v>-69796</v>
      </c>
      <c r="V12" s="181">
        <f>'Historical Financials'!AN13</f>
        <v>-66367</v>
      </c>
      <c r="W12" s="181">
        <f>'Historical Financials'!AO13</f>
        <v>-62988</v>
      </c>
      <c r="X12" s="5"/>
      <c r="Y12" s="11">
        <f>SUM(H12:K12)</f>
        <v>-359807</v>
      </c>
      <c r="Z12" s="11">
        <f>SUM(I12:L12)</f>
        <v>-442676</v>
      </c>
      <c r="AA12" s="11">
        <f>SUM(J12:M12)</f>
        <v>-419462</v>
      </c>
      <c r="AB12" s="11">
        <f>SUM(K12:N12)</f>
        <v>-366136</v>
      </c>
      <c r="AC12" s="11">
        <f>SUM(L12:O12)</f>
        <v>-351362</v>
      </c>
      <c r="AD12" s="11">
        <f>SUM(M12:P12)</f>
        <v>-426031</v>
      </c>
      <c r="AE12" s="11">
        <f>SUM(N12:Q12)</f>
        <v>-411915</v>
      </c>
      <c r="AF12" s="11">
        <f>SUM(O12:R12)</f>
        <v>-391507</v>
      </c>
      <c r="AG12" s="11">
        <f>SUM(P12:S12)</f>
        <v>-375639</v>
      </c>
      <c r="AH12" s="11">
        <f>SUM(Q12:T12)</f>
        <v>-284753</v>
      </c>
      <c r="AI12" s="11">
        <f>SUM(R12:U12)</f>
        <v>-282614</v>
      </c>
      <c r="AJ12" s="11">
        <f>SUM(S12:V12)</f>
        <v>-269513</v>
      </c>
      <c r="AK12" s="11">
        <f>SUM(T12:W12)</f>
        <v>-265803</v>
      </c>
      <c r="AM12" s="488">
        <f t="shared" ref="AM12:AM13" si="6">SUM(AK12/AG12)-1</f>
        <v>-0.29239775422679759</v>
      </c>
    </row>
    <row r="13" spans="2:39" ht="12.75" customHeight="1">
      <c r="B13" s="27" t="s">
        <v>31</v>
      </c>
      <c r="C13" s="28">
        <f>+C8+C12</f>
        <v>122275</v>
      </c>
      <c r="D13" s="28">
        <f>+D8+D12</f>
        <v>117281</v>
      </c>
      <c r="E13" s="28">
        <f>+E8+E12</f>
        <v>-23743</v>
      </c>
      <c r="F13" s="28">
        <f>+F8+F12</f>
        <v>-82655</v>
      </c>
      <c r="G13" s="28">
        <f>+G8+G12</f>
        <v>41699</v>
      </c>
      <c r="H13" s="5"/>
      <c r="I13" s="28">
        <f t="shared" ref="I13:V13" si="7">+I8+I12</f>
        <v>190</v>
      </c>
      <c r="J13" s="28">
        <f t="shared" si="7"/>
        <v>-6162</v>
      </c>
      <c r="K13" s="28">
        <f t="shared" si="7"/>
        <v>-14840</v>
      </c>
      <c r="L13" s="28">
        <f t="shared" si="7"/>
        <v>-2931</v>
      </c>
      <c r="M13" s="28">
        <f t="shared" si="7"/>
        <v>6185</v>
      </c>
      <c r="N13" s="28">
        <f t="shared" si="7"/>
        <v>2273</v>
      </c>
      <c r="O13" s="28">
        <f t="shared" si="7"/>
        <v>-7254</v>
      </c>
      <c r="P13" s="28">
        <f t="shared" si="7"/>
        <v>-83859</v>
      </c>
      <c r="Q13" s="28">
        <f t="shared" si="7"/>
        <v>3668</v>
      </c>
      <c r="R13" s="28">
        <f t="shared" si="7"/>
        <v>13717</v>
      </c>
      <c r="S13" s="28">
        <f t="shared" si="7"/>
        <v>14308</v>
      </c>
      <c r="T13" s="28">
        <f t="shared" si="7"/>
        <v>10006</v>
      </c>
      <c r="U13" s="28">
        <f t="shared" si="7"/>
        <v>-1065</v>
      </c>
      <c r="V13" s="28">
        <f t="shared" si="7"/>
        <v>8591</v>
      </c>
      <c r="W13" s="28">
        <f t="shared" ref="W13" si="8">+W8+W12</f>
        <v>7230</v>
      </c>
      <c r="X13" s="5"/>
      <c r="Y13" s="28">
        <f t="shared" ref="Y13:AI13" si="9">+Y8+Y12</f>
        <v>-20812</v>
      </c>
      <c r="Z13" s="28">
        <f t="shared" si="9"/>
        <v>-23743</v>
      </c>
      <c r="AA13" s="28">
        <f t="shared" si="9"/>
        <v>-17748</v>
      </c>
      <c r="AB13" s="28">
        <f t="shared" si="9"/>
        <v>-9313</v>
      </c>
      <c r="AC13" s="28">
        <f t="shared" si="9"/>
        <v>-1727</v>
      </c>
      <c r="AD13" s="28">
        <f t="shared" si="9"/>
        <v>-82655</v>
      </c>
      <c r="AE13" s="28">
        <f t="shared" si="9"/>
        <v>-85172</v>
      </c>
      <c r="AF13" s="28">
        <f t="shared" si="9"/>
        <v>-73728</v>
      </c>
      <c r="AG13" s="28">
        <f t="shared" si="9"/>
        <v>-52166</v>
      </c>
      <c r="AH13" s="28">
        <f t="shared" si="9"/>
        <v>41699</v>
      </c>
      <c r="AI13" s="28">
        <f t="shared" si="9"/>
        <v>36966</v>
      </c>
      <c r="AJ13" s="28">
        <f>+AJ8+AJ12</f>
        <v>31840</v>
      </c>
      <c r="AK13" s="28">
        <f>+AK8+AK12</f>
        <v>24762</v>
      </c>
      <c r="AM13" s="489">
        <f t="shared" si="6"/>
        <v>-1.4746769926772227</v>
      </c>
    </row>
    <row r="14" spans="2:39" ht="12.75" customHeight="1">
      <c r="B14" s="17" t="s">
        <v>50</v>
      </c>
      <c r="C14" s="19">
        <f>C13/C8</f>
        <v>0.30058876310581756</v>
      </c>
      <c r="D14" s="19">
        <f>D13/D8</f>
        <v>0.25238003012696364</v>
      </c>
      <c r="E14" s="19">
        <f>E13/E8</f>
        <v>-5.6674933700615611E-2</v>
      </c>
      <c r="F14" s="19">
        <f>F13/F8</f>
        <v>-0.24071280462233818</v>
      </c>
      <c r="G14" s="19">
        <f>G13/G8</f>
        <v>0.1277339394459216</v>
      </c>
      <c r="H14" s="29"/>
      <c r="I14" s="19">
        <f t="shared" ref="I14:V14" si="10">I13/I8</f>
        <v>1.7358731898953908E-3</v>
      </c>
      <c r="J14" s="19">
        <f t="shared" si="10"/>
        <v>-4.1906964091403702E-2</v>
      </c>
      <c r="K14" s="19">
        <f t="shared" si="10"/>
        <v>-0.17987878787878789</v>
      </c>
      <c r="L14" s="19">
        <f t="shared" si="10"/>
        <v>-3.6665916084965847E-2</v>
      </c>
      <c r="M14" s="19">
        <f t="shared" si="10"/>
        <v>6.7056247018517715E-2</v>
      </c>
      <c r="N14" s="19">
        <f t="shared" si="10"/>
        <v>2.2251808632487838E-2</v>
      </c>
      <c r="O14" s="19">
        <f t="shared" si="10"/>
        <v>-9.6319311663479928E-2</v>
      </c>
      <c r="P14" s="19">
        <f t="shared" si="10"/>
        <v>-1.1381669132317214</v>
      </c>
      <c r="Q14" s="19">
        <f t="shared" si="10"/>
        <v>4.8516593256881339E-2</v>
      </c>
      <c r="R14" s="19">
        <f t="shared" si="10"/>
        <v>0.14720180286526802</v>
      </c>
      <c r="S14" s="19">
        <f t="shared" si="10"/>
        <v>0.17662889168703552</v>
      </c>
      <c r="T14" s="19">
        <f t="shared" si="10"/>
        <v>0.13052779879464635</v>
      </c>
      <c r="U14" s="19">
        <f t="shared" si="10"/>
        <v>-1.5495191398350089E-2</v>
      </c>
      <c r="V14" s="19">
        <f t="shared" si="10"/>
        <v>0.11461084874196216</v>
      </c>
      <c r="W14" s="19">
        <f t="shared" ref="W14" si="11">W13/W8</f>
        <v>0.10296505169614628</v>
      </c>
      <c r="X14" s="30"/>
      <c r="Y14" s="19">
        <f t="shared" ref="Y14:AI14" si="12">Y13/Y8</f>
        <v>-6.1393235888434934E-2</v>
      </c>
      <c r="Z14" s="19">
        <f t="shared" si="12"/>
        <v>-5.6674933700615611E-2</v>
      </c>
      <c r="AA14" s="19">
        <f t="shared" si="12"/>
        <v>-4.418068576151192E-2</v>
      </c>
      <c r="AB14" s="19">
        <f t="shared" si="12"/>
        <v>-2.6099774958452792E-2</v>
      </c>
      <c r="AC14" s="19">
        <f t="shared" si="12"/>
        <v>-4.9394368412773318E-3</v>
      </c>
      <c r="AD14" s="19">
        <f t="shared" si="12"/>
        <v>-0.24071280462233818</v>
      </c>
      <c r="AE14" s="19">
        <f t="shared" si="12"/>
        <v>-0.26066970065158246</v>
      </c>
      <c r="AF14" s="19">
        <f t="shared" si="12"/>
        <v>-0.23201029646389473</v>
      </c>
      <c r="AG14" s="19">
        <f t="shared" si="12"/>
        <v>-0.16126848299548957</v>
      </c>
      <c r="AH14" s="19">
        <f t="shared" si="12"/>
        <v>0.1277339394459216</v>
      </c>
      <c r="AI14" s="19">
        <f t="shared" si="12"/>
        <v>0.11567056762000125</v>
      </c>
      <c r="AJ14" s="19">
        <f>AJ13/AJ8</f>
        <v>0.10565682107030626</v>
      </c>
      <c r="AK14" s="19">
        <f>AK13/AK8</f>
        <v>8.5220174487636163E-2</v>
      </c>
      <c r="AM14" s="490">
        <f>SUM(AK14-AG14)*10000</f>
        <v>2464.8865748312573</v>
      </c>
    </row>
    <row r="15" spans="2:39" ht="5.0999999999999996" customHeight="1">
      <c r="B15" s="31"/>
      <c r="C15" s="32"/>
      <c r="D15" s="32"/>
      <c r="E15" s="32"/>
      <c r="F15" s="32"/>
      <c r="G15" s="32"/>
      <c r="H15" s="32"/>
      <c r="I15" s="32"/>
      <c r="J15" s="32"/>
      <c r="K15" s="32"/>
      <c r="L15" s="32"/>
      <c r="M15" s="32"/>
      <c r="N15" s="32"/>
      <c r="O15" s="32"/>
      <c r="P15" s="32"/>
      <c r="Q15" s="32"/>
      <c r="R15" s="32"/>
      <c r="S15" s="32"/>
      <c r="T15" s="32"/>
      <c r="U15" s="32"/>
      <c r="V15" s="32"/>
      <c r="W15" s="32"/>
      <c r="X15" s="5"/>
      <c r="Y15" s="32"/>
      <c r="Z15" s="32"/>
      <c r="AA15" s="32"/>
      <c r="AB15" s="32"/>
      <c r="AC15" s="32"/>
      <c r="AD15" s="32"/>
      <c r="AE15" s="32"/>
      <c r="AF15" s="32"/>
      <c r="AG15" s="32"/>
      <c r="AH15" s="32"/>
      <c r="AI15" s="32"/>
      <c r="AJ15" s="32"/>
      <c r="AK15" s="32"/>
      <c r="AM15" s="487"/>
    </row>
    <row r="16" spans="2:39" ht="12.75" customHeight="1">
      <c r="B16" s="25" t="s">
        <v>269</v>
      </c>
      <c r="C16" s="181">
        <f>'Historical Financials'!E17</f>
        <v>-133655</v>
      </c>
      <c r="D16" s="181">
        <f>'Historical Financials'!F17</f>
        <v>-209474</v>
      </c>
      <c r="E16" s="181">
        <f>'Historical Financials'!G17</f>
        <v>-239505</v>
      </c>
      <c r="F16" s="181">
        <f>'Historical Financials'!H17</f>
        <v>-220344</v>
      </c>
      <c r="G16" s="181">
        <f>'Historical Financials'!I17</f>
        <v>-169674</v>
      </c>
      <c r="H16" s="181"/>
      <c r="I16" s="181">
        <f>'Historical Financials'!AA17</f>
        <v>-75114</v>
      </c>
      <c r="J16" s="181">
        <f>'Historical Financials'!AB17</f>
        <v>-63015</v>
      </c>
      <c r="K16" s="181">
        <f>'Historical Financials'!AC17</f>
        <v>-54495</v>
      </c>
      <c r="L16" s="181">
        <f>'Historical Financials'!AD17</f>
        <v>-46881</v>
      </c>
      <c r="M16" s="181">
        <f>'Historical Financials'!AE17</f>
        <v>-51900</v>
      </c>
      <c r="N16" s="181">
        <f>'Historical Financials'!AF17</f>
        <v>-47455</v>
      </c>
      <c r="O16" s="181">
        <f>'Historical Financials'!AG17</f>
        <v>-53252</v>
      </c>
      <c r="P16" s="181">
        <f>'Historical Financials'!AH17</f>
        <v>-67737</v>
      </c>
      <c r="Q16" s="181">
        <f>'Historical Financials'!AI17</f>
        <v>-47282</v>
      </c>
      <c r="R16" s="181">
        <f>'Historical Financials'!AJ17</f>
        <v>-42163</v>
      </c>
      <c r="S16" s="181">
        <f>'Historical Financials'!AK17</f>
        <v>-39084</v>
      </c>
      <c r="T16" s="181">
        <f>'Historical Financials'!AL17</f>
        <v>-41145</v>
      </c>
      <c r="U16" s="181">
        <f>'Historical Financials'!AM17</f>
        <v>-47672</v>
      </c>
      <c r="V16" s="181">
        <f>'Historical Financials'!AN17</f>
        <v>-37696</v>
      </c>
      <c r="W16" s="181">
        <f>'Historical Financials'!AO17</f>
        <v>-37230</v>
      </c>
      <c r="X16" s="5"/>
      <c r="Y16" s="11">
        <f>SUM(H16:K16)</f>
        <v>-192624</v>
      </c>
      <c r="Z16" s="11">
        <f>SUM(I16:L16)</f>
        <v>-239505</v>
      </c>
      <c r="AA16" s="11">
        <f>SUM(J16:M16)</f>
        <v>-216291</v>
      </c>
      <c r="AB16" s="11">
        <f>SUM(K16:N16)</f>
        <v>-200731</v>
      </c>
      <c r="AC16" s="11">
        <f>SUM(L16:O16)</f>
        <v>-199488</v>
      </c>
      <c r="AD16" s="11">
        <f>SUM(M16:P16)</f>
        <v>-220344</v>
      </c>
      <c r="AE16" s="11">
        <f>SUM(N16:Q16)</f>
        <v>-215726</v>
      </c>
      <c r="AF16" s="11">
        <f>SUM(O16:R16)</f>
        <v>-210434</v>
      </c>
      <c r="AG16" s="11">
        <f>SUM(P16:S16)</f>
        <v>-196266</v>
      </c>
      <c r="AH16" s="11">
        <f>SUM(Q16:T16)</f>
        <v>-169674</v>
      </c>
      <c r="AI16" s="11">
        <f>SUM(R16:U16)</f>
        <v>-170064</v>
      </c>
      <c r="AJ16" s="11">
        <f>SUM(S16:V16)</f>
        <v>-165597</v>
      </c>
      <c r="AK16" s="11">
        <f>SUM(T16:W16)</f>
        <v>-163743</v>
      </c>
      <c r="AM16" s="488">
        <f t="shared" ref="AM16:AM18" si="13">SUM(AK16/AG16)-1</f>
        <v>-0.16570878297820302</v>
      </c>
    </row>
    <row r="17" spans="2:39" ht="12.75" customHeight="1">
      <c r="B17" s="25" t="s">
        <v>108</v>
      </c>
      <c r="C17" s="181">
        <f>'Historical Financials'!E18</f>
        <v>-31535</v>
      </c>
      <c r="D17" s="181">
        <f>'Historical Financials'!F18</f>
        <v>-66946</v>
      </c>
      <c r="E17" s="181">
        <f>'Historical Financials'!G18</f>
        <v>-62264</v>
      </c>
      <c r="F17" s="181">
        <f>'Historical Financials'!H18</f>
        <v>-39530</v>
      </c>
      <c r="G17" s="181">
        <f>'Historical Financials'!I18</f>
        <v>-28149</v>
      </c>
      <c r="H17" s="181"/>
      <c r="I17" s="181">
        <f>'Historical Financials'!AA18</f>
        <v>-19678</v>
      </c>
      <c r="J17" s="181">
        <f>'Historical Financials'!AB18</f>
        <v>-16202</v>
      </c>
      <c r="K17" s="181">
        <f>'Historical Financials'!AC18</f>
        <v>-13413</v>
      </c>
      <c r="L17" s="181">
        <f>'Historical Financials'!AD18</f>
        <v>-12971</v>
      </c>
      <c r="M17" s="181">
        <f>'Historical Financials'!AE18</f>
        <v>-12432</v>
      </c>
      <c r="N17" s="181">
        <f>'Historical Financials'!AF18</f>
        <v>-8773</v>
      </c>
      <c r="O17" s="181">
        <f>'Historical Financials'!AG18</f>
        <v>-9118</v>
      </c>
      <c r="P17" s="181">
        <f>'Historical Financials'!AH18</f>
        <v>-9207</v>
      </c>
      <c r="Q17" s="181">
        <f>'Historical Financials'!AI18</f>
        <v>-9860</v>
      </c>
      <c r="R17" s="181">
        <f>'Historical Financials'!AJ18</f>
        <v>-5485</v>
      </c>
      <c r="S17" s="181">
        <f>'Historical Financials'!AK18</f>
        <v>-6133</v>
      </c>
      <c r="T17" s="181">
        <f>'Historical Financials'!AL18</f>
        <v>-6671</v>
      </c>
      <c r="U17" s="181">
        <f>'Historical Financials'!AM18</f>
        <v>-7462</v>
      </c>
      <c r="V17" s="181">
        <f>'Historical Financials'!AN18</f>
        <v>-5807</v>
      </c>
      <c r="W17" s="181">
        <f>'Historical Financials'!AO18</f>
        <v>-4917</v>
      </c>
      <c r="X17" s="5"/>
      <c r="Y17" s="11">
        <f>SUM(H17:K17)</f>
        <v>-49293</v>
      </c>
      <c r="Z17" s="11">
        <f>SUM(I17:L17)</f>
        <v>-62264</v>
      </c>
      <c r="AA17" s="11">
        <f>SUM(J17:M17)</f>
        <v>-55018</v>
      </c>
      <c r="AB17" s="11">
        <f>SUM(K17:N17)</f>
        <v>-47589</v>
      </c>
      <c r="AC17" s="11">
        <f>SUM(L17:O17)</f>
        <v>-43294</v>
      </c>
      <c r="AD17" s="11">
        <f>SUM(M17:P17)</f>
        <v>-39530</v>
      </c>
      <c r="AE17" s="11">
        <f>SUM(N17:Q17)</f>
        <v>-36958</v>
      </c>
      <c r="AF17" s="11">
        <f>SUM(O17:R17)</f>
        <v>-33670</v>
      </c>
      <c r="AG17" s="11">
        <f>SUM(P17:S17)</f>
        <v>-30685</v>
      </c>
      <c r="AH17" s="11">
        <f>SUM(Q17:T17)</f>
        <v>-28149</v>
      </c>
      <c r="AI17" s="11">
        <f>SUM(R17:U17)</f>
        <v>-25751</v>
      </c>
      <c r="AJ17" s="11">
        <f>SUM(S17:V17)</f>
        <v>-26073</v>
      </c>
      <c r="AK17" s="11">
        <f>SUM(T17:W17)</f>
        <v>-24857</v>
      </c>
      <c r="AM17" s="488">
        <f t="shared" si="13"/>
        <v>-0.18992993319211338</v>
      </c>
    </row>
    <row r="18" spans="2:39" ht="12.75" customHeight="1">
      <c r="B18" s="25" t="s">
        <v>565</v>
      </c>
      <c r="C18" s="181">
        <f>'Historical Financials'!E19</f>
        <v>-6430</v>
      </c>
      <c r="D18" s="181">
        <f>'Historical Financials'!F19</f>
        <v>-15794</v>
      </c>
      <c r="E18" s="181">
        <f>'Historical Financials'!G19</f>
        <v>-17259</v>
      </c>
      <c r="F18" s="181">
        <f>'Historical Financials'!H19</f>
        <v>631</v>
      </c>
      <c r="G18" s="181">
        <f>'Historical Financials'!I19</f>
        <v>0</v>
      </c>
      <c r="H18" s="181"/>
      <c r="I18" s="181">
        <f>'Historical Financials'!AA19</f>
        <v>-3026</v>
      </c>
      <c r="J18" s="181">
        <f>'Historical Financials'!AB19</f>
        <v>-4302</v>
      </c>
      <c r="K18" s="181">
        <f>'Historical Financials'!AC19</f>
        <v>-6993</v>
      </c>
      <c r="L18" s="181">
        <f>'Historical Financials'!AD19</f>
        <v>-2938</v>
      </c>
      <c r="M18" s="181">
        <f>'Historical Financials'!AE19</f>
        <v>426</v>
      </c>
      <c r="N18" s="181">
        <f>'Historical Financials'!AF19</f>
        <v>201</v>
      </c>
      <c r="O18" s="181">
        <f>'Historical Financials'!AG19</f>
        <v>4</v>
      </c>
      <c r="P18" s="181">
        <f>'Historical Financials'!AH19</f>
        <v>0</v>
      </c>
      <c r="Q18" s="181">
        <f>'Historical Financials'!AI19</f>
        <v>0</v>
      </c>
      <c r="R18" s="181">
        <f>'Historical Financials'!AJ19</f>
        <v>0</v>
      </c>
      <c r="S18" s="181">
        <f>'Historical Financials'!AK19</f>
        <v>0</v>
      </c>
      <c r="T18" s="181">
        <f>'Historical Financials'!AL19</f>
        <v>0</v>
      </c>
      <c r="U18" s="181">
        <f>'Historical Financials'!AM19</f>
        <v>0</v>
      </c>
      <c r="V18" s="181">
        <f>'Historical Financials'!AN19</f>
        <v>0</v>
      </c>
      <c r="W18" s="181">
        <f>'Historical Financials'!AO19</f>
        <v>-77414</v>
      </c>
      <c r="X18" s="5"/>
      <c r="Y18" s="11">
        <f>SUM(H18:K18)</f>
        <v>-14321</v>
      </c>
      <c r="Z18" s="11">
        <f>SUM(I18:L18)</f>
        <v>-17259</v>
      </c>
      <c r="AA18" s="11">
        <f>SUM(J18:M18)</f>
        <v>-13807</v>
      </c>
      <c r="AB18" s="11">
        <f>SUM(K18:N18)</f>
        <v>-9304</v>
      </c>
      <c r="AC18" s="11">
        <f>SUM(L18:O18)</f>
        <v>-2307</v>
      </c>
      <c r="AD18" s="11">
        <f>SUM(M18:P18)</f>
        <v>631</v>
      </c>
      <c r="AE18" s="11">
        <f>SUM(N18:Q18)</f>
        <v>205</v>
      </c>
      <c r="AF18" s="11">
        <f>SUM(O18:R18)</f>
        <v>4</v>
      </c>
      <c r="AG18" s="11">
        <f>SUM(P18:S18)</f>
        <v>0</v>
      </c>
      <c r="AH18" s="11">
        <f>SUM(Q18:T18)</f>
        <v>0</v>
      </c>
      <c r="AI18" s="11">
        <f>SUM(R18:U18)</f>
        <v>0</v>
      </c>
      <c r="AJ18" s="11">
        <f>SUM(S18:V18)</f>
        <v>0</v>
      </c>
      <c r="AK18" s="11">
        <f>SUM(T18:W18)</f>
        <v>-77414</v>
      </c>
      <c r="AM18" s="488" t="e">
        <f t="shared" si="13"/>
        <v>#DIV/0!</v>
      </c>
    </row>
    <row r="19" spans="2:39" ht="12.75" customHeight="1">
      <c r="B19" s="14" t="s">
        <v>51</v>
      </c>
      <c r="C19" s="15">
        <f>SUM(C13+SUM(C16:C18))</f>
        <v>-49345</v>
      </c>
      <c r="D19" s="15">
        <f t="shared" ref="D19:G19" si="14">SUM(D13+SUM(D16:D18))</f>
        <v>-174933</v>
      </c>
      <c r="E19" s="15">
        <f t="shared" si="14"/>
        <v>-342771</v>
      </c>
      <c r="F19" s="15">
        <f t="shared" si="14"/>
        <v>-341898</v>
      </c>
      <c r="G19" s="15">
        <f t="shared" si="14"/>
        <v>-156124</v>
      </c>
      <c r="H19" s="12"/>
      <c r="I19" s="15">
        <f t="shared" ref="I19" si="15">SUM(I13+SUM(I16:I18))</f>
        <v>-97628</v>
      </c>
      <c r="J19" s="15">
        <f t="shared" ref="J19" si="16">SUM(J13+SUM(J16:J18))</f>
        <v>-89681</v>
      </c>
      <c r="K19" s="15">
        <f t="shared" ref="K19" si="17">SUM(K13+SUM(K16:K18))</f>
        <v>-89741</v>
      </c>
      <c r="L19" s="15">
        <f t="shared" ref="L19" si="18">SUM(L13+SUM(L16:L18))</f>
        <v>-65721</v>
      </c>
      <c r="M19" s="15">
        <f t="shared" ref="M19" si="19">SUM(M13+SUM(M16:M18))</f>
        <v>-57721</v>
      </c>
      <c r="N19" s="15">
        <f t="shared" ref="N19" si="20">SUM(N13+SUM(N16:N18))</f>
        <v>-53754</v>
      </c>
      <c r="O19" s="15">
        <f t="shared" ref="O19" si="21">SUM(O13+SUM(O16:O18))</f>
        <v>-69620</v>
      </c>
      <c r="P19" s="15">
        <f t="shared" ref="P19" si="22">SUM(P13+SUM(P16:P18))</f>
        <v>-160803</v>
      </c>
      <c r="Q19" s="15">
        <f t="shared" ref="Q19" si="23">SUM(Q13+SUM(Q16:Q18))</f>
        <v>-53474</v>
      </c>
      <c r="R19" s="15">
        <f t="shared" ref="R19" si="24">SUM(R13+SUM(R16:R18))</f>
        <v>-33931</v>
      </c>
      <c r="S19" s="15">
        <f t="shared" ref="S19" si="25">SUM(S13+SUM(S16:S18))</f>
        <v>-30909</v>
      </c>
      <c r="T19" s="15">
        <f t="shared" ref="T19" si="26">SUM(T13+SUM(T16:T18))</f>
        <v>-37810</v>
      </c>
      <c r="U19" s="15">
        <f t="shared" ref="U19" si="27">SUM(U13+SUM(U16:U18))</f>
        <v>-56199</v>
      </c>
      <c r="V19" s="15">
        <f t="shared" ref="V19" si="28">SUM(V13+SUM(V16:V18))</f>
        <v>-34912</v>
      </c>
      <c r="W19" s="15">
        <f t="shared" ref="W19" si="29">SUM(W13+SUM(W16:W18))</f>
        <v>-112331</v>
      </c>
      <c r="X19" s="5"/>
      <c r="Y19" s="15">
        <f t="shared" ref="Y19" si="30">SUM(Y13+SUM(Y16:Y18))</f>
        <v>-277050</v>
      </c>
      <c r="Z19" s="15">
        <f t="shared" ref="Z19" si="31">SUM(Z13+SUM(Z16:Z18))</f>
        <v>-342771</v>
      </c>
      <c r="AA19" s="15">
        <f t="shared" ref="AA19" si="32">SUM(AA13+SUM(AA16:AA18))</f>
        <v>-302864</v>
      </c>
      <c r="AB19" s="15">
        <f t="shared" ref="AB19" si="33">SUM(AB13+SUM(AB16:AB18))</f>
        <v>-266937</v>
      </c>
      <c r="AC19" s="15">
        <f t="shared" ref="AC19" si="34">SUM(AC13+SUM(AC16:AC18))</f>
        <v>-246816</v>
      </c>
      <c r="AD19" s="15">
        <f t="shared" ref="AD19" si="35">SUM(AD13+SUM(AD16:AD18))</f>
        <v>-341898</v>
      </c>
      <c r="AE19" s="15">
        <f t="shared" ref="AE19" si="36">SUM(AE13+SUM(AE16:AE18))</f>
        <v>-337651</v>
      </c>
      <c r="AF19" s="15">
        <f t="shared" ref="AF19" si="37">SUM(AF13+SUM(AF16:AF18))</f>
        <v>-317828</v>
      </c>
      <c r="AG19" s="15">
        <f t="shared" ref="AG19" si="38">SUM(AG13+SUM(AG16:AG18))</f>
        <v>-279117</v>
      </c>
      <c r="AH19" s="15">
        <f t="shared" ref="AH19" si="39">SUM(AH13+SUM(AH16:AH18))</f>
        <v>-156124</v>
      </c>
      <c r="AI19" s="15">
        <f t="shared" ref="AI19" si="40">SUM(AI13+SUM(AI16:AI18))</f>
        <v>-158849</v>
      </c>
      <c r="AJ19" s="15">
        <f t="shared" ref="AJ19:AK19" si="41">SUM(AJ13+SUM(AJ16:AJ18))</f>
        <v>-159830</v>
      </c>
      <c r="AK19" s="15">
        <f t="shared" si="41"/>
        <v>-241252</v>
      </c>
      <c r="AM19" s="489">
        <f t="shared" ref="AM19:AM20" si="42">SUM(AK19/AG19)-1</f>
        <v>-0.13565995621907656</v>
      </c>
    </row>
    <row r="20" spans="2:39" ht="12.75" customHeight="1">
      <c r="B20" s="17" t="s">
        <v>52</v>
      </c>
      <c r="C20" s="19">
        <f>C19/C8</f>
        <v>-0.12130486620696437</v>
      </c>
      <c r="D20" s="19">
        <f>D19/D8</f>
        <v>-0.37644286636539703</v>
      </c>
      <c r="E20" s="19">
        <f>E19/E8</f>
        <v>-0.81820004630812082</v>
      </c>
      <c r="F20" s="19">
        <f>F19/F8</f>
        <v>-0.9956956805367877</v>
      </c>
      <c r="G20" s="19">
        <f>G19/G8</f>
        <v>-0.47824488745665517</v>
      </c>
      <c r="H20" s="29"/>
      <c r="I20" s="19">
        <f>I19/I8</f>
        <v>-0.89194646201635375</v>
      </c>
      <c r="J20" s="19">
        <f>J19/J8</f>
        <v>-0.6099088683351469</v>
      </c>
      <c r="K20" s="19">
        <f>K19/K8</f>
        <v>-1.0877696969696971</v>
      </c>
      <c r="L20" s="19">
        <f>L19/L8</f>
        <v>-0.82214966599114314</v>
      </c>
      <c r="M20" s="19">
        <f>M19/M8</f>
        <v>-0.62579686890151354</v>
      </c>
      <c r="N20" s="19">
        <f>N19/N8</f>
        <v>-0.52623128958678012</v>
      </c>
      <c r="O20" s="19">
        <f>O19/O8</f>
        <v>-0.92442107499468873</v>
      </c>
      <c r="P20" s="19">
        <f>P19/P8</f>
        <v>-2.1824807611395376</v>
      </c>
      <c r="Q20" s="19">
        <f>Q19/Q8</f>
        <v>-0.70729997486872209</v>
      </c>
      <c r="R20" s="19">
        <f>R19/R8</f>
        <v>-0.36412512743467296</v>
      </c>
      <c r="S20" s="19">
        <f>S19/S8</f>
        <v>-0.38156432856825423</v>
      </c>
      <c r="T20" s="19">
        <f>T19/T8</f>
        <v>-0.4932296694408933</v>
      </c>
      <c r="U20" s="19">
        <f>U19/U8</f>
        <v>-0.81766597314166822</v>
      </c>
      <c r="V20" s="19">
        <f>V19/V8</f>
        <v>-0.46575415566050321</v>
      </c>
      <c r="W20" s="19">
        <f>W19/W8</f>
        <v>-1.5997465037454783</v>
      </c>
      <c r="X20" s="30"/>
      <c r="Y20" s="19">
        <f>Y19/Y8</f>
        <v>-0.81726869127863244</v>
      </c>
      <c r="Z20" s="19">
        <f>Z19/Z8</f>
        <v>-0.81820004630812082</v>
      </c>
      <c r="AA20" s="19">
        <f>AA19/AA8</f>
        <v>-0.75392941246757639</v>
      </c>
      <c r="AB20" s="19">
        <f>AB19/AB8</f>
        <v>-0.74809359262155184</v>
      </c>
      <c r="AC20" s="19">
        <f>AC19/AC8</f>
        <v>-0.70592475009652922</v>
      </c>
      <c r="AD20" s="19">
        <f>AD19/AD8</f>
        <v>-0.9956956805367877</v>
      </c>
      <c r="AE20" s="19">
        <f>AE19/AE8</f>
        <v>-1.0333840357712329</v>
      </c>
      <c r="AF20" s="19">
        <f>AF19/AF8</f>
        <v>-1.0001541952111372</v>
      </c>
      <c r="AG20" s="19">
        <f>AG19/AG8</f>
        <v>-0.86287572687674086</v>
      </c>
      <c r="AH20" s="19">
        <f>AH19/AH8</f>
        <v>-0.47824488745665517</v>
      </c>
      <c r="AI20" s="19">
        <f>AI19/AI8</f>
        <v>-0.49705551035734402</v>
      </c>
      <c r="AJ20" s="19">
        <f>AJ19/AJ8</f>
        <v>-0.53037467687396511</v>
      </c>
      <c r="AK20" s="19">
        <f>AK19/AK8</f>
        <v>-0.83028582244936588</v>
      </c>
      <c r="AM20" s="490">
        <f>SUM(AK20-AG20)*10000</f>
        <v>325.89904427374972</v>
      </c>
    </row>
    <row r="21" spans="2:39" ht="5.0999999999999996" customHeight="1">
      <c r="AM21" s="487"/>
    </row>
    <row r="22" spans="2:39" ht="12.75" customHeight="1">
      <c r="B22" s="33" t="s">
        <v>53</v>
      </c>
      <c r="C22" s="181">
        <f>'Historical Financials'!E101</f>
        <v>13299</v>
      </c>
      <c r="D22" s="181">
        <f>'Historical Financials'!F101</f>
        <v>21663</v>
      </c>
      <c r="E22" s="181">
        <f>'Historical Financials'!G101</f>
        <v>32582</v>
      </c>
      <c r="F22" s="181">
        <f>'Historical Financials'!H101</f>
        <v>48094</v>
      </c>
      <c r="G22" s="181">
        <f>'Historical Financials'!I101</f>
        <v>23121</v>
      </c>
      <c r="I22" s="181">
        <f>'Historical Financials'!AA101</f>
        <v>7091</v>
      </c>
      <c r="J22" s="181">
        <f>'Historical Financials'!AB101</f>
        <v>7729</v>
      </c>
      <c r="K22" s="181">
        <f>'Historical Financials'!AC101</f>
        <v>8435</v>
      </c>
      <c r="L22" s="181">
        <f>'Historical Financials'!AD101</f>
        <v>9327</v>
      </c>
      <c r="M22" s="181">
        <f>'Historical Financials'!AE101</f>
        <v>6049</v>
      </c>
      <c r="N22" s="181">
        <f>'Historical Financials'!AF101</f>
        <v>5879</v>
      </c>
      <c r="O22" s="181">
        <f>'Historical Financials'!AG101</f>
        <v>5779</v>
      </c>
      <c r="P22" s="181">
        <f>'Historical Financials'!AH101</f>
        <v>30387</v>
      </c>
      <c r="Q22" s="181">
        <f>'Historical Financials'!AI101</f>
        <v>6969</v>
      </c>
      <c r="R22" s="181">
        <f>'Historical Financials'!AJ101</f>
        <v>5213</v>
      </c>
      <c r="S22" s="181">
        <f>'Historical Financials'!AK101</f>
        <v>5282</v>
      </c>
      <c r="T22" s="181">
        <f>'Historical Financials'!AL101</f>
        <v>5657</v>
      </c>
      <c r="U22" s="181">
        <f>'Historical Financials'!AM101</f>
        <v>7416</v>
      </c>
      <c r="V22" s="181">
        <f>'Historical Financials'!AN101</f>
        <v>8266</v>
      </c>
      <c r="W22" s="181">
        <f>'Historical Financials'!AO101</f>
        <v>9361</v>
      </c>
      <c r="Y22" s="11">
        <f>SUM(H22:K22)</f>
        <v>23255</v>
      </c>
      <c r="Z22" s="11">
        <f>SUM(I22:L22)</f>
        <v>32582</v>
      </c>
      <c r="AA22" s="11">
        <f>SUM(J22:M22)</f>
        <v>31540</v>
      </c>
      <c r="AB22" s="11">
        <f>SUM(K22:N22)</f>
        <v>29690</v>
      </c>
      <c r="AC22" s="11">
        <f>SUM(L22:O22)</f>
        <v>27034</v>
      </c>
      <c r="AD22" s="11">
        <f>SUM(M22:P22)</f>
        <v>48094</v>
      </c>
      <c r="AE22" s="11">
        <f>SUM(N22:Q22)</f>
        <v>49014</v>
      </c>
      <c r="AF22" s="11">
        <f>SUM(O22:R22)</f>
        <v>48348</v>
      </c>
      <c r="AG22" s="11">
        <f>SUM(P22:S22)</f>
        <v>47851</v>
      </c>
      <c r="AH22" s="11">
        <f>SUM(Q22:T22)</f>
        <v>23121</v>
      </c>
      <c r="AI22" s="11">
        <f>SUM(R22:U22)</f>
        <v>23568</v>
      </c>
      <c r="AJ22" s="11">
        <f>SUM(S22:V22)</f>
        <v>26621</v>
      </c>
      <c r="AK22" s="11">
        <f>SUM(T22:W22)</f>
        <v>30700</v>
      </c>
      <c r="AM22" s="488">
        <f t="shared" ref="AM22:AM23" si="43">SUM(AK22/AG22)-1</f>
        <v>-0.35842511128294074</v>
      </c>
    </row>
    <row r="23" spans="2:39" ht="12.75" customHeight="1">
      <c r="B23" s="27" t="s">
        <v>11</v>
      </c>
      <c r="C23" s="28">
        <f>SUM(C19+C22)</f>
        <v>-36046</v>
      </c>
      <c r="D23" s="28">
        <f>SUM(D19+D22)</f>
        <v>-153270</v>
      </c>
      <c r="E23" s="28">
        <f>SUM(E19+E22)</f>
        <v>-310189</v>
      </c>
      <c r="F23" s="28">
        <f>SUM(F19+F22)</f>
        <v>-293804</v>
      </c>
      <c r="G23" s="28">
        <f>SUM(G19+G22)</f>
        <v>-133003</v>
      </c>
      <c r="I23" s="28">
        <f t="shared" ref="I23:R23" si="44">SUM(I19+I22)</f>
        <v>-90537</v>
      </c>
      <c r="J23" s="28">
        <f t="shared" si="44"/>
        <v>-81952</v>
      </c>
      <c r="K23" s="28">
        <f t="shared" si="44"/>
        <v>-81306</v>
      </c>
      <c r="L23" s="28">
        <f t="shared" si="44"/>
        <v>-56394</v>
      </c>
      <c r="M23" s="28">
        <f t="shared" si="44"/>
        <v>-51672</v>
      </c>
      <c r="N23" s="28">
        <f t="shared" si="44"/>
        <v>-47875</v>
      </c>
      <c r="O23" s="28">
        <f t="shared" si="44"/>
        <v>-63841</v>
      </c>
      <c r="P23" s="28">
        <f t="shared" si="44"/>
        <v>-130416</v>
      </c>
      <c r="Q23" s="28">
        <f t="shared" si="44"/>
        <v>-46505</v>
      </c>
      <c r="R23" s="28">
        <f t="shared" si="44"/>
        <v>-28718</v>
      </c>
      <c r="S23" s="28">
        <f>SUM(S19+S22)</f>
        <v>-25627</v>
      </c>
      <c r="T23" s="28">
        <f>SUM(T19+T22)</f>
        <v>-32153</v>
      </c>
      <c r="U23" s="28">
        <f>SUM(U19+U22)</f>
        <v>-48783</v>
      </c>
      <c r="V23" s="28">
        <f>SUM(V19+V22)</f>
        <v>-26646</v>
      </c>
      <c r="W23" s="28">
        <f>SUM(W19+W22)</f>
        <v>-102970</v>
      </c>
      <c r="Y23" s="28">
        <f t="shared" ref="Y23:AI23" si="45">SUM(Y19+Y22)</f>
        <v>-253795</v>
      </c>
      <c r="Z23" s="28">
        <f t="shared" si="45"/>
        <v>-310189</v>
      </c>
      <c r="AA23" s="28">
        <f t="shared" si="45"/>
        <v>-271324</v>
      </c>
      <c r="AB23" s="28">
        <f t="shared" si="45"/>
        <v>-237247</v>
      </c>
      <c r="AC23" s="28">
        <f t="shared" si="45"/>
        <v>-219782</v>
      </c>
      <c r="AD23" s="28">
        <f t="shared" si="45"/>
        <v>-293804</v>
      </c>
      <c r="AE23" s="28">
        <f t="shared" si="45"/>
        <v>-288637</v>
      </c>
      <c r="AF23" s="28">
        <f t="shared" si="45"/>
        <v>-269480</v>
      </c>
      <c r="AG23" s="28">
        <f t="shared" si="45"/>
        <v>-231266</v>
      </c>
      <c r="AH23" s="28">
        <f t="shared" si="45"/>
        <v>-133003</v>
      </c>
      <c r="AI23" s="28">
        <f t="shared" si="45"/>
        <v>-135281</v>
      </c>
      <c r="AJ23" s="28">
        <f>SUM(AJ19+AJ22)</f>
        <v>-133209</v>
      </c>
      <c r="AK23" s="28">
        <f>SUM(AK19+AK22)</f>
        <v>-210552</v>
      </c>
      <c r="AM23" s="489">
        <f t="shared" si="43"/>
        <v>-8.956785692665592E-2</v>
      </c>
    </row>
    <row r="24" spans="2:39" ht="12.75" customHeight="1">
      <c r="B24" s="17" t="s">
        <v>54</v>
      </c>
      <c r="C24" s="19">
        <f>C23/C8</f>
        <v>-8.8611920301879366E-2</v>
      </c>
      <c r="D24" s="19">
        <f>D23/D8</f>
        <v>-0.32982569399612655</v>
      </c>
      <c r="E24" s="19">
        <f>E23/E8</f>
        <v>-0.74042627341364853</v>
      </c>
      <c r="F24" s="19">
        <f>F23/F8</f>
        <v>-0.85563347467499185</v>
      </c>
      <c r="G24" s="19">
        <f>G23/G8</f>
        <v>-0.40741977381054489</v>
      </c>
      <c r="I24" s="19">
        <f>I23/I8</f>
        <v>-0.82716184733452103</v>
      </c>
      <c r="J24" s="19">
        <f>J23/J8</f>
        <v>-0.55734494015233949</v>
      </c>
      <c r="K24" s="19">
        <f>K23/K8</f>
        <v>-0.9855272727272727</v>
      </c>
      <c r="L24" s="19">
        <f>L23/L8</f>
        <v>-0.70547174059896423</v>
      </c>
      <c r="M24" s="19">
        <f>M23/M8</f>
        <v>-0.56021510039463984</v>
      </c>
      <c r="N24" s="19">
        <f>N23/N8</f>
        <v>-0.46867810747045979</v>
      </c>
      <c r="O24" s="19">
        <f>O23/O8</f>
        <v>-0.84768695559804541</v>
      </c>
      <c r="P24" s="19">
        <f>P23/P8</f>
        <v>-1.7700565968593494</v>
      </c>
      <c r="Q24" s="19">
        <f>Q23/Q8</f>
        <v>-0.61512109307831697</v>
      </c>
      <c r="R24" s="19">
        <f>R23/R8</f>
        <v>-0.30818264742179535</v>
      </c>
      <c r="S24" s="19">
        <f>S23/S8</f>
        <v>-0.31635928202849173</v>
      </c>
      <c r="T24" s="19">
        <f>T23/T8</f>
        <v>-0.41943437084192126</v>
      </c>
      <c r="U24" s="19">
        <f>U23/U8</f>
        <v>-0.70976706289738256</v>
      </c>
      <c r="V24" s="19">
        <f>V23/V8</f>
        <v>-0.35547906827823583</v>
      </c>
      <c r="W24" s="19">
        <f>W23/W8</f>
        <v>-1.4664331083198041</v>
      </c>
      <c r="Y24" s="19">
        <f>Y23/Y8</f>
        <v>-0.74866885942270534</v>
      </c>
      <c r="Z24" s="19">
        <f>Z23/Z8</f>
        <v>-0.74042627341364853</v>
      </c>
      <c r="AA24" s="19">
        <f>AA23/AA8</f>
        <v>-0.67541584311226399</v>
      </c>
      <c r="AB24" s="19">
        <f>AB23/AB8</f>
        <v>-0.66488707286245563</v>
      </c>
      <c r="AC24" s="19">
        <f>AC23/AC8</f>
        <v>-0.62860411572068009</v>
      </c>
      <c r="AD24" s="19">
        <f>AD23/AD8</f>
        <v>-0.85563347467499185</v>
      </c>
      <c r="AE24" s="19">
        <f>AE23/AE8</f>
        <v>-0.8833762314724416</v>
      </c>
      <c r="AF24" s="19">
        <f>AF23/AF8</f>
        <v>-0.84801072443427661</v>
      </c>
      <c r="AG24" s="19">
        <f>AG23/AG8</f>
        <v>-0.7149468425494554</v>
      </c>
      <c r="AH24" s="19">
        <f>AH23/AH8</f>
        <v>-0.40741977381054489</v>
      </c>
      <c r="AI24" s="19">
        <f>AI23/AI8</f>
        <v>-0.4233087176919707</v>
      </c>
      <c r="AJ24" s="19">
        <f>AJ23/AJ8</f>
        <v>-0.44203641576490033</v>
      </c>
      <c r="AK24" s="19">
        <f>AK23/AK8</f>
        <v>-0.7246296009498735</v>
      </c>
      <c r="AM24" s="490">
        <f>SUM(AK24-AG24)*10000</f>
        <v>-96.827584004181006</v>
      </c>
    </row>
    <row r="25" spans="2:39" ht="5.0999999999999996" customHeight="1">
      <c r="AM25" s="487"/>
    </row>
    <row r="26" spans="2:39" ht="12.75" customHeight="1">
      <c r="B26" s="33" t="s">
        <v>55</v>
      </c>
      <c r="C26" s="181">
        <f>'Historical Financials'!E102</f>
        <v>27279</v>
      </c>
      <c r="D26" s="181">
        <f>'Historical Financials'!F102</f>
        <v>27698</v>
      </c>
      <c r="E26" s="181">
        <f>'Historical Financials'!G102</f>
        <v>33857</v>
      </c>
      <c r="F26" s="181">
        <f>'Historical Financials'!H102</f>
        <v>29098</v>
      </c>
      <c r="G26" s="181">
        <f>'Historical Financials'!I102</f>
        <v>23923</v>
      </c>
      <c r="I26" s="181">
        <f>'Historical Financials'!AA102</f>
        <v>9292</v>
      </c>
      <c r="J26" s="181">
        <f>'Historical Financials'!AB102</f>
        <v>10306</v>
      </c>
      <c r="K26" s="181">
        <f>'Historical Financials'!AC102</f>
        <v>9250</v>
      </c>
      <c r="L26" s="181">
        <f>'Historical Financials'!AD102</f>
        <v>5009</v>
      </c>
      <c r="M26" s="181">
        <f>'Historical Financials'!AE102</f>
        <v>9565</v>
      </c>
      <c r="N26" s="181">
        <f>'Historical Financials'!AF102</f>
        <v>7748</v>
      </c>
      <c r="O26" s="181">
        <f>'Historical Financials'!AG102</f>
        <v>6478</v>
      </c>
      <c r="P26" s="181">
        <f>'Historical Financials'!AH102</f>
        <v>5307</v>
      </c>
      <c r="Q26" s="181">
        <f>'Historical Financials'!AI102</f>
        <v>6075</v>
      </c>
      <c r="R26" s="181">
        <f>'Historical Financials'!AJ102</f>
        <v>5773</v>
      </c>
      <c r="S26" s="181">
        <f>'Historical Financials'!AK102</f>
        <v>5905</v>
      </c>
      <c r="T26" s="181">
        <f>'Historical Financials'!AL102</f>
        <v>6170</v>
      </c>
      <c r="U26" s="181">
        <f>'Historical Financials'!AM102</f>
        <v>5853</v>
      </c>
      <c r="V26" s="181">
        <f>'Historical Financials'!AN102</f>
        <v>4304</v>
      </c>
      <c r="W26" s="181">
        <f>'Historical Financials'!AO102</f>
        <v>3767</v>
      </c>
      <c r="Y26" s="11">
        <f>SUM(H26:K26)</f>
        <v>28848</v>
      </c>
      <c r="Z26" s="11">
        <f>SUM(I26:L26)</f>
        <v>33857</v>
      </c>
      <c r="AA26" s="11">
        <f>SUM(J26:M26)</f>
        <v>34130</v>
      </c>
      <c r="AB26" s="11">
        <f>SUM(K26:N26)</f>
        <v>31572</v>
      </c>
      <c r="AC26" s="11">
        <f>SUM(L26:O26)</f>
        <v>28800</v>
      </c>
      <c r="AD26" s="11">
        <f>SUM(M26:P26)</f>
        <v>29098</v>
      </c>
      <c r="AE26" s="11">
        <f>SUM(N26:Q26)</f>
        <v>25608</v>
      </c>
      <c r="AF26" s="11">
        <f>SUM(O26:R26)</f>
        <v>23633</v>
      </c>
      <c r="AG26" s="11">
        <f>SUM(P26:S26)</f>
        <v>23060</v>
      </c>
      <c r="AH26" s="11">
        <f>SUM(Q26:T26)</f>
        <v>23923</v>
      </c>
      <c r="AI26" s="11">
        <f>SUM(R26:U26)</f>
        <v>23701</v>
      </c>
      <c r="AJ26" s="11">
        <f>SUM(S26:V26)</f>
        <v>22232</v>
      </c>
      <c r="AK26" s="11">
        <f>SUM(T26:W26)</f>
        <v>20094</v>
      </c>
      <c r="AM26" s="488">
        <f t="shared" ref="AM26:AM29" si="46">SUM(AK26/AG26)-1</f>
        <v>-0.128620988725065</v>
      </c>
    </row>
    <row r="27" spans="2:39" ht="12.75" customHeight="1">
      <c r="B27" s="33" t="s">
        <v>537</v>
      </c>
      <c r="C27" s="484">
        <f>-C18</f>
        <v>6430</v>
      </c>
      <c r="D27" s="484">
        <f t="shared" ref="D27:W27" si="47">-D18</f>
        <v>15794</v>
      </c>
      <c r="E27" s="484">
        <f t="shared" si="47"/>
        <v>17259</v>
      </c>
      <c r="F27" s="484">
        <f t="shared" si="47"/>
        <v>-631</v>
      </c>
      <c r="G27" s="484">
        <f t="shared" si="47"/>
        <v>0</v>
      </c>
      <c r="I27" s="484">
        <f t="shared" si="47"/>
        <v>3026</v>
      </c>
      <c r="J27" s="484">
        <f t="shared" si="47"/>
        <v>4302</v>
      </c>
      <c r="K27" s="484">
        <f t="shared" si="47"/>
        <v>6993</v>
      </c>
      <c r="L27" s="484">
        <f t="shared" si="47"/>
        <v>2938</v>
      </c>
      <c r="M27" s="484">
        <f t="shared" si="47"/>
        <v>-426</v>
      </c>
      <c r="N27" s="484">
        <f t="shared" si="47"/>
        <v>-201</v>
      </c>
      <c r="O27" s="484">
        <f t="shared" si="47"/>
        <v>-4</v>
      </c>
      <c r="P27" s="484">
        <f t="shared" si="47"/>
        <v>0</v>
      </c>
      <c r="Q27" s="484">
        <f t="shared" si="47"/>
        <v>0</v>
      </c>
      <c r="R27" s="484">
        <f t="shared" si="47"/>
        <v>0</v>
      </c>
      <c r="S27" s="484">
        <f t="shared" si="47"/>
        <v>0</v>
      </c>
      <c r="T27" s="484">
        <f t="shared" si="47"/>
        <v>0</v>
      </c>
      <c r="U27" s="484">
        <f t="shared" si="47"/>
        <v>0</v>
      </c>
      <c r="V27" s="484">
        <f t="shared" si="47"/>
        <v>0</v>
      </c>
      <c r="W27" s="484">
        <f t="shared" si="47"/>
        <v>77414</v>
      </c>
      <c r="Y27" s="11"/>
      <c r="Z27" s="11"/>
      <c r="AA27" s="11"/>
      <c r="AB27" s="11"/>
      <c r="AC27" s="11"/>
      <c r="AD27" s="11"/>
      <c r="AE27" s="11"/>
      <c r="AF27" s="11">
        <f>SUM(O27:R27)</f>
        <v>-4</v>
      </c>
      <c r="AG27" s="11">
        <f>SUM(P27:S27)</f>
        <v>0</v>
      </c>
      <c r="AH27" s="11">
        <f>SUM(Q27:T27)</f>
        <v>0</v>
      </c>
      <c r="AI27" s="11">
        <f>SUM(R27:U27)</f>
        <v>0</v>
      </c>
      <c r="AJ27" s="11">
        <f>SUM(S27:V27)</f>
        <v>0</v>
      </c>
      <c r="AK27" s="11">
        <f>SUM(T27:W27)</f>
        <v>77414</v>
      </c>
      <c r="AM27" s="488" t="e">
        <f t="shared" si="46"/>
        <v>#DIV/0!</v>
      </c>
    </row>
    <row r="28" spans="2:39" ht="12.75" customHeight="1">
      <c r="B28" s="33" t="s">
        <v>566</v>
      </c>
      <c r="C28" s="91">
        <v>0</v>
      </c>
      <c r="D28" s="91">
        <v>0</v>
      </c>
      <c r="E28" s="91">
        <v>0</v>
      </c>
      <c r="F28" s="91">
        <v>0</v>
      </c>
      <c r="G28" s="91">
        <v>7500</v>
      </c>
      <c r="I28" s="91">
        <v>0</v>
      </c>
      <c r="J28" s="91">
        <v>0</v>
      </c>
      <c r="K28" s="91">
        <v>0</v>
      </c>
      <c r="L28" s="484">
        <f>SUM(E28-SUM(I28:K28))</f>
        <v>0</v>
      </c>
      <c r="M28" s="91">
        <v>0</v>
      </c>
      <c r="N28" s="91">
        <v>0</v>
      </c>
      <c r="O28" s="91">
        <v>0</v>
      </c>
      <c r="P28" s="484">
        <f>SUM(F28-SUM(M28:O28))</f>
        <v>0</v>
      </c>
      <c r="Q28" s="91">
        <v>7500</v>
      </c>
      <c r="R28" s="91">
        <v>0</v>
      </c>
      <c r="S28" s="91">
        <v>0</v>
      </c>
      <c r="T28" s="484">
        <f>SUM(G28-SUM(Q28:S28))</f>
        <v>0</v>
      </c>
      <c r="U28" s="91">
        <v>2083</v>
      </c>
      <c r="V28" s="91">
        <v>1739</v>
      </c>
      <c r="W28" s="91">
        <f>1757-750</f>
        <v>1007</v>
      </c>
      <c r="Y28" s="11"/>
      <c r="Z28" s="11"/>
      <c r="AA28" s="11"/>
      <c r="AB28" s="11"/>
      <c r="AC28" s="11"/>
      <c r="AD28" s="11"/>
      <c r="AE28" s="11"/>
      <c r="AF28" s="11">
        <f>SUM(O28:R28)</f>
        <v>7500</v>
      </c>
      <c r="AG28" s="11">
        <f>SUM(P28:S28)</f>
        <v>7500</v>
      </c>
      <c r="AH28" s="11">
        <f>SUM(Q28:T28)</f>
        <v>7500</v>
      </c>
      <c r="AI28" s="11">
        <f>SUM(R28:U28)</f>
        <v>2083</v>
      </c>
      <c r="AJ28" s="11">
        <f>SUM(S28:V28)</f>
        <v>3822</v>
      </c>
      <c r="AK28" s="11">
        <f>SUM(T28:W28)</f>
        <v>4829</v>
      </c>
      <c r="AM28" s="488">
        <f t="shared" si="46"/>
        <v>-0.3561333333333333</v>
      </c>
    </row>
    <row r="29" spans="2:39" ht="12.75" customHeight="1">
      <c r="B29" s="14" t="s">
        <v>56</v>
      </c>
      <c r="C29" s="15">
        <f>+SUM(C23+SUM(C26:C28))</f>
        <v>-2337</v>
      </c>
      <c r="D29" s="15">
        <f>+SUM(D23+SUM(D26:D28))</f>
        <v>-109778</v>
      </c>
      <c r="E29" s="15">
        <f>+SUM(E23+SUM(E26:E28))</f>
        <v>-259073</v>
      </c>
      <c r="F29" s="15">
        <f>+SUM(F23+SUM(F26:F28))</f>
        <v>-265337</v>
      </c>
      <c r="G29" s="15">
        <f>+SUM(G23+SUM(G26:G28))</f>
        <v>-101580</v>
      </c>
      <c r="H29" s="12"/>
      <c r="I29" s="15">
        <f>+SUM(I23+SUM(I26:I28))</f>
        <v>-78219</v>
      </c>
      <c r="J29" s="15">
        <f>+SUM(J23+SUM(J26:J28))</f>
        <v>-67344</v>
      </c>
      <c r="K29" s="15">
        <f>+SUM(K23+SUM(K26:K28))</f>
        <v>-65063</v>
      </c>
      <c r="L29" s="15">
        <f>+SUM(L23+SUM(L26:L28))</f>
        <v>-48447</v>
      </c>
      <c r="M29" s="15">
        <f>+SUM(M23+SUM(M26:M28))</f>
        <v>-42533</v>
      </c>
      <c r="N29" s="15">
        <f>+SUM(N23+SUM(N26:N28))</f>
        <v>-40328</v>
      </c>
      <c r="O29" s="15">
        <f>+SUM(O23+SUM(O26:O28))</f>
        <v>-57367</v>
      </c>
      <c r="P29" s="15">
        <f>+SUM(P23+SUM(P26:P28))</f>
        <v>-125109</v>
      </c>
      <c r="Q29" s="15">
        <f>+SUM(Q23+SUM(Q26:Q28))</f>
        <v>-32930</v>
      </c>
      <c r="R29" s="15">
        <f>+SUM(R23+SUM(R26:R28))</f>
        <v>-22945</v>
      </c>
      <c r="S29" s="15">
        <f>+SUM(S23+SUM(S26:S28))</f>
        <v>-19722</v>
      </c>
      <c r="T29" s="15">
        <f>+SUM(T23+SUM(T26:T28))</f>
        <v>-25983</v>
      </c>
      <c r="U29" s="15">
        <f>+SUM(U23+SUM(U26:U28))</f>
        <v>-40847</v>
      </c>
      <c r="V29" s="15">
        <f>+SUM(V23+SUM(V26:V28))</f>
        <v>-20603</v>
      </c>
      <c r="W29" s="15">
        <f>+SUM(W23+SUM(W26:W28))</f>
        <v>-20782</v>
      </c>
      <c r="Y29" s="15">
        <f>+SUM(Y23+SUM(Y26:Y28))</f>
        <v>-224947</v>
      </c>
      <c r="Z29" s="15">
        <f>+SUM(Z23+SUM(Z26:Z28))</f>
        <v>-276332</v>
      </c>
      <c r="AA29" s="15">
        <f>+SUM(AA23+SUM(AA26:AA28))</f>
        <v>-237194</v>
      </c>
      <c r="AB29" s="15">
        <f>+SUM(AB23+SUM(AB26:AB28))</f>
        <v>-205675</v>
      </c>
      <c r="AC29" s="15">
        <f>+SUM(AC23+SUM(AC26:AC28))</f>
        <v>-190982</v>
      </c>
      <c r="AD29" s="15">
        <f>+SUM(AD23+SUM(AD26:AD28))</f>
        <v>-264706</v>
      </c>
      <c r="AE29" s="15">
        <f>+SUM(AE23+SUM(AE26:AE28))</f>
        <v>-263029</v>
      </c>
      <c r="AF29" s="15">
        <f>+SUM(AF23+SUM(AF26:AF28))</f>
        <v>-238351</v>
      </c>
      <c r="AG29" s="15">
        <f>+SUM(AG23+SUM(AG26:AG28))</f>
        <v>-200706</v>
      </c>
      <c r="AH29" s="15">
        <f>+SUM(AH23+SUM(AH26:AH28))</f>
        <v>-101580</v>
      </c>
      <c r="AI29" s="15">
        <f>+SUM(AI23+SUM(AI26:AI28))</f>
        <v>-109497</v>
      </c>
      <c r="AJ29" s="15">
        <f>+SUM(AJ23+SUM(AJ26:AJ28))</f>
        <v>-107155</v>
      </c>
      <c r="AK29" s="15">
        <f>+SUM(AK23+SUM(AK26:AK28))</f>
        <v>-108215</v>
      </c>
      <c r="AM29" s="489">
        <f t="shared" si="46"/>
        <v>-0.46082827618506672</v>
      </c>
    </row>
    <row r="30" spans="2:39" ht="12.75" customHeight="1">
      <c r="B30" s="17" t="s">
        <v>57</v>
      </c>
      <c r="C30" s="19">
        <f>C29/C8</f>
        <v>-5.7450495962240496E-3</v>
      </c>
      <c r="D30" s="19">
        <f>D29/D8</f>
        <v>-0.23623412954594361</v>
      </c>
      <c r="E30" s="19">
        <f>E29/E8</f>
        <v>-0.61841153597353271</v>
      </c>
      <c r="F30" s="19">
        <f>F29/F8</f>
        <v>-0.77273018498672008</v>
      </c>
      <c r="G30" s="19">
        <f>G29/G8</f>
        <v>-0.31116366265178341</v>
      </c>
      <c r="I30" s="19">
        <f>I29/I8</f>
        <v>-0.71462244758119775</v>
      </c>
      <c r="J30" s="19">
        <f>J29/J8</f>
        <v>-0.45799782372143633</v>
      </c>
      <c r="K30" s="19">
        <f>K29/K8</f>
        <v>-0.78864242424242426</v>
      </c>
      <c r="L30" s="19">
        <f>L29/L8</f>
        <v>-0.60605719432560234</v>
      </c>
      <c r="M30" s="19">
        <f>M29/M8</f>
        <v>-0.46113231276291256</v>
      </c>
      <c r="N30" s="19">
        <f>N29/N8</f>
        <v>-0.39479583745313218</v>
      </c>
      <c r="O30" s="19">
        <f>O29/O8</f>
        <v>-0.76172455916719783</v>
      </c>
      <c r="P30" s="19">
        <f>P29/P8</f>
        <v>-1.6980279319751896</v>
      </c>
      <c r="Q30" s="19">
        <f>Q29/Q8</f>
        <v>-0.43556472626747617</v>
      </c>
      <c r="R30" s="19">
        <f>R29/R8</f>
        <v>-0.24623061651553363</v>
      </c>
      <c r="S30" s="19">
        <f>S29/S8</f>
        <v>-0.24346344715206281</v>
      </c>
      <c r="T30" s="19">
        <f>T29/T8</f>
        <v>-0.33894701140128886</v>
      </c>
      <c r="U30" s="19">
        <f>U29/U8</f>
        <v>-0.59430242539756439</v>
      </c>
      <c r="V30" s="19">
        <f>V29/V8</f>
        <v>-0.2748605885962806</v>
      </c>
      <c r="W30" s="19">
        <f>W29/W8</f>
        <v>-0.29596399783531291</v>
      </c>
      <c r="Y30" s="19">
        <f>Y29/Y8</f>
        <v>-0.66357025914836498</v>
      </c>
      <c r="Z30" s="19">
        <f>Z29/Z8</f>
        <v>-0.65960905443113815</v>
      </c>
      <c r="AA30" s="19">
        <f>AA29/AA8</f>
        <v>-0.59045490075028506</v>
      </c>
      <c r="AB30" s="19">
        <f>AB29/AB8</f>
        <v>-0.57640622941906772</v>
      </c>
      <c r="AC30" s="19">
        <f>AC29/AC8</f>
        <v>-0.5462324996067327</v>
      </c>
      <c r="AD30" s="19">
        <f>AD29/AD8</f>
        <v>-0.77089254927542983</v>
      </c>
      <c r="AE30" s="19">
        <f>AE29/AE8</f>
        <v>-0.80500270855075706</v>
      </c>
      <c r="AF30" s="19">
        <f>AF29/AF8</f>
        <v>-0.7500527095874806</v>
      </c>
      <c r="AG30" s="19">
        <f>AG29/AG8</f>
        <v>-0.62047218778692503</v>
      </c>
      <c r="AH30" s="19">
        <f>AH29/AH8</f>
        <v>-0.31116366265178341</v>
      </c>
      <c r="AI30" s="19">
        <f>AI29/AI8</f>
        <v>-0.34262782401902497</v>
      </c>
      <c r="AJ30" s="19">
        <f>AJ29/AJ8</f>
        <v>-0.35557966902602595</v>
      </c>
      <c r="AK30" s="19">
        <f>AK29/AK8</f>
        <v>-0.3724295768588784</v>
      </c>
      <c r="AM30" s="490">
        <f>SUM(AK30-AG30)*10000</f>
        <v>2480.4261092804663</v>
      </c>
    </row>
    <row r="31" spans="2:39" ht="5.0999999999999996" customHeight="1">
      <c r="AM31" s="487"/>
    </row>
    <row r="32" spans="2:39" ht="12.75" customHeight="1">
      <c r="B32" s="25" t="s">
        <v>58</v>
      </c>
      <c r="C32" s="181">
        <f>'Historical Financials'!E119</f>
        <v>-57696</v>
      </c>
      <c r="D32" s="181">
        <f>'Historical Financials'!F119</f>
        <v>-135961</v>
      </c>
      <c r="E32" s="181">
        <f>'Historical Financials'!G119</f>
        <v>-70475</v>
      </c>
      <c r="F32" s="181">
        <f>'Historical Financials'!H119</f>
        <v>-10564</v>
      </c>
      <c r="G32" s="181">
        <f>'Historical Financials'!I119</f>
        <v>-11015</v>
      </c>
      <c r="I32" s="181">
        <f>'Historical Financials'!AA119</f>
        <v>-21548</v>
      </c>
      <c r="J32" s="181">
        <f>'Historical Financials'!AB119</f>
        <v>-20417</v>
      </c>
      <c r="K32" s="181">
        <f>'Historical Financials'!AC119</f>
        <v>-17987</v>
      </c>
      <c r="L32" s="181">
        <f>'Historical Financials'!AD119</f>
        <v>-10523</v>
      </c>
      <c r="M32" s="181">
        <f>'Historical Financials'!AE119</f>
        <v>-5302</v>
      </c>
      <c r="N32" s="181">
        <f>'Historical Financials'!AF119</f>
        <v>-1837</v>
      </c>
      <c r="O32" s="181">
        <f>'Historical Financials'!AG119</f>
        <v>-1428</v>
      </c>
      <c r="P32" s="181">
        <f>'Historical Financials'!AH119</f>
        <v>-1997</v>
      </c>
      <c r="Q32" s="181">
        <f>'Historical Financials'!AI119</f>
        <v>-1197</v>
      </c>
      <c r="R32" s="181">
        <f>'Historical Financials'!AJ119</f>
        <v>-1323</v>
      </c>
      <c r="S32" s="181">
        <f>'Historical Financials'!AK119</f>
        <v>-2020</v>
      </c>
      <c r="T32" s="181">
        <f>'Historical Financials'!AL119</f>
        <v>-6475</v>
      </c>
      <c r="U32" s="181">
        <f>'Historical Financials'!AM119</f>
        <v>-4485</v>
      </c>
      <c r="V32" s="181">
        <f>'Historical Financials'!AN119</f>
        <v>-1938</v>
      </c>
      <c r="W32" s="181">
        <f>'Historical Financials'!AO119</f>
        <v>-2907</v>
      </c>
      <c r="Y32" s="11">
        <f>SUM(H32:K32)</f>
        <v>-59952</v>
      </c>
      <c r="Z32" s="11">
        <f>SUM(I32:L32)</f>
        <v>-70475</v>
      </c>
      <c r="AA32" s="11">
        <f>SUM(J32:M32)</f>
        <v>-54229</v>
      </c>
      <c r="AB32" s="11">
        <f>SUM(K32:N32)</f>
        <v>-35649</v>
      </c>
      <c r="AC32" s="11">
        <f>SUM(L32:O32)</f>
        <v>-19090</v>
      </c>
      <c r="AD32" s="11">
        <f>SUM(M32:P32)</f>
        <v>-10564</v>
      </c>
      <c r="AE32" s="11">
        <f>SUM(N32:Q32)</f>
        <v>-6459</v>
      </c>
      <c r="AF32" s="11">
        <f>SUM(O32:R32)</f>
        <v>-5945</v>
      </c>
      <c r="AG32" s="11">
        <f>SUM(P32:S32)</f>
        <v>-6537</v>
      </c>
      <c r="AH32" s="11">
        <f>SUM(Q32:T32)</f>
        <v>-11015</v>
      </c>
      <c r="AI32" s="11">
        <f>SUM(R32:U32)</f>
        <v>-14303</v>
      </c>
      <c r="AJ32" s="11">
        <f>SUM(S32:V32)</f>
        <v>-14918</v>
      </c>
      <c r="AK32" s="11">
        <f>SUM(T32:W32)</f>
        <v>-15805</v>
      </c>
      <c r="AM32" s="488">
        <f t="shared" ref="AM32:AM36" si="48">SUM(AK32/AG32)-1</f>
        <v>1.4177757381061649</v>
      </c>
    </row>
    <row r="33" spans="1:39" ht="12.75" customHeight="1">
      <c r="B33" s="25" t="s">
        <v>59</v>
      </c>
      <c r="C33" s="181">
        <f>-'Historical Financials'!E152</f>
        <v>-18</v>
      </c>
      <c r="D33" s="181">
        <f>-'Historical Financials'!F152</f>
        <v>10</v>
      </c>
      <c r="E33" s="181">
        <f>-'Historical Financials'!G152</f>
        <v>-38</v>
      </c>
      <c r="F33" s="181">
        <f>-'Historical Financials'!H152</f>
        <v>1</v>
      </c>
      <c r="G33" s="181">
        <f>-'Historical Financials'!I152</f>
        <v>-6</v>
      </c>
      <c r="I33" s="181">
        <f>-'Historical Financials'!AA152</f>
        <v>-52</v>
      </c>
      <c r="J33" s="181">
        <f>-'Historical Financials'!AB152</f>
        <v>31</v>
      </c>
      <c r="K33" s="181">
        <f>-'Historical Financials'!AC152</f>
        <v>0</v>
      </c>
      <c r="L33" s="181">
        <f>-'Historical Financials'!AD152</f>
        <v>-17</v>
      </c>
      <c r="M33" s="181">
        <f>-'Historical Financials'!AE152</f>
        <v>0</v>
      </c>
      <c r="N33" s="181">
        <f>-'Historical Financials'!AF152</f>
        <v>-9</v>
      </c>
      <c r="O33" s="181">
        <f>-'Historical Financials'!AG152</f>
        <v>0</v>
      </c>
      <c r="P33" s="181">
        <f>-'Historical Financials'!AH152</f>
        <v>10</v>
      </c>
      <c r="Q33" s="181">
        <f>-'Historical Financials'!AI152</f>
        <v>-2</v>
      </c>
      <c r="R33" s="181">
        <f>-'Historical Financials'!AJ152</f>
        <v>-14</v>
      </c>
      <c r="S33" s="181">
        <f>-'Historical Financials'!AK152</f>
        <v>0</v>
      </c>
      <c r="T33" s="181">
        <f>-'Historical Financials'!AL152</f>
        <v>10</v>
      </c>
      <c r="U33" s="181">
        <f>-'Historical Financials'!AM152</f>
        <v>0</v>
      </c>
      <c r="V33" s="181">
        <f>-'Historical Financials'!AN152</f>
        <v>-2</v>
      </c>
      <c r="W33" s="181">
        <f>-'Historical Financials'!AO152</f>
        <v>0</v>
      </c>
      <c r="Y33" s="11">
        <f>SUM(H33:K33)</f>
        <v>-21</v>
      </c>
      <c r="Z33" s="11">
        <f>SUM(I33:L33)</f>
        <v>-38</v>
      </c>
      <c r="AA33" s="11">
        <f>SUM(J33:M33)</f>
        <v>14</v>
      </c>
      <c r="AB33" s="11">
        <f>SUM(K33:N33)</f>
        <v>-26</v>
      </c>
      <c r="AC33" s="11">
        <f>SUM(L33:O33)</f>
        <v>-26</v>
      </c>
      <c r="AD33" s="11">
        <f>SUM(M33:P33)</f>
        <v>1</v>
      </c>
      <c r="AE33" s="11">
        <f>SUM(N33:Q33)</f>
        <v>-1</v>
      </c>
      <c r="AF33" s="11">
        <f>SUM(O33:R33)</f>
        <v>-6</v>
      </c>
      <c r="AG33" s="11">
        <f>SUM(P33:S33)</f>
        <v>-6</v>
      </c>
      <c r="AH33" s="11">
        <f>SUM(Q33:T33)</f>
        <v>-6</v>
      </c>
      <c r="AI33" s="11">
        <f>SUM(R33:U33)</f>
        <v>-4</v>
      </c>
      <c r="AJ33" s="11">
        <f>SUM(S33:V33)</f>
        <v>8</v>
      </c>
      <c r="AK33" s="11">
        <f>SUM(T33:W33)</f>
        <v>8</v>
      </c>
      <c r="AM33" s="488">
        <f t="shared" si="48"/>
        <v>-2.333333333333333</v>
      </c>
    </row>
    <row r="34" spans="1:39" ht="12.75" customHeight="1">
      <c r="B34" s="25" t="s">
        <v>270</v>
      </c>
      <c r="C34" s="181">
        <f>-'Historical Financials'!E153</f>
        <v>-2564</v>
      </c>
      <c r="D34" s="181">
        <f>-'Historical Financials'!F153</f>
        <v>-348</v>
      </c>
      <c r="E34" s="181">
        <f>-'Historical Financials'!G153</f>
        <v>-10</v>
      </c>
      <c r="F34" s="181">
        <f>-'Historical Financials'!H153</f>
        <v>0</v>
      </c>
      <c r="G34" s="181">
        <f>-'Historical Financials'!I153</f>
        <v>0</v>
      </c>
      <c r="I34" s="181">
        <f>-'Historical Financials'!AA153</f>
        <v>-17</v>
      </c>
      <c r="J34" s="181">
        <f>-'Historical Financials'!AB153</f>
        <v>-136</v>
      </c>
      <c r="K34" s="181">
        <f>-'Historical Financials'!AC153</f>
        <v>150</v>
      </c>
      <c r="L34" s="181">
        <f>-'Historical Financials'!AD153</f>
        <v>-7</v>
      </c>
      <c r="M34" s="181">
        <f>-'Historical Financials'!AE153</f>
        <v>0</v>
      </c>
      <c r="N34" s="181">
        <f>-'Historical Financials'!AF153</f>
        <v>0</v>
      </c>
      <c r="O34" s="181">
        <f>-'Historical Financials'!AG153</f>
        <v>0</v>
      </c>
      <c r="P34" s="181">
        <f>-'Historical Financials'!AH153</f>
        <v>0</v>
      </c>
      <c r="Q34" s="181">
        <f>-'Historical Financials'!AI153</f>
        <v>0</v>
      </c>
      <c r="R34" s="181">
        <f>-'Historical Financials'!AJ153</f>
        <v>0</v>
      </c>
      <c r="S34" s="181">
        <f>-'Historical Financials'!AK153</f>
        <v>0</v>
      </c>
      <c r="T34" s="181">
        <f>-'Historical Financials'!AL153</f>
        <v>0</v>
      </c>
      <c r="U34" s="181">
        <f>-'Historical Financials'!AM153</f>
        <v>0</v>
      </c>
      <c r="V34" s="181">
        <f>-'Historical Financials'!AN153</f>
        <v>0</v>
      </c>
      <c r="W34" s="181">
        <f>-'Historical Financials'!AO153</f>
        <v>0</v>
      </c>
      <c r="Y34" s="11">
        <f>SUM(H34:K34)</f>
        <v>-3</v>
      </c>
      <c r="Z34" s="11">
        <f>SUM(I34:L34)</f>
        <v>-10</v>
      </c>
      <c r="AA34" s="11">
        <f>SUM(J34:M34)</f>
        <v>7</v>
      </c>
      <c r="AB34" s="11">
        <f>SUM(K34:N34)</f>
        <v>143</v>
      </c>
      <c r="AC34" s="11">
        <f>SUM(L34:O34)</f>
        <v>-7</v>
      </c>
      <c r="AD34" s="11">
        <f>SUM(M34:P34)</f>
        <v>0</v>
      </c>
      <c r="AE34" s="11">
        <f>SUM(N34:Q34)</f>
        <v>0</v>
      </c>
      <c r="AF34" s="11">
        <f>SUM(O34:R34)</f>
        <v>0</v>
      </c>
      <c r="AG34" s="11">
        <f>SUM(P34:S34)</f>
        <v>0</v>
      </c>
      <c r="AH34" s="11">
        <f>SUM(Q34:T34)</f>
        <v>0</v>
      </c>
      <c r="AI34" s="11">
        <f>SUM(R34:U34)</f>
        <v>0</v>
      </c>
      <c r="AJ34" s="11">
        <f>SUM(S34:V34)</f>
        <v>0</v>
      </c>
      <c r="AK34" s="11">
        <f>SUM(T34:W34)</f>
        <v>0</v>
      </c>
      <c r="AM34" s="488" t="e">
        <f t="shared" si="48"/>
        <v>#DIV/0!</v>
      </c>
    </row>
    <row r="35" spans="1:39" ht="12.75" customHeight="1">
      <c r="B35" s="25" t="s">
        <v>60</v>
      </c>
      <c r="C35" s="181">
        <f>SUM('Historical Financials'!E109:E115)</f>
        <v>-32178</v>
      </c>
      <c r="D35" s="181">
        <f>SUM('Historical Financials'!F109:F115)</f>
        <v>-179579</v>
      </c>
      <c r="E35" s="181">
        <f>SUM('Historical Financials'!G109:G115)</f>
        <v>-54187</v>
      </c>
      <c r="F35" s="181">
        <f>SUM('Historical Financials'!H109:H115)</f>
        <v>114663</v>
      </c>
      <c r="G35" s="181">
        <f>SUM('Historical Financials'!I109:I115)</f>
        <v>-4008</v>
      </c>
      <c r="I35" s="181">
        <f>SUM('Historical Financials'!AA109:AA115)</f>
        <v>-84223</v>
      </c>
      <c r="J35" s="181">
        <f>SUM('Historical Financials'!AB109:AB115)</f>
        <v>-1930</v>
      </c>
      <c r="K35" s="181">
        <f>SUM('Historical Financials'!AC109:AC115)</f>
        <v>33678</v>
      </c>
      <c r="L35" s="181">
        <f>SUM('Historical Financials'!AD109:AD115)</f>
        <v>-1712</v>
      </c>
      <c r="M35" s="181">
        <f>SUM('Historical Financials'!AE109:AE115)</f>
        <v>-7932</v>
      </c>
      <c r="N35" s="181">
        <f>SUM('Historical Financials'!AF109:AF115)</f>
        <v>-10438</v>
      </c>
      <c r="O35" s="181">
        <f>SUM('Historical Financials'!AG109:AG115)</f>
        <v>57401</v>
      </c>
      <c r="P35" s="181">
        <f>SUM('Historical Financials'!AH109:AH115)</f>
        <v>75632</v>
      </c>
      <c r="Q35" s="181">
        <f>SUM('Historical Financials'!AI109:AI115)</f>
        <v>4105</v>
      </c>
      <c r="R35" s="181">
        <f>SUM('Historical Financials'!AJ109:AJ115)</f>
        <v>3505</v>
      </c>
      <c r="S35" s="181">
        <f>SUM('Historical Financials'!AK109:AK115)</f>
        <v>-6089</v>
      </c>
      <c r="T35" s="181">
        <f>SUM('Historical Financials'!AL109:AL115)</f>
        <v>-5529</v>
      </c>
      <c r="U35" s="181">
        <f>SUM('Historical Financials'!AM109:AM115)</f>
        <v>13900</v>
      </c>
      <c r="V35" s="181">
        <f>SUM('Historical Financials'!AN109:AN115)</f>
        <v>-10927</v>
      </c>
      <c r="W35" s="181">
        <f>SUM('Historical Financials'!AO109:AO115)</f>
        <v>-15959</v>
      </c>
      <c r="Y35" s="11">
        <f>SUM(H35:K35)</f>
        <v>-52475</v>
      </c>
      <c r="Z35" s="11">
        <f>SUM(I35:L35)</f>
        <v>-54187</v>
      </c>
      <c r="AA35" s="11">
        <f>SUM(J35:M35)</f>
        <v>22104</v>
      </c>
      <c r="AB35" s="11">
        <f>SUM(K35:N35)</f>
        <v>13596</v>
      </c>
      <c r="AC35" s="11">
        <f>SUM(L35:O35)</f>
        <v>37319</v>
      </c>
      <c r="AD35" s="11">
        <f>SUM(M35:P35)</f>
        <v>114663</v>
      </c>
      <c r="AE35" s="11">
        <f>SUM(N35:Q35)</f>
        <v>126700</v>
      </c>
      <c r="AF35" s="11">
        <f>SUM(O35:R35)</f>
        <v>140643</v>
      </c>
      <c r="AG35" s="11">
        <f>SUM(P35:S35)</f>
        <v>77153</v>
      </c>
      <c r="AH35" s="11">
        <f>SUM(Q35:T35)</f>
        <v>-4008</v>
      </c>
      <c r="AI35" s="11">
        <f>SUM(R35:U35)</f>
        <v>5787</v>
      </c>
      <c r="AJ35" s="11">
        <f>SUM(S35:V35)</f>
        <v>-8645</v>
      </c>
      <c r="AK35" s="11">
        <f>SUM(T35:W35)</f>
        <v>-18515</v>
      </c>
      <c r="AM35" s="488">
        <f t="shared" si="48"/>
        <v>-1.2399777066348683</v>
      </c>
    </row>
    <row r="36" spans="1:39" ht="12.75" customHeight="1">
      <c r="B36" s="14" t="s">
        <v>61</v>
      </c>
      <c r="C36" s="15">
        <f>SUM(C29+SUM(C32:C35))</f>
        <v>-94793</v>
      </c>
      <c r="D36" s="15">
        <f>SUM(D29+SUM(D32:D35))</f>
        <v>-425656</v>
      </c>
      <c r="E36" s="15">
        <f>SUM(E29+SUM(E32:E35))</f>
        <v>-383783</v>
      </c>
      <c r="F36" s="15">
        <f>SUM(F29+SUM(F32:F35))</f>
        <v>-161237</v>
      </c>
      <c r="G36" s="15">
        <f>SUM(G29+SUM(G32:G35))</f>
        <v>-116609</v>
      </c>
      <c r="I36" s="15">
        <f t="shared" ref="I36:V36" si="49">SUM(I29+SUM(I32:I35))</f>
        <v>-184059</v>
      </c>
      <c r="J36" s="15">
        <f t="shared" si="49"/>
        <v>-89796</v>
      </c>
      <c r="K36" s="15">
        <f t="shared" si="49"/>
        <v>-49222</v>
      </c>
      <c r="L36" s="15">
        <f t="shared" si="49"/>
        <v>-60706</v>
      </c>
      <c r="M36" s="15">
        <f t="shared" si="49"/>
        <v>-55767</v>
      </c>
      <c r="N36" s="15">
        <f t="shared" si="49"/>
        <v>-52612</v>
      </c>
      <c r="O36" s="15">
        <f t="shared" si="49"/>
        <v>-1394</v>
      </c>
      <c r="P36" s="15">
        <f t="shared" si="49"/>
        <v>-51464</v>
      </c>
      <c r="Q36" s="15">
        <f t="shared" si="49"/>
        <v>-30024</v>
      </c>
      <c r="R36" s="15">
        <f t="shared" si="49"/>
        <v>-20777</v>
      </c>
      <c r="S36" s="15">
        <f t="shared" si="49"/>
        <v>-27831</v>
      </c>
      <c r="T36" s="15">
        <f t="shared" si="49"/>
        <v>-37977</v>
      </c>
      <c r="U36" s="15">
        <f t="shared" si="49"/>
        <v>-31432</v>
      </c>
      <c r="V36" s="15">
        <f t="shared" si="49"/>
        <v>-33470</v>
      </c>
      <c r="W36" s="15">
        <f t="shared" ref="W36" si="50">SUM(W29+SUM(W32:W35))</f>
        <v>-39648</v>
      </c>
      <c r="Y36" s="15">
        <f t="shared" ref="Y36:AI36" si="51">SUM(Y29+SUM(Y32:Y35))</f>
        <v>-337398</v>
      </c>
      <c r="Z36" s="15">
        <f t="shared" si="51"/>
        <v>-401042</v>
      </c>
      <c r="AA36" s="15">
        <f t="shared" si="51"/>
        <v>-269298</v>
      </c>
      <c r="AB36" s="15">
        <f t="shared" si="51"/>
        <v>-227611</v>
      </c>
      <c r="AC36" s="15">
        <f t="shared" si="51"/>
        <v>-172786</v>
      </c>
      <c r="AD36" s="15">
        <f t="shared" si="51"/>
        <v>-160606</v>
      </c>
      <c r="AE36" s="15">
        <f t="shared" si="51"/>
        <v>-142789</v>
      </c>
      <c r="AF36" s="15">
        <f t="shared" si="51"/>
        <v>-103659</v>
      </c>
      <c r="AG36" s="15">
        <f t="shared" si="51"/>
        <v>-130096</v>
      </c>
      <c r="AH36" s="15">
        <f t="shared" si="51"/>
        <v>-116609</v>
      </c>
      <c r="AI36" s="15">
        <f t="shared" si="51"/>
        <v>-118017</v>
      </c>
      <c r="AJ36" s="15">
        <f>SUM(AJ29+SUM(AJ32:AJ35))</f>
        <v>-130710</v>
      </c>
      <c r="AK36" s="15">
        <f>SUM(AK29+SUM(AK32:AK35))</f>
        <v>-142527</v>
      </c>
      <c r="AM36" s="489">
        <f t="shared" si="48"/>
        <v>9.555251506579765E-2</v>
      </c>
    </row>
    <row r="37" spans="1:39" ht="5.0999999999999996" customHeight="1"/>
    <row r="38" spans="1:39" ht="12.75" customHeight="1">
      <c r="B38" s="33" t="s">
        <v>535</v>
      </c>
      <c r="C38" s="181">
        <f>SUM('Historical Financials'!E129:E133)</f>
        <v>25732</v>
      </c>
      <c r="D38" s="181">
        <f>SUM('Historical Financials'!F129:F133)</f>
        <v>1046104</v>
      </c>
      <c r="E38" s="181">
        <f>SUM('Historical Financials'!G129:G133)</f>
        <v>486</v>
      </c>
      <c r="F38" s="181">
        <f>SUM('Historical Financials'!H129:H133)</f>
        <v>-327</v>
      </c>
      <c r="G38" s="181">
        <f>SUM('Historical Financials'!I129:I133)</f>
        <v>46954</v>
      </c>
      <c r="H38" s="34"/>
      <c r="I38" s="181">
        <f>SUM('Historical Financials'!AA129:AA133)</f>
        <v>376</v>
      </c>
      <c r="J38" s="181">
        <f>SUM('Historical Financials'!AB129:AB133)</f>
        <v>164</v>
      </c>
      <c r="K38" s="181">
        <f>SUM('Historical Financials'!AC129:AC133)</f>
        <v>-3</v>
      </c>
      <c r="L38" s="181">
        <f>SUM('Historical Financials'!AD129:AD133)</f>
        <v>-51</v>
      </c>
      <c r="M38" s="181">
        <f>SUM('Historical Financials'!AE129:AE133)</f>
        <v>-116</v>
      </c>
      <c r="N38" s="181">
        <f>SUM('Historical Financials'!AF129:AF133)</f>
        <v>-69</v>
      </c>
      <c r="O38" s="181">
        <f>SUM('Historical Financials'!AG129:AG133)</f>
        <v>-35</v>
      </c>
      <c r="P38" s="181">
        <f>SUM('Historical Financials'!AH129:AH133)</f>
        <v>-107</v>
      </c>
      <c r="Q38" s="181">
        <f>SUM('Historical Financials'!AI129:AI133)</f>
        <v>-430</v>
      </c>
      <c r="R38" s="181">
        <f>SUM('Historical Financials'!AJ129:AJ133)</f>
        <v>-104</v>
      </c>
      <c r="S38" s="181">
        <f>SUM('Historical Financials'!AK129:AK133)</f>
        <v>-65</v>
      </c>
      <c r="T38" s="181">
        <f>SUM('Historical Financials'!AL129:AL133)</f>
        <v>47553</v>
      </c>
      <c r="U38" s="181">
        <f>SUM('Historical Financials'!AM129:AM133)</f>
        <v>-220</v>
      </c>
      <c r="V38" s="181">
        <f>SUM('Historical Financials'!AN129:AN133)</f>
        <v>-86</v>
      </c>
      <c r="W38" s="181">
        <f>SUM('Historical Financials'!AO129:AO133)</f>
        <v>-73</v>
      </c>
      <c r="Y38" s="11">
        <f>SUM(H38:K38)</f>
        <v>537</v>
      </c>
      <c r="Z38" s="11">
        <f>SUM(I38:L38)</f>
        <v>486</v>
      </c>
      <c r="AA38" s="11">
        <f>SUM(J38:M38)</f>
        <v>-6</v>
      </c>
      <c r="AB38" s="11">
        <f>SUM(K38:N38)</f>
        <v>-239</v>
      </c>
      <c r="AC38" s="11">
        <f>SUM(L38:O38)</f>
        <v>-271</v>
      </c>
      <c r="AD38" s="11">
        <f>SUM(M38:P38)</f>
        <v>-327</v>
      </c>
      <c r="AE38" s="11">
        <f>SUM(N38:Q38)</f>
        <v>-641</v>
      </c>
      <c r="AF38" s="11">
        <f>SUM(O38:R38)</f>
        <v>-676</v>
      </c>
      <c r="AG38" s="11">
        <f>SUM(P38:S38)</f>
        <v>-706</v>
      </c>
      <c r="AH38" s="11">
        <f>SUM(Q38:T38)</f>
        <v>46954</v>
      </c>
      <c r="AI38" s="11">
        <f>SUM(R38:U38)</f>
        <v>47164</v>
      </c>
      <c r="AJ38" s="11">
        <f>SUM(S38:V38)</f>
        <v>47182</v>
      </c>
      <c r="AK38" s="11">
        <f>SUM(T38:W38)</f>
        <v>47174</v>
      </c>
    </row>
    <row r="39" spans="1:39" ht="12.75" customHeight="1">
      <c r="B39" s="33" t="s">
        <v>534</v>
      </c>
      <c r="C39" s="181">
        <f>SUM('Historical Financials'!E135:E137)</f>
        <v>-27424</v>
      </c>
      <c r="D39" s="181">
        <f>SUM('Historical Financials'!F135:F137)</f>
        <v>-23605</v>
      </c>
      <c r="E39" s="181">
        <f>SUM('Historical Financials'!G135:G137)</f>
        <v>0</v>
      </c>
      <c r="F39" s="181">
        <f>SUM('Historical Financials'!H135:H137)</f>
        <v>0</v>
      </c>
      <c r="G39" s="181">
        <f>SUM('Historical Financials'!I135:I137)</f>
        <v>0</v>
      </c>
      <c r="H39" s="34"/>
      <c r="I39" s="181">
        <f>SUM('Historical Financials'!AA135:AA137)</f>
        <v>0</v>
      </c>
      <c r="J39" s="181">
        <f>SUM('Historical Financials'!AB135:AB137)</f>
        <v>0</v>
      </c>
      <c r="K39" s="181">
        <f>SUM('Historical Financials'!AC135:AC137)</f>
        <v>0</v>
      </c>
      <c r="L39" s="181">
        <f>SUM('Historical Financials'!AD135:AD137)</f>
        <v>0</v>
      </c>
      <c r="M39" s="181">
        <f>SUM('Historical Financials'!AE135:AE137)</f>
        <v>0</v>
      </c>
      <c r="N39" s="181">
        <f>SUM('Historical Financials'!AF135:AF137)</f>
        <v>0</v>
      </c>
      <c r="O39" s="181">
        <f>SUM('Historical Financials'!AG135:AG137)</f>
        <v>0</v>
      </c>
      <c r="P39" s="181">
        <f>SUM('Historical Financials'!AH135:AH137)</f>
        <v>0</v>
      </c>
      <c r="Q39" s="181">
        <f>SUM('Historical Financials'!AI135:AI137)</f>
        <v>0</v>
      </c>
      <c r="R39" s="181">
        <f>SUM('Historical Financials'!AJ135:AJ137)</f>
        <v>0</v>
      </c>
      <c r="S39" s="181">
        <f>SUM('Historical Financials'!AK135:AK137)</f>
        <v>0</v>
      </c>
      <c r="T39" s="181">
        <f>SUM('Historical Financials'!AL135:AL137)</f>
        <v>0</v>
      </c>
      <c r="U39" s="181">
        <f>SUM('Historical Financials'!AM135:AM137)</f>
        <v>-125</v>
      </c>
      <c r="V39" s="181">
        <f>SUM('Historical Financials'!AN135:AN137)</f>
        <v>35008</v>
      </c>
      <c r="W39" s="181">
        <f>SUM('Historical Financials'!AO135:AO137)</f>
        <v>54803</v>
      </c>
      <c r="Y39" s="11">
        <f>SUM(H39:K39)</f>
        <v>0</v>
      </c>
      <c r="Z39" s="11">
        <f>SUM(I39:L39)</f>
        <v>0</v>
      </c>
      <c r="AA39" s="11">
        <f>SUM(J39:M39)</f>
        <v>0</v>
      </c>
      <c r="AB39" s="11">
        <f>SUM(K39:N39)</f>
        <v>0</v>
      </c>
      <c r="AC39" s="11">
        <f>SUM(L39:O39)</f>
        <v>0</v>
      </c>
      <c r="AD39" s="11">
        <f>SUM(M39:P39)</f>
        <v>0</v>
      </c>
      <c r="AE39" s="11">
        <f>SUM(N39:Q39)</f>
        <v>0</v>
      </c>
      <c r="AF39" s="11">
        <f>SUM(O39:R39)</f>
        <v>0</v>
      </c>
      <c r="AG39" s="11">
        <f>SUM(P39:S39)</f>
        <v>0</v>
      </c>
      <c r="AH39" s="11">
        <f>SUM(Q39:T39)</f>
        <v>0</v>
      </c>
      <c r="AI39" s="11">
        <f>SUM(R39:U39)</f>
        <v>-125</v>
      </c>
      <c r="AJ39" s="11">
        <f>SUM(S39:V39)</f>
        <v>34883</v>
      </c>
      <c r="AK39" s="11">
        <f>SUM(T39:W39)</f>
        <v>89686</v>
      </c>
    </row>
    <row r="40" spans="1:39" ht="12.75" customHeight="1">
      <c r="B40" s="33" t="s">
        <v>530</v>
      </c>
      <c r="C40" s="181">
        <f>'Historical Financials'!E134</f>
        <v>-70</v>
      </c>
      <c r="D40" s="181">
        <f>'Historical Financials'!F134</f>
        <v>-177</v>
      </c>
      <c r="E40" s="181">
        <f>'Historical Financials'!G134</f>
        <v>-210</v>
      </c>
      <c r="F40" s="181">
        <f>'Historical Financials'!H134</f>
        <v>-223</v>
      </c>
      <c r="G40" s="181">
        <f>'Historical Financials'!I134</f>
        <v>-1177</v>
      </c>
      <c r="H40" s="34"/>
      <c r="I40" s="181">
        <f>'Historical Financials'!AA134</f>
        <v>-45</v>
      </c>
      <c r="J40" s="181">
        <f>'Historical Financials'!AB134</f>
        <v>2</v>
      </c>
      <c r="K40" s="181">
        <f>'Historical Financials'!AC134</f>
        <v>-109</v>
      </c>
      <c r="L40" s="181">
        <f>'Historical Financials'!AD134</f>
        <v>-58</v>
      </c>
      <c r="M40" s="181">
        <f>'Historical Financials'!AE134</f>
        <v>-33</v>
      </c>
      <c r="N40" s="181">
        <f>'Historical Financials'!AF134</f>
        <v>-82</v>
      </c>
      <c r="O40" s="181">
        <f>'Historical Financials'!AG134</f>
        <v>-53</v>
      </c>
      <c r="P40" s="181">
        <f>'Historical Financials'!AH134</f>
        <v>-55</v>
      </c>
      <c r="Q40" s="181">
        <f>'Historical Financials'!AI134</f>
        <v>-511</v>
      </c>
      <c r="R40" s="181">
        <f>'Historical Financials'!AJ134</f>
        <v>-3</v>
      </c>
      <c r="S40" s="181">
        <f>'Historical Financials'!AK134</f>
        <v>-169</v>
      </c>
      <c r="T40" s="181">
        <f>'Historical Financials'!AL134</f>
        <v>-494</v>
      </c>
      <c r="U40" s="181">
        <f>'Historical Financials'!AM134</f>
        <v>-244</v>
      </c>
      <c r="V40" s="181">
        <f>'Historical Financials'!AN134</f>
        <v>-693</v>
      </c>
      <c r="W40" s="181">
        <f>'Historical Financials'!AO134</f>
        <v>-549</v>
      </c>
      <c r="Y40" s="11">
        <f>SUM(H40:K40)</f>
        <v>-152</v>
      </c>
      <c r="Z40" s="11">
        <f>SUM(I40:L40)</f>
        <v>-210</v>
      </c>
      <c r="AA40" s="11">
        <f>SUM(J40:M40)</f>
        <v>-198</v>
      </c>
      <c r="AB40" s="11">
        <f>SUM(K40:N40)</f>
        <v>-282</v>
      </c>
      <c r="AC40" s="11">
        <f>SUM(L40:O40)</f>
        <v>-226</v>
      </c>
      <c r="AD40" s="11">
        <f>SUM(M40:P40)</f>
        <v>-223</v>
      </c>
      <c r="AE40" s="11">
        <f>SUM(N40:Q40)</f>
        <v>-701</v>
      </c>
      <c r="AF40" s="11">
        <f>SUM(O40:R40)</f>
        <v>-622</v>
      </c>
      <c r="AG40" s="11">
        <f>SUM(P40:S40)</f>
        <v>-738</v>
      </c>
      <c r="AH40" s="11">
        <f>SUM(Q40:T40)</f>
        <v>-1177</v>
      </c>
      <c r="AI40" s="11">
        <f>SUM(R40:U40)</f>
        <v>-910</v>
      </c>
      <c r="AJ40" s="11">
        <f>SUM(S40:V40)</f>
        <v>-1600</v>
      </c>
      <c r="AK40" s="11">
        <f>SUM(T40:W40)</f>
        <v>-1980</v>
      </c>
    </row>
    <row r="41" spans="1:39" ht="12.75" customHeight="1">
      <c r="B41" s="33" t="s">
        <v>536</v>
      </c>
      <c r="C41" s="181">
        <f>SUM('Historical Financials'!E120:E125)</f>
        <v>-17204</v>
      </c>
      <c r="D41" s="181">
        <f>SUM('Historical Financials'!F120:F125)</f>
        <v>-11518</v>
      </c>
      <c r="E41" s="181">
        <f>SUM('Historical Financials'!G120:G125)</f>
        <v>-17052</v>
      </c>
      <c r="F41" s="181">
        <f>SUM('Historical Financials'!H120:H125)</f>
        <v>1073</v>
      </c>
      <c r="G41" s="181">
        <f>SUM('Historical Financials'!I120:I125)</f>
        <v>4783</v>
      </c>
      <c r="H41" s="34"/>
      <c r="I41" s="181">
        <f>SUM('Historical Financials'!AA120:AA125)</f>
        <v>49</v>
      </c>
      <c r="J41" s="181">
        <f>SUM('Historical Financials'!AB120:AB125)</f>
        <v>-72</v>
      </c>
      <c r="K41" s="181">
        <f>SUM('Historical Financials'!AC120:AC125)</f>
        <v>-10729</v>
      </c>
      <c r="L41" s="181">
        <f>SUM('Historical Financials'!AD120:AD125)</f>
        <v>-6300</v>
      </c>
      <c r="M41" s="181">
        <f>SUM('Historical Financials'!AE120:AE125)</f>
        <v>-1000</v>
      </c>
      <c r="N41" s="181">
        <f>SUM('Historical Financials'!AF120:AF125)</f>
        <v>66</v>
      </c>
      <c r="O41" s="181">
        <f>SUM('Historical Financials'!AG120:AG125)</f>
        <v>161</v>
      </c>
      <c r="P41" s="181">
        <f>SUM('Historical Financials'!AH120:AH125)</f>
        <v>1846</v>
      </c>
      <c r="Q41" s="181">
        <f>SUM('Historical Financials'!AI120:AI125)</f>
        <v>895</v>
      </c>
      <c r="R41" s="181">
        <f>SUM('Historical Financials'!AJ120:AJ125)</f>
        <v>2794</v>
      </c>
      <c r="S41" s="181">
        <f>SUM('Historical Financials'!AK120:AK125)</f>
        <v>841</v>
      </c>
      <c r="T41" s="181">
        <f>SUM('Historical Financials'!AL120:AL125)</f>
        <v>253</v>
      </c>
      <c r="U41" s="181">
        <f>SUM('Historical Financials'!AM120:AM125)</f>
        <v>348</v>
      </c>
      <c r="V41" s="181">
        <f>SUM('Historical Financials'!AN120:AN125)</f>
        <v>0</v>
      </c>
      <c r="W41" s="181">
        <f>SUM('Historical Financials'!AO120:AO125)</f>
        <v>991</v>
      </c>
      <c r="Y41" s="11"/>
      <c r="Z41" s="11"/>
      <c r="AA41" s="11"/>
      <c r="AB41" s="11"/>
      <c r="AC41" s="11"/>
      <c r="AD41" s="11"/>
      <c r="AE41" s="11"/>
      <c r="AF41" s="11">
        <f>SUM(O41:R41)</f>
        <v>5696</v>
      </c>
      <c r="AG41" s="11">
        <f>SUM(P41:S41)</f>
        <v>6376</v>
      </c>
      <c r="AH41" s="11">
        <f>SUM(Q41:T41)</f>
        <v>4783</v>
      </c>
      <c r="AI41" s="11">
        <f>SUM(R41:U41)</f>
        <v>4236</v>
      </c>
      <c r="AJ41" s="11">
        <f>SUM(S41:V41)</f>
        <v>1442</v>
      </c>
      <c r="AK41" s="11">
        <f>SUM(T41:W41)</f>
        <v>1592</v>
      </c>
    </row>
    <row r="42" spans="1:39" ht="12.75" customHeight="1">
      <c r="B42" s="33" t="s">
        <v>109</v>
      </c>
      <c r="C42" s="34"/>
      <c r="D42" s="34">
        <f>SUM(D47-C47)-SUM(D36:D41)</f>
        <v>-10981</v>
      </c>
      <c r="E42" s="34">
        <f>SUM(E47-D47)-SUM(E36:E41)</f>
        <v>-22813</v>
      </c>
      <c r="F42" s="34">
        <f>SUM(F47-E47)-SUM(F36:F41)</f>
        <v>41297</v>
      </c>
      <c r="G42" s="34">
        <f>SUM(G47-F47)-SUM(G36:G41)</f>
        <v>7457</v>
      </c>
      <c r="H42" s="34"/>
      <c r="I42" s="34">
        <f>SUM(I47-D47)-SUM(I36:I41)</f>
        <v>-1757</v>
      </c>
      <c r="J42" s="34">
        <f t="shared" ref="J42:W42" si="52">SUM(J47-I47)-SUM(J36:J41)</f>
        <v>-3482</v>
      </c>
      <c r="K42" s="34">
        <f t="shared" si="52"/>
        <v>-4435</v>
      </c>
      <c r="L42" s="34">
        <f t="shared" si="52"/>
        <v>-13139</v>
      </c>
      <c r="M42" s="34">
        <f t="shared" si="52"/>
        <v>5560</v>
      </c>
      <c r="N42" s="34">
        <f t="shared" si="52"/>
        <v>4912</v>
      </c>
      <c r="O42" s="34">
        <f t="shared" si="52"/>
        <v>8085</v>
      </c>
      <c r="P42" s="34">
        <f t="shared" si="52"/>
        <v>22740</v>
      </c>
      <c r="Q42" s="34">
        <f t="shared" si="52"/>
        <v>-2522</v>
      </c>
      <c r="R42" s="34">
        <f t="shared" si="52"/>
        <v>5050</v>
      </c>
      <c r="S42" s="34">
        <f t="shared" si="52"/>
        <v>4083</v>
      </c>
      <c r="T42" s="34">
        <f t="shared" si="52"/>
        <v>846</v>
      </c>
      <c r="U42" s="34">
        <f t="shared" si="52"/>
        <v>1903</v>
      </c>
      <c r="V42" s="34">
        <f t="shared" si="52"/>
        <v>595</v>
      </c>
      <c r="W42" s="34">
        <f t="shared" si="52"/>
        <v>-1725</v>
      </c>
      <c r="Y42" s="11">
        <f>SUM(H42:K42)</f>
        <v>-9674</v>
      </c>
      <c r="Z42" s="11">
        <f>SUM(I42:L42)</f>
        <v>-22813</v>
      </c>
      <c r="AA42" s="11">
        <f>SUM(J42:M42)</f>
        <v>-15496</v>
      </c>
      <c r="AB42" s="11">
        <f>SUM(K42:N42)</f>
        <v>-7102</v>
      </c>
      <c r="AC42" s="11">
        <f>SUM(L42:O42)</f>
        <v>5418</v>
      </c>
      <c r="AD42" s="11">
        <f>SUM(M42:P42)</f>
        <v>41297</v>
      </c>
      <c r="AE42" s="11">
        <f>SUM(N42:Q42)</f>
        <v>33215</v>
      </c>
      <c r="AF42" s="11">
        <f>SUM(O42:R42)</f>
        <v>33353</v>
      </c>
      <c r="AG42" s="11">
        <f>SUM(P42:S42)</f>
        <v>29351</v>
      </c>
      <c r="AH42" s="11">
        <f>SUM(Q42:T42)</f>
        <v>7457</v>
      </c>
      <c r="AI42" s="11">
        <f>SUM(R42:U42)</f>
        <v>11882</v>
      </c>
      <c r="AJ42" s="11">
        <f>SUM(S42:V42)</f>
        <v>7427</v>
      </c>
      <c r="AK42" s="11">
        <f>SUM(T42:W42)</f>
        <v>1619</v>
      </c>
    </row>
    <row r="43" spans="1:39" ht="12.75" customHeight="1">
      <c r="B43" s="14" t="s">
        <v>62</v>
      </c>
      <c r="C43" s="15">
        <f>SUM(C36+SUM(C38:C42))</f>
        <v>-113759</v>
      </c>
      <c r="D43" s="15">
        <f>SUM(D36+SUM(D38:D42))</f>
        <v>574167</v>
      </c>
      <c r="E43" s="15">
        <f>SUM(E36+SUM(E38:E42))</f>
        <v>-423372</v>
      </c>
      <c r="F43" s="15">
        <f>SUM(F36+SUM(F38:F42))</f>
        <v>-119417</v>
      </c>
      <c r="G43" s="15">
        <f>SUM(G36+SUM(G38:G42))</f>
        <v>-58592</v>
      </c>
      <c r="I43" s="15">
        <f t="shared" ref="I43:V43" si="53">SUM(I36+SUM(I38:I42))</f>
        <v>-185436</v>
      </c>
      <c r="J43" s="15">
        <f t="shared" si="53"/>
        <v>-93184</v>
      </c>
      <c r="K43" s="15">
        <f t="shared" si="53"/>
        <v>-64498</v>
      </c>
      <c r="L43" s="15">
        <f t="shared" si="53"/>
        <v>-80254</v>
      </c>
      <c r="M43" s="15">
        <f t="shared" si="53"/>
        <v>-51356</v>
      </c>
      <c r="N43" s="15">
        <f t="shared" si="53"/>
        <v>-47785</v>
      </c>
      <c r="O43" s="15">
        <f t="shared" si="53"/>
        <v>6764</v>
      </c>
      <c r="P43" s="15">
        <f t="shared" si="53"/>
        <v>-27040</v>
      </c>
      <c r="Q43" s="15">
        <f t="shared" si="53"/>
        <v>-32592</v>
      </c>
      <c r="R43" s="15">
        <f t="shared" si="53"/>
        <v>-13040</v>
      </c>
      <c r="S43" s="15">
        <f t="shared" si="53"/>
        <v>-23141</v>
      </c>
      <c r="T43" s="15">
        <f t="shared" si="53"/>
        <v>10181</v>
      </c>
      <c r="U43" s="15">
        <f t="shared" si="53"/>
        <v>-29770</v>
      </c>
      <c r="V43" s="15">
        <f t="shared" si="53"/>
        <v>1354</v>
      </c>
      <c r="W43" s="15">
        <f t="shared" ref="W43" si="54">SUM(W36+SUM(W38:W42))</f>
        <v>13799</v>
      </c>
      <c r="Y43" s="15">
        <f t="shared" ref="Y43:AJ43" si="55">SUM(Y36+SUM(Y38:Y42))</f>
        <v>-346687</v>
      </c>
      <c r="Z43" s="15">
        <f t="shared" si="55"/>
        <v>-423579</v>
      </c>
      <c r="AA43" s="15">
        <f t="shared" si="55"/>
        <v>-284998</v>
      </c>
      <c r="AB43" s="15">
        <f t="shared" si="55"/>
        <v>-235234</v>
      </c>
      <c r="AC43" s="15">
        <f t="shared" si="55"/>
        <v>-167865</v>
      </c>
      <c r="AD43" s="15">
        <f t="shared" si="55"/>
        <v>-119859</v>
      </c>
      <c r="AE43" s="15">
        <f t="shared" si="55"/>
        <v>-110916</v>
      </c>
      <c r="AF43" s="15">
        <f t="shared" si="55"/>
        <v>-65908</v>
      </c>
      <c r="AG43" s="15">
        <f t="shared" si="55"/>
        <v>-95813</v>
      </c>
      <c r="AH43" s="15">
        <f t="shared" si="55"/>
        <v>-58592</v>
      </c>
      <c r="AI43" s="15">
        <f t="shared" si="55"/>
        <v>-55770</v>
      </c>
      <c r="AJ43" s="15">
        <f t="shared" si="55"/>
        <v>-41376</v>
      </c>
      <c r="AK43" s="15">
        <f t="shared" ref="AK43" si="56">SUM(AK36+SUM(AK38:AK42))</f>
        <v>-4436</v>
      </c>
    </row>
    <row r="44" spans="1:39" ht="5.0999999999999996" customHeight="1"/>
    <row r="45" spans="1:39" ht="12.75" customHeight="1">
      <c r="A45" s="5"/>
      <c r="B45" s="35" t="s">
        <v>63</v>
      </c>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row>
    <row r="46" spans="1:39" ht="5.0999999999999996" customHeight="1"/>
    <row r="47" spans="1:39" ht="12.75" customHeight="1">
      <c r="B47" s="8" t="s">
        <v>64</v>
      </c>
      <c r="C47" s="181">
        <f>'Historical Financials'!E45</f>
        <v>159127</v>
      </c>
      <c r="D47" s="181">
        <f>'Historical Financials'!F45</f>
        <v>733294</v>
      </c>
      <c r="E47" s="181">
        <f>'Historical Financials'!G45</f>
        <v>309922</v>
      </c>
      <c r="F47" s="181">
        <f>'Historical Financials'!H45</f>
        <v>190505</v>
      </c>
      <c r="G47" s="181">
        <f>'Historical Financials'!I45</f>
        <v>131913</v>
      </c>
      <c r="H47" s="34"/>
      <c r="I47" s="181">
        <f>'Historical Financials'!AA45</f>
        <v>547858</v>
      </c>
      <c r="J47" s="181">
        <f>'Historical Financials'!AB45</f>
        <v>454674</v>
      </c>
      <c r="K47" s="181">
        <f>'Historical Financials'!AC45</f>
        <v>390176</v>
      </c>
      <c r="L47" s="181">
        <f>'Historical Financials'!AD45</f>
        <v>309922</v>
      </c>
      <c r="M47" s="181">
        <f>'Historical Financials'!AE45</f>
        <v>258566</v>
      </c>
      <c r="N47" s="181">
        <f>'Historical Financials'!AF45</f>
        <v>210781</v>
      </c>
      <c r="O47" s="181">
        <f>'Historical Financials'!AG45</f>
        <v>217545</v>
      </c>
      <c r="P47" s="181">
        <f>'Historical Financials'!AH45</f>
        <v>190505</v>
      </c>
      <c r="Q47" s="181">
        <f>'Historical Financials'!AI45</f>
        <v>157913</v>
      </c>
      <c r="R47" s="181">
        <f>'Historical Financials'!AJ45</f>
        <v>144873</v>
      </c>
      <c r="S47" s="181">
        <f>'Historical Financials'!AK45</f>
        <v>121732</v>
      </c>
      <c r="T47" s="181">
        <f>'Historical Financials'!AL45</f>
        <v>131913</v>
      </c>
      <c r="U47" s="181">
        <f>'Historical Financials'!AM45</f>
        <v>102143</v>
      </c>
      <c r="V47" s="181">
        <f>'Historical Financials'!AN45</f>
        <v>103497</v>
      </c>
      <c r="W47" s="181">
        <f>'Historical Financials'!AO45</f>
        <v>117296</v>
      </c>
      <c r="Y47" s="11">
        <f>K47</f>
        <v>390176</v>
      </c>
      <c r="Z47" s="11">
        <f>L47</f>
        <v>309922</v>
      </c>
      <c r="AA47" s="11">
        <f>M47</f>
        <v>258566</v>
      </c>
      <c r="AB47" s="11">
        <f>N47</f>
        <v>210781</v>
      </c>
      <c r="AC47" s="11">
        <f>O47</f>
        <v>217545</v>
      </c>
      <c r="AD47" s="11">
        <f>P47</f>
        <v>190505</v>
      </c>
      <c r="AE47" s="11">
        <f>Q47</f>
        <v>157913</v>
      </c>
      <c r="AF47" s="11">
        <f>R47</f>
        <v>144873</v>
      </c>
      <c r="AG47" s="11">
        <f>S47</f>
        <v>121732</v>
      </c>
      <c r="AH47" s="11">
        <f>T47</f>
        <v>131913</v>
      </c>
      <c r="AI47" s="11">
        <f>U47</f>
        <v>102143</v>
      </c>
      <c r="AJ47" s="11">
        <f>V47</f>
        <v>103497</v>
      </c>
      <c r="AK47" s="11">
        <f>W47</f>
        <v>117296</v>
      </c>
    </row>
    <row r="48" spans="1:39" ht="12.75" customHeight="1">
      <c r="B48" s="8" t="s">
        <v>515</v>
      </c>
      <c r="C48" s="181">
        <f>'Historical Financials'!E46</f>
        <v>0</v>
      </c>
      <c r="D48" s="181">
        <f>'Historical Financials'!F46</f>
        <v>0</v>
      </c>
      <c r="E48" s="181">
        <f>'Historical Financials'!G46</f>
        <v>0</v>
      </c>
      <c r="F48" s="181">
        <f>'Historical Financials'!H46</f>
        <v>2830</v>
      </c>
      <c r="G48" s="181">
        <f>'Historical Financials'!I46</f>
        <v>1041</v>
      </c>
      <c r="H48" s="34"/>
      <c r="I48" s="181">
        <f>'Historical Financials'!AA46</f>
        <v>0</v>
      </c>
      <c r="J48" s="181">
        <f>'Historical Financials'!AB46</f>
        <v>0</v>
      </c>
      <c r="K48" s="181">
        <f>'Historical Financials'!AC46</f>
        <v>0</v>
      </c>
      <c r="L48" s="181">
        <f>'Historical Financials'!AD46</f>
        <v>0</v>
      </c>
      <c r="M48" s="181">
        <f>'Historical Financials'!AE46</f>
        <v>2426</v>
      </c>
      <c r="N48" s="181">
        <f>'Historical Financials'!AF46</f>
        <v>2552</v>
      </c>
      <c r="O48" s="181">
        <f>'Historical Financials'!AG46</f>
        <v>2689</v>
      </c>
      <c r="P48" s="181">
        <f>'Historical Financials'!AH46</f>
        <v>2830</v>
      </c>
      <c r="Q48" s="181">
        <f>'Historical Financials'!AI46</f>
        <v>2971</v>
      </c>
      <c r="R48" s="181">
        <f>'Historical Financials'!AJ46</f>
        <v>536</v>
      </c>
      <c r="S48" s="181">
        <f>'Historical Financials'!AK46</f>
        <v>558</v>
      </c>
      <c r="T48" s="181">
        <f>'Historical Financials'!AL46</f>
        <v>1041</v>
      </c>
      <c r="U48" s="181">
        <f>'Historical Financials'!AM46</f>
        <v>1083</v>
      </c>
      <c r="V48" s="181">
        <f>'Historical Financials'!AN46</f>
        <v>1172</v>
      </c>
      <c r="W48" s="181">
        <f>'Historical Financials'!AO46</f>
        <v>1170</v>
      </c>
      <c r="Y48" s="11">
        <f>K48</f>
        <v>0</v>
      </c>
      <c r="Z48" s="11">
        <f>L48</f>
        <v>0</v>
      </c>
      <c r="AA48" s="11">
        <f>M48</f>
        <v>2426</v>
      </c>
      <c r="AB48" s="11">
        <f>N48</f>
        <v>2552</v>
      </c>
      <c r="AC48" s="11">
        <f>O48</f>
        <v>2689</v>
      </c>
      <c r="AD48" s="11">
        <f>P48</f>
        <v>2830</v>
      </c>
      <c r="AE48" s="11">
        <f>Q48</f>
        <v>2971</v>
      </c>
      <c r="AF48" s="11">
        <f>R48</f>
        <v>536</v>
      </c>
      <c r="AG48" s="11">
        <f>S48</f>
        <v>558</v>
      </c>
      <c r="AH48" s="11">
        <f>T48</f>
        <v>1041</v>
      </c>
      <c r="AI48" s="11">
        <f>U48</f>
        <v>1083</v>
      </c>
      <c r="AJ48" s="11">
        <f>V48</f>
        <v>1172</v>
      </c>
      <c r="AK48" s="11">
        <f>W48</f>
        <v>1170</v>
      </c>
    </row>
    <row r="49" spans="2:37" ht="12.75" customHeight="1">
      <c r="B49" s="8" t="s">
        <v>516</v>
      </c>
      <c r="C49" s="181">
        <f>'Historical Financials'!E53</f>
        <v>0</v>
      </c>
      <c r="D49" s="181">
        <f>'Historical Financials'!F53</f>
        <v>0</v>
      </c>
      <c r="E49" s="181">
        <f>'Historical Financials'!G53</f>
        <v>12627</v>
      </c>
      <c r="F49" s="181">
        <f>'Historical Financials'!H53</f>
        <v>12600</v>
      </c>
      <c r="G49" s="181">
        <f>'Historical Financials'!I53</f>
        <v>12600</v>
      </c>
      <c r="H49" s="181"/>
      <c r="I49" s="181">
        <f>'Historical Financials'!AA53</f>
        <v>0</v>
      </c>
      <c r="J49" s="181">
        <f>'Historical Financials'!AB53</f>
        <v>0</v>
      </c>
      <c r="K49" s="181">
        <f>'Historical Financials'!AC53</f>
        <v>0</v>
      </c>
      <c r="L49" s="181">
        <f>'Historical Financials'!AD53</f>
        <v>12627</v>
      </c>
      <c r="M49" s="181">
        <f>'Historical Financials'!AE53</f>
        <v>12600</v>
      </c>
      <c r="N49" s="181">
        <f>'Historical Financials'!AF53</f>
        <v>12600</v>
      </c>
      <c r="O49" s="181">
        <f>'Historical Financials'!AG53</f>
        <v>12600</v>
      </c>
      <c r="P49" s="181">
        <f>'Historical Financials'!AH53</f>
        <v>12600</v>
      </c>
      <c r="Q49" s="181">
        <f>'Historical Financials'!AI53</f>
        <v>12600</v>
      </c>
      <c r="R49" s="181">
        <f>'Historical Financials'!AJ53</f>
        <v>12600</v>
      </c>
      <c r="S49" s="181">
        <f>'Historical Financials'!AK53</f>
        <v>12600</v>
      </c>
      <c r="T49" s="181">
        <f>'Historical Financials'!AL53</f>
        <v>12600</v>
      </c>
      <c r="U49" s="181">
        <f>'Historical Financials'!AM53</f>
        <v>12600</v>
      </c>
      <c r="V49" s="181">
        <f>'Historical Financials'!AN53</f>
        <v>12600</v>
      </c>
      <c r="W49" s="181">
        <f>'Historical Financials'!AO53</f>
        <v>12600</v>
      </c>
      <c r="Y49" s="11">
        <f>K49</f>
        <v>0</v>
      </c>
      <c r="Z49" s="11">
        <f>L49</f>
        <v>12627</v>
      </c>
      <c r="AA49" s="11">
        <f>M49</f>
        <v>12600</v>
      </c>
      <c r="AB49" s="11">
        <f>N49</f>
        <v>12600</v>
      </c>
      <c r="AC49" s="11">
        <f>O49</f>
        <v>12600</v>
      </c>
      <c r="AD49" s="11">
        <f>P49</f>
        <v>12600</v>
      </c>
      <c r="AE49" s="11">
        <f>Q49</f>
        <v>12600</v>
      </c>
      <c r="AF49" s="11">
        <f>R49</f>
        <v>12600</v>
      </c>
      <c r="AG49" s="11">
        <f>S49</f>
        <v>12600</v>
      </c>
      <c r="AH49" s="11">
        <f>T49</f>
        <v>12600</v>
      </c>
      <c r="AI49" s="11">
        <f>U49</f>
        <v>12600</v>
      </c>
      <c r="AJ49" s="11">
        <f>V49</f>
        <v>12600</v>
      </c>
      <c r="AK49" s="11">
        <f>W49</f>
        <v>12600</v>
      </c>
    </row>
    <row r="50" spans="2:37" ht="12.75" customHeight="1">
      <c r="B50" s="33" t="s">
        <v>540</v>
      </c>
      <c r="C50" s="484">
        <f>150000-C66-C52</f>
        <v>112500</v>
      </c>
      <c r="D50" s="484">
        <v>0</v>
      </c>
      <c r="E50" s="484">
        <v>0</v>
      </c>
      <c r="F50" s="484">
        <v>0</v>
      </c>
      <c r="G50" s="484">
        <v>0</v>
      </c>
      <c r="H50" s="181"/>
      <c r="I50" s="91">
        <v>0</v>
      </c>
      <c r="J50" s="91">
        <v>0</v>
      </c>
      <c r="K50" s="91">
        <v>0</v>
      </c>
      <c r="L50" s="484">
        <f>E50</f>
        <v>0</v>
      </c>
      <c r="M50" s="91">
        <v>0</v>
      </c>
      <c r="N50" s="91">
        <v>0</v>
      </c>
      <c r="O50" s="91">
        <v>0</v>
      </c>
      <c r="P50" s="484">
        <f>F50</f>
        <v>0</v>
      </c>
      <c r="Q50" s="91">
        <v>0</v>
      </c>
      <c r="R50" s="91">
        <v>0</v>
      </c>
      <c r="S50" s="91">
        <v>0</v>
      </c>
      <c r="T50" s="484">
        <f>G50</f>
        <v>0</v>
      </c>
      <c r="U50" s="91">
        <v>0</v>
      </c>
      <c r="V50" s="91">
        <v>0</v>
      </c>
      <c r="W50" s="91">
        <v>0</v>
      </c>
      <c r="Y50" s="11">
        <f>K50</f>
        <v>0</v>
      </c>
      <c r="Z50" s="11">
        <f>L50</f>
        <v>0</v>
      </c>
      <c r="AA50" s="11">
        <f>M50</f>
        <v>0</v>
      </c>
      <c r="AB50" s="11">
        <f>N50</f>
        <v>0</v>
      </c>
      <c r="AC50" s="11">
        <f>O50</f>
        <v>0</v>
      </c>
      <c r="AD50" s="11">
        <f>P50</f>
        <v>0</v>
      </c>
      <c r="AE50" s="11">
        <f>Q50</f>
        <v>0</v>
      </c>
      <c r="AF50" s="11">
        <f>R50</f>
        <v>0</v>
      </c>
      <c r="AG50" s="11">
        <f>S50</f>
        <v>0</v>
      </c>
      <c r="AH50" s="11">
        <f>T50</f>
        <v>0</v>
      </c>
      <c r="AI50" s="11">
        <f>U50</f>
        <v>0</v>
      </c>
      <c r="AJ50" s="11">
        <f>V50</f>
        <v>0</v>
      </c>
      <c r="AK50" s="11">
        <f>W50</f>
        <v>0</v>
      </c>
    </row>
    <row r="51" spans="2:37" ht="12.75" customHeight="1">
      <c r="B51" s="14" t="s">
        <v>65</v>
      </c>
      <c r="C51" s="15">
        <f>SUM(C47:C50)</f>
        <v>271627</v>
      </c>
      <c r="D51" s="15">
        <f>SUM(D47:D50)</f>
        <v>733294</v>
      </c>
      <c r="E51" s="15">
        <f>SUM(E47:E50)</f>
        <v>322549</v>
      </c>
      <c r="F51" s="15">
        <f>SUM(F47:F50)</f>
        <v>205935</v>
      </c>
      <c r="G51" s="15">
        <f>SUM(G47:G50)</f>
        <v>145554</v>
      </c>
      <c r="H51" s="34"/>
      <c r="I51" s="15">
        <f t="shared" ref="I51:V51" si="57">SUM(I47:I50)</f>
        <v>547858</v>
      </c>
      <c r="J51" s="15">
        <f t="shared" si="57"/>
        <v>454674</v>
      </c>
      <c r="K51" s="15">
        <f t="shared" si="57"/>
        <v>390176</v>
      </c>
      <c r="L51" s="15">
        <f t="shared" si="57"/>
        <v>322549</v>
      </c>
      <c r="M51" s="15">
        <f t="shared" si="57"/>
        <v>273592</v>
      </c>
      <c r="N51" s="15">
        <f t="shared" si="57"/>
        <v>225933</v>
      </c>
      <c r="O51" s="15">
        <f t="shared" si="57"/>
        <v>232834</v>
      </c>
      <c r="P51" s="15">
        <f t="shared" si="57"/>
        <v>205935</v>
      </c>
      <c r="Q51" s="15">
        <f t="shared" si="57"/>
        <v>173484</v>
      </c>
      <c r="R51" s="15">
        <f t="shared" si="57"/>
        <v>158009</v>
      </c>
      <c r="S51" s="15">
        <f t="shared" si="57"/>
        <v>134890</v>
      </c>
      <c r="T51" s="15">
        <f t="shared" si="57"/>
        <v>145554</v>
      </c>
      <c r="U51" s="15">
        <f t="shared" si="57"/>
        <v>115826</v>
      </c>
      <c r="V51" s="15">
        <f t="shared" si="57"/>
        <v>117269</v>
      </c>
      <c r="W51" s="15">
        <f t="shared" ref="W51" si="58">SUM(W47:W50)</f>
        <v>131066</v>
      </c>
      <c r="Y51" s="15">
        <f t="shared" ref="Y51:AJ51" si="59">SUM(Y47:Y49)</f>
        <v>390176</v>
      </c>
      <c r="Z51" s="15">
        <f t="shared" si="59"/>
        <v>322549</v>
      </c>
      <c r="AA51" s="15">
        <f t="shared" si="59"/>
        <v>273592</v>
      </c>
      <c r="AB51" s="15">
        <f t="shared" si="59"/>
        <v>225933</v>
      </c>
      <c r="AC51" s="15">
        <f t="shared" si="59"/>
        <v>232834</v>
      </c>
      <c r="AD51" s="15">
        <f t="shared" si="59"/>
        <v>205935</v>
      </c>
      <c r="AE51" s="15">
        <f t="shared" si="59"/>
        <v>173484</v>
      </c>
      <c r="AF51" s="15">
        <f t="shared" si="59"/>
        <v>158009</v>
      </c>
      <c r="AG51" s="15">
        <f t="shared" si="59"/>
        <v>134890</v>
      </c>
      <c r="AH51" s="15">
        <f t="shared" si="59"/>
        <v>145554</v>
      </c>
      <c r="AI51" s="15">
        <f t="shared" si="59"/>
        <v>115826</v>
      </c>
      <c r="AJ51" s="15">
        <f t="shared" si="59"/>
        <v>117269</v>
      </c>
      <c r="AK51" s="15">
        <f t="shared" ref="AK51" si="60">SUM(AK47:AK49)</f>
        <v>131066</v>
      </c>
    </row>
    <row r="52" spans="2:37" ht="12.75" customHeight="1">
      <c r="B52" s="17" t="s">
        <v>538</v>
      </c>
      <c r="C52" s="485">
        <v>12500</v>
      </c>
      <c r="D52" s="485" t="s">
        <v>48</v>
      </c>
      <c r="E52" s="485" t="s">
        <v>48</v>
      </c>
      <c r="F52" s="485" t="s">
        <v>48</v>
      </c>
      <c r="G52" s="485" t="s">
        <v>48</v>
      </c>
      <c r="H52" s="34"/>
      <c r="I52" s="485" t="s">
        <v>48</v>
      </c>
      <c r="J52" s="485" t="s">
        <v>48</v>
      </c>
      <c r="K52" s="485" t="s">
        <v>48</v>
      </c>
      <c r="L52" s="485" t="s">
        <v>48</v>
      </c>
      <c r="M52" s="485" t="s">
        <v>48</v>
      </c>
      <c r="N52" s="485" t="s">
        <v>48</v>
      </c>
      <c r="O52" s="485" t="s">
        <v>48</v>
      </c>
      <c r="P52" s="485" t="s">
        <v>48</v>
      </c>
      <c r="Q52" s="485" t="s">
        <v>48</v>
      </c>
      <c r="R52" s="485" t="s">
        <v>48</v>
      </c>
      <c r="S52" s="485" t="s">
        <v>48</v>
      </c>
      <c r="T52" s="485" t="s">
        <v>48</v>
      </c>
      <c r="U52" s="485" t="s">
        <v>48</v>
      </c>
      <c r="V52" s="485" t="s">
        <v>48</v>
      </c>
      <c r="W52" s="485" t="s">
        <v>48</v>
      </c>
      <c r="X52" s="485"/>
      <c r="Y52" s="485" t="s">
        <v>48</v>
      </c>
      <c r="Z52" s="485" t="s">
        <v>48</v>
      </c>
      <c r="AA52" s="485" t="s">
        <v>48</v>
      </c>
      <c r="AB52" s="485" t="s">
        <v>48</v>
      </c>
      <c r="AC52" s="485" t="s">
        <v>48</v>
      </c>
      <c r="AD52" s="485" t="s">
        <v>48</v>
      </c>
      <c r="AE52" s="485" t="s">
        <v>48</v>
      </c>
      <c r="AF52" s="485" t="s">
        <v>48</v>
      </c>
      <c r="AG52" s="485" t="s">
        <v>48</v>
      </c>
      <c r="AH52" s="485" t="s">
        <v>48</v>
      </c>
      <c r="AI52" s="485" t="s">
        <v>48</v>
      </c>
      <c r="AJ52" s="485" t="s">
        <v>48</v>
      </c>
      <c r="AK52" s="485" t="s">
        <v>48</v>
      </c>
    </row>
    <row r="53" spans="2:37" ht="5.0999999999999996" customHeight="1"/>
    <row r="54" spans="2:37" ht="12.75" customHeight="1">
      <c r="B54" s="37" t="s">
        <v>66</v>
      </c>
    </row>
    <row r="55" spans="2:37" ht="12.75" customHeight="1">
      <c r="B55" s="8" t="s">
        <v>67</v>
      </c>
      <c r="C55" s="181">
        <f>'Historical Financials'!E47</f>
        <v>35975</v>
      </c>
      <c r="D55" s="181">
        <f>'Historical Financials'!F47</f>
        <v>43806</v>
      </c>
      <c r="E55" s="181">
        <f>'Historical Financials'!G47</f>
        <v>34198</v>
      </c>
      <c r="F55" s="181">
        <f>'Historical Financials'!H47</f>
        <v>31730</v>
      </c>
      <c r="G55" s="181">
        <f>'Historical Financials'!I47</f>
        <v>26862</v>
      </c>
      <c r="I55" s="181">
        <f>'Historical Financials'!AA47</f>
        <v>52675</v>
      </c>
      <c r="J55" s="181">
        <f>'Historical Financials'!AB47</f>
        <v>77154</v>
      </c>
      <c r="K55" s="181">
        <f>'Historical Financials'!AC47</f>
        <v>34949</v>
      </c>
      <c r="L55" s="181">
        <f>'Historical Financials'!AD47</f>
        <v>34198</v>
      </c>
      <c r="M55" s="181">
        <f>'Historical Financials'!AE47</f>
        <v>42395</v>
      </c>
      <c r="N55" s="181">
        <f>'Historical Financials'!AF47</f>
        <v>50821</v>
      </c>
      <c r="O55" s="181">
        <f>'Historical Financials'!AG47</f>
        <v>35763</v>
      </c>
      <c r="P55" s="181">
        <f>'Historical Financials'!AH47</f>
        <v>31730</v>
      </c>
      <c r="Q55" s="181">
        <f>'Historical Financials'!AI47</f>
        <v>35648</v>
      </c>
      <c r="R55" s="181">
        <f>'Historical Financials'!AJ47</f>
        <v>34463</v>
      </c>
      <c r="S55" s="181">
        <f>'Historical Financials'!AK47</f>
        <v>34674</v>
      </c>
      <c r="T55" s="181">
        <f>'Historical Financials'!AL47</f>
        <v>26862</v>
      </c>
      <c r="U55" s="181">
        <f>'Historical Financials'!AM47</f>
        <v>33267</v>
      </c>
      <c r="V55" s="181">
        <f>'Historical Financials'!AN47</f>
        <v>37338</v>
      </c>
      <c r="W55" s="181">
        <f>'Historical Financials'!AO47</f>
        <v>27920</v>
      </c>
      <c r="X55" s="11"/>
      <c r="Y55" s="11">
        <f t="shared" ref="Y55:Y60" si="61">K55</f>
        <v>34949</v>
      </c>
      <c r="Z55" s="11">
        <f t="shared" ref="Z55:Z60" si="62">L55</f>
        <v>34198</v>
      </c>
      <c r="AA55" s="11">
        <f t="shared" ref="AA55:AA60" si="63">M55</f>
        <v>42395</v>
      </c>
      <c r="AB55" s="11">
        <f t="shared" ref="AB55:AB60" si="64">N55</f>
        <v>50821</v>
      </c>
      <c r="AC55" s="11">
        <f t="shared" ref="AC55:AC60" si="65">O55</f>
        <v>35763</v>
      </c>
      <c r="AD55" s="11">
        <f t="shared" ref="AD55:AD60" si="66">P55</f>
        <v>31730</v>
      </c>
      <c r="AE55" s="11">
        <f t="shared" ref="AE55:AE60" si="67">Q55</f>
        <v>35648</v>
      </c>
      <c r="AF55" s="11">
        <f t="shared" ref="AF55:AF60" si="68">R55</f>
        <v>34463</v>
      </c>
      <c r="AG55" s="11">
        <f t="shared" ref="AG55:AG60" si="69">S55</f>
        <v>34674</v>
      </c>
      <c r="AH55" s="11">
        <f t="shared" ref="AH55:AH60" si="70">T55</f>
        <v>26862</v>
      </c>
      <c r="AI55" s="11">
        <f t="shared" ref="AI55:AI60" si="71">U55</f>
        <v>33267</v>
      </c>
      <c r="AJ55" s="11">
        <f t="shared" ref="AJ55:AK60" si="72">V55</f>
        <v>37338</v>
      </c>
      <c r="AK55" s="11">
        <f t="shared" si="72"/>
        <v>27920</v>
      </c>
    </row>
    <row r="56" spans="2:37" ht="12.75" customHeight="1">
      <c r="B56" s="8" t="s">
        <v>68</v>
      </c>
      <c r="C56" s="181">
        <f>'Historical Financials'!E62</f>
        <v>53071</v>
      </c>
      <c r="D56" s="181">
        <f>'Historical Financials'!F62</f>
        <v>69040</v>
      </c>
      <c r="E56" s="181">
        <f>'Historical Financials'!G62</f>
        <v>55300</v>
      </c>
      <c r="F56" s="181">
        <f>'Historical Financials'!H62</f>
        <v>56032</v>
      </c>
      <c r="G56" s="181">
        <f>'Historical Financials'!I62</f>
        <v>37571</v>
      </c>
      <c r="H56" s="181"/>
      <c r="I56" s="181">
        <f>'Historical Financials'!AA62</f>
        <v>67387</v>
      </c>
      <c r="J56" s="181">
        <f>'Historical Financials'!AB62</f>
        <v>74430</v>
      </c>
      <c r="K56" s="181">
        <f>'Historical Financials'!AC62</f>
        <v>68676</v>
      </c>
      <c r="L56" s="181">
        <f>'Historical Financials'!AD62</f>
        <v>55300</v>
      </c>
      <c r="M56" s="181">
        <f>'Historical Financials'!AE62</f>
        <v>41131</v>
      </c>
      <c r="N56" s="181">
        <f>'Historical Financials'!AF62</f>
        <v>39508</v>
      </c>
      <c r="O56" s="181">
        <f>'Historical Financials'!AG62</f>
        <v>61861</v>
      </c>
      <c r="P56" s="181">
        <f>'Historical Financials'!AH62</f>
        <v>56032</v>
      </c>
      <c r="Q56" s="181">
        <f>'Historical Financials'!AI62</f>
        <v>55836</v>
      </c>
      <c r="R56" s="181">
        <f>'Historical Financials'!AJ62</f>
        <v>59449</v>
      </c>
      <c r="S56" s="181">
        <f>'Historical Financials'!AK62</f>
        <v>59633</v>
      </c>
      <c r="T56" s="181">
        <f>'Historical Financials'!AL62</f>
        <v>37571</v>
      </c>
      <c r="U56" s="181">
        <f>'Historical Financials'!AM62</f>
        <v>50512</v>
      </c>
      <c r="V56" s="181">
        <f>'Historical Financials'!AN62</f>
        <v>68837</v>
      </c>
      <c r="W56" s="181">
        <f>'Historical Financials'!AO62</f>
        <v>46091</v>
      </c>
      <c r="Y56" s="11">
        <f t="shared" si="61"/>
        <v>68676</v>
      </c>
      <c r="Z56" s="11">
        <f t="shared" si="62"/>
        <v>55300</v>
      </c>
      <c r="AA56" s="11">
        <f t="shared" si="63"/>
        <v>41131</v>
      </c>
      <c r="AB56" s="11">
        <f t="shared" si="64"/>
        <v>39508</v>
      </c>
      <c r="AC56" s="11">
        <f t="shared" si="65"/>
        <v>61861</v>
      </c>
      <c r="AD56" s="11">
        <f t="shared" si="66"/>
        <v>56032</v>
      </c>
      <c r="AE56" s="11">
        <f t="shared" si="67"/>
        <v>55836</v>
      </c>
      <c r="AF56" s="11">
        <f t="shared" si="68"/>
        <v>59449</v>
      </c>
      <c r="AG56" s="11">
        <f t="shared" si="69"/>
        <v>59633</v>
      </c>
      <c r="AH56" s="11">
        <f t="shared" si="70"/>
        <v>37571</v>
      </c>
      <c r="AI56" s="11">
        <f t="shared" si="71"/>
        <v>50512</v>
      </c>
      <c r="AJ56" s="11">
        <f t="shared" si="72"/>
        <v>68837</v>
      </c>
      <c r="AK56" s="11">
        <f t="shared" si="72"/>
        <v>46091</v>
      </c>
    </row>
    <row r="57" spans="2:37" ht="12.75" customHeight="1">
      <c r="B57" s="8" t="s">
        <v>16</v>
      </c>
      <c r="C57" s="181">
        <f>'Historical Financials'!E48</f>
        <v>121717</v>
      </c>
      <c r="D57" s="181">
        <f>'Historical Financials'!F48</f>
        <v>241870</v>
      </c>
      <c r="E57" s="181">
        <f>'Historical Financials'!G48</f>
        <v>235696</v>
      </c>
      <c r="F57" s="181">
        <f>'Historical Financials'!H48</f>
        <v>130336</v>
      </c>
      <c r="G57" s="181">
        <f>'Historical Financials'!I48</f>
        <v>113444</v>
      </c>
      <c r="H57" s="181"/>
      <c r="I57" s="181">
        <f>'Historical Financials'!AA48</f>
        <v>283754</v>
      </c>
      <c r="J57" s="181">
        <f>'Historical Financials'!AB48</f>
        <v>254653</v>
      </c>
      <c r="K57" s="181">
        <f>'Historical Financials'!AC48</f>
        <v>246987</v>
      </c>
      <c r="L57" s="181">
        <f>'Historical Financials'!AD48</f>
        <v>235696</v>
      </c>
      <c r="M57" s="181">
        <f>'Historical Financials'!AE48</f>
        <v>222370</v>
      </c>
      <c r="N57" s="181">
        <f>'Historical Financials'!AF48</f>
        <v>207138</v>
      </c>
      <c r="O57" s="181">
        <f>'Historical Financials'!AG48</f>
        <v>194570</v>
      </c>
      <c r="P57" s="181">
        <f>'Historical Financials'!AH48</f>
        <v>130336</v>
      </c>
      <c r="Q57" s="181">
        <f>'Historical Financials'!AI48</f>
        <v>122538</v>
      </c>
      <c r="R57" s="181">
        <f>'Historical Financials'!AJ48</f>
        <v>119532</v>
      </c>
      <c r="S57" s="181">
        <f>'Historical Financials'!AK48</f>
        <v>125158</v>
      </c>
      <c r="T57" s="181">
        <f>'Historical Financials'!AL48</f>
        <v>113444</v>
      </c>
      <c r="U57" s="181">
        <f>'Historical Financials'!AM48</f>
        <v>100068</v>
      </c>
      <c r="V57" s="181">
        <f>'Historical Financials'!AN48</f>
        <v>110868</v>
      </c>
      <c r="W57" s="181">
        <f>'Historical Financials'!AO48</f>
        <v>110294</v>
      </c>
      <c r="Y57" s="11">
        <f t="shared" si="61"/>
        <v>246987</v>
      </c>
      <c r="Z57" s="11">
        <f t="shared" si="62"/>
        <v>235696</v>
      </c>
      <c r="AA57" s="11">
        <f t="shared" si="63"/>
        <v>222370</v>
      </c>
      <c r="AB57" s="11">
        <f t="shared" si="64"/>
        <v>207138</v>
      </c>
      <c r="AC57" s="11">
        <f t="shared" si="65"/>
        <v>194570</v>
      </c>
      <c r="AD57" s="11">
        <f t="shared" si="66"/>
        <v>130336</v>
      </c>
      <c r="AE57" s="11">
        <f t="shared" si="67"/>
        <v>122538</v>
      </c>
      <c r="AF57" s="11">
        <f t="shared" si="68"/>
        <v>119532</v>
      </c>
      <c r="AG57" s="11">
        <f t="shared" si="69"/>
        <v>125158</v>
      </c>
      <c r="AH57" s="11">
        <f t="shared" si="70"/>
        <v>113444</v>
      </c>
      <c r="AI57" s="11">
        <f t="shared" si="71"/>
        <v>100068</v>
      </c>
      <c r="AJ57" s="11">
        <f t="shared" si="72"/>
        <v>110868</v>
      </c>
      <c r="AK57" s="11">
        <f t="shared" si="72"/>
        <v>110294</v>
      </c>
    </row>
    <row r="58" spans="2:37" ht="12.75" customHeight="1">
      <c r="B58" s="8" t="s">
        <v>69</v>
      </c>
      <c r="C58" s="181">
        <f>'Historical Financials'!E55</f>
        <v>115299</v>
      </c>
      <c r="D58" s="181">
        <f>'Historical Financials'!F55</f>
        <v>226489</v>
      </c>
      <c r="E58" s="181">
        <f>'Historical Financials'!G55</f>
        <v>257002</v>
      </c>
      <c r="F58" s="181">
        <f>'Historical Financials'!H55</f>
        <v>194046</v>
      </c>
      <c r="G58" s="181">
        <f>'Historical Financials'!I55</f>
        <v>184887</v>
      </c>
      <c r="H58" s="181"/>
      <c r="I58" s="181">
        <f>'Historical Financials'!AA55</f>
        <v>241389</v>
      </c>
      <c r="J58" s="181">
        <f>'Historical Financials'!AB55</f>
        <v>258075</v>
      </c>
      <c r="K58" s="181">
        <f>'Historical Financials'!AC55</f>
        <v>262595</v>
      </c>
      <c r="L58" s="181">
        <f>'Historical Financials'!AD55</f>
        <v>257002</v>
      </c>
      <c r="M58" s="181">
        <f>'Historical Financials'!AE55</f>
        <v>251218</v>
      </c>
      <c r="N58" s="181">
        <f>'Historical Financials'!AF55</f>
        <v>250335</v>
      </c>
      <c r="O58" s="181">
        <f>'Historical Financials'!AG55</f>
        <v>245373</v>
      </c>
      <c r="P58" s="181">
        <f>'Historical Financials'!AH55</f>
        <v>194046</v>
      </c>
      <c r="Q58" s="181">
        <f>'Historical Financials'!AI55</f>
        <v>190896</v>
      </c>
      <c r="R58" s="181">
        <f>'Historical Financials'!AJ55</f>
        <v>186584</v>
      </c>
      <c r="S58" s="181">
        <f>'Historical Financials'!AK55</f>
        <v>188115</v>
      </c>
      <c r="T58" s="181">
        <f>'Historical Financials'!AL55</f>
        <v>184887</v>
      </c>
      <c r="U58" s="181">
        <f>'Historical Financials'!AM55</f>
        <v>180781</v>
      </c>
      <c r="V58" s="181">
        <f>'Historical Financials'!AN55</f>
        <v>320988</v>
      </c>
      <c r="W58" s="181">
        <f>'Historical Financials'!AO55</f>
        <v>254387</v>
      </c>
      <c r="Y58" s="11">
        <f t="shared" si="61"/>
        <v>262595</v>
      </c>
      <c r="Z58" s="11">
        <f t="shared" si="62"/>
        <v>257002</v>
      </c>
      <c r="AA58" s="11">
        <f t="shared" si="63"/>
        <v>251218</v>
      </c>
      <c r="AB58" s="11">
        <f t="shared" si="64"/>
        <v>250335</v>
      </c>
      <c r="AC58" s="11">
        <f t="shared" si="65"/>
        <v>245373</v>
      </c>
      <c r="AD58" s="11">
        <f t="shared" si="66"/>
        <v>194046</v>
      </c>
      <c r="AE58" s="11">
        <f t="shared" si="67"/>
        <v>190896</v>
      </c>
      <c r="AF58" s="11">
        <f t="shared" si="68"/>
        <v>186584</v>
      </c>
      <c r="AG58" s="11">
        <f t="shared" si="69"/>
        <v>188115</v>
      </c>
      <c r="AH58" s="11">
        <f t="shared" si="70"/>
        <v>184887</v>
      </c>
      <c r="AI58" s="11">
        <f t="shared" si="71"/>
        <v>180781</v>
      </c>
      <c r="AJ58" s="11">
        <f t="shared" si="72"/>
        <v>320988</v>
      </c>
      <c r="AK58" s="11">
        <f t="shared" si="72"/>
        <v>254387</v>
      </c>
    </row>
    <row r="59" spans="2:37" ht="12.75" customHeight="1">
      <c r="B59" s="8" t="s">
        <v>70</v>
      </c>
      <c r="C59" s="181">
        <f>'Historical Financials'!E50</f>
        <v>332226</v>
      </c>
      <c r="D59" s="181">
        <f>'Historical Financials'!F50</f>
        <v>1052048</v>
      </c>
      <c r="E59" s="181">
        <f>'Historical Financials'!G50</f>
        <v>606459</v>
      </c>
      <c r="F59" s="181">
        <f>'Historical Financials'!H50</f>
        <v>372844</v>
      </c>
      <c r="G59" s="181">
        <f>'Historical Financials'!I50</f>
        <v>286456</v>
      </c>
      <c r="H59" s="181"/>
      <c r="I59" s="181">
        <f>'Historical Financials'!AA50</f>
        <v>917297</v>
      </c>
      <c r="J59" s="181">
        <f>'Historical Financials'!AB50</f>
        <v>819510</v>
      </c>
      <c r="K59" s="181">
        <f>'Historical Financials'!AC50</f>
        <v>695980</v>
      </c>
      <c r="L59" s="181">
        <f>'Historical Financials'!AD50</f>
        <v>606459</v>
      </c>
      <c r="M59" s="181">
        <f>'Historical Financials'!AE50</f>
        <v>547055</v>
      </c>
      <c r="N59" s="181">
        <f>'Historical Financials'!AF50</f>
        <v>497441</v>
      </c>
      <c r="O59" s="181">
        <f>'Historical Financials'!AG50</f>
        <v>471623</v>
      </c>
      <c r="P59" s="181">
        <f>'Historical Financials'!AH50</f>
        <v>372844</v>
      </c>
      <c r="Q59" s="181">
        <f>'Historical Financials'!AI50</f>
        <v>336503</v>
      </c>
      <c r="R59" s="181">
        <f>'Historical Financials'!AJ50</f>
        <v>317265</v>
      </c>
      <c r="S59" s="181">
        <f>'Historical Financials'!AK50</f>
        <v>297413</v>
      </c>
      <c r="T59" s="181">
        <f>'Historical Financials'!AL50</f>
        <v>286456</v>
      </c>
      <c r="U59" s="181">
        <f>'Historical Financials'!AM50</f>
        <v>257272</v>
      </c>
      <c r="V59" s="181">
        <f>'Historical Financials'!AN50</f>
        <v>297135</v>
      </c>
      <c r="W59" s="181">
        <f>'Historical Financials'!AO50</f>
        <v>288638</v>
      </c>
      <c r="Y59" s="11">
        <f t="shared" si="61"/>
        <v>695980</v>
      </c>
      <c r="Z59" s="11">
        <f t="shared" si="62"/>
        <v>606459</v>
      </c>
      <c r="AA59" s="11">
        <f t="shared" si="63"/>
        <v>547055</v>
      </c>
      <c r="AB59" s="11">
        <f t="shared" si="64"/>
        <v>497441</v>
      </c>
      <c r="AC59" s="11">
        <f t="shared" si="65"/>
        <v>471623</v>
      </c>
      <c r="AD59" s="11">
        <f t="shared" si="66"/>
        <v>372844</v>
      </c>
      <c r="AE59" s="11">
        <f t="shared" si="67"/>
        <v>336503</v>
      </c>
      <c r="AF59" s="11">
        <f t="shared" si="68"/>
        <v>317265</v>
      </c>
      <c r="AG59" s="11">
        <f t="shared" si="69"/>
        <v>297413</v>
      </c>
      <c r="AH59" s="11">
        <f t="shared" si="70"/>
        <v>286456</v>
      </c>
      <c r="AI59" s="11">
        <f t="shared" si="71"/>
        <v>257272</v>
      </c>
      <c r="AJ59" s="11">
        <f t="shared" si="72"/>
        <v>297135</v>
      </c>
      <c r="AK59" s="11">
        <f t="shared" si="72"/>
        <v>288638</v>
      </c>
    </row>
    <row r="60" spans="2:37" ht="12.75" customHeight="1">
      <c r="B60" s="8" t="s">
        <v>24</v>
      </c>
      <c r="C60" s="181">
        <f>'Historical Financials'!E76</f>
        <v>100909</v>
      </c>
      <c r="D60" s="181">
        <f>'Historical Financials'!F76</f>
        <v>1246904</v>
      </c>
      <c r="E60" s="181">
        <f>'Historical Financials'!G76</f>
        <v>1265772</v>
      </c>
      <c r="F60" s="181">
        <f>'Historical Financials'!H76</f>
        <v>1287818</v>
      </c>
      <c r="G60" s="181">
        <f>'Historical Financials'!I76</f>
        <v>1279354</v>
      </c>
      <c r="H60" s="181"/>
      <c r="I60" s="181">
        <f>'Historical Financials'!AA76</f>
        <v>1253529</v>
      </c>
      <c r="J60" s="181">
        <f>'Historical Financials'!AB76</f>
        <v>1266050</v>
      </c>
      <c r="K60" s="181">
        <f>'Historical Financials'!AC76</f>
        <v>1283331</v>
      </c>
      <c r="L60" s="181">
        <f>'Historical Financials'!AD76</f>
        <v>1265772</v>
      </c>
      <c r="M60" s="181">
        <f>'Historical Financials'!AE76</f>
        <v>1239711</v>
      </c>
      <c r="N60" s="181">
        <f>'Historical Financials'!AF76</f>
        <v>1267703</v>
      </c>
      <c r="O60" s="181">
        <f>'Historical Financials'!AG76</f>
        <v>1292114</v>
      </c>
      <c r="P60" s="181">
        <f>'Historical Financials'!AH76</f>
        <v>1287818</v>
      </c>
      <c r="Q60" s="181">
        <f>'Historical Financials'!AI76</f>
        <v>1296437</v>
      </c>
      <c r="R60" s="181">
        <f>'Historical Financials'!AJ76</f>
        <v>1301259</v>
      </c>
      <c r="S60" s="181">
        <f>'Historical Financials'!AK76</f>
        <v>1304862</v>
      </c>
      <c r="T60" s="181">
        <f>'Historical Financials'!AL76</f>
        <v>1279354</v>
      </c>
      <c r="U60" s="181">
        <f>'Historical Financials'!AM76</f>
        <v>1293361</v>
      </c>
      <c r="V60" s="181">
        <f>'Historical Financials'!AN76</f>
        <v>1368764</v>
      </c>
      <c r="W60" s="181">
        <f>'Historical Financials'!AO76</f>
        <v>1383734</v>
      </c>
      <c r="Y60" s="11">
        <f t="shared" si="61"/>
        <v>1283331</v>
      </c>
      <c r="Z60" s="11">
        <f t="shared" si="62"/>
        <v>1265772</v>
      </c>
      <c r="AA60" s="11">
        <f t="shared" si="63"/>
        <v>1239711</v>
      </c>
      <c r="AB60" s="11">
        <f t="shared" si="64"/>
        <v>1267703</v>
      </c>
      <c r="AC60" s="11">
        <f t="shared" si="65"/>
        <v>1292114</v>
      </c>
      <c r="AD60" s="11">
        <f t="shared" si="66"/>
        <v>1287818</v>
      </c>
      <c r="AE60" s="11">
        <f t="shared" si="67"/>
        <v>1296437</v>
      </c>
      <c r="AF60" s="11">
        <f t="shared" si="68"/>
        <v>1301259</v>
      </c>
      <c r="AG60" s="11">
        <f t="shared" si="69"/>
        <v>1304862</v>
      </c>
      <c r="AH60" s="11">
        <f t="shared" si="70"/>
        <v>1279354</v>
      </c>
      <c r="AI60" s="11">
        <f t="shared" si="71"/>
        <v>1293361</v>
      </c>
      <c r="AJ60" s="11">
        <f t="shared" si="72"/>
        <v>1368764</v>
      </c>
      <c r="AK60" s="11">
        <f t="shared" si="72"/>
        <v>1383734</v>
      </c>
    </row>
    <row r="61" spans="2:37" ht="5.0999999999999996" customHeight="1"/>
    <row r="62" spans="2:37" ht="12.75" customHeight="1">
      <c r="B62" s="37" t="s">
        <v>71</v>
      </c>
    </row>
    <row r="63" spans="2:37" ht="12.75" customHeight="1">
      <c r="B63" s="8" t="s">
        <v>72</v>
      </c>
      <c r="C63" s="181">
        <f>+'Historical Financials'!E65+'Historical Financials'!E66</f>
        <v>25142</v>
      </c>
      <c r="D63" s="181">
        <f>+'Historical Financials'!F65+'Historical Financials'!F66</f>
        <v>364</v>
      </c>
      <c r="E63" s="181">
        <f>+'Historical Financials'!G65+'Historical Financials'!G66</f>
        <v>224</v>
      </c>
      <c r="F63" s="181">
        <f>+'Historical Financials'!H65+'Historical Financials'!H66</f>
        <v>196</v>
      </c>
      <c r="G63" s="181">
        <f>+'Historical Financials'!I65+'Historical Financials'!I66</f>
        <v>851</v>
      </c>
      <c r="I63" s="181">
        <f>+'Historical Financials'!AA65+'Historical Financials'!AA66</f>
        <v>183</v>
      </c>
      <c r="J63" s="181">
        <f>+'Historical Financials'!AB65+'Historical Financials'!AB66</f>
        <v>210</v>
      </c>
      <c r="K63" s="181">
        <f>+'Historical Financials'!AC65+'Historical Financials'!AC66</f>
        <v>226</v>
      </c>
      <c r="L63" s="181">
        <f>+'Historical Financials'!AD65+'Historical Financials'!AD66</f>
        <v>224</v>
      </c>
      <c r="M63" s="181">
        <f>+'Historical Financials'!AE65+'Historical Financials'!AE66</f>
        <v>246</v>
      </c>
      <c r="N63" s="181">
        <f>+'Historical Financials'!AF65+'Historical Financials'!AF66</f>
        <v>218</v>
      </c>
      <c r="O63" s="181">
        <f>+'Historical Financials'!AG65+'Historical Financials'!AG66</f>
        <v>209</v>
      </c>
      <c r="P63" s="181">
        <f>+'Historical Financials'!AH65+'Historical Financials'!AH66</f>
        <v>196</v>
      </c>
      <c r="Q63" s="181">
        <f>+'Historical Financials'!AI65+'Historical Financials'!AI66</f>
        <v>763</v>
      </c>
      <c r="R63" s="181">
        <f>+'Historical Financials'!AJ65+'Historical Financials'!AJ66</f>
        <v>1005</v>
      </c>
      <c r="S63" s="181">
        <f>+'Historical Financials'!AK65+'Historical Financials'!AK66</f>
        <v>1140</v>
      </c>
      <c r="T63" s="181">
        <f>+'Historical Financials'!AL65+'Historical Financials'!AL66</f>
        <v>851</v>
      </c>
      <c r="U63" s="181">
        <f>+'Historical Financials'!AM65+'Historical Financials'!AM66</f>
        <v>829</v>
      </c>
      <c r="V63" s="181">
        <f>+'Historical Financials'!AN65+'Historical Financials'!AN66</f>
        <v>3934</v>
      </c>
      <c r="W63" s="181">
        <f>+'Historical Financials'!AO65+'Historical Financials'!AO66</f>
        <v>4554</v>
      </c>
      <c r="Y63" s="11">
        <f>K63</f>
        <v>226</v>
      </c>
      <c r="Z63" s="11">
        <f>L63</f>
        <v>224</v>
      </c>
      <c r="AA63" s="11">
        <f>M63</f>
        <v>246</v>
      </c>
      <c r="AB63" s="11">
        <f>N63</f>
        <v>218</v>
      </c>
      <c r="AC63" s="11">
        <f>O63</f>
        <v>209</v>
      </c>
      <c r="AD63" s="11">
        <f>P63</f>
        <v>196</v>
      </c>
      <c r="AE63" s="11">
        <f>Q63</f>
        <v>763</v>
      </c>
      <c r="AF63" s="11">
        <f>R63</f>
        <v>1005</v>
      </c>
      <c r="AG63" s="11">
        <f>S63</f>
        <v>1140</v>
      </c>
      <c r="AH63" s="11">
        <f>T63</f>
        <v>851</v>
      </c>
      <c r="AI63" s="11">
        <f>U63</f>
        <v>829</v>
      </c>
      <c r="AJ63" s="11">
        <f>V63</f>
        <v>3934</v>
      </c>
      <c r="AK63" s="11">
        <f>W63</f>
        <v>4554</v>
      </c>
    </row>
    <row r="64" spans="2:37" ht="12.75" customHeight="1">
      <c r="B64" s="8" t="s">
        <v>73</v>
      </c>
      <c r="C64" s="181">
        <f>+'Historical Financials'!E70+'Historical Financials'!E71+'Historical Financials'!E74</f>
        <v>149</v>
      </c>
      <c r="D64" s="181">
        <f>+'Historical Financials'!F70+'Historical Financials'!F71+'Historical Financials'!F74</f>
        <v>1130116</v>
      </c>
      <c r="E64" s="181">
        <f>+'Historical Financials'!G70+'Historical Financials'!G71+'Historical Financials'!G74</f>
        <v>1134077</v>
      </c>
      <c r="F64" s="181">
        <f>+'Historical Financials'!H70+'Historical Financials'!H71+'Historical Financials'!H74</f>
        <v>1137816</v>
      </c>
      <c r="G64" s="181">
        <f>+'Historical Financials'!I70+'Historical Financials'!I71+'Historical Financials'!I74</f>
        <v>1144288</v>
      </c>
      <c r="I64" s="181">
        <f>+'Historical Financials'!AA70+'Historical Financials'!AA71+'Historical Financials'!AA74</f>
        <v>1131053</v>
      </c>
      <c r="J64" s="181">
        <f>+'Historical Financials'!AB70+'Historical Financials'!AB71+'Historical Financials'!AB74</f>
        <v>1135380</v>
      </c>
      <c r="K64" s="181">
        <f>+'Historical Financials'!AC70+'Historical Financials'!AC71+'Historical Financials'!AC74</f>
        <v>1136171</v>
      </c>
      <c r="L64" s="181">
        <f>+'Historical Financials'!AD70+'Historical Financials'!AD71+'Historical Financials'!AD74</f>
        <v>1134077</v>
      </c>
      <c r="M64" s="181">
        <f>+'Historical Financials'!AE70+'Historical Financials'!AE71+'Historical Financials'!AE74</f>
        <v>1135007</v>
      </c>
      <c r="N64" s="181">
        <f>+'Historical Financials'!AF70+'Historical Financials'!AF71+'Historical Financials'!AF74</f>
        <v>1135937</v>
      </c>
      <c r="O64" s="181">
        <f>+'Historical Financials'!AG70+'Historical Financials'!AG71+'Historical Financials'!AG74</f>
        <v>1136874</v>
      </c>
      <c r="P64" s="181">
        <f>+'Historical Financials'!AH70+'Historical Financials'!AH71+'Historical Financials'!AH74</f>
        <v>1137816</v>
      </c>
      <c r="Q64" s="181">
        <f>+'Historical Financials'!AI70+'Historical Financials'!AI71+'Historical Financials'!AI74</f>
        <v>1142148</v>
      </c>
      <c r="R64" s="181">
        <f>+'Historical Financials'!AJ70+'Historical Financials'!AJ71+'Historical Financials'!AJ74</f>
        <v>1142857</v>
      </c>
      <c r="S64" s="181">
        <f>+'Historical Financials'!AK70+'Historical Financials'!AK71+'Historical Financials'!AK74</f>
        <v>1143765</v>
      </c>
      <c r="T64" s="181">
        <f>+'Historical Financials'!AL70+'Historical Financials'!AL71+'Historical Financials'!AL74</f>
        <v>1144288</v>
      </c>
      <c r="U64" s="181">
        <f>+'Historical Financials'!AM70+'Historical Financials'!AM71+'Historical Financials'!AM74</f>
        <v>1145312</v>
      </c>
      <c r="V64" s="181">
        <f>+'Historical Financials'!AN70+'Historical Financials'!AN71+'Historical Financials'!AN74</f>
        <v>1223468</v>
      </c>
      <c r="W64" s="181">
        <f>+'Historical Financials'!AO70+'Historical Financials'!AO71+'Historical Financials'!AO74</f>
        <v>1223510</v>
      </c>
      <c r="Y64" s="11">
        <f>K64</f>
        <v>1136171</v>
      </c>
      <c r="Z64" s="11">
        <f>L64</f>
        <v>1134077</v>
      </c>
      <c r="AA64" s="11">
        <f>M64</f>
        <v>1135007</v>
      </c>
      <c r="AB64" s="11">
        <f>N64</f>
        <v>1135937</v>
      </c>
      <c r="AC64" s="11">
        <f>O64</f>
        <v>1136874</v>
      </c>
      <c r="AD64" s="11">
        <f>P64</f>
        <v>1137816</v>
      </c>
      <c r="AE64" s="11">
        <f>Q64</f>
        <v>1142148</v>
      </c>
      <c r="AF64" s="11">
        <f>R64</f>
        <v>1142857</v>
      </c>
      <c r="AG64" s="11">
        <f>S64</f>
        <v>1143765</v>
      </c>
      <c r="AH64" s="11">
        <f>T64</f>
        <v>1144288</v>
      </c>
      <c r="AI64" s="11">
        <f>U64</f>
        <v>1145312</v>
      </c>
      <c r="AJ64" s="11">
        <f>V64</f>
        <v>1223468</v>
      </c>
      <c r="AK64" s="11">
        <f>W64</f>
        <v>1223510</v>
      </c>
    </row>
    <row r="65" spans="1:37">
      <c r="G65" s="11"/>
    </row>
    <row r="66" spans="1:37" ht="12.75" customHeight="1">
      <c r="B66" s="33" t="s">
        <v>540</v>
      </c>
      <c r="C66" s="91">
        <v>25000</v>
      </c>
      <c r="D66" s="91">
        <v>0</v>
      </c>
      <c r="E66" s="91">
        <v>0</v>
      </c>
      <c r="F66" s="91">
        <v>0</v>
      </c>
      <c r="G66" s="91">
        <v>0</v>
      </c>
      <c r="I66" s="91">
        <v>0</v>
      </c>
      <c r="J66" s="91">
        <v>0</v>
      </c>
      <c r="K66" s="91">
        <v>0</v>
      </c>
      <c r="L66" s="484">
        <f>E66</f>
        <v>0</v>
      </c>
      <c r="M66" s="91">
        <v>0</v>
      </c>
      <c r="N66" s="91">
        <v>0</v>
      </c>
      <c r="O66" s="91">
        <v>0</v>
      </c>
      <c r="P66" s="484">
        <f>F66</f>
        <v>0</v>
      </c>
      <c r="Q66" s="91">
        <v>0</v>
      </c>
      <c r="R66" s="91">
        <v>0</v>
      </c>
      <c r="S66" s="91">
        <v>0</v>
      </c>
      <c r="T66" s="484">
        <f>G66</f>
        <v>0</v>
      </c>
      <c r="U66" s="91">
        <v>0</v>
      </c>
      <c r="V66" s="91">
        <v>0</v>
      </c>
      <c r="W66" s="91">
        <v>0</v>
      </c>
      <c r="Y66" s="11">
        <f>K66</f>
        <v>0</v>
      </c>
      <c r="Z66" s="11">
        <f>L66</f>
        <v>0</v>
      </c>
      <c r="AA66" s="11">
        <f>M66</f>
        <v>0</v>
      </c>
      <c r="AB66" s="11">
        <f>N66</f>
        <v>0</v>
      </c>
      <c r="AC66" s="11">
        <f>O66</f>
        <v>0</v>
      </c>
      <c r="AD66" s="11">
        <f>P66</f>
        <v>0</v>
      </c>
      <c r="AE66" s="11">
        <f>Q66</f>
        <v>0</v>
      </c>
      <c r="AF66" s="11">
        <f>R66</f>
        <v>0</v>
      </c>
      <c r="AG66" s="11">
        <f>S66</f>
        <v>0</v>
      </c>
      <c r="AH66" s="11">
        <f>T66</f>
        <v>0</v>
      </c>
      <c r="AI66" s="11">
        <f>U66</f>
        <v>0</v>
      </c>
      <c r="AJ66" s="11">
        <f>V66</f>
        <v>0</v>
      </c>
      <c r="AK66" s="11">
        <f>W66</f>
        <v>0</v>
      </c>
    </row>
    <row r="67" spans="1:37" ht="12.75" customHeight="1">
      <c r="B67" s="33" t="s">
        <v>539</v>
      </c>
      <c r="C67" s="91">
        <v>0</v>
      </c>
      <c r="D67" s="91">
        <v>1129674</v>
      </c>
      <c r="E67" s="91">
        <v>1133608</v>
      </c>
      <c r="F67" s="91">
        <v>1137542</v>
      </c>
      <c r="G67" s="91">
        <v>1141476</v>
      </c>
      <c r="I67" s="91">
        <v>1130657</v>
      </c>
      <c r="J67" s="91">
        <v>1131641</v>
      </c>
      <c r="K67" s="91">
        <v>1132624</v>
      </c>
      <c r="L67" s="484">
        <f>E67</f>
        <v>1133608</v>
      </c>
      <c r="M67" s="91">
        <v>1134591</v>
      </c>
      <c r="N67" s="91">
        <v>1135575</v>
      </c>
      <c r="O67" s="91">
        <v>1136558</v>
      </c>
      <c r="P67" s="484">
        <f>F67</f>
        <v>1137542</v>
      </c>
      <c r="Q67" s="91">
        <v>1138525</v>
      </c>
      <c r="R67" s="91">
        <v>1139509</v>
      </c>
      <c r="S67" s="91">
        <v>1140493</v>
      </c>
      <c r="T67" s="484">
        <f>G67</f>
        <v>1141476</v>
      </c>
      <c r="U67" s="91">
        <v>1142460</v>
      </c>
      <c r="V67" s="91">
        <v>1143443</v>
      </c>
      <c r="W67" s="91">
        <v>1144427</v>
      </c>
      <c r="Y67" s="11">
        <f>K67</f>
        <v>1132624</v>
      </c>
      <c r="Z67" s="11">
        <f>L67</f>
        <v>1133608</v>
      </c>
      <c r="AA67" s="11">
        <f>M67</f>
        <v>1134591</v>
      </c>
      <c r="AB67" s="11">
        <f>N67</f>
        <v>1135575</v>
      </c>
      <c r="AC67" s="11">
        <f>O67</f>
        <v>1136558</v>
      </c>
      <c r="AD67" s="11">
        <f>P67</f>
        <v>1137542</v>
      </c>
      <c r="AE67" s="11">
        <f>Q67</f>
        <v>1138525</v>
      </c>
      <c r="AF67" s="11">
        <f>R67</f>
        <v>1139509</v>
      </c>
      <c r="AG67" s="11">
        <f>S67</f>
        <v>1140493</v>
      </c>
      <c r="AH67" s="11">
        <f>T67</f>
        <v>1141476</v>
      </c>
      <c r="AI67" s="11">
        <f>U67</f>
        <v>1142460</v>
      </c>
      <c r="AJ67" s="11">
        <f>V67</f>
        <v>1143443</v>
      </c>
      <c r="AK67" s="11">
        <f>W67</f>
        <v>1144427</v>
      </c>
    </row>
    <row r="68" spans="1:37" ht="12.75" customHeight="1">
      <c r="B68" s="33" t="s">
        <v>544</v>
      </c>
      <c r="C68" s="91">
        <v>0</v>
      </c>
      <c r="D68" s="91">
        <v>0</v>
      </c>
      <c r="E68" s="91">
        <v>0</v>
      </c>
      <c r="F68" s="91">
        <v>0</v>
      </c>
      <c r="G68" s="91">
        <v>0</v>
      </c>
      <c r="I68" s="91">
        <v>0</v>
      </c>
      <c r="J68" s="91">
        <v>0</v>
      </c>
      <c r="K68" s="91">
        <v>0</v>
      </c>
      <c r="L68" s="484">
        <f>E68</f>
        <v>0</v>
      </c>
      <c r="M68" s="91">
        <v>0</v>
      </c>
      <c r="N68" s="91">
        <v>0</v>
      </c>
      <c r="O68" s="91">
        <v>0</v>
      </c>
      <c r="P68" s="484">
        <f>F68</f>
        <v>0</v>
      </c>
      <c r="Q68" s="91">
        <v>0</v>
      </c>
      <c r="R68" s="91">
        <v>0</v>
      </c>
      <c r="S68" s="91">
        <v>0</v>
      </c>
      <c r="T68" s="484">
        <f>G68</f>
        <v>0</v>
      </c>
      <c r="U68" s="91">
        <v>0</v>
      </c>
      <c r="V68" s="91">
        <v>30525</v>
      </c>
      <c r="W68" s="91">
        <v>77734</v>
      </c>
      <c r="Y68" s="11">
        <f>K68</f>
        <v>0</v>
      </c>
      <c r="Z68" s="11">
        <f>L68</f>
        <v>0</v>
      </c>
      <c r="AA68" s="11">
        <f>M68</f>
        <v>0</v>
      </c>
      <c r="AB68" s="11">
        <f>N68</f>
        <v>0</v>
      </c>
      <c r="AC68" s="11">
        <f>O68</f>
        <v>0</v>
      </c>
      <c r="AD68" s="11">
        <f>P68</f>
        <v>0</v>
      </c>
      <c r="AE68" s="11">
        <f>Q68</f>
        <v>0</v>
      </c>
      <c r="AF68" s="11">
        <f>R68</f>
        <v>0</v>
      </c>
      <c r="AG68" s="11">
        <f>S68</f>
        <v>0</v>
      </c>
      <c r="AH68" s="11">
        <f>T68</f>
        <v>0</v>
      </c>
      <c r="AI68" s="11">
        <f>U68</f>
        <v>0</v>
      </c>
      <c r="AJ68" s="11">
        <f>V68</f>
        <v>30525</v>
      </c>
      <c r="AK68" s="11">
        <f>W68</f>
        <v>77734</v>
      </c>
    </row>
    <row r="69" spans="1:37" ht="12.75" customHeight="1">
      <c r="B69" s="33" t="s">
        <v>543</v>
      </c>
      <c r="C69" s="486">
        <f>+'Historical Financials'!E65+'Historical Financials'!E74</f>
        <v>220</v>
      </c>
      <c r="D69" s="486">
        <f>+'Historical Financials'!F65+'Historical Financials'!F74</f>
        <v>624</v>
      </c>
      <c r="E69" s="486">
        <f>+'Historical Financials'!G65+'Historical Financials'!G74</f>
        <v>693</v>
      </c>
      <c r="F69" s="486">
        <f>+'Historical Financials'!H65+'Historical Financials'!H74</f>
        <v>470</v>
      </c>
      <c r="G69" s="486">
        <f>+'Historical Financials'!I65+'Historical Financials'!I74</f>
        <v>3663</v>
      </c>
      <c r="I69" s="486">
        <f>+'Historical Financials'!AA65+'Historical Financials'!AA74</f>
        <v>579</v>
      </c>
      <c r="J69" s="486">
        <f>+'Historical Financials'!AB65+'Historical Financials'!AB74</f>
        <v>3949</v>
      </c>
      <c r="K69" s="486">
        <f>+'Historical Financials'!AC65+'Historical Financials'!AC74</f>
        <v>3773</v>
      </c>
      <c r="L69" s="486">
        <f>+'Historical Financials'!AD65+'Historical Financials'!AD74</f>
        <v>693</v>
      </c>
      <c r="M69" s="486">
        <f>+'Historical Financials'!AE65+'Historical Financials'!AE74</f>
        <v>662</v>
      </c>
      <c r="N69" s="486">
        <f>+'Historical Financials'!AF65+'Historical Financials'!AF74</f>
        <v>580</v>
      </c>
      <c r="O69" s="486">
        <f>+'Historical Financials'!AG65+'Historical Financials'!AG74</f>
        <v>525</v>
      </c>
      <c r="P69" s="486">
        <f>+'Historical Financials'!AH65+'Historical Financials'!AH74</f>
        <v>470</v>
      </c>
      <c r="Q69" s="486">
        <f>+'Historical Financials'!AI65+'Historical Financials'!AI74</f>
        <v>4386</v>
      </c>
      <c r="R69" s="486">
        <f>+'Historical Financials'!AJ65+'Historical Financials'!AJ74</f>
        <v>4353</v>
      </c>
      <c r="S69" s="486">
        <f>+'Historical Financials'!AK65+'Historical Financials'!AK74</f>
        <v>4413</v>
      </c>
      <c r="T69" s="486">
        <f>+'Historical Financials'!AL65+'Historical Financials'!AL74</f>
        <v>3663</v>
      </c>
      <c r="U69" s="486">
        <f>+'Historical Financials'!AM65+'Historical Financials'!AM74</f>
        <v>3682</v>
      </c>
      <c r="V69" s="486">
        <f>+'Historical Financials'!AN65+'Historical Financials'!AN74</f>
        <v>83959</v>
      </c>
      <c r="W69" s="486">
        <f>+'Historical Financials'!AO65+'Historical Financials'!AO74</f>
        <v>83637</v>
      </c>
      <c r="X69" s="486">
        <f>+'Historical Financials'!AP65+'Historical Financials'!AP74</f>
        <v>0</v>
      </c>
      <c r="Y69" s="11">
        <f>K69</f>
        <v>3773</v>
      </c>
      <c r="Z69" s="11">
        <f>L69</f>
        <v>693</v>
      </c>
      <c r="AA69" s="11">
        <f>M69</f>
        <v>662</v>
      </c>
      <c r="AB69" s="11">
        <f>N69</f>
        <v>580</v>
      </c>
      <c r="AC69" s="11">
        <f>O69</f>
        <v>525</v>
      </c>
      <c r="AD69" s="11">
        <f>P69</f>
        <v>470</v>
      </c>
      <c r="AE69" s="11">
        <f>Q69</f>
        <v>4386</v>
      </c>
      <c r="AF69" s="11">
        <f>R69</f>
        <v>4353</v>
      </c>
      <c r="AG69" s="11">
        <f>S69</f>
        <v>4413</v>
      </c>
      <c r="AH69" s="11">
        <f>T69</f>
        <v>3663</v>
      </c>
      <c r="AI69" s="11">
        <f>U69</f>
        <v>3682</v>
      </c>
      <c r="AJ69" s="11">
        <f>V69</f>
        <v>83959</v>
      </c>
      <c r="AK69" s="11">
        <f>W69</f>
        <v>83637</v>
      </c>
    </row>
    <row r="70" spans="1:37" ht="12.75" customHeight="1">
      <c r="B70" s="14" t="s">
        <v>35</v>
      </c>
      <c r="C70" s="15">
        <f>SUM(C66:C69)</f>
        <v>25220</v>
      </c>
      <c r="D70" s="15">
        <f>SUM(D66:D69)</f>
        <v>1130298</v>
      </c>
      <c r="E70" s="15">
        <f>SUM(E66:E69)</f>
        <v>1134301</v>
      </c>
      <c r="F70" s="15">
        <f>SUM(F66:F69)</f>
        <v>1138012</v>
      </c>
      <c r="G70" s="15">
        <f>SUM(G66:G69)</f>
        <v>1145139</v>
      </c>
      <c r="I70" s="15">
        <f t="shared" ref="I70:V70" si="73">SUM(I66:I69)</f>
        <v>1131236</v>
      </c>
      <c r="J70" s="15">
        <f t="shared" si="73"/>
        <v>1135590</v>
      </c>
      <c r="K70" s="15">
        <f t="shared" si="73"/>
        <v>1136397</v>
      </c>
      <c r="L70" s="15">
        <f t="shared" si="73"/>
        <v>1134301</v>
      </c>
      <c r="M70" s="15">
        <f t="shared" si="73"/>
        <v>1135253</v>
      </c>
      <c r="N70" s="15">
        <f t="shared" si="73"/>
        <v>1136155</v>
      </c>
      <c r="O70" s="15">
        <f t="shared" si="73"/>
        <v>1137083</v>
      </c>
      <c r="P70" s="15">
        <f t="shared" si="73"/>
        <v>1138012</v>
      </c>
      <c r="Q70" s="15">
        <f t="shared" si="73"/>
        <v>1142911</v>
      </c>
      <c r="R70" s="15">
        <f t="shared" si="73"/>
        <v>1143862</v>
      </c>
      <c r="S70" s="15">
        <f t="shared" si="73"/>
        <v>1144906</v>
      </c>
      <c r="T70" s="15">
        <f t="shared" si="73"/>
        <v>1145139</v>
      </c>
      <c r="U70" s="15">
        <f t="shared" si="73"/>
        <v>1146142</v>
      </c>
      <c r="V70" s="15">
        <f t="shared" si="73"/>
        <v>1257927</v>
      </c>
      <c r="W70" s="15">
        <f t="shared" ref="W70" si="74">SUM(W66:W69)</f>
        <v>1305798</v>
      </c>
      <c r="Y70" s="15">
        <f t="shared" ref="Y70:AJ70" si="75">SUM(Y66:Y69)</f>
        <v>1136397</v>
      </c>
      <c r="Z70" s="15">
        <f t="shared" si="75"/>
        <v>1134301</v>
      </c>
      <c r="AA70" s="15">
        <f t="shared" si="75"/>
        <v>1135253</v>
      </c>
      <c r="AB70" s="15">
        <f t="shared" si="75"/>
        <v>1136155</v>
      </c>
      <c r="AC70" s="15">
        <f t="shared" si="75"/>
        <v>1137083</v>
      </c>
      <c r="AD70" s="15">
        <f t="shared" si="75"/>
        <v>1138012</v>
      </c>
      <c r="AE70" s="15">
        <f t="shared" si="75"/>
        <v>1142911</v>
      </c>
      <c r="AF70" s="15">
        <f t="shared" si="75"/>
        <v>1143862</v>
      </c>
      <c r="AG70" s="15">
        <f t="shared" si="75"/>
        <v>1144906</v>
      </c>
      <c r="AH70" s="15">
        <f t="shared" si="75"/>
        <v>1145139</v>
      </c>
      <c r="AI70" s="15">
        <f t="shared" si="75"/>
        <v>1146142</v>
      </c>
      <c r="AJ70" s="15">
        <f t="shared" si="75"/>
        <v>1257927</v>
      </c>
      <c r="AK70" s="15">
        <f t="shared" ref="AK70" si="76">SUM(AK66:AK69)</f>
        <v>1305798</v>
      </c>
    </row>
    <row r="71" spans="1:37" ht="5.0999999999999996" customHeight="1"/>
    <row r="72" spans="1:37" ht="12.75" customHeight="1">
      <c r="B72" s="8" t="s">
        <v>74</v>
      </c>
      <c r="C72" s="181">
        <f>'Historical Financials'!E83</f>
        <v>367097</v>
      </c>
      <c r="D72" s="181">
        <f>'Historical Financials'!F83</f>
        <v>132495</v>
      </c>
      <c r="E72" s="181">
        <f>'Historical Financials'!G83</f>
        <v>-203548</v>
      </c>
      <c r="F72" s="181">
        <f>'Historical Financials'!H83</f>
        <v>-513368</v>
      </c>
      <c r="G72" s="181">
        <f>'Historical Financials'!I83</f>
        <v>-601208</v>
      </c>
      <c r="I72" s="181">
        <f>'Historical Financials'!AA83</f>
        <v>40981</v>
      </c>
      <c r="J72" s="181">
        <f>'Historical Financials'!AB83</f>
        <v>-47941</v>
      </c>
      <c r="K72" s="181">
        <f>'Historical Financials'!AC83</f>
        <v>-142044</v>
      </c>
      <c r="L72" s="181">
        <f>'Historical Financials'!AD83</f>
        <v>-203548</v>
      </c>
      <c r="M72" s="181">
        <f>'Historical Financials'!AE83</f>
        <v>-253134</v>
      </c>
      <c r="N72" s="181">
        <f>'Historical Financials'!AF83</f>
        <v>-299118</v>
      </c>
      <c r="O72" s="181">
        <f>'Historical Financials'!AG83</f>
        <v>-362906</v>
      </c>
      <c r="P72" s="181">
        <f>'Historical Financials'!AH83</f>
        <v>-513368</v>
      </c>
      <c r="Q72" s="181">
        <f>'Historical Financials'!AI83</f>
        <v>-561411</v>
      </c>
      <c r="R72" s="181">
        <f>'Historical Financials'!AJ83</f>
        <v>-590025</v>
      </c>
      <c r="S72" s="181">
        <f>'Historical Financials'!AK83</f>
        <v>-611924</v>
      </c>
      <c r="T72" s="181">
        <f>'Historical Financials'!AL83</f>
        <v>-601208</v>
      </c>
      <c r="U72" s="181">
        <f>'Historical Financials'!AM83</f>
        <v>-649531</v>
      </c>
      <c r="V72" s="181">
        <f>'Historical Financials'!AN83</f>
        <v>-677023</v>
      </c>
      <c r="W72" s="181">
        <f>'Historical Financials'!AO83</f>
        <v>-784065</v>
      </c>
      <c r="Y72" s="11">
        <f>K72</f>
        <v>-142044</v>
      </c>
      <c r="Z72" s="11">
        <f>L72</f>
        <v>-203548</v>
      </c>
      <c r="AA72" s="11">
        <f>M72</f>
        <v>-253134</v>
      </c>
      <c r="AB72" s="11">
        <f>N72</f>
        <v>-299118</v>
      </c>
      <c r="AC72" s="11">
        <f>O72</f>
        <v>-362906</v>
      </c>
      <c r="AD72" s="11">
        <f>P72</f>
        <v>-513368</v>
      </c>
      <c r="AE72" s="11">
        <f>Q72</f>
        <v>-561411</v>
      </c>
      <c r="AF72" s="11">
        <f>R72</f>
        <v>-590025</v>
      </c>
      <c r="AG72" s="11">
        <f>S72</f>
        <v>-611924</v>
      </c>
      <c r="AH72" s="11">
        <f>T72</f>
        <v>-601208</v>
      </c>
      <c r="AI72" s="11">
        <f>U72</f>
        <v>-649531</v>
      </c>
      <c r="AJ72" s="11">
        <f>V72</f>
        <v>-677023</v>
      </c>
      <c r="AK72" s="11">
        <f>W72</f>
        <v>-784065</v>
      </c>
    </row>
    <row r="73" spans="1:37" ht="12.75" customHeight="1">
      <c r="B73" s="14" t="s">
        <v>75</v>
      </c>
      <c r="C73" s="15">
        <f>SUM(C70:C72)</f>
        <v>392317</v>
      </c>
      <c r="D73" s="15">
        <f>SUM(D70:D72)</f>
        <v>1262793</v>
      </c>
      <c r="E73" s="15">
        <f>SUM(E70:E72)</f>
        <v>930753</v>
      </c>
      <c r="F73" s="15">
        <f>SUM(F70:F72)</f>
        <v>624644</v>
      </c>
      <c r="G73" s="15">
        <f>SUM(G70:G72)</f>
        <v>543931</v>
      </c>
      <c r="I73" s="15">
        <f t="shared" ref="I73:R73" si="77">SUM(I70:I72)</f>
        <v>1172217</v>
      </c>
      <c r="J73" s="15">
        <f t="shared" si="77"/>
        <v>1087649</v>
      </c>
      <c r="K73" s="15">
        <f t="shared" si="77"/>
        <v>994353</v>
      </c>
      <c r="L73" s="15">
        <f t="shared" si="77"/>
        <v>930753</v>
      </c>
      <c r="M73" s="15">
        <f t="shared" si="77"/>
        <v>882119</v>
      </c>
      <c r="N73" s="15">
        <f t="shared" si="77"/>
        <v>837037</v>
      </c>
      <c r="O73" s="15">
        <f t="shared" si="77"/>
        <v>774177</v>
      </c>
      <c r="P73" s="15">
        <f t="shared" si="77"/>
        <v>624644</v>
      </c>
      <c r="Q73" s="15">
        <f t="shared" si="77"/>
        <v>581500</v>
      </c>
      <c r="R73" s="15">
        <f t="shared" si="77"/>
        <v>553837</v>
      </c>
      <c r="S73" s="15">
        <f>SUM(S70:S72)</f>
        <v>532982</v>
      </c>
      <c r="T73" s="15">
        <f>SUM(T70:T72)</f>
        <v>543931</v>
      </c>
      <c r="U73" s="15">
        <f>SUM(U70:U72)</f>
        <v>496611</v>
      </c>
      <c r="V73" s="15">
        <f>SUM(V70:V72)</f>
        <v>580904</v>
      </c>
      <c r="W73" s="15">
        <f>SUM(W70:W72)</f>
        <v>521733</v>
      </c>
      <c r="Y73" s="15">
        <f t="shared" ref="Y73:AI73" si="78">SUM(Y70:Y72)</f>
        <v>994353</v>
      </c>
      <c r="Z73" s="15">
        <f t="shared" si="78"/>
        <v>930753</v>
      </c>
      <c r="AA73" s="15">
        <f t="shared" si="78"/>
        <v>882119</v>
      </c>
      <c r="AB73" s="15">
        <f t="shared" si="78"/>
        <v>837037</v>
      </c>
      <c r="AC73" s="15">
        <f t="shared" si="78"/>
        <v>774177</v>
      </c>
      <c r="AD73" s="15">
        <f t="shared" si="78"/>
        <v>624644</v>
      </c>
      <c r="AE73" s="15">
        <f t="shared" si="78"/>
        <v>581500</v>
      </c>
      <c r="AF73" s="15">
        <f t="shared" si="78"/>
        <v>553837</v>
      </c>
      <c r="AG73" s="15">
        <f t="shared" si="78"/>
        <v>532982</v>
      </c>
      <c r="AH73" s="15">
        <f t="shared" si="78"/>
        <v>543931</v>
      </c>
      <c r="AI73" s="15">
        <f t="shared" si="78"/>
        <v>496611</v>
      </c>
      <c r="AJ73" s="15">
        <f>SUM(AJ70:AJ72)</f>
        <v>580904</v>
      </c>
      <c r="AK73" s="15">
        <f>SUM(AK70:AK72)</f>
        <v>521733</v>
      </c>
    </row>
    <row r="74" spans="1:37" ht="5.0999999999999996" customHeight="1"/>
    <row r="75" spans="1:37" ht="12.75" customHeight="1">
      <c r="A75" s="5"/>
      <c r="B75" s="35" t="s">
        <v>110</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row>
    <row r="76" spans="1:37" ht="5.0999999999999996" customHeight="1"/>
    <row r="77" spans="1:37" ht="12.75" customHeight="1">
      <c r="B77" s="8" t="s">
        <v>76</v>
      </c>
      <c r="C77" s="93">
        <f>C70/C29</f>
        <v>-10.791613179289687</v>
      </c>
      <c r="D77" s="93">
        <f>D70/D29</f>
        <v>-10.296215999562754</v>
      </c>
      <c r="E77" s="93">
        <f>E70/E29</f>
        <v>-4.3783065004844195</v>
      </c>
      <c r="F77" s="93">
        <f>F70/F29</f>
        <v>-4.2889306806061729</v>
      </c>
      <c r="G77" s="93">
        <f>G70/G29</f>
        <v>-11.273272297696398</v>
      </c>
      <c r="I77" s="39"/>
      <c r="J77" s="39"/>
      <c r="K77" s="39"/>
      <c r="L77" s="93">
        <f t="shared" ref="L77:W77" si="79">SUM(L70/SUM(I29:L29))</f>
        <v>-4.3783065004844195</v>
      </c>
      <c r="M77" s="93">
        <f t="shared" si="79"/>
        <v>-5.0820011907586382</v>
      </c>
      <c r="N77" s="93">
        <f t="shared" si="79"/>
        <v>-5.7857575711281202</v>
      </c>
      <c r="O77" s="93">
        <f t="shared" si="79"/>
        <v>-6.0266755001987544</v>
      </c>
      <c r="P77" s="93">
        <f t="shared" si="79"/>
        <v>-4.2889306806061729</v>
      </c>
      <c r="Q77" s="93">
        <f t="shared" si="79"/>
        <v>-4.4691398093331349</v>
      </c>
      <c r="R77" s="93">
        <f t="shared" si="79"/>
        <v>-4.7990652441147716</v>
      </c>
      <c r="S77" s="93">
        <f t="shared" si="79"/>
        <v>-5.7043934909768517</v>
      </c>
      <c r="T77" s="93">
        <f t="shared" si="79"/>
        <v>-11.273272297696398</v>
      </c>
      <c r="U77" s="93">
        <f t="shared" si="79"/>
        <v>-10.467337004666794</v>
      </c>
      <c r="V77" s="93">
        <f t="shared" si="79"/>
        <v>-11.739321543558397</v>
      </c>
      <c r="W77" s="93">
        <f t="shared" si="79"/>
        <v>-12.066700549831355</v>
      </c>
      <c r="Y77" s="93">
        <f t="shared" ref="Y77:AJ77" si="80">Y70/Y29</f>
        <v>-5.051843323093884</v>
      </c>
      <c r="Z77" s="93">
        <f t="shared" si="80"/>
        <v>-4.104848515553754</v>
      </c>
      <c r="AA77" s="93">
        <f t="shared" si="80"/>
        <v>-4.786179245680751</v>
      </c>
      <c r="AB77" s="93">
        <f t="shared" si="80"/>
        <v>-5.5240306308496416</v>
      </c>
      <c r="AC77" s="93">
        <f t="shared" si="80"/>
        <v>-5.9538752343152757</v>
      </c>
      <c r="AD77" s="93">
        <f t="shared" si="80"/>
        <v>-4.2991545337090962</v>
      </c>
      <c r="AE77" s="93">
        <f t="shared" si="80"/>
        <v>-4.3451900740982934</v>
      </c>
      <c r="AF77" s="93">
        <f t="shared" si="80"/>
        <v>-4.7990652441147716</v>
      </c>
      <c r="AG77" s="93">
        <f t="shared" si="80"/>
        <v>-5.7043934909768517</v>
      </c>
      <c r="AH77" s="93">
        <f t="shared" si="80"/>
        <v>-11.273272297696398</v>
      </c>
      <c r="AI77" s="93">
        <f t="shared" si="80"/>
        <v>-10.467337004666794</v>
      </c>
      <c r="AJ77" s="93">
        <f t="shared" si="80"/>
        <v>-11.739321543558397</v>
      </c>
      <c r="AK77" s="93">
        <f t="shared" ref="AK77" si="81">AK70/AK29</f>
        <v>-12.066700549831355</v>
      </c>
    </row>
    <row r="78" spans="1:37" ht="12.75" customHeight="1">
      <c r="B78" s="8" t="s">
        <v>77</v>
      </c>
      <c r="C78" s="93">
        <f>SUM(C70-C47)/C29</f>
        <v>57.298673513050922</v>
      </c>
      <c r="D78" s="93">
        <f>SUM(D70-D47)/D29</f>
        <v>-3.6164258776804097</v>
      </c>
      <c r="E78" s="93">
        <f>SUM(E70-E47)/E29</f>
        <v>-3.1820336353074232</v>
      </c>
      <c r="F78" s="93">
        <f>SUM(F70-F47)/F29</f>
        <v>-3.5709569340122185</v>
      </c>
      <c r="G78" s="93">
        <f>SUM(G70-G47)/G29</f>
        <v>-9.974660366213822</v>
      </c>
      <c r="I78" s="39"/>
      <c r="J78" s="39"/>
      <c r="K78" s="39"/>
      <c r="L78" s="93">
        <f t="shared" ref="L78:W78" si="82">SUM(L70-L47)/SUM(I29:L29)</f>
        <v>-3.1820336353074232</v>
      </c>
      <c r="M78" s="93">
        <f t="shared" si="82"/>
        <v>-3.9245211225362264</v>
      </c>
      <c r="N78" s="93">
        <f t="shared" si="82"/>
        <v>-4.7123760636753902</v>
      </c>
      <c r="O78" s="93">
        <f t="shared" si="82"/>
        <v>-4.8736610573737913</v>
      </c>
      <c r="P78" s="93">
        <f t="shared" si="82"/>
        <v>-3.5709569340122185</v>
      </c>
      <c r="Q78" s="93">
        <f t="shared" si="82"/>
        <v>-3.8516505431424841</v>
      </c>
      <c r="R78" s="93">
        <f t="shared" si="82"/>
        <v>-4.1912515575768508</v>
      </c>
      <c r="S78" s="93">
        <f t="shared" si="82"/>
        <v>-5.0978745030043946</v>
      </c>
      <c r="T78" s="93">
        <f t="shared" si="82"/>
        <v>-9.974660366213822</v>
      </c>
      <c r="U78" s="93">
        <f t="shared" si="82"/>
        <v>-9.5344986620638004</v>
      </c>
      <c r="V78" s="93">
        <f t="shared" si="82"/>
        <v>-10.773459007979096</v>
      </c>
      <c r="W78" s="93">
        <f t="shared" si="82"/>
        <v>-10.98278427205101</v>
      </c>
      <c r="Y78" s="93">
        <f t="shared" ref="Y78:AJ78" si="83">SUM(Y70-Y47)/Y29</f>
        <v>-3.3173191907427082</v>
      </c>
      <c r="Z78" s="93">
        <f t="shared" si="83"/>
        <v>-2.9832918373550656</v>
      </c>
      <c r="AA78" s="93">
        <f t="shared" si="83"/>
        <v>-3.696075786065415</v>
      </c>
      <c r="AB78" s="93">
        <f t="shared" si="83"/>
        <v>-4.4992050565212107</v>
      </c>
      <c r="AC78" s="93">
        <f t="shared" si="83"/>
        <v>-4.8147888282665381</v>
      </c>
      <c r="AD78" s="93">
        <f t="shared" si="83"/>
        <v>-3.5794692980136453</v>
      </c>
      <c r="AE78" s="93">
        <f t="shared" si="83"/>
        <v>-3.7448266160765544</v>
      </c>
      <c r="AF78" s="93">
        <f t="shared" si="83"/>
        <v>-4.1912515575768508</v>
      </c>
      <c r="AG78" s="93">
        <f t="shared" si="83"/>
        <v>-5.0978745030043946</v>
      </c>
      <c r="AH78" s="93">
        <f t="shared" si="83"/>
        <v>-9.974660366213822</v>
      </c>
      <c r="AI78" s="93">
        <f t="shared" si="83"/>
        <v>-9.5344986620638004</v>
      </c>
      <c r="AJ78" s="93">
        <f t="shared" si="83"/>
        <v>-10.773459007979096</v>
      </c>
      <c r="AK78" s="93">
        <f t="shared" ref="AK78" si="84">SUM(AK70-AK47)/AK29</f>
        <v>-10.98278427205101</v>
      </c>
    </row>
    <row r="79" spans="1:37" ht="12.75" customHeight="1">
      <c r="B79" s="8" t="s">
        <v>78</v>
      </c>
      <c r="C79" s="93">
        <f>C29/-C34</f>
        <v>-0.9114664586583463</v>
      </c>
      <c r="D79" s="93">
        <f>D29/-D34</f>
        <v>-315.45402298850576</v>
      </c>
      <c r="E79" s="93">
        <f>E29/-E34</f>
        <v>-25907.3</v>
      </c>
      <c r="F79" s="93" t="e">
        <f>F29/-F34</f>
        <v>#DIV/0!</v>
      </c>
      <c r="G79" s="93" t="e">
        <f>G29/-G34</f>
        <v>#DIV/0!</v>
      </c>
      <c r="I79" s="39"/>
      <c r="J79" s="39"/>
      <c r="K79" s="39"/>
      <c r="L79" s="93" cm="1">
        <f t="array" ref="L79">SUM(I29:L29)/SUM(-I34:L34)</f>
        <v>-25907.3</v>
      </c>
      <c r="M79" s="93" cm="1">
        <f t="array" ref="M79">SUM(J29:M29)/SUM(-J34:M34)</f>
        <v>31912.428571428572</v>
      </c>
      <c r="N79" s="93" cm="1">
        <f t="array" ref="N79">SUM(K29:N29)/SUM(-K34:N34)</f>
        <v>1373.2237762237762</v>
      </c>
      <c r="O79" s="93" cm="1">
        <f t="array" ref="O79">SUM(L29:O29)/SUM(-L34:O34)</f>
        <v>-26953.571428571428</v>
      </c>
      <c r="P79" s="93" t="e" cm="1">
        <f t="array" ref="P79">SUM(M29:P29)/SUM(-M34:P34)</f>
        <v>#DIV/0!</v>
      </c>
      <c r="Q79" s="93" t="e" cm="1">
        <f t="array" ref="Q79">SUM(N29:Q29)/SUM(-N34:Q34)</f>
        <v>#DIV/0!</v>
      </c>
      <c r="R79" s="93" t="e" cm="1">
        <f t="array" ref="R79">SUM(O29:R29)/SUM(-O34:R34)</f>
        <v>#DIV/0!</v>
      </c>
      <c r="S79" s="93" t="e" cm="1">
        <f t="array" ref="S79">SUM(P29:S29)/SUM(-P34:S34)</f>
        <v>#DIV/0!</v>
      </c>
      <c r="T79" s="93" t="e" cm="1">
        <f t="array" ref="T79">SUM(Q29:T29)/SUM(-Q34:T34)</f>
        <v>#DIV/0!</v>
      </c>
      <c r="U79" s="93" t="e" cm="1">
        <f t="array" ref="U79">SUM(R29:U29)/SUM(-R34:U34)</f>
        <v>#DIV/0!</v>
      </c>
      <c r="V79" s="93" t="e" cm="1">
        <f t="array" ref="V79">SUM(S29:V29)/SUM(-S34:V34)</f>
        <v>#DIV/0!</v>
      </c>
      <c r="W79" s="93" t="e" cm="1">
        <f t="array" ref="W79">SUM(T29:W29)/SUM(-T34:W34)</f>
        <v>#DIV/0!</v>
      </c>
      <c r="Y79" s="8">
        <f t="shared" ref="Y79:AJ79" si="85">Y29/-Y34</f>
        <v>-74982.333333333328</v>
      </c>
      <c r="Z79" s="8">
        <f t="shared" si="85"/>
        <v>-27633.200000000001</v>
      </c>
      <c r="AA79" s="8">
        <f t="shared" si="85"/>
        <v>33884.857142857145</v>
      </c>
      <c r="AB79" s="8">
        <f t="shared" si="85"/>
        <v>1438.2867132867134</v>
      </c>
      <c r="AC79" s="8">
        <f t="shared" si="85"/>
        <v>-27283.142857142859</v>
      </c>
      <c r="AD79" s="8" t="e">
        <f t="shared" si="85"/>
        <v>#DIV/0!</v>
      </c>
      <c r="AE79" s="8" t="e">
        <f t="shared" si="85"/>
        <v>#DIV/0!</v>
      </c>
      <c r="AF79" s="8" t="e">
        <f t="shared" si="85"/>
        <v>#DIV/0!</v>
      </c>
      <c r="AG79" s="8" t="e">
        <f t="shared" si="85"/>
        <v>#DIV/0!</v>
      </c>
      <c r="AH79" s="8" t="e">
        <f t="shared" si="85"/>
        <v>#DIV/0!</v>
      </c>
      <c r="AI79" s="8" t="e">
        <f t="shared" si="85"/>
        <v>#DIV/0!</v>
      </c>
      <c r="AJ79" s="8" t="e">
        <f t="shared" si="85"/>
        <v>#DIV/0!</v>
      </c>
      <c r="AK79" s="8" t="e">
        <f t="shared" ref="AK79" si="86">AK29/-AK34</f>
        <v>#DIV/0!</v>
      </c>
    </row>
    <row r="80" spans="1:37" ht="12.75" customHeight="1">
      <c r="B80" s="8" t="s">
        <v>79</v>
      </c>
      <c r="C80" s="93" cm="1">
        <f t="array" ref="C80">SUM(C29+C32)/SUM(-C33:C34)</f>
        <v>-23.250580945003872</v>
      </c>
      <c r="D80" s="93" cm="1">
        <f t="array" ref="D80">SUM(D29+D32)/SUM(-D33:D34)</f>
        <v>-727.03846153846155</v>
      </c>
      <c r="E80" s="93" cm="1">
        <f t="array" ref="E80">SUM(E29+E32)/SUM(-E33:E34)</f>
        <v>-6865.583333333333</v>
      </c>
      <c r="F80" s="93" cm="1">
        <f t="array" ref="F80">SUM(F29+F32)/SUM(-F33:F34)</f>
        <v>275901</v>
      </c>
      <c r="G80" s="93" cm="1">
        <f t="array" ref="G80">SUM(G29+G32)/SUM(-G33:G34)</f>
        <v>-18765.833333333332</v>
      </c>
      <c r="I80" s="39"/>
      <c r="J80" s="39"/>
      <c r="K80" s="39"/>
      <c r="L80" s="93" cm="1">
        <f t="array" ref="L80">SUM(I29:L29+I32:L32)/SUM(-I33:L34)</f>
        <v>-6865.583333333333</v>
      </c>
      <c r="M80" s="93" cm="1">
        <f t="array" ref="M80">SUM(J29:M29+J32:M32)/SUM(-J33:M34)</f>
        <v>13219.809523809523</v>
      </c>
      <c r="N80" s="93" cm="1">
        <f t="array" ref="N80">SUM(K29:N29+K32:N32)/SUM(-K33:N34)</f>
        <v>1983.0769230769231</v>
      </c>
      <c r="O80" s="93" cm="1">
        <f t="array" ref="O80">SUM(L29:O29+L32:O32)/SUM(-L33:O34)</f>
        <v>-6295.909090909091</v>
      </c>
      <c r="P80" s="93" cm="1">
        <f t="array" ref="P80">SUM(M29:P29+M32:P32)/SUM(-M33:P34)</f>
        <v>275901</v>
      </c>
      <c r="Q80" s="93" cm="1">
        <f t="array" ref="Q80">SUM(N29:Q29+N32:Q32)/SUM(-N33:Q34)</f>
        <v>-262193</v>
      </c>
      <c r="R80" s="93" cm="1">
        <f t="array" ref="R80">SUM(O29:R29+O32:R32)/SUM(-O33:R34)</f>
        <v>-40716</v>
      </c>
      <c r="S80" s="93" cm="1">
        <f t="array" ref="S80">SUM(P29:S29+P32:S32)/SUM(-P33:S34)</f>
        <v>-34540.5</v>
      </c>
      <c r="T80" s="93" cm="1">
        <f t="array" ref="T80">SUM(Q29:T29+Q32:T32)/SUM(-Q33:T34)</f>
        <v>-18765.833333333332</v>
      </c>
      <c r="U80" s="93" cm="1">
        <f t="array" ref="U80">SUM(R29:U29+R32:U32)/SUM(-R33:U34)</f>
        <v>-30950</v>
      </c>
      <c r="V80" s="93" cm="1">
        <f t="array" ref="V80">SUM(S29:V29+S32:V32)/SUM(-S33:V34)</f>
        <v>15259.125</v>
      </c>
      <c r="W80" s="93" cm="1">
        <f t="array" ref="W80">SUM(T29:W29+T32:W32)/SUM(-T33:W34)</f>
        <v>15502.5</v>
      </c>
      <c r="Y80" s="93" cm="1">
        <f t="array" ref="Y80">SUM(Y29+Y32)/SUM(-Y33:Y34)</f>
        <v>-11870.791666666666</v>
      </c>
      <c r="Z80" s="93" cm="1">
        <f t="array" ref="Z80">SUM(Z29+Z32)/SUM(-Z33:Z34)</f>
        <v>-7225.145833333333</v>
      </c>
      <c r="AA80" s="93" cm="1">
        <f t="array" ref="AA80">SUM(AA29+AA32)/SUM(-AA33:AA34)</f>
        <v>13877.285714285714</v>
      </c>
      <c r="AB80" s="93" cm="1">
        <f t="array" ref="AB80">SUM(AB29+AB32)/SUM(-AB33:AB34)</f>
        <v>2062.5982905982905</v>
      </c>
      <c r="AC80" s="93" cm="1">
        <f t="array" ref="AC80">SUM(AC29+AC32)/SUM(-AC33:AC34)</f>
        <v>-6365.818181818182</v>
      </c>
      <c r="AD80" s="93" cm="1">
        <f t="array" ref="AD80">SUM(AD29+AD32)/SUM(-AD33:AD34)</f>
        <v>275270</v>
      </c>
      <c r="AE80" s="93" cm="1">
        <f t="array" ref="AE80">SUM(AE29+AE32)/SUM(-AE33:AE34)</f>
        <v>-269488</v>
      </c>
      <c r="AF80" s="93" cm="1">
        <f t="array" ref="AF80">SUM(AF29+AF32)/SUM(-AF33:AF34)</f>
        <v>-40716</v>
      </c>
      <c r="AG80" s="93" cm="1">
        <f t="array" ref="AG80">SUM(AG29+AG32)/SUM(-AG33:AG34)</f>
        <v>-34540.5</v>
      </c>
      <c r="AH80" s="93" cm="1">
        <f t="array" ref="AH80">SUM(AH29+AH32)/SUM(-AH33:AH34)</f>
        <v>-18765.833333333332</v>
      </c>
      <c r="AI80" s="93" cm="1">
        <f t="array" ref="AI80">SUM(AI29+AI32)/SUM(-AI33:AI34)</f>
        <v>-30950</v>
      </c>
      <c r="AJ80" s="93" cm="1">
        <f t="array" ref="AJ80">SUM(AJ29+AJ32)/SUM(-AJ33:AJ34)</f>
        <v>15259.125</v>
      </c>
      <c r="AK80" s="93" cm="1">
        <f t="array" ref="AK80">SUM(AK29+AK32)/SUM(-AK33:AK34)</f>
        <v>15502.5</v>
      </c>
    </row>
    <row r="81" spans="2:37" ht="12.75" customHeight="1">
      <c r="B81" s="8" t="s">
        <v>80</v>
      </c>
      <c r="C81" s="93" cm="1">
        <f t="array" ref="C81">SUM(C29)/SUM(-C32:C34)</f>
        <v>-3.8770363980224959E-2</v>
      </c>
      <c r="D81" s="93" cm="1">
        <f t="array" ref="D81">SUM(D29)/SUM(-D32:D34)</f>
        <v>-0.80542043595330859</v>
      </c>
      <c r="E81" s="93" cm="1">
        <f t="array" ref="E81">SUM(E29)/SUM(-E32:E34)</f>
        <v>-3.6735958481630107</v>
      </c>
      <c r="F81" s="93" cm="1">
        <f t="array" ref="F81">SUM(F29)/SUM(-F32:F34)</f>
        <v>-25.119473634384171</v>
      </c>
      <c r="G81" s="93" cm="1">
        <f t="array" ref="G81">SUM(G29)/SUM(-G32:G34)</f>
        <v>-9.2169494601215867</v>
      </c>
      <c r="I81" s="39"/>
      <c r="J81" s="39"/>
      <c r="K81" s="39"/>
      <c r="L81" s="93" cm="1">
        <f t="array" ref="L81">SUM(I29:L29)/SUM(-I32:L34)</f>
        <v>-3.6735958481630107</v>
      </c>
      <c r="M81" s="93" cm="1">
        <f t="array" ref="M81">SUM(J29:M29)/SUM(-J32:M34)</f>
        <v>-4.1209231109799296</v>
      </c>
      <c r="N81" s="93" cm="1">
        <f t="array" ref="N81">SUM(K29:N29)/SUM(-K32:N34)</f>
        <v>-5.5265957446808507</v>
      </c>
      <c r="O81" s="93" cm="1">
        <f t="array" ref="O81">SUM(L29:O29)/SUM(-L32:O34)</f>
        <v>-9.8663912566019984</v>
      </c>
      <c r="P81" s="93" cm="1">
        <f t="array" ref="P81">SUM(M29:P29)/SUM(-M32:P34)</f>
        <v>-25.119473634384171</v>
      </c>
      <c r="Q81" s="93" cm="1">
        <f t="array" ref="Q81">SUM(N29:Q29)/SUM(-N32:Q34)</f>
        <v>-39.587306501547985</v>
      </c>
      <c r="R81" s="93" cm="1">
        <f t="array" ref="R81">SUM(O29:R29)/SUM(-O32:R34)</f>
        <v>-40.052260124348848</v>
      </c>
      <c r="S81" s="93" cm="1">
        <f t="array" ref="S81">SUM(P29:S29)/SUM(-P32:S34)</f>
        <v>-30.674919761577257</v>
      </c>
      <c r="T81" s="93" cm="1">
        <f t="array" ref="T81">SUM(Q29:T29)/SUM(-Q32:T34)</f>
        <v>-9.2169494601215867</v>
      </c>
      <c r="U81" s="93" cm="1">
        <f t="array" ref="U81">SUM(R29:U29)/SUM(-R32:U34)</f>
        <v>-7.6533864541832672</v>
      </c>
      <c r="V81" s="93" cm="1">
        <f t="array" ref="V81">SUM(S29:V29)/SUM(-S32:V34)</f>
        <v>-7.1867873910127429</v>
      </c>
      <c r="W81" s="93" cm="1">
        <f t="array" ref="W81">SUM(T29:W29)/SUM(-T32:W34)</f>
        <v>-6.8503513325314938</v>
      </c>
      <c r="Y81" s="93" cm="1">
        <f t="array" ref="Y81">SUM(Y29)/SUM(-Y32:Y34)</f>
        <v>-3.7506169134320393</v>
      </c>
      <c r="Z81" s="93" cm="1">
        <f t="array" ref="Z81">SUM(Z29)/SUM(-Z32:Z34)</f>
        <v>-3.9183245182422755</v>
      </c>
      <c r="AA81" s="93" cm="1">
        <f t="array" ref="AA81">SUM(AA29)/SUM(-AA32:AA34)</f>
        <v>-4.3756272136953953</v>
      </c>
      <c r="AB81" s="93" cm="1">
        <f t="array" ref="AB81">SUM(AB29)/SUM(-AB32:AB34)</f>
        <v>-5.7884442192952834</v>
      </c>
      <c r="AC81" s="93" cm="1">
        <f t="array" ref="AC81">SUM(AC29)/SUM(-AC32:AC34)</f>
        <v>-9.9870313235371011</v>
      </c>
      <c r="AD81" s="93" cm="1">
        <f t="array" ref="AD81">SUM(AD29)/SUM(-AD32:AD34)</f>
        <v>-25.059736817192086</v>
      </c>
      <c r="AE81" s="93" cm="1">
        <f t="array" ref="AE81">SUM(AE29)/SUM(-AE32:AE34)</f>
        <v>-40.716563467492257</v>
      </c>
      <c r="AF81" s="93" cm="1">
        <f t="array" ref="AF81">SUM(AF29)/SUM(-AF32:AF34)</f>
        <v>-40.052260124348848</v>
      </c>
      <c r="AG81" s="93" cm="1">
        <f t="array" ref="AG81">SUM(AG29)/SUM(-AG32:AG34)</f>
        <v>-30.674919761577257</v>
      </c>
      <c r="AH81" s="93" cm="1">
        <f t="array" ref="AH81">SUM(AH29)/SUM(-AH32:AH34)</f>
        <v>-9.2169494601215867</v>
      </c>
      <c r="AI81" s="93" cm="1">
        <f t="array" ref="AI81">SUM(AI29)/SUM(-AI32:AI34)</f>
        <v>-7.6533864541832672</v>
      </c>
      <c r="AJ81" s="93" cm="1">
        <f t="array" ref="AJ81">SUM(AJ29)/SUM(-AJ32:AJ34)</f>
        <v>-7.1867873910127429</v>
      </c>
      <c r="AK81" s="93" cm="1">
        <f t="array" ref="AK81">SUM(AK29)/SUM(-AK32:AK34)</f>
        <v>-6.8503513325314938</v>
      </c>
    </row>
    <row r="82" spans="2:37" ht="12.75" customHeight="1">
      <c r="B82" s="8" t="s">
        <v>81</v>
      </c>
      <c r="C82" s="93">
        <f>C73/C70</f>
        <v>15.555789056304521</v>
      </c>
      <c r="D82" s="93">
        <f>D73/D70</f>
        <v>1.117221299161814</v>
      </c>
      <c r="E82" s="93">
        <f>E73/E70</f>
        <v>0.82055204041960639</v>
      </c>
      <c r="F82" s="93">
        <f>F73/F70</f>
        <v>0.54889052136532834</v>
      </c>
      <c r="G82" s="93">
        <f>G73/G70</f>
        <v>0.47499124560424544</v>
      </c>
      <c r="I82" s="39"/>
      <c r="J82" s="39"/>
      <c r="K82" s="39"/>
      <c r="L82" s="93">
        <f t="shared" ref="L82:V82" si="87">L73/L70</f>
        <v>0.82055204041960639</v>
      </c>
      <c r="M82" s="93">
        <f t="shared" si="87"/>
        <v>0.77702415232551691</v>
      </c>
      <c r="N82" s="93">
        <f t="shared" si="87"/>
        <v>0.73672782322834474</v>
      </c>
      <c r="O82" s="93">
        <f t="shared" si="87"/>
        <v>0.68084475803437394</v>
      </c>
      <c r="P82" s="93">
        <f t="shared" si="87"/>
        <v>0.54889052136532834</v>
      </c>
      <c r="Q82" s="93">
        <f t="shared" si="87"/>
        <v>0.50878852334083757</v>
      </c>
      <c r="R82" s="93">
        <f t="shared" si="87"/>
        <v>0.48418165827695997</v>
      </c>
      <c r="S82" s="93">
        <f t="shared" si="87"/>
        <v>0.4655246806288027</v>
      </c>
      <c r="T82" s="93">
        <f t="shared" si="87"/>
        <v>0.47499124560424544</v>
      </c>
      <c r="U82" s="93">
        <f t="shared" si="87"/>
        <v>0.43328924339218</v>
      </c>
      <c r="V82" s="93">
        <f t="shared" si="87"/>
        <v>0.46179468283930625</v>
      </c>
      <c r="W82" s="93">
        <f t="shared" ref="W82" si="88">W73/W70</f>
        <v>0.39955107911024523</v>
      </c>
      <c r="Y82" s="93">
        <f t="shared" ref="Y82:AI82" si="89">Y73/Y70</f>
        <v>0.87500494985467225</v>
      </c>
      <c r="Z82" s="93">
        <f t="shared" si="89"/>
        <v>0.82055204041960639</v>
      </c>
      <c r="AA82" s="93">
        <f t="shared" si="89"/>
        <v>0.77702415232551691</v>
      </c>
      <c r="AB82" s="93">
        <f t="shared" si="89"/>
        <v>0.73672782322834474</v>
      </c>
      <c r="AC82" s="93">
        <f t="shared" si="89"/>
        <v>0.68084475803437394</v>
      </c>
      <c r="AD82" s="93">
        <f t="shared" si="89"/>
        <v>0.54889052136532834</v>
      </c>
      <c r="AE82" s="93">
        <f t="shared" si="89"/>
        <v>0.50878852334083757</v>
      </c>
      <c r="AF82" s="93">
        <f t="shared" si="89"/>
        <v>0.48418165827695997</v>
      </c>
      <c r="AG82" s="93">
        <f t="shared" si="89"/>
        <v>0.4655246806288027</v>
      </c>
      <c r="AH82" s="93">
        <f t="shared" si="89"/>
        <v>0.47499124560424544</v>
      </c>
      <c r="AI82" s="93">
        <f t="shared" si="89"/>
        <v>0.43328924339218</v>
      </c>
      <c r="AJ82" s="93">
        <f>AJ73/AJ70</f>
        <v>0.46179468283930625</v>
      </c>
      <c r="AK82" s="93">
        <f>AK73/AK70</f>
        <v>0.39955107911024523</v>
      </c>
    </row>
    <row r="83" spans="2:37" ht="5.0999999999999996" customHeight="1" thickBot="1">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row>
  </sheetData>
  <mergeCells count="1">
    <mergeCell ref="AM2:AM4"/>
  </mergeCells>
  <dataValidations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C36:V37 AL37:AM37 H32:H34 H39 H40 AL39:AM40 AL35 AL36 H35 AL38:AM38 H38 I38:V39 I40:V40 C38:G40 I41:V41 C41:G41" formulaRange="1"/>
    <ignoredError sqref="E77:O78 X77:X78 AJ77:AJ78 E80:V82 H79:K79 P77:V78 P79:V79 AJ80:AJ82 X80:X82" evalError="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A2:T232"/>
  <sheetViews>
    <sheetView showGridLines="0" tabSelected="1" topLeftCell="A22" zoomScale="115" zoomScaleNormal="115" workbookViewId="0">
      <selection activeCell="F33" sqref="F33"/>
    </sheetView>
  </sheetViews>
  <sheetFormatPr defaultColWidth="7.75" defaultRowHeight="12"/>
  <cols>
    <col min="1" max="1" width="1.5" style="8" customWidth="1"/>
    <col min="2" max="2" width="40.875" style="8" bestFit="1" customWidth="1"/>
    <col min="3" max="3" width="8.875" style="8" bestFit="1" customWidth="1"/>
    <col min="4" max="6" width="10" style="8" customWidth="1"/>
    <col min="7" max="7" width="11.375" style="8" bestFit="1" customWidth="1"/>
    <col min="8" max="11" width="10" style="8" customWidth="1"/>
    <col min="12" max="12" width="1.625" style="8" customWidth="1"/>
    <col min="13" max="13" width="10.375" style="8" customWidth="1"/>
    <col min="14" max="16" width="9" style="8" bestFit="1" customWidth="1"/>
    <col min="17" max="18" width="8.25" style="8" bestFit="1" customWidth="1"/>
    <col min="19" max="16384" width="7.75" style="8"/>
  </cols>
  <sheetData>
    <row r="2" spans="1:19">
      <c r="B2" s="1" t="str">
        <f>C6&amp;"(NASDAQ: BYND)"</f>
        <v>Beyond Meat, Inc.(NASDAQ: BYND)</v>
      </c>
      <c r="C2" s="1"/>
      <c r="D2" s="1"/>
      <c r="E2" s="1"/>
      <c r="F2" s="1"/>
      <c r="G2" s="1"/>
      <c r="H2" s="1"/>
      <c r="I2" s="1"/>
      <c r="J2" s="1"/>
      <c r="K2" s="1"/>
    </row>
    <row r="3" spans="1:19">
      <c r="B3" s="6" t="s">
        <v>431</v>
      </c>
      <c r="C3" s="1"/>
      <c r="D3" s="1"/>
      <c r="E3" s="1"/>
      <c r="F3" s="1"/>
      <c r="G3" s="1"/>
      <c r="H3" s="1"/>
      <c r="I3" s="1"/>
      <c r="J3" s="1"/>
      <c r="K3" s="1"/>
    </row>
    <row r="4" spans="1:19">
      <c r="B4" s="6" t="s">
        <v>422</v>
      </c>
      <c r="C4" s="6"/>
      <c r="D4" s="6"/>
      <c r="E4" s="6"/>
      <c r="F4" s="6"/>
      <c r="G4" s="6"/>
      <c r="H4" s="6"/>
      <c r="I4" s="6"/>
      <c r="J4" s="6"/>
      <c r="K4" s="6"/>
    </row>
    <row r="5" spans="1:19" ht="5.0999999999999996" customHeight="1"/>
    <row r="6" spans="1:19">
      <c r="B6" s="344" t="s">
        <v>111</v>
      </c>
      <c r="C6" s="342" t="s">
        <v>507</v>
      </c>
      <c r="D6" s="185"/>
      <c r="E6" s="185"/>
      <c r="F6" s="185"/>
      <c r="G6" s="185"/>
      <c r="H6" s="185"/>
      <c r="I6" s="184" t="s">
        <v>112</v>
      </c>
      <c r="J6" s="185"/>
      <c r="K6" s="350" t="s">
        <v>113</v>
      </c>
    </row>
    <row r="7" spans="1:19">
      <c r="B7" s="345" t="s">
        <v>114</v>
      </c>
      <c r="C7" s="333" t="s">
        <v>506</v>
      </c>
      <c r="K7" s="340"/>
    </row>
    <row r="8" spans="1:19">
      <c r="B8" s="346" t="s">
        <v>115</v>
      </c>
      <c r="C8" s="349">
        <v>1</v>
      </c>
      <c r="K8" s="340"/>
    </row>
    <row r="9" spans="1:19">
      <c r="B9" s="346" t="s">
        <v>116</v>
      </c>
      <c r="C9" s="334"/>
      <c r="K9" s="340"/>
    </row>
    <row r="10" spans="1:19">
      <c r="B10" s="346" t="s">
        <v>117</v>
      </c>
      <c r="C10" s="335">
        <f ca="1">NOW()</f>
        <v>45973.843309722222</v>
      </c>
      <c r="K10" s="340"/>
      <c r="O10" s="70"/>
    </row>
    <row r="11" spans="1:19">
      <c r="B11" s="345" t="s">
        <v>118</v>
      </c>
      <c r="C11" s="336">
        <f>'Historical Financials'!I8</f>
        <v>45657</v>
      </c>
      <c r="K11" s="340"/>
    </row>
    <row r="12" spans="1:19">
      <c r="B12" s="347" t="s">
        <v>119</v>
      </c>
      <c r="C12" s="338">
        <v>4443.2650000000003</v>
      </c>
      <c r="D12" s="337"/>
      <c r="E12" s="337"/>
      <c r="F12" s="337"/>
      <c r="G12" s="337"/>
      <c r="H12" s="337"/>
      <c r="I12" s="337"/>
      <c r="J12" s="337"/>
      <c r="K12" s="341"/>
    </row>
    <row r="14" spans="1:19">
      <c r="A14" s="348" t="s">
        <v>25</v>
      </c>
      <c r="B14" s="1" t="s">
        <v>425</v>
      </c>
      <c r="C14" s="2" t="s">
        <v>423</v>
      </c>
      <c r="D14" s="2"/>
      <c r="E14" s="2"/>
      <c r="F14" s="2"/>
      <c r="G14" s="2" t="s">
        <v>177</v>
      </c>
      <c r="H14" s="2"/>
      <c r="I14" s="2"/>
      <c r="J14" s="2"/>
      <c r="K14" s="2"/>
    </row>
    <row r="15" spans="1:19">
      <c r="B15" s="6" t="s">
        <v>120</v>
      </c>
      <c r="C15" s="353">
        <f>D15-1</f>
        <v>2021</v>
      </c>
      <c r="D15" s="353">
        <f>E15-1</f>
        <v>2022</v>
      </c>
      <c r="E15" s="353">
        <f>F15-1</f>
        <v>2023</v>
      </c>
      <c r="F15" s="353">
        <f>YEAR(C11)</f>
        <v>2024</v>
      </c>
      <c r="G15" s="383">
        <f>F15+1</f>
        <v>2025</v>
      </c>
      <c r="H15" s="383">
        <f>G15+1</f>
        <v>2026</v>
      </c>
      <c r="I15" s="383">
        <f>H15+1</f>
        <v>2027</v>
      </c>
      <c r="J15" s="383">
        <f>I15+1</f>
        <v>2028</v>
      </c>
      <c r="K15" s="383">
        <f>J15+1</f>
        <v>2029</v>
      </c>
    </row>
    <row r="16" spans="1:19">
      <c r="B16" s="6" t="s">
        <v>121</v>
      </c>
      <c r="C16" s="3">
        <f>EOMONTH(D16,-12)</f>
        <v>44561</v>
      </c>
      <c r="D16" s="3">
        <f>EOMONTH(E16,-12)</f>
        <v>44926</v>
      </c>
      <c r="E16" s="3">
        <f>EOMONTH(F16,-12)</f>
        <v>45291</v>
      </c>
      <c r="F16" s="3">
        <f>C11</f>
        <v>45657</v>
      </c>
      <c r="G16" s="3">
        <f>EOMONTH(F16,12)</f>
        <v>46022</v>
      </c>
      <c r="H16" s="3">
        <f>EOMONTH(G16,12)</f>
        <v>46387</v>
      </c>
      <c r="I16" s="3">
        <f>EOMONTH(H16,12)</f>
        <v>46752</v>
      </c>
      <c r="J16" s="3">
        <f>EOMONTH(I16,12)</f>
        <v>47118</v>
      </c>
      <c r="K16" s="3">
        <f>EOMONTH(J16,12)</f>
        <v>47483</v>
      </c>
      <c r="M16" s="1" t="s">
        <v>424</v>
      </c>
      <c r="N16" s="1"/>
      <c r="O16" s="1"/>
      <c r="P16" s="1"/>
      <c r="Q16" s="1"/>
      <c r="R16" s="1"/>
      <c r="S16" s="1"/>
    </row>
    <row r="17" spans="2:13" ht="5.0999999999999996" customHeight="1">
      <c r="B17" s="102"/>
      <c r="C17" s="102"/>
      <c r="D17" s="103"/>
      <c r="E17" s="104"/>
      <c r="F17" s="104"/>
      <c r="G17" s="105"/>
      <c r="H17" s="106"/>
      <c r="I17" s="106"/>
      <c r="J17" s="104"/>
      <c r="K17" s="104"/>
    </row>
    <row r="18" spans="2:13" ht="12.75" customHeight="1">
      <c r="B18" s="8" t="str">
        <f>'Revenue Drivers'!B7</f>
        <v>Retail</v>
      </c>
      <c r="C18" s="168">
        <f>'Revenue Drivers'!F7</f>
        <v>324843</v>
      </c>
      <c r="D18" s="168">
        <f>'Revenue Drivers'!G7</f>
        <v>295651</v>
      </c>
      <c r="E18" s="168">
        <f>'Revenue Drivers'!H7</f>
        <v>216963</v>
      </c>
      <c r="F18" s="168">
        <f>'Revenue Drivers'!I7</f>
        <v>210595</v>
      </c>
      <c r="G18" s="518">
        <f>F18*(1+G54)</f>
        <v>210595</v>
      </c>
      <c r="H18" s="518">
        <f>G18*(1+H54)</f>
        <v>210595</v>
      </c>
      <c r="I18" s="518">
        <f>H18*(1+I54)</f>
        <v>210595</v>
      </c>
      <c r="J18" s="518">
        <f>I18*(1+J54)</f>
        <v>210595</v>
      </c>
      <c r="K18" s="518">
        <f>J18*(1+K54)</f>
        <v>210595</v>
      </c>
    </row>
    <row r="19" spans="2:13" ht="12.75" customHeight="1">
      <c r="B19" s="8" t="str">
        <f>'Revenue Drivers'!B8</f>
        <v>Foodservice</v>
      </c>
      <c r="C19" s="168">
        <f>'Revenue Drivers'!F8</f>
        <v>139857</v>
      </c>
      <c r="D19" s="168">
        <f>'Revenue Drivers'!G8</f>
        <v>123282</v>
      </c>
      <c r="E19" s="168">
        <f>'Revenue Drivers'!H8</f>
        <v>126413</v>
      </c>
      <c r="F19" s="168">
        <f>'Revenue Drivers'!I8</f>
        <v>115857</v>
      </c>
      <c r="G19" s="518">
        <f>F19*(1+G55)</f>
        <v>115857</v>
      </c>
      <c r="H19" s="518">
        <f>G19*(1+H55)</f>
        <v>115857</v>
      </c>
      <c r="I19" s="518">
        <f>H19*(1+I55)</f>
        <v>115857</v>
      </c>
      <c r="J19" s="518">
        <f>I19*(1+J55)</f>
        <v>115857</v>
      </c>
      <c r="K19" s="518">
        <f>J19*(1+K55)</f>
        <v>115857</v>
      </c>
    </row>
    <row r="20" spans="2:13" ht="12.75" customHeight="1">
      <c r="B20" s="182" t="s">
        <v>107</v>
      </c>
      <c r="C20" s="367">
        <f t="shared" ref="C20:K20" si="0">SUM(C18:C19)</f>
        <v>464700</v>
      </c>
      <c r="D20" s="367">
        <f t="shared" si="0"/>
        <v>418933</v>
      </c>
      <c r="E20" s="367">
        <f t="shared" si="0"/>
        <v>343376</v>
      </c>
      <c r="F20" s="367">
        <f t="shared" si="0"/>
        <v>326452</v>
      </c>
      <c r="G20" s="367">
        <f t="shared" si="0"/>
        <v>326452</v>
      </c>
      <c r="H20" s="367">
        <f t="shared" si="0"/>
        <v>326452</v>
      </c>
      <c r="I20" s="367">
        <f t="shared" si="0"/>
        <v>326452</v>
      </c>
      <c r="J20" s="367">
        <f t="shared" si="0"/>
        <v>326452</v>
      </c>
      <c r="K20" s="367">
        <f t="shared" si="0"/>
        <v>326452</v>
      </c>
    </row>
    <row r="21" spans="2:13" ht="12.75" customHeight="1">
      <c r="B21" s="418" t="s">
        <v>46</v>
      </c>
      <c r="C21" s="463"/>
      <c r="D21" s="419">
        <f>SUM(D20/C20)-1</f>
        <v>-9.8487196040456193E-2</v>
      </c>
      <c r="E21" s="419">
        <f t="shared" ref="E21:K21" si="1">SUM(E20/D20)-1</f>
        <v>-0.18035580868539836</v>
      </c>
      <c r="F21" s="419">
        <f t="shared" si="1"/>
        <v>-4.9287078887283897E-2</v>
      </c>
      <c r="G21" s="419">
        <f t="shared" si="1"/>
        <v>0</v>
      </c>
      <c r="H21" s="419">
        <f t="shared" si="1"/>
        <v>0</v>
      </c>
      <c r="I21" s="419">
        <f t="shared" si="1"/>
        <v>0</v>
      </c>
      <c r="J21" s="419">
        <f t="shared" si="1"/>
        <v>0</v>
      </c>
      <c r="K21" s="419">
        <f t="shared" si="1"/>
        <v>0</v>
      </c>
    </row>
    <row r="22" spans="2:13" ht="5.0999999999999996" customHeight="1">
      <c r="C22" s="168"/>
      <c r="D22" s="168"/>
      <c r="E22" s="168"/>
      <c r="F22" s="168"/>
      <c r="G22" s="108"/>
      <c r="H22" s="108"/>
      <c r="I22" s="108"/>
      <c r="J22" s="108"/>
      <c r="K22" s="108"/>
    </row>
    <row r="23" spans="2:13" ht="12.75" customHeight="1">
      <c r="B23" s="8" t="s">
        <v>439</v>
      </c>
      <c r="C23" s="168">
        <f>'Historical Financials'!F13</f>
        <v>-347419</v>
      </c>
      <c r="D23" s="168">
        <f>'Historical Financials'!G13</f>
        <v>-442676</v>
      </c>
      <c r="E23" s="168">
        <f>'Historical Financials'!H13</f>
        <v>-426031</v>
      </c>
      <c r="F23" s="168">
        <f>'Historical Financials'!I13</f>
        <v>-284753</v>
      </c>
      <c r="G23" s="518">
        <f>+G24-G20</f>
        <v>-326452</v>
      </c>
      <c r="H23" s="518">
        <f>+H24-H20</f>
        <v>-326452</v>
      </c>
      <c r="I23" s="518">
        <f>+I24-I20</f>
        <v>-326452</v>
      </c>
      <c r="J23" s="518">
        <f>+J24-J20</f>
        <v>-326452</v>
      </c>
      <c r="K23" s="518">
        <f>+K24-K20</f>
        <v>-326452</v>
      </c>
      <c r="M23" s="8" t="s">
        <v>122</v>
      </c>
    </row>
    <row r="24" spans="2:13" ht="12.75" customHeight="1">
      <c r="B24" s="182" t="s">
        <v>31</v>
      </c>
      <c r="C24" s="367">
        <f>+C23+C20</f>
        <v>117281</v>
      </c>
      <c r="D24" s="367">
        <f>+D23+D20</f>
        <v>-23743</v>
      </c>
      <c r="E24" s="367">
        <f>+E23+E20</f>
        <v>-82655</v>
      </c>
      <c r="F24" s="367">
        <f>+F23+F20</f>
        <v>41699</v>
      </c>
      <c r="G24" s="367">
        <f>G57*G20</f>
        <v>0</v>
      </c>
      <c r="H24" s="367">
        <f>H57*H20</f>
        <v>0</v>
      </c>
      <c r="I24" s="367">
        <f>I57*I20</f>
        <v>0</v>
      </c>
      <c r="J24" s="367">
        <f>J57*J20</f>
        <v>0</v>
      </c>
      <c r="K24" s="367">
        <f>K57*K20</f>
        <v>0</v>
      </c>
      <c r="M24" s="33" t="s">
        <v>123</v>
      </c>
    </row>
    <row r="25" spans="2:13" ht="12.75" customHeight="1">
      <c r="B25" s="418" t="s">
        <v>437</v>
      </c>
      <c r="C25" s="419">
        <f>C24/C20</f>
        <v>0.25238003012696364</v>
      </c>
      <c r="D25" s="419">
        <f t="shared" ref="D25:K25" si="2">D24/D20</f>
        <v>-5.6674933700615611E-2</v>
      </c>
      <c r="E25" s="419">
        <f t="shared" si="2"/>
        <v>-0.24071280462233818</v>
      </c>
      <c r="F25" s="419">
        <f t="shared" si="2"/>
        <v>0.1277339394459216</v>
      </c>
      <c r="G25" s="419">
        <f t="shared" si="2"/>
        <v>0</v>
      </c>
      <c r="H25" s="419">
        <f t="shared" si="2"/>
        <v>0</v>
      </c>
      <c r="I25" s="419">
        <f t="shared" si="2"/>
        <v>0</v>
      </c>
      <c r="J25" s="419">
        <f t="shared" si="2"/>
        <v>0</v>
      </c>
      <c r="K25" s="419">
        <f t="shared" si="2"/>
        <v>0</v>
      </c>
      <c r="M25" s="33"/>
    </row>
    <row r="26" spans="2:13" ht="5.0999999999999996" customHeight="1">
      <c r="B26" s="38"/>
      <c r="C26" s="109"/>
      <c r="D26" s="109"/>
      <c r="E26" s="109"/>
      <c r="F26" s="109"/>
      <c r="G26" s="109"/>
      <c r="H26" s="109"/>
      <c r="I26" s="109"/>
      <c r="J26" s="109"/>
      <c r="K26" s="109"/>
      <c r="M26" s="33"/>
    </row>
    <row r="27" spans="2:13" ht="12.75" customHeight="1">
      <c r="B27" s="8" t="s">
        <v>446</v>
      </c>
      <c r="C27" s="168">
        <f>'Historical Financials'!F17</f>
        <v>-209474</v>
      </c>
      <c r="D27" s="168">
        <f>'Historical Financials'!G17</f>
        <v>-239505</v>
      </c>
      <c r="E27" s="168">
        <f>'Historical Financials'!H17</f>
        <v>-220344</v>
      </c>
      <c r="F27" s="168">
        <f>'Historical Financials'!I17</f>
        <v>-169674</v>
      </c>
      <c r="G27" s="518">
        <f>-G58*G18</f>
        <v>0</v>
      </c>
      <c r="H27" s="518">
        <f>-H58*H18</f>
        <v>0</v>
      </c>
      <c r="I27" s="518">
        <f>-I58*I18</f>
        <v>0</v>
      </c>
      <c r="J27" s="518">
        <f>-J58*J18</f>
        <v>0</v>
      </c>
      <c r="K27" s="518">
        <f>-K58*K18</f>
        <v>0</v>
      </c>
      <c r="M27" s="33" t="s">
        <v>125</v>
      </c>
    </row>
    <row r="28" spans="2:13" ht="12.75" customHeight="1">
      <c r="B28" s="8" t="s">
        <v>447</v>
      </c>
      <c r="C28" s="168">
        <f>'Historical Financials'!F18</f>
        <v>-66946</v>
      </c>
      <c r="D28" s="168">
        <f>'Historical Financials'!G18</f>
        <v>-62264</v>
      </c>
      <c r="E28" s="168">
        <f>'Historical Financials'!H18</f>
        <v>-39530</v>
      </c>
      <c r="F28" s="168">
        <f>'Historical Financials'!I18</f>
        <v>-28149</v>
      </c>
      <c r="G28" s="518">
        <f>-G18*G59</f>
        <v>0</v>
      </c>
      <c r="H28" s="518">
        <f>-H18*H59</f>
        <v>0</v>
      </c>
      <c r="I28" s="518">
        <f>-I18*I59</f>
        <v>0</v>
      </c>
      <c r="J28" s="518">
        <f>-J18*J59</f>
        <v>0</v>
      </c>
      <c r="K28" s="518">
        <f>-K18*K59</f>
        <v>0</v>
      </c>
      <c r="M28" s="33" t="s">
        <v>124</v>
      </c>
    </row>
    <row r="29" spans="2:13" ht="12.75" customHeight="1">
      <c r="B29" s="8" t="s">
        <v>557</v>
      </c>
      <c r="C29" s="168">
        <f>'Historical Financials'!F19</f>
        <v>-15794</v>
      </c>
      <c r="D29" s="168">
        <f>'Historical Financials'!G19</f>
        <v>-17259</v>
      </c>
      <c r="E29" s="168">
        <f>'Historical Financials'!H19</f>
        <v>631</v>
      </c>
      <c r="F29" s="168">
        <f>'Historical Financials'!I19</f>
        <v>0</v>
      </c>
      <c r="G29" s="518">
        <f>-G19*G60</f>
        <v>-18.799564436372624</v>
      </c>
      <c r="H29" s="518">
        <f>-H19*H60</f>
        <v>-18.799564436372624</v>
      </c>
      <c r="I29" s="518">
        <f>-I19*I60</f>
        <v>-18.799564436372624</v>
      </c>
      <c r="J29" s="518">
        <f>-J19*J60</f>
        <v>-18.799564436372624</v>
      </c>
      <c r="K29" s="518">
        <f>-K19*K60</f>
        <v>-18.799564436372624</v>
      </c>
      <c r="M29" s="33" t="s">
        <v>441</v>
      </c>
    </row>
    <row r="30" spans="2:13" ht="12.75" customHeight="1">
      <c r="B30" s="184" t="s">
        <v>126</v>
      </c>
      <c r="C30" s="367">
        <f>C24+C27+C28+C29</f>
        <v>-174933</v>
      </c>
      <c r="D30" s="367">
        <f t="shared" ref="D30:K30" si="3">D24+D27+D28+D29</f>
        <v>-342771</v>
      </c>
      <c r="E30" s="367">
        <f t="shared" si="3"/>
        <v>-341898</v>
      </c>
      <c r="F30" s="367">
        <f t="shared" si="3"/>
        <v>-156124</v>
      </c>
      <c r="G30" s="367">
        <f t="shared" si="3"/>
        <v>-18.799564436372624</v>
      </c>
      <c r="H30" s="367">
        <f t="shared" si="3"/>
        <v>-18.799564436372624</v>
      </c>
      <c r="I30" s="367">
        <f t="shared" si="3"/>
        <v>-18.799564436372624</v>
      </c>
      <c r="J30" s="367">
        <f t="shared" si="3"/>
        <v>-18.799564436372624</v>
      </c>
      <c r="K30" s="367">
        <f t="shared" si="3"/>
        <v>-18.799564436372624</v>
      </c>
      <c r="M30" s="38"/>
    </row>
    <row r="31" spans="2:13" ht="12.75" customHeight="1">
      <c r="B31" s="418" t="s">
        <v>437</v>
      </c>
      <c r="C31" s="419">
        <f>C30/C20</f>
        <v>-0.37644286636539703</v>
      </c>
      <c r="D31" s="419">
        <f t="shared" ref="D31:K31" si="4">D30/D20</f>
        <v>-0.81820004630812082</v>
      </c>
      <c r="E31" s="419">
        <f t="shared" si="4"/>
        <v>-0.9956956805367877</v>
      </c>
      <c r="F31" s="419">
        <f t="shared" si="4"/>
        <v>-0.47824488745665517</v>
      </c>
      <c r="G31" s="419">
        <f t="shared" si="4"/>
        <v>-5.7587530284307109E-5</v>
      </c>
      <c r="H31" s="419">
        <f t="shared" si="4"/>
        <v>-5.7587530284307109E-5</v>
      </c>
      <c r="I31" s="419">
        <f t="shared" si="4"/>
        <v>-5.7587530284307109E-5</v>
      </c>
      <c r="J31" s="419">
        <f t="shared" si="4"/>
        <v>-5.7587530284307109E-5</v>
      </c>
      <c r="K31" s="419">
        <f t="shared" si="4"/>
        <v>-5.7587530284307109E-5</v>
      </c>
      <c r="M31" s="38"/>
    </row>
    <row r="32" spans="2:13" ht="5.0999999999999996" customHeight="1">
      <c r="B32" s="38"/>
      <c r="C32" s="109"/>
      <c r="D32" s="109"/>
      <c r="E32" s="109"/>
      <c r="F32" s="109"/>
      <c r="G32" s="109"/>
      <c r="H32" s="109"/>
      <c r="I32" s="109"/>
      <c r="J32" s="109"/>
      <c r="K32" s="109"/>
      <c r="M32" s="33"/>
    </row>
    <row r="33" spans="2:14" ht="12.75" customHeight="1">
      <c r="B33" s="8" t="s">
        <v>442</v>
      </c>
      <c r="C33" s="517">
        <v>0</v>
      </c>
      <c r="D33" s="517">
        <v>0</v>
      </c>
      <c r="E33" s="517">
        <v>0</v>
      </c>
      <c r="F33" s="517">
        <v>0</v>
      </c>
      <c r="G33" s="518"/>
      <c r="H33" s="518"/>
      <c r="I33" s="518"/>
      <c r="J33" s="518"/>
      <c r="K33" s="518"/>
      <c r="M33" s="8" t="s">
        <v>548</v>
      </c>
    </row>
    <row r="34" spans="2:14" ht="12.75" customHeight="1">
      <c r="B34" s="8" t="s">
        <v>223</v>
      </c>
      <c r="C34" s="168">
        <f>'Historical Financials'!F23</f>
        <v>-3648</v>
      </c>
      <c r="D34" s="168">
        <f>'Historical Financials'!G23</f>
        <v>-3966</v>
      </c>
      <c r="E34" s="168">
        <f>'Historical Financials'!H23</f>
        <v>-3955</v>
      </c>
      <c r="F34" s="168">
        <f>'Historical Financials'!I23</f>
        <v>-4097</v>
      </c>
      <c r="G34" s="518"/>
      <c r="H34" s="518"/>
      <c r="I34" s="518"/>
      <c r="J34" s="518"/>
      <c r="K34" s="518"/>
      <c r="M34" s="8" t="s">
        <v>128</v>
      </c>
    </row>
    <row r="35" spans="2:14" ht="12.75" customHeight="1">
      <c r="B35" s="8" t="s">
        <v>438</v>
      </c>
      <c r="C35" s="168">
        <f>'Historical Financials'!F24</f>
        <v>-487</v>
      </c>
      <c r="D35" s="168">
        <f>'Historical Financials'!G24</f>
        <v>-420</v>
      </c>
      <c r="E35" s="168">
        <f>'Historical Financials'!H24</f>
        <v>11616</v>
      </c>
      <c r="F35" s="168">
        <f>'Historical Financials'!I24</f>
        <v>-10</v>
      </c>
      <c r="G35" s="11">
        <f>F35</f>
        <v>-10</v>
      </c>
      <c r="H35" s="11">
        <f>G35</f>
        <v>-10</v>
      </c>
      <c r="I35" s="11">
        <f>H35</f>
        <v>-10</v>
      </c>
      <c r="J35" s="11">
        <f>I35</f>
        <v>-10</v>
      </c>
      <c r="K35" s="11">
        <f>J35</f>
        <v>-10</v>
      </c>
      <c r="M35" s="8" t="s">
        <v>129</v>
      </c>
    </row>
    <row r="36" spans="2:14" ht="12.75" customHeight="1">
      <c r="B36" s="184" t="s">
        <v>130</v>
      </c>
      <c r="C36" s="367">
        <f t="shared" ref="C36:K36" si="5">SUM(C30:C35)</f>
        <v>-179068.37644286637</v>
      </c>
      <c r="D36" s="367">
        <f t="shared" si="5"/>
        <v>-347157.81820004631</v>
      </c>
      <c r="E36" s="367">
        <f t="shared" si="5"/>
        <v>-334237.99569568055</v>
      </c>
      <c r="F36" s="367">
        <f t="shared" si="5"/>
        <v>-160231.47824488746</v>
      </c>
      <c r="G36" s="367">
        <f t="shared" si="5"/>
        <v>-28.799622023902909</v>
      </c>
      <c r="H36" s="367">
        <f t="shared" si="5"/>
        <v>-28.799622023902909</v>
      </c>
      <c r="I36" s="367">
        <f t="shared" si="5"/>
        <v>-28.799622023902909</v>
      </c>
      <c r="J36" s="367">
        <f t="shared" si="5"/>
        <v>-28.799622023902909</v>
      </c>
      <c r="K36" s="367">
        <f t="shared" si="5"/>
        <v>-28.799622023902909</v>
      </c>
      <c r="M36" s="38" t="s">
        <v>131</v>
      </c>
      <c r="N36" s="38"/>
    </row>
    <row r="37" spans="2:14" ht="5.0999999999999996" customHeight="1">
      <c r="B37" s="38"/>
      <c r="C37" s="109"/>
      <c r="D37" s="109"/>
      <c r="E37" s="109"/>
      <c r="F37" s="109"/>
      <c r="G37" s="109"/>
      <c r="H37" s="109"/>
      <c r="I37" s="109"/>
      <c r="J37" s="109"/>
      <c r="K37" s="109"/>
      <c r="M37" s="33"/>
    </row>
    <row r="38" spans="2:14" ht="12.75" customHeight="1">
      <c r="B38" s="8" t="s">
        <v>440</v>
      </c>
      <c r="C38" s="168">
        <f>'Historical Financials'!F29</f>
        <v>-60</v>
      </c>
      <c r="D38" s="168">
        <f>'Historical Financials'!G29</f>
        <v>-32</v>
      </c>
      <c r="E38" s="168">
        <f>'Historical Financials'!H29</f>
        <v>-5</v>
      </c>
      <c r="F38" s="168">
        <f>'Historical Financials'!I29</f>
        <v>26</v>
      </c>
      <c r="G38" s="518">
        <v>0</v>
      </c>
      <c r="H38" s="518">
        <v>0</v>
      </c>
      <c r="I38" s="518">
        <v>0</v>
      </c>
      <c r="J38" s="518">
        <v>0</v>
      </c>
      <c r="K38" s="518">
        <v>0</v>
      </c>
      <c r="M38" s="8" t="s">
        <v>132</v>
      </c>
    </row>
    <row r="39" spans="2:14" ht="12.75" customHeight="1">
      <c r="B39" s="8" t="s">
        <v>503</v>
      </c>
      <c r="C39" s="168">
        <f>'Historical Financials'!F30</f>
        <v>-2977</v>
      </c>
      <c r="D39" s="168">
        <f>'Historical Financials'!G30</f>
        <v>-18948</v>
      </c>
      <c r="E39" s="168">
        <f>'Historical Financials'!H30</f>
        <v>-3902</v>
      </c>
      <c r="F39" s="168">
        <f>'Historical Financials'!I30</f>
        <v>-73</v>
      </c>
      <c r="G39" s="518">
        <f>F39</f>
        <v>-73</v>
      </c>
      <c r="H39" s="518">
        <f t="shared" ref="H39:K39" si="6">G39</f>
        <v>-73</v>
      </c>
      <c r="I39" s="518">
        <f t="shared" si="6"/>
        <v>-73</v>
      </c>
      <c r="J39" s="518">
        <f t="shared" si="6"/>
        <v>-73</v>
      </c>
      <c r="K39" s="518">
        <f t="shared" si="6"/>
        <v>-73</v>
      </c>
      <c r="M39" s="8" t="s">
        <v>569</v>
      </c>
    </row>
    <row r="40" spans="2:14" ht="12.75" customHeight="1">
      <c r="B40" s="182" t="s">
        <v>18</v>
      </c>
      <c r="C40" s="367">
        <f t="shared" ref="C40:E40" si="7">SUM(C36:C39)</f>
        <v>-182105.37644286637</v>
      </c>
      <c r="D40" s="367">
        <f t="shared" si="7"/>
        <v>-366137.81820004631</v>
      </c>
      <c r="E40" s="367">
        <f t="shared" si="7"/>
        <v>-338144.99569568055</v>
      </c>
      <c r="F40" s="367">
        <f>SUM(F36:F39)</f>
        <v>-160278.47824488746</v>
      </c>
      <c r="G40" s="367">
        <f t="shared" ref="G40:K40" si="8">SUM(G36:G39)</f>
        <v>-101.79962202390291</v>
      </c>
      <c r="H40" s="367">
        <f t="shared" si="8"/>
        <v>-101.79962202390291</v>
      </c>
      <c r="I40" s="367">
        <f t="shared" si="8"/>
        <v>-101.79962202390291</v>
      </c>
      <c r="J40" s="367">
        <f t="shared" si="8"/>
        <v>-101.79962202390291</v>
      </c>
      <c r="K40" s="367">
        <f t="shared" si="8"/>
        <v>-101.79962202390291</v>
      </c>
      <c r="M40" s="38" t="s">
        <v>133</v>
      </c>
    </row>
    <row r="41" spans="2:14" ht="12.75" customHeight="1">
      <c r="B41" s="418" t="s">
        <v>437</v>
      </c>
      <c r="C41" s="419">
        <f>C40/C20</f>
        <v>-0.39187728952628875</v>
      </c>
      <c r="D41" s="419">
        <f t="shared" ref="D41:K41" si="9">D40/D20</f>
        <v>-0.87397702783033637</v>
      </c>
      <c r="E41" s="419">
        <f t="shared" si="9"/>
        <v>-0.98476595829551439</v>
      </c>
      <c r="F41" s="419">
        <f t="shared" si="9"/>
        <v>-0.49097104090306526</v>
      </c>
      <c r="G41" s="419">
        <f t="shared" si="9"/>
        <v>-3.1183641706561123E-4</v>
      </c>
      <c r="H41" s="419">
        <f t="shared" si="9"/>
        <v>-3.1183641706561123E-4</v>
      </c>
      <c r="I41" s="419">
        <f t="shared" si="9"/>
        <v>-3.1183641706561123E-4</v>
      </c>
      <c r="J41" s="419">
        <f t="shared" si="9"/>
        <v>-3.1183641706561123E-4</v>
      </c>
      <c r="K41" s="419">
        <f t="shared" si="9"/>
        <v>-3.1183641706561123E-4</v>
      </c>
      <c r="M41" s="38"/>
    </row>
    <row r="42" spans="2:14" ht="5.0999999999999996" customHeight="1">
      <c r="B42" s="38"/>
      <c r="C42" s="109"/>
      <c r="D42" s="109"/>
      <c r="E42" s="109"/>
      <c r="F42" s="109"/>
      <c r="G42" s="109"/>
      <c r="H42" s="109"/>
      <c r="I42" s="109"/>
      <c r="J42" s="109"/>
      <c r="K42" s="109"/>
      <c r="M42" s="33"/>
    </row>
    <row r="43" spans="2:14" ht="12.75" customHeight="1">
      <c r="B43" s="110" t="s">
        <v>567</v>
      </c>
      <c r="C43" s="168">
        <f>'Historical Financials'!F101</f>
        <v>21663</v>
      </c>
      <c r="D43" s="168">
        <f>'Historical Financials'!G101</f>
        <v>32582</v>
      </c>
      <c r="E43" s="168">
        <f>'Historical Financials'!H101</f>
        <v>48094</v>
      </c>
      <c r="F43" s="168">
        <f>'Historical Financials'!I101</f>
        <v>23121</v>
      </c>
      <c r="G43" s="70"/>
      <c r="H43" s="70"/>
      <c r="I43" s="70"/>
      <c r="J43" s="70"/>
      <c r="K43" s="70"/>
      <c r="M43" s="8" t="s">
        <v>135</v>
      </c>
    </row>
    <row r="44" spans="2:14" ht="12.75" customHeight="1">
      <c r="B44" s="182" t="s">
        <v>11</v>
      </c>
      <c r="C44" s="367">
        <f t="shared" ref="C44:K44" si="10">C30+C43</f>
        <v>-153270</v>
      </c>
      <c r="D44" s="367">
        <f t="shared" si="10"/>
        <v>-310189</v>
      </c>
      <c r="E44" s="367">
        <f t="shared" si="10"/>
        <v>-293804</v>
      </c>
      <c r="F44" s="367">
        <f t="shared" si="10"/>
        <v>-133003</v>
      </c>
      <c r="G44" s="367">
        <f t="shared" si="10"/>
        <v>-18.799564436372624</v>
      </c>
      <c r="H44" s="367">
        <f t="shared" si="10"/>
        <v>-18.799564436372624</v>
      </c>
      <c r="I44" s="367">
        <f t="shared" si="10"/>
        <v>-18.799564436372624</v>
      </c>
      <c r="J44" s="367">
        <f t="shared" si="10"/>
        <v>-18.799564436372624</v>
      </c>
      <c r="K44" s="367">
        <f t="shared" si="10"/>
        <v>-18.799564436372624</v>
      </c>
      <c r="M44" s="38" t="s">
        <v>136</v>
      </c>
    </row>
    <row r="45" spans="2:14" ht="12.75" customHeight="1">
      <c r="B45" s="418" t="s">
        <v>437</v>
      </c>
      <c r="C45" s="419">
        <f>C44/C20</f>
        <v>-0.32982569399612655</v>
      </c>
      <c r="D45" s="419">
        <f t="shared" ref="D45:K45" si="11">D44/D20</f>
        <v>-0.74042627341364853</v>
      </c>
      <c r="E45" s="419">
        <f t="shared" si="11"/>
        <v>-0.85563347467499185</v>
      </c>
      <c r="F45" s="419">
        <f t="shared" si="11"/>
        <v>-0.40741977381054489</v>
      </c>
      <c r="G45" s="419">
        <f t="shared" si="11"/>
        <v>-5.7587530284307109E-5</v>
      </c>
      <c r="H45" s="419">
        <f t="shared" si="11"/>
        <v>-5.7587530284307109E-5</v>
      </c>
      <c r="I45" s="419">
        <f t="shared" si="11"/>
        <v>-5.7587530284307109E-5</v>
      </c>
      <c r="J45" s="419">
        <f t="shared" si="11"/>
        <v>-5.7587530284307109E-5</v>
      </c>
      <c r="K45" s="419">
        <f t="shared" si="11"/>
        <v>-5.7587530284307109E-5</v>
      </c>
      <c r="M45" s="38"/>
    </row>
    <row r="46" spans="2:14" ht="5.0999999999999996" customHeight="1">
      <c r="B46" s="38"/>
      <c r="C46" s="109"/>
      <c r="D46" s="109"/>
      <c r="E46" s="109"/>
      <c r="F46" s="109"/>
      <c r="G46" s="109"/>
      <c r="H46" s="109"/>
      <c r="I46" s="109"/>
      <c r="J46" s="109"/>
      <c r="K46" s="109"/>
      <c r="M46" s="33"/>
    </row>
    <row r="47" spans="2:14" ht="12.75" customHeight="1">
      <c r="B47" s="110" t="s">
        <v>568</v>
      </c>
      <c r="C47" s="168">
        <f>'Historical Financials'!F102</f>
        <v>27698</v>
      </c>
      <c r="D47" s="168">
        <f>'Historical Financials'!G102</f>
        <v>33857</v>
      </c>
      <c r="E47" s="168">
        <f>'Historical Financials'!H102</f>
        <v>29098</v>
      </c>
      <c r="F47" s="168">
        <f>'Historical Financials'!I102</f>
        <v>23923</v>
      </c>
      <c r="G47" s="70">
        <f>+(F47*G53)+F47</f>
        <v>23923</v>
      </c>
      <c r="H47" s="70">
        <f t="shared" ref="H47:K47" si="12">+(G47*H53)+G47</f>
        <v>23923</v>
      </c>
      <c r="I47" s="70">
        <f t="shared" si="12"/>
        <v>23923</v>
      </c>
      <c r="J47" s="70">
        <f t="shared" si="12"/>
        <v>23923</v>
      </c>
      <c r="K47" s="70">
        <f t="shared" si="12"/>
        <v>23923</v>
      </c>
      <c r="M47" s="8" t="s">
        <v>547</v>
      </c>
    </row>
    <row r="48" spans="2:14" ht="12.75" customHeight="1">
      <c r="B48" s="364" t="s">
        <v>12</v>
      </c>
      <c r="C48" s="365">
        <f t="shared" ref="C48:K48" si="13">SUM(C44:C47)</f>
        <v>-125572.329825694</v>
      </c>
      <c r="D48" s="365">
        <f t="shared" si="13"/>
        <v>-276332.74042627343</v>
      </c>
      <c r="E48" s="365">
        <f t="shared" si="13"/>
        <v>-264706.85563347465</v>
      </c>
      <c r="F48" s="365">
        <f t="shared" si="13"/>
        <v>-109080.40741977381</v>
      </c>
      <c r="G48" s="366">
        <f t="shared" si="13"/>
        <v>23904.200377976096</v>
      </c>
      <c r="H48" s="366">
        <f t="shared" si="13"/>
        <v>23904.200377976096</v>
      </c>
      <c r="I48" s="366">
        <f t="shared" si="13"/>
        <v>23904.200377976096</v>
      </c>
      <c r="J48" s="366">
        <f t="shared" si="13"/>
        <v>23904.200377976096</v>
      </c>
      <c r="K48" s="366">
        <f t="shared" si="13"/>
        <v>23904.200377976096</v>
      </c>
      <c r="M48" s="38" t="s">
        <v>138</v>
      </c>
    </row>
    <row r="49" spans="2:20" ht="12.75" customHeight="1">
      <c r="B49" s="418" t="s">
        <v>437</v>
      </c>
      <c r="C49" s="419">
        <f>C48/C20</f>
        <v>-0.27022235813577361</v>
      </c>
      <c r="D49" s="419">
        <f t="shared" ref="D49:K49" si="14">D48/D20</f>
        <v>-0.65961082184089925</v>
      </c>
      <c r="E49" s="419">
        <f t="shared" si="14"/>
        <v>-0.77089504110209994</v>
      </c>
      <c r="F49" s="419">
        <f t="shared" si="14"/>
        <v>-0.33413919173346712</v>
      </c>
      <c r="G49" s="419">
        <f t="shared" si="14"/>
        <v>7.3224242393908123E-2</v>
      </c>
      <c r="H49" s="419">
        <f t="shared" si="14"/>
        <v>7.3224242393908123E-2</v>
      </c>
      <c r="I49" s="419">
        <f t="shared" si="14"/>
        <v>7.3224242393908123E-2</v>
      </c>
      <c r="J49" s="419">
        <f t="shared" si="14"/>
        <v>7.3224242393908123E-2</v>
      </c>
      <c r="K49" s="419">
        <f t="shared" si="14"/>
        <v>7.3224242393908123E-2</v>
      </c>
      <c r="M49" s="38"/>
    </row>
    <row r="50" spans="2:20">
      <c r="B50" s="65"/>
      <c r="G50" s="112"/>
    </row>
    <row r="51" spans="2:20">
      <c r="B51" s="358" t="s">
        <v>139</v>
      </c>
      <c r="C51" s="356"/>
      <c r="D51" s="356"/>
      <c r="E51" s="356"/>
      <c r="F51" s="356"/>
      <c r="G51" s="356"/>
      <c r="H51" s="356"/>
      <c r="I51" s="356"/>
      <c r="J51" s="356"/>
      <c r="K51" s="357"/>
    </row>
    <row r="52" spans="2:20" ht="5.0999999999999996" customHeight="1">
      <c r="B52" s="361"/>
      <c r="C52" s="359"/>
      <c r="D52" s="359"/>
      <c r="E52" s="359"/>
      <c r="F52" s="359"/>
      <c r="G52" s="359"/>
      <c r="H52" s="359"/>
      <c r="I52" s="359"/>
      <c r="J52" s="359"/>
      <c r="K52" s="360"/>
    </row>
    <row r="53" spans="2:20">
      <c r="B53" s="422" t="s">
        <v>140</v>
      </c>
      <c r="C53" s="114"/>
      <c r="D53" s="114">
        <f>D20/C20-1</f>
        <v>-9.8487196040456193E-2</v>
      </c>
      <c r="E53" s="114">
        <f>E20/D20-1</f>
        <v>-0.18035580868539836</v>
      </c>
      <c r="F53" s="114">
        <f>F20/E20-1</f>
        <v>-4.9287078887283897E-2</v>
      </c>
      <c r="G53" s="417"/>
      <c r="H53" s="417"/>
      <c r="I53" s="417"/>
      <c r="J53" s="417"/>
      <c r="K53" s="417"/>
      <c r="M53" s="8" t="s">
        <v>546</v>
      </c>
      <c r="O53" s="115"/>
      <c r="P53" s="115"/>
      <c r="Q53" s="115"/>
      <c r="R53" s="115"/>
      <c r="S53" s="115"/>
      <c r="T53" s="115"/>
    </row>
    <row r="54" spans="2:20">
      <c r="B54" s="416" t="s">
        <v>508</v>
      </c>
      <c r="C54" s="114"/>
      <c r="D54" s="516">
        <f>SUM(D18/C18)-1</f>
        <v>-8.986495014514706E-2</v>
      </c>
      <c r="E54" s="516">
        <f>SUM(E18/D18)-1</f>
        <v>-0.26615164501388466</v>
      </c>
      <c r="F54" s="516">
        <f>SUM(F18/E18)-1</f>
        <v>-2.9350626604536245E-2</v>
      </c>
      <c r="G54" s="417"/>
      <c r="H54" s="417"/>
      <c r="I54" s="417"/>
      <c r="J54" s="417"/>
      <c r="K54" s="417"/>
      <c r="M54" s="8" t="s">
        <v>546</v>
      </c>
      <c r="O54" s="115"/>
      <c r="P54" s="115"/>
      <c r="Q54" s="115"/>
      <c r="R54" s="115"/>
      <c r="S54" s="115"/>
      <c r="T54" s="115"/>
    </row>
    <row r="55" spans="2:20">
      <c r="B55" s="416" t="s">
        <v>509</v>
      </c>
      <c r="C55" s="114"/>
      <c r="D55" s="516">
        <f>SUM(D19/C19)-1</f>
        <v>-0.11851391063729377</v>
      </c>
      <c r="E55" s="516">
        <f>SUM(E19/D19)-1</f>
        <v>2.5397057153518032E-2</v>
      </c>
      <c r="F55" s="516">
        <f>SUM(F19/E19)-1</f>
        <v>-8.3504069992801355E-2</v>
      </c>
      <c r="G55" s="417"/>
      <c r="H55" s="417"/>
      <c r="I55" s="417"/>
      <c r="J55" s="417"/>
      <c r="K55" s="417"/>
      <c r="M55" s="8" t="s">
        <v>546</v>
      </c>
      <c r="O55" s="115"/>
      <c r="P55" s="115"/>
      <c r="Q55" s="115"/>
      <c r="R55" s="115"/>
      <c r="S55" s="115"/>
      <c r="T55" s="115"/>
    </row>
    <row r="56" spans="2:20" ht="5.0999999999999996" customHeight="1">
      <c r="B56" s="354"/>
      <c r="C56" s="114"/>
      <c r="D56" s="114"/>
      <c r="E56" s="114"/>
      <c r="F56" s="114"/>
      <c r="G56" s="114"/>
      <c r="H56" s="114"/>
      <c r="I56" s="114"/>
      <c r="J56" s="114"/>
      <c r="K56" s="355"/>
      <c r="O56" s="115"/>
      <c r="P56" s="115"/>
      <c r="Q56" s="115"/>
      <c r="R56" s="115"/>
      <c r="S56" s="115"/>
      <c r="T56" s="115"/>
    </row>
    <row r="57" spans="2:20">
      <c r="B57" s="354" t="s">
        <v>141</v>
      </c>
      <c r="C57" s="114">
        <f>C24/C20</f>
        <v>0.25238003012696364</v>
      </c>
      <c r="D57" s="114">
        <f>D24/D20</f>
        <v>-5.6674933700615611E-2</v>
      </c>
      <c r="E57" s="114">
        <f>E24/E20</f>
        <v>-0.24071280462233818</v>
      </c>
      <c r="F57" s="114">
        <f>F24/F20</f>
        <v>0.1277339394459216</v>
      </c>
      <c r="G57" s="417"/>
      <c r="H57" s="417"/>
      <c r="I57" s="417"/>
      <c r="J57" s="417"/>
      <c r="K57" s="417"/>
      <c r="M57" s="8" t="s">
        <v>546</v>
      </c>
      <c r="O57" s="115"/>
      <c r="P57" s="115"/>
      <c r="Q57" s="115"/>
      <c r="R57" s="115"/>
      <c r="S57" s="115"/>
      <c r="T57" s="115"/>
    </row>
    <row r="58" spans="2:20">
      <c r="B58" s="354" t="s">
        <v>142</v>
      </c>
      <c r="C58" s="114">
        <f>-C27/C18</f>
        <v>0.64484689526940708</v>
      </c>
      <c r="D58" s="114">
        <f>-D27/D18</f>
        <v>0.81009365772481745</v>
      </c>
      <c r="E58" s="114">
        <f>-E27/E18</f>
        <v>1.015583302222038</v>
      </c>
      <c r="F58" s="114">
        <f>-F27/F18</f>
        <v>0.80568864407986895</v>
      </c>
      <c r="G58" s="417"/>
      <c r="H58" s="417"/>
      <c r="I58" s="417"/>
      <c r="J58" s="417"/>
      <c r="K58" s="417"/>
      <c r="M58" s="8" t="s">
        <v>546</v>
      </c>
      <c r="O58" s="115"/>
      <c r="P58" s="115"/>
      <c r="Q58" s="115"/>
      <c r="R58" s="115"/>
      <c r="S58" s="115"/>
      <c r="T58" s="115"/>
    </row>
    <row r="59" spans="2:20">
      <c r="B59" s="354" t="s">
        <v>143</v>
      </c>
      <c r="C59" s="114">
        <f>-C28/C18</f>
        <v>0.20608724830148717</v>
      </c>
      <c r="D59" s="114">
        <f>-D28/D18</f>
        <v>0.21059965973394307</v>
      </c>
      <c r="E59" s="114">
        <f>-E28/E18</f>
        <v>0.18219696445937786</v>
      </c>
      <c r="F59" s="114">
        <f>-F28/F18</f>
        <v>0.13366414207364846</v>
      </c>
      <c r="G59" s="417"/>
      <c r="H59" s="417"/>
      <c r="I59" s="417"/>
      <c r="J59" s="417"/>
      <c r="K59" s="417"/>
      <c r="M59" s="8" t="s">
        <v>546</v>
      </c>
      <c r="O59" s="115"/>
      <c r="P59" s="115"/>
      <c r="Q59" s="115"/>
      <c r="R59" s="115"/>
      <c r="S59" s="115"/>
      <c r="T59" s="115"/>
    </row>
    <row r="60" spans="2:20">
      <c r="B60" s="354" t="s">
        <v>144</v>
      </c>
      <c r="C60" s="114">
        <f>-(C38/C36)</f>
        <v>-3.3506753784157763E-4</v>
      </c>
      <c r="D60" s="114">
        <f>-(D38/D36)</f>
        <v>-9.217709733836474E-5</v>
      </c>
      <c r="E60" s="114">
        <f>-(E38/E36)</f>
        <v>-1.4959400380537335E-5</v>
      </c>
      <c r="F60" s="114">
        <f>-(F38/F36)</f>
        <v>1.622652445374265E-4</v>
      </c>
      <c r="G60" s="519">
        <f>F60</f>
        <v>1.622652445374265E-4</v>
      </c>
      <c r="H60" s="519">
        <f t="shared" ref="H60:K60" si="15">G60</f>
        <v>1.622652445374265E-4</v>
      </c>
      <c r="I60" s="519">
        <f t="shared" si="15"/>
        <v>1.622652445374265E-4</v>
      </c>
      <c r="J60" s="519">
        <f t="shared" si="15"/>
        <v>1.622652445374265E-4</v>
      </c>
      <c r="K60" s="519">
        <f t="shared" si="15"/>
        <v>1.622652445374265E-4</v>
      </c>
      <c r="M60" s="8" t="s">
        <v>570</v>
      </c>
      <c r="O60" s="115"/>
      <c r="P60" s="115"/>
      <c r="Q60" s="115"/>
      <c r="R60" s="115"/>
      <c r="S60" s="115"/>
      <c r="T60" s="115"/>
    </row>
    <row r="61" spans="2:20" ht="5.0999999999999996" customHeight="1">
      <c r="B61" s="65"/>
      <c r="C61" s="65"/>
      <c r="G61" s="112"/>
    </row>
    <row r="62" spans="2:20">
      <c r="B62" s="354" t="s">
        <v>443</v>
      </c>
      <c r="C62" s="114"/>
      <c r="D62" s="114">
        <f>D43/C43-1</f>
        <v>0.50403914508609149</v>
      </c>
      <c r="E62" s="114">
        <f>E43/D43-1</f>
        <v>0.4760910932416671</v>
      </c>
      <c r="F62" s="114">
        <f>F43/E43-1</f>
        <v>-0.51925396099305532</v>
      </c>
      <c r="G62" s="417"/>
      <c r="H62" s="417"/>
      <c r="I62" s="417"/>
      <c r="J62" s="417"/>
      <c r="K62" s="417"/>
      <c r="M62" s="8" t="s">
        <v>546</v>
      </c>
    </row>
    <row r="63" spans="2:20">
      <c r="B63" s="354" t="s">
        <v>444</v>
      </c>
      <c r="C63" s="114"/>
      <c r="D63" s="114">
        <f>D47/C47-1</f>
        <v>0.22236262546032215</v>
      </c>
      <c r="E63" s="114">
        <f>E47/D47-1</f>
        <v>-0.14056177452225538</v>
      </c>
      <c r="F63" s="114">
        <f>F47/E47-1</f>
        <v>-0.1778472747267853</v>
      </c>
      <c r="G63" s="417"/>
      <c r="H63" s="417"/>
      <c r="I63" s="417"/>
      <c r="J63" s="417"/>
      <c r="K63" s="417"/>
      <c r="M63" s="8" t="s">
        <v>546</v>
      </c>
    </row>
    <row r="64" spans="2:20">
      <c r="B64" s="65"/>
      <c r="C64" s="65"/>
      <c r="G64" s="112"/>
    </row>
    <row r="65" spans="1:14">
      <c r="A65" s="348" t="s">
        <v>25</v>
      </c>
      <c r="B65" s="384" t="s">
        <v>426</v>
      </c>
      <c r="C65" s="390" t="s">
        <v>423</v>
      </c>
      <c r="D65" s="390"/>
      <c r="E65" s="390"/>
      <c r="F65" s="390"/>
      <c r="G65" s="390" t="s">
        <v>177</v>
      </c>
      <c r="H65" s="390"/>
      <c r="I65" s="390"/>
      <c r="J65" s="390"/>
      <c r="K65" s="390"/>
    </row>
    <row r="66" spans="1:14">
      <c r="B66" s="385" t="str">
        <f t="shared" ref="B66:K66" si="16">B15</f>
        <v xml:space="preserve">Fiscal year  </v>
      </c>
      <c r="C66" s="386">
        <f t="shared" si="16"/>
        <v>2021</v>
      </c>
      <c r="D66" s="386">
        <f t="shared" si="16"/>
        <v>2022</v>
      </c>
      <c r="E66" s="386">
        <f t="shared" si="16"/>
        <v>2023</v>
      </c>
      <c r="F66" s="386">
        <f t="shared" si="16"/>
        <v>2024</v>
      </c>
      <c r="G66" s="387">
        <f t="shared" si="16"/>
        <v>2025</v>
      </c>
      <c r="H66" s="387">
        <f t="shared" si="16"/>
        <v>2026</v>
      </c>
      <c r="I66" s="387">
        <f t="shared" si="16"/>
        <v>2027</v>
      </c>
      <c r="J66" s="387">
        <f t="shared" si="16"/>
        <v>2028</v>
      </c>
      <c r="K66" s="387">
        <f t="shared" si="16"/>
        <v>2029</v>
      </c>
    </row>
    <row r="67" spans="1:14">
      <c r="B67" s="385" t="str">
        <f t="shared" ref="B67:K67" si="17">B16</f>
        <v>Fiscal year end date</v>
      </c>
      <c r="C67" s="388">
        <f t="shared" si="17"/>
        <v>44561</v>
      </c>
      <c r="D67" s="388">
        <f t="shared" si="17"/>
        <v>44926</v>
      </c>
      <c r="E67" s="388">
        <f t="shared" si="17"/>
        <v>45291</v>
      </c>
      <c r="F67" s="388">
        <f t="shared" si="17"/>
        <v>45657</v>
      </c>
      <c r="G67" s="388">
        <f t="shared" si="17"/>
        <v>46022</v>
      </c>
      <c r="H67" s="388">
        <f t="shared" si="17"/>
        <v>46387</v>
      </c>
      <c r="I67" s="388">
        <f t="shared" si="17"/>
        <v>46752</v>
      </c>
      <c r="J67" s="388">
        <f t="shared" si="17"/>
        <v>47118</v>
      </c>
      <c r="K67" s="388">
        <f t="shared" si="17"/>
        <v>47483</v>
      </c>
    </row>
    <row r="68" spans="1:14" ht="5.0999999999999996" customHeight="1">
      <c r="B68" s="362"/>
      <c r="C68" s="363"/>
      <c r="D68" s="363"/>
      <c r="E68" s="363"/>
      <c r="F68" s="363"/>
      <c r="G68" s="363"/>
      <c r="H68" s="363"/>
      <c r="I68" s="363"/>
      <c r="J68" s="363"/>
      <c r="K68" s="363"/>
    </row>
    <row r="69" spans="1:14" ht="12.75" customHeight="1">
      <c r="B69" s="8" t="s">
        <v>145</v>
      </c>
      <c r="C69" s="370"/>
      <c r="D69" s="370"/>
      <c r="E69" s="370"/>
      <c r="F69" s="370"/>
      <c r="G69" s="369">
        <f>+F69+G114</f>
        <v>700.20037797609621</v>
      </c>
      <c r="H69" s="369">
        <f>+G69+H114</f>
        <v>1400.4007559521924</v>
      </c>
      <c r="I69" s="369">
        <f>+H69+I114</f>
        <v>2100.6011339282886</v>
      </c>
      <c r="J69" s="369">
        <f>+I69+J114</f>
        <v>2800.8015119043848</v>
      </c>
      <c r="K69" s="369">
        <f>+J69+K114</f>
        <v>3501.001889880481</v>
      </c>
      <c r="M69" s="8" t="s">
        <v>146</v>
      </c>
    </row>
    <row r="70" spans="1:14" ht="12.75" customHeight="1">
      <c r="B70" s="8" t="s">
        <v>15</v>
      </c>
      <c r="C70" s="370"/>
      <c r="D70" s="370"/>
      <c r="E70" s="370"/>
      <c r="F70" s="370"/>
      <c r="G70" s="369">
        <f>F70*(1+G53)</f>
        <v>0</v>
      </c>
      <c r="H70" s="369">
        <f>G70*(1+H53)</f>
        <v>0</v>
      </c>
      <c r="I70" s="369">
        <f>H70*(1+I53)</f>
        <v>0</v>
      </c>
      <c r="J70" s="369">
        <f>I70*(1+J53)</f>
        <v>0</v>
      </c>
      <c r="K70" s="369">
        <f>J70*(1+K53)</f>
        <v>0</v>
      </c>
      <c r="M70" s="8" t="s">
        <v>147</v>
      </c>
    </row>
    <row r="71" spans="1:14" ht="12.75" customHeight="1">
      <c r="B71" s="8" t="s">
        <v>16</v>
      </c>
      <c r="C71" s="370"/>
      <c r="D71" s="370"/>
      <c r="E71" s="370"/>
      <c r="F71" s="370"/>
      <c r="G71" s="369">
        <f>F71*G23/F23</f>
        <v>0</v>
      </c>
      <c r="H71" s="369">
        <f>G71*H23/G23</f>
        <v>0</v>
      </c>
      <c r="I71" s="369">
        <f>H71*I23/H23</f>
        <v>0</v>
      </c>
      <c r="J71" s="369">
        <f>I71*J23/I23</f>
        <v>0</v>
      </c>
      <c r="K71" s="369">
        <f>J71*K23/J23</f>
        <v>0</v>
      </c>
      <c r="M71" s="8" t="s">
        <v>148</v>
      </c>
    </row>
    <row r="72" spans="1:14" ht="12.75" customHeight="1">
      <c r="B72" s="8" t="s">
        <v>21</v>
      </c>
      <c r="C72" s="370"/>
      <c r="D72" s="370"/>
      <c r="E72" s="370"/>
      <c r="F72" s="370"/>
      <c r="G72" s="369">
        <f>F72*(1+G53)</f>
        <v>0</v>
      </c>
      <c r="H72" s="369">
        <f>G72*(1+H53)</f>
        <v>0</v>
      </c>
      <c r="I72" s="369">
        <f>H72*(1+I53)</f>
        <v>0</v>
      </c>
      <c r="J72" s="369">
        <f>I72*(1+J53)</f>
        <v>0</v>
      </c>
      <c r="K72" s="369">
        <f>J72*(1+K53)</f>
        <v>0</v>
      </c>
      <c r="M72" s="8" t="s">
        <v>147</v>
      </c>
      <c r="N72" s="70"/>
    </row>
    <row r="73" spans="1:14" ht="12.75" customHeight="1">
      <c r="B73" s="8" t="s">
        <v>149</v>
      </c>
      <c r="C73" s="370"/>
      <c r="D73" s="370"/>
      <c r="E73" s="370"/>
      <c r="F73" s="370"/>
      <c r="G73" s="369"/>
      <c r="H73" s="369"/>
      <c r="I73" s="369"/>
      <c r="J73" s="369"/>
      <c r="K73" s="369"/>
      <c r="M73" s="8" t="s">
        <v>150</v>
      </c>
    </row>
    <row r="74" spans="1:14" ht="12.75" customHeight="1">
      <c r="B74" s="8" t="s">
        <v>151</v>
      </c>
      <c r="C74" s="370"/>
      <c r="D74" s="370"/>
      <c r="E74" s="370"/>
      <c r="F74" s="370"/>
      <c r="G74" s="369">
        <f>F74*(1+G53)</f>
        <v>0</v>
      </c>
      <c r="H74" s="369">
        <f>G74*(1+H53)</f>
        <v>0</v>
      </c>
      <c r="I74" s="369">
        <f>H74*(1+I53)</f>
        <v>0</v>
      </c>
      <c r="J74" s="369">
        <f>I74*(1+J53)</f>
        <v>0</v>
      </c>
      <c r="K74" s="369">
        <f>J74*(1+K53)</f>
        <v>0</v>
      </c>
      <c r="M74" s="8" t="s">
        <v>147</v>
      </c>
    </row>
    <row r="75" spans="1:14" ht="12.75" customHeight="1">
      <c r="B75" s="364" t="s">
        <v>30</v>
      </c>
      <c r="C75" s="365">
        <f>SUM(C69:C74)</f>
        <v>0</v>
      </c>
      <c r="D75" s="365">
        <f>SUM(D69:D74)</f>
        <v>0</v>
      </c>
      <c r="E75" s="365">
        <f>SUM(E69:E74)</f>
        <v>0</v>
      </c>
      <c r="F75" s="365">
        <f t="shared" ref="F75:K75" si="18">SUM(F69:F74)</f>
        <v>0</v>
      </c>
      <c r="G75" s="366">
        <f t="shared" si="18"/>
        <v>700.20037797609621</v>
      </c>
      <c r="H75" s="366">
        <f t="shared" si="18"/>
        <v>1400.4007559521924</v>
      </c>
      <c r="I75" s="366">
        <f t="shared" si="18"/>
        <v>2100.6011339282886</v>
      </c>
      <c r="J75" s="366">
        <f t="shared" si="18"/>
        <v>2800.8015119043848</v>
      </c>
      <c r="K75" s="366">
        <f t="shared" si="18"/>
        <v>3501.001889880481</v>
      </c>
    </row>
    <row r="76" spans="1:14" ht="5.0999999999999996" customHeight="1">
      <c r="B76" s="110"/>
      <c r="C76" s="110"/>
      <c r="D76" s="70"/>
      <c r="E76" s="70"/>
      <c r="F76" s="70"/>
      <c r="G76" s="70"/>
      <c r="H76" s="70"/>
      <c r="I76" s="70"/>
      <c r="J76" s="70"/>
      <c r="K76" s="70"/>
    </row>
    <row r="77" spans="1:14" ht="12.75" customHeight="1">
      <c r="B77" s="110" t="s">
        <v>17</v>
      </c>
      <c r="C77" s="370"/>
      <c r="D77" s="370"/>
      <c r="E77" s="370"/>
      <c r="F77" s="370"/>
      <c r="G77" s="369">
        <f>F77*G23/F23</f>
        <v>0</v>
      </c>
      <c r="H77" s="369">
        <f>G77*H23/G23</f>
        <v>0</v>
      </c>
      <c r="I77" s="369">
        <f>H77*I23/H23</f>
        <v>0</v>
      </c>
      <c r="J77" s="369">
        <f>I77*J23/I23</f>
        <v>0</v>
      </c>
      <c r="K77" s="369">
        <f>J77*K23/J23</f>
        <v>0</v>
      </c>
      <c r="M77" s="8" t="s">
        <v>148</v>
      </c>
    </row>
    <row r="78" spans="1:14" ht="12.75" customHeight="1">
      <c r="B78" s="110" t="s">
        <v>152</v>
      </c>
      <c r="C78" s="370"/>
      <c r="D78" s="370"/>
      <c r="E78" s="370"/>
      <c r="F78" s="370"/>
      <c r="G78" s="369">
        <f>F78*(1+G53)</f>
        <v>0</v>
      </c>
      <c r="H78" s="369">
        <f>G78*(1+H53)</f>
        <v>0</v>
      </c>
      <c r="I78" s="369">
        <f>H78*(1+I53)</f>
        <v>0</v>
      </c>
      <c r="J78" s="369">
        <f>I78*(1+J53)</f>
        <v>0</v>
      </c>
      <c r="K78" s="369">
        <f>J78*(1+K53)</f>
        <v>0</v>
      </c>
      <c r="M78" s="8" t="s">
        <v>147</v>
      </c>
    </row>
    <row r="79" spans="1:14" ht="12.75" customHeight="1">
      <c r="B79" s="110" t="s">
        <v>153</v>
      </c>
      <c r="C79" s="370"/>
      <c r="D79" s="370"/>
      <c r="E79" s="370"/>
      <c r="F79" s="370"/>
      <c r="G79" s="369">
        <f>F79*(1+G53)</f>
        <v>0</v>
      </c>
      <c r="H79" s="369">
        <f>G79*(1+H53)</f>
        <v>0</v>
      </c>
      <c r="I79" s="369">
        <f>H79*(1+I53)</f>
        <v>0</v>
      </c>
      <c r="J79" s="369">
        <f>I79*(1+J53)</f>
        <v>0</v>
      </c>
      <c r="K79" s="369">
        <f>J79*(1+K53)</f>
        <v>0</v>
      </c>
      <c r="M79" s="8" t="s">
        <v>147</v>
      </c>
      <c r="N79" s="70"/>
    </row>
    <row r="80" spans="1:14" ht="12.75" customHeight="1">
      <c r="B80" s="110" t="s">
        <v>154</v>
      </c>
      <c r="C80" s="370"/>
      <c r="D80" s="370"/>
      <c r="E80" s="370"/>
      <c r="F80" s="370"/>
      <c r="G80" s="369">
        <f>G164</f>
        <v>0</v>
      </c>
      <c r="H80" s="369">
        <f>H164</f>
        <v>0</v>
      </c>
      <c r="I80" s="369">
        <f>I164</f>
        <v>0</v>
      </c>
      <c r="J80" s="369">
        <f>J164</f>
        <v>0</v>
      </c>
      <c r="K80" s="369">
        <f>K164</f>
        <v>0</v>
      </c>
      <c r="M80" s="8" t="s">
        <v>155</v>
      </c>
    </row>
    <row r="81" spans="1:14" ht="12.75" customHeight="1">
      <c r="B81" s="110" t="s">
        <v>156</v>
      </c>
      <c r="C81" s="370"/>
      <c r="D81" s="370"/>
      <c r="E81" s="370"/>
      <c r="F81" s="370"/>
      <c r="G81" s="369">
        <f>F81</f>
        <v>0</v>
      </c>
      <c r="H81" s="369">
        <f>G81</f>
        <v>0</v>
      </c>
      <c r="I81" s="369">
        <f>H81</f>
        <v>0</v>
      </c>
      <c r="J81" s="369">
        <f>I81</f>
        <v>0</v>
      </c>
      <c r="K81" s="369">
        <f>J81</f>
        <v>0</v>
      </c>
      <c r="M81" s="8" t="s">
        <v>545</v>
      </c>
    </row>
    <row r="82" spans="1:14" ht="12.75" customHeight="1">
      <c r="B82" s="110" t="s">
        <v>157</v>
      </c>
      <c r="C82" s="370"/>
      <c r="D82" s="370"/>
      <c r="E82" s="370"/>
      <c r="F82" s="370"/>
      <c r="G82" s="369">
        <f>F82*(1+G53)</f>
        <v>0</v>
      </c>
      <c r="H82" s="369">
        <f>G82*(1+H53)</f>
        <v>0</v>
      </c>
      <c r="I82" s="369">
        <f>H82*(1+I53)</f>
        <v>0</v>
      </c>
      <c r="J82" s="369">
        <f>I82*(1+J53)</f>
        <v>0</v>
      </c>
      <c r="K82" s="369">
        <f>J82*(1+K53)</f>
        <v>0</v>
      </c>
      <c r="M82" s="8" t="s">
        <v>147</v>
      </c>
    </row>
    <row r="83" spans="1:14" ht="12.75" customHeight="1">
      <c r="B83" s="364" t="s">
        <v>158</v>
      </c>
      <c r="C83" s="365">
        <f>SUM(C77:C82)</f>
        <v>0</v>
      </c>
      <c r="D83" s="365">
        <f>SUM(D77:D82)</f>
        <v>0</v>
      </c>
      <c r="E83" s="365">
        <f>SUM(E77:E82)</f>
        <v>0</v>
      </c>
      <c r="F83" s="365">
        <f t="shared" ref="F83:K83" si="19">SUM(F77:F82)</f>
        <v>0</v>
      </c>
      <c r="G83" s="366">
        <f t="shared" si="19"/>
        <v>0</v>
      </c>
      <c r="H83" s="366">
        <f t="shared" si="19"/>
        <v>0</v>
      </c>
      <c r="I83" s="366">
        <f t="shared" si="19"/>
        <v>0</v>
      </c>
      <c r="J83" s="366">
        <f t="shared" si="19"/>
        <v>0</v>
      </c>
      <c r="K83" s="366">
        <f t="shared" si="19"/>
        <v>0</v>
      </c>
    </row>
    <row r="84" spans="1:14" ht="5.0999999999999996" customHeight="1">
      <c r="B84" s="111"/>
      <c r="C84" s="111"/>
      <c r="D84" s="109"/>
      <c r="E84" s="109"/>
      <c r="F84" s="109"/>
      <c r="G84" s="70"/>
      <c r="H84" s="70"/>
      <c r="I84" s="70"/>
      <c r="J84" s="70"/>
      <c r="K84" s="70"/>
    </row>
    <row r="85" spans="1:14" ht="12.75" customHeight="1">
      <c r="B85" s="110" t="s">
        <v>27</v>
      </c>
      <c r="C85" s="370"/>
      <c r="D85" s="370"/>
      <c r="E85" s="370"/>
      <c r="F85" s="370"/>
      <c r="G85" s="369">
        <f>F85+G47</f>
        <v>23923</v>
      </c>
      <c r="H85" s="369">
        <f>G85+H47</f>
        <v>47846</v>
      </c>
      <c r="I85" s="369">
        <f>H85+I47</f>
        <v>71769</v>
      </c>
      <c r="J85" s="369">
        <f>I85+J47</f>
        <v>95692</v>
      </c>
      <c r="K85" s="369">
        <f>J85+K47</f>
        <v>119615</v>
      </c>
      <c r="M85" s="8" t="s">
        <v>159</v>
      </c>
    </row>
    <row r="86" spans="1:14" ht="12.75" customHeight="1">
      <c r="B86" s="110" t="s">
        <v>160</v>
      </c>
      <c r="C86" s="370"/>
      <c r="D86" s="370"/>
      <c r="E86" s="370"/>
      <c r="F86" s="370"/>
      <c r="G86" s="369"/>
      <c r="H86" s="369"/>
      <c r="I86" s="369"/>
      <c r="J86" s="369"/>
      <c r="K86" s="369"/>
      <c r="M86" s="8" t="s">
        <v>161</v>
      </c>
      <c r="N86" s="70"/>
    </row>
    <row r="87" spans="1:14" ht="12.75" customHeight="1">
      <c r="B87" s="110" t="s">
        <v>162</v>
      </c>
      <c r="C87" s="370"/>
      <c r="D87" s="370"/>
      <c r="E87" s="370"/>
      <c r="F87" s="370"/>
      <c r="G87" s="369">
        <f>F87</f>
        <v>0</v>
      </c>
      <c r="H87" s="369">
        <f>G87</f>
        <v>0</v>
      </c>
      <c r="I87" s="369">
        <f>H87</f>
        <v>0</v>
      </c>
      <c r="J87" s="369">
        <f>I87</f>
        <v>0</v>
      </c>
      <c r="K87" s="369">
        <f>J87</f>
        <v>0</v>
      </c>
      <c r="M87" s="8" t="s">
        <v>545</v>
      </c>
    </row>
    <row r="88" spans="1:14" ht="12.75" customHeight="1">
      <c r="B88" s="364" t="s">
        <v>163</v>
      </c>
      <c r="C88" s="365">
        <f t="shared" ref="C88:K88" si="20">SUM(C85:C87)</f>
        <v>0</v>
      </c>
      <c r="D88" s="365">
        <f t="shared" si="20"/>
        <v>0</v>
      </c>
      <c r="E88" s="365">
        <f t="shared" si="20"/>
        <v>0</v>
      </c>
      <c r="F88" s="365">
        <f t="shared" si="20"/>
        <v>0</v>
      </c>
      <c r="G88" s="366">
        <f t="shared" si="20"/>
        <v>23923</v>
      </c>
      <c r="H88" s="366">
        <f t="shared" si="20"/>
        <v>47846</v>
      </c>
      <c r="I88" s="366">
        <f t="shared" si="20"/>
        <v>71769</v>
      </c>
      <c r="J88" s="366">
        <f t="shared" si="20"/>
        <v>95692</v>
      </c>
      <c r="K88" s="366">
        <f t="shared" si="20"/>
        <v>119615</v>
      </c>
    </row>
    <row r="89" spans="1:14">
      <c r="B89" s="466" t="s">
        <v>164</v>
      </c>
      <c r="C89" s="465">
        <f t="shared" ref="C89:K89" si="21">ROUND(C75-C83-C88,3)</f>
        <v>0</v>
      </c>
      <c r="D89" s="465">
        <f t="shared" si="21"/>
        <v>0</v>
      </c>
      <c r="E89" s="465">
        <f t="shared" si="21"/>
        <v>0</v>
      </c>
      <c r="F89" s="465">
        <f t="shared" si="21"/>
        <v>0</v>
      </c>
      <c r="G89" s="465">
        <f t="shared" si="21"/>
        <v>-23222.799999999999</v>
      </c>
      <c r="H89" s="465">
        <f t="shared" si="21"/>
        <v>-46445.599000000002</v>
      </c>
      <c r="I89" s="465">
        <f t="shared" si="21"/>
        <v>-69668.399000000005</v>
      </c>
      <c r="J89" s="465">
        <f t="shared" si="21"/>
        <v>-92891.198000000004</v>
      </c>
      <c r="K89" s="465">
        <f t="shared" si="21"/>
        <v>-116113.99800000001</v>
      </c>
    </row>
    <row r="90" spans="1:14">
      <c r="E90" s="70"/>
      <c r="F90" s="70"/>
      <c r="H90" s="70"/>
      <c r="I90" s="70"/>
      <c r="J90" s="70"/>
      <c r="K90" s="70"/>
    </row>
    <row r="91" spans="1:14">
      <c r="A91" s="348" t="s">
        <v>25</v>
      </c>
      <c r="B91" s="397" t="s">
        <v>20</v>
      </c>
      <c r="C91" s="398" t="s">
        <v>423</v>
      </c>
      <c r="D91" s="398"/>
      <c r="E91" s="398"/>
      <c r="F91" s="398"/>
      <c r="G91" s="398" t="s">
        <v>177</v>
      </c>
      <c r="H91" s="398"/>
      <c r="I91" s="398"/>
      <c r="J91" s="398"/>
      <c r="K91" s="398"/>
    </row>
    <row r="92" spans="1:14">
      <c r="B92" s="399" t="str">
        <f>B15</f>
        <v xml:space="preserve">Fiscal year  </v>
      </c>
      <c r="C92" s="400">
        <f t="shared" ref="C92:F93" si="22">C66</f>
        <v>2021</v>
      </c>
      <c r="D92" s="400">
        <f t="shared" si="22"/>
        <v>2022</v>
      </c>
      <c r="E92" s="400">
        <f t="shared" si="22"/>
        <v>2023</v>
      </c>
      <c r="F92" s="400">
        <f t="shared" si="22"/>
        <v>2024</v>
      </c>
      <c r="G92" s="401">
        <f>G15</f>
        <v>2025</v>
      </c>
      <c r="H92" s="401">
        <f>H15</f>
        <v>2026</v>
      </c>
      <c r="I92" s="401">
        <f>I15</f>
        <v>2027</v>
      </c>
      <c r="J92" s="401">
        <f>J15</f>
        <v>2028</v>
      </c>
      <c r="K92" s="401">
        <f>K15</f>
        <v>2029</v>
      </c>
    </row>
    <row r="93" spans="1:14">
      <c r="B93" s="399" t="str">
        <f>B16</f>
        <v>Fiscal year end date</v>
      </c>
      <c r="C93" s="402">
        <f t="shared" si="22"/>
        <v>44561</v>
      </c>
      <c r="D93" s="402">
        <f t="shared" si="22"/>
        <v>44926</v>
      </c>
      <c r="E93" s="402">
        <f t="shared" si="22"/>
        <v>45291</v>
      </c>
      <c r="F93" s="402">
        <f t="shared" si="22"/>
        <v>45657</v>
      </c>
      <c r="G93" s="402">
        <f>G16</f>
        <v>46022</v>
      </c>
      <c r="H93" s="402">
        <f>H16</f>
        <v>46387</v>
      </c>
      <c r="I93" s="402">
        <f>I16</f>
        <v>46752</v>
      </c>
      <c r="J93" s="402">
        <f>J16</f>
        <v>47118</v>
      </c>
      <c r="K93" s="402">
        <f>K16</f>
        <v>47483</v>
      </c>
    </row>
    <row r="94" spans="1:14" ht="5.0999999999999996" customHeight="1"/>
    <row r="95" spans="1:14" ht="12.75" customHeight="1">
      <c r="B95" s="8" t="s">
        <v>18</v>
      </c>
      <c r="C95" s="329"/>
      <c r="D95" s="368">
        <f t="shared" ref="D95:K95" si="23">D40</f>
        <v>-366137.81820004631</v>
      </c>
      <c r="E95" s="368">
        <f t="shared" si="23"/>
        <v>-338144.99569568055</v>
      </c>
      <c r="F95" s="368">
        <f t="shared" si="23"/>
        <v>-160278.47824488746</v>
      </c>
      <c r="G95" s="368">
        <f t="shared" si="23"/>
        <v>-101.79962202390291</v>
      </c>
      <c r="H95" s="368">
        <f t="shared" si="23"/>
        <v>-101.79962202390291</v>
      </c>
      <c r="I95" s="368">
        <f t="shared" si="23"/>
        <v>-101.79962202390291</v>
      </c>
      <c r="J95" s="368">
        <f t="shared" si="23"/>
        <v>-101.79962202390291</v>
      </c>
      <c r="K95" s="368">
        <f t="shared" si="23"/>
        <v>-101.79962202390291</v>
      </c>
      <c r="M95" s="8" t="s">
        <v>165</v>
      </c>
    </row>
    <row r="96" spans="1:14" ht="12.75" customHeight="1">
      <c r="B96" s="8" t="s">
        <v>86</v>
      </c>
      <c r="C96" s="329"/>
      <c r="D96" s="368">
        <f t="shared" ref="D96:K96" si="24">D43</f>
        <v>32582</v>
      </c>
      <c r="E96" s="368">
        <f t="shared" si="24"/>
        <v>48094</v>
      </c>
      <c r="F96" s="368">
        <f t="shared" si="24"/>
        <v>23121</v>
      </c>
      <c r="G96" s="368">
        <f t="shared" si="24"/>
        <v>0</v>
      </c>
      <c r="H96" s="368">
        <f t="shared" si="24"/>
        <v>0</v>
      </c>
      <c r="I96" s="368">
        <f t="shared" si="24"/>
        <v>0</v>
      </c>
      <c r="J96" s="368">
        <f t="shared" si="24"/>
        <v>0</v>
      </c>
      <c r="K96" s="368">
        <f t="shared" si="24"/>
        <v>0</v>
      </c>
      <c r="M96" s="8" t="s">
        <v>165</v>
      </c>
    </row>
    <row r="97" spans="2:13" ht="12.75" customHeight="1">
      <c r="B97" s="8" t="s">
        <v>137</v>
      </c>
      <c r="C97" s="329"/>
      <c r="D97" s="368">
        <f t="shared" ref="D97:K97" si="25">D47</f>
        <v>33857</v>
      </c>
      <c r="E97" s="368">
        <f t="shared" si="25"/>
        <v>29098</v>
      </c>
      <c r="F97" s="368">
        <f t="shared" si="25"/>
        <v>23923</v>
      </c>
      <c r="G97" s="368">
        <f t="shared" si="25"/>
        <v>23923</v>
      </c>
      <c r="H97" s="368">
        <f t="shared" si="25"/>
        <v>23923</v>
      </c>
      <c r="I97" s="368">
        <f t="shared" si="25"/>
        <v>23923</v>
      </c>
      <c r="J97" s="368">
        <f t="shared" si="25"/>
        <v>23923</v>
      </c>
      <c r="K97" s="368">
        <f t="shared" si="25"/>
        <v>23923</v>
      </c>
    </row>
    <row r="98" spans="2:13" ht="12.75" customHeight="1">
      <c r="B98" s="8" t="s">
        <v>166</v>
      </c>
      <c r="C98" s="330"/>
      <c r="D98" s="368">
        <f t="shared" ref="D98:K98" si="26">SUM(C70:C72)-SUM(D70:D72)</f>
        <v>0</v>
      </c>
      <c r="E98" s="368">
        <f t="shared" si="26"/>
        <v>0</v>
      </c>
      <c r="F98" s="368">
        <f t="shared" si="26"/>
        <v>0</v>
      </c>
      <c r="G98" s="368">
        <f t="shared" si="26"/>
        <v>0</v>
      </c>
      <c r="H98" s="368">
        <f t="shared" si="26"/>
        <v>0</v>
      </c>
      <c r="I98" s="368">
        <f t="shared" si="26"/>
        <v>0</v>
      </c>
      <c r="J98" s="368">
        <f t="shared" si="26"/>
        <v>0</v>
      </c>
      <c r="K98" s="368">
        <f t="shared" si="26"/>
        <v>0</v>
      </c>
    </row>
    <row r="99" spans="2:13" ht="12.75" customHeight="1">
      <c r="B99" s="8" t="s">
        <v>167</v>
      </c>
      <c r="C99" s="330"/>
      <c r="D99" s="368">
        <f t="shared" ref="D99:K99" si="27">SUM(D77:D79)-SUM(C77:C79)</f>
        <v>0</v>
      </c>
      <c r="E99" s="368">
        <f t="shared" si="27"/>
        <v>0</v>
      </c>
      <c r="F99" s="368">
        <f t="shared" si="27"/>
        <v>0</v>
      </c>
      <c r="G99" s="368">
        <f t="shared" si="27"/>
        <v>0</v>
      </c>
      <c r="H99" s="368">
        <f t="shared" si="27"/>
        <v>0</v>
      </c>
      <c r="I99" s="368">
        <f t="shared" si="27"/>
        <v>0</v>
      </c>
      <c r="J99" s="368">
        <f t="shared" si="27"/>
        <v>0</v>
      </c>
      <c r="K99" s="368">
        <f t="shared" si="27"/>
        <v>0</v>
      </c>
    </row>
    <row r="100" spans="2:13" ht="12.75" customHeight="1">
      <c r="B100" s="8" t="s">
        <v>151</v>
      </c>
      <c r="C100" s="330"/>
      <c r="D100" s="368">
        <f t="shared" ref="D100:K100" si="28">-D140</f>
        <v>0</v>
      </c>
      <c r="E100" s="368">
        <f t="shared" si="28"/>
        <v>0</v>
      </c>
      <c r="F100" s="368">
        <f t="shared" si="28"/>
        <v>0</v>
      </c>
      <c r="G100" s="368">
        <f t="shared" si="28"/>
        <v>-23121</v>
      </c>
      <c r="H100" s="368">
        <f t="shared" si="28"/>
        <v>-23121</v>
      </c>
      <c r="I100" s="368">
        <f t="shared" si="28"/>
        <v>-23121</v>
      </c>
      <c r="J100" s="368">
        <f t="shared" si="28"/>
        <v>-23121</v>
      </c>
      <c r="K100" s="368">
        <f t="shared" si="28"/>
        <v>-23121</v>
      </c>
      <c r="M100" s="8" t="s">
        <v>168</v>
      </c>
    </row>
    <row r="101" spans="2:13" ht="12.75" customHeight="1">
      <c r="B101" s="8" t="s">
        <v>157</v>
      </c>
      <c r="C101" s="330"/>
      <c r="D101" s="368">
        <f t="shared" ref="D101:K101" si="29">D82-C82</f>
        <v>0</v>
      </c>
      <c r="E101" s="368">
        <f t="shared" si="29"/>
        <v>0</v>
      </c>
      <c r="F101" s="368">
        <f t="shared" si="29"/>
        <v>0</v>
      </c>
      <c r="G101" s="368">
        <f t="shared" si="29"/>
        <v>0</v>
      </c>
      <c r="H101" s="368">
        <f t="shared" si="29"/>
        <v>0</v>
      </c>
      <c r="I101" s="368">
        <f t="shared" si="29"/>
        <v>0</v>
      </c>
      <c r="J101" s="368">
        <f t="shared" si="29"/>
        <v>0</v>
      </c>
      <c r="K101" s="368">
        <f t="shared" si="29"/>
        <v>0</v>
      </c>
      <c r="M101" s="38"/>
    </row>
    <row r="102" spans="2:13" ht="12.75" customHeight="1">
      <c r="B102" s="184" t="s">
        <v>427</v>
      </c>
      <c r="C102" s="187"/>
      <c r="D102" s="187">
        <f t="shared" ref="D102:K102" si="30">SUM(D95:D101)</f>
        <v>-299698.81820004631</v>
      </c>
      <c r="E102" s="187">
        <f t="shared" si="30"/>
        <v>-260952.99569568055</v>
      </c>
      <c r="F102" s="187">
        <f t="shared" si="30"/>
        <v>-113234.47824488746</v>
      </c>
      <c r="G102" s="187">
        <f t="shared" si="30"/>
        <v>700.20037797609621</v>
      </c>
      <c r="H102" s="187">
        <f t="shared" si="30"/>
        <v>700.20037797609621</v>
      </c>
      <c r="I102" s="187">
        <f t="shared" si="30"/>
        <v>700.20037797609621</v>
      </c>
      <c r="J102" s="187">
        <f t="shared" si="30"/>
        <v>700.20037797609621</v>
      </c>
      <c r="K102" s="187">
        <f t="shared" si="30"/>
        <v>700.20037797609621</v>
      </c>
    </row>
    <row r="103" spans="2:13" ht="12.75" customHeight="1">
      <c r="G103" s="70"/>
      <c r="H103" s="70"/>
      <c r="I103" s="70"/>
      <c r="J103" s="70"/>
      <c r="K103" s="70"/>
    </row>
    <row r="104" spans="2:13" ht="12.75" customHeight="1">
      <c r="B104" s="8" t="s">
        <v>264</v>
      </c>
      <c r="C104" s="329"/>
      <c r="D104" s="369">
        <f t="shared" ref="D104:K104" si="31">-(D125)</f>
        <v>0</v>
      </c>
      <c r="E104" s="369">
        <f t="shared" si="31"/>
        <v>0</v>
      </c>
      <c r="F104" s="369">
        <f t="shared" si="31"/>
        <v>0</v>
      </c>
      <c r="G104" s="369">
        <f t="shared" si="31"/>
        <v>0</v>
      </c>
      <c r="H104" s="369">
        <f t="shared" si="31"/>
        <v>0</v>
      </c>
      <c r="I104" s="369">
        <f t="shared" si="31"/>
        <v>0</v>
      </c>
      <c r="J104" s="369">
        <f t="shared" si="31"/>
        <v>0</v>
      </c>
      <c r="K104" s="369">
        <f t="shared" si="31"/>
        <v>0</v>
      </c>
      <c r="M104" s="8" t="s">
        <v>150</v>
      </c>
    </row>
    <row r="105" spans="2:13" ht="12.75" customHeight="1">
      <c r="B105" s="184" t="s">
        <v>428</v>
      </c>
      <c r="C105" s="187"/>
      <c r="D105" s="187">
        <f t="shared" ref="D105:K105" si="32">IFERROR(D104,"NA")</f>
        <v>0</v>
      </c>
      <c r="E105" s="187">
        <f t="shared" si="32"/>
        <v>0</v>
      </c>
      <c r="F105" s="187">
        <f t="shared" si="32"/>
        <v>0</v>
      </c>
      <c r="G105" s="187">
        <f t="shared" si="32"/>
        <v>0</v>
      </c>
      <c r="H105" s="187">
        <f t="shared" si="32"/>
        <v>0</v>
      </c>
      <c r="I105" s="187">
        <f t="shared" si="32"/>
        <v>0</v>
      </c>
      <c r="J105" s="187">
        <f t="shared" si="32"/>
        <v>0</v>
      </c>
      <c r="K105" s="187">
        <f t="shared" si="32"/>
        <v>0</v>
      </c>
    </row>
    <row r="106" spans="2:13" ht="12.75" customHeight="1">
      <c r="G106" s="70"/>
      <c r="H106" s="70"/>
      <c r="I106" s="70"/>
      <c r="J106" s="70"/>
      <c r="K106" s="70"/>
    </row>
    <row r="107" spans="2:13" ht="12.75" customHeight="1">
      <c r="B107" s="8" t="s">
        <v>170</v>
      </c>
      <c r="C107" s="329"/>
      <c r="D107" s="369">
        <f t="shared" ref="D107:K107" si="33">D81-C81</f>
        <v>0</v>
      </c>
      <c r="E107" s="369">
        <f t="shared" si="33"/>
        <v>0</v>
      </c>
      <c r="F107" s="369">
        <f t="shared" si="33"/>
        <v>0</v>
      </c>
      <c r="G107" s="369">
        <f t="shared" si="33"/>
        <v>0</v>
      </c>
      <c r="H107" s="369">
        <f t="shared" si="33"/>
        <v>0</v>
      </c>
      <c r="I107" s="369">
        <f t="shared" si="33"/>
        <v>0</v>
      </c>
      <c r="J107" s="369">
        <f t="shared" si="33"/>
        <v>0</v>
      </c>
      <c r="K107" s="369">
        <f t="shared" si="33"/>
        <v>0</v>
      </c>
    </row>
    <row r="108" spans="2:13" ht="12.75" customHeight="1">
      <c r="B108" s="8" t="s">
        <v>171</v>
      </c>
      <c r="C108" s="329"/>
      <c r="D108" s="369">
        <f t="shared" ref="D108:K108" si="34">D80-C80</f>
        <v>0</v>
      </c>
      <c r="E108" s="369">
        <f t="shared" si="34"/>
        <v>0</v>
      </c>
      <c r="F108" s="369">
        <f t="shared" si="34"/>
        <v>0</v>
      </c>
      <c r="G108" s="369">
        <f t="shared" si="34"/>
        <v>0</v>
      </c>
      <c r="H108" s="369">
        <f t="shared" si="34"/>
        <v>0</v>
      </c>
      <c r="I108" s="369">
        <f t="shared" si="34"/>
        <v>0</v>
      </c>
      <c r="J108" s="369">
        <f t="shared" si="34"/>
        <v>0</v>
      </c>
      <c r="K108" s="369">
        <f t="shared" si="34"/>
        <v>0</v>
      </c>
      <c r="M108" s="8" t="s">
        <v>172</v>
      </c>
    </row>
    <row r="109" spans="2:13" ht="12.75" customHeight="1">
      <c r="B109" s="8" t="s">
        <v>173</v>
      </c>
      <c r="C109" s="329"/>
      <c r="D109" s="369">
        <f t="shared" ref="D109:K109" si="35">D147</f>
        <v>0</v>
      </c>
      <c r="E109" s="369">
        <f t="shared" si="35"/>
        <v>0</v>
      </c>
      <c r="F109" s="369">
        <f t="shared" si="35"/>
        <v>0</v>
      </c>
      <c r="G109" s="369">
        <f t="shared" si="35"/>
        <v>0</v>
      </c>
      <c r="H109" s="369">
        <f t="shared" si="35"/>
        <v>0</v>
      </c>
      <c r="I109" s="369">
        <f t="shared" si="35"/>
        <v>0</v>
      </c>
      <c r="J109" s="369">
        <f t="shared" si="35"/>
        <v>0</v>
      </c>
      <c r="K109" s="369">
        <f t="shared" si="35"/>
        <v>0</v>
      </c>
      <c r="M109" s="8" t="s">
        <v>161</v>
      </c>
    </row>
    <row r="110" spans="2:13" ht="12.75" customHeight="1">
      <c r="B110" s="8" t="s">
        <v>174</v>
      </c>
      <c r="C110" s="329"/>
      <c r="D110" s="369">
        <f t="shared" ref="D110:G111" si="36">D146</f>
        <v>0</v>
      </c>
      <c r="E110" s="369">
        <f t="shared" si="36"/>
        <v>0</v>
      </c>
      <c r="F110" s="369">
        <f t="shared" si="36"/>
        <v>0</v>
      </c>
      <c r="G110" s="369">
        <f t="shared" si="36"/>
        <v>0</v>
      </c>
      <c r="H110" s="369">
        <f t="shared" ref="H110:K111" si="37">H146</f>
        <v>0</v>
      </c>
      <c r="I110" s="369">
        <f t="shared" si="37"/>
        <v>0</v>
      </c>
      <c r="J110" s="369">
        <f t="shared" si="37"/>
        <v>0</v>
      </c>
      <c r="K110" s="369">
        <f t="shared" si="37"/>
        <v>0</v>
      </c>
      <c r="M110" s="8" t="s">
        <v>161</v>
      </c>
    </row>
    <row r="111" spans="2:13" ht="12.75" customHeight="1">
      <c r="B111" s="8" t="s">
        <v>174</v>
      </c>
      <c r="C111" s="329"/>
      <c r="D111" s="369">
        <f t="shared" si="36"/>
        <v>0</v>
      </c>
      <c r="E111" s="369">
        <f t="shared" si="36"/>
        <v>0</v>
      </c>
      <c r="F111" s="369">
        <f t="shared" si="36"/>
        <v>0</v>
      </c>
      <c r="G111" s="369">
        <f t="shared" si="36"/>
        <v>0</v>
      </c>
      <c r="H111" s="369">
        <f t="shared" si="37"/>
        <v>0</v>
      </c>
      <c r="I111" s="369">
        <f t="shared" si="37"/>
        <v>0</v>
      </c>
      <c r="J111" s="369">
        <f t="shared" si="37"/>
        <v>0</v>
      </c>
      <c r="K111" s="369">
        <f t="shared" si="37"/>
        <v>0</v>
      </c>
      <c r="M111" s="8" t="s">
        <v>161</v>
      </c>
    </row>
    <row r="112" spans="2:13" ht="12.75" customHeight="1">
      <c r="B112" s="184" t="s">
        <v>429</v>
      </c>
      <c r="C112" s="187"/>
      <c r="D112" s="187">
        <f t="shared" ref="D112:K112" si="38">SUM(D107:D110)</f>
        <v>0</v>
      </c>
      <c r="E112" s="187">
        <f t="shared" si="38"/>
        <v>0</v>
      </c>
      <c r="F112" s="187">
        <f t="shared" si="38"/>
        <v>0</v>
      </c>
      <c r="G112" s="187">
        <f t="shared" si="38"/>
        <v>0</v>
      </c>
      <c r="H112" s="187">
        <f t="shared" si="38"/>
        <v>0</v>
      </c>
      <c r="I112" s="187">
        <f t="shared" si="38"/>
        <v>0</v>
      </c>
      <c r="J112" s="187">
        <f t="shared" si="38"/>
        <v>0</v>
      </c>
      <c r="K112" s="187">
        <f t="shared" si="38"/>
        <v>0</v>
      </c>
    </row>
    <row r="113" spans="1:13" ht="5.0999999999999996" customHeight="1">
      <c r="G113" s="70"/>
      <c r="H113" s="70"/>
      <c r="I113" s="70"/>
      <c r="J113" s="70"/>
      <c r="K113" s="70"/>
    </row>
    <row r="114" spans="1:13" ht="12.75" customHeight="1">
      <c r="B114" s="38" t="s">
        <v>175</v>
      </c>
      <c r="C114" s="329"/>
      <c r="D114" s="48">
        <f t="shared" ref="D114:K114" si="39">D102+D105+D112</f>
        <v>-299698.81820004631</v>
      </c>
      <c r="E114" s="48">
        <f t="shared" si="39"/>
        <v>-260952.99569568055</v>
      </c>
      <c r="F114" s="48">
        <f t="shared" si="39"/>
        <v>-113234.47824488746</v>
      </c>
      <c r="G114" s="48">
        <f t="shared" si="39"/>
        <v>700.20037797609621</v>
      </c>
      <c r="H114" s="48">
        <f t="shared" si="39"/>
        <v>700.20037797609621</v>
      </c>
      <c r="I114" s="48">
        <f t="shared" si="39"/>
        <v>700.20037797609621</v>
      </c>
      <c r="J114" s="48">
        <f t="shared" si="39"/>
        <v>700.20037797609621</v>
      </c>
      <c r="K114" s="48">
        <f t="shared" si="39"/>
        <v>700.20037797609621</v>
      </c>
    </row>
    <row r="116" spans="1:13">
      <c r="A116" s="8" t="s">
        <v>25</v>
      </c>
      <c r="B116" s="373" t="s">
        <v>430</v>
      </c>
      <c r="C116" s="374" t="s">
        <v>423</v>
      </c>
      <c r="D116" s="374"/>
      <c r="E116" s="374"/>
      <c r="F116" s="374"/>
      <c r="G116" s="374" t="s">
        <v>177</v>
      </c>
      <c r="H116" s="374"/>
      <c r="I116" s="374"/>
      <c r="J116" s="374"/>
      <c r="K116" s="374"/>
    </row>
    <row r="117" spans="1:13">
      <c r="B117" s="375" t="s">
        <v>120</v>
      </c>
      <c r="C117" s="403">
        <v>2021</v>
      </c>
      <c r="D117" s="403">
        <v>2022</v>
      </c>
      <c r="E117" s="403">
        <v>2023</v>
      </c>
      <c r="F117" s="403">
        <v>2024</v>
      </c>
      <c r="G117" s="404">
        <v>2025</v>
      </c>
      <c r="H117" s="404">
        <v>2026</v>
      </c>
      <c r="I117" s="404">
        <v>2027</v>
      </c>
      <c r="J117" s="404">
        <v>2028</v>
      </c>
      <c r="K117" s="404">
        <v>2029</v>
      </c>
    </row>
    <row r="118" spans="1:13">
      <c r="B118" s="375" t="s">
        <v>121</v>
      </c>
      <c r="C118" s="376">
        <v>44469</v>
      </c>
      <c r="D118" s="376">
        <v>44834</v>
      </c>
      <c r="E118" s="376">
        <v>45199</v>
      </c>
      <c r="F118" s="376">
        <v>45559</v>
      </c>
      <c r="G118" s="376">
        <v>45930</v>
      </c>
      <c r="H118" s="376">
        <v>46295</v>
      </c>
      <c r="I118" s="376">
        <v>46660</v>
      </c>
      <c r="J118" s="376">
        <v>47026</v>
      </c>
      <c r="K118" s="376">
        <v>47391</v>
      </c>
    </row>
    <row r="120" spans="1:13">
      <c r="A120" s="348" t="s">
        <v>25</v>
      </c>
      <c r="B120" s="100" t="s">
        <v>176</v>
      </c>
      <c r="C120" s="100"/>
      <c r="D120" s="101"/>
      <c r="E120" s="101"/>
      <c r="F120" s="101"/>
      <c r="G120" s="101"/>
      <c r="H120" s="101"/>
      <c r="I120" s="101"/>
      <c r="J120" s="101"/>
      <c r="K120" s="101"/>
    </row>
    <row r="121" spans="1:13" hidden="1">
      <c r="B121" s="116" t="str">
        <f>B15</f>
        <v xml:space="preserve">Fiscal year  </v>
      </c>
      <c r="C121" s="116"/>
      <c r="D121" s="117">
        <f>D15</f>
        <v>2022</v>
      </c>
      <c r="E121" s="117">
        <f>E15</f>
        <v>2023</v>
      </c>
      <c r="F121" s="117">
        <f>F15</f>
        <v>2024</v>
      </c>
      <c r="G121" s="118">
        <f>G15</f>
        <v>2025</v>
      </c>
      <c r="H121" s="118">
        <f>H15</f>
        <v>2026</v>
      </c>
      <c r="I121" s="118">
        <f>I15</f>
        <v>2027</v>
      </c>
      <c r="J121" s="118">
        <f>J15</f>
        <v>2028</v>
      </c>
      <c r="K121" s="118">
        <f>K15</f>
        <v>2029</v>
      </c>
    </row>
    <row r="122" spans="1:13" hidden="1">
      <c r="B122" s="101" t="str">
        <f>B16</f>
        <v>Fiscal year end date</v>
      </c>
      <c r="C122" s="101"/>
      <c r="D122" s="119">
        <f>D16</f>
        <v>44926</v>
      </c>
      <c r="E122" s="119">
        <f>E16</f>
        <v>45291</v>
      </c>
      <c r="F122" s="119">
        <f>F16</f>
        <v>45657</v>
      </c>
      <c r="G122" s="119">
        <f>G16</f>
        <v>46022</v>
      </c>
      <c r="H122" s="119">
        <f>H16</f>
        <v>46387</v>
      </c>
      <c r="I122" s="119">
        <f>I16</f>
        <v>46752</v>
      </c>
      <c r="J122" s="119">
        <f>J16</f>
        <v>47118</v>
      </c>
      <c r="K122" s="119">
        <f>K16</f>
        <v>47483</v>
      </c>
    </row>
    <row r="123" spans="1:13" hidden="1">
      <c r="B123" s="38"/>
      <c r="C123" s="38"/>
      <c r="G123" s="121" t="s">
        <v>177</v>
      </c>
      <c r="H123" s="121"/>
      <c r="I123" s="121"/>
      <c r="J123" s="121"/>
      <c r="K123" s="121"/>
    </row>
    <row r="124" spans="1:13">
      <c r="B124" s="110" t="s">
        <v>178</v>
      </c>
      <c r="C124" s="110"/>
      <c r="D124" s="70">
        <f t="shared" ref="D124:K124" si="40">C127</f>
        <v>0</v>
      </c>
      <c r="E124" s="70">
        <f t="shared" si="40"/>
        <v>0</v>
      </c>
      <c r="F124" s="70">
        <f t="shared" si="40"/>
        <v>0</v>
      </c>
      <c r="G124" s="188">
        <f t="shared" si="40"/>
        <v>0</v>
      </c>
      <c r="H124" s="188" t="e">
        <f t="shared" si="40"/>
        <v>#DIV/0!</v>
      </c>
      <c r="I124" s="188" t="e">
        <f t="shared" si="40"/>
        <v>#DIV/0!</v>
      </c>
      <c r="J124" s="188" t="e">
        <f t="shared" si="40"/>
        <v>#DIV/0!</v>
      </c>
      <c r="K124" s="188" t="e">
        <f t="shared" si="40"/>
        <v>#DIV/0!</v>
      </c>
      <c r="M124" s="8" t="s">
        <v>179</v>
      </c>
    </row>
    <row r="125" spans="1:13">
      <c r="B125" s="122" t="s">
        <v>180</v>
      </c>
      <c r="C125" s="168"/>
      <c r="D125" s="168"/>
      <c r="E125" s="168"/>
      <c r="F125" s="168"/>
      <c r="G125" s="423"/>
      <c r="H125" s="423"/>
      <c r="I125" s="423"/>
      <c r="J125" s="423"/>
      <c r="K125" s="423"/>
      <c r="M125" s="8" t="s">
        <v>181</v>
      </c>
    </row>
    <row r="126" spans="1:13">
      <c r="B126" s="123" t="s">
        <v>182</v>
      </c>
      <c r="C126" s="124"/>
      <c r="D126" s="124"/>
      <c r="E126" s="124"/>
      <c r="F126" s="124"/>
      <c r="G126" s="197" t="e">
        <f>-(G129*G125)</f>
        <v>#DIV/0!</v>
      </c>
      <c r="H126" s="197" t="e">
        <f>-(H129*H125)</f>
        <v>#DIV/0!</v>
      </c>
      <c r="I126" s="197" t="e">
        <f>-(I129*I125)</f>
        <v>#DIV/0!</v>
      </c>
      <c r="J126" s="197" t="e">
        <f>-(J129*J125)</f>
        <v>#DIV/0!</v>
      </c>
      <c r="K126" s="197" t="e">
        <f>-(K129*K125)</f>
        <v>#DIV/0!</v>
      </c>
      <c r="M126" s="8" t="s">
        <v>183</v>
      </c>
    </row>
    <row r="127" spans="1:13">
      <c r="B127" s="126" t="s">
        <v>184</v>
      </c>
      <c r="C127" s="48">
        <f>C73</f>
        <v>0</v>
      </c>
      <c r="D127" s="48">
        <f>D73</f>
        <v>0</v>
      </c>
      <c r="E127" s="48">
        <f>E73</f>
        <v>0</v>
      </c>
      <c r="F127" s="48">
        <f>F73</f>
        <v>0</v>
      </c>
      <c r="G127" s="48" t="e">
        <f>SUM(G124:G126)</f>
        <v>#DIV/0!</v>
      </c>
      <c r="H127" s="48" t="e">
        <f>SUM(H124:H126)</f>
        <v>#DIV/0!</v>
      </c>
      <c r="I127" s="48" t="e">
        <f>SUM(I124:I126)</f>
        <v>#DIV/0!</v>
      </c>
      <c r="J127" s="48" t="e">
        <f>SUM(J124:J126)</f>
        <v>#DIV/0!</v>
      </c>
      <c r="K127" s="48" t="e">
        <f>SUM(K124:K126)</f>
        <v>#DIV/0!</v>
      </c>
      <c r="M127" s="8" t="s">
        <v>185</v>
      </c>
    </row>
    <row r="128" spans="1:13" ht="5.0999999999999996" customHeight="1">
      <c r="B128" s="110"/>
      <c r="C128" s="110"/>
      <c r="M128" s="113"/>
    </row>
    <row r="129" spans="1:17">
      <c r="B129" s="110" t="s">
        <v>186</v>
      </c>
      <c r="C129" s="127" t="e">
        <f>-(C126/C125)</f>
        <v>#DIV/0!</v>
      </c>
      <c r="D129" s="127" t="e">
        <f>-(D126/D125)</f>
        <v>#DIV/0!</v>
      </c>
      <c r="E129" s="127" t="e">
        <f>-(E126/E125)</f>
        <v>#DIV/0!</v>
      </c>
      <c r="F129" s="127" t="e">
        <f>-(F126/F125)</f>
        <v>#DIV/0!</v>
      </c>
      <c r="G129" s="194" t="e">
        <f>AVERAGE(D129:F129)</f>
        <v>#DIV/0!</v>
      </c>
      <c r="H129" s="194" t="e">
        <f>G129+$C$130</f>
        <v>#DIV/0!</v>
      </c>
      <c r="I129" s="194" t="e">
        <f>H129+$C$130</f>
        <v>#DIV/0!</v>
      </c>
      <c r="J129" s="194" t="e">
        <f>I129+$C$130</f>
        <v>#DIV/0!</v>
      </c>
      <c r="K129" s="194" t="e">
        <f>J129+$C$130</f>
        <v>#DIV/0!</v>
      </c>
      <c r="M129" s="128"/>
      <c r="N129" s="113"/>
      <c r="O129" s="129"/>
      <c r="P129" s="129"/>
      <c r="Q129" s="129"/>
    </row>
    <row r="130" spans="1:17">
      <c r="B130" s="418" t="s">
        <v>448</v>
      </c>
      <c r="C130" s="464">
        <v>0.02</v>
      </c>
      <c r="D130" s="127"/>
      <c r="E130" s="127"/>
      <c r="F130" s="127"/>
      <c r="G130" s="114"/>
      <c r="H130" s="114"/>
      <c r="I130" s="114"/>
      <c r="J130" s="114"/>
      <c r="K130" s="114"/>
      <c r="M130" s="128"/>
      <c r="N130" s="113"/>
      <c r="O130" s="129"/>
      <c r="P130" s="129"/>
      <c r="Q130" s="129"/>
    </row>
    <row r="131" spans="1:17">
      <c r="B131" s="110"/>
      <c r="C131" s="110"/>
      <c r="D131" s="127"/>
      <c r="E131" s="127"/>
      <c r="F131" s="127"/>
      <c r="G131" s="114"/>
      <c r="H131" s="114"/>
      <c r="I131" s="114"/>
      <c r="J131" s="114"/>
      <c r="K131" s="114"/>
      <c r="O131" s="129"/>
      <c r="P131" s="129"/>
      <c r="Q131" s="129"/>
    </row>
    <row r="132" spans="1:17">
      <c r="A132" s="348" t="s">
        <v>25</v>
      </c>
      <c r="B132" s="130" t="s">
        <v>435</v>
      </c>
      <c r="C132" s="130"/>
      <c r="D132" s="131"/>
      <c r="E132" s="131"/>
      <c r="F132" s="131"/>
      <c r="G132" s="132"/>
      <c r="H132" s="132"/>
      <c r="I132" s="132"/>
      <c r="J132" s="132"/>
      <c r="K132" s="132"/>
      <c r="O132" s="129"/>
      <c r="P132" s="129"/>
      <c r="Q132" s="129"/>
    </row>
    <row r="133" spans="1:17">
      <c r="B133" s="110" t="s">
        <v>260</v>
      </c>
      <c r="C133" s="70">
        <f>C135+C126</f>
        <v>21663</v>
      </c>
      <c r="D133" s="70">
        <f>D135+D126</f>
        <v>32582</v>
      </c>
      <c r="E133" s="70">
        <f>E135+E126</f>
        <v>48094</v>
      </c>
      <c r="F133" s="70">
        <f>F135+F126</f>
        <v>23121</v>
      </c>
      <c r="G133" s="193">
        <f>G134*G18</f>
        <v>23121</v>
      </c>
      <c r="H133" s="193">
        <f>H134*H18</f>
        <v>23121</v>
      </c>
      <c r="I133" s="193">
        <f>I134*I18</f>
        <v>23121</v>
      </c>
      <c r="J133" s="193">
        <f>J134*J18</f>
        <v>23121</v>
      </c>
      <c r="K133" s="193">
        <f>K134*K18</f>
        <v>23121</v>
      </c>
      <c r="M133" s="8" t="s">
        <v>187</v>
      </c>
      <c r="O133" s="129"/>
      <c r="P133" s="129"/>
      <c r="Q133" s="129"/>
    </row>
    <row r="134" spans="1:17">
      <c r="B134" s="65" t="s">
        <v>188</v>
      </c>
      <c r="C134" s="133">
        <f>C133/C18</f>
        <v>6.668759985593041E-2</v>
      </c>
      <c r="D134" s="133">
        <f>D133/D18</f>
        <v>0.11020426110515438</v>
      </c>
      <c r="E134" s="133">
        <f>E133/E18</f>
        <v>0.22166913252490056</v>
      </c>
      <c r="F134" s="133">
        <f>F133/F18</f>
        <v>0.10978893136114343</v>
      </c>
      <c r="G134" s="194">
        <f>F134</f>
        <v>0.10978893136114343</v>
      </c>
      <c r="H134" s="194">
        <f>G134</f>
        <v>0.10978893136114343</v>
      </c>
      <c r="I134" s="194">
        <f>H134</f>
        <v>0.10978893136114343</v>
      </c>
      <c r="J134" s="194">
        <f>I134</f>
        <v>0.10978893136114343</v>
      </c>
      <c r="K134" s="194">
        <f>J134</f>
        <v>0.10978893136114343</v>
      </c>
      <c r="M134" s="8" t="s">
        <v>549</v>
      </c>
    </row>
    <row r="135" spans="1:17">
      <c r="B135" s="111" t="s">
        <v>189</v>
      </c>
      <c r="C135" s="48">
        <f>C43</f>
        <v>21663</v>
      </c>
      <c r="D135" s="48">
        <f>D43</f>
        <v>32582</v>
      </c>
      <c r="E135" s="48">
        <f>E43</f>
        <v>48094</v>
      </c>
      <c r="F135" s="48">
        <f>F43</f>
        <v>23121</v>
      </c>
      <c r="G135" s="195" t="e">
        <f>-G126+G133</f>
        <v>#DIV/0!</v>
      </c>
      <c r="H135" s="195" t="e">
        <f>-H126+H133</f>
        <v>#DIV/0!</v>
      </c>
      <c r="I135" s="195" t="e">
        <f>-I126+I133</f>
        <v>#DIV/0!</v>
      </c>
      <c r="J135" s="195" t="e">
        <f>-J126+J133</f>
        <v>#DIV/0!</v>
      </c>
      <c r="K135" s="195" t="e">
        <f>-K126+K133</f>
        <v>#DIV/0!</v>
      </c>
      <c r="M135" s="8" t="s">
        <v>190</v>
      </c>
    </row>
    <row r="136" spans="1:17">
      <c r="B136" s="110"/>
      <c r="C136" s="110"/>
      <c r="D136" s="70"/>
      <c r="E136" s="70"/>
      <c r="F136" s="70"/>
      <c r="H136" s="70"/>
      <c r="I136" s="70"/>
      <c r="J136" s="70"/>
      <c r="K136" s="70"/>
    </row>
    <row r="137" spans="1:17">
      <c r="A137" s="348" t="s">
        <v>25</v>
      </c>
      <c r="B137" s="134" t="s">
        <v>191</v>
      </c>
      <c r="C137" s="134"/>
      <c r="D137" s="101"/>
      <c r="E137" s="101"/>
      <c r="F137" s="101"/>
      <c r="H137" s="70"/>
      <c r="I137" s="70"/>
      <c r="J137" s="70"/>
      <c r="K137" s="70"/>
    </row>
    <row r="138" spans="1:17">
      <c r="B138" s="110" t="s">
        <v>178</v>
      </c>
      <c r="C138" s="110"/>
      <c r="D138" s="135"/>
      <c r="E138" s="135"/>
      <c r="F138" s="135"/>
      <c r="G138" s="191">
        <f>F141</f>
        <v>0</v>
      </c>
      <c r="H138" s="191">
        <f>G141</f>
        <v>0</v>
      </c>
      <c r="I138" s="191">
        <f>H141</f>
        <v>0</v>
      </c>
      <c r="J138" s="191">
        <f>I141</f>
        <v>0</v>
      </c>
      <c r="K138" s="191">
        <f>J141</f>
        <v>0</v>
      </c>
      <c r="M138" s="8" t="s">
        <v>179</v>
      </c>
    </row>
    <row r="139" spans="1:17">
      <c r="B139" s="65" t="s">
        <v>192</v>
      </c>
      <c r="C139" s="65"/>
      <c r="D139" s="70"/>
      <c r="E139" s="70"/>
      <c r="F139" s="70"/>
      <c r="G139" s="188">
        <f>-(G133)</f>
        <v>-23121</v>
      </c>
      <c r="H139" s="188">
        <f>-(H133)</f>
        <v>-23121</v>
      </c>
      <c r="I139" s="188">
        <f>-(I133)</f>
        <v>-23121</v>
      </c>
      <c r="J139" s="188">
        <f>-(J133)</f>
        <v>-23121</v>
      </c>
      <c r="K139" s="188">
        <f>-(K133)</f>
        <v>-23121</v>
      </c>
      <c r="M139" s="8" t="s">
        <v>193</v>
      </c>
    </row>
    <row r="140" spans="1:17">
      <c r="B140" s="136" t="s">
        <v>194</v>
      </c>
      <c r="C140" s="136"/>
      <c r="D140" s="138"/>
      <c r="E140" s="138"/>
      <c r="F140" s="138"/>
      <c r="G140" s="192">
        <f>G141-G139-G138</f>
        <v>23121</v>
      </c>
      <c r="H140" s="192">
        <f>H141-H139-H138</f>
        <v>23121</v>
      </c>
      <c r="I140" s="192">
        <f>I141-I139-I138</f>
        <v>23121</v>
      </c>
      <c r="J140" s="192">
        <f>J141-J139-J138</f>
        <v>23121</v>
      </c>
      <c r="K140" s="192">
        <f>K141-K139-K138</f>
        <v>23121</v>
      </c>
      <c r="M140" s="8" t="s">
        <v>550</v>
      </c>
    </row>
    <row r="141" spans="1:17">
      <c r="B141" s="126" t="s">
        <v>184</v>
      </c>
      <c r="C141" s="48"/>
      <c r="D141" s="48">
        <f t="shared" ref="D141:K141" si="41">D74</f>
        <v>0</v>
      </c>
      <c r="E141" s="48">
        <f t="shared" si="41"/>
        <v>0</v>
      </c>
      <c r="F141" s="48">
        <f t="shared" si="41"/>
        <v>0</v>
      </c>
      <c r="G141" s="48">
        <f t="shared" si="41"/>
        <v>0</v>
      </c>
      <c r="H141" s="48">
        <f t="shared" si="41"/>
        <v>0</v>
      </c>
      <c r="I141" s="48">
        <f t="shared" si="41"/>
        <v>0</v>
      </c>
      <c r="J141" s="48">
        <f t="shared" si="41"/>
        <v>0</v>
      </c>
      <c r="K141" s="48">
        <f t="shared" si="41"/>
        <v>0</v>
      </c>
      <c r="M141" s="8" t="s">
        <v>195</v>
      </c>
    </row>
    <row r="142" spans="1:17">
      <c r="B142" s="65"/>
      <c r="C142" s="65"/>
      <c r="E142" s="70"/>
      <c r="F142" s="70"/>
      <c r="H142" s="70"/>
      <c r="I142" s="70"/>
      <c r="J142" s="70"/>
      <c r="K142" s="70"/>
    </row>
    <row r="143" spans="1:17">
      <c r="A143" s="348" t="s">
        <v>25</v>
      </c>
      <c r="B143" s="139" t="s">
        <v>196</v>
      </c>
      <c r="C143" s="139"/>
      <c r="D143" s="134"/>
      <c r="E143" s="134"/>
      <c r="F143" s="134"/>
      <c r="G143" s="101"/>
      <c r="H143" s="101"/>
      <c r="I143" s="101"/>
      <c r="J143" s="101"/>
      <c r="K143" s="101"/>
    </row>
    <row r="144" spans="1:17">
      <c r="B144" s="110" t="s">
        <v>178</v>
      </c>
      <c r="C144" s="110"/>
      <c r="D144" s="70"/>
      <c r="E144" s="70"/>
      <c r="F144" s="70"/>
      <c r="G144" s="188">
        <f>F148</f>
        <v>0</v>
      </c>
      <c r="H144" s="188">
        <f>G148</f>
        <v>-101.79962202390291</v>
      </c>
      <c r="I144" s="188">
        <f>H148</f>
        <v>-203.59924404780583</v>
      </c>
      <c r="J144" s="188">
        <f>I148</f>
        <v>-305.39886607170877</v>
      </c>
      <c r="K144" s="188">
        <f>J148</f>
        <v>-407.19848809561165</v>
      </c>
      <c r="M144" s="8" t="s">
        <v>179</v>
      </c>
    </row>
    <row r="145" spans="1:17">
      <c r="B145" s="65" t="s">
        <v>197</v>
      </c>
      <c r="C145" s="108"/>
      <c r="D145" s="108"/>
      <c r="E145" s="108"/>
      <c r="F145" s="108">
        <f t="shared" ref="F145:K145" si="42">F40</f>
        <v>-160278.47824488746</v>
      </c>
      <c r="G145" s="188">
        <f t="shared" si="42"/>
        <v>-101.79962202390291</v>
      </c>
      <c r="H145" s="188">
        <f t="shared" si="42"/>
        <v>-101.79962202390291</v>
      </c>
      <c r="I145" s="188">
        <f t="shared" si="42"/>
        <v>-101.79962202390291</v>
      </c>
      <c r="J145" s="188">
        <f t="shared" si="42"/>
        <v>-101.79962202390291</v>
      </c>
      <c r="K145" s="188">
        <f t="shared" si="42"/>
        <v>-101.79962202390291</v>
      </c>
      <c r="M145" s="8" t="s">
        <v>198</v>
      </c>
    </row>
    <row r="146" spans="1:17">
      <c r="B146" s="65" t="s">
        <v>199</v>
      </c>
      <c r="C146" s="168"/>
      <c r="D146" s="168"/>
      <c r="E146" s="168"/>
      <c r="F146" s="168"/>
      <c r="G146" s="188">
        <f>G145*F146/F145</f>
        <v>0</v>
      </c>
      <c r="H146" s="188">
        <f>H145*G146/G145</f>
        <v>0</v>
      </c>
      <c r="I146" s="188">
        <f>I145*H146/H145</f>
        <v>0</v>
      </c>
      <c r="J146" s="188">
        <f>J145*I146/I145</f>
        <v>0</v>
      </c>
      <c r="K146" s="188">
        <f>K145*J146/J145</f>
        <v>0</v>
      </c>
      <c r="M146" s="8" t="s">
        <v>551</v>
      </c>
    </row>
    <row r="147" spans="1:17">
      <c r="B147" s="136" t="s">
        <v>200</v>
      </c>
      <c r="C147" s="168"/>
      <c r="D147" s="168"/>
      <c r="E147" s="168"/>
      <c r="F147" s="168"/>
      <c r="G147" s="197">
        <f>F147</f>
        <v>0</v>
      </c>
      <c r="H147" s="197">
        <f>G147</f>
        <v>0</v>
      </c>
      <c r="I147" s="197">
        <f>H147</f>
        <v>0</v>
      </c>
      <c r="J147" s="197">
        <f>I147</f>
        <v>0</v>
      </c>
      <c r="K147" s="197">
        <f>J147</f>
        <v>0</v>
      </c>
      <c r="M147" s="8" t="s">
        <v>552</v>
      </c>
    </row>
    <row r="148" spans="1:17">
      <c r="B148" s="126" t="s">
        <v>184</v>
      </c>
      <c r="C148" s="183"/>
      <c r="D148" s="187"/>
      <c r="E148" s="187"/>
      <c r="F148" s="187">
        <f>F86</f>
        <v>0</v>
      </c>
      <c r="G148" s="48">
        <f>SUM(G144:G147)</f>
        <v>-101.79962202390291</v>
      </c>
      <c r="H148" s="48">
        <f>SUM(H144:H147)</f>
        <v>-203.59924404780583</v>
      </c>
      <c r="I148" s="48">
        <f>SUM(I144:I147)</f>
        <v>-305.39886607170877</v>
      </c>
      <c r="J148" s="48">
        <f>SUM(J144:J147)</f>
        <v>-407.19848809561165</v>
      </c>
      <c r="K148" s="48">
        <f>SUM(K144:K147)</f>
        <v>-508.99811011951454</v>
      </c>
      <c r="M148" s="8" t="s">
        <v>201</v>
      </c>
    </row>
    <row r="149" spans="1:17">
      <c r="E149" s="120"/>
      <c r="F149" s="120"/>
    </row>
    <row r="150" spans="1:17">
      <c r="A150" s="348" t="s">
        <v>25</v>
      </c>
      <c r="B150" s="100" t="s">
        <v>202</v>
      </c>
      <c r="C150" s="100"/>
      <c r="D150" s="101"/>
      <c r="E150" s="101"/>
      <c r="F150" s="101"/>
      <c r="G150" s="101"/>
      <c r="H150" s="101"/>
      <c r="I150" s="101"/>
      <c r="J150" s="101"/>
      <c r="K150" s="101"/>
      <c r="O150" s="129"/>
      <c r="P150" s="129"/>
    </row>
    <row r="151" spans="1:17" hidden="1">
      <c r="B151" s="116" t="str">
        <f>B15</f>
        <v xml:space="preserve">Fiscal year  </v>
      </c>
      <c r="C151" s="116"/>
      <c r="D151" s="117">
        <f>D15</f>
        <v>2022</v>
      </c>
      <c r="E151" s="117">
        <f>E15</f>
        <v>2023</v>
      </c>
      <c r="F151" s="117">
        <f>F15</f>
        <v>2024</v>
      </c>
      <c r="G151" s="118">
        <f>G15</f>
        <v>2025</v>
      </c>
      <c r="H151" s="118">
        <f>H15</f>
        <v>2026</v>
      </c>
      <c r="I151" s="118">
        <f>I15</f>
        <v>2027</v>
      </c>
      <c r="J151" s="118">
        <f>J15</f>
        <v>2028</v>
      </c>
      <c r="K151" s="118">
        <f>K15</f>
        <v>2029</v>
      </c>
      <c r="O151" s="129"/>
      <c r="P151" s="129"/>
    </row>
    <row r="152" spans="1:17" hidden="1">
      <c r="B152" s="101" t="str">
        <f>B16</f>
        <v>Fiscal year end date</v>
      </c>
      <c r="C152" s="101"/>
      <c r="D152" s="119">
        <f>D16</f>
        <v>44926</v>
      </c>
      <c r="E152" s="119">
        <f>E16</f>
        <v>45291</v>
      </c>
      <c r="F152" s="119">
        <f>F16</f>
        <v>45657</v>
      </c>
      <c r="G152" s="119">
        <f>G16</f>
        <v>46022</v>
      </c>
      <c r="H152" s="119">
        <f>H16</f>
        <v>46387</v>
      </c>
      <c r="I152" s="119">
        <f>I16</f>
        <v>46752</v>
      </c>
      <c r="J152" s="119">
        <f>J16</f>
        <v>47118</v>
      </c>
      <c r="K152" s="119">
        <f>K16</f>
        <v>47483</v>
      </c>
      <c r="O152" s="129"/>
      <c r="P152" s="129"/>
    </row>
    <row r="153" spans="1:17" hidden="1">
      <c r="B153" s="38"/>
      <c r="C153" s="38"/>
      <c r="O153" s="129"/>
      <c r="P153" s="129"/>
    </row>
    <row r="154" spans="1:17">
      <c r="B154" s="113" t="s">
        <v>203</v>
      </c>
      <c r="C154" s="113"/>
      <c r="O154" s="129"/>
      <c r="P154" s="129"/>
      <c r="Q154" s="129"/>
    </row>
    <row r="155" spans="1:17">
      <c r="B155" s="65" t="s">
        <v>204</v>
      </c>
      <c r="C155" s="65"/>
      <c r="G155" s="188">
        <f>F69</f>
        <v>0</v>
      </c>
      <c r="H155" s="188">
        <f>G69</f>
        <v>700.20037797609621</v>
      </c>
      <c r="I155" s="188">
        <f>H69</f>
        <v>1400.4007559521924</v>
      </c>
      <c r="J155" s="188">
        <f>I69</f>
        <v>2100.6011339282886</v>
      </c>
      <c r="K155" s="188">
        <f>J69</f>
        <v>2800.8015119043848</v>
      </c>
      <c r="M155" s="8" t="s">
        <v>205</v>
      </c>
      <c r="O155" s="129"/>
      <c r="P155" s="129"/>
    </row>
    <row r="156" spans="1:17">
      <c r="B156" s="65" t="s">
        <v>206</v>
      </c>
      <c r="C156" s="65"/>
      <c r="G156" s="196"/>
      <c r="H156" s="196"/>
      <c r="I156" s="196"/>
      <c r="J156" s="196"/>
      <c r="K156" s="196"/>
      <c r="M156" s="8" t="s">
        <v>553</v>
      </c>
      <c r="O156" s="129"/>
      <c r="P156" s="129"/>
    </row>
    <row r="157" spans="1:17">
      <c r="B157" s="136" t="s">
        <v>207</v>
      </c>
      <c r="C157" s="136"/>
      <c r="D157" s="137"/>
      <c r="E157" s="137"/>
      <c r="F157" s="137"/>
      <c r="G157" s="197">
        <f>SUM(G102,G105,G107,G109,G110)</f>
        <v>700.20037797609621</v>
      </c>
      <c r="H157" s="197">
        <f>SUM(H102,H105,H107,H109,H110)</f>
        <v>700.20037797609621</v>
      </c>
      <c r="I157" s="197">
        <f>SUM(I102,I105,I107,I109,I110)</f>
        <v>700.20037797609621</v>
      </c>
      <c r="J157" s="197">
        <f>SUM(J102,J105,J107,J109,J110)</f>
        <v>700.20037797609621</v>
      </c>
      <c r="K157" s="197">
        <f>SUM(K102,K105,K107,K109,K110)</f>
        <v>700.20037797609621</v>
      </c>
      <c r="M157" s="8" t="s">
        <v>261</v>
      </c>
    </row>
    <row r="158" spans="1:17">
      <c r="B158" s="126" t="s">
        <v>208</v>
      </c>
      <c r="C158" s="126"/>
      <c r="G158" s="48">
        <f>SUM(G155:G157)</f>
        <v>700.20037797609621</v>
      </c>
      <c r="H158" s="48">
        <f>SUM(H155:H157)</f>
        <v>1400.4007559521924</v>
      </c>
      <c r="I158" s="48">
        <f>SUM(I155:I157)</f>
        <v>2100.6011339282886</v>
      </c>
      <c r="J158" s="48">
        <f>SUM(J155:J157)</f>
        <v>2800.8015119043848</v>
      </c>
      <c r="K158" s="48">
        <f>SUM(K155:K157)</f>
        <v>3501.001889880481</v>
      </c>
    </row>
    <row r="160" spans="1:17">
      <c r="B160" s="38" t="s">
        <v>209</v>
      </c>
      <c r="C160" s="38"/>
    </row>
    <row r="161" spans="1:19">
      <c r="B161" s="65" t="s">
        <v>178</v>
      </c>
      <c r="C161" s="65"/>
      <c r="G161" s="188">
        <f>F164</f>
        <v>0</v>
      </c>
      <c r="H161" s="188">
        <f>G164</f>
        <v>0</v>
      </c>
      <c r="I161" s="188">
        <f>H164</f>
        <v>0</v>
      </c>
      <c r="J161" s="188">
        <f>I164</f>
        <v>0</v>
      </c>
      <c r="K161" s="188">
        <f>J164</f>
        <v>0</v>
      </c>
      <c r="M161" s="8" t="s">
        <v>179</v>
      </c>
    </row>
    <row r="162" spans="1:19">
      <c r="B162" s="122" t="s">
        <v>210</v>
      </c>
      <c r="C162" s="122"/>
      <c r="G162" s="188">
        <f>-MIN(G158,G161)</f>
        <v>0</v>
      </c>
      <c r="H162" s="188">
        <f>-MIN(H158,H161)</f>
        <v>0</v>
      </c>
      <c r="I162" s="188">
        <f>-MIN(I158,I161)</f>
        <v>0</v>
      </c>
      <c r="J162" s="188">
        <f>-MIN(J158,J161)</f>
        <v>0</v>
      </c>
      <c r="K162" s="188">
        <f>-MIN(K158,K161)</f>
        <v>0</v>
      </c>
      <c r="M162" s="8" t="s">
        <v>211</v>
      </c>
    </row>
    <row r="163" spans="1:19">
      <c r="B163" s="123" t="s">
        <v>212</v>
      </c>
      <c r="C163" s="123"/>
      <c r="D163" s="137"/>
      <c r="E163" s="137"/>
      <c r="F163" s="137"/>
      <c r="G163" s="198"/>
      <c r="H163" s="198"/>
      <c r="I163" s="198"/>
      <c r="J163" s="198"/>
      <c r="K163" s="198"/>
      <c r="M163" s="8" t="s">
        <v>553</v>
      </c>
    </row>
    <row r="164" spans="1:19">
      <c r="B164" s="65" t="s">
        <v>184</v>
      </c>
      <c r="C164" s="125"/>
      <c r="D164" s="125">
        <f>D80</f>
        <v>0</v>
      </c>
      <c r="E164" s="125">
        <f>E80</f>
        <v>0</v>
      </c>
      <c r="F164" s="125">
        <f>F80</f>
        <v>0</v>
      </c>
      <c r="G164" s="140">
        <f>SUM(G161:G163)</f>
        <v>0</v>
      </c>
      <c r="H164" s="140">
        <f>SUM(H161:H163)</f>
        <v>0</v>
      </c>
      <c r="I164" s="140">
        <f>SUM(I161:I163)</f>
        <v>0</v>
      </c>
      <c r="J164" s="140">
        <f>SUM(J161:J163)</f>
        <v>0</v>
      </c>
      <c r="K164" s="140">
        <f>SUM(K161:K163)</f>
        <v>0</v>
      </c>
    </row>
    <row r="165" spans="1:19">
      <c r="B165" s="94" t="s">
        <v>213</v>
      </c>
      <c r="C165" s="95"/>
      <c r="D165" s="141"/>
      <c r="E165" s="141"/>
      <c r="F165" s="142"/>
      <c r="G165" s="143" t="str">
        <f>IF(G164&lt;0,"Negative Debt","OK")</f>
        <v>OK</v>
      </c>
      <c r="H165" s="143" t="str">
        <f>IF(H164&lt;0,"Negative Debt","OK")</f>
        <v>OK</v>
      </c>
      <c r="I165" s="143" t="str">
        <f>IF(I164&lt;0,"Negative Debt","OK")</f>
        <v>OK</v>
      </c>
      <c r="J165" s="143" t="str">
        <f>IF(J164&lt;0,"Negative Debt","OK")</f>
        <v>OK</v>
      </c>
      <c r="K165" s="143" t="str">
        <f>IF(K164&lt;0,"Negative Debt","OK")</f>
        <v>OK</v>
      </c>
      <c r="S165" s="120"/>
    </row>
    <row r="166" spans="1:19">
      <c r="D166" s="70"/>
      <c r="E166" s="70"/>
      <c r="F166" s="96"/>
      <c r="G166" s="144"/>
      <c r="H166" s="144"/>
      <c r="I166" s="144"/>
      <c r="J166" s="144"/>
      <c r="K166" s="144"/>
      <c r="S166" s="120"/>
    </row>
    <row r="167" spans="1:19">
      <c r="A167" s="348" t="s">
        <v>25</v>
      </c>
      <c r="B167" s="100" t="s">
        <v>214</v>
      </c>
      <c r="C167" s="100"/>
      <c r="D167" s="131"/>
      <c r="E167" s="131"/>
      <c r="F167" s="131"/>
      <c r="G167" s="145"/>
      <c r="H167" s="145"/>
      <c r="I167" s="145"/>
      <c r="J167" s="145"/>
      <c r="K167" s="145"/>
      <c r="R167" s="146"/>
    </row>
    <row r="168" spans="1:19" hidden="1">
      <c r="B168" s="116" t="str">
        <f>B15</f>
        <v xml:space="preserve">Fiscal year  </v>
      </c>
      <c r="C168" s="116"/>
      <c r="D168" s="117">
        <f>D15</f>
        <v>2022</v>
      </c>
      <c r="E168" s="117">
        <f>E15</f>
        <v>2023</v>
      </c>
      <c r="F168" s="117">
        <f>F15</f>
        <v>2024</v>
      </c>
      <c r="G168" s="118">
        <f>G15</f>
        <v>2025</v>
      </c>
      <c r="H168" s="118">
        <f>H15</f>
        <v>2026</v>
      </c>
      <c r="I168" s="118">
        <f>I15</f>
        <v>2027</v>
      </c>
      <c r="J168" s="118">
        <f>J15</f>
        <v>2028</v>
      </c>
      <c r="K168" s="118">
        <f>K15</f>
        <v>2029</v>
      </c>
      <c r="R168" s="146"/>
      <c r="S168" s="120"/>
    </row>
    <row r="169" spans="1:19" hidden="1">
      <c r="B169" s="101" t="str">
        <f>B16</f>
        <v>Fiscal year end date</v>
      </c>
      <c r="C169" s="101"/>
      <c r="D169" s="119">
        <f>D16</f>
        <v>44926</v>
      </c>
      <c r="E169" s="119">
        <f>E16</f>
        <v>45291</v>
      </c>
      <c r="F169" s="119">
        <f>F16</f>
        <v>45657</v>
      </c>
      <c r="G169" s="119">
        <f>G16</f>
        <v>46022</v>
      </c>
      <c r="H169" s="119">
        <f>H16</f>
        <v>46387</v>
      </c>
      <c r="I169" s="119">
        <f>I16</f>
        <v>46752</v>
      </c>
      <c r="J169" s="119">
        <f>J16</f>
        <v>47118</v>
      </c>
      <c r="K169" s="119">
        <f>K16</f>
        <v>47483</v>
      </c>
      <c r="R169" s="146"/>
    </row>
    <row r="170" spans="1:19" ht="5.0999999999999996" customHeight="1">
      <c r="B170" s="65"/>
      <c r="C170" s="65"/>
      <c r="D170" s="70"/>
      <c r="E170" s="70"/>
      <c r="F170" s="70"/>
      <c r="G170" s="147"/>
      <c r="H170" s="147"/>
      <c r="I170" s="147"/>
      <c r="J170" s="147"/>
      <c r="K170" s="147"/>
      <c r="R170" s="146"/>
    </row>
    <row r="171" spans="1:19">
      <c r="B171" s="110" t="s">
        <v>215</v>
      </c>
      <c r="C171" s="70">
        <f>-(C34)</f>
        <v>3648</v>
      </c>
      <c r="D171" s="70">
        <f>-(D34)</f>
        <v>3966</v>
      </c>
      <c r="E171" s="70">
        <f>-(E34)</f>
        <v>3955</v>
      </c>
      <c r="F171" s="70">
        <f>-(F34)</f>
        <v>4097</v>
      </c>
      <c r="G171" s="188" t="e">
        <f>G176+G181</f>
        <v>#DIV/0!</v>
      </c>
      <c r="H171" s="188" t="e">
        <f>H176+H181</f>
        <v>#DIV/0!</v>
      </c>
      <c r="I171" s="188" t="e">
        <f>I176+I181</f>
        <v>#DIV/0!</v>
      </c>
      <c r="J171" s="188" t="e">
        <f>J176+J181</f>
        <v>#DIV/0!</v>
      </c>
      <c r="K171" s="188" t="e">
        <f>K176+K181</f>
        <v>#DIV/0!</v>
      </c>
      <c r="M171" s="8" t="s">
        <v>216</v>
      </c>
      <c r="R171" s="120"/>
    </row>
    <row r="172" spans="1:19" ht="5.0999999999999996" customHeight="1">
      <c r="B172" s="148"/>
      <c r="C172" s="148"/>
      <c r="R172" s="120"/>
    </row>
    <row r="173" spans="1:19">
      <c r="B173" s="149" t="s">
        <v>217</v>
      </c>
      <c r="C173" s="149"/>
      <c r="R173" s="120"/>
    </row>
    <row r="174" spans="1:19">
      <c r="B174" s="65" t="s">
        <v>218</v>
      </c>
      <c r="C174" s="154"/>
      <c r="D174" s="150"/>
      <c r="E174" s="150"/>
      <c r="F174" s="150"/>
      <c r="G174" s="199">
        <f>F174</f>
        <v>0</v>
      </c>
      <c r="H174" s="199">
        <f>G174</f>
        <v>0</v>
      </c>
      <c r="I174" s="199">
        <f>H174</f>
        <v>0</v>
      </c>
      <c r="J174" s="199">
        <f>I174</f>
        <v>0</v>
      </c>
      <c r="K174" s="199">
        <f>J174</f>
        <v>0</v>
      </c>
      <c r="M174" s="8" t="s">
        <v>129</v>
      </c>
    </row>
    <row r="175" spans="1:19">
      <c r="B175" s="65" t="s">
        <v>219</v>
      </c>
      <c r="C175" s="136"/>
      <c r="D175" s="125">
        <f t="shared" ref="D175:K175" si="43">D80</f>
        <v>0</v>
      </c>
      <c r="E175" s="125">
        <f t="shared" si="43"/>
        <v>0</v>
      </c>
      <c r="F175" s="125">
        <f t="shared" si="43"/>
        <v>0</v>
      </c>
      <c r="G175" s="188">
        <f t="shared" si="43"/>
        <v>0</v>
      </c>
      <c r="H175" s="188">
        <f t="shared" si="43"/>
        <v>0</v>
      </c>
      <c r="I175" s="188">
        <f t="shared" si="43"/>
        <v>0</v>
      </c>
      <c r="J175" s="188">
        <f t="shared" si="43"/>
        <v>0</v>
      </c>
      <c r="K175" s="188">
        <f t="shared" si="43"/>
        <v>0</v>
      </c>
      <c r="M175" s="8" t="s">
        <v>220</v>
      </c>
    </row>
    <row r="176" spans="1:19">
      <c r="B176" s="151" t="s">
        <v>221</v>
      </c>
      <c r="C176" s="48"/>
      <c r="D176" s="48">
        <f>AVERAGE(C175:D175)*D174</f>
        <v>0</v>
      </c>
      <c r="E176" s="48">
        <f>AVERAGE(D175:E175)*E174</f>
        <v>0</v>
      </c>
      <c r="F176" s="48">
        <f>AVERAGE(E175:F175)*F174</f>
        <v>0</v>
      </c>
      <c r="G176" s="152">
        <f>IF($C$8=1,AVERAGE(F175,G175)*G174,0)</f>
        <v>0</v>
      </c>
      <c r="H176" s="152">
        <f>IF($C$8=1,AVERAGE(G175,H175)*H174,0)</f>
        <v>0</v>
      </c>
      <c r="I176" s="152">
        <f>IF($C$8=1,AVERAGE(H175,I175)*I174,0)</f>
        <v>0</v>
      </c>
      <c r="J176" s="152">
        <f>IF($C$8=1,AVERAGE(I175,J175)*J174,0)</f>
        <v>0</v>
      </c>
      <c r="K176" s="152">
        <f>IF($C$8=1,AVERAGE(J175,K175)*K174,0)</f>
        <v>0</v>
      </c>
      <c r="M176" s="8" t="s">
        <v>222</v>
      </c>
    </row>
    <row r="177" spans="1:18" ht="5.0999999999999996" customHeight="1">
      <c r="B177" s="153"/>
      <c r="C177" s="153"/>
      <c r="D177" s="70"/>
      <c r="E177" s="70"/>
      <c r="F177" s="70"/>
    </row>
    <row r="178" spans="1:18">
      <c r="B178" s="149" t="s">
        <v>170</v>
      </c>
      <c r="C178" s="149"/>
      <c r="D178" s="70"/>
      <c r="E178" s="70"/>
      <c r="F178" s="70"/>
    </row>
    <row r="179" spans="1:18">
      <c r="B179" s="65" t="s">
        <v>219</v>
      </c>
      <c r="C179" s="70">
        <f t="shared" ref="C179:K179" si="44">C81</f>
        <v>0</v>
      </c>
      <c r="D179" s="70">
        <f t="shared" si="44"/>
        <v>0</v>
      </c>
      <c r="E179" s="70">
        <f t="shared" si="44"/>
        <v>0</v>
      </c>
      <c r="F179" s="70">
        <f t="shared" si="44"/>
        <v>0</v>
      </c>
      <c r="G179" s="188">
        <f t="shared" si="44"/>
        <v>0</v>
      </c>
      <c r="H179" s="188">
        <f t="shared" si="44"/>
        <v>0</v>
      </c>
      <c r="I179" s="188">
        <f t="shared" si="44"/>
        <v>0</v>
      </c>
      <c r="J179" s="188">
        <f t="shared" si="44"/>
        <v>0</v>
      </c>
      <c r="K179" s="188">
        <f t="shared" si="44"/>
        <v>0</v>
      </c>
      <c r="M179" s="8" t="s">
        <v>172</v>
      </c>
    </row>
    <row r="180" spans="1:18">
      <c r="B180" s="65" t="s">
        <v>218</v>
      </c>
      <c r="C180" s="65"/>
      <c r="D180" s="133" t="e">
        <f>D181/AVERAGE(C179:D179)</f>
        <v>#DIV/0!</v>
      </c>
      <c r="E180" s="133" t="e">
        <f>E181/AVERAGE(D179:E179)</f>
        <v>#DIV/0!</v>
      </c>
      <c r="F180" s="133" t="e">
        <f>F181/AVERAGE(E179:F179)</f>
        <v>#DIV/0!</v>
      </c>
      <c r="G180" s="200" t="e">
        <f>AVERAGE(D180:F180)</f>
        <v>#DIV/0!</v>
      </c>
      <c r="H180" s="200" t="e">
        <f>G180</f>
        <v>#DIV/0!</v>
      </c>
      <c r="I180" s="200" t="e">
        <f>H180</f>
        <v>#DIV/0!</v>
      </c>
      <c r="J180" s="200" t="e">
        <f>I180</f>
        <v>#DIV/0!</v>
      </c>
      <c r="K180" s="200" t="e">
        <f>J180</f>
        <v>#DIV/0!</v>
      </c>
      <c r="M180" s="8" t="s">
        <v>129</v>
      </c>
      <c r="R180" s="146"/>
    </row>
    <row r="181" spans="1:18">
      <c r="B181" s="190" t="s">
        <v>223</v>
      </c>
      <c r="C181" s="190"/>
      <c r="D181" s="187">
        <f>D171-D176</f>
        <v>3966</v>
      </c>
      <c r="E181" s="187">
        <f>E171-E176</f>
        <v>3955</v>
      </c>
      <c r="F181" s="187">
        <f>F171-F176</f>
        <v>4097</v>
      </c>
      <c r="G181" s="183" t="e">
        <f>G180*AVERAGE(F179:G179)</f>
        <v>#DIV/0!</v>
      </c>
      <c r="H181" s="183" t="e">
        <f>H180*AVERAGE(G179:H179)</f>
        <v>#DIV/0!</v>
      </c>
      <c r="I181" s="183" t="e">
        <f>I180*AVERAGE(H179:I179)</f>
        <v>#DIV/0!</v>
      </c>
      <c r="J181" s="183" t="e">
        <f>J180*AVERAGE(I179:J179)</f>
        <v>#DIV/0!</v>
      </c>
      <c r="K181" s="183" t="e">
        <f>K180*AVERAGE(J179:K179)</f>
        <v>#DIV/0!</v>
      </c>
      <c r="M181" s="8" t="s">
        <v>224</v>
      </c>
    </row>
    <row r="182" spans="1:18" ht="5.0999999999999996" customHeight="1">
      <c r="E182" s="70"/>
    </row>
    <row r="183" spans="1:18">
      <c r="B183" s="148" t="s">
        <v>225</v>
      </c>
      <c r="C183" s="148"/>
      <c r="E183" s="70"/>
      <c r="F183" s="70"/>
    </row>
    <row r="184" spans="1:18">
      <c r="B184" s="65" t="s">
        <v>226</v>
      </c>
      <c r="C184" s="154"/>
      <c r="D184" s="150"/>
      <c r="E184" s="150"/>
      <c r="F184" s="150"/>
      <c r="G184" s="201">
        <f t="shared" ref="D184:K184" si="45">F184</f>
        <v>0</v>
      </c>
      <c r="H184" s="201">
        <f t="shared" si="45"/>
        <v>0</v>
      </c>
      <c r="I184" s="201">
        <f t="shared" si="45"/>
        <v>0</v>
      </c>
      <c r="J184" s="201">
        <f t="shared" si="45"/>
        <v>0</v>
      </c>
      <c r="K184" s="201">
        <f t="shared" si="45"/>
        <v>0</v>
      </c>
      <c r="M184" s="8" t="s">
        <v>129</v>
      </c>
    </row>
    <row r="185" spans="1:18">
      <c r="B185" s="65" t="s">
        <v>127</v>
      </c>
      <c r="C185" s="70">
        <f>C33</f>
        <v>0</v>
      </c>
      <c r="D185" s="70">
        <f>D33</f>
        <v>0</v>
      </c>
      <c r="E185" s="70">
        <f>E33</f>
        <v>0</v>
      </c>
      <c r="F185" s="70">
        <f>F33</f>
        <v>0</v>
      </c>
      <c r="G185" s="193">
        <f>IF($C$8=1,AVERAGE(F69,G69)*G184,0)</f>
        <v>0</v>
      </c>
      <c r="H185" s="193">
        <f>IF($C$8=1,AVERAGE(G69,H69)*H184,0)</f>
        <v>0</v>
      </c>
      <c r="I185" s="193">
        <f>IF($C$8=1,AVERAGE(H69,I69)*I184,0)</f>
        <v>0</v>
      </c>
      <c r="J185" s="193">
        <f>IF($C$8=1,AVERAGE(I69,J69)*J184,0)</f>
        <v>0</v>
      </c>
      <c r="K185" s="193">
        <f>IF($C$8=1,AVERAGE(J69,K69)*K184,0)</f>
        <v>0</v>
      </c>
      <c r="M185" s="8" t="s">
        <v>227</v>
      </c>
    </row>
    <row r="186" spans="1:18">
      <c r="B186" s="156"/>
      <c r="C186" s="156"/>
      <c r="D186" s="133"/>
      <c r="E186" s="133"/>
      <c r="F186" s="133"/>
      <c r="G186" s="133"/>
      <c r="H186" s="133"/>
    </row>
    <row r="187" spans="1:18">
      <c r="A187" s="348" t="s">
        <v>25</v>
      </c>
      <c r="B187" s="100" t="s">
        <v>228</v>
      </c>
      <c r="C187" s="100"/>
      <c r="D187" s="100"/>
      <c r="E187" s="100"/>
      <c r="F187" s="100"/>
      <c r="G187" s="100"/>
      <c r="H187" s="100"/>
      <c r="I187" s="100"/>
      <c r="J187" s="100"/>
      <c r="K187" s="100"/>
    </row>
    <row r="188" spans="1:18" hidden="1">
      <c r="B188" s="116"/>
      <c r="C188" s="117">
        <f t="shared" ref="C188:K188" si="46">C15</f>
        <v>2021</v>
      </c>
      <c r="D188" s="117">
        <f t="shared" si="46"/>
        <v>2022</v>
      </c>
      <c r="E188" s="117">
        <f t="shared" si="46"/>
        <v>2023</v>
      </c>
      <c r="F188" s="118">
        <f t="shared" si="46"/>
        <v>2024</v>
      </c>
      <c r="G188" s="118">
        <f t="shared" si="46"/>
        <v>2025</v>
      </c>
      <c r="H188" s="118">
        <f t="shared" si="46"/>
        <v>2026</v>
      </c>
      <c r="I188" s="118">
        <f t="shared" si="46"/>
        <v>2027</v>
      </c>
      <c r="J188" s="118">
        <f t="shared" si="46"/>
        <v>2028</v>
      </c>
      <c r="K188" s="118">
        <f t="shared" si="46"/>
        <v>2029</v>
      </c>
    </row>
    <row r="189" spans="1:18" hidden="1">
      <c r="B189" s="101"/>
      <c r="C189" s="119">
        <f t="shared" ref="C189:K189" si="47">C16</f>
        <v>44561</v>
      </c>
      <c r="D189" s="119">
        <f t="shared" si="47"/>
        <v>44926</v>
      </c>
      <c r="E189" s="119">
        <f t="shared" si="47"/>
        <v>45291</v>
      </c>
      <c r="F189" s="119">
        <f t="shared" si="47"/>
        <v>45657</v>
      </c>
      <c r="G189" s="119">
        <f t="shared" si="47"/>
        <v>46022</v>
      </c>
      <c r="H189" s="119">
        <f t="shared" si="47"/>
        <v>46387</v>
      </c>
      <c r="I189" s="119">
        <f t="shared" si="47"/>
        <v>46752</v>
      </c>
      <c r="J189" s="119">
        <f t="shared" si="47"/>
        <v>47118</v>
      </c>
      <c r="K189" s="119">
        <f t="shared" si="47"/>
        <v>47483</v>
      </c>
    </row>
    <row r="190" spans="1:18" ht="5.0999999999999996" customHeight="1">
      <c r="F190" s="115"/>
      <c r="G190" s="115"/>
      <c r="H190" s="115"/>
      <c r="I190" s="114"/>
      <c r="J190" s="114"/>
    </row>
    <row r="191" spans="1:18">
      <c r="B191" s="8" t="s">
        <v>18</v>
      </c>
      <c r="C191" s="70">
        <f t="shared" ref="C191:K191" si="48">C40</f>
        <v>-182105.37644286637</v>
      </c>
      <c r="D191" s="70">
        <f t="shared" si="48"/>
        <v>-366137.81820004631</v>
      </c>
      <c r="E191" s="70">
        <f t="shared" si="48"/>
        <v>-338144.99569568055</v>
      </c>
      <c r="F191" s="70">
        <f t="shared" si="48"/>
        <v>-160278.47824488746</v>
      </c>
      <c r="G191" s="70">
        <f t="shared" si="48"/>
        <v>-101.79962202390291</v>
      </c>
      <c r="H191" s="70">
        <f t="shared" si="48"/>
        <v>-101.79962202390291</v>
      </c>
      <c r="I191" s="70">
        <f t="shared" si="48"/>
        <v>-101.79962202390291</v>
      </c>
      <c r="J191" s="70">
        <f t="shared" si="48"/>
        <v>-101.79962202390291</v>
      </c>
      <c r="K191" s="70">
        <f t="shared" si="48"/>
        <v>-101.79962202390291</v>
      </c>
      <c r="M191" s="8" t="s">
        <v>229</v>
      </c>
    </row>
    <row r="192" spans="1:18">
      <c r="B192" s="8" t="s">
        <v>230</v>
      </c>
      <c r="C192" s="168">
        <f>'Historical Financials'!F34</f>
        <v>63455.45</v>
      </c>
      <c r="D192" s="168">
        <f>'Historical Financials'!G34</f>
        <v>64094.519</v>
      </c>
      <c r="E192" s="168">
        <f>'Historical Financials'!H34</f>
        <v>64677.260999999999</v>
      </c>
      <c r="F192" s="168">
        <f>'Historical Financials'!I34</f>
        <v>76131.339000000007</v>
      </c>
      <c r="G192" s="70" t="e">
        <f>F192+(-G198+G199)/G200</f>
        <v>#DIV/0!</v>
      </c>
      <c r="H192" s="70" t="e">
        <f>G192+(-H198+H199)/H200</f>
        <v>#DIV/0!</v>
      </c>
      <c r="I192" s="70" t="e">
        <f>H192+(-I198+I199)/I200</f>
        <v>#DIV/0!</v>
      </c>
      <c r="J192" s="70" t="e">
        <f>I192+(-J198+J199)/J200</f>
        <v>#DIV/0!</v>
      </c>
      <c r="K192" s="70" t="e">
        <f>J192+(-K198+K199)/K200</f>
        <v>#DIV/0!</v>
      </c>
      <c r="M192" s="8" t="s">
        <v>231</v>
      </c>
    </row>
    <row r="193" spans="1:13">
      <c r="B193" s="424" t="s">
        <v>103</v>
      </c>
      <c r="C193" s="425">
        <f t="shared" ref="C193:K193" si="49">C191/C192</f>
        <v>-2.8698145934331309</v>
      </c>
      <c r="D193" s="425">
        <f t="shared" si="49"/>
        <v>-5.7124668990814378</v>
      </c>
      <c r="E193" s="425">
        <f t="shared" si="49"/>
        <v>-5.2281897913964004</v>
      </c>
      <c r="F193" s="425">
        <f t="shared" si="49"/>
        <v>-2.1052891010479593</v>
      </c>
      <c r="G193" s="425" t="e">
        <f t="shared" si="49"/>
        <v>#DIV/0!</v>
      </c>
      <c r="H193" s="425" t="e">
        <f t="shared" si="49"/>
        <v>#DIV/0!</v>
      </c>
      <c r="I193" s="425" t="e">
        <f t="shared" si="49"/>
        <v>#DIV/0!</v>
      </c>
      <c r="J193" s="425" t="e">
        <f t="shared" si="49"/>
        <v>#DIV/0!</v>
      </c>
      <c r="K193" s="425" t="e">
        <f t="shared" si="49"/>
        <v>#DIV/0!</v>
      </c>
      <c r="M193" s="8" t="s">
        <v>232</v>
      </c>
    </row>
    <row r="194" spans="1:13">
      <c r="D194" s="107"/>
      <c r="E194" s="107"/>
      <c r="F194" s="107"/>
      <c r="G194" s="70"/>
    </row>
    <row r="195" spans="1:13">
      <c r="B195" s="8" t="s">
        <v>233</v>
      </c>
      <c r="C195" s="168">
        <f>'Historical Financials'!F37</f>
        <v>63172.368000000002</v>
      </c>
      <c r="D195" s="168">
        <f>'Historical Financials'!G37</f>
        <v>63622.432000000001</v>
      </c>
      <c r="E195" s="168">
        <f>'Historical Financials'!H37</f>
        <v>64300.099000000002</v>
      </c>
      <c r="F195" s="168">
        <f>'Historical Financials'!I37</f>
        <v>66004.815000000002</v>
      </c>
      <c r="G195" s="70" t="e">
        <f>G192+F195-F192</f>
        <v>#DIV/0!</v>
      </c>
      <c r="H195" s="70" t="e">
        <f>H192+G195-G192</f>
        <v>#DIV/0!</v>
      </c>
      <c r="I195" s="70" t="e">
        <f>I192+H195-H192</f>
        <v>#DIV/0!</v>
      </c>
      <c r="J195" s="70" t="e">
        <f>J192+I195-I192</f>
        <v>#DIV/0!</v>
      </c>
      <c r="K195" s="70" t="e">
        <f>K192+J195-J192</f>
        <v>#DIV/0!</v>
      </c>
      <c r="M195" s="8" t="s">
        <v>234</v>
      </c>
    </row>
    <row r="196" spans="1:13">
      <c r="B196" s="424" t="s">
        <v>105</v>
      </c>
      <c r="C196" s="425">
        <f t="shared" ref="C196:K196" si="50">C191/C195</f>
        <v>-2.882674533315996</v>
      </c>
      <c r="D196" s="425">
        <f t="shared" si="50"/>
        <v>-5.7548541715608472</v>
      </c>
      <c r="E196" s="425">
        <f t="shared" si="50"/>
        <v>-5.2588565329530912</v>
      </c>
      <c r="F196" s="425">
        <f t="shared" si="50"/>
        <v>-2.4282846371872635</v>
      </c>
      <c r="G196" s="425" t="e">
        <f t="shared" si="50"/>
        <v>#DIV/0!</v>
      </c>
      <c r="H196" s="425" t="e">
        <f t="shared" si="50"/>
        <v>#DIV/0!</v>
      </c>
      <c r="I196" s="425" t="e">
        <f t="shared" si="50"/>
        <v>#DIV/0!</v>
      </c>
      <c r="J196" s="425" t="e">
        <f t="shared" si="50"/>
        <v>#DIV/0!</v>
      </c>
      <c r="K196" s="425" t="e">
        <f t="shared" si="50"/>
        <v>#DIV/0!</v>
      </c>
      <c r="M196" s="8" t="s">
        <v>235</v>
      </c>
    </row>
    <row r="197" spans="1:13">
      <c r="G197" s="157"/>
    </row>
    <row r="198" spans="1:13">
      <c r="B198" s="8" t="s">
        <v>236</v>
      </c>
      <c r="G198" s="70">
        <f>-(G109)</f>
        <v>0</v>
      </c>
      <c r="H198" s="70">
        <f>-(H109)</f>
        <v>0</v>
      </c>
      <c r="I198" s="70">
        <f>-(I109)</f>
        <v>0</v>
      </c>
      <c r="J198" s="70">
        <f>-(J109)</f>
        <v>0</v>
      </c>
      <c r="K198" s="70">
        <f>-(K109)</f>
        <v>0</v>
      </c>
      <c r="M198" s="8" t="s">
        <v>237</v>
      </c>
    </row>
    <row r="199" spans="1:13">
      <c r="B199" s="8" t="s">
        <v>238</v>
      </c>
      <c r="G199" s="108">
        <f>G47</f>
        <v>23923</v>
      </c>
      <c r="H199" s="108">
        <f>H47</f>
        <v>23923</v>
      </c>
      <c r="I199" s="108">
        <f>I47</f>
        <v>23923</v>
      </c>
      <c r="J199" s="108">
        <f>J47</f>
        <v>23923</v>
      </c>
      <c r="K199" s="108">
        <f>K47</f>
        <v>23923</v>
      </c>
      <c r="M199" s="8" t="s">
        <v>239</v>
      </c>
    </row>
    <row r="200" spans="1:13">
      <c r="B200" s="8" t="s">
        <v>240</v>
      </c>
      <c r="G200" s="189">
        <f>C9</f>
        <v>0</v>
      </c>
      <c r="H200" s="157">
        <f>G200*(1+H201)</f>
        <v>0</v>
      </c>
      <c r="I200" s="157">
        <f>H200*(1+I201)</f>
        <v>0</v>
      </c>
      <c r="J200" s="157">
        <f>I200*(1+J201)</f>
        <v>0</v>
      </c>
      <c r="K200" s="157">
        <f>J200*(1+K201)</f>
        <v>0</v>
      </c>
      <c r="M200" s="8" t="s">
        <v>241</v>
      </c>
    </row>
    <row r="201" spans="1:13">
      <c r="B201" s="8" t="s">
        <v>242</v>
      </c>
      <c r="H201" s="158">
        <f>H191/G191-1</f>
        <v>0</v>
      </c>
      <c r="I201" s="158">
        <f>I191/H191-1</f>
        <v>0</v>
      </c>
      <c r="J201" s="158">
        <f>J191/I191-1</f>
        <v>0</v>
      </c>
      <c r="K201" s="158">
        <f>K191/J191-1</f>
        <v>0</v>
      </c>
      <c r="M201" s="8" t="s">
        <v>554</v>
      </c>
    </row>
    <row r="202" spans="1:13">
      <c r="M202" s="113" t="s">
        <v>243</v>
      </c>
    </row>
    <row r="203" spans="1:13">
      <c r="B203" s="38" t="s">
        <v>244</v>
      </c>
      <c r="D203" s="38"/>
      <c r="E203" s="38"/>
      <c r="F203" s="159" t="s">
        <v>245</v>
      </c>
      <c r="G203" s="160">
        <f>C12</f>
        <v>4443.2650000000003</v>
      </c>
      <c r="H203" s="48" t="e">
        <f>G205</f>
        <v>#DIV/0!</v>
      </c>
      <c r="I203" s="48" t="e">
        <f>H205</f>
        <v>#DIV/0!</v>
      </c>
      <c r="J203" s="48" t="e">
        <f>I205</f>
        <v>#DIV/0!</v>
      </c>
      <c r="K203" s="48" t="e">
        <f>J205</f>
        <v>#DIV/0!</v>
      </c>
      <c r="M203" s="8" t="s">
        <v>246</v>
      </c>
    </row>
    <row r="204" spans="1:13">
      <c r="B204" s="8" t="s">
        <v>247</v>
      </c>
      <c r="G204" s="70" t="e">
        <f>(-G198+G199)/G200</f>
        <v>#DIV/0!</v>
      </c>
      <c r="H204" s="70" t="e">
        <f>(-H198+H199)/H200</f>
        <v>#DIV/0!</v>
      </c>
      <c r="I204" s="70" t="e">
        <f>(-I198+I199)/I200</f>
        <v>#DIV/0!</v>
      </c>
      <c r="J204" s="70" t="e">
        <f>(-J198+J199)/J200</f>
        <v>#DIV/0!</v>
      </c>
      <c r="K204" s="70" t="e">
        <f>(-K198+K199)/K200</f>
        <v>#DIV/0!</v>
      </c>
      <c r="M204" s="8" t="s">
        <v>248</v>
      </c>
    </row>
    <row r="205" spans="1:13">
      <c r="B205" s="8" t="s">
        <v>249</v>
      </c>
      <c r="G205" s="70" t="e">
        <f>SUM(G203:G204)</f>
        <v>#DIV/0!</v>
      </c>
      <c r="H205" s="70" t="e">
        <f>SUM(H203:H204)</f>
        <v>#DIV/0!</v>
      </c>
      <c r="I205" s="70" t="e">
        <f>SUM(I203:I204)</f>
        <v>#DIV/0!</v>
      </c>
      <c r="J205" s="70" t="e">
        <f>SUM(J203:J204)</f>
        <v>#DIV/0!</v>
      </c>
      <c r="K205" s="70" t="e">
        <f>SUM(K203:K204)</f>
        <v>#DIV/0!</v>
      </c>
      <c r="M205" s="8" t="s">
        <v>250</v>
      </c>
    </row>
    <row r="206" spans="1:13">
      <c r="B206" s="38" t="s">
        <v>251</v>
      </c>
      <c r="D206" s="38"/>
      <c r="E206" s="38"/>
      <c r="F206" s="38"/>
      <c r="G206" s="48" t="e">
        <f>AVERAGE(G205,G203)</f>
        <v>#DIV/0!</v>
      </c>
      <c r="H206" s="48" t="e">
        <f>AVERAGE(H205,H203)</f>
        <v>#DIV/0!</v>
      </c>
      <c r="I206" s="48" t="e">
        <f>AVERAGE(I205,I203)</f>
        <v>#DIV/0!</v>
      </c>
      <c r="J206" s="48" t="e">
        <f>AVERAGE(J205,J203)</f>
        <v>#DIV/0!</v>
      </c>
      <c r="K206" s="48" t="e">
        <f>AVERAGE(K205,K203)</f>
        <v>#DIV/0!</v>
      </c>
      <c r="M206" s="8" t="s">
        <v>252</v>
      </c>
    </row>
    <row r="207" spans="1:13">
      <c r="M207" s="113"/>
    </row>
    <row r="208" spans="1:13">
      <c r="A208" s="348" t="s">
        <v>25</v>
      </c>
      <c r="B208" s="100" t="s">
        <v>253</v>
      </c>
      <c r="C208" s="100"/>
      <c r="D208" s="100"/>
      <c r="E208" s="100"/>
      <c r="F208" s="100"/>
      <c r="G208" s="100"/>
      <c r="H208" s="100"/>
      <c r="I208" s="100"/>
      <c r="J208" s="100"/>
      <c r="K208" s="100"/>
    </row>
    <row r="209" spans="2:11" ht="5.0999999999999996" customHeight="1" thickBot="1"/>
    <row r="210" spans="2:11" ht="12.75" thickBot="1">
      <c r="B210" s="8" t="s">
        <v>254</v>
      </c>
      <c r="C210" s="161" t="str">
        <f>K6</f>
        <v>Base case</v>
      </c>
      <c r="F210" s="97" t="s">
        <v>255</v>
      </c>
      <c r="G210" s="118">
        <f>G15</f>
        <v>2025</v>
      </c>
      <c r="H210" s="118">
        <f>H15</f>
        <v>2026</v>
      </c>
      <c r="I210" s="118">
        <f>I15</f>
        <v>2027</v>
      </c>
      <c r="J210" s="118">
        <f>J15</f>
        <v>2028</v>
      </c>
      <c r="K210" s="118">
        <f>K15</f>
        <v>2029</v>
      </c>
    </row>
    <row r="211" spans="2:11">
      <c r="F211" s="98" t="s">
        <v>256</v>
      </c>
      <c r="G211" s="119">
        <f>G16</f>
        <v>46022</v>
      </c>
      <c r="H211" s="119">
        <f>H16</f>
        <v>46387</v>
      </c>
      <c r="I211" s="119">
        <f>I16</f>
        <v>46752</v>
      </c>
      <c r="J211" s="119">
        <f>J16</f>
        <v>47118</v>
      </c>
      <c r="K211" s="119">
        <f>K16</f>
        <v>47483</v>
      </c>
    </row>
    <row r="212" spans="2:11">
      <c r="B212" s="65" t="s">
        <v>140</v>
      </c>
      <c r="F212" s="162" t="str">
        <f ca="1">OFFSET(F$217,MATCH($K$6,$B$218:$B$220,0)+MATCH($B212,$B$217:$B$232,0)-1,0)</f>
        <v>NM</v>
      </c>
      <c r="G212" s="127">
        <f ca="1">OFFSET(G$217,MATCH($K$6,$B$218:$B$220,0)+MATCH($B212,$B$217:$B$232,0)-1,0)</f>
        <v>0.06</v>
      </c>
      <c r="H212" s="127">
        <f ca="1">OFFSET(H$217,MATCH($K$6,$B$218:$B$220,0)+MATCH($B212,$B$217:$B$232,0)-1,0)</f>
        <v>6.9000000000000006E-2</v>
      </c>
      <c r="I212" s="127">
        <f ca="1">OFFSET(I$217,MATCH($K$6,$B$218:$B$220,0)+MATCH($B212,$B$217:$B$232,0)-1,0)</f>
        <v>6.9000000000000006E-2</v>
      </c>
      <c r="J212" s="127">
        <f ca="1">OFFSET(J$217,MATCH($K$6,$B$218:$B$220,0)+MATCH($B212,$B$217:$B$232,0)-1,0)</f>
        <v>6.9000000000000006E-2</v>
      </c>
      <c r="K212" s="127">
        <f ca="1">OFFSET(K$217,MATCH($K$6,$B$218:$B$220,0)+MATCH($B212,$B$217:$B$232,0)-1,0)</f>
        <v>6.9000000000000006E-2</v>
      </c>
    </row>
    <row r="213" spans="2:11">
      <c r="B213" s="65" t="s">
        <v>141</v>
      </c>
      <c r="F213" s="162" t="str">
        <f ca="1">OFFSET(F$217,MATCH($K$6,$B$218:$B$220,0)+MATCH($B213,$B$217:$B$232,0)-1,0)</f>
        <v>NM</v>
      </c>
      <c r="G213" s="127">
        <f ca="1">OFFSET(G$217,MATCH($K$6,$B$218:$B$220,0)+MATCH($B213,$B$217:$B$232,0)-1,0)</f>
        <v>0.378</v>
      </c>
      <c r="H213" s="127">
        <f ca="1">OFFSET(H$217,MATCH($K$6,$B$218:$B$220,0)+MATCH($B213,$B$217:$B$232,0)-1,0)</f>
        <v>0.378</v>
      </c>
      <c r="I213" s="127">
        <f ca="1">OFFSET(I$217,MATCH($K$6,$B$218:$B$220,0)+MATCH($B213,$B$217:$B$232,0)-1,0)</f>
        <v>0.378</v>
      </c>
      <c r="J213" s="127">
        <f ca="1">OFFSET(J$217,MATCH($K$6,$B$218:$B$220,0)+MATCH($B213,$B$217:$B$232,0)-1,0)</f>
        <v>0.378</v>
      </c>
      <c r="K213" s="127">
        <f ca="1">OFFSET(K$217,MATCH($K$6,$B$218:$B$220,0)+MATCH($B213,$B$217:$B$232,0)-1,0)</f>
        <v>0.378</v>
      </c>
    </row>
    <row r="214" spans="2:11">
      <c r="B214" s="65" t="s">
        <v>142</v>
      </c>
      <c r="F214" s="162" t="str">
        <f ca="1">OFFSET(F$217,MATCH($K$6,$B$218:$B$220,0)+MATCH($B214,$B$217:$B$232,0)-1,0)</f>
        <v>NM</v>
      </c>
      <c r="G214" s="127">
        <f ca="1">OFFSET(G$217,MATCH($K$6,$B$218:$B$220,0)+MATCH($B214,$B$217:$B$232,0)-1,0)</f>
        <v>6.2E-2</v>
      </c>
      <c r="H214" s="127">
        <f ca="1">OFFSET(H$217,MATCH($K$6,$B$218:$B$220,0)+MATCH($B214,$B$217:$B$232,0)-1,0)</f>
        <v>6.2E-2</v>
      </c>
      <c r="I214" s="127">
        <f ca="1">OFFSET(I$217,MATCH($K$6,$B$218:$B$220,0)+MATCH($B214,$B$217:$B$232,0)-1,0)</f>
        <v>6.2E-2</v>
      </c>
      <c r="J214" s="127">
        <f ca="1">OFFSET(J$217,MATCH($K$6,$B$218:$B$220,0)+MATCH($B214,$B$217:$B$232,0)-1,0)</f>
        <v>6.2E-2</v>
      </c>
      <c r="K214" s="127">
        <f ca="1">OFFSET(K$217,MATCH($K$6,$B$218:$B$220,0)+MATCH($B214,$B$217:$B$232,0)-1,0)</f>
        <v>6.2E-2</v>
      </c>
    </row>
    <row r="215" spans="2:11">
      <c r="B215" s="65" t="s">
        <v>143</v>
      </c>
      <c r="F215" s="162" t="str">
        <f ca="1">OFFSET(F$217,MATCH($K$6,$B$218:$B$220,0)+MATCH($B215,$B$217:$B$232,0)-1,0)</f>
        <v>NM</v>
      </c>
      <c r="G215" s="127">
        <f ca="1">OFFSET(G$217,MATCH($K$6,$B$218:$B$220,0)+MATCH($B215,$B$217:$B$232,0)-1,0)</f>
        <v>7.0000000000000007E-2</v>
      </c>
      <c r="H215" s="127">
        <f ca="1">OFFSET(H$217,MATCH($K$6,$B$218:$B$220,0)+MATCH($B215,$B$217:$B$232,0)-1,0)</f>
        <v>7.0000000000000007E-2</v>
      </c>
      <c r="I215" s="127">
        <f ca="1">OFFSET(I$217,MATCH($K$6,$B$218:$B$220,0)+MATCH($B215,$B$217:$B$232,0)-1,0)</f>
        <v>7.0000000000000007E-2</v>
      </c>
      <c r="J215" s="127">
        <f ca="1">OFFSET(J$217,MATCH($K$6,$B$218:$B$220,0)+MATCH($B215,$B$217:$B$232,0)-1,0)</f>
        <v>7.0000000000000007E-2</v>
      </c>
      <c r="K215" s="127">
        <f ca="1">OFFSET(K$217,MATCH($K$6,$B$218:$B$220,0)+MATCH($B215,$B$217:$B$232,0)-1,0)</f>
        <v>7.0000000000000007E-2</v>
      </c>
    </row>
    <row r="216" spans="2:11">
      <c r="F216" s="163"/>
    </row>
    <row r="217" spans="2:11">
      <c r="B217" s="126" t="s">
        <v>140</v>
      </c>
      <c r="F217" s="163"/>
    </row>
    <row r="218" spans="2:11">
      <c r="B218" s="153" t="s">
        <v>257</v>
      </c>
      <c r="F218" s="164">
        <v>2.5000000000000001E-2</v>
      </c>
      <c r="G218" s="114">
        <f>G219+$F$218</f>
        <v>8.4999999999999992E-2</v>
      </c>
      <c r="H218" s="114">
        <f>H219+$F$218</f>
        <v>9.4E-2</v>
      </c>
      <c r="I218" s="114">
        <f>I219+$F$218</f>
        <v>9.4E-2</v>
      </c>
      <c r="J218" s="114">
        <f>J219+$F$218</f>
        <v>9.4E-2</v>
      </c>
      <c r="K218" s="114">
        <f>K219+$F$218</f>
        <v>9.4E-2</v>
      </c>
    </row>
    <row r="219" spans="2:11">
      <c r="B219" s="153" t="s">
        <v>113</v>
      </c>
      <c r="F219" s="165" t="s">
        <v>258</v>
      </c>
      <c r="G219" s="115">
        <v>0.06</v>
      </c>
      <c r="H219" s="115">
        <v>6.9000000000000006E-2</v>
      </c>
      <c r="I219" s="115">
        <f>H219</f>
        <v>6.9000000000000006E-2</v>
      </c>
      <c r="J219" s="115">
        <f>I219</f>
        <v>6.9000000000000006E-2</v>
      </c>
      <c r="K219" s="115">
        <f>J219</f>
        <v>6.9000000000000006E-2</v>
      </c>
    </row>
    <row r="220" spans="2:11">
      <c r="B220" s="153" t="s">
        <v>259</v>
      </c>
      <c r="F220" s="164">
        <v>-2.5000000000000001E-2</v>
      </c>
      <c r="G220" s="114">
        <f>G219+$F$220</f>
        <v>3.4999999999999996E-2</v>
      </c>
      <c r="H220" s="114">
        <f>H219+$F$220</f>
        <v>4.4000000000000004E-2</v>
      </c>
      <c r="I220" s="114">
        <f>I219+$F$220</f>
        <v>4.4000000000000004E-2</v>
      </c>
      <c r="J220" s="114">
        <f>J219+$F$220</f>
        <v>4.4000000000000004E-2</v>
      </c>
      <c r="K220" s="114">
        <f>K219+$F$220</f>
        <v>4.4000000000000004E-2</v>
      </c>
    </row>
    <row r="221" spans="2:11">
      <c r="B221" s="126" t="s">
        <v>141</v>
      </c>
      <c r="F221" s="165"/>
      <c r="G221" s="115"/>
      <c r="H221" s="115"/>
      <c r="I221" s="115"/>
      <c r="J221" s="115"/>
      <c r="K221" s="115"/>
    </row>
    <row r="222" spans="2:11">
      <c r="B222" s="153" t="s">
        <v>257</v>
      </c>
      <c r="F222" s="164">
        <v>0.01</v>
      </c>
      <c r="G222" s="114">
        <f>G223+$F$222</f>
        <v>0.38800000000000001</v>
      </c>
      <c r="H222" s="114">
        <f>H223+$F$222</f>
        <v>0.38800000000000001</v>
      </c>
      <c r="I222" s="114">
        <f>I223+$F$222</f>
        <v>0.38800000000000001</v>
      </c>
      <c r="J222" s="114">
        <f>J223+$F$222</f>
        <v>0.38800000000000001</v>
      </c>
      <c r="K222" s="114">
        <f>K223+$F$222</f>
        <v>0.38800000000000001</v>
      </c>
    </row>
    <row r="223" spans="2:11">
      <c r="B223" s="153" t="s">
        <v>113</v>
      </c>
      <c r="F223" s="165" t="s">
        <v>258</v>
      </c>
      <c r="G223" s="115">
        <v>0.378</v>
      </c>
      <c r="H223" s="115">
        <v>0.378</v>
      </c>
      <c r="I223" s="115">
        <v>0.378</v>
      </c>
      <c r="J223" s="115">
        <v>0.378</v>
      </c>
      <c r="K223" s="115">
        <v>0.378</v>
      </c>
    </row>
    <row r="224" spans="2:11">
      <c r="B224" s="153" t="s">
        <v>259</v>
      </c>
      <c r="F224" s="164">
        <v>-0.01</v>
      </c>
      <c r="G224" s="114">
        <f>G223+$F$224</f>
        <v>0.36799999999999999</v>
      </c>
      <c r="H224" s="114">
        <f>H223+$F$224</f>
        <v>0.36799999999999999</v>
      </c>
      <c r="I224" s="114">
        <f>I223+$F$224</f>
        <v>0.36799999999999999</v>
      </c>
      <c r="J224" s="114">
        <f>J223+$F$224</f>
        <v>0.36799999999999999</v>
      </c>
      <c r="K224" s="114">
        <f>K223+$F$224</f>
        <v>0.36799999999999999</v>
      </c>
    </row>
    <row r="225" spans="2:11">
      <c r="B225" s="126" t="s">
        <v>142</v>
      </c>
      <c r="F225" s="165"/>
      <c r="G225" s="166"/>
      <c r="H225" s="166"/>
      <c r="I225" s="166"/>
      <c r="J225" s="166"/>
      <c r="K225" s="166"/>
    </row>
    <row r="226" spans="2:11">
      <c r="B226" s="153" t="s">
        <v>257</v>
      </c>
      <c r="F226" s="164">
        <v>-0.01</v>
      </c>
      <c r="G226" s="114">
        <f>G227+$F$226</f>
        <v>5.1999999999999998E-2</v>
      </c>
      <c r="H226" s="114">
        <f>H227+$F$226</f>
        <v>5.1999999999999998E-2</v>
      </c>
      <c r="I226" s="114">
        <f>I227+$F$226</f>
        <v>5.1999999999999998E-2</v>
      </c>
      <c r="J226" s="114">
        <f>J227+$F$226</f>
        <v>5.1999999999999998E-2</v>
      </c>
      <c r="K226" s="114">
        <f>K227+$F$226</f>
        <v>5.1999999999999998E-2</v>
      </c>
    </row>
    <row r="227" spans="2:11">
      <c r="B227" s="153" t="s">
        <v>113</v>
      </c>
      <c r="F227" s="165" t="s">
        <v>258</v>
      </c>
      <c r="G227" s="115">
        <v>6.2E-2</v>
      </c>
      <c r="H227" s="115">
        <v>6.2E-2</v>
      </c>
      <c r="I227" s="115">
        <v>6.2E-2</v>
      </c>
      <c r="J227" s="115">
        <v>6.2E-2</v>
      </c>
      <c r="K227" s="115">
        <v>6.2E-2</v>
      </c>
    </row>
    <row r="228" spans="2:11">
      <c r="B228" s="153" t="s">
        <v>259</v>
      </c>
      <c r="F228" s="164">
        <v>0.01</v>
      </c>
      <c r="G228" s="114">
        <f>G227+$F$228</f>
        <v>7.1999999999999995E-2</v>
      </c>
      <c r="H228" s="114">
        <f>H227+$F$228</f>
        <v>7.1999999999999995E-2</v>
      </c>
      <c r="I228" s="114">
        <f>I227+$F$228</f>
        <v>7.1999999999999995E-2</v>
      </c>
      <c r="J228" s="114">
        <f>J227+$F$228</f>
        <v>7.1999999999999995E-2</v>
      </c>
      <c r="K228" s="114">
        <f>K227+$F$228</f>
        <v>7.1999999999999995E-2</v>
      </c>
    </row>
    <row r="229" spans="2:11">
      <c r="B229" s="126" t="s">
        <v>143</v>
      </c>
      <c r="F229" s="165"/>
      <c r="G229" s="166"/>
      <c r="H229" s="166"/>
      <c r="I229" s="166"/>
      <c r="J229" s="166"/>
      <c r="K229" s="166"/>
    </row>
    <row r="230" spans="2:11">
      <c r="B230" s="153" t="s">
        <v>257</v>
      </c>
      <c r="F230" s="164">
        <v>-0.01</v>
      </c>
      <c r="G230" s="114">
        <f>G231+$F$230</f>
        <v>6.0000000000000005E-2</v>
      </c>
      <c r="H230" s="114">
        <f>H231+$F$230</f>
        <v>6.0000000000000005E-2</v>
      </c>
      <c r="I230" s="114">
        <f>I231+$F$230</f>
        <v>6.0000000000000005E-2</v>
      </c>
      <c r="J230" s="114">
        <f>J231+$F$230</f>
        <v>6.0000000000000005E-2</v>
      </c>
      <c r="K230" s="114">
        <f>K231+$F$230</f>
        <v>6.0000000000000005E-2</v>
      </c>
    </row>
    <row r="231" spans="2:11">
      <c r="B231" s="153" t="s">
        <v>113</v>
      </c>
      <c r="F231" s="165" t="s">
        <v>258</v>
      </c>
      <c r="G231" s="115">
        <v>7.0000000000000007E-2</v>
      </c>
      <c r="H231" s="115">
        <v>7.0000000000000007E-2</v>
      </c>
      <c r="I231" s="115">
        <v>7.0000000000000007E-2</v>
      </c>
      <c r="J231" s="115">
        <v>7.0000000000000007E-2</v>
      </c>
      <c r="K231" s="115">
        <v>7.0000000000000007E-2</v>
      </c>
    </row>
    <row r="232" spans="2:11" ht="12.75" thickBot="1">
      <c r="B232" s="153" t="s">
        <v>259</v>
      </c>
      <c r="F232" s="167">
        <v>0.01</v>
      </c>
      <c r="G232" s="114">
        <f>G231+$F$232</f>
        <v>0.08</v>
      </c>
      <c r="H232" s="114">
        <f>H231+$F$232</f>
        <v>0.08</v>
      </c>
      <c r="I232" s="114">
        <f>I231+$F$232</f>
        <v>0.08</v>
      </c>
      <c r="J232" s="114">
        <f>J231+$F$232</f>
        <v>0.08</v>
      </c>
      <c r="K232" s="114">
        <f>K231+$F$232</f>
        <v>0.08</v>
      </c>
    </row>
  </sheetData>
  <conditionalFormatting sqref="B215">
    <cfRule type="expression" dxfId="4" priority="1">
      <formula>#REF!=$B215</formula>
    </cfRule>
  </conditionalFormatting>
  <conditionalFormatting sqref="B229">
    <cfRule type="expression" dxfId="3" priority="2">
      <formula>#REF!=$B229</formula>
    </cfRule>
  </conditionalFormatting>
  <conditionalFormatting sqref="B59:C59">
    <cfRule type="expression" dxfId="2" priority="3">
      <formula>#REF!=$B59</formula>
    </cfRule>
  </conditionalFormatting>
  <dataValidations disablePrompts="1" count="3">
    <dataValidation type="list" allowBlank="1" showInputMessage="1" showErrorMessage="1" sqref="K6" xr:uid="{316BE8D0-5F80-4150-9F8E-D688FDB5F6FA}">
      <formula1>$B$218:$B$220</formula1>
    </dataValidation>
    <dataValidation type="list" allowBlank="1" showInputMessage="1" showErrorMessage="1" sqref="C8" xr:uid="{8FB3E4E8-6631-4284-8CF7-9D27DFB216D8}">
      <formula1>"0,1"</formula1>
    </dataValidation>
    <dataValidation type="list" allowBlank="1" showInputMessage="1" showErrorMessage="1" sqref="B4" xr:uid="{546FCFF0-46AD-42A0-9C58-8911EAA87FA4}">
      <formula1>"$ bns except per share, $ mm except per share,$ in thousands except per share"</formula1>
    </dataValidation>
  </dataValidations>
  <pageMargins left="0.7" right="0.7" top="0.75" bottom="0.75" header="0.3" footer="0.3"/>
  <ignoredErrors>
    <ignoredError sqref="G96:K97 G75:K79 H145:K145 G81:K84 H80:K80 G192:K196 H89:K89 G87:K88 B144:B148 G147:K147 H148:K148 G144:K144 G146:K146 F145 G102:K102 H98:K101 G36:K36 H85:K85" evalError="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2:Q136"/>
  <sheetViews>
    <sheetView showGridLines="0" zoomScale="115" zoomScaleNormal="115" workbookViewId="0">
      <selection activeCell="D40" sqref="D40"/>
    </sheetView>
  </sheetViews>
  <sheetFormatPr defaultColWidth="8" defaultRowHeight="12"/>
  <cols>
    <col min="1" max="1" width="1.25" style="8" customWidth="1"/>
    <col min="2" max="2" width="47.625" style="8" customWidth="1"/>
    <col min="3" max="3" width="11.75" style="8" customWidth="1"/>
    <col min="4" max="9" width="11.125" style="8" customWidth="1"/>
    <col min="10" max="10" width="1.5" style="8" customWidth="1"/>
    <col min="11" max="11" width="10.625" style="8" bestFit="1" customWidth="1"/>
    <col min="12" max="16" width="8.25" style="8" customWidth="1"/>
    <col min="17" max="16384" width="8" style="8"/>
  </cols>
  <sheetData>
    <row r="2" spans="2:10">
      <c r="B2" s="1" t="str">
        <f>'3-Statement Model'!C6&amp;"(NASDAQ: AAPL)"</f>
        <v>Beyond Meat, Inc.(NASDAQ: AAPL)</v>
      </c>
      <c r="C2" s="1"/>
      <c r="D2" s="1"/>
      <c r="E2" s="1"/>
      <c r="F2" s="1"/>
      <c r="G2" s="1"/>
      <c r="H2" s="1"/>
      <c r="I2" s="1"/>
    </row>
    <row r="3" spans="2:10">
      <c r="B3" s="6" t="s">
        <v>336</v>
      </c>
      <c r="C3" s="1"/>
      <c r="D3" s="1"/>
      <c r="E3" s="1"/>
      <c r="F3" s="1"/>
      <c r="G3" s="1"/>
      <c r="H3" s="1"/>
      <c r="I3" s="1"/>
    </row>
    <row r="4" spans="2:10">
      <c r="B4" s="6" t="s">
        <v>436</v>
      </c>
      <c r="C4" s="1"/>
      <c r="D4" s="1"/>
      <c r="E4" s="1"/>
      <c r="F4" s="1"/>
      <c r="G4" s="1"/>
      <c r="H4" s="1"/>
      <c r="I4" s="1"/>
    </row>
    <row r="5" spans="2:10" ht="5.0999999999999996" customHeight="1"/>
    <row r="6" spans="2:10">
      <c r="B6" s="412" t="s">
        <v>337</v>
      </c>
      <c r="C6" s="413">
        <f>'Historical Financials'!I8</f>
        <v>45657</v>
      </c>
      <c r="D6" s="185"/>
      <c r="E6" s="185"/>
      <c r="F6" s="185" t="s">
        <v>338</v>
      </c>
      <c r="G6" s="185"/>
      <c r="H6" s="414"/>
      <c r="I6" s="343" t="s">
        <v>339</v>
      </c>
    </row>
    <row r="7" spans="2:10">
      <c r="B7" s="176" t="s">
        <v>340</v>
      </c>
      <c r="C7" s="406">
        <f>EOMONTH(C6,12)</f>
        <v>46022</v>
      </c>
      <c r="F7" s="8" t="s">
        <v>341</v>
      </c>
      <c r="H7" s="407"/>
      <c r="I7" s="340" t="s">
        <v>342</v>
      </c>
    </row>
    <row r="8" spans="2:10">
      <c r="B8" s="176" t="s">
        <v>343</v>
      </c>
      <c r="C8" s="405"/>
      <c r="F8" s="8" t="s">
        <v>344</v>
      </c>
      <c r="H8" s="248"/>
      <c r="I8" s="340"/>
      <c r="J8" s="249"/>
    </row>
    <row r="9" spans="2:10">
      <c r="B9" s="176" t="s">
        <v>345</v>
      </c>
      <c r="C9" s="405">
        <v>45956</v>
      </c>
      <c r="F9" s="8" t="s">
        <v>346</v>
      </c>
      <c r="H9" s="408">
        <v>1</v>
      </c>
      <c r="I9" s="411"/>
      <c r="J9" s="249"/>
    </row>
    <row r="10" spans="2:10">
      <c r="B10" s="339" t="s">
        <v>347</v>
      </c>
      <c r="C10" s="409">
        <f>YEARFRAC(C9,C7)</f>
        <v>0.18055555555555555</v>
      </c>
      <c r="D10" s="337"/>
      <c r="E10" s="337"/>
      <c r="F10" s="337" t="s">
        <v>348</v>
      </c>
      <c r="G10" s="337"/>
      <c r="H10" s="410" t="str">
        <f>'3-Statement Model'!K6</f>
        <v>Base case</v>
      </c>
      <c r="I10" s="341"/>
    </row>
    <row r="11" spans="2:10">
      <c r="D11" s="251"/>
    </row>
    <row r="12" spans="2:10">
      <c r="B12" s="431" t="s">
        <v>349</v>
      </c>
      <c r="C12" s="378"/>
      <c r="D12" s="378"/>
      <c r="E12" s="378"/>
      <c r="F12" s="378"/>
      <c r="G12" s="378"/>
      <c r="H12" s="378"/>
      <c r="I12" s="378"/>
    </row>
    <row r="13" spans="2:10" ht="17.25" customHeight="1">
      <c r="C13" s="252" t="s">
        <v>10</v>
      </c>
      <c r="D13" s="252" t="s">
        <v>350</v>
      </c>
      <c r="E13" s="459" t="s">
        <v>351</v>
      </c>
      <c r="F13" s="252"/>
      <c r="G13" s="252"/>
      <c r="H13" s="252"/>
      <c r="I13" s="252"/>
    </row>
    <row r="14" spans="2:10">
      <c r="B14" s="102" t="s">
        <v>352</v>
      </c>
      <c r="C14" s="253">
        <f>C9</f>
        <v>45956</v>
      </c>
      <c r="D14" s="254">
        <f>C6</f>
        <v>45657</v>
      </c>
      <c r="E14" s="255">
        <f>EOMONTH(D14,12)</f>
        <v>46022</v>
      </c>
      <c r="F14" s="256">
        <f>EOMONTH(E14,12)</f>
        <v>46387</v>
      </c>
      <c r="G14" s="256">
        <f>EOMONTH(F14,12)</f>
        <v>46752</v>
      </c>
      <c r="H14" s="256">
        <f>EOMONTH(G14,12)</f>
        <v>47118</v>
      </c>
      <c r="I14" s="256">
        <f>EOMONTH(H14,12)</f>
        <v>47483</v>
      </c>
    </row>
    <row r="15" spans="2:10" ht="5.0999999999999996" customHeight="1">
      <c r="B15" s="102"/>
      <c r="D15" s="257"/>
      <c r="E15" s="258"/>
      <c r="F15" s="258"/>
      <c r="G15" s="258"/>
      <c r="H15" s="258"/>
      <c r="I15" s="258"/>
    </row>
    <row r="16" spans="2:10">
      <c r="B16" s="8" t="s">
        <v>32</v>
      </c>
      <c r="C16" s="260"/>
      <c r="D16" s="453"/>
      <c r="E16" s="259"/>
      <c r="F16" s="259"/>
      <c r="G16" s="259"/>
      <c r="H16" s="259"/>
      <c r="I16" s="259"/>
    </row>
    <row r="17" spans="2:13">
      <c r="B17" s="65" t="s">
        <v>353</v>
      </c>
      <c r="D17" s="454"/>
      <c r="E17" s="250" t="e">
        <f>SUM(E16/D16)-1</f>
        <v>#DIV/0!</v>
      </c>
      <c r="F17" s="250" t="e">
        <f>SUM(F16/E16)-1</f>
        <v>#DIV/0!</v>
      </c>
      <c r="G17" s="250" t="e">
        <f>SUM(G16/F16)-1</f>
        <v>#DIV/0!</v>
      </c>
      <c r="H17" s="250" t="e">
        <f>SUM(H16/G16)-1</f>
        <v>#DIV/0!</v>
      </c>
      <c r="I17" s="250" t="e">
        <f>SUM(I16/H16)-1</f>
        <v>#DIV/0!</v>
      </c>
    </row>
    <row r="18" spans="2:13">
      <c r="B18" s="8" t="s">
        <v>11</v>
      </c>
      <c r="C18" s="260"/>
      <c r="D18" s="453"/>
      <c r="E18" s="259"/>
      <c r="F18" s="259"/>
      <c r="G18" s="259"/>
      <c r="H18" s="259"/>
      <c r="I18" s="259"/>
    </row>
    <row r="19" spans="2:13">
      <c r="B19" s="65" t="s">
        <v>354</v>
      </c>
      <c r="D19" s="455" t="e">
        <f t="shared" ref="D19:I19" si="0">D18/D16</f>
        <v>#DIV/0!</v>
      </c>
      <c r="E19" s="250" t="e">
        <f t="shared" si="0"/>
        <v>#DIV/0!</v>
      </c>
      <c r="F19" s="250" t="e">
        <f t="shared" si="0"/>
        <v>#DIV/0!</v>
      </c>
      <c r="G19" s="250" t="e">
        <f t="shared" si="0"/>
        <v>#DIV/0!</v>
      </c>
      <c r="H19" s="250" t="e">
        <f t="shared" si="0"/>
        <v>#DIV/0!</v>
      </c>
      <c r="I19" s="250" t="e">
        <f t="shared" si="0"/>
        <v>#DIV/0!</v>
      </c>
    </row>
    <row r="20" spans="2:13">
      <c r="B20" s="8" t="s">
        <v>33</v>
      </c>
      <c r="C20" s="260"/>
      <c r="D20" s="453"/>
      <c r="E20" s="259"/>
      <c r="F20" s="259"/>
      <c r="G20" s="259"/>
      <c r="H20" s="259"/>
      <c r="I20" s="259"/>
    </row>
    <row r="21" spans="2:13">
      <c r="B21" s="65" t="s">
        <v>354</v>
      </c>
      <c r="D21" s="455" t="e">
        <f t="shared" ref="D21:I21" si="1">D20/D16</f>
        <v>#DIV/0!</v>
      </c>
      <c r="E21" s="250" t="e">
        <f t="shared" si="1"/>
        <v>#DIV/0!</v>
      </c>
      <c r="F21" s="250" t="e">
        <f t="shared" si="1"/>
        <v>#DIV/0!</v>
      </c>
      <c r="G21" s="250" t="e">
        <f t="shared" si="1"/>
        <v>#DIV/0!</v>
      </c>
      <c r="H21" s="250" t="e">
        <f t="shared" si="1"/>
        <v>#DIV/0!</v>
      </c>
      <c r="I21" s="250" t="e">
        <f t="shared" si="1"/>
        <v>#DIV/0!</v>
      </c>
    </row>
    <row r="22" spans="2:13" ht="5.0999999999999996" customHeight="1">
      <c r="B22" s="65"/>
      <c r="D22" s="453"/>
      <c r="E22" s="259"/>
      <c r="F22" s="259"/>
      <c r="G22" s="259"/>
      <c r="H22" s="259"/>
      <c r="I22" s="259"/>
    </row>
    <row r="23" spans="2:13">
      <c r="B23" s="8" t="s">
        <v>355</v>
      </c>
      <c r="D23" s="456"/>
      <c r="E23" s="260">
        <f>+E20*E24</f>
        <v>0</v>
      </c>
      <c r="F23" s="260">
        <f>+F20*F24</f>
        <v>0</v>
      </c>
      <c r="G23" s="260">
        <f>+G20*G24</f>
        <v>0</v>
      </c>
      <c r="H23" s="260">
        <f>+H20*H24</f>
        <v>0</v>
      </c>
      <c r="I23" s="260">
        <f>+I20*I24</f>
        <v>0</v>
      </c>
    </row>
    <row r="24" spans="2:13" s="351" customFormat="1" ht="15" customHeight="1">
      <c r="B24" s="420" t="s">
        <v>144</v>
      </c>
      <c r="D24" s="501" t="e">
        <f>D23/D20</f>
        <v>#DIV/0!</v>
      </c>
      <c r="E24" s="457"/>
      <c r="F24" s="458"/>
      <c r="G24" s="458"/>
      <c r="H24" s="458"/>
      <c r="I24" s="458"/>
    </row>
    <row r="25" spans="2:13">
      <c r="B25" s="439" t="s">
        <v>356</v>
      </c>
      <c r="C25" s="439"/>
      <c r="D25" s="461">
        <f>+D23+D20</f>
        <v>0</v>
      </c>
      <c r="E25" s="462">
        <f>E20*(1-E24)</f>
        <v>0</v>
      </c>
      <c r="F25" s="462">
        <f>F20*(1-F24)</f>
        <v>0</v>
      </c>
      <c r="G25" s="462">
        <f>G20*(1-G24)</f>
        <v>0</v>
      </c>
      <c r="H25" s="462">
        <f>H20*(1-H24)</f>
        <v>0</v>
      </c>
      <c r="I25" s="462">
        <f>I20*(1-I24)</f>
        <v>0</v>
      </c>
    </row>
    <row r="26" spans="2:13" ht="5.0999999999999996" customHeight="1">
      <c r="D26" s="260"/>
      <c r="E26" s="260"/>
      <c r="F26" s="260"/>
      <c r="G26" s="260"/>
      <c r="H26" s="260"/>
      <c r="I26" s="260"/>
    </row>
    <row r="27" spans="2:13">
      <c r="B27" s="8" t="s">
        <v>134</v>
      </c>
      <c r="D27" s="259">
        <f>'3-Statement Model'!F43</f>
        <v>23121</v>
      </c>
      <c r="E27" s="259"/>
      <c r="F27" s="259"/>
      <c r="G27" s="259"/>
      <c r="H27" s="259"/>
      <c r="I27" s="259"/>
      <c r="M27" s="261"/>
    </row>
    <row r="28" spans="2:13">
      <c r="B28" s="8" t="s">
        <v>357</v>
      </c>
      <c r="D28" s="260"/>
      <c r="E28" s="260">
        <f>D34-E34</f>
        <v>0</v>
      </c>
      <c r="F28" s="260">
        <f>E34-F34</f>
        <v>0</v>
      </c>
      <c r="G28" s="260">
        <f>F34-G34</f>
        <v>0</v>
      </c>
      <c r="H28" s="260">
        <f>G34-H34</f>
        <v>0</v>
      </c>
      <c r="I28" s="260">
        <f>H34-I34</f>
        <v>0</v>
      </c>
      <c r="M28" s="261"/>
    </row>
    <row r="29" spans="2:13">
      <c r="B29" s="8" t="s">
        <v>169</v>
      </c>
      <c r="D29" s="259"/>
      <c r="E29" s="259"/>
      <c r="F29" s="259"/>
      <c r="G29" s="259"/>
      <c r="H29" s="259"/>
      <c r="I29" s="259"/>
      <c r="M29" s="261"/>
    </row>
    <row r="30" spans="2:13">
      <c r="B30" s="65" t="s">
        <v>188</v>
      </c>
      <c r="D30" s="259"/>
      <c r="E30" s="250" t="e">
        <f>E29/E16</f>
        <v>#DIV/0!</v>
      </c>
      <c r="F30" s="250" t="e">
        <f>F29/F16</f>
        <v>#DIV/0!</v>
      </c>
      <c r="G30" s="250" t="e">
        <f>G29/G16</f>
        <v>#DIV/0!</v>
      </c>
      <c r="H30" s="250" t="e">
        <f>H29/H16</f>
        <v>#DIV/0!</v>
      </c>
      <c r="I30" s="250" t="e">
        <f>I29/I16</f>
        <v>#DIV/0!</v>
      </c>
      <c r="M30" s="261"/>
    </row>
    <row r="31" spans="2:13" ht="5.0999999999999996" customHeight="1">
      <c r="D31" s="259"/>
      <c r="E31" s="259"/>
      <c r="F31" s="259"/>
      <c r="G31" s="259"/>
      <c r="H31" s="259"/>
      <c r="I31" s="259"/>
      <c r="M31" s="261"/>
    </row>
    <row r="32" spans="2:13">
      <c r="B32" s="424" t="s">
        <v>358</v>
      </c>
      <c r="C32" s="424"/>
      <c r="D32" s="460"/>
      <c r="E32" s="460">
        <f>+E25+E27+E28+E29</f>
        <v>0</v>
      </c>
      <c r="F32" s="460">
        <f>+F25+F27+F28+F29</f>
        <v>0</v>
      </c>
      <c r="G32" s="460">
        <f>+G25+G27+G28+G29</f>
        <v>0</v>
      </c>
      <c r="H32" s="460">
        <f>+H25+H27+H28+H29</f>
        <v>0</v>
      </c>
      <c r="I32" s="460">
        <f>+I25+I27+I28+I29</f>
        <v>0</v>
      </c>
      <c r="M32" s="262"/>
    </row>
    <row r="33" spans="2:13" ht="5.0999999999999996" customHeight="1">
      <c r="D33" s="259"/>
      <c r="M33" s="261"/>
    </row>
    <row r="34" spans="2:13">
      <c r="B34" s="8" t="s">
        <v>359</v>
      </c>
      <c r="D34" s="259"/>
      <c r="E34" s="259"/>
      <c r="F34" s="259"/>
      <c r="G34" s="259"/>
      <c r="H34" s="259"/>
      <c r="I34" s="259"/>
    </row>
    <row r="35" spans="2:13" ht="15" customHeight="1">
      <c r="B35" s="65" t="s">
        <v>188</v>
      </c>
      <c r="D35" s="250"/>
      <c r="E35" s="250" t="e">
        <f>+E34/E16</f>
        <v>#DIV/0!</v>
      </c>
      <c r="F35" s="250" t="e">
        <f>+F34/F16</f>
        <v>#DIV/0!</v>
      </c>
      <c r="G35" s="250" t="e">
        <f>+G34/G16</f>
        <v>#DIV/0!</v>
      </c>
      <c r="H35" s="250" t="e">
        <f>+H34/H16</f>
        <v>#DIV/0!</v>
      </c>
      <c r="I35" s="250" t="e">
        <f>+I34/I16</f>
        <v>#DIV/0!</v>
      </c>
      <c r="J35" s="259"/>
    </row>
    <row r="36" spans="2:13" ht="5.0999999999999996" customHeight="1">
      <c r="D36" s="259"/>
      <c r="E36" s="250"/>
      <c r="F36" s="250"/>
      <c r="G36" s="250"/>
      <c r="H36" s="250"/>
      <c r="I36" s="250"/>
      <c r="J36" s="259"/>
      <c r="K36" s="108"/>
      <c r="M36" s="250"/>
    </row>
    <row r="37" spans="2:13">
      <c r="B37" s="431" t="str">
        <f>"Present value of UFCF on "&amp;TEXT(C9,"mmm dd, yyyy")&amp;" valuation date"</f>
        <v>Present value of UFCF on Oct 26, 2025 valuation date</v>
      </c>
      <c r="C37" s="378"/>
      <c r="D37" s="378"/>
      <c r="E37" s="378"/>
      <c r="F37" s="378"/>
      <c r="G37" s="378"/>
      <c r="H37" s="378"/>
      <c r="I37" s="378"/>
      <c r="J37" s="259"/>
    </row>
    <row r="38" spans="2:13" ht="5.0999999999999996" customHeight="1">
      <c r="B38" s="445"/>
      <c r="C38" s="446"/>
      <c r="D38" s="446"/>
      <c r="E38" s="446"/>
      <c r="F38" s="446"/>
      <c r="G38" s="446"/>
      <c r="H38" s="446"/>
      <c r="I38" s="446"/>
      <c r="J38" s="259"/>
    </row>
    <row r="39" spans="2:13" ht="14.25">
      <c r="B39" s="38"/>
      <c r="D39" s="447" t="s">
        <v>360</v>
      </c>
      <c r="E39" s="447" t="s">
        <v>361</v>
      </c>
      <c r="F39" s="448" t="s">
        <v>362</v>
      </c>
      <c r="G39" s="448" t="s">
        <v>363</v>
      </c>
      <c r="H39" s="448" t="s">
        <v>364</v>
      </c>
      <c r="I39" s="448" t="s">
        <v>365</v>
      </c>
      <c r="J39" s="259"/>
    </row>
    <row r="40" spans="2:13">
      <c r="B40" s="8" t="s">
        <v>366</v>
      </c>
      <c r="D40" s="449">
        <f>C9</f>
        <v>45956</v>
      </c>
      <c r="E40" s="263">
        <f>IF($H$9=1,AVERAGE(E14,D40),E14)</f>
        <v>45989</v>
      </c>
      <c r="F40" s="263">
        <f>IF($H$9=1,AVERAGE(F14,E14),F14)</f>
        <v>46204.5</v>
      </c>
      <c r="G40" s="263">
        <f>IF($H$9=1,AVERAGE(G14,F14),G14)</f>
        <v>46569.5</v>
      </c>
      <c r="H40" s="263">
        <f>IF($H$9=1,AVERAGE(H14,G14),H14)</f>
        <v>46935</v>
      </c>
      <c r="I40" s="263">
        <f>IF($H$9=1,AVERAGE(I14,H14),I14)</f>
        <v>47300.5</v>
      </c>
      <c r="J40" s="259"/>
    </row>
    <row r="41" spans="2:13">
      <c r="B41" s="8" t="s">
        <v>367</v>
      </c>
      <c r="C41" s="264">
        <f>C10</f>
        <v>0.18055555555555555</v>
      </c>
      <c r="D41" s="261"/>
      <c r="E41" s="260">
        <f>E32*C41</f>
        <v>0</v>
      </c>
      <c r="F41" s="260">
        <f>F32</f>
        <v>0</v>
      </c>
      <c r="G41" s="260">
        <f>G32</f>
        <v>0</v>
      </c>
      <c r="H41" s="260">
        <f>H32</f>
        <v>0</v>
      </c>
      <c r="I41" s="260">
        <f>I32</f>
        <v>0</v>
      </c>
      <c r="J41" s="260"/>
      <c r="K41" s="8" t="s">
        <v>368</v>
      </c>
    </row>
    <row r="42" spans="2:13" s="351" customFormat="1">
      <c r="B42" s="442" t="s">
        <v>369</v>
      </c>
      <c r="C42" s="443"/>
      <c r="D42" s="444"/>
      <c r="E42" s="444">
        <f>E41/(1+$H$6)^((E40-$C$9)/365)</f>
        <v>0</v>
      </c>
      <c r="F42" s="444">
        <f>F41/(1+$H$6)^((F40-$C$9)/365)</f>
        <v>0</v>
      </c>
      <c r="G42" s="444">
        <f>G41/(1+$H$6)^((G40-$C$9)/365)</f>
        <v>0</v>
      </c>
      <c r="H42" s="444">
        <f>H41/(1+$H$6)^((H40-$C$9)/365)</f>
        <v>0</v>
      </c>
      <c r="I42" s="444">
        <f>I41/(1+$H$6)^((I40-$C$9)/365)</f>
        <v>0</v>
      </c>
      <c r="J42" s="441"/>
    </row>
    <row r="44" spans="2:13">
      <c r="B44" s="431" t="s">
        <v>370</v>
      </c>
      <c r="C44" s="378"/>
      <c r="E44" s="438" t="s">
        <v>371</v>
      </c>
      <c r="F44" s="378"/>
      <c r="G44" s="378"/>
      <c r="H44" s="378"/>
      <c r="I44" s="378"/>
    </row>
    <row r="45" spans="2:13" ht="5.0999999999999996" customHeight="1">
      <c r="B45" s="445"/>
      <c r="C45" s="446"/>
      <c r="E45" s="450"/>
      <c r="F45" s="446"/>
      <c r="G45" s="446"/>
      <c r="H45" s="446"/>
      <c r="I45" s="446"/>
    </row>
    <row r="46" spans="2:13">
      <c r="B46" s="8" t="s">
        <v>372</v>
      </c>
      <c r="C46" s="128"/>
      <c r="E46" s="8" t="s">
        <v>373</v>
      </c>
      <c r="I46" s="261">
        <f>I18</f>
        <v>0</v>
      </c>
      <c r="J46" s="261"/>
    </row>
    <row r="47" spans="2:13">
      <c r="B47" s="265" t="str">
        <f>YEAR(I14)&amp;" FCF x (1+g)"</f>
        <v>2029 FCF x (1+g)</v>
      </c>
      <c r="C47" s="261">
        <f>I41*(1+C46)</f>
        <v>0</v>
      </c>
      <c r="E47" s="8" t="s">
        <v>374</v>
      </c>
      <c r="I47" s="266"/>
      <c r="J47" s="266"/>
    </row>
    <row r="48" spans="2:13">
      <c r="B48" s="8" t="str">
        <f>"Terminal value in "&amp;YEAR(I14)</f>
        <v>Terminal value in 2029</v>
      </c>
      <c r="C48" s="261" t="e">
        <f>C47/(H6-C46)</f>
        <v>#DIV/0!</v>
      </c>
      <c r="E48" s="8" t="str">
        <f>"Terminal value in "&amp;YEAR(I14)</f>
        <v>Terminal value in 2029</v>
      </c>
      <c r="I48" s="261">
        <f>I46*I47</f>
        <v>0</v>
      </c>
      <c r="J48" s="261"/>
    </row>
    <row r="49" spans="2:10">
      <c r="B49" s="8" t="s">
        <v>375</v>
      </c>
      <c r="C49" s="261" t="e">
        <f>C48/(1+H6)^((I40-$D$40)/365)</f>
        <v>#DIV/0!</v>
      </c>
      <c r="E49" s="8" t="s">
        <v>375</v>
      </c>
      <c r="I49" s="261">
        <f>I48/(1+H6)^((I40-D40)/365)</f>
        <v>0</v>
      </c>
      <c r="J49" s="261"/>
    </row>
    <row r="50" spans="2:10">
      <c r="B50" s="8" t="s">
        <v>376</v>
      </c>
      <c r="C50" s="260">
        <f>SUM(E42:I42)</f>
        <v>0</v>
      </c>
      <c r="E50" s="8" t="s">
        <v>376</v>
      </c>
      <c r="I50" s="261">
        <f>C50</f>
        <v>0</v>
      </c>
      <c r="J50" s="261"/>
    </row>
    <row r="51" spans="2:10">
      <c r="B51" s="439" t="s">
        <v>377</v>
      </c>
      <c r="C51" s="440" t="e">
        <f>C50+C49</f>
        <v>#DIV/0!</v>
      </c>
      <c r="E51" s="439" t="s">
        <v>378</v>
      </c>
      <c r="F51" s="186"/>
      <c r="G51" s="186"/>
      <c r="H51" s="186"/>
      <c r="I51" s="440">
        <f>SUM(I49:I50)</f>
        <v>0</v>
      </c>
      <c r="J51" s="267"/>
    </row>
    <row r="52" spans="2:10" ht="5.0999999999999996" customHeight="1"/>
    <row r="53" spans="2:10">
      <c r="B53" s="268" t="s">
        <v>379</v>
      </c>
      <c r="C53" s="269" t="e">
        <f>C49/$C$51</f>
        <v>#DIV/0!</v>
      </c>
      <c r="E53" s="268" t="s">
        <v>379</v>
      </c>
      <c r="I53" s="269" t="e">
        <f>+I49/I51</f>
        <v>#DIV/0!</v>
      </c>
      <c r="J53" s="269"/>
    </row>
    <row r="54" spans="2:10">
      <c r="B54" s="268" t="s">
        <v>380</v>
      </c>
      <c r="C54" s="269" t="e">
        <f>1-C53</f>
        <v>#DIV/0!</v>
      </c>
      <c r="E54" s="268" t="s">
        <v>381</v>
      </c>
      <c r="G54" s="270"/>
      <c r="I54" s="133" t="e">
        <f>1-I53</f>
        <v>#DIV/0!</v>
      </c>
      <c r="J54" s="133"/>
    </row>
    <row r="55" spans="2:10">
      <c r="B55" s="268" t="s">
        <v>382</v>
      </c>
      <c r="C55" s="271" t="e">
        <f>(C48/I18)</f>
        <v>#DIV/0!</v>
      </c>
      <c r="E55" s="8" t="s">
        <v>383</v>
      </c>
      <c r="I55" s="272" t="e">
        <f>(H6-I41/I48)/(1+I41/I48)</f>
        <v>#DIV/0!</v>
      </c>
      <c r="J55" s="272"/>
    </row>
    <row r="56" spans="2:10">
      <c r="B56" s="268"/>
      <c r="C56" s="102"/>
      <c r="D56" s="271"/>
      <c r="I56" s="272"/>
      <c r="J56" s="272"/>
    </row>
    <row r="57" spans="2:10">
      <c r="B57" s="431" t="s">
        <v>384</v>
      </c>
      <c r="C57" s="378"/>
      <c r="E57" s="438" t="s">
        <v>385</v>
      </c>
      <c r="F57" s="378"/>
      <c r="G57" s="431"/>
      <c r="H57" s="378"/>
      <c r="I57" s="431"/>
    </row>
    <row r="58" spans="2:10">
      <c r="B58" s="8" t="s">
        <v>386</v>
      </c>
      <c r="C58" s="248"/>
    </row>
    <row r="59" spans="2:10">
      <c r="B59" s="110" t="s">
        <v>387</v>
      </c>
      <c r="C59" s="263"/>
      <c r="G59" s="113" t="s">
        <v>386</v>
      </c>
      <c r="H59" s="273" t="s">
        <v>388</v>
      </c>
      <c r="I59" s="273" t="s">
        <v>389</v>
      </c>
    </row>
    <row r="60" spans="2:10">
      <c r="B60" s="274" t="s">
        <v>390</v>
      </c>
      <c r="C60" s="275"/>
      <c r="E60" s="351" t="s">
        <v>102</v>
      </c>
      <c r="G60" s="248"/>
      <c r="H60" s="248"/>
      <c r="I60" s="276"/>
      <c r="J60" s="276"/>
    </row>
    <row r="61" spans="2:10">
      <c r="B61" s="65" t="s">
        <v>22</v>
      </c>
      <c r="C61" s="168"/>
      <c r="E61" s="352" t="s">
        <v>391</v>
      </c>
      <c r="G61" s="248"/>
      <c r="H61" s="248"/>
      <c r="I61" s="276"/>
      <c r="J61" s="210"/>
    </row>
    <row r="62" spans="2:10">
      <c r="B62" s="65" t="s">
        <v>392</v>
      </c>
      <c r="C62" s="234"/>
      <c r="E62" s="352" t="s">
        <v>393</v>
      </c>
      <c r="G62" s="248"/>
      <c r="H62" s="248"/>
      <c r="I62" s="426"/>
    </row>
    <row r="63" spans="2:10">
      <c r="B63" s="65" t="s">
        <v>394</v>
      </c>
      <c r="C63" s="234"/>
      <c r="E63" s="351" t="s">
        <v>392</v>
      </c>
      <c r="G63" s="248"/>
      <c r="H63" s="248"/>
      <c r="I63" s="437"/>
    </row>
    <row r="64" spans="2:10">
      <c r="B64" s="277" t="s">
        <v>395</v>
      </c>
      <c r="C64" s="107"/>
      <c r="E64" s="351" t="s">
        <v>396</v>
      </c>
      <c r="G64" s="248"/>
      <c r="H64" s="248"/>
      <c r="I64" s="437"/>
    </row>
    <row r="65" spans="2:10">
      <c r="B65" s="274" t="s">
        <v>397</v>
      </c>
      <c r="E65" s="182" t="s">
        <v>398</v>
      </c>
      <c r="F65" s="185"/>
      <c r="G65" s="185"/>
      <c r="H65" s="185"/>
      <c r="I65" s="331">
        <f>SUM(I60:I64)</f>
        <v>0</v>
      </c>
      <c r="J65" s="240"/>
    </row>
    <row r="66" spans="2:10">
      <c r="B66" s="278" t="s">
        <v>399</v>
      </c>
      <c r="C66" s="168"/>
      <c r="J66" s="228"/>
    </row>
    <row r="67" spans="2:10">
      <c r="B67" s="278" t="s">
        <v>400</v>
      </c>
      <c r="C67" s="107"/>
      <c r="J67" s="228"/>
    </row>
    <row r="68" spans="2:10">
      <c r="B68" s="442" t="s">
        <v>384</v>
      </c>
      <c r="C68" s="451">
        <f>SUM(C61:C64)-SUM(C66:C67)</f>
        <v>0</v>
      </c>
    </row>
    <row r="70" spans="2:10">
      <c r="B70" s="431" t="s">
        <v>401</v>
      </c>
      <c r="C70" s="378"/>
      <c r="D70" s="431"/>
    </row>
    <row r="71" spans="2:10" ht="5.0999999999999996" customHeight="1">
      <c r="B71" s="445"/>
      <c r="C71" s="446"/>
      <c r="D71" s="445"/>
    </row>
    <row r="72" spans="2:10" ht="14.25">
      <c r="C72" s="434" t="s">
        <v>36</v>
      </c>
      <c r="D72" s="434" t="s">
        <v>11</v>
      </c>
    </row>
    <row r="73" spans="2:10">
      <c r="B73" s="8" t="s">
        <v>402</v>
      </c>
      <c r="C73" s="279" t="e">
        <f>C51</f>
        <v>#DIV/0!</v>
      </c>
      <c r="D73" s="279">
        <f>I51</f>
        <v>0</v>
      </c>
    </row>
    <row r="74" spans="2:10">
      <c r="B74" s="8" t="s">
        <v>384</v>
      </c>
      <c r="C74" s="280">
        <f>$C$68</f>
        <v>0</v>
      </c>
      <c r="D74" s="280">
        <f>C74</f>
        <v>0</v>
      </c>
    </row>
    <row r="75" spans="2:10">
      <c r="B75" s="8" t="s">
        <v>403</v>
      </c>
      <c r="C75" s="281" t="e">
        <f>C73-C74</f>
        <v>#DIV/0!</v>
      </c>
      <c r="D75" s="281">
        <f>D73-D74</f>
        <v>0</v>
      </c>
    </row>
    <row r="76" spans="2:10">
      <c r="B76" s="8" t="s">
        <v>385</v>
      </c>
      <c r="C76" s="281">
        <f>$I$65</f>
        <v>0</v>
      </c>
      <c r="D76" s="281">
        <f>C76</f>
        <v>0</v>
      </c>
    </row>
    <row r="77" spans="2:10">
      <c r="B77" s="424" t="s">
        <v>404</v>
      </c>
      <c r="C77" s="452" t="e">
        <f>C75/C76</f>
        <v>#DIV/0!</v>
      </c>
      <c r="D77" s="452" t="e">
        <f>D75/D76</f>
        <v>#DIV/0!</v>
      </c>
    </row>
    <row r="79" spans="2:10" ht="14.25">
      <c r="C79" s="252" t="s">
        <v>405</v>
      </c>
      <c r="D79" s="252"/>
    </row>
    <row r="80" spans="2:10">
      <c r="B80" s="113"/>
      <c r="C80" s="273" t="s">
        <v>36</v>
      </c>
      <c r="D80" s="273" t="s">
        <v>11</v>
      </c>
    </row>
    <row r="81" spans="2:17">
      <c r="B81" s="8" t="s">
        <v>406</v>
      </c>
      <c r="C81" s="282" t="e">
        <f>C$73/$C$16</f>
        <v>#DIV/0!</v>
      </c>
      <c r="D81" s="282" t="e">
        <f>D$73/$C$16</f>
        <v>#DIV/0!</v>
      </c>
    </row>
    <row r="82" spans="2:17">
      <c r="B82" s="8" t="s">
        <v>407</v>
      </c>
      <c r="C82" s="283" t="e">
        <f>C73/$C$18</f>
        <v>#DIV/0!</v>
      </c>
      <c r="D82" s="283" t="e">
        <f>D73/$C$18</f>
        <v>#DIV/0!</v>
      </c>
    </row>
    <row r="83" spans="2:17">
      <c r="B83" s="260" t="s">
        <v>408</v>
      </c>
      <c r="C83" s="283" t="e">
        <f>C73/$C$20</f>
        <v>#DIV/0!</v>
      </c>
      <c r="D83" s="283" t="e">
        <f>D73/$C$20</f>
        <v>#DIV/0!</v>
      </c>
    </row>
    <row r="84" spans="2:17" ht="14.25">
      <c r="B84" s="260"/>
      <c r="C84" s="252" t="s">
        <v>409</v>
      </c>
      <c r="D84" s="252"/>
      <c r="E84" s="284"/>
      <c r="F84" s="284"/>
    </row>
    <row r="85" spans="2:17">
      <c r="B85" s="113"/>
      <c r="C85" s="273" t="s">
        <v>36</v>
      </c>
      <c r="D85" s="273" t="s">
        <v>11</v>
      </c>
      <c r="E85" s="284"/>
      <c r="F85" s="284"/>
    </row>
    <row r="86" spans="2:17">
      <c r="B86" s="8" t="s">
        <v>406</v>
      </c>
      <c r="C86" s="285" t="e">
        <f>C73/$E$16</f>
        <v>#DIV/0!</v>
      </c>
      <c r="D86" s="285" t="e">
        <f>D73/$E$16</f>
        <v>#DIV/0!</v>
      </c>
      <c r="E86" s="284"/>
      <c r="F86" s="284"/>
    </row>
    <row r="87" spans="2:17">
      <c r="B87" s="8" t="s">
        <v>407</v>
      </c>
      <c r="C87" s="284" t="e">
        <f>C73/$E$18</f>
        <v>#DIV/0!</v>
      </c>
      <c r="D87" s="284" t="e">
        <f>D73/$E$18</f>
        <v>#DIV/0!</v>
      </c>
      <c r="E87" s="284"/>
      <c r="F87" s="284"/>
    </row>
    <row r="88" spans="2:17">
      <c r="B88" s="260" t="s">
        <v>408</v>
      </c>
      <c r="C88" s="284" t="e">
        <f>C73/$E$20</f>
        <v>#DIV/0!</v>
      </c>
      <c r="D88" s="284" t="e">
        <f>D73/$E$20</f>
        <v>#DIV/0!</v>
      </c>
      <c r="E88" s="284"/>
      <c r="F88" s="284"/>
    </row>
    <row r="90" spans="2:17">
      <c r="B90" s="242" t="s">
        <v>410</v>
      </c>
      <c r="C90" s="242"/>
      <c r="D90" s="242"/>
      <c r="E90" s="242"/>
      <c r="F90" s="242"/>
      <c r="G90" s="242"/>
      <c r="H90" s="242"/>
      <c r="I90" s="242"/>
      <c r="J90" s="242"/>
      <c r="K90" s="242"/>
      <c r="L90" s="242"/>
      <c r="M90" s="242"/>
      <c r="N90" s="242"/>
      <c r="O90" s="242"/>
      <c r="P90" s="242"/>
      <c r="Q90" s="242"/>
    </row>
    <row r="91" spans="2:17">
      <c r="B91" s="38"/>
    </row>
    <row r="92" spans="2:17" ht="17.25" customHeight="1">
      <c r="B92" s="286"/>
      <c r="C92" s="38"/>
      <c r="D92" s="287" t="s">
        <v>404</v>
      </c>
      <c r="E92" s="252"/>
      <c r="F92" s="252"/>
      <c r="G92" s="252"/>
      <c r="H92" s="252"/>
      <c r="I92" s="252"/>
      <c r="J92" s="288"/>
      <c r="L92" s="287" t="s">
        <v>411</v>
      </c>
      <c r="M92" s="252"/>
      <c r="N92" s="252"/>
      <c r="O92" s="252"/>
      <c r="P92" s="252"/>
      <c r="Q92" s="252"/>
    </row>
    <row r="93" spans="2:17" ht="15" customHeight="1">
      <c r="B93" s="286"/>
      <c r="D93" s="110"/>
      <c r="E93" s="217" t="s">
        <v>412</v>
      </c>
      <c r="F93" s="217"/>
      <c r="G93" s="217"/>
      <c r="H93" s="217"/>
      <c r="I93" s="217"/>
      <c r="J93" s="289"/>
      <c r="L93" s="110"/>
      <c r="M93" s="217"/>
      <c r="N93" s="217"/>
      <c r="O93" s="217"/>
      <c r="P93" s="217"/>
      <c r="Q93" s="217"/>
    </row>
    <row r="94" spans="2:17" ht="15" customHeight="1">
      <c r="B94" s="286"/>
      <c r="C94" s="159"/>
      <c r="D94" s="290" t="e">
        <f>C77</f>
        <v>#DIV/0!</v>
      </c>
      <c r="E94" s="291">
        <f>F94-0.005</f>
        <v>1.9999999999999997E-2</v>
      </c>
      <c r="F94" s="292">
        <f>G94-0.005</f>
        <v>2.4999999999999998E-2</v>
      </c>
      <c r="G94" s="293">
        <v>0.03</v>
      </c>
      <c r="H94" s="292">
        <f>G94+0.005</f>
        <v>3.4999999999999996E-2</v>
      </c>
      <c r="I94" s="292">
        <f>H94+0.005</f>
        <v>3.9999999999999994E-2</v>
      </c>
      <c r="J94" s="294"/>
      <c r="L94" s="295" t="e">
        <f>C82</f>
        <v>#DIV/0!</v>
      </c>
      <c r="M94" s="292">
        <f>N94-0.005</f>
        <v>1.9999999999999997E-2</v>
      </c>
      <c r="N94" s="292">
        <f>O94-0.005</f>
        <v>2.4999999999999998E-2</v>
      </c>
      <c r="O94" s="293">
        <v>0.03</v>
      </c>
      <c r="P94" s="292">
        <f>O94+0.005</f>
        <v>3.4999999999999996E-2</v>
      </c>
      <c r="Q94" s="296">
        <f>P94+0.005</f>
        <v>3.9999999999999994E-2</v>
      </c>
    </row>
    <row r="95" spans="2:17" ht="15" customHeight="1">
      <c r="B95" s="286"/>
      <c r="D95" s="297">
        <f>D96+0.01</f>
        <v>0.10999999999999999</v>
      </c>
      <c r="E95" s="298">
        <v>20.680633001583054</v>
      </c>
      <c r="F95" s="298">
        <v>20.680633001583054</v>
      </c>
      <c r="G95" s="298">
        <v>20.680633001583054</v>
      </c>
      <c r="H95" s="298">
        <v>20.680633001583054</v>
      </c>
      <c r="I95" s="298">
        <v>20.680633001583054</v>
      </c>
      <c r="J95" s="299"/>
      <c r="L95" s="297">
        <f>L96+0.01</f>
        <v>0.10999999999999999</v>
      </c>
      <c r="M95" s="300" t="e">
        <v>#DIV/0!</v>
      </c>
      <c r="N95" s="300" t="e">
        <v>#DIV/0!</v>
      </c>
      <c r="O95" s="300" t="e">
        <v>#DIV/0!</v>
      </c>
      <c r="P95" s="300" t="e">
        <v>#DIV/0!</v>
      </c>
      <c r="Q95" s="300" t="e">
        <v>#DIV/0!</v>
      </c>
    </row>
    <row r="96" spans="2:17" ht="15" customHeight="1">
      <c r="B96" s="286"/>
      <c r="D96" s="297">
        <f>D97+0.01</f>
        <v>9.9999999999999992E-2</v>
      </c>
      <c r="E96" s="298">
        <v>20.680633001583054</v>
      </c>
      <c r="F96" s="298">
        <v>20.680633001583054</v>
      </c>
      <c r="G96" s="298">
        <v>20.680633001583054</v>
      </c>
      <c r="H96" s="298">
        <v>20.680633001583054</v>
      </c>
      <c r="I96" s="298">
        <v>20.680633001583054</v>
      </c>
      <c r="J96" s="299"/>
      <c r="L96" s="297">
        <f>L97+0.01</f>
        <v>9.9999999999999992E-2</v>
      </c>
      <c r="M96" s="300" t="e">
        <v>#DIV/0!</v>
      </c>
      <c r="N96" s="300" t="e">
        <v>#DIV/0!</v>
      </c>
      <c r="O96" s="300" t="e">
        <v>#DIV/0!</v>
      </c>
      <c r="P96" s="300" t="e">
        <v>#DIV/0!</v>
      </c>
      <c r="Q96" s="300" t="e">
        <v>#DIV/0!</v>
      </c>
    </row>
    <row r="97" spans="2:17" ht="15" customHeight="1">
      <c r="B97" s="286"/>
      <c r="C97" s="159" t="s">
        <v>413</v>
      </c>
      <c r="D97" s="301">
        <v>0.09</v>
      </c>
      <c r="E97" s="298">
        <v>20.680633001583054</v>
      </c>
      <c r="F97" s="298">
        <v>20.680633001583054</v>
      </c>
      <c r="G97" s="298">
        <v>20.680633001583054</v>
      </c>
      <c r="H97" s="298">
        <v>20.680633001583054</v>
      </c>
      <c r="I97" s="298">
        <v>20.680633001583054</v>
      </c>
      <c r="J97" s="299"/>
      <c r="K97" s="159" t="s">
        <v>413</v>
      </c>
      <c r="L97" s="301">
        <v>0.09</v>
      </c>
      <c r="M97" s="300" t="e">
        <v>#DIV/0!</v>
      </c>
      <c r="N97" s="300" t="e">
        <v>#DIV/0!</v>
      </c>
      <c r="O97" s="300" t="e">
        <v>#DIV/0!</v>
      </c>
      <c r="P97" s="300" t="e">
        <v>#DIV/0!</v>
      </c>
      <c r="Q97" s="300" t="e">
        <v>#DIV/0!</v>
      </c>
    </row>
    <row r="98" spans="2:17" ht="15" customHeight="1">
      <c r="B98" s="286"/>
      <c r="D98" s="297">
        <f>D97-0.01</f>
        <v>0.08</v>
      </c>
      <c r="E98" s="298">
        <v>20.680633001583054</v>
      </c>
      <c r="F98" s="298">
        <v>20.680633001583054</v>
      </c>
      <c r="G98" s="298">
        <v>20.680633001583054</v>
      </c>
      <c r="H98" s="298">
        <v>20.680633001583054</v>
      </c>
      <c r="I98" s="298">
        <v>20.680633001583054</v>
      </c>
      <c r="J98" s="299"/>
      <c r="L98" s="297">
        <f>L97-0.01</f>
        <v>0.08</v>
      </c>
      <c r="M98" s="300" t="e">
        <v>#DIV/0!</v>
      </c>
      <c r="N98" s="300" t="e">
        <v>#DIV/0!</v>
      </c>
      <c r="O98" s="300" t="e">
        <v>#DIV/0!</v>
      </c>
      <c r="P98" s="300" t="e">
        <v>#DIV/0!</v>
      </c>
      <c r="Q98" s="300" t="e">
        <v>#DIV/0!</v>
      </c>
    </row>
    <row r="99" spans="2:17" ht="15" customHeight="1">
      <c r="B99" s="302" t="s">
        <v>414</v>
      </c>
      <c r="D99" s="303">
        <f>D98-0.01</f>
        <v>7.0000000000000007E-2</v>
      </c>
      <c r="E99" s="298">
        <v>20.680633001583054</v>
      </c>
      <c r="F99" s="298">
        <v>20.680633001583054</v>
      </c>
      <c r="G99" s="298">
        <v>20.680633001583054</v>
      </c>
      <c r="H99" s="298">
        <v>20.680633001583054</v>
      </c>
      <c r="I99" s="298">
        <v>20.680633001583054</v>
      </c>
      <c r="J99" s="299"/>
      <c r="L99" s="303">
        <f>L98-0.01</f>
        <v>7.0000000000000007E-2</v>
      </c>
      <c r="M99" s="300" t="e">
        <v>#DIV/0!</v>
      </c>
      <c r="N99" s="300" t="e">
        <v>#DIV/0!</v>
      </c>
      <c r="O99" s="300" t="e">
        <v>#DIV/0!</v>
      </c>
      <c r="P99" s="300" t="e">
        <v>#DIV/0!</v>
      </c>
      <c r="Q99" s="300" t="e">
        <v>#DIV/0!</v>
      </c>
    </row>
    <row r="100" spans="2:17" ht="15" customHeight="1">
      <c r="B100" s="302" t="s">
        <v>415</v>
      </c>
      <c r="E100" s="304"/>
      <c r="F100" s="304"/>
      <c r="G100" s="304"/>
      <c r="H100" s="304"/>
      <c r="I100" s="304"/>
      <c r="J100" s="305"/>
    </row>
    <row r="101" spans="2:17" ht="17.25" customHeight="1">
      <c r="B101" s="286"/>
      <c r="D101" s="287" t="s">
        <v>404</v>
      </c>
      <c r="E101" s="252"/>
      <c r="F101" s="252"/>
      <c r="G101" s="252"/>
      <c r="H101" s="252"/>
      <c r="I101" s="252"/>
      <c r="J101" s="288"/>
      <c r="L101" s="287" t="s">
        <v>411</v>
      </c>
      <c r="M101" s="252"/>
      <c r="N101" s="252"/>
      <c r="O101" s="252"/>
      <c r="P101" s="252"/>
      <c r="Q101" s="252"/>
    </row>
    <row r="102" spans="2:17" ht="15" customHeight="1">
      <c r="B102" s="286"/>
      <c r="E102" s="217" t="s">
        <v>416</v>
      </c>
      <c r="F102" s="217"/>
      <c r="G102" s="217"/>
      <c r="H102" s="217"/>
      <c r="I102" s="217"/>
      <c r="J102" s="289"/>
      <c r="M102" s="217" t="s">
        <v>416</v>
      </c>
      <c r="N102" s="217"/>
      <c r="O102" s="217"/>
      <c r="P102" s="217"/>
      <c r="Q102" s="217"/>
    </row>
    <row r="103" spans="2:17" ht="15" customHeight="1">
      <c r="B103" s="286"/>
      <c r="D103" s="306" t="e">
        <f>D77</f>
        <v>#DIV/0!</v>
      </c>
      <c r="E103" s="307">
        <f>F103-1</f>
        <v>11</v>
      </c>
      <c r="F103" s="307">
        <f>G103-1</f>
        <v>12</v>
      </c>
      <c r="G103" s="308">
        <v>13</v>
      </c>
      <c r="H103" s="307">
        <f>G103+1</f>
        <v>14</v>
      </c>
      <c r="I103" s="307">
        <f>H103+1</f>
        <v>15</v>
      </c>
      <c r="J103" s="309"/>
      <c r="L103" s="295" t="e">
        <f>D82</f>
        <v>#DIV/0!</v>
      </c>
      <c r="M103" s="307">
        <f>N103-1</f>
        <v>11</v>
      </c>
      <c r="N103" s="307">
        <f>O103-1</f>
        <v>12</v>
      </c>
      <c r="O103" s="308">
        <v>13</v>
      </c>
      <c r="P103" s="307">
        <f>O103+1</f>
        <v>14</v>
      </c>
      <c r="Q103" s="310">
        <f>P103+1</f>
        <v>15</v>
      </c>
    </row>
    <row r="104" spans="2:17" ht="15" customHeight="1">
      <c r="B104" s="286"/>
      <c r="D104" s="297">
        <f>D105+0.01</f>
        <v>0.10999999999999999</v>
      </c>
      <c r="E104" s="298">
        <v>20.680633001583054</v>
      </c>
      <c r="F104" s="298">
        <v>20.680633001583054</v>
      </c>
      <c r="G104" s="298">
        <v>20.680633001583054</v>
      </c>
      <c r="H104" s="298">
        <v>20.680633001583054</v>
      </c>
      <c r="I104" s="298">
        <v>20.680633001583054</v>
      </c>
      <c r="J104" s="299"/>
      <c r="L104" s="297">
        <f>L105+0.01</f>
        <v>0.10999999999999999</v>
      </c>
      <c r="M104" s="300" t="e">
        <v>#DIV/0!</v>
      </c>
      <c r="N104" s="300" t="e">
        <v>#DIV/0!</v>
      </c>
      <c r="O104" s="300" t="e">
        <v>#DIV/0!</v>
      </c>
      <c r="P104" s="300" t="e">
        <v>#DIV/0!</v>
      </c>
      <c r="Q104" s="300" t="e">
        <v>#DIV/0!</v>
      </c>
    </row>
    <row r="105" spans="2:17" ht="15" customHeight="1">
      <c r="B105" s="286"/>
      <c r="D105" s="297">
        <f>D106+0.01</f>
        <v>9.9999999999999992E-2</v>
      </c>
      <c r="E105" s="298">
        <v>20.680633001583054</v>
      </c>
      <c r="F105" s="298">
        <v>20.680633001583054</v>
      </c>
      <c r="G105" s="298">
        <v>20.680633001583054</v>
      </c>
      <c r="H105" s="298">
        <v>20.680633001583054</v>
      </c>
      <c r="I105" s="298">
        <v>20.680633001583054</v>
      </c>
      <c r="J105" s="299"/>
      <c r="L105" s="297">
        <f>L106+0.01</f>
        <v>9.9999999999999992E-2</v>
      </c>
      <c r="M105" s="300" t="e">
        <v>#DIV/0!</v>
      </c>
      <c r="N105" s="300" t="e">
        <v>#DIV/0!</v>
      </c>
      <c r="O105" s="300" t="e">
        <v>#DIV/0!</v>
      </c>
      <c r="P105" s="300" t="e">
        <v>#DIV/0!</v>
      </c>
      <c r="Q105" s="300" t="e">
        <v>#DIV/0!</v>
      </c>
    </row>
    <row r="106" spans="2:17" ht="15" customHeight="1">
      <c r="B106" s="286"/>
      <c r="C106" s="159" t="s">
        <v>413</v>
      </c>
      <c r="D106" s="301">
        <v>0.09</v>
      </c>
      <c r="E106" s="298">
        <v>20.680633001583054</v>
      </c>
      <c r="F106" s="298">
        <v>20.680633001583054</v>
      </c>
      <c r="G106" s="298">
        <v>20.680633001583054</v>
      </c>
      <c r="H106" s="298">
        <v>20.680633001583054</v>
      </c>
      <c r="I106" s="298">
        <v>20.680633001583054</v>
      </c>
      <c r="J106" s="299"/>
      <c r="K106" s="159" t="s">
        <v>413</v>
      </c>
      <c r="L106" s="301">
        <v>0.09</v>
      </c>
      <c r="M106" s="300" t="e">
        <v>#DIV/0!</v>
      </c>
      <c r="N106" s="300" t="e">
        <v>#DIV/0!</v>
      </c>
      <c r="O106" s="300" t="e">
        <v>#DIV/0!</v>
      </c>
      <c r="P106" s="300" t="e">
        <v>#DIV/0!</v>
      </c>
      <c r="Q106" s="300" t="e">
        <v>#DIV/0!</v>
      </c>
    </row>
    <row r="107" spans="2:17" ht="15" customHeight="1">
      <c r="B107" s="286"/>
      <c r="D107" s="297">
        <f>D106-0.01</f>
        <v>0.08</v>
      </c>
      <c r="E107" s="298">
        <v>20.680633001583054</v>
      </c>
      <c r="F107" s="298">
        <v>20.680633001583054</v>
      </c>
      <c r="G107" s="298">
        <v>20.680633001583054</v>
      </c>
      <c r="H107" s="298">
        <v>20.680633001583054</v>
      </c>
      <c r="I107" s="298">
        <v>20.680633001583054</v>
      </c>
      <c r="J107" s="299"/>
      <c r="L107" s="297">
        <f>L106-0.01</f>
        <v>0.08</v>
      </c>
      <c r="M107" s="300" t="e">
        <v>#DIV/0!</v>
      </c>
      <c r="N107" s="300" t="e">
        <v>#DIV/0!</v>
      </c>
      <c r="O107" s="300" t="e">
        <v>#DIV/0!</v>
      </c>
      <c r="P107" s="300" t="e">
        <v>#DIV/0!</v>
      </c>
      <c r="Q107" s="300" t="e">
        <v>#DIV/0!</v>
      </c>
    </row>
    <row r="108" spans="2:17" ht="15" customHeight="1">
      <c r="B108" s="286"/>
      <c r="D108" s="303">
        <f>D107-0.01</f>
        <v>7.0000000000000007E-2</v>
      </c>
      <c r="E108" s="298">
        <v>20.680633001583054</v>
      </c>
      <c r="F108" s="298">
        <v>20.680633001583054</v>
      </c>
      <c r="G108" s="298">
        <v>20.680633001583054</v>
      </c>
      <c r="H108" s="298">
        <v>20.680633001583054</v>
      </c>
      <c r="I108" s="298">
        <v>20.680633001583054</v>
      </c>
      <c r="J108" s="299"/>
      <c r="L108" s="303">
        <f>L107-0.01</f>
        <v>7.0000000000000007E-2</v>
      </c>
      <c r="M108" s="300" t="e">
        <v>#DIV/0!</v>
      </c>
      <c r="N108" s="300" t="e">
        <v>#DIV/0!</v>
      </c>
      <c r="O108" s="300" t="e">
        <v>#DIV/0!</v>
      </c>
      <c r="P108" s="300" t="e">
        <v>#DIV/0!</v>
      </c>
      <c r="Q108" s="300" t="e">
        <v>#DIV/0!</v>
      </c>
    </row>
    <row r="109" spans="2:17">
      <c r="J109" s="311"/>
    </row>
    <row r="110" spans="2:17">
      <c r="B110" s="312" t="s">
        <v>417</v>
      </c>
      <c r="C110" s="312"/>
      <c r="D110" s="312"/>
      <c r="E110" s="312"/>
      <c r="G110" s="312" t="s">
        <v>418</v>
      </c>
      <c r="H110" s="312"/>
      <c r="I110" s="312"/>
      <c r="J110" s="313"/>
      <c r="K110" s="312"/>
      <c r="L110" s="312"/>
      <c r="M110" s="312"/>
      <c r="N110" s="312"/>
      <c r="O110" s="312"/>
      <c r="P110" s="312"/>
    </row>
    <row r="111" spans="2:17">
      <c r="J111" s="311"/>
    </row>
    <row r="112" spans="2:17">
      <c r="J112" s="311"/>
    </row>
    <row r="113" spans="10:13">
      <c r="J113" s="311"/>
    </row>
    <row r="114" spans="10:13">
      <c r="J114" s="311"/>
    </row>
    <row r="115" spans="10:13">
      <c r="J115" s="311"/>
    </row>
    <row r="116" spans="10:13">
      <c r="J116" s="311"/>
    </row>
    <row r="117" spans="10:13">
      <c r="J117" s="311"/>
    </row>
    <row r="118" spans="10:13">
      <c r="J118" s="311"/>
    </row>
    <row r="119" spans="10:13">
      <c r="J119" s="311"/>
    </row>
    <row r="120" spans="10:13">
      <c r="J120" s="311"/>
    </row>
    <row r="121" spans="10:13">
      <c r="J121" s="311"/>
    </row>
    <row r="122" spans="10:13">
      <c r="J122" s="311"/>
    </row>
    <row r="123" spans="10:13">
      <c r="J123" s="311"/>
    </row>
    <row r="124" spans="10:13">
      <c r="J124" s="311"/>
      <c r="M124" s="314"/>
    </row>
    <row r="125" spans="10:13">
      <c r="J125" s="311"/>
    </row>
    <row r="126" spans="10:13">
      <c r="J126" s="311"/>
    </row>
    <row r="127" spans="10:13">
      <c r="J127" s="311"/>
    </row>
    <row r="128" spans="10:13">
      <c r="J128" s="311"/>
    </row>
    <row r="129" spans="2:17">
      <c r="J129" s="311"/>
    </row>
    <row r="130" spans="2:17">
      <c r="J130" s="311"/>
    </row>
    <row r="131" spans="2:17">
      <c r="B131" s="315"/>
      <c r="C131" s="316" t="s">
        <v>419</v>
      </c>
      <c r="D131" s="316" t="s">
        <v>420</v>
      </c>
      <c r="E131" s="317" t="s">
        <v>262</v>
      </c>
      <c r="G131" s="315"/>
      <c r="H131" s="209"/>
      <c r="I131" s="209"/>
      <c r="J131" s="318"/>
      <c r="K131" s="209"/>
      <c r="L131" s="209"/>
      <c r="M131" s="209"/>
      <c r="N131" s="209"/>
      <c r="O131" s="316" t="s">
        <v>419</v>
      </c>
      <c r="P131" s="316" t="s">
        <v>420</v>
      </c>
      <c r="Q131" s="317" t="s">
        <v>262</v>
      </c>
    </row>
    <row r="132" spans="2:17">
      <c r="B132" s="319" t="str">
        <f>"DCF Value at "&amp;TEXT(E103,"0.0x")&amp;"-"&amp;TEXT(I103,"0.0x")&amp;" Exit EBITDA Range at "&amp;TEXT(D106,"0.0%")&amp;" WACC"</f>
        <v>DCF Value at 11.0x-15.0x Exit EBITDA Range at 9.0% WACC</v>
      </c>
      <c r="C132" s="237">
        <f>E106</f>
        <v>20.680633001583054</v>
      </c>
      <c r="D132" s="237">
        <f>E132-C132</f>
        <v>0</v>
      </c>
      <c r="E132" s="320">
        <f>I106</f>
        <v>20.680633001583054</v>
      </c>
      <c r="G132" s="319" t="str">
        <f>"LTM EBITDA Purchase Multiple at "&amp;TEXT(M94,"0.0%")&amp;"-"&amp;TEXT(Q94,"0.0%")&amp;" Perpetuity Growth at "&amp;TEXT(L97,"0.0%")&amp;" WACC"</f>
        <v>LTM EBITDA Purchase Multiple at 2.0%-4.0% Perpetuity Growth at 9.0% WACC</v>
      </c>
      <c r="J132" s="311"/>
      <c r="O132" s="244" t="e">
        <f>M97</f>
        <v>#DIV/0!</v>
      </c>
      <c r="P132" s="244" t="e">
        <f>Q132-O132</f>
        <v>#DIV/0!</v>
      </c>
      <c r="Q132" s="321" t="e">
        <f>Q97</f>
        <v>#DIV/0!</v>
      </c>
    </row>
    <row r="133" spans="2:17">
      <c r="B133" s="322" t="str">
        <f>"DCF Value at "&amp;TEXT(E94,"0.0%")&amp;"-"&amp;TEXT(I94,"0.0%")&amp;" Perpetuity Range at "&amp;TEXT(D106,"0.0%")&amp;" WACC"</f>
        <v>DCF Value at 2.0%-4.0% Perpetuity Range at 9.0% WACC</v>
      </c>
      <c r="C133" s="237">
        <f>E97</f>
        <v>20.680633001583054</v>
      </c>
      <c r="D133" s="237">
        <f>E133-C133</f>
        <v>0</v>
      </c>
      <c r="E133" s="320">
        <f>I97</f>
        <v>20.680633001583054</v>
      </c>
      <c r="G133" s="322" t="e">
        <f>"LTM EBITDA Purchase Multiple at "&amp;TEXT(M106,"0.0x")&amp;"-"&amp;TEXT(Q106,"0.0x")&amp;" Exit EBITDA Multiple at "&amp;TEXT(L106,"0.0%")&amp;" WACC"</f>
        <v>#DIV/0!</v>
      </c>
      <c r="J133" s="311"/>
      <c r="O133" s="244" t="e">
        <f>M106</f>
        <v>#DIV/0!</v>
      </c>
      <c r="P133" s="244" t="e">
        <f>Q133-O133</f>
        <v>#DIV/0!</v>
      </c>
      <c r="Q133" s="321" t="e">
        <f>Q106</f>
        <v>#DIV/0!</v>
      </c>
    </row>
    <row r="134" spans="2:17">
      <c r="B134" s="323" t="s">
        <v>421</v>
      </c>
      <c r="C134" s="324">
        <v>169.5</v>
      </c>
      <c r="D134" s="325">
        <f>E134-C134</f>
        <v>158.35000000000002</v>
      </c>
      <c r="E134" s="326">
        <v>327.85</v>
      </c>
      <c r="G134" s="323" t="str">
        <f>"LTM EBITDA Purchase Multiple at "&amp;TEXT(L108,"0.0%")&amp;"-"&amp;TEXT(L104,"0.0%")&amp;" WACC at "&amp;TEXT(O103,"0.0x")&amp;" Exit EBITDA"</f>
        <v>LTM EBITDA Purchase Multiple at 7.0%-11.0% WACC at 13.0x Exit EBITDA</v>
      </c>
      <c r="H134" s="101"/>
      <c r="I134" s="101"/>
      <c r="J134" s="327"/>
      <c r="K134" s="101"/>
      <c r="L134" s="101"/>
      <c r="M134" s="101"/>
      <c r="N134" s="101"/>
      <c r="O134" s="325" t="e">
        <f>O104</f>
        <v>#DIV/0!</v>
      </c>
      <c r="P134" s="325" t="e">
        <f>Q134-O134</f>
        <v>#DIV/0!</v>
      </c>
      <c r="Q134" s="328" t="e">
        <f>O108</f>
        <v>#DIV/0!</v>
      </c>
    </row>
    <row r="135" spans="2:17">
      <c r="J135" s="311"/>
    </row>
    <row r="136" spans="2:17">
      <c r="J136" s="311"/>
    </row>
  </sheetData>
  <conditionalFormatting sqref="E95:J99 E104:J108">
    <cfRule type="cellIs" dxfId="1" priority="4" operator="lessThan">
      <formula>#REF!</formula>
    </cfRule>
  </conditionalFormatting>
  <dataValidations disablePrompts="1" count="1">
    <dataValidation type="list" allowBlank="1" showInputMessage="1" showErrorMessage="1" sqref="H9" xr:uid="{2A47C13B-7E3B-42F4-BD39-D0A796599366}">
      <formula1>"0,1"</formula1>
    </dataValidation>
  </dataValidations>
  <pageMargins left="0.7" right="0.7" top="0.75" bottom="0.75" header="0.3" footer="0.3"/>
  <ignoredErrors>
    <ignoredError sqref="D75" formula="1"/>
  </ignoredErrors>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2:I49"/>
  <sheetViews>
    <sheetView showGridLines="0" zoomScale="115" zoomScaleNormal="115" workbookViewId="0">
      <selection activeCell="C9" sqref="C9"/>
    </sheetView>
  </sheetViews>
  <sheetFormatPr defaultColWidth="8" defaultRowHeight="12"/>
  <cols>
    <col min="1" max="1" width="1.25" style="8" customWidth="1"/>
    <col min="2" max="2" width="44" style="8" customWidth="1"/>
    <col min="3" max="3" width="11.75" style="8" customWidth="1"/>
    <col min="4" max="9" width="11.125" style="8" customWidth="1"/>
    <col min="10" max="10" width="1.5" style="8" customWidth="1"/>
    <col min="11" max="11" width="9.625" style="8" bestFit="1" customWidth="1"/>
    <col min="12" max="16" width="8.25" style="8" customWidth="1"/>
    <col min="17" max="16384" width="8" style="8"/>
  </cols>
  <sheetData>
    <row r="2" spans="2:9">
      <c r="B2" s="1" t="str">
        <f>'3-Statement Model'!C6&amp;"(NASDAQ: AAPL)"</f>
        <v>Beyond Meat, Inc.(NASDAQ: AAPL)</v>
      </c>
      <c r="C2" s="6"/>
      <c r="D2" s="6"/>
      <c r="E2" s="6"/>
      <c r="F2" s="6"/>
      <c r="G2" s="6"/>
      <c r="H2" s="6"/>
      <c r="I2" s="6"/>
    </row>
    <row r="3" spans="2:9">
      <c r="B3" s="6" t="s">
        <v>271</v>
      </c>
      <c r="C3" s="6"/>
      <c r="D3" s="6"/>
      <c r="E3" s="6"/>
      <c r="F3" s="6"/>
      <c r="G3" s="6"/>
      <c r="H3" s="6"/>
      <c r="I3" s="6"/>
    </row>
    <row r="4" spans="2:9">
      <c r="B4" s="6" t="s">
        <v>436</v>
      </c>
      <c r="C4" s="6"/>
      <c r="D4" s="6"/>
      <c r="E4" s="6"/>
      <c r="F4" s="6"/>
      <c r="G4" s="6"/>
      <c r="H4" s="6"/>
      <c r="I4" s="6"/>
    </row>
    <row r="5" spans="2:9" ht="5.0999999999999996" customHeight="1"/>
    <row r="6" spans="2:9">
      <c r="B6" s="202" t="s">
        <v>272</v>
      </c>
      <c r="C6" s="203"/>
      <c r="D6" s="99"/>
      <c r="E6" s="113" t="s">
        <v>273</v>
      </c>
      <c r="F6" s="204"/>
    </row>
    <row r="7" spans="2:9" ht="5.0999999999999996" customHeight="1">
      <c r="E7" s="113"/>
    </row>
    <row r="8" spans="2:9">
      <c r="B8" s="8" t="s">
        <v>274</v>
      </c>
      <c r="C8" s="154"/>
      <c r="E8" s="8" t="s">
        <v>555</v>
      </c>
    </row>
    <row r="9" spans="2:9">
      <c r="B9" s="8" t="s">
        <v>144</v>
      </c>
      <c r="C9" s="211"/>
      <c r="E9" s="8" t="s">
        <v>275</v>
      </c>
    </row>
    <row r="10" spans="2:9">
      <c r="B10" s="8" t="s">
        <v>276</v>
      </c>
      <c r="C10" s="155">
        <f>C8*(1-C9)</f>
        <v>0</v>
      </c>
      <c r="E10" s="8" t="s">
        <v>277</v>
      </c>
    </row>
    <row r="12" spans="2:9">
      <c r="B12" s="8" t="s">
        <v>278</v>
      </c>
      <c r="C12" s="154"/>
      <c r="E12" s="8" t="s">
        <v>279</v>
      </c>
    </row>
    <row r="13" spans="2:9">
      <c r="B13" s="8" t="s">
        <v>28</v>
      </c>
      <c r="C13" s="212">
        <f>IF(C34="Observed",C36,C37)</f>
        <v>0</v>
      </c>
      <c r="E13" s="8" t="s">
        <v>280</v>
      </c>
    </row>
    <row r="14" spans="2:9">
      <c r="B14" s="8" t="s">
        <v>281</v>
      </c>
      <c r="C14" s="154"/>
      <c r="E14" s="8" t="s">
        <v>556</v>
      </c>
    </row>
    <row r="15" spans="2:9">
      <c r="B15" s="8" t="s">
        <v>282</v>
      </c>
      <c r="C15" s="205">
        <f>C12+C13*C14</f>
        <v>0</v>
      </c>
      <c r="E15" s="8" t="s">
        <v>283</v>
      </c>
    </row>
    <row r="17" spans="2:6">
      <c r="B17" s="100" t="s">
        <v>284</v>
      </c>
      <c r="C17" s="101"/>
      <c r="D17" s="101"/>
      <c r="E17" s="101"/>
      <c r="F17" s="38"/>
    </row>
    <row r="18" spans="2:6">
      <c r="B18" s="38"/>
      <c r="C18" s="159"/>
      <c r="D18" s="159" t="s">
        <v>285</v>
      </c>
      <c r="F18" s="38"/>
    </row>
    <row r="19" spans="2:6" ht="14.25">
      <c r="C19" s="206" t="s">
        <v>286</v>
      </c>
      <c r="D19" s="206" t="s">
        <v>287</v>
      </c>
      <c r="E19" s="206" t="s">
        <v>288</v>
      </c>
    </row>
    <row r="20" spans="2:6">
      <c r="B20" s="8" t="s">
        <v>289</v>
      </c>
      <c r="C20" s="213"/>
      <c r="D20" s="214"/>
      <c r="E20" s="127" t="e">
        <f>IF(D20,D20,C20/(C20+C21))</f>
        <v>#DIV/0!</v>
      </c>
    </row>
    <row r="21" spans="2:6">
      <c r="B21" s="8" t="s">
        <v>22</v>
      </c>
      <c r="C21" s="213">
        <f>DCF!C61</f>
        <v>0</v>
      </c>
      <c r="D21" s="158">
        <f>1-D20</f>
        <v>1</v>
      </c>
      <c r="E21" s="127" t="e">
        <f>1-E20</f>
        <v>#DIV/0!</v>
      </c>
    </row>
    <row r="23" spans="2:6">
      <c r="B23" s="207" t="s">
        <v>290</v>
      </c>
      <c r="C23" s="208"/>
      <c r="D23" s="209"/>
      <c r="E23" s="215" t="e">
        <f>C10*E21+C15*E20</f>
        <v>#DIV/0!</v>
      </c>
    </row>
    <row r="24" spans="2:6">
      <c r="B24" s="38"/>
      <c r="C24" s="216"/>
    </row>
    <row r="25" spans="2:6">
      <c r="B25" s="100" t="s">
        <v>291</v>
      </c>
      <c r="C25" s="101"/>
      <c r="D25" s="101"/>
      <c r="E25" s="101"/>
      <c r="F25" s="101"/>
    </row>
    <row r="26" spans="2:6">
      <c r="D26" s="217" t="s">
        <v>34</v>
      </c>
      <c r="E26" s="218"/>
      <c r="F26" s="217"/>
    </row>
    <row r="27" spans="2:6">
      <c r="C27" s="219" t="e">
        <f>E23</f>
        <v>#DIV/0!</v>
      </c>
      <c r="D27" s="220">
        <f>E27-0.1</f>
        <v>-0.1</v>
      </c>
      <c r="E27" s="221"/>
      <c r="F27" s="222">
        <f>E27+0.1</f>
        <v>0.1</v>
      </c>
    </row>
    <row r="28" spans="2:6">
      <c r="C28" s="223">
        <f>C29-0.005</f>
        <v>-0.01</v>
      </c>
      <c r="D28" s="224">
        <v>6.1013495196213796E-2</v>
      </c>
      <c r="E28" s="133">
        <v>6.590882572582199E-2</v>
      </c>
      <c r="F28" s="133">
        <v>7.080415625543017E-2</v>
      </c>
    </row>
    <row r="29" spans="2:6">
      <c r="B29" s="159" t="s">
        <v>292</v>
      </c>
      <c r="C29" s="223">
        <f>C30-0.005</f>
        <v>-5.0000000000000001E-3</v>
      </c>
      <c r="D29" s="133">
        <v>6.6447312084078877E-2</v>
      </c>
      <c r="E29" s="133">
        <v>7.1886568228087977E-2</v>
      </c>
      <c r="F29" s="133">
        <v>7.7325824372097077E-2</v>
      </c>
    </row>
    <row r="30" spans="2:6">
      <c r="B30" s="159" t="s">
        <v>293</v>
      </c>
      <c r="C30" s="225"/>
      <c r="D30" s="133">
        <v>7.1881128971943958E-2</v>
      </c>
      <c r="E30" s="133">
        <v>7.7864310730353978E-2</v>
      </c>
      <c r="F30" s="133">
        <v>8.3847492488763983E-2</v>
      </c>
    </row>
    <row r="31" spans="2:6">
      <c r="B31" s="159" t="s">
        <v>294</v>
      </c>
      <c r="C31" s="223">
        <f>C30+0.005</f>
        <v>5.0000000000000001E-3</v>
      </c>
      <c r="D31" s="133">
        <v>7.7314945859809053E-2</v>
      </c>
      <c r="E31" s="133">
        <v>8.3842053232619965E-2</v>
      </c>
      <c r="F31" s="133">
        <v>9.0369160605430876E-2</v>
      </c>
    </row>
    <row r="32" spans="2:6">
      <c r="C32" s="223">
        <f>C31+0.005</f>
        <v>0.01</v>
      </c>
      <c r="D32" s="133">
        <v>8.2748762747674148E-2</v>
      </c>
      <c r="E32" s="133">
        <v>8.9819795734885952E-2</v>
      </c>
      <c r="F32" s="133">
        <v>9.6890828722097783E-2</v>
      </c>
    </row>
    <row r="33" spans="2:9">
      <c r="C33" s="226"/>
      <c r="D33" s="133"/>
      <c r="E33" s="133"/>
      <c r="F33" s="133"/>
    </row>
    <row r="34" spans="2:9">
      <c r="B34" s="8" t="s">
        <v>295</v>
      </c>
      <c r="C34" s="227" t="s">
        <v>296</v>
      </c>
    </row>
    <row r="36" spans="2:9">
      <c r="B36" s="65" t="s">
        <v>296</v>
      </c>
      <c r="C36" s="210"/>
      <c r="D36" s="8" t="s">
        <v>280</v>
      </c>
    </row>
    <row r="37" spans="2:9">
      <c r="B37" s="65" t="s">
        <v>297</v>
      </c>
      <c r="C37" s="228" t="e">
        <f>C48</f>
        <v>#DIV/0!</v>
      </c>
      <c r="D37" s="8" t="s">
        <v>298</v>
      </c>
    </row>
    <row r="39" spans="2:9">
      <c r="B39" s="100" t="s">
        <v>297</v>
      </c>
      <c r="C39" s="100"/>
      <c r="D39" s="101"/>
      <c r="E39" s="101"/>
      <c r="F39" s="101"/>
      <c r="G39" s="101"/>
      <c r="H39" s="101"/>
      <c r="I39" s="101"/>
    </row>
    <row r="40" spans="2:9">
      <c r="H40" s="5"/>
    </row>
    <row r="41" spans="2:9" ht="12.75" thickBot="1">
      <c r="C41" s="229" t="s">
        <v>303</v>
      </c>
      <c r="D41" s="229" t="s">
        <v>299</v>
      </c>
      <c r="E41" s="229" t="s">
        <v>300</v>
      </c>
      <c r="F41" s="229" t="s">
        <v>301</v>
      </c>
      <c r="G41" s="230" t="s">
        <v>37</v>
      </c>
      <c r="H41" s="229" t="s">
        <v>144</v>
      </c>
      <c r="I41" s="229" t="s">
        <v>304</v>
      </c>
    </row>
    <row r="42" spans="2:9">
      <c r="B42" s="231"/>
      <c r="C42" s="210"/>
      <c r="D42" s="232"/>
      <c r="E42" s="107"/>
      <c r="F42" s="70">
        <f>D42*E42</f>
        <v>0</v>
      </c>
      <c r="G42" s="107"/>
      <c r="H42" s="115"/>
      <c r="I42" s="228" t="e">
        <f>C42/(1+(1-H42)*(G42)/F42)</f>
        <v>#DIV/0!</v>
      </c>
    </row>
    <row r="43" spans="2:9">
      <c r="B43" s="231"/>
      <c r="C43" s="210"/>
      <c r="D43" s="232"/>
      <c r="E43" s="107"/>
      <c r="F43" s="70">
        <f>D43*E43</f>
        <v>0</v>
      </c>
      <c r="G43" s="107"/>
      <c r="H43" s="115"/>
      <c r="I43" s="228" t="e">
        <f>C43/(1+(1-H43)*(G43)/F43)</f>
        <v>#DIV/0!</v>
      </c>
    </row>
    <row r="44" spans="2:9">
      <c r="B44" s="231"/>
      <c r="C44" s="210"/>
      <c r="D44" s="232"/>
      <c r="E44" s="107"/>
      <c r="F44" s="70">
        <f>D44*E44</f>
        <v>0</v>
      </c>
      <c r="G44" s="107"/>
      <c r="H44" s="115"/>
      <c r="I44" s="228" t="e">
        <f>C44/(1+(1-H44)*(G44)/F44)</f>
        <v>#DIV/0!</v>
      </c>
    </row>
    <row r="45" spans="2:9">
      <c r="B45" s="231"/>
      <c r="C45" s="212">
        <f>C36</f>
        <v>0</v>
      </c>
      <c r="D45" s="233"/>
      <c r="E45" s="234"/>
      <c r="F45" s="108">
        <f>C20</f>
        <v>0</v>
      </c>
      <c r="G45" s="108">
        <f>C21</f>
        <v>0</v>
      </c>
      <c r="H45" s="235">
        <f>C9</f>
        <v>0</v>
      </c>
      <c r="I45" s="228" t="e">
        <f>C45/(1+(1-H45)*(G45)/F45)</f>
        <v>#DIV/0!</v>
      </c>
    </row>
    <row r="46" spans="2:9">
      <c r="C46" s="228"/>
      <c r="F46" s="70"/>
      <c r="G46" s="70"/>
      <c r="H46" s="70"/>
      <c r="I46" s="127"/>
    </row>
    <row r="47" spans="2:9">
      <c r="B47" s="8" t="s">
        <v>302</v>
      </c>
      <c r="C47" s="228" t="e">
        <f>AVERAGE(I42:I45)</f>
        <v>#DIV/0!</v>
      </c>
    </row>
    <row r="48" spans="2:9">
      <c r="B48" s="38" t="str">
        <f>B45&amp;" beta"</f>
        <v xml:space="preserve"> beta</v>
      </c>
      <c r="C48" s="236" t="e">
        <f>C47*(1+(1-H45)*(G45)/F45)</f>
        <v>#DIV/0!</v>
      </c>
    </row>
    <row r="49" spans="3:3">
      <c r="C49" s="237"/>
    </row>
  </sheetData>
  <conditionalFormatting sqref="B24:C26">
    <cfRule type="expression" dxfId="0" priority="1">
      <formula>#REF!="Industry"</formula>
    </cfRule>
  </conditionalFormatting>
  <dataValidations count="1">
    <dataValidation type="list" allowBlank="1" showInputMessage="1" showErrorMessage="1" sqref="C34" xr:uid="{5969403F-F59B-4DD9-94A4-15D44B9BB601}">
      <formula1>"Industry, Observed"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A2:G44"/>
  <sheetViews>
    <sheetView showGridLines="0" zoomScale="130" zoomScaleNormal="130" workbookViewId="0">
      <selection activeCell="C31" sqref="C31"/>
    </sheetView>
  </sheetViews>
  <sheetFormatPr defaultColWidth="7.625" defaultRowHeight="12"/>
  <cols>
    <col min="1" max="1" width="1.25" style="8" customWidth="1"/>
    <col min="2" max="2" width="52.875" style="8" bestFit="1" customWidth="1"/>
    <col min="3" max="3" width="10" style="8" bestFit="1" customWidth="1"/>
    <col min="4" max="4" width="9.125" style="8" bestFit="1" customWidth="1"/>
    <col min="5" max="5" width="9.75" style="8" customWidth="1"/>
    <col min="6" max="6" width="8.75" style="8" bestFit="1" customWidth="1"/>
    <col min="7" max="7" width="9.75" style="8" bestFit="1" customWidth="1"/>
    <col min="8" max="16384" width="7.625" style="8"/>
  </cols>
  <sheetData>
    <row r="2" spans="1:5">
      <c r="B2" s="1" t="str">
        <f>'3-Statement Model'!C6&amp;"(NASDAQ: AAPL)"</f>
        <v>Beyond Meat, Inc.(NASDAQ: AAPL)</v>
      </c>
      <c r="C2" s="6"/>
      <c r="D2" s="6"/>
      <c r="E2" s="6"/>
    </row>
    <row r="3" spans="1:5">
      <c r="B3" s="6" t="s">
        <v>305</v>
      </c>
      <c r="C3" s="6"/>
      <c r="D3" s="6"/>
      <c r="E3" s="6"/>
    </row>
    <row r="4" spans="1:5">
      <c r="B4" s="6" t="s">
        <v>436</v>
      </c>
      <c r="C4" s="6"/>
      <c r="D4" s="6"/>
      <c r="E4" s="6"/>
    </row>
    <row r="5" spans="1:5" ht="5.0999999999999996" customHeight="1"/>
    <row r="6" spans="1:5">
      <c r="B6" s="427" t="s">
        <v>306</v>
      </c>
      <c r="C6" s="428"/>
      <c r="D6" s="428"/>
      <c r="E6" s="429">
        <f>DCF!H7</f>
        <v>0</v>
      </c>
    </row>
    <row r="7" spans="1:5" ht="5.0999999999999996" customHeight="1"/>
    <row r="8" spans="1:5">
      <c r="B8" s="38"/>
    </row>
    <row r="9" spans="1:5">
      <c r="A9" s="8" t="s">
        <v>25</v>
      </c>
      <c r="B9" s="431" t="s">
        <v>307</v>
      </c>
      <c r="C9" s="430" t="s">
        <v>308</v>
      </c>
      <c r="D9" s="430" t="s">
        <v>309</v>
      </c>
      <c r="E9" s="430" t="s">
        <v>310</v>
      </c>
    </row>
    <row r="10" spans="1:5">
      <c r="B10" s="432" t="s">
        <v>445</v>
      </c>
      <c r="C10" s="421" t="s">
        <v>311</v>
      </c>
      <c r="D10" s="421" t="s">
        <v>312</v>
      </c>
      <c r="E10" s="421" t="s">
        <v>311</v>
      </c>
    </row>
    <row r="11" spans="1:5" ht="5.0999999999999996" customHeight="1">
      <c r="B11" s="51"/>
      <c r="C11" s="433"/>
      <c r="D11" s="434"/>
      <c r="E11" s="434"/>
    </row>
    <row r="12" spans="1:5">
      <c r="B12" s="8" t="s">
        <v>313</v>
      </c>
      <c r="C12" s="210"/>
      <c r="D12" s="238"/>
      <c r="E12" s="212">
        <f>IF(D12&lt;=$E$6,C12,0)</f>
        <v>0</v>
      </c>
    </row>
    <row r="13" spans="1:5">
      <c r="B13" s="8" t="s">
        <v>314</v>
      </c>
      <c r="C13" s="210"/>
      <c r="D13" s="238"/>
      <c r="E13" s="212">
        <f t="shared" ref="E13:E18" si="0">IF(D13&lt;=$E$6,C13,0)</f>
        <v>0</v>
      </c>
    </row>
    <row r="14" spans="1:5">
      <c r="B14" s="8" t="s">
        <v>315</v>
      </c>
      <c r="C14" s="210"/>
      <c r="D14" s="238"/>
      <c r="E14" s="212">
        <f t="shared" si="0"/>
        <v>0</v>
      </c>
    </row>
    <row r="15" spans="1:5">
      <c r="B15" s="8" t="s">
        <v>316</v>
      </c>
      <c r="C15" s="210"/>
      <c r="D15" s="238"/>
      <c r="E15" s="212">
        <f t="shared" si="0"/>
        <v>0</v>
      </c>
    </row>
    <row r="16" spans="1:5">
      <c r="B16" s="8" t="s">
        <v>317</v>
      </c>
      <c r="C16" s="210"/>
      <c r="D16" s="238"/>
      <c r="E16" s="212">
        <f t="shared" si="0"/>
        <v>0</v>
      </c>
    </row>
    <row r="17" spans="1:7">
      <c r="B17" s="8" t="s">
        <v>318</v>
      </c>
      <c r="C17" s="210"/>
      <c r="D17" s="238"/>
      <c r="E17" s="212">
        <f t="shared" si="0"/>
        <v>0</v>
      </c>
    </row>
    <row r="18" spans="1:7" ht="14.25">
      <c r="B18" s="8" t="s">
        <v>319</v>
      </c>
      <c r="C18" s="239"/>
      <c r="D18" s="238"/>
      <c r="E18" s="212">
        <f t="shared" si="0"/>
        <v>0</v>
      </c>
    </row>
    <row r="19" spans="1:7">
      <c r="B19" s="424" t="s">
        <v>320</v>
      </c>
      <c r="C19" s="435">
        <f>SUM(C12:C18)</f>
        <v>0</v>
      </c>
      <c r="D19" s="435"/>
      <c r="E19" s="435">
        <f>SUM(E12:E18)</f>
        <v>0</v>
      </c>
    </row>
    <row r="20" spans="1:7" ht="5.0999999999999996" customHeight="1">
      <c r="C20" s="210"/>
      <c r="D20" s="240"/>
      <c r="E20" s="228"/>
    </row>
    <row r="21" spans="1:7">
      <c r="B21" s="110" t="s">
        <v>321</v>
      </c>
      <c r="C21" s="70"/>
      <c r="E21" s="212">
        <f>SUMPRODUCT(D12:D18,E12:E18)</f>
        <v>0</v>
      </c>
    </row>
    <row r="22" spans="1:7" ht="14.25">
      <c r="B22" s="110" t="s">
        <v>322</v>
      </c>
      <c r="E22" s="241" t="e">
        <f>-(E21/E6)</f>
        <v>#DIV/0!</v>
      </c>
    </row>
    <row r="23" spans="1:7">
      <c r="B23" s="424" t="s">
        <v>323</v>
      </c>
      <c r="C23" s="435"/>
      <c r="D23" s="435"/>
      <c r="E23" s="435" t="e">
        <f>E19+E22</f>
        <v>#DIV/0!</v>
      </c>
    </row>
    <row r="24" spans="1:7">
      <c r="B24" s="38"/>
      <c r="C24" s="38"/>
      <c r="D24" s="38"/>
      <c r="E24" s="236"/>
    </row>
    <row r="25" spans="1:7">
      <c r="A25" s="8" t="s">
        <v>25</v>
      </c>
      <c r="B25" s="431" t="s">
        <v>324</v>
      </c>
      <c r="C25" s="431"/>
      <c r="D25" s="431"/>
      <c r="E25" s="431"/>
    </row>
    <row r="26" spans="1:7" ht="5.0999999999999996" customHeight="1">
      <c r="E26" s="38"/>
    </row>
    <row r="27" spans="1:7">
      <c r="B27" s="111" t="s">
        <v>325</v>
      </c>
    </row>
    <row r="28" spans="1:7">
      <c r="B28" s="8" t="s">
        <v>326</v>
      </c>
      <c r="E28" s="107"/>
    </row>
    <row r="29" spans="1:7">
      <c r="B29" s="8" t="s">
        <v>327</v>
      </c>
      <c r="E29" s="232"/>
    </row>
    <row r="30" spans="1:7">
      <c r="B30" s="8" t="s">
        <v>328</v>
      </c>
      <c r="E30" s="243" t="e">
        <f>E28/E31</f>
        <v>#DIV/0!</v>
      </c>
    </row>
    <row r="31" spans="1:7">
      <c r="B31" s="8" t="s">
        <v>329</v>
      </c>
      <c r="E31" s="244">
        <f>E29*E28/1000</f>
        <v>0</v>
      </c>
      <c r="G31" s="245"/>
    </row>
    <row r="32" spans="1:7" ht="5.0999999999999996" customHeight="1"/>
    <row r="33" spans="2:7">
      <c r="B33" s="424" t="s">
        <v>330</v>
      </c>
      <c r="C33" s="424"/>
      <c r="D33" s="436"/>
      <c r="E33" s="435" t="e">
        <f>IF(E30&lt;E6,E31,0)</f>
        <v>#DIV/0!</v>
      </c>
    </row>
    <row r="34" spans="2:7">
      <c r="B34" s="102" t="s">
        <v>331</v>
      </c>
      <c r="C34" s="102"/>
      <c r="E34" s="246" t="e">
        <f>IF(E33&gt;0,-E28,0)</f>
        <v>#DIV/0!</v>
      </c>
    </row>
    <row r="35" spans="2:7" ht="5.0999999999999996" customHeight="1"/>
    <row r="36" spans="2:7">
      <c r="B36" s="111" t="s">
        <v>332</v>
      </c>
    </row>
    <row r="37" spans="2:7">
      <c r="B37" s="8" t="s">
        <v>333</v>
      </c>
      <c r="E37" s="107"/>
    </row>
    <row r="38" spans="2:7">
      <c r="B38" s="8" t="s">
        <v>334</v>
      </c>
      <c r="E38" s="210"/>
    </row>
    <row r="39" spans="2:7">
      <c r="B39" s="8" t="s">
        <v>335</v>
      </c>
      <c r="E39" s="232"/>
    </row>
    <row r="40" spans="2:7">
      <c r="B40" s="8" t="s">
        <v>329</v>
      </c>
      <c r="E40" s="212">
        <f>E38*E39</f>
        <v>0</v>
      </c>
      <c r="G40" s="245"/>
    </row>
    <row r="41" spans="2:7">
      <c r="B41" s="8" t="s">
        <v>328</v>
      </c>
      <c r="E41" s="247" t="e">
        <f>E37/E40</f>
        <v>#DIV/0!</v>
      </c>
    </row>
    <row r="42" spans="2:7" ht="5.0999999999999996" customHeight="1">
      <c r="E42" s="247"/>
    </row>
    <row r="43" spans="2:7">
      <c r="B43" s="424" t="s">
        <v>330</v>
      </c>
      <c r="C43" s="424"/>
      <c r="D43" s="436"/>
      <c r="E43" s="435" t="e">
        <f>IF(E41&lt;E6,E40,0)</f>
        <v>#DIV/0!</v>
      </c>
    </row>
    <row r="44" spans="2:7">
      <c r="B44" s="102" t="s">
        <v>331</v>
      </c>
      <c r="E44" s="108" t="e">
        <f>IF(E43&gt;0,-E37,0)</f>
        <v>#DIV/0!</v>
      </c>
    </row>
  </sheetData>
  <pageMargins left="0.7" right="0.7" top="0.75" bottom="0.75" header="0.3" footer="0.3"/>
  <ignoredErrors>
    <ignoredError sqref="E22:E44"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Historical Financials</vt:lpstr>
      <vt:lpstr>Revenue Drivers</vt:lpstr>
      <vt:lpstr>FCF</vt:lpstr>
      <vt:lpstr>3-Statement Model</vt:lpstr>
      <vt:lpstr>DCF</vt:lpstr>
      <vt:lpstr>WACC</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2025-11-13T04:17:27Z</dcterms:modified>
</cp:coreProperties>
</file>