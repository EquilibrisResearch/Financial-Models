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A772F1CC-60EF-4784-979B-F31FF51F2A70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1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25" i="8" l="1"/>
  <c r="AM124" i="8"/>
  <c r="AM123" i="8"/>
  <c r="AM122" i="8"/>
  <c r="AM121" i="8"/>
  <c r="AM116" i="8"/>
  <c r="AM107" i="8"/>
  <c r="AM106" i="8"/>
  <c r="AM105" i="8"/>
  <c r="AM104" i="8"/>
  <c r="AM46" i="8"/>
  <c r="AH21" i="10"/>
  <c r="AG21" i="10"/>
  <c r="AF21" i="10"/>
  <c r="AE21" i="10"/>
  <c r="AD21" i="10"/>
  <c r="AC21" i="10"/>
  <c r="AB21" i="10"/>
  <c r="AA21" i="10"/>
  <c r="Z21" i="10"/>
  <c r="AH20" i="10"/>
  <c r="AG20" i="10"/>
  <c r="AF20" i="10"/>
  <c r="AE20" i="10"/>
  <c r="AD20" i="10"/>
  <c r="AC20" i="10"/>
  <c r="AB20" i="10"/>
  <c r="AA20" i="10"/>
  <c r="Z20" i="10"/>
  <c r="AH19" i="10"/>
  <c r="AG19" i="10"/>
  <c r="AF19" i="10"/>
  <c r="AE19" i="10"/>
  <c r="AD19" i="10"/>
  <c r="AC19" i="10"/>
  <c r="AB19" i="10"/>
  <c r="AA19" i="10"/>
  <c r="Z19" i="10"/>
  <c r="AH18" i="10"/>
  <c r="AG18" i="10"/>
  <c r="AF18" i="10"/>
  <c r="AE18" i="10"/>
  <c r="AD18" i="10"/>
  <c r="AC18" i="10"/>
  <c r="AB18" i="10"/>
  <c r="AA18" i="10"/>
  <c r="Z18" i="10"/>
  <c r="AH17" i="10"/>
  <c r="AG17" i="10"/>
  <c r="AF17" i="10"/>
  <c r="AE17" i="10"/>
  <c r="AD17" i="10"/>
  <c r="AC17" i="10"/>
  <c r="AB17" i="10"/>
  <c r="AA17" i="10"/>
  <c r="Z17" i="10"/>
  <c r="AH16" i="10"/>
  <c r="AG16" i="10"/>
  <c r="AF16" i="10"/>
  <c r="AE16" i="10"/>
  <c r="AD16" i="10"/>
  <c r="AC16" i="10"/>
  <c r="AB16" i="10"/>
  <c r="AA16" i="10"/>
  <c r="Z16" i="10"/>
  <c r="AB14" i="10"/>
  <c r="AC13" i="10"/>
  <c r="AC14" i="10" s="1"/>
  <c r="AB13" i="10"/>
  <c r="AH12" i="10"/>
  <c r="AG12" i="10"/>
  <c r="AF12" i="10"/>
  <c r="AE12" i="10"/>
  <c r="AD12" i="10"/>
  <c r="AC12" i="10"/>
  <c r="AB12" i="10"/>
  <c r="AA12" i="10"/>
  <c r="Z12" i="10"/>
  <c r="AH11" i="10"/>
  <c r="AG11" i="10"/>
  <c r="AF11" i="10"/>
  <c r="AE11" i="10"/>
  <c r="AD11" i="10"/>
  <c r="AC11" i="10"/>
  <c r="AB11" i="10"/>
  <c r="AA11" i="10"/>
  <c r="Z11" i="10"/>
  <c r="AH10" i="10"/>
  <c r="AG10" i="10"/>
  <c r="AF10" i="10"/>
  <c r="AE10" i="10"/>
  <c r="AD10" i="10"/>
  <c r="AC10" i="10"/>
  <c r="AB10" i="10"/>
  <c r="AA10" i="10"/>
  <c r="Z10" i="10"/>
  <c r="AH9" i="10"/>
  <c r="AG9" i="10"/>
  <c r="AF9" i="10"/>
  <c r="AE9" i="10"/>
  <c r="AD9" i="10"/>
  <c r="AC9" i="10"/>
  <c r="AB9" i="10"/>
  <c r="AA9" i="10"/>
  <c r="Z9" i="10"/>
  <c r="AH8" i="10"/>
  <c r="AG8" i="10"/>
  <c r="AF8" i="10"/>
  <c r="AE8" i="10"/>
  <c r="AD8" i="10"/>
  <c r="AC8" i="10"/>
  <c r="AB8" i="10"/>
  <c r="AA8" i="10"/>
  <c r="Z8" i="10"/>
  <c r="AH7" i="10"/>
  <c r="AH13" i="10" s="1"/>
  <c r="AH14" i="10" s="1"/>
  <c r="AG7" i="10"/>
  <c r="AG13" i="10" s="1"/>
  <c r="AG14" i="10" s="1"/>
  <c r="AF7" i="10"/>
  <c r="AF13" i="10" s="1"/>
  <c r="AF14" i="10" s="1"/>
  <c r="AE7" i="10"/>
  <c r="AE13" i="10" s="1"/>
  <c r="AE14" i="10" s="1"/>
  <c r="AD7" i="10"/>
  <c r="AD13" i="10" s="1"/>
  <c r="AD14" i="10" s="1"/>
  <c r="AC7" i="10"/>
  <c r="AB7" i="10"/>
  <c r="AA7" i="10"/>
  <c r="AA13" i="10" s="1"/>
  <c r="AA14" i="10" s="1"/>
  <c r="Z7" i="10"/>
  <c r="Z13" i="10" s="1"/>
  <c r="Z14" i="10" s="1"/>
  <c r="AH4" i="10"/>
  <c r="AG4" i="10"/>
  <c r="AF4" i="10"/>
  <c r="AE4" i="10"/>
  <c r="AD4" i="10"/>
  <c r="AC4" i="10"/>
  <c r="AB4" i="10"/>
  <c r="AA4" i="10"/>
  <c r="Z4" i="10"/>
  <c r="AH3" i="10"/>
  <c r="AG3" i="10"/>
  <c r="AF3" i="10"/>
  <c r="AE3" i="10"/>
  <c r="AD3" i="10"/>
  <c r="AC3" i="10"/>
  <c r="AB3" i="10"/>
  <c r="AA3" i="10"/>
  <c r="Z3" i="10"/>
  <c r="AM31" i="11"/>
  <c r="AM16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X52" i="11"/>
  <c r="X53" i="11"/>
  <c r="AK72" i="11"/>
  <c r="AJ72" i="11"/>
  <c r="AI72" i="11"/>
  <c r="AH72" i="11"/>
  <c r="AF72" i="11"/>
  <c r="AE72" i="11"/>
  <c r="AD72" i="11"/>
  <c r="AC72" i="11"/>
  <c r="AB72" i="11"/>
  <c r="AA72" i="11"/>
  <c r="Z72" i="11"/>
  <c r="AG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H72" i="11"/>
  <c r="G72" i="11"/>
  <c r="F72" i="11"/>
  <c r="E72" i="11"/>
  <c r="D72" i="11"/>
  <c r="C72" i="11"/>
  <c r="W53" i="11"/>
  <c r="AJ53" i="11"/>
  <c r="W52" i="11"/>
  <c r="W54" i="11" s="1"/>
  <c r="V52" i="11"/>
  <c r="AI52" i="11" s="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AK53" i="11"/>
  <c r="AI53" i="11"/>
  <c r="AH53" i="11"/>
  <c r="AG53" i="11"/>
  <c r="AG54" i="11" s="1"/>
  <c r="AF53" i="11"/>
  <c r="AE53" i="11"/>
  <c r="AD53" i="11"/>
  <c r="AD54" i="11" s="1"/>
  <c r="AC53" i="11"/>
  <c r="AB53" i="11"/>
  <c r="AB54" i="11" s="1"/>
  <c r="AA53" i="11"/>
  <c r="AA54" i="11" s="1"/>
  <c r="Z53" i="11"/>
  <c r="AK54" i="11"/>
  <c r="AH54" i="11"/>
  <c r="AF54" i="11"/>
  <c r="AE54" i="11"/>
  <c r="AC54" i="11"/>
  <c r="Z54" i="11"/>
  <c r="X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H54" i="11"/>
  <c r="G54" i="11"/>
  <c r="F54" i="11"/>
  <c r="E54" i="11"/>
  <c r="D54" i="11"/>
  <c r="C54" i="11"/>
  <c r="U53" i="11"/>
  <c r="Q53" i="11"/>
  <c r="M53" i="11"/>
  <c r="U71" i="11"/>
  <c r="Q71" i="11"/>
  <c r="M71" i="11"/>
  <c r="T52" i="11"/>
  <c r="AG52" i="11" s="1"/>
  <c r="S52" i="11"/>
  <c r="R52" i="11"/>
  <c r="AE52" i="11" s="1"/>
  <c r="P52" i="11"/>
  <c r="O52" i="11"/>
  <c r="N52" i="11"/>
  <c r="AA52" i="11" s="1"/>
  <c r="L52" i="11"/>
  <c r="K52" i="11"/>
  <c r="J52" i="11"/>
  <c r="H52" i="11"/>
  <c r="G52" i="11"/>
  <c r="Q52" i="11" s="1"/>
  <c r="AD52" i="11" s="1"/>
  <c r="F52" i="11"/>
  <c r="M52" i="11" s="1"/>
  <c r="E52" i="11"/>
  <c r="D52" i="11"/>
  <c r="C52" i="11"/>
  <c r="X67" i="11"/>
  <c r="W67" i="11"/>
  <c r="AJ67" i="11" s="1"/>
  <c r="V67" i="11"/>
  <c r="U67" i="11"/>
  <c r="T67" i="11"/>
  <c r="S67" i="11"/>
  <c r="R67" i="11"/>
  <c r="Q67" i="11"/>
  <c r="AD67" i="11" s="1"/>
  <c r="P67" i="11"/>
  <c r="AC67" i="11" s="1"/>
  <c r="O67" i="11"/>
  <c r="AB67" i="11" s="1"/>
  <c r="N67" i="11"/>
  <c r="M67" i="11"/>
  <c r="L67" i="11"/>
  <c r="K67" i="11"/>
  <c r="J67" i="11"/>
  <c r="H67" i="11"/>
  <c r="G67" i="11"/>
  <c r="F67" i="11"/>
  <c r="E67" i="11"/>
  <c r="D67" i="11"/>
  <c r="C67" i="11"/>
  <c r="X64" i="11"/>
  <c r="W64" i="11"/>
  <c r="AJ64" i="11" s="1"/>
  <c r="V64" i="11"/>
  <c r="AI64" i="11" s="1"/>
  <c r="U64" i="11"/>
  <c r="T64" i="11"/>
  <c r="AG64" i="11" s="1"/>
  <c r="S64" i="11"/>
  <c r="R64" i="11"/>
  <c r="Q64" i="11"/>
  <c r="AD64" i="11" s="1"/>
  <c r="P64" i="11"/>
  <c r="O64" i="11"/>
  <c r="AB64" i="11" s="1"/>
  <c r="N64" i="11"/>
  <c r="AA64" i="11" s="1"/>
  <c r="M64" i="11"/>
  <c r="Z64" i="11" s="1"/>
  <c r="L64" i="11"/>
  <c r="K64" i="11"/>
  <c r="X63" i="11"/>
  <c r="AK63" i="11" s="1"/>
  <c r="W63" i="11"/>
  <c r="V63" i="11"/>
  <c r="U63" i="11"/>
  <c r="AH63" i="11" s="1"/>
  <c r="T63" i="11"/>
  <c r="AG63" i="11" s="1"/>
  <c r="S63" i="11"/>
  <c r="R63" i="11"/>
  <c r="AE63" i="11" s="1"/>
  <c r="Q63" i="11"/>
  <c r="AD63" i="11" s="1"/>
  <c r="P63" i="11"/>
  <c r="AC63" i="11" s="1"/>
  <c r="O63" i="11"/>
  <c r="N63" i="11"/>
  <c r="M63" i="11"/>
  <c r="Z63" i="11" s="1"/>
  <c r="L63" i="11"/>
  <c r="K63" i="11"/>
  <c r="X62" i="11"/>
  <c r="AK62" i="11" s="1"/>
  <c r="W62" i="11"/>
  <c r="AJ62" i="11" s="1"/>
  <c r="V62" i="11"/>
  <c r="AI62" i="11" s="1"/>
  <c r="U62" i="11"/>
  <c r="AH62" i="11" s="1"/>
  <c r="T62" i="11"/>
  <c r="S62" i="11"/>
  <c r="AF62" i="11" s="1"/>
  <c r="R62" i="11"/>
  <c r="AE62" i="11" s="1"/>
  <c r="Q62" i="11"/>
  <c r="AD62" i="11" s="1"/>
  <c r="P62" i="11"/>
  <c r="AC62" i="11" s="1"/>
  <c r="O62" i="11"/>
  <c r="AB62" i="11" s="1"/>
  <c r="N62" i="11"/>
  <c r="AA62" i="11" s="1"/>
  <c r="M62" i="11"/>
  <c r="Z62" i="11" s="1"/>
  <c r="L62" i="11"/>
  <c r="K62" i="11"/>
  <c r="X61" i="11"/>
  <c r="AK61" i="11" s="1"/>
  <c r="W61" i="11"/>
  <c r="V61" i="11"/>
  <c r="AI61" i="11" s="1"/>
  <c r="U61" i="11"/>
  <c r="AH61" i="11" s="1"/>
  <c r="T61" i="11"/>
  <c r="AG61" i="11" s="1"/>
  <c r="S61" i="11"/>
  <c r="AF61" i="11" s="1"/>
  <c r="R61" i="11"/>
  <c r="Q61" i="11"/>
  <c r="AD61" i="11" s="1"/>
  <c r="P61" i="11"/>
  <c r="AC61" i="11" s="1"/>
  <c r="O61" i="11"/>
  <c r="AB61" i="11" s="1"/>
  <c r="N61" i="11"/>
  <c r="AA61" i="11" s="1"/>
  <c r="M61" i="11"/>
  <c r="Z61" i="11" s="1"/>
  <c r="L61" i="11"/>
  <c r="K61" i="11"/>
  <c r="X60" i="11"/>
  <c r="W60" i="11"/>
  <c r="AJ60" i="11" s="1"/>
  <c r="V60" i="11"/>
  <c r="AI60" i="11" s="1"/>
  <c r="U60" i="11"/>
  <c r="AH60" i="11" s="1"/>
  <c r="T60" i="11"/>
  <c r="AG60" i="11" s="1"/>
  <c r="S60" i="11"/>
  <c r="R60" i="11"/>
  <c r="Q60" i="11"/>
  <c r="AD60" i="11" s="1"/>
  <c r="P60" i="11"/>
  <c r="O60" i="11"/>
  <c r="AB60" i="11" s="1"/>
  <c r="N60" i="11"/>
  <c r="AA60" i="11" s="1"/>
  <c r="M60" i="11"/>
  <c r="L60" i="11"/>
  <c r="K60" i="11"/>
  <c r="X59" i="11"/>
  <c r="AK59" i="11" s="1"/>
  <c r="W59" i="11"/>
  <c r="V59" i="11"/>
  <c r="U59" i="11"/>
  <c r="AH59" i="11" s="1"/>
  <c r="T59" i="11"/>
  <c r="AG59" i="11" s="1"/>
  <c r="S59" i="11"/>
  <c r="AF59" i="11" s="1"/>
  <c r="R59" i="11"/>
  <c r="AE59" i="11" s="1"/>
  <c r="Q59" i="11"/>
  <c r="AD59" i="11" s="1"/>
  <c r="P59" i="11"/>
  <c r="AC59" i="11" s="1"/>
  <c r="O59" i="11"/>
  <c r="N59" i="11"/>
  <c r="M59" i="11"/>
  <c r="Z59" i="11" s="1"/>
  <c r="L59" i="11"/>
  <c r="K59" i="11"/>
  <c r="X58" i="11"/>
  <c r="AK58" i="11" s="1"/>
  <c r="W58" i="11"/>
  <c r="AJ58" i="11" s="1"/>
  <c r="V58" i="11"/>
  <c r="AI58" i="11" s="1"/>
  <c r="U58" i="11"/>
  <c r="T58" i="11"/>
  <c r="S58" i="11"/>
  <c r="AF58" i="11" s="1"/>
  <c r="R58" i="11"/>
  <c r="AE58" i="11" s="1"/>
  <c r="Q58" i="11"/>
  <c r="AD58" i="11" s="1"/>
  <c r="P58" i="11"/>
  <c r="O58" i="11"/>
  <c r="AB58" i="11" s="1"/>
  <c r="N58" i="11"/>
  <c r="M58" i="11"/>
  <c r="L58" i="11"/>
  <c r="K58" i="11"/>
  <c r="J64" i="11"/>
  <c r="J63" i="11"/>
  <c r="J62" i="11"/>
  <c r="J61" i="11"/>
  <c r="J60" i="11"/>
  <c r="J59" i="11"/>
  <c r="J58" i="11"/>
  <c r="H64" i="11"/>
  <c r="G64" i="11"/>
  <c r="F64" i="11"/>
  <c r="E64" i="11"/>
  <c r="D64" i="11"/>
  <c r="H63" i="11"/>
  <c r="G63" i="11"/>
  <c r="F63" i="11"/>
  <c r="E63" i="11"/>
  <c r="D63" i="11"/>
  <c r="H62" i="11"/>
  <c r="G62" i="11"/>
  <c r="F62" i="11"/>
  <c r="E62" i="11"/>
  <c r="D62" i="11"/>
  <c r="H61" i="11"/>
  <c r="G61" i="11"/>
  <c r="F61" i="11"/>
  <c r="E61" i="11"/>
  <c r="D61" i="11"/>
  <c r="H60" i="11"/>
  <c r="G60" i="11"/>
  <c r="F60" i="11"/>
  <c r="E60" i="11"/>
  <c r="D60" i="11"/>
  <c r="H59" i="11"/>
  <c r="G59" i="11"/>
  <c r="F59" i="11"/>
  <c r="E59" i="11"/>
  <c r="D59" i="11"/>
  <c r="H58" i="11"/>
  <c r="G58" i="11"/>
  <c r="F58" i="11"/>
  <c r="E58" i="11"/>
  <c r="D58" i="11"/>
  <c r="C64" i="11"/>
  <c r="C63" i="11"/>
  <c r="C62" i="11"/>
  <c r="C61" i="11"/>
  <c r="C60" i="11"/>
  <c r="C59" i="11"/>
  <c r="C58" i="11"/>
  <c r="AK55" i="11"/>
  <c r="AJ55" i="11"/>
  <c r="AI55" i="11"/>
  <c r="AG55" i="11"/>
  <c r="AF55" i="11"/>
  <c r="AE55" i="11"/>
  <c r="AD55" i="11"/>
  <c r="AC55" i="11"/>
  <c r="AB55" i="11"/>
  <c r="AA55" i="11"/>
  <c r="Z55" i="11"/>
  <c r="U55" i="11"/>
  <c r="AH55" i="11" s="1"/>
  <c r="U52" i="11"/>
  <c r="Q70" i="11"/>
  <c r="AD70" i="11" s="1"/>
  <c r="M70" i="11"/>
  <c r="AK64" i="11"/>
  <c r="AH64" i="11"/>
  <c r="AF64" i="11"/>
  <c r="AE64" i="11"/>
  <c r="AC64" i="11"/>
  <c r="AJ63" i="11"/>
  <c r="AI63" i="11"/>
  <c r="AF63" i="11"/>
  <c r="AB63" i="11"/>
  <c r="AA63" i="11"/>
  <c r="AG62" i="11"/>
  <c r="AJ61" i="11"/>
  <c r="AE61" i="11"/>
  <c r="AK60" i="11"/>
  <c r="AF60" i="11"/>
  <c r="AE60" i="11"/>
  <c r="AC60" i="11"/>
  <c r="Z60" i="11"/>
  <c r="AJ59" i="11"/>
  <c r="AI59" i="11"/>
  <c r="AB59" i="11"/>
  <c r="AA59" i="11"/>
  <c r="Z58" i="11"/>
  <c r="AK74" i="11"/>
  <c r="AI74" i="11"/>
  <c r="AH74" i="11"/>
  <c r="AG74" i="11"/>
  <c r="AF74" i="11"/>
  <c r="AE74" i="11"/>
  <c r="AD74" i="11"/>
  <c r="AC74" i="11"/>
  <c r="AB74" i="11"/>
  <c r="AA74" i="11"/>
  <c r="AK67" i="11"/>
  <c r="AI67" i="11"/>
  <c r="AH67" i="11"/>
  <c r="AF67" i="11"/>
  <c r="AE67" i="11"/>
  <c r="AA67" i="11"/>
  <c r="Z67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5" i="11"/>
  <c r="J44" i="11"/>
  <c r="X51" i="11"/>
  <c r="W51" i="11"/>
  <c r="V51" i="11"/>
  <c r="U51" i="11"/>
  <c r="T51" i="11"/>
  <c r="AG51" i="11" s="1"/>
  <c r="S51" i="11"/>
  <c r="R51" i="11"/>
  <c r="AE51" i="11" s="1"/>
  <c r="Q51" i="11"/>
  <c r="AD51" i="11" s="1"/>
  <c r="P51" i="11"/>
  <c r="AC51" i="11" s="1"/>
  <c r="O51" i="11"/>
  <c r="AB51" i="11" s="1"/>
  <c r="N51" i="11"/>
  <c r="AA51" i="11" s="1"/>
  <c r="M51" i="11"/>
  <c r="L51" i="11"/>
  <c r="K51" i="11"/>
  <c r="J51" i="11"/>
  <c r="H51" i="11"/>
  <c r="G51" i="11"/>
  <c r="F51" i="11"/>
  <c r="E51" i="11"/>
  <c r="D51" i="11"/>
  <c r="C51" i="11"/>
  <c r="H45" i="11"/>
  <c r="G45" i="11"/>
  <c r="F45" i="11"/>
  <c r="E45" i="11"/>
  <c r="D45" i="11"/>
  <c r="C45" i="11"/>
  <c r="H44" i="11"/>
  <c r="G44" i="11"/>
  <c r="F44" i="11"/>
  <c r="E44" i="11"/>
  <c r="D44" i="11"/>
  <c r="C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H43" i="11"/>
  <c r="G43" i="11"/>
  <c r="F43" i="11"/>
  <c r="E43" i="11"/>
  <c r="D43" i="11"/>
  <c r="C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H42" i="11"/>
  <c r="G42" i="11"/>
  <c r="F42" i="11"/>
  <c r="E42" i="11"/>
  <c r="D42" i="11"/>
  <c r="C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H41" i="11"/>
  <c r="G41" i="11"/>
  <c r="F41" i="11"/>
  <c r="E41" i="11"/>
  <c r="D41" i="11"/>
  <c r="C41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H38" i="11"/>
  <c r="G38" i="11"/>
  <c r="F38" i="11"/>
  <c r="E38" i="11"/>
  <c r="D38" i="11"/>
  <c r="C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7" i="11"/>
  <c r="J36" i="11"/>
  <c r="H37" i="11"/>
  <c r="G37" i="11"/>
  <c r="F37" i="11"/>
  <c r="E37" i="11"/>
  <c r="D37" i="11"/>
  <c r="C37" i="11"/>
  <c r="H36" i="11"/>
  <c r="G36" i="11"/>
  <c r="F36" i="11"/>
  <c r="E36" i="11"/>
  <c r="D36" i="11"/>
  <c r="C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H35" i="11"/>
  <c r="G35" i="11"/>
  <c r="F35" i="11"/>
  <c r="E35" i="11"/>
  <c r="D35" i="11"/>
  <c r="C35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H30" i="11"/>
  <c r="G30" i="11"/>
  <c r="F30" i="11"/>
  <c r="E30" i="11"/>
  <c r="D30" i="11"/>
  <c r="C30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H26" i="11"/>
  <c r="G26" i="11"/>
  <c r="F26" i="11"/>
  <c r="E26" i="11"/>
  <c r="D26" i="11"/>
  <c r="C26" i="11"/>
  <c r="AJ70" i="11"/>
  <c r="AI70" i="11"/>
  <c r="AG70" i="11"/>
  <c r="AF70" i="11"/>
  <c r="AE70" i="11"/>
  <c r="AC70" i="11"/>
  <c r="AB70" i="11"/>
  <c r="AA70" i="11"/>
  <c r="Z70" i="11"/>
  <c r="AH52" i="11"/>
  <c r="AF52" i="11"/>
  <c r="AC52" i="11"/>
  <c r="AB52" i="11"/>
  <c r="X22" i="11"/>
  <c r="X31" i="11" s="1"/>
  <c r="W22" i="11"/>
  <c r="W31" i="11" s="1"/>
  <c r="V22" i="11"/>
  <c r="V31" i="11" s="1"/>
  <c r="U22" i="11"/>
  <c r="U31" i="11" s="1"/>
  <c r="T22" i="11"/>
  <c r="T31" i="11" s="1"/>
  <c r="S22" i="11"/>
  <c r="S31" i="11" s="1"/>
  <c r="R22" i="11"/>
  <c r="Q22" i="11"/>
  <c r="Q31" i="11" s="1"/>
  <c r="P22" i="11"/>
  <c r="O22" i="11"/>
  <c r="O31" i="11" s="1"/>
  <c r="N22" i="11"/>
  <c r="M22" i="11"/>
  <c r="L22" i="11"/>
  <c r="L31" i="11" s="1"/>
  <c r="K22" i="11"/>
  <c r="K31" i="11" s="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2" i="11"/>
  <c r="J31" i="11" s="1"/>
  <c r="J21" i="11"/>
  <c r="J20" i="11"/>
  <c r="H22" i="11"/>
  <c r="H31" i="11" s="1"/>
  <c r="G22" i="11"/>
  <c r="G31" i="11" s="1"/>
  <c r="F22" i="11"/>
  <c r="F31" i="11" s="1"/>
  <c r="E22" i="11"/>
  <c r="E31" i="11" s="1"/>
  <c r="D22" i="11"/>
  <c r="D31" i="11" s="1"/>
  <c r="H21" i="11"/>
  <c r="G21" i="11"/>
  <c r="F21" i="11"/>
  <c r="E21" i="11"/>
  <c r="D21" i="11"/>
  <c r="H20" i="11"/>
  <c r="G20" i="11"/>
  <c r="F20" i="11"/>
  <c r="E20" i="11"/>
  <c r="D20" i="11"/>
  <c r="C22" i="11"/>
  <c r="C31" i="11" s="1"/>
  <c r="C21" i="11"/>
  <c r="C20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H16" i="11"/>
  <c r="G16" i="11"/>
  <c r="F16" i="11"/>
  <c r="E16" i="11"/>
  <c r="D16" i="11"/>
  <c r="C16" i="11"/>
  <c r="B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11" i="11"/>
  <c r="J10" i="11"/>
  <c r="J9" i="11"/>
  <c r="J8" i="11"/>
  <c r="J7" i="11"/>
  <c r="J6" i="11"/>
  <c r="Z74" i="11"/>
  <c r="Z68" i="11"/>
  <c r="M4" i="11"/>
  <c r="Z4" i="11" s="1"/>
  <c r="L4" i="11"/>
  <c r="K4" i="11"/>
  <c r="J4" i="11"/>
  <c r="M3" i="11"/>
  <c r="Z3" i="11" s="1"/>
  <c r="L3" i="11"/>
  <c r="K3" i="11"/>
  <c r="J3" i="11"/>
  <c r="W4" i="11"/>
  <c r="AJ4" i="11" s="1"/>
  <c r="V4" i="11"/>
  <c r="AI4" i="11" s="1"/>
  <c r="U4" i="11"/>
  <c r="AH4" i="11" s="1"/>
  <c r="T4" i="11"/>
  <c r="AG4" i="11" s="1"/>
  <c r="S4" i="11"/>
  <c r="AF4" i="11" s="1"/>
  <c r="R4" i="11"/>
  <c r="AE4" i="11" s="1"/>
  <c r="Q4" i="11"/>
  <c r="AD4" i="11" s="1"/>
  <c r="P4" i="11"/>
  <c r="AC4" i="11" s="1"/>
  <c r="O4" i="11"/>
  <c r="AB4" i="11" s="1"/>
  <c r="N4" i="11"/>
  <c r="AA4" i="11" s="1"/>
  <c r="W3" i="11"/>
  <c r="AJ3" i="11" s="1"/>
  <c r="V3" i="11"/>
  <c r="AI3" i="11" s="1"/>
  <c r="U3" i="11"/>
  <c r="AH3" i="11" s="1"/>
  <c r="T3" i="11"/>
  <c r="AG3" i="11" s="1"/>
  <c r="S3" i="11"/>
  <c r="AF3" i="11" s="1"/>
  <c r="R3" i="11"/>
  <c r="AE3" i="11" s="1"/>
  <c r="Q3" i="11"/>
  <c r="AD3" i="11" s="1"/>
  <c r="P3" i="11"/>
  <c r="AC3" i="11" s="1"/>
  <c r="O3" i="11"/>
  <c r="AB3" i="11" s="1"/>
  <c r="N3" i="11"/>
  <c r="AA3" i="11" s="1"/>
  <c r="X4" i="11"/>
  <c r="AK4" i="11" s="1"/>
  <c r="X3" i="11"/>
  <c r="AK3" i="11" s="1"/>
  <c r="C11" i="11"/>
  <c r="C10" i="11"/>
  <c r="C9" i="11"/>
  <c r="C8" i="11"/>
  <c r="C7" i="11"/>
  <c r="C6" i="11"/>
  <c r="C4" i="11"/>
  <c r="C3" i="11"/>
  <c r="G11" i="11"/>
  <c r="F11" i="11"/>
  <c r="E11" i="11"/>
  <c r="D11" i="11"/>
  <c r="G10" i="11"/>
  <c r="F10" i="11"/>
  <c r="E10" i="11"/>
  <c r="D10" i="11"/>
  <c r="G9" i="11"/>
  <c r="F9" i="11"/>
  <c r="E9" i="11"/>
  <c r="D9" i="11"/>
  <c r="G8" i="11"/>
  <c r="F8" i="11"/>
  <c r="E8" i="11"/>
  <c r="D8" i="11"/>
  <c r="G7" i="11"/>
  <c r="F7" i="11"/>
  <c r="E7" i="11"/>
  <c r="D7" i="11"/>
  <c r="G6" i="11"/>
  <c r="F6" i="11"/>
  <c r="E6" i="11"/>
  <c r="D6" i="11"/>
  <c r="G4" i="11"/>
  <c r="F4" i="11"/>
  <c r="E4" i="11"/>
  <c r="D4" i="11"/>
  <c r="G3" i="11"/>
  <c r="F3" i="11"/>
  <c r="E3" i="11"/>
  <c r="D3" i="11"/>
  <c r="H11" i="11"/>
  <c r="H10" i="11"/>
  <c r="H9" i="11"/>
  <c r="H8" i="11"/>
  <c r="H7" i="11"/>
  <c r="H6" i="11"/>
  <c r="B11" i="11"/>
  <c r="B10" i="11"/>
  <c r="B9" i="11"/>
  <c r="B8" i="11"/>
  <c r="B7" i="11"/>
  <c r="B6" i="11"/>
  <c r="H4" i="11"/>
  <c r="H3" i="11"/>
  <c r="AJ74" i="11"/>
  <c r="AK70" i="11"/>
  <c r="U70" i="11"/>
  <c r="AH70" i="11" s="1"/>
  <c r="AK68" i="11"/>
  <c r="AJ68" i="11"/>
  <c r="AI68" i="11"/>
  <c r="AH68" i="11"/>
  <c r="AG68" i="11"/>
  <c r="AF68" i="11"/>
  <c r="AE68" i="11"/>
  <c r="AD68" i="11"/>
  <c r="AC68" i="11"/>
  <c r="AB68" i="11"/>
  <c r="AA68" i="11"/>
  <c r="AG67" i="11"/>
  <c r="AH58" i="11"/>
  <c r="AG58" i="11"/>
  <c r="AC58" i="11"/>
  <c r="AA58" i="11"/>
  <c r="AK52" i="11"/>
  <c r="AI21" i="10"/>
  <c r="AI20" i="10"/>
  <c r="AI19" i="10"/>
  <c r="AI18" i="10"/>
  <c r="AI17" i="10"/>
  <c r="AI16" i="10"/>
  <c r="X12" i="10"/>
  <c r="X11" i="10"/>
  <c r="X10" i="10"/>
  <c r="X9" i="10"/>
  <c r="X8" i="10"/>
  <c r="X7" i="10"/>
  <c r="W12" i="10"/>
  <c r="W11" i="10"/>
  <c r="W10" i="10"/>
  <c r="W9" i="10"/>
  <c r="W8" i="10"/>
  <c r="W7" i="10"/>
  <c r="V12" i="10"/>
  <c r="V11" i="10"/>
  <c r="V10" i="10"/>
  <c r="V9" i="10"/>
  <c r="V8" i="10"/>
  <c r="V7" i="10"/>
  <c r="U10" i="10"/>
  <c r="U9" i="10"/>
  <c r="U7" i="10"/>
  <c r="T12" i="10"/>
  <c r="T11" i="10"/>
  <c r="T10" i="10"/>
  <c r="T9" i="10"/>
  <c r="T8" i="10"/>
  <c r="T7" i="10"/>
  <c r="S12" i="10"/>
  <c r="S11" i="10"/>
  <c r="S10" i="10"/>
  <c r="S9" i="10"/>
  <c r="S8" i="10"/>
  <c r="S7" i="10"/>
  <c r="R12" i="10"/>
  <c r="R11" i="10"/>
  <c r="R10" i="10"/>
  <c r="R9" i="10"/>
  <c r="R8" i="10"/>
  <c r="R7" i="10"/>
  <c r="P12" i="10"/>
  <c r="P11" i="10"/>
  <c r="P10" i="10"/>
  <c r="P9" i="10"/>
  <c r="P8" i="10"/>
  <c r="P7" i="10"/>
  <c r="O12" i="10"/>
  <c r="O11" i="10"/>
  <c r="O10" i="10"/>
  <c r="O9" i="10"/>
  <c r="O8" i="10"/>
  <c r="O7" i="10"/>
  <c r="N12" i="10"/>
  <c r="N11" i="10"/>
  <c r="N10" i="10"/>
  <c r="N9" i="10"/>
  <c r="N8" i="10"/>
  <c r="N7" i="10"/>
  <c r="M10" i="10"/>
  <c r="M9" i="10"/>
  <c r="L12" i="10"/>
  <c r="L11" i="10"/>
  <c r="L10" i="10"/>
  <c r="L9" i="10"/>
  <c r="L8" i="10"/>
  <c r="L7" i="10"/>
  <c r="K12" i="10"/>
  <c r="K11" i="10"/>
  <c r="K10" i="10"/>
  <c r="K13" i="10" s="1"/>
  <c r="K9" i="10"/>
  <c r="K8" i="10"/>
  <c r="K7" i="10"/>
  <c r="J12" i="10"/>
  <c r="J11" i="10"/>
  <c r="J10" i="10"/>
  <c r="J9" i="10"/>
  <c r="J8" i="10"/>
  <c r="J7" i="10"/>
  <c r="H12" i="10"/>
  <c r="H11" i="10"/>
  <c r="H10" i="10"/>
  <c r="H9" i="10"/>
  <c r="H8" i="10"/>
  <c r="H7" i="10"/>
  <c r="G12" i="10"/>
  <c r="G11" i="10"/>
  <c r="G10" i="10"/>
  <c r="G9" i="10"/>
  <c r="G8" i="10"/>
  <c r="G7" i="10"/>
  <c r="F12" i="10"/>
  <c r="F11" i="10"/>
  <c r="F10" i="10"/>
  <c r="F9" i="10"/>
  <c r="F8" i="10"/>
  <c r="F7" i="10"/>
  <c r="E12" i="10"/>
  <c r="E11" i="10"/>
  <c r="E10" i="10"/>
  <c r="E9" i="10"/>
  <c r="E8" i="10"/>
  <c r="E13" i="10" s="1"/>
  <c r="E14" i="10" s="1"/>
  <c r="E7" i="10"/>
  <c r="D12" i="10"/>
  <c r="D11" i="10"/>
  <c r="D10" i="10"/>
  <c r="D9" i="10"/>
  <c r="D8" i="10"/>
  <c r="D7" i="10"/>
  <c r="D13" i="10" s="1"/>
  <c r="C12" i="10"/>
  <c r="C11" i="10"/>
  <c r="C10" i="10"/>
  <c r="C9" i="10"/>
  <c r="C8" i="10"/>
  <c r="C7" i="10"/>
  <c r="U21" i="10"/>
  <c r="U20" i="10"/>
  <c r="U19" i="10"/>
  <c r="U18" i="10"/>
  <c r="U17" i="10"/>
  <c r="U8" i="10" s="1"/>
  <c r="AI8" i="10" s="1"/>
  <c r="U16" i="10"/>
  <c r="Q21" i="10"/>
  <c r="Q20" i="10"/>
  <c r="Q19" i="10"/>
  <c r="Q18" i="10"/>
  <c r="Q17" i="10"/>
  <c r="Q16" i="10"/>
  <c r="M21" i="10"/>
  <c r="M12" i="10" s="1"/>
  <c r="M20" i="10"/>
  <c r="M11" i="10" s="1"/>
  <c r="M19" i="10"/>
  <c r="M18" i="10"/>
  <c r="M17" i="10"/>
  <c r="M8" i="10" s="1"/>
  <c r="M16" i="10"/>
  <c r="M7" i="10" s="1"/>
  <c r="B20" i="10"/>
  <c r="B19" i="10"/>
  <c r="B18" i="10"/>
  <c r="B17" i="10"/>
  <c r="B16" i="10"/>
  <c r="B21" i="10"/>
  <c r="AJ52" i="11" l="1"/>
  <c r="AJ54" i="11" s="1"/>
  <c r="AI54" i="11"/>
  <c r="Z52" i="11"/>
  <c r="AD30" i="11"/>
  <c r="AH38" i="11"/>
  <c r="AA43" i="11"/>
  <c r="Z35" i="11"/>
  <c r="AJ43" i="11"/>
  <c r="AK45" i="11"/>
  <c r="Z45" i="11"/>
  <c r="AF44" i="11"/>
  <c r="Z36" i="11"/>
  <c r="AF26" i="11"/>
  <c r="G75" i="11"/>
  <c r="G84" i="11" s="1"/>
  <c r="AE30" i="11"/>
  <c r="AD36" i="11"/>
  <c r="Z38" i="11"/>
  <c r="AH44" i="11"/>
  <c r="AC45" i="11"/>
  <c r="AJ45" i="11"/>
  <c r="AH30" i="11"/>
  <c r="AH37" i="11"/>
  <c r="AK43" i="11"/>
  <c r="AE44" i="11"/>
  <c r="AF30" i="11"/>
  <c r="AA41" i="11"/>
  <c r="AI41" i="11"/>
  <c r="AI43" i="11"/>
  <c r="AD75" i="11"/>
  <c r="AD84" i="11" s="1"/>
  <c r="E12" i="11"/>
  <c r="E17" i="11" s="1"/>
  <c r="AH42" i="11"/>
  <c r="AC43" i="11"/>
  <c r="AF41" i="11"/>
  <c r="Z42" i="11"/>
  <c r="AE9" i="11"/>
  <c r="Z43" i="11"/>
  <c r="AF45" i="11"/>
  <c r="Z6" i="11"/>
  <c r="AE22" i="11"/>
  <c r="AB43" i="11"/>
  <c r="AE75" i="11"/>
  <c r="AE84" i="11" s="1"/>
  <c r="R31" i="11"/>
  <c r="Z30" i="11"/>
  <c r="AG36" i="11"/>
  <c r="Z37" i="11"/>
  <c r="AB38" i="11"/>
  <c r="AJ38" i="11"/>
  <c r="AG41" i="11"/>
  <c r="AH45" i="11"/>
  <c r="Z7" i="11"/>
  <c r="AE45" i="11"/>
  <c r="AE26" i="11"/>
  <c r="AC42" i="11"/>
  <c r="AK42" i="11"/>
  <c r="AB10" i="11"/>
  <c r="AJ10" i="11"/>
  <c r="Z20" i="11"/>
  <c r="AC41" i="11"/>
  <c r="AH43" i="11"/>
  <c r="AI36" i="11"/>
  <c r="AC37" i="11"/>
  <c r="AG43" i="11"/>
  <c r="Z9" i="11"/>
  <c r="AF6" i="11"/>
  <c r="AH7" i="11"/>
  <c r="AB8" i="11"/>
  <c r="AJ8" i="11"/>
  <c r="AD9" i="11"/>
  <c r="AF10" i="11"/>
  <c r="AH11" i="11"/>
  <c r="AB16" i="11"/>
  <c r="AJ16" i="11"/>
  <c r="Z21" i="11"/>
  <c r="AG20" i="11"/>
  <c r="AA21" i="11"/>
  <c r="AI21" i="11"/>
  <c r="AC22" i="11"/>
  <c r="AI75" i="11"/>
  <c r="AI84" i="11" s="1"/>
  <c r="AF35" i="11"/>
  <c r="AB36" i="11"/>
  <c r="AJ36" i="11"/>
  <c r="AD37" i="11"/>
  <c r="AJ37" i="11"/>
  <c r="AF38" i="11"/>
  <c r="AA7" i="11"/>
  <c r="AI7" i="11"/>
  <c r="AC8" i="11"/>
  <c r="AK8" i="11"/>
  <c r="AG10" i="11"/>
  <c r="AA11" i="11"/>
  <c r="AI11" i="11"/>
  <c r="AC16" i="11"/>
  <c r="AH20" i="11"/>
  <c r="AB21" i="11"/>
  <c r="AJ21" i="11"/>
  <c r="AD22" i="11"/>
  <c r="AG35" i="11"/>
  <c r="AD45" i="11"/>
  <c r="Z11" i="11"/>
  <c r="AD16" i="11"/>
  <c r="AA20" i="11"/>
  <c r="AI20" i="11"/>
  <c r="AA44" i="11"/>
  <c r="AA75" i="11"/>
  <c r="AA84" i="11" s="1"/>
  <c r="AD41" i="11"/>
  <c r="AK41" i="11"/>
  <c r="AG42" i="11"/>
  <c r="AK7" i="11"/>
  <c r="AH26" i="11"/>
  <c r="AE41" i="11"/>
  <c r="AD44" i="11"/>
  <c r="AK44" i="11"/>
  <c r="AB44" i="11"/>
  <c r="AJ44" i="11"/>
  <c r="AG45" i="11"/>
  <c r="AC44" i="11"/>
  <c r="Z44" i="11"/>
  <c r="AI44" i="11"/>
  <c r="AA45" i="11"/>
  <c r="AI45" i="11"/>
  <c r="AB45" i="11"/>
  <c r="AG44" i="11"/>
  <c r="AD43" i="11"/>
  <c r="AE43" i="11"/>
  <c r="AF43" i="11"/>
  <c r="AA42" i="11"/>
  <c r="AI42" i="11"/>
  <c r="AB42" i="11"/>
  <c r="AJ42" i="11"/>
  <c r="AD42" i="11"/>
  <c r="AE42" i="11"/>
  <c r="AF42" i="11"/>
  <c r="Z41" i="11"/>
  <c r="AH41" i="11"/>
  <c r="AB41" i="11"/>
  <c r="AJ41" i="11"/>
  <c r="AA37" i="11"/>
  <c r="Z10" i="11"/>
  <c r="AG6" i="11"/>
  <c r="Z22" i="11"/>
  <c r="AA30" i="11"/>
  <c r="AJ30" i="11"/>
  <c r="AF36" i="11"/>
  <c r="AH6" i="11"/>
  <c r="AB7" i="11"/>
  <c r="AJ7" i="11"/>
  <c r="AD8" i="11"/>
  <c r="AF9" i="11"/>
  <c r="AH10" i="11"/>
  <c r="AB11" i="11"/>
  <c r="AJ11" i="11"/>
  <c r="AC21" i="11"/>
  <c r="AK21" i="11"/>
  <c r="AF51" i="11"/>
  <c r="AG26" i="11"/>
  <c r="AC36" i="11"/>
  <c r="AF37" i="11"/>
  <c r="AA6" i="11"/>
  <c r="AI6" i="11"/>
  <c r="AE8" i="11"/>
  <c r="AG9" i="11"/>
  <c r="AA10" i="11"/>
  <c r="AI10" i="11"/>
  <c r="AC11" i="11"/>
  <c r="AE16" i="11"/>
  <c r="AB20" i="11"/>
  <c r="AJ20" i="11"/>
  <c r="AD21" i="11"/>
  <c r="AF22" i="11"/>
  <c r="M31" i="11"/>
  <c r="Z31" i="11" s="1"/>
  <c r="AH35" i="11"/>
  <c r="AE36" i="11"/>
  <c r="AG37" i="11"/>
  <c r="AH75" i="11"/>
  <c r="AH84" i="11" s="1"/>
  <c r="AC38" i="11"/>
  <c r="AB6" i="11"/>
  <c r="AJ6" i="11"/>
  <c r="AD7" i="11"/>
  <c r="AF8" i="11"/>
  <c r="AH9" i="11"/>
  <c r="AD11" i="11"/>
  <c r="AF16" i="11"/>
  <c r="AE21" i="11"/>
  <c r="AC75" i="11"/>
  <c r="AC84" i="11" s="1"/>
  <c r="N31" i="11"/>
  <c r="AG30" i="11"/>
  <c r="AC6" i="11"/>
  <c r="AE7" i="11"/>
  <c r="AG8" i="11"/>
  <c r="AI9" i="11"/>
  <c r="AC10" i="11"/>
  <c r="AK10" i="11"/>
  <c r="AE11" i="11"/>
  <c r="AG16" i="11"/>
  <c r="AD20" i="11"/>
  <c r="AI37" i="11"/>
  <c r="AK6" i="11"/>
  <c r="AA9" i="11"/>
  <c r="AH22" i="11"/>
  <c r="AD6" i="11"/>
  <c r="AF7" i="11"/>
  <c r="AB9" i="11"/>
  <c r="AJ9" i="11"/>
  <c r="AD10" i="11"/>
  <c r="AF11" i="11"/>
  <c r="Z16" i="11"/>
  <c r="AH16" i="11"/>
  <c r="AE20" i="11"/>
  <c r="AG21" i="11"/>
  <c r="AA22" i="11"/>
  <c r="AI22" i="11"/>
  <c r="AF75" i="11"/>
  <c r="AF84" i="11" s="1"/>
  <c r="P31" i="11"/>
  <c r="AA35" i="11"/>
  <c r="AJ35" i="11"/>
  <c r="Z8" i="11"/>
  <c r="AE6" i="11"/>
  <c r="AG7" i="11"/>
  <c r="AA8" i="11"/>
  <c r="AH8" i="11"/>
  <c r="AC9" i="11"/>
  <c r="AK9" i="11"/>
  <c r="AG11" i="11"/>
  <c r="AA16" i="11"/>
  <c r="AI16" i="11"/>
  <c r="AF20" i="11"/>
  <c r="AF21" i="11"/>
  <c r="AB22" i="11"/>
  <c r="AJ22" i="11"/>
  <c r="AC7" i="11"/>
  <c r="AG75" i="11"/>
  <c r="AG84" i="11" s="1"/>
  <c r="AB26" i="11"/>
  <c r="AJ26" i="11"/>
  <c r="AE35" i="11"/>
  <c r="AD38" i="11"/>
  <c r="AE38" i="11"/>
  <c r="AG38" i="11"/>
  <c r="AI38" i="11"/>
  <c r="AA38" i="11"/>
  <c r="AH36" i="11"/>
  <c r="AA36" i="11"/>
  <c r="AE37" i="11"/>
  <c r="AC35" i="11"/>
  <c r="AB35" i="11"/>
  <c r="AI35" i="11"/>
  <c r="AD35" i="11"/>
  <c r="AI30" i="11"/>
  <c r="AB30" i="11"/>
  <c r="AC30" i="11"/>
  <c r="AC26" i="11"/>
  <c r="AI26" i="11"/>
  <c r="AD26" i="11"/>
  <c r="AA26" i="11"/>
  <c r="AI8" i="11"/>
  <c r="AB37" i="11"/>
  <c r="Z26" i="11"/>
  <c r="AC20" i="11"/>
  <c r="AH21" i="11"/>
  <c r="Z51" i="11"/>
  <c r="AH51" i="11"/>
  <c r="AE10" i="11"/>
  <c r="AI51" i="11"/>
  <c r="AJ31" i="11"/>
  <c r="AG22" i="11"/>
  <c r="AJ51" i="11"/>
  <c r="Z75" i="11"/>
  <c r="Z84" i="11" s="1"/>
  <c r="J75" i="11"/>
  <c r="M12" i="11"/>
  <c r="M17" i="11" s="1"/>
  <c r="M18" i="11" s="1"/>
  <c r="AK22" i="11"/>
  <c r="L12" i="11"/>
  <c r="L17" i="11" s="1"/>
  <c r="AB75" i="11"/>
  <c r="AB84" i="11" s="1"/>
  <c r="AJ75" i="11"/>
  <c r="AJ84" i="11" s="1"/>
  <c r="D12" i="11"/>
  <c r="K12" i="11"/>
  <c r="J12" i="11"/>
  <c r="J17" i="11" s="1"/>
  <c r="J18" i="11" s="1"/>
  <c r="G12" i="11"/>
  <c r="C12" i="11"/>
  <c r="C17" i="11" s="1"/>
  <c r="K75" i="11"/>
  <c r="L75" i="11"/>
  <c r="M75" i="11"/>
  <c r="M84" i="11" s="1"/>
  <c r="F12" i="11"/>
  <c r="F17" i="11" s="1"/>
  <c r="D75" i="11"/>
  <c r="D84" i="11" s="1"/>
  <c r="E75" i="11"/>
  <c r="E84" i="11" s="1"/>
  <c r="F75" i="11"/>
  <c r="F84" i="11" s="1"/>
  <c r="S75" i="11"/>
  <c r="S84" i="11" s="1"/>
  <c r="W12" i="11"/>
  <c r="W17" i="11" s="1"/>
  <c r="R75" i="11"/>
  <c r="R84" i="11" s="1"/>
  <c r="X12" i="11"/>
  <c r="X17" i="11" s="1"/>
  <c r="R12" i="11"/>
  <c r="R17" i="11" s="1"/>
  <c r="H12" i="11"/>
  <c r="H17" i="11" s="1"/>
  <c r="AK75" i="11"/>
  <c r="AK84" i="11" s="1"/>
  <c r="AK11" i="11"/>
  <c r="P75" i="11"/>
  <c r="P84" i="11" s="1"/>
  <c r="U12" i="11"/>
  <c r="U17" i="11" s="1"/>
  <c r="AK37" i="11"/>
  <c r="H75" i="11"/>
  <c r="H84" i="11" s="1"/>
  <c r="N75" i="11"/>
  <c r="N84" i="11" s="1"/>
  <c r="N12" i="11"/>
  <c r="V12" i="11"/>
  <c r="AK16" i="11"/>
  <c r="AK20" i="11"/>
  <c r="AK36" i="11"/>
  <c r="P12" i="11"/>
  <c r="Q12" i="11"/>
  <c r="S12" i="11"/>
  <c r="AK26" i="11"/>
  <c r="AK31" i="11"/>
  <c r="T12" i="11"/>
  <c r="AK35" i="11"/>
  <c r="AK38" i="11"/>
  <c r="T75" i="11"/>
  <c r="T84" i="11" s="1"/>
  <c r="O12" i="11"/>
  <c r="AK30" i="11"/>
  <c r="W75" i="11"/>
  <c r="W84" i="11" s="1"/>
  <c r="AK51" i="11"/>
  <c r="O75" i="11"/>
  <c r="O84" i="11" s="1"/>
  <c r="V75" i="11"/>
  <c r="V84" i="11" s="1"/>
  <c r="X75" i="11"/>
  <c r="X84" i="11" s="1"/>
  <c r="N13" i="10"/>
  <c r="Q11" i="10"/>
  <c r="U11" i="10"/>
  <c r="Q10" i="10"/>
  <c r="F13" i="10"/>
  <c r="F14" i="10" s="1"/>
  <c r="Q12" i="10"/>
  <c r="U12" i="10"/>
  <c r="L13" i="10"/>
  <c r="Q9" i="10"/>
  <c r="H13" i="10"/>
  <c r="J13" i="10"/>
  <c r="R13" i="10"/>
  <c r="Q7" i="10"/>
  <c r="Q8" i="10"/>
  <c r="V13" i="10"/>
  <c r="AI9" i="10"/>
  <c r="X13" i="10"/>
  <c r="AI11" i="10"/>
  <c r="AI7" i="10"/>
  <c r="W13" i="10"/>
  <c r="AI12" i="10"/>
  <c r="AI10" i="10"/>
  <c r="T13" i="10"/>
  <c r="S13" i="10"/>
  <c r="P13" i="10"/>
  <c r="O13" i="10"/>
  <c r="G13" i="10"/>
  <c r="G14" i="10" s="1"/>
  <c r="E13" i="11" l="1"/>
  <c r="AM35" i="11"/>
  <c r="V13" i="11"/>
  <c r="AF31" i="11"/>
  <c r="AM10" i="11"/>
  <c r="AD31" i="11"/>
  <c r="AM7" i="11"/>
  <c r="AB12" i="11"/>
  <c r="AB17" i="11" s="1"/>
  <c r="AB23" i="11" s="1"/>
  <c r="AE31" i="11"/>
  <c r="Z12" i="11"/>
  <c r="Z17" i="11" s="1"/>
  <c r="Z23" i="11" s="1"/>
  <c r="AD12" i="11"/>
  <c r="AD17" i="11" s="1"/>
  <c r="AM8" i="11"/>
  <c r="AE12" i="11"/>
  <c r="AE17" i="11" s="1"/>
  <c r="AE18" i="11" s="1"/>
  <c r="AI12" i="11"/>
  <c r="Q13" i="11"/>
  <c r="AG12" i="11"/>
  <c r="AG17" i="11" s="1"/>
  <c r="AJ12" i="11"/>
  <c r="AJ17" i="11" s="1"/>
  <c r="AC12" i="11"/>
  <c r="AC13" i="11" s="1"/>
  <c r="F13" i="11"/>
  <c r="G13" i="11"/>
  <c r="AF12" i="11"/>
  <c r="AF17" i="11" s="1"/>
  <c r="AF23" i="11" s="1"/>
  <c r="AA12" i="11"/>
  <c r="AA17" i="11" s="1"/>
  <c r="AA23" i="11" s="1"/>
  <c r="M14" i="11"/>
  <c r="P13" i="11"/>
  <c r="AH12" i="11"/>
  <c r="AH17" i="11" s="1"/>
  <c r="AH18" i="11" s="1"/>
  <c r="L18" i="11"/>
  <c r="L23" i="11"/>
  <c r="L27" i="11" s="1"/>
  <c r="AB31" i="11"/>
  <c r="AA31" i="11"/>
  <c r="M23" i="11"/>
  <c r="M27" i="11" s="1"/>
  <c r="D13" i="11"/>
  <c r="AB13" i="11"/>
  <c r="AG31" i="11"/>
  <c r="AC31" i="11"/>
  <c r="O13" i="11"/>
  <c r="AH31" i="11"/>
  <c r="AI31" i="11"/>
  <c r="K17" i="11"/>
  <c r="K14" i="11"/>
  <c r="N17" i="11"/>
  <c r="N23" i="11" s="1"/>
  <c r="N27" i="11" s="1"/>
  <c r="N13" i="11"/>
  <c r="N14" i="11"/>
  <c r="D17" i="11"/>
  <c r="D18" i="11" s="1"/>
  <c r="G17" i="11"/>
  <c r="G23" i="11" s="1"/>
  <c r="L14" i="11"/>
  <c r="J23" i="11"/>
  <c r="J27" i="11" s="1"/>
  <c r="C23" i="11"/>
  <c r="C18" i="11"/>
  <c r="AM36" i="11"/>
  <c r="F18" i="11"/>
  <c r="F23" i="11"/>
  <c r="E18" i="11"/>
  <c r="E23" i="11"/>
  <c r="AM37" i="11"/>
  <c r="AM11" i="11"/>
  <c r="X14" i="11"/>
  <c r="AM9" i="11"/>
  <c r="X13" i="11"/>
  <c r="W13" i="11"/>
  <c r="AM38" i="11"/>
  <c r="V14" i="11"/>
  <c r="R13" i="11"/>
  <c r="V17" i="11"/>
  <c r="V23" i="11" s="1"/>
  <c r="AK12" i="11"/>
  <c r="AK17" i="11" s="1"/>
  <c r="AK23" i="11" s="1"/>
  <c r="AM20" i="11"/>
  <c r="H13" i="11"/>
  <c r="AM30" i="11"/>
  <c r="AM26" i="11"/>
  <c r="W14" i="11"/>
  <c r="Q14" i="11"/>
  <c r="Q17" i="11"/>
  <c r="U13" i="11"/>
  <c r="U23" i="11"/>
  <c r="U18" i="11"/>
  <c r="R18" i="11"/>
  <c r="R23" i="11"/>
  <c r="O17" i="11"/>
  <c r="O14" i="11"/>
  <c r="AM22" i="11"/>
  <c r="U75" i="11"/>
  <c r="U84" i="11" s="1"/>
  <c r="AM6" i="11"/>
  <c r="X23" i="11"/>
  <c r="X18" i="11"/>
  <c r="T13" i="11"/>
  <c r="T17" i="11"/>
  <c r="T14" i="11"/>
  <c r="Q75" i="11"/>
  <c r="Q84" i="11" s="1"/>
  <c r="R14" i="11"/>
  <c r="W23" i="11"/>
  <c r="W18" i="11"/>
  <c r="P17" i="11"/>
  <c r="P14" i="11"/>
  <c r="H23" i="11"/>
  <c r="H18" i="11"/>
  <c r="S14" i="11"/>
  <c r="S13" i="11"/>
  <c r="S17" i="11"/>
  <c r="U14" i="11"/>
  <c r="U13" i="10"/>
  <c r="AI13" i="10"/>
  <c r="AI14" i="10" s="1"/>
  <c r="AB18" i="11" l="1"/>
  <c r="Z13" i="11"/>
  <c r="AH23" i="11"/>
  <c r="AH27" i="11" s="1"/>
  <c r="AI13" i="11"/>
  <c r="D23" i="11"/>
  <c r="D24" i="11" s="1"/>
  <c r="M24" i="11"/>
  <c r="AD13" i="11"/>
  <c r="AD23" i="11"/>
  <c r="AD27" i="11" s="1"/>
  <c r="AD18" i="11"/>
  <c r="AJ23" i="11"/>
  <c r="AJ27" i="11" s="1"/>
  <c r="AJ18" i="11"/>
  <c r="AI17" i="11"/>
  <c r="AI23" i="11" s="1"/>
  <c r="AI27" i="11" s="1"/>
  <c r="AG23" i="11"/>
  <c r="AG27" i="11" s="1"/>
  <c r="AG18" i="11"/>
  <c r="Z18" i="11"/>
  <c r="AG13" i="11"/>
  <c r="G18" i="11"/>
  <c r="AF18" i="11"/>
  <c r="AJ13" i="11"/>
  <c r="AF13" i="11"/>
  <c r="AE13" i="11"/>
  <c r="AE23" i="11"/>
  <c r="AE24" i="11" s="1"/>
  <c r="AA13" i="11"/>
  <c r="AC17" i="11"/>
  <c r="AA18" i="11"/>
  <c r="L24" i="11"/>
  <c r="AH13" i="11"/>
  <c r="J24" i="11"/>
  <c r="AA27" i="11"/>
  <c r="AA24" i="11"/>
  <c r="Z27" i="11"/>
  <c r="Z24" i="11"/>
  <c r="AB27" i="11"/>
  <c r="AB24" i="11"/>
  <c r="AF27" i="11"/>
  <c r="AF24" i="11"/>
  <c r="N24" i="11"/>
  <c r="N18" i="11"/>
  <c r="K18" i="11"/>
  <c r="K23" i="11"/>
  <c r="J32" i="11"/>
  <c r="J28" i="11"/>
  <c r="M32" i="11"/>
  <c r="M28" i="11"/>
  <c r="L32" i="11"/>
  <c r="L28" i="11"/>
  <c r="C24" i="11"/>
  <c r="C27" i="11"/>
  <c r="AM12" i="11"/>
  <c r="E24" i="11"/>
  <c r="E27" i="11"/>
  <c r="G24" i="11"/>
  <c r="G27" i="11"/>
  <c r="F24" i="11"/>
  <c r="F27" i="11"/>
  <c r="V18" i="11"/>
  <c r="AK13" i="11"/>
  <c r="AM17" i="11"/>
  <c r="AK18" i="11"/>
  <c r="P23" i="11"/>
  <c r="P18" i="11"/>
  <c r="T18" i="11"/>
  <c r="T23" i="11"/>
  <c r="Q18" i="11"/>
  <c r="Q23" i="11"/>
  <c r="S18" i="11"/>
  <c r="S23" i="11"/>
  <c r="H24" i="11"/>
  <c r="H27" i="11"/>
  <c r="X24" i="11"/>
  <c r="X27" i="11"/>
  <c r="V24" i="11"/>
  <c r="V27" i="11"/>
  <c r="N32" i="11"/>
  <c r="N28" i="11"/>
  <c r="R27" i="11"/>
  <c r="R24" i="11"/>
  <c r="AK27" i="11"/>
  <c r="AK24" i="11"/>
  <c r="O23" i="11"/>
  <c r="O18" i="11"/>
  <c r="U27" i="11"/>
  <c r="U24" i="11"/>
  <c r="W27" i="11"/>
  <c r="W24" i="11"/>
  <c r="D27" i="11" l="1"/>
  <c r="AJ24" i="11"/>
  <c r="AH24" i="11"/>
  <c r="AI18" i="11"/>
  <c r="AI24" i="11"/>
  <c r="AD24" i="11"/>
  <c r="AE27" i="11"/>
  <c r="AE32" i="11" s="1"/>
  <c r="AG24" i="11"/>
  <c r="AM24" i="11" s="1"/>
  <c r="AC18" i="11"/>
  <c r="AC23" i="11"/>
  <c r="Z28" i="11"/>
  <c r="Z32" i="11"/>
  <c r="AF32" i="11"/>
  <c r="AF28" i="11"/>
  <c r="AJ28" i="11"/>
  <c r="AJ32" i="11"/>
  <c r="AA28" i="11"/>
  <c r="AA32" i="11"/>
  <c r="AD32" i="11"/>
  <c r="AD28" i="11"/>
  <c r="AH28" i="11"/>
  <c r="AH32" i="11"/>
  <c r="AG32" i="11"/>
  <c r="AG28" i="11"/>
  <c r="AB28" i="11"/>
  <c r="AB32" i="11"/>
  <c r="AI28" i="11"/>
  <c r="AI32" i="11"/>
  <c r="K27" i="11"/>
  <c r="K24" i="11"/>
  <c r="AM13" i="11"/>
  <c r="L39" i="11"/>
  <c r="L33" i="11"/>
  <c r="M39" i="11"/>
  <c r="M33" i="11"/>
  <c r="J39" i="11"/>
  <c r="J47" i="11" s="1"/>
  <c r="J33" i="11"/>
  <c r="C28" i="11"/>
  <c r="C32" i="11"/>
  <c r="AM18" i="11"/>
  <c r="G28" i="11"/>
  <c r="G32" i="11"/>
  <c r="F28" i="11"/>
  <c r="F32" i="11"/>
  <c r="E28" i="11"/>
  <c r="E32" i="11"/>
  <c r="D28" i="11"/>
  <c r="D32" i="11"/>
  <c r="R32" i="11"/>
  <c r="R28" i="11"/>
  <c r="O27" i="11"/>
  <c r="O24" i="11"/>
  <c r="N39" i="11"/>
  <c r="N33" i="11"/>
  <c r="S27" i="11"/>
  <c r="S24" i="11"/>
  <c r="X32" i="11"/>
  <c r="X28" i="11"/>
  <c r="W28" i="11"/>
  <c r="W32" i="11"/>
  <c r="T24" i="11"/>
  <c r="T27" i="11"/>
  <c r="AK28" i="11"/>
  <c r="AK32" i="11"/>
  <c r="V32" i="11"/>
  <c r="V28" i="11"/>
  <c r="Q24" i="11"/>
  <c r="Q27" i="11"/>
  <c r="H28" i="11"/>
  <c r="H32" i="11"/>
  <c r="U28" i="11"/>
  <c r="U32" i="11"/>
  <c r="P27" i="11"/>
  <c r="P24" i="11"/>
  <c r="AE28" i="11" l="1"/>
  <c r="N46" i="11"/>
  <c r="N47" i="11" s="1"/>
  <c r="L46" i="11"/>
  <c r="L47" i="11" s="1"/>
  <c r="M46" i="11"/>
  <c r="M47" i="11" s="1"/>
  <c r="AC27" i="11"/>
  <c r="AC24" i="11"/>
  <c r="AI33" i="11"/>
  <c r="AI82" i="11" a="1"/>
  <c r="AI82" i="11" s="1"/>
  <c r="AI81" i="11"/>
  <c r="AI39" i="11"/>
  <c r="AI83" i="11" a="1"/>
  <c r="AI83" i="11" s="1"/>
  <c r="AI80" i="11"/>
  <c r="AI79" i="11"/>
  <c r="AH83" i="11" a="1"/>
  <c r="AH83" i="11" s="1"/>
  <c r="AH82" i="11" a="1"/>
  <c r="AH82" i="11" s="1"/>
  <c r="AH33" i="11"/>
  <c r="AH81" i="11"/>
  <c r="AH39" i="11"/>
  <c r="AH80" i="11"/>
  <c r="AH79" i="11"/>
  <c r="AJ33" i="11"/>
  <c r="AJ81" i="11"/>
  <c r="AJ39" i="11"/>
  <c r="AJ83" i="11" a="1"/>
  <c r="AJ83" i="11" s="1"/>
  <c r="AJ82" i="11" a="1"/>
  <c r="AJ82" i="11" s="1"/>
  <c r="AJ80" i="11"/>
  <c r="AJ79" i="11"/>
  <c r="AA82" i="11" a="1"/>
  <c r="AA82" i="11" s="1"/>
  <c r="AA33" i="11"/>
  <c r="AA83" i="11" a="1"/>
  <c r="AA83" i="11" s="1"/>
  <c r="AA81" i="11"/>
  <c r="AA39" i="11"/>
  <c r="AA80" i="11"/>
  <c r="AA79" i="11"/>
  <c r="AE81" i="11"/>
  <c r="AE39" i="11"/>
  <c r="AE82" i="11" a="1"/>
  <c r="AE82" i="11" s="1"/>
  <c r="AE83" i="11" a="1"/>
  <c r="AE83" i="11" s="1"/>
  <c r="AE33" i="11"/>
  <c r="AE79" i="11"/>
  <c r="AE80" i="11"/>
  <c r="AB33" i="11"/>
  <c r="AB81" i="11"/>
  <c r="AB39" i="11"/>
  <c r="AB83" i="11" a="1"/>
  <c r="AB83" i="11" s="1"/>
  <c r="AB82" i="11" a="1"/>
  <c r="AB82" i="11" s="1"/>
  <c r="AB79" i="11"/>
  <c r="AB80" i="11"/>
  <c r="AD83" i="11" a="1"/>
  <c r="AD83" i="11" s="1"/>
  <c r="AD82" i="11" a="1"/>
  <c r="AD82" i="11" s="1"/>
  <c r="AD81" i="11"/>
  <c r="AD39" i="11"/>
  <c r="AD33" i="11"/>
  <c r="AD79" i="11"/>
  <c r="AD80" i="11"/>
  <c r="AF81" i="11"/>
  <c r="AF39" i="11"/>
  <c r="AF33" i="11"/>
  <c r="AF83" i="11" a="1"/>
  <c r="AF83" i="11" s="1"/>
  <c r="AF82" i="11" a="1"/>
  <c r="AF82" i="11" s="1"/>
  <c r="AF80" i="11"/>
  <c r="AF79" i="11"/>
  <c r="Z83" i="11" a="1"/>
  <c r="Z83" i="11" s="1"/>
  <c r="Z82" i="11" a="1"/>
  <c r="Z82" i="11" s="1"/>
  <c r="Z33" i="11"/>
  <c r="Z81" i="11"/>
  <c r="Z39" i="11"/>
  <c r="Z79" i="11"/>
  <c r="Z80" i="11"/>
  <c r="AG39" i="11"/>
  <c r="AG81" i="11"/>
  <c r="AG83" i="11" a="1"/>
  <c r="AG83" i="11" s="1"/>
  <c r="AG82" i="11" a="1"/>
  <c r="AG82" i="11" s="1"/>
  <c r="AG33" i="11"/>
  <c r="AG79" i="11"/>
  <c r="AG80" i="11"/>
  <c r="K28" i="11"/>
  <c r="K32" i="11"/>
  <c r="AM23" i="11"/>
  <c r="AM27" i="11"/>
  <c r="C83" i="11" a="1"/>
  <c r="C83" i="11" s="1"/>
  <c r="C82" i="11" a="1"/>
  <c r="C82" i="11" s="1"/>
  <c r="C81" i="11"/>
  <c r="C39" i="11"/>
  <c r="C33" i="11"/>
  <c r="E83" i="11" a="1"/>
  <c r="E83" i="11" s="1"/>
  <c r="E82" i="11" a="1"/>
  <c r="E82" i="11" s="1"/>
  <c r="E33" i="11"/>
  <c r="E81" i="11"/>
  <c r="E39" i="11"/>
  <c r="E79" i="11"/>
  <c r="E80" i="11"/>
  <c r="D39" i="11"/>
  <c r="D46" i="11" s="1"/>
  <c r="D83" i="11" a="1"/>
  <c r="D83" i="11" s="1"/>
  <c r="D82" i="11" a="1"/>
  <c r="D82" i="11" s="1"/>
  <c r="D33" i="11"/>
  <c r="D81" i="11"/>
  <c r="D80" i="11"/>
  <c r="D79" i="11"/>
  <c r="F33" i="11"/>
  <c r="F83" i="11" a="1"/>
  <c r="F83" i="11" s="1"/>
  <c r="F81" i="11"/>
  <c r="F39" i="11"/>
  <c r="F82" i="11" a="1"/>
  <c r="F82" i="11" s="1"/>
  <c r="F79" i="11"/>
  <c r="F80" i="11"/>
  <c r="G80" i="11"/>
  <c r="G33" i="11"/>
  <c r="G81" i="11"/>
  <c r="G39" i="11"/>
  <c r="G83" i="11" a="1"/>
  <c r="G83" i="11" s="1"/>
  <c r="G82" i="11" a="1"/>
  <c r="G82" i="11" s="1"/>
  <c r="G79" i="11"/>
  <c r="T32" i="11"/>
  <c r="T28" i="11"/>
  <c r="H83" i="11" a="1"/>
  <c r="H83" i="11" s="1"/>
  <c r="H79" i="11"/>
  <c r="H82" i="11" a="1"/>
  <c r="H82" i="11" s="1"/>
  <c r="H39" i="11"/>
  <c r="H33" i="11"/>
  <c r="H81" i="11"/>
  <c r="H80" i="11"/>
  <c r="X39" i="11"/>
  <c r="X33" i="11"/>
  <c r="S28" i="11"/>
  <c r="S32" i="11"/>
  <c r="U81" i="11" s="1" a="1"/>
  <c r="U81" i="11" s="1"/>
  <c r="O28" i="11"/>
  <c r="O32" i="11"/>
  <c r="X82" i="11" a="1"/>
  <c r="X82" i="11" s="1"/>
  <c r="X81" i="11" a="1"/>
  <c r="X81" i="11" s="1"/>
  <c r="X83" i="11" a="1"/>
  <c r="X83" i="11" s="1"/>
  <c r="U39" i="11"/>
  <c r="U46" i="11" s="1"/>
  <c r="U33" i="11"/>
  <c r="X79" i="11"/>
  <c r="X80" i="11"/>
  <c r="Q28" i="11"/>
  <c r="Q32" i="11"/>
  <c r="W33" i="11"/>
  <c r="W39" i="11"/>
  <c r="W46" i="11" s="1"/>
  <c r="R33" i="11"/>
  <c r="R39" i="11"/>
  <c r="R46" i="11" s="1"/>
  <c r="V39" i="11"/>
  <c r="V46" i="11" s="1"/>
  <c r="V33" i="11"/>
  <c r="AM28" i="11"/>
  <c r="AM32" i="11"/>
  <c r="P32" i="11"/>
  <c r="P28" i="11"/>
  <c r="AK83" i="11" a="1"/>
  <c r="AK83" i="11" s="1"/>
  <c r="AK82" i="11" a="1"/>
  <c r="AK82" i="11" s="1"/>
  <c r="AK81" i="11"/>
  <c r="AK39" i="11"/>
  <c r="AK33" i="11"/>
  <c r="AK79" i="11"/>
  <c r="AK80" i="11"/>
  <c r="U83" i="11" l="1" a="1"/>
  <c r="U83" i="11" s="1"/>
  <c r="S82" i="11" a="1"/>
  <c r="S82" i="11" s="1"/>
  <c r="S81" i="11" a="1"/>
  <c r="S81" i="11" s="1"/>
  <c r="S83" i="11" a="1"/>
  <c r="S83" i="11" s="1"/>
  <c r="S80" i="11"/>
  <c r="S79" i="11"/>
  <c r="R83" i="11" a="1"/>
  <c r="R83" i="11" s="1"/>
  <c r="R82" i="11" a="1"/>
  <c r="R82" i="11" s="1"/>
  <c r="R81" i="11" a="1"/>
  <c r="R81" i="11" s="1"/>
  <c r="R79" i="11"/>
  <c r="R80" i="11"/>
  <c r="O79" i="11"/>
  <c r="P83" i="11" a="1"/>
  <c r="P83" i="11" s="1"/>
  <c r="O80" i="11"/>
  <c r="P82" i="11" a="1"/>
  <c r="P82" i="11" s="1"/>
  <c r="P81" i="11" a="1"/>
  <c r="P81" i="11" s="1"/>
  <c r="Q83" i="11" a="1"/>
  <c r="Q83" i="11" s="1"/>
  <c r="P79" i="11"/>
  <c r="Q82" i="11" a="1"/>
  <c r="Q82" i="11" s="1"/>
  <c r="P80" i="11"/>
  <c r="Q81" i="11" a="1"/>
  <c r="Q81" i="11" s="1"/>
  <c r="O81" i="11" a="1"/>
  <c r="O81" i="11" s="1"/>
  <c r="Q80" i="11"/>
  <c r="O83" i="11" a="1"/>
  <c r="O83" i="11" s="1"/>
  <c r="Q79" i="11"/>
  <c r="O82" i="11" a="1"/>
  <c r="O82" i="11" s="1"/>
  <c r="N81" i="11" a="1"/>
  <c r="N81" i="11" s="1"/>
  <c r="N83" i="11" a="1"/>
  <c r="N83" i="11" s="1"/>
  <c r="N82" i="11" a="1"/>
  <c r="N82" i="11" s="1"/>
  <c r="N80" i="11"/>
  <c r="N79" i="11"/>
  <c r="M82" i="11" a="1"/>
  <c r="M82" i="11" s="1"/>
  <c r="M81" i="11" a="1"/>
  <c r="M81" i="11" s="1"/>
  <c r="M83" i="11" a="1"/>
  <c r="M83" i="11" s="1"/>
  <c r="M80" i="11"/>
  <c r="M79" i="11"/>
  <c r="W81" i="11" a="1"/>
  <c r="W81" i="11" s="1"/>
  <c r="W83" i="11" a="1"/>
  <c r="W83" i="11" s="1"/>
  <c r="W82" i="11" a="1"/>
  <c r="W82" i="11" s="1"/>
  <c r="W80" i="11"/>
  <c r="W79" i="11"/>
  <c r="U82" i="11" a="1"/>
  <c r="U82" i="11" s="1"/>
  <c r="T82" i="11" a="1"/>
  <c r="T82" i="11" s="1"/>
  <c r="T81" i="11" a="1"/>
  <c r="T81" i="11" s="1"/>
  <c r="T83" i="11" a="1"/>
  <c r="T83" i="11" s="1"/>
  <c r="T79" i="11"/>
  <c r="T80" i="11"/>
  <c r="V81" i="11" a="1"/>
  <c r="V81" i="11" s="1"/>
  <c r="V83" i="11" a="1"/>
  <c r="V83" i="11" s="1"/>
  <c r="V82" i="11" a="1"/>
  <c r="V82" i="11" s="1"/>
  <c r="V80" i="11"/>
  <c r="V79" i="11"/>
  <c r="U79" i="11"/>
  <c r="U80" i="11"/>
  <c r="AC28" i="11"/>
  <c r="AC32" i="11"/>
  <c r="K39" i="11"/>
  <c r="K33" i="11"/>
  <c r="C47" i="11"/>
  <c r="E46" i="11"/>
  <c r="E47" i="11" s="1"/>
  <c r="D47" i="11"/>
  <c r="F46" i="11"/>
  <c r="F47" i="11" s="1"/>
  <c r="G46" i="11"/>
  <c r="G47" i="11" s="1"/>
  <c r="P39" i="11"/>
  <c r="P46" i="11" s="1"/>
  <c r="P33" i="11"/>
  <c r="O33" i="11"/>
  <c r="O39" i="11"/>
  <c r="O46" i="11" s="1"/>
  <c r="AM39" i="11"/>
  <c r="AM33" i="11"/>
  <c r="H46" i="11"/>
  <c r="H47" i="11" s="1"/>
  <c r="S39" i="11"/>
  <c r="S46" i="11" s="1"/>
  <c r="S33" i="11"/>
  <c r="V47" i="11"/>
  <c r="U47" i="11"/>
  <c r="X46" i="11"/>
  <c r="X47" i="11" s="1"/>
  <c r="W47" i="11"/>
  <c r="Q39" i="11"/>
  <c r="Q46" i="11" s="1"/>
  <c r="Q33" i="11"/>
  <c r="T33" i="11"/>
  <c r="T39" i="11"/>
  <c r="T46" i="11" s="1"/>
  <c r="K46" i="11" l="1"/>
  <c r="AC81" i="11"/>
  <c r="AC39" i="11"/>
  <c r="AC33" i="11"/>
  <c r="AC82" i="11" a="1"/>
  <c r="AC82" i="11" s="1"/>
  <c r="AC79" i="11"/>
  <c r="AC80" i="11"/>
  <c r="AC83" i="11" a="1"/>
  <c r="AC83" i="11" s="1"/>
  <c r="R47" i="11"/>
  <c r="AK46" i="11"/>
  <c r="AK47" i="11" s="1"/>
  <c r="AJ46" i="11"/>
  <c r="AJ47" i="11" s="1"/>
  <c r="AA46" i="11" l="1"/>
  <c r="AA47" i="11" s="1"/>
  <c r="Z46" i="11"/>
  <c r="Z47" i="11" s="1"/>
  <c r="K47" i="11"/>
  <c r="S47" i="11"/>
  <c r="AI46" i="11"/>
  <c r="AI47" i="11" s="1"/>
  <c r="AE46" i="11"/>
  <c r="AE47" i="11" s="1"/>
  <c r="AD46" i="11"/>
  <c r="AD47" i="11" s="1"/>
  <c r="AC46" i="11"/>
  <c r="AC47" i="11" s="1"/>
  <c r="AB46" i="11"/>
  <c r="AB47" i="11" s="1"/>
  <c r="AG46" i="11"/>
  <c r="AG47" i="11" s="1"/>
  <c r="AF46" i="11"/>
  <c r="AF47" i="11" s="1"/>
  <c r="AH46" i="11"/>
  <c r="AH47" i="11" s="1"/>
  <c r="Q47" i="11"/>
  <c r="T47" i="11"/>
  <c r="O47" i="11"/>
  <c r="P47" i="11"/>
  <c r="X14" i="10" l="1"/>
  <c r="X4" i="10"/>
  <c r="AI4" i="10" s="1"/>
  <c r="X3" i="10"/>
  <c r="AI3" i="10" s="1"/>
  <c r="X125" i="8"/>
  <c r="X142" i="8"/>
  <c r="X121" i="8"/>
  <c r="X122" i="8"/>
  <c r="AK122" i="8" s="1"/>
  <c r="X123" i="8"/>
  <c r="X124" i="8"/>
  <c r="AK124" i="8" s="1"/>
  <c r="AK125" i="8"/>
  <c r="X117" i="8"/>
  <c r="X116" i="8"/>
  <c r="X115" i="8"/>
  <c r="X103" i="8"/>
  <c r="X104" i="8"/>
  <c r="X105" i="8"/>
  <c r="X106" i="8"/>
  <c r="X107" i="8"/>
  <c r="AK107" i="8" s="1"/>
  <c r="X108" i="8"/>
  <c r="X109" i="8"/>
  <c r="AK109" i="8" s="1"/>
  <c r="X110" i="8"/>
  <c r="X111" i="8"/>
  <c r="X94" i="8"/>
  <c r="X95" i="8"/>
  <c r="X96" i="8"/>
  <c r="X97" i="8"/>
  <c r="X98" i="8"/>
  <c r="X100" i="8"/>
  <c r="X48" i="8"/>
  <c r="AK142" i="8"/>
  <c r="AK141" i="8"/>
  <c r="AK134" i="8"/>
  <c r="AK133" i="8"/>
  <c r="AK130" i="8"/>
  <c r="AK129" i="8"/>
  <c r="AK131" i="8" s="1"/>
  <c r="AK123" i="8"/>
  <c r="AK121" i="8"/>
  <c r="AK117" i="8"/>
  <c r="AK116" i="8"/>
  <c r="AK115" i="8"/>
  <c r="AK111" i="8"/>
  <c r="AK110" i="8"/>
  <c r="AK108" i="8"/>
  <c r="AK106" i="8"/>
  <c r="AK105" i="8"/>
  <c r="AK104" i="8"/>
  <c r="AK103" i="8"/>
  <c r="AK100" i="8"/>
  <c r="AK99" i="8"/>
  <c r="AK98" i="8"/>
  <c r="AK97" i="8"/>
  <c r="AK96" i="8"/>
  <c r="AK95" i="8"/>
  <c r="AK94" i="8"/>
  <c r="AK78" i="8"/>
  <c r="AK77" i="8"/>
  <c r="AK76" i="8"/>
  <c r="AK75" i="8"/>
  <c r="AK74" i="8"/>
  <c r="AK71" i="8"/>
  <c r="AK70" i="8"/>
  <c r="AK69" i="8"/>
  <c r="AK65" i="8"/>
  <c r="AK64" i="8"/>
  <c r="AK63" i="8"/>
  <c r="AK62" i="8"/>
  <c r="AK61" i="8"/>
  <c r="AK57" i="8"/>
  <c r="AK56" i="8"/>
  <c r="AK55" i="8"/>
  <c r="AK54" i="8"/>
  <c r="AK53" i="8"/>
  <c r="AK52" i="8"/>
  <c r="AK48" i="8"/>
  <c r="AK47" i="8"/>
  <c r="AK46" i="8"/>
  <c r="AK45" i="8"/>
  <c r="AK49" i="8" s="1"/>
  <c r="AK37" i="8"/>
  <c r="AK34" i="8"/>
  <c r="AK30" i="8"/>
  <c r="AK27" i="8"/>
  <c r="AK23" i="8"/>
  <c r="AK19" i="8"/>
  <c r="AK18" i="8"/>
  <c r="AK17" i="8"/>
  <c r="AK13" i="8"/>
  <c r="AK10" i="8"/>
  <c r="AK11" i="8" s="1"/>
  <c r="AK14" i="8" s="1"/>
  <c r="AK8" i="8"/>
  <c r="AK88" i="8" s="1"/>
  <c r="AK7" i="8"/>
  <c r="AK87" i="8" s="1"/>
  <c r="X129" i="8"/>
  <c r="X131" i="8" s="1"/>
  <c r="X88" i="8"/>
  <c r="X87" i="8"/>
  <c r="X79" i="8"/>
  <c r="X66" i="8"/>
  <c r="X72" i="8" s="1"/>
  <c r="X49" i="8"/>
  <c r="X58" i="8" s="1"/>
  <c r="X42" i="8"/>
  <c r="X41" i="8"/>
  <c r="X11" i="8"/>
  <c r="X14" i="8" s="1"/>
  <c r="C48" i="8"/>
  <c r="V64" i="8"/>
  <c r="AI64" i="8" s="1"/>
  <c r="R64" i="8"/>
  <c r="AE64" i="8" s="1"/>
  <c r="N64" i="8"/>
  <c r="AA64" i="8" s="1"/>
  <c r="J64" i="8"/>
  <c r="H64" i="8"/>
  <c r="U64" i="8" s="1"/>
  <c r="AH64" i="8" s="1"/>
  <c r="G64" i="8"/>
  <c r="E64" i="8"/>
  <c r="D64" i="8"/>
  <c r="AJ64" i="8"/>
  <c r="AG64" i="8"/>
  <c r="AF64" i="8"/>
  <c r="AC64" i="8"/>
  <c r="AB64" i="8"/>
  <c r="Q64" i="8"/>
  <c r="AD64" i="8" s="1"/>
  <c r="M64" i="8"/>
  <c r="Z64" i="8" s="1"/>
  <c r="W48" i="8"/>
  <c r="T48" i="8"/>
  <c r="AG48" i="8" s="1"/>
  <c r="S48" i="8"/>
  <c r="P48" i="8"/>
  <c r="AC48" i="8" s="1"/>
  <c r="O48" i="8"/>
  <c r="L48" i="8"/>
  <c r="K48" i="8"/>
  <c r="H48" i="8"/>
  <c r="G48" i="8"/>
  <c r="F48" i="8"/>
  <c r="E48" i="8"/>
  <c r="W122" i="8"/>
  <c r="S122" i="8"/>
  <c r="T122" i="8" s="1"/>
  <c r="U122" i="8" s="1"/>
  <c r="AI122" i="8" s="1"/>
  <c r="O122" i="8"/>
  <c r="K122" i="8"/>
  <c r="L122" i="8" s="1"/>
  <c r="M122" i="8" s="1"/>
  <c r="AA122" i="8" s="1"/>
  <c r="D121" i="8"/>
  <c r="T121" i="8"/>
  <c r="P121" i="8"/>
  <c r="M121" i="8"/>
  <c r="AA121" i="8" s="1"/>
  <c r="H121" i="8"/>
  <c r="G121" i="8"/>
  <c r="W121" i="8"/>
  <c r="AI134" i="8"/>
  <c r="AG134" i="8"/>
  <c r="AF134" i="8"/>
  <c r="AE134" i="8"/>
  <c r="AC134" i="8"/>
  <c r="AB134" i="8"/>
  <c r="AA134" i="8"/>
  <c r="AJ134" i="8"/>
  <c r="AJ130" i="8"/>
  <c r="AI130" i="8"/>
  <c r="AH130" i="8"/>
  <c r="AG130" i="8"/>
  <c r="AF130" i="8"/>
  <c r="AE130" i="8"/>
  <c r="AD130" i="8"/>
  <c r="AC130" i="8"/>
  <c r="AB130" i="8"/>
  <c r="AA130" i="8"/>
  <c r="Z130" i="8"/>
  <c r="AI78" i="8"/>
  <c r="AG78" i="8"/>
  <c r="AF78" i="8"/>
  <c r="AE78" i="8"/>
  <c r="AC78" i="8"/>
  <c r="AB78" i="8"/>
  <c r="AA78" i="8"/>
  <c r="AI77" i="8"/>
  <c r="AG77" i="8"/>
  <c r="AF77" i="8"/>
  <c r="AE77" i="8"/>
  <c r="AC77" i="8"/>
  <c r="AB77" i="8"/>
  <c r="AA77" i="8"/>
  <c r="AI76" i="8"/>
  <c r="AG76" i="8"/>
  <c r="AF76" i="8"/>
  <c r="AE76" i="8"/>
  <c r="AC76" i="8"/>
  <c r="AB76" i="8"/>
  <c r="AA76" i="8"/>
  <c r="AI75" i="8"/>
  <c r="AG75" i="8"/>
  <c r="AF75" i="8"/>
  <c r="AE75" i="8"/>
  <c r="AC75" i="8"/>
  <c r="AB75" i="8"/>
  <c r="AA75" i="8"/>
  <c r="AI74" i="8"/>
  <c r="AG74" i="8"/>
  <c r="AF74" i="8"/>
  <c r="AE74" i="8"/>
  <c r="AC74" i="8"/>
  <c r="AB74" i="8"/>
  <c r="AA74" i="8"/>
  <c r="AI71" i="8"/>
  <c r="AG71" i="8"/>
  <c r="AF71" i="8"/>
  <c r="AE71" i="8"/>
  <c r="AC71" i="8"/>
  <c r="AB71" i="8"/>
  <c r="AA71" i="8"/>
  <c r="AI70" i="8"/>
  <c r="AG70" i="8"/>
  <c r="AF70" i="8"/>
  <c r="AE70" i="8"/>
  <c r="AC70" i="8"/>
  <c r="AB70" i="8"/>
  <c r="AA70" i="8"/>
  <c r="AI69" i="8"/>
  <c r="AG69" i="8"/>
  <c r="AF69" i="8"/>
  <c r="AE69" i="8"/>
  <c r="AC69" i="8"/>
  <c r="AB69" i="8"/>
  <c r="AA69" i="8"/>
  <c r="AI65" i="8"/>
  <c r="AG65" i="8"/>
  <c r="AF65" i="8"/>
  <c r="AE65" i="8"/>
  <c r="AC65" i="8"/>
  <c r="AB65" i="8"/>
  <c r="AA65" i="8"/>
  <c r="AI63" i="8"/>
  <c r="AG63" i="8"/>
  <c r="AF63" i="8"/>
  <c r="AE63" i="8"/>
  <c r="AC63" i="8"/>
  <c r="AB63" i="8"/>
  <c r="AA63" i="8"/>
  <c r="AI62" i="8"/>
  <c r="AG62" i="8"/>
  <c r="AF62" i="8"/>
  <c r="AE62" i="8"/>
  <c r="AC62" i="8"/>
  <c r="AB62" i="8"/>
  <c r="AA62" i="8"/>
  <c r="AI61" i="8"/>
  <c r="AG61" i="8"/>
  <c r="AF61" i="8"/>
  <c r="AE61" i="8"/>
  <c r="AC61" i="8"/>
  <c r="AB61" i="8"/>
  <c r="AA61" i="8"/>
  <c r="AI57" i="8"/>
  <c r="AG57" i="8"/>
  <c r="AF57" i="8"/>
  <c r="AE57" i="8"/>
  <c r="AC57" i="8"/>
  <c r="AB57" i="8"/>
  <c r="AA57" i="8"/>
  <c r="AI56" i="8"/>
  <c r="AG56" i="8"/>
  <c r="AF56" i="8"/>
  <c r="AE56" i="8"/>
  <c r="AC56" i="8"/>
  <c r="AB56" i="8"/>
  <c r="AA56" i="8"/>
  <c r="AI55" i="8"/>
  <c r="AG55" i="8"/>
  <c r="AF55" i="8"/>
  <c r="AE55" i="8"/>
  <c r="AC55" i="8"/>
  <c r="AB55" i="8"/>
  <c r="AA55" i="8"/>
  <c r="AI54" i="8"/>
  <c r="AG54" i="8"/>
  <c r="AF54" i="8"/>
  <c r="AE54" i="8"/>
  <c r="AC54" i="8"/>
  <c r="AB54" i="8"/>
  <c r="AA54" i="8"/>
  <c r="AI53" i="8"/>
  <c r="AG53" i="8"/>
  <c r="AF53" i="8"/>
  <c r="AE53" i="8"/>
  <c r="AC53" i="8"/>
  <c r="AB53" i="8"/>
  <c r="AA53" i="8"/>
  <c r="AI52" i="8"/>
  <c r="AG52" i="8"/>
  <c r="AF52" i="8"/>
  <c r="AE52" i="8"/>
  <c r="AC52" i="8"/>
  <c r="AB52" i="8"/>
  <c r="AA52" i="8"/>
  <c r="AI48" i="8"/>
  <c r="AF48" i="8"/>
  <c r="AE48" i="8"/>
  <c r="AB48" i="8"/>
  <c r="AA48" i="8"/>
  <c r="AI47" i="8"/>
  <c r="AG47" i="8"/>
  <c r="AF47" i="8"/>
  <c r="AE47" i="8"/>
  <c r="AC47" i="8"/>
  <c r="AB47" i="8"/>
  <c r="AA47" i="8"/>
  <c r="AI46" i="8"/>
  <c r="AG46" i="8"/>
  <c r="AF46" i="8"/>
  <c r="AE46" i="8"/>
  <c r="AC46" i="8"/>
  <c r="AB46" i="8"/>
  <c r="AA46" i="8"/>
  <c r="AI45" i="8"/>
  <c r="AG45" i="8"/>
  <c r="AF45" i="8"/>
  <c r="AE45" i="8"/>
  <c r="AC45" i="8"/>
  <c r="AB45" i="8"/>
  <c r="AA45" i="8"/>
  <c r="U30" i="8"/>
  <c r="AJ30" i="8" s="1"/>
  <c r="Q30" i="8"/>
  <c r="AG30" i="8" s="1"/>
  <c r="M30" i="8"/>
  <c r="AB30" i="8" s="1"/>
  <c r="U133" i="8"/>
  <c r="AJ133" i="8" s="1"/>
  <c r="U100" i="8"/>
  <c r="AH100" i="8" s="1"/>
  <c r="U99" i="8"/>
  <c r="AI99" i="8" s="1"/>
  <c r="U116" i="8"/>
  <c r="Q133" i="8"/>
  <c r="AG133" i="8" s="1"/>
  <c r="Q100" i="8"/>
  <c r="AG100" i="8" s="1"/>
  <c r="Q99" i="8"/>
  <c r="Q116" i="8"/>
  <c r="Q123" i="8"/>
  <c r="AD123" i="8" s="1"/>
  <c r="M133" i="8"/>
  <c r="M78" i="8"/>
  <c r="Z78" i="8" s="1"/>
  <c r="M77" i="8"/>
  <c r="Z77" i="8" s="1"/>
  <c r="M76" i="8"/>
  <c r="Z76" i="8" s="1"/>
  <c r="M75" i="8"/>
  <c r="Z75" i="8" s="1"/>
  <c r="M74" i="8"/>
  <c r="Z74" i="8" s="1"/>
  <c r="M71" i="8"/>
  <c r="Z71" i="8" s="1"/>
  <c r="M70" i="8"/>
  <c r="Z70" i="8" s="1"/>
  <c r="M69" i="8"/>
  <c r="Z69" i="8" s="1"/>
  <c r="M65" i="8"/>
  <c r="Z65" i="8" s="1"/>
  <c r="M63" i="8"/>
  <c r="Z63" i="8" s="1"/>
  <c r="M62" i="8"/>
  <c r="Z62" i="8" s="1"/>
  <c r="M61" i="8"/>
  <c r="Z61" i="8" s="1"/>
  <c r="M57" i="8"/>
  <c r="Z57" i="8" s="1"/>
  <c r="M56" i="8"/>
  <c r="Z56" i="8" s="1"/>
  <c r="M55" i="8"/>
  <c r="Z55" i="8" s="1"/>
  <c r="M54" i="8"/>
  <c r="Z54" i="8" s="1"/>
  <c r="M53" i="8"/>
  <c r="Z53" i="8" s="1"/>
  <c r="M52" i="8"/>
  <c r="Z52" i="8" s="1"/>
  <c r="M48" i="8"/>
  <c r="Z48" i="8" s="1"/>
  <c r="M47" i="8"/>
  <c r="Z47" i="8" s="1"/>
  <c r="M46" i="8"/>
  <c r="Z46" i="8" s="1"/>
  <c r="M45" i="8"/>
  <c r="Z45" i="8" s="1"/>
  <c r="M100" i="8"/>
  <c r="Z100" i="8" s="1"/>
  <c r="M99" i="8"/>
  <c r="AB99" i="8" s="1"/>
  <c r="M116" i="8"/>
  <c r="AC116" i="8" s="1"/>
  <c r="M123" i="8"/>
  <c r="AC123" i="8" s="1"/>
  <c r="H130" i="8"/>
  <c r="G130" i="8"/>
  <c r="F130" i="8"/>
  <c r="E130" i="8"/>
  <c r="D130" i="8"/>
  <c r="AJ77" i="8"/>
  <c r="U77" i="8"/>
  <c r="AH77" i="8" s="1"/>
  <c r="Q77" i="8"/>
  <c r="AD77" i="8" s="1"/>
  <c r="AK126" i="8" l="1"/>
  <c r="X126" i="8"/>
  <c r="X118" i="8"/>
  <c r="AK118" i="8"/>
  <c r="AK79" i="8"/>
  <c r="AK66" i="8"/>
  <c r="AK72" i="8" s="1"/>
  <c r="AK58" i="8"/>
  <c r="AK20" i="8"/>
  <c r="AK15" i="8"/>
  <c r="AK41" i="8"/>
  <c r="AK42" i="8"/>
  <c r="X80" i="8"/>
  <c r="X82" i="8" s="1"/>
  <c r="X20" i="8"/>
  <c r="X15" i="8"/>
  <c r="AM64" i="8"/>
  <c r="AH122" i="8"/>
  <c r="AC121" i="8"/>
  <c r="AB121" i="8"/>
  <c r="Z122" i="8"/>
  <c r="AB122" i="8"/>
  <c r="AJ122" i="8"/>
  <c r="Z121" i="8"/>
  <c r="Q121" i="8"/>
  <c r="AE121" i="8" s="1"/>
  <c r="U121" i="8"/>
  <c r="AH121" i="8" s="1"/>
  <c r="P122" i="8"/>
  <c r="AC99" i="8"/>
  <c r="AA100" i="8"/>
  <c r="AB100" i="8"/>
  <c r="AI100" i="8"/>
  <c r="AG99" i="8"/>
  <c r="AF99" i="8"/>
  <c r="AE99" i="8"/>
  <c r="AD99" i="8"/>
  <c r="AB116" i="8"/>
  <c r="AA116" i="8"/>
  <c r="Z116" i="8"/>
  <c r="AB133" i="8"/>
  <c r="AA133" i="8"/>
  <c r="Z133" i="8"/>
  <c r="AI116" i="8"/>
  <c r="AH116" i="8"/>
  <c r="AB123" i="8"/>
  <c r="AA123" i="8"/>
  <c r="Z123" i="8"/>
  <c r="AG116" i="8"/>
  <c r="AF116" i="8"/>
  <c r="AE116" i="8"/>
  <c r="AD116" i="8"/>
  <c r="AC133" i="8"/>
  <c r="AD133" i="8"/>
  <c r="AC100" i="8"/>
  <c r="AE123" i="8"/>
  <c r="AE133" i="8"/>
  <c r="AD100" i="8"/>
  <c r="AF133" i="8"/>
  <c r="AE100" i="8"/>
  <c r="Z99" i="8"/>
  <c r="AH99" i="8"/>
  <c r="AF100" i="8"/>
  <c r="AH133" i="8"/>
  <c r="AA99" i="8"/>
  <c r="AI133" i="8"/>
  <c r="AI30" i="8"/>
  <c r="AC30" i="8"/>
  <c r="AA30" i="8"/>
  <c r="AD30" i="8"/>
  <c r="AE30" i="8"/>
  <c r="AF30" i="8"/>
  <c r="Z30" i="8"/>
  <c r="AH30" i="8"/>
  <c r="AK80" i="8" l="1"/>
  <c r="AK82" i="8" s="1"/>
  <c r="AK24" i="8"/>
  <c r="AK21" i="8"/>
  <c r="X21" i="8"/>
  <c r="X24" i="8"/>
  <c r="Q122" i="8"/>
  <c r="AG122" i="8" s="1"/>
  <c r="AJ121" i="8"/>
  <c r="AD121" i="8"/>
  <c r="AG121" i="8"/>
  <c r="AI121" i="8"/>
  <c r="AC122" i="8"/>
  <c r="AF121" i="8"/>
  <c r="AM30" i="8"/>
  <c r="AK25" i="8" l="1"/>
  <c r="AK28" i="8"/>
  <c r="AK31" i="8" s="1"/>
  <c r="X28" i="8"/>
  <c r="X31" i="8" s="1"/>
  <c r="X25" i="8"/>
  <c r="AE122" i="8"/>
  <c r="AD122" i="8"/>
  <c r="AF122" i="8"/>
  <c r="AK38" i="8" l="1"/>
  <c r="AK35" i="8"/>
  <c r="AK32" i="8"/>
  <c r="X38" i="8"/>
  <c r="X35" i="8"/>
  <c r="X91" i="8"/>
  <c r="X32" i="8"/>
  <c r="X112" i="8" l="1"/>
  <c r="X135" i="8" s="1"/>
  <c r="AK91" i="8"/>
  <c r="AK112" i="8" s="1"/>
  <c r="X136" i="8" l="1"/>
  <c r="X138" i="8" s="1"/>
  <c r="AK135" i="8"/>
  <c r="AK136" i="8" s="1"/>
  <c r="AK138" i="8" s="1"/>
  <c r="D14" i="10" l="1"/>
  <c r="C13" i="10"/>
  <c r="C14" i="10" s="1"/>
  <c r="W142" i="8"/>
  <c r="S142" i="8"/>
  <c r="O142" i="8"/>
  <c r="K142" i="8"/>
  <c r="U141" i="8"/>
  <c r="Q141" i="8"/>
  <c r="L141" i="8"/>
  <c r="W125" i="8"/>
  <c r="S125" i="8"/>
  <c r="O125" i="8"/>
  <c r="K125" i="8"/>
  <c r="W124" i="8"/>
  <c r="S124" i="8"/>
  <c r="O124" i="8"/>
  <c r="K124" i="8"/>
  <c r="S123" i="8"/>
  <c r="W117" i="8"/>
  <c r="S117" i="8"/>
  <c r="O117" i="8"/>
  <c r="K117" i="8"/>
  <c r="W116" i="8"/>
  <c r="AJ116" i="8" s="1"/>
  <c r="W115" i="8"/>
  <c r="S115" i="8"/>
  <c r="O115" i="8"/>
  <c r="K115" i="8"/>
  <c r="W111" i="8"/>
  <c r="S111" i="8"/>
  <c r="O111" i="8"/>
  <c r="K111" i="8"/>
  <c r="W110" i="8"/>
  <c r="S110" i="8"/>
  <c r="O110" i="8"/>
  <c r="K110" i="8"/>
  <c r="W109" i="8"/>
  <c r="S109" i="8"/>
  <c r="O109" i="8"/>
  <c r="K109" i="8"/>
  <c r="W108" i="8"/>
  <c r="S108" i="8"/>
  <c r="O108" i="8"/>
  <c r="K108" i="8"/>
  <c r="W107" i="8"/>
  <c r="S107" i="8"/>
  <c r="O107" i="8"/>
  <c r="K107" i="8"/>
  <c r="W106" i="8"/>
  <c r="S106" i="8"/>
  <c r="O106" i="8"/>
  <c r="K106" i="8"/>
  <c r="W105" i="8"/>
  <c r="S105" i="8"/>
  <c r="O105" i="8"/>
  <c r="K105" i="8"/>
  <c r="W104" i="8"/>
  <c r="S104" i="8"/>
  <c r="O104" i="8"/>
  <c r="K104" i="8"/>
  <c r="W103" i="8"/>
  <c r="S103" i="8"/>
  <c r="O103" i="8"/>
  <c r="K103" i="8"/>
  <c r="W100" i="8"/>
  <c r="W98" i="8"/>
  <c r="S98" i="8"/>
  <c r="O98" i="8"/>
  <c r="K98" i="8"/>
  <c r="W97" i="8"/>
  <c r="S97" i="8"/>
  <c r="O97" i="8"/>
  <c r="K97" i="8"/>
  <c r="W96" i="8"/>
  <c r="S96" i="8"/>
  <c r="O96" i="8"/>
  <c r="K96" i="8"/>
  <c r="W95" i="8"/>
  <c r="S95" i="8"/>
  <c r="O95" i="8"/>
  <c r="K95" i="8"/>
  <c r="W94" i="8"/>
  <c r="S94" i="8"/>
  <c r="O94" i="8"/>
  <c r="K94" i="8"/>
  <c r="U78" i="8"/>
  <c r="AH78" i="8" s="1"/>
  <c r="Q78" i="8"/>
  <c r="AD78" i="8" s="1"/>
  <c r="U76" i="8"/>
  <c r="AH76" i="8" s="1"/>
  <c r="Q76" i="8"/>
  <c r="AD76" i="8" s="1"/>
  <c r="U75" i="8"/>
  <c r="AH75" i="8" s="1"/>
  <c r="Q75" i="8"/>
  <c r="AD75" i="8" s="1"/>
  <c r="U74" i="8"/>
  <c r="AH74" i="8" s="1"/>
  <c r="Q74" i="8"/>
  <c r="AD74" i="8" s="1"/>
  <c r="U71" i="8"/>
  <c r="AH71" i="8" s="1"/>
  <c r="Q71" i="8"/>
  <c r="AD71" i="8" s="1"/>
  <c r="U70" i="8"/>
  <c r="AH70" i="8" s="1"/>
  <c r="Q70" i="8"/>
  <c r="AD70" i="8" s="1"/>
  <c r="U69" i="8"/>
  <c r="AH69" i="8" s="1"/>
  <c r="Q69" i="8"/>
  <c r="AD69" i="8" s="1"/>
  <c r="U65" i="8"/>
  <c r="AH65" i="8" s="1"/>
  <c r="Q65" i="8"/>
  <c r="AD65" i="8" s="1"/>
  <c r="U63" i="8"/>
  <c r="AH63" i="8" s="1"/>
  <c r="Q63" i="8"/>
  <c r="AD63" i="8" s="1"/>
  <c r="U62" i="8"/>
  <c r="AH62" i="8" s="1"/>
  <c r="Q62" i="8"/>
  <c r="AD62" i="8" s="1"/>
  <c r="U61" i="8"/>
  <c r="AH61" i="8" s="1"/>
  <c r="Q61" i="8"/>
  <c r="AD61" i="8" s="1"/>
  <c r="AJ46" i="8"/>
  <c r="U48" i="8"/>
  <c r="AH48" i="8" s="1"/>
  <c r="U47" i="8"/>
  <c r="AH47" i="8" s="1"/>
  <c r="U46" i="8"/>
  <c r="AH46" i="8" s="1"/>
  <c r="U45" i="8"/>
  <c r="AH45" i="8" s="1"/>
  <c r="Q48" i="8"/>
  <c r="AD48" i="8" s="1"/>
  <c r="Q47" i="8"/>
  <c r="AD47" i="8" s="1"/>
  <c r="Q46" i="8"/>
  <c r="AD46" i="8" s="1"/>
  <c r="Q45" i="8"/>
  <c r="AD45" i="8" s="1"/>
  <c r="U57" i="8"/>
  <c r="AH57" i="8" s="1"/>
  <c r="Q57" i="8"/>
  <c r="AD57" i="8" s="1"/>
  <c r="U56" i="8"/>
  <c r="AH56" i="8" s="1"/>
  <c r="Q56" i="8"/>
  <c r="AD56" i="8" s="1"/>
  <c r="U55" i="8"/>
  <c r="AH55" i="8" s="1"/>
  <c r="Q55" i="8"/>
  <c r="AD55" i="8" s="1"/>
  <c r="U54" i="8"/>
  <c r="AH54" i="8" s="1"/>
  <c r="Q54" i="8"/>
  <c r="AD54" i="8" s="1"/>
  <c r="U53" i="8"/>
  <c r="AH53" i="8" s="1"/>
  <c r="Q53" i="8"/>
  <c r="AD53" i="8" s="1"/>
  <c r="U52" i="8"/>
  <c r="AH52" i="8" s="1"/>
  <c r="Q52" i="8"/>
  <c r="AD52" i="8" s="1"/>
  <c r="U27" i="8"/>
  <c r="U23" i="8"/>
  <c r="AH23" i="8" s="1"/>
  <c r="U19" i="8"/>
  <c r="U18" i="8"/>
  <c r="U17" i="8"/>
  <c r="Q27" i="8"/>
  <c r="M27" i="8"/>
  <c r="Q23" i="8"/>
  <c r="AG23" i="8" s="1"/>
  <c r="Q19" i="8"/>
  <c r="Q18" i="8"/>
  <c r="Q17" i="8"/>
  <c r="M23" i="8"/>
  <c r="M19" i="8"/>
  <c r="M18" i="8"/>
  <c r="M17" i="8"/>
  <c r="U13" i="8"/>
  <c r="Q13" i="8"/>
  <c r="M13" i="8"/>
  <c r="U10" i="8"/>
  <c r="Q10" i="8"/>
  <c r="M10" i="8"/>
  <c r="D126" i="8"/>
  <c r="D118" i="8"/>
  <c r="D88" i="8"/>
  <c r="D87" i="8"/>
  <c r="D79" i="8"/>
  <c r="D66" i="8"/>
  <c r="D72" i="8" s="1"/>
  <c r="D49" i="8"/>
  <c r="D58" i="8" s="1"/>
  <c r="D42" i="8"/>
  <c r="D41" i="8"/>
  <c r="D11" i="8"/>
  <c r="D14" i="8" s="1"/>
  <c r="D15" i="8" s="1"/>
  <c r="G4" i="10"/>
  <c r="F4" i="10"/>
  <c r="E4" i="10"/>
  <c r="D4" i="10"/>
  <c r="C4" i="10"/>
  <c r="G3" i="10"/>
  <c r="F3" i="10"/>
  <c r="E3" i="10"/>
  <c r="D3" i="10"/>
  <c r="C3" i="10"/>
  <c r="C131" i="8"/>
  <c r="E126" i="8"/>
  <c r="C126" i="8"/>
  <c r="E118" i="8"/>
  <c r="C118" i="8"/>
  <c r="E88" i="8"/>
  <c r="C88" i="8"/>
  <c r="E87" i="8"/>
  <c r="C87" i="8"/>
  <c r="E79" i="8"/>
  <c r="C79" i="8"/>
  <c r="E66" i="8"/>
  <c r="E72" i="8" s="1"/>
  <c r="C66" i="8"/>
  <c r="C72" i="8" s="1"/>
  <c r="E49" i="8"/>
  <c r="E58" i="8" s="1"/>
  <c r="C49" i="8"/>
  <c r="C58" i="8" s="1"/>
  <c r="E42" i="8"/>
  <c r="C42" i="8"/>
  <c r="E41" i="8"/>
  <c r="C41" i="8"/>
  <c r="E11" i="8"/>
  <c r="E14" i="8" s="1"/>
  <c r="E20" i="8" s="1"/>
  <c r="C11" i="8"/>
  <c r="C14" i="8" s="1"/>
  <c r="AJ78" i="8"/>
  <c r="AJ76" i="8"/>
  <c r="AJ75" i="8"/>
  <c r="AJ74" i="8"/>
  <c r="AJ71" i="8"/>
  <c r="AJ70" i="8"/>
  <c r="AJ69" i="8"/>
  <c r="AJ65" i="8"/>
  <c r="AJ63" i="8"/>
  <c r="AJ62" i="8"/>
  <c r="AJ61" i="8"/>
  <c r="AJ57" i="8"/>
  <c r="AJ56" i="8"/>
  <c r="AJ55" i="8"/>
  <c r="AJ54" i="8"/>
  <c r="AJ53" i="8"/>
  <c r="AJ52" i="8"/>
  <c r="AJ48" i="8"/>
  <c r="AJ47" i="8"/>
  <c r="AJ45" i="8"/>
  <c r="AJ37" i="8"/>
  <c r="AI37" i="8"/>
  <c r="AG37" i="8"/>
  <c r="AF37" i="8"/>
  <c r="AI34" i="8"/>
  <c r="AG34" i="8"/>
  <c r="AF34" i="8"/>
  <c r="AE34" i="8"/>
  <c r="AC34" i="8"/>
  <c r="AB34" i="8"/>
  <c r="AA34" i="8"/>
  <c r="AJ34" i="8"/>
  <c r="AI8" i="8"/>
  <c r="AH8" i="8"/>
  <c r="AG8" i="8"/>
  <c r="AF8" i="8"/>
  <c r="AE8" i="8"/>
  <c r="AD8" i="8"/>
  <c r="AC8" i="8"/>
  <c r="AB8" i="8"/>
  <c r="AA8" i="8"/>
  <c r="Z8" i="8"/>
  <c r="AI7" i="8"/>
  <c r="AH7" i="8"/>
  <c r="AG7" i="8"/>
  <c r="AF7" i="8"/>
  <c r="AE7" i="8"/>
  <c r="AD7" i="8"/>
  <c r="AC7" i="8"/>
  <c r="AB7" i="8"/>
  <c r="AA7" i="8"/>
  <c r="Z7" i="8"/>
  <c r="AJ8" i="8"/>
  <c r="AJ7" i="8"/>
  <c r="H126" i="8"/>
  <c r="V126" i="8"/>
  <c r="F126" i="8"/>
  <c r="AJ99" i="8"/>
  <c r="Q13" i="10" l="1"/>
  <c r="M13" i="10"/>
  <c r="M141" i="8"/>
  <c r="AC141" i="8" s="1"/>
  <c r="AG141" i="8"/>
  <c r="AF141" i="8"/>
  <c r="AE141" i="8"/>
  <c r="AD141" i="8"/>
  <c r="AJ141" i="8"/>
  <c r="AI141" i="8"/>
  <c r="AH141" i="8"/>
  <c r="AF123" i="8"/>
  <c r="L142" i="8"/>
  <c r="P142" i="8"/>
  <c r="T142" i="8"/>
  <c r="AM45" i="8"/>
  <c r="P96" i="8"/>
  <c r="P98" i="8"/>
  <c r="T125" i="8"/>
  <c r="U125" i="8" s="1"/>
  <c r="T96" i="8"/>
  <c r="U96" i="8" s="1"/>
  <c r="T98" i="8"/>
  <c r="U98" i="8" s="1"/>
  <c r="P115" i="8"/>
  <c r="T106" i="8"/>
  <c r="U106" i="8" s="1"/>
  <c r="T110" i="8"/>
  <c r="U110" i="8" s="1"/>
  <c r="T115" i="8"/>
  <c r="U115" i="8" s="1"/>
  <c r="L124" i="8"/>
  <c r="L95" i="8"/>
  <c r="L110" i="8"/>
  <c r="P95" i="8"/>
  <c r="L105" i="8"/>
  <c r="L109" i="8"/>
  <c r="T95" i="8"/>
  <c r="U95" i="8" s="1"/>
  <c r="T97" i="8"/>
  <c r="U97" i="8" s="1"/>
  <c r="AI97" i="8" s="1"/>
  <c r="P111" i="8"/>
  <c r="L117" i="8"/>
  <c r="P94" i="8"/>
  <c r="L104" i="8"/>
  <c r="T105" i="8"/>
  <c r="T107" i="8"/>
  <c r="U107" i="8" s="1"/>
  <c r="T109" i="8"/>
  <c r="U109" i="8" s="1"/>
  <c r="L108" i="8"/>
  <c r="L94" i="8"/>
  <c r="L96" i="8"/>
  <c r="T117" i="8"/>
  <c r="U117" i="8" s="1"/>
  <c r="L125" i="8"/>
  <c r="T123" i="8"/>
  <c r="P124" i="8"/>
  <c r="P125" i="8"/>
  <c r="T124" i="8"/>
  <c r="P117" i="8"/>
  <c r="L115" i="8"/>
  <c r="P109" i="8"/>
  <c r="L103" i="8"/>
  <c r="T104" i="8"/>
  <c r="U104" i="8" s="1"/>
  <c r="L107" i="8"/>
  <c r="T108" i="8"/>
  <c r="U108" i="8" s="1"/>
  <c r="L111" i="8"/>
  <c r="P105" i="8"/>
  <c r="P106" i="8"/>
  <c r="P110" i="8"/>
  <c r="P103" i="8"/>
  <c r="P107" i="8"/>
  <c r="P104" i="8"/>
  <c r="P108" i="8"/>
  <c r="T103" i="8"/>
  <c r="U103" i="8" s="1"/>
  <c r="L106" i="8"/>
  <c r="T111" i="8"/>
  <c r="U111" i="8" s="1"/>
  <c r="T94" i="8"/>
  <c r="U94" i="8" s="1"/>
  <c r="L97" i="8"/>
  <c r="L98" i="8"/>
  <c r="P97" i="8"/>
  <c r="D80" i="8"/>
  <c r="D82" i="8" s="1"/>
  <c r="D20" i="8"/>
  <c r="D24" i="8" s="1"/>
  <c r="D25" i="8" s="1"/>
  <c r="AM74" i="8"/>
  <c r="C80" i="8"/>
  <c r="C82" i="8" s="1"/>
  <c r="AM76" i="8"/>
  <c r="AM47" i="8"/>
  <c r="E21" i="8"/>
  <c r="E24" i="8"/>
  <c r="E80" i="8"/>
  <c r="E82" i="8" s="1"/>
  <c r="C20" i="8"/>
  <c r="C15" i="8"/>
  <c r="E15" i="8"/>
  <c r="AM52" i="8"/>
  <c r="AM69" i="8"/>
  <c r="AM48" i="8"/>
  <c r="AM65" i="8"/>
  <c r="AM62" i="8"/>
  <c r="AM53" i="8"/>
  <c r="AM55" i="8"/>
  <c r="AM57" i="8"/>
  <c r="AM75" i="8"/>
  <c r="AM71" i="8"/>
  <c r="AM63" i="8"/>
  <c r="AM78" i="8"/>
  <c r="AM54" i="8"/>
  <c r="AM56" i="8"/>
  <c r="AM70" i="8"/>
  <c r="W126" i="8"/>
  <c r="AI23" i="8"/>
  <c r="AJ23" i="8"/>
  <c r="AF23" i="8"/>
  <c r="G126" i="8"/>
  <c r="N126" i="8"/>
  <c r="O126" i="8"/>
  <c r="J126" i="8"/>
  <c r="R126" i="8"/>
  <c r="K126" i="8"/>
  <c r="S126" i="8"/>
  <c r="AJ100" i="8"/>
  <c r="AI107" i="8" l="1"/>
  <c r="AI125" i="8"/>
  <c r="M142" i="8"/>
  <c r="AB142" i="8" s="1"/>
  <c r="AH115" i="8"/>
  <c r="AI117" i="8"/>
  <c r="AH95" i="8"/>
  <c r="AI108" i="8"/>
  <c r="AH98" i="8"/>
  <c r="AI109" i="8"/>
  <c r="AH94" i="8"/>
  <c r="Q104" i="8"/>
  <c r="AG104" i="8" s="1"/>
  <c r="Q107" i="8"/>
  <c r="AG107" i="8" s="1"/>
  <c r="Q95" i="8"/>
  <c r="AG95" i="8" s="1"/>
  <c r="AH117" i="8"/>
  <c r="Q103" i="8"/>
  <c r="AG103" i="8" s="1"/>
  <c r="M103" i="8"/>
  <c r="AB103" i="8" s="1"/>
  <c r="M96" i="8"/>
  <c r="AC96" i="8" s="1"/>
  <c r="AI115" i="8"/>
  <c r="AI104" i="8"/>
  <c r="AI98" i="8"/>
  <c r="Q110" i="8"/>
  <c r="AF110" i="8" s="1"/>
  <c r="Q109" i="8"/>
  <c r="AG109" i="8" s="1"/>
  <c r="M125" i="8"/>
  <c r="Z125" i="8" s="1"/>
  <c r="M94" i="8"/>
  <c r="AB94" i="8" s="1"/>
  <c r="Q111" i="8"/>
  <c r="AE111" i="8" s="1"/>
  <c r="U142" i="8"/>
  <c r="AJ142" i="8" s="1"/>
  <c r="AI111" i="8"/>
  <c r="AH103" i="8"/>
  <c r="Z141" i="8"/>
  <c r="AI110" i="8"/>
  <c r="AI96" i="8"/>
  <c r="M105" i="8"/>
  <c r="AC105" i="8" s="1"/>
  <c r="AH106" i="8"/>
  <c r="M98" i="8"/>
  <c r="AC98" i="8" s="1"/>
  <c r="Q115" i="8"/>
  <c r="AE115" i="8" s="1"/>
  <c r="M97" i="8"/>
  <c r="AC97" i="8" s="1"/>
  <c r="M117" i="8"/>
  <c r="AB117" i="8" s="1"/>
  <c r="M110" i="8"/>
  <c r="AB110" i="8" s="1"/>
  <c r="Q106" i="8"/>
  <c r="AF106" i="8" s="1"/>
  <c r="M115" i="8"/>
  <c r="AB115" i="8" s="1"/>
  <c r="M108" i="8"/>
  <c r="AB108" i="8" s="1"/>
  <c r="M95" i="8"/>
  <c r="AB95" i="8" s="1"/>
  <c r="Q142" i="8"/>
  <c r="AF142" i="8" s="1"/>
  <c r="AH111" i="8"/>
  <c r="AI103" i="8"/>
  <c r="AE109" i="8"/>
  <c r="AH97" i="8"/>
  <c r="AA141" i="8"/>
  <c r="AH110" i="8"/>
  <c r="AH96" i="8"/>
  <c r="M107" i="8"/>
  <c r="AC107" i="8" s="1"/>
  <c r="M104" i="8"/>
  <c r="AC104" i="8" s="1"/>
  <c r="Q94" i="8"/>
  <c r="AF94" i="8" s="1"/>
  <c r="AH104" i="8"/>
  <c r="M106" i="8"/>
  <c r="AB106" i="8" s="1"/>
  <c r="Q105" i="8"/>
  <c r="AF105" i="8" s="1"/>
  <c r="Q117" i="8"/>
  <c r="AF117" i="8" s="1"/>
  <c r="M124" i="8"/>
  <c r="Z124" i="8" s="1"/>
  <c r="AH109" i="8"/>
  <c r="AG123" i="8"/>
  <c r="AB141" i="8"/>
  <c r="AH108" i="8"/>
  <c r="AI94" i="8"/>
  <c r="Q97" i="8"/>
  <c r="AG97" i="8" s="1"/>
  <c r="M111" i="8"/>
  <c r="AC111" i="8" s="1"/>
  <c r="Q98" i="8"/>
  <c r="AG98" i="8" s="1"/>
  <c r="Q108" i="8"/>
  <c r="AG108" i="8" s="1"/>
  <c r="M109" i="8"/>
  <c r="AC109" i="8" s="1"/>
  <c r="Q96" i="8"/>
  <c r="AF96" i="8" s="1"/>
  <c r="AH107" i="8"/>
  <c r="AI95" i="8"/>
  <c r="AH125" i="8"/>
  <c r="AI106" i="8"/>
  <c r="AJ95" i="8"/>
  <c r="U123" i="8"/>
  <c r="AJ123" i="8" s="1"/>
  <c r="U124" i="8"/>
  <c r="AJ124" i="8" s="1"/>
  <c r="Q124" i="8"/>
  <c r="AG124" i="8" s="1"/>
  <c r="AJ107" i="8"/>
  <c r="AJ106" i="8"/>
  <c r="AJ125" i="8"/>
  <c r="U105" i="8"/>
  <c r="AJ115" i="8"/>
  <c r="T126" i="8"/>
  <c r="Q125" i="8"/>
  <c r="AG125" i="8" s="1"/>
  <c r="P126" i="8"/>
  <c r="AJ98" i="8"/>
  <c r="D21" i="8"/>
  <c r="D28" i="8"/>
  <c r="D31" i="8" s="1"/>
  <c r="C24" i="8"/>
  <c r="C21" i="8"/>
  <c r="E28" i="8"/>
  <c r="E31" i="8" s="1"/>
  <c r="E25" i="8"/>
  <c r="AM23" i="8"/>
  <c r="AJ97" i="8"/>
  <c r="AM99" i="8"/>
  <c r="AJ96" i="8"/>
  <c r="AM100" i="8"/>
  <c r="AJ117" i="8"/>
  <c r="L126" i="8"/>
  <c r="AD109" i="8" l="1"/>
  <c r="AB124" i="8"/>
  <c r="AA103" i="8"/>
  <c r="AE103" i="8"/>
  <c r="AB96" i="8"/>
  <c r="AF115" i="8"/>
  <c r="AB125" i="8"/>
  <c r="AA104" i="8"/>
  <c r="AD104" i="8"/>
  <c r="AC142" i="8"/>
  <c r="Z142" i="8"/>
  <c r="Z108" i="8"/>
  <c r="AE94" i="8"/>
  <c r="AD107" i="8"/>
  <c r="Z95" i="8"/>
  <c r="AF103" i="8"/>
  <c r="AE107" i="8"/>
  <c r="Z94" i="8"/>
  <c r="Z115" i="8"/>
  <c r="AA96" i="8"/>
  <c r="AF111" i="8"/>
  <c r="M126" i="8"/>
  <c r="AF107" i="8"/>
  <c r="AA142" i="8"/>
  <c r="AH123" i="8"/>
  <c r="AF98" i="8"/>
  <c r="AM98" i="8" s="1"/>
  <c r="AB98" i="8"/>
  <c r="AE125" i="8"/>
  <c r="AD124" i="8"/>
  <c r="AD98" i="8"/>
  <c r="AB104" i="8"/>
  <c r="AF125" i="8"/>
  <c r="AA107" i="8"/>
  <c r="AF97" i="8"/>
  <c r="AM97" i="8" s="1"/>
  <c r="Z104" i="8"/>
  <c r="AG110" i="8"/>
  <c r="AE110" i="8"/>
  <c r="AD110" i="8"/>
  <c r="AA109" i="8"/>
  <c r="D32" i="8"/>
  <c r="D91" i="8"/>
  <c r="D112" i="8" s="1"/>
  <c r="D135" i="8" s="1"/>
  <c r="D35" i="8"/>
  <c r="D38" i="8"/>
  <c r="AA110" i="8"/>
  <c r="Z126" i="8"/>
  <c r="AE95" i="8"/>
  <c r="Z96" i="8"/>
  <c r="AG115" i="8"/>
  <c r="AD115" i="8"/>
  <c r="AD108" i="8"/>
  <c r="AA97" i="8"/>
  <c r="AG106" i="8"/>
  <c r="AE106" i="8"/>
  <c r="AG111" i="8"/>
  <c r="AD111" i="8"/>
  <c r="AI105" i="8"/>
  <c r="AH105" i="8"/>
  <c r="AF108" i="8"/>
  <c r="Z107" i="8"/>
  <c r="AD125" i="8"/>
  <c r="AC106" i="8"/>
  <c r="AA106" i="8"/>
  <c r="Z106" i="8"/>
  <c r="AB107" i="8"/>
  <c r="AC95" i="8"/>
  <c r="AA95" i="8"/>
  <c r="AF124" i="8"/>
  <c r="AE108" i="8"/>
  <c r="AC94" i="8"/>
  <c r="AA94" i="8"/>
  <c r="AC103" i="8"/>
  <c r="Z103" i="8"/>
  <c r="AF104" i="8"/>
  <c r="AI124" i="8"/>
  <c r="AH124" i="8"/>
  <c r="AD106" i="8"/>
  <c r="AC124" i="8"/>
  <c r="AA124" i="8"/>
  <c r="AC108" i="8"/>
  <c r="AA108" i="8"/>
  <c r="AC125" i="8"/>
  <c r="AA125" i="8"/>
  <c r="AA111" i="8"/>
  <c r="AI123" i="8"/>
  <c r="AE97" i="8"/>
  <c r="Z109" i="8"/>
  <c r="Z105" i="8"/>
  <c r="AC110" i="8"/>
  <c r="Z110" i="8"/>
  <c r="AA105" i="8"/>
  <c r="U126" i="8"/>
  <c r="AE104" i="8"/>
  <c r="AG96" i="8"/>
  <c r="AE96" i="8"/>
  <c r="AD96" i="8"/>
  <c r="AE124" i="8"/>
  <c r="AB111" i="8"/>
  <c r="AC117" i="8"/>
  <c r="Z117" i="8"/>
  <c r="AA117" i="8"/>
  <c r="AF109" i="8"/>
  <c r="AD103" i="8"/>
  <c r="Z97" i="8"/>
  <c r="AE98" i="8"/>
  <c r="AG105" i="8"/>
  <c r="AE105" i="8"/>
  <c r="AD105" i="8"/>
  <c r="E32" i="8"/>
  <c r="E38" i="8"/>
  <c r="E35" i="8"/>
  <c r="E91" i="8"/>
  <c r="E112" i="8" s="1"/>
  <c r="E135" i="8" s="1"/>
  <c r="AB109" i="8"/>
  <c r="AD95" i="8"/>
  <c r="AG117" i="8"/>
  <c r="AD117" i="8"/>
  <c r="AE117" i="8"/>
  <c r="AG94" i="8"/>
  <c r="AD94" i="8"/>
  <c r="AG142" i="8"/>
  <c r="AD142" i="8"/>
  <c r="AE142" i="8"/>
  <c r="AC115" i="8"/>
  <c r="AA115" i="8"/>
  <c r="AB97" i="8"/>
  <c r="AB105" i="8"/>
  <c r="AD97" i="8"/>
  <c r="AI142" i="8"/>
  <c r="AH142" i="8"/>
  <c r="Z98" i="8"/>
  <c r="AF95" i="8"/>
  <c r="AA98" i="8"/>
  <c r="Z111" i="8"/>
  <c r="AJ105" i="8"/>
  <c r="Q126" i="8"/>
  <c r="C28" i="8"/>
  <c r="C31" i="8" s="1"/>
  <c r="C25" i="8"/>
  <c r="AJ126" i="8"/>
  <c r="AG126" i="8"/>
  <c r="AB126" i="8" l="1"/>
  <c r="AI126" i="8"/>
  <c r="AH126" i="8"/>
  <c r="AD126" i="8"/>
  <c r="AE126" i="8"/>
  <c r="AC126" i="8"/>
  <c r="AA126" i="8"/>
  <c r="C32" i="8"/>
  <c r="C91" i="8"/>
  <c r="C112" i="8" s="1"/>
  <c r="C135" i="8" s="1"/>
  <c r="C136" i="8" s="1"/>
  <c r="C138" i="8" s="1"/>
  <c r="C35" i="8"/>
  <c r="C38" i="8"/>
  <c r="AF126" i="8"/>
  <c r="U134" i="8"/>
  <c r="AH134" i="8" s="1"/>
  <c r="Q134" i="8"/>
  <c r="AD134" i="8" s="1"/>
  <c r="J4" i="10"/>
  <c r="K4" i="10"/>
  <c r="L4" i="10"/>
  <c r="M4" i="10"/>
  <c r="N4" i="10"/>
  <c r="O4" i="10"/>
  <c r="P4" i="10"/>
  <c r="Q4" i="10"/>
  <c r="W79" i="8"/>
  <c r="V79" i="8"/>
  <c r="T79" i="8"/>
  <c r="S79" i="8"/>
  <c r="R79" i="8"/>
  <c r="P79" i="8"/>
  <c r="O79" i="8"/>
  <c r="N79" i="8"/>
  <c r="L79" i="8"/>
  <c r="K79" i="8"/>
  <c r="J79" i="8"/>
  <c r="H79" i="8"/>
  <c r="G79" i="8"/>
  <c r="F79" i="8"/>
  <c r="W4" i="10"/>
  <c r="V4" i="10"/>
  <c r="U4" i="10"/>
  <c r="T4" i="10"/>
  <c r="S4" i="10"/>
  <c r="R4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AB18" i="8"/>
  <c r="AE37" i="8"/>
  <c r="AD37" i="8"/>
  <c r="AB37" i="8"/>
  <c r="AA37" i="8"/>
  <c r="Z37" i="8"/>
  <c r="AA27" i="8"/>
  <c r="U37" i="8"/>
  <c r="AH37" i="8" s="1"/>
  <c r="U34" i="8"/>
  <c r="AH34" i="8" s="1"/>
  <c r="Z13" i="8"/>
  <c r="M37" i="8"/>
  <c r="M34" i="8"/>
  <c r="Z34" i="8" s="1"/>
  <c r="AA23" i="8"/>
  <c r="AB17" i="8"/>
  <c r="D129" i="8" l="1"/>
  <c r="D131" i="8" s="1"/>
  <c r="D136" i="8" s="1"/>
  <c r="D138" i="8" s="1"/>
  <c r="AH10" i="8"/>
  <c r="AJ10" i="8"/>
  <c r="AI10" i="8"/>
  <c r="AC13" i="8"/>
  <c r="AG13" i="8"/>
  <c r="AF13" i="8"/>
  <c r="AJ27" i="8"/>
  <c r="AI27" i="8"/>
  <c r="AH27" i="8"/>
  <c r="AJ13" i="8"/>
  <c r="AI13" i="8"/>
  <c r="AH13" i="8"/>
  <c r="AG17" i="8"/>
  <c r="AF17" i="8"/>
  <c r="AD19" i="8"/>
  <c r="AG19" i="8"/>
  <c r="AF19" i="8"/>
  <c r="Z10" i="8"/>
  <c r="AC10" i="8"/>
  <c r="AB10" i="8"/>
  <c r="AA10" i="8"/>
  <c r="AG10" i="8"/>
  <c r="AD10" i="8"/>
  <c r="AF10" i="8"/>
  <c r="AE10" i="8"/>
  <c r="AJ18" i="8"/>
  <c r="AI18" i="8"/>
  <c r="AH18" i="8"/>
  <c r="AJ17" i="8"/>
  <c r="AI17" i="8"/>
  <c r="AH17" i="8"/>
  <c r="AF18" i="8"/>
  <c r="AG18" i="8"/>
  <c r="AC27" i="8"/>
  <c r="AF27" i="8"/>
  <c r="AG27" i="8"/>
  <c r="AI19" i="8"/>
  <c r="AJ19" i="8"/>
  <c r="AH19" i="8"/>
  <c r="AM61" i="8"/>
  <c r="M134" i="8"/>
  <c r="Z134" i="8" s="1"/>
  <c r="AM34" i="8"/>
  <c r="AM37" i="8"/>
  <c r="AC19" i="8"/>
  <c r="AA13" i="8"/>
  <c r="Z17" i="8"/>
  <c r="AE19" i="8"/>
  <c r="AA18" i="8"/>
  <c r="Z23" i="8"/>
  <c r="AC18" i="8"/>
  <c r="AB23" i="8"/>
  <c r="AE13" i="8"/>
  <c r="AD13" i="8"/>
  <c r="AB19" i="8"/>
  <c r="AA19" i="8"/>
  <c r="Z19" i="8"/>
  <c r="AE23" i="8"/>
  <c r="Z27" i="8"/>
  <c r="AD18" i="8"/>
  <c r="AC23" i="8"/>
  <c r="AB27" i="8"/>
  <c r="AE18" i="8"/>
  <c r="AD23" i="8"/>
  <c r="AD17" i="8"/>
  <c r="AE27" i="8"/>
  <c r="AD27" i="8"/>
  <c r="AE17" i="8"/>
  <c r="AC17" i="8"/>
  <c r="AB13" i="8"/>
  <c r="AA17" i="8"/>
  <c r="Z18" i="8"/>
  <c r="AA79" i="8"/>
  <c r="M79" i="8"/>
  <c r="AC79" i="8"/>
  <c r="AE79" i="8"/>
  <c r="AF79" i="8"/>
  <c r="AG79" i="8"/>
  <c r="AI79" i="8"/>
  <c r="AB79" i="8"/>
  <c r="Q79" i="8"/>
  <c r="AD79" i="8"/>
  <c r="AH79" i="8"/>
  <c r="Z79" i="8"/>
  <c r="U79" i="8"/>
  <c r="AJ79" i="8"/>
  <c r="E129" i="8" l="1"/>
  <c r="E131" i="8" s="1"/>
  <c r="E136" i="8" s="1"/>
  <c r="E138" i="8" s="1"/>
  <c r="AJ104" i="8"/>
  <c r="AJ110" i="8"/>
  <c r="AM110" i="8" s="1"/>
  <c r="AJ109" i="8"/>
  <c r="AM109" i="8" s="1"/>
  <c r="AM19" i="8"/>
  <c r="AM18" i="8"/>
  <c r="AM27" i="8"/>
  <c r="AM96" i="8"/>
  <c r="F129" i="8" l="1"/>
  <c r="AJ103" i="8"/>
  <c r="AM103" i="8" s="1"/>
  <c r="AJ94" i="8"/>
  <c r="AM94" i="8" s="1"/>
  <c r="AJ108" i="8"/>
  <c r="AM108" i="8" s="1"/>
  <c r="AJ111" i="8"/>
  <c r="AM111" i="8" s="1"/>
  <c r="AM117" i="8"/>
  <c r="AM115" i="8"/>
  <c r="AM95" i="8" l="1"/>
  <c r="V66" i="8" l="1"/>
  <c r="T66" i="8"/>
  <c r="V118" i="8"/>
  <c r="R118" i="8"/>
  <c r="N118" i="8"/>
  <c r="U11" i="8"/>
  <c r="U14" i="10" s="1"/>
  <c r="Q11" i="8"/>
  <c r="Q37" i="8"/>
  <c r="AC37" i="8" s="1"/>
  <c r="Q34" i="8"/>
  <c r="AD34" i="8" s="1"/>
  <c r="M11" i="8"/>
  <c r="S49" i="8"/>
  <c r="S58" i="8" s="1"/>
  <c r="R49" i="8"/>
  <c r="R58" i="8" s="1"/>
  <c r="N49" i="8"/>
  <c r="N58" i="8" s="1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L66" i="8"/>
  <c r="K66" i="8"/>
  <c r="J49" i="8"/>
  <c r="J58" i="8" s="1"/>
  <c r="K49" i="8"/>
  <c r="K58" i="8" s="1"/>
  <c r="L49" i="8"/>
  <c r="L58" i="8" s="1"/>
  <c r="O49" i="8"/>
  <c r="O58" i="8" s="1"/>
  <c r="P49" i="8"/>
  <c r="P58" i="8" s="1"/>
  <c r="T49" i="8"/>
  <c r="T58" i="8" s="1"/>
  <c r="V49" i="8"/>
  <c r="V58" i="8" s="1"/>
  <c r="W49" i="8"/>
  <c r="W58" i="8" s="1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2" i="8"/>
  <c r="J41" i="8"/>
  <c r="H42" i="8"/>
  <c r="G42" i="8"/>
  <c r="F42" i="8"/>
  <c r="H41" i="8"/>
  <c r="G41" i="8"/>
  <c r="F41" i="8"/>
  <c r="W11" i="8"/>
  <c r="V11" i="8"/>
  <c r="T11" i="8"/>
  <c r="S11" i="8"/>
  <c r="R11" i="8"/>
  <c r="P11" i="8"/>
  <c r="P14" i="10" s="1"/>
  <c r="O11" i="8"/>
  <c r="O14" i="10" s="1"/>
  <c r="N11" i="8"/>
  <c r="N14" i="10" s="1"/>
  <c r="L11" i="8"/>
  <c r="L14" i="10" s="1"/>
  <c r="K11" i="8"/>
  <c r="K14" i="10" s="1"/>
  <c r="J11" i="8"/>
  <c r="J14" i="10" s="1"/>
  <c r="H4" i="10"/>
  <c r="H3" i="10"/>
  <c r="R14" i="8" l="1"/>
  <c r="R20" i="8" s="1"/>
  <c r="R24" i="8" s="1"/>
  <c r="R14" i="10"/>
  <c r="M14" i="10"/>
  <c r="Q14" i="10"/>
  <c r="T14" i="8"/>
  <c r="T15" i="8" s="1"/>
  <c r="T14" i="10"/>
  <c r="V14" i="8"/>
  <c r="V20" i="8" s="1"/>
  <c r="V24" i="8" s="1"/>
  <c r="V25" i="8" s="1"/>
  <c r="V14" i="10"/>
  <c r="W14" i="8"/>
  <c r="W15" i="8" s="1"/>
  <c r="W14" i="10"/>
  <c r="S14" i="8"/>
  <c r="S15" i="8" s="1"/>
  <c r="S14" i="10"/>
  <c r="J14" i="8"/>
  <c r="J15" i="8" s="1"/>
  <c r="T72" i="8"/>
  <c r="K14" i="8"/>
  <c r="K15" i="8" s="1"/>
  <c r="N14" i="8"/>
  <c r="N20" i="8" s="1"/>
  <c r="N24" i="8" s="1"/>
  <c r="N25" i="8" s="1"/>
  <c r="K72" i="8"/>
  <c r="O14" i="8"/>
  <c r="O15" i="8" s="1"/>
  <c r="L72" i="8"/>
  <c r="P14" i="8"/>
  <c r="P15" i="8" s="1"/>
  <c r="L14" i="8"/>
  <c r="L20" i="8" s="1"/>
  <c r="L24" i="8" s="1"/>
  <c r="R66" i="8"/>
  <c r="W66" i="8"/>
  <c r="O66" i="8"/>
  <c r="N66" i="8"/>
  <c r="S66" i="8"/>
  <c r="H66" i="8"/>
  <c r="P66" i="8"/>
  <c r="W118" i="8"/>
  <c r="K118" i="8"/>
  <c r="U118" i="8"/>
  <c r="M118" i="8"/>
  <c r="O118" i="8"/>
  <c r="S118" i="8"/>
  <c r="T118" i="8"/>
  <c r="M14" i="8"/>
  <c r="M15" i="8" s="1"/>
  <c r="U14" i="8"/>
  <c r="U15" i="8" s="1"/>
  <c r="Q14" i="8"/>
  <c r="Q15" i="8" s="1"/>
  <c r="U66" i="8"/>
  <c r="U49" i="8"/>
  <c r="U58" i="8" s="1"/>
  <c r="Q49" i="8"/>
  <c r="Q58" i="8" s="1"/>
  <c r="Q66" i="8"/>
  <c r="M49" i="8"/>
  <c r="M58" i="8" s="1"/>
  <c r="M66" i="8"/>
  <c r="V28" i="8" l="1"/>
  <c r="R15" i="8"/>
  <c r="S20" i="8"/>
  <c r="T20" i="8"/>
  <c r="T24" i="8" s="1"/>
  <c r="V31" i="8"/>
  <c r="V21" i="8"/>
  <c r="V15" i="8"/>
  <c r="W20" i="8"/>
  <c r="W21" i="8" s="1"/>
  <c r="J20" i="8"/>
  <c r="J24" i="8" s="1"/>
  <c r="J25" i="8" s="1"/>
  <c r="O20" i="8"/>
  <c r="O24" i="8" s="1"/>
  <c r="L80" i="8"/>
  <c r="L82" i="8" s="1"/>
  <c r="T80" i="8"/>
  <c r="T82" i="8" s="1"/>
  <c r="K80" i="8"/>
  <c r="K82" i="8" s="1"/>
  <c r="N21" i="8"/>
  <c r="N28" i="8"/>
  <c r="N15" i="8"/>
  <c r="P20" i="8"/>
  <c r="P24" i="8" s="1"/>
  <c r="K20" i="8"/>
  <c r="K24" i="8" s="1"/>
  <c r="L15" i="8"/>
  <c r="U72" i="8"/>
  <c r="R72" i="8"/>
  <c r="P72" i="8"/>
  <c r="H72" i="8"/>
  <c r="O72" i="8"/>
  <c r="Q72" i="8"/>
  <c r="W72" i="8"/>
  <c r="M72" i="8"/>
  <c r="N72" i="8"/>
  <c r="S72" i="8"/>
  <c r="V72" i="8"/>
  <c r="P118" i="8"/>
  <c r="L118" i="8"/>
  <c r="Q118" i="8"/>
  <c r="S21" i="8"/>
  <c r="S24" i="8"/>
  <c r="M20" i="8"/>
  <c r="U20" i="8"/>
  <c r="Q20" i="8"/>
  <c r="R21" i="8"/>
  <c r="L21" i="8"/>
  <c r="T21" i="8" l="1"/>
  <c r="V32" i="8"/>
  <c r="V38" i="8"/>
  <c r="V91" i="8"/>
  <c r="V112" i="8" s="1"/>
  <c r="V135" i="8" s="1"/>
  <c r="AI135" i="8" s="1"/>
  <c r="V35" i="8"/>
  <c r="W24" i="8"/>
  <c r="W28" i="8" s="1"/>
  <c r="W31" i="8" s="1"/>
  <c r="N31" i="8"/>
  <c r="J21" i="8"/>
  <c r="R80" i="8"/>
  <c r="R82" i="8" s="1"/>
  <c r="O21" i="8"/>
  <c r="P21" i="8"/>
  <c r="Q80" i="8"/>
  <c r="Q82" i="8" s="1"/>
  <c r="U80" i="8"/>
  <c r="U82" i="8" s="1"/>
  <c r="P80" i="8"/>
  <c r="P82" i="8" s="1"/>
  <c r="O80" i="8"/>
  <c r="O82" i="8" s="1"/>
  <c r="M80" i="8"/>
  <c r="M82" i="8" s="1"/>
  <c r="K21" i="8"/>
  <c r="W80" i="8"/>
  <c r="W82" i="8" s="1"/>
  <c r="V80" i="8"/>
  <c r="V82" i="8" s="1"/>
  <c r="S80" i="8"/>
  <c r="S82" i="8" s="1"/>
  <c r="N80" i="8"/>
  <c r="N82" i="8" s="1"/>
  <c r="Q21" i="8"/>
  <c r="Q24" i="8"/>
  <c r="Q28" i="8" s="1"/>
  <c r="Q31" i="8" s="1"/>
  <c r="U24" i="8"/>
  <c r="U25" i="8" s="1"/>
  <c r="M24" i="8"/>
  <c r="M28" i="8" s="1"/>
  <c r="M31" i="8" s="1"/>
  <c r="M21" i="8"/>
  <c r="U21" i="8"/>
  <c r="T28" i="8"/>
  <c r="T25" i="8"/>
  <c r="S25" i="8"/>
  <c r="S28" i="8"/>
  <c r="L28" i="8"/>
  <c r="L25" i="8"/>
  <c r="P28" i="8"/>
  <c r="P25" i="8"/>
  <c r="O28" i="8"/>
  <c r="O31" i="8" s="1"/>
  <c r="O25" i="8"/>
  <c r="R28" i="8"/>
  <c r="R25" i="8"/>
  <c r="K25" i="8"/>
  <c r="K28" i="8"/>
  <c r="K31" i="8" s="1"/>
  <c r="W25" i="8" l="1"/>
  <c r="Q32" i="8"/>
  <c r="Q91" i="8"/>
  <c r="Q35" i="8"/>
  <c r="Q38" i="8"/>
  <c r="M32" i="8"/>
  <c r="M91" i="8"/>
  <c r="M35" i="8"/>
  <c r="M38" i="8"/>
  <c r="K32" i="8"/>
  <c r="K91" i="8"/>
  <c r="K35" i="8"/>
  <c r="K38" i="8"/>
  <c r="O32" i="8"/>
  <c r="O38" i="8"/>
  <c r="O91" i="8"/>
  <c r="O35" i="8"/>
  <c r="N32" i="8"/>
  <c r="N38" i="8"/>
  <c r="N91" i="8"/>
  <c r="N112" i="8" s="1"/>
  <c r="N135" i="8" s="1"/>
  <c r="AA135" i="8" s="1"/>
  <c r="N35" i="8"/>
  <c r="W32" i="8"/>
  <c r="W35" i="8"/>
  <c r="W38" i="8"/>
  <c r="W91" i="8"/>
  <c r="W112" i="8" s="1"/>
  <c r="W135" i="8" s="1"/>
  <c r="AJ135" i="8" s="1"/>
  <c r="S31" i="8"/>
  <c r="R31" i="8"/>
  <c r="L31" i="8"/>
  <c r="T31" i="8"/>
  <c r="P31" i="8"/>
  <c r="U28" i="8"/>
  <c r="U31" i="8" s="1"/>
  <c r="M25" i="8"/>
  <c r="Q25" i="8"/>
  <c r="P32" i="8" l="1"/>
  <c r="P38" i="8"/>
  <c r="P91" i="8"/>
  <c r="P112" i="8" s="1"/>
  <c r="P135" i="8" s="1"/>
  <c r="AC135" i="8" s="1"/>
  <c r="P35" i="8"/>
  <c r="T32" i="8"/>
  <c r="T91" i="8"/>
  <c r="T112" i="8" s="1"/>
  <c r="T135" i="8" s="1"/>
  <c r="AG135" i="8" s="1"/>
  <c r="T35" i="8"/>
  <c r="T38" i="8"/>
  <c r="U32" i="8"/>
  <c r="U91" i="8"/>
  <c r="U35" i="8"/>
  <c r="U38" i="8"/>
  <c r="R32" i="8"/>
  <c r="R91" i="8"/>
  <c r="R112" i="8" s="1"/>
  <c r="R135" i="8" s="1"/>
  <c r="AE135" i="8" s="1"/>
  <c r="R35" i="8"/>
  <c r="R38" i="8"/>
  <c r="L32" i="8"/>
  <c r="L91" i="8"/>
  <c r="L112" i="8" s="1"/>
  <c r="L135" i="8" s="1"/>
  <c r="L35" i="8"/>
  <c r="L38" i="8"/>
  <c r="S32" i="8"/>
  <c r="S91" i="8"/>
  <c r="S112" i="8" s="1"/>
  <c r="S135" i="8" s="1"/>
  <c r="AF135" i="8" s="1"/>
  <c r="S35" i="8"/>
  <c r="S38" i="8"/>
  <c r="K112" i="8"/>
  <c r="K135" i="8" s="1"/>
  <c r="M112" i="8"/>
  <c r="M135" i="8" s="1"/>
  <c r="Z135" i="8" s="1"/>
  <c r="AB91" i="8"/>
  <c r="O112" i="8"/>
  <c r="O135" i="8" s="1"/>
  <c r="AB135" i="8" s="1"/>
  <c r="AA91" i="8" l="1"/>
  <c r="Z91" i="8"/>
  <c r="B88" i="8" l="1"/>
  <c r="B87" i="8"/>
  <c r="J88" i="8"/>
  <c r="J87" i="8"/>
  <c r="H88" i="8"/>
  <c r="G88" i="8"/>
  <c r="F88" i="8"/>
  <c r="H87" i="8"/>
  <c r="G87" i="8"/>
  <c r="F87" i="8"/>
  <c r="B42" i="8"/>
  <c r="B41" i="8"/>
  <c r="AJ42" i="8"/>
  <c r="AI42" i="8"/>
  <c r="AH42" i="8"/>
  <c r="AF42" i="8"/>
  <c r="AE42" i="8"/>
  <c r="AD42" i="8"/>
  <c r="AB42" i="8"/>
  <c r="AA42" i="8"/>
  <c r="Z42" i="8"/>
  <c r="AG42" i="8"/>
  <c r="AC42" i="8"/>
  <c r="AJ41" i="8"/>
  <c r="AI41" i="8"/>
  <c r="AH41" i="8"/>
  <c r="AG41" i="8"/>
  <c r="AF41" i="8"/>
  <c r="AE41" i="8"/>
  <c r="AD41" i="8"/>
  <c r="AC41" i="8"/>
  <c r="AB41" i="8"/>
  <c r="AA41" i="8"/>
  <c r="Z41" i="8"/>
  <c r="Z87" i="8" l="1"/>
  <c r="AC87" i="8"/>
  <c r="AD87" i="8"/>
  <c r="AD88" i="8"/>
  <c r="AG87" i="8"/>
  <c r="AH87" i="8"/>
  <c r="AC88" i="8"/>
  <c r="AH88" i="8"/>
  <c r="AI88" i="8"/>
  <c r="AF87" i="8"/>
  <c r="AA87" i="8"/>
  <c r="AI87" i="8"/>
  <c r="AF88" i="8"/>
  <c r="AE88" i="8"/>
  <c r="AB87" i="8"/>
  <c r="AJ87" i="8"/>
  <c r="AG88" i="8"/>
  <c r="Z88" i="8"/>
  <c r="AA88" i="8"/>
  <c r="AE87" i="8"/>
  <c r="AB88" i="8"/>
  <c r="AJ88" i="8"/>
  <c r="AE11" i="8" l="1"/>
  <c r="G49" i="8"/>
  <c r="G58" i="8" s="1"/>
  <c r="F49" i="8"/>
  <c r="F58" i="8" s="1"/>
  <c r="H49" i="8"/>
  <c r="H58" i="8" s="1"/>
  <c r="Z66" i="8" l="1"/>
  <c r="Z72" i="8" s="1"/>
  <c r="Z49" i="8"/>
  <c r="Z58" i="8" s="1"/>
  <c r="AF11" i="8"/>
  <c r="AE14" i="8"/>
  <c r="AE20" i="8" s="1"/>
  <c r="AE24" i="8" s="1"/>
  <c r="AF49" i="8"/>
  <c r="AF58" i="8" s="1"/>
  <c r="AD49" i="8"/>
  <c r="AD58" i="8" s="1"/>
  <c r="AF66" i="8"/>
  <c r="AF72" i="8" s="1"/>
  <c r="AE66" i="8"/>
  <c r="AE72" i="8" s="1"/>
  <c r="AA66" i="8"/>
  <c r="AA72" i="8" s="1"/>
  <c r="AC11" i="8"/>
  <c r="AA49" i="8"/>
  <c r="AA58" i="8" s="1"/>
  <c r="AE49" i="8"/>
  <c r="AE58" i="8" s="1"/>
  <c r="AD11" i="8"/>
  <c r="AB49" i="8"/>
  <c r="AB58" i="8" s="1"/>
  <c r="AB66" i="8"/>
  <c r="AB72" i="8" s="1"/>
  <c r="AD66" i="8"/>
  <c r="AD72" i="8" s="1"/>
  <c r="AH49" i="8"/>
  <c r="AH58" i="8" s="1"/>
  <c r="AH11" i="8"/>
  <c r="AH66" i="8"/>
  <c r="AH72" i="8" s="1"/>
  <c r="AI66" i="8"/>
  <c r="AI72" i="8" s="1"/>
  <c r="AG11" i="8"/>
  <c r="AI11" i="8"/>
  <c r="AI49" i="8"/>
  <c r="AI58" i="8" s="1"/>
  <c r="AE21" i="8" l="1"/>
  <c r="AE28" i="8"/>
  <c r="AE31" i="8" s="1"/>
  <c r="AD14" i="8"/>
  <c r="AD20" i="8" s="1"/>
  <c r="AD24" i="8" s="1"/>
  <c r="Z80" i="8"/>
  <c r="Z82" i="8" s="1"/>
  <c r="AH14" i="8"/>
  <c r="AH20" i="8" s="1"/>
  <c r="AH24" i="8" s="1"/>
  <c r="AM10" i="8"/>
  <c r="AF80" i="8"/>
  <c r="AF82" i="8" s="1"/>
  <c r="AD80" i="8"/>
  <c r="AD82" i="8" s="1"/>
  <c r="AB80" i="8"/>
  <c r="AB82" i="8" s="1"/>
  <c r="AM17" i="8"/>
  <c r="AE80" i="8"/>
  <c r="AE82" i="8" s="1"/>
  <c r="AF14" i="8"/>
  <c r="AF20" i="8" s="1"/>
  <c r="AF24" i="8" s="1"/>
  <c r="AA80" i="8"/>
  <c r="AA82" i="8" s="1"/>
  <c r="AC14" i="8"/>
  <c r="AC20" i="8" s="1"/>
  <c r="AC24" i="8" s="1"/>
  <c r="AE15" i="8"/>
  <c r="AM13" i="8"/>
  <c r="AH80" i="8"/>
  <c r="AH82" i="8" s="1"/>
  <c r="AI14" i="8"/>
  <c r="AI20" i="8" s="1"/>
  <c r="AI24" i="8" s="1"/>
  <c r="AG14" i="8"/>
  <c r="AG20" i="8" s="1"/>
  <c r="AG24" i="8" s="1"/>
  <c r="AI80" i="8"/>
  <c r="AI82" i="8" s="1"/>
  <c r="AE32" i="8" l="1"/>
  <c r="AE38" i="8"/>
  <c r="AE35" i="8"/>
  <c r="AD21" i="8"/>
  <c r="AD28" i="8"/>
  <c r="AD31" i="8" s="1"/>
  <c r="AC21" i="8"/>
  <c r="AC28" i="8"/>
  <c r="AC31" i="8" s="1"/>
  <c r="AF28" i="8"/>
  <c r="AF31" i="8" s="1"/>
  <c r="AF21" i="8"/>
  <c r="AH28" i="8"/>
  <c r="AH31" i="8" s="1"/>
  <c r="AH21" i="8"/>
  <c r="AG28" i="8"/>
  <c r="AG31" i="8" s="1"/>
  <c r="AG21" i="8"/>
  <c r="AI28" i="8"/>
  <c r="AI31" i="8" s="1"/>
  <c r="AI21" i="8"/>
  <c r="AH15" i="8"/>
  <c r="AG15" i="8"/>
  <c r="AD15" i="8"/>
  <c r="AI15" i="8"/>
  <c r="AF15" i="8"/>
  <c r="AE25" i="8"/>
  <c r="AC15" i="8"/>
  <c r="AF32" i="8" l="1"/>
  <c r="AF38" i="8"/>
  <c r="AF35" i="8"/>
  <c r="AI32" i="8"/>
  <c r="AI35" i="8"/>
  <c r="AI38" i="8"/>
  <c r="AG32" i="8"/>
  <c r="AG35" i="8"/>
  <c r="AG38" i="8"/>
  <c r="AD32" i="8"/>
  <c r="AD38" i="8"/>
  <c r="AD35" i="8"/>
  <c r="AH32" i="8"/>
  <c r="AH35" i="8"/>
  <c r="AH38" i="8"/>
  <c r="AC32" i="8"/>
  <c r="AC35" i="8"/>
  <c r="AC38" i="8"/>
  <c r="AD25" i="8"/>
  <c r="AC25" i="8"/>
  <c r="AH25" i="8"/>
  <c r="AI25" i="8"/>
  <c r="AF25" i="8"/>
  <c r="AG25" i="8"/>
  <c r="AC66" i="8" l="1"/>
  <c r="AG66" i="8"/>
  <c r="AG72" i="8" s="1"/>
  <c r="AC72" i="8" l="1"/>
  <c r="AC80" i="8" s="1"/>
  <c r="AA118" i="8"/>
  <c r="AB118" i="8"/>
  <c r="Z118" i="8"/>
  <c r="AF118" i="8"/>
  <c r="AC118" i="8"/>
  <c r="AD118" i="8"/>
  <c r="AE118" i="8"/>
  <c r="AG118" i="8"/>
  <c r="AI118" i="8"/>
  <c r="AH118" i="8"/>
  <c r="H11" i="8" l="1"/>
  <c r="H14" i="10" s="1"/>
  <c r="G11" i="8"/>
  <c r="F11" i="8"/>
  <c r="J118" i="8"/>
  <c r="H118" i="8"/>
  <c r="G118" i="8"/>
  <c r="F118" i="8"/>
  <c r="J66" i="8"/>
  <c r="G66" i="8"/>
  <c r="F66" i="8"/>
  <c r="AJ11" i="8"/>
  <c r="J72" i="8" l="1"/>
  <c r="G72" i="8"/>
  <c r="F72" i="8"/>
  <c r="AM11" i="8"/>
  <c r="AG80" i="8"/>
  <c r="G14" i="8"/>
  <c r="G20" i="8" s="1"/>
  <c r="G24" i="8" s="1"/>
  <c r="F14" i="8"/>
  <c r="F20" i="8" s="1"/>
  <c r="F24" i="8" s="1"/>
  <c r="H14" i="8"/>
  <c r="H20" i="8" s="1"/>
  <c r="H24" i="8" s="1"/>
  <c r="AJ66" i="8"/>
  <c r="AJ72" i="8" s="1"/>
  <c r="AM79" i="8"/>
  <c r="F80" i="8" l="1"/>
  <c r="F82" i="8" s="1"/>
  <c r="F21" i="8"/>
  <c r="G21" i="8"/>
  <c r="G28" i="8"/>
  <c r="J28" i="8"/>
  <c r="J31" i="8" s="1"/>
  <c r="H28" i="8"/>
  <c r="H21" i="8"/>
  <c r="AG49" i="8"/>
  <c r="J80" i="8"/>
  <c r="J82" i="8" s="1"/>
  <c r="AC49" i="8"/>
  <c r="G80" i="8"/>
  <c r="G82" i="8" s="1"/>
  <c r="H80" i="8"/>
  <c r="H82" i="8" s="1"/>
  <c r="AM72" i="8"/>
  <c r="AM66" i="8"/>
  <c r="AJ49" i="8"/>
  <c r="AJ58" i="8" s="1"/>
  <c r="G15" i="8"/>
  <c r="H15" i="8"/>
  <c r="F15" i="8"/>
  <c r="AJ14" i="8"/>
  <c r="AJ20" i="8" s="1"/>
  <c r="J32" i="8" l="1"/>
  <c r="J91" i="8"/>
  <c r="J35" i="8"/>
  <c r="J38" i="8"/>
  <c r="H31" i="8"/>
  <c r="AF91" i="8"/>
  <c r="G31" i="8"/>
  <c r="AH91" i="8"/>
  <c r="AJ91" i="8"/>
  <c r="AI91" i="8"/>
  <c r="AG91" i="8"/>
  <c r="AC58" i="8"/>
  <c r="AC82" i="8" s="1"/>
  <c r="AG58" i="8"/>
  <c r="AG82" i="8" s="1"/>
  <c r="AM20" i="8"/>
  <c r="AJ24" i="8"/>
  <c r="F25" i="8"/>
  <c r="F28" i="8"/>
  <c r="AJ21" i="8"/>
  <c r="AM21" i="8" s="1"/>
  <c r="H25" i="8"/>
  <c r="G25" i="8"/>
  <c r="AM126" i="8"/>
  <c r="AJ80" i="8"/>
  <c r="AM80" i="8" s="1"/>
  <c r="AM58" i="8"/>
  <c r="AM49" i="8"/>
  <c r="AM14" i="8"/>
  <c r="AJ118" i="8"/>
  <c r="AM118" i="8" s="1"/>
  <c r="AJ15" i="8"/>
  <c r="AM15" i="8" s="1"/>
  <c r="G32" i="8" l="1"/>
  <c r="G38" i="8"/>
  <c r="G91" i="8"/>
  <c r="G112" i="8" s="1"/>
  <c r="G135" i="8" s="1"/>
  <c r="G35" i="8"/>
  <c r="H32" i="8"/>
  <c r="H91" i="8"/>
  <c r="H112" i="8" s="1"/>
  <c r="H135" i="8" s="1"/>
  <c r="H35" i="8"/>
  <c r="H38" i="8"/>
  <c r="Q112" i="8"/>
  <c r="Q135" i="8" s="1"/>
  <c r="AD135" i="8" s="1"/>
  <c r="AC91" i="8"/>
  <c r="AD91" i="8"/>
  <c r="AE91" i="8"/>
  <c r="F31" i="8"/>
  <c r="AJ28" i="8"/>
  <c r="AJ31" i="8" s="1"/>
  <c r="AM24" i="8"/>
  <c r="U112" i="8"/>
  <c r="U135" i="8" s="1"/>
  <c r="AH135" i="8" s="1"/>
  <c r="J112" i="8"/>
  <c r="J135" i="8" s="1"/>
  <c r="AJ82" i="8"/>
  <c r="AJ25" i="8"/>
  <c r="AM25" i="8" s="1"/>
  <c r="F32" i="8" l="1"/>
  <c r="F38" i="8"/>
  <c r="F91" i="8"/>
  <c r="F112" i="8" s="1"/>
  <c r="F135" i="8" s="1"/>
  <c r="F35" i="8"/>
  <c r="AJ32" i="8"/>
  <c r="AM32" i="8" s="1"/>
  <c r="AJ35" i="8"/>
  <c r="AJ38" i="8"/>
  <c r="AM31" i="8"/>
  <c r="AF112" i="8"/>
  <c r="AG112" i="8"/>
  <c r="AC112" i="8" l="1"/>
  <c r="AD112" i="8"/>
  <c r="AE112" i="8"/>
  <c r="AM28" i="8"/>
  <c r="AM35" i="8" l="1"/>
  <c r="AM38" i="8"/>
  <c r="F131" i="8" l="1"/>
  <c r="F136" i="8" l="1"/>
  <c r="F138" i="8" s="1"/>
  <c r="J129" i="8"/>
  <c r="J131" i="8" s="1"/>
  <c r="J136" i="8" s="1"/>
  <c r="J138" i="8" s="1"/>
  <c r="G129" i="8"/>
  <c r="G131" i="8" s="1"/>
  <c r="G136" i="8" s="1"/>
  <c r="G138" i="8" s="1"/>
  <c r="K129" i="8" l="1"/>
  <c r="K131" i="8" s="1"/>
  <c r="K136" i="8" s="1"/>
  <c r="K138" i="8" s="1"/>
  <c r="H129" i="8"/>
  <c r="H131" i="8" s="1"/>
  <c r="H136" i="8" s="1"/>
  <c r="H138" i="8" s="1"/>
  <c r="L129" i="8" l="1"/>
  <c r="L131" i="8" s="1"/>
  <c r="L136" i="8" s="1"/>
  <c r="L138" i="8" s="1"/>
  <c r="M129" i="8" l="1"/>
  <c r="M131" i="8" s="1"/>
  <c r="M136" i="8" l="1"/>
  <c r="M138" i="8" s="1"/>
  <c r="Z129" i="8"/>
  <c r="N129" i="8" l="1"/>
  <c r="N131" i="8" s="1"/>
  <c r="N136" i="8" s="1"/>
  <c r="N138" i="8" s="1"/>
  <c r="O129" i="8"/>
  <c r="O131" i="8" s="1"/>
  <c r="O136" i="8" s="1"/>
  <c r="O138" i="8" s="1"/>
  <c r="P129" i="8" l="1"/>
  <c r="P131" i="8" s="1"/>
  <c r="P136" i="8" s="1"/>
  <c r="P138" i="8" s="1"/>
  <c r="Q129" i="8"/>
  <c r="Q131" i="8" s="1"/>
  <c r="Q136" i="8" s="1"/>
  <c r="Q138" i="8" s="1"/>
  <c r="R129" i="8" l="1"/>
  <c r="R131" i="8" s="1"/>
  <c r="R136" i="8" s="1"/>
  <c r="R138" i="8" s="1"/>
  <c r="S129" i="8" l="1"/>
  <c r="S131" i="8" s="1"/>
  <c r="S136" i="8" s="1"/>
  <c r="S138" i="8" s="1"/>
  <c r="T129" i="8" l="1"/>
  <c r="T131" i="8" s="1"/>
  <c r="T136" i="8" s="1"/>
  <c r="T138" i="8" s="1"/>
  <c r="U129" i="8" l="1"/>
  <c r="U131" i="8" s="1"/>
  <c r="U136" i="8" s="1"/>
  <c r="U138" i="8" s="1"/>
  <c r="V129" i="8" l="1"/>
  <c r="V131" i="8" s="1"/>
  <c r="V136" i="8" s="1"/>
  <c r="V138" i="8" s="1"/>
  <c r="W129" i="8" l="1"/>
  <c r="W131" i="8" s="1"/>
  <c r="W136" i="8" s="1"/>
  <c r="W138" i="8" s="1"/>
  <c r="Z131" i="8" l="1"/>
  <c r="AB112" i="8" l="1"/>
  <c r="Z11" i="8"/>
  <c r="AB11" i="8"/>
  <c r="AA11" i="8"/>
  <c r="AA14" i="8" s="1"/>
  <c r="AA20" i="8" l="1"/>
  <c r="AA24" i="8" s="1"/>
  <c r="AA15" i="8"/>
  <c r="AB14" i="8"/>
  <c r="Z14" i="8"/>
  <c r="AB20" i="8" l="1"/>
  <c r="AB24" i="8" s="1"/>
  <c r="AB15" i="8"/>
  <c r="Z15" i="8"/>
  <c r="Z20" i="8"/>
  <c r="Z24" i="8" s="1"/>
  <c r="AA21" i="8"/>
  <c r="AA28" i="8" l="1"/>
  <c r="AA31" i="8" s="1"/>
  <c r="AA25" i="8"/>
  <c r="Z21" i="8"/>
  <c r="AB21" i="8"/>
  <c r="AA32" i="8" l="1"/>
  <c r="AA35" i="8"/>
  <c r="AA38" i="8"/>
  <c r="AB28" i="8"/>
  <c r="AB31" i="8" s="1"/>
  <c r="AB25" i="8"/>
  <c r="Z25" i="8"/>
  <c r="Z28" i="8"/>
  <c r="Z31" i="8" s="1"/>
  <c r="Z32" i="8" l="1"/>
  <c r="Z35" i="8"/>
  <c r="Z38" i="8"/>
  <c r="AB32" i="8"/>
  <c r="AB38" i="8"/>
  <c r="AB35" i="8"/>
  <c r="AH112" i="8"/>
  <c r="AI112" i="8"/>
  <c r="AA112" i="8"/>
  <c r="Z112" i="8"/>
  <c r="Z136" i="8" l="1"/>
  <c r="AJ112" i="8"/>
  <c r="AM91" i="8"/>
  <c r="Z138" i="8" l="1"/>
  <c r="AA129" i="8"/>
  <c r="AA131" i="8" s="1"/>
  <c r="AA136" i="8" s="1"/>
  <c r="AM112" i="8"/>
  <c r="AA138" i="8" l="1"/>
  <c r="AB129" i="8"/>
  <c r="AB131" i="8" s="1"/>
  <c r="AB136" i="8" s="1"/>
  <c r="AB138" i="8" l="1"/>
  <c r="AC129" i="8"/>
  <c r="AC131" i="8" s="1"/>
  <c r="AC136" i="8" s="1"/>
  <c r="AC138" i="8" l="1"/>
  <c r="AD129" i="8"/>
  <c r="AD131" i="8" s="1"/>
  <c r="AD136" i="8" s="1"/>
  <c r="AD138" i="8" l="1"/>
  <c r="AE129" i="8"/>
  <c r="AE131" i="8" s="1"/>
  <c r="AE136" i="8" s="1"/>
  <c r="AE138" i="8" l="1"/>
  <c r="AF129" i="8"/>
  <c r="AF131" i="8" s="1"/>
  <c r="AF136" i="8" s="1"/>
  <c r="AF138" i="8" l="1"/>
  <c r="AG129" i="8"/>
  <c r="AG131" i="8" s="1"/>
  <c r="AG136" i="8" s="1"/>
  <c r="AG138" i="8" l="1"/>
  <c r="AH129" i="8"/>
  <c r="AH131" i="8" s="1"/>
  <c r="AH136" i="8" s="1"/>
  <c r="AH138" i="8" l="1"/>
  <c r="AI129" i="8"/>
  <c r="AI131" i="8" s="1"/>
  <c r="AI136" i="8" s="1"/>
  <c r="AI138" i="8" l="1"/>
  <c r="AJ129" i="8"/>
  <c r="AJ131" i="8" s="1"/>
  <c r="AJ136" i="8" s="1"/>
  <c r="AJ138" i="8" s="1"/>
  <c r="C75" i="11" l="1"/>
  <c r="C84" i="11" s="1"/>
  <c r="C79" i="11"/>
  <c r="C80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<sst xmlns="http://schemas.openxmlformats.org/spreadsheetml/2006/main" count="251" uniqueCount="187">
  <si>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</si>
  <si>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</si>
  <si>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</si>
  <si>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</si>
  <si>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</si>
  <si>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</si>
  <si>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</si>
  <si>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</si>
  <si>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</si>
  <si>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</si>
  <si>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</si>
  <si>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</si>
  <si>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</si>
  <si>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</si>
  <si>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</si>
  <si>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</si>
  <si>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</si>
  <si>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</si>
  <si>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</si>
  <si>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</si>
  <si>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</si>
  <si>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</si>
  <si>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</si>
  <si>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</si>
  <si>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</si>
  <si>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</si>
  <si>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</si>
  <si>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</si>
  <si>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</si>
  <si>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</si>
  <si>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</si>
  <si>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</si>
  <si>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</si>
  <si>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</si>
  <si>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</si>
  <si>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</si>
  <si>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</si>
  <si>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</si>
  <si>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</si>
  <si>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</si>
  <si>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</si>
  <si>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</si>
  <si>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</si>
  <si>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</si>
  <si>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</si>
  <si>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</si>
  <si>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</si>
  <si>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</si>
  <si>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</si>
  <si>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</si>
  <si>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</si>
  <si>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</si>
  <si>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Payable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</si>
  <si>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</si>
  <si>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</si>
  <si>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</si>
  <si>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</si>
  <si>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</si>
  <si>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</si>
  <si>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</si>
  <si>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Depreciation and amortization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</si>
  <si>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</si>
  <si>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</si>
  <si>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</si>
  <si>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</si>
  <si>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</si>
  <si>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</si>
  <si>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</si>
  <si>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</si>
  <si>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</si>
  <si>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</si>
  <si>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</si>
  <si>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</si>
  <si>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</si>
  <si>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</si>
  <si>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</si>
  <si>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</si>
  <si>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</si>
  <si>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Cash paid for interest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</si>
  <si>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</si>
  <si>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</si>
  <si>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</si>
  <si>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</si>
  <si>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</si>
  <si>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</si>
  <si>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</si>
  <si>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</si>
  <si>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</si>
  <si>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</si>
  <si>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</si>
  <si>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</si>
  <si>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</si>
  <si>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Non-Current Liabilities</t>
  </si>
  <si>
    <t>Cash and cash equivalents</t>
  </si>
  <si>
    <t>Property and equipment, net</t>
  </si>
  <si>
    <t>Goodwill</t>
  </si>
  <si>
    <t>Additional paid-in capital</t>
  </si>
  <si>
    <t>$ in thousands except per share</t>
  </si>
  <si>
    <t>Deferred revenue</t>
  </si>
  <si>
    <t>Non-cash lease expense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</si>
  <si>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</si>
  <si>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</si>
  <si>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Segment Anaysis</t>
  </si>
  <si>
    <t>Cosmetics</t>
  </si>
  <si>
    <t>Haircare products and styling tools</t>
  </si>
  <si>
    <t>Skincare</t>
  </si>
  <si>
    <t>Fragrance and bath</t>
  </si>
  <si>
    <t>Services</t>
  </si>
  <si>
    <t>Accessories and other</t>
  </si>
  <si>
    <t>Ulta Beauty Inc. (NASDAQ: ULTA)</t>
  </si>
  <si>
    <t>Selling, general and administrative expenses</t>
  </si>
  <si>
    <t>Pre-opening expenses</t>
  </si>
  <si>
    <t>Impairment, restructuring and other costs</t>
  </si>
  <si>
    <t>Interest Income (Expense), net</t>
  </si>
  <si>
    <t>Income tax expense</t>
  </si>
  <si>
    <t>Receivables, net</t>
  </si>
  <si>
    <t>Merchandise inventories, net</t>
  </si>
  <si>
    <t>Prepaid expenses and other current assets</t>
  </si>
  <si>
    <t>Operating lease assets</t>
  </si>
  <si>
    <t>Other intangible assets, net</t>
  </si>
  <si>
    <t>Deferred compensation plan assets</t>
  </si>
  <si>
    <t>Other long-term assets</t>
  </si>
  <si>
    <t>Accrued liabilities</t>
  </si>
  <si>
    <t>Current operating lease liabilities</t>
  </si>
  <si>
    <t>Short-term debt</t>
  </si>
  <si>
    <t>Non-current operating lease liabilities</t>
  </si>
  <si>
    <t>Deferred income taxes</t>
  </si>
  <si>
    <t>Other long-term liabilities</t>
  </si>
  <si>
    <t>Retained earnings</t>
  </si>
  <si>
    <t>Stock-based compensation expense</t>
  </si>
  <si>
    <t>Loss on disposal of property and equipment</t>
  </si>
  <si>
    <t>Long-lived asset impairment charge</t>
  </si>
  <si>
    <t>Equity net loss of affiliate</t>
  </si>
  <si>
    <t>Receivables</t>
  </si>
  <si>
    <t>Merchandise inventories</t>
  </si>
  <si>
    <t>Income taxes</t>
  </si>
  <si>
    <t>Operating lease liabilities</t>
  </si>
  <si>
    <t>Other assets and liabilities</t>
  </si>
  <si>
    <t>Capital expenditures</t>
  </si>
  <si>
    <t>Acquisitions, net of cash acquired</t>
  </si>
  <si>
    <t>Other investments</t>
  </si>
  <si>
    <t>Debt issuance costs</t>
  </si>
  <si>
    <t>Repurchase of common shares</t>
  </si>
  <si>
    <t>Stock options exercised</t>
  </si>
  <si>
    <t>Purchase of treasury shares</t>
  </si>
  <si>
    <t>Income taxes paid</t>
  </si>
  <si>
    <t>BOP Restricted Cash Adjustment</t>
  </si>
  <si>
    <t>EOP FX Adjustment</t>
  </si>
  <si>
    <t>EOP Restricted Cash Adjustment</t>
  </si>
  <si>
    <t>Unrestricted Cash BOP</t>
  </si>
  <si>
    <t>($ In Thousands)</t>
  </si>
  <si>
    <t>Income before equity net loss of affiliate</t>
  </si>
  <si>
    <t>Margin (%)</t>
  </si>
  <si>
    <t>Net Income</t>
  </si>
  <si>
    <t>Proceeds from Debt Issuances / (Repayment)</t>
  </si>
  <si>
    <t>Accruals &amp; Other Current Liabilities</t>
  </si>
  <si>
    <t>Treasury Stock</t>
  </si>
  <si>
    <t>Common Stock</t>
  </si>
  <si>
    <t>Accumulated OCI</t>
  </si>
  <si>
    <t>3Q25</t>
  </si>
  <si>
    <t>($ In Millions)</t>
  </si>
  <si>
    <t>(-) Cost of Revenues</t>
  </si>
  <si>
    <t>(+) Share-Based Compensation (SBC)</t>
  </si>
  <si>
    <t>(+/-) Divestiture / Acquisitions</t>
  </si>
  <si>
    <t>Accounts Receivables</t>
  </si>
  <si>
    <t>Property and Equipment</t>
  </si>
  <si>
    <t>Summary Debt:</t>
  </si>
  <si>
    <t>CPLTD</t>
  </si>
  <si>
    <t>LTD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</si>
  <si>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</si>
  <si>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</si>
  <si>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</si>
  <si>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</si>
  <si>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</si>
  <si>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(-) Selling, general and administrative expenses</t>
  </si>
  <si>
    <t>(-) Pre-opening expenses</t>
  </si>
  <si>
    <t>(-) Impairment, restructuring and other costs</t>
  </si>
  <si>
    <t>(+) Impairment, restructuring and other costs</t>
  </si>
  <si>
    <t>(-) 'Proceeds from Debt Issuances / (Repayment)</t>
  </si>
  <si>
    <t>(-) Share Repurchases</t>
  </si>
  <si>
    <t>(+) Stock options exercised</t>
  </si>
  <si>
    <t>(-) Purchase of treasury shares</t>
  </si>
  <si>
    <t>$800MM Revolving Credit Facility</t>
  </si>
  <si>
    <t>L/C Avaliability ($50MM)</t>
  </si>
  <si>
    <t>Deferred Revenue</t>
  </si>
  <si>
    <t>$1,000MM Revolving Credit Facility</t>
  </si>
  <si>
    <t>£50MM Space NK RCF (+£10MM Accordion / 1.285 FX Adj.)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</si>
</sst>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8"/>
      <color rgb="FF0000CC"/>
      <name val="Calibri"/>
      <family val="2"/>
    </font>
    <font>
      <i/>
      <sz val="7"/>
      <color rgb="FFFF0000"/>
      <name val="Calibri"/>
      <family val="2"/>
    </font>
    <font>
      <i/>
      <sz val="9"/>
      <color rgb="FF0000C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7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7" fillId="3" borderId="0" xfId="1" applyNumberFormat="1" applyFont="1" applyFill="1" applyBorder="1" applyAlignment="1">
      <alignment horizontal="right" vertical="center" wrapText="1"/>
    </xf>
    <xf numFmtId="167" fontId="27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37" fontId="4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43" fontId="21" fillId="0" borderId="8" xfId="0" applyNumberFormat="1" applyFont="1" applyBorder="1" applyAlignment="1">
      <alignment wrapText="1"/>
    </xf>
    <xf numFmtId="41" fontId="6" fillId="0" borderId="8" xfId="0" applyNumberFormat="1" applyFont="1" applyBorder="1" applyAlignment="1">
      <alignment horizontal="right" vertical="top" wrapText="1"/>
    </xf>
    <xf numFmtId="0" fontId="8" fillId="5" borderId="9" xfId="0" applyFont="1" applyFill="1" applyBorder="1" applyAlignment="1">
      <alignment horizontal="right" vertical="center" wrapText="1"/>
    </xf>
    <xf numFmtId="41" fontId="8" fillId="0" borderId="9" xfId="0" applyNumberFormat="1" applyFont="1" applyBorder="1" applyAlignment="1">
      <alignment horizontal="right" vertical="top" wrapText="1"/>
    </xf>
    <xf numFmtId="0" fontId="4" fillId="0" borderId="9" xfId="0" applyFont="1" applyBorder="1"/>
    <xf numFmtId="0" fontId="21" fillId="0" borderId="10" xfId="0" applyFont="1" applyBorder="1" applyAlignment="1">
      <alignment horizontal="right" vertical="top" wrapText="1"/>
    </xf>
    <xf numFmtId="0" fontId="15" fillId="0" borderId="6" xfId="0" applyFont="1" applyBorder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8" fillId="2" borderId="0" xfId="0" applyFont="1" applyFill="1" applyAlignment="1">
      <alignment horizontal="center" vertical="center" wrapText="1"/>
    </xf>
    <xf numFmtId="41" fontId="11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vertical="center" wrapText="1"/>
    </xf>
    <xf numFmtId="5" fontId="8" fillId="5" borderId="2" xfId="0" applyNumberFormat="1" applyFont="1" applyFill="1" applyBorder="1" applyAlignment="1">
      <alignment horizontal="right" vertical="top" wrapText="1"/>
    </xf>
    <xf numFmtId="5" fontId="8" fillId="5" borderId="7" xfId="0" applyNumberFormat="1" applyFont="1" applyFill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41" fontId="6" fillId="0" borderId="0" xfId="0" applyNumberFormat="1" applyFont="1" applyBorder="1" applyAlignment="1">
      <alignment horizontal="right" vertical="top" wrapText="1"/>
    </xf>
    <xf numFmtId="5" fontId="6" fillId="0" borderId="0" xfId="0" applyNumberFormat="1" applyFont="1" applyBorder="1" applyAlignment="1">
      <alignment horizontal="right" vertical="top" wrapText="1"/>
    </xf>
    <xf numFmtId="5" fontId="8" fillId="5" borderId="0" xfId="0" applyNumberFormat="1" applyFont="1" applyFill="1" applyBorder="1" applyAlignment="1">
      <alignment horizontal="right" vertical="top" wrapText="1"/>
    </xf>
    <xf numFmtId="41" fontId="6" fillId="0" borderId="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wrapText="1"/>
    </xf>
    <xf numFmtId="37" fontId="4" fillId="0" borderId="0" xfId="0" applyNumberFormat="1" applyFont="1" applyBorder="1" applyAlignment="1">
      <alignment wrapText="1"/>
    </xf>
    <xf numFmtId="41" fontId="11" fillId="0" borderId="11" xfId="0" applyNumberFormat="1" applyFont="1" applyBorder="1" applyAlignment="1">
      <alignment horizontal="right" vertical="top" wrapText="1"/>
    </xf>
    <xf numFmtId="41" fontId="6" fillId="0" borderId="11" xfId="0" applyNumberFormat="1" applyFont="1" applyBorder="1" applyAlignment="1">
      <alignment horizontal="right" vertical="top" wrapText="1"/>
    </xf>
    <xf numFmtId="0" fontId="23" fillId="9" borderId="12" xfId="0" applyFont="1" applyFill="1" applyBorder="1"/>
    <xf numFmtId="9" fontId="29" fillId="0" borderId="2" xfId="1" applyFont="1" applyBorder="1"/>
    <xf numFmtId="0" fontId="23" fillId="9" borderId="13" xfId="0" applyFont="1" applyFill="1" applyBorder="1"/>
    <xf numFmtId="9" fontId="29" fillId="0" borderId="0" xfId="1" applyFont="1" applyBorder="1"/>
    <xf numFmtId="0" fontId="23" fillId="9" borderId="14" xfId="0" applyFont="1" applyFill="1" applyBorder="1"/>
    <xf numFmtId="9" fontId="29" fillId="0" borderId="6" xfId="1" applyFont="1" applyBorder="1"/>
    <xf numFmtId="9" fontId="10" fillId="0" borderId="2" xfId="1" applyFont="1" applyBorder="1"/>
    <xf numFmtId="9" fontId="10" fillId="0" borderId="0" xfId="1" applyFont="1" applyBorder="1"/>
    <xf numFmtId="9" fontId="10" fillId="0" borderId="6" xfId="1" applyFont="1" applyBorder="1"/>
    <xf numFmtId="0" fontId="30" fillId="0" borderId="0" xfId="0" applyFont="1" applyAlignment="1">
      <alignment horizontal="right" vertical="center" wrapText="1"/>
    </xf>
    <xf numFmtId="9" fontId="10" fillId="0" borderId="15" xfId="1" applyFont="1" applyBorder="1"/>
    <xf numFmtId="9" fontId="10" fillId="0" borderId="16" xfId="1" applyFont="1" applyBorder="1"/>
    <xf numFmtId="9" fontId="10" fillId="0" borderId="17" xfId="1" applyFont="1" applyBorder="1"/>
    <xf numFmtId="41" fontId="4" fillId="0" borderId="0" xfId="0" applyNumberFormat="1" applyFont="1" applyAlignment="1">
      <alignment vertical="center"/>
    </xf>
    <xf numFmtId="41" fontId="25" fillId="0" borderId="0" xfId="0" applyNumberFormat="1" applyFont="1" applyAlignment="1">
      <alignment vertical="center"/>
    </xf>
    <xf numFmtId="41" fontId="6" fillId="0" borderId="0" xfId="0" applyNumberFormat="1" applyFont="1" applyAlignment="1">
      <alignment vertical="center"/>
    </xf>
    <xf numFmtId="169" fontId="4" fillId="0" borderId="0" xfId="0" applyNumberFormat="1" applyFont="1"/>
    <xf numFmtId="0" fontId="4" fillId="0" borderId="0" xfId="0" applyFont="1" applyFill="1"/>
    <xf numFmtId="41" fontId="6" fillId="0" borderId="0" xfId="0" applyNumberFormat="1" applyFont="1" applyFill="1" applyAlignment="1">
      <alignment horizontal="right" vertical="top" wrapText="1"/>
    </xf>
    <xf numFmtId="0" fontId="14" fillId="0" borderId="0" xfId="0" applyFont="1" applyFill="1"/>
    <xf numFmtId="0" fontId="16" fillId="0" borderId="0" xfId="0" applyFont="1" applyAlignment="1">
      <alignment horizontal="left" vertical="center" indent="1"/>
    </xf>
    <xf numFmtId="41" fontId="31" fillId="0" borderId="0" xfId="0" applyNumberFormat="1" applyFont="1" applyAlignment="1">
      <alignment vertical="center"/>
    </xf>
    <xf numFmtId="41" fontId="7" fillId="0" borderId="0" xfId="0" applyNumberFormat="1" applyFont="1" applyAlignment="1">
      <alignment vertical="center"/>
    </xf>
    <xf numFmtId="169" fontId="4" fillId="8" borderId="0" xfId="0" applyNumberFormat="1" applyFont="1" applyFill="1"/>
    <xf numFmtId="41" fontId="6" fillId="0" borderId="18" xfId="0" applyNumberFormat="1" applyFont="1" applyBorder="1" applyAlignment="1">
      <alignment horizontal="right" vertical="top" wrapText="1"/>
    </xf>
    <xf numFmtId="43" fontId="21" fillId="0" borderId="19" xfId="0" applyNumberFormat="1" applyFont="1" applyBorder="1" applyAlignment="1">
      <alignment wrapText="1"/>
    </xf>
    <xf numFmtId="41" fontId="8" fillId="0" borderId="20" xfId="0" applyNumberFormat="1" applyFont="1" applyBorder="1" applyAlignment="1">
      <alignment horizontal="right" vertical="top" wrapText="1"/>
    </xf>
    <xf numFmtId="41" fontId="7" fillId="0" borderId="9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M155"/>
  <sheetViews>
    <sheetView showGridLines="0" tabSelected="1" zoomScale="130" zoomScaleNormal="130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3.75" style="5" bestFit="1" customWidth="1"/>
    <col min="3" max="3" width="8.625" style="5" hidden="1" customWidth="1" outlineLevel="1"/>
    <col min="4" max="5" width="9.75" style="5" hidden="1" customWidth="1" outlineLevel="1"/>
    <col min="6" max="6" width="8.875" style="5" bestFit="1" customWidth="1" collapsed="1"/>
    <col min="7" max="8" width="8.875" style="5" bestFit="1" customWidth="1"/>
    <col min="9" max="9" width="1.5" style="5" customWidth="1"/>
    <col min="10" max="19" width="8.625" style="5" hidden="1" customWidth="1" outlineLevel="1"/>
    <col min="20" max="20" width="8.625" style="5" bestFit="1" customWidth="1" collapsed="1"/>
    <col min="21" max="24" width="8.625" style="5" bestFit="1" customWidth="1"/>
    <col min="25" max="25" width="1.5" style="5" customWidth="1"/>
    <col min="26" max="31" width="9.75" style="5" hidden="1" customWidth="1" outlineLevel="1"/>
    <col min="32" max="32" width="8.875" style="5" hidden="1" customWidth="1" outlineLevel="1"/>
    <col min="33" max="33" width="8.875" style="5" customWidth="1" collapsed="1"/>
    <col min="34" max="36" width="8.875" style="5" hidden="1" customWidth="1" outlineLevel="1"/>
    <col min="37" max="37" width="8.875" style="5" bestFit="1" customWidth="1" collapsed="1"/>
    <col min="38" max="38" width="1.25" style="5" customWidth="1"/>
    <col min="39" max="39" width="8" style="5" bestFit="1" customWidth="1"/>
    <col min="40" max="40" width="1.375" style="5" customWidth="1"/>
    <col min="41" max="16384" width="9" style="5"/>
  </cols>
  <sheetData>
    <row r="2" spans="1:39" ht="12.75" customHeight="1">
      <c r="B2" s="1" t="s">
        <v>109</v>
      </c>
      <c r="C2" s="88"/>
      <c r="D2" s="88"/>
      <c r="E2" s="88"/>
      <c r="F2" s="88"/>
      <c r="G2" s="88"/>
      <c r="H2" s="88"/>
      <c r="I2" s="3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3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3"/>
      <c r="AM2" s="1"/>
    </row>
    <row r="3" spans="1:39" ht="12.75" customHeight="1">
      <c r="B3" s="6" t="s">
        <v>84</v>
      </c>
      <c r="C3" s="7"/>
      <c r="D3" s="7"/>
      <c r="E3" s="7"/>
      <c r="F3" s="7"/>
      <c r="G3" s="7"/>
      <c r="H3" s="7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3"/>
      <c r="AM3" s="1"/>
    </row>
    <row r="4" spans="1:39" ht="12.75" customHeight="1">
      <c r="B4" s="6" t="s">
        <v>97</v>
      </c>
      <c r="C4" s="3"/>
      <c r="D4" s="3"/>
      <c r="E4" s="3"/>
      <c r="F4" s="3"/>
      <c r="G4" s="8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1"/>
    </row>
    <row r="6" spans="1:39" ht="12.75" customHeight="1">
      <c r="A6" s="5" t="s">
        <v>19</v>
      </c>
      <c r="B6" s="1" t="s">
        <v>82</v>
      </c>
      <c r="C6" s="2" t="s">
        <v>0</v>
      </c>
      <c r="D6" s="2"/>
      <c r="E6" s="2"/>
      <c r="F6" s="2" t="s">
        <v>0</v>
      </c>
      <c r="G6" s="2"/>
      <c r="H6" s="2"/>
      <c r="I6" s="3"/>
      <c r="J6" s="2" t="s">
        <v>1</v>
      </c>
      <c r="K6" s="2"/>
      <c r="L6" s="2"/>
      <c r="M6" s="2"/>
      <c r="N6" s="2"/>
      <c r="O6" s="2"/>
      <c r="P6" s="2"/>
      <c r="Q6" s="2"/>
      <c r="R6" s="2"/>
      <c r="S6" s="2"/>
      <c r="T6" s="2" t="s">
        <v>1</v>
      </c>
      <c r="U6" s="2"/>
      <c r="V6" s="2"/>
      <c r="W6" s="2"/>
      <c r="X6" s="2"/>
      <c r="Y6" s="3"/>
      <c r="Z6" s="2"/>
      <c r="AA6" s="2"/>
      <c r="AB6" s="2"/>
      <c r="AC6" s="2"/>
      <c r="AD6" s="2"/>
      <c r="AE6" s="2"/>
      <c r="AF6" s="2" t="s">
        <v>10</v>
      </c>
      <c r="AG6" s="2" t="s">
        <v>10</v>
      </c>
      <c r="AH6" s="2"/>
      <c r="AI6" s="2"/>
      <c r="AJ6" s="2"/>
      <c r="AK6" s="2"/>
      <c r="AL6" s="36"/>
      <c r="AM6" s="123" t="s">
        <v>25</v>
      </c>
    </row>
    <row r="7" spans="1:39" ht="12.75" customHeight="1">
      <c r="B7" s="6" t="s">
        <v>85</v>
      </c>
      <c r="C7" s="7">
        <v>2019</v>
      </c>
      <c r="D7" s="7">
        <v>2020</v>
      </c>
      <c r="E7" s="7">
        <v>2021</v>
      </c>
      <c r="F7" s="7">
        <v>2022</v>
      </c>
      <c r="G7" s="7">
        <v>2023</v>
      </c>
      <c r="H7" s="7">
        <v>2024</v>
      </c>
      <c r="I7" s="3"/>
      <c r="J7" s="4" t="s">
        <v>27</v>
      </c>
      <c r="K7" s="4" t="s">
        <v>28</v>
      </c>
      <c r="L7" s="4" t="s">
        <v>29</v>
      </c>
      <c r="M7" s="4" t="s">
        <v>30</v>
      </c>
      <c r="N7" s="4" t="s">
        <v>6</v>
      </c>
      <c r="O7" s="4" t="s">
        <v>7</v>
      </c>
      <c r="P7" s="4" t="s">
        <v>8</v>
      </c>
      <c r="Q7" s="4" t="s">
        <v>9</v>
      </c>
      <c r="R7" s="4" t="s">
        <v>2</v>
      </c>
      <c r="S7" s="4" t="s">
        <v>3</v>
      </c>
      <c r="T7" s="4" t="s">
        <v>4</v>
      </c>
      <c r="U7" s="4" t="s">
        <v>5</v>
      </c>
      <c r="V7" s="4" t="s">
        <v>31</v>
      </c>
      <c r="W7" s="4" t="s">
        <v>32</v>
      </c>
      <c r="X7" s="4" t="s">
        <v>159</v>
      </c>
      <c r="Y7" s="4"/>
      <c r="Z7" s="4" t="str">
        <f>M7</f>
        <v>4Q22</v>
      </c>
      <c r="AA7" s="4" t="str">
        <f>N7</f>
        <v>1Q23</v>
      </c>
      <c r="AB7" s="4" t="str">
        <f>O7</f>
        <v>2Q23</v>
      </c>
      <c r="AC7" s="4" t="str">
        <f>P7</f>
        <v>3Q23</v>
      </c>
      <c r="AD7" s="4" t="str">
        <f>Q7</f>
        <v>4Q23</v>
      </c>
      <c r="AE7" s="4" t="str">
        <f>R7</f>
        <v>1Q24</v>
      </c>
      <c r="AF7" s="4" t="str">
        <f>S7</f>
        <v>2Q24</v>
      </c>
      <c r="AG7" s="4" t="str">
        <f>T7</f>
        <v>3Q24</v>
      </c>
      <c r="AH7" s="4" t="str">
        <f>U7</f>
        <v>4Q24</v>
      </c>
      <c r="AI7" s="4" t="str">
        <f>V7</f>
        <v>1Q25</v>
      </c>
      <c r="AJ7" s="4" t="str">
        <f>W7</f>
        <v>2Q25</v>
      </c>
      <c r="AK7" s="4" t="str">
        <f>X7</f>
        <v>3Q25</v>
      </c>
      <c r="AL7" s="36"/>
      <c r="AM7" s="123"/>
    </row>
    <row r="8" spans="1:39" ht="12.75" customHeight="1">
      <c r="B8" s="6" t="s">
        <v>86</v>
      </c>
      <c r="C8" s="3">
        <v>43862</v>
      </c>
      <c r="D8" s="3">
        <v>44226</v>
      </c>
      <c r="E8" s="3">
        <v>44590</v>
      </c>
      <c r="F8" s="3">
        <v>44954</v>
      </c>
      <c r="G8" s="80">
        <v>45325</v>
      </c>
      <c r="H8" s="3">
        <v>45689</v>
      </c>
      <c r="I8" s="3"/>
      <c r="J8" s="3">
        <v>44681</v>
      </c>
      <c r="K8" s="3">
        <v>44772</v>
      </c>
      <c r="L8" s="3">
        <v>44863</v>
      </c>
      <c r="M8" s="3">
        <v>44954</v>
      </c>
      <c r="N8" s="3">
        <v>45045</v>
      </c>
      <c r="O8" s="3">
        <v>45136</v>
      </c>
      <c r="P8" s="3">
        <v>45227</v>
      </c>
      <c r="Q8" s="3">
        <v>45325</v>
      </c>
      <c r="R8" s="3">
        <v>45416</v>
      </c>
      <c r="S8" s="3">
        <v>45507</v>
      </c>
      <c r="T8" s="3">
        <v>45598</v>
      </c>
      <c r="U8" s="3">
        <v>45689</v>
      </c>
      <c r="V8" s="3">
        <v>45780</v>
      </c>
      <c r="W8" s="3">
        <v>45871</v>
      </c>
      <c r="X8" s="3">
        <v>45962</v>
      </c>
      <c r="Y8" s="3"/>
      <c r="Z8" s="3">
        <f>M8</f>
        <v>44954</v>
      </c>
      <c r="AA8" s="3">
        <f>N8</f>
        <v>45045</v>
      </c>
      <c r="AB8" s="3">
        <f>O8</f>
        <v>45136</v>
      </c>
      <c r="AC8" s="3">
        <f>P8</f>
        <v>45227</v>
      </c>
      <c r="AD8" s="3">
        <f>Q8</f>
        <v>45325</v>
      </c>
      <c r="AE8" s="3">
        <f>R8</f>
        <v>45416</v>
      </c>
      <c r="AF8" s="3">
        <f>S8</f>
        <v>45507</v>
      </c>
      <c r="AG8" s="3">
        <f>T8</f>
        <v>45598</v>
      </c>
      <c r="AH8" s="3">
        <f>U8</f>
        <v>45689</v>
      </c>
      <c r="AI8" s="3">
        <f>V8</f>
        <v>45780</v>
      </c>
      <c r="AJ8" s="3">
        <f>W8</f>
        <v>45871</v>
      </c>
      <c r="AK8" s="3">
        <f>X8</f>
        <v>45962</v>
      </c>
      <c r="AL8" s="36"/>
      <c r="AM8" s="123"/>
    </row>
    <row r="9" spans="1:39" ht="5.0999999999999996" customHeight="1">
      <c r="AM9" s="87"/>
    </row>
    <row r="10" spans="1:39" ht="12.75" customHeight="1">
      <c r="B10" s="9" t="s">
        <v>66</v>
      </c>
      <c r="C10" s="83">
        <v>7398068</v>
      </c>
      <c r="D10" s="83">
        <v>6151953</v>
      </c>
      <c r="E10" s="83">
        <v>8630889</v>
      </c>
      <c r="F10" s="83">
        <v>10208580</v>
      </c>
      <c r="G10" s="83">
        <v>11207302.999999998</v>
      </c>
      <c r="H10" s="83">
        <v>11295654</v>
      </c>
      <c r="I10" s="11"/>
      <c r="J10" s="83">
        <v>2345900.9999999995</v>
      </c>
      <c r="K10" s="83">
        <v>2297113</v>
      </c>
      <c r="L10" s="83">
        <v>2338793.0000000005</v>
      </c>
      <c r="M10" s="30">
        <f>SUM(F10-SUM(J10:L10))</f>
        <v>3226773</v>
      </c>
      <c r="N10" s="83">
        <v>2634263.0000000005</v>
      </c>
      <c r="O10" s="83">
        <v>2529809</v>
      </c>
      <c r="P10" s="83">
        <v>2488933</v>
      </c>
      <c r="Q10" s="30">
        <f>SUM(G10-SUM(N10:P10))</f>
        <v>3554297.9999999981</v>
      </c>
      <c r="R10" s="83">
        <v>2725847.9999999995</v>
      </c>
      <c r="S10" s="83">
        <v>2552087</v>
      </c>
      <c r="T10" s="83">
        <v>2530100</v>
      </c>
      <c r="U10" s="30">
        <f>SUM(H10-SUM(R10:T10))</f>
        <v>3487619</v>
      </c>
      <c r="V10" s="83">
        <v>2848367</v>
      </c>
      <c r="W10" s="83">
        <v>2788469</v>
      </c>
      <c r="X10" s="83">
        <v>2857623</v>
      </c>
      <c r="Y10" s="30"/>
      <c r="Z10" s="30">
        <f>SUM(J10:M10)</f>
        <v>10208580</v>
      </c>
      <c r="AA10" s="30">
        <f>SUM(K10:N10)</f>
        <v>10496942</v>
      </c>
      <c r="AB10" s="30">
        <f>SUM(L10:O10)</f>
        <v>10729638</v>
      </c>
      <c r="AC10" s="30">
        <f>SUM(M10:P10)</f>
        <v>10879778</v>
      </c>
      <c r="AD10" s="30">
        <f>SUM(N10:Q10)</f>
        <v>11207302.999999998</v>
      </c>
      <c r="AE10" s="30">
        <f>SUM(O10:R10)</f>
        <v>11298887.999999998</v>
      </c>
      <c r="AF10" s="30">
        <f>SUM(P10:S10)</f>
        <v>11321165.999999998</v>
      </c>
      <c r="AG10" s="30">
        <f>SUM(Q10:T10)</f>
        <v>11362332.999999998</v>
      </c>
      <c r="AH10" s="30">
        <f>SUM(R10:U10)</f>
        <v>11295654</v>
      </c>
      <c r="AI10" s="30">
        <f>SUM(S10:V10)</f>
        <v>11418173</v>
      </c>
      <c r="AJ10" s="30">
        <f>SUM(T10:W10)</f>
        <v>11654555</v>
      </c>
      <c r="AK10" s="30">
        <f>SUM(U10:X10)</f>
        <v>11982078</v>
      </c>
      <c r="AL10" s="38"/>
      <c r="AM10" s="70">
        <f>SUM(AJ10/AF10)-1</f>
        <v>2.9448291810225458E-2</v>
      </c>
    </row>
    <row r="11" spans="1:39" ht="12.75" customHeight="1">
      <c r="B11" s="12" t="s">
        <v>12</v>
      </c>
      <c r="C11" s="13">
        <f t="shared" ref="C11:E11" si="0">+SUM(C10:C10)</f>
        <v>7398068</v>
      </c>
      <c r="D11" s="13">
        <f t="shared" si="0"/>
        <v>6151953</v>
      </c>
      <c r="E11" s="13">
        <f t="shared" si="0"/>
        <v>8630889</v>
      </c>
      <c r="F11" s="13">
        <f t="shared" ref="F11:H11" si="1">+SUM(F10:F10)</f>
        <v>10208580</v>
      </c>
      <c r="G11" s="13">
        <f t="shared" si="1"/>
        <v>11207302.999999998</v>
      </c>
      <c r="H11" s="13">
        <f t="shared" si="1"/>
        <v>11295654</v>
      </c>
      <c r="I11" s="11"/>
      <c r="J11" s="13">
        <f t="shared" ref="J11:W11" si="2">+SUM(J10:J10)</f>
        <v>2345900.9999999995</v>
      </c>
      <c r="K11" s="13">
        <f t="shared" si="2"/>
        <v>2297113</v>
      </c>
      <c r="L11" s="13">
        <f t="shared" si="2"/>
        <v>2338793.0000000005</v>
      </c>
      <c r="M11" s="13">
        <f t="shared" si="2"/>
        <v>3226773</v>
      </c>
      <c r="N11" s="13">
        <f t="shared" si="2"/>
        <v>2634263.0000000005</v>
      </c>
      <c r="O11" s="13">
        <f t="shared" si="2"/>
        <v>2529809</v>
      </c>
      <c r="P11" s="13">
        <f t="shared" si="2"/>
        <v>2488933</v>
      </c>
      <c r="Q11" s="13">
        <f t="shared" si="2"/>
        <v>3554297.9999999981</v>
      </c>
      <c r="R11" s="13">
        <f t="shared" si="2"/>
        <v>2725847.9999999995</v>
      </c>
      <c r="S11" s="13">
        <f t="shared" si="2"/>
        <v>2552087</v>
      </c>
      <c r="T11" s="13">
        <f t="shared" si="2"/>
        <v>2530100</v>
      </c>
      <c r="U11" s="13">
        <f t="shared" si="2"/>
        <v>3487619</v>
      </c>
      <c r="V11" s="13">
        <f t="shared" si="2"/>
        <v>2848367</v>
      </c>
      <c r="W11" s="13">
        <f t="shared" si="2"/>
        <v>2788469</v>
      </c>
      <c r="X11" s="13">
        <f t="shared" ref="X11" si="3">+SUM(X10:X10)</f>
        <v>2857623</v>
      </c>
      <c r="Z11" s="13">
        <f t="shared" ref="Z11:AJ11" si="4">+SUM(Z10:Z10)</f>
        <v>10208580</v>
      </c>
      <c r="AA11" s="13">
        <f t="shared" si="4"/>
        <v>10496942</v>
      </c>
      <c r="AB11" s="13">
        <f t="shared" si="4"/>
        <v>10729638</v>
      </c>
      <c r="AC11" s="13">
        <f t="shared" si="4"/>
        <v>10879778</v>
      </c>
      <c r="AD11" s="13">
        <f t="shared" si="4"/>
        <v>11207302.999999998</v>
      </c>
      <c r="AE11" s="13">
        <f t="shared" si="4"/>
        <v>11298887.999999998</v>
      </c>
      <c r="AF11" s="13">
        <f t="shared" si="4"/>
        <v>11321165.999999998</v>
      </c>
      <c r="AG11" s="13">
        <f t="shared" si="4"/>
        <v>11362332.999999998</v>
      </c>
      <c r="AH11" s="13">
        <f t="shared" si="4"/>
        <v>11295654</v>
      </c>
      <c r="AI11" s="13">
        <f t="shared" si="4"/>
        <v>11418173</v>
      </c>
      <c r="AJ11" s="13">
        <f t="shared" si="4"/>
        <v>11654555</v>
      </c>
      <c r="AK11" s="13">
        <f t="shared" ref="AK11" si="5">+SUM(AK10:AK10)</f>
        <v>11982078</v>
      </c>
      <c r="AL11" s="38"/>
      <c r="AM11" s="71">
        <f t="shared" ref="AM11:AM28" si="6">SUM(AJ11/AF11)-1</f>
        <v>2.9448291810225458E-2</v>
      </c>
    </row>
    <row r="12" spans="1:39" s="18" customFormat="1" ht="5.0999999999999996" customHeight="1">
      <c r="B12" s="16"/>
      <c r="C12" s="17"/>
      <c r="D12" s="17"/>
      <c r="E12" s="17"/>
      <c r="F12" s="17"/>
      <c r="G12" s="17"/>
      <c r="H12" s="17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AM12" s="70"/>
    </row>
    <row r="13" spans="1:39" ht="12.75" customHeight="1">
      <c r="B13" s="9" t="s">
        <v>13</v>
      </c>
      <c r="C13" s="78">
        <v>-4717004</v>
      </c>
      <c r="D13" s="78">
        <v>-4202794</v>
      </c>
      <c r="E13" s="78">
        <v>-5262335</v>
      </c>
      <c r="F13" s="78">
        <v>-6164070</v>
      </c>
      <c r="G13" s="78">
        <v>-6826203</v>
      </c>
      <c r="H13" s="78">
        <v>-6908401</v>
      </c>
      <c r="I13" s="22"/>
      <c r="J13" s="78">
        <v>-1404875</v>
      </c>
      <c r="K13" s="78">
        <v>-1368949</v>
      </c>
      <c r="L13" s="78">
        <v>-1375976</v>
      </c>
      <c r="M13" s="30">
        <f>SUM(F13-SUM(J13:L13))</f>
        <v>-2014270</v>
      </c>
      <c r="N13" s="83">
        <v>-1579406</v>
      </c>
      <c r="O13" s="83">
        <v>-1536197</v>
      </c>
      <c r="P13" s="83">
        <v>-1496866</v>
      </c>
      <c r="Q13" s="30">
        <f>SUM(G13-SUM(N13:P13))</f>
        <v>-2213734</v>
      </c>
      <c r="R13" s="78">
        <v>-1656068</v>
      </c>
      <c r="S13" s="78">
        <v>-1573910</v>
      </c>
      <c r="T13" s="78">
        <v>-1524456</v>
      </c>
      <c r="U13" s="30">
        <f>SUM(H13-SUM(R13:T13))</f>
        <v>-2153967</v>
      </c>
      <c r="V13" s="78">
        <v>-1734148</v>
      </c>
      <c r="W13" s="78">
        <v>-1696773</v>
      </c>
      <c r="X13" s="78">
        <v>-1701958</v>
      </c>
      <c r="Z13" s="30">
        <f>SUM(K13:N13)</f>
        <v>-6338601</v>
      </c>
      <c r="AA13" s="30">
        <f>SUM(L13:O13)</f>
        <v>-6505849</v>
      </c>
      <c r="AB13" s="30">
        <f>SUM(M13:P13)</f>
        <v>-6626739</v>
      </c>
      <c r="AC13" s="30">
        <f>SUM(N13:Q13)</f>
        <v>-6826203</v>
      </c>
      <c r="AD13" s="30">
        <f>SUM(O13:R13)</f>
        <v>-6902865</v>
      </c>
      <c r="AE13" s="30">
        <f>SUM(P13:S13)</f>
        <v>-6940578</v>
      </c>
      <c r="AF13" s="30">
        <f t="shared" ref="AF13" si="7">SUM(P13:S13)</f>
        <v>-6940578</v>
      </c>
      <c r="AG13" s="30">
        <f t="shared" ref="AG13" si="8">SUM(Q13:T13)</f>
        <v>-6968168</v>
      </c>
      <c r="AH13" s="30">
        <f t="shared" ref="AH13" si="9">SUM(R13:U13)</f>
        <v>-6908401</v>
      </c>
      <c r="AI13" s="30">
        <f t="shared" ref="AI13" si="10">SUM(S13:V13)</f>
        <v>-6986481</v>
      </c>
      <c r="AJ13" s="30">
        <f>SUM(T13:W13)</f>
        <v>-7109344</v>
      </c>
      <c r="AK13" s="30">
        <f>SUM(U13:X13)</f>
        <v>-7286846</v>
      </c>
      <c r="AL13" s="11"/>
      <c r="AM13" s="70">
        <f t="shared" si="6"/>
        <v>2.4315842282876199E-2</v>
      </c>
    </row>
    <row r="14" spans="1:39" ht="12.75" customHeight="1">
      <c r="B14" s="23" t="s">
        <v>23</v>
      </c>
      <c r="C14" s="24">
        <f t="shared" ref="C14:E14" si="11">+SUM(C11+SUM(C13:C13))</f>
        <v>2681064</v>
      </c>
      <c r="D14" s="24">
        <f t="shared" ref="D14" si="12">+SUM(D11+SUM(D13:D13))</f>
        <v>1949159</v>
      </c>
      <c r="E14" s="24">
        <f t="shared" si="11"/>
        <v>3368554</v>
      </c>
      <c r="F14" s="24">
        <f t="shared" ref="F14:H14" si="13">+SUM(F11+SUM(F13:F13))</f>
        <v>4044510</v>
      </c>
      <c r="G14" s="24">
        <f t="shared" si="13"/>
        <v>4381099.9999999981</v>
      </c>
      <c r="H14" s="24">
        <f t="shared" si="13"/>
        <v>4387253</v>
      </c>
      <c r="J14" s="24">
        <f t="shared" ref="J14:W14" si="14">+SUM(J11+SUM(J13:J13))</f>
        <v>941025.99999999953</v>
      </c>
      <c r="K14" s="24">
        <f t="shared" si="14"/>
        <v>928164</v>
      </c>
      <c r="L14" s="24">
        <f t="shared" si="14"/>
        <v>962817.00000000047</v>
      </c>
      <c r="M14" s="24">
        <f t="shared" si="14"/>
        <v>1212503</v>
      </c>
      <c r="N14" s="24">
        <f t="shared" si="14"/>
        <v>1054857.0000000005</v>
      </c>
      <c r="O14" s="24">
        <f t="shared" si="14"/>
        <v>993612</v>
      </c>
      <c r="P14" s="24">
        <f t="shared" si="14"/>
        <v>992067</v>
      </c>
      <c r="Q14" s="24">
        <f t="shared" si="14"/>
        <v>1340563.9999999981</v>
      </c>
      <c r="R14" s="24">
        <f t="shared" si="14"/>
        <v>1069779.9999999995</v>
      </c>
      <c r="S14" s="24">
        <f t="shared" si="14"/>
        <v>978177</v>
      </c>
      <c r="T14" s="24">
        <f t="shared" si="14"/>
        <v>1005644</v>
      </c>
      <c r="U14" s="24">
        <f t="shared" si="14"/>
        <v>1333652</v>
      </c>
      <c r="V14" s="24">
        <f t="shared" si="14"/>
        <v>1114219</v>
      </c>
      <c r="W14" s="24">
        <f t="shared" si="14"/>
        <v>1091696</v>
      </c>
      <c r="X14" s="24">
        <f t="shared" ref="X14" si="15">+SUM(X11+SUM(X13:X13))</f>
        <v>1155665</v>
      </c>
      <c r="Z14" s="24">
        <f t="shared" ref="Z14:AJ14" si="16">+SUM(Z11+SUM(Z13:Z13))</f>
        <v>3869979</v>
      </c>
      <c r="AA14" s="24">
        <f t="shared" si="16"/>
        <v>3991093</v>
      </c>
      <c r="AB14" s="24">
        <f t="shared" si="16"/>
        <v>4102899</v>
      </c>
      <c r="AC14" s="24">
        <f t="shared" si="16"/>
        <v>4053575</v>
      </c>
      <c r="AD14" s="24">
        <f t="shared" si="16"/>
        <v>4304437.9999999981</v>
      </c>
      <c r="AE14" s="24">
        <f t="shared" si="16"/>
        <v>4358309.9999999981</v>
      </c>
      <c r="AF14" s="24">
        <f t="shared" si="16"/>
        <v>4380587.9999999981</v>
      </c>
      <c r="AG14" s="24">
        <f t="shared" si="16"/>
        <v>4394164.9999999981</v>
      </c>
      <c r="AH14" s="24">
        <f t="shared" si="16"/>
        <v>4387253</v>
      </c>
      <c r="AI14" s="24">
        <f t="shared" si="16"/>
        <v>4431692</v>
      </c>
      <c r="AJ14" s="24">
        <f t="shared" si="16"/>
        <v>4545211</v>
      </c>
      <c r="AK14" s="24">
        <f t="shared" ref="AK14" si="17">+SUM(AK11+SUM(AK13:AK13))</f>
        <v>4695232</v>
      </c>
      <c r="AL14" s="40"/>
      <c r="AM14" s="71">
        <f t="shared" si="6"/>
        <v>3.7580114815637167E-2</v>
      </c>
    </row>
    <row r="15" spans="1:39" ht="12.75" customHeight="1">
      <c r="B15" s="14" t="s">
        <v>36</v>
      </c>
      <c r="C15" s="15">
        <f t="shared" ref="C15:E15" si="18">C14/C11</f>
        <v>0.36240056187642505</v>
      </c>
      <c r="D15" s="15">
        <f t="shared" ref="D15" si="19">D14/D11</f>
        <v>0.31683580807590694</v>
      </c>
      <c r="E15" s="15">
        <f t="shared" si="18"/>
        <v>0.3902905019401825</v>
      </c>
      <c r="F15" s="15">
        <f t="shared" ref="F15:H15" si="20">F14/F11</f>
        <v>0.39618732477974411</v>
      </c>
      <c r="G15" s="15">
        <f t="shared" si="20"/>
        <v>0.39091474550121458</v>
      </c>
      <c r="H15" s="15">
        <f t="shared" si="20"/>
        <v>0.38840185791809839</v>
      </c>
      <c r="I15" s="25"/>
      <c r="J15" s="15">
        <f t="shared" ref="J15:W15" si="21">J14/J11</f>
        <v>0.40113627983448563</v>
      </c>
      <c r="K15" s="15">
        <f t="shared" si="21"/>
        <v>0.40405674426987265</v>
      </c>
      <c r="L15" s="15">
        <f t="shared" si="21"/>
        <v>0.41167260206439832</v>
      </c>
      <c r="M15" s="15">
        <f t="shared" si="21"/>
        <v>0.37576334003042666</v>
      </c>
      <c r="N15" s="15">
        <f t="shared" si="21"/>
        <v>0.40043723804343007</v>
      </c>
      <c r="O15" s="15">
        <f t="shared" si="21"/>
        <v>0.39276166698750775</v>
      </c>
      <c r="P15" s="15">
        <f t="shared" si="21"/>
        <v>0.39859128389554882</v>
      </c>
      <c r="Q15" s="15">
        <f t="shared" si="21"/>
        <v>0.3771670242618933</v>
      </c>
      <c r="R15" s="15">
        <f t="shared" si="21"/>
        <v>0.3924576865621266</v>
      </c>
      <c r="S15" s="15">
        <f t="shared" si="21"/>
        <v>0.38328513095360778</v>
      </c>
      <c r="T15" s="15">
        <f t="shared" si="21"/>
        <v>0.39747203667839215</v>
      </c>
      <c r="U15" s="15">
        <f t="shared" si="21"/>
        <v>0.38239612755865821</v>
      </c>
      <c r="V15" s="15">
        <f t="shared" si="21"/>
        <v>0.39117817331825566</v>
      </c>
      <c r="W15" s="15">
        <f t="shared" si="21"/>
        <v>0.39150372480382606</v>
      </c>
      <c r="X15" s="15">
        <f t="shared" ref="X15" si="22">X14/X11</f>
        <v>0.40441478809486064</v>
      </c>
      <c r="Y15" s="26"/>
      <c r="Z15" s="15">
        <f t="shared" ref="Z15:AJ15" si="23">Z14/Z11</f>
        <v>0.37909082360132357</v>
      </c>
      <c r="AA15" s="15">
        <f t="shared" si="23"/>
        <v>0.38021482828046493</v>
      </c>
      <c r="AB15" s="15">
        <f t="shared" si="23"/>
        <v>0.38238932198830938</v>
      </c>
      <c r="AC15" s="15">
        <f t="shared" si="23"/>
        <v>0.37257883386958812</v>
      </c>
      <c r="AD15" s="15">
        <f t="shared" si="23"/>
        <v>0.38407438435455871</v>
      </c>
      <c r="AE15" s="15">
        <f t="shared" si="23"/>
        <v>0.3857291089176208</v>
      </c>
      <c r="AF15" s="15">
        <f t="shared" si="23"/>
        <v>0.38693788254672695</v>
      </c>
      <c r="AG15" s="15">
        <f t="shared" si="23"/>
        <v>0.38673087648460919</v>
      </c>
      <c r="AH15" s="15">
        <f t="shared" si="23"/>
        <v>0.38840185791809839</v>
      </c>
      <c r="AI15" s="15">
        <f t="shared" si="23"/>
        <v>0.38812619146688354</v>
      </c>
      <c r="AJ15" s="15">
        <f t="shared" si="23"/>
        <v>0.38999438416996618</v>
      </c>
      <c r="AK15" s="15">
        <f t="shared" ref="AK15" si="24">AK14/AK11</f>
        <v>0.39185456813083674</v>
      </c>
      <c r="AL15" s="40"/>
      <c r="AM15" s="72">
        <f>SUM(AJ15-AF15)*1000</f>
        <v>3.0565016232392272</v>
      </c>
    </row>
    <row r="16" spans="1:39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40"/>
      <c r="AM16" s="70"/>
    </row>
    <row r="17" spans="2:39" ht="12.75" customHeight="1">
      <c r="B17" s="9" t="s">
        <v>110</v>
      </c>
      <c r="C17" s="78">
        <v>-1760716</v>
      </c>
      <c r="D17" s="78">
        <v>-1583017</v>
      </c>
      <c r="E17" s="78">
        <v>-2061545</v>
      </c>
      <c r="F17" s="78">
        <v>-2395299</v>
      </c>
      <c r="G17" s="78">
        <v>-2694561</v>
      </c>
      <c r="H17" s="78">
        <v>-2808592</v>
      </c>
      <c r="I17" s="30"/>
      <c r="J17" s="78">
        <v>-500970</v>
      </c>
      <c r="K17" s="78">
        <v>-534459</v>
      </c>
      <c r="L17" s="78">
        <v>-597164</v>
      </c>
      <c r="M17" s="30">
        <f t="shared" ref="M17:M19" si="25">SUM(F17-SUM(J17:L17))</f>
        <v>-762706</v>
      </c>
      <c r="N17" s="78">
        <v>-612129</v>
      </c>
      <c r="O17" s="78">
        <v>-600692</v>
      </c>
      <c r="P17" s="78">
        <v>-661380</v>
      </c>
      <c r="Q17" s="30">
        <f t="shared" ref="Q17:Q19" si="26">SUM(G17-SUM(N17:P17))</f>
        <v>-820360</v>
      </c>
      <c r="R17" s="78">
        <v>-665913</v>
      </c>
      <c r="S17" s="78">
        <v>-644821</v>
      </c>
      <c r="T17" s="78">
        <v>-682259</v>
      </c>
      <c r="U17" s="30">
        <f t="shared" ref="U17:U19" si="27">SUM(H17-SUM(R17:T17))</f>
        <v>-815599</v>
      </c>
      <c r="V17" s="78">
        <v>-710613</v>
      </c>
      <c r="W17" s="78">
        <v>-741737</v>
      </c>
      <c r="X17" s="78">
        <v>-840920</v>
      </c>
      <c r="Z17" s="30">
        <f>SUM(K17:N17)</f>
        <v>-2506458</v>
      </c>
      <c r="AA17" s="30">
        <f>SUM(L17:O17)</f>
        <v>-2572691</v>
      </c>
      <c r="AB17" s="30">
        <f>SUM(M17:P17)</f>
        <v>-2636907</v>
      </c>
      <c r="AC17" s="30">
        <f>SUM(N17:Q17)</f>
        <v>-2694561</v>
      </c>
      <c r="AD17" s="30">
        <f>SUM(O17:R17)</f>
        <v>-2748345</v>
      </c>
      <c r="AE17" s="30">
        <f>SUM(P17:S17)</f>
        <v>-2792474</v>
      </c>
      <c r="AF17" s="30">
        <f t="shared" ref="AF17:AF19" si="28">SUM(P17:S17)</f>
        <v>-2792474</v>
      </c>
      <c r="AG17" s="30">
        <f t="shared" ref="AG17:AG19" si="29">SUM(Q17:T17)</f>
        <v>-2813353</v>
      </c>
      <c r="AH17" s="30">
        <f t="shared" ref="AH17:AH19" si="30">SUM(R17:U17)</f>
        <v>-2808592</v>
      </c>
      <c r="AI17" s="30">
        <f t="shared" ref="AI17:AI19" si="31">SUM(S17:V17)</f>
        <v>-2853292</v>
      </c>
      <c r="AJ17" s="30">
        <f t="shared" ref="AJ17:AK19" si="32">SUM(T17:W17)</f>
        <v>-2950208</v>
      </c>
      <c r="AK17" s="30">
        <f t="shared" si="32"/>
        <v>-3108869</v>
      </c>
      <c r="AL17" s="11"/>
      <c r="AM17" s="70">
        <f t="shared" si="6"/>
        <v>5.6485396103956642E-2</v>
      </c>
    </row>
    <row r="18" spans="2:39" ht="12.75" customHeight="1">
      <c r="B18" s="9" t="s">
        <v>111</v>
      </c>
      <c r="C18" s="78">
        <v>-19254</v>
      </c>
      <c r="D18" s="78">
        <v>-15000</v>
      </c>
      <c r="E18" s="78">
        <v>-9517</v>
      </c>
      <c r="F18" s="78">
        <v>-10601</v>
      </c>
      <c r="G18" s="78">
        <v>-8510</v>
      </c>
      <c r="H18" s="78">
        <v>-13689</v>
      </c>
      <c r="I18" s="30"/>
      <c r="J18" s="78">
        <v>-2348</v>
      </c>
      <c r="K18" s="78">
        <v>-2277</v>
      </c>
      <c r="L18" s="78">
        <v>-3797</v>
      </c>
      <c r="M18" s="30">
        <f t="shared" si="25"/>
        <v>-2179</v>
      </c>
      <c r="N18" s="78">
        <v>-658</v>
      </c>
      <c r="O18" s="78">
        <v>-1278</v>
      </c>
      <c r="P18" s="78">
        <v>-3460</v>
      </c>
      <c r="Q18" s="30">
        <f t="shared" si="26"/>
        <v>-3114</v>
      </c>
      <c r="R18" s="78">
        <v>-2919</v>
      </c>
      <c r="S18" s="78">
        <v>-4155</v>
      </c>
      <c r="T18" s="78">
        <v>-4883</v>
      </c>
      <c r="U18" s="30">
        <f t="shared" si="27"/>
        <v>-1732</v>
      </c>
      <c r="V18" s="78">
        <v>-1829</v>
      </c>
      <c r="W18" s="78">
        <v>-5105</v>
      </c>
      <c r="X18" s="78">
        <v>-5326</v>
      </c>
      <c r="Z18" s="30">
        <f>SUM(K18:N18)</f>
        <v>-8911</v>
      </c>
      <c r="AA18" s="30">
        <f>SUM(L18:O18)</f>
        <v>-7912</v>
      </c>
      <c r="AB18" s="30">
        <f>SUM(M18:P18)</f>
        <v>-7575</v>
      </c>
      <c r="AC18" s="30">
        <f>SUM(N18:Q18)</f>
        <v>-8510</v>
      </c>
      <c r="AD18" s="30">
        <f>SUM(O18:R18)</f>
        <v>-10771</v>
      </c>
      <c r="AE18" s="30">
        <f>SUM(P18:S18)</f>
        <v>-13648</v>
      </c>
      <c r="AF18" s="30">
        <f t="shared" si="28"/>
        <v>-13648</v>
      </c>
      <c r="AG18" s="30">
        <f t="shared" si="29"/>
        <v>-15071</v>
      </c>
      <c r="AH18" s="30">
        <f t="shared" si="30"/>
        <v>-13689</v>
      </c>
      <c r="AI18" s="30">
        <f t="shared" si="31"/>
        <v>-12599</v>
      </c>
      <c r="AJ18" s="30">
        <f t="shared" si="32"/>
        <v>-13549</v>
      </c>
      <c r="AK18" s="30">
        <f t="shared" si="32"/>
        <v>-13992</v>
      </c>
      <c r="AL18" s="11"/>
      <c r="AM18" s="70">
        <f t="shared" si="6"/>
        <v>-7.2538100820632723E-3</v>
      </c>
    </row>
    <row r="19" spans="2:39" ht="12.75" customHeight="1">
      <c r="B19" s="9" t="s">
        <v>112</v>
      </c>
      <c r="C19" s="78">
        <v>0</v>
      </c>
      <c r="D19" s="78">
        <v>-114322</v>
      </c>
      <c r="E19" s="78">
        <v>0</v>
      </c>
      <c r="F19" s="78">
        <v>0</v>
      </c>
      <c r="G19" s="78">
        <v>0</v>
      </c>
      <c r="H19" s="78">
        <v>0</v>
      </c>
      <c r="I19" s="30"/>
      <c r="J19" s="78">
        <v>0</v>
      </c>
      <c r="K19" s="78">
        <v>0</v>
      </c>
      <c r="L19" s="78">
        <v>0</v>
      </c>
      <c r="M19" s="30">
        <f t="shared" si="25"/>
        <v>0</v>
      </c>
      <c r="N19" s="78">
        <v>0</v>
      </c>
      <c r="O19" s="78">
        <v>0</v>
      </c>
      <c r="P19" s="78">
        <v>0</v>
      </c>
      <c r="Q19" s="30">
        <f t="shared" si="26"/>
        <v>0</v>
      </c>
      <c r="R19" s="78">
        <v>0</v>
      </c>
      <c r="S19" s="78">
        <v>0</v>
      </c>
      <c r="T19" s="78">
        <v>0</v>
      </c>
      <c r="U19" s="30">
        <f t="shared" si="27"/>
        <v>0</v>
      </c>
      <c r="V19" s="78">
        <v>0</v>
      </c>
      <c r="W19" s="78">
        <v>0</v>
      </c>
      <c r="X19" s="78">
        <v>0</v>
      </c>
      <c r="Z19" s="30">
        <f>SUM(K19:N19)</f>
        <v>0</v>
      </c>
      <c r="AA19" s="30">
        <f>SUM(L19:O19)</f>
        <v>0</v>
      </c>
      <c r="AB19" s="30">
        <f>SUM(M19:P19)</f>
        <v>0</v>
      </c>
      <c r="AC19" s="30">
        <f>SUM(N19:Q19)</f>
        <v>0</v>
      </c>
      <c r="AD19" s="30">
        <f>SUM(O19:R19)</f>
        <v>0</v>
      </c>
      <c r="AE19" s="30">
        <f>SUM(P19:S19)</f>
        <v>0</v>
      </c>
      <c r="AF19" s="30">
        <f t="shared" si="28"/>
        <v>0</v>
      </c>
      <c r="AG19" s="30">
        <f t="shared" si="29"/>
        <v>0</v>
      </c>
      <c r="AH19" s="30">
        <f t="shared" si="30"/>
        <v>0</v>
      </c>
      <c r="AI19" s="30">
        <f t="shared" si="31"/>
        <v>0</v>
      </c>
      <c r="AJ19" s="30">
        <f t="shared" si="32"/>
        <v>0</v>
      </c>
      <c r="AK19" s="30">
        <f t="shared" si="32"/>
        <v>0</v>
      </c>
      <c r="AL19" s="11"/>
      <c r="AM19" s="70" t="e">
        <f t="shared" si="6"/>
        <v>#DIV/0!</v>
      </c>
    </row>
    <row r="20" spans="2:39" ht="12.75" customHeight="1">
      <c r="B20" s="23" t="s">
        <v>87</v>
      </c>
      <c r="C20" s="24">
        <f t="shared" ref="C20:E20" si="33">+SUM(C14+SUM(C17:C19))</f>
        <v>901094</v>
      </c>
      <c r="D20" s="24">
        <f t="shared" si="33"/>
        <v>236820</v>
      </c>
      <c r="E20" s="24">
        <f t="shared" si="33"/>
        <v>1297492</v>
      </c>
      <c r="F20" s="24">
        <f>+SUM(F14+SUM(F17:F19))</f>
        <v>1638610</v>
      </c>
      <c r="G20" s="24">
        <f>+SUM(G14+SUM(G17:G19))</f>
        <v>1678028.9999999981</v>
      </c>
      <c r="H20" s="24">
        <f>+SUM(H14+SUM(H17:H19))</f>
        <v>1564972</v>
      </c>
      <c r="I20" s="30"/>
      <c r="J20" s="24">
        <f t="shared" ref="J20:W20" si="34">+SUM(J14+SUM(J17:J19))</f>
        <v>437707.99999999953</v>
      </c>
      <c r="K20" s="24">
        <f t="shared" si="34"/>
        <v>391428</v>
      </c>
      <c r="L20" s="24">
        <f t="shared" si="34"/>
        <v>361856.00000000047</v>
      </c>
      <c r="M20" s="24">
        <f t="shared" si="34"/>
        <v>447618</v>
      </c>
      <c r="N20" s="24">
        <f t="shared" si="34"/>
        <v>442070.00000000047</v>
      </c>
      <c r="O20" s="24">
        <f t="shared" si="34"/>
        <v>391642</v>
      </c>
      <c r="P20" s="24">
        <f t="shared" si="34"/>
        <v>327227</v>
      </c>
      <c r="Q20" s="24">
        <f t="shared" si="34"/>
        <v>517089.99999999814</v>
      </c>
      <c r="R20" s="24">
        <f t="shared" si="34"/>
        <v>400947.99999999953</v>
      </c>
      <c r="S20" s="24">
        <f t="shared" si="34"/>
        <v>329201</v>
      </c>
      <c r="T20" s="24">
        <f t="shared" si="34"/>
        <v>318502</v>
      </c>
      <c r="U20" s="24">
        <f t="shared" si="34"/>
        <v>516321</v>
      </c>
      <c r="V20" s="24">
        <f t="shared" si="34"/>
        <v>401777</v>
      </c>
      <c r="W20" s="24">
        <f t="shared" si="34"/>
        <v>344854</v>
      </c>
      <c r="X20" s="24">
        <f t="shared" ref="X20" si="35">+SUM(X14+SUM(X17:X19))</f>
        <v>309419</v>
      </c>
      <c r="Z20" s="24">
        <f t="shared" ref="Z20:AJ20" si="36">+SUM(Z14+SUM(Z17:Z19))</f>
        <v>1354610</v>
      </c>
      <c r="AA20" s="24">
        <f t="shared" si="36"/>
        <v>1410490</v>
      </c>
      <c r="AB20" s="24">
        <f t="shared" si="36"/>
        <v>1458417</v>
      </c>
      <c r="AC20" s="24">
        <f t="shared" si="36"/>
        <v>1350504</v>
      </c>
      <c r="AD20" s="24">
        <f t="shared" si="36"/>
        <v>1545321.9999999981</v>
      </c>
      <c r="AE20" s="24">
        <f t="shared" si="36"/>
        <v>1552187.9999999981</v>
      </c>
      <c r="AF20" s="24">
        <f t="shared" si="36"/>
        <v>1574465.9999999981</v>
      </c>
      <c r="AG20" s="24">
        <f t="shared" si="36"/>
        <v>1565740.9999999981</v>
      </c>
      <c r="AH20" s="24">
        <f t="shared" si="36"/>
        <v>1564972</v>
      </c>
      <c r="AI20" s="24">
        <f t="shared" si="36"/>
        <v>1565801</v>
      </c>
      <c r="AJ20" s="24">
        <f t="shared" si="36"/>
        <v>1581454</v>
      </c>
      <c r="AK20" s="24">
        <f t="shared" ref="AK20" si="37">+SUM(AK14+SUM(AK17:AK19))</f>
        <v>1572371</v>
      </c>
      <c r="AL20" s="11"/>
      <c r="AM20" s="71">
        <f t="shared" si="6"/>
        <v>4.4383302021142601E-3</v>
      </c>
    </row>
    <row r="21" spans="2:39" ht="12.75" customHeight="1">
      <c r="B21" s="14" t="s">
        <v>38</v>
      </c>
      <c r="C21" s="15">
        <f t="shared" ref="C21:E21" si="38">C20/C11</f>
        <v>0.12180125946395734</v>
      </c>
      <c r="D21" s="15">
        <f t="shared" si="38"/>
        <v>3.849509253402944E-2</v>
      </c>
      <c r="E21" s="15">
        <f t="shared" si="38"/>
        <v>0.15033121153568305</v>
      </c>
      <c r="F21" s="15">
        <f>F20/F11</f>
        <v>0.16051301944050986</v>
      </c>
      <c r="G21" s="15">
        <f>G20/G11</f>
        <v>0.14972638823095963</v>
      </c>
      <c r="H21" s="15">
        <f>H20/H11</f>
        <v>0.13854638252906826</v>
      </c>
      <c r="I21" s="30"/>
      <c r="J21" s="15">
        <f t="shared" ref="J21:W21" si="39">J20/J11</f>
        <v>0.18658417384194798</v>
      </c>
      <c r="K21" s="15">
        <f t="shared" si="39"/>
        <v>0.17039997596983691</v>
      </c>
      <c r="L21" s="15">
        <f t="shared" si="39"/>
        <v>0.15471912221389425</v>
      </c>
      <c r="M21" s="15">
        <f t="shared" si="39"/>
        <v>0.13872001532180914</v>
      </c>
      <c r="N21" s="15">
        <f t="shared" si="39"/>
        <v>0.16781543832183818</v>
      </c>
      <c r="O21" s="15">
        <f t="shared" si="39"/>
        <v>0.15481089679102256</v>
      </c>
      <c r="P21" s="15">
        <f t="shared" si="39"/>
        <v>0.1314728038078968</v>
      </c>
      <c r="Q21" s="15">
        <f t="shared" si="39"/>
        <v>0.14548301802493724</v>
      </c>
      <c r="R21" s="15">
        <f t="shared" si="39"/>
        <v>0.14709110706099518</v>
      </c>
      <c r="S21" s="15">
        <f t="shared" si="39"/>
        <v>0.12899285956944256</v>
      </c>
      <c r="T21" s="15">
        <f t="shared" si="39"/>
        <v>0.12588514287972807</v>
      </c>
      <c r="U21" s="15">
        <f t="shared" si="39"/>
        <v>0.14804398072151803</v>
      </c>
      <c r="V21" s="15">
        <f t="shared" si="39"/>
        <v>0.14105520812451486</v>
      </c>
      <c r="W21" s="15">
        <f t="shared" si="39"/>
        <v>0.12367144838260709</v>
      </c>
      <c r="X21" s="15">
        <f t="shared" ref="X21" si="40">X20/X11</f>
        <v>0.10827845380583793</v>
      </c>
      <c r="Z21" s="15">
        <f t="shared" ref="Z21:AJ21" si="41">Z20/Z11</f>
        <v>0.13269328349290499</v>
      </c>
      <c r="AA21" s="15">
        <f t="shared" si="41"/>
        <v>0.13437151505648026</v>
      </c>
      <c r="AB21" s="15">
        <f t="shared" si="41"/>
        <v>0.13592415699392654</v>
      </c>
      <c r="AC21" s="15">
        <f t="shared" si="41"/>
        <v>0.12412973867665314</v>
      </c>
      <c r="AD21" s="15">
        <f t="shared" si="41"/>
        <v>0.13788526998868492</v>
      </c>
      <c r="AE21" s="15">
        <f t="shared" si="41"/>
        <v>0.13737528861247217</v>
      </c>
      <c r="AF21" s="15">
        <f t="shared" si="41"/>
        <v>0.13907277748599378</v>
      </c>
      <c r="AG21" s="15">
        <f t="shared" si="41"/>
        <v>0.1378010132250127</v>
      </c>
      <c r="AH21" s="15">
        <f t="shared" si="41"/>
        <v>0.13854638252906826</v>
      </c>
      <c r="AI21" s="15">
        <f t="shared" si="41"/>
        <v>0.13713235909107349</v>
      </c>
      <c r="AJ21" s="15">
        <f t="shared" si="41"/>
        <v>0.13569406982934998</v>
      </c>
      <c r="AK21" s="15">
        <f t="shared" ref="AK21" si="42">AK20/AK11</f>
        <v>0.13122690404786214</v>
      </c>
      <c r="AL21" s="11"/>
      <c r="AM21" s="72">
        <f>SUM(AJ21-AF21)*1000</f>
        <v>-3.3787076566438037</v>
      </c>
    </row>
    <row r="22" spans="2:39" ht="5.0999999999999996" customHeight="1">
      <c r="B22" s="14"/>
      <c r="C22" s="15"/>
      <c r="D22" s="15"/>
      <c r="E22" s="15"/>
      <c r="F22" s="15"/>
      <c r="G22" s="15"/>
      <c r="H22" s="15"/>
      <c r="I22" s="30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11"/>
      <c r="AM22" s="70"/>
    </row>
    <row r="23" spans="2:39" ht="12.75" customHeight="1">
      <c r="B23" s="9" t="s">
        <v>113</v>
      </c>
      <c r="C23" s="78">
        <v>5056</v>
      </c>
      <c r="D23" s="78">
        <v>-5735</v>
      </c>
      <c r="E23" s="78">
        <v>-1663</v>
      </c>
      <c r="F23" s="78">
        <v>4934</v>
      </c>
      <c r="G23" s="78">
        <v>17622</v>
      </c>
      <c r="H23" s="78">
        <v>15094</v>
      </c>
      <c r="I23" s="30"/>
      <c r="J23" s="78">
        <v>-401</v>
      </c>
      <c r="K23" s="78">
        <v>108</v>
      </c>
      <c r="L23" s="78">
        <v>849</v>
      </c>
      <c r="M23" s="30">
        <f t="shared" ref="M23" si="43">SUM(F23-SUM(J23:L23))</f>
        <v>4378</v>
      </c>
      <c r="N23" s="78">
        <v>7348</v>
      </c>
      <c r="O23" s="78">
        <v>4449</v>
      </c>
      <c r="P23" s="78">
        <v>2497</v>
      </c>
      <c r="Q23" s="30">
        <f>SUM(G23-SUM(N23:P23))</f>
        <v>3328</v>
      </c>
      <c r="R23" s="78">
        <v>6900</v>
      </c>
      <c r="S23" s="78">
        <v>4526</v>
      </c>
      <c r="T23" s="78">
        <v>1674</v>
      </c>
      <c r="U23" s="30">
        <f>SUM(H23-SUM(R23:T23))</f>
        <v>1994</v>
      </c>
      <c r="V23" s="78">
        <v>3547</v>
      </c>
      <c r="W23" s="78">
        <v>1413</v>
      </c>
      <c r="X23" s="78">
        <v>-4123</v>
      </c>
      <c r="Z23" s="30">
        <f>SUM(K23:N23)</f>
        <v>12683</v>
      </c>
      <c r="AA23" s="30">
        <f>SUM(L23:O23)</f>
        <v>17024</v>
      </c>
      <c r="AB23" s="30">
        <f>SUM(M23:P23)</f>
        <v>18672</v>
      </c>
      <c r="AC23" s="30">
        <f>SUM(N23:Q23)</f>
        <v>17622</v>
      </c>
      <c r="AD23" s="30">
        <f>SUM(O23:R23)</f>
        <v>17174</v>
      </c>
      <c r="AE23" s="30">
        <f>SUM(P23:S23)</f>
        <v>17251</v>
      </c>
      <c r="AF23" s="30">
        <f t="shared" ref="AF23" si="44">SUM(P23:S23)</f>
        <v>17251</v>
      </c>
      <c r="AG23" s="30">
        <f t="shared" ref="AG23" si="45">SUM(Q23:T23)</f>
        <v>16428</v>
      </c>
      <c r="AH23" s="30">
        <f t="shared" ref="AH23" si="46">SUM(R23:U23)</f>
        <v>15094</v>
      </c>
      <c r="AI23" s="30">
        <f t="shared" ref="AI23" si="47">SUM(S23:V23)</f>
        <v>11741</v>
      </c>
      <c r="AJ23" s="30">
        <f t="shared" ref="AJ23:AK23" si="48">SUM(T23:W23)</f>
        <v>8628</v>
      </c>
      <c r="AK23" s="30">
        <f t="shared" si="48"/>
        <v>2831</v>
      </c>
      <c r="AL23" s="11"/>
      <c r="AM23" s="70">
        <f t="shared" si="6"/>
        <v>-0.4998550808648774</v>
      </c>
    </row>
    <row r="24" spans="2:39" ht="12.75" customHeight="1">
      <c r="B24" s="23" t="s">
        <v>88</v>
      </c>
      <c r="C24" s="24">
        <f t="shared" ref="C24:H24" si="49">SUM(C20+SUM(C23:C23))</f>
        <v>906150</v>
      </c>
      <c r="D24" s="24">
        <f t="shared" si="49"/>
        <v>231085</v>
      </c>
      <c r="E24" s="24">
        <f t="shared" si="49"/>
        <v>1295829</v>
      </c>
      <c r="F24" s="24">
        <f t="shared" si="49"/>
        <v>1643544</v>
      </c>
      <c r="G24" s="24">
        <f t="shared" si="49"/>
        <v>1695650.9999999981</v>
      </c>
      <c r="H24" s="24">
        <f t="shared" si="49"/>
        <v>1580066</v>
      </c>
      <c r="J24" s="24">
        <f t="shared" ref="J24:X24" si="50">SUM(J20+SUM(J23:J23))</f>
        <v>437306.99999999953</v>
      </c>
      <c r="K24" s="24">
        <f t="shared" si="50"/>
        <v>391536</v>
      </c>
      <c r="L24" s="24">
        <f t="shared" si="50"/>
        <v>362705.00000000047</v>
      </c>
      <c r="M24" s="24">
        <f t="shared" si="50"/>
        <v>451996</v>
      </c>
      <c r="N24" s="24">
        <f t="shared" si="50"/>
        <v>449418.00000000047</v>
      </c>
      <c r="O24" s="24">
        <f t="shared" si="50"/>
        <v>396091</v>
      </c>
      <c r="P24" s="24">
        <f t="shared" si="50"/>
        <v>329724</v>
      </c>
      <c r="Q24" s="24">
        <f t="shared" si="50"/>
        <v>520417.99999999814</v>
      </c>
      <c r="R24" s="24">
        <f t="shared" si="50"/>
        <v>407847.99999999953</v>
      </c>
      <c r="S24" s="24">
        <f t="shared" si="50"/>
        <v>333727</v>
      </c>
      <c r="T24" s="24">
        <f t="shared" si="50"/>
        <v>320176</v>
      </c>
      <c r="U24" s="24">
        <f t="shared" si="50"/>
        <v>518315</v>
      </c>
      <c r="V24" s="24">
        <f t="shared" si="50"/>
        <v>405324</v>
      </c>
      <c r="W24" s="24">
        <f t="shared" si="50"/>
        <v>346267</v>
      </c>
      <c r="X24" s="24">
        <f t="shared" si="50"/>
        <v>305296</v>
      </c>
      <c r="Z24" s="24">
        <f t="shared" ref="Z24:AK24" si="51">SUM(Z20+SUM(Z23:Z23))</f>
        <v>1367293</v>
      </c>
      <c r="AA24" s="24">
        <f t="shared" si="51"/>
        <v>1427514</v>
      </c>
      <c r="AB24" s="24">
        <f t="shared" si="51"/>
        <v>1477089</v>
      </c>
      <c r="AC24" s="24">
        <f t="shared" si="51"/>
        <v>1368126</v>
      </c>
      <c r="AD24" s="24">
        <f t="shared" si="51"/>
        <v>1562495.9999999981</v>
      </c>
      <c r="AE24" s="24">
        <f t="shared" si="51"/>
        <v>1569438.9999999981</v>
      </c>
      <c r="AF24" s="24">
        <f t="shared" si="51"/>
        <v>1591716.9999999981</v>
      </c>
      <c r="AG24" s="24">
        <f t="shared" si="51"/>
        <v>1582168.9999999981</v>
      </c>
      <c r="AH24" s="24">
        <f t="shared" si="51"/>
        <v>1580066</v>
      </c>
      <c r="AI24" s="24">
        <f t="shared" si="51"/>
        <v>1577542</v>
      </c>
      <c r="AJ24" s="24">
        <f t="shared" si="51"/>
        <v>1590082</v>
      </c>
      <c r="AK24" s="24">
        <f t="shared" si="51"/>
        <v>1575202</v>
      </c>
      <c r="AL24" s="40"/>
      <c r="AM24" s="71">
        <f t="shared" si="6"/>
        <v>-1.0271926479381577E-3</v>
      </c>
    </row>
    <row r="25" spans="2:39" ht="12.75" customHeight="1">
      <c r="B25" s="14" t="s">
        <v>89</v>
      </c>
      <c r="C25" s="15">
        <f t="shared" ref="C25:H25" si="52">C24/C11</f>
        <v>0.12248468113566947</v>
      </c>
      <c r="D25" s="15">
        <f t="shared" si="52"/>
        <v>3.75628682468803E-2</v>
      </c>
      <c r="E25" s="15">
        <f t="shared" si="52"/>
        <v>0.15013853150005751</v>
      </c>
      <c r="F25" s="15">
        <f t="shared" si="52"/>
        <v>0.16099633837419111</v>
      </c>
      <c r="G25" s="15">
        <f t="shared" si="52"/>
        <v>0.1512987558202003</v>
      </c>
      <c r="H25" s="15">
        <f t="shared" si="52"/>
        <v>0.13988264867178121</v>
      </c>
      <c r="I25" s="25"/>
      <c r="J25" s="15">
        <f t="shared" ref="J25:X25" si="53">J24/J11</f>
        <v>0.18641323738725532</v>
      </c>
      <c r="K25" s="15">
        <f t="shared" si="53"/>
        <v>0.17044699150629508</v>
      </c>
      <c r="L25" s="15">
        <f t="shared" si="53"/>
        <v>0.15508212997045928</v>
      </c>
      <c r="M25" s="15">
        <f t="shared" si="53"/>
        <v>0.14007678879177432</v>
      </c>
      <c r="N25" s="15">
        <f t="shared" si="53"/>
        <v>0.1706048333063177</v>
      </c>
      <c r="O25" s="15">
        <f t="shared" si="53"/>
        <v>0.15656952758093595</v>
      </c>
      <c r="P25" s="15">
        <f t="shared" si="53"/>
        <v>0.13247604495581039</v>
      </c>
      <c r="Q25" s="15">
        <f t="shared" si="53"/>
        <v>0.14641934919356744</v>
      </c>
      <c r="R25" s="15">
        <f t="shared" si="53"/>
        <v>0.14962242942379753</v>
      </c>
      <c r="S25" s="15">
        <f t="shared" si="53"/>
        <v>0.13076631008268919</v>
      </c>
      <c r="T25" s="15">
        <f t="shared" si="53"/>
        <v>0.12654677680724083</v>
      </c>
      <c r="U25" s="15">
        <f t="shared" si="53"/>
        <v>0.14861571748519548</v>
      </c>
      <c r="V25" s="15">
        <f t="shared" si="53"/>
        <v>0.14230048304870827</v>
      </c>
      <c r="W25" s="15">
        <f t="shared" si="53"/>
        <v>0.12417817806115113</v>
      </c>
      <c r="X25" s="15">
        <f t="shared" si="53"/>
        <v>0.10683564626964438</v>
      </c>
      <c r="Y25" s="26"/>
      <c r="Z25" s="15">
        <f t="shared" ref="Z25:AK25" si="54">Z24/Z11</f>
        <v>0.13393566979932567</v>
      </c>
      <c r="AA25" s="15">
        <f t="shared" si="54"/>
        <v>0.1359933207214063</v>
      </c>
      <c r="AB25" s="15">
        <f t="shared" si="54"/>
        <v>0.13766438345823037</v>
      </c>
      <c r="AC25" s="15">
        <f t="shared" si="54"/>
        <v>0.12574944084337014</v>
      </c>
      <c r="AD25" s="15">
        <f t="shared" si="54"/>
        <v>0.13941766364307259</v>
      </c>
      <c r="AE25" s="15">
        <f t="shared" si="54"/>
        <v>0.13890207602730451</v>
      </c>
      <c r="AF25" s="15">
        <f t="shared" si="54"/>
        <v>0.14059656046029168</v>
      </c>
      <c r="AG25" s="15">
        <f t="shared" si="54"/>
        <v>0.13924684305591101</v>
      </c>
      <c r="AH25" s="15">
        <f t="shared" si="54"/>
        <v>0.13988264867178121</v>
      </c>
      <c r="AI25" s="15">
        <f t="shared" si="54"/>
        <v>0.13816063217819524</v>
      </c>
      <c r="AJ25" s="15">
        <f t="shared" si="54"/>
        <v>0.13643438123549118</v>
      </c>
      <c r="AK25" s="15">
        <f t="shared" si="54"/>
        <v>0.13146317358307966</v>
      </c>
      <c r="AL25" s="41"/>
      <c r="AM25" s="72">
        <f>SUM(AJ25-AF25)*1000</f>
        <v>-4.1621792248005001</v>
      </c>
    </row>
    <row r="26" spans="2:39" ht="5.0999999999999996" customHeight="1">
      <c r="B26" s="27"/>
      <c r="C26" s="42"/>
      <c r="D26" s="42"/>
      <c r="E26" s="42"/>
      <c r="F26" s="42"/>
      <c r="G26" s="42"/>
      <c r="H26" s="42"/>
      <c r="I26" s="28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1"/>
      <c r="AM26" s="70"/>
    </row>
    <row r="27" spans="2:39" ht="12.75" customHeight="1">
      <c r="B27" s="43" t="s">
        <v>114</v>
      </c>
      <c r="C27" s="78">
        <v>-200205</v>
      </c>
      <c r="D27" s="78">
        <v>-55250</v>
      </c>
      <c r="E27" s="78">
        <v>-309992</v>
      </c>
      <c r="F27" s="78">
        <v>-401136</v>
      </c>
      <c r="G27" s="78">
        <v>-404646</v>
      </c>
      <c r="H27" s="78">
        <v>-378948</v>
      </c>
      <c r="I27" s="30"/>
      <c r="J27" s="78">
        <v>-105912</v>
      </c>
      <c r="K27" s="78">
        <v>-95859</v>
      </c>
      <c r="L27" s="78">
        <v>-88120</v>
      </c>
      <c r="M27" s="30">
        <f t="shared" ref="M27" si="55">SUM(F27-SUM(J27:L27))</f>
        <v>-111245</v>
      </c>
      <c r="N27" s="78">
        <v>-102367</v>
      </c>
      <c r="O27" s="78">
        <v>-95989</v>
      </c>
      <c r="P27" s="78">
        <v>-80241</v>
      </c>
      <c r="Q27" s="30">
        <f>SUM(G27-SUM(N27:P27))</f>
        <v>-126049</v>
      </c>
      <c r="R27" s="78">
        <v>-94735</v>
      </c>
      <c r="S27" s="78">
        <v>-81171</v>
      </c>
      <c r="T27" s="78">
        <v>-77997</v>
      </c>
      <c r="U27" s="30">
        <f>SUM(H27-SUM(R27:T27))</f>
        <v>-125045</v>
      </c>
      <c r="V27" s="78">
        <v>-99644</v>
      </c>
      <c r="W27" s="78">
        <v>-84795</v>
      </c>
      <c r="X27" s="78">
        <v>-73436</v>
      </c>
      <c r="Y27" s="30"/>
      <c r="Z27" s="30">
        <f>SUM(K27:N27)</f>
        <v>-397591</v>
      </c>
      <c r="AA27" s="30">
        <f>SUM(L27:O27)</f>
        <v>-397721</v>
      </c>
      <c r="AB27" s="30">
        <f>SUM(M27:P27)</f>
        <v>-389842</v>
      </c>
      <c r="AC27" s="30">
        <f>SUM(N27:Q27)</f>
        <v>-404646</v>
      </c>
      <c r="AD27" s="30">
        <f>SUM(O27:R27)</f>
        <v>-397014</v>
      </c>
      <c r="AE27" s="30">
        <f>SUM(P27:S27)</f>
        <v>-382196</v>
      </c>
      <c r="AF27" s="30">
        <f t="shared" ref="AF27" si="56">SUM(P27:S27)</f>
        <v>-382196</v>
      </c>
      <c r="AG27" s="30">
        <f t="shared" ref="AG27" si="57">SUM(Q27:T27)</f>
        <v>-379952</v>
      </c>
      <c r="AH27" s="30">
        <f t="shared" ref="AH27" si="58">SUM(R27:U27)</f>
        <v>-378948</v>
      </c>
      <c r="AI27" s="30">
        <f t="shared" ref="AI27" si="59">SUM(S27:V27)</f>
        <v>-383857</v>
      </c>
      <c r="AJ27" s="30">
        <f>SUM(T27:W27)</f>
        <v>-387481</v>
      </c>
      <c r="AK27" s="30">
        <f>SUM(U27:X27)</f>
        <v>-382920</v>
      </c>
      <c r="AL27" s="41"/>
      <c r="AM27" s="70">
        <f t="shared" si="6"/>
        <v>1.3827983547708422E-2</v>
      </c>
    </row>
    <row r="28" spans="2:39" ht="12.75" customHeight="1">
      <c r="B28" s="12" t="s">
        <v>151</v>
      </c>
      <c r="C28" s="13">
        <f t="shared" ref="C28:E28" si="60">SUM(C24+C27)</f>
        <v>705945</v>
      </c>
      <c r="D28" s="13">
        <f t="shared" ref="D28" si="61">SUM(D24+D27)</f>
        <v>175835</v>
      </c>
      <c r="E28" s="13">
        <f t="shared" si="60"/>
        <v>985837</v>
      </c>
      <c r="F28" s="13">
        <f t="shared" ref="F28:H28" si="62">SUM(F24+F27)</f>
        <v>1242408</v>
      </c>
      <c r="G28" s="13">
        <f t="shared" si="62"/>
        <v>1291004.9999999981</v>
      </c>
      <c r="H28" s="13">
        <f t="shared" si="62"/>
        <v>1201118</v>
      </c>
      <c r="I28" s="11"/>
      <c r="J28" s="13">
        <f t="shared" ref="J28:W28" si="63">SUM(J24+J27)</f>
        <v>331394.99999999953</v>
      </c>
      <c r="K28" s="13">
        <f t="shared" si="63"/>
        <v>295677</v>
      </c>
      <c r="L28" s="13">
        <f t="shared" si="63"/>
        <v>274585.00000000047</v>
      </c>
      <c r="M28" s="13">
        <f t="shared" si="63"/>
        <v>340751</v>
      </c>
      <c r="N28" s="13">
        <f t="shared" si="63"/>
        <v>347051.00000000047</v>
      </c>
      <c r="O28" s="13">
        <f t="shared" si="63"/>
        <v>300102</v>
      </c>
      <c r="P28" s="13">
        <f t="shared" si="63"/>
        <v>249483</v>
      </c>
      <c r="Q28" s="13">
        <f t="shared" si="63"/>
        <v>394368.99999999814</v>
      </c>
      <c r="R28" s="13">
        <f t="shared" si="63"/>
        <v>313112.99999999953</v>
      </c>
      <c r="S28" s="13">
        <f t="shared" si="63"/>
        <v>252556</v>
      </c>
      <c r="T28" s="13">
        <f t="shared" si="63"/>
        <v>242179</v>
      </c>
      <c r="U28" s="13">
        <f t="shared" si="63"/>
        <v>393270</v>
      </c>
      <c r="V28" s="13">
        <f t="shared" si="63"/>
        <v>305680</v>
      </c>
      <c r="W28" s="13">
        <f t="shared" si="63"/>
        <v>261472</v>
      </c>
      <c r="X28" s="13">
        <f t="shared" ref="X28" si="64">SUM(X24+X27)</f>
        <v>231860</v>
      </c>
      <c r="Y28" s="30"/>
      <c r="Z28" s="13">
        <f t="shared" ref="Z28:AJ28" si="65">SUM(Z24+Z27)</f>
        <v>969702</v>
      </c>
      <c r="AA28" s="13">
        <f t="shared" si="65"/>
        <v>1029793</v>
      </c>
      <c r="AB28" s="13">
        <f t="shared" si="65"/>
        <v>1087247</v>
      </c>
      <c r="AC28" s="13">
        <f t="shared" si="65"/>
        <v>963480</v>
      </c>
      <c r="AD28" s="13">
        <f t="shared" si="65"/>
        <v>1165481.9999999981</v>
      </c>
      <c r="AE28" s="13">
        <f t="shared" si="65"/>
        <v>1187242.9999999981</v>
      </c>
      <c r="AF28" s="13">
        <f t="shared" si="65"/>
        <v>1209520.9999999981</v>
      </c>
      <c r="AG28" s="13">
        <f t="shared" si="65"/>
        <v>1202216.9999999981</v>
      </c>
      <c r="AH28" s="13">
        <f t="shared" si="65"/>
        <v>1201118</v>
      </c>
      <c r="AI28" s="13">
        <f t="shared" si="65"/>
        <v>1193685</v>
      </c>
      <c r="AJ28" s="13">
        <f t="shared" si="65"/>
        <v>1202601</v>
      </c>
      <c r="AK28" s="13">
        <f t="shared" ref="AK28" si="66">SUM(AK24+AK27)</f>
        <v>1192282</v>
      </c>
      <c r="AL28" s="34"/>
      <c r="AM28" s="71">
        <f t="shared" si="6"/>
        <v>-5.7212731320895882E-3</v>
      </c>
    </row>
    <row r="29" spans="2:39" ht="5.0999999999999996" customHeight="1">
      <c r="B29" s="14"/>
      <c r="C29" s="15"/>
      <c r="D29" s="15"/>
      <c r="E29" s="15"/>
      <c r="F29" s="15"/>
      <c r="G29" s="15"/>
      <c r="H29" s="15"/>
      <c r="I29" s="2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26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41"/>
      <c r="AM29" s="72"/>
    </row>
    <row r="30" spans="2:39" ht="12.75" customHeight="1">
      <c r="B30" s="43" t="s">
        <v>132</v>
      </c>
      <c r="C30" s="78">
        <v>0</v>
      </c>
      <c r="D30" s="78">
        <v>0</v>
      </c>
      <c r="E30" s="78">
        <v>0</v>
      </c>
      <c r="F30" s="78">
        <v>0</v>
      </c>
      <c r="G30" s="78">
        <v>0</v>
      </c>
      <c r="H30" s="78">
        <v>0</v>
      </c>
      <c r="I30" s="30"/>
      <c r="J30" s="78">
        <v>0</v>
      </c>
      <c r="K30" s="78">
        <v>0</v>
      </c>
      <c r="L30" s="78">
        <v>0</v>
      </c>
      <c r="M30" s="30">
        <f t="shared" ref="M30" si="67">SUM(F30-SUM(J30:L30))</f>
        <v>0</v>
      </c>
      <c r="N30" s="78">
        <v>0</v>
      </c>
      <c r="O30" s="78">
        <v>0</v>
      </c>
      <c r="P30" s="78">
        <v>0</v>
      </c>
      <c r="Q30" s="30">
        <f>SUM(G30-SUM(N30:P30))</f>
        <v>0</v>
      </c>
      <c r="R30" s="78">
        <v>0</v>
      </c>
      <c r="S30" s="78">
        <v>0</v>
      </c>
      <c r="T30" s="78">
        <v>0</v>
      </c>
      <c r="U30" s="30">
        <f>SUM(H30-SUM(R30:T30))</f>
        <v>0</v>
      </c>
      <c r="V30" s="78">
        <v>-628</v>
      </c>
      <c r="W30" s="78">
        <v>-597</v>
      </c>
      <c r="X30" s="78">
        <v>-985</v>
      </c>
      <c r="Y30" s="30"/>
      <c r="Z30" s="30">
        <f t="shared" ref="Z30" si="68">SUM(K30:N30)</f>
        <v>0</v>
      </c>
      <c r="AA30" s="30">
        <f t="shared" ref="AA30" si="69">SUM(L30:O30)</f>
        <v>0</v>
      </c>
      <c r="AB30" s="30">
        <f t="shared" ref="AB30" si="70">SUM(M30:P30)</f>
        <v>0</v>
      </c>
      <c r="AC30" s="30">
        <f t="shared" ref="AC30" si="71">SUM(N30:Q30)</f>
        <v>0</v>
      </c>
      <c r="AD30" s="30">
        <f t="shared" ref="AD30" si="72">SUM(O30:R30)</f>
        <v>0</v>
      </c>
      <c r="AE30" s="30">
        <f t="shared" ref="AE30" si="73">SUM(P30:S30)</f>
        <v>0</v>
      </c>
      <c r="AF30" s="30">
        <f t="shared" ref="AF30" si="74">SUM(P30:S30)</f>
        <v>0</v>
      </c>
      <c r="AG30" s="30">
        <f t="shared" ref="AG30" si="75">SUM(Q30:T30)</f>
        <v>0</v>
      </c>
      <c r="AH30" s="30">
        <f t="shared" ref="AH30" si="76">SUM(R30:U30)</f>
        <v>0</v>
      </c>
      <c r="AI30" s="30">
        <f t="shared" ref="AI30" si="77">SUM(S30:V30)</f>
        <v>-628</v>
      </c>
      <c r="AJ30" s="30">
        <f>SUM(T30:W30)</f>
        <v>-1225</v>
      </c>
      <c r="AK30" s="30">
        <f>SUM(U30:X30)</f>
        <v>-2210</v>
      </c>
      <c r="AL30" s="41"/>
      <c r="AM30" s="70" t="e">
        <f t="shared" ref="AM30:AM31" si="78">SUM(AJ30/AF30)-1</f>
        <v>#DIV/0!</v>
      </c>
    </row>
    <row r="31" spans="2:39" ht="12.75" customHeight="1">
      <c r="B31" s="12" t="s">
        <v>153</v>
      </c>
      <c r="C31" s="13">
        <f>SUM(C28+C30)</f>
        <v>705945</v>
      </c>
      <c r="D31" s="13">
        <f>SUM(D28+D30)</f>
        <v>175835</v>
      </c>
      <c r="E31" s="13">
        <f>SUM(E28+E30)</f>
        <v>985837</v>
      </c>
      <c r="F31" s="13">
        <f>SUM(F28+F30)</f>
        <v>1242408</v>
      </c>
      <c r="G31" s="13">
        <f>SUM(G28+G30)</f>
        <v>1291004.9999999981</v>
      </c>
      <c r="H31" s="13">
        <f>SUM(H28+H30)</f>
        <v>1201118</v>
      </c>
      <c r="I31" s="11"/>
      <c r="J31" s="13">
        <f>SUM(J28+J30)</f>
        <v>331394.99999999953</v>
      </c>
      <c r="K31" s="13">
        <f>SUM(K28+K30)</f>
        <v>295677</v>
      </c>
      <c r="L31" s="13">
        <f>SUM(L28+L30)</f>
        <v>274585.00000000047</v>
      </c>
      <c r="M31" s="13">
        <f>SUM(M28+M30)</f>
        <v>340751</v>
      </c>
      <c r="N31" s="13">
        <f>SUM(N28+N30)</f>
        <v>347051.00000000047</v>
      </c>
      <c r="O31" s="13">
        <f>SUM(O28+O30)</f>
        <v>300102</v>
      </c>
      <c r="P31" s="13">
        <f>SUM(P28+P30)</f>
        <v>249483</v>
      </c>
      <c r="Q31" s="13">
        <f>SUM(Q28+Q30)</f>
        <v>394368.99999999814</v>
      </c>
      <c r="R31" s="13">
        <f>SUM(R28+R30)</f>
        <v>313112.99999999953</v>
      </c>
      <c r="S31" s="13">
        <f>SUM(S28+S30)</f>
        <v>252556</v>
      </c>
      <c r="T31" s="13">
        <f>SUM(T28+T30)</f>
        <v>242179</v>
      </c>
      <c r="U31" s="13">
        <f>SUM(U28+U30)</f>
        <v>393270</v>
      </c>
      <c r="V31" s="13">
        <f>SUM(V28+V30)</f>
        <v>305052</v>
      </c>
      <c r="W31" s="13">
        <f>SUM(W28+W30)</f>
        <v>260875</v>
      </c>
      <c r="X31" s="13">
        <f>SUM(X28+X30)</f>
        <v>230875</v>
      </c>
      <c r="Y31" s="30"/>
      <c r="Z31" s="13">
        <f>SUM(Z28+Z30)</f>
        <v>969702</v>
      </c>
      <c r="AA31" s="13">
        <f>SUM(AA28+AA30)</f>
        <v>1029793</v>
      </c>
      <c r="AB31" s="13">
        <f>SUM(AB28+AB30)</f>
        <v>1087247</v>
      </c>
      <c r="AC31" s="13">
        <f>SUM(AC28+AC30)</f>
        <v>963480</v>
      </c>
      <c r="AD31" s="13">
        <f>SUM(AD28+AD30)</f>
        <v>1165481.9999999981</v>
      </c>
      <c r="AE31" s="13">
        <f>SUM(AE28+AE30)</f>
        <v>1187242.9999999981</v>
      </c>
      <c r="AF31" s="13">
        <f>SUM(AF28+AF30)</f>
        <v>1209520.9999999981</v>
      </c>
      <c r="AG31" s="13">
        <f>SUM(AG28+AG30)</f>
        <v>1202216.9999999981</v>
      </c>
      <c r="AH31" s="13">
        <f>SUM(AH28+AH30)</f>
        <v>1201118</v>
      </c>
      <c r="AI31" s="13">
        <f>SUM(AI28+AI30)</f>
        <v>1193057</v>
      </c>
      <c r="AJ31" s="13">
        <f>SUM(AJ28+AJ30)</f>
        <v>1201376</v>
      </c>
      <c r="AK31" s="13">
        <f>SUM(AK28+AK30)</f>
        <v>1190072</v>
      </c>
      <c r="AL31" s="34"/>
      <c r="AM31" s="71">
        <f t="shared" si="78"/>
        <v>-6.7340707602415728E-3</v>
      </c>
    </row>
    <row r="32" spans="2:39" ht="12.75" customHeight="1">
      <c r="B32" s="14" t="s">
        <v>152</v>
      </c>
      <c r="C32" s="15">
        <f>C31/C11</f>
        <v>9.5422886083231462E-2</v>
      </c>
      <c r="D32" s="15">
        <f t="shared" ref="D32:H32" si="79">D31/D11</f>
        <v>2.8581980388991918E-2</v>
      </c>
      <c r="E32" s="15">
        <f t="shared" si="79"/>
        <v>0.1142219532657644</v>
      </c>
      <c r="F32" s="15">
        <f t="shared" si="79"/>
        <v>0.12170233274363329</v>
      </c>
      <c r="G32" s="15">
        <f t="shared" si="79"/>
        <v>0.11519319143954601</v>
      </c>
      <c r="H32" s="15">
        <f t="shared" si="79"/>
        <v>0.10633452476501139</v>
      </c>
      <c r="I32" s="25"/>
      <c r="J32" s="15">
        <f t="shared" ref="J32" si="80">J31/J11</f>
        <v>0.14126555212687986</v>
      </c>
      <c r="K32" s="15">
        <f t="shared" ref="K32" si="81">K31/K11</f>
        <v>0.12871678493831171</v>
      </c>
      <c r="L32" s="15">
        <f t="shared" ref="L32" si="82">L31/L11</f>
        <v>0.11740457577904517</v>
      </c>
      <c r="M32" s="15">
        <f t="shared" ref="M32" si="83">M31/M11</f>
        <v>0.10560116872181588</v>
      </c>
      <c r="N32" s="15">
        <f t="shared" ref="N32" si="84">N31/N11</f>
        <v>0.13174500799654415</v>
      </c>
      <c r="O32" s="15">
        <f t="shared" ref="O32" si="85">O31/O11</f>
        <v>0.11862634689021978</v>
      </c>
      <c r="P32" s="15">
        <f t="shared" ref="P32" si="86">P31/P11</f>
        <v>0.10023692883657374</v>
      </c>
      <c r="Q32" s="15">
        <f t="shared" ref="Q32" si="87">Q31/Q11</f>
        <v>0.11095552483218862</v>
      </c>
      <c r="R32" s="15">
        <f t="shared" ref="R32" si="88">R31/R11</f>
        <v>0.11486810709914845</v>
      </c>
      <c r="S32" s="15">
        <f t="shared" ref="S32" si="89">S31/S11</f>
        <v>9.8960576187253804E-2</v>
      </c>
      <c r="T32" s="15">
        <f t="shared" ref="T32" si="90">T31/T11</f>
        <v>9.5719141535907673E-2</v>
      </c>
      <c r="U32" s="15">
        <f t="shared" ref="U32" si="91">U31/U11</f>
        <v>0.11276174375698722</v>
      </c>
      <c r="V32" s="15">
        <f t="shared" ref="V32" si="92">V31/V11</f>
        <v>0.10709715426418014</v>
      </c>
      <c r="W32" s="15">
        <f t="shared" ref="W32:X32" si="93">W31/W11</f>
        <v>9.355492207372576E-2</v>
      </c>
      <c r="X32" s="15">
        <f t="shared" si="93"/>
        <v>8.0792672791337422E-2</v>
      </c>
      <c r="Y32" s="30"/>
      <c r="Z32" s="15">
        <f t="shared" ref="Z32" si="94">Z31/Z11</f>
        <v>9.4988921084029315E-2</v>
      </c>
      <c r="AA32" s="15">
        <f t="shared" ref="AA32" si="95">AA31/AA11</f>
        <v>9.8104095459420462E-2</v>
      </c>
      <c r="AB32" s="15">
        <f t="shared" ref="AB32" si="96">AB31/AB11</f>
        <v>0.10133119122937792</v>
      </c>
      <c r="AC32" s="15">
        <f t="shared" ref="AC32" si="97">AC31/AC11</f>
        <v>8.8556954011377809E-2</v>
      </c>
      <c r="AD32" s="15">
        <f t="shared" ref="AD32" si="98">AD31/AD11</f>
        <v>0.10399308379545001</v>
      </c>
      <c r="AE32" s="15">
        <f t="shared" ref="AE32" si="99">AE31/AE11</f>
        <v>0.10507609244378724</v>
      </c>
      <c r="AF32" s="15">
        <f t="shared" ref="AF32" si="100">AF31/AF11</f>
        <v>0.10683714027336039</v>
      </c>
      <c r="AG32" s="15">
        <f t="shared" ref="AG32" si="101">AG31/AG11</f>
        <v>0.10580723166624305</v>
      </c>
      <c r="AH32" s="15">
        <f t="shared" ref="AH32" si="102">AH31/AH11</f>
        <v>0.10633452476501139</v>
      </c>
      <c r="AI32" s="15">
        <f t="shared" ref="AI32" si="103">AI31/AI11</f>
        <v>0.10448755680965773</v>
      </c>
      <c r="AJ32" s="15">
        <f t="shared" ref="AJ32:AK32" si="104">AJ31/AJ11</f>
        <v>0.10308209965974677</v>
      </c>
      <c r="AK32" s="15">
        <f t="shared" si="104"/>
        <v>9.9321002584025903E-2</v>
      </c>
      <c r="AL32" s="41"/>
      <c r="AM32" s="72">
        <f>SUM(AJ32-AF32)*1000</f>
        <v>-3.7550406136136196</v>
      </c>
    </row>
    <row r="33" spans="1:39" ht="5.0999999999999996" customHeight="1">
      <c r="B33" s="14"/>
      <c r="C33" s="15"/>
      <c r="D33" s="15"/>
      <c r="E33" s="15"/>
      <c r="F33" s="15"/>
      <c r="G33" s="15"/>
      <c r="H33" s="15"/>
      <c r="I33" s="2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26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1"/>
      <c r="AM33" s="72"/>
    </row>
    <row r="34" spans="1:39" ht="12.75" customHeight="1">
      <c r="B34" s="43" t="s">
        <v>70</v>
      </c>
      <c r="C34" s="78">
        <v>57840</v>
      </c>
      <c r="D34" s="78">
        <v>56351</v>
      </c>
      <c r="E34" s="78">
        <v>54482</v>
      </c>
      <c r="F34" s="78">
        <v>51403</v>
      </c>
      <c r="G34" s="78">
        <v>49304</v>
      </c>
      <c r="H34" s="78">
        <v>47207</v>
      </c>
      <c r="I34" s="25"/>
      <c r="J34" s="78">
        <v>52250</v>
      </c>
      <c r="K34" s="78">
        <v>51607</v>
      </c>
      <c r="L34" s="78">
        <v>51131</v>
      </c>
      <c r="M34" s="30">
        <f>F34</f>
        <v>51403</v>
      </c>
      <c r="N34" s="78">
        <v>50153</v>
      </c>
      <c r="O34" s="78">
        <v>49617</v>
      </c>
      <c r="P34" s="78">
        <v>49007</v>
      </c>
      <c r="Q34" s="30">
        <f>G34</f>
        <v>49304</v>
      </c>
      <c r="R34" s="78">
        <v>48125</v>
      </c>
      <c r="S34" s="78">
        <v>47505</v>
      </c>
      <c r="T34" s="78">
        <v>46928</v>
      </c>
      <c r="U34" s="30">
        <f>H34</f>
        <v>47207</v>
      </c>
      <c r="V34" s="78">
        <v>45362</v>
      </c>
      <c r="W34" s="78">
        <v>44955</v>
      </c>
      <c r="X34" s="78">
        <v>44731</v>
      </c>
      <c r="Y34" s="30"/>
      <c r="Z34" s="30">
        <f>M34</f>
        <v>51403</v>
      </c>
      <c r="AA34" s="30">
        <f>N34</f>
        <v>50153</v>
      </c>
      <c r="AB34" s="30">
        <f>O34</f>
        <v>49617</v>
      </c>
      <c r="AC34" s="30">
        <f>P34</f>
        <v>49007</v>
      </c>
      <c r="AD34" s="30">
        <f>Q34</f>
        <v>49304</v>
      </c>
      <c r="AE34" s="30">
        <f>R34</f>
        <v>48125</v>
      </c>
      <c r="AF34" s="30">
        <f>S34</f>
        <v>47505</v>
      </c>
      <c r="AG34" s="30">
        <f>T34</f>
        <v>46928</v>
      </c>
      <c r="AH34" s="30">
        <f>U34</f>
        <v>47207</v>
      </c>
      <c r="AI34" s="30">
        <f>V34</f>
        <v>45362</v>
      </c>
      <c r="AJ34" s="30">
        <f>W34</f>
        <v>44955</v>
      </c>
      <c r="AK34" s="30">
        <f>X34</f>
        <v>44731</v>
      </c>
      <c r="AL34" s="41"/>
      <c r="AM34" s="70">
        <f t="shared" ref="AM34" si="105">SUM(AJ34/AF34)-1</f>
        <v>-5.3678560151563026E-2</v>
      </c>
    </row>
    <row r="35" spans="1:39" ht="12.75" customHeight="1">
      <c r="B35" s="12" t="s">
        <v>71</v>
      </c>
      <c r="C35" s="73">
        <f>C31/C34</f>
        <v>12.205134854771785</v>
      </c>
      <c r="D35" s="73">
        <f t="shared" ref="D35:H35" si="106">D31/D34</f>
        <v>3.1203527887703855</v>
      </c>
      <c r="E35" s="73">
        <f t="shared" si="106"/>
        <v>18.094728534194779</v>
      </c>
      <c r="F35" s="73">
        <f t="shared" si="106"/>
        <v>24.169951170165167</v>
      </c>
      <c r="G35" s="73">
        <f t="shared" si="106"/>
        <v>26.184589485640071</v>
      </c>
      <c r="H35" s="73">
        <f t="shared" si="106"/>
        <v>25.443641832779036</v>
      </c>
      <c r="I35" s="11"/>
      <c r="J35" s="73">
        <f t="shared" ref="J35" si="107">J31/J34</f>
        <v>6.3424880382775033</v>
      </c>
      <c r="K35" s="73">
        <f t="shared" ref="K35" si="108">K31/K34</f>
        <v>5.7293971748018677</v>
      </c>
      <c r="L35" s="73">
        <f t="shared" ref="L35" si="109">L31/L34</f>
        <v>5.3702254992079261</v>
      </c>
      <c r="M35" s="73">
        <f t="shared" ref="M35" si="110">M31/M34</f>
        <v>6.6290099799622588</v>
      </c>
      <c r="N35" s="73">
        <f t="shared" ref="N35" si="111">N31/N34</f>
        <v>6.9198452734632117</v>
      </c>
      <c r="O35" s="73">
        <f t="shared" ref="O35" si="112">O31/O34</f>
        <v>6.0483705181691763</v>
      </c>
      <c r="P35" s="73">
        <f t="shared" ref="P35" si="113">P31/P34</f>
        <v>5.0907625441263491</v>
      </c>
      <c r="Q35" s="73">
        <f t="shared" ref="Q35" si="114">Q31/Q34</f>
        <v>7.9987222132078157</v>
      </c>
      <c r="R35" s="73">
        <f t="shared" ref="R35" si="115">R31/R34</f>
        <v>6.5062441558441462</v>
      </c>
      <c r="S35" s="73">
        <f t="shared" ref="S35" si="116">S31/S34</f>
        <v>5.3164087990737814</v>
      </c>
      <c r="T35" s="73">
        <f t="shared" ref="T35" si="117">T31/T34</f>
        <v>5.1606503579952268</v>
      </c>
      <c r="U35" s="73">
        <f t="shared" ref="U35" si="118">U31/U34</f>
        <v>8.3307560319444143</v>
      </c>
      <c r="V35" s="73">
        <f t="shared" ref="V35" si="119">V31/V34</f>
        <v>6.7248357656188</v>
      </c>
      <c r="W35" s="73">
        <f t="shared" ref="W35:X35" si="120">W31/W34</f>
        <v>5.8030252474696917</v>
      </c>
      <c r="X35" s="73">
        <f t="shared" si="120"/>
        <v>5.1614093134515215</v>
      </c>
      <c r="Y35" s="30"/>
      <c r="Z35" s="73">
        <f t="shared" ref="Z35" si="121">Z31/Z34</f>
        <v>18.864696613038149</v>
      </c>
      <c r="AA35" s="73">
        <f t="shared" ref="AA35" si="122">AA31/AA34</f>
        <v>20.533028931469701</v>
      </c>
      <c r="AB35" s="73">
        <f t="shared" ref="AB35" si="123">AB31/AB34</f>
        <v>21.912791986617489</v>
      </c>
      <c r="AC35" s="73">
        <f t="shared" ref="AC35" si="124">AC31/AC34</f>
        <v>19.660048564490786</v>
      </c>
      <c r="AD35" s="73">
        <f t="shared" ref="AD35" si="125">AD31/AD34</f>
        <v>23.638690572772962</v>
      </c>
      <c r="AE35" s="73">
        <f t="shared" ref="AE35" si="126">AE31/AE34</f>
        <v>24.669984415584377</v>
      </c>
      <c r="AF35" s="73">
        <f t="shared" ref="AF35" si="127">AF31/AF34</f>
        <v>25.460919903168048</v>
      </c>
      <c r="AG35" s="73">
        <f t="shared" ref="AG35" si="128">AG31/AG34</f>
        <v>25.61833020797814</v>
      </c>
      <c r="AH35" s="73">
        <f t="shared" ref="AH35" si="129">AH31/AH34</f>
        <v>25.443641832779036</v>
      </c>
      <c r="AI35" s="73">
        <f t="shared" ref="AI35" si="130">AI31/AI34</f>
        <v>26.300802433755127</v>
      </c>
      <c r="AJ35" s="73">
        <f t="shared" ref="AJ35:AK35" si="131">AJ31/AJ34</f>
        <v>26.723968412857303</v>
      </c>
      <c r="AK35" s="73">
        <f t="shared" si="131"/>
        <v>26.605083722697906</v>
      </c>
      <c r="AL35" s="34"/>
      <c r="AM35" s="71">
        <f>SUM(AJ35/AF35)-1</f>
        <v>4.9607339974079068E-2</v>
      </c>
    </row>
    <row r="36" spans="1:39" ht="5.0999999999999996" customHeight="1">
      <c r="B36" s="14"/>
      <c r="C36" s="15"/>
      <c r="D36" s="15"/>
      <c r="E36" s="15"/>
      <c r="F36" s="15"/>
      <c r="G36" s="15"/>
      <c r="H36" s="15"/>
      <c r="I36" s="2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26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41"/>
      <c r="AM36" s="72"/>
    </row>
    <row r="37" spans="1:39" ht="12.75" customHeight="1">
      <c r="B37" s="43" t="s">
        <v>72</v>
      </c>
      <c r="C37" s="78">
        <v>58105</v>
      </c>
      <c r="D37" s="78">
        <v>56558</v>
      </c>
      <c r="E37" s="78">
        <v>54841</v>
      </c>
      <c r="F37" s="78">
        <v>51738</v>
      </c>
      <c r="G37" s="78">
        <v>49596</v>
      </c>
      <c r="H37" s="78">
        <v>47404</v>
      </c>
      <c r="I37" s="25"/>
      <c r="J37" s="78">
        <v>52582</v>
      </c>
      <c r="K37" s="78">
        <v>51900</v>
      </c>
      <c r="L37" s="78">
        <v>51418</v>
      </c>
      <c r="M37" s="78">
        <f>F37</f>
        <v>51738</v>
      </c>
      <c r="N37" s="78">
        <v>50469</v>
      </c>
      <c r="O37" s="78">
        <v>49849</v>
      </c>
      <c r="P37" s="78">
        <v>49226</v>
      </c>
      <c r="Q37" s="30">
        <f>G37</f>
        <v>49596</v>
      </c>
      <c r="R37" s="78">
        <v>48381</v>
      </c>
      <c r="S37" s="78">
        <v>47667</v>
      </c>
      <c r="T37" s="78">
        <v>47092</v>
      </c>
      <c r="U37" s="30">
        <f>H37</f>
        <v>47404</v>
      </c>
      <c r="V37" s="78">
        <v>45508</v>
      </c>
      <c r="W37" s="78">
        <v>45112</v>
      </c>
      <c r="X37" s="78">
        <v>44895</v>
      </c>
      <c r="Y37" s="30"/>
      <c r="Z37" s="30">
        <f>N37</f>
        <v>50469</v>
      </c>
      <c r="AA37" s="30">
        <f>O37</f>
        <v>49849</v>
      </c>
      <c r="AB37" s="30">
        <f>P37</f>
        <v>49226</v>
      </c>
      <c r="AC37" s="30">
        <f>Q37</f>
        <v>49596</v>
      </c>
      <c r="AD37" s="30">
        <f>R37</f>
        <v>48381</v>
      </c>
      <c r="AE37" s="30">
        <f>S37</f>
        <v>47667</v>
      </c>
      <c r="AF37" s="30">
        <f t="shared" ref="AF37" si="132">S37</f>
        <v>47667</v>
      </c>
      <c r="AG37" s="30">
        <f t="shared" ref="AG37" si="133">T37</f>
        <v>47092</v>
      </c>
      <c r="AH37" s="30">
        <f t="shared" ref="AH37" si="134">U37</f>
        <v>47404</v>
      </c>
      <c r="AI37" s="30">
        <f t="shared" ref="AI37" si="135">V37</f>
        <v>45508</v>
      </c>
      <c r="AJ37" s="30">
        <f>W37</f>
        <v>45112</v>
      </c>
      <c r="AK37" s="30">
        <f>X37</f>
        <v>44895</v>
      </c>
      <c r="AL37" s="41"/>
      <c r="AM37" s="70">
        <f t="shared" ref="AM37" si="136">SUM(AJ37/AF37)-1</f>
        <v>-5.3601023769064504E-2</v>
      </c>
    </row>
    <row r="38" spans="1:39" ht="12.75" customHeight="1">
      <c r="B38" s="12" t="s">
        <v>73</v>
      </c>
      <c r="C38" s="73">
        <f>C31/C37</f>
        <v>12.149470785646674</v>
      </c>
      <c r="D38" s="73">
        <f t="shared" ref="D38:H38" si="137">D31/D37</f>
        <v>3.1089324233530182</v>
      </c>
      <c r="E38" s="73">
        <f t="shared" si="137"/>
        <v>17.976276873142357</v>
      </c>
      <c r="F38" s="73">
        <f t="shared" si="137"/>
        <v>24.013452394758204</v>
      </c>
      <c r="G38" s="73">
        <f t="shared" si="137"/>
        <v>26.030425840793576</v>
      </c>
      <c r="H38" s="73">
        <f t="shared" si="137"/>
        <v>25.337903974348155</v>
      </c>
      <c r="I38" s="25"/>
      <c r="J38" s="73">
        <f t="shared" ref="J38" si="138">J31/J37</f>
        <v>6.3024419002700451</v>
      </c>
      <c r="K38" s="73">
        <f t="shared" ref="K38" si="139">K31/K37</f>
        <v>5.6970520231213877</v>
      </c>
      <c r="L38" s="73">
        <f t="shared" ref="L38" si="140">L31/L37</f>
        <v>5.340250495935285</v>
      </c>
      <c r="M38" s="73">
        <f t="shared" ref="M38" si="141">M31/M37</f>
        <v>6.5860875951911551</v>
      </c>
      <c r="N38" s="73">
        <f t="shared" ref="N38" si="142">N31/N37</f>
        <v>6.8765182587330926</v>
      </c>
      <c r="O38" s="73">
        <f t="shared" ref="O38" si="143">O31/O37</f>
        <v>6.0202210676242256</v>
      </c>
      <c r="P38" s="73">
        <f t="shared" ref="P38" si="144">P31/P37</f>
        <v>5.0681144110835739</v>
      </c>
      <c r="Q38" s="73">
        <f t="shared" ref="Q38" si="145">Q31/Q37</f>
        <v>7.9516291636421919</v>
      </c>
      <c r="R38" s="73">
        <f t="shared" ref="R38" si="146">R31/R37</f>
        <v>6.4718174489985643</v>
      </c>
      <c r="S38" s="73">
        <f t="shared" ref="S38" si="147">S31/S37</f>
        <v>5.2983405710449576</v>
      </c>
      <c r="T38" s="73">
        <f t="shared" ref="T38" si="148">T31/T37</f>
        <v>5.142678161895863</v>
      </c>
      <c r="U38" s="73">
        <f t="shared" ref="U38" si="149">U31/U37</f>
        <v>8.2961353472280823</v>
      </c>
      <c r="V38" s="73">
        <f t="shared" ref="V38" si="150">V31/V37</f>
        <v>6.7032609651050361</v>
      </c>
      <c r="W38" s="73">
        <f t="shared" ref="W38:X38" si="151">W31/W37</f>
        <v>5.7828294023763078</v>
      </c>
      <c r="X38" s="73">
        <f t="shared" si="151"/>
        <v>5.1425548502060359</v>
      </c>
      <c r="Y38" s="30"/>
      <c r="Z38" s="73">
        <f t="shared" ref="Z38" si="152">Z31/Z37</f>
        <v>19.21381442073352</v>
      </c>
      <c r="AA38" s="73">
        <f t="shared" ref="AA38" si="153">AA31/AA37</f>
        <v>20.658247908684228</v>
      </c>
      <c r="AB38" s="73">
        <f t="shared" ref="AB38" si="154">AB31/AB37</f>
        <v>22.08684435054646</v>
      </c>
      <c r="AC38" s="73">
        <f t="shared" ref="AC38" si="155">AC31/AC37</f>
        <v>19.426566658601502</v>
      </c>
      <c r="AD38" s="73">
        <f t="shared" ref="AD38" si="156">AD31/AD37</f>
        <v>24.089663297575456</v>
      </c>
      <c r="AE38" s="73">
        <f t="shared" ref="AE38" si="157">AE31/AE37</f>
        <v>24.907021629219336</v>
      </c>
      <c r="AF38" s="73">
        <f t="shared" ref="AF38" si="158">AF31/AF37</f>
        <v>25.374388990286743</v>
      </c>
      <c r="AG38" s="73">
        <f t="shared" ref="AG38" si="159">AG31/AG37</f>
        <v>25.529113225176211</v>
      </c>
      <c r="AH38" s="73">
        <f t="shared" ref="AH38" si="160">AH31/AH37</f>
        <v>25.337903974348155</v>
      </c>
      <c r="AI38" s="73">
        <f t="shared" ref="AI38" si="161">AI31/AI37</f>
        <v>26.216423485980489</v>
      </c>
      <c r="AJ38" s="73">
        <f t="shared" ref="AJ38:AK38" si="162">AJ31/AJ37</f>
        <v>26.630962936690903</v>
      </c>
      <c r="AK38" s="73">
        <f t="shared" si="162"/>
        <v>26.507896202249693</v>
      </c>
      <c r="AL38" s="34"/>
      <c r="AM38" s="71">
        <f>SUM(AJ38/AF38)-1</f>
        <v>4.952134795778429E-2</v>
      </c>
    </row>
    <row r="39" spans="1:39">
      <c r="B39" s="14"/>
      <c r="C39" s="15"/>
      <c r="D39" s="15"/>
      <c r="E39" s="15"/>
      <c r="F39" s="15"/>
      <c r="G39" s="15"/>
      <c r="H39" s="78"/>
      <c r="I39" s="2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26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41"/>
    </row>
    <row r="40" spans="1:39" ht="12.75" customHeight="1">
      <c r="A40" s="5" t="s">
        <v>19</v>
      </c>
      <c r="B40" s="93" t="s">
        <v>83</v>
      </c>
      <c r="C40" s="94" t="s">
        <v>0</v>
      </c>
      <c r="D40" s="94"/>
      <c r="E40" s="94"/>
      <c r="F40" s="94" t="s">
        <v>0</v>
      </c>
      <c r="G40" s="94"/>
      <c r="H40" s="94"/>
      <c r="I40" s="95"/>
      <c r="J40" s="94" t="s">
        <v>1</v>
      </c>
      <c r="K40" s="94"/>
      <c r="L40" s="94"/>
      <c r="M40" s="94"/>
      <c r="N40" s="94"/>
      <c r="O40" s="94"/>
      <c r="P40" s="94"/>
      <c r="Q40" s="94"/>
      <c r="R40" s="94"/>
      <c r="S40" s="94"/>
      <c r="T40" s="94" t="s">
        <v>1</v>
      </c>
      <c r="U40" s="94"/>
      <c r="V40" s="94"/>
      <c r="W40" s="94"/>
      <c r="X40" s="94"/>
      <c r="Y40" s="93"/>
      <c r="Z40" s="94"/>
      <c r="AA40" s="94"/>
      <c r="AB40" s="94"/>
      <c r="AC40" s="94"/>
      <c r="AD40" s="94"/>
      <c r="AE40" s="94"/>
      <c r="AF40" s="94" t="s">
        <v>10</v>
      </c>
      <c r="AG40" s="94"/>
      <c r="AH40" s="94"/>
      <c r="AI40" s="94"/>
      <c r="AJ40" s="94"/>
      <c r="AK40" s="94"/>
      <c r="AL40" s="95"/>
      <c r="AM40" s="124" t="s">
        <v>25</v>
      </c>
    </row>
    <row r="41" spans="1:39" ht="12.75" customHeight="1">
      <c r="B41" s="97" t="str">
        <f>B7</f>
        <v>Fiscal Period</v>
      </c>
      <c r="C41" s="96">
        <f>C7</f>
        <v>2019</v>
      </c>
      <c r="D41" s="96">
        <f>D7</f>
        <v>2020</v>
      </c>
      <c r="E41" s="96">
        <f>E7</f>
        <v>2021</v>
      </c>
      <c r="F41" s="96">
        <f>F7</f>
        <v>2022</v>
      </c>
      <c r="G41" s="96">
        <f>G7</f>
        <v>2023</v>
      </c>
      <c r="H41" s="96">
        <f>H7</f>
        <v>2024</v>
      </c>
      <c r="I41" s="95"/>
      <c r="J41" s="96" t="str">
        <f>J7</f>
        <v>1Q22</v>
      </c>
      <c r="K41" s="96" t="str">
        <f>K7</f>
        <v>2Q22</v>
      </c>
      <c r="L41" s="96" t="str">
        <f>L7</f>
        <v>3Q22</v>
      </c>
      <c r="M41" s="96" t="str">
        <f>M7</f>
        <v>4Q22</v>
      </c>
      <c r="N41" s="96" t="str">
        <f>N7</f>
        <v>1Q23</v>
      </c>
      <c r="O41" s="96" t="str">
        <f>O7</f>
        <v>2Q23</v>
      </c>
      <c r="P41" s="96" t="str">
        <f>P7</f>
        <v>3Q23</v>
      </c>
      <c r="Q41" s="96" t="str">
        <f>Q7</f>
        <v>4Q23</v>
      </c>
      <c r="R41" s="96" t="str">
        <f>R7</f>
        <v>1Q24</v>
      </c>
      <c r="S41" s="96" t="str">
        <f>S7</f>
        <v>2Q24</v>
      </c>
      <c r="T41" s="96" t="str">
        <f>T7</f>
        <v>3Q24</v>
      </c>
      <c r="U41" s="96" t="str">
        <f>U7</f>
        <v>4Q24</v>
      </c>
      <c r="V41" s="96" t="str">
        <f>V7</f>
        <v>1Q25</v>
      </c>
      <c r="W41" s="96" t="str">
        <f>W7</f>
        <v>2Q25</v>
      </c>
      <c r="X41" s="96" t="str">
        <f>X7</f>
        <v>3Q25</v>
      </c>
      <c r="Y41" s="98"/>
      <c r="Z41" s="96" t="str">
        <f>Z7</f>
        <v>4Q22</v>
      </c>
      <c r="AA41" s="96" t="str">
        <f>AA7</f>
        <v>1Q23</v>
      </c>
      <c r="AB41" s="96" t="str">
        <f>AB7</f>
        <v>2Q23</v>
      </c>
      <c r="AC41" s="96" t="str">
        <f>AC7</f>
        <v>3Q23</v>
      </c>
      <c r="AD41" s="96" t="str">
        <f>AD7</f>
        <v>4Q23</v>
      </c>
      <c r="AE41" s="96" t="str">
        <f>AE7</f>
        <v>1Q24</v>
      </c>
      <c r="AF41" s="96" t="str">
        <f>AF7</f>
        <v>2Q24</v>
      </c>
      <c r="AG41" s="96" t="str">
        <f>AG7</f>
        <v>3Q24</v>
      </c>
      <c r="AH41" s="96" t="str">
        <f>AH7</f>
        <v>4Q24</v>
      </c>
      <c r="AI41" s="96" t="str">
        <f>AI7</f>
        <v>1Q25</v>
      </c>
      <c r="AJ41" s="96" t="str">
        <f>AJ7</f>
        <v>2Q25</v>
      </c>
      <c r="AK41" s="96" t="str">
        <f>AK7</f>
        <v>3Q25</v>
      </c>
      <c r="AL41" s="95"/>
      <c r="AM41" s="124"/>
    </row>
    <row r="42" spans="1:39" ht="12.75" customHeight="1">
      <c r="B42" s="97" t="str">
        <f>B8</f>
        <v>Fiscal Period End Date</v>
      </c>
      <c r="C42" s="99">
        <f>C8</f>
        <v>43862</v>
      </c>
      <c r="D42" s="99">
        <f>D8</f>
        <v>44226</v>
      </c>
      <c r="E42" s="99">
        <f>E8</f>
        <v>44590</v>
      </c>
      <c r="F42" s="99">
        <f>F8</f>
        <v>44954</v>
      </c>
      <c r="G42" s="99">
        <f>G8</f>
        <v>45325</v>
      </c>
      <c r="H42" s="99">
        <f>H8</f>
        <v>45689</v>
      </c>
      <c r="I42" s="95"/>
      <c r="J42" s="99">
        <f>J8</f>
        <v>44681</v>
      </c>
      <c r="K42" s="99">
        <f>K8</f>
        <v>44772</v>
      </c>
      <c r="L42" s="99">
        <f>L8</f>
        <v>44863</v>
      </c>
      <c r="M42" s="99">
        <f>M8</f>
        <v>44954</v>
      </c>
      <c r="N42" s="99">
        <f>N8</f>
        <v>45045</v>
      </c>
      <c r="O42" s="99">
        <f>O8</f>
        <v>45136</v>
      </c>
      <c r="P42" s="99">
        <f>P8</f>
        <v>45227</v>
      </c>
      <c r="Q42" s="99">
        <f>Q8</f>
        <v>45325</v>
      </c>
      <c r="R42" s="99">
        <f>R8</f>
        <v>45416</v>
      </c>
      <c r="S42" s="99">
        <f>S8</f>
        <v>45507</v>
      </c>
      <c r="T42" s="99">
        <f>T8</f>
        <v>45598</v>
      </c>
      <c r="U42" s="99">
        <f>U8</f>
        <v>45689</v>
      </c>
      <c r="V42" s="99">
        <f>V8</f>
        <v>45780</v>
      </c>
      <c r="W42" s="99">
        <f>W8</f>
        <v>45871</v>
      </c>
      <c r="X42" s="99">
        <f>X8</f>
        <v>45962</v>
      </c>
      <c r="Y42" s="100"/>
      <c r="Z42" s="99">
        <f>Z8</f>
        <v>44954</v>
      </c>
      <c r="AA42" s="99">
        <f>AA8</f>
        <v>45045</v>
      </c>
      <c r="AB42" s="99">
        <f>AB8</f>
        <v>45136</v>
      </c>
      <c r="AC42" s="99">
        <f>AC8</f>
        <v>45227</v>
      </c>
      <c r="AD42" s="99">
        <f>AD8</f>
        <v>45325</v>
      </c>
      <c r="AE42" s="99">
        <f>AE8</f>
        <v>45416</v>
      </c>
      <c r="AF42" s="99">
        <f>AF8</f>
        <v>45507</v>
      </c>
      <c r="AG42" s="99">
        <f>AG8</f>
        <v>45598</v>
      </c>
      <c r="AH42" s="99">
        <f>AH8</f>
        <v>45689</v>
      </c>
      <c r="AI42" s="99">
        <f>AI8</f>
        <v>45780</v>
      </c>
      <c r="AJ42" s="99">
        <f>AJ8</f>
        <v>45871</v>
      </c>
      <c r="AK42" s="99">
        <f>AK8</f>
        <v>45962</v>
      </c>
      <c r="AL42" s="95"/>
      <c r="AM42" s="124"/>
    </row>
    <row r="43" spans="1:39" ht="5.0999999999999996" customHeight="1">
      <c r="B43" s="45"/>
      <c r="C43" s="46"/>
      <c r="D43" s="46"/>
      <c r="E43" s="46"/>
      <c r="F43" s="46"/>
      <c r="G43" s="46"/>
      <c r="H43" s="46"/>
    </row>
    <row r="44" spans="1:39">
      <c r="B44" s="74" t="s">
        <v>90</v>
      </c>
      <c r="C44" s="46"/>
      <c r="D44" s="46"/>
      <c r="E44" s="46"/>
      <c r="F44" s="46"/>
      <c r="G44" s="46"/>
      <c r="H44" s="46"/>
    </row>
    <row r="45" spans="1:39" ht="12.75" customHeight="1">
      <c r="B45" s="106" t="s">
        <v>93</v>
      </c>
      <c r="C45" s="107">
        <v>392325</v>
      </c>
      <c r="D45" s="107">
        <v>1046051</v>
      </c>
      <c r="E45" s="107">
        <v>431560</v>
      </c>
      <c r="F45" s="107">
        <v>737877</v>
      </c>
      <c r="G45" s="107">
        <v>766594</v>
      </c>
      <c r="H45" s="107">
        <v>703201</v>
      </c>
      <c r="J45" s="107">
        <v>654486</v>
      </c>
      <c r="K45" s="107">
        <v>434226</v>
      </c>
      <c r="L45" s="107">
        <v>250628</v>
      </c>
      <c r="M45" s="84">
        <f>F45</f>
        <v>737877</v>
      </c>
      <c r="N45" s="107">
        <v>636449</v>
      </c>
      <c r="O45" s="107">
        <v>388627</v>
      </c>
      <c r="P45" s="107">
        <v>121811</v>
      </c>
      <c r="Q45" s="84">
        <f t="shared" ref="Q45:Q48" si="163">G45</f>
        <v>766594</v>
      </c>
      <c r="R45" s="107">
        <v>524596</v>
      </c>
      <c r="S45" s="107">
        <v>413962</v>
      </c>
      <c r="T45" s="107">
        <v>177782</v>
      </c>
      <c r="U45" s="84">
        <f t="shared" ref="U45:U48" si="164">H45</f>
        <v>703201</v>
      </c>
      <c r="V45" s="107">
        <v>454629</v>
      </c>
      <c r="W45" s="107">
        <v>242745</v>
      </c>
      <c r="X45" s="107">
        <v>204921</v>
      </c>
      <c r="Y45" s="84"/>
      <c r="Z45" s="84">
        <f>M45</f>
        <v>737877</v>
      </c>
      <c r="AA45" s="84">
        <f>N45</f>
        <v>636449</v>
      </c>
      <c r="AB45" s="84">
        <f>O45</f>
        <v>388627</v>
      </c>
      <c r="AC45" s="84">
        <f>P45</f>
        <v>121811</v>
      </c>
      <c r="AD45" s="84">
        <f>Q45</f>
        <v>766594</v>
      </c>
      <c r="AE45" s="84">
        <f>R45</f>
        <v>524596</v>
      </c>
      <c r="AF45" s="84">
        <f>S45</f>
        <v>413962</v>
      </c>
      <c r="AG45" s="84">
        <f>T45</f>
        <v>177782</v>
      </c>
      <c r="AH45" s="84">
        <f>U45</f>
        <v>703201</v>
      </c>
      <c r="AI45" s="84">
        <f>V45</f>
        <v>454629</v>
      </c>
      <c r="AJ45" s="84">
        <f>W45</f>
        <v>242745</v>
      </c>
      <c r="AK45" s="84">
        <f>X45</f>
        <v>204921</v>
      </c>
      <c r="AL45" s="11"/>
      <c r="AM45" s="70">
        <f>SUM(AJ45/AF45)-1</f>
        <v>-0.41360559664896779</v>
      </c>
    </row>
    <row r="46" spans="1:39" ht="12.75" customHeight="1">
      <c r="B46" s="106" t="s">
        <v>115</v>
      </c>
      <c r="C46" s="107">
        <v>139337</v>
      </c>
      <c r="D46" s="107">
        <v>193109</v>
      </c>
      <c r="E46" s="107">
        <v>233682</v>
      </c>
      <c r="F46" s="107">
        <v>199422</v>
      </c>
      <c r="G46" s="107">
        <v>207939</v>
      </c>
      <c r="H46" s="107">
        <v>223334</v>
      </c>
      <c r="J46" s="107">
        <v>192754</v>
      </c>
      <c r="K46" s="107">
        <v>180514</v>
      </c>
      <c r="L46" s="107">
        <v>200304</v>
      </c>
      <c r="M46" s="84">
        <f t="shared" ref="M46:M48" si="165">F46</f>
        <v>199422</v>
      </c>
      <c r="N46" s="107">
        <v>190282</v>
      </c>
      <c r="O46" s="107">
        <v>174444</v>
      </c>
      <c r="P46" s="107">
        <v>202868</v>
      </c>
      <c r="Q46" s="84">
        <f t="shared" si="163"/>
        <v>207939</v>
      </c>
      <c r="R46" s="107">
        <v>203463</v>
      </c>
      <c r="S46" s="107">
        <v>200863</v>
      </c>
      <c r="T46" s="107">
        <v>213621</v>
      </c>
      <c r="U46" s="84">
        <f t="shared" si="164"/>
        <v>223334</v>
      </c>
      <c r="V46" s="107">
        <v>225146</v>
      </c>
      <c r="W46" s="107">
        <v>224412</v>
      </c>
      <c r="X46" s="107">
        <v>237352</v>
      </c>
      <c r="Y46" s="84"/>
      <c r="Z46" s="84">
        <f>M46</f>
        <v>199422</v>
      </c>
      <c r="AA46" s="84">
        <f>N46</f>
        <v>190282</v>
      </c>
      <c r="AB46" s="84">
        <f>O46</f>
        <v>174444</v>
      </c>
      <c r="AC46" s="84">
        <f>P46</f>
        <v>202868</v>
      </c>
      <c r="AD46" s="84">
        <f>Q46</f>
        <v>207939</v>
      </c>
      <c r="AE46" s="84">
        <f>R46</f>
        <v>203463</v>
      </c>
      <c r="AF46" s="84">
        <f>S46</f>
        <v>200863</v>
      </c>
      <c r="AG46" s="84">
        <f>T46</f>
        <v>213621</v>
      </c>
      <c r="AH46" s="84">
        <f>U46</f>
        <v>223334</v>
      </c>
      <c r="AI46" s="84">
        <f>V46</f>
        <v>225146</v>
      </c>
      <c r="AJ46" s="84">
        <f t="shared" ref="AJ46:AK46" si="166">W46</f>
        <v>224412</v>
      </c>
      <c r="AK46" s="84">
        <f t="shared" si="166"/>
        <v>237352</v>
      </c>
      <c r="AL46" s="11"/>
      <c r="AM46" s="70">
        <f>SUM(AJ46/AF46)-1</f>
        <v>0.11723911322642788</v>
      </c>
    </row>
    <row r="47" spans="1:39" ht="12.75" customHeight="1">
      <c r="B47" s="106" t="s">
        <v>116</v>
      </c>
      <c r="C47" s="107">
        <v>1293701</v>
      </c>
      <c r="D47" s="107">
        <v>1168215</v>
      </c>
      <c r="E47" s="107">
        <v>1499218</v>
      </c>
      <c r="F47" s="107">
        <v>1603451</v>
      </c>
      <c r="G47" s="107">
        <v>1742136</v>
      </c>
      <c r="H47" s="107">
        <v>1968214</v>
      </c>
      <c r="J47" s="107">
        <v>1570552</v>
      </c>
      <c r="K47" s="107">
        <v>1666130</v>
      </c>
      <c r="L47" s="107">
        <v>2114669</v>
      </c>
      <c r="M47" s="84">
        <f t="shared" si="165"/>
        <v>1603451</v>
      </c>
      <c r="N47" s="107">
        <v>1751235</v>
      </c>
      <c r="O47" s="107">
        <v>1815539</v>
      </c>
      <c r="P47" s="107">
        <v>2321306</v>
      </c>
      <c r="Q47" s="84">
        <f t="shared" si="163"/>
        <v>1742136</v>
      </c>
      <c r="R47" s="107">
        <v>1906040</v>
      </c>
      <c r="S47" s="107">
        <v>1998286</v>
      </c>
      <c r="T47" s="107">
        <v>2365186</v>
      </c>
      <c r="U47" s="84">
        <f t="shared" si="164"/>
        <v>1968214</v>
      </c>
      <c r="V47" s="107">
        <v>2121519</v>
      </c>
      <c r="W47" s="107">
        <v>2407051</v>
      </c>
      <c r="X47" s="107">
        <v>2743639</v>
      </c>
      <c r="Y47" s="84"/>
      <c r="Z47" s="84">
        <f>M47</f>
        <v>1603451</v>
      </c>
      <c r="AA47" s="84">
        <f>N47</f>
        <v>1751235</v>
      </c>
      <c r="AB47" s="84">
        <f>O47</f>
        <v>1815539</v>
      </c>
      <c r="AC47" s="84">
        <f>P47</f>
        <v>2321306</v>
      </c>
      <c r="AD47" s="84">
        <f>Q47</f>
        <v>1742136</v>
      </c>
      <c r="AE47" s="84">
        <f>R47</f>
        <v>1906040</v>
      </c>
      <c r="AF47" s="84">
        <f>S47</f>
        <v>1998286</v>
      </c>
      <c r="AG47" s="84">
        <f>T47</f>
        <v>2365186</v>
      </c>
      <c r="AH47" s="84">
        <f>U47</f>
        <v>1968214</v>
      </c>
      <c r="AI47" s="84">
        <f>V47</f>
        <v>2121519</v>
      </c>
      <c r="AJ47" s="84">
        <f>W47</f>
        <v>2407051</v>
      </c>
      <c r="AK47" s="84">
        <f>X47</f>
        <v>2743639</v>
      </c>
      <c r="AL47" s="11"/>
      <c r="AM47" s="70">
        <f>SUM(AJ47/AF47)-1</f>
        <v>0.20455780603977614</v>
      </c>
    </row>
    <row r="48" spans="1:39" ht="12.75" customHeight="1">
      <c r="B48" s="106" t="s">
        <v>117</v>
      </c>
      <c r="C48" s="107">
        <f>103567+16387+110000</f>
        <v>229954</v>
      </c>
      <c r="D48" s="107">
        <v>107402</v>
      </c>
      <c r="E48" s="107">
        <f>110814+5909</f>
        <v>116723</v>
      </c>
      <c r="F48" s="107">
        <f>130246+38308</f>
        <v>168554</v>
      </c>
      <c r="G48" s="107">
        <f>115598+4251</f>
        <v>119849</v>
      </c>
      <c r="H48" s="107">
        <f>129113+4946</f>
        <v>134059</v>
      </c>
      <c r="J48" s="107">
        <v>114075</v>
      </c>
      <c r="K48" s="107">
        <f>123014+39029</f>
        <v>162043</v>
      </c>
      <c r="L48" s="107">
        <f>137642+42572</f>
        <v>180214</v>
      </c>
      <c r="M48" s="84">
        <f t="shared" si="165"/>
        <v>168554</v>
      </c>
      <c r="N48" s="107">
        <v>108014</v>
      </c>
      <c r="O48" s="107">
        <f>110524+30114</f>
        <v>140638</v>
      </c>
      <c r="P48" s="107">
        <f>117282+28773</f>
        <v>146055</v>
      </c>
      <c r="Q48" s="84">
        <f t="shared" si="163"/>
        <v>119849</v>
      </c>
      <c r="R48" s="107">
        <v>126529</v>
      </c>
      <c r="S48" s="107">
        <f>132023+53607</f>
        <v>185630</v>
      </c>
      <c r="T48" s="107">
        <f>135514+62759</f>
        <v>198273</v>
      </c>
      <c r="U48" s="84">
        <f t="shared" si="164"/>
        <v>134059</v>
      </c>
      <c r="V48" s="107">
        <v>138396</v>
      </c>
      <c r="W48" s="107">
        <f>165963+28877</f>
        <v>194840</v>
      </c>
      <c r="X48" s="107">
        <f>158394+26465</f>
        <v>184859</v>
      </c>
      <c r="Y48" s="84"/>
      <c r="Z48" s="84">
        <f>M48</f>
        <v>168554</v>
      </c>
      <c r="AA48" s="84">
        <f>N48</f>
        <v>108014</v>
      </c>
      <c r="AB48" s="84">
        <f>O48</f>
        <v>140638</v>
      </c>
      <c r="AC48" s="84">
        <f>P48</f>
        <v>146055</v>
      </c>
      <c r="AD48" s="84">
        <f>Q48</f>
        <v>119849</v>
      </c>
      <c r="AE48" s="84">
        <f>R48</f>
        <v>126529</v>
      </c>
      <c r="AF48" s="84">
        <f>S48</f>
        <v>185630</v>
      </c>
      <c r="AG48" s="84">
        <f>T48</f>
        <v>198273</v>
      </c>
      <c r="AH48" s="84">
        <f>U48</f>
        <v>134059</v>
      </c>
      <c r="AI48" s="84">
        <f>V48</f>
        <v>138396</v>
      </c>
      <c r="AJ48" s="84">
        <f>W48</f>
        <v>194840</v>
      </c>
      <c r="AK48" s="84">
        <f>X48</f>
        <v>184859</v>
      </c>
      <c r="AL48" s="11"/>
      <c r="AM48" s="70">
        <f>SUM(AJ48/AF48)-1</f>
        <v>4.9614825189893796E-2</v>
      </c>
    </row>
    <row r="49" spans="2:39" ht="12.75" customHeight="1">
      <c r="B49" s="23" t="s">
        <v>21</v>
      </c>
      <c r="C49" s="24">
        <f>SUM(C45:C48)</f>
        <v>2055317</v>
      </c>
      <c r="D49" s="24">
        <f>SUM(D45:D48)</f>
        <v>2514777</v>
      </c>
      <c r="E49" s="24">
        <f>SUM(E45:E48)</f>
        <v>2281183</v>
      </c>
      <c r="F49" s="24">
        <f>SUM(F45:F48)</f>
        <v>2709304</v>
      </c>
      <c r="G49" s="24">
        <f>SUM(G45:G48)</f>
        <v>2836518</v>
      </c>
      <c r="H49" s="24">
        <f>SUM(H45:H48)</f>
        <v>3028808</v>
      </c>
      <c r="I49" s="47"/>
      <c r="J49" s="24">
        <f>SUM(J45:J48)</f>
        <v>2531867</v>
      </c>
      <c r="K49" s="24">
        <f>SUM(K45:K48)</f>
        <v>2442913</v>
      </c>
      <c r="L49" s="24">
        <f>SUM(L45:L48)</f>
        <v>2745815</v>
      </c>
      <c r="M49" s="24">
        <f>SUM(M45:M48)</f>
        <v>2709304</v>
      </c>
      <c r="N49" s="24">
        <f>SUM(N45:N48)</f>
        <v>2685980</v>
      </c>
      <c r="O49" s="24">
        <f>SUM(O45:O48)</f>
        <v>2519248</v>
      </c>
      <c r="P49" s="24">
        <f>SUM(P45:P48)</f>
        <v>2792040</v>
      </c>
      <c r="Q49" s="24">
        <f>SUM(Q45:Q48)</f>
        <v>2836518</v>
      </c>
      <c r="R49" s="24">
        <f>SUM(R45:R48)</f>
        <v>2760628</v>
      </c>
      <c r="S49" s="24">
        <f>SUM(S45:S48)</f>
        <v>2798741</v>
      </c>
      <c r="T49" s="24">
        <f>SUM(T45:T48)</f>
        <v>2954862</v>
      </c>
      <c r="U49" s="24">
        <f>SUM(U45:U48)</f>
        <v>3028808</v>
      </c>
      <c r="V49" s="24">
        <f>SUM(V45:V48)</f>
        <v>2939690</v>
      </c>
      <c r="W49" s="24">
        <f>SUM(W45:W48)</f>
        <v>3069048</v>
      </c>
      <c r="X49" s="24">
        <f>SUM(X45:X48)</f>
        <v>3370771</v>
      </c>
      <c r="Y49" s="47"/>
      <c r="Z49" s="24">
        <f>SUM(Z45:Z48)</f>
        <v>2709304</v>
      </c>
      <c r="AA49" s="24">
        <f>SUM(AA45:AA48)</f>
        <v>2685980</v>
      </c>
      <c r="AB49" s="24">
        <f>SUM(AB45:AB48)</f>
        <v>2519248</v>
      </c>
      <c r="AC49" s="24">
        <f>SUM(AC45:AC48)</f>
        <v>2792040</v>
      </c>
      <c r="AD49" s="24">
        <f>SUM(AD45:AD48)</f>
        <v>2836518</v>
      </c>
      <c r="AE49" s="24">
        <f>SUM(AE45:AE48)</f>
        <v>2760628</v>
      </c>
      <c r="AF49" s="24">
        <f>SUM(AF45:AF48)</f>
        <v>2798741</v>
      </c>
      <c r="AG49" s="24">
        <f>SUM(AG45:AG48)</f>
        <v>2954862</v>
      </c>
      <c r="AH49" s="24">
        <f>SUM(AH45:AH48)</f>
        <v>3028808</v>
      </c>
      <c r="AI49" s="24">
        <f>SUM(AI45:AI48)</f>
        <v>2939690</v>
      </c>
      <c r="AJ49" s="24">
        <f>SUM(AJ45:AJ48)</f>
        <v>3069048</v>
      </c>
      <c r="AK49" s="24">
        <f>SUM(AK45:AK48)</f>
        <v>3370771</v>
      </c>
      <c r="AL49" s="40"/>
      <c r="AM49" s="71">
        <f>SUM(AJ49/AF49)-1</f>
        <v>9.6581641530959716E-2</v>
      </c>
    </row>
    <row r="50" spans="2:39" ht="5.0999999999999996" customHeight="1">
      <c r="B50" s="23"/>
      <c r="C50" s="48"/>
      <c r="D50" s="48"/>
      <c r="E50" s="48"/>
      <c r="F50" s="48"/>
      <c r="G50" s="39"/>
      <c r="H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37"/>
    </row>
    <row r="51" spans="2:39" ht="12.75" customHeight="1">
      <c r="B51" s="74" t="s">
        <v>91</v>
      </c>
      <c r="C51" s="78"/>
      <c r="D51" s="78"/>
      <c r="E51" s="78"/>
      <c r="F51" s="78"/>
      <c r="G51" s="78"/>
      <c r="H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11"/>
      <c r="AM51" s="70"/>
    </row>
    <row r="52" spans="2:39" ht="12.75" customHeight="1">
      <c r="B52" s="9" t="s">
        <v>94</v>
      </c>
      <c r="C52" s="78">
        <v>1205524</v>
      </c>
      <c r="D52" s="78">
        <v>995795</v>
      </c>
      <c r="E52" s="78">
        <v>914476</v>
      </c>
      <c r="F52" s="78">
        <v>1009273</v>
      </c>
      <c r="G52" s="78">
        <v>1182335</v>
      </c>
      <c r="H52" s="78">
        <v>1239295</v>
      </c>
      <c r="J52" s="107">
        <v>909543</v>
      </c>
      <c r="K52" s="107">
        <v>912017</v>
      </c>
      <c r="L52" s="107">
        <v>967039</v>
      </c>
      <c r="M52" s="84">
        <f t="shared" ref="M52:M57" si="167">F52</f>
        <v>1009273</v>
      </c>
      <c r="N52" s="107">
        <v>1019978</v>
      </c>
      <c r="O52" s="107">
        <v>1073144</v>
      </c>
      <c r="P52" s="107">
        <v>1117874</v>
      </c>
      <c r="Q52" s="84">
        <f t="shared" ref="Q52:Q57" si="168">G52</f>
        <v>1182335</v>
      </c>
      <c r="R52" s="107">
        <v>1195658</v>
      </c>
      <c r="S52" s="107">
        <v>1225850</v>
      </c>
      <c r="T52" s="107">
        <v>1264419</v>
      </c>
      <c r="U52" s="84">
        <f t="shared" ref="U52:U57" si="169">H52</f>
        <v>1239295</v>
      </c>
      <c r="V52" s="107">
        <v>1251287</v>
      </c>
      <c r="W52" s="107">
        <v>1332503</v>
      </c>
      <c r="X52" s="107">
        <v>1366504</v>
      </c>
      <c r="Y52" s="84"/>
      <c r="Z52" s="84">
        <f>M52</f>
        <v>1009273</v>
      </c>
      <c r="AA52" s="84">
        <f>N52</f>
        <v>1019978</v>
      </c>
      <c r="AB52" s="84">
        <f>O52</f>
        <v>1073144</v>
      </c>
      <c r="AC52" s="84">
        <f>P52</f>
        <v>1117874</v>
      </c>
      <c r="AD52" s="84">
        <f>Q52</f>
        <v>1182335</v>
      </c>
      <c r="AE52" s="84">
        <f>R52</f>
        <v>1195658</v>
      </c>
      <c r="AF52" s="84">
        <f>S52</f>
        <v>1225850</v>
      </c>
      <c r="AG52" s="84">
        <f>T52</f>
        <v>1264419</v>
      </c>
      <c r="AH52" s="84">
        <f>U52</f>
        <v>1239295</v>
      </c>
      <c r="AI52" s="84">
        <f>V52</f>
        <v>1251287</v>
      </c>
      <c r="AJ52" s="84">
        <f>W52</f>
        <v>1332503</v>
      </c>
      <c r="AK52" s="84">
        <f>X52</f>
        <v>1366504</v>
      </c>
      <c r="AL52" s="11"/>
      <c r="AM52" s="70">
        <f t="shared" ref="AM52:AM57" si="170">SUM(AJ52/AF52)-1</f>
        <v>8.7003303829995549E-2</v>
      </c>
    </row>
    <row r="53" spans="2:39" ht="12.75" customHeight="1">
      <c r="B53" s="9" t="s">
        <v>118</v>
      </c>
      <c r="C53" s="78">
        <v>1537565</v>
      </c>
      <c r="D53" s="78">
        <v>1504614</v>
      </c>
      <c r="E53" s="78">
        <v>1482256</v>
      </c>
      <c r="F53" s="78">
        <v>1561263</v>
      </c>
      <c r="G53" s="78">
        <v>1574530</v>
      </c>
      <c r="H53" s="78">
        <v>1609870</v>
      </c>
      <c r="J53" s="107">
        <v>1488040</v>
      </c>
      <c r="K53" s="107">
        <v>1509246</v>
      </c>
      <c r="L53" s="107">
        <v>1556940</v>
      </c>
      <c r="M53" s="84">
        <f t="shared" si="167"/>
        <v>1561263</v>
      </c>
      <c r="N53" s="107">
        <v>1559560</v>
      </c>
      <c r="O53" s="107">
        <v>1549146</v>
      </c>
      <c r="P53" s="107">
        <v>1578316</v>
      </c>
      <c r="Q53" s="84">
        <f t="shared" si="168"/>
        <v>1574530</v>
      </c>
      <c r="R53" s="107">
        <v>1561767</v>
      </c>
      <c r="S53" s="107">
        <v>1599735</v>
      </c>
      <c r="T53" s="107">
        <v>1619055</v>
      </c>
      <c r="U53" s="84">
        <f t="shared" si="169"/>
        <v>1609870</v>
      </c>
      <c r="V53" s="107">
        <v>1658834</v>
      </c>
      <c r="W53" s="107">
        <v>1682151</v>
      </c>
      <c r="X53" s="107">
        <v>1710804</v>
      </c>
      <c r="Z53" s="84">
        <f>M53</f>
        <v>1561263</v>
      </c>
      <c r="AA53" s="84">
        <f>N53</f>
        <v>1559560</v>
      </c>
      <c r="AB53" s="84">
        <f>O53</f>
        <v>1549146</v>
      </c>
      <c r="AC53" s="84">
        <f>P53</f>
        <v>1578316</v>
      </c>
      <c r="AD53" s="84">
        <f>Q53</f>
        <v>1574530</v>
      </c>
      <c r="AE53" s="84">
        <f>R53</f>
        <v>1561767</v>
      </c>
      <c r="AF53" s="84">
        <f>S53</f>
        <v>1599735</v>
      </c>
      <c r="AG53" s="84">
        <f>T53</f>
        <v>1619055</v>
      </c>
      <c r="AH53" s="84">
        <f>U53</f>
        <v>1609870</v>
      </c>
      <c r="AI53" s="84">
        <f>V53</f>
        <v>1658834</v>
      </c>
      <c r="AJ53" s="84">
        <f t="shared" ref="AJ53:AK57" si="171">W53</f>
        <v>1682151</v>
      </c>
      <c r="AK53" s="84">
        <f t="shared" si="171"/>
        <v>1710804</v>
      </c>
      <c r="AL53" s="11"/>
      <c r="AM53" s="70">
        <f t="shared" si="170"/>
        <v>5.1518532756987812E-2</v>
      </c>
    </row>
    <row r="54" spans="2:39" ht="12.75" customHeight="1">
      <c r="B54" s="9" t="s">
        <v>95</v>
      </c>
      <c r="C54" s="78">
        <v>10870</v>
      </c>
      <c r="D54" s="78">
        <v>10870</v>
      </c>
      <c r="E54" s="78">
        <v>10870</v>
      </c>
      <c r="F54" s="78">
        <v>10870</v>
      </c>
      <c r="G54" s="78">
        <v>10870</v>
      </c>
      <c r="H54" s="78">
        <v>10870</v>
      </c>
      <c r="J54" s="107">
        <v>10870</v>
      </c>
      <c r="K54" s="107">
        <v>10870</v>
      </c>
      <c r="L54" s="107">
        <v>10870</v>
      </c>
      <c r="M54" s="84">
        <f t="shared" si="167"/>
        <v>10870</v>
      </c>
      <c r="N54" s="107">
        <v>10870</v>
      </c>
      <c r="O54" s="107">
        <v>10870</v>
      </c>
      <c r="P54" s="107">
        <v>10870</v>
      </c>
      <c r="Q54" s="84">
        <f t="shared" si="168"/>
        <v>10870</v>
      </c>
      <c r="R54" s="107">
        <v>10870</v>
      </c>
      <c r="S54" s="107">
        <v>10870</v>
      </c>
      <c r="T54" s="107">
        <v>10870</v>
      </c>
      <c r="U54" s="84">
        <f t="shared" si="169"/>
        <v>10870</v>
      </c>
      <c r="V54" s="107">
        <v>10870</v>
      </c>
      <c r="W54" s="107">
        <v>392606</v>
      </c>
      <c r="X54" s="107">
        <v>392606</v>
      </c>
      <c r="Z54" s="84">
        <f>M54</f>
        <v>10870</v>
      </c>
      <c r="AA54" s="84">
        <f>N54</f>
        <v>10870</v>
      </c>
      <c r="AB54" s="84">
        <f>O54</f>
        <v>10870</v>
      </c>
      <c r="AC54" s="84">
        <f>P54</f>
        <v>10870</v>
      </c>
      <c r="AD54" s="84">
        <f>Q54</f>
        <v>10870</v>
      </c>
      <c r="AE54" s="84">
        <f>R54</f>
        <v>10870</v>
      </c>
      <c r="AF54" s="84">
        <f>S54</f>
        <v>10870</v>
      </c>
      <c r="AG54" s="84">
        <f>T54</f>
        <v>10870</v>
      </c>
      <c r="AH54" s="84">
        <f>U54</f>
        <v>10870</v>
      </c>
      <c r="AI54" s="84">
        <f>V54</f>
        <v>10870</v>
      </c>
      <c r="AJ54" s="84">
        <f t="shared" si="171"/>
        <v>392606</v>
      </c>
      <c r="AK54" s="84">
        <f t="shared" si="171"/>
        <v>392606</v>
      </c>
      <c r="AL54" s="11"/>
      <c r="AM54" s="70">
        <f t="shared" si="170"/>
        <v>35.118307267709291</v>
      </c>
    </row>
    <row r="55" spans="2:39" ht="12.75" customHeight="1">
      <c r="B55" s="9" t="s">
        <v>119</v>
      </c>
      <c r="C55" s="78">
        <v>3391</v>
      </c>
      <c r="D55" s="78">
        <v>2465</v>
      </c>
      <c r="E55" s="78">
        <v>1538</v>
      </c>
      <c r="F55" s="78">
        <v>1312</v>
      </c>
      <c r="G55" s="78">
        <v>510</v>
      </c>
      <c r="H55" s="78">
        <v>204</v>
      </c>
      <c r="J55" s="107">
        <v>1307</v>
      </c>
      <c r="K55" s="107">
        <v>1075</v>
      </c>
      <c r="L55" s="107">
        <v>844</v>
      </c>
      <c r="M55" s="84">
        <f t="shared" si="167"/>
        <v>1312</v>
      </c>
      <c r="N55" s="107">
        <v>1015</v>
      </c>
      <c r="O55" s="107">
        <v>718</v>
      </c>
      <c r="P55" s="107">
        <v>591</v>
      </c>
      <c r="Q55" s="84">
        <f t="shared" si="168"/>
        <v>510</v>
      </c>
      <c r="R55" s="107">
        <v>434</v>
      </c>
      <c r="S55" s="107">
        <v>357</v>
      </c>
      <c r="T55" s="107">
        <v>281</v>
      </c>
      <c r="U55" s="84">
        <f t="shared" si="169"/>
        <v>204</v>
      </c>
      <c r="V55" s="107">
        <v>0</v>
      </c>
      <c r="W55" s="107">
        <v>5466</v>
      </c>
      <c r="X55" s="107">
        <v>6089</v>
      </c>
      <c r="Z55" s="84">
        <f>M55</f>
        <v>1312</v>
      </c>
      <c r="AA55" s="84">
        <f>N55</f>
        <v>1015</v>
      </c>
      <c r="AB55" s="84">
        <f>O55</f>
        <v>718</v>
      </c>
      <c r="AC55" s="84">
        <f>P55</f>
        <v>591</v>
      </c>
      <c r="AD55" s="84">
        <f>Q55</f>
        <v>510</v>
      </c>
      <c r="AE55" s="84">
        <f>R55</f>
        <v>434</v>
      </c>
      <c r="AF55" s="84">
        <f>S55</f>
        <v>357</v>
      </c>
      <c r="AG55" s="84">
        <f>T55</f>
        <v>281</v>
      </c>
      <c r="AH55" s="84">
        <f>U55</f>
        <v>204</v>
      </c>
      <c r="AI55" s="84">
        <f>V55</f>
        <v>0</v>
      </c>
      <c r="AJ55" s="84">
        <f t="shared" si="171"/>
        <v>5466</v>
      </c>
      <c r="AK55" s="84">
        <f t="shared" si="171"/>
        <v>6089</v>
      </c>
      <c r="AL55" s="11"/>
      <c r="AM55" s="70">
        <f t="shared" si="170"/>
        <v>14.3109243697479</v>
      </c>
    </row>
    <row r="56" spans="2:39" ht="12.75" customHeight="1">
      <c r="B56" s="9" t="s">
        <v>120</v>
      </c>
      <c r="C56" s="78">
        <v>27849</v>
      </c>
      <c r="D56" s="78">
        <v>33223</v>
      </c>
      <c r="E56" s="78">
        <v>38409</v>
      </c>
      <c r="F56" s="78">
        <v>35382</v>
      </c>
      <c r="G56" s="78">
        <v>43516</v>
      </c>
      <c r="H56" s="78">
        <v>47951</v>
      </c>
      <c r="J56" s="107">
        <v>35978</v>
      </c>
      <c r="K56" s="107">
        <v>33393</v>
      </c>
      <c r="L56" s="107">
        <v>31529</v>
      </c>
      <c r="M56" s="84">
        <f t="shared" si="167"/>
        <v>35382</v>
      </c>
      <c r="N56" s="107">
        <v>37002</v>
      </c>
      <c r="O56" s="107">
        <v>40087</v>
      </c>
      <c r="P56" s="107">
        <v>38371</v>
      </c>
      <c r="Q56" s="84">
        <f t="shared" si="168"/>
        <v>43516</v>
      </c>
      <c r="R56" s="107">
        <v>45718</v>
      </c>
      <c r="S56" s="107">
        <v>46280</v>
      </c>
      <c r="T56" s="107">
        <v>48872</v>
      </c>
      <c r="U56" s="84">
        <f t="shared" si="169"/>
        <v>47951</v>
      </c>
      <c r="V56" s="107">
        <v>47467</v>
      </c>
      <c r="W56" s="107">
        <v>50550</v>
      </c>
      <c r="X56" s="107">
        <v>52684</v>
      </c>
      <c r="Z56" s="84">
        <f>M56</f>
        <v>35382</v>
      </c>
      <c r="AA56" s="84">
        <f>N56</f>
        <v>37002</v>
      </c>
      <c r="AB56" s="84">
        <f>O56</f>
        <v>40087</v>
      </c>
      <c r="AC56" s="84">
        <f>P56</f>
        <v>38371</v>
      </c>
      <c r="AD56" s="84">
        <f>Q56</f>
        <v>43516</v>
      </c>
      <c r="AE56" s="84">
        <f>R56</f>
        <v>45718</v>
      </c>
      <c r="AF56" s="84">
        <f>S56</f>
        <v>46280</v>
      </c>
      <c r="AG56" s="84">
        <f>T56</f>
        <v>48872</v>
      </c>
      <c r="AH56" s="84">
        <f>U56</f>
        <v>47951</v>
      </c>
      <c r="AI56" s="84">
        <f>V56</f>
        <v>47467</v>
      </c>
      <c r="AJ56" s="84">
        <f t="shared" si="171"/>
        <v>50550</v>
      </c>
      <c r="AK56" s="84">
        <f t="shared" si="171"/>
        <v>52684</v>
      </c>
      <c r="AL56" s="11"/>
      <c r="AM56" s="70">
        <f t="shared" si="170"/>
        <v>9.2264477095937769E-2</v>
      </c>
    </row>
    <row r="57" spans="2:39" ht="12.75" customHeight="1">
      <c r="B57" s="9" t="s">
        <v>121</v>
      </c>
      <c r="C57" s="78">
        <v>23356</v>
      </c>
      <c r="D57" s="78">
        <v>28225</v>
      </c>
      <c r="E57" s="78">
        <v>35647</v>
      </c>
      <c r="F57" s="78">
        <v>43007</v>
      </c>
      <c r="G57" s="78">
        <v>58732</v>
      </c>
      <c r="H57" s="78">
        <v>64695</v>
      </c>
      <c r="J57" s="107">
        <v>34431</v>
      </c>
      <c r="K57" s="107">
        <v>36480</v>
      </c>
      <c r="L57" s="107">
        <v>18512</v>
      </c>
      <c r="M57" s="84">
        <f t="shared" si="167"/>
        <v>43007</v>
      </c>
      <c r="N57" s="107">
        <v>61314</v>
      </c>
      <c r="O57" s="107">
        <v>55547</v>
      </c>
      <c r="P57" s="107">
        <v>56946</v>
      </c>
      <c r="Q57" s="84">
        <f t="shared" si="168"/>
        <v>58732</v>
      </c>
      <c r="R57" s="107">
        <v>56864</v>
      </c>
      <c r="S57" s="107">
        <v>55575</v>
      </c>
      <c r="T57" s="107">
        <v>60127</v>
      </c>
      <c r="U57" s="84">
        <f t="shared" si="169"/>
        <v>64695</v>
      </c>
      <c r="V57" s="107">
        <v>78541</v>
      </c>
      <c r="W57" s="107">
        <v>98324</v>
      </c>
      <c r="X57" s="107">
        <v>112834</v>
      </c>
      <c r="Z57" s="84">
        <f>M57</f>
        <v>43007</v>
      </c>
      <c r="AA57" s="84">
        <f>N57</f>
        <v>61314</v>
      </c>
      <c r="AB57" s="84">
        <f>O57</f>
        <v>55547</v>
      </c>
      <c r="AC57" s="84">
        <f>P57</f>
        <v>56946</v>
      </c>
      <c r="AD57" s="84">
        <f>Q57</f>
        <v>58732</v>
      </c>
      <c r="AE57" s="84">
        <f>R57</f>
        <v>56864</v>
      </c>
      <c r="AF57" s="84">
        <f>S57</f>
        <v>55575</v>
      </c>
      <c r="AG57" s="84">
        <f>T57</f>
        <v>60127</v>
      </c>
      <c r="AH57" s="84">
        <f>U57</f>
        <v>64695</v>
      </c>
      <c r="AI57" s="84">
        <f>V57</f>
        <v>78541</v>
      </c>
      <c r="AJ57" s="84">
        <f t="shared" si="171"/>
        <v>98324</v>
      </c>
      <c r="AK57" s="84">
        <f t="shared" si="171"/>
        <v>112834</v>
      </c>
      <c r="AL57" s="11"/>
      <c r="AM57" s="70">
        <f t="shared" si="170"/>
        <v>0.76921277552856493</v>
      </c>
    </row>
    <row r="58" spans="2:39" ht="12.75" customHeight="1">
      <c r="B58" s="12" t="s">
        <v>22</v>
      </c>
      <c r="C58" s="13">
        <f t="shared" ref="C58:E58" si="172">SUM(C52:C57)+C49</f>
        <v>4863872</v>
      </c>
      <c r="D58" s="13">
        <f t="shared" si="172"/>
        <v>5089969</v>
      </c>
      <c r="E58" s="13">
        <f t="shared" si="172"/>
        <v>4764379</v>
      </c>
      <c r="F58" s="13">
        <f>SUM(F52:F57)+F49</f>
        <v>5370411</v>
      </c>
      <c r="G58" s="13">
        <f>SUM(G52:G57)+G49</f>
        <v>5707011</v>
      </c>
      <c r="H58" s="13">
        <f>SUM(H52:H57)+H49</f>
        <v>6001693</v>
      </c>
      <c r="J58" s="13">
        <f t="shared" ref="J58:W58" si="173">SUM(J52:J57)+J49</f>
        <v>5012036</v>
      </c>
      <c r="K58" s="13">
        <f t="shared" si="173"/>
        <v>4945994</v>
      </c>
      <c r="L58" s="13">
        <f t="shared" si="173"/>
        <v>5331549</v>
      </c>
      <c r="M58" s="13">
        <f t="shared" si="173"/>
        <v>5370411</v>
      </c>
      <c r="N58" s="13">
        <f t="shared" si="173"/>
        <v>5375719</v>
      </c>
      <c r="O58" s="13">
        <f t="shared" si="173"/>
        <v>5248760</v>
      </c>
      <c r="P58" s="13">
        <f t="shared" si="173"/>
        <v>5595008</v>
      </c>
      <c r="Q58" s="13">
        <f t="shared" si="173"/>
        <v>5707011</v>
      </c>
      <c r="R58" s="13">
        <f t="shared" si="173"/>
        <v>5631939</v>
      </c>
      <c r="S58" s="13">
        <f t="shared" si="173"/>
        <v>5737408</v>
      </c>
      <c r="T58" s="13">
        <f t="shared" si="173"/>
        <v>5958486</v>
      </c>
      <c r="U58" s="13">
        <f t="shared" si="173"/>
        <v>6001693</v>
      </c>
      <c r="V58" s="13">
        <f t="shared" si="173"/>
        <v>5986689</v>
      </c>
      <c r="W58" s="13">
        <f t="shared" si="173"/>
        <v>6630648</v>
      </c>
      <c r="X58" s="13">
        <f t="shared" ref="X58" si="174">SUM(X52:X57)+X49</f>
        <v>7012292</v>
      </c>
      <c r="Z58" s="13">
        <f t="shared" ref="Z58:AJ58" si="175">SUM(Z52:Z57)+Z49</f>
        <v>5370411</v>
      </c>
      <c r="AA58" s="13">
        <f t="shared" si="175"/>
        <v>5375719</v>
      </c>
      <c r="AB58" s="13">
        <f t="shared" si="175"/>
        <v>5248760</v>
      </c>
      <c r="AC58" s="13">
        <f t="shared" si="175"/>
        <v>5595008</v>
      </c>
      <c r="AD58" s="13">
        <f t="shared" si="175"/>
        <v>5707011</v>
      </c>
      <c r="AE58" s="13">
        <f t="shared" si="175"/>
        <v>5631939</v>
      </c>
      <c r="AF58" s="13">
        <f t="shared" si="175"/>
        <v>5737408</v>
      </c>
      <c r="AG58" s="13">
        <f t="shared" si="175"/>
        <v>5958486</v>
      </c>
      <c r="AH58" s="13">
        <f t="shared" si="175"/>
        <v>6001693</v>
      </c>
      <c r="AI58" s="13">
        <f t="shared" si="175"/>
        <v>5986689</v>
      </c>
      <c r="AJ58" s="13">
        <f t="shared" si="175"/>
        <v>6630648</v>
      </c>
      <c r="AK58" s="13">
        <f t="shared" ref="AK58" si="176">SUM(AK52:AK57)+AK49</f>
        <v>7012292</v>
      </c>
      <c r="AL58" s="40"/>
      <c r="AM58" s="71">
        <f>SUM(AJ58/AF58)-1</f>
        <v>0.15568702800986101</v>
      </c>
    </row>
    <row r="59" spans="2:39" ht="12.75" customHeight="1">
      <c r="B59" s="23"/>
      <c r="C59" s="49"/>
      <c r="D59" s="49"/>
      <c r="E59" s="49"/>
      <c r="F59" s="49"/>
      <c r="G59" s="39"/>
      <c r="H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37"/>
    </row>
    <row r="60" spans="2:39" ht="12.75" customHeight="1">
      <c r="B60" s="74" t="s">
        <v>53</v>
      </c>
      <c r="C60" s="49"/>
      <c r="D60" s="49"/>
      <c r="E60" s="49"/>
      <c r="F60" s="49"/>
      <c r="G60" s="39"/>
      <c r="H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37"/>
    </row>
    <row r="61" spans="2:39" ht="12.75" customHeight="1">
      <c r="B61" s="106" t="s">
        <v>14</v>
      </c>
      <c r="C61" s="78">
        <v>414009</v>
      </c>
      <c r="D61" s="78">
        <v>477052</v>
      </c>
      <c r="E61" s="78">
        <v>552730</v>
      </c>
      <c r="F61" s="78">
        <v>559527</v>
      </c>
      <c r="G61" s="78">
        <v>544001</v>
      </c>
      <c r="H61" s="78">
        <v>563761</v>
      </c>
      <c r="J61" s="107">
        <v>585500</v>
      </c>
      <c r="K61" s="107">
        <v>586851</v>
      </c>
      <c r="L61" s="107">
        <v>647117</v>
      </c>
      <c r="M61" s="84">
        <f t="shared" ref="M61:M65" si="177">F61</f>
        <v>559527</v>
      </c>
      <c r="N61" s="107">
        <v>621272</v>
      </c>
      <c r="O61" s="107">
        <v>521315</v>
      </c>
      <c r="P61" s="107">
        <v>597373</v>
      </c>
      <c r="Q61" s="84">
        <f t="shared" ref="Q61:Q65" si="178">G61</f>
        <v>544001</v>
      </c>
      <c r="R61" s="107">
        <v>463777</v>
      </c>
      <c r="S61" s="107">
        <v>566904</v>
      </c>
      <c r="T61" s="107">
        <v>593219</v>
      </c>
      <c r="U61" s="84">
        <f t="shared" ref="U61:U65" si="179">H61</f>
        <v>563761</v>
      </c>
      <c r="V61" s="107">
        <v>537518</v>
      </c>
      <c r="W61" s="107">
        <v>708655</v>
      </c>
      <c r="X61" s="107">
        <v>759001</v>
      </c>
      <c r="Z61" s="84">
        <f>M61</f>
        <v>559527</v>
      </c>
      <c r="AA61" s="84">
        <f>N61</f>
        <v>621272</v>
      </c>
      <c r="AB61" s="84">
        <f>O61</f>
        <v>521315</v>
      </c>
      <c r="AC61" s="84">
        <f>P61</f>
        <v>597373</v>
      </c>
      <c r="AD61" s="84">
        <f>Q61</f>
        <v>544001</v>
      </c>
      <c r="AE61" s="84">
        <f>R61</f>
        <v>463777</v>
      </c>
      <c r="AF61" s="84">
        <f>S61</f>
        <v>566904</v>
      </c>
      <c r="AG61" s="84">
        <f>T61</f>
        <v>593219</v>
      </c>
      <c r="AH61" s="84">
        <f>U61</f>
        <v>563761</v>
      </c>
      <c r="AI61" s="84">
        <f>V61</f>
        <v>537518</v>
      </c>
      <c r="AJ61" s="84">
        <f>W61</f>
        <v>708655</v>
      </c>
      <c r="AK61" s="84">
        <f>X61</f>
        <v>759001</v>
      </c>
      <c r="AL61" s="11"/>
      <c r="AM61" s="70">
        <f t="shared" ref="AM61" si="180">SUM(AJ61/AF61)-1</f>
        <v>0.25004409917728565</v>
      </c>
    </row>
    <row r="62" spans="2:39" ht="12.75" customHeight="1">
      <c r="B62" s="106" t="s">
        <v>98</v>
      </c>
      <c r="C62" s="78">
        <v>237535</v>
      </c>
      <c r="D62" s="78">
        <v>274383</v>
      </c>
      <c r="E62" s="78">
        <v>353579</v>
      </c>
      <c r="F62" s="78">
        <v>394677</v>
      </c>
      <c r="G62" s="78">
        <v>436591</v>
      </c>
      <c r="H62" s="78">
        <v>500585</v>
      </c>
      <c r="J62" s="107">
        <v>324694</v>
      </c>
      <c r="K62" s="107">
        <v>316571</v>
      </c>
      <c r="L62" s="107">
        <v>312132</v>
      </c>
      <c r="M62" s="84">
        <f t="shared" si="177"/>
        <v>394677</v>
      </c>
      <c r="N62" s="107">
        <v>357217</v>
      </c>
      <c r="O62" s="107">
        <v>354253</v>
      </c>
      <c r="P62" s="107">
        <v>350937</v>
      </c>
      <c r="Q62" s="84">
        <f t="shared" si="178"/>
        <v>436591</v>
      </c>
      <c r="R62" s="107">
        <v>398729</v>
      </c>
      <c r="S62" s="107">
        <v>394987</v>
      </c>
      <c r="T62" s="107">
        <v>405040</v>
      </c>
      <c r="U62" s="84">
        <f t="shared" si="179"/>
        <v>500585</v>
      </c>
      <c r="V62" s="107">
        <v>462843</v>
      </c>
      <c r="W62" s="107">
        <v>460187</v>
      </c>
      <c r="X62" s="107">
        <v>462964</v>
      </c>
      <c r="Z62" s="84">
        <f>M62</f>
        <v>394677</v>
      </c>
      <c r="AA62" s="84">
        <f>N62</f>
        <v>357217</v>
      </c>
      <c r="AB62" s="84">
        <f>O62</f>
        <v>354253</v>
      </c>
      <c r="AC62" s="84">
        <f>P62</f>
        <v>350937</v>
      </c>
      <c r="AD62" s="84">
        <f>Q62</f>
        <v>436591</v>
      </c>
      <c r="AE62" s="84">
        <f>R62</f>
        <v>398729</v>
      </c>
      <c r="AF62" s="84">
        <f>S62</f>
        <v>394987</v>
      </c>
      <c r="AG62" s="84">
        <f>T62</f>
        <v>405040</v>
      </c>
      <c r="AH62" s="84">
        <f>U62</f>
        <v>500585</v>
      </c>
      <c r="AI62" s="84">
        <f>V62</f>
        <v>462843</v>
      </c>
      <c r="AJ62" s="84">
        <f>W62</f>
        <v>460187</v>
      </c>
      <c r="AK62" s="84">
        <f>X62</f>
        <v>462964</v>
      </c>
      <c r="AL62" s="11"/>
      <c r="AM62" s="70">
        <f>SUM(AJ62/AF62)-1</f>
        <v>0.16506872378078263</v>
      </c>
    </row>
    <row r="63" spans="2:39" ht="12.75" customHeight="1">
      <c r="B63" s="106" t="s">
        <v>123</v>
      </c>
      <c r="C63" s="78">
        <v>239629</v>
      </c>
      <c r="D63" s="78">
        <v>253415</v>
      </c>
      <c r="E63" s="78">
        <v>274118</v>
      </c>
      <c r="F63" s="78">
        <v>283293</v>
      </c>
      <c r="G63" s="78">
        <v>283821</v>
      </c>
      <c r="H63" s="78">
        <v>288114</v>
      </c>
      <c r="J63" s="107">
        <v>276440</v>
      </c>
      <c r="K63" s="107">
        <v>274693</v>
      </c>
      <c r="L63" s="107">
        <v>275749</v>
      </c>
      <c r="M63" s="84">
        <f t="shared" si="177"/>
        <v>283293</v>
      </c>
      <c r="N63" s="107">
        <v>288133</v>
      </c>
      <c r="O63" s="107">
        <v>287359</v>
      </c>
      <c r="P63" s="107">
        <v>287786</v>
      </c>
      <c r="Q63" s="84">
        <f t="shared" si="178"/>
        <v>283821</v>
      </c>
      <c r="R63" s="107">
        <v>284815</v>
      </c>
      <c r="S63" s="107">
        <v>281301</v>
      </c>
      <c r="T63" s="107">
        <v>284985</v>
      </c>
      <c r="U63" s="84">
        <f t="shared" si="179"/>
        <v>288114</v>
      </c>
      <c r="V63" s="107">
        <v>285764</v>
      </c>
      <c r="W63" s="107">
        <v>282593</v>
      </c>
      <c r="X63" s="107">
        <v>290716</v>
      </c>
      <c r="Z63" s="84">
        <f>M63</f>
        <v>283293</v>
      </c>
      <c r="AA63" s="84">
        <f>N63</f>
        <v>288133</v>
      </c>
      <c r="AB63" s="84">
        <f>O63</f>
        <v>287359</v>
      </c>
      <c r="AC63" s="84">
        <f>P63</f>
        <v>287786</v>
      </c>
      <c r="AD63" s="84">
        <f>Q63</f>
        <v>283821</v>
      </c>
      <c r="AE63" s="84">
        <f>R63</f>
        <v>284815</v>
      </c>
      <c r="AF63" s="84">
        <f>S63</f>
        <v>281301</v>
      </c>
      <c r="AG63" s="84">
        <f>T63</f>
        <v>284985</v>
      </c>
      <c r="AH63" s="84">
        <f>U63</f>
        <v>288114</v>
      </c>
      <c r="AI63" s="84">
        <f>V63</f>
        <v>285764</v>
      </c>
      <c r="AJ63" s="84">
        <f>W63</f>
        <v>282593</v>
      </c>
      <c r="AK63" s="84">
        <f>X63</f>
        <v>290716</v>
      </c>
      <c r="AL63" s="11"/>
      <c r="AM63" s="70">
        <f>SUM(AJ63/AF63)-1</f>
        <v>4.5929449237649411E-3</v>
      </c>
    </row>
    <row r="64" spans="2:39" ht="12.75" customHeight="1">
      <c r="B64" s="106" t="s">
        <v>155</v>
      </c>
      <c r="C64" s="78">
        <v>246088</v>
      </c>
      <c r="D64" s="78">
        <f>296334+42529</f>
        <v>338863</v>
      </c>
      <c r="E64" s="78">
        <f>364797+12786</f>
        <v>377583</v>
      </c>
      <c r="F64" s="78">
        <v>444278</v>
      </c>
      <c r="G64" s="78">
        <f>382468+11310</f>
        <v>393778</v>
      </c>
      <c r="H64" s="78">
        <f>380241+46777</f>
        <v>427018</v>
      </c>
      <c r="J64" s="107">
        <f>305000+108113</f>
        <v>413113</v>
      </c>
      <c r="K64" s="107">
        <v>323939</v>
      </c>
      <c r="L64" s="107">
        <v>462773</v>
      </c>
      <c r="M64" s="84">
        <f t="shared" ref="M64" si="181">F64</f>
        <v>444278</v>
      </c>
      <c r="N64" s="107">
        <f>308583+58695</f>
        <v>367278</v>
      </c>
      <c r="O64" s="107">
        <v>328247</v>
      </c>
      <c r="P64" s="107">
        <v>405443</v>
      </c>
      <c r="Q64" s="84">
        <f t="shared" ref="Q64" si="182">G64</f>
        <v>393778</v>
      </c>
      <c r="R64" s="107">
        <f>332692+92711</f>
        <v>425403</v>
      </c>
      <c r="S64" s="107">
        <v>348042</v>
      </c>
      <c r="T64" s="107">
        <v>333463</v>
      </c>
      <c r="U64" s="84">
        <f t="shared" ref="U64" si="183">H64</f>
        <v>427018</v>
      </c>
      <c r="V64" s="107">
        <f>346960+130765</f>
        <v>477725</v>
      </c>
      <c r="W64" s="107">
        <v>460232</v>
      </c>
      <c r="X64" s="107">
        <v>473949</v>
      </c>
      <c r="Z64" s="84">
        <f t="shared" ref="Z64" si="184">M64</f>
        <v>444278</v>
      </c>
      <c r="AA64" s="84">
        <f t="shared" ref="AA64" si="185">N64</f>
        <v>367278</v>
      </c>
      <c r="AB64" s="84">
        <f t="shared" ref="AB64" si="186">O64</f>
        <v>328247</v>
      </c>
      <c r="AC64" s="84">
        <f t="shared" ref="AC64" si="187">P64</f>
        <v>405443</v>
      </c>
      <c r="AD64" s="84">
        <f t="shared" ref="AD64" si="188">Q64</f>
        <v>393778</v>
      </c>
      <c r="AE64" s="84">
        <f t="shared" ref="AE64" si="189">R64</f>
        <v>425403</v>
      </c>
      <c r="AF64" s="84">
        <f t="shared" ref="AF64" si="190">S64</f>
        <v>348042</v>
      </c>
      <c r="AG64" s="84">
        <f t="shared" ref="AG64" si="191">T64</f>
        <v>333463</v>
      </c>
      <c r="AH64" s="84">
        <f t="shared" ref="AH64" si="192">U64</f>
        <v>427018</v>
      </c>
      <c r="AI64" s="84">
        <f t="shared" ref="AI64" si="193">V64</f>
        <v>477725</v>
      </c>
      <c r="AJ64" s="84">
        <f t="shared" ref="AJ64:AK64" si="194">W64</f>
        <v>460232</v>
      </c>
      <c r="AK64" s="84">
        <f t="shared" si="194"/>
        <v>473949</v>
      </c>
      <c r="AL64" s="11"/>
      <c r="AM64" s="70">
        <f t="shared" ref="AM64" si="195">SUM(AJ64/AF64)-1</f>
        <v>0.3223461536251373</v>
      </c>
    </row>
    <row r="65" spans="2:39" ht="12.75" customHeight="1">
      <c r="B65" s="106" t="s">
        <v>124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J65" s="107">
        <v>0</v>
      </c>
      <c r="K65" s="107">
        <v>0</v>
      </c>
      <c r="L65" s="107">
        <v>0</v>
      </c>
      <c r="M65" s="84">
        <f t="shared" si="177"/>
        <v>0</v>
      </c>
      <c r="N65" s="107">
        <v>0</v>
      </c>
      <c r="O65" s="107">
        <v>0</v>
      </c>
      <c r="P65" s="107">
        <v>195400</v>
      </c>
      <c r="Q65" s="84">
        <f t="shared" si="178"/>
        <v>0</v>
      </c>
      <c r="R65" s="107">
        <v>0</v>
      </c>
      <c r="S65" s="107">
        <v>0</v>
      </c>
      <c r="T65" s="107">
        <v>199700</v>
      </c>
      <c r="U65" s="84">
        <f t="shared" si="179"/>
        <v>0</v>
      </c>
      <c r="V65" s="107">
        <v>0</v>
      </c>
      <c r="W65" s="107">
        <v>289101</v>
      </c>
      <c r="X65" s="107">
        <v>551721</v>
      </c>
      <c r="Z65" s="84">
        <f>M65</f>
        <v>0</v>
      </c>
      <c r="AA65" s="84">
        <f>N65</f>
        <v>0</v>
      </c>
      <c r="AB65" s="84">
        <f>O65</f>
        <v>0</v>
      </c>
      <c r="AC65" s="84">
        <f>P65</f>
        <v>195400</v>
      </c>
      <c r="AD65" s="84">
        <f>Q65</f>
        <v>0</v>
      </c>
      <c r="AE65" s="84">
        <f>R65</f>
        <v>0</v>
      </c>
      <c r="AF65" s="84">
        <f>S65</f>
        <v>0</v>
      </c>
      <c r="AG65" s="84">
        <f>T65</f>
        <v>199700</v>
      </c>
      <c r="AH65" s="84">
        <f>U65</f>
        <v>0</v>
      </c>
      <c r="AI65" s="84">
        <f>V65</f>
        <v>0</v>
      </c>
      <c r="AJ65" s="84">
        <f>W65</f>
        <v>289101</v>
      </c>
      <c r="AK65" s="84">
        <f>X65</f>
        <v>551721</v>
      </c>
      <c r="AL65" s="11"/>
      <c r="AM65" s="70" t="e">
        <f>SUM(AJ65/AF65)-1</f>
        <v>#DIV/0!</v>
      </c>
    </row>
    <row r="66" spans="2:39" ht="12.75" customHeight="1">
      <c r="B66" s="23" t="s">
        <v>20</v>
      </c>
      <c r="C66" s="24">
        <f>SUM(C61:C65)</f>
        <v>1137261</v>
      </c>
      <c r="D66" s="24">
        <f>SUM(D61:D65)</f>
        <v>1343713</v>
      </c>
      <c r="E66" s="24">
        <f>SUM(E61:E65)</f>
        <v>1558010</v>
      </c>
      <c r="F66" s="24">
        <f>SUM(F61:F65)</f>
        <v>1681775</v>
      </c>
      <c r="G66" s="24">
        <f>SUM(G61:G65)</f>
        <v>1658191</v>
      </c>
      <c r="H66" s="24">
        <f>SUM(H61:H65)</f>
        <v>1779478</v>
      </c>
      <c r="J66" s="24">
        <f>SUM(J61:J65)</f>
        <v>1599747</v>
      </c>
      <c r="K66" s="24">
        <f>SUM(K61:K65)</f>
        <v>1502054</v>
      </c>
      <c r="L66" s="24">
        <f>SUM(L61:L65)</f>
        <v>1697771</v>
      </c>
      <c r="M66" s="24">
        <f>SUM(M61:M65)</f>
        <v>1681775</v>
      </c>
      <c r="N66" s="24">
        <f>SUM(N61:N65)</f>
        <v>1633900</v>
      </c>
      <c r="O66" s="24">
        <f>SUM(O61:O65)</f>
        <v>1491174</v>
      </c>
      <c r="P66" s="24">
        <f>SUM(P61:P65)</f>
        <v>1836939</v>
      </c>
      <c r="Q66" s="24">
        <f>SUM(Q61:Q65)</f>
        <v>1658191</v>
      </c>
      <c r="R66" s="24">
        <f>SUM(R61:R65)</f>
        <v>1572724</v>
      </c>
      <c r="S66" s="24">
        <f>SUM(S61:S65)</f>
        <v>1591234</v>
      </c>
      <c r="T66" s="24">
        <f>SUM(T61:T65)</f>
        <v>1816407</v>
      </c>
      <c r="U66" s="24">
        <f>SUM(U61:U65)</f>
        <v>1779478</v>
      </c>
      <c r="V66" s="24">
        <f>SUM(V61:V65)</f>
        <v>1763850</v>
      </c>
      <c r="W66" s="24">
        <f>SUM(W61:W65)</f>
        <v>2200768</v>
      </c>
      <c r="X66" s="24">
        <f>SUM(X61:X65)</f>
        <v>2538351</v>
      </c>
      <c r="Y66" s="47"/>
      <c r="Z66" s="24">
        <f>SUM(Z61:Z65)</f>
        <v>1681775</v>
      </c>
      <c r="AA66" s="24">
        <f>SUM(AA61:AA65)</f>
        <v>1633900</v>
      </c>
      <c r="AB66" s="24">
        <f>SUM(AB61:AB65)</f>
        <v>1491174</v>
      </c>
      <c r="AC66" s="24">
        <f>SUM(AC61:AC65)</f>
        <v>1836939</v>
      </c>
      <c r="AD66" s="24">
        <f>SUM(AD61:AD65)</f>
        <v>1658191</v>
      </c>
      <c r="AE66" s="24">
        <f>SUM(AE61:AE65)</f>
        <v>1572724</v>
      </c>
      <c r="AF66" s="24">
        <f>SUM(AF61:AF65)</f>
        <v>1591234</v>
      </c>
      <c r="AG66" s="24">
        <f>SUM(AG61:AG65)</f>
        <v>1816407</v>
      </c>
      <c r="AH66" s="24">
        <f>SUM(AH61:AH65)</f>
        <v>1779478</v>
      </c>
      <c r="AI66" s="24">
        <f>SUM(AI61:AI65)</f>
        <v>1763850</v>
      </c>
      <c r="AJ66" s="24">
        <f>SUM(AJ61:AJ65)</f>
        <v>2200768</v>
      </c>
      <c r="AK66" s="24">
        <f>SUM(AK61:AK65)</f>
        <v>2538351</v>
      </c>
      <c r="AL66" s="40"/>
      <c r="AM66" s="71">
        <f>SUM(AJ66/AF66)-1</f>
        <v>0.38305742587199609</v>
      </c>
    </row>
    <row r="67" spans="2:39" ht="5.0999999999999996" customHeight="1">
      <c r="B67" s="23"/>
      <c r="C67" s="49"/>
      <c r="D67" s="49"/>
      <c r="E67" s="49"/>
      <c r="F67" s="49"/>
      <c r="G67" s="39"/>
      <c r="H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37"/>
    </row>
    <row r="68" spans="2:39">
      <c r="B68" s="74" t="s">
        <v>92</v>
      </c>
      <c r="C68" s="49"/>
      <c r="D68" s="49"/>
      <c r="E68" s="49"/>
      <c r="F68" s="49"/>
      <c r="G68" s="39"/>
      <c r="H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37"/>
    </row>
    <row r="69" spans="2:39" ht="12.75" customHeight="1">
      <c r="B69" s="106" t="s">
        <v>125</v>
      </c>
      <c r="C69" s="78">
        <v>1698718</v>
      </c>
      <c r="D69" s="78">
        <v>1643386</v>
      </c>
      <c r="E69" s="78">
        <v>1572638</v>
      </c>
      <c r="F69" s="78">
        <v>1619883</v>
      </c>
      <c r="G69" s="78">
        <v>1627271</v>
      </c>
      <c r="H69" s="78">
        <v>1635120</v>
      </c>
      <c r="J69" s="107">
        <v>1568356</v>
      </c>
      <c r="K69" s="107">
        <v>1582003</v>
      </c>
      <c r="L69" s="107">
        <v>1621252</v>
      </c>
      <c r="M69" s="84">
        <f t="shared" ref="M69:M71" si="196">F69</f>
        <v>1619883</v>
      </c>
      <c r="N69" s="107">
        <v>1610256</v>
      </c>
      <c r="O69" s="107">
        <v>1593040</v>
      </c>
      <c r="P69" s="107">
        <v>1616747</v>
      </c>
      <c r="Q69" s="84">
        <f>G69</f>
        <v>1627271</v>
      </c>
      <c r="R69" s="107">
        <v>1607953</v>
      </c>
      <c r="S69" s="107">
        <v>1647698</v>
      </c>
      <c r="T69" s="107">
        <v>1656317</v>
      </c>
      <c r="U69" s="84">
        <f t="shared" ref="U69:U71" si="197">H69</f>
        <v>1635120</v>
      </c>
      <c r="V69" s="107">
        <v>1689439</v>
      </c>
      <c r="W69" s="107">
        <v>1716133</v>
      </c>
      <c r="X69" s="107">
        <v>1732219</v>
      </c>
      <c r="Z69" s="84">
        <f t="shared" ref="Z69:Z71" si="198">M69</f>
        <v>1619883</v>
      </c>
      <c r="AA69" s="84">
        <f t="shared" ref="AA69:AA71" si="199">N69</f>
        <v>1610256</v>
      </c>
      <c r="AB69" s="84">
        <f t="shared" ref="AB69:AB71" si="200">O69</f>
        <v>1593040</v>
      </c>
      <c r="AC69" s="84">
        <f t="shared" ref="AC69:AC71" si="201">P69</f>
        <v>1616747</v>
      </c>
      <c r="AD69" s="84">
        <f t="shared" ref="AD69:AD71" si="202">Q69</f>
        <v>1627271</v>
      </c>
      <c r="AE69" s="84">
        <f t="shared" ref="AE69:AE71" si="203">R69</f>
        <v>1607953</v>
      </c>
      <c r="AF69" s="84">
        <f t="shared" ref="AF69:AF71" si="204">S69</f>
        <v>1647698</v>
      </c>
      <c r="AG69" s="84">
        <f t="shared" ref="AG69:AG71" si="205">T69</f>
        <v>1656317</v>
      </c>
      <c r="AH69" s="84">
        <f t="shared" ref="AH69:AH71" si="206">U69</f>
        <v>1635120</v>
      </c>
      <c r="AI69" s="84">
        <f t="shared" ref="AI69:AI71" si="207">V69</f>
        <v>1689439</v>
      </c>
      <c r="AJ69" s="84">
        <f t="shared" ref="AJ69:AK71" si="208">W69</f>
        <v>1716133</v>
      </c>
      <c r="AK69" s="84">
        <f t="shared" si="208"/>
        <v>1732219</v>
      </c>
      <c r="AL69" s="40"/>
      <c r="AM69" s="70">
        <f t="shared" ref="AM69:AM71" si="209">SUM(AJ69/AF69)-1</f>
        <v>4.1533703384964982E-2</v>
      </c>
    </row>
    <row r="70" spans="2:39" ht="12.75" customHeight="1">
      <c r="B70" s="106" t="s">
        <v>126</v>
      </c>
      <c r="C70" s="78">
        <v>89367</v>
      </c>
      <c r="D70" s="78">
        <v>65359</v>
      </c>
      <c r="E70" s="78">
        <v>39693</v>
      </c>
      <c r="F70" s="78">
        <v>55346</v>
      </c>
      <c r="G70" s="78">
        <v>85921</v>
      </c>
      <c r="H70" s="78">
        <v>42593</v>
      </c>
      <c r="J70" s="107">
        <v>40702</v>
      </c>
      <c r="K70" s="107">
        <v>40029</v>
      </c>
      <c r="L70" s="107">
        <v>38627</v>
      </c>
      <c r="M70" s="84">
        <f t="shared" si="196"/>
        <v>55346</v>
      </c>
      <c r="N70" s="107">
        <v>57490</v>
      </c>
      <c r="O70" s="107">
        <v>56012</v>
      </c>
      <c r="P70" s="107">
        <v>56874</v>
      </c>
      <c r="Q70" s="84">
        <f>G70</f>
        <v>85921</v>
      </c>
      <c r="R70" s="107">
        <v>89556</v>
      </c>
      <c r="S70" s="107">
        <v>88461</v>
      </c>
      <c r="T70" s="107">
        <v>91729</v>
      </c>
      <c r="U70" s="84">
        <f t="shared" si="197"/>
        <v>42593</v>
      </c>
      <c r="V70" s="107">
        <v>46013</v>
      </c>
      <c r="W70" s="107">
        <v>49158</v>
      </c>
      <c r="X70" s="107">
        <v>45312</v>
      </c>
      <c r="Z70" s="84">
        <f t="shared" si="198"/>
        <v>55346</v>
      </c>
      <c r="AA70" s="84">
        <f t="shared" si="199"/>
        <v>57490</v>
      </c>
      <c r="AB70" s="84">
        <f t="shared" si="200"/>
        <v>56012</v>
      </c>
      <c r="AC70" s="84">
        <f t="shared" si="201"/>
        <v>56874</v>
      </c>
      <c r="AD70" s="84">
        <f t="shared" si="202"/>
        <v>85921</v>
      </c>
      <c r="AE70" s="84">
        <f t="shared" si="203"/>
        <v>89556</v>
      </c>
      <c r="AF70" s="84">
        <f t="shared" si="204"/>
        <v>88461</v>
      </c>
      <c r="AG70" s="84">
        <f t="shared" si="205"/>
        <v>91729</v>
      </c>
      <c r="AH70" s="84">
        <f t="shared" si="206"/>
        <v>42593</v>
      </c>
      <c r="AI70" s="84">
        <f t="shared" si="207"/>
        <v>46013</v>
      </c>
      <c r="AJ70" s="84">
        <f t="shared" si="208"/>
        <v>49158</v>
      </c>
      <c r="AK70" s="84">
        <f t="shared" si="208"/>
        <v>45312</v>
      </c>
      <c r="AL70" s="40"/>
      <c r="AM70" s="70">
        <f t="shared" si="209"/>
        <v>-0.44429748702818195</v>
      </c>
    </row>
    <row r="71" spans="2:39" ht="12.75" customHeight="1">
      <c r="B71" s="106" t="s">
        <v>127</v>
      </c>
      <c r="C71" s="78">
        <v>36432</v>
      </c>
      <c r="D71" s="78">
        <v>37962</v>
      </c>
      <c r="E71" s="78">
        <v>58665</v>
      </c>
      <c r="F71" s="78">
        <v>53596</v>
      </c>
      <c r="G71" s="78">
        <v>56300</v>
      </c>
      <c r="H71" s="78">
        <v>56149</v>
      </c>
      <c r="J71" s="107">
        <v>57611</v>
      </c>
      <c r="K71" s="107">
        <v>52840</v>
      </c>
      <c r="L71" s="107">
        <v>51644</v>
      </c>
      <c r="M71" s="84">
        <f t="shared" si="196"/>
        <v>53596</v>
      </c>
      <c r="N71" s="107">
        <v>56005</v>
      </c>
      <c r="O71" s="107">
        <v>56657</v>
      </c>
      <c r="P71" s="107">
        <v>55906</v>
      </c>
      <c r="Q71" s="84">
        <f>G71</f>
        <v>56300</v>
      </c>
      <c r="R71" s="107">
        <v>60963</v>
      </c>
      <c r="S71" s="107">
        <v>61855</v>
      </c>
      <c r="T71" s="107">
        <v>65024</v>
      </c>
      <c r="U71" s="84">
        <f t="shared" si="197"/>
        <v>56149</v>
      </c>
      <c r="V71" s="107">
        <v>57084</v>
      </c>
      <c r="W71" s="107">
        <v>60729</v>
      </c>
      <c r="X71" s="107">
        <v>63396</v>
      </c>
      <c r="Z71" s="84">
        <f t="shared" si="198"/>
        <v>53596</v>
      </c>
      <c r="AA71" s="84">
        <f t="shared" si="199"/>
        <v>56005</v>
      </c>
      <c r="AB71" s="84">
        <f t="shared" si="200"/>
        <v>56657</v>
      </c>
      <c r="AC71" s="84">
        <f t="shared" si="201"/>
        <v>55906</v>
      </c>
      <c r="AD71" s="84">
        <f t="shared" si="202"/>
        <v>56300</v>
      </c>
      <c r="AE71" s="84">
        <f t="shared" si="203"/>
        <v>60963</v>
      </c>
      <c r="AF71" s="84">
        <f t="shared" si="204"/>
        <v>61855</v>
      </c>
      <c r="AG71" s="84">
        <f t="shared" si="205"/>
        <v>65024</v>
      </c>
      <c r="AH71" s="84">
        <f t="shared" si="206"/>
        <v>56149</v>
      </c>
      <c r="AI71" s="84">
        <f t="shared" si="207"/>
        <v>57084</v>
      </c>
      <c r="AJ71" s="84">
        <f t="shared" si="208"/>
        <v>60729</v>
      </c>
      <c r="AK71" s="84">
        <f t="shared" si="208"/>
        <v>63396</v>
      </c>
      <c r="AL71" s="40"/>
      <c r="AM71" s="70">
        <f t="shared" si="209"/>
        <v>-1.8203863875192017E-2</v>
      </c>
    </row>
    <row r="72" spans="2:39" ht="12.75" customHeight="1">
      <c r="B72" s="12" t="s">
        <v>18</v>
      </c>
      <c r="C72" s="13">
        <f t="shared" ref="C72:H72" si="210">SUM(C69:C71)+C66</f>
        <v>2961778</v>
      </c>
      <c r="D72" s="13">
        <f t="shared" si="210"/>
        <v>3090420</v>
      </c>
      <c r="E72" s="32">
        <f t="shared" si="210"/>
        <v>3229006</v>
      </c>
      <c r="F72" s="13">
        <f t="shared" si="210"/>
        <v>3410600</v>
      </c>
      <c r="G72" s="13">
        <f t="shared" si="210"/>
        <v>3427683</v>
      </c>
      <c r="H72" s="13">
        <f t="shared" si="210"/>
        <v>3513340</v>
      </c>
      <c r="J72" s="13">
        <f t="shared" ref="J72:X72" si="211">SUM(J69:J71)+J66</f>
        <v>3266416</v>
      </c>
      <c r="K72" s="13">
        <f t="shared" si="211"/>
        <v>3176926</v>
      </c>
      <c r="L72" s="13">
        <f t="shared" si="211"/>
        <v>3409294</v>
      </c>
      <c r="M72" s="13">
        <f t="shared" si="211"/>
        <v>3410600</v>
      </c>
      <c r="N72" s="13">
        <f t="shared" si="211"/>
        <v>3357651</v>
      </c>
      <c r="O72" s="13">
        <f t="shared" si="211"/>
        <v>3196883</v>
      </c>
      <c r="P72" s="13">
        <f t="shared" si="211"/>
        <v>3566466</v>
      </c>
      <c r="Q72" s="13">
        <f t="shared" si="211"/>
        <v>3427683</v>
      </c>
      <c r="R72" s="13">
        <f t="shared" si="211"/>
        <v>3331196</v>
      </c>
      <c r="S72" s="13">
        <f t="shared" si="211"/>
        <v>3389248</v>
      </c>
      <c r="T72" s="13">
        <f t="shared" si="211"/>
        <v>3629477</v>
      </c>
      <c r="U72" s="13">
        <f t="shared" si="211"/>
        <v>3513340</v>
      </c>
      <c r="V72" s="13">
        <f t="shared" si="211"/>
        <v>3556386</v>
      </c>
      <c r="W72" s="13">
        <f t="shared" si="211"/>
        <v>4026788</v>
      </c>
      <c r="X72" s="13">
        <f t="shared" si="211"/>
        <v>4379278</v>
      </c>
      <c r="Z72" s="13">
        <f t="shared" ref="Z72:AK72" si="212">SUM(Z69:Z71)+Z66</f>
        <v>3410600</v>
      </c>
      <c r="AA72" s="13">
        <f t="shared" si="212"/>
        <v>3357651</v>
      </c>
      <c r="AB72" s="13">
        <f t="shared" si="212"/>
        <v>3196883</v>
      </c>
      <c r="AC72" s="13">
        <f t="shared" si="212"/>
        <v>3566466</v>
      </c>
      <c r="AD72" s="13">
        <f t="shared" si="212"/>
        <v>3427683</v>
      </c>
      <c r="AE72" s="13">
        <f t="shared" si="212"/>
        <v>3331196</v>
      </c>
      <c r="AF72" s="13">
        <f t="shared" si="212"/>
        <v>3389248</v>
      </c>
      <c r="AG72" s="13">
        <f t="shared" si="212"/>
        <v>3629477</v>
      </c>
      <c r="AH72" s="13">
        <f t="shared" si="212"/>
        <v>3513340</v>
      </c>
      <c r="AI72" s="13">
        <f t="shared" si="212"/>
        <v>3556386</v>
      </c>
      <c r="AJ72" s="13">
        <f t="shared" si="212"/>
        <v>4026788</v>
      </c>
      <c r="AK72" s="13">
        <f t="shared" si="212"/>
        <v>4379278</v>
      </c>
      <c r="AL72" s="40"/>
      <c r="AM72" s="71">
        <f>SUM(AJ72/AF72)-1</f>
        <v>0.18810662424230973</v>
      </c>
    </row>
    <row r="73" spans="2:39" ht="5.0999999999999996" customHeight="1">
      <c r="B73" s="23"/>
      <c r="C73" s="48"/>
      <c r="D73" s="48"/>
      <c r="E73" s="48"/>
      <c r="F73" s="48"/>
      <c r="G73" s="39"/>
      <c r="H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37"/>
    </row>
    <row r="74" spans="2:39" ht="12.75" customHeight="1">
      <c r="B74" s="9" t="s">
        <v>157</v>
      </c>
      <c r="C74" s="78">
        <v>573</v>
      </c>
      <c r="D74" s="78">
        <v>569</v>
      </c>
      <c r="E74" s="78">
        <v>530</v>
      </c>
      <c r="F74" s="78">
        <v>511</v>
      </c>
      <c r="G74" s="78">
        <v>491</v>
      </c>
      <c r="H74" s="78">
        <v>468</v>
      </c>
      <c r="J74" s="107">
        <v>528</v>
      </c>
      <c r="K74" s="107">
        <v>521</v>
      </c>
      <c r="L74" s="107">
        <v>517</v>
      </c>
      <c r="M74" s="84">
        <f t="shared" ref="M74:M78" si="213">F74</f>
        <v>511</v>
      </c>
      <c r="N74" s="107">
        <v>507</v>
      </c>
      <c r="O74" s="107">
        <v>501</v>
      </c>
      <c r="P74" s="107">
        <v>495</v>
      </c>
      <c r="Q74" s="84">
        <f>G74</f>
        <v>491</v>
      </c>
      <c r="R74" s="107">
        <v>487</v>
      </c>
      <c r="S74" s="107">
        <v>481</v>
      </c>
      <c r="T74" s="107">
        <v>474</v>
      </c>
      <c r="U74" s="84">
        <f t="shared" ref="U74:U78" si="214">H74</f>
        <v>468</v>
      </c>
      <c r="V74" s="107">
        <v>459</v>
      </c>
      <c r="W74" s="107">
        <v>458</v>
      </c>
      <c r="X74" s="107">
        <v>454</v>
      </c>
      <c r="Z74" s="84">
        <f t="shared" ref="Z74:Z78" si="215">M74</f>
        <v>511</v>
      </c>
      <c r="AA74" s="84">
        <f t="shared" ref="AA74:AA78" si="216">N74</f>
        <v>507</v>
      </c>
      <c r="AB74" s="84">
        <f t="shared" ref="AB74:AB78" si="217">O74</f>
        <v>501</v>
      </c>
      <c r="AC74" s="84">
        <f t="shared" ref="AC74:AC78" si="218">P74</f>
        <v>495</v>
      </c>
      <c r="AD74" s="84">
        <f t="shared" ref="AD74:AD78" si="219">Q74</f>
        <v>491</v>
      </c>
      <c r="AE74" s="84">
        <f t="shared" ref="AE74:AE78" si="220">R74</f>
        <v>487</v>
      </c>
      <c r="AF74" s="84">
        <f t="shared" ref="AF74:AF78" si="221">S74</f>
        <v>481</v>
      </c>
      <c r="AG74" s="84">
        <f t="shared" ref="AG74:AG78" si="222">T74</f>
        <v>474</v>
      </c>
      <c r="AH74" s="84">
        <f t="shared" ref="AH74:AH78" si="223">U74</f>
        <v>468</v>
      </c>
      <c r="AI74" s="84">
        <f t="shared" ref="AI74:AI78" si="224">V74</f>
        <v>459</v>
      </c>
      <c r="AJ74" s="84">
        <f t="shared" ref="AJ74:AK78" si="225">W74</f>
        <v>458</v>
      </c>
      <c r="AK74" s="84">
        <f t="shared" si="225"/>
        <v>454</v>
      </c>
      <c r="AL74" s="11"/>
      <c r="AM74" s="70">
        <f t="shared" ref="AM74:AM78" si="226">SUM(AJ74/AF74)-1</f>
        <v>-4.7817047817047764E-2</v>
      </c>
    </row>
    <row r="75" spans="2:39" ht="12.75" customHeight="1">
      <c r="B75" s="9" t="s">
        <v>156</v>
      </c>
      <c r="C75" s="78">
        <v>-34448</v>
      </c>
      <c r="D75" s="78">
        <v>-37801</v>
      </c>
      <c r="E75" s="78">
        <v>-53478</v>
      </c>
      <c r="F75" s="78">
        <v>-60470</v>
      </c>
      <c r="G75" s="78">
        <v>-83032</v>
      </c>
      <c r="H75" s="78">
        <v>-106793</v>
      </c>
      <c r="J75" s="107">
        <v>-58650</v>
      </c>
      <c r="K75" s="107">
        <v>-59803</v>
      </c>
      <c r="L75" s="107">
        <v>-60218</v>
      </c>
      <c r="M75" s="84">
        <f t="shared" si="213"/>
        <v>-60470</v>
      </c>
      <c r="N75" s="107">
        <v>-82129</v>
      </c>
      <c r="O75" s="107">
        <v>-82229</v>
      </c>
      <c r="P75" s="107">
        <v>-82798</v>
      </c>
      <c r="Q75" s="84">
        <f>G75</f>
        <v>-83032</v>
      </c>
      <c r="R75" s="107">
        <v>-106315</v>
      </c>
      <c r="S75" s="107">
        <v>-106491</v>
      </c>
      <c r="T75" s="107">
        <v>-106598</v>
      </c>
      <c r="U75" s="84">
        <f t="shared" si="214"/>
        <v>-106793</v>
      </c>
      <c r="V75" s="107">
        <v>-119704</v>
      </c>
      <c r="W75" s="107">
        <v>-120031</v>
      </c>
      <c r="X75" s="107">
        <v>-120298</v>
      </c>
      <c r="Z75" s="84">
        <f t="shared" si="215"/>
        <v>-60470</v>
      </c>
      <c r="AA75" s="84">
        <f t="shared" si="216"/>
        <v>-82129</v>
      </c>
      <c r="AB75" s="84">
        <f t="shared" si="217"/>
        <v>-82229</v>
      </c>
      <c r="AC75" s="84">
        <f t="shared" si="218"/>
        <v>-82798</v>
      </c>
      <c r="AD75" s="84">
        <f t="shared" si="219"/>
        <v>-83032</v>
      </c>
      <c r="AE75" s="84">
        <f t="shared" si="220"/>
        <v>-106315</v>
      </c>
      <c r="AF75" s="84">
        <f t="shared" si="221"/>
        <v>-106491</v>
      </c>
      <c r="AG75" s="84">
        <f t="shared" si="222"/>
        <v>-106598</v>
      </c>
      <c r="AH75" s="84">
        <f t="shared" si="223"/>
        <v>-106793</v>
      </c>
      <c r="AI75" s="84">
        <f t="shared" si="224"/>
        <v>-119704</v>
      </c>
      <c r="AJ75" s="84">
        <f t="shared" si="225"/>
        <v>-120031</v>
      </c>
      <c r="AK75" s="84">
        <f t="shared" si="225"/>
        <v>-120298</v>
      </c>
      <c r="AL75" s="11"/>
      <c r="AM75" s="70">
        <f t="shared" si="226"/>
        <v>0.12714689504277366</v>
      </c>
    </row>
    <row r="76" spans="2:39" ht="12.75" customHeight="1">
      <c r="B76" s="9" t="s">
        <v>96</v>
      </c>
      <c r="C76" s="78">
        <v>807492</v>
      </c>
      <c r="D76" s="78">
        <v>847303</v>
      </c>
      <c r="E76" s="78">
        <v>934945</v>
      </c>
      <c r="F76" s="78">
        <v>1023997</v>
      </c>
      <c r="G76" s="78">
        <v>1075104</v>
      </c>
      <c r="H76" s="78">
        <v>1120769</v>
      </c>
      <c r="J76" s="107">
        <v>951802</v>
      </c>
      <c r="K76" s="107">
        <v>982339</v>
      </c>
      <c r="L76" s="107">
        <v>998816</v>
      </c>
      <c r="M76" s="84">
        <f t="shared" si="213"/>
        <v>1023997</v>
      </c>
      <c r="N76" s="107">
        <v>1040378</v>
      </c>
      <c r="O76" s="107">
        <v>1049679</v>
      </c>
      <c r="P76" s="107">
        <v>1058969</v>
      </c>
      <c r="Q76" s="84">
        <f>G76</f>
        <v>1075104</v>
      </c>
      <c r="R76" s="107">
        <v>1091822</v>
      </c>
      <c r="S76" s="107">
        <v>1099197</v>
      </c>
      <c r="T76" s="107">
        <v>1104952</v>
      </c>
      <c r="U76" s="84">
        <f t="shared" si="214"/>
        <v>1120769</v>
      </c>
      <c r="V76" s="107">
        <v>1129309</v>
      </c>
      <c r="W76" s="107">
        <v>1151858</v>
      </c>
      <c r="X76" s="107">
        <v>1175122</v>
      </c>
      <c r="Z76" s="84">
        <f t="shared" si="215"/>
        <v>1023997</v>
      </c>
      <c r="AA76" s="84">
        <f t="shared" si="216"/>
        <v>1040378</v>
      </c>
      <c r="AB76" s="84">
        <f t="shared" si="217"/>
        <v>1049679</v>
      </c>
      <c r="AC76" s="84">
        <f t="shared" si="218"/>
        <v>1058969</v>
      </c>
      <c r="AD76" s="84">
        <f t="shared" si="219"/>
        <v>1075104</v>
      </c>
      <c r="AE76" s="84">
        <f t="shared" si="220"/>
        <v>1091822</v>
      </c>
      <c r="AF76" s="84">
        <f t="shared" si="221"/>
        <v>1099197</v>
      </c>
      <c r="AG76" s="84">
        <f t="shared" si="222"/>
        <v>1104952</v>
      </c>
      <c r="AH76" s="84">
        <f t="shared" si="223"/>
        <v>1120769</v>
      </c>
      <c r="AI76" s="84">
        <f t="shared" si="224"/>
        <v>1129309</v>
      </c>
      <c r="AJ76" s="84">
        <f t="shared" si="225"/>
        <v>1151858</v>
      </c>
      <c r="AK76" s="84">
        <f t="shared" si="225"/>
        <v>1175122</v>
      </c>
      <c r="AL76" s="11"/>
      <c r="AM76" s="70">
        <f t="shared" si="226"/>
        <v>4.7908609648679823E-2</v>
      </c>
    </row>
    <row r="77" spans="2:39" ht="12.75" customHeight="1">
      <c r="B77" s="9" t="s">
        <v>158</v>
      </c>
      <c r="C77" s="78">
        <v>0</v>
      </c>
      <c r="D77" s="78">
        <v>56</v>
      </c>
      <c r="E77" s="78">
        <v>0</v>
      </c>
      <c r="F77" s="78">
        <v>0</v>
      </c>
      <c r="G77" s="78"/>
      <c r="H77" s="78"/>
      <c r="J77" s="107">
        <v>0</v>
      </c>
      <c r="K77" s="107">
        <v>0</v>
      </c>
      <c r="L77" s="107">
        <v>0</v>
      </c>
      <c r="M77" s="84">
        <f t="shared" si="213"/>
        <v>0</v>
      </c>
      <c r="N77" s="107">
        <v>0</v>
      </c>
      <c r="O77" s="107">
        <v>0</v>
      </c>
      <c r="P77" s="107">
        <v>0</v>
      </c>
      <c r="Q77" s="84">
        <f>G77</f>
        <v>0</v>
      </c>
      <c r="R77" s="107">
        <v>0</v>
      </c>
      <c r="S77" s="107">
        <v>0</v>
      </c>
      <c r="T77" s="107">
        <v>0</v>
      </c>
      <c r="U77" s="84">
        <f t="shared" si="214"/>
        <v>0</v>
      </c>
      <c r="V77" s="107">
        <v>0</v>
      </c>
      <c r="W77" s="107">
        <v>0</v>
      </c>
      <c r="X77" s="107">
        <v>0</v>
      </c>
      <c r="Z77" s="84">
        <f t="shared" si="215"/>
        <v>0</v>
      </c>
      <c r="AA77" s="84">
        <f t="shared" si="216"/>
        <v>0</v>
      </c>
      <c r="AB77" s="84">
        <f t="shared" si="217"/>
        <v>0</v>
      </c>
      <c r="AC77" s="84">
        <f t="shared" si="218"/>
        <v>0</v>
      </c>
      <c r="AD77" s="84">
        <f t="shared" si="219"/>
        <v>0</v>
      </c>
      <c r="AE77" s="84">
        <f t="shared" si="220"/>
        <v>0</v>
      </c>
      <c r="AF77" s="84">
        <f t="shared" si="221"/>
        <v>0</v>
      </c>
      <c r="AG77" s="84">
        <f t="shared" si="222"/>
        <v>0</v>
      </c>
      <c r="AH77" s="84">
        <f t="shared" si="223"/>
        <v>0</v>
      </c>
      <c r="AI77" s="84">
        <f t="shared" si="224"/>
        <v>0</v>
      </c>
      <c r="AJ77" s="84">
        <f t="shared" ref="AJ77:AK77" si="227">W77</f>
        <v>0</v>
      </c>
      <c r="AK77" s="84">
        <f t="shared" si="227"/>
        <v>0</v>
      </c>
      <c r="AL77" s="11"/>
      <c r="AM77" s="70"/>
    </row>
    <row r="78" spans="2:39" ht="12.75" customHeight="1">
      <c r="B78" s="9" t="s">
        <v>128</v>
      </c>
      <c r="C78" s="78">
        <v>1128477</v>
      </c>
      <c r="D78" s="78">
        <v>1189422</v>
      </c>
      <c r="E78" s="78">
        <v>653376</v>
      </c>
      <c r="F78" s="78">
        <v>995773</v>
      </c>
      <c r="G78" s="78">
        <v>1286765</v>
      </c>
      <c r="H78" s="78">
        <v>1473909</v>
      </c>
      <c r="J78" s="107">
        <v>851940</v>
      </c>
      <c r="K78" s="107">
        <v>846011</v>
      </c>
      <c r="L78" s="107">
        <v>983140</v>
      </c>
      <c r="M78" s="84">
        <f t="shared" si="213"/>
        <v>995773</v>
      </c>
      <c r="N78" s="107">
        <v>1059312</v>
      </c>
      <c r="O78" s="107">
        <v>1083926</v>
      </c>
      <c r="P78" s="107">
        <v>1051876</v>
      </c>
      <c r="Q78" s="84">
        <f>G78</f>
        <v>1286765</v>
      </c>
      <c r="R78" s="107">
        <v>1314749</v>
      </c>
      <c r="S78" s="107">
        <v>1354973</v>
      </c>
      <c r="T78" s="107">
        <v>1330181</v>
      </c>
      <c r="U78" s="84">
        <f t="shared" si="214"/>
        <v>1473909</v>
      </c>
      <c r="V78" s="107">
        <v>1420239</v>
      </c>
      <c r="W78" s="107">
        <v>1571575</v>
      </c>
      <c r="X78" s="107">
        <v>1577736</v>
      </c>
      <c r="Z78" s="84">
        <f t="shared" si="215"/>
        <v>995773</v>
      </c>
      <c r="AA78" s="84">
        <f t="shared" si="216"/>
        <v>1059312</v>
      </c>
      <c r="AB78" s="84">
        <f t="shared" si="217"/>
        <v>1083926</v>
      </c>
      <c r="AC78" s="84">
        <f t="shared" si="218"/>
        <v>1051876</v>
      </c>
      <c r="AD78" s="84">
        <f t="shared" si="219"/>
        <v>1286765</v>
      </c>
      <c r="AE78" s="84">
        <f t="shared" si="220"/>
        <v>1314749</v>
      </c>
      <c r="AF78" s="84">
        <f t="shared" si="221"/>
        <v>1354973</v>
      </c>
      <c r="AG78" s="84">
        <f t="shared" si="222"/>
        <v>1330181</v>
      </c>
      <c r="AH78" s="84">
        <f t="shared" si="223"/>
        <v>1473909</v>
      </c>
      <c r="AI78" s="84">
        <f t="shared" si="224"/>
        <v>1420239</v>
      </c>
      <c r="AJ78" s="84">
        <f t="shared" si="225"/>
        <v>1571575</v>
      </c>
      <c r="AK78" s="84">
        <f t="shared" si="225"/>
        <v>1577736</v>
      </c>
      <c r="AL78" s="11"/>
      <c r="AM78" s="70">
        <f t="shared" si="226"/>
        <v>0.15985705988237409</v>
      </c>
    </row>
    <row r="79" spans="2:39" ht="12.75" customHeight="1">
      <c r="B79" s="12" t="s">
        <v>17</v>
      </c>
      <c r="C79" s="13">
        <f t="shared" ref="C79:H79" si="228">SUM(C74:C78)</f>
        <v>1902094</v>
      </c>
      <c r="D79" s="13">
        <f t="shared" si="228"/>
        <v>1999549</v>
      </c>
      <c r="E79" s="13">
        <f t="shared" si="228"/>
        <v>1535373</v>
      </c>
      <c r="F79" s="13">
        <f t="shared" si="228"/>
        <v>1959811</v>
      </c>
      <c r="G79" s="13">
        <f t="shared" si="228"/>
        <v>2279328</v>
      </c>
      <c r="H79" s="13">
        <f t="shared" si="228"/>
        <v>2488353</v>
      </c>
      <c r="I79" s="50"/>
      <c r="J79" s="13">
        <f t="shared" ref="J79:X79" si="229">SUM(J74:J78)</f>
        <v>1745620</v>
      </c>
      <c r="K79" s="13">
        <f t="shared" si="229"/>
        <v>1769068</v>
      </c>
      <c r="L79" s="13">
        <f t="shared" si="229"/>
        <v>1922255</v>
      </c>
      <c r="M79" s="13">
        <f t="shared" si="229"/>
        <v>1959811</v>
      </c>
      <c r="N79" s="13">
        <f t="shared" si="229"/>
        <v>2018068</v>
      </c>
      <c r="O79" s="13">
        <f t="shared" si="229"/>
        <v>2051877</v>
      </c>
      <c r="P79" s="13">
        <f t="shared" si="229"/>
        <v>2028542</v>
      </c>
      <c r="Q79" s="13">
        <f t="shared" si="229"/>
        <v>2279328</v>
      </c>
      <c r="R79" s="13">
        <f t="shared" si="229"/>
        <v>2300743</v>
      </c>
      <c r="S79" s="13">
        <f t="shared" si="229"/>
        <v>2348160</v>
      </c>
      <c r="T79" s="13">
        <f t="shared" si="229"/>
        <v>2329009</v>
      </c>
      <c r="U79" s="13">
        <f t="shared" si="229"/>
        <v>2488353</v>
      </c>
      <c r="V79" s="13">
        <f t="shared" si="229"/>
        <v>2430303</v>
      </c>
      <c r="W79" s="13">
        <f t="shared" si="229"/>
        <v>2603860</v>
      </c>
      <c r="X79" s="13">
        <f t="shared" si="229"/>
        <v>2633014</v>
      </c>
      <c r="Z79" s="13">
        <f t="shared" ref="Z79:AK79" si="230">SUM(Z74:Z78)</f>
        <v>1959811</v>
      </c>
      <c r="AA79" s="13">
        <f t="shared" si="230"/>
        <v>2018068</v>
      </c>
      <c r="AB79" s="13">
        <f t="shared" si="230"/>
        <v>2051877</v>
      </c>
      <c r="AC79" s="13">
        <f t="shared" si="230"/>
        <v>2028542</v>
      </c>
      <c r="AD79" s="13">
        <f t="shared" si="230"/>
        <v>2279328</v>
      </c>
      <c r="AE79" s="13">
        <f t="shared" si="230"/>
        <v>2300743</v>
      </c>
      <c r="AF79" s="13">
        <f t="shared" si="230"/>
        <v>2348160</v>
      </c>
      <c r="AG79" s="13">
        <f t="shared" si="230"/>
        <v>2329009</v>
      </c>
      <c r="AH79" s="13">
        <f t="shared" si="230"/>
        <v>2488353</v>
      </c>
      <c r="AI79" s="13">
        <f t="shared" si="230"/>
        <v>2430303</v>
      </c>
      <c r="AJ79" s="13">
        <f t="shared" si="230"/>
        <v>2603860</v>
      </c>
      <c r="AK79" s="13">
        <f t="shared" si="230"/>
        <v>2633014</v>
      </c>
      <c r="AL79" s="40"/>
      <c r="AM79" s="71">
        <f>SUM(AJ79/AF79)-1</f>
        <v>0.10889377214499874</v>
      </c>
    </row>
    <row r="80" spans="2:39" ht="12.75" customHeight="1">
      <c r="B80" s="23" t="s">
        <v>57</v>
      </c>
      <c r="C80" s="30">
        <f t="shared" ref="C80:H80" si="231">SUM(C79+C72)</f>
        <v>4863872</v>
      </c>
      <c r="D80" s="30">
        <f t="shared" si="231"/>
        <v>5089969</v>
      </c>
      <c r="E80" s="30">
        <f t="shared" si="231"/>
        <v>4764379</v>
      </c>
      <c r="F80" s="30">
        <f t="shared" si="231"/>
        <v>5370411</v>
      </c>
      <c r="G80" s="30">
        <f t="shared" si="231"/>
        <v>5707011</v>
      </c>
      <c r="H80" s="30">
        <f t="shared" si="231"/>
        <v>6001693</v>
      </c>
      <c r="I80" s="30"/>
      <c r="J80" s="30">
        <f t="shared" ref="J80:X80" si="232">SUM(J79+J72)</f>
        <v>5012036</v>
      </c>
      <c r="K80" s="30">
        <f t="shared" si="232"/>
        <v>4945994</v>
      </c>
      <c r="L80" s="30">
        <f t="shared" si="232"/>
        <v>5331549</v>
      </c>
      <c r="M80" s="30">
        <f t="shared" si="232"/>
        <v>5370411</v>
      </c>
      <c r="N80" s="30">
        <f t="shared" si="232"/>
        <v>5375719</v>
      </c>
      <c r="O80" s="30">
        <f t="shared" si="232"/>
        <v>5248760</v>
      </c>
      <c r="P80" s="30">
        <f t="shared" si="232"/>
        <v>5595008</v>
      </c>
      <c r="Q80" s="30">
        <f t="shared" si="232"/>
        <v>5707011</v>
      </c>
      <c r="R80" s="30">
        <f t="shared" si="232"/>
        <v>5631939</v>
      </c>
      <c r="S80" s="30">
        <f t="shared" si="232"/>
        <v>5737408</v>
      </c>
      <c r="T80" s="30">
        <f t="shared" si="232"/>
        <v>5958486</v>
      </c>
      <c r="U80" s="30">
        <f t="shared" si="232"/>
        <v>6001693</v>
      </c>
      <c r="V80" s="30">
        <f t="shared" si="232"/>
        <v>5986689</v>
      </c>
      <c r="W80" s="30">
        <f t="shared" si="232"/>
        <v>6630648</v>
      </c>
      <c r="X80" s="30">
        <f t="shared" si="232"/>
        <v>7012292</v>
      </c>
      <c r="Y80" s="30"/>
      <c r="Z80" s="30">
        <f t="shared" ref="Z80:AK80" si="233">SUM(Z79+Z72)</f>
        <v>5370411</v>
      </c>
      <c r="AA80" s="30">
        <f t="shared" si="233"/>
        <v>5375719</v>
      </c>
      <c r="AB80" s="30">
        <f t="shared" si="233"/>
        <v>5248760</v>
      </c>
      <c r="AC80" s="30">
        <f t="shared" si="233"/>
        <v>5595008</v>
      </c>
      <c r="AD80" s="30">
        <f t="shared" si="233"/>
        <v>5707011</v>
      </c>
      <c r="AE80" s="30">
        <f t="shared" si="233"/>
        <v>5631939</v>
      </c>
      <c r="AF80" s="30">
        <f t="shared" si="233"/>
        <v>5737408</v>
      </c>
      <c r="AG80" s="30">
        <f t="shared" si="233"/>
        <v>5958486</v>
      </c>
      <c r="AH80" s="30">
        <f t="shared" si="233"/>
        <v>6001693</v>
      </c>
      <c r="AI80" s="30">
        <f t="shared" si="233"/>
        <v>5986689</v>
      </c>
      <c r="AJ80" s="30">
        <f t="shared" si="233"/>
        <v>6630648</v>
      </c>
      <c r="AK80" s="30">
        <f t="shared" si="233"/>
        <v>7012292</v>
      </c>
      <c r="AL80" s="11"/>
      <c r="AM80" s="71">
        <f>SUM(AJ80/AF80)-1</f>
        <v>0.15568702800986101</v>
      </c>
    </row>
    <row r="81" spans="1:39" ht="5.0999999999999996" customHeight="1">
      <c r="B81" s="23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11"/>
    </row>
    <row r="82" spans="1:39" ht="12.75" customHeight="1">
      <c r="B82" s="64" t="s">
        <v>68</v>
      </c>
      <c r="C82" s="65">
        <f>C80-C58</f>
        <v>0</v>
      </c>
      <c r="D82" s="65">
        <f>D80-D58</f>
        <v>0</v>
      </c>
      <c r="E82" s="65">
        <f>E80-E58</f>
        <v>0</v>
      </c>
      <c r="F82" s="65">
        <f>F80-F58</f>
        <v>0</v>
      </c>
      <c r="G82" s="65">
        <f>G80-G58</f>
        <v>0</v>
      </c>
      <c r="H82" s="65">
        <f>H80-H58</f>
        <v>0</v>
      </c>
      <c r="I82" s="66"/>
      <c r="J82" s="65">
        <f>J80-J58</f>
        <v>0</v>
      </c>
      <c r="K82" s="65">
        <f>K80-K58</f>
        <v>0</v>
      </c>
      <c r="L82" s="65">
        <f>L80-L58</f>
        <v>0</v>
      </c>
      <c r="M82" s="65">
        <f>M80-M58</f>
        <v>0</v>
      </c>
      <c r="N82" s="65">
        <f>N80-N58</f>
        <v>0</v>
      </c>
      <c r="O82" s="65">
        <f>O80-O58</f>
        <v>0</v>
      </c>
      <c r="P82" s="65">
        <f>P80-P58</f>
        <v>0</v>
      </c>
      <c r="Q82" s="65">
        <f>Q80-Q58</f>
        <v>0</v>
      </c>
      <c r="R82" s="65">
        <f>R80-R58</f>
        <v>0</v>
      </c>
      <c r="S82" s="65">
        <f>S80-S58</f>
        <v>0</v>
      </c>
      <c r="T82" s="65">
        <f>T80-T58</f>
        <v>0</v>
      </c>
      <c r="U82" s="65">
        <f>U80-U58</f>
        <v>0</v>
      </c>
      <c r="V82" s="65">
        <f>V80-V58</f>
        <v>0</v>
      </c>
      <c r="W82" s="65">
        <f>W80-W58</f>
        <v>0</v>
      </c>
      <c r="X82" s="65">
        <f>X80-X58</f>
        <v>0</v>
      </c>
      <c r="Y82" s="26"/>
      <c r="Z82" s="65">
        <f>Z80-Z58</f>
        <v>0</v>
      </c>
      <c r="AA82" s="65">
        <f>AA80-AA58</f>
        <v>0</v>
      </c>
      <c r="AB82" s="65">
        <f>AB80-AB58</f>
        <v>0</v>
      </c>
      <c r="AC82" s="65">
        <f>AC80-AC58</f>
        <v>0</v>
      </c>
      <c r="AD82" s="65">
        <f>AD80-AD58</f>
        <v>0</v>
      </c>
      <c r="AE82" s="65">
        <f>AE80-AE58</f>
        <v>0</v>
      </c>
      <c r="AF82" s="65">
        <f>AF80-AF58</f>
        <v>0</v>
      </c>
      <c r="AG82" s="65">
        <f>AG80-AG58</f>
        <v>0</v>
      </c>
      <c r="AH82" s="65">
        <f>AH80-AH58</f>
        <v>0</v>
      </c>
      <c r="AI82" s="65">
        <f>AI80-AI58</f>
        <v>0</v>
      </c>
      <c r="AJ82" s="65">
        <f>AJ80-AJ58</f>
        <v>0</v>
      </c>
      <c r="AK82" s="65">
        <f>AK80-AK58</f>
        <v>0</v>
      </c>
    </row>
    <row r="83" spans="1:39" ht="5.0999999999999996" customHeight="1" thickBot="1">
      <c r="B83" s="102"/>
      <c r="C83" s="103"/>
      <c r="D83" s="103"/>
      <c r="E83" s="103"/>
      <c r="F83" s="103"/>
      <c r="G83" s="103"/>
      <c r="H83" s="103"/>
      <c r="I83" s="104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5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68"/>
      <c r="AM83" s="68"/>
    </row>
    <row r="84" spans="1:39" ht="12.75" customHeight="1">
      <c r="B84" s="126" t="s">
        <v>101</v>
      </c>
      <c r="C84" s="126"/>
      <c r="D84" s="126"/>
      <c r="E84" s="126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</row>
    <row r="85" spans="1:39">
      <c r="B85" s="63"/>
      <c r="C85" s="22"/>
      <c r="D85" s="22"/>
      <c r="E85" s="22"/>
      <c r="F85" s="22"/>
      <c r="G85" s="22"/>
      <c r="H85" s="22"/>
      <c r="I85" s="51"/>
    </row>
    <row r="86" spans="1:39" ht="12.75" customHeight="1">
      <c r="A86" s="5" t="s">
        <v>19</v>
      </c>
      <c r="B86" s="85" t="s">
        <v>16</v>
      </c>
      <c r="C86" s="89" t="s">
        <v>0</v>
      </c>
      <c r="D86" s="89"/>
      <c r="E86" s="89"/>
      <c r="F86" s="89" t="s">
        <v>0</v>
      </c>
      <c r="G86" s="89"/>
      <c r="H86" s="89"/>
      <c r="I86" s="90"/>
      <c r="J86" s="89" t="s">
        <v>1</v>
      </c>
      <c r="K86" s="89"/>
      <c r="L86" s="89"/>
      <c r="M86" s="89"/>
      <c r="N86" s="89"/>
      <c r="O86" s="89"/>
      <c r="P86" s="89"/>
      <c r="Q86" s="89"/>
      <c r="R86" s="89"/>
      <c r="S86" s="89"/>
      <c r="T86" s="89" t="s">
        <v>1</v>
      </c>
      <c r="U86" s="89"/>
      <c r="V86" s="89"/>
      <c r="W86" s="89"/>
      <c r="X86" s="89"/>
      <c r="Y86" s="85"/>
      <c r="Z86" s="89"/>
      <c r="AA86" s="89"/>
      <c r="AB86" s="89"/>
      <c r="AC86" s="89"/>
      <c r="AD86" s="89"/>
      <c r="AE86" s="89"/>
      <c r="AF86" s="89" t="s">
        <v>10</v>
      </c>
      <c r="AG86" s="89"/>
      <c r="AH86" s="89"/>
      <c r="AI86" s="89"/>
      <c r="AJ86" s="89"/>
      <c r="AK86" s="89"/>
      <c r="AL86" s="90"/>
      <c r="AM86" s="125" t="s">
        <v>25</v>
      </c>
    </row>
    <row r="87" spans="1:39" ht="12.75" customHeight="1">
      <c r="B87" s="86" t="str">
        <f>B7</f>
        <v>Fiscal Period</v>
      </c>
      <c r="C87" s="91">
        <f>C7</f>
        <v>2019</v>
      </c>
      <c r="D87" s="91">
        <f>D7</f>
        <v>2020</v>
      </c>
      <c r="E87" s="91">
        <f>E7</f>
        <v>2021</v>
      </c>
      <c r="F87" s="91">
        <f>F7</f>
        <v>2022</v>
      </c>
      <c r="G87" s="91">
        <f>G7</f>
        <v>2023</v>
      </c>
      <c r="H87" s="91">
        <f>H7</f>
        <v>2024</v>
      </c>
      <c r="I87" s="90"/>
      <c r="J87" s="91" t="str">
        <f>J7</f>
        <v>1Q22</v>
      </c>
      <c r="K87" s="91" t="str">
        <f>K7</f>
        <v>2Q22</v>
      </c>
      <c r="L87" s="91" t="str">
        <f>L7</f>
        <v>3Q22</v>
      </c>
      <c r="M87" s="91" t="str">
        <f>M7</f>
        <v>4Q22</v>
      </c>
      <c r="N87" s="91" t="str">
        <f>N7</f>
        <v>1Q23</v>
      </c>
      <c r="O87" s="91" t="str">
        <f>O7</f>
        <v>2Q23</v>
      </c>
      <c r="P87" s="91" t="str">
        <f>P7</f>
        <v>3Q23</v>
      </c>
      <c r="Q87" s="91" t="str">
        <f>Q7</f>
        <v>4Q23</v>
      </c>
      <c r="R87" s="91" t="str">
        <f>R7</f>
        <v>1Q24</v>
      </c>
      <c r="S87" s="91" t="str">
        <f>S7</f>
        <v>2Q24</v>
      </c>
      <c r="T87" s="91" t="str">
        <f>T7</f>
        <v>3Q24</v>
      </c>
      <c r="U87" s="91" t="str">
        <f>U7</f>
        <v>4Q24</v>
      </c>
      <c r="V87" s="91" t="str">
        <f>V7</f>
        <v>1Q25</v>
      </c>
      <c r="W87" s="91" t="str">
        <f>W7</f>
        <v>2Q25</v>
      </c>
      <c r="X87" s="91" t="str">
        <f>X7</f>
        <v>3Q25</v>
      </c>
      <c r="Y87" s="91"/>
      <c r="Z87" s="91" t="str">
        <f>Z7</f>
        <v>4Q22</v>
      </c>
      <c r="AA87" s="91" t="str">
        <f>AA7</f>
        <v>1Q23</v>
      </c>
      <c r="AB87" s="91" t="str">
        <f>AB7</f>
        <v>2Q23</v>
      </c>
      <c r="AC87" s="91" t="str">
        <f>AC7</f>
        <v>3Q23</v>
      </c>
      <c r="AD87" s="91" t="str">
        <f>AD7</f>
        <v>4Q23</v>
      </c>
      <c r="AE87" s="91" t="str">
        <f>AE7</f>
        <v>1Q24</v>
      </c>
      <c r="AF87" s="91" t="str">
        <f>AF7</f>
        <v>2Q24</v>
      </c>
      <c r="AG87" s="91" t="str">
        <f>AG7</f>
        <v>3Q24</v>
      </c>
      <c r="AH87" s="91" t="str">
        <f>AH7</f>
        <v>4Q24</v>
      </c>
      <c r="AI87" s="91" t="str">
        <f>AI7</f>
        <v>1Q25</v>
      </c>
      <c r="AJ87" s="91" t="str">
        <f>AJ7</f>
        <v>2Q25</v>
      </c>
      <c r="AK87" s="91" t="str">
        <f>AK7</f>
        <v>3Q25</v>
      </c>
      <c r="AL87" s="90"/>
      <c r="AM87" s="125"/>
    </row>
    <row r="88" spans="1:39" ht="12.75" customHeight="1">
      <c r="B88" s="86" t="str">
        <f>B8</f>
        <v>Fiscal Period End Date</v>
      </c>
      <c r="C88" s="92">
        <f>C8</f>
        <v>43862</v>
      </c>
      <c r="D88" s="92">
        <f>D8</f>
        <v>44226</v>
      </c>
      <c r="E88" s="92">
        <f>E8</f>
        <v>44590</v>
      </c>
      <c r="F88" s="92">
        <f>F8</f>
        <v>44954</v>
      </c>
      <c r="G88" s="92">
        <f>G8</f>
        <v>45325</v>
      </c>
      <c r="H88" s="92">
        <f>H8</f>
        <v>45689</v>
      </c>
      <c r="I88" s="90"/>
      <c r="J88" s="92">
        <f>J8</f>
        <v>44681</v>
      </c>
      <c r="K88" s="92">
        <f>K8</f>
        <v>44772</v>
      </c>
      <c r="L88" s="92">
        <f>L8</f>
        <v>44863</v>
      </c>
      <c r="M88" s="92">
        <f>M8</f>
        <v>44954</v>
      </c>
      <c r="N88" s="92">
        <f>N8</f>
        <v>45045</v>
      </c>
      <c r="O88" s="92">
        <f>O8</f>
        <v>45136</v>
      </c>
      <c r="P88" s="92">
        <f>P8</f>
        <v>45227</v>
      </c>
      <c r="Q88" s="92">
        <f>Q8</f>
        <v>45325</v>
      </c>
      <c r="R88" s="92">
        <f>R8</f>
        <v>45416</v>
      </c>
      <c r="S88" s="92">
        <f>S8</f>
        <v>45507</v>
      </c>
      <c r="T88" s="92">
        <f>T8</f>
        <v>45598</v>
      </c>
      <c r="U88" s="92">
        <f>U8</f>
        <v>45689</v>
      </c>
      <c r="V88" s="92">
        <f>V8</f>
        <v>45780</v>
      </c>
      <c r="W88" s="92">
        <f>W8</f>
        <v>45871</v>
      </c>
      <c r="X88" s="92">
        <f>X8</f>
        <v>45962</v>
      </c>
      <c r="Y88" s="92"/>
      <c r="Z88" s="92">
        <f>Z8</f>
        <v>44954</v>
      </c>
      <c r="AA88" s="92">
        <f>AA8</f>
        <v>45045</v>
      </c>
      <c r="AB88" s="92">
        <f>AB8</f>
        <v>45136</v>
      </c>
      <c r="AC88" s="92">
        <f>AC8</f>
        <v>45227</v>
      </c>
      <c r="AD88" s="92">
        <f>AD8</f>
        <v>45325</v>
      </c>
      <c r="AE88" s="92">
        <f>AE8</f>
        <v>45416</v>
      </c>
      <c r="AF88" s="92">
        <f>AF8</f>
        <v>45507</v>
      </c>
      <c r="AG88" s="92">
        <f>AG8</f>
        <v>45598</v>
      </c>
      <c r="AH88" s="92">
        <f>AH8</f>
        <v>45689</v>
      </c>
      <c r="AI88" s="92">
        <f>AI8</f>
        <v>45780</v>
      </c>
      <c r="AJ88" s="92">
        <f>AJ8</f>
        <v>45871</v>
      </c>
      <c r="AK88" s="92">
        <f>AK8</f>
        <v>45962</v>
      </c>
      <c r="AL88" s="90"/>
      <c r="AM88" s="125"/>
    </row>
    <row r="89" spans="1:39" ht="5.0999999999999996" customHeight="1">
      <c r="B89" s="52"/>
      <c r="C89" s="46"/>
      <c r="D89" s="46"/>
      <c r="E89" s="46"/>
      <c r="F89" s="46"/>
      <c r="G89" s="46"/>
      <c r="H89" s="46"/>
    </row>
    <row r="90" spans="1:39" ht="12.75" customHeight="1">
      <c r="B90" s="53" t="s">
        <v>58</v>
      </c>
      <c r="C90" s="54"/>
      <c r="D90" s="54"/>
      <c r="E90" s="54"/>
      <c r="F90" s="54"/>
      <c r="G90" s="54"/>
      <c r="H90" s="54"/>
    </row>
    <row r="91" spans="1:39" ht="12.75" customHeight="1">
      <c r="B91" s="55" t="s">
        <v>59</v>
      </c>
      <c r="C91" s="30">
        <f>C31</f>
        <v>705945</v>
      </c>
      <c r="D91" s="30">
        <f>D31</f>
        <v>175835</v>
      </c>
      <c r="E91" s="30">
        <f>E31</f>
        <v>985837</v>
      </c>
      <c r="F91" s="30">
        <f>F31</f>
        <v>1242408</v>
      </c>
      <c r="G91" s="30">
        <f>G31</f>
        <v>1291004.9999999981</v>
      </c>
      <c r="H91" s="30">
        <f>H31</f>
        <v>1201118</v>
      </c>
      <c r="I91" s="30"/>
      <c r="J91" s="30">
        <f>J31</f>
        <v>331394.99999999953</v>
      </c>
      <c r="K91" s="30">
        <f>K31</f>
        <v>295677</v>
      </c>
      <c r="L91" s="30">
        <f>L31</f>
        <v>274585.00000000047</v>
      </c>
      <c r="M91" s="30">
        <f>M31</f>
        <v>340751</v>
      </c>
      <c r="N91" s="30">
        <f>N31</f>
        <v>347051.00000000047</v>
      </c>
      <c r="O91" s="30">
        <f>O31</f>
        <v>300102</v>
      </c>
      <c r="P91" s="30">
        <f>P31</f>
        <v>249483</v>
      </c>
      <c r="Q91" s="30">
        <f>Q31</f>
        <v>394368.99999999814</v>
      </c>
      <c r="R91" s="30">
        <f>R31</f>
        <v>313112.99999999953</v>
      </c>
      <c r="S91" s="30">
        <f>S31</f>
        <v>252556</v>
      </c>
      <c r="T91" s="30">
        <f>T31</f>
        <v>242179</v>
      </c>
      <c r="U91" s="30">
        <f>U31</f>
        <v>393270</v>
      </c>
      <c r="V91" s="30">
        <f>V31</f>
        <v>305052</v>
      </c>
      <c r="W91" s="30">
        <f>W31</f>
        <v>260875</v>
      </c>
      <c r="X91" s="30">
        <f>X31</f>
        <v>230875</v>
      </c>
      <c r="Z91" s="30">
        <f>SUM(K91:N91)</f>
        <v>1258064.0000000009</v>
      </c>
      <c r="AA91" s="30">
        <f>SUM(L91:O91)</f>
        <v>1262489.0000000009</v>
      </c>
      <c r="AB91" s="30">
        <f>SUM(M91:P91)</f>
        <v>1237387.0000000005</v>
      </c>
      <c r="AC91" s="30">
        <f>SUM(N91:Q91)</f>
        <v>1291004.9999999986</v>
      </c>
      <c r="AD91" s="30">
        <f>SUM(O91:R91)</f>
        <v>1257066.9999999977</v>
      </c>
      <c r="AE91" s="30">
        <f>SUM(P91:S91)</f>
        <v>1209520.9999999977</v>
      </c>
      <c r="AF91" s="30">
        <f t="shared" ref="AF91" si="234">SUM(P91:S91)</f>
        <v>1209520.9999999977</v>
      </c>
      <c r="AG91" s="30">
        <f t="shared" ref="AG91" si="235">SUM(Q91:T91)</f>
        <v>1202216.9999999977</v>
      </c>
      <c r="AH91" s="30">
        <f t="shared" ref="AH91" si="236">SUM(R91:U91)</f>
        <v>1201117.9999999995</v>
      </c>
      <c r="AI91" s="30">
        <f t="shared" ref="AI91" si="237">SUM(S91:V91)</f>
        <v>1193057</v>
      </c>
      <c r="AJ91" s="30">
        <f>SUM(T91:W91)</f>
        <v>1201376</v>
      </c>
      <c r="AK91" s="30">
        <f>SUM(U91:X91)</f>
        <v>1190072</v>
      </c>
      <c r="AL91" s="11"/>
      <c r="AM91" s="70">
        <f>SUM(AJ91/AF91)-1</f>
        <v>-6.7340707602412397E-3</v>
      </c>
    </row>
    <row r="92" spans="1:39" ht="5.0999999999999996" customHeight="1"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11"/>
      <c r="AM92" s="70"/>
    </row>
    <row r="93" spans="1:39" ht="12.75" customHeight="1">
      <c r="B93" s="34" t="s">
        <v>67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78"/>
      <c r="O93" s="78"/>
      <c r="P93" s="78"/>
      <c r="Q93" s="30"/>
      <c r="R93" s="78"/>
      <c r="S93" s="78"/>
      <c r="T93" s="78"/>
      <c r="U93" s="30"/>
      <c r="V93" s="78"/>
      <c r="W93" s="78"/>
      <c r="X93" s="78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57"/>
      <c r="AM93" s="70"/>
    </row>
    <row r="94" spans="1:39" ht="12.75" customHeight="1">
      <c r="B94" s="58" t="s">
        <v>60</v>
      </c>
      <c r="C94" s="78">
        <v>295599</v>
      </c>
      <c r="D94" s="78">
        <v>297772</v>
      </c>
      <c r="E94" s="78">
        <v>268460</v>
      </c>
      <c r="F94" s="78">
        <v>241372</v>
      </c>
      <c r="G94" s="78">
        <v>243840</v>
      </c>
      <c r="H94" s="78">
        <v>267042</v>
      </c>
      <c r="I94" s="30"/>
      <c r="J94" s="129">
        <v>62839</v>
      </c>
      <c r="K94" s="129">
        <f>123721-J94</f>
        <v>60882</v>
      </c>
      <c r="L94" s="129">
        <f>182182-K94-J94</f>
        <v>58461</v>
      </c>
      <c r="M94" s="130">
        <f t="shared" ref="M94:M100" si="238">SUM(F94-SUM(J94:L94))</f>
        <v>59190</v>
      </c>
      <c r="N94" s="129">
        <v>57949</v>
      </c>
      <c r="O94" s="129">
        <f>119862-N94</f>
        <v>61913</v>
      </c>
      <c r="P94" s="129">
        <f>181273-O94-N94</f>
        <v>61411</v>
      </c>
      <c r="Q94" s="130">
        <f t="shared" ref="Q94:Q100" si="239">SUM(G94-SUM(N94:P94))</f>
        <v>62567</v>
      </c>
      <c r="R94" s="129">
        <v>64739</v>
      </c>
      <c r="S94" s="129">
        <f>130053-R94</f>
        <v>65314</v>
      </c>
      <c r="T94" s="129">
        <f>197075-S94-R94</f>
        <v>67022</v>
      </c>
      <c r="U94" s="130">
        <f t="shared" ref="U94:U100" si="240">SUM(H94-SUM(R94:T94))</f>
        <v>69967</v>
      </c>
      <c r="V94" s="129">
        <v>72033</v>
      </c>
      <c r="W94" s="129">
        <f>143198-V94</f>
        <v>71165</v>
      </c>
      <c r="X94" s="129">
        <f>218985-W94-V94</f>
        <v>75787</v>
      </c>
      <c r="Z94" s="30">
        <f>SUM(J94:M94)</f>
        <v>241372</v>
      </c>
      <c r="AA94" s="30">
        <f>SUM(K94:N94)</f>
        <v>236482</v>
      </c>
      <c r="AB94" s="30">
        <f>SUM(L94:O94)</f>
        <v>237513</v>
      </c>
      <c r="AC94" s="30">
        <f>SUM(M94:P94)</f>
        <v>240463</v>
      </c>
      <c r="AD94" s="30">
        <f>SUM(N94:Q94)</f>
        <v>243840</v>
      </c>
      <c r="AE94" s="30">
        <f>SUM(O94:R94)</f>
        <v>250630</v>
      </c>
      <c r="AF94" s="30">
        <f>SUM(P94:S94)</f>
        <v>254031</v>
      </c>
      <c r="AG94" s="30">
        <f>SUM(Q94:T94)</f>
        <v>259642</v>
      </c>
      <c r="AH94" s="30">
        <f>SUM(R94:U94)</f>
        <v>267042</v>
      </c>
      <c r="AI94" s="30">
        <f>SUM(S94:V94)</f>
        <v>274336</v>
      </c>
      <c r="AJ94" s="30">
        <f>SUM(T94:W94)</f>
        <v>280187</v>
      </c>
      <c r="AK94" s="30">
        <f>SUM(U94:X94)</f>
        <v>288952</v>
      </c>
      <c r="AL94" s="11"/>
      <c r="AM94" s="70">
        <f t="shared" ref="AM94:AM103" si="241">SUM(AJ94/AF94)-1</f>
        <v>0.10296381150332046</v>
      </c>
    </row>
    <row r="95" spans="1:39" ht="12.75" customHeight="1">
      <c r="B95" s="58" t="s">
        <v>99</v>
      </c>
      <c r="C95" s="78">
        <v>278820</v>
      </c>
      <c r="D95" s="78">
        <v>268071</v>
      </c>
      <c r="E95" s="78">
        <v>276229</v>
      </c>
      <c r="F95" s="78">
        <v>301912</v>
      </c>
      <c r="G95" s="78">
        <v>332754</v>
      </c>
      <c r="H95" s="78">
        <v>310636</v>
      </c>
      <c r="I95" s="30"/>
      <c r="J95" s="129">
        <v>72192</v>
      </c>
      <c r="K95" s="129">
        <f>146251-J95</f>
        <v>74059</v>
      </c>
      <c r="L95" s="129">
        <f>222548-K95-J95</f>
        <v>76297</v>
      </c>
      <c r="M95" s="130">
        <f t="shared" si="238"/>
        <v>79364</v>
      </c>
      <c r="N95" s="129">
        <v>75478</v>
      </c>
      <c r="O95" s="129">
        <f>152867-N95</f>
        <v>77389</v>
      </c>
      <c r="P95" s="129">
        <f>232772-O95-N95</f>
        <v>79905</v>
      </c>
      <c r="Q95" s="130">
        <f t="shared" si="239"/>
        <v>99982</v>
      </c>
      <c r="R95" s="129">
        <v>77938</v>
      </c>
      <c r="S95" s="129">
        <f>163481-R95</f>
        <v>85543</v>
      </c>
      <c r="T95" s="129">
        <f>235950-S95-R95</f>
        <v>72469</v>
      </c>
      <c r="U95" s="130">
        <f t="shared" si="240"/>
        <v>74686</v>
      </c>
      <c r="V95" s="129">
        <v>91105</v>
      </c>
      <c r="W95" s="129">
        <f>183528-V95</f>
        <v>92423</v>
      </c>
      <c r="X95" s="129">
        <f>260632-W95-V95</f>
        <v>77104</v>
      </c>
      <c r="Z95" s="30">
        <f t="shared" ref="Z95:Z100" si="242">SUM(J95:M95)</f>
        <v>301912</v>
      </c>
      <c r="AA95" s="30">
        <f t="shared" ref="AA95:AA100" si="243">SUM(K95:N95)</f>
        <v>305198</v>
      </c>
      <c r="AB95" s="30">
        <f t="shared" ref="AB95:AB100" si="244">SUM(L95:O95)</f>
        <v>308528</v>
      </c>
      <c r="AC95" s="30">
        <f t="shared" ref="AC95:AC100" si="245">SUM(M95:P95)</f>
        <v>312136</v>
      </c>
      <c r="AD95" s="30">
        <f t="shared" ref="AD95:AD100" si="246">SUM(N95:Q95)</f>
        <v>332754</v>
      </c>
      <c r="AE95" s="30">
        <f t="shared" ref="AE95:AE100" si="247">SUM(O95:R95)</f>
        <v>335214</v>
      </c>
      <c r="AF95" s="30">
        <f t="shared" ref="AF95:AF100" si="248">SUM(P95:S95)</f>
        <v>343368</v>
      </c>
      <c r="AG95" s="30">
        <f t="shared" ref="AG95:AG100" si="249">SUM(Q95:T95)</f>
        <v>335932</v>
      </c>
      <c r="AH95" s="30">
        <f t="shared" ref="AH95:AH100" si="250">SUM(R95:U95)</f>
        <v>310636</v>
      </c>
      <c r="AI95" s="30">
        <f t="shared" ref="AI95:AI100" si="251">SUM(S95:V95)</f>
        <v>323803</v>
      </c>
      <c r="AJ95" s="30">
        <f t="shared" ref="AJ95:AK100" si="252">SUM(T95:W95)</f>
        <v>330683</v>
      </c>
      <c r="AK95" s="30">
        <f t="shared" si="252"/>
        <v>335318</v>
      </c>
      <c r="AL95" s="11"/>
      <c r="AM95" s="70">
        <f t="shared" si="241"/>
        <v>-3.6942871787702947E-2</v>
      </c>
    </row>
    <row r="96" spans="1:39" ht="12.75" customHeight="1">
      <c r="B96" s="58" t="s">
        <v>126</v>
      </c>
      <c r="C96" s="78">
        <v>5503</v>
      </c>
      <c r="D96" s="78">
        <v>-24008</v>
      </c>
      <c r="E96" s="78">
        <v>-25666</v>
      </c>
      <c r="F96" s="78">
        <v>15653</v>
      </c>
      <c r="G96" s="78">
        <v>30575</v>
      </c>
      <c r="H96" s="78">
        <v>-43328</v>
      </c>
      <c r="I96" s="30"/>
      <c r="J96" s="129">
        <v>1009</v>
      </c>
      <c r="K96" s="129">
        <f>336-J96</f>
        <v>-673</v>
      </c>
      <c r="L96" s="129">
        <f>-1066-K96-J96</f>
        <v>-1402</v>
      </c>
      <c r="M96" s="130">
        <f t="shared" si="238"/>
        <v>16719</v>
      </c>
      <c r="N96" s="129">
        <v>2144</v>
      </c>
      <c r="O96" s="129">
        <f>666-N96</f>
        <v>-1478</v>
      </c>
      <c r="P96" s="129">
        <f>1528-O96-N96</f>
        <v>862</v>
      </c>
      <c r="Q96" s="130">
        <f t="shared" si="239"/>
        <v>29047</v>
      </c>
      <c r="R96" s="129">
        <v>3635</v>
      </c>
      <c r="S96" s="129">
        <f>2540-R96</f>
        <v>-1095</v>
      </c>
      <c r="T96" s="129">
        <f>5808-S96-R96</f>
        <v>3268</v>
      </c>
      <c r="U96" s="130">
        <f t="shared" si="240"/>
        <v>-49136</v>
      </c>
      <c r="V96" s="129">
        <v>3420</v>
      </c>
      <c r="W96" s="129">
        <f>2232-V96</f>
        <v>-1188</v>
      </c>
      <c r="X96" s="129">
        <f>-1613-W96-V96</f>
        <v>-3845</v>
      </c>
      <c r="Z96" s="30">
        <f t="shared" si="242"/>
        <v>15653</v>
      </c>
      <c r="AA96" s="30">
        <f t="shared" si="243"/>
        <v>16788</v>
      </c>
      <c r="AB96" s="30">
        <f t="shared" si="244"/>
        <v>15983</v>
      </c>
      <c r="AC96" s="30">
        <f t="shared" si="245"/>
        <v>18247</v>
      </c>
      <c r="AD96" s="30">
        <f t="shared" si="246"/>
        <v>30575</v>
      </c>
      <c r="AE96" s="30">
        <f t="shared" si="247"/>
        <v>32066</v>
      </c>
      <c r="AF96" s="30">
        <f t="shared" si="248"/>
        <v>32449</v>
      </c>
      <c r="AG96" s="30">
        <f t="shared" si="249"/>
        <v>34855</v>
      </c>
      <c r="AH96" s="30">
        <f t="shared" si="250"/>
        <v>-43328</v>
      </c>
      <c r="AI96" s="30">
        <f t="shared" si="251"/>
        <v>-43543</v>
      </c>
      <c r="AJ96" s="30">
        <f t="shared" si="252"/>
        <v>-43636</v>
      </c>
      <c r="AK96" s="30">
        <f t="shared" si="252"/>
        <v>-50749</v>
      </c>
      <c r="AL96" s="11"/>
      <c r="AM96" s="70">
        <f t="shared" si="241"/>
        <v>-2.3447563869456687</v>
      </c>
    </row>
    <row r="97" spans="2:39" ht="12.75" customHeight="1">
      <c r="B97" s="58" t="s">
        <v>129</v>
      </c>
      <c r="C97" s="78">
        <v>25045</v>
      </c>
      <c r="D97" s="78">
        <v>27583</v>
      </c>
      <c r="E97" s="78">
        <v>47259</v>
      </c>
      <c r="F97" s="78">
        <v>43044</v>
      </c>
      <c r="G97" s="78">
        <v>48246</v>
      </c>
      <c r="H97" s="78">
        <v>42787</v>
      </c>
      <c r="I97" s="30"/>
      <c r="J97" s="129">
        <v>10356</v>
      </c>
      <c r="K97" s="129">
        <f>22875-J97</f>
        <v>12519</v>
      </c>
      <c r="L97" s="129">
        <f>32554-K97-J97</f>
        <v>9679</v>
      </c>
      <c r="M97" s="130">
        <f t="shared" si="238"/>
        <v>10490</v>
      </c>
      <c r="N97" s="129">
        <v>9721</v>
      </c>
      <c r="O97" s="129">
        <f>21539-N97</f>
        <v>11818</v>
      </c>
      <c r="P97" s="129">
        <f>33477-O97-N97</f>
        <v>11938</v>
      </c>
      <c r="Q97" s="130">
        <f t="shared" si="239"/>
        <v>14769</v>
      </c>
      <c r="R97" s="129">
        <v>10082</v>
      </c>
      <c r="S97" s="129">
        <f>19272-R97</f>
        <v>9190</v>
      </c>
      <c r="T97" s="129">
        <f>27691-S97-R97</f>
        <v>8419</v>
      </c>
      <c r="U97" s="130">
        <f t="shared" si="240"/>
        <v>15096</v>
      </c>
      <c r="V97" s="129">
        <v>11418</v>
      </c>
      <c r="W97" s="129">
        <f>20338-V97</f>
        <v>8920</v>
      </c>
      <c r="X97" s="129">
        <f>30324-W97-V97</f>
        <v>9986</v>
      </c>
      <c r="Z97" s="30">
        <f t="shared" si="242"/>
        <v>43044</v>
      </c>
      <c r="AA97" s="30">
        <f t="shared" si="243"/>
        <v>42409</v>
      </c>
      <c r="AB97" s="30">
        <f t="shared" si="244"/>
        <v>41708</v>
      </c>
      <c r="AC97" s="30">
        <f t="shared" si="245"/>
        <v>43967</v>
      </c>
      <c r="AD97" s="30">
        <f t="shared" si="246"/>
        <v>48246</v>
      </c>
      <c r="AE97" s="30">
        <f t="shared" si="247"/>
        <v>48607</v>
      </c>
      <c r="AF97" s="30">
        <f t="shared" si="248"/>
        <v>45979</v>
      </c>
      <c r="AG97" s="30">
        <f t="shared" si="249"/>
        <v>42460</v>
      </c>
      <c r="AH97" s="30">
        <f t="shared" si="250"/>
        <v>42787</v>
      </c>
      <c r="AI97" s="30">
        <f t="shared" si="251"/>
        <v>44123</v>
      </c>
      <c r="AJ97" s="30">
        <f t="shared" si="252"/>
        <v>43853</v>
      </c>
      <c r="AK97" s="30">
        <f t="shared" si="252"/>
        <v>45420</v>
      </c>
      <c r="AL97" s="11"/>
      <c r="AM97" s="70">
        <f t="shared" si="241"/>
        <v>-4.6238500184866971E-2</v>
      </c>
    </row>
    <row r="98" spans="2:39" ht="12.75" customHeight="1">
      <c r="B98" s="58" t="s">
        <v>130</v>
      </c>
      <c r="C98" s="78">
        <v>5850</v>
      </c>
      <c r="D98" s="78">
        <v>6827</v>
      </c>
      <c r="E98" s="78">
        <v>5358</v>
      </c>
      <c r="F98" s="78">
        <v>6688</v>
      </c>
      <c r="G98" s="78">
        <v>11419</v>
      </c>
      <c r="H98" s="78">
        <v>11566</v>
      </c>
      <c r="I98" s="30"/>
      <c r="J98" s="129">
        <v>1002</v>
      </c>
      <c r="K98" s="129">
        <f>2277-J98</f>
        <v>1275</v>
      </c>
      <c r="L98" s="129">
        <f>3892-K98-J98</f>
        <v>1615</v>
      </c>
      <c r="M98" s="130">
        <f t="shared" si="238"/>
        <v>2796</v>
      </c>
      <c r="N98" s="129">
        <v>1451</v>
      </c>
      <c r="O98" s="129">
        <f>3878-N98</f>
        <v>2427</v>
      </c>
      <c r="P98" s="129">
        <f>6310-O98-N98</f>
        <v>2432</v>
      </c>
      <c r="Q98" s="130">
        <f t="shared" si="239"/>
        <v>5109</v>
      </c>
      <c r="R98" s="129">
        <v>2975</v>
      </c>
      <c r="S98" s="129">
        <f>5204-R98</f>
        <v>2229</v>
      </c>
      <c r="T98" s="129">
        <f>7280-S98-R98</f>
        <v>2076</v>
      </c>
      <c r="U98" s="130">
        <f t="shared" si="240"/>
        <v>4286</v>
      </c>
      <c r="V98" s="129">
        <v>892</v>
      </c>
      <c r="W98" s="129">
        <f>4689-V98</f>
        <v>3797</v>
      </c>
      <c r="X98" s="129">
        <f>7398-W98-V98</f>
        <v>2709</v>
      </c>
      <c r="Z98" s="30">
        <f t="shared" si="242"/>
        <v>6688</v>
      </c>
      <c r="AA98" s="30">
        <f t="shared" si="243"/>
        <v>7137</v>
      </c>
      <c r="AB98" s="30">
        <f t="shared" si="244"/>
        <v>8289</v>
      </c>
      <c r="AC98" s="30">
        <f t="shared" si="245"/>
        <v>9106</v>
      </c>
      <c r="AD98" s="30">
        <f t="shared" si="246"/>
        <v>11419</v>
      </c>
      <c r="AE98" s="30">
        <f t="shared" si="247"/>
        <v>12943</v>
      </c>
      <c r="AF98" s="30">
        <f t="shared" si="248"/>
        <v>12745</v>
      </c>
      <c r="AG98" s="30">
        <f t="shared" si="249"/>
        <v>12389</v>
      </c>
      <c r="AH98" s="30">
        <f t="shared" si="250"/>
        <v>11566</v>
      </c>
      <c r="AI98" s="30">
        <f t="shared" si="251"/>
        <v>9483</v>
      </c>
      <c r="AJ98" s="30">
        <f t="shared" si="252"/>
        <v>11051</v>
      </c>
      <c r="AK98" s="30">
        <f t="shared" si="252"/>
        <v>11684</v>
      </c>
      <c r="AL98" s="11"/>
      <c r="AM98" s="70">
        <f t="shared" si="241"/>
        <v>-0.13291486857591217</v>
      </c>
    </row>
    <row r="99" spans="2:39" ht="12.75" customHeight="1">
      <c r="B99" s="58" t="s">
        <v>131</v>
      </c>
      <c r="C99" s="78">
        <v>0</v>
      </c>
      <c r="D99" s="78">
        <v>72533</v>
      </c>
      <c r="E99" s="78">
        <v>0</v>
      </c>
      <c r="F99" s="78">
        <v>0</v>
      </c>
      <c r="G99" s="78">
        <v>0</v>
      </c>
      <c r="H99" s="78">
        <v>0</v>
      </c>
      <c r="I99" s="30"/>
      <c r="J99" s="129">
        <v>0</v>
      </c>
      <c r="K99" s="129">
        <v>0</v>
      </c>
      <c r="L99" s="129">
        <v>0</v>
      </c>
      <c r="M99" s="130">
        <f t="shared" si="238"/>
        <v>0</v>
      </c>
      <c r="N99" s="129">
        <v>0</v>
      </c>
      <c r="O99" s="129">
        <v>0</v>
      </c>
      <c r="P99" s="129">
        <v>0</v>
      </c>
      <c r="Q99" s="130">
        <f t="shared" si="239"/>
        <v>0</v>
      </c>
      <c r="R99" s="129">
        <v>0</v>
      </c>
      <c r="S99" s="129">
        <v>0</v>
      </c>
      <c r="T99" s="129">
        <v>0</v>
      </c>
      <c r="U99" s="130">
        <f t="shared" si="240"/>
        <v>0</v>
      </c>
      <c r="V99" s="129">
        <v>0</v>
      </c>
      <c r="W99" s="129">
        <v>0</v>
      </c>
      <c r="X99" s="129">
        <v>0</v>
      </c>
      <c r="Z99" s="30">
        <f t="shared" si="242"/>
        <v>0</v>
      </c>
      <c r="AA99" s="30">
        <f t="shared" si="243"/>
        <v>0</v>
      </c>
      <c r="AB99" s="30">
        <f t="shared" si="244"/>
        <v>0</v>
      </c>
      <c r="AC99" s="30">
        <f t="shared" si="245"/>
        <v>0</v>
      </c>
      <c r="AD99" s="30">
        <f t="shared" si="246"/>
        <v>0</v>
      </c>
      <c r="AE99" s="30">
        <f t="shared" si="247"/>
        <v>0</v>
      </c>
      <c r="AF99" s="30">
        <f t="shared" si="248"/>
        <v>0</v>
      </c>
      <c r="AG99" s="30">
        <f t="shared" si="249"/>
        <v>0</v>
      </c>
      <c r="AH99" s="30">
        <f t="shared" si="250"/>
        <v>0</v>
      </c>
      <c r="AI99" s="30">
        <f t="shared" si="251"/>
        <v>0</v>
      </c>
      <c r="AJ99" s="30">
        <f t="shared" si="252"/>
        <v>0</v>
      </c>
      <c r="AK99" s="30">
        <f t="shared" si="252"/>
        <v>0</v>
      </c>
      <c r="AL99" s="11"/>
      <c r="AM99" s="70" t="e">
        <f t="shared" si="241"/>
        <v>#DIV/0!</v>
      </c>
    </row>
    <row r="100" spans="2:39" ht="12.75" customHeight="1">
      <c r="B100" s="58" t="s">
        <v>132</v>
      </c>
      <c r="C100" s="78">
        <v>0</v>
      </c>
      <c r="D100" s="78">
        <v>0</v>
      </c>
      <c r="E100" s="78">
        <v>0</v>
      </c>
      <c r="F100" s="78">
        <v>0</v>
      </c>
      <c r="G100" s="78">
        <v>0</v>
      </c>
      <c r="H100" s="78">
        <v>0</v>
      </c>
      <c r="I100" s="30"/>
      <c r="J100" s="129">
        <v>0</v>
      </c>
      <c r="K100" s="129">
        <v>0</v>
      </c>
      <c r="L100" s="129">
        <v>0</v>
      </c>
      <c r="M100" s="130">
        <f t="shared" si="238"/>
        <v>0</v>
      </c>
      <c r="N100" s="129">
        <v>0</v>
      </c>
      <c r="O100" s="129">
        <v>0</v>
      </c>
      <c r="P100" s="129">
        <v>0</v>
      </c>
      <c r="Q100" s="130">
        <f t="shared" si="239"/>
        <v>0</v>
      </c>
      <c r="R100" s="129">
        <v>0</v>
      </c>
      <c r="S100" s="129">
        <v>0</v>
      </c>
      <c r="T100" s="129">
        <v>0</v>
      </c>
      <c r="U100" s="130">
        <f t="shared" si="240"/>
        <v>0</v>
      </c>
      <c r="V100" s="129">
        <v>628</v>
      </c>
      <c r="W100" s="129">
        <f>1225-V100</f>
        <v>597</v>
      </c>
      <c r="X100" s="129">
        <f>2210-W100-V100</f>
        <v>985</v>
      </c>
      <c r="Z100" s="30">
        <f t="shared" si="242"/>
        <v>0</v>
      </c>
      <c r="AA100" s="30">
        <f t="shared" si="243"/>
        <v>0</v>
      </c>
      <c r="AB100" s="30">
        <f t="shared" si="244"/>
        <v>0</v>
      </c>
      <c r="AC100" s="30">
        <f t="shared" si="245"/>
        <v>0</v>
      </c>
      <c r="AD100" s="30">
        <f t="shared" si="246"/>
        <v>0</v>
      </c>
      <c r="AE100" s="30">
        <f t="shared" si="247"/>
        <v>0</v>
      </c>
      <c r="AF100" s="30">
        <f t="shared" si="248"/>
        <v>0</v>
      </c>
      <c r="AG100" s="30">
        <f t="shared" si="249"/>
        <v>0</v>
      </c>
      <c r="AH100" s="30">
        <f t="shared" si="250"/>
        <v>0</v>
      </c>
      <c r="AI100" s="30">
        <f t="shared" si="251"/>
        <v>628</v>
      </c>
      <c r="AJ100" s="30">
        <f t="shared" si="252"/>
        <v>1225</v>
      </c>
      <c r="AK100" s="30">
        <f t="shared" si="252"/>
        <v>2210</v>
      </c>
      <c r="AL100" s="11"/>
      <c r="AM100" s="70" t="e">
        <f t="shared" si="241"/>
        <v>#DIV/0!</v>
      </c>
    </row>
    <row r="101" spans="2:39" ht="5.0999999999999996" customHeight="1">
      <c r="B101" s="8"/>
      <c r="C101" s="78"/>
      <c r="D101" s="78"/>
      <c r="E101" s="78"/>
      <c r="F101" s="78"/>
      <c r="G101" s="78"/>
      <c r="H101" s="78"/>
      <c r="I101" s="30"/>
      <c r="J101" s="78"/>
      <c r="K101" s="30"/>
      <c r="L101" s="30"/>
      <c r="M101" s="30"/>
      <c r="N101" s="78"/>
      <c r="O101" s="30"/>
      <c r="P101" s="30"/>
      <c r="Q101" s="30"/>
      <c r="R101" s="78"/>
      <c r="S101" s="30"/>
      <c r="T101" s="30"/>
      <c r="U101" s="30"/>
      <c r="V101" s="78"/>
      <c r="W101" s="30"/>
      <c r="X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11"/>
      <c r="AM101" s="70"/>
    </row>
    <row r="102" spans="2:39" ht="12.75" customHeight="1">
      <c r="B102" s="34" t="s">
        <v>15</v>
      </c>
      <c r="C102" s="78"/>
      <c r="D102" s="78"/>
      <c r="E102" s="78"/>
      <c r="F102" s="78"/>
      <c r="G102" s="78"/>
      <c r="H102" s="78"/>
      <c r="I102" s="30"/>
      <c r="J102" s="78"/>
      <c r="K102" s="30"/>
      <c r="L102" s="30"/>
      <c r="M102" s="30"/>
      <c r="N102" s="78"/>
      <c r="O102" s="30"/>
      <c r="P102" s="30"/>
      <c r="Q102" s="30"/>
      <c r="R102" s="78"/>
      <c r="S102" s="30"/>
      <c r="T102" s="30"/>
      <c r="U102" s="30"/>
      <c r="V102" s="78"/>
      <c r="W102" s="30"/>
      <c r="X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57"/>
      <c r="AM102" s="70"/>
    </row>
    <row r="103" spans="2:39" ht="12.75" customHeight="1">
      <c r="B103" s="58" t="s">
        <v>133</v>
      </c>
      <c r="C103" s="78">
        <v>-20637</v>
      </c>
      <c r="D103" s="78">
        <v>-53772</v>
      </c>
      <c r="E103" s="78">
        <v>-40573</v>
      </c>
      <c r="F103" s="78">
        <v>34260</v>
      </c>
      <c r="G103" s="78">
        <v>-8517</v>
      </c>
      <c r="H103" s="78">
        <v>-15395</v>
      </c>
      <c r="I103" s="30"/>
      <c r="J103" s="129">
        <v>40928</v>
      </c>
      <c r="K103" s="129">
        <f>53168-J103</f>
        <v>12240</v>
      </c>
      <c r="L103" s="129">
        <f>33378-K103-J103</f>
        <v>-19790</v>
      </c>
      <c r="M103" s="130">
        <f t="shared" ref="M103:M111" si="253">SUM(F103-SUM(J103:L103))</f>
        <v>882</v>
      </c>
      <c r="N103" s="129">
        <v>9140</v>
      </c>
      <c r="O103" s="129">
        <f>24978-N103</f>
        <v>15838</v>
      </c>
      <c r="P103" s="129">
        <f>-3446-O103-N103</f>
        <v>-28424</v>
      </c>
      <c r="Q103" s="130">
        <f t="shared" ref="Q103:Q111" si="254">SUM(G103-SUM(N103:P103))</f>
        <v>-5071</v>
      </c>
      <c r="R103" s="129">
        <v>4476</v>
      </c>
      <c r="S103" s="129">
        <f>7076-R103</f>
        <v>2600</v>
      </c>
      <c r="T103" s="129">
        <f>-5682-S103-R103</f>
        <v>-12758</v>
      </c>
      <c r="U103" s="130">
        <f t="shared" ref="U103:U111" si="255">SUM(H103-SUM(R103:T103))</f>
        <v>-9713</v>
      </c>
      <c r="V103" s="129">
        <v>-1812</v>
      </c>
      <c r="W103" s="129">
        <f>-198-V103</f>
        <v>1614</v>
      </c>
      <c r="X103" s="129">
        <f>-13138-W103-V103</f>
        <v>-12940</v>
      </c>
      <c r="Z103" s="30">
        <f t="shared" ref="Z103:Z111" si="256">SUM(J103:M103)</f>
        <v>34260</v>
      </c>
      <c r="AA103" s="30">
        <f t="shared" ref="AA103:AA111" si="257">SUM(K103:N103)</f>
        <v>2472</v>
      </c>
      <c r="AB103" s="30">
        <f t="shared" ref="AB103:AB111" si="258">SUM(L103:O103)</f>
        <v>6070</v>
      </c>
      <c r="AC103" s="30">
        <f t="shared" ref="AC103:AC111" si="259">SUM(M103:P103)</f>
        <v>-2564</v>
      </c>
      <c r="AD103" s="30">
        <f t="shared" ref="AD103:AD111" si="260">SUM(N103:Q103)</f>
        <v>-8517</v>
      </c>
      <c r="AE103" s="30">
        <f t="shared" ref="AE103:AE111" si="261">SUM(O103:R103)</f>
        <v>-13181</v>
      </c>
      <c r="AF103" s="30">
        <f t="shared" ref="AF103:AF111" si="262">SUM(P103:S103)</f>
        <v>-26419</v>
      </c>
      <c r="AG103" s="30">
        <f t="shared" ref="AG103:AG111" si="263">SUM(Q103:T103)</f>
        <v>-10753</v>
      </c>
      <c r="AH103" s="30">
        <f t="shared" ref="AH103:AH111" si="264">SUM(R103:U103)</f>
        <v>-15395</v>
      </c>
      <c r="AI103" s="30">
        <f t="shared" ref="AI103:AI111" si="265">SUM(S103:V103)</f>
        <v>-21683</v>
      </c>
      <c r="AJ103" s="30">
        <f t="shared" ref="AJ103:AK111" si="266">SUM(T103:W103)</f>
        <v>-22669</v>
      </c>
      <c r="AK103" s="30">
        <f t="shared" si="266"/>
        <v>-22851</v>
      </c>
      <c r="AL103" s="57"/>
      <c r="AM103" s="70">
        <f t="shared" si="241"/>
        <v>-0.14194329838373898</v>
      </c>
    </row>
    <row r="104" spans="2:39" ht="12.75" customHeight="1">
      <c r="B104" s="58" t="s">
        <v>134</v>
      </c>
      <c r="C104" s="78">
        <v>-79372</v>
      </c>
      <c r="D104" s="78">
        <v>125486</v>
      </c>
      <c r="E104" s="78">
        <v>-331003</v>
      </c>
      <c r="F104" s="78">
        <v>-104233</v>
      </c>
      <c r="G104" s="78">
        <v>-138685</v>
      </c>
      <c r="H104" s="78">
        <v>-226078</v>
      </c>
      <c r="I104" s="30"/>
      <c r="J104" s="129">
        <v>-71334</v>
      </c>
      <c r="K104" s="129">
        <f>-166912-J104</f>
        <v>-95578</v>
      </c>
      <c r="L104" s="129">
        <f>-615451-K104-J104</f>
        <v>-448539</v>
      </c>
      <c r="M104" s="130">
        <f t="shared" si="253"/>
        <v>511218</v>
      </c>
      <c r="N104" s="129">
        <v>-147784</v>
      </c>
      <c r="O104" s="129">
        <f>-212088-N104</f>
        <v>-64304</v>
      </c>
      <c r="P104" s="129">
        <f>-717855-O104-N104</f>
        <v>-505767</v>
      </c>
      <c r="Q104" s="130">
        <f t="shared" si="254"/>
        <v>579170</v>
      </c>
      <c r="R104" s="129">
        <v>-163904</v>
      </c>
      <c r="S104" s="129">
        <f>-256150-R104</f>
        <v>-92246</v>
      </c>
      <c r="T104" s="129">
        <f>-623050-S104-R104</f>
        <v>-366900</v>
      </c>
      <c r="U104" s="130">
        <f t="shared" si="255"/>
        <v>396972</v>
      </c>
      <c r="V104" s="129">
        <v>-153305</v>
      </c>
      <c r="W104" s="129">
        <f>-366091-V104</f>
        <v>-212786</v>
      </c>
      <c r="X104" s="129">
        <f>-702678-W104-V104</f>
        <v>-336587</v>
      </c>
      <c r="Z104" s="30">
        <f t="shared" si="256"/>
        <v>-104233</v>
      </c>
      <c r="AA104" s="30">
        <f t="shared" si="257"/>
        <v>-180683</v>
      </c>
      <c r="AB104" s="30">
        <f t="shared" si="258"/>
        <v>-149409</v>
      </c>
      <c r="AC104" s="30">
        <f t="shared" si="259"/>
        <v>-206637</v>
      </c>
      <c r="AD104" s="30">
        <f t="shared" si="260"/>
        <v>-138685</v>
      </c>
      <c r="AE104" s="30">
        <f t="shared" si="261"/>
        <v>-154805</v>
      </c>
      <c r="AF104" s="30">
        <f t="shared" si="262"/>
        <v>-182747</v>
      </c>
      <c r="AG104" s="30">
        <f t="shared" si="263"/>
        <v>-43880</v>
      </c>
      <c r="AH104" s="30">
        <f t="shared" si="264"/>
        <v>-226078</v>
      </c>
      <c r="AI104" s="30">
        <f t="shared" si="265"/>
        <v>-215479</v>
      </c>
      <c r="AJ104" s="30">
        <f t="shared" si="266"/>
        <v>-336019</v>
      </c>
      <c r="AK104" s="30">
        <f t="shared" si="266"/>
        <v>-305706</v>
      </c>
      <c r="AL104" s="57"/>
      <c r="AM104" s="70">
        <f t="shared" ref="AM104:AM111" si="267">SUM(AJ104/AF104)-1</f>
        <v>0.8387114425955009</v>
      </c>
    </row>
    <row r="105" spans="2:39" ht="12.75" customHeight="1">
      <c r="B105" s="58" t="s">
        <v>117</v>
      </c>
      <c r="C105" s="78">
        <v>9289</v>
      </c>
      <c r="D105" s="78">
        <v>-4363</v>
      </c>
      <c r="E105" s="78">
        <v>-3412</v>
      </c>
      <c r="F105" s="78">
        <v>-19432</v>
      </c>
      <c r="G105" s="78">
        <v>14648</v>
      </c>
      <c r="H105" s="78">
        <v>-13515</v>
      </c>
      <c r="I105" s="30"/>
      <c r="J105" s="129">
        <v>-3261</v>
      </c>
      <c r="K105" s="129">
        <f>-12200-J105</f>
        <v>-8939</v>
      </c>
      <c r="L105" s="129">
        <f>-26828-K105-J105</f>
        <v>-14628</v>
      </c>
      <c r="M105" s="130">
        <f t="shared" si="253"/>
        <v>7396</v>
      </c>
      <c r="N105" s="129">
        <v>22232</v>
      </c>
      <c r="O105" s="129">
        <f>19722-N105</f>
        <v>-2510</v>
      </c>
      <c r="P105" s="129">
        <f>12964-O105-N105</f>
        <v>-6758</v>
      </c>
      <c r="Q105" s="130">
        <f t="shared" si="254"/>
        <v>1684</v>
      </c>
      <c r="R105" s="129">
        <v>-10931</v>
      </c>
      <c r="S105" s="129">
        <f>-16425-R105</f>
        <v>-5494</v>
      </c>
      <c r="T105" s="129">
        <f>-19916-S105-R105</f>
        <v>-3491</v>
      </c>
      <c r="U105" s="130">
        <f t="shared" si="255"/>
        <v>6401</v>
      </c>
      <c r="V105" s="129">
        <v>-9283</v>
      </c>
      <c r="W105" s="129">
        <f>-21657-V105</f>
        <v>-12374</v>
      </c>
      <c r="X105" s="129">
        <f>-14088-W105-V105</f>
        <v>7569</v>
      </c>
      <c r="Z105" s="30">
        <f t="shared" si="256"/>
        <v>-19432</v>
      </c>
      <c r="AA105" s="30">
        <f t="shared" si="257"/>
        <v>6061</v>
      </c>
      <c r="AB105" s="30">
        <f t="shared" si="258"/>
        <v>12490</v>
      </c>
      <c r="AC105" s="30">
        <f t="shared" si="259"/>
        <v>20360</v>
      </c>
      <c r="AD105" s="30">
        <f t="shared" si="260"/>
        <v>14648</v>
      </c>
      <c r="AE105" s="30">
        <f t="shared" si="261"/>
        <v>-18515</v>
      </c>
      <c r="AF105" s="30">
        <f t="shared" si="262"/>
        <v>-21499</v>
      </c>
      <c r="AG105" s="30">
        <f t="shared" si="263"/>
        <v>-18232</v>
      </c>
      <c r="AH105" s="30">
        <f t="shared" si="264"/>
        <v>-13515</v>
      </c>
      <c r="AI105" s="30">
        <f t="shared" si="265"/>
        <v>-11867</v>
      </c>
      <c r="AJ105" s="30">
        <f t="shared" ref="AJ105:AK107" si="268">SUM(T105:W105)</f>
        <v>-18747</v>
      </c>
      <c r="AK105" s="30">
        <f t="shared" si="268"/>
        <v>-7687</v>
      </c>
      <c r="AL105" s="57"/>
      <c r="AM105" s="70">
        <f t="shared" si="267"/>
        <v>-0.12800595376529145</v>
      </c>
    </row>
    <row r="106" spans="2:39" ht="12.75" customHeight="1">
      <c r="B106" s="58" t="s">
        <v>135</v>
      </c>
      <c r="C106" s="78">
        <v>610</v>
      </c>
      <c r="D106" s="78">
        <v>58916</v>
      </c>
      <c r="E106" s="78">
        <v>-35652</v>
      </c>
      <c r="F106" s="78">
        <v>-45182</v>
      </c>
      <c r="G106" s="78">
        <v>45367</v>
      </c>
      <c r="H106" s="78">
        <v>34772</v>
      </c>
      <c r="I106" s="30"/>
      <c r="J106" s="129">
        <v>101236</v>
      </c>
      <c r="K106" s="129">
        <f>-45906-J106</f>
        <v>-147142</v>
      </c>
      <c r="L106" s="129">
        <f>-49446-K106-J106</f>
        <v>-3540</v>
      </c>
      <c r="M106" s="130">
        <f t="shared" si="253"/>
        <v>4264</v>
      </c>
      <c r="N106" s="129">
        <v>97003</v>
      </c>
      <c r="O106" s="129">
        <f>8194-N106</f>
        <v>-88809</v>
      </c>
      <c r="P106" s="129">
        <f>9535-O106-N106</f>
        <v>1341</v>
      </c>
      <c r="Q106" s="130">
        <f t="shared" si="254"/>
        <v>35832</v>
      </c>
      <c r="R106" s="129">
        <v>85652</v>
      </c>
      <c r="S106" s="129">
        <f>-60666-R106</f>
        <v>-146318</v>
      </c>
      <c r="T106" s="129">
        <f>-69818-S106-R106</f>
        <v>-9152</v>
      </c>
      <c r="U106" s="130">
        <f t="shared" si="255"/>
        <v>104590</v>
      </c>
      <c r="V106" s="129">
        <v>88934</v>
      </c>
      <c r="W106" s="129">
        <f>-70406-V106</f>
        <v>-159340</v>
      </c>
      <c r="X106" s="129">
        <f>-67994-W106-V106</f>
        <v>2412</v>
      </c>
      <c r="Z106" s="30">
        <f t="shared" si="256"/>
        <v>-45182</v>
      </c>
      <c r="AA106" s="30">
        <f t="shared" si="257"/>
        <v>-49415</v>
      </c>
      <c r="AB106" s="30">
        <f t="shared" si="258"/>
        <v>8918</v>
      </c>
      <c r="AC106" s="30">
        <f t="shared" si="259"/>
        <v>13799</v>
      </c>
      <c r="AD106" s="30">
        <f t="shared" si="260"/>
        <v>45367</v>
      </c>
      <c r="AE106" s="30">
        <f t="shared" si="261"/>
        <v>34016</v>
      </c>
      <c r="AF106" s="30">
        <f t="shared" si="262"/>
        <v>-23493</v>
      </c>
      <c r="AG106" s="30">
        <f t="shared" si="263"/>
        <v>-33986</v>
      </c>
      <c r="AH106" s="30">
        <f t="shared" si="264"/>
        <v>34772</v>
      </c>
      <c r="AI106" s="30">
        <f t="shared" si="265"/>
        <v>38054</v>
      </c>
      <c r="AJ106" s="30">
        <f t="shared" si="268"/>
        <v>25032</v>
      </c>
      <c r="AK106" s="30">
        <f t="shared" si="268"/>
        <v>36596</v>
      </c>
      <c r="AL106" s="57"/>
      <c r="AM106" s="70">
        <f t="shared" si="267"/>
        <v>-2.0655088749840376</v>
      </c>
    </row>
    <row r="107" spans="2:39" ht="12.75" customHeight="1">
      <c r="B107" s="58" t="s">
        <v>14</v>
      </c>
      <c r="C107" s="78">
        <v>9993</v>
      </c>
      <c r="D107" s="78">
        <v>62324</v>
      </c>
      <c r="E107" s="78">
        <v>66156</v>
      </c>
      <c r="F107" s="78">
        <v>8309</v>
      </c>
      <c r="G107" s="78">
        <v>-20873</v>
      </c>
      <c r="H107" s="78">
        <v>30297</v>
      </c>
      <c r="I107" s="30"/>
      <c r="J107" s="129">
        <v>42586</v>
      </c>
      <c r="K107" s="129">
        <f>40051-J107</f>
        <v>-2535</v>
      </c>
      <c r="L107" s="129">
        <f>94214-K107-J107</f>
        <v>54163</v>
      </c>
      <c r="M107" s="130">
        <f t="shared" si="253"/>
        <v>-85905</v>
      </c>
      <c r="N107" s="129">
        <v>62257</v>
      </c>
      <c r="O107" s="129">
        <f>-38752-N107</f>
        <v>-101009</v>
      </c>
      <c r="P107" s="129">
        <f>41817-O107-N107</f>
        <v>80569</v>
      </c>
      <c r="Q107" s="130">
        <f t="shared" si="254"/>
        <v>-62690</v>
      </c>
      <c r="R107" s="129">
        <v>-74069</v>
      </c>
      <c r="S107" s="129">
        <f>29715-R107</f>
        <v>103784</v>
      </c>
      <c r="T107" s="129">
        <f>54210-S107-R107</f>
        <v>24495</v>
      </c>
      <c r="U107" s="130">
        <f t="shared" si="255"/>
        <v>-23913</v>
      </c>
      <c r="V107" s="129">
        <v>-24920</v>
      </c>
      <c r="W107" s="129">
        <f>98115-V107</f>
        <v>123035</v>
      </c>
      <c r="X107" s="129">
        <f>123911-W107-V107</f>
        <v>25796</v>
      </c>
      <c r="Z107" s="30">
        <f t="shared" si="256"/>
        <v>8309</v>
      </c>
      <c r="AA107" s="30">
        <f t="shared" si="257"/>
        <v>27980</v>
      </c>
      <c r="AB107" s="30">
        <f t="shared" si="258"/>
        <v>-70494</v>
      </c>
      <c r="AC107" s="30">
        <f t="shared" si="259"/>
        <v>-44088</v>
      </c>
      <c r="AD107" s="30">
        <f t="shared" si="260"/>
        <v>-20873</v>
      </c>
      <c r="AE107" s="30">
        <f t="shared" si="261"/>
        <v>-157199</v>
      </c>
      <c r="AF107" s="30">
        <f t="shared" si="262"/>
        <v>47594</v>
      </c>
      <c r="AG107" s="30">
        <f t="shared" si="263"/>
        <v>-8480</v>
      </c>
      <c r="AH107" s="30">
        <f t="shared" si="264"/>
        <v>30297</v>
      </c>
      <c r="AI107" s="30">
        <f t="shared" si="265"/>
        <v>79446</v>
      </c>
      <c r="AJ107" s="30">
        <f t="shared" si="268"/>
        <v>98697</v>
      </c>
      <c r="AK107" s="30">
        <f t="shared" si="268"/>
        <v>99998</v>
      </c>
      <c r="AL107" s="57"/>
      <c r="AM107" s="70">
        <f t="shared" si="267"/>
        <v>1.0737277808127077</v>
      </c>
    </row>
    <row r="108" spans="2:39" ht="12.75" customHeight="1">
      <c r="B108" s="58" t="s">
        <v>122</v>
      </c>
      <c r="C108" s="78">
        <v>28183</v>
      </c>
      <c r="D108" s="78">
        <v>58599</v>
      </c>
      <c r="E108" s="78">
        <v>58598</v>
      </c>
      <c r="F108" s="78">
        <v>48249</v>
      </c>
      <c r="G108" s="78">
        <v>-62238</v>
      </c>
      <c r="H108" s="78">
        <v>6303</v>
      </c>
      <c r="I108" s="30"/>
      <c r="J108" s="129">
        <v>-57214</v>
      </c>
      <c r="K108" s="129">
        <f>-49364-J108</f>
        <v>7850</v>
      </c>
      <c r="L108" s="129">
        <f>64164-K108-J108</f>
        <v>113528</v>
      </c>
      <c r="M108" s="130">
        <f t="shared" si="253"/>
        <v>-15915</v>
      </c>
      <c r="N108" s="129">
        <v>-98515</v>
      </c>
      <c r="O108" s="129">
        <f>-102763-N108</f>
        <v>-4248</v>
      </c>
      <c r="P108" s="129">
        <f>-34955-O108-N108</f>
        <v>67808</v>
      </c>
      <c r="Q108" s="130">
        <f t="shared" si="254"/>
        <v>-27283</v>
      </c>
      <c r="R108" s="129">
        <v>-43846</v>
      </c>
      <c r="S108" s="129">
        <f>-33634-R108</f>
        <v>10212</v>
      </c>
      <c r="T108" s="129">
        <f>-45777-S108-R108</f>
        <v>-12143</v>
      </c>
      <c r="U108" s="130">
        <f t="shared" si="255"/>
        <v>52080</v>
      </c>
      <c r="V108" s="129">
        <v>-32716</v>
      </c>
      <c r="W108" s="129">
        <f>-3881-V108</f>
        <v>28835</v>
      </c>
      <c r="X108" s="129">
        <f>6567-W108-V108</f>
        <v>10448</v>
      </c>
      <c r="Z108" s="30">
        <f t="shared" si="256"/>
        <v>48249</v>
      </c>
      <c r="AA108" s="30">
        <f t="shared" si="257"/>
        <v>6948</v>
      </c>
      <c r="AB108" s="30">
        <f t="shared" si="258"/>
        <v>-5150</v>
      </c>
      <c r="AC108" s="30">
        <f t="shared" si="259"/>
        <v>-50870</v>
      </c>
      <c r="AD108" s="30">
        <f t="shared" si="260"/>
        <v>-62238</v>
      </c>
      <c r="AE108" s="30">
        <f t="shared" si="261"/>
        <v>-7569</v>
      </c>
      <c r="AF108" s="30">
        <f t="shared" si="262"/>
        <v>6891</v>
      </c>
      <c r="AG108" s="30">
        <f t="shared" si="263"/>
        <v>-73060</v>
      </c>
      <c r="AH108" s="30">
        <f t="shared" si="264"/>
        <v>6303</v>
      </c>
      <c r="AI108" s="30">
        <f t="shared" si="265"/>
        <v>17433</v>
      </c>
      <c r="AJ108" s="30">
        <f t="shared" si="266"/>
        <v>36056</v>
      </c>
      <c r="AK108" s="30">
        <f t="shared" si="266"/>
        <v>58647</v>
      </c>
      <c r="AL108" s="57"/>
      <c r="AM108" s="70">
        <f t="shared" si="267"/>
        <v>4.232332027281962</v>
      </c>
    </row>
    <row r="109" spans="2:39" ht="12.75" customHeight="1">
      <c r="B109" s="58" t="s">
        <v>98</v>
      </c>
      <c r="C109" s="78">
        <v>38481</v>
      </c>
      <c r="D109" s="78">
        <v>36848</v>
      </c>
      <c r="E109" s="78">
        <v>79196</v>
      </c>
      <c r="F109" s="78">
        <v>41098</v>
      </c>
      <c r="G109" s="78">
        <v>41914</v>
      </c>
      <c r="H109" s="78">
        <v>63994</v>
      </c>
      <c r="I109" s="30"/>
      <c r="J109" s="129">
        <v>-28885</v>
      </c>
      <c r="K109" s="129">
        <f>-37008-J109</f>
        <v>-8123</v>
      </c>
      <c r="L109" s="129">
        <f>-41447-K109-J109</f>
        <v>-4439</v>
      </c>
      <c r="M109" s="130">
        <f t="shared" si="253"/>
        <v>82545</v>
      </c>
      <c r="N109" s="129">
        <v>-37460</v>
      </c>
      <c r="O109" s="129">
        <f>-40424-N109</f>
        <v>-2964</v>
      </c>
      <c r="P109" s="129">
        <f>-43740-O109-N109</f>
        <v>-3316</v>
      </c>
      <c r="Q109" s="130">
        <f t="shared" si="254"/>
        <v>85654</v>
      </c>
      <c r="R109" s="129">
        <v>-37862</v>
      </c>
      <c r="S109" s="129">
        <f>-41604-R109</f>
        <v>-3742</v>
      </c>
      <c r="T109" s="129">
        <f>-31551-S109-R109</f>
        <v>10053</v>
      </c>
      <c r="U109" s="130">
        <f t="shared" si="255"/>
        <v>95545</v>
      </c>
      <c r="V109" s="129">
        <v>-37742</v>
      </c>
      <c r="W109" s="129">
        <f>-44418-V109</f>
        <v>-6676</v>
      </c>
      <c r="X109" s="129">
        <f>-41642-W109-V109</f>
        <v>2776</v>
      </c>
      <c r="Z109" s="30">
        <f t="shared" si="256"/>
        <v>41098</v>
      </c>
      <c r="AA109" s="30">
        <f t="shared" si="257"/>
        <v>32523</v>
      </c>
      <c r="AB109" s="30">
        <f t="shared" si="258"/>
        <v>37682</v>
      </c>
      <c r="AC109" s="30">
        <f t="shared" si="259"/>
        <v>38805</v>
      </c>
      <c r="AD109" s="30">
        <f t="shared" si="260"/>
        <v>41914</v>
      </c>
      <c r="AE109" s="30">
        <f t="shared" si="261"/>
        <v>41512</v>
      </c>
      <c r="AF109" s="30">
        <f t="shared" si="262"/>
        <v>40734</v>
      </c>
      <c r="AG109" s="30">
        <f t="shared" si="263"/>
        <v>54103</v>
      </c>
      <c r="AH109" s="30">
        <f t="shared" si="264"/>
        <v>63994</v>
      </c>
      <c r="AI109" s="30">
        <f t="shared" si="265"/>
        <v>64114</v>
      </c>
      <c r="AJ109" s="30">
        <f t="shared" si="266"/>
        <v>61180</v>
      </c>
      <c r="AK109" s="30">
        <f t="shared" si="266"/>
        <v>53903</v>
      </c>
      <c r="AL109" s="57"/>
      <c r="AM109" s="70">
        <f t="shared" si="267"/>
        <v>0.50193941179358759</v>
      </c>
    </row>
    <row r="110" spans="2:39" ht="12.75" customHeight="1">
      <c r="B110" s="58" t="s">
        <v>136</v>
      </c>
      <c r="C110" s="78">
        <v>-256910</v>
      </c>
      <c r="D110" s="78">
        <v>-297513</v>
      </c>
      <c r="E110" s="78">
        <v>-303914</v>
      </c>
      <c r="F110" s="78">
        <v>-324500</v>
      </c>
      <c r="G110" s="78">
        <v>-338105</v>
      </c>
      <c r="H110" s="78">
        <v>-333835</v>
      </c>
      <c r="I110" s="30"/>
      <c r="J110" s="129">
        <v>-79936</v>
      </c>
      <c r="K110" s="129">
        <f>-163302-J110</f>
        <v>-83366</v>
      </c>
      <c r="L110" s="129">
        <f>-246988-K110-J110</f>
        <v>-83686</v>
      </c>
      <c r="M110" s="130">
        <f t="shared" si="253"/>
        <v>-77512</v>
      </c>
      <c r="N110" s="129">
        <v>-78562</v>
      </c>
      <c r="O110" s="129">
        <f>-163527-N110</f>
        <v>-84965</v>
      </c>
      <c r="P110" s="129">
        <f>-248469-O110-N110</f>
        <v>-84942</v>
      </c>
      <c r="Q110" s="130">
        <f t="shared" si="254"/>
        <v>-89636</v>
      </c>
      <c r="R110" s="129">
        <v>-83500</v>
      </c>
      <c r="S110" s="129">
        <f>-170779-R110</f>
        <v>-87279</v>
      </c>
      <c r="T110" s="129">
        <f>-250267-S110-R110</f>
        <v>-79488</v>
      </c>
      <c r="U110" s="130">
        <f t="shared" si="255"/>
        <v>-83568</v>
      </c>
      <c r="V110" s="129">
        <v>-88100</v>
      </c>
      <c r="W110" s="129">
        <f>-180316-V110</f>
        <v>-92216</v>
      </c>
      <c r="X110" s="129">
        <f>-261864-W110-V110</f>
        <v>-81548</v>
      </c>
      <c r="Z110" s="30">
        <f t="shared" si="256"/>
        <v>-324500</v>
      </c>
      <c r="AA110" s="30">
        <f t="shared" si="257"/>
        <v>-323126</v>
      </c>
      <c r="AB110" s="30">
        <f t="shared" si="258"/>
        <v>-324725</v>
      </c>
      <c r="AC110" s="30">
        <f t="shared" si="259"/>
        <v>-325981</v>
      </c>
      <c r="AD110" s="30">
        <f t="shared" si="260"/>
        <v>-338105</v>
      </c>
      <c r="AE110" s="30">
        <f t="shared" si="261"/>
        <v>-343043</v>
      </c>
      <c r="AF110" s="30">
        <f t="shared" si="262"/>
        <v>-345357</v>
      </c>
      <c r="AG110" s="30">
        <f t="shared" si="263"/>
        <v>-339903</v>
      </c>
      <c r="AH110" s="30">
        <f t="shared" si="264"/>
        <v>-333835</v>
      </c>
      <c r="AI110" s="30">
        <f t="shared" si="265"/>
        <v>-338435</v>
      </c>
      <c r="AJ110" s="30">
        <f t="shared" si="266"/>
        <v>-343372</v>
      </c>
      <c r="AK110" s="30">
        <f t="shared" si="266"/>
        <v>-345432</v>
      </c>
      <c r="AL110" s="57"/>
      <c r="AM110" s="70">
        <f t="shared" si="267"/>
        <v>-5.7476755936610724E-3</v>
      </c>
    </row>
    <row r="111" spans="2:39" ht="12.75" customHeight="1">
      <c r="B111" s="58" t="s">
        <v>137</v>
      </c>
      <c r="C111" s="78">
        <v>54894</v>
      </c>
      <c r="D111" s="78">
        <v>-783</v>
      </c>
      <c r="E111" s="78">
        <v>12392</v>
      </c>
      <c r="F111" s="78">
        <v>-7731</v>
      </c>
      <c r="G111" s="78">
        <v>-15084</v>
      </c>
      <c r="H111" s="78">
        <v>2241</v>
      </c>
      <c r="I111" s="30"/>
      <c r="J111" s="129">
        <v>3390</v>
      </c>
      <c r="K111" s="129">
        <f>-392-J111</f>
        <v>-3782</v>
      </c>
      <c r="L111" s="129">
        <f>20063-K111-J111</f>
        <v>20455</v>
      </c>
      <c r="M111" s="130">
        <f t="shared" si="253"/>
        <v>-27794</v>
      </c>
      <c r="N111" s="129">
        <v>-17204</v>
      </c>
      <c r="O111" s="129">
        <f>-12497-N111</f>
        <v>4707</v>
      </c>
      <c r="P111" s="129">
        <f>-9836-O111-N111</f>
        <v>2661</v>
      </c>
      <c r="Q111" s="130">
        <f t="shared" si="254"/>
        <v>-5248</v>
      </c>
      <c r="R111" s="129">
        <v>10842</v>
      </c>
      <c r="S111" s="129">
        <f>15127-R111</f>
        <v>4285</v>
      </c>
      <c r="T111" s="129">
        <f>12240-S111-R111</f>
        <v>-2887</v>
      </c>
      <c r="U111" s="130">
        <f t="shared" si="255"/>
        <v>-9999</v>
      </c>
      <c r="V111" s="129">
        <v>-5583</v>
      </c>
      <c r="W111" s="129">
        <f>-15742-V111</f>
        <v>-10159</v>
      </c>
      <c r="X111" s="129">
        <f>-21628-W111-V111</f>
        <v>-5886</v>
      </c>
      <c r="Z111" s="30">
        <f t="shared" si="256"/>
        <v>-7731</v>
      </c>
      <c r="AA111" s="30">
        <f t="shared" si="257"/>
        <v>-28325</v>
      </c>
      <c r="AB111" s="30">
        <f t="shared" si="258"/>
        <v>-19836</v>
      </c>
      <c r="AC111" s="30">
        <f t="shared" si="259"/>
        <v>-37630</v>
      </c>
      <c r="AD111" s="30">
        <f t="shared" si="260"/>
        <v>-15084</v>
      </c>
      <c r="AE111" s="30">
        <f t="shared" si="261"/>
        <v>12962</v>
      </c>
      <c r="AF111" s="30">
        <f t="shared" si="262"/>
        <v>12540</v>
      </c>
      <c r="AG111" s="30">
        <f t="shared" si="263"/>
        <v>6992</v>
      </c>
      <c r="AH111" s="30">
        <f t="shared" si="264"/>
        <v>2241</v>
      </c>
      <c r="AI111" s="30">
        <f t="shared" si="265"/>
        <v>-14184</v>
      </c>
      <c r="AJ111" s="30">
        <f t="shared" si="266"/>
        <v>-28628</v>
      </c>
      <c r="AK111" s="30">
        <f t="shared" si="266"/>
        <v>-31627</v>
      </c>
      <c r="AL111" s="57"/>
      <c r="AM111" s="70">
        <f t="shared" si="267"/>
        <v>-3.2829346092503986</v>
      </c>
    </row>
    <row r="112" spans="2:39" ht="12.75" customHeight="1">
      <c r="B112" s="12" t="s">
        <v>61</v>
      </c>
      <c r="C112" s="13">
        <f t="shared" ref="C112:H112" si="269">SUM(C91:C111)</f>
        <v>1101293</v>
      </c>
      <c r="D112" s="13">
        <f t="shared" si="269"/>
        <v>810355</v>
      </c>
      <c r="E112" s="13">
        <f t="shared" si="269"/>
        <v>1059265</v>
      </c>
      <c r="F112" s="13">
        <f t="shared" si="269"/>
        <v>1481915</v>
      </c>
      <c r="G112" s="13">
        <f t="shared" si="269"/>
        <v>1476265.9999999981</v>
      </c>
      <c r="H112" s="13">
        <f t="shared" si="269"/>
        <v>1338605</v>
      </c>
      <c r="J112" s="13">
        <f t="shared" ref="J112:X112" si="270">SUM(J91:J111)</f>
        <v>426302.99999999953</v>
      </c>
      <c r="K112" s="13">
        <f t="shared" si="270"/>
        <v>114364</v>
      </c>
      <c r="L112" s="13">
        <f t="shared" si="270"/>
        <v>32759.000000000466</v>
      </c>
      <c r="M112" s="13">
        <f t="shared" si="270"/>
        <v>908489</v>
      </c>
      <c r="N112" s="32">
        <f t="shared" si="270"/>
        <v>304901.00000000047</v>
      </c>
      <c r="O112" s="13">
        <f t="shared" si="270"/>
        <v>123907</v>
      </c>
      <c r="P112" s="13">
        <f t="shared" si="270"/>
        <v>-70797</v>
      </c>
      <c r="Q112" s="13">
        <f t="shared" si="270"/>
        <v>1118254.9999999981</v>
      </c>
      <c r="R112" s="13">
        <f t="shared" si="270"/>
        <v>159339.99999999953</v>
      </c>
      <c r="S112" s="13">
        <f t="shared" si="270"/>
        <v>199539</v>
      </c>
      <c r="T112" s="13">
        <f t="shared" si="270"/>
        <v>-56838</v>
      </c>
      <c r="U112" s="13">
        <f t="shared" si="270"/>
        <v>1036564</v>
      </c>
      <c r="V112" s="13">
        <f t="shared" si="270"/>
        <v>220021</v>
      </c>
      <c r="W112" s="13">
        <f t="shared" si="270"/>
        <v>96522</v>
      </c>
      <c r="X112" s="13">
        <f t="shared" si="270"/>
        <v>5641</v>
      </c>
      <c r="Z112" s="13">
        <f t="shared" ref="Z112:AK112" si="271">SUM(Z91:Z111)</f>
        <v>1497571.0000000009</v>
      </c>
      <c r="AA112" s="13">
        <f t="shared" si="271"/>
        <v>1364938.0000000009</v>
      </c>
      <c r="AB112" s="13">
        <f t="shared" si="271"/>
        <v>1344954.0000000005</v>
      </c>
      <c r="AC112" s="13">
        <f t="shared" si="271"/>
        <v>1320117.9999999986</v>
      </c>
      <c r="AD112" s="13">
        <f t="shared" si="271"/>
        <v>1442327.9999999977</v>
      </c>
      <c r="AE112" s="13">
        <f t="shared" si="271"/>
        <v>1283158.9999999977</v>
      </c>
      <c r="AF112" s="13">
        <f t="shared" si="271"/>
        <v>1406336.9999999977</v>
      </c>
      <c r="AG112" s="13">
        <f t="shared" si="271"/>
        <v>1420295.9999999977</v>
      </c>
      <c r="AH112" s="13">
        <f t="shared" si="271"/>
        <v>1338604.9999999995</v>
      </c>
      <c r="AI112" s="13">
        <f t="shared" si="271"/>
        <v>1399286</v>
      </c>
      <c r="AJ112" s="13">
        <f t="shared" si="271"/>
        <v>1296269</v>
      </c>
      <c r="AK112" s="13">
        <f t="shared" si="271"/>
        <v>1358748</v>
      </c>
      <c r="AL112" s="40"/>
      <c r="AM112" s="71">
        <f>SUM(AJ112/AF112)-1</f>
        <v>-7.826573573759199E-2</v>
      </c>
    </row>
    <row r="113" spans="2:39" ht="12.75" customHeight="1">
      <c r="B113" s="51"/>
      <c r="C113" s="59"/>
      <c r="D113" s="59"/>
      <c r="E113" s="59"/>
      <c r="F113" s="59"/>
      <c r="G113" s="59"/>
      <c r="H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37"/>
    </row>
    <row r="114" spans="2:39" ht="12.75" customHeight="1">
      <c r="B114" s="122" t="s">
        <v>62</v>
      </c>
      <c r="C114" s="56"/>
      <c r="D114" s="56"/>
      <c r="E114" s="56"/>
      <c r="F114" s="56"/>
      <c r="G114" s="56"/>
      <c r="H114" s="56"/>
      <c r="J114" s="56"/>
      <c r="K114" s="56"/>
      <c r="L114" s="56"/>
      <c r="M114" s="30"/>
      <c r="N114" s="78"/>
      <c r="O114" s="78"/>
      <c r="P114" s="78"/>
      <c r="Q114" s="30"/>
      <c r="R114" s="78"/>
      <c r="S114" s="78"/>
      <c r="T114" s="78"/>
      <c r="U114" s="30"/>
      <c r="V114" s="78"/>
      <c r="W114" s="78"/>
      <c r="X114" s="78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7"/>
      <c r="AM114" s="37"/>
    </row>
    <row r="115" spans="2:39" ht="12.75" customHeight="1">
      <c r="B115" s="58" t="s">
        <v>138</v>
      </c>
      <c r="C115" s="78">
        <v>-298534</v>
      </c>
      <c r="D115" s="78">
        <v>-151866</v>
      </c>
      <c r="E115" s="78">
        <v>-172187</v>
      </c>
      <c r="F115" s="78">
        <v>-312126</v>
      </c>
      <c r="G115" s="78">
        <v>-435267</v>
      </c>
      <c r="H115" s="78">
        <v>-374458</v>
      </c>
      <c r="I115" s="30"/>
      <c r="J115" s="129">
        <v>-71076</v>
      </c>
      <c r="K115" s="129">
        <f>-120500-J115</f>
        <v>-49424</v>
      </c>
      <c r="L115" s="129">
        <f>-203961-K115-J115</f>
        <v>-83461</v>
      </c>
      <c r="M115" s="130">
        <f t="shared" ref="M115:M117" si="272">SUM(F115-SUM(J115:L115))</f>
        <v>-108165</v>
      </c>
      <c r="N115" s="129">
        <v>-109766</v>
      </c>
      <c r="O115" s="129">
        <f>-204748-N115</f>
        <v>-94982</v>
      </c>
      <c r="P115" s="129">
        <f>-311030-O115-N115</f>
        <v>-106282</v>
      </c>
      <c r="Q115" s="130">
        <f t="shared" ref="Q115:Q117" si="273">SUM(G115-SUM(N115:P115))</f>
        <v>-124237</v>
      </c>
      <c r="R115" s="129">
        <v>-91024</v>
      </c>
      <c r="S115" s="129">
        <f>-186301-R115</f>
        <v>-95277</v>
      </c>
      <c r="T115" s="129">
        <f>-300536-S115-R115</f>
        <v>-114235</v>
      </c>
      <c r="U115" s="130">
        <f t="shared" ref="U115:U117" si="274">SUM(H115-SUM(R115:T115))</f>
        <v>-73922</v>
      </c>
      <c r="V115" s="129">
        <v>-79031</v>
      </c>
      <c r="W115" s="129">
        <f>-155988-V115</f>
        <v>-76957</v>
      </c>
      <c r="X115" s="129">
        <f>-243262-W115-V115</f>
        <v>-87274</v>
      </c>
      <c r="Y115" s="30"/>
      <c r="Z115" s="30">
        <f t="shared" ref="Z115:Z117" si="275">SUM(J115:M115)</f>
        <v>-312126</v>
      </c>
      <c r="AA115" s="30">
        <f t="shared" ref="AA115:AA117" si="276">SUM(K115:N115)</f>
        <v>-350816</v>
      </c>
      <c r="AB115" s="30">
        <f t="shared" ref="AB115:AB117" si="277">SUM(L115:O115)</f>
        <v>-396374</v>
      </c>
      <c r="AC115" s="30">
        <f t="shared" ref="AC115:AC117" si="278">SUM(M115:P115)</f>
        <v>-419195</v>
      </c>
      <c r="AD115" s="30">
        <f t="shared" ref="AD115:AD117" si="279">SUM(N115:Q115)</f>
        <v>-435267</v>
      </c>
      <c r="AE115" s="30">
        <f t="shared" ref="AE115:AE117" si="280">SUM(O115:R115)</f>
        <v>-416525</v>
      </c>
      <c r="AF115" s="30">
        <f t="shared" ref="AF115:AF117" si="281">SUM(P115:S115)</f>
        <v>-416820</v>
      </c>
      <c r="AG115" s="30">
        <f t="shared" ref="AG115:AG117" si="282">SUM(Q115:T115)</f>
        <v>-424773</v>
      </c>
      <c r="AH115" s="30">
        <f t="shared" ref="AH115:AH117" si="283">SUM(R115:U115)</f>
        <v>-374458</v>
      </c>
      <c r="AI115" s="30">
        <f t="shared" ref="AI115:AI117" si="284">SUM(S115:V115)</f>
        <v>-362465</v>
      </c>
      <c r="AJ115" s="30">
        <f t="shared" ref="AJ115:AK116" si="285">SUM(T115:W115)</f>
        <v>-344145</v>
      </c>
      <c r="AK115" s="30">
        <f t="shared" si="285"/>
        <v>-317184</v>
      </c>
      <c r="AL115" s="57"/>
      <c r="AM115" s="70">
        <f t="shared" ref="AM115:AM117" si="286">SUM(AJ115/AF115)-1</f>
        <v>-0.17435583705196489</v>
      </c>
    </row>
    <row r="116" spans="2:39" ht="12.75" customHeight="1">
      <c r="B116" s="58" t="s">
        <v>139</v>
      </c>
      <c r="C116" s="78">
        <v>0</v>
      </c>
      <c r="D116" s="78">
        <v>0</v>
      </c>
      <c r="E116" s="78">
        <v>0</v>
      </c>
      <c r="F116" s="78">
        <v>0</v>
      </c>
      <c r="G116" s="78">
        <v>0</v>
      </c>
      <c r="H116" s="78">
        <v>0</v>
      </c>
      <c r="I116" s="30"/>
      <c r="J116" s="129">
        <v>0</v>
      </c>
      <c r="K116" s="129">
        <v>0</v>
      </c>
      <c r="L116" s="129">
        <v>0</v>
      </c>
      <c r="M116" s="130">
        <f t="shared" si="272"/>
        <v>0</v>
      </c>
      <c r="N116" s="129">
        <v>0</v>
      </c>
      <c r="O116" s="129">
        <v>0</v>
      </c>
      <c r="P116" s="129">
        <v>0</v>
      </c>
      <c r="Q116" s="130">
        <f t="shared" si="273"/>
        <v>0</v>
      </c>
      <c r="R116" s="129">
        <v>0</v>
      </c>
      <c r="S116" s="129">
        <v>0</v>
      </c>
      <c r="T116" s="129">
        <v>0</v>
      </c>
      <c r="U116" s="130">
        <f t="shared" si="274"/>
        <v>0</v>
      </c>
      <c r="V116" s="129">
        <v>0</v>
      </c>
      <c r="W116" s="129">
        <f>-386793-V116</f>
        <v>-386793</v>
      </c>
      <c r="X116" s="129">
        <f>-386793-W116-V116</f>
        <v>0</v>
      </c>
      <c r="Y116" s="30"/>
      <c r="Z116" s="30">
        <f t="shared" si="275"/>
        <v>0</v>
      </c>
      <c r="AA116" s="30">
        <f t="shared" si="276"/>
        <v>0</v>
      </c>
      <c r="AB116" s="30">
        <f t="shared" si="277"/>
        <v>0</v>
      </c>
      <c r="AC116" s="30">
        <f t="shared" si="278"/>
        <v>0</v>
      </c>
      <c r="AD116" s="30">
        <f t="shared" si="279"/>
        <v>0</v>
      </c>
      <c r="AE116" s="30">
        <f t="shared" si="280"/>
        <v>0</v>
      </c>
      <c r="AF116" s="30">
        <f t="shared" si="281"/>
        <v>0</v>
      </c>
      <c r="AG116" s="30">
        <f t="shared" si="282"/>
        <v>0</v>
      </c>
      <c r="AH116" s="30">
        <f t="shared" si="283"/>
        <v>0</v>
      </c>
      <c r="AI116" s="30">
        <f t="shared" si="284"/>
        <v>0</v>
      </c>
      <c r="AJ116" s="30">
        <f t="shared" si="285"/>
        <v>-386793</v>
      </c>
      <c r="AK116" s="30">
        <f t="shared" si="285"/>
        <v>-386793</v>
      </c>
      <c r="AL116" s="57"/>
      <c r="AM116" s="70" t="e">
        <f t="shared" si="286"/>
        <v>#DIV/0!</v>
      </c>
    </row>
    <row r="117" spans="2:39" ht="12.75" customHeight="1">
      <c r="B117" s="58" t="s">
        <v>140</v>
      </c>
      <c r="C117" s="78">
        <v>-172946</v>
      </c>
      <c r="D117" s="78">
        <v>103115</v>
      </c>
      <c r="E117" s="78">
        <v>-4297</v>
      </c>
      <c r="F117" s="78">
        <v>-2458</v>
      </c>
      <c r="G117" s="78">
        <v>-6158</v>
      </c>
      <c r="H117" s="78">
        <v>-8631</v>
      </c>
      <c r="I117" s="30"/>
      <c r="J117" s="129">
        <v>-797</v>
      </c>
      <c r="K117" s="129">
        <f>-1249-J117</f>
        <v>-452</v>
      </c>
      <c r="L117" s="129">
        <f>-3068-K117-J117</f>
        <v>-1819</v>
      </c>
      <c r="M117" s="130">
        <f t="shared" si="272"/>
        <v>610</v>
      </c>
      <c r="N117" s="129">
        <v>-314</v>
      </c>
      <c r="O117" s="129">
        <f>-1687-N117</f>
        <v>-1373</v>
      </c>
      <c r="P117" s="129">
        <f>-4870-O117-N117</f>
        <v>-3183</v>
      </c>
      <c r="Q117" s="130">
        <f t="shared" si="273"/>
        <v>-1288</v>
      </c>
      <c r="R117" s="129">
        <v>-2563</v>
      </c>
      <c r="S117" s="129">
        <f>-5091-R117</f>
        <v>-2528</v>
      </c>
      <c r="T117" s="129">
        <f>-6108-S117-R117</f>
        <v>-1017</v>
      </c>
      <c r="U117" s="130">
        <f t="shared" si="274"/>
        <v>-2523</v>
      </c>
      <c r="V117" s="129">
        <v>-7346</v>
      </c>
      <c r="W117" s="129">
        <f>-17130-V117</f>
        <v>-9784</v>
      </c>
      <c r="X117" s="129">
        <f>-25445-W117-V117</f>
        <v>-8315</v>
      </c>
      <c r="Y117" s="30"/>
      <c r="Z117" s="30">
        <f t="shared" si="275"/>
        <v>-2458</v>
      </c>
      <c r="AA117" s="30">
        <f t="shared" si="276"/>
        <v>-1975</v>
      </c>
      <c r="AB117" s="30">
        <f t="shared" si="277"/>
        <v>-2896</v>
      </c>
      <c r="AC117" s="30">
        <f t="shared" si="278"/>
        <v>-4260</v>
      </c>
      <c r="AD117" s="30">
        <f t="shared" si="279"/>
        <v>-6158</v>
      </c>
      <c r="AE117" s="30">
        <f t="shared" si="280"/>
        <v>-8407</v>
      </c>
      <c r="AF117" s="30">
        <f t="shared" si="281"/>
        <v>-9562</v>
      </c>
      <c r="AG117" s="30">
        <f t="shared" si="282"/>
        <v>-7396</v>
      </c>
      <c r="AH117" s="30">
        <f t="shared" si="283"/>
        <v>-8631</v>
      </c>
      <c r="AI117" s="30">
        <f t="shared" si="284"/>
        <v>-13414</v>
      </c>
      <c r="AJ117" s="30">
        <f t="shared" ref="AJ117:AK117" si="287">SUM(T117:W117)</f>
        <v>-20670</v>
      </c>
      <c r="AK117" s="30">
        <f t="shared" si="287"/>
        <v>-27968</v>
      </c>
      <c r="AL117" s="57"/>
      <c r="AM117" s="70">
        <f t="shared" si="286"/>
        <v>1.1616816565572057</v>
      </c>
    </row>
    <row r="118" spans="2:39" ht="12.75" customHeight="1">
      <c r="B118" s="12" t="s">
        <v>63</v>
      </c>
      <c r="C118" s="13">
        <f t="shared" ref="C118:E118" si="288">SUM(C115:C117)</f>
        <v>-471480</v>
      </c>
      <c r="D118" s="13">
        <f t="shared" si="288"/>
        <v>-48751</v>
      </c>
      <c r="E118" s="13">
        <f t="shared" si="288"/>
        <v>-176484</v>
      </c>
      <c r="F118" s="13">
        <f>SUM(F115:F117)</f>
        <v>-314584</v>
      </c>
      <c r="G118" s="13">
        <f>SUM(G115:G117)</f>
        <v>-441425</v>
      </c>
      <c r="H118" s="13">
        <f>SUM(H115:H117)</f>
        <v>-383089</v>
      </c>
      <c r="J118" s="13">
        <f t="shared" ref="J118:W118" si="289">SUM(J115:J117)</f>
        <v>-71873</v>
      </c>
      <c r="K118" s="13">
        <f t="shared" si="289"/>
        <v>-49876</v>
      </c>
      <c r="L118" s="13">
        <f t="shared" si="289"/>
        <v>-85280</v>
      </c>
      <c r="M118" s="13">
        <f t="shared" si="289"/>
        <v>-107555</v>
      </c>
      <c r="N118" s="13">
        <f t="shared" si="289"/>
        <v>-110080</v>
      </c>
      <c r="O118" s="13">
        <f t="shared" si="289"/>
        <v>-96355</v>
      </c>
      <c r="P118" s="13">
        <f t="shared" si="289"/>
        <v>-109465</v>
      </c>
      <c r="Q118" s="13">
        <f t="shared" si="289"/>
        <v>-125525</v>
      </c>
      <c r="R118" s="13">
        <f t="shared" si="289"/>
        <v>-93587</v>
      </c>
      <c r="S118" s="13">
        <f t="shared" si="289"/>
        <v>-97805</v>
      </c>
      <c r="T118" s="13">
        <f t="shared" si="289"/>
        <v>-115252</v>
      </c>
      <c r="U118" s="13">
        <f t="shared" si="289"/>
        <v>-76445</v>
      </c>
      <c r="V118" s="13">
        <f t="shared" si="289"/>
        <v>-86377</v>
      </c>
      <c r="W118" s="13">
        <f t="shared" si="289"/>
        <v>-473534</v>
      </c>
      <c r="X118" s="13">
        <f t="shared" ref="X118" si="290">SUM(X115:X117)</f>
        <v>-95589</v>
      </c>
      <c r="Z118" s="13">
        <f t="shared" ref="Z118:AJ118" si="291">SUM(Z115:Z117)</f>
        <v>-314584</v>
      </c>
      <c r="AA118" s="13">
        <f t="shared" si="291"/>
        <v>-352791</v>
      </c>
      <c r="AB118" s="13">
        <f t="shared" si="291"/>
        <v>-399270</v>
      </c>
      <c r="AC118" s="13">
        <f t="shared" si="291"/>
        <v>-423455</v>
      </c>
      <c r="AD118" s="13">
        <f t="shared" si="291"/>
        <v>-441425</v>
      </c>
      <c r="AE118" s="13">
        <f t="shared" si="291"/>
        <v>-424932</v>
      </c>
      <c r="AF118" s="13">
        <f t="shared" si="291"/>
        <v>-426382</v>
      </c>
      <c r="AG118" s="13">
        <f t="shared" si="291"/>
        <v>-432169</v>
      </c>
      <c r="AH118" s="13">
        <f t="shared" si="291"/>
        <v>-383089</v>
      </c>
      <c r="AI118" s="13">
        <f t="shared" si="291"/>
        <v>-375879</v>
      </c>
      <c r="AJ118" s="13">
        <f t="shared" si="291"/>
        <v>-751608</v>
      </c>
      <c r="AK118" s="13">
        <f t="shared" ref="AK118" si="292">SUM(AK115:AK117)</f>
        <v>-731945</v>
      </c>
      <c r="AL118" s="40"/>
      <c r="AM118" s="71">
        <f>SUM(AJ118/AF118)-1</f>
        <v>0.76275733966255621</v>
      </c>
    </row>
    <row r="119" spans="2:39" ht="5.0999999999999996" customHeight="1">
      <c r="B119" s="50"/>
      <c r="C119" s="59"/>
      <c r="D119" s="59"/>
      <c r="E119" s="59"/>
      <c r="F119" s="59"/>
      <c r="G119" s="59"/>
      <c r="H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37"/>
    </row>
    <row r="120" spans="2:39" ht="12.75" customHeight="1">
      <c r="B120" s="122" t="s">
        <v>64</v>
      </c>
      <c r="C120" s="60"/>
      <c r="D120" s="60"/>
      <c r="E120" s="60"/>
      <c r="F120" s="60"/>
      <c r="G120" s="60"/>
      <c r="H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61"/>
      <c r="AM120" s="37"/>
    </row>
    <row r="121" spans="2:39" ht="12.75" customHeight="1">
      <c r="B121" s="79" t="s">
        <v>154</v>
      </c>
      <c r="C121" s="78">
        <v>0</v>
      </c>
      <c r="D121" s="78">
        <f>800000-800000</f>
        <v>0</v>
      </c>
      <c r="E121" s="78">
        <v>0</v>
      </c>
      <c r="F121" s="78">
        <v>0</v>
      </c>
      <c r="G121" s="78">
        <f>195400-195400</f>
        <v>0</v>
      </c>
      <c r="H121" s="78">
        <f>199700-199700</f>
        <v>0</v>
      </c>
      <c r="J121" s="129">
        <v>0</v>
      </c>
      <c r="K121" s="129">
        <v>0</v>
      </c>
      <c r="L121" s="129">
        <v>0</v>
      </c>
      <c r="M121" s="130">
        <f t="shared" ref="M121:M122" si="293">SUM(F121-SUM(J121:L121))</f>
        <v>0</v>
      </c>
      <c r="N121" s="129">
        <v>0</v>
      </c>
      <c r="O121" s="129">
        <v>0</v>
      </c>
      <c r="P121" s="129">
        <f>195400-O121-N121</f>
        <v>195400</v>
      </c>
      <c r="Q121" s="130">
        <f t="shared" ref="Q121:Q122" si="294">SUM(G121-SUM(N121:P121))</f>
        <v>-195400</v>
      </c>
      <c r="R121" s="129">
        <v>0</v>
      </c>
      <c r="S121" s="129">
        <v>0</v>
      </c>
      <c r="T121" s="129">
        <f>199700-S121-R121</f>
        <v>199700</v>
      </c>
      <c r="U121" s="130">
        <f t="shared" ref="U121:U122" si="295">SUM(H121-SUM(R121:T121))</f>
        <v>-199700</v>
      </c>
      <c r="V121" s="129">
        <v>0</v>
      </c>
      <c r="W121" s="129">
        <f>-333100+593641-V121</f>
        <v>260541</v>
      </c>
      <c r="X121" s="129">
        <f>1641844-1118683-W121-V121</f>
        <v>262620</v>
      </c>
      <c r="Y121" s="30"/>
      <c r="Z121" s="30">
        <f t="shared" ref="Z121:Z123" si="296">SUM(J121:M121)</f>
        <v>0</v>
      </c>
      <c r="AA121" s="30">
        <f t="shared" ref="AA121:AA123" si="297">SUM(K121:N121)</f>
        <v>0</v>
      </c>
      <c r="AB121" s="30">
        <f t="shared" ref="AB121:AB123" si="298">SUM(L121:O121)</f>
        <v>0</v>
      </c>
      <c r="AC121" s="30">
        <f t="shared" ref="AC121:AC123" si="299">SUM(M121:P121)</f>
        <v>195400</v>
      </c>
      <c r="AD121" s="30">
        <f t="shared" ref="AD121:AD123" si="300">SUM(N121:Q121)</f>
        <v>0</v>
      </c>
      <c r="AE121" s="30">
        <f t="shared" ref="AE121:AE123" si="301">SUM(O121:R121)</f>
        <v>0</v>
      </c>
      <c r="AF121" s="30">
        <f t="shared" ref="AF121:AF123" si="302">SUM(P121:S121)</f>
        <v>0</v>
      </c>
      <c r="AG121" s="30">
        <f t="shared" ref="AG121:AG123" si="303">SUM(Q121:T121)</f>
        <v>4300</v>
      </c>
      <c r="AH121" s="30">
        <f t="shared" ref="AH121:AH123" si="304">SUM(R121:U121)</f>
        <v>0</v>
      </c>
      <c r="AI121" s="30">
        <f t="shared" ref="AI121:AI123" si="305">SUM(S121:V121)</f>
        <v>0</v>
      </c>
      <c r="AJ121" s="30">
        <f t="shared" ref="AJ121:AK123" si="306">SUM(T121:W121)</f>
        <v>260541</v>
      </c>
      <c r="AK121" s="30">
        <f t="shared" si="306"/>
        <v>323461</v>
      </c>
      <c r="AL121" s="61"/>
      <c r="AM121" s="70" t="e">
        <f t="shared" ref="AM121:AM125" si="307">SUM(AJ121/AF121)-1</f>
        <v>#DIV/0!</v>
      </c>
    </row>
    <row r="122" spans="2:39" ht="12.75" customHeight="1">
      <c r="B122" s="79" t="s">
        <v>142</v>
      </c>
      <c r="C122" s="78">
        <v>-680979</v>
      </c>
      <c r="D122" s="78">
        <v>-114895</v>
      </c>
      <c r="E122" s="78">
        <v>-1521925</v>
      </c>
      <c r="F122" s="78">
        <v>-900033</v>
      </c>
      <c r="G122" s="78">
        <v>-995738</v>
      </c>
      <c r="H122" s="78">
        <v>-1003328</v>
      </c>
      <c r="J122" s="129">
        <v>-132834</v>
      </c>
      <c r="K122" s="129">
        <f>-434448-J122</f>
        <v>-301614</v>
      </c>
      <c r="L122" s="129">
        <f>-571908-K122-J122</f>
        <v>-137460</v>
      </c>
      <c r="M122" s="130">
        <f t="shared" si="293"/>
        <v>-328125</v>
      </c>
      <c r="N122" s="129">
        <v>-283517</v>
      </c>
      <c r="O122" s="129">
        <f>-559011-N122</f>
        <v>-275494</v>
      </c>
      <c r="P122" s="129">
        <f>-840551-O122-N122</f>
        <v>-281540</v>
      </c>
      <c r="Q122" s="130">
        <f t="shared" si="294"/>
        <v>-155187</v>
      </c>
      <c r="R122" s="129">
        <v>-289431</v>
      </c>
      <c r="S122" s="129">
        <f>-501768-R122</f>
        <v>-212337</v>
      </c>
      <c r="T122" s="129">
        <f>-765384-S122-R122</f>
        <v>-263616</v>
      </c>
      <c r="U122" s="130">
        <f t="shared" si="295"/>
        <v>-237944</v>
      </c>
      <c r="V122" s="129">
        <v>-369786</v>
      </c>
      <c r="W122" s="129">
        <f>-479242-V122</f>
        <v>-109456</v>
      </c>
      <c r="X122" s="129">
        <f>-703960-W122-V122</f>
        <v>-224718</v>
      </c>
      <c r="Y122" s="30"/>
      <c r="Z122" s="30">
        <f t="shared" si="296"/>
        <v>-900033</v>
      </c>
      <c r="AA122" s="30">
        <f t="shared" si="297"/>
        <v>-1050716</v>
      </c>
      <c r="AB122" s="30">
        <f t="shared" si="298"/>
        <v>-1024596</v>
      </c>
      <c r="AC122" s="30">
        <f t="shared" si="299"/>
        <v>-1168676</v>
      </c>
      <c r="AD122" s="30">
        <f t="shared" si="300"/>
        <v>-995738</v>
      </c>
      <c r="AE122" s="30">
        <f t="shared" si="301"/>
        <v>-1001652</v>
      </c>
      <c r="AF122" s="30">
        <f t="shared" si="302"/>
        <v>-938495</v>
      </c>
      <c r="AG122" s="30">
        <f t="shared" si="303"/>
        <v>-920571</v>
      </c>
      <c r="AH122" s="30">
        <f t="shared" si="304"/>
        <v>-1003328</v>
      </c>
      <c r="AI122" s="30">
        <f t="shared" si="305"/>
        <v>-1083683</v>
      </c>
      <c r="AJ122" s="30">
        <f t="shared" si="306"/>
        <v>-980802</v>
      </c>
      <c r="AK122" s="30">
        <f t="shared" si="306"/>
        <v>-941904</v>
      </c>
      <c r="AL122" s="61"/>
      <c r="AM122" s="70">
        <f t="shared" si="307"/>
        <v>4.5079622161013022E-2</v>
      </c>
    </row>
    <row r="123" spans="2:39" ht="12.75" customHeight="1">
      <c r="B123" s="79" t="s">
        <v>141</v>
      </c>
      <c r="C123" s="78">
        <v>0</v>
      </c>
      <c r="D123" s="78">
        <v>-1915</v>
      </c>
      <c r="E123" s="78">
        <v>0</v>
      </c>
      <c r="F123" s="78">
        <v>0</v>
      </c>
      <c r="G123" s="78">
        <v>0</v>
      </c>
      <c r="H123" s="78">
        <v>-4159</v>
      </c>
      <c r="I123" s="30"/>
      <c r="J123" s="129">
        <v>0</v>
      </c>
      <c r="K123" s="129">
        <v>0</v>
      </c>
      <c r="L123" s="129">
        <v>0</v>
      </c>
      <c r="M123" s="130">
        <f t="shared" ref="M123:M125" si="308">SUM(F123-SUM(J123:L123))</f>
        <v>0</v>
      </c>
      <c r="N123" s="129">
        <v>0</v>
      </c>
      <c r="O123" s="129">
        <v>0</v>
      </c>
      <c r="P123" s="129">
        <v>0</v>
      </c>
      <c r="Q123" s="130">
        <f t="shared" ref="Q123:Q124" si="309">SUM(G123-SUM(N123:P123))</f>
        <v>0</v>
      </c>
      <c r="R123" s="129">
        <v>-3950</v>
      </c>
      <c r="S123" s="129">
        <f>-4088-R123</f>
        <v>-138</v>
      </c>
      <c r="T123" s="129">
        <f>-4159-S123-R123</f>
        <v>-71</v>
      </c>
      <c r="U123" s="130">
        <f t="shared" ref="U123:U125" si="310">SUM(H123-SUM(R123:T123))</f>
        <v>0</v>
      </c>
      <c r="V123" s="129">
        <v>0</v>
      </c>
      <c r="W123" s="129">
        <v>0</v>
      </c>
      <c r="X123" s="129">
        <f>-763-W123-V123</f>
        <v>-763</v>
      </c>
      <c r="Y123" s="30"/>
      <c r="Z123" s="30">
        <f>SUM(J123:M123)</f>
        <v>0</v>
      </c>
      <c r="AA123" s="30">
        <f>SUM(K123:N123)</f>
        <v>0</v>
      </c>
      <c r="AB123" s="30">
        <f>SUM(L123:O123)</f>
        <v>0</v>
      </c>
      <c r="AC123" s="30">
        <f>SUM(M123:P123)</f>
        <v>0</v>
      </c>
      <c r="AD123" s="30">
        <f>SUM(N123:Q123)</f>
        <v>0</v>
      </c>
      <c r="AE123" s="30">
        <f>SUM(O123:R123)</f>
        <v>-3950</v>
      </c>
      <c r="AF123" s="30">
        <f>SUM(P123:S123)</f>
        <v>-4088</v>
      </c>
      <c r="AG123" s="30">
        <f>SUM(Q123:T123)</f>
        <v>-4159</v>
      </c>
      <c r="AH123" s="30">
        <f>SUM(R123:U123)</f>
        <v>-4159</v>
      </c>
      <c r="AI123" s="30">
        <f>SUM(S123:V123)</f>
        <v>-209</v>
      </c>
      <c r="AJ123" s="30">
        <f>SUM(T123:W123)</f>
        <v>-71</v>
      </c>
      <c r="AK123" s="30">
        <f>SUM(U123:X123)</f>
        <v>-763</v>
      </c>
      <c r="AL123" s="61"/>
      <c r="AM123" s="70">
        <f t="shared" si="307"/>
        <v>-0.98263209393346385</v>
      </c>
    </row>
    <row r="124" spans="2:39" ht="12.75" customHeight="1">
      <c r="B124" s="79" t="s">
        <v>143</v>
      </c>
      <c r="C124" s="78">
        <v>43780</v>
      </c>
      <c r="D124" s="78">
        <v>12229</v>
      </c>
      <c r="E124" s="78">
        <v>40386</v>
      </c>
      <c r="F124" s="78">
        <v>46011</v>
      </c>
      <c r="G124" s="78">
        <v>12176</v>
      </c>
      <c r="H124" s="78">
        <v>12339</v>
      </c>
      <c r="I124" s="30"/>
      <c r="J124" s="129">
        <v>6502</v>
      </c>
      <c r="K124" s="129">
        <f>24521-J124</f>
        <v>18019</v>
      </c>
      <c r="L124" s="129">
        <f>31319-K124-J124</f>
        <v>6798</v>
      </c>
      <c r="M124" s="130">
        <f t="shared" si="308"/>
        <v>14692</v>
      </c>
      <c r="N124" s="129">
        <v>8927</v>
      </c>
      <c r="O124" s="129">
        <f>9147-N124</f>
        <v>220</v>
      </c>
      <c r="P124" s="129">
        <f>9302-O124-N124</f>
        <v>155</v>
      </c>
      <c r="Q124" s="130">
        <f t="shared" si="309"/>
        <v>2874</v>
      </c>
      <c r="R124" s="129">
        <v>8913</v>
      </c>
      <c r="S124" s="129">
        <f>9196-R124</f>
        <v>283</v>
      </c>
      <c r="T124" s="129">
        <f>9200-S124-R124</f>
        <v>4</v>
      </c>
      <c r="U124" s="130">
        <f t="shared" si="310"/>
        <v>3139</v>
      </c>
      <c r="V124" s="129">
        <v>481</v>
      </c>
      <c r="W124" s="129">
        <f>14851-V124</f>
        <v>14370</v>
      </c>
      <c r="X124" s="129">
        <f>30103-W124-V124</f>
        <v>15252</v>
      </c>
      <c r="Y124" s="30"/>
      <c r="Z124" s="30">
        <f>SUM(J124:M124)</f>
        <v>46011</v>
      </c>
      <c r="AA124" s="30">
        <f>SUM(K124:N124)</f>
        <v>48436</v>
      </c>
      <c r="AB124" s="30">
        <f>SUM(L124:O124)</f>
        <v>30637</v>
      </c>
      <c r="AC124" s="30">
        <f>SUM(M124:P124)</f>
        <v>23994</v>
      </c>
      <c r="AD124" s="30">
        <f>SUM(N124:Q124)</f>
        <v>12176</v>
      </c>
      <c r="AE124" s="30">
        <f>SUM(O124:R124)</f>
        <v>12162</v>
      </c>
      <c r="AF124" s="30">
        <f>SUM(P124:S124)</f>
        <v>12225</v>
      </c>
      <c r="AG124" s="30">
        <f>SUM(Q124:T124)</f>
        <v>12074</v>
      </c>
      <c r="AH124" s="30">
        <f>SUM(R124:U124)</f>
        <v>12339</v>
      </c>
      <c r="AI124" s="30">
        <f>SUM(S124:V124)</f>
        <v>3907</v>
      </c>
      <c r="AJ124" s="30">
        <f>SUM(T124:W124)</f>
        <v>17994</v>
      </c>
      <c r="AK124" s="30">
        <f>SUM(U124:X124)</f>
        <v>33242</v>
      </c>
      <c r="AL124" s="61"/>
      <c r="AM124" s="70">
        <f t="shared" si="307"/>
        <v>0.47190184049079753</v>
      </c>
    </row>
    <row r="125" spans="2:39" ht="12.75" customHeight="1">
      <c r="B125" s="79" t="s">
        <v>144</v>
      </c>
      <c r="C125" s="78">
        <v>-9540</v>
      </c>
      <c r="D125" s="78">
        <v>-3353</v>
      </c>
      <c r="E125" s="78">
        <v>-15677</v>
      </c>
      <c r="F125" s="78">
        <v>-6992</v>
      </c>
      <c r="G125" s="78">
        <v>-22562</v>
      </c>
      <c r="H125" s="78">
        <v>-23761</v>
      </c>
      <c r="I125" s="30"/>
      <c r="J125" s="129">
        <v>-5172</v>
      </c>
      <c r="K125" s="129">
        <f>-6325-J125</f>
        <v>-1153</v>
      </c>
      <c r="L125" s="129">
        <f>-6740-K125-J125</f>
        <v>-415</v>
      </c>
      <c r="M125" s="130">
        <f t="shared" si="308"/>
        <v>-252</v>
      </c>
      <c r="N125" s="129">
        <v>-21659</v>
      </c>
      <c r="O125" s="129">
        <f>-21759-N125</f>
        <v>-100</v>
      </c>
      <c r="P125" s="129">
        <f>-22328-O125-N125</f>
        <v>-569</v>
      </c>
      <c r="Q125" s="130">
        <f t="shared" ref="Q125" si="311">SUM(G125-SUM(N125:P125))</f>
        <v>-234</v>
      </c>
      <c r="R125" s="129">
        <v>-23283</v>
      </c>
      <c r="S125" s="129">
        <f>-23459-R125</f>
        <v>-176</v>
      </c>
      <c r="T125" s="129">
        <f>-23566-S125-R125</f>
        <v>-107</v>
      </c>
      <c r="U125" s="130">
        <f t="shared" si="310"/>
        <v>-195</v>
      </c>
      <c r="V125" s="129">
        <v>-12911</v>
      </c>
      <c r="W125" s="129">
        <f>-13238-V125</f>
        <v>-327</v>
      </c>
      <c r="X125" s="129">
        <f>-13505-W125-V125</f>
        <v>-267</v>
      </c>
      <c r="Y125" s="30"/>
      <c r="Z125" s="30">
        <f>SUM(J125:M125)</f>
        <v>-6992</v>
      </c>
      <c r="AA125" s="30">
        <f>SUM(K125:N125)</f>
        <v>-23479</v>
      </c>
      <c r="AB125" s="30">
        <f>SUM(L125:O125)</f>
        <v>-22426</v>
      </c>
      <c r="AC125" s="30">
        <f>SUM(M125:P125)</f>
        <v>-22580</v>
      </c>
      <c r="AD125" s="30">
        <f>SUM(N125:Q125)</f>
        <v>-22562</v>
      </c>
      <c r="AE125" s="30">
        <f>SUM(O125:R125)</f>
        <v>-24186</v>
      </c>
      <c r="AF125" s="30">
        <f>SUM(P125:S125)</f>
        <v>-24262</v>
      </c>
      <c r="AG125" s="30">
        <f>SUM(Q125:T125)</f>
        <v>-23800</v>
      </c>
      <c r="AH125" s="30">
        <f>SUM(R125:U125)</f>
        <v>-23761</v>
      </c>
      <c r="AI125" s="30">
        <f>SUM(S125:V125)</f>
        <v>-13389</v>
      </c>
      <c r="AJ125" s="30">
        <f>SUM(T125:W125)</f>
        <v>-13540</v>
      </c>
      <c r="AK125" s="30">
        <f>SUM(U125:X125)</f>
        <v>-13700</v>
      </c>
      <c r="AL125" s="61"/>
      <c r="AM125" s="70">
        <f t="shared" si="307"/>
        <v>-0.4419256450416289</v>
      </c>
    </row>
    <row r="126" spans="2:39" ht="12.75" customHeight="1">
      <c r="B126" s="12" t="s">
        <v>65</v>
      </c>
      <c r="C126" s="13">
        <f>SUM(C121:C125)</f>
        <v>-646739</v>
      </c>
      <c r="D126" s="13">
        <f>SUM(D121:D125)</f>
        <v>-107934</v>
      </c>
      <c r="E126" s="13">
        <f>SUM(E121:E125)</f>
        <v>-1497216</v>
      </c>
      <c r="F126" s="13">
        <f>SUM(F121:F125)</f>
        <v>-861014</v>
      </c>
      <c r="G126" s="13">
        <f>SUM(G121:G125)</f>
        <v>-1006124</v>
      </c>
      <c r="H126" s="13">
        <f>SUM(H121:H125)</f>
        <v>-1018909</v>
      </c>
      <c r="J126" s="13">
        <f>SUM(J121:J125)</f>
        <v>-131504</v>
      </c>
      <c r="K126" s="13">
        <f>SUM(K121:K125)</f>
        <v>-284748</v>
      </c>
      <c r="L126" s="13">
        <f>SUM(L121:L125)</f>
        <v>-131077</v>
      </c>
      <c r="M126" s="13">
        <f>SUM(M121:M125)</f>
        <v>-313685</v>
      </c>
      <c r="N126" s="13">
        <f>SUM(N121:N125)</f>
        <v>-296249</v>
      </c>
      <c r="O126" s="13">
        <f>SUM(O121:O125)</f>
        <v>-275374</v>
      </c>
      <c r="P126" s="13">
        <f>SUM(P121:P125)</f>
        <v>-86554</v>
      </c>
      <c r="Q126" s="13">
        <f>SUM(Q121:Q125)</f>
        <v>-347947</v>
      </c>
      <c r="R126" s="13">
        <f>SUM(R121:R125)</f>
        <v>-307751</v>
      </c>
      <c r="S126" s="13">
        <f>SUM(S121:S125)</f>
        <v>-212368</v>
      </c>
      <c r="T126" s="13">
        <f>SUM(T121:T125)</f>
        <v>-64090</v>
      </c>
      <c r="U126" s="13">
        <f>SUM(U121:U125)</f>
        <v>-434700</v>
      </c>
      <c r="V126" s="13">
        <f>SUM(V121:V125)</f>
        <v>-382216</v>
      </c>
      <c r="W126" s="13">
        <f>SUM(W121:W125)</f>
        <v>165128</v>
      </c>
      <c r="X126" s="13">
        <f>SUM(X121:X125)</f>
        <v>52124</v>
      </c>
      <c r="Z126" s="13">
        <f>SUM(Z121:Z125)</f>
        <v>-861014</v>
      </c>
      <c r="AA126" s="13">
        <f>SUM(AA121:AA125)</f>
        <v>-1025759</v>
      </c>
      <c r="AB126" s="13">
        <f>SUM(AB121:AB125)</f>
        <v>-1016385</v>
      </c>
      <c r="AC126" s="13">
        <f>SUM(AC121:AC125)</f>
        <v>-971862</v>
      </c>
      <c r="AD126" s="13">
        <f>SUM(AD121:AD125)</f>
        <v>-1006124</v>
      </c>
      <c r="AE126" s="13">
        <f>SUM(AE121:AE125)</f>
        <v>-1017626</v>
      </c>
      <c r="AF126" s="13">
        <f>SUM(AF121:AF125)</f>
        <v>-954620</v>
      </c>
      <c r="AG126" s="13">
        <f>SUM(AG121:AG125)</f>
        <v>-932156</v>
      </c>
      <c r="AH126" s="13">
        <f>SUM(AH121:AH125)</f>
        <v>-1018909</v>
      </c>
      <c r="AI126" s="13">
        <f>SUM(AI121:AI125)</f>
        <v>-1093374</v>
      </c>
      <c r="AJ126" s="13">
        <f>SUM(AJ121:AJ125)</f>
        <v>-715878</v>
      </c>
      <c r="AK126" s="13">
        <f>SUM(AK121:AK125)</f>
        <v>-599664</v>
      </c>
      <c r="AL126" s="40"/>
      <c r="AM126" s="71">
        <f>SUM(AJ126/AF126)-1</f>
        <v>-0.25009113573987551</v>
      </c>
    </row>
    <row r="127" spans="2:39" ht="5.0999999999999996" customHeight="1">
      <c r="B127" s="8"/>
      <c r="C127" s="62"/>
      <c r="D127" s="62"/>
      <c r="E127" s="62"/>
      <c r="F127" s="62"/>
      <c r="G127" s="62"/>
      <c r="H127" s="62"/>
      <c r="I127" s="30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44"/>
    </row>
    <row r="128" spans="2:39" ht="5.0999999999999996" customHeight="1">
      <c r="B128" s="67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11"/>
      <c r="AM128" s="44"/>
    </row>
    <row r="129" spans="2:39">
      <c r="B129" s="168" t="s">
        <v>149</v>
      </c>
      <c r="C129" s="140">
        <v>409251</v>
      </c>
      <c r="D129" s="141">
        <f>C136</f>
        <v>392325</v>
      </c>
      <c r="E129" s="141">
        <f t="shared" ref="E129:H129" si="312">D136</f>
        <v>1046051</v>
      </c>
      <c r="F129" s="141">
        <f t="shared" si="312"/>
        <v>431560</v>
      </c>
      <c r="G129" s="141">
        <f t="shared" si="312"/>
        <v>737877</v>
      </c>
      <c r="H129" s="141">
        <f t="shared" si="312"/>
        <v>766593.99999999814</v>
      </c>
      <c r="I129" s="141"/>
      <c r="J129" s="141">
        <f>F131</f>
        <v>431560</v>
      </c>
      <c r="K129" s="141">
        <f>J136</f>
        <v>654485.99999999953</v>
      </c>
      <c r="L129" s="141">
        <f t="shared" ref="L129:X129" si="313">K136</f>
        <v>434225.99999999953</v>
      </c>
      <c r="M129" s="141">
        <f t="shared" si="313"/>
        <v>250628</v>
      </c>
      <c r="N129" s="141">
        <f t="shared" si="313"/>
        <v>737877</v>
      </c>
      <c r="O129" s="141">
        <f t="shared" si="313"/>
        <v>636449.00000000047</v>
      </c>
      <c r="P129" s="141">
        <f t="shared" si="313"/>
        <v>388627.00000000047</v>
      </c>
      <c r="Q129" s="141">
        <f t="shared" si="313"/>
        <v>121811.00000000047</v>
      </c>
      <c r="R129" s="141">
        <f t="shared" si="313"/>
        <v>766593.9999999986</v>
      </c>
      <c r="S129" s="141">
        <f t="shared" si="313"/>
        <v>524595.99999999814</v>
      </c>
      <c r="T129" s="141">
        <f t="shared" si="313"/>
        <v>413961.99999999814</v>
      </c>
      <c r="U129" s="141">
        <f t="shared" si="313"/>
        <v>177781.99999999814</v>
      </c>
      <c r="V129" s="141">
        <f t="shared" si="313"/>
        <v>703200.99999999814</v>
      </c>
      <c r="W129" s="141">
        <f t="shared" si="313"/>
        <v>454628.99999999814</v>
      </c>
      <c r="X129" s="141">
        <f t="shared" si="313"/>
        <v>242744.99999999814</v>
      </c>
      <c r="Y129" s="141"/>
      <c r="Z129" s="141">
        <f>M131</f>
        <v>250628</v>
      </c>
      <c r="AA129" s="141">
        <f>Z136</f>
        <v>737877</v>
      </c>
      <c r="AB129" s="141">
        <f t="shared" ref="AB129:AJ129" si="314">AA136</f>
        <v>636449.00000000047</v>
      </c>
      <c r="AC129" s="141">
        <f t="shared" si="314"/>
        <v>388627.00000000047</v>
      </c>
      <c r="AD129" s="141">
        <f t="shared" si="314"/>
        <v>121811.00000000047</v>
      </c>
      <c r="AE129" s="141">
        <f t="shared" si="314"/>
        <v>766593.9999999986</v>
      </c>
      <c r="AF129" s="141">
        <f t="shared" si="314"/>
        <v>524595.99999999814</v>
      </c>
      <c r="AG129" s="141">
        <f t="shared" si="314"/>
        <v>413961.99999999814</v>
      </c>
      <c r="AH129" s="141">
        <f t="shared" si="314"/>
        <v>177781.99999999814</v>
      </c>
      <c r="AI129" s="141">
        <f t="shared" si="314"/>
        <v>703200.99999999814</v>
      </c>
      <c r="AJ129" s="141">
        <f t="shared" si="314"/>
        <v>454628.99999999814</v>
      </c>
      <c r="AK129" s="166">
        <f t="shared" ref="AK129" si="315">AJ136</f>
        <v>242744.99999999814</v>
      </c>
      <c r="AL129" s="11"/>
      <c r="AM129" s="44"/>
    </row>
    <row r="130" spans="2:39">
      <c r="B130" s="169" t="s">
        <v>146</v>
      </c>
      <c r="C130" s="133">
        <v>0</v>
      </c>
      <c r="D130" s="134">
        <f>-C134</f>
        <v>0</v>
      </c>
      <c r="E130" s="134">
        <f t="shared" ref="E130:H130" si="316">-D134</f>
        <v>0</v>
      </c>
      <c r="F130" s="134">
        <f t="shared" si="316"/>
        <v>0</v>
      </c>
      <c r="G130" s="134">
        <f t="shared" si="316"/>
        <v>0</v>
      </c>
      <c r="H130" s="134">
        <f t="shared" si="316"/>
        <v>0</v>
      </c>
      <c r="I130" s="134"/>
      <c r="J130" s="134">
        <v>0</v>
      </c>
      <c r="K130" s="134">
        <v>0</v>
      </c>
      <c r="L130" s="134">
        <v>0</v>
      </c>
      <c r="M130" s="134">
        <v>0</v>
      </c>
      <c r="N130" s="134">
        <v>0</v>
      </c>
      <c r="O130" s="134">
        <v>0</v>
      </c>
      <c r="P130" s="134">
        <v>0</v>
      </c>
      <c r="Q130" s="134">
        <v>0</v>
      </c>
      <c r="R130" s="134">
        <v>0</v>
      </c>
      <c r="S130" s="134">
        <v>0</v>
      </c>
      <c r="T130" s="134">
        <v>0</v>
      </c>
      <c r="U130" s="134">
        <v>0</v>
      </c>
      <c r="V130" s="134">
        <v>0</v>
      </c>
      <c r="W130" s="134">
        <v>0</v>
      </c>
      <c r="X130" s="134">
        <v>0</v>
      </c>
      <c r="Y130" s="134"/>
      <c r="Z130" s="134">
        <f>M132</f>
        <v>0</v>
      </c>
      <c r="AA130" s="134">
        <f t="shared" ref="AA130:AK130" si="317">N132</f>
        <v>0</v>
      </c>
      <c r="AB130" s="134">
        <f t="shared" si="317"/>
        <v>0</v>
      </c>
      <c r="AC130" s="134">
        <f t="shared" si="317"/>
        <v>0</v>
      </c>
      <c r="AD130" s="134">
        <f t="shared" si="317"/>
        <v>0</v>
      </c>
      <c r="AE130" s="134">
        <f t="shared" si="317"/>
        <v>0</v>
      </c>
      <c r="AF130" s="134">
        <f t="shared" si="317"/>
        <v>0</v>
      </c>
      <c r="AG130" s="134">
        <f t="shared" si="317"/>
        <v>0</v>
      </c>
      <c r="AH130" s="134">
        <f t="shared" si="317"/>
        <v>0</v>
      </c>
      <c r="AI130" s="134">
        <f t="shared" si="317"/>
        <v>0</v>
      </c>
      <c r="AJ130" s="134">
        <f t="shared" si="317"/>
        <v>0</v>
      </c>
      <c r="AK130" s="115">
        <f t="shared" si="317"/>
        <v>0</v>
      </c>
      <c r="AL130" s="11"/>
      <c r="AM130" s="44"/>
    </row>
    <row r="131" spans="2:39">
      <c r="B131" s="118" t="s">
        <v>79</v>
      </c>
      <c r="C131" s="131">
        <f t="shared" ref="C131:E131" si="318">SUM(C129:C130)</f>
        <v>409251</v>
      </c>
      <c r="D131" s="131">
        <f t="shared" si="318"/>
        <v>392325</v>
      </c>
      <c r="E131" s="131">
        <f t="shared" si="318"/>
        <v>1046051</v>
      </c>
      <c r="F131" s="131">
        <f t="shared" ref="F131:H131" si="319">SUM(F129:F130)</f>
        <v>431560</v>
      </c>
      <c r="G131" s="131">
        <f t="shared" si="319"/>
        <v>737877</v>
      </c>
      <c r="H131" s="131">
        <f t="shared" si="319"/>
        <v>766593.99999999814</v>
      </c>
      <c r="I131" s="134"/>
      <c r="J131" s="131">
        <f t="shared" ref="J131:W131" si="320">SUM(J129:J130)</f>
        <v>431560</v>
      </c>
      <c r="K131" s="131">
        <f t="shared" si="320"/>
        <v>654485.99999999953</v>
      </c>
      <c r="L131" s="131">
        <f t="shared" si="320"/>
        <v>434225.99999999953</v>
      </c>
      <c r="M131" s="131">
        <f t="shared" si="320"/>
        <v>250628</v>
      </c>
      <c r="N131" s="131">
        <f t="shared" si="320"/>
        <v>737877</v>
      </c>
      <c r="O131" s="131">
        <f t="shared" si="320"/>
        <v>636449.00000000047</v>
      </c>
      <c r="P131" s="131">
        <f t="shared" si="320"/>
        <v>388627.00000000047</v>
      </c>
      <c r="Q131" s="131">
        <f t="shared" si="320"/>
        <v>121811.00000000047</v>
      </c>
      <c r="R131" s="131">
        <f t="shared" si="320"/>
        <v>766593.9999999986</v>
      </c>
      <c r="S131" s="131">
        <f t="shared" si="320"/>
        <v>524595.99999999814</v>
      </c>
      <c r="T131" s="131">
        <f t="shared" si="320"/>
        <v>413961.99999999814</v>
      </c>
      <c r="U131" s="131">
        <f t="shared" si="320"/>
        <v>177781.99999999814</v>
      </c>
      <c r="V131" s="131">
        <f t="shared" si="320"/>
        <v>703200.99999999814</v>
      </c>
      <c r="W131" s="131">
        <f t="shared" si="320"/>
        <v>454628.99999999814</v>
      </c>
      <c r="X131" s="131">
        <f t="shared" ref="X131" si="321">SUM(X129:X130)</f>
        <v>242744.99999999814</v>
      </c>
      <c r="Y131" s="135"/>
      <c r="Z131" s="136">
        <f t="shared" ref="Z131:AJ131" si="322">SUM(Z129:Z130)</f>
        <v>250628</v>
      </c>
      <c r="AA131" s="136">
        <f t="shared" si="322"/>
        <v>737877</v>
      </c>
      <c r="AB131" s="136">
        <f t="shared" si="322"/>
        <v>636449.00000000047</v>
      </c>
      <c r="AC131" s="136">
        <f t="shared" si="322"/>
        <v>388627.00000000047</v>
      </c>
      <c r="AD131" s="136">
        <f t="shared" si="322"/>
        <v>121811.00000000047</v>
      </c>
      <c r="AE131" s="136">
        <f t="shared" si="322"/>
        <v>766593.9999999986</v>
      </c>
      <c r="AF131" s="136">
        <f t="shared" ref="AF131" si="323">SUM(AF129:AF130)</f>
        <v>524595.99999999814</v>
      </c>
      <c r="AG131" s="136">
        <f t="shared" ref="AG131" si="324">SUM(AG129:AG130)</f>
        <v>413961.99999999814</v>
      </c>
      <c r="AH131" s="136">
        <f t="shared" ref="AH131" si="325">SUM(AH129:AH130)</f>
        <v>177781.99999999814</v>
      </c>
      <c r="AI131" s="136">
        <f t="shared" ref="AI131" si="326">SUM(AI129:AI130)</f>
        <v>703200.99999999814</v>
      </c>
      <c r="AJ131" s="136">
        <f t="shared" si="322"/>
        <v>454628.99999999814</v>
      </c>
      <c r="AK131" s="132">
        <f t="shared" ref="AK131" si="327">SUM(AK129:AK130)</f>
        <v>242744.99999999814</v>
      </c>
      <c r="AL131" s="11"/>
      <c r="AM131" s="44"/>
    </row>
    <row r="132" spans="2:39" ht="5.0999999999999996" customHeight="1">
      <c r="B132" s="119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15"/>
      <c r="AL132" s="11"/>
      <c r="AM132" s="44"/>
    </row>
    <row r="133" spans="2:39">
      <c r="B133" s="169" t="s">
        <v>147</v>
      </c>
      <c r="C133" s="133">
        <v>0</v>
      </c>
      <c r="D133" s="133">
        <v>56</v>
      </c>
      <c r="E133" s="133">
        <v>-56</v>
      </c>
      <c r="F133" s="133">
        <v>0</v>
      </c>
      <c r="G133" s="133">
        <v>0</v>
      </c>
      <c r="H133" s="133">
        <v>0</v>
      </c>
      <c r="I133" s="134"/>
      <c r="J133" s="133">
        <v>0</v>
      </c>
      <c r="K133" s="133">
        <v>0</v>
      </c>
      <c r="L133" s="133">
        <v>0</v>
      </c>
      <c r="M133" s="137">
        <f t="shared" ref="M133" si="328">SUM(F133-SUM(J133:L133))</f>
        <v>0</v>
      </c>
      <c r="N133" s="133">
        <v>0</v>
      </c>
      <c r="O133" s="133">
        <v>0</v>
      </c>
      <c r="P133" s="133">
        <v>0</v>
      </c>
      <c r="Q133" s="137">
        <f t="shared" ref="Q133" si="329">SUM(G133-SUM(N133:P133))</f>
        <v>0</v>
      </c>
      <c r="R133" s="133">
        <v>0</v>
      </c>
      <c r="S133" s="133">
        <v>0</v>
      </c>
      <c r="T133" s="133">
        <v>0</v>
      </c>
      <c r="U133" s="137">
        <f t="shared" ref="U133" si="330">SUM(H133-SUM(R133:T133))</f>
        <v>0</v>
      </c>
      <c r="V133" s="133">
        <v>0</v>
      </c>
      <c r="W133" s="133">
        <v>0</v>
      </c>
      <c r="X133" s="133">
        <v>0</v>
      </c>
      <c r="Y133" s="134"/>
      <c r="Z133" s="134">
        <f t="shared" ref="Z133" si="331">SUM(J133:M133)</f>
        <v>0</v>
      </c>
      <c r="AA133" s="134">
        <f t="shared" ref="AA133" si="332">SUM(K133:N133)</f>
        <v>0</v>
      </c>
      <c r="AB133" s="134">
        <f t="shared" ref="AB133" si="333">SUM(L133:O133)</f>
        <v>0</v>
      </c>
      <c r="AC133" s="134">
        <f t="shared" ref="AC133" si="334">SUM(M133:P133)</f>
        <v>0</v>
      </c>
      <c r="AD133" s="134">
        <f t="shared" ref="AD133" si="335">SUM(N133:Q133)</f>
        <v>0</v>
      </c>
      <c r="AE133" s="134">
        <f t="shared" ref="AE133" si="336">SUM(O133:R133)</f>
        <v>0</v>
      </c>
      <c r="AF133" s="134">
        <f t="shared" ref="AF133" si="337">SUM(P133:S133)</f>
        <v>0</v>
      </c>
      <c r="AG133" s="134">
        <f t="shared" ref="AG133" si="338">SUM(Q133:T133)</f>
        <v>0</v>
      </c>
      <c r="AH133" s="134">
        <f t="shared" ref="AH133" si="339">SUM(R133:U133)</f>
        <v>0</v>
      </c>
      <c r="AI133" s="134">
        <f t="shared" ref="AI133" si="340">SUM(S133:V133)</f>
        <v>0</v>
      </c>
      <c r="AJ133" s="134">
        <f t="shared" ref="AJ133:AK133" si="341">SUM(T133:W133)</f>
        <v>0</v>
      </c>
      <c r="AK133" s="115">
        <f t="shared" si="341"/>
        <v>0</v>
      </c>
      <c r="AL133" s="11"/>
      <c r="AM133" s="44"/>
    </row>
    <row r="134" spans="2:39">
      <c r="B134" s="169" t="s">
        <v>148</v>
      </c>
      <c r="C134" s="133">
        <v>0</v>
      </c>
      <c r="D134" s="133">
        <v>0</v>
      </c>
      <c r="E134" s="133">
        <v>0</v>
      </c>
      <c r="F134" s="133">
        <v>0</v>
      </c>
      <c r="G134" s="133">
        <v>0</v>
      </c>
      <c r="H134" s="133">
        <v>0</v>
      </c>
      <c r="I134" s="134"/>
      <c r="J134" s="133">
        <v>0</v>
      </c>
      <c r="K134" s="133">
        <v>0</v>
      </c>
      <c r="L134" s="133">
        <v>0</v>
      </c>
      <c r="M134" s="134">
        <f>F134</f>
        <v>0</v>
      </c>
      <c r="N134" s="133">
        <v>0</v>
      </c>
      <c r="O134" s="133">
        <v>0</v>
      </c>
      <c r="P134" s="133">
        <v>0</v>
      </c>
      <c r="Q134" s="134">
        <f>G134</f>
        <v>0</v>
      </c>
      <c r="R134" s="133">
        <v>0</v>
      </c>
      <c r="S134" s="133">
        <v>0</v>
      </c>
      <c r="T134" s="133">
        <v>0</v>
      </c>
      <c r="U134" s="134">
        <f>H134</f>
        <v>0</v>
      </c>
      <c r="V134" s="133">
        <v>0</v>
      </c>
      <c r="W134" s="133">
        <v>0</v>
      </c>
      <c r="X134" s="133">
        <v>0</v>
      </c>
      <c r="Y134" s="134"/>
      <c r="Z134" s="134">
        <f t="shared" ref="Z134:AI134" si="342">M134</f>
        <v>0</v>
      </c>
      <c r="AA134" s="134">
        <f t="shared" si="342"/>
        <v>0</v>
      </c>
      <c r="AB134" s="134">
        <f t="shared" si="342"/>
        <v>0</v>
      </c>
      <c r="AC134" s="134">
        <f t="shared" si="342"/>
        <v>0</v>
      </c>
      <c r="AD134" s="134">
        <f t="shared" si="342"/>
        <v>0</v>
      </c>
      <c r="AE134" s="134">
        <f t="shared" si="342"/>
        <v>0</v>
      </c>
      <c r="AF134" s="134">
        <f t="shared" si="342"/>
        <v>0</v>
      </c>
      <c r="AG134" s="134">
        <f t="shared" si="342"/>
        <v>0</v>
      </c>
      <c r="AH134" s="134">
        <f t="shared" si="342"/>
        <v>0</v>
      </c>
      <c r="AI134" s="134">
        <f t="shared" si="342"/>
        <v>0</v>
      </c>
      <c r="AJ134" s="134">
        <f>W134</f>
        <v>0</v>
      </c>
      <c r="AK134" s="115">
        <f>X134</f>
        <v>0</v>
      </c>
      <c r="AL134" s="11"/>
      <c r="AM134" s="44"/>
    </row>
    <row r="135" spans="2:39">
      <c r="B135" s="169" t="s">
        <v>69</v>
      </c>
      <c r="C135" s="134">
        <f>+C126+C118+C112</f>
        <v>-16926</v>
      </c>
      <c r="D135" s="134">
        <f>+D126+D118+D112</f>
        <v>653670</v>
      </c>
      <c r="E135" s="134">
        <f>+E126+E118+E112</f>
        <v>-614435</v>
      </c>
      <c r="F135" s="134">
        <f>+F126+F118+F112</f>
        <v>306317</v>
      </c>
      <c r="G135" s="134">
        <f>+G126+G118+G112</f>
        <v>28716.999999998137</v>
      </c>
      <c r="H135" s="134">
        <f>+H126+H118+H112</f>
        <v>-63393</v>
      </c>
      <c r="I135" s="134"/>
      <c r="J135" s="134">
        <f>+J126+J118+J112</f>
        <v>222925.99999999953</v>
      </c>
      <c r="K135" s="134">
        <f>+K126+K118+K112</f>
        <v>-220260</v>
      </c>
      <c r="L135" s="134">
        <f>+L126+L118+L112</f>
        <v>-183597.99999999953</v>
      </c>
      <c r="M135" s="134">
        <f>+M126+M118+M112</f>
        <v>487249</v>
      </c>
      <c r="N135" s="134">
        <f>+N126+N118+N112</f>
        <v>-101427.99999999953</v>
      </c>
      <c r="O135" s="134">
        <f>+O126+O118+O112</f>
        <v>-247822</v>
      </c>
      <c r="P135" s="134">
        <f>+P126+P118+P112</f>
        <v>-266816</v>
      </c>
      <c r="Q135" s="134">
        <f>+Q126+Q118+Q112</f>
        <v>644782.99999999814</v>
      </c>
      <c r="R135" s="134">
        <f>+R126+R118+R112</f>
        <v>-241998.00000000047</v>
      </c>
      <c r="S135" s="134">
        <f>+S126+S118+S112</f>
        <v>-110634</v>
      </c>
      <c r="T135" s="134">
        <f>+T126+T118+T112</f>
        <v>-236180</v>
      </c>
      <c r="U135" s="134">
        <f>+U126+U118+U112</f>
        <v>525419</v>
      </c>
      <c r="V135" s="134">
        <f>+V126+V118+V112</f>
        <v>-248572</v>
      </c>
      <c r="W135" s="134">
        <f>+W126+W118+W112</f>
        <v>-211884</v>
      </c>
      <c r="X135" s="134">
        <f>+X126+X118+X112</f>
        <v>-37824</v>
      </c>
      <c r="Y135" s="134"/>
      <c r="Z135" s="134">
        <f>M135</f>
        <v>487249</v>
      </c>
      <c r="AA135" s="134">
        <f>N135</f>
        <v>-101427.99999999953</v>
      </c>
      <c r="AB135" s="134">
        <f>O135</f>
        <v>-247822</v>
      </c>
      <c r="AC135" s="134">
        <f>P135</f>
        <v>-266816</v>
      </c>
      <c r="AD135" s="134">
        <f>Q135</f>
        <v>644782.99999999814</v>
      </c>
      <c r="AE135" s="134">
        <f t="shared" ref="AE135" si="343">R135</f>
        <v>-241998.00000000047</v>
      </c>
      <c r="AF135" s="134">
        <f t="shared" ref="AF135" si="344">S135</f>
        <v>-110634</v>
      </c>
      <c r="AG135" s="134">
        <f t="shared" ref="AG135" si="345">T135</f>
        <v>-236180</v>
      </c>
      <c r="AH135" s="134">
        <f t="shared" ref="AH135" si="346">U135</f>
        <v>525419</v>
      </c>
      <c r="AI135" s="134">
        <f t="shared" ref="AI135" si="347">V135</f>
        <v>-248572</v>
      </c>
      <c r="AJ135" s="134">
        <f t="shared" ref="AJ135:AK135" si="348">W135</f>
        <v>-211884</v>
      </c>
      <c r="AK135" s="115">
        <f t="shared" si="348"/>
        <v>-37824</v>
      </c>
      <c r="AL135" s="11"/>
      <c r="AM135" s="44"/>
    </row>
    <row r="136" spans="2:39">
      <c r="B136" s="118" t="s">
        <v>80</v>
      </c>
      <c r="C136" s="136">
        <f t="shared" ref="C136:E136" si="349">SUM(C131:C135)</f>
        <v>392325</v>
      </c>
      <c r="D136" s="136">
        <f t="shared" si="349"/>
        <v>1046051</v>
      </c>
      <c r="E136" s="136">
        <f t="shared" si="349"/>
        <v>431560</v>
      </c>
      <c r="F136" s="136">
        <f t="shared" ref="F136:H136" si="350">SUM(F131:F135)</f>
        <v>737877</v>
      </c>
      <c r="G136" s="136">
        <f t="shared" si="350"/>
        <v>766593.99999999814</v>
      </c>
      <c r="H136" s="136">
        <f t="shared" si="350"/>
        <v>703200.99999999814</v>
      </c>
      <c r="I136" s="134"/>
      <c r="J136" s="136">
        <f t="shared" ref="J136:W136" si="351">SUM(J131:J135)</f>
        <v>654485.99999999953</v>
      </c>
      <c r="K136" s="136">
        <f t="shared" si="351"/>
        <v>434225.99999999953</v>
      </c>
      <c r="L136" s="136">
        <f t="shared" si="351"/>
        <v>250628</v>
      </c>
      <c r="M136" s="136">
        <f t="shared" si="351"/>
        <v>737877</v>
      </c>
      <c r="N136" s="136">
        <f t="shared" si="351"/>
        <v>636449.00000000047</v>
      </c>
      <c r="O136" s="136">
        <f t="shared" si="351"/>
        <v>388627.00000000047</v>
      </c>
      <c r="P136" s="136">
        <f t="shared" si="351"/>
        <v>121811.00000000047</v>
      </c>
      <c r="Q136" s="136">
        <f t="shared" si="351"/>
        <v>766593.9999999986</v>
      </c>
      <c r="R136" s="136">
        <f t="shared" si="351"/>
        <v>524595.99999999814</v>
      </c>
      <c r="S136" s="136">
        <f t="shared" si="351"/>
        <v>413961.99999999814</v>
      </c>
      <c r="T136" s="136">
        <f t="shared" si="351"/>
        <v>177781.99999999814</v>
      </c>
      <c r="U136" s="136">
        <f t="shared" si="351"/>
        <v>703200.99999999814</v>
      </c>
      <c r="V136" s="136">
        <f t="shared" si="351"/>
        <v>454628.99999999814</v>
      </c>
      <c r="W136" s="136">
        <f t="shared" si="351"/>
        <v>242744.99999999814</v>
      </c>
      <c r="X136" s="136">
        <f t="shared" ref="X136" si="352">SUM(X131:X135)</f>
        <v>204920.99999999814</v>
      </c>
      <c r="Y136" s="135"/>
      <c r="Z136" s="136">
        <f t="shared" ref="Z136:AJ136" si="353">SUM(Z131:Z135)</f>
        <v>737877</v>
      </c>
      <c r="AA136" s="136">
        <f t="shared" si="353"/>
        <v>636449.00000000047</v>
      </c>
      <c r="AB136" s="136">
        <f t="shared" si="353"/>
        <v>388627.00000000047</v>
      </c>
      <c r="AC136" s="136">
        <f t="shared" si="353"/>
        <v>121811.00000000047</v>
      </c>
      <c r="AD136" s="136">
        <f t="shared" si="353"/>
        <v>766593.9999999986</v>
      </c>
      <c r="AE136" s="136">
        <f t="shared" si="353"/>
        <v>524595.99999999814</v>
      </c>
      <c r="AF136" s="136">
        <f t="shared" si="353"/>
        <v>413961.99999999814</v>
      </c>
      <c r="AG136" s="136">
        <f t="shared" si="353"/>
        <v>177781.99999999814</v>
      </c>
      <c r="AH136" s="136">
        <f t="shared" si="353"/>
        <v>703200.99999999814</v>
      </c>
      <c r="AI136" s="136">
        <f t="shared" si="353"/>
        <v>454628.99999999814</v>
      </c>
      <c r="AJ136" s="136">
        <f t="shared" si="353"/>
        <v>242744.99999999814</v>
      </c>
      <c r="AK136" s="132">
        <f t="shared" ref="AK136" si="354">SUM(AK131:AK135)</f>
        <v>204920.99999999814</v>
      </c>
      <c r="AL136" s="11"/>
      <c r="AM136" s="44"/>
    </row>
    <row r="137" spans="2:39" ht="5.0999999999999996" customHeight="1">
      <c r="B137" s="120"/>
      <c r="C137" s="62"/>
      <c r="D137" s="62"/>
      <c r="E137" s="62"/>
      <c r="F137" s="62"/>
      <c r="G137" s="62"/>
      <c r="H137" s="62"/>
      <c r="I137" s="134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138"/>
      <c r="Z137" s="139"/>
      <c r="AA137" s="139"/>
      <c r="AB137" s="139"/>
      <c r="AC137" s="139"/>
      <c r="AD137" s="139"/>
      <c r="AE137" s="139"/>
      <c r="AF137" s="139"/>
      <c r="AG137" s="139"/>
      <c r="AH137" s="139"/>
      <c r="AI137" s="139"/>
      <c r="AJ137" s="139"/>
      <c r="AK137" s="114"/>
      <c r="AL137" s="11"/>
      <c r="AM137" s="44"/>
    </row>
    <row r="138" spans="2:39">
      <c r="B138" s="121" t="s">
        <v>68</v>
      </c>
      <c r="C138" s="116">
        <f>ROUND(C136-C45,1)</f>
        <v>0</v>
      </c>
      <c r="D138" s="116">
        <f>ROUND(D136-D45,1)</f>
        <v>0</v>
      </c>
      <c r="E138" s="116">
        <f>ROUND(E136-E45,1)</f>
        <v>0</v>
      </c>
      <c r="F138" s="116">
        <f>ROUND(F136-F45,1)</f>
        <v>0</v>
      </c>
      <c r="G138" s="116">
        <f>ROUND(G136-G45,1)</f>
        <v>0</v>
      </c>
      <c r="H138" s="116">
        <f>ROUND(H136-H45,1)</f>
        <v>0</v>
      </c>
      <c r="I138" s="117"/>
      <c r="J138" s="116">
        <f>ROUND(J136-J45,1)</f>
        <v>0</v>
      </c>
      <c r="K138" s="116">
        <f>ROUND(K136-K45,1)</f>
        <v>0</v>
      </c>
      <c r="L138" s="116">
        <f>ROUND(L136-L45,1)</f>
        <v>0</v>
      </c>
      <c r="M138" s="116">
        <f>ROUND(M136-M45,1)</f>
        <v>0</v>
      </c>
      <c r="N138" s="116">
        <f>ROUND(N136-N45,1)</f>
        <v>0</v>
      </c>
      <c r="O138" s="116">
        <f>ROUND(O136-O45,1)</f>
        <v>0</v>
      </c>
      <c r="P138" s="116">
        <f>ROUND(P136-P45,1)</f>
        <v>0</v>
      </c>
      <c r="Q138" s="116">
        <f>ROUND(Q136-Q45,1)</f>
        <v>0</v>
      </c>
      <c r="R138" s="116">
        <f>ROUND(R136-R45,1)</f>
        <v>0</v>
      </c>
      <c r="S138" s="116">
        <f>ROUND(S136-S45,1)</f>
        <v>0</v>
      </c>
      <c r="T138" s="116">
        <f>ROUND(T136-T45,1)</f>
        <v>0</v>
      </c>
      <c r="U138" s="116">
        <f>ROUND(U136-U45,1)</f>
        <v>0</v>
      </c>
      <c r="V138" s="116">
        <f>ROUND(V136-V45,1)</f>
        <v>0</v>
      </c>
      <c r="W138" s="116">
        <f>ROUND(W136-W45,1)</f>
        <v>0</v>
      </c>
      <c r="X138" s="116">
        <f>ROUND(X136-X45,1)</f>
        <v>0</v>
      </c>
      <c r="Y138" s="116"/>
      <c r="Z138" s="116">
        <f>ROUND(Z136-Z45,1)</f>
        <v>0</v>
      </c>
      <c r="AA138" s="116">
        <f>ROUND(AA136-AA45,1)</f>
        <v>0</v>
      </c>
      <c r="AB138" s="116">
        <f>ROUND(AB136-AB45,1)</f>
        <v>0</v>
      </c>
      <c r="AC138" s="116">
        <f>ROUND(AC136-AC45,1)</f>
        <v>0</v>
      </c>
      <c r="AD138" s="116">
        <f>ROUND(AD136-AD45,1)</f>
        <v>0</v>
      </c>
      <c r="AE138" s="116">
        <f>ROUND(AE136-AE45,1)</f>
        <v>0</v>
      </c>
      <c r="AF138" s="116">
        <f>ROUND(AF136-AF45,1)</f>
        <v>0</v>
      </c>
      <c r="AG138" s="116">
        <f>ROUND(AG136-AG45,1)</f>
        <v>0</v>
      </c>
      <c r="AH138" s="116">
        <f>ROUND(AH136-AH45,1)</f>
        <v>0</v>
      </c>
      <c r="AI138" s="116">
        <f>ROUND(AI136-AI45,1)</f>
        <v>0</v>
      </c>
      <c r="AJ138" s="116">
        <f>ROUND(AJ136-AJ45,1)</f>
        <v>0</v>
      </c>
      <c r="AK138" s="167">
        <f>ROUND(AK136-AK45,1)</f>
        <v>0</v>
      </c>
      <c r="AL138" s="11"/>
      <c r="AM138" s="44"/>
    </row>
    <row r="139" spans="2:39" ht="5.0999999999999996" customHeight="1">
      <c r="B139" s="8"/>
      <c r="C139" s="62"/>
      <c r="D139" s="62"/>
      <c r="E139" s="62"/>
      <c r="F139" s="62"/>
      <c r="G139" s="62"/>
      <c r="H139" s="62"/>
      <c r="I139" s="30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44"/>
    </row>
    <row r="140" spans="2:39">
      <c r="B140" s="122" t="s">
        <v>100</v>
      </c>
      <c r="C140" s="62"/>
      <c r="D140" s="62"/>
      <c r="E140" s="62"/>
      <c r="F140" s="62"/>
      <c r="G140" s="62"/>
      <c r="H140" s="62"/>
      <c r="I140" s="30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44"/>
    </row>
    <row r="141" spans="2:39">
      <c r="B141" s="79" t="s">
        <v>78</v>
      </c>
      <c r="C141" s="78">
        <v>0</v>
      </c>
      <c r="D141" s="78">
        <v>6987</v>
      </c>
      <c r="E141" s="78">
        <v>2132</v>
      </c>
      <c r="F141" s="78">
        <v>2138</v>
      </c>
      <c r="G141" s="78">
        <v>3327</v>
      </c>
      <c r="H141" s="78">
        <v>4159</v>
      </c>
      <c r="I141" s="30"/>
      <c r="J141" s="129">
        <v>0</v>
      </c>
      <c r="K141" s="129">
        <v>1057</v>
      </c>
      <c r="L141" s="129">
        <f>1598-K141-J141</f>
        <v>541</v>
      </c>
      <c r="M141" s="130">
        <f t="shared" ref="M141:M142" si="355">SUM(F141-SUM(J141:L141))</f>
        <v>540</v>
      </c>
      <c r="N141" s="129">
        <v>0</v>
      </c>
      <c r="O141" s="129">
        <v>0</v>
      </c>
      <c r="P141" s="129">
        <v>0</v>
      </c>
      <c r="Q141" s="130">
        <f>SUM(G141-SUM(N141:P141))</f>
        <v>3327</v>
      </c>
      <c r="R141" s="129">
        <v>0</v>
      </c>
      <c r="S141" s="129">
        <v>0</v>
      </c>
      <c r="T141" s="129">
        <v>0</v>
      </c>
      <c r="U141" s="130">
        <f t="shared" ref="U141:U142" si="356">SUM(H141-SUM(R141:T141))</f>
        <v>4159</v>
      </c>
      <c r="V141" s="129">
        <v>0</v>
      </c>
      <c r="W141" s="129">
        <v>0</v>
      </c>
      <c r="X141" s="129">
        <v>0</v>
      </c>
      <c r="Z141" s="30">
        <f t="shared" ref="Z141:Z142" si="357">SUM(J141:M141)</f>
        <v>2138</v>
      </c>
      <c r="AA141" s="30">
        <f t="shared" ref="AA141:AA142" si="358">SUM(K141:N141)</f>
        <v>2138</v>
      </c>
      <c r="AB141" s="30">
        <f t="shared" ref="AB141:AB142" si="359">SUM(L141:O141)</f>
        <v>1081</v>
      </c>
      <c r="AC141" s="30">
        <f t="shared" ref="AC141:AC142" si="360">SUM(M141:P141)</f>
        <v>540</v>
      </c>
      <c r="AD141" s="30">
        <f t="shared" ref="AD141:AD142" si="361">SUM(N141:Q141)</f>
        <v>3327</v>
      </c>
      <c r="AE141" s="30">
        <f t="shared" ref="AE141:AE142" si="362">SUM(O141:R141)</f>
        <v>3327</v>
      </c>
      <c r="AF141" s="30">
        <f t="shared" ref="AF141:AF142" si="363">SUM(P141:S141)</f>
        <v>3327</v>
      </c>
      <c r="AG141" s="30">
        <f t="shared" ref="AG141:AG142" si="364">SUM(Q141:T141)</f>
        <v>3327</v>
      </c>
      <c r="AH141" s="30">
        <f t="shared" ref="AH141:AH142" si="365">SUM(R141:U141)</f>
        <v>4159</v>
      </c>
      <c r="AI141" s="30">
        <f t="shared" ref="AI141:AI142" si="366">SUM(S141:V141)</f>
        <v>4159</v>
      </c>
      <c r="AJ141" s="30">
        <f t="shared" ref="AJ141:AK142" si="367">SUM(T141:W141)</f>
        <v>4159</v>
      </c>
      <c r="AK141" s="30">
        <f t="shared" si="367"/>
        <v>4159</v>
      </c>
      <c r="AL141" s="11"/>
      <c r="AM141" s="44"/>
    </row>
    <row r="142" spans="2:39">
      <c r="B142" s="79" t="s">
        <v>145</v>
      </c>
      <c r="C142" s="78">
        <v>133861</v>
      </c>
      <c r="D142" s="78">
        <v>19454</v>
      </c>
      <c r="E142" s="78">
        <v>370646</v>
      </c>
      <c r="F142" s="78">
        <v>429846</v>
      </c>
      <c r="G142" s="78">
        <v>328215</v>
      </c>
      <c r="H142" s="78">
        <v>386059</v>
      </c>
      <c r="I142" s="30"/>
      <c r="J142" s="129">
        <v>524</v>
      </c>
      <c r="K142" s="129">
        <f>246641-J142</f>
        <v>246117</v>
      </c>
      <c r="L142" s="129">
        <f>339290-K142-J142</f>
        <v>92649</v>
      </c>
      <c r="M142" s="130">
        <f t="shared" si="355"/>
        <v>90556</v>
      </c>
      <c r="N142" s="129">
        <v>2818</v>
      </c>
      <c r="O142" s="129">
        <f>189166-N142</f>
        <v>186348</v>
      </c>
      <c r="P142" s="129">
        <f>266802-O142-N142</f>
        <v>77636</v>
      </c>
      <c r="Q142" s="130">
        <f>SUM(G142-SUM(N142:P142))</f>
        <v>61413</v>
      </c>
      <c r="R142" s="129">
        <v>5057</v>
      </c>
      <c r="S142" s="129">
        <f>233249-R142</f>
        <v>228192</v>
      </c>
      <c r="T142" s="129">
        <f>316790-S142-R142</f>
        <v>83541</v>
      </c>
      <c r="U142" s="130">
        <f t="shared" si="356"/>
        <v>69269</v>
      </c>
      <c r="V142" s="129">
        <v>7016</v>
      </c>
      <c r="W142" s="129">
        <f>252013-V142</f>
        <v>244997</v>
      </c>
      <c r="X142" s="129">
        <f>326360-W142-V142</f>
        <v>74347</v>
      </c>
      <c r="Z142" s="30">
        <f t="shared" si="357"/>
        <v>429846</v>
      </c>
      <c r="AA142" s="30">
        <f t="shared" si="358"/>
        <v>432140</v>
      </c>
      <c r="AB142" s="30">
        <f t="shared" si="359"/>
        <v>372371</v>
      </c>
      <c r="AC142" s="30">
        <f t="shared" si="360"/>
        <v>357358</v>
      </c>
      <c r="AD142" s="30">
        <f t="shared" si="361"/>
        <v>328215</v>
      </c>
      <c r="AE142" s="30">
        <f t="shared" si="362"/>
        <v>330454</v>
      </c>
      <c r="AF142" s="30">
        <f t="shared" si="363"/>
        <v>372298</v>
      </c>
      <c r="AG142" s="30">
        <f t="shared" si="364"/>
        <v>378203</v>
      </c>
      <c r="AH142" s="30">
        <f t="shared" si="365"/>
        <v>386059</v>
      </c>
      <c r="AI142" s="30">
        <f t="shared" si="366"/>
        <v>388018</v>
      </c>
      <c r="AJ142" s="30">
        <f t="shared" si="367"/>
        <v>404823</v>
      </c>
      <c r="AK142" s="30">
        <f t="shared" si="367"/>
        <v>395629</v>
      </c>
      <c r="AL142" s="11"/>
      <c r="AM142" s="44"/>
    </row>
    <row r="143" spans="2:39" ht="5.0999999999999996" customHeight="1" thickBot="1">
      <c r="B143" s="68"/>
      <c r="C143" s="69"/>
      <c r="D143" s="69"/>
      <c r="E143" s="69"/>
      <c r="F143" s="69"/>
      <c r="G143" s="69"/>
      <c r="H143" s="69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M143" s="44"/>
    </row>
    <row r="144" spans="2:39" ht="12.75" customHeight="1">
      <c r="C144" s="54"/>
      <c r="D144" s="54"/>
      <c r="E144" s="54"/>
      <c r="F144" s="54"/>
      <c r="G144" s="54"/>
      <c r="H144" s="54"/>
    </row>
    <row r="145" spans="3:24" ht="12.75" customHeight="1">
      <c r="C145" s="54"/>
      <c r="D145" s="54"/>
      <c r="E145" s="54"/>
      <c r="F145" s="54"/>
      <c r="G145" s="54"/>
      <c r="H145" s="54"/>
    </row>
    <row r="146" spans="3:24" ht="12.75" customHeight="1">
      <c r="C146" s="54"/>
      <c r="D146" s="54"/>
      <c r="E146" s="54"/>
      <c r="F146" s="54"/>
      <c r="G146" s="54"/>
      <c r="H146" s="54"/>
    </row>
    <row r="147" spans="3:24" ht="12.75" customHeight="1">
      <c r="C147" s="54"/>
      <c r="D147" s="54"/>
      <c r="E147" s="54"/>
      <c r="F147" s="54"/>
      <c r="G147" s="54"/>
      <c r="H147" s="54"/>
    </row>
    <row r="148" spans="3:24" ht="12.75" customHeight="1">
      <c r="C148" s="54"/>
      <c r="D148" s="54"/>
      <c r="E148" s="54"/>
      <c r="F148" s="54"/>
      <c r="G148" s="54"/>
      <c r="H148" s="54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</row>
    <row r="149" spans="3:24" ht="12.75" customHeight="1">
      <c r="C149" s="54"/>
      <c r="D149" s="54"/>
      <c r="E149" s="54"/>
      <c r="F149" s="54"/>
      <c r="G149" s="54"/>
      <c r="H149" s="54"/>
    </row>
    <row r="150" spans="3:24" ht="12.75" customHeight="1">
      <c r="C150" s="54"/>
      <c r="D150" s="54"/>
      <c r="E150" s="54"/>
      <c r="F150" s="54"/>
      <c r="G150" s="54"/>
      <c r="H150" s="54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</row>
    <row r="151" spans="3:24"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</row>
    <row r="152" spans="3:24"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</row>
    <row r="154" spans="3:24"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</row>
    <row r="155" spans="3:24"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</row>
  </sheetData>
  <mergeCells count="4">
    <mergeCell ref="AM6:AM8"/>
    <mergeCell ref="AM40:AM42"/>
    <mergeCell ref="AM86:AM88"/>
    <mergeCell ref="B84:AM84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14:AJ16 I49 Z129:AJ129" formulaRange="1"/>
    <ignoredError sqref="AM118:AM120 AM112:AM114 C36:H36 J36:W36 AF36:AJ37 Q37 M37 U37 AM19:AM30" evalError="1"/>
    <ignoredError sqref="R92:W9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I22"/>
  <sheetViews>
    <sheetView showGridLines="0" zoomScale="145" zoomScaleNormal="145" workbookViewId="0">
      <selection activeCell="B10" sqref="B10"/>
    </sheetView>
  </sheetViews>
  <sheetFormatPr defaultRowHeight="12" outlineLevelRow="1" outlineLevelCol="1"/>
  <cols>
    <col min="1" max="1" width="1.5" style="8" customWidth="1"/>
    <col min="2" max="2" width="46.5" style="8" bestFit="1" customWidth="1"/>
    <col min="3" max="5" width="8.625" style="8" hidden="1" customWidth="1" outlineLevel="1"/>
    <col min="6" max="6" width="8.625" style="8" bestFit="1" customWidth="1" collapsed="1"/>
    <col min="7" max="8" width="8.625" style="8" bestFit="1" customWidth="1"/>
    <col min="9" max="9" width="1.5" style="8" customWidth="1"/>
    <col min="10" max="11" width="7.875" style="8" hidden="1" customWidth="1" outlineLevel="1"/>
    <col min="12" max="13" width="8.75" style="8" hidden="1" customWidth="1" outlineLevel="1"/>
    <col min="14" max="15" width="8" style="8" hidden="1" customWidth="1" outlineLevel="1"/>
    <col min="16" max="17" width="8.75" style="8" hidden="1" customWidth="1" outlineLevel="1"/>
    <col min="18" max="18" width="8.5" style="8" hidden="1" customWidth="1" outlineLevel="1"/>
    <col min="19" max="19" width="8.25" style="8" hidden="1" customWidth="1" outlineLevel="1"/>
    <col min="20" max="20" width="8.5" style="8" bestFit="1" customWidth="1" collapsed="1"/>
    <col min="21" max="24" width="9.125" style="8" bestFit="1" customWidth="1"/>
    <col min="25" max="25" width="1.5" style="8" customWidth="1"/>
    <col min="26" max="30" width="8.75" style="8" hidden="1" customWidth="1" outlineLevel="1"/>
    <col min="31" max="31" width="8.75" style="8" customWidth="1" collapsed="1"/>
    <col min="32" max="34" width="8.75" style="8" hidden="1" customWidth="1" outlineLevel="1"/>
    <col min="35" max="35" width="8.75" style="8" customWidth="1" collapsed="1"/>
    <col min="36" max="16384" width="9" style="8"/>
  </cols>
  <sheetData>
    <row r="2" spans="1:35" s="5" customFormat="1" ht="12.75" customHeight="1">
      <c r="B2" s="1" t="s">
        <v>109</v>
      </c>
      <c r="C2" s="2" t="s">
        <v>0</v>
      </c>
      <c r="D2" s="2"/>
      <c r="E2" s="2"/>
      <c r="F2" s="2" t="s">
        <v>0</v>
      </c>
      <c r="G2" s="2"/>
      <c r="H2" s="2"/>
      <c r="I2" s="3"/>
      <c r="J2" s="2" t="s">
        <v>1</v>
      </c>
      <c r="K2" s="2"/>
      <c r="L2" s="2"/>
      <c r="M2" s="2"/>
      <c r="N2" s="2"/>
      <c r="O2" s="2"/>
      <c r="P2" s="2"/>
      <c r="Q2" s="2"/>
      <c r="R2" s="2"/>
      <c r="S2" s="2"/>
      <c r="T2" s="2" t="s">
        <v>1</v>
      </c>
      <c r="U2" s="2"/>
      <c r="V2" s="2"/>
      <c r="W2" s="2"/>
      <c r="X2" s="2"/>
      <c r="Y2" s="3"/>
      <c r="Z2" s="2"/>
      <c r="AA2" s="2"/>
      <c r="AB2" s="2"/>
      <c r="AC2" s="2"/>
      <c r="AD2" s="2"/>
      <c r="AE2" s="2" t="s">
        <v>10</v>
      </c>
      <c r="AF2" s="2"/>
      <c r="AG2" s="2"/>
      <c r="AH2" s="2"/>
      <c r="AI2" s="2"/>
    </row>
    <row r="3" spans="1:35" s="5" customFormat="1" ht="12.75" customHeight="1">
      <c r="B3" s="6" t="s">
        <v>74</v>
      </c>
      <c r="C3" s="7">
        <f>'Historical Financials'!C7</f>
        <v>2019</v>
      </c>
      <c r="D3" s="7">
        <f>'Historical Financials'!D7</f>
        <v>2020</v>
      </c>
      <c r="E3" s="7">
        <f>'Historical Financials'!E7</f>
        <v>2021</v>
      </c>
      <c r="F3" s="7">
        <f>'Historical Financials'!F7</f>
        <v>2022</v>
      </c>
      <c r="G3" s="7">
        <f>'Historical Financials'!G7</f>
        <v>2023</v>
      </c>
      <c r="H3" s="7">
        <f>'Historical Financials'!H7</f>
        <v>2024</v>
      </c>
      <c r="I3" s="3"/>
      <c r="J3" s="7" t="str">
        <f>'Historical Financials'!J7</f>
        <v>1Q22</v>
      </c>
      <c r="K3" s="7" t="str">
        <f>'Historical Financials'!K7</f>
        <v>2Q22</v>
      </c>
      <c r="L3" s="7" t="str">
        <f>'Historical Financials'!L7</f>
        <v>3Q22</v>
      </c>
      <c r="M3" s="7" t="str">
        <f>'Historical Financials'!M7</f>
        <v>4Q22</v>
      </c>
      <c r="N3" s="7" t="str">
        <f>'Historical Financials'!N7</f>
        <v>1Q23</v>
      </c>
      <c r="O3" s="7" t="str">
        <f>'Historical Financials'!O7</f>
        <v>2Q23</v>
      </c>
      <c r="P3" s="7" t="str">
        <f>'Historical Financials'!P7</f>
        <v>3Q23</v>
      </c>
      <c r="Q3" s="7" t="str">
        <f>'Historical Financials'!Q7</f>
        <v>4Q23</v>
      </c>
      <c r="R3" s="7" t="str">
        <f>'Historical Financials'!R7</f>
        <v>1Q24</v>
      </c>
      <c r="S3" s="7" t="str">
        <f>'Historical Financials'!S7</f>
        <v>2Q24</v>
      </c>
      <c r="T3" s="7" t="str">
        <f>'Historical Financials'!T7</f>
        <v>3Q24</v>
      </c>
      <c r="U3" s="7" t="str">
        <f>'Historical Financials'!U7</f>
        <v>4Q24</v>
      </c>
      <c r="V3" s="7" t="str">
        <f>'Historical Financials'!V7</f>
        <v>1Q25</v>
      </c>
      <c r="W3" s="7" t="str">
        <f>'Historical Financials'!W7</f>
        <v>2Q25</v>
      </c>
      <c r="X3" s="7" t="str">
        <f>'Historical Financials'!X7</f>
        <v>3Q25</v>
      </c>
      <c r="Y3" s="4"/>
      <c r="Z3" s="4" t="str">
        <f t="shared" ref="Z3:AH4" si="0">O3</f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str">
        <f>X3</f>
        <v>3Q25</v>
      </c>
    </row>
    <row r="4" spans="1:35" s="5" customFormat="1" ht="12.75" customHeight="1">
      <c r="B4" s="6" t="s">
        <v>150</v>
      </c>
      <c r="C4" s="3">
        <f>'Historical Financials'!C8</f>
        <v>43862</v>
      </c>
      <c r="D4" s="3">
        <f>'Historical Financials'!D8</f>
        <v>44226</v>
      </c>
      <c r="E4" s="3">
        <f>'Historical Financials'!E8</f>
        <v>44590</v>
      </c>
      <c r="F4" s="3">
        <f>'Historical Financials'!F8</f>
        <v>44954</v>
      </c>
      <c r="G4" s="3">
        <f>'Historical Financials'!G8</f>
        <v>45325</v>
      </c>
      <c r="H4" s="3">
        <f>'Historical Financials'!H8</f>
        <v>45689</v>
      </c>
      <c r="I4" s="3"/>
      <c r="J4" s="3">
        <f>'Historical Financials'!J8</f>
        <v>44681</v>
      </c>
      <c r="K4" s="3">
        <f>'Historical Financials'!K8</f>
        <v>44772</v>
      </c>
      <c r="L4" s="3">
        <f>'Historical Financials'!L8</f>
        <v>44863</v>
      </c>
      <c r="M4" s="3">
        <f>'Historical Financials'!M8</f>
        <v>44954</v>
      </c>
      <c r="N4" s="3">
        <f>'Historical Financials'!N8</f>
        <v>45045</v>
      </c>
      <c r="O4" s="3">
        <f>'Historical Financials'!O8</f>
        <v>45136</v>
      </c>
      <c r="P4" s="3">
        <f>'Historical Financials'!P8</f>
        <v>45227</v>
      </c>
      <c r="Q4" s="3">
        <f>'Historical Financials'!Q8</f>
        <v>45325</v>
      </c>
      <c r="R4" s="3">
        <f>'Historical Financials'!R8</f>
        <v>45416</v>
      </c>
      <c r="S4" s="3">
        <f>'Historical Financials'!S8</f>
        <v>45507</v>
      </c>
      <c r="T4" s="3">
        <f>'Historical Financials'!T8</f>
        <v>45598</v>
      </c>
      <c r="U4" s="3">
        <f>'Historical Financials'!U8</f>
        <v>45689</v>
      </c>
      <c r="V4" s="3">
        <f>'Historical Financials'!V8</f>
        <v>45780</v>
      </c>
      <c r="W4" s="3">
        <f>'Historical Financials'!W8</f>
        <v>45871</v>
      </c>
      <c r="X4" s="3">
        <f>'Historical Financials'!X8</f>
        <v>45962</v>
      </c>
      <c r="Y4" s="3"/>
      <c r="Z4" s="3">
        <f t="shared" si="0"/>
        <v>45136</v>
      </c>
      <c r="AA4" s="3">
        <f t="shared" si="0"/>
        <v>45227</v>
      </c>
      <c r="AB4" s="3">
        <f t="shared" si="0"/>
        <v>45325</v>
      </c>
      <c r="AC4" s="3">
        <f t="shared" si="0"/>
        <v>45416</v>
      </c>
      <c r="AD4" s="3">
        <f t="shared" si="0"/>
        <v>45507</v>
      </c>
      <c r="AE4" s="3">
        <f t="shared" si="0"/>
        <v>45598</v>
      </c>
      <c r="AF4" s="3">
        <f t="shared" si="0"/>
        <v>45689</v>
      </c>
      <c r="AG4" s="3">
        <f t="shared" si="0"/>
        <v>45780</v>
      </c>
      <c r="AH4" s="3">
        <f t="shared" si="0"/>
        <v>45871</v>
      </c>
      <c r="AI4" s="3">
        <f>X4</f>
        <v>45962</v>
      </c>
    </row>
    <row r="5" spans="1:35" ht="5.0999999999999996" customHeight="1"/>
    <row r="6" spans="1:35" ht="12.75" customHeight="1">
      <c r="A6" s="76" t="s">
        <v>19</v>
      </c>
      <c r="B6" s="74" t="s">
        <v>102</v>
      </c>
      <c r="C6" s="10"/>
      <c r="D6" s="10"/>
      <c r="E6" s="10"/>
      <c r="F6" s="10"/>
      <c r="G6" s="10"/>
      <c r="H6" s="10"/>
      <c r="I6" s="10"/>
      <c r="J6" s="83"/>
      <c r="K6" s="83"/>
      <c r="L6" s="83"/>
      <c r="M6" s="30"/>
      <c r="N6" s="83"/>
      <c r="O6" s="83"/>
      <c r="P6" s="83"/>
      <c r="Q6" s="30"/>
      <c r="R6" s="83"/>
      <c r="S6" s="83"/>
      <c r="T6" s="83"/>
      <c r="U6" s="30"/>
      <c r="V6" s="83"/>
      <c r="W6" s="83"/>
      <c r="X6" s="83"/>
      <c r="Y6" s="5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ht="12.75" customHeight="1">
      <c r="A7" s="76"/>
      <c r="B7" s="9" t="s">
        <v>103</v>
      </c>
      <c r="C7" s="77">
        <f>C16*'Historical Financials'!$C$10</f>
        <v>3773014.68</v>
      </c>
      <c r="D7" s="77">
        <f>D16*'Historical Financials'!$D$10</f>
        <v>2768378.85</v>
      </c>
      <c r="E7" s="77">
        <f>E16*'Historical Financials'!$E$10</f>
        <v>3711282.27</v>
      </c>
      <c r="F7" s="77">
        <f>F16*'Historical Financials'!$F$10</f>
        <v>4287603.5999999996</v>
      </c>
      <c r="G7" s="77">
        <f>G16*'Historical Financials'!$G$10</f>
        <v>4594994.2299999986</v>
      </c>
      <c r="H7" s="77">
        <f>H16*'Historical Financials'!$H$10</f>
        <v>4405305.0600000005</v>
      </c>
      <c r="I7" s="10"/>
      <c r="J7" s="77">
        <f>J16*'Historical Financials'!$J$10</f>
        <v>1032196.4399999998</v>
      </c>
      <c r="K7" s="77">
        <f>K16*'Historical Financials'!$K$10</f>
        <v>964787.46</v>
      </c>
      <c r="L7" s="77">
        <f>L16*'Historical Financials'!$L$10</f>
        <v>1029068.9200000002</v>
      </c>
      <c r="M7" s="77">
        <f>M16*'Historical Financials'!$M$10</f>
        <v>1355244.66</v>
      </c>
      <c r="N7" s="77">
        <f>N16*'Historical Financials'!$N$10</f>
        <v>1159075.7200000002</v>
      </c>
      <c r="O7" s="77">
        <f>O16*'Historical Financials'!$O$10</f>
        <v>1011923.6000000001</v>
      </c>
      <c r="P7" s="77">
        <f>P16*'Historical Financials'!$P$10</f>
        <v>1045351.86</v>
      </c>
      <c r="Q7" s="77">
        <f>Q16*'Historical Financials'!$Q$10</f>
        <v>1457262.1799999992</v>
      </c>
      <c r="R7" s="77">
        <f>R16*'Historical Financials'!$R$10</f>
        <v>1144856.1599999997</v>
      </c>
      <c r="S7" s="77">
        <f>S16*'Historical Financials'!$S$10</f>
        <v>995313.93</v>
      </c>
      <c r="T7" s="77">
        <f>T16*'Historical Financials'!$T$10</f>
        <v>1037340.9999999999</v>
      </c>
      <c r="U7" s="77">
        <f>U16*'Historical Financials'!$U$10</f>
        <v>1360171.4100000001</v>
      </c>
      <c r="V7" s="77">
        <f>V16*'Historical Financials'!$V$10</f>
        <v>1139346.8</v>
      </c>
      <c r="W7" s="77">
        <f>W16*'Historical Financials'!$W$10</f>
        <v>1059618.22</v>
      </c>
      <c r="X7" s="77">
        <f>X16*'Historical Financials'!$X$10</f>
        <v>1171625.43</v>
      </c>
      <c r="Y7" s="5"/>
      <c r="Z7" s="30">
        <f t="shared" ref="Z7:Z12" si="1">SUM(L7:O7)</f>
        <v>4555312.9000000004</v>
      </c>
      <c r="AA7" s="30">
        <f t="shared" ref="AA7:AA12" si="2">SUM(M7:P7)</f>
        <v>4571595.84</v>
      </c>
      <c r="AB7" s="30">
        <f t="shared" ref="AB7:AB12" si="3">SUM(N7:Q7)</f>
        <v>4673613.3599999994</v>
      </c>
      <c r="AC7" s="30">
        <f t="shared" ref="AC7:AC12" si="4">SUM(O7:R7)</f>
        <v>4659393.7999999989</v>
      </c>
      <c r="AD7" s="30">
        <f t="shared" ref="AD7:AD12" si="5">SUM(P7:S7)</f>
        <v>4642784.129999999</v>
      </c>
      <c r="AE7" s="30">
        <f t="shared" ref="AE7:AE12" si="6">SUM(Q7:T7)</f>
        <v>4634773.2699999986</v>
      </c>
      <c r="AF7" s="30">
        <f t="shared" ref="AF7:AF12" si="7">SUM(R7:U7)</f>
        <v>4537682.5</v>
      </c>
      <c r="AG7" s="30">
        <f t="shared" ref="AG7:AG12" si="8">SUM(S7:V7)</f>
        <v>4532173.1399999997</v>
      </c>
      <c r="AH7" s="30">
        <f t="shared" ref="AH7:AH12" si="9">SUM(T7:W7)</f>
        <v>4596477.43</v>
      </c>
      <c r="AI7" s="30">
        <f t="shared" ref="AI7:AI11" si="10">SUM(U7:X7)</f>
        <v>4730761.8599999994</v>
      </c>
    </row>
    <row r="8" spans="1:35" ht="12.75" customHeight="1">
      <c r="A8" s="76"/>
      <c r="B8" s="9" t="s">
        <v>104</v>
      </c>
      <c r="C8" s="77">
        <f>C17*'Historical Financials'!$C$10</f>
        <v>1331652.24</v>
      </c>
      <c r="D8" s="77">
        <f>D17*'Historical Financials'!$D$10</f>
        <v>1230390.6000000001</v>
      </c>
      <c r="E8" s="77">
        <f>E17*'Historical Financials'!$E$10</f>
        <v>1726177.8</v>
      </c>
      <c r="F8" s="77">
        <f>F17*'Historical Financials'!$F$10</f>
        <v>2143801.7999999998</v>
      </c>
      <c r="G8" s="77">
        <f>G17*'Historical Financials'!$G$10</f>
        <v>2129387.5699999998</v>
      </c>
      <c r="H8" s="77">
        <f>H17*'Historical Financials'!$H$10</f>
        <v>2598000.42</v>
      </c>
      <c r="I8" s="10"/>
      <c r="J8" s="77">
        <f>J17*'Historical Financials'!$J$10</f>
        <v>469180.19999999995</v>
      </c>
      <c r="K8" s="77">
        <f>K17*'Historical Financials'!$K$10</f>
        <v>505364.86</v>
      </c>
      <c r="L8" s="77">
        <f>L17*'Historical Financials'!$L$10</f>
        <v>491146.53000000009</v>
      </c>
      <c r="M8" s="77">
        <f>M17*'Historical Financials'!$M$10</f>
        <v>677622.33</v>
      </c>
      <c r="N8" s="77">
        <f>N17*'Historical Financials'!$N$10</f>
        <v>474167.34000000008</v>
      </c>
      <c r="O8" s="77">
        <f>O17*'Historical Financials'!$O$10</f>
        <v>531259.89</v>
      </c>
      <c r="P8" s="77">
        <f>P17*'Historical Financials'!$P$10</f>
        <v>472897.27</v>
      </c>
      <c r="Q8" s="77">
        <f>Q17*'Historical Financials'!$Q$10</f>
        <v>675316.61999999965</v>
      </c>
      <c r="R8" s="77">
        <f>R17*'Historical Financials'!$R$10</f>
        <v>517911.11999999994</v>
      </c>
      <c r="S8" s="77">
        <f>S17*'Historical Financials'!$S$10</f>
        <v>510417.4</v>
      </c>
      <c r="T8" s="77">
        <f>T17*'Historical Financials'!$T$10</f>
        <v>506020</v>
      </c>
      <c r="U8" s="77">
        <f>U17*'Historical Financials'!$U$10</f>
        <v>802152.37</v>
      </c>
      <c r="V8" s="77">
        <f>V17*'Historical Financials'!$V$10</f>
        <v>712091.75</v>
      </c>
      <c r="W8" s="77">
        <f>W17*'Historical Financials'!$W$10</f>
        <v>697117.25</v>
      </c>
      <c r="X8" s="77">
        <f>X17*'Historical Financials'!$X$10</f>
        <v>542948.37</v>
      </c>
      <c r="Y8" s="5"/>
      <c r="Z8" s="30">
        <f t="shared" si="1"/>
        <v>2174196.0900000003</v>
      </c>
      <c r="AA8" s="30">
        <f t="shared" si="2"/>
        <v>2155946.83</v>
      </c>
      <c r="AB8" s="30">
        <f t="shared" si="3"/>
        <v>2153641.1199999996</v>
      </c>
      <c r="AC8" s="30">
        <f t="shared" si="4"/>
        <v>2197384.9</v>
      </c>
      <c r="AD8" s="30">
        <f t="shared" si="5"/>
        <v>2176542.4099999997</v>
      </c>
      <c r="AE8" s="30">
        <f t="shared" si="6"/>
        <v>2209665.1399999997</v>
      </c>
      <c r="AF8" s="30">
        <f t="shared" si="7"/>
        <v>2336500.89</v>
      </c>
      <c r="AG8" s="30">
        <f t="shared" si="8"/>
        <v>2530681.52</v>
      </c>
      <c r="AH8" s="30">
        <f t="shared" si="9"/>
        <v>2717381.37</v>
      </c>
      <c r="AI8" s="30">
        <f t="shared" si="10"/>
        <v>2754309.74</v>
      </c>
    </row>
    <row r="9" spans="1:35" ht="12.75" customHeight="1">
      <c r="A9" s="76"/>
      <c r="B9" s="9" t="s">
        <v>105</v>
      </c>
      <c r="C9" s="77">
        <f>C18*'Historical Financials'!$C$10</f>
        <v>1035729.5200000001</v>
      </c>
      <c r="D9" s="77">
        <f>D18*'Historical Financials'!$D$10</f>
        <v>984312.48</v>
      </c>
      <c r="E9" s="77">
        <f>E18*'Historical Financials'!$E$10</f>
        <v>1467251.1300000001</v>
      </c>
      <c r="F9" s="77">
        <f>F18*'Historical Financials'!$F$10</f>
        <v>1735458.6</v>
      </c>
      <c r="G9" s="77">
        <f>G18*'Historical Financials'!$G$10</f>
        <v>2129387.5699999998</v>
      </c>
      <c r="H9" s="77">
        <f>H18*'Historical Financials'!$H$10</f>
        <v>2146174.2600000002</v>
      </c>
      <c r="I9" s="10"/>
      <c r="J9" s="77">
        <f>J18*'Historical Financials'!$J$10</f>
        <v>422262.17999999988</v>
      </c>
      <c r="K9" s="77">
        <f>K18*'Historical Financials'!$K$10</f>
        <v>390509.21</v>
      </c>
      <c r="L9" s="77">
        <f>L18*'Historical Financials'!$L$10</f>
        <v>374206.88000000006</v>
      </c>
      <c r="M9" s="77">
        <f>M18*'Historical Financials'!$M$10</f>
        <v>548551.41</v>
      </c>
      <c r="N9" s="77">
        <f>N18*'Historical Financials'!$N$10</f>
        <v>500509.97000000009</v>
      </c>
      <c r="O9" s="77">
        <f>O18*'Historical Financials'!$O$10</f>
        <v>505961.80000000005</v>
      </c>
      <c r="P9" s="77">
        <f>P18*'Historical Financials'!$P$10</f>
        <v>472897.27</v>
      </c>
      <c r="Q9" s="77">
        <f>Q18*'Historical Financials'!$Q$10</f>
        <v>675316.61999999965</v>
      </c>
      <c r="R9" s="77">
        <f>R18*'Historical Financials'!$R$10</f>
        <v>626945.03999999992</v>
      </c>
      <c r="S9" s="77">
        <f>S18*'Historical Financials'!$S$10</f>
        <v>612500.88</v>
      </c>
      <c r="T9" s="77">
        <f>T18*'Historical Financials'!$T$10</f>
        <v>581923</v>
      </c>
      <c r="U9" s="77">
        <f>U18*'Historical Financials'!$U$10</f>
        <v>662647.61</v>
      </c>
      <c r="V9" s="77">
        <f>V18*'Historical Financials'!$V$10</f>
        <v>512706.06</v>
      </c>
      <c r="W9" s="77">
        <f>W18*'Historical Financials'!$W$10</f>
        <v>529809.11</v>
      </c>
      <c r="X9" s="77">
        <f>X18*'Historical Financials'!$X$10</f>
        <v>685829.52</v>
      </c>
      <c r="Y9" s="5"/>
      <c r="Z9" s="30">
        <f t="shared" si="1"/>
        <v>1929230.0600000003</v>
      </c>
      <c r="AA9" s="30">
        <f t="shared" si="2"/>
        <v>2027920.4500000002</v>
      </c>
      <c r="AB9" s="30">
        <f t="shared" si="3"/>
        <v>2154685.6599999997</v>
      </c>
      <c r="AC9" s="30">
        <f t="shared" si="4"/>
        <v>2281120.7299999995</v>
      </c>
      <c r="AD9" s="30">
        <f t="shared" si="5"/>
        <v>2387659.8099999996</v>
      </c>
      <c r="AE9" s="30">
        <f t="shared" si="6"/>
        <v>2496685.5399999996</v>
      </c>
      <c r="AF9" s="30">
        <f t="shared" si="7"/>
        <v>2484016.5299999998</v>
      </c>
      <c r="AG9" s="30">
        <f t="shared" si="8"/>
        <v>2369777.5499999998</v>
      </c>
      <c r="AH9" s="30">
        <f t="shared" si="9"/>
        <v>2287085.7799999998</v>
      </c>
      <c r="AI9" s="30">
        <f t="shared" si="10"/>
        <v>2390992.2999999998</v>
      </c>
    </row>
    <row r="10" spans="1:35" ht="12.75" customHeight="1">
      <c r="A10" s="76"/>
      <c r="B10" s="9" t="s">
        <v>106</v>
      </c>
      <c r="C10" s="77">
        <f>C19*'Historical Financials'!$C$10</f>
        <v>665826.12</v>
      </c>
      <c r="D10" s="77">
        <f>D19*'Historical Financials'!$D$10</f>
        <v>738234.36</v>
      </c>
      <c r="E10" s="77">
        <f>E19*'Historical Financials'!$E$10</f>
        <v>1208324.4600000002</v>
      </c>
      <c r="F10" s="77">
        <f>F19*'Historical Financials'!$F$10</f>
        <v>1429201.2000000002</v>
      </c>
      <c r="G10" s="77">
        <f>G19*'Historical Financials'!$G$10</f>
        <v>1681095.4499999997</v>
      </c>
      <c r="H10" s="77">
        <f>H19*'Historical Financials'!$H$10</f>
        <v>1468435.02</v>
      </c>
      <c r="I10" s="10"/>
      <c r="J10" s="77">
        <f>J19*'Historical Financials'!$J$10</f>
        <v>281508.11999999994</v>
      </c>
      <c r="K10" s="77">
        <f>K19*'Historical Financials'!$K$10</f>
        <v>275653.56</v>
      </c>
      <c r="L10" s="77">
        <f>L19*'Historical Financials'!$L$10</f>
        <v>280655.16000000003</v>
      </c>
      <c r="M10" s="77">
        <f>M19*'Historical Financials'!$M$10</f>
        <v>451748.22000000003</v>
      </c>
      <c r="N10" s="77">
        <f>N19*'Historical Financials'!$N$10</f>
        <v>316111.56000000006</v>
      </c>
      <c r="O10" s="77">
        <f>O19*'Historical Financials'!$O$10</f>
        <v>303577.08</v>
      </c>
      <c r="P10" s="77">
        <f>P19*'Historical Financials'!$P$10</f>
        <v>323561.29000000004</v>
      </c>
      <c r="Q10" s="77">
        <f>Q19*'Historical Financials'!$Q$10</f>
        <v>533144.69999999972</v>
      </c>
      <c r="R10" s="77">
        <f>R19*'Historical Financials'!$R$10</f>
        <v>272584.8</v>
      </c>
      <c r="S10" s="77">
        <f>S19*'Historical Financials'!$S$10</f>
        <v>280729.57</v>
      </c>
      <c r="T10" s="77">
        <f>T19*'Historical Financials'!$T$10</f>
        <v>253010</v>
      </c>
      <c r="U10" s="77">
        <f>U19*'Historical Financials'!$U$10</f>
        <v>453390.47000000003</v>
      </c>
      <c r="V10" s="77">
        <f>V19*'Historical Financials'!$V$10</f>
        <v>313320.37</v>
      </c>
      <c r="W10" s="77">
        <f>W19*'Historical Financials'!$W$10</f>
        <v>334616.27999999997</v>
      </c>
      <c r="X10" s="77">
        <f>X19*'Historical Financials'!$X$10</f>
        <v>314338.53000000003</v>
      </c>
      <c r="Y10" s="5"/>
      <c r="Z10" s="30">
        <f t="shared" si="1"/>
        <v>1352092.0200000003</v>
      </c>
      <c r="AA10" s="30">
        <f t="shared" si="2"/>
        <v>1394998.1500000001</v>
      </c>
      <c r="AB10" s="30">
        <f t="shared" si="3"/>
        <v>1476394.63</v>
      </c>
      <c r="AC10" s="30">
        <f t="shared" si="4"/>
        <v>1432867.8699999999</v>
      </c>
      <c r="AD10" s="30">
        <f t="shared" si="5"/>
        <v>1410020.3599999999</v>
      </c>
      <c r="AE10" s="30">
        <f t="shared" si="6"/>
        <v>1339469.0699999998</v>
      </c>
      <c r="AF10" s="30">
        <f t="shared" si="7"/>
        <v>1259714.8400000001</v>
      </c>
      <c r="AG10" s="30">
        <f t="shared" si="8"/>
        <v>1300450.4100000001</v>
      </c>
      <c r="AH10" s="30">
        <f t="shared" si="9"/>
        <v>1354337.1199999999</v>
      </c>
      <c r="AI10" s="30">
        <f t="shared" si="10"/>
        <v>1415665.6500000001</v>
      </c>
    </row>
    <row r="11" spans="1:35" ht="12.75" customHeight="1">
      <c r="B11" s="9" t="s">
        <v>107</v>
      </c>
      <c r="C11" s="77">
        <f>C20*'Historical Financials'!$C$10</f>
        <v>369903.4</v>
      </c>
      <c r="D11" s="77">
        <f>D20*'Historical Financials'!$D$10</f>
        <v>184558.59</v>
      </c>
      <c r="E11" s="77">
        <f>E20*'Historical Financials'!$E$10</f>
        <v>258926.66999999998</v>
      </c>
      <c r="F11" s="77">
        <f>F20*'Historical Financials'!$F$10</f>
        <v>306257.39999999997</v>
      </c>
      <c r="G11" s="77">
        <f>G20*'Historical Financials'!$G$10</f>
        <v>336219.08999999991</v>
      </c>
      <c r="H11" s="77">
        <f>H20*'Historical Financials'!$H$10</f>
        <v>451826.16000000003</v>
      </c>
      <c r="I11" s="77"/>
      <c r="J11" s="77">
        <f>J20*'Historical Financials'!$J$10</f>
        <v>70377.029999999984</v>
      </c>
      <c r="K11" s="77">
        <f>K20*'Historical Financials'!$K$10</f>
        <v>91884.52</v>
      </c>
      <c r="L11" s="77">
        <f>L20*'Historical Financials'!$L$10</f>
        <v>93551.720000000016</v>
      </c>
      <c r="M11" s="77">
        <f>M20*'Historical Financials'!$M$10</f>
        <v>96803.19</v>
      </c>
      <c r="N11" s="77">
        <f>N20*'Historical Financials'!$N$10</f>
        <v>105370.52000000002</v>
      </c>
      <c r="O11" s="77">
        <f>O20*'Historical Financials'!$O$10</f>
        <v>101192.36</v>
      </c>
      <c r="P11" s="77">
        <f>P20*'Historical Financials'!$P$10</f>
        <v>99557.32</v>
      </c>
      <c r="Q11" s="77">
        <f>Q20*'Historical Financials'!$Q$10</f>
        <v>106628.93999999994</v>
      </c>
      <c r="R11" s="77">
        <f>R20*'Historical Financials'!$R$10</f>
        <v>109033.91999999998</v>
      </c>
      <c r="S11" s="77">
        <f>S20*'Historical Financials'!$S$10</f>
        <v>102083.48</v>
      </c>
      <c r="T11" s="77">
        <f>T20*'Historical Financials'!$T$10</f>
        <v>101204</v>
      </c>
      <c r="U11" s="77">
        <f>U20*'Historical Financials'!$U$10</f>
        <v>139504.76</v>
      </c>
      <c r="V11" s="77">
        <f>V20*'Historical Financials'!$V$10</f>
        <v>113934.68000000001</v>
      </c>
      <c r="W11" s="77">
        <f>W20*'Historical Financials'!$W$10</f>
        <v>111538.76000000001</v>
      </c>
      <c r="X11" s="77">
        <f>X20*'Historical Financials'!$X$10</f>
        <v>85728.69</v>
      </c>
      <c r="Y11" s="5"/>
      <c r="Z11" s="30">
        <f t="shared" si="1"/>
        <v>396917.79000000004</v>
      </c>
      <c r="AA11" s="30">
        <f t="shared" si="2"/>
        <v>402923.39</v>
      </c>
      <c r="AB11" s="30">
        <f t="shared" si="3"/>
        <v>412749.13999999996</v>
      </c>
      <c r="AC11" s="30">
        <f t="shared" si="4"/>
        <v>416412.53999999992</v>
      </c>
      <c r="AD11" s="30">
        <f t="shared" si="5"/>
        <v>417303.65999999992</v>
      </c>
      <c r="AE11" s="30">
        <f t="shared" si="6"/>
        <v>418950.33999999991</v>
      </c>
      <c r="AF11" s="30">
        <f t="shared" si="7"/>
        <v>451826.16</v>
      </c>
      <c r="AG11" s="30">
        <f t="shared" si="8"/>
        <v>456726.92</v>
      </c>
      <c r="AH11" s="30">
        <f t="shared" si="9"/>
        <v>466182.2</v>
      </c>
      <c r="AI11" s="30">
        <f t="shared" si="10"/>
        <v>450706.89</v>
      </c>
    </row>
    <row r="12" spans="1:35" ht="12.75" customHeight="1">
      <c r="B12" s="9" t="s">
        <v>108</v>
      </c>
      <c r="C12" s="77">
        <f>C21*'Historical Financials'!$C$10</f>
        <v>221942.03999999998</v>
      </c>
      <c r="D12" s="77">
        <f>D21*'Historical Financials'!$D$10</f>
        <v>246078.12</v>
      </c>
      <c r="E12" s="77">
        <f>E21*'Historical Financials'!$E$10</f>
        <v>258926.66999999998</v>
      </c>
      <c r="F12" s="77">
        <f>F21*'Historical Financials'!$F$10</f>
        <v>306257.39999999997</v>
      </c>
      <c r="G12" s="77">
        <f>G21*'Historical Financials'!$G$10</f>
        <v>336219.08999999991</v>
      </c>
      <c r="H12" s="77">
        <f>H21*'Historical Financials'!$H$10</f>
        <v>225913.08000000002</v>
      </c>
      <c r="I12" s="77"/>
      <c r="J12" s="77">
        <f>J21*'Historical Financials'!$J$10</f>
        <v>70377.029999999984</v>
      </c>
      <c r="K12" s="77">
        <f>K21*'Historical Financials'!$K$10</f>
        <v>68913.39</v>
      </c>
      <c r="L12" s="77">
        <f>L21*'Historical Financials'!$L$10</f>
        <v>70163.790000000008</v>
      </c>
      <c r="M12" s="77">
        <f>M21*'Historical Financials'!$M$10</f>
        <v>96803.19</v>
      </c>
      <c r="N12" s="77">
        <f>N21*'Historical Financials'!$N$10</f>
        <v>79027.890000000014</v>
      </c>
      <c r="O12" s="77">
        <f>O21*'Historical Financials'!$O$10</f>
        <v>75894.27</v>
      </c>
      <c r="P12" s="77">
        <f>P21*'Historical Financials'!$P$10</f>
        <v>74667.989999999991</v>
      </c>
      <c r="Q12" s="77">
        <f>Q21*'Historical Financials'!$Q$10</f>
        <v>106628.93999999994</v>
      </c>
      <c r="R12" s="77">
        <f>R21*'Historical Financials'!$R$10</f>
        <v>54516.959999999992</v>
      </c>
      <c r="S12" s="77">
        <f>S21*'Historical Financials'!$S$10</f>
        <v>51041.74</v>
      </c>
      <c r="T12" s="77">
        <f>T21*'Historical Financials'!$T$10</f>
        <v>50602</v>
      </c>
      <c r="U12" s="77">
        <f>U21*'Historical Financials'!$U$10</f>
        <v>69752.38</v>
      </c>
      <c r="V12" s="77">
        <f>V21*'Historical Financials'!$V$10</f>
        <v>56967.340000000004</v>
      </c>
      <c r="W12" s="77">
        <f>W21*'Historical Financials'!$W$10</f>
        <v>55769.380000000005</v>
      </c>
      <c r="X12" s="77">
        <f>X21*'Historical Financials'!$X$10</f>
        <v>57152.46</v>
      </c>
      <c r="Y12" s="5"/>
      <c r="Z12" s="30">
        <f t="shared" si="1"/>
        <v>321889.14</v>
      </c>
      <c r="AA12" s="30">
        <f t="shared" si="2"/>
        <v>326393.34000000003</v>
      </c>
      <c r="AB12" s="30">
        <f t="shared" si="3"/>
        <v>336219.08999999997</v>
      </c>
      <c r="AC12" s="30">
        <f t="shared" si="4"/>
        <v>311708.15999999992</v>
      </c>
      <c r="AD12" s="30">
        <f t="shared" si="5"/>
        <v>286855.62999999995</v>
      </c>
      <c r="AE12" s="30">
        <f t="shared" si="6"/>
        <v>262789.6399999999</v>
      </c>
      <c r="AF12" s="30">
        <f t="shared" si="7"/>
        <v>225913.08</v>
      </c>
      <c r="AG12" s="30">
        <f t="shared" si="8"/>
        <v>228363.46</v>
      </c>
      <c r="AH12" s="30">
        <f t="shared" si="9"/>
        <v>233091.1</v>
      </c>
      <c r="AI12" s="30">
        <f>SUM(U12:X12)</f>
        <v>239641.56</v>
      </c>
    </row>
    <row r="13" spans="1:35" ht="12.75" customHeight="1">
      <c r="B13" s="12" t="s">
        <v>75</v>
      </c>
      <c r="C13" s="13">
        <f>SUM(C7:C12)</f>
        <v>7398068.0000000009</v>
      </c>
      <c r="D13" s="13">
        <f t="shared" ref="D13:H13" si="11">SUM(D7:D12)</f>
        <v>6151953</v>
      </c>
      <c r="E13" s="13">
        <f t="shared" si="11"/>
        <v>8630889</v>
      </c>
      <c r="F13" s="13">
        <f t="shared" si="11"/>
        <v>10208580</v>
      </c>
      <c r="G13" s="13">
        <f t="shared" si="11"/>
        <v>11207302.999999998</v>
      </c>
      <c r="H13" s="13">
        <f t="shared" si="11"/>
        <v>11295654</v>
      </c>
      <c r="I13" s="11"/>
      <c r="J13" s="13">
        <f t="shared" ref="J13" si="12">SUM(J7:J12)</f>
        <v>2345900.9999999991</v>
      </c>
      <c r="K13" s="13">
        <f t="shared" ref="K13" si="13">SUM(K7:K12)</f>
        <v>2297113</v>
      </c>
      <c r="L13" s="13">
        <f t="shared" ref="L13" si="14">SUM(L7:L12)</f>
        <v>2338793.0000000005</v>
      </c>
      <c r="M13" s="13">
        <f t="shared" ref="M13" si="15">SUM(M7:M12)</f>
        <v>3226773</v>
      </c>
      <c r="N13" s="13">
        <f t="shared" ref="N13" si="16">SUM(N7:N12)</f>
        <v>2634263.0000000005</v>
      </c>
      <c r="O13" s="13">
        <f t="shared" ref="O13" si="17">SUM(O7:O12)</f>
        <v>2529809</v>
      </c>
      <c r="P13" s="13">
        <f t="shared" ref="P13" si="18">SUM(P7:P12)</f>
        <v>2488933</v>
      </c>
      <c r="Q13" s="13">
        <f t="shared" ref="Q13" si="19">SUM(Q7:Q12)</f>
        <v>3554297.9999999981</v>
      </c>
      <c r="R13" s="13">
        <f t="shared" ref="R13" si="20">SUM(R7:R12)</f>
        <v>2725847.9999999991</v>
      </c>
      <c r="S13" s="13">
        <f t="shared" ref="S13" si="21">SUM(S7:S12)</f>
        <v>2552087</v>
      </c>
      <c r="T13" s="13">
        <f t="shared" ref="T13" si="22">SUM(T7:T12)</f>
        <v>2530100</v>
      </c>
      <c r="U13" s="13">
        <f t="shared" ref="U13" si="23">SUM(U7:U12)</f>
        <v>3487619</v>
      </c>
      <c r="V13" s="13">
        <f t="shared" ref="V13" si="24">SUM(V7:V12)</f>
        <v>2848367</v>
      </c>
      <c r="W13" s="13">
        <f t="shared" ref="W13" si="25">SUM(W7:W12)</f>
        <v>2788469</v>
      </c>
      <c r="X13" s="13">
        <f t="shared" ref="X13" si="26">SUM(X7:X12)</f>
        <v>2857622.9999999995</v>
      </c>
      <c r="Y13" s="5"/>
      <c r="Z13" s="13">
        <f t="shared" ref="Z13" si="27">SUM(Z7:Z12)</f>
        <v>10729638</v>
      </c>
      <c r="AA13" s="13">
        <f t="shared" ref="AA13" si="28">SUM(AA7:AA12)</f>
        <v>10879778.000000002</v>
      </c>
      <c r="AB13" s="13">
        <f t="shared" ref="AB13" si="29">SUM(AB7:AB12)</f>
        <v>11207303</v>
      </c>
      <c r="AC13" s="13">
        <f t="shared" ref="AC13" si="30">SUM(AC7:AC12)</f>
        <v>11298887.999999998</v>
      </c>
      <c r="AD13" s="13">
        <f t="shared" ref="AD13" si="31">SUM(AD7:AD12)</f>
        <v>11321165.999999998</v>
      </c>
      <c r="AE13" s="13">
        <f t="shared" ref="AE13" si="32">SUM(AE7:AE12)</f>
        <v>11362332.999999998</v>
      </c>
      <c r="AF13" s="13">
        <f t="shared" ref="AF13" si="33">SUM(AF7:AF12)</f>
        <v>11295654</v>
      </c>
      <c r="AG13" s="13">
        <f t="shared" ref="AG13" si="34">SUM(AG7:AG12)</f>
        <v>11418173.000000002</v>
      </c>
      <c r="AH13" s="13">
        <f t="shared" ref="AH13" si="35">SUM(AH7:AH12)</f>
        <v>11654554.999999998</v>
      </c>
      <c r="AI13" s="13">
        <f t="shared" ref="AH13:AI13" si="36">SUM(AI7:AI12)</f>
        <v>11982078</v>
      </c>
    </row>
    <row r="14" spans="1:35" outlineLevel="1">
      <c r="B14" s="151" t="s">
        <v>68</v>
      </c>
      <c r="C14" s="75">
        <f>C13-'Historical Financials'!C11</f>
        <v>0</v>
      </c>
      <c r="D14" s="75">
        <f>D13-'Historical Financials'!D11</f>
        <v>0</v>
      </c>
      <c r="E14" s="75">
        <f>E13-'Historical Financials'!E11</f>
        <v>0</v>
      </c>
      <c r="F14" s="75">
        <f>F13-'Historical Financials'!F11</f>
        <v>0</v>
      </c>
      <c r="G14" s="75">
        <f>G13-'Historical Financials'!G11</f>
        <v>0</v>
      </c>
      <c r="H14" s="75">
        <f>H13-'Historical Financials'!H11</f>
        <v>0</v>
      </c>
      <c r="I14" s="11"/>
      <c r="J14" s="75">
        <f>J13-'Historical Financials'!J11</f>
        <v>0</v>
      </c>
      <c r="K14" s="75">
        <f>K13-'Historical Financials'!K11</f>
        <v>0</v>
      </c>
      <c r="L14" s="75">
        <f>L13-'Historical Financials'!L11</f>
        <v>0</v>
      </c>
      <c r="M14" s="75">
        <f>M13-'Historical Financials'!M11</f>
        <v>0</v>
      </c>
      <c r="N14" s="75">
        <f>N13-'Historical Financials'!N11</f>
        <v>0</v>
      </c>
      <c r="O14" s="75">
        <f>O13-'Historical Financials'!O11</f>
        <v>0</v>
      </c>
      <c r="P14" s="75">
        <f>P13-'Historical Financials'!P11</f>
        <v>0</v>
      </c>
      <c r="Q14" s="75">
        <f>Q13-'Historical Financials'!Q11</f>
        <v>0</v>
      </c>
      <c r="R14" s="75">
        <f>R13-'Historical Financials'!R11</f>
        <v>0</v>
      </c>
      <c r="S14" s="75">
        <f>S13-'Historical Financials'!S11</f>
        <v>0</v>
      </c>
      <c r="T14" s="75">
        <f>T13-'Historical Financials'!T11</f>
        <v>0</v>
      </c>
      <c r="U14" s="75">
        <f>U13-'Historical Financials'!U11</f>
        <v>0</v>
      </c>
      <c r="V14" s="75">
        <f>V13-'Historical Financials'!V11</f>
        <v>0</v>
      </c>
      <c r="W14" s="75">
        <f>W13-'Historical Financials'!W11</f>
        <v>0</v>
      </c>
      <c r="X14" s="75">
        <f>X13-'Historical Financials'!X11</f>
        <v>0</v>
      </c>
      <c r="Y14" s="75"/>
      <c r="Z14" s="75">
        <f>Z13-'Historical Financials'!AB11</f>
        <v>0</v>
      </c>
      <c r="AA14" s="75">
        <f>AA13-'Historical Financials'!AC11</f>
        <v>0</v>
      </c>
      <c r="AB14" s="75">
        <f>AB13-'Historical Financials'!AD11</f>
        <v>0</v>
      </c>
      <c r="AC14" s="75">
        <f>AC13-'Historical Financials'!AE11</f>
        <v>0</v>
      </c>
      <c r="AD14" s="75">
        <f>AD13-'Historical Financials'!AF11</f>
        <v>0</v>
      </c>
      <c r="AE14" s="75">
        <f>AE13-'Historical Financials'!AG11</f>
        <v>0</v>
      </c>
      <c r="AF14" s="75">
        <f>AF13-'Historical Financials'!AH11</f>
        <v>0</v>
      </c>
      <c r="AG14" s="75">
        <f>AG13-'Historical Financials'!AI11</f>
        <v>0</v>
      </c>
      <c r="AH14" s="75">
        <f>AH13-'Historical Financials'!AJ11</f>
        <v>0</v>
      </c>
      <c r="AI14" s="75">
        <f>AI13-'Historical Financials'!AK11</f>
        <v>0</v>
      </c>
    </row>
    <row r="15" spans="1:35" ht="5.0999999999999996" customHeight="1">
      <c r="B15" s="16"/>
      <c r="C15" s="17"/>
      <c r="D15" s="17"/>
      <c r="E15" s="17"/>
      <c r="F15" s="17"/>
      <c r="G15" s="17"/>
      <c r="H15" s="17"/>
      <c r="I15" s="18"/>
      <c r="J15" s="19"/>
      <c r="K15" s="19"/>
      <c r="L15" s="19"/>
      <c r="M15" s="20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spans="1:35">
      <c r="B16" s="142" t="str">
        <f>B7&amp;"(%)"</f>
        <v>Cosmetics(%)</v>
      </c>
      <c r="C16" s="143">
        <v>0.51</v>
      </c>
      <c r="D16" s="143">
        <v>0.45</v>
      </c>
      <c r="E16" s="143">
        <v>0.43</v>
      </c>
      <c r="F16" s="143">
        <v>0.42</v>
      </c>
      <c r="G16" s="143">
        <v>0.41</v>
      </c>
      <c r="H16" s="143">
        <v>0.39</v>
      </c>
      <c r="I16" s="143"/>
      <c r="J16" s="143">
        <v>0.44</v>
      </c>
      <c r="K16" s="143">
        <v>0.42</v>
      </c>
      <c r="L16" s="143">
        <v>0.44</v>
      </c>
      <c r="M16" s="148">
        <f>F16</f>
        <v>0.42</v>
      </c>
      <c r="N16" s="143">
        <v>0.44</v>
      </c>
      <c r="O16" s="143">
        <v>0.4</v>
      </c>
      <c r="P16" s="143">
        <v>0.42</v>
      </c>
      <c r="Q16" s="148">
        <f>G16</f>
        <v>0.41</v>
      </c>
      <c r="R16" s="143">
        <v>0.42</v>
      </c>
      <c r="S16" s="143">
        <v>0.39</v>
      </c>
      <c r="T16" s="143">
        <v>0.41</v>
      </c>
      <c r="U16" s="148">
        <f>H16</f>
        <v>0.39</v>
      </c>
      <c r="V16" s="143">
        <v>0.4</v>
      </c>
      <c r="W16" s="143">
        <v>0.38</v>
      </c>
      <c r="X16" s="143">
        <v>0.41</v>
      </c>
      <c r="Y16" s="143"/>
      <c r="Z16" s="148">
        <f t="shared" ref="Z16:AH21" si="37">O16</f>
        <v>0.4</v>
      </c>
      <c r="AA16" s="148">
        <f t="shared" si="37"/>
        <v>0.42</v>
      </c>
      <c r="AB16" s="148">
        <f t="shared" si="37"/>
        <v>0.41</v>
      </c>
      <c r="AC16" s="148">
        <f t="shared" si="37"/>
        <v>0.42</v>
      </c>
      <c r="AD16" s="148">
        <f t="shared" si="37"/>
        <v>0.39</v>
      </c>
      <c r="AE16" s="148">
        <f t="shared" si="37"/>
        <v>0.41</v>
      </c>
      <c r="AF16" s="148">
        <f t="shared" si="37"/>
        <v>0.39</v>
      </c>
      <c r="AG16" s="148">
        <f t="shared" si="37"/>
        <v>0.4</v>
      </c>
      <c r="AH16" s="148">
        <f t="shared" si="37"/>
        <v>0.38</v>
      </c>
      <c r="AI16" s="152">
        <f>X16</f>
        <v>0.41</v>
      </c>
    </row>
    <row r="17" spans="2:35">
      <c r="B17" s="144" t="str">
        <f t="shared" ref="B17:B20" si="38">B8&amp;"(%)"</f>
        <v>Haircare products and styling tools(%)</v>
      </c>
      <c r="C17" s="145">
        <v>0.18</v>
      </c>
      <c r="D17" s="145">
        <v>0.2</v>
      </c>
      <c r="E17" s="145">
        <v>0.2</v>
      </c>
      <c r="F17" s="145">
        <v>0.21</v>
      </c>
      <c r="G17" s="145">
        <v>0.19</v>
      </c>
      <c r="H17" s="145">
        <v>0.23</v>
      </c>
      <c r="I17" s="145"/>
      <c r="J17" s="145">
        <v>0.2</v>
      </c>
      <c r="K17" s="145">
        <v>0.22</v>
      </c>
      <c r="L17" s="145">
        <v>0.21</v>
      </c>
      <c r="M17" s="149">
        <f>F17</f>
        <v>0.21</v>
      </c>
      <c r="N17" s="145">
        <v>0.18</v>
      </c>
      <c r="O17" s="145">
        <v>0.21</v>
      </c>
      <c r="P17" s="145">
        <v>0.19</v>
      </c>
      <c r="Q17" s="149">
        <f t="shared" ref="Q17:Q21" si="39">G17</f>
        <v>0.19</v>
      </c>
      <c r="R17" s="145">
        <v>0.19</v>
      </c>
      <c r="S17" s="145">
        <v>0.2</v>
      </c>
      <c r="T17" s="145">
        <v>0.2</v>
      </c>
      <c r="U17" s="149">
        <f t="shared" ref="U17:U21" si="40">H17</f>
        <v>0.23</v>
      </c>
      <c r="V17" s="145">
        <v>0.25</v>
      </c>
      <c r="W17" s="145">
        <v>0.25</v>
      </c>
      <c r="X17" s="145">
        <v>0.19</v>
      </c>
      <c r="Y17" s="145"/>
      <c r="Z17" s="149">
        <f t="shared" si="37"/>
        <v>0.21</v>
      </c>
      <c r="AA17" s="149">
        <f t="shared" si="37"/>
        <v>0.19</v>
      </c>
      <c r="AB17" s="149">
        <f t="shared" si="37"/>
        <v>0.19</v>
      </c>
      <c r="AC17" s="149">
        <f t="shared" si="37"/>
        <v>0.19</v>
      </c>
      <c r="AD17" s="149">
        <f t="shared" si="37"/>
        <v>0.2</v>
      </c>
      <c r="AE17" s="149">
        <f t="shared" si="37"/>
        <v>0.2</v>
      </c>
      <c r="AF17" s="149">
        <f t="shared" si="37"/>
        <v>0.23</v>
      </c>
      <c r="AG17" s="149">
        <f t="shared" si="37"/>
        <v>0.25</v>
      </c>
      <c r="AH17" s="149">
        <f t="shared" si="37"/>
        <v>0.25</v>
      </c>
      <c r="AI17" s="153">
        <f t="shared" ref="AI17:AI21" si="41">X17</f>
        <v>0.19</v>
      </c>
    </row>
    <row r="18" spans="2:35">
      <c r="B18" s="144" t="str">
        <f t="shared" si="38"/>
        <v>Skincare(%)</v>
      </c>
      <c r="C18" s="145">
        <v>0.14000000000000001</v>
      </c>
      <c r="D18" s="145">
        <v>0.16</v>
      </c>
      <c r="E18" s="145">
        <v>0.17</v>
      </c>
      <c r="F18" s="145">
        <v>0.17</v>
      </c>
      <c r="G18" s="145">
        <v>0.19</v>
      </c>
      <c r="H18" s="145">
        <v>0.19</v>
      </c>
      <c r="I18" s="145"/>
      <c r="J18" s="145">
        <v>0.18</v>
      </c>
      <c r="K18" s="145">
        <v>0.17</v>
      </c>
      <c r="L18" s="145">
        <v>0.16</v>
      </c>
      <c r="M18" s="149">
        <f t="shared" ref="M18:M21" si="42">F18</f>
        <v>0.17</v>
      </c>
      <c r="N18" s="145">
        <v>0.19</v>
      </c>
      <c r="O18" s="145">
        <v>0.2</v>
      </c>
      <c r="P18" s="145">
        <v>0.19</v>
      </c>
      <c r="Q18" s="149">
        <f t="shared" si="39"/>
        <v>0.19</v>
      </c>
      <c r="R18" s="145">
        <v>0.23</v>
      </c>
      <c r="S18" s="145">
        <v>0.24</v>
      </c>
      <c r="T18" s="145">
        <v>0.23</v>
      </c>
      <c r="U18" s="149">
        <f t="shared" si="40"/>
        <v>0.19</v>
      </c>
      <c r="V18" s="145">
        <v>0.18</v>
      </c>
      <c r="W18" s="145">
        <v>0.19</v>
      </c>
      <c r="X18" s="145">
        <v>0.24</v>
      </c>
      <c r="Y18" s="145"/>
      <c r="Z18" s="149">
        <f t="shared" si="37"/>
        <v>0.2</v>
      </c>
      <c r="AA18" s="149">
        <f t="shared" si="37"/>
        <v>0.19</v>
      </c>
      <c r="AB18" s="149">
        <f t="shared" si="37"/>
        <v>0.19</v>
      </c>
      <c r="AC18" s="149">
        <f t="shared" si="37"/>
        <v>0.23</v>
      </c>
      <c r="AD18" s="149">
        <f t="shared" si="37"/>
        <v>0.24</v>
      </c>
      <c r="AE18" s="149">
        <f t="shared" si="37"/>
        <v>0.23</v>
      </c>
      <c r="AF18" s="149">
        <f t="shared" si="37"/>
        <v>0.19</v>
      </c>
      <c r="AG18" s="149">
        <f t="shared" si="37"/>
        <v>0.18</v>
      </c>
      <c r="AH18" s="149">
        <f t="shared" si="37"/>
        <v>0.19</v>
      </c>
      <c r="AI18" s="153">
        <f t="shared" si="41"/>
        <v>0.24</v>
      </c>
    </row>
    <row r="19" spans="2:35">
      <c r="B19" s="144" t="str">
        <f t="shared" si="38"/>
        <v>Fragrance and bath(%)</v>
      </c>
      <c r="C19" s="145">
        <v>0.09</v>
      </c>
      <c r="D19" s="145">
        <v>0.12</v>
      </c>
      <c r="E19" s="145">
        <v>0.14000000000000001</v>
      </c>
      <c r="F19" s="145">
        <v>0.14000000000000001</v>
      </c>
      <c r="G19" s="145">
        <v>0.15</v>
      </c>
      <c r="H19" s="145">
        <v>0.13</v>
      </c>
      <c r="I19" s="145"/>
      <c r="J19" s="145">
        <v>0.12</v>
      </c>
      <c r="K19" s="145">
        <v>0.12</v>
      </c>
      <c r="L19" s="145">
        <v>0.12</v>
      </c>
      <c r="M19" s="149">
        <f t="shared" si="42"/>
        <v>0.14000000000000001</v>
      </c>
      <c r="N19" s="145">
        <v>0.12</v>
      </c>
      <c r="O19" s="145">
        <v>0.12</v>
      </c>
      <c r="P19" s="145">
        <v>0.13</v>
      </c>
      <c r="Q19" s="149">
        <f t="shared" si="39"/>
        <v>0.15</v>
      </c>
      <c r="R19" s="145">
        <v>0.1</v>
      </c>
      <c r="S19" s="145">
        <v>0.11</v>
      </c>
      <c r="T19" s="145">
        <v>0.1</v>
      </c>
      <c r="U19" s="149">
        <f t="shared" si="40"/>
        <v>0.13</v>
      </c>
      <c r="V19" s="145">
        <v>0.11</v>
      </c>
      <c r="W19" s="145">
        <v>0.12</v>
      </c>
      <c r="X19" s="145">
        <v>0.11</v>
      </c>
      <c r="Y19" s="145"/>
      <c r="Z19" s="149">
        <f t="shared" si="37"/>
        <v>0.12</v>
      </c>
      <c r="AA19" s="149">
        <f t="shared" si="37"/>
        <v>0.13</v>
      </c>
      <c r="AB19" s="149">
        <f t="shared" si="37"/>
        <v>0.15</v>
      </c>
      <c r="AC19" s="149">
        <f t="shared" si="37"/>
        <v>0.1</v>
      </c>
      <c r="AD19" s="149">
        <f t="shared" si="37"/>
        <v>0.11</v>
      </c>
      <c r="AE19" s="149">
        <f t="shared" si="37"/>
        <v>0.1</v>
      </c>
      <c r="AF19" s="149">
        <f t="shared" si="37"/>
        <v>0.13</v>
      </c>
      <c r="AG19" s="149">
        <f t="shared" si="37"/>
        <v>0.11</v>
      </c>
      <c r="AH19" s="149">
        <f t="shared" si="37"/>
        <v>0.12</v>
      </c>
      <c r="AI19" s="153">
        <f t="shared" si="41"/>
        <v>0.11</v>
      </c>
    </row>
    <row r="20" spans="2:35">
      <c r="B20" s="144" t="str">
        <f t="shared" si="38"/>
        <v>Services(%)</v>
      </c>
      <c r="C20" s="145">
        <v>0.05</v>
      </c>
      <c r="D20" s="145">
        <v>0.03</v>
      </c>
      <c r="E20" s="145">
        <v>0.03</v>
      </c>
      <c r="F20" s="145">
        <v>0.03</v>
      </c>
      <c r="G20" s="145">
        <v>0.03</v>
      </c>
      <c r="H20" s="145">
        <v>0.04</v>
      </c>
      <c r="I20" s="145"/>
      <c r="J20" s="145">
        <v>0.03</v>
      </c>
      <c r="K20" s="145">
        <v>0.04</v>
      </c>
      <c r="L20" s="145">
        <v>0.04</v>
      </c>
      <c r="M20" s="149">
        <f t="shared" si="42"/>
        <v>0.03</v>
      </c>
      <c r="N20" s="145">
        <v>0.04</v>
      </c>
      <c r="O20" s="145">
        <v>0.04</v>
      </c>
      <c r="P20" s="145">
        <v>0.04</v>
      </c>
      <c r="Q20" s="149">
        <f t="shared" si="39"/>
        <v>0.03</v>
      </c>
      <c r="R20" s="145">
        <v>0.04</v>
      </c>
      <c r="S20" s="145">
        <v>0.04</v>
      </c>
      <c r="T20" s="145">
        <v>0.04</v>
      </c>
      <c r="U20" s="149">
        <f t="shared" si="40"/>
        <v>0.04</v>
      </c>
      <c r="V20" s="145">
        <v>0.04</v>
      </c>
      <c r="W20" s="145">
        <v>0.04</v>
      </c>
      <c r="X20" s="145">
        <v>0.03</v>
      </c>
      <c r="Y20" s="145"/>
      <c r="Z20" s="149">
        <f t="shared" si="37"/>
        <v>0.04</v>
      </c>
      <c r="AA20" s="149">
        <f t="shared" si="37"/>
        <v>0.04</v>
      </c>
      <c r="AB20" s="149">
        <f t="shared" si="37"/>
        <v>0.03</v>
      </c>
      <c r="AC20" s="149">
        <f t="shared" si="37"/>
        <v>0.04</v>
      </c>
      <c r="AD20" s="149">
        <f t="shared" si="37"/>
        <v>0.04</v>
      </c>
      <c r="AE20" s="149">
        <f t="shared" si="37"/>
        <v>0.04</v>
      </c>
      <c r="AF20" s="149">
        <f t="shared" si="37"/>
        <v>0.04</v>
      </c>
      <c r="AG20" s="149">
        <f t="shared" si="37"/>
        <v>0.04</v>
      </c>
      <c r="AH20" s="149">
        <f t="shared" si="37"/>
        <v>0.04</v>
      </c>
      <c r="AI20" s="153">
        <f t="shared" si="41"/>
        <v>0.03</v>
      </c>
    </row>
    <row r="21" spans="2:35">
      <c r="B21" s="146" t="str">
        <f>B12&amp;"(%)"</f>
        <v>Accessories and other(%)</v>
      </c>
      <c r="C21" s="147">
        <v>0.03</v>
      </c>
      <c r="D21" s="147">
        <v>0.04</v>
      </c>
      <c r="E21" s="147">
        <v>0.03</v>
      </c>
      <c r="F21" s="147">
        <v>0.03</v>
      </c>
      <c r="G21" s="147">
        <v>0.03</v>
      </c>
      <c r="H21" s="147">
        <v>0.02</v>
      </c>
      <c r="I21" s="147"/>
      <c r="J21" s="147">
        <v>0.03</v>
      </c>
      <c r="K21" s="147">
        <v>0.03</v>
      </c>
      <c r="L21" s="147">
        <v>0.03</v>
      </c>
      <c r="M21" s="150">
        <f t="shared" si="42"/>
        <v>0.03</v>
      </c>
      <c r="N21" s="147">
        <v>0.03</v>
      </c>
      <c r="O21" s="147">
        <v>0.03</v>
      </c>
      <c r="P21" s="147">
        <v>0.03</v>
      </c>
      <c r="Q21" s="150">
        <f t="shared" si="39"/>
        <v>0.03</v>
      </c>
      <c r="R21" s="147">
        <v>0.02</v>
      </c>
      <c r="S21" s="147">
        <v>0.02</v>
      </c>
      <c r="T21" s="147">
        <v>0.02</v>
      </c>
      <c r="U21" s="150">
        <f t="shared" si="40"/>
        <v>0.02</v>
      </c>
      <c r="V21" s="147">
        <v>0.02</v>
      </c>
      <c r="W21" s="147">
        <v>0.02</v>
      </c>
      <c r="X21" s="147">
        <v>0.02</v>
      </c>
      <c r="Y21" s="147"/>
      <c r="Z21" s="150">
        <f t="shared" si="37"/>
        <v>0.03</v>
      </c>
      <c r="AA21" s="150">
        <f t="shared" si="37"/>
        <v>0.03</v>
      </c>
      <c r="AB21" s="150">
        <f t="shared" si="37"/>
        <v>0.03</v>
      </c>
      <c r="AC21" s="150">
        <f t="shared" si="37"/>
        <v>0.02</v>
      </c>
      <c r="AD21" s="150">
        <f t="shared" si="37"/>
        <v>0.02</v>
      </c>
      <c r="AE21" s="150">
        <f t="shared" si="37"/>
        <v>0.02</v>
      </c>
      <c r="AF21" s="150">
        <f t="shared" si="37"/>
        <v>0.02</v>
      </c>
      <c r="AG21" s="150">
        <f t="shared" si="37"/>
        <v>0.02</v>
      </c>
      <c r="AH21" s="150">
        <f t="shared" si="37"/>
        <v>0.02</v>
      </c>
      <c r="AI21" s="154">
        <f t="shared" si="41"/>
        <v>0.02</v>
      </c>
    </row>
    <row r="22" spans="2:35">
      <c r="B22" s="16"/>
      <c r="C22" s="17"/>
      <c r="D22" s="17"/>
      <c r="E22" s="17"/>
      <c r="F22" s="17"/>
      <c r="G22" s="17"/>
      <c r="H22" s="17"/>
      <c r="I22" s="18"/>
      <c r="J22" s="19"/>
      <c r="K22" s="19"/>
      <c r="L22" s="19"/>
      <c r="M22" s="20"/>
      <c r="N22" s="19"/>
      <c r="O22" s="19"/>
      <c r="P22" s="19"/>
      <c r="Q22" s="20"/>
      <c r="R22" s="19"/>
      <c r="S22" s="19"/>
      <c r="T22" s="19"/>
      <c r="U22" s="19"/>
      <c r="V22" s="19"/>
      <c r="W22" s="19"/>
      <c r="X22" s="19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7630-A68B-46E6-BC66-419F477B6C04}">
  <sheetPr>
    <tabColor theme="6" tint="-0.249977111117893"/>
  </sheetPr>
  <dimension ref="A2:AM85"/>
  <sheetViews>
    <sheetView showGridLines="0" zoomScale="115" zoomScaleNormal="115" workbookViewId="0"/>
  </sheetViews>
  <sheetFormatPr defaultRowHeight="12" outlineLevelCol="1"/>
  <cols>
    <col min="1" max="1" width="1.5" style="8" customWidth="1"/>
    <col min="2" max="2" width="41.625" style="8" customWidth="1"/>
    <col min="3" max="5" width="9" style="8" hidden="1" customWidth="1" outlineLevel="1"/>
    <col min="6" max="6" width="9" style="8" collapsed="1"/>
    <col min="7" max="8" width="9" style="8"/>
    <col min="9" max="9" width="1.5" style="8" customWidth="1"/>
    <col min="10" max="11" width="8" style="8" hidden="1" customWidth="1" outlineLevel="1"/>
    <col min="12" max="12" width="8.75" style="8" hidden="1" customWidth="1" outlineLevel="1"/>
    <col min="13" max="15" width="8" style="8" hidden="1" customWidth="1" outlineLevel="1"/>
    <col min="16" max="19" width="8.875" style="8" hidden="1" customWidth="1" outlineLevel="1"/>
    <col min="20" max="20" width="8.875" style="8" bestFit="1" customWidth="1" collapsed="1"/>
    <col min="21" max="24" width="8.875" style="8" bestFit="1" customWidth="1"/>
    <col min="25" max="25" width="1.625" style="8" customWidth="1"/>
    <col min="26" max="32" width="8.5" style="8" hidden="1" customWidth="1" outlineLevel="1" collapsed="1"/>
    <col min="33" max="33" width="8.5" style="8" bestFit="1" customWidth="1" collapsed="1"/>
    <col min="34" max="36" width="8.5" style="8" hidden="1" customWidth="1" outlineLevel="1" collapsed="1"/>
    <col min="37" max="37" width="8.5" style="8" bestFit="1" customWidth="1" collapsed="1"/>
    <col min="38" max="38" width="1.5" style="8" customWidth="1"/>
    <col min="39" max="39" width="8.125" style="113" bestFit="1" customWidth="1"/>
    <col min="40" max="16384" width="9" style="8"/>
  </cols>
  <sheetData>
    <row r="2" spans="2:39" s="5" customFormat="1" ht="12.75" customHeight="1">
      <c r="B2" s="1" t="str">
        <f>'Historical Financials'!B2</f>
        <v>Ulta Beauty Inc. (NASDAQ: ULTA)</v>
      </c>
      <c r="C2" s="2" t="s">
        <v>0</v>
      </c>
      <c r="D2" s="2"/>
      <c r="E2" s="2"/>
      <c r="F2" s="2" t="s">
        <v>0</v>
      </c>
      <c r="G2" s="2"/>
      <c r="H2" s="2"/>
      <c r="I2" s="3"/>
      <c r="J2" s="2" t="s">
        <v>1</v>
      </c>
      <c r="K2" s="2"/>
      <c r="L2" s="2"/>
      <c r="M2" s="2"/>
      <c r="N2" s="2" t="s">
        <v>1</v>
      </c>
      <c r="O2" s="2"/>
      <c r="P2" s="2"/>
      <c r="Q2" s="2"/>
      <c r="R2" s="2"/>
      <c r="S2" s="2"/>
      <c r="T2" s="2" t="s">
        <v>1</v>
      </c>
      <c r="U2" s="2"/>
      <c r="V2" s="2"/>
      <c r="W2" s="2"/>
      <c r="X2" s="2"/>
      <c r="Y2" s="3"/>
      <c r="Z2" s="2" t="s">
        <v>10</v>
      </c>
      <c r="AA2" s="2"/>
      <c r="AB2" s="2"/>
      <c r="AC2" s="2"/>
      <c r="AD2" s="2"/>
      <c r="AE2" s="2"/>
      <c r="AF2" s="2"/>
      <c r="AG2" s="2" t="s">
        <v>10</v>
      </c>
      <c r="AH2" s="2"/>
      <c r="AI2" s="2"/>
      <c r="AJ2" s="2"/>
      <c r="AK2" s="2"/>
      <c r="AL2" s="3"/>
      <c r="AM2" s="128" t="s">
        <v>25</v>
      </c>
    </row>
    <row r="3" spans="2:39" s="5" customFormat="1" ht="12.75" customHeight="1">
      <c r="B3" s="6" t="s">
        <v>26</v>
      </c>
      <c r="C3" s="7">
        <f>'Historical Financials'!C7</f>
        <v>2019</v>
      </c>
      <c r="D3" s="7">
        <f>'Historical Financials'!D7</f>
        <v>2020</v>
      </c>
      <c r="E3" s="7">
        <f>'Historical Financials'!E7</f>
        <v>2021</v>
      </c>
      <c r="F3" s="7">
        <f>'Historical Financials'!F7</f>
        <v>2022</v>
      </c>
      <c r="G3" s="7">
        <f>'Historical Financials'!G7</f>
        <v>2023</v>
      </c>
      <c r="H3" s="7">
        <f>'Historical Financials'!H7</f>
        <v>2024</v>
      </c>
      <c r="I3" s="3"/>
      <c r="J3" s="7" t="str">
        <f>'Historical Financials'!J7</f>
        <v>1Q22</v>
      </c>
      <c r="K3" s="7" t="str">
        <f>'Historical Financials'!K7</f>
        <v>2Q22</v>
      </c>
      <c r="L3" s="7" t="str">
        <f>'Historical Financials'!L7</f>
        <v>3Q22</v>
      </c>
      <c r="M3" s="7" t="str">
        <f>'Historical Financials'!M7</f>
        <v>4Q22</v>
      </c>
      <c r="N3" s="7" t="str">
        <f>'Historical Financials'!N7</f>
        <v>1Q23</v>
      </c>
      <c r="O3" s="7" t="str">
        <f>'Historical Financials'!O7</f>
        <v>2Q23</v>
      </c>
      <c r="P3" s="7" t="str">
        <f>'Historical Financials'!P7</f>
        <v>3Q23</v>
      </c>
      <c r="Q3" s="7" t="str">
        <f>'Historical Financials'!Q7</f>
        <v>4Q23</v>
      </c>
      <c r="R3" s="7" t="str">
        <f>'Historical Financials'!R7</f>
        <v>1Q24</v>
      </c>
      <c r="S3" s="7" t="str">
        <f>'Historical Financials'!S7</f>
        <v>2Q24</v>
      </c>
      <c r="T3" s="7" t="str">
        <f>'Historical Financials'!T7</f>
        <v>3Q24</v>
      </c>
      <c r="U3" s="7" t="str">
        <f>'Historical Financials'!U7</f>
        <v>4Q24</v>
      </c>
      <c r="V3" s="7" t="str">
        <f>'Historical Financials'!V7</f>
        <v>1Q25</v>
      </c>
      <c r="W3" s="7" t="str">
        <f>'Historical Financials'!W7</f>
        <v>2Q25</v>
      </c>
      <c r="X3" s="7" t="str">
        <f>'Historical Financials'!X7</f>
        <v>3Q25</v>
      </c>
      <c r="Y3" s="3"/>
      <c r="Z3" s="4" t="str">
        <f>M3</f>
        <v>4Q22</v>
      </c>
      <c r="AA3" s="4" t="str">
        <f>N3</f>
        <v>1Q23</v>
      </c>
      <c r="AB3" s="4" t="str">
        <f>O3</f>
        <v>2Q23</v>
      </c>
      <c r="AC3" s="4" t="str">
        <f>P3</f>
        <v>3Q23</v>
      </c>
      <c r="AD3" s="4" t="str">
        <f>Q3</f>
        <v>4Q23</v>
      </c>
      <c r="AE3" s="4" t="str">
        <f>R3</f>
        <v>1Q24</v>
      </c>
      <c r="AF3" s="4" t="str">
        <f>S3</f>
        <v>2Q24</v>
      </c>
      <c r="AG3" s="4" t="str">
        <f>T3</f>
        <v>3Q24</v>
      </c>
      <c r="AH3" s="4" t="str">
        <f>U3</f>
        <v>4Q24</v>
      </c>
      <c r="AI3" s="4" t="str">
        <f>V3</f>
        <v>1Q25</v>
      </c>
      <c r="AJ3" s="4" t="str">
        <f>W3</f>
        <v>2Q25</v>
      </c>
      <c r="AK3" s="4" t="str">
        <f>X3</f>
        <v>3Q25</v>
      </c>
      <c r="AL3" s="3"/>
      <c r="AM3" s="128"/>
    </row>
    <row r="4" spans="2:39" s="5" customFormat="1" ht="12.75" customHeight="1">
      <c r="B4" s="6" t="s">
        <v>160</v>
      </c>
      <c r="C4" s="3">
        <f>'Historical Financials'!C8</f>
        <v>43862</v>
      </c>
      <c r="D4" s="3">
        <f>'Historical Financials'!D8</f>
        <v>44226</v>
      </c>
      <c r="E4" s="3">
        <f>'Historical Financials'!E8</f>
        <v>44590</v>
      </c>
      <c r="F4" s="3">
        <f>'Historical Financials'!F8</f>
        <v>44954</v>
      </c>
      <c r="G4" s="3">
        <f>'Historical Financials'!G8</f>
        <v>45325</v>
      </c>
      <c r="H4" s="3">
        <f>'Historical Financials'!H8</f>
        <v>45689</v>
      </c>
      <c r="I4" s="3"/>
      <c r="J4" s="3">
        <f>'Historical Financials'!J8</f>
        <v>44681</v>
      </c>
      <c r="K4" s="3">
        <f>'Historical Financials'!K8</f>
        <v>44772</v>
      </c>
      <c r="L4" s="3">
        <f>'Historical Financials'!L8</f>
        <v>44863</v>
      </c>
      <c r="M4" s="3">
        <f>'Historical Financials'!M8</f>
        <v>44954</v>
      </c>
      <c r="N4" s="3">
        <f>'Historical Financials'!N8</f>
        <v>45045</v>
      </c>
      <c r="O4" s="3">
        <f>'Historical Financials'!O8</f>
        <v>45136</v>
      </c>
      <c r="P4" s="3">
        <f>'Historical Financials'!P8</f>
        <v>45227</v>
      </c>
      <c r="Q4" s="3">
        <f>'Historical Financials'!Q8</f>
        <v>45325</v>
      </c>
      <c r="R4" s="3">
        <f>'Historical Financials'!R8</f>
        <v>45416</v>
      </c>
      <c r="S4" s="3">
        <f>'Historical Financials'!S8</f>
        <v>45507</v>
      </c>
      <c r="T4" s="3">
        <f>'Historical Financials'!T8</f>
        <v>45598</v>
      </c>
      <c r="U4" s="3">
        <f>'Historical Financials'!U8</f>
        <v>45689</v>
      </c>
      <c r="V4" s="3">
        <f>'Historical Financials'!V8</f>
        <v>45780</v>
      </c>
      <c r="W4" s="3">
        <f>'Historical Financials'!W8</f>
        <v>45871</v>
      </c>
      <c r="X4" s="3">
        <f>'Historical Financials'!X8</f>
        <v>45962</v>
      </c>
      <c r="Y4" s="3"/>
      <c r="Z4" s="3">
        <f>M4</f>
        <v>44954</v>
      </c>
      <c r="AA4" s="3">
        <f>N4</f>
        <v>45045</v>
      </c>
      <c r="AB4" s="3">
        <f>O4</f>
        <v>45136</v>
      </c>
      <c r="AC4" s="3">
        <f>P4</f>
        <v>45227</v>
      </c>
      <c r="AD4" s="3">
        <f>Q4</f>
        <v>45325</v>
      </c>
      <c r="AE4" s="3">
        <f>R4</f>
        <v>45416</v>
      </c>
      <c r="AF4" s="3">
        <f>S4</f>
        <v>45507</v>
      </c>
      <c r="AG4" s="3">
        <f>T4</f>
        <v>45598</v>
      </c>
      <c r="AH4" s="3">
        <f>U4</f>
        <v>45689</v>
      </c>
      <c r="AI4" s="3">
        <f>V4</f>
        <v>45780</v>
      </c>
      <c r="AJ4" s="3">
        <f>W4</f>
        <v>45871</v>
      </c>
      <c r="AK4" s="3">
        <f>X4</f>
        <v>45962</v>
      </c>
      <c r="AL4" s="3"/>
      <c r="AM4" s="128"/>
    </row>
    <row r="5" spans="2:39" ht="5.0999999999999996" customHeight="1">
      <c r="AM5" s="109"/>
    </row>
    <row r="6" spans="2:39" ht="12.75" customHeight="1">
      <c r="B6" s="9" t="str">
        <f>'Revenue Drivers'!B7</f>
        <v>Cosmetics</v>
      </c>
      <c r="C6" s="82">
        <f>'Revenue Drivers'!C7/1000</f>
        <v>3773.0146800000002</v>
      </c>
      <c r="D6" s="82">
        <f>'Revenue Drivers'!D7/1000</f>
        <v>2768.3788500000001</v>
      </c>
      <c r="E6" s="82">
        <f>'Revenue Drivers'!E7/1000</f>
        <v>3711.2822700000002</v>
      </c>
      <c r="F6" s="82">
        <f>'Revenue Drivers'!F7/1000</f>
        <v>4287.6035999999995</v>
      </c>
      <c r="G6" s="82">
        <f>'Revenue Drivers'!G7/1000</f>
        <v>4594.9942299999984</v>
      </c>
      <c r="H6" s="82">
        <f>'Revenue Drivers'!H7/1000</f>
        <v>4405.3050600000006</v>
      </c>
      <c r="I6" s="10"/>
      <c r="J6" s="82">
        <f>'Revenue Drivers'!J7/1000</f>
        <v>1032.1964399999999</v>
      </c>
      <c r="K6" s="82">
        <f>'Revenue Drivers'!K7/1000</f>
        <v>964.78746000000001</v>
      </c>
      <c r="L6" s="82">
        <f>'Revenue Drivers'!L7/1000</f>
        <v>1029.0689200000002</v>
      </c>
      <c r="M6" s="82">
        <f>'Revenue Drivers'!M7/1000</f>
        <v>1355.2446599999998</v>
      </c>
      <c r="N6" s="82">
        <f>'Revenue Drivers'!N7/1000</f>
        <v>1159.0757200000003</v>
      </c>
      <c r="O6" s="82">
        <f>'Revenue Drivers'!O7/1000</f>
        <v>1011.9236000000001</v>
      </c>
      <c r="P6" s="82">
        <f>'Revenue Drivers'!P7/1000</f>
        <v>1045.35186</v>
      </c>
      <c r="Q6" s="82">
        <f>'Revenue Drivers'!Q7/1000</f>
        <v>1457.2621799999993</v>
      </c>
      <c r="R6" s="82">
        <f>'Revenue Drivers'!R7/1000</f>
        <v>1144.8561599999996</v>
      </c>
      <c r="S6" s="82">
        <f>'Revenue Drivers'!S7/1000</f>
        <v>995.31393000000003</v>
      </c>
      <c r="T6" s="82">
        <f>'Revenue Drivers'!T7/1000</f>
        <v>1037.3409999999999</v>
      </c>
      <c r="U6" s="82">
        <f>'Revenue Drivers'!U7/1000</f>
        <v>1360.1714100000002</v>
      </c>
      <c r="V6" s="82">
        <f>'Revenue Drivers'!V7/1000</f>
        <v>1139.3468</v>
      </c>
      <c r="W6" s="82">
        <f>'Revenue Drivers'!W7/1000</f>
        <v>1059.6182200000001</v>
      </c>
      <c r="X6" s="82">
        <f>'Revenue Drivers'!X7/1000</f>
        <v>1171.6254299999998</v>
      </c>
      <c r="Y6" s="5"/>
      <c r="Z6" s="155">
        <f>SUM(J6:M6)</f>
        <v>4381.2974799999993</v>
      </c>
      <c r="AA6" s="155">
        <f>SUM(K6:N6)</f>
        <v>4508.1767600000003</v>
      </c>
      <c r="AB6" s="155">
        <f>SUM(L6:O6)</f>
        <v>4555.3129000000008</v>
      </c>
      <c r="AC6" s="155">
        <f>SUM(M6:P6)</f>
        <v>4571.59584</v>
      </c>
      <c r="AD6" s="155">
        <f>SUM(N6:Q6)</f>
        <v>4673.6133599999994</v>
      </c>
      <c r="AE6" s="155">
        <f>SUM(O6:R6)</f>
        <v>4659.3937999999989</v>
      </c>
      <c r="AF6" s="155">
        <f>SUM(P6:S6)</f>
        <v>4642.7841299999991</v>
      </c>
      <c r="AG6" s="155">
        <f>SUM(Q6:T6)</f>
        <v>4634.7732699999997</v>
      </c>
      <c r="AH6" s="155">
        <f>SUM(R6:U6)</f>
        <v>4537.6824999999999</v>
      </c>
      <c r="AI6" s="155">
        <f>SUM(S6:V6)</f>
        <v>4532.1731399999999</v>
      </c>
      <c r="AJ6" s="155">
        <f>SUM(T6:W6)</f>
        <v>4596.4774300000008</v>
      </c>
      <c r="AK6" s="155">
        <f>SUM(U6:X6)</f>
        <v>4730.7618600000005</v>
      </c>
      <c r="AM6" s="110">
        <f t="shared" ref="AM6:AM12" si="0">SUM(AK6/AG6)-1</f>
        <v>2.0710525501067556E-2</v>
      </c>
    </row>
    <row r="7" spans="2:39" ht="12.75" customHeight="1">
      <c r="B7" s="9" t="str">
        <f>'Revenue Drivers'!B8</f>
        <v>Haircare products and styling tools</v>
      </c>
      <c r="C7" s="82">
        <f>'Revenue Drivers'!C8/1000</f>
        <v>1331.6522399999999</v>
      </c>
      <c r="D7" s="82">
        <f>'Revenue Drivers'!D8/1000</f>
        <v>1230.3906000000002</v>
      </c>
      <c r="E7" s="82">
        <f>'Revenue Drivers'!E8/1000</f>
        <v>1726.1777999999999</v>
      </c>
      <c r="F7" s="82">
        <f>'Revenue Drivers'!F8/1000</f>
        <v>2143.8017999999997</v>
      </c>
      <c r="G7" s="82">
        <f>'Revenue Drivers'!G8/1000</f>
        <v>2129.3875699999999</v>
      </c>
      <c r="H7" s="82">
        <f>'Revenue Drivers'!H8/1000</f>
        <v>2598.0004199999998</v>
      </c>
      <c r="I7" s="10"/>
      <c r="J7" s="82">
        <f>'Revenue Drivers'!J8/1000</f>
        <v>469.18019999999996</v>
      </c>
      <c r="K7" s="82">
        <f>'Revenue Drivers'!K8/1000</f>
        <v>505.36485999999996</v>
      </c>
      <c r="L7" s="82">
        <f>'Revenue Drivers'!L8/1000</f>
        <v>491.1465300000001</v>
      </c>
      <c r="M7" s="82">
        <f>'Revenue Drivers'!M8/1000</f>
        <v>677.62232999999992</v>
      </c>
      <c r="N7" s="82">
        <f>'Revenue Drivers'!N8/1000</f>
        <v>474.16734000000008</v>
      </c>
      <c r="O7" s="82">
        <f>'Revenue Drivers'!O8/1000</f>
        <v>531.25989000000004</v>
      </c>
      <c r="P7" s="82">
        <f>'Revenue Drivers'!P8/1000</f>
        <v>472.89726999999999</v>
      </c>
      <c r="Q7" s="82">
        <f>'Revenue Drivers'!Q8/1000</f>
        <v>675.3166199999996</v>
      </c>
      <c r="R7" s="82">
        <f>'Revenue Drivers'!R8/1000</f>
        <v>517.91111999999998</v>
      </c>
      <c r="S7" s="82">
        <f>'Revenue Drivers'!S8/1000</f>
        <v>510.41740000000004</v>
      </c>
      <c r="T7" s="82">
        <f>'Revenue Drivers'!T8/1000</f>
        <v>506.02</v>
      </c>
      <c r="U7" s="82">
        <f>'Revenue Drivers'!U8/1000</f>
        <v>802.15237000000002</v>
      </c>
      <c r="V7" s="82">
        <f>'Revenue Drivers'!V8/1000</f>
        <v>712.09175000000005</v>
      </c>
      <c r="W7" s="82">
        <f>'Revenue Drivers'!W8/1000</f>
        <v>697.11725000000001</v>
      </c>
      <c r="X7" s="82">
        <f>'Revenue Drivers'!X8/1000</f>
        <v>542.94836999999995</v>
      </c>
      <c r="Y7" s="5"/>
      <c r="Z7" s="155">
        <f>SUM(J7:M7)</f>
        <v>2143.3139199999996</v>
      </c>
      <c r="AA7" s="155">
        <f>SUM(K7:N7)</f>
        <v>2148.3010600000002</v>
      </c>
      <c r="AB7" s="155">
        <f>SUM(L7:O7)</f>
        <v>2174.1960900000004</v>
      </c>
      <c r="AC7" s="155">
        <f>SUM(M7:P7)</f>
        <v>2155.9468300000003</v>
      </c>
      <c r="AD7" s="155">
        <f>SUM(N7:Q7)</f>
        <v>2153.6411199999998</v>
      </c>
      <c r="AE7" s="155">
        <f>SUM(O7:R7)</f>
        <v>2197.3848999999996</v>
      </c>
      <c r="AF7" s="155">
        <f>SUM(P7:S7)</f>
        <v>2176.5424099999996</v>
      </c>
      <c r="AG7" s="155">
        <f>SUM(Q7:T7)</f>
        <v>2209.6651399999996</v>
      </c>
      <c r="AH7" s="155">
        <f>SUM(R7:U7)</f>
        <v>2336.5008900000003</v>
      </c>
      <c r="AI7" s="155">
        <f>SUM(S7:V7)</f>
        <v>2530.6815200000001</v>
      </c>
      <c r="AJ7" s="155">
        <f>SUM(T7:W7)</f>
        <v>2717.3813700000001</v>
      </c>
      <c r="AK7" s="155">
        <f>SUM(U7:X7)</f>
        <v>2754.3097400000001</v>
      </c>
      <c r="AM7" s="110">
        <f t="shared" si="0"/>
        <v>0.24648286753530479</v>
      </c>
    </row>
    <row r="8" spans="2:39" ht="12.75" customHeight="1">
      <c r="B8" s="9" t="str">
        <f>'Revenue Drivers'!B9</f>
        <v>Skincare</v>
      </c>
      <c r="C8" s="82">
        <f>'Revenue Drivers'!C9/1000</f>
        <v>1035.7295200000001</v>
      </c>
      <c r="D8" s="82">
        <f>'Revenue Drivers'!D9/1000</f>
        <v>984.31247999999994</v>
      </c>
      <c r="E8" s="82">
        <f>'Revenue Drivers'!E9/1000</f>
        <v>1467.2511300000001</v>
      </c>
      <c r="F8" s="82">
        <f>'Revenue Drivers'!F9/1000</f>
        <v>1735.4586000000002</v>
      </c>
      <c r="G8" s="82">
        <f>'Revenue Drivers'!G9/1000</f>
        <v>2129.3875699999999</v>
      </c>
      <c r="H8" s="82">
        <f>'Revenue Drivers'!H9/1000</f>
        <v>2146.1742600000002</v>
      </c>
      <c r="I8" s="10"/>
      <c r="J8" s="82">
        <f>'Revenue Drivers'!J9/1000</f>
        <v>422.26217999999989</v>
      </c>
      <c r="K8" s="82">
        <f>'Revenue Drivers'!K9/1000</f>
        <v>390.50921</v>
      </c>
      <c r="L8" s="82">
        <f>'Revenue Drivers'!L9/1000</f>
        <v>374.20688000000007</v>
      </c>
      <c r="M8" s="82">
        <f>'Revenue Drivers'!M9/1000</f>
        <v>548.55141000000003</v>
      </c>
      <c r="N8" s="82">
        <f>'Revenue Drivers'!N9/1000</f>
        <v>500.50997000000007</v>
      </c>
      <c r="O8" s="82">
        <f>'Revenue Drivers'!O9/1000</f>
        <v>505.96180000000004</v>
      </c>
      <c r="P8" s="82">
        <f>'Revenue Drivers'!P9/1000</f>
        <v>472.89726999999999</v>
      </c>
      <c r="Q8" s="82">
        <f>'Revenue Drivers'!Q9/1000</f>
        <v>675.3166199999996</v>
      </c>
      <c r="R8" s="82">
        <f>'Revenue Drivers'!R9/1000</f>
        <v>626.94503999999995</v>
      </c>
      <c r="S8" s="82">
        <f>'Revenue Drivers'!S9/1000</f>
        <v>612.50088000000005</v>
      </c>
      <c r="T8" s="82">
        <f>'Revenue Drivers'!T9/1000</f>
        <v>581.923</v>
      </c>
      <c r="U8" s="82">
        <f>'Revenue Drivers'!U9/1000</f>
        <v>662.64760999999999</v>
      </c>
      <c r="V8" s="82">
        <f>'Revenue Drivers'!V9/1000</f>
        <v>512.70605999999998</v>
      </c>
      <c r="W8" s="82">
        <f>'Revenue Drivers'!W9/1000</f>
        <v>529.80911000000003</v>
      </c>
      <c r="X8" s="82">
        <f>'Revenue Drivers'!X9/1000</f>
        <v>685.82952</v>
      </c>
      <c r="Y8" s="5"/>
      <c r="Z8" s="155">
        <f>SUM(J8:M8)</f>
        <v>1735.5296800000001</v>
      </c>
      <c r="AA8" s="155">
        <f>SUM(K8:N8)</f>
        <v>1813.7774700000002</v>
      </c>
      <c r="AB8" s="155">
        <f>SUM(L8:O8)</f>
        <v>1929.2300600000003</v>
      </c>
      <c r="AC8" s="155">
        <f>SUM(M8:P8)</f>
        <v>2027.9204500000001</v>
      </c>
      <c r="AD8" s="155">
        <f>SUM(N8:Q8)</f>
        <v>2154.6856599999996</v>
      </c>
      <c r="AE8" s="155">
        <f>SUM(O8:R8)</f>
        <v>2281.1207299999996</v>
      </c>
      <c r="AF8" s="155">
        <f>SUM(P8:S8)</f>
        <v>2387.6598099999997</v>
      </c>
      <c r="AG8" s="155">
        <f>SUM(Q8:T8)</f>
        <v>2496.6855399999995</v>
      </c>
      <c r="AH8" s="155">
        <f>SUM(R8:U8)</f>
        <v>2484.0165299999999</v>
      </c>
      <c r="AI8" s="155">
        <f>SUM(S8:V8)</f>
        <v>2369.7775499999998</v>
      </c>
      <c r="AJ8" s="155">
        <f>SUM(T8:W8)</f>
        <v>2287.0857799999999</v>
      </c>
      <c r="AK8" s="155">
        <f>SUM(U8:X8)</f>
        <v>2390.9922999999999</v>
      </c>
      <c r="AM8" s="110">
        <f t="shared" si="0"/>
        <v>-4.2333420972190061E-2</v>
      </c>
    </row>
    <row r="9" spans="2:39" ht="12.75" customHeight="1">
      <c r="B9" s="9" t="str">
        <f>'Revenue Drivers'!B10</f>
        <v>Fragrance and bath</v>
      </c>
      <c r="C9" s="82">
        <f>'Revenue Drivers'!C10/1000</f>
        <v>665.82611999999995</v>
      </c>
      <c r="D9" s="82">
        <f>'Revenue Drivers'!D10/1000</f>
        <v>738.23436000000004</v>
      </c>
      <c r="E9" s="82">
        <f>'Revenue Drivers'!E10/1000</f>
        <v>1208.3244600000003</v>
      </c>
      <c r="F9" s="82">
        <f>'Revenue Drivers'!F10/1000</f>
        <v>1429.2012000000002</v>
      </c>
      <c r="G9" s="82">
        <f>'Revenue Drivers'!G10/1000</f>
        <v>1681.0954499999998</v>
      </c>
      <c r="H9" s="82">
        <f>'Revenue Drivers'!H10/1000</f>
        <v>1468.4350200000001</v>
      </c>
      <c r="I9" s="10"/>
      <c r="J9" s="82">
        <f>'Revenue Drivers'!J10/1000</f>
        <v>281.50811999999996</v>
      </c>
      <c r="K9" s="82">
        <f>'Revenue Drivers'!K10/1000</f>
        <v>275.65355999999997</v>
      </c>
      <c r="L9" s="82">
        <f>'Revenue Drivers'!L10/1000</f>
        <v>280.65516000000002</v>
      </c>
      <c r="M9" s="82">
        <f>'Revenue Drivers'!M10/1000</f>
        <v>451.74822</v>
      </c>
      <c r="N9" s="82">
        <f>'Revenue Drivers'!N10/1000</f>
        <v>316.11156000000005</v>
      </c>
      <c r="O9" s="82">
        <f>'Revenue Drivers'!O10/1000</f>
        <v>303.57708000000002</v>
      </c>
      <c r="P9" s="82">
        <f>'Revenue Drivers'!P10/1000</f>
        <v>323.56129000000004</v>
      </c>
      <c r="Q9" s="82">
        <f>'Revenue Drivers'!Q10/1000</f>
        <v>533.14469999999972</v>
      </c>
      <c r="R9" s="82">
        <f>'Revenue Drivers'!R10/1000</f>
        <v>272.58479999999997</v>
      </c>
      <c r="S9" s="82">
        <f>'Revenue Drivers'!S10/1000</f>
        <v>280.72957000000002</v>
      </c>
      <c r="T9" s="82">
        <f>'Revenue Drivers'!T10/1000</f>
        <v>253.01</v>
      </c>
      <c r="U9" s="82">
        <f>'Revenue Drivers'!U10/1000</f>
        <v>453.39047000000005</v>
      </c>
      <c r="V9" s="82">
        <f>'Revenue Drivers'!V10/1000</f>
        <v>313.32036999999997</v>
      </c>
      <c r="W9" s="82">
        <f>'Revenue Drivers'!W10/1000</f>
        <v>334.61627999999996</v>
      </c>
      <c r="X9" s="82">
        <f>'Revenue Drivers'!X10/1000</f>
        <v>314.33853000000005</v>
      </c>
      <c r="Y9" s="5"/>
      <c r="Z9" s="155">
        <f>SUM(J9:M9)</f>
        <v>1289.5650599999999</v>
      </c>
      <c r="AA9" s="155">
        <f>SUM(K9:N9)</f>
        <v>1324.1685</v>
      </c>
      <c r="AB9" s="155">
        <f>SUM(L9:O9)</f>
        <v>1352.09202</v>
      </c>
      <c r="AC9" s="155">
        <f>SUM(M9:P9)</f>
        <v>1394.9981500000001</v>
      </c>
      <c r="AD9" s="155">
        <f>SUM(N9:Q9)</f>
        <v>1476.3946299999998</v>
      </c>
      <c r="AE9" s="155">
        <f>SUM(O9:R9)</f>
        <v>1432.86787</v>
      </c>
      <c r="AF9" s="155">
        <f>SUM(P9:S9)</f>
        <v>1410.0203599999995</v>
      </c>
      <c r="AG9" s="155">
        <f>SUM(Q9:T9)</f>
        <v>1339.4690699999996</v>
      </c>
      <c r="AH9" s="155">
        <f>SUM(R9:U9)</f>
        <v>1259.7148400000001</v>
      </c>
      <c r="AI9" s="155">
        <f>SUM(S9:V9)</f>
        <v>1300.4504099999999</v>
      </c>
      <c r="AJ9" s="155">
        <f>SUM(T9:W9)</f>
        <v>1354.3371199999999</v>
      </c>
      <c r="AK9" s="155">
        <f>SUM(U9:X9)</f>
        <v>1415.6656499999999</v>
      </c>
      <c r="AM9" s="110">
        <f t="shared" si="0"/>
        <v>5.6885658434800757E-2</v>
      </c>
    </row>
    <row r="10" spans="2:39" ht="12.75" customHeight="1">
      <c r="B10" s="9" t="str">
        <f>'Revenue Drivers'!B11</f>
        <v>Services</v>
      </c>
      <c r="C10" s="82">
        <f>'Revenue Drivers'!C11/1000</f>
        <v>369.90340000000003</v>
      </c>
      <c r="D10" s="82">
        <f>'Revenue Drivers'!D11/1000</f>
        <v>184.55859000000001</v>
      </c>
      <c r="E10" s="82">
        <f>'Revenue Drivers'!E11/1000</f>
        <v>258.92667</v>
      </c>
      <c r="F10" s="82">
        <f>'Revenue Drivers'!F11/1000</f>
        <v>306.25739999999996</v>
      </c>
      <c r="G10" s="82">
        <f>'Revenue Drivers'!G11/1000</f>
        <v>336.21908999999994</v>
      </c>
      <c r="H10" s="82">
        <f>'Revenue Drivers'!H11/1000</f>
        <v>451.82616000000002</v>
      </c>
      <c r="I10" s="10"/>
      <c r="J10" s="82">
        <f>'Revenue Drivers'!J11/1000</f>
        <v>70.377029999999991</v>
      </c>
      <c r="K10" s="82">
        <f>'Revenue Drivers'!K11/1000</f>
        <v>91.884520000000009</v>
      </c>
      <c r="L10" s="82">
        <f>'Revenue Drivers'!L11/1000</f>
        <v>93.551720000000017</v>
      </c>
      <c r="M10" s="82">
        <f>'Revenue Drivers'!M11/1000</f>
        <v>96.803190000000001</v>
      </c>
      <c r="N10" s="82">
        <f>'Revenue Drivers'!N11/1000</f>
        <v>105.37052000000001</v>
      </c>
      <c r="O10" s="82">
        <f>'Revenue Drivers'!O11/1000</f>
        <v>101.19235999999999</v>
      </c>
      <c r="P10" s="82">
        <f>'Revenue Drivers'!P11/1000</f>
        <v>99.557320000000004</v>
      </c>
      <c r="Q10" s="82">
        <f>'Revenue Drivers'!Q11/1000</f>
        <v>106.62893999999994</v>
      </c>
      <c r="R10" s="82">
        <f>'Revenue Drivers'!R11/1000</f>
        <v>109.03391999999998</v>
      </c>
      <c r="S10" s="82">
        <f>'Revenue Drivers'!S11/1000</f>
        <v>102.08347999999999</v>
      </c>
      <c r="T10" s="82">
        <f>'Revenue Drivers'!T11/1000</f>
        <v>101.20399999999999</v>
      </c>
      <c r="U10" s="82">
        <f>'Revenue Drivers'!U11/1000</f>
        <v>139.50476</v>
      </c>
      <c r="V10" s="82">
        <f>'Revenue Drivers'!V11/1000</f>
        <v>113.93468000000001</v>
      </c>
      <c r="W10" s="82">
        <f>'Revenue Drivers'!W11/1000</f>
        <v>111.53876000000001</v>
      </c>
      <c r="X10" s="82">
        <f>'Revenue Drivers'!X11/1000</f>
        <v>85.72869</v>
      </c>
      <c r="Y10" s="5"/>
      <c r="Z10" s="155">
        <f>SUM(J10:M10)</f>
        <v>352.61646000000002</v>
      </c>
      <c r="AA10" s="155">
        <f>SUM(K10:N10)</f>
        <v>387.60995000000003</v>
      </c>
      <c r="AB10" s="155">
        <f>SUM(L10:O10)</f>
        <v>396.91779000000002</v>
      </c>
      <c r="AC10" s="155">
        <f>SUM(M10:P10)</f>
        <v>402.92339000000004</v>
      </c>
      <c r="AD10" s="155">
        <f>SUM(N10:Q10)</f>
        <v>412.74913999999995</v>
      </c>
      <c r="AE10" s="155">
        <f>SUM(O10:R10)</f>
        <v>416.41253999999992</v>
      </c>
      <c r="AF10" s="155">
        <f>SUM(P10:S10)</f>
        <v>417.30365999999992</v>
      </c>
      <c r="AG10" s="155">
        <f>SUM(Q10:T10)</f>
        <v>418.95033999999993</v>
      </c>
      <c r="AH10" s="155">
        <f>SUM(R10:U10)</f>
        <v>451.82615999999996</v>
      </c>
      <c r="AI10" s="155">
        <f>SUM(S10:V10)</f>
        <v>456.72692000000001</v>
      </c>
      <c r="AJ10" s="155">
        <f>SUM(T10:W10)</f>
        <v>466.18220000000002</v>
      </c>
      <c r="AK10" s="155">
        <f>SUM(U10:X10)</f>
        <v>450.70689000000004</v>
      </c>
      <c r="AM10" s="110">
        <f t="shared" si="0"/>
        <v>7.5800272652840173E-2</v>
      </c>
    </row>
    <row r="11" spans="2:39" ht="12.75" customHeight="1">
      <c r="B11" s="9" t="str">
        <f>'Revenue Drivers'!B12</f>
        <v>Accessories and other</v>
      </c>
      <c r="C11" s="82">
        <f>'Revenue Drivers'!C12/1000</f>
        <v>221.94203999999999</v>
      </c>
      <c r="D11" s="82">
        <f>'Revenue Drivers'!D12/1000</f>
        <v>246.07811999999998</v>
      </c>
      <c r="E11" s="82">
        <f>'Revenue Drivers'!E12/1000</f>
        <v>258.92667</v>
      </c>
      <c r="F11" s="82">
        <f>'Revenue Drivers'!F12/1000</f>
        <v>306.25739999999996</v>
      </c>
      <c r="G11" s="82">
        <f>'Revenue Drivers'!G12/1000</f>
        <v>336.21908999999994</v>
      </c>
      <c r="H11" s="82">
        <f>'Revenue Drivers'!H12/1000</f>
        <v>225.91308000000001</v>
      </c>
      <c r="I11" s="10"/>
      <c r="J11" s="82">
        <f>'Revenue Drivers'!J12/1000</f>
        <v>70.377029999999991</v>
      </c>
      <c r="K11" s="82">
        <f>'Revenue Drivers'!K12/1000</f>
        <v>68.913389999999993</v>
      </c>
      <c r="L11" s="82">
        <f>'Revenue Drivers'!L12/1000</f>
        <v>70.163790000000006</v>
      </c>
      <c r="M11" s="82">
        <f>'Revenue Drivers'!M12/1000</f>
        <v>96.803190000000001</v>
      </c>
      <c r="N11" s="82">
        <f>'Revenue Drivers'!N12/1000</f>
        <v>79.027890000000014</v>
      </c>
      <c r="O11" s="82">
        <f>'Revenue Drivers'!O12/1000</f>
        <v>75.894270000000006</v>
      </c>
      <c r="P11" s="82">
        <f>'Revenue Drivers'!P12/1000</f>
        <v>74.667989999999989</v>
      </c>
      <c r="Q11" s="82">
        <f>'Revenue Drivers'!Q12/1000</f>
        <v>106.62893999999994</v>
      </c>
      <c r="R11" s="82">
        <f>'Revenue Drivers'!R12/1000</f>
        <v>54.51695999999999</v>
      </c>
      <c r="S11" s="82">
        <f>'Revenue Drivers'!S12/1000</f>
        <v>51.041739999999997</v>
      </c>
      <c r="T11" s="82">
        <f>'Revenue Drivers'!T12/1000</f>
        <v>50.601999999999997</v>
      </c>
      <c r="U11" s="82">
        <f>'Revenue Drivers'!U12/1000</f>
        <v>69.752380000000002</v>
      </c>
      <c r="V11" s="82">
        <f>'Revenue Drivers'!V12/1000</f>
        <v>56.967340000000007</v>
      </c>
      <c r="W11" s="82">
        <f>'Revenue Drivers'!W12/1000</f>
        <v>55.769380000000005</v>
      </c>
      <c r="X11" s="82">
        <f>'Revenue Drivers'!X12/1000</f>
        <v>57.152459999999998</v>
      </c>
      <c r="Y11" s="5"/>
      <c r="Z11" s="155">
        <f>SUM(J11:M11)</f>
        <v>306.25739999999996</v>
      </c>
      <c r="AA11" s="155">
        <f>SUM(K11:N11)</f>
        <v>314.90826000000004</v>
      </c>
      <c r="AB11" s="155">
        <f>SUM(L11:O11)</f>
        <v>321.88914</v>
      </c>
      <c r="AC11" s="155">
        <f>SUM(M11:P11)</f>
        <v>326.39334000000002</v>
      </c>
      <c r="AD11" s="155">
        <f>SUM(N11:Q11)</f>
        <v>336.21908999999994</v>
      </c>
      <c r="AE11" s="155">
        <f>SUM(O11:R11)</f>
        <v>311.70815999999991</v>
      </c>
      <c r="AF11" s="155">
        <f>SUM(P11:S11)</f>
        <v>286.85562999999991</v>
      </c>
      <c r="AG11" s="155">
        <f>SUM(Q11:T11)</f>
        <v>262.78963999999991</v>
      </c>
      <c r="AH11" s="155">
        <f>SUM(R11:U11)</f>
        <v>225.91307999999998</v>
      </c>
      <c r="AI11" s="155">
        <f>SUM(S11:V11)</f>
        <v>228.36346</v>
      </c>
      <c r="AJ11" s="155">
        <f>SUM(T11:W11)</f>
        <v>233.09110000000001</v>
      </c>
      <c r="AK11" s="155">
        <f>SUM(U11:X11)</f>
        <v>239.64156</v>
      </c>
      <c r="AM11" s="110">
        <f t="shared" si="0"/>
        <v>-8.8085968685827631E-2</v>
      </c>
    </row>
    <row r="12" spans="2:39" ht="12.75" customHeight="1">
      <c r="B12" s="12" t="s">
        <v>12</v>
      </c>
      <c r="C12" s="13">
        <f t="shared" ref="C12:G12" si="1">SUM(C6:C11)</f>
        <v>7398.0679999999993</v>
      </c>
      <c r="D12" s="13">
        <f t="shared" si="1"/>
        <v>6151.9530000000004</v>
      </c>
      <c r="E12" s="13">
        <f t="shared" si="1"/>
        <v>8630.889000000001</v>
      </c>
      <c r="F12" s="13">
        <f t="shared" si="1"/>
        <v>10208.58</v>
      </c>
      <c r="G12" s="13">
        <f t="shared" si="1"/>
        <v>11207.303</v>
      </c>
      <c r="H12" s="13">
        <f>SUM(H6:H11)</f>
        <v>11295.654000000002</v>
      </c>
      <c r="I12" s="10"/>
      <c r="J12" s="13">
        <f t="shared" ref="J12" si="2">SUM(J6:J11)</f>
        <v>2345.9009999999998</v>
      </c>
      <c r="K12" s="13">
        <f t="shared" ref="K12" si="3">SUM(K6:K11)</f>
        <v>2297.1130000000003</v>
      </c>
      <c r="L12" s="13">
        <f t="shared" ref="L12" si="4">SUM(L6:L11)</f>
        <v>2338.7930000000006</v>
      </c>
      <c r="M12" s="13">
        <f t="shared" ref="M12" si="5">SUM(M6:M11)</f>
        <v>3226.7729999999997</v>
      </c>
      <c r="N12" s="13">
        <f t="shared" ref="N12:X12" si="6">SUM(N6:N11)</f>
        <v>2634.2629999999999</v>
      </c>
      <c r="O12" s="13">
        <f t="shared" si="6"/>
        <v>2529.8090000000002</v>
      </c>
      <c r="P12" s="13">
        <f t="shared" si="6"/>
        <v>2488.9329999999995</v>
      </c>
      <c r="Q12" s="13">
        <f t="shared" si="6"/>
        <v>3554.2979999999984</v>
      </c>
      <c r="R12" s="13">
        <f t="shared" si="6"/>
        <v>2725.8479999999995</v>
      </c>
      <c r="S12" s="13">
        <f t="shared" si="6"/>
        <v>2552.087</v>
      </c>
      <c r="T12" s="13">
        <f t="shared" si="6"/>
        <v>2530.1</v>
      </c>
      <c r="U12" s="13">
        <f t="shared" si="6"/>
        <v>3487.6189999999997</v>
      </c>
      <c r="V12" s="13">
        <f t="shared" si="6"/>
        <v>2848.3670000000002</v>
      </c>
      <c r="W12" s="13">
        <f t="shared" si="6"/>
        <v>2788.4690000000001</v>
      </c>
      <c r="X12" s="13">
        <f t="shared" si="6"/>
        <v>2857.6229999999991</v>
      </c>
      <c r="Y12" s="5"/>
      <c r="Z12" s="13">
        <f t="shared" ref="Z12" si="7">SUM(Z6:Z11)</f>
        <v>10208.579999999998</v>
      </c>
      <c r="AA12" s="13">
        <f t="shared" ref="AA12" si="8">SUM(AA6:AA11)</f>
        <v>10496.942000000001</v>
      </c>
      <c r="AB12" s="13">
        <f t="shared" ref="AB12" si="9">SUM(AB6:AB11)</f>
        <v>10729.638000000001</v>
      </c>
      <c r="AC12" s="13">
        <f t="shared" ref="AC12" si="10">SUM(AC6:AC11)</f>
        <v>10879.778</v>
      </c>
      <c r="AD12" s="13">
        <f t="shared" ref="AD12" si="11">SUM(AD6:AD11)</f>
        <v>11207.302999999998</v>
      </c>
      <c r="AE12" s="13">
        <f t="shared" ref="AE12" si="12">SUM(AE6:AE11)</f>
        <v>11298.887999999997</v>
      </c>
      <c r="AF12" s="13">
        <f t="shared" ref="AF12" si="13">SUM(AF6:AF11)</f>
        <v>11321.165999999997</v>
      </c>
      <c r="AG12" s="13">
        <f t="shared" ref="AG12" si="14">SUM(AG6:AG11)</f>
        <v>11362.332999999995</v>
      </c>
      <c r="AH12" s="13">
        <f t="shared" ref="AH12" si="15">SUM(AH6:AH11)</f>
        <v>11295.654</v>
      </c>
      <c r="AI12" s="13">
        <f t="shared" ref="AI12" si="16">SUM(AI6:AI11)</f>
        <v>11418.172999999999</v>
      </c>
      <c r="AJ12" s="13">
        <f t="shared" ref="AJ12" si="17">SUM(AJ6:AJ11)</f>
        <v>11654.555</v>
      </c>
      <c r="AK12" s="13">
        <f t="shared" ref="AK12" si="18">SUM(AK6:AK11)</f>
        <v>11982.078</v>
      </c>
      <c r="AM12" s="111">
        <f t="shared" si="0"/>
        <v>5.4543815957515562E-2</v>
      </c>
    </row>
    <row r="13" spans="2:39" ht="12.75" customHeight="1">
      <c r="B13" s="14" t="s">
        <v>33</v>
      </c>
      <c r="C13" s="101"/>
      <c r="D13" s="15">
        <f t="shared" ref="D13:G13" si="19">SUM(D12/C12)-1</f>
        <v>-0.16843789486660554</v>
      </c>
      <c r="E13" s="15">
        <f t="shared" si="19"/>
        <v>0.40295106285759985</v>
      </c>
      <c r="F13" s="15">
        <f t="shared" si="19"/>
        <v>0.18279588580040818</v>
      </c>
      <c r="G13" s="15">
        <f t="shared" si="19"/>
        <v>9.7831725861970975E-2</v>
      </c>
      <c r="H13" s="15">
        <f>SUM(H12/G12)-1</f>
        <v>7.88334178169392E-3</v>
      </c>
      <c r="I13" s="11"/>
      <c r="J13" s="101"/>
      <c r="K13" s="101"/>
      <c r="L13" s="101"/>
      <c r="M13" s="101"/>
      <c r="N13" s="15">
        <f t="shared" ref="N13" si="20">SUM(N12/J12)-1</f>
        <v>0.12292164076830181</v>
      </c>
      <c r="O13" s="15">
        <f t="shared" ref="O13" si="21">SUM(O12/K12)-1</f>
        <v>0.10129932658950591</v>
      </c>
      <c r="P13" s="15">
        <f t="shared" ref="P13" si="22">SUM(P12/L12)-1</f>
        <v>6.4195505972524769E-2</v>
      </c>
      <c r="Q13" s="15">
        <f t="shared" ref="Q13" si="23">SUM(Q12/M12)-1</f>
        <v>0.10150233685480781</v>
      </c>
      <c r="R13" s="15">
        <f t="shared" ref="R13:X13" si="24">SUM(R12/N12)-1</f>
        <v>3.4766839909302849E-2</v>
      </c>
      <c r="S13" s="15">
        <f t="shared" si="24"/>
        <v>8.8061984126073245E-3</v>
      </c>
      <c r="T13" s="15">
        <f t="shared" si="24"/>
        <v>1.6540019357692781E-2</v>
      </c>
      <c r="U13" s="15">
        <f t="shared" si="24"/>
        <v>-1.8760103964270525E-2</v>
      </c>
      <c r="V13" s="15">
        <f t="shared" si="24"/>
        <v>4.4947113705533281E-2</v>
      </c>
      <c r="W13" s="15">
        <f t="shared" si="24"/>
        <v>9.2623017945704822E-2</v>
      </c>
      <c r="X13" s="15">
        <f t="shared" si="24"/>
        <v>0.12945061460021323</v>
      </c>
      <c r="Y13" s="5"/>
      <c r="Z13" s="15">
        <f>SUM(Z12/W12)-1</f>
        <v>2.6609982036737714</v>
      </c>
      <c r="AA13" s="15">
        <f>SUM(AA12/X12)-1</f>
        <v>2.6733123998512065</v>
      </c>
      <c r="AB13" s="15" t="e">
        <f>SUM(AB12/Y12)-1</f>
        <v>#DIV/0!</v>
      </c>
      <c r="AC13" s="15" t="e">
        <f>SUM(AC12/#REF!)-1</f>
        <v>#REF!</v>
      </c>
      <c r="AD13" s="15">
        <f t="shared" ref="AD13" si="25">SUM(AD12/Z12)-1</f>
        <v>9.7831725861970975E-2</v>
      </c>
      <c r="AE13" s="15">
        <f t="shared" ref="AE13" si="26">SUM(AE12/AA12)-1</f>
        <v>7.6398059549152242E-2</v>
      </c>
      <c r="AF13" s="15">
        <f t="shared" ref="AF13" si="27">SUM(AF12/AB12)-1</f>
        <v>5.5130284917347394E-2</v>
      </c>
      <c r="AG13" s="15">
        <f t="shared" ref="AG13" si="28">SUM(AG12/AC12)-1</f>
        <v>4.4353386622410396E-2</v>
      </c>
      <c r="AH13" s="15">
        <f t="shared" ref="AH13" si="29">SUM(AH12/AD12)-1</f>
        <v>7.88334178169392E-3</v>
      </c>
      <c r="AI13" s="15">
        <f t="shared" ref="AI13" si="30">SUM(AI12/AE12)-1</f>
        <v>1.0557233596792948E-2</v>
      </c>
      <c r="AJ13" s="15">
        <f t="shared" ref="AJ13" si="31">SUM(AJ12/AF12)-1</f>
        <v>2.9448291810225458E-2</v>
      </c>
      <c r="AK13" s="15">
        <f t="shared" ref="AK13" si="32">SUM(AK12/AG12)-1</f>
        <v>5.4543815957515562E-2</v>
      </c>
      <c r="AM13" s="112">
        <f>SUM(AK13-AG13)*10000</f>
        <v>101.90429335105166</v>
      </c>
    </row>
    <row r="14" spans="2:39" ht="12.75" customHeight="1">
      <c r="B14" s="14" t="s">
        <v>34</v>
      </c>
      <c r="C14" s="15" t="s">
        <v>35</v>
      </c>
      <c r="D14" s="15" t="s">
        <v>35</v>
      </c>
      <c r="E14" s="15" t="s">
        <v>35</v>
      </c>
      <c r="F14" s="15" t="s">
        <v>35</v>
      </c>
      <c r="G14" s="15" t="s">
        <v>35</v>
      </c>
      <c r="H14" s="15" t="s">
        <v>35</v>
      </c>
      <c r="I14" s="11"/>
      <c r="J14" s="101"/>
      <c r="K14" s="15">
        <f t="shared" ref="K14" si="33">SUM(K12/J12)-1</f>
        <v>-2.0797126562459134E-2</v>
      </c>
      <c r="L14" s="15">
        <f t="shared" ref="L14" si="34">SUM(L12/K12)-1</f>
        <v>1.8144514440517456E-2</v>
      </c>
      <c r="M14" s="15">
        <f t="shared" ref="M14" si="35">SUM(M12/L12)-1</f>
        <v>0.37967447311497815</v>
      </c>
      <c r="N14" s="15">
        <f t="shared" ref="N14" si="36">SUM(N12/M12)-1</f>
        <v>-0.18362308101623503</v>
      </c>
      <c r="O14" s="15">
        <f t="shared" ref="O14:X14" si="37">SUM(O12/N12)-1</f>
        <v>-3.9652077260319052E-2</v>
      </c>
      <c r="P14" s="15">
        <f t="shared" si="37"/>
        <v>-1.6157741552821014E-2</v>
      </c>
      <c r="Q14" s="15">
        <f t="shared" si="37"/>
        <v>0.42804085124027003</v>
      </c>
      <c r="R14" s="15">
        <f t="shared" si="37"/>
        <v>-0.23308400139774421</v>
      </c>
      <c r="S14" s="15">
        <f t="shared" si="37"/>
        <v>-6.3745667403317996E-2</v>
      </c>
      <c r="T14" s="15">
        <f t="shared" si="37"/>
        <v>-8.6153019078111237E-3</v>
      </c>
      <c r="U14" s="15">
        <f t="shared" si="37"/>
        <v>0.37845104936563767</v>
      </c>
      <c r="V14" s="15">
        <f t="shared" si="37"/>
        <v>-0.18329181025794372</v>
      </c>
      <c r="W14" s="15">
        <f t="shared" si="37"/>
        <v>-2.1028891291045015E-2</v>
      </c>
      <c r="X14" s="15">
        <f t="shared" si="37"/>
        <v>2.4799988811064155E-2</v>
      </c>
      <c r="Y14" s="5"/>
      <c r="Z14" s="15" t="s">
        <v>35</v>
      </c>
      <c r="AA14" s="15" t="s">
        <v>35</v>
      </c>
      <c r="AB14" s="15" t="s">
        <v>35</v>
      </c>
      <c r="AC14" s="15" t="s">
        <v>35</v>
      </c>
      <c r="AD14" s="15" t="s">
        <v>35</v>
      </c>
      <c r="AE14" s="15" t="s">
        <v>35</v>
      </c>
      <c r="AF14" s="15" t="s">
        <v>35</v>
      </c>
      <c r="AG14" s="15" t="s">
        <v>35</v>
      </c>
      <c r="AH14" s="15" t="s">
        <v>35</v>
      </c>
      <c r="AI14" s="15" t="s">
        <v>35</v>
      </c>
      <c r="AJ14" s="15" t="s">
        <v>35</v>
      </c>
      <c r="AK14" s="15" t="s">
        <v>35</v>
      </c>
      <c r="AM14" s="109"/>
    </row>
    <row r="15" spans="2:39" ht="5.0999999999999996" customHeight="1">
      <c r="B15" s="16"/>
      <c r="C15" s="17"/>
      <c r="D15" s="17"/>
      <c r="E15" s="17"/>
      <c r="F15" s="17"/>
      <c r="G15" s="17"/>
      <c r="H15" s="17"/>
      <c r="I15" s="18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M15" s="109"/>
    </row>
    <row r="16" spans="2:39" ht="12.75" customHeight="1">
      <c r="B16" s="21" t="s">
        <v>161</v>
      </c>
      <c r="C16" s="82">
        <f>'Historical Financials'!C13/1000</f>
        <v>-4717.0039999999999</v>
      </c>
      <c r="D16" s="82">
        <f>'Historical Financials'!D13/1000</f>
        <v>-4202.7939999999999</v>
      </c>
      <c r="E16" s="82">
        <f>'Historical Financials'!E13/1000</f>
        <v>-5262.335</v>
      </c>
      <c r="F16" s="82">
        <f>'Historical Financials'!F13/1000</f>
        <v>-6164.07</v>
      </c>
      <c r="G16" s="82">
        <f>'Historical Financials'!G13/1000</f>
        <v>-6826.2030000000004</v>
      </c>
      <c r="H16" s="82">
        <f>'Historical Financials'!H13/1000</f>
        <v>-6908.4009999999998</v>
      </c>
      <c r="I16" s="10"/>
      <c r="J16" s="82">
        <f>'Historical Financials'!J13/1000</f>
        <v>-1404.875</v>
      </c>
      <c r="K16" s="82">
        <f>'Historical Financials'!K13/1000</f>
        <v>-1368.9490000000001</v>
      </c>
      <c r="L16" s="82">
        <f>'Historical Financials'!L13/1000</f>
        <v>-1375.9760000000001</v>
      </c>
      <c r="M16" s="82">
        <f>'Historical Financials'!M13/1000</f>
        <v>-2014.27</v>
      </c>
      <c r="N16" s="82">
        <f>'Historical Financials'!N13/1000</f>
        <v>-1579.4059999999999</v>
      </c>
      <c r="O16" s="82">
        <f>'Historical Financials'!O13/1000</f>
        <v>-1536.1969999999999</v>
      </c>
      <c r="P16" s="82">
        <f>'Historical Financials'!P13/1000</f>
        <v>-1496.866</v>
      </c>
      <c r="Q16" s="82">
        <f>'Historical Financials'!Q13/1000</f>
        <v>-2213.7339999999999</v>
      </c>
      <c r="R16" s="82">
        <f>'Historical Financials'!R13/1000</f>
        <v>-1656.068</v>
      </c>
      <c r="S16" s="82">
        <f>'Historical Financials'!S13/1000</f>
        <v>-1573.91</v>
      </c>
      <c r="T16" s="82">
        <f>'Historical Financials'!T13/1000</f>
        <v>-1524.4559999999999</v>
      </c>
      <c r="U16" s="82">
        <f>'Historical Financials'!U13/1000</f>
        <v>-2153.9670000000001</v>
      </c>
      <c r="V16" s="82">
        <f>'Historical Financials'!V13/1000</f>
        <v>-1734.1479999999999</v>
      </c>
      <c r="W16" s="82">
        <f>'Historical Financials'!W13/1000</f>
        <v>-1696.7729999999999</v>
      </c>
      <c r="X16" s="82">
        <f>'Historical Financials'!X13/1000</f>
        <v>-1701.9580000000001</v>
      </c>
      <c r="Y16" s="5"/>
      <c r="Z16" s="155">
        <f>SUM(J16:M16)</f>
        <v>-6164.07</v>
      </c>
      <c r="AA16" s="155">
        <f>SUM(K16:N16)</f>
        <v>-6338.6009999999997</v>
      </c>
      <c r="AB16" s="155">
        <f>SUM(L16:O16)</f>
        <v>-6505.8490000000002</v>
      </c>
      <c r="AC16" s="155">
        <f>SUM(M16:P16)</f>
        <v>-6626.7389999999996</v>
      </c>
      <c r="AD16" s="155">
        <f>SUM(N16:Q16)</f>
        <v>-6826.2029999999995</v>
      </c>
      <c r="AE16" s="155">
        <f>SUM(O16:R16)</f>
        <v>-6902.8650000000007</v>
      </c>
      <c r="AF16" s="155">
        <f>SUM(P16:S16)</f>
        <v>-6940.5779999999995</v>
      </c>
      <c r="AG16" s="155">
        <f>SUM(Q16:T16)</f>
        <v>-6968.1679999999997</v>
      </c>
      <c r="AH16" s="155">
        <f>SUM(R16:U16)</f>
        <v>-6908.4009999999998</v>
      </c>
      <c r="AI16" s="155">
        <f>SUM(S16:V16)</f>
        <v>-6986.4810000000007</v>
      </c>
      <c r="AJ16" s="155">
        <f>SUM(T16:W16)</f>
        <v>-7109.3440000000001</v>
      </c>
      <c r="AK16" s="155">
        <f>SUM(U16:X16)</f>
        <v>-7286.8459999999995</v>
      </c>
      <c r="AM16" s="110">
        <f t="shared" ref="AM16" si="38">SUM(AK16/AG16)-1</f>
        <v>4.5733397931852382E-2</v>
      </c>
    </row>
    <row r="17" spans="2:39" ht="12.75" customHeight="1">
      <c r="B17" s="23" t="s">
        <v>23</v>
      </c>
      <c r="C17" s="24">
        <f t="shared" ref="C17:G17" si="39">SUM(C12+SUM(C16:C16))</f>
        <v>2681.0639999999994</v>
      </c>
      <c r="D17" s="24">
        <f t="shared" si="39"/>
        <v>1949.1590000000006</v>
      </c>
      <c r="E17" s="24">
        <f t="shared" si="39"/>
        <v>3368.554000000001</v>
      </c>
      <c r="F17" s="24">
        <f t="shared" si="39"/>
        <v>4044.51</v>
      </c>
      <c r="G17" s="24">
        <f t="shared" si="39"/>
        <v>4381.0999999999995</v>
      </c>
      <c r="H17" s="24">
        <f>SUM(H12+SUM(H16:H16))</f>
        <v>4387.2530000000024</v>
      </c>
      <c r="I17" s="5"/>
      <c r="J17" s="24">
        <f t="shared" ref="J17:M17" si="40">SUM(J12+SUM(J16:J16))</f>
        <v>941.02599999999984</v>
      </c>
      <c r="K17" s="24">
        <f t="shared" si="40"/>
        <v>928.16400000000021</v>
      </c>
      <c r="L17" s="24">
        <f t="shared" si="40"/>
        <v>962.81700000000046</v>
      </c>
      <c r="M17" s="24">
        <f t="shared" si="40"/>
        <v>1212.5029999999997</v>
      </c>
      <c r="N17" s="24">
        <f t="shared" ref="N17:X17" si="41">SUM(N12+SUM(N16:N16))</f>
        <v>1054.857</v>
      </c>
      <c r="O17" s="24">
        <f t="shared" si="41"/>
        <v>993.61200000000031</v>
      </c>
      <c r="P17" s="24">
        <f t="shared" si="41"/>
        <v>992.06699999999955</v>
      </c>
      <c r="Q17" s="24">
        <f t="shared" si="41"/>
        <v>1340.5639999999985</v>
      </c>
      <c r="R17" s="24">
        <f t="shared" si="41"/>
        <v>1069.7799999999995</v>
      </c>
      <c r="S17" s="24">
        <f t="shared" si="41"/>
        <v>978.17699999999991</v>
      </c>
      <c r="T17" s="24">
        <f t="shared" si="41"/>
        <v>1005.644</v>
      </c>
      <c r="U17" s="24">
        <f t="shared" si="41"/>
        <v>1333.6519999999996</v>
      </c>
      <c r="V17" s="24">
        <f t="shared" si="41"/>
        <v>1114.2190000000003</v>
      </c>
      <c r="W17" s="24">
        <f t="shared" si="41"/>
        <v>1091.6960000000001</v>
      </c>
      <c r="X17" s="24">
        <f t="shared" si="41"/>
        <v>1155.6649999999991</v>
      </c>
      <c r="Y17" s="5"/>
      <c r="Z17" s="24">
        <f t="shared" ref="Z17:AJ17" si="42">SUM(Z12+SUM(Z16:Z16))</f>
        <v>4044.5099999999984</v>
      </c>
      <c r="AA17" s="24">
        <f t="shared" si="42"/>
        <v>4158.3410000000013</v>
      </c>
      <c r="AB17" s="24">
        <f t="shared" si="42"/>
        <v>4223.7890000000007</v>
      </c>
      <c r="AC17" s="24">
        <f t="shared" si="42"/>
        <v>4253.0390000000007</v>
      </c>
      <c r="AD17" s="24">
        <f t="shared" si="42"/>
        <v>4381.0999999999985</v>
      </c>
      <c r="AE17" s="24">
        <f t="shared" si="42"/>
        <v>4396.0229999999965</v>
      </c>
      <c r="AF17" s="24">
        <f t="shared" si="42"/>
        <v>4380.5879999999979</v>
      </c>
      <c r="AG17" s="24">
        <f t="shared" si="42"/>
        <v>4394.1649999999954</v>
      </c>
      <c r="AH17" s="24">
        <f t="shared" si="42"/>
        <v>4387.2530000000006</v>
      </c>
      <c r="AI17" s="24">
        <f t="shared" si="42"/>
        <v>4431.6919999999982</v>
      </c>
      <c r="AJ17" s="24">
        <f t="shared" si="42"/>
        <v>4545.2110000000002</v>
      </c>
      <c r="AK17" s="24">
        <f t="shared" ref="AK17" si="43">SUM(AK12+SUM(AK16:AK16))</f>
        <v>4695.232</v>
      </c>
      <c r="AM17" s="111">
        <f>SUM(AK17/AG17)-1</f>
        <v>6.8515178651690434E-2</v>
      </c>
    </row>
    <row r="18" spans="2:39" ht="12.75" customHeight="1">
      <c r="B18" s="14" t="s">
        <v>36</v>
      </c>
      <c r="C18" s="15">
        <f t="shared" ref="C18:G18" si="44">C17/C12</f>
        <v>0.362400561876425</v>
      </c>
      <c r="D18" s="15">
        <f t="shared" si="44"/>
        <v>0.316835808075907</v>
      </c>
      <c r="E18" s="15">
        <f t="shared" si="44"/>
        <v>0.39029050194018261</v>
      </c>
      <c r="F18" s="15">
        <f t="shared" si="44"/>
        <v>0.39618732477974411</v>
      </c>
      <c r="G18" s="15">
        <f t="shared" si="44"/>
        <v>0.39091474550121463</v>
      </c>
      <c r="H18" s="15">
        <f>H17/H12</f>
        <v>0.38840185791809856</v>
      </c>
      <c r="I18" s="25"/>
      <c r="J18" s="15">
        <f t="shared" ref="J18:M18" si="45">J17/J12</f>
        <v>0.40113627983448574</v>
      </c>
      <c r="K18" s="15">
        <f t="shared" si="45"/>
        <v>0.4040567442698727</v>
      </c>
      <c r="L18" s="15">
        <f t="shared" si="45"/>
        <v>0.41167260206439826</v>
      </c>
      <c r="M18" s="15">
        <f t="shared" si="45"/>
        <v>0.37576334003042661</v>
      </c>
      <c r="N18" s="15">
        <f t="shared" ref="N18:X18" si="46">N17/N12</f>
        <v>0.40043723804343001</v>
      </c>
      <c r="O18" s="15">
        <f t="shared" si="46"/>
        <v>0.39276166698750786</v>
      </c>
      <c r="P18" s="15">
        <f t="shared" si="46"/>
        <v>0.39859128389554871</v>
      </c>
      <c r="Q18" s="15">
        <f t="shared" si="46"/>
        <v>0.37716702426189336</v>
      </c>
      <c r="R18" s="15">
        <f t="shared" si="46"/>
        <v>0.3924576865621266</v>
      </c>
      <c r="S18" s="15">
        <f t="shared" si="46"/>
        <v>0.38328513095360772</v>
      </c>
      <c r="T18" s="15">
        <f t="shared" si="46"/>
        <v>0.39747203667839215</v>
      </c>
      <c r="U18" s="15">
        <f t="shared" si="46"/>
        <v>0.38239612755865815</v>
      </c>
      <c r="V18" s="15">
        <f t="shared" si="46"/>
        <v>0.39117817331825577</v>
      </c>
      <c r="W18" s="15">
        <f t="shared" si="46"/>
        <v>0.39150372480382606</v>
      </c>
      <c r="X18" s="15">
        <f t="shared" si="46"/>
        <v>0.40441478809486042</v>
      </c>
      <c r="Y18" s="26"/>
      <c r="Z18" s="15">
        <f t="shared" ref="Z18:AJ18" si="47">Z17/Z12</f>
        <v>0.396187324779744</v>
      </c>
      <c r="AA18" s="15">
        <f t="shared" si="47"/>
        <v>0.39614784953560772</v>
      </c>
      <c r="AB18" s="15">
        <f t="shared" si="47"/>
        <v>0.39365624450703746</v>
      </c>
      <c r="AC18" s="15">
        <f t="shared" si="47"/>
        <v>0.39091229618839657</v>
      </c>
      <c r="AD18" s="15">
        <f t="shared" si="47"/>
        <v>0.39091474550121463</v>
      </c>
      <c r="AE18" s="15">
        <f t="shared" si="47"/>
        <v>0.38906687100535892</v>
      </c>
      <c r="AF18" s="15">
        <f t="shared" si="47"/>
        <v>0.38693788254672701</v>
      </c>
      <c r="AG18" s="15">
        <f t="shared" si="47"/>
        <v>0.38673087648460902</v>
      </c>
      <c r="AH18" s="15">
        <f t="shared" si="47"/>
        <v>0.38840185791809845</v>
      </c>
      <c r="AI18" s="15">
        <f t="shared" si="47"/>
        <v>0.38812619146688343</v>
      </c>
      <c r="AJ18" s="15">
        <f t="shared" si="47"/>
        <v>0.38999438416996618</v>
      </c>
      <c r="AK18" s="15">
        <f t="shared" ref="AK18" si="48">AK17/AK12</f>
        <v>0.39185456813083674</v>
      </c>
      <c r="AM18" s="112">
        <f>SUM(AK18-AG18)*10000</f>
        <v>51.236916462277236</v>
      </c>
    </row>
    <row r="19" spans="2:39" ht="5.0999999999999996" customHeight="1"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5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M19" s="109"/>
    </row>
    <row r="20" spans="2:39" ht="12.75" customHeight="1">
      <c r="B20" s="21" t="s">
        <v>174</v>
      </c>
      <c r="C20" s="156">
        <f>'Historical Financials'!C17/1000</f>
        <v>-1760.7159999999999</v>
      </c>
      <c r="D20" s="156">
        <f>'Historical Financials'!D17/1000</f>
        <v>-1583.0170000000001</v>
      </c>
      <c r="E20" s="156">
        <f>'Historical Financials'!E17/1000</f>
        <v>-2061.5450000000001</v>
      </c>
      <c r="F20" s="156">
        <f>'Historical Financials'!F17/1000</f>
        <v>-2395.299</v>
      </c>
      <c r="G20" s="156">
        <f>'Historical Financials'!G17/1000</f>
        <v>-2694.5610000000001</v>
      </c>
      <c r="H20" s="156">
        <f>'Historical Financials'!H17/1000</f>
        <v>-2808.5920000000001</v>
      </c>
      <c r="I20" s="82"/>
      <c r="J20" s="156">
        <f>'Historical Financials'!J17/1000</f>
        <v>-500.97</v>
      </c>
      <c r="K20" s="156">
        <f>'Historical Financials'!K17/1000</f>
        <v>-534.45899999999995</v>
      </c>
      <c r="L20" s="156">
        <f>'Historical Financials'!L17/1000</f>
        <v>-597.16399999999999</v>
      </c>
      <c r="M20" s="156">
        <f>'Historical Financials'!M17/1000</f>
        <v>-762.70600000000002</v>
      </c>
      <c r="N20" s="156">
        <f>'Historical Financials'!N17/1000</f>
        <v>-612.12900000000002</v>
      </c>
      <c r="O20" s="156">
        <f>'Historical Financials'!O17/1000</f>
        <v>-600.69200000000001</v>
      </c>
      <c r="P20" s="156">
        <f>'Historical Financials'!P17/1000</f>
        <v>-661.38</v>
      </c>
      <c r="Q20" s="156">
        <f>'Historical Financials'!Q17/1000</f>
        <v>-820.36</v>
      </c>
      <c r="R20" s="156">
        <f>'Historical Financials'!R17/1000</f>
        <v>-665.91300000000001</v>
      </c>
      <c r="S20" s="156">
        <f>'Historical Financials'!S17/1000</f>
        <v>-644.82100000000003</v>
      </c>
      <c r="T20" s="156">
        <f>'Historical Financials'!T17/1000</f>
        <v>-682.25900000000001</v>
      </c>
      <c r="U20" s="156">
        <f>'Historical Financials'!U17/1000</f>
        <v>-815.59900000000005</v>
      </c>
      <c r="V20" s="156">
        <f>'Historical Financials'!V17/1000</f>
        <v>-710.61300000000006</v>
      </c>
      <c r="W20" s="156">
        <f>'Historical Financials'!W17/1000</f>
        <v>-741.73699999999997</v>
      </c>
      <c r="X20" s="156">
        <f>'Historical Financials'!X17/1000</f>
        <v>-840.92</v>
      </c>
      <c r="Y20" s="5"/>
      <c r="Z20" s="155">
        <f>SUM(J20:M20)</f>
        <v>-2395.299</v>
      </c>
      <c r="AA20" s="155">
        <f>SUM(K20:N20)</f>
        <v>-2506.4580000000001</v>
      </c>
      <c r="AB20" s="155">
        <f>SUM(L20:O20)</f>
        <v>-2572.6909999999998</v>
      </c>
      <c r="AC20" s="155">
        <f>SUM(M20:P20)</f>
        <v>-2636.9070000000002</v>
      </c>
      <c r="AD20" s="155">
        <f>SUM(N20:Q20)</f>
        <v>-2694.5610000000001</v>
      </c>
      <c r="AE20" s="155">
        <f>SUM(O20:R20)</f>
        <v>-2748.3450000000003</v>
      </c>
      <c r="AF20" s="155">
        <f>SUM(P20:S20)</f>
        <v>-2792.4740000000002</v>
      </c>
      <c r="AG20" s="155">
        <f>SUM(Q20:T20)</f>
        <v>-2813.3530000000001</v>
      </c>
      <c r="AH20" s="155">
        <f>SUM(R20:U20)</f>
        <v>-2808.5920000000001</v>
      </c>
      <c r="AI20" s="155">
        <f>SUM(S20:V20)</f>
        <v>-2853.2920000000004</v>
      </c>
      <c r="AJ20" s="155">
        <f>SUM(T20:W20)</f>
        <v>-2950.2080000000005</v>
      </c>
      <c r="AK20" s="155">
        <f>SUM(U20:X20)</f>
        <v>-3108.8690000000001</v>
      </c>
      <c r="AM20" s="110">
        <f>SUM(AK20/AG20)-1</f>
        <v>0.10504049793964709</v>
      </c>
    </row>
    <row r="21" spans="2:39" ht="12.75" customHeight="1">
      <c r="B21" s="21" t="s">
        <v>175</v>
      </c>
      <c r="C21" s="156">
        <f>'Historical Financials'!C18/1000</f>
        <v>-19.254000000000001</v>
      </c>
      <c r="D21" s="156">
        <f>'Historical Financials'!D18/1000</f>
        <v>-15</v>
      </c>
      <c r="E21" s="156">
        <f>'Historical Financials'!E18/1000</f>
        <v>-9.5169999999999995</v>
      </c>
      <c r="F21" s="156">
        <f>'Historical Financials'!F18/1000</f>
        <v>-10.601000000000001</v>
      </c>
      <c r="G21" s="156">
        <f>'Historical Financials'!G18/1000</f>
        <v>-8.51</v>
      </c>
      <c r="H21" s="156">
        <f>'Historical Financials'!H18/1000</f>
        <v>-13.689</v>
      </c>
      <c r="I21" s="82"/>
      <c r="J21" s="156">
        <f>'Historical Financials'!J18/1000</f>
        <v>-2.3479999999999999</v>
      </c>
      <c r="K21" s="156">
        <f>'Historical Financials'!K18/1000</f>
        <v>-2.2770000000000001</v>
      </c>
      <c r="L21" s="156">
        <f>'Historical Financials'!L18/1000</f>
        <v>-3.7970000000000002</v>
      </c>
      <c r="M21" s="156">
        <f>'Historical Financials'!M18/1000</f>
        <v>-2.1789999999999998</v>
      </c>
      <c r="N21" s="156">
        <f>'Historical Financials'!N18/1000</f>
        <v>-0.65800000000000003</v>
      </c>
      <c r="O21" s="156">
        <f>'Historical Financials'!O18/1000</f>
        <v>-1.278</v>
      </c>
      <c r="P21" s="156">
        <f>'Historical Financials'!P18/1000</f>
        <v>-3.46</v>
      </c>
      <c r="Q21" s="156">
        <f>'Historical Financials'!Q18/1000</f>
        <v>-3.1139999999999999</v>
      </c>
      <c r="R21" s="156">
        <f>'Historical Financials'!R18/1000</f>
        <v>-2.919</v>
      </c>
      <c r="S21" s="156">
        <f>'Historical Financials'!S18/1000</f>
        <v>-4.1550000000000002</v>
      </c>
      <c r="T21" s="156">
        <f>'Historical Financials'!T18/1000</f>
        <v>-4.883</v>
      </c>
      <c r="U21" s="156">
        <f>'Historical Financials'!U18/1000</f>
        <v>-1.732</v>
      </c>
      <c r="V21" s="156">
        <f>'Historical Financials'!V18/1000</f>
        <v>-1.829</v>
      </c>
      <c r="W21" s="156">
        <f>'Historical Financials'!W18/1000</f>
        <v>-5.1050000000000004</v>
      </c>
      <c r="X21" s="156">
        <f>'Historical Financials'!X18/1000</f>
        <v>-5.3259999999999996</v>
      </c>
      <c r="Y21" s="5"/>
      <c r="Z21" s="155">
        <f>SUM(J21:M21)</f>
        <v>-10.601000000000001</v>
      </c>
      <c r="AA21" s="155">
        <f>SUM(K21:N21)</f>
        <v>-8.9109999999999996</v>
      </c>
      <c r="AB21" s="155">
        <f>SUM(L21:O21)</f>
        <v>-7.9120000000000008</v>
      </c>
      <c r="AC21" s="155">
        <f>SUM(M21:P21)</f>
        <v>-7.5750000000000002</v>
      </c>
      <c r="AD21" s="155">
        <f>SUM(N21:Q21)</f>
        <v>-8.51</v>
      </c>
      <c r="AE21" s="155">
        <f>SUM(O21:R21)</f>
        <v>-10.770999999999999</v>
      </c>
      <c r="AF21" s="155">
        <f>SUM(P21:S21)</f>
        <v>-13.648</v>
      </c>
      <c r="AG21" s="155">
        <f>SUM(Q21:T21)</f>
        <v>-15.070999999999998</v>
      </c>
      <c r="AH21" s="155">
        <f>SUM(R21:U21)</f>
        <v>-13.689</v>
      </c>
      <c r="AI21" s="155">
        <f>SUM(S21:V21)</f>
        <v>-12.599</v>
      </c>
      <c r="AJ21" s="155">
        <f>SUM(T21:W21)</f>
        <v>-13.549000000000001</v>
      </c>
      <c r="AK21" s="155">
        <f>SUM(U21:X21)</f>
        <v>-13.992000000000001</v>
      </c>
      <c r="AM21" s="110"/>
    </row>
    <row r="22" spans="2:39" ht="12.75" customHeight="1">
      <c r="B22" s="21" t="s">
        <v>176</v>
      </c>
      <c r="C22" s="156">
        <f>'Historical Financials'!C19/1000</f>
        <v>0</v>
      </c>
      <c r="D22" s="156">
        <f>'Historical Financials'!D19/1000</f>
        <v>-114.322</v>
      </c>
      <c r="E22" s="156">
        <f>'Historical Financials'!E19/1000</f>
        <v>0</v>
      </c>
      <c r="F22" s="156">
        <f>'Historical Financials'!F19/1000</f>
        <v>0</v>
      </c>
      <c r="G22" s="156">
        <f>'Historical Financials'!G19/1000</f>
        <v>0</v>
      </c>
      <c r="H22" s="156">
        <f>'Historical Financials'!H19/1000</f>
        <v>0</v>
      </c>
      <c r="I22" s="82"/>
      <c r="J22" s="156">
        <f>'Historical Financials'!J19/1000</f>
        <v>0</v>
      </c>
      <c r="K22" s="156">
        <f>'Historical Financials'!K19/1000</f>
        <v>0</v>
      </c>
      <c r="L22" s="156">
        <f>'Historical Financials'!L19/1000</f>
        <v>0</v>
      </c>
      <c r="M22" s="156">
        <f>'Historical Financials'!M19/1000</f>
        <v>0</v>
      </c>
      <c r="N22" s="156">
        <f>'Historical Financials'!N19/1000</f>
        <v>0</v>
      </c>
      <c r="O22" s="156">
        <f>'Historical Financials'!O19/1000</f>
        <v>0</v>
      </c>
      <c r="P22" s="156">
        <f>'Historical Financials'!P19/1000</f>
        <v>0</v>
      </c>
      <c r="Q22" s="156">
        <f>'Historical Financials'!Q19/1000</f>
        <v>0</v>
      </c>
      <c r="R22" s="156">
        <f>'Historical Financials'!R19/1000</f>
        <v>0</v>
      </c>
      <c r="S22" s="156">
        <f>'Historical Financials'!S19/1000</f>
        <v>0</v>
      </c>
      <c r="T22" s="156">
        <f>'Historical Financials'!T19/1000</f>
        <v>0</v>
      </c>
      <c r="U22" s="156">
        <f>'Historical Financials'!U19/1000</f>
        <v>0</v>
      </c>
      <c r="V22" s="156">
        <f>'Historical Financials'!V19/1000</f>
        <v>0</v>
      </c>
      <c r="W22" s="156">
        <f>'Historical Financials'!W19/1000</f>
        <v>0</v>
      </c>
      <c r="X22" s="156">
        <f>'Historical Financials'!X19/1000</f>
        <v>0</v>
      </c>
      <c r="Y22" s="5"/>
      <c r="Z22" s="155">
        <f>SUM(J22:M22)</f>
        <v>0</v>
      </c>
      <c r="AA22" s="155">
        <f>SUM(K22:N22)</f>
        <v>0</v>
      </c>
      <c r="AB22" s="155">
        <f>SUM(L22:O22)</f>
        <v>0</v>
      </c>
      <c r="AC22" s="155">
        <f>SUM(M22:P22)</f>
        <v>0</v>
      </c>
      <c r="AD22" s="155">
        <f>SUM(N22:Q22)</f>
        <v>0</v>
      </c>
      <c r="AE22" s="155">
        <f>SUM(O22:R22)</f>
        <v>0</v>
      </c>
      <c r="AF22" s="155">
        <f>SUM(P22:S22)</f>
        <v>0</v>
      </c>
      <c r="AG22" s="155">
        <f>SUM(Q22:T22)</f>
        <v>0</v>
      </c>
      <c r="AH22" s="155">
        <f>SUM(R22:U22)</f>
        <v>0</v>
      </c>
      <c r="AI22" s="155">
        <f>SUM(S22:V22)</f>
        <v>0</v>
      </c>
      <c r="AJ22" s="155">
        <f>SUM(T22:W22)</f>
        <v>0</v>
      </c>
      <c r="AK22" s="155">
        <f>SUM(U22:X22)</f>
        <v>0</v>
      </c>
      <c r="AM22" s="110" t="e">
        <f>SUM(AK22/AG22)-1</f>
        <v>#DIV/0!</v>
      </c>
    </row>
    <row r="23" spans="2:39" ht="12.75" customHeight="1">
      <c r="B23" s="12" t="s">
        <v>37</v>
      </c>
      <c r="C23" s="13">
        <f t="shared" ref="C23:G23" si="49">SUM(C17+SUM(C20:C22))</f>
        <v>901.0939999999996</v>
      </c>
      <c r="D23" s="13">
        <f t="shared" si="49"/>
        <v>236.82000000000062</v>
      </c>
      <c r="E23" s="13">
        <f t="shared" si="49"/>
        <v>1297.4920000000011</v>
      </c>
      <c r="F23" s="13">
        <f t="shared" si="49"/>
        <v>1638.6100000000001</v>
      </c>
      <c r="G23" s="13">
        <f t="shared" si="49"/>
        <v>1678.0289999999991</v>
      </c>
      <c r="H23" s="13">
        <f>SUM(H17+SUM(H20:H22))</f>
        <v>1564.9720000000025</v>
      </c>
      <c r="I23" s="11"/>
      <c r="J23" s="13">
        <f t="shared" ref="J23" si="50">SUM(J17+SUM(J20:J22))</f>
        <v>437.7079999999998</v>
      </c>
      <c r="K23" s="13">
        <f t="shared" ref="K23" si="51">SUM(K17+SUM(K20:K22))</f>
        <v>391.42800000000022</v>
      </c>
      <c r="L23" s="13">
        <f t="shared" ref="L23" si="52">SUM(L17+SUM(L20:L22))</f>
        <v>361.85600000000045</v>
      </c>
      <c r="M23" s="13">
        <f t="shared" ref="M23" si="53">SUM(M17+SUM(M20:M22))</f>
        <v>447.61799999999971</v>
      </c>
      <c r="N23" s="13">
        <f t="shared" ref="N23:X23" si="54">SUM(N17+SUM(N20:N22))</f>
        <v>442.06999999999994</v>
      </c>
      <c r="O23" s="13">
        <f t="shared" si="54"/>
        <v>391.64200000000028</v>
      </c>
      <c r="P23" s="13">
        <f t="shared" si="54"/>
        <v>327.22699999999952</v>
      </c>
      <c r="Q23" s="13">
        <f t="shared" si="54"/>
        <v>517.08999999999844</v>
      </c>
      <c r="R23" s="13">
        <f t="shared" si="54"/>
        <v>400.94799999999952</v>
      </c>
      <c r="S23" s="13">
        <f t="shared" si="54"/>
        <v>329.20099999999991</v>
      </c>
      <c r="T23" s="13">
        <f t="shared" si="54"/>
        <v>318.50199999999995</v>
      </c>
      <c r="U23" s="13">
        <f t="shared" si="54"/>
        <v>516.32099999999957</v>
      </c>
      <c r="V23" s="13">
        <f t="shared" si="54"/>
        <v>401.77700000000027</v>
      </c>
      <c r="W23" s="13">
        <f t="shared" si="54"/>
        <v>344.85400000000016</v>
      </c>
      <c r="X23" s="13">
        <f t="shared" si="54"/>
        <v>309.41899999999907</v>
      </c>
      <c r="Y23" s="5"/>
      <c r="Z23" s="13">
        <f t="shared" ref="Z23" si="55">SUM(Z17+SUM(Z20:Z22))</f>
        <v>1638.6099999999983</v>
      </c>
      <c r="AA23" s="13">
        <f t="shared" ref="AA23" si="56">SUM(AA17+SUM(AA20:AA22))</f>
        <v>1642.9720000000011</v>
      </c>
      <c r="AB23" s="13">
        <f t="shared" ref="AB23" si="57">SUM(AB17+SUM(AB20:AB22))</f>
        <v>1643.1860000000011</v>
      </c>
      <c r="AC23" s="13">
        <f t="shared" ref="AC23" si="58">SUM(AC17+SUM(AC20:AC22))</f>
        <v>1608.5570000000007</v>
      </c>
      <c r="AD23" s="13">
        <f t="shared" ref="AD23" si="59">SUM(AD17+SUM(AD20:AD22))</f>
        <v>1678.0289999999982</v>
      </c>
      <c r="AE23" s="13">
        <f t="shared" ref="AE23" si="60">SUM(AE17+SUM(AE20:AE22))</f>
        <v>1636.9069999999961</v>
      </c>
      <c r="AF23" s="13">
        <f t="shared" ref="AF23" si="61">SUM(AF17+SUM(AF20:AF22))</f>
        <v>1574.4659999999976</v>
      </c>
      <c r="AG23" s="13">
        <f t="shared" ref="AG23" si="62">SUM(AG17+SUM(AG20:AG22))</f>
        <v>1565.7409999999954</v>
      </c>
      <c r="AH23" s="13">
        <f t="shared" ref="AH23" si="63">SUM(AH17+SUM(AH20:AH22))</f>
        <v>1564.9720000000007</v>
      </c>
      <c r="AI23" s="13">
        <f t="shared" ref="AI23" si="64">SUM(AI17+SUM(AI20:AI22))</f>
        <v>1565.8009999999977</v>
      </c>
      <c r="AJ23" s="13">
        <f t="shared" ref="AJ23" si="65">SUM(AJ17+SUM(AJ20:AJ22))</f>
        <v>1581.4539999999997</v>
      </c>
      <c r="AK23" s="13">
        <f t="shared" ref="AK23" si="66">SUM(AK17+SUM(AK20:AK22))</f>
        <v>1572.3709999999996</v>
      </c>
      <c r="AM23" s="111">
        <f>SUM(AK23/AG23)-1</f>
        <v>4.2344168032926177E-3</v>
      </c>
    </row>
    <row r="24" spans="2:39" ht="12.75" customHeight="1">
      <c r="B24" s="14" t="s">
        <v>38</v>
      </c>
      <c r="C24" s="15">
        <f t="shared" ref="C24:G24" si="67">C23/C12</f>
        <v>0.1218012594639573</v>
      </c>
      <c r="D24" s="15">
        <f t="shared" si="67"/>
        <v>3.8495092534029537E-2</v>
      </c>
      <c r="E24" s="15">
        <f t="shared" si="67"/>
        <v>0.15033121153568316</v>
      </c>
      <c r="F24" s="15">
        <f t="shared" si="67"/>
        <v>0.16051301944050986</v>
      </c>
      <c r="G24" s="15">
        <f t="shared" si="67"/>
        <v>0.14972638823095968</v>
      </c>
      <c r="H24" s="15">
        <f>H23/H12</f>
        <v>0.13854638252906845</v>
      </c>
      <c r="I24" s="25"/>
      <c r="J24" s="15">
        <f t="shared" ref="J24" si="68">J23/J12</f>
        <v>0.18658417384194809</v>
      </c>
      <c r="K24" s="15">
        <f t="shared" ref="K24" si="69">K23/K12</f>
        <v>0.170399975969837</v>
      </c>
      <c r="L24" s="15">
        <f t="shared" ref="L24" si="70">L23/L12</f>
        <v>0.15471912221389425</v>
      </c>
      <c r="M24" s="15">
        <f t="shared" ref="M24" si="71">M23/M12</f>
        <v>0.13872001532180905</v>
      </c>
      <c r="N24" s="15">
        <f t="shared" ref="N24:X24" si="72">N23/N12</f>
        <v>0.16781543832183801</v>
      </c>
      <c r="O24" s="15">
        <f t="shared" si="72"/>
        <v>0.15481089679102267</v>
      </c>
      <c r="P24" s="15">
        <f t="shared" si="72"/>
        <v>0.13147280380789664</v>
      </c>
      <c r="Q24" s="15">
        <f t="shared" si="72"/>
        <v>0.14548301802493732</v>
      </c>
      <c r="R24" s="15">
        <f t="shared" si="72"/>
        <v>0.14709110706099518</v>
      </c>
      <c r="S24" s="15">
        <f t="shared" si="72"/>
        <v>0.12899285956944254</v>
      </c>
      <c r="T24" s="15">
        <f t="shared" si="72"/>
        <v>0.12588514287972807</v>
      </c>
      <c r="U24" s="15">
        <f t="shared" si="72"/>
        <v>0.14804398072151792</v>
      </c>
      <c r="V24" s="15">
        <f t="shared" si="72"/>
        <v>0.14105520812451494</v>
      </c>
      <c r="W24" s="15">
        <f t="shared" si="72"/>
        <v>0.12367144838260714</v>
      </c>
      <c r="X24" s="15">
        <f t="shared" si="72"/>
        <v>0.10827845380583764</v>
      </c>
      <c r="Y24" s="26"/>
      <c r="Z24" s="15">
        <f t="shared" ref="Z24" si="73">Z23/Z12</f>
        <v>0.16051301944050972</v>
      </c>
      <c r="AA24" s="15">
        <f t="shared" ref="AA24" si="74">AA23/AA12</f>
        <v>0.15651910813644593</v>
      </c>
      <c r="AB24" s="15">
        <f t="shared" ref="AB24" si="75">AB23/AB12</f>
        <v>0.15314458884819795</v>
      </c>
      <c r="AC24" s="15">
        <f t="shared" ref="AC24" si="76">AC23/AC12</f>
        <v>0.14784832925818897</v>
      </c>
      <c r="AD24" s="15">
        <f t="shared" ref="AD24" si="77">AD23/AD12</f>
        <v>0.14972638823095963</v>
      </c>
      <c r="AE24" s="15">
        <f t="shared" ref="AE24" si="78">AE23/AE12</f>
        <v>0.14487328310538139</v>
      </c>
      <c r="AF24" s="15">
        <f t="shared" ref="AF24" si="79">AF23/AF12</f>
        <v>0.13907277748599375</v>
      </c>
      <c r="AG24" s="15">
        <f t="shared" ref="AG24" si="80">AG23/AG12</f>
        <v>0.13780101322501251</v>
      </c>
      <c r="AH24" s="15">
        <f t="shared" ref="AH24" si="81">AH23/AH12</f>
        <v>0.13854638252906831</v>
      </c>
      <c r="AI24" s="15">
        <f t="shared" ref="AI24" si="82">AI23/AI12</f>
        <v>0.1371323590910733</v>
      </c>
      <c r="AJ24" s="15">
        <f t="shared" ref="AJ24" si="83">AJ23/AJ12</f>
        <v>0.13569406982934995</v>
      </c>
      <c r="AK24" s="15">
        <f t="shared" ref="AK24" si="84">AK23/AK12</f>
        <v>0.13122690404786214</v>
      </c>
      <c r="AM24" s="112">
        <f>SUM(AK24-AG24)*10000</f>
        <v>-65.741091771503719</v>
      </c>
    </row>
    <row r="25" spans="2:39" ht="5.0999999999999996" customHeight="1">
      <c r="AM25" s="109"/>
    </row>
    <row r="26" spans="2:39" ht="12.75" customHeight="1">
      <c r="B26" s="29" t="s">
        <v>39</v>
      </c>
      <c r="C26" s="156">
        <f>'Historical Financials'!C94/1000</f>
        <v>295.59899999999999</v>
      </c>
      <c r="D26" s="156">
        <f>'Historical Financials'!D94/1000</f>
        <v>297.77199999999999</v>
      </c>
      <c r="E26" s="156">
        <f>'Historical Financials'!E94/1000</f>
        <v>268.45999999999998</v>
      </c>
      <c r="F26" s="156">
        <f>'Historical Financials'!F94/1000</f>
        <v>241.37200000000001</v>
      </c>
      <c r="G26" s="156">
        <f>'Historical Financials'!G94/1000</f>
        <v>243.84</v>
      </c>
      <c r="H26" s="156">
        <f>'Historical Financials'!H94/1000</f>
        <v>267.04199999999997</v>
      </c>
      <c r="J26" s="156">
        <f>'Historical Financials'!J94/1000</f>
        <v>62.838999999999999</v>
      </c>
      <c r="K26" s="156">
        <f>'Historical Financials'!K94/1000</f>
        <v>60.881999999999998</v>
      </c>
      <c r="L26" s="156">
        <f>'Historical Financials'!L94/1000</f>
        <v>58.460999999999999</v>
      </c>
      <c r="M26" s="156">
        <f>'Historical Financials'!M94/1000</f>
        <v>59.19</v>
      </c>
      <c r="N26" s="156">
        <f>'Historical Financials'!N94/1000</f>
        <v>57.948999999999998</v>
      </c>
      <c r="O26" s="156">
        <f>'Historical Financials'!O94/1000</f>
        <v>61.912999999999997</v>
      </c>
      <c r="P26" s="156">
        <f>'Historical Financials'!P94/1000</f>
        <v>61.411000000000001</v>
      </c>
      <c r="Q26" s="156">
        <f>'Historical Financials'!Q94/1000</f>
        <v>62.567</v>
      </c>
      <c r="R26" s="156">
        <f>'Historical Financials'!R94/1000</f>
        <v>64.739000000000004</v>
      </c>
      <c r="S26" s="156">
        <f>'Historical Financials'!S94/1000</f>
        <v>65.313999999999993</v>
      </c>
      <c r="T26" s="156">
        <f>'Historical Financials'!T94/1000</f>
        <v>67.022000000000006</v>
      </c>
      <c r="U26" s="156">
        <f>'Historical Financials'!U94/1000</f>
        <v>69.966999999999999</v>
      </c>
      <c r="V26" s="156">
        <f>'Historical Financials'!V94/1000</f>
        <v>72.033000000000001</v>
      </c>
      <c r="W26" s="156">
        <f>'Historical Financials'!W94/1000</f>
        <v>71.165000000000006</v>
      </c>
      <c r="X26" s="156">
        <f>'Historical Financials'!X94/1000</f>
        <v>75.787000000000006</v>
      </c>
      <c r="Z26" s="10">
        <f>SUM(J26:M26)</f>
        <v>241.37200000000001</v>
      </c>
      <c r="AA26" s="10">
        <f>SUM(K26:N26)</f>
        <v>236.48199999999997</v>
      </c>
      <c r="AB26" s="10">
        <f>SUM(L26:O26)</f>
        <v>237.51299999999998</v>
      </c>
      <c r="AC26" s="10">
        <f>SUM(M26:P26)</f>
        <v>240.46299999999999</v>
      </c>
      <c r="AD26" s="10">
        <f>SUM(N26:Q26)</f>
        <v>243.84</v>
      </c>
      <c r="AE26" s="10">
        <f>SUM(O26:R26)</f>
        <v>250.63</v>
      </c>
      <c r="AF26" s="10">
        <f>SUM(P26:S26)</f>
        <v>254.03100000000001</v>
      </c>
      <c r="AG26" s="10">
        <f>SUM(Q26:T26)</f>
        <v>259.642</v>
      </c>
      <c r="AH26" s="10">
        <f>SUM(R26:U26)</f>
        <v>267.04199999999997</v>
      </c>
      <c r="AI26" s="10">
        <f>SUM(S26:V26)</f>
        <v>274.33600000000001</v>
      </c>
      <c r="AJ26" s="10">
        <f>SUM(T26:W26)</f>
        <v>280.18700000000001</v>
      </c>
      <c r="AK26" s="10">
        <f>SUM(U26:X26)</f>
        <v>288.952</v>
      </c>
      <c r="AM26" s="110">
        <f>SUM(AK26/AG26)-1</f>
        <v>0.1128862048512953</v>
      </c>
    </row>
    <row r="27" spans="2:39" ht="12.75" customHeight="1">
      <c r="B27" s="23" t="s">
        <v>11</v>
      </c>
      <c r="C27" s="24">
        <f t="shared" ref="C27:G27" si="85">SUM(C23+SUM(C26:C26))</f>
        <v>1196.6929999999995</v>
      </c>
      <c r="D27" s="24">
        <f t="shared" si="85"/>
        <v>534.59200000000055</v>
      </c>
      <c r="E27" s="24">
        <f t="shared" si="85"/>
        <v>1565.9520000000011</v>
      </c>
      <c r="F27" s="24">
        <f t="shared" si="85"/>
        <v>1879.9820000000002</v>
      </c>
      <c r="G27" s="24">
        <f t="shared" si="85"/>
        <v>1921.868999999999</v>
      </c>
      <c r="H27" s="24">
        <f>SUM(H23+SUM(H26:H26))</f>
        <v>1832.0140000000024</v>
      </c>
      <c r="J27" s="24">
        <f t="shared" ref="J27:M27" si="86">SUM(J23+SUM(J26:J26))</f>
        <v>500.5469999999998</v>
      </c>
      <c r="K27" s="24">
        <f t="shared" si="86"/>
        <v>452.31000000000023</v>
      </c>
      <c r="L27" s="24">
        <f t="shared" si="86"/>
        <v>420.31700000000046</v>
      </c>
      <c r="M27" s="24">
        <f t="shared" si="86"/>
        <v>506.80799999999971</v>
      </c>
      <c r="N27" s="24">
        <f t="shared" ref="N27:X27" si="87">SUM(N23+SUM(N26:N26))</f>
        <v>500.01899999999995</v>
      </c>
      <c r="O27" s="24">
        <f t="shared" si="87"/>
        <v>453.55500000000029</v>
      </c>
      <c r="P27" s="24">
        <f t="shared" si="87"/>
        <v>388.63799999999952</v>
      </c>
      <c r="Q27" s="24">
        <f t="shared" si="87"/>
        <v>579.65699999999845</v>
      </c>
      <c r="R27" s="24">
        <f t="shared" si="87"/>
        <v>465.68699999999956</v>
      </c>
      <c r="S27" s="24">
        <f t="shared" si="87"/>
        <v>394.51499999999987</v>
      </c>
      <c r="T27" s="24">
        <f t="shared" si="87"/>
        <v>385.52399999999994</v>
      </c>
      <c r="U27" s="24">
        <f t="shared" si="87"/>
        <v>586.28799999999956</v>
      </c>
      <c r="V27" s="24">
        <f t="shared" si="87"/>
        <v>473.81000000000029</v>
      </c>
      <c r="W27" s="24">
        <f t="shared" si="87"/>
        <v>416.01900000000018</v>
      </c>
      <c r="X27" s="24">
        <f t="shared" si="87"/>
        <v>385.20599999999911</v>
      </c>
      <c r="Z27" s="24">
        <f t="shared" ref="Z27:AJ27" si="88">SUM(Z23+SUM(Z26:Z26))</f>
        <v>1879.9819999999984</v>
      </c>
      <c r="AA27" s="24">
        <f t="shared" si="88"/>
        <v>1879.4540000000011</v>
      </c>
      <c r="AB27" s="24">
        <f t="shared" si="88"/>
        <v>1880.699000000001</v>
      </c>
      <c r="AC27" s="24">
        <f t="shared" si="88"/>
        <v>1849.0200000000007</v>
      </c>
      <c r="AD27" s="24">
        <f t="shared" si="88"/>
        <v>1921.8689999999981</v>
      </c>
      <c r="AE27" s="24">
        <f t="shared" si="88"/>
        <v>1887.5369999999962</v>
      </c>
      <c r="AF27" s="24">
        <f t="shared" si="88"/>
        <v>1828.4969999999976</v>
      </c>
      <c r="AG27" s="24">
        <f t="shared" si="88"/>
        <v>1825.3829999999955</v>
      </c>
      <c r="AH27" s="24">
        <f t="shared" si="88"/>
        <v>1832.0140000000006</v>
      </c>
      <c r="AI27" s="24">
        <f t="shared" si="88"/>
        <v>1840.1369999999977</v>
      </c>
      <c r="AJ27" s="24">
        <f t="shared" si="88"/>
        <v>1861.6409999999996</v>
      </c>
      <c r="AK27" s="24">
        <f t="shared" ref="AK27" si="89">SUM(AK23+SUM(AK26:AK26))</f>
        <v>1861.3229999999996</v>
      </c>
      <c r="AM27" s="111">
        <f>SUM(AK27/AG27)-1</f>
        <v>1.9689018688135107E-2</v>
      </c>
    </row>
    <row r="28" spans="2:39" ht="12.75" customHeight="1">
      <c r="B28" s="14" t="s">
        <v>40</v>
      </c>
      <c r="C28" s="15">
        <f t="shared" ref="C28:G28" si="90">C27/C12</f>
        <v>0.16175750209378983</v>
      </c>
      <c r="D28" s="15">
        <f t="shared" si="90"/>
        <v>8.689793306288271E-2</v>
      </c>
      <c r="E28" s="15">
        <f t="shared" si="90"/>
        <v>0.18143577098488939</v>
      </c>
      <c r="F28" s="15">
        <f t="shared" si="90"/>
        <v>0.18415705220510592</v>
      </c>
      <c r="G28" s="15">
        <f t="shared" si="90"/>
        <v>0.17148362991524357</v>
      </c>
      <c r="H28" s="15">
        <f>H27/H12</f>
        <v>0.16218751034689996</v>
      </c>
      <c r="J28" s="15">
        <f t="shared" ref="J28" si="91">J27/J12</f>
        <v>0.21337089672582085</v>
      </c>
      <c r="K28" s="15">
        <f t="shared" ref="K28" si="92">K27/K12</f>
        <v>0.19690367866099759</v>
      </c>
      <c r="L28" s="15">
        <f t="shared" ref="L28" si="93">L27/L12</f>
        <v>0.17971534890005245</v>
      </c>
      <c r="M28" s="15">
        <f t="shared" ref="M28" si="94">M27/M12</f>
        <v>0.15706341908773866</v>
      </c>
      <c r="N28" s="15">
        <f t="shared" ref="N28:X28" si="95">N27/N12</f>
        <v>0.18981362149489248</v>
      </c>
      <c r="O28" s="15">
        <f t="shared" si="95"/>
        <v>0.17928428588877668</v>
      </c>
      <c r="P28" s="15">
        <f t="shared" si="95"/>
        <v>0.15614642901194994</v>
      </c>
      <c r="Q28" s="15">
        <f t="shared" si="95"/>
        <v>0.16308621280489108</v>
      </c>
      <c r="R28" s="15">
        <f t="shared" si="95"/>
        <v>0.17084114741540968</v>
      </c>
      <c r="S28" s="15">
        <f t="shared" si="95"/>
        <v>0.15458524728976711</v>
      </c>
      <c r="T28" s="15">
        <f t="shared" si="95"/>
        <v>0.15237500494051617</v>
      </c>
      <c r="U28" s="15">
        <f t="shared" si="95"/>
        <v>0.16810551840668364</v>
      </c>
      <c r="V28" s="15">
        <f t="shared" si="95"/>
        <v>0.16634443525009251</v>
      </c>
      <c r="W28" s="15">
        <f t="shared" si="95"/>
        <v>0.14919262147077847</v>
      </c>
      <c r="X28" s="15">
        <f t="shared" si="95"/>
        <v>0.1347994469529393</v>
      </c>
      <c r="Z28" s="15">
        <f t="shared" ref="Z28" si="96">Z27/Z12</f>
        <v>0.18415705220510578</v>
      </c>
      <c r="AA28" s="15">
        <f t="shared" ref="AA28" si="97">AA27/AA12</f>
        <v>0.17904776457753133</v>
      </c>
      <c r="AB28" s="15">
        <f t="shared" ref="AB28" si="98">AB27/AB12</f>
        <v>0.175280750385055</v>
      </c>
      <c r="AC28" s="15">
        <f t="shared" ref="AC28" si="99">AC27/AC12</f>
        <v>0.1699501589094925</v>
      </c>
      <c r="AD28" s="15">
        <f t="shared" ref="AD28" si="100">AD27/AD12</f>
        <v>0.17148362991524352</v>
      </c>
      <c r="AE28" s="15">
        <f t="shared" ref="AE28" si="101">AE27/AE12</f>
        <v>0.16705511197208051</v>
      </c>
      <c r="AF28" s="15">
        <f t="shared" ref="AF28" si="102">AF27/AF12</f>
        <v>0.16151136729202611</v>
      </c>
      <c r="AG28" s="15">
        <f t="shared" ref="AG28" si="103">AG27/AG12</f>
        <v>0.16065213015672014</v>
      </c>
      <c r="AH28" s="15">
        <f t="shared" ref="AH28" si="104">AH27/AH12</f>
        <v>0.16218751034689982</v>
      </c>
      <c r="AI28" s="15">
        <f t="shared" ref="AI28" si="105">AI27/AI12</f>
        <v>0.1611586196846026</v>
      </c>
      <c r="AJ28" s="15">
        <f t="shared" ref="AJ28" si="106">AJ27/AJ12</f>
        <v>0.15973505637924396</v>
      </c>
      <c r="AK28" s="15">
        <f t="shared" ref="AK28" si="107">AK27/AK12</f>
        <v>0.15534225365583496</v>
      </c>
      <c r="AM28" s="112">
        <f>SUM(AK28-AG28)*10000</f>
        <v>-53.098765008851856</v>
      </c>
    </row>
    <row r="29" spans="2:39" ht="5.0999999999999996" customHeight="1">
      <c r="AM29" s="109"/>
    </row>
    <row r="30" spans="2:39" ht="12.75" customHeight="1">
      <c r="B30" s="29" t="s">
        <v>162</v>
      </c>
      <c r="C30" s="156">
        <f>'Historical Financials'!C97/1000</f>
        <v>25.045000000000002</v>
      </c>
      <c r="D30" s="156">
        <f>'Historical Financials'!D97/1000</f>
        <v>27.582999999999998</v>
      </c>
      <c r="E30" s="156">
        <f>'Historical Financials'!E97/1000</f>
        <v>47.259</v>
      </c>
      <c r="F30" s="156">
        <f>'Historical Financials'!F97/1000</f>
        <v>43.043999999999997</v>
      </c>
      <c r="G30" s="156">
        <f>'Historical Financials'!G97/1000</f>
        <v>48.246000000000002</v>
      </c>
      <c r="H30" s="156">
        <f>'Historical Financials'!H97/1000</f>
        <v>42.786999999999999</v>
      </c>
      <c r="J30" s="156">
        <f>'Historical Financials'!J97/1000</f>
        <v>10.356</v>
      </c>
      <c r="K30" s="156">
        <f>'Historical Financials'!K97/1000</f>
        <v>12.519</v>
      </c>
      <c r="L30" s="156">
        <f>'Historical Financials'!L97/1000</f>
        <v>9.6790000000000003</v>
      </c>
      <c r="M30" s="156">
        <f>'Historical Financials'!M97/1000</f>
        <v>10.49</v>
      </c>
      <c r="N30" s="156">
        <f>'Historical Financials'!N97/1000</f>
        <v>9.7210000000000001</v>
      </c>
      <c r="O30" s="156">
        <f>'Historical Financials'!O97/1000</f>
        <v>11.818</v>
      </c>
      <c r="P30" s="156">
        <f>'Historical Financials'!P97/1000</f>
        <v>11.938000000000001</v>
      </c>
      <c r="Q30" s="156">
        <f>'Historical Financials'!Q97/1000</f>
        <v>14.769</v>
      </c>
      <c r="R30" s="156">
        <f>'Historical Financials'!R97/1000</f>
        <v>10.082000000000001</v>
      </c>
      <c r="S30" s="156">
        <f>'Historical Financials'!S97/1000</f>
        <v>9.19</v>
      </c>
      <c r="T30" s="156">
        <f>'Historical Financials'!T97/1000</f>
        <v>8.4190000000000005</v>
      </c>
      <c r="U30" s="156">
        <f>'Historical Financials'!U97/1000</f>
        <v>15.096</v>
      </c>
      <c r="V30" s="156">
        <f>'Historical Financials'!V97/1000</f>
        <v>11.417999999999999</v>
      </c>
      <c r="W30" s="156">
        <f>'Historical Financials'!W97/1000</f>
        <v>8.92</v>
      </c>
      <c r="X30" s="156">
        <f>'Historical Financials'!X97/1000</f>
        <v>9.9860000000000007</v>
      </c>
      <c r="Z30" s="155">
        <f>SUM(J30:M30)</f>
        <v>43.044000000000004</v>
      </c>
      <c r="AA30" s="155">
        <f>SUM(K30:N30)</f>
        <v>42.409000000000006</v>
      </c>
      <c r="AB30" s="155">
        <f>SUM(L30:O30)</f>
        <v>41.707999999999998</v>
      </c>
      <c r="AC30" s="155">
        <f>SUM(M30:P30)</f>
        <v>43.966999999999999</v>
      </c>
      <c r="AD30" s="155">
        <f>SUM(N30:Q30)</f>
        <v>48.246000000000002</v>
      </c>
      <c r="AE30" s="155">
        <f>SUM(O30:R30)</f>
        <v>48.606999999999999</v>
      </c>
      <c r="AF30" s="155">
        <f>SUM(P30:S30)</f>
        <v>45.978999999999999</v>
      </c>
      <c r="AG30" s="155">
        <f>SUM(Q30:T30)</f>
        <v>42.459999999999994</v>
      </c>
      <c r="AH30" s="155">
        <f>SUM(R30:U30)</f>
        <v>42.786999999999999</v>
      </c>
      <c r="AI30" s="155">
        <f>SUM(S30:V30)</f>
        <v>44.122999999999998</v>
      </c>
      <c r="AJ30" s="155">
        <f>SUM(T30:W30)</f>
        <v>43.853000000000002</v>
      </c>
      <c r="AK30" s="155">
        <f>SUM(U30:X30)</f>
        <v>45.42</v>
      </c>
      <c r="AM30" s="110">
        <f>SUM(AK30/AG30)-1</f>
        <v>6.9712670748940386E-2</v>
      </c>
    </row>
    <row r="31" spans="2:39" ht="12.75" customHeight="1">
      <c r="B31" s="29" t="s">
        <v>177</v>
      </c>
      <c r="C31" s="157">
        <f>-C22</f>
        <v>0</v>
      </c>
      <c r="D31" s="157">
        <f t="shared" ref="D31:X31" si="108">-D22</f>
        <v>114.322</v>
      </c>
      <c r="E31" s="157">
        <f t="shared" si="108"/>
        <v>0</v>
      </c>
      <c r="F31" s="157">
        <f t="shared" si="108"/>
        <v>0</v>
      </c>
      <c r="G31" s="157">
        <f t="shared" si="108"/>
        <v>0</v>
      </c>
      <c r="H31" s="157">
        <f t="shared" si="108"/>
        <v>0</v>
      </c>
      <c r="J31" s="157">
        <f t="shared" si="108"/>
        <v>0</v>
      </c>
      <c r="K31" s="157">
        <f t="shared" si="108"/>
        <v>0</v>
      </c>
      <c r="L31" s="157">
        <f t="shared" si="108"/>
        <v>0</v>
      </c>
      <c r="M31" s="157">
        <f t="shared" si="108"/>
        <v>0</v>
      </c>
      <c r="N31" s="157">
        <f t="shared" si="108"/>
        <v>0</v>
      </c>
      <c r="O31" s="157">
        <f t="shared" si="108"/>
        <v>0</v>
      </c>
      <c r="P31" s="157">
        <f t="shared" si="108"/>
        <v>0</v>
      </c>
      <c r="Q31" s="157">
        <f t="shared" si="108"/>
        <v>0</v>
      </c>
      <c r="R31" s="157">
        <f t="shared" si="108"/>
        <v>0</v>
      </c>
      <c r="S31" s="157">
        <f t="shared" si="108"/>
        <v>0</v>
      </c>
      <c r="T31" s="157">
        <f t="shared" si="108"/>
        <v>0</v>
      </c>
      <c r="U31" s="157">
        <f t="shared" si="108"/>
        <v>0</v>
      </c>
      <c r="V31" s="157">
        <f t="shared" si="108"/>
        <v>0</v>
      </c>
      <c r="W31" s="157">
        <f t="shared" si="108"/>
        <v>0</v>
      </c>
      <c r="X31" s="157">
        <f t="shared" si="108"/>
        <v>0</v>
      </c>
      <c r="Z31" s="155">
        <f>SUM(J31:M31)</f>
        <v>0</v>
      </c>
      <c r="AA31" s="155">
        <f>SUM(K31:N31)</f>
        <v>0</v>
      </c>
      <c r="AB31" s="155">
        <f>SUM(L31:O31)</f>
        <v>0</v>
      </c>
      <c r="AC31" s="155">
        <f>SUM(M31:P31)</f>
        <v>0</v>
      </c>
      <c r="AD31" s="155">
        <f>SUM(N31:Q31)</f>
        <v>0</v>
      </c>
      <c r="AE31" s="155">
        <f>SUM(O31:R31)</f>
        <v>0</v>
      </c>
      <c r="AF31" s="155">
        <f>SUM(P31:S31)</f>
        <v>0</v>
      </c>
      <c r="AG31" s="155">
        <f>SUM(Q31:T31)</f>
        <v>0</v>
      </c>
      <c r="AH31" s="155">
        <f>SUM(R31:U31)</f>
        <v>0</v>
      </c>
      <c r="AI31" s="155">
        <f>SUM(S31:V31)</f>
        <v>0</v>
      </c>
      <c r="AJ31" s="155">
        <f>SUM(T31:W31)</f>
        <v>0</v>
      </c>
      <c r="AK31" s="155">
        <f>SUM(U31:X31)</f>
        <v>0</v>
      </c>
      <c r="AM31" s="110" t="e">
        <f t="shared" ref="AM31" si="109">SUM(AK31/AG31)-1</f>
        <v>#DIV/0!</v>
      </c>
    </row>
    <row r="32" spans="2:39" ht="12.75" customHeight="1">
      <c r="B32" s="12" t="s">
        <v>41</v>
      </c>
      <c r="C32" s="13">
        <f t="shared" ref="C32" si="110">SUM(C27+SUM(C30:C31))</f>
        <v>1221.7379999999996</v>
      </c>
      <c r="D32" s="13">
        <f t="shared" ref="D32:G32" si="111">SUM(D27+SUM(D30:D31))</f>
        <v>676.49700000000053</v>
      </c>
      <c r="E32" s="13">
        <f t="shared" si="111"/>
        <v>1613.2110000000011</v>
      </c>
      <c r="F32" s="13">
        <f t="shared" si="111"/>
        <v>1923.0260000000003</v>
      </c>
      <c r="G32" s="13">
        <f t="shared" si="111"/>
        <v>1970.1149999999991</v>
      </c>
      <c r="H32" s="13">
        <f t="shared" ref="H32" si="112">SUM(H27+SUM(H30:H31))</f>
        <v>1874.8010000000024</v>
      </c>
      <c r="I32" s="11"/>
      <c r="J32" s="13">
        <f t="shared" ref="J32:M32" si="113">SUM(J27+SUM(J30:J31))</f>
        <v>510.90299999999979</v>
      </c>
      <c r="K32" s="13">
        <f t="shared" si="113"/>
        <v>464.82900000000024</v>
      </c>
      <c r="L32" s="13">
        <f t="shared" si="113"/>
        <v>429.99600000000044</v>
      </c>
      <c r="M32" s="13">
        <f t="shared" si="113"/>
        <v>517.29799999999966</v>
      </c>
      <c r="N32" s="13">
        <f t="shared" ref="N32:X32" si="114">SUM(N27+SUM(N30:N31))</f>
        <v>509.73999999999995</v>
      </c>
      <c r="O32" s="13">
        <f t="shared" si="114"/>
        <v>465.37300000000027</v>
      </c>
      <c r="P32" s="13">
        <f t="shared" si="114"/>
        <v>400.57599999999951</v>
      </c>
      <c r="Q32" s="13">
        <f t="shared" si="114"/>
        <v>594.42599999999845</v>
      </c>
      <c r="R32" s="13">
        <f t="shared" si="114"/>
        <v>475.76899999999955</v>
      </c>
      <c r="S32" s="13">
        <f t="shared" si="114"/>
        <v>403.70499999999987</v>
      </c>
      <c r="T32" s="13">
        <f t="shared" si="114"/>
        <v>393.94299999999993</v>
      </c>
      <c r="U32" s="13">
        <f t="shared" si="114"/>
        <v>601.38399999999956</v>
      </c>
      <c r="V32" s="13">
        <f t="shared" si="114"/>
        <v>485.22800000000029</v>
      </c>
      <c r="W32" s="13">
        <f t="shared" si="114"/>
        <v>424.93900000000019</v>
      </c>
      <c r="X32" s="13">
        <f t="shared" si="114"/>
        <v>395.1919999999991</v>
      </c>
      <c r="Z32" s="13">
        <f t="shared" ref="Z32:AJ32" si="115">SUM(Z27+SUM(Z30:Z31))</f>
        <v>1923.0259999999985</v>
      </c>
      <c r="AA32" s="13">
        <f t="shared" si="115"/>
        <v>1921.8630000000012</v>
      </c>
      <c r="AB32" s="13">
        <f t="shared" si="115"/>
        <v>1922.4070000000011</v>
      </c>
      <c r="AC32" s="13">
        <f t="shared" si="115"/>
        <v>1892.9870000000008</v>
      </c>
      <c r="AD32" s="13">
        <f t="shared" si="115"/>
        <v>1970.1149999999982</v>
      </c>
      <c r="AE32" s="13">
        <f t="shared" si="115"/>
        <v>1936.1439999999961</v>
      </c>
      <c r="AF32" s="13">
        <f t="shared" si="115"/>
        <v>1874.4759999999976</v>
      </c>
      <c r="AG32" s="13">
        <f t="shared" si="115"/>
        <v>1867.8429999999955</v>
      </c>
      <c r="AH32" s="13">
        <f t="shared" si="115"/>
        <v>1874.8010000000006</v>
      </c>
      <c r="AI32" s="13">
        <f t="shared" si="115"/>
        <v>1884.2599999999977</v>
      </c>
      <c r="AJ32" s="13">
        <f t="shared" si="115"/>
        <v>1905.4939999999997</v>
      </c>
      <c r="AK32" s="13">
        <f t="shared" ref="AK32" si="116">SUM(AK27+SUM(AK30:AK31))</f>
        <v>1906.7429999999997</v>
      </c>
      <c r="AM32" s="111">
        <f>SUM(AK32/AG32)-1</f>
        <v>2.0826161513576968E-2</v>
      </c>
    </row>
    <row r="33" spans="2:39" ht="12.75" customHeight="1">
      <c r="B33" s="14" t="s">
        <v>42</v>
      </c>
      <c r="C33" s="15">
        <f t="shared" ref="C33:G33" si="117">C32/C12</f>
        <v>0.16514284540234014</v>
      </c>
      <c r="D33" s="15">
        <f t="shared" si="117"/>
        <v>0.10996459173208906</v>
      </c>
      <c r="E33" s="15">
        <f t="shared" si="117"/>
        <v>0.18691133671166446</v>
      </c>
      <c r="F33" s="15">
        <f t="shared" si="117"/>
        <v>0.18837350542386896</v>
      </c>
      <c r="G33" s="15">
        <f t="shared" si="117"/>
        <v>0.17578850147979394</v>
      </c>
      <c r="H33" s="15">
        <f>H32/H12</f>
        <v>0.16597542736347998</v>
      </c>
      <c r="J33" s="15">
        <f t="shared" ref="J33" si="118">J32/J12</f>
        <v>0.21778540526646259</v>
      </c>
      <c r="K33" s="15">
        <f t="shared" ref="K33" si="119">K32/K12</f>
        <v>0.20235356292877196</v>
      </c>
      <c r="L33" s="15">
        <f t="shared" ref="L33" si="120">L32/L12</f>
        <v>0.18385380835328322</v>
      </c>
      <c r="M33" s="15">
        <f t="shared" ref="M33" si="121">M32/M12</f>
        <v>0.16031434501280373</v>
      </c>
      <c r="N33" s="15">
        <f t="shared" ref="N33:X33" si="122">N32/N12</f>
        <v>0.19350383769578056</v>
      </c>
      <c r="O33" s="15">
        <f t="shared" si="122"/>
        <v>0.18395578480430747</v>
      </c>
      <c r="P33" s="15">
        <f t="shared" si="122"/>
        <v>0.16094286186088561</v>
      </c>
      <c r="Q33" s="15">
        <f t="shared" si="122"/>
        <v>0.16724146371519741</v>
      </c>
      <c r="R33" s="15">
        <f t="shared" si="122"/>
        <v>0.17453981293160867</v>
      </c>
      <c r="S33" s="15">
        <f t="shared" si="122"/>
        <v>0.15818622170795896</v>
      </c>
      <c r="T33" s="15">
        <f t="shared" si="122"/>
        <v>0.15570254140152562</v>
      </c>
      <c r="U33" s="15">
        <f t="shared" si="122"/>
        <v>0.1724339728622879</v>
      </c>
      <c r="V33" s="15">
        <f t="shared" si="122"/>
        <v>0.17035304790429051</v>
      </c>
      <c r="W33" s="15">
        <f t="shared" si="122"/>
        <v>0.15239150946271957</v>
      </c>
      <c r="X33" s="15">
        <f t="shared" si="122"/>
        <v>0.13829395970007213</v>
      </c>
      <c r="Z33" s="15">
        <f t="shared" ref="Z33" si="123">Z32/Z12</f>
        <v>0.18837350542386883</v>
      </c>
      <c r="AA33" s="15">
        <f t="shared" ref="AA33" si="124">AA32/AA12</f>
        <v>0.18308789359796415</v>
      </c>
      <c r="AB33" s="15">
        <f t="shared" ref="AB33" si="125">AB32/AB12</f>
        <v>0.17916792719381594</v>
      </c>
      <c r="AC33" s="15">
        <f t="shared" ref="AC33" si="126">AC32/AC12</f>
        <v>0.17399132592595187</v>
      </c>
      <c r="AD33" s="15">
        <f t="shared" ref="AD33" si="127">AD32/AD12</f>
        <v>0.17578850147979388</v>
      </c>
      <c r="AE33" s="15">
        <f t="shared" ref="AE33" si="128">AE32/AE12</f>
        <v>0.17135703973700744</v>
      </c>
      <c r="AF33" s="15">
        <f t="shared" ref="AF33" si="129">AF32/AF12</f>
        <v>0.165572698077212</v>
      </c>
      <c r="AG33" s="15">
        <f t="shared" ref="AG33" si="130">AG32/AG12</f>
        <v>0.1643890387651899</v>
      </c>
      <c r="AH33" s="15">
        <f t="shared" ref="AH33" si="131">AH32/AH12</f>
        <v>0.16597542736347984</v>
      </c>
      <c r="AI33" s="15">
        <f t="shared" ref="AI33" si="132">AI32/AI12</f>
        <v>0.16502289814666479</v>
      </c>
      <c r="AJ33" s="15">
        <f t="shared" ref="AJ33" si="133">AJ32/AJ12</f>
        <v>0.16349779120695726</v>
      </c>
      <c r="AK33" s="15">
        <f t="shared" ref="AK33" si="134">AK32/AK12</f>
        <v>0.15913291500856527</v>
      </c>
      <c r="AM33" s="112">
        <f>SUM(AK33-AG33)*10000</f>
        <v>-52.561237566246255</v>
      </c>
    </row>
    <row r="34" spans="2:39" ht="5.0999999999999996" customHeight="1">
      <c r="AM34" s="109"/>
    </row>
    <row r="35" spans="2:39" ht="12.75" customHeight="1">
      <c r="B35" s="21" t="s">
        <v>43</v>
      </c>
      <c r="C35" s="156">
        <f>'Historical Financials'!C115/1000</f>
        <v>-298.53399999999999</v>
      </c>
      <c r="D35" s="156">
        <f>'Historical Financials'!D115/1000</f>
        <v>-151.86600000000001</v>
      </c>
      <c r="E35" s="156">
        <f>'Historical Financials'!E115/1000</f>
        <v>-172.18700000000001</v>
      </c>
      <c r="F35" s="156">
        <f>'Historical Financials'!F115/1000</f>
        <v>-312.12599999999998</v>
      </c>
      <c r="G35" s="156">
        <f>'Historical Financials'!G115/1000</f>
        <v>-435.267</v>
      </c>
      <c r="H35" s="156">
        <f>'Historical Financials'!H115/1000</f>
        <v>-374.45800000000003</v>
      </c>
      <c r="J35" s="156">
        <f>'Historical Financials'!J115/1000</f>
        <v>-71.075999999999993</v>
      </c>
      <c r="K35" s="156">
        <f>'Historical Financials'!K115/1000</f>
        <v>-49.423999999999999</v>
      </c>
      <c r="L35" s="156">
        <f>'Historical Financials'!L115/1000</f>
        <v>-83.460999999999999</v>
      </c>
      <c r="M35" s="156">
        <f>'Historical Financials'!M115/1000</f>
        <v>-108.16500000000001</v>
      </c>
      <c r="N35" s="156">
        <f>'Historical Financials'!N115/1000</f>
        <v>-109.76600000000001</v>
      </c>
      <c r="O35" s="156">
        <f>'Historical Financials'!O115/1000</f>
        <v>-94.981999999999999</v>
      </c>
      <c r="P35" s="156">
        <f>'Historical Financials'!P115/1000</f>
        <v>-106.282</v>
      </c>
      <c r="Q35" s="156">
        <f>'Historical Financials'!Q115/1000</f>
        <v>-124.23699999999999</v>
      </c>
      <c r="R35" s="156">
        <f>'Historical Financials'!R115/1000</f>
        <v>-91.024000000000001</v>
      </c>
      <c r="S35" s="156">
        <f>'Historical Financials'!S115/1000</f>
        <v>-95.277000000000001</v>
      </c>
      <c r="T35" s="156">
        <f>'Historical Financials'!T115/1000</f>
        <v>-114.235</v>
      </c>
      <c r="U35" s="156">
        <f>'Historical Financials'!U115/1000</f>
        <v>-73.921999999999997</v>
      </c>
      <c r="V35" s="156">
        <f>'Historical Financials'!V115/1000</f>
        <v>-79.031000000000006</v>
      </c>
      <c r="W35" s="156">
        <f>'Historical Financials'!W115/1000</f>
        <v>-76.956999999999994</v>
      </c>
      <c r="X35" s="156">
        <f>'Historical Financials'!X115/1000</f>
        <v>-87.274000000000001</v>
      </c>
      <c r="Z35" s="155">
        <f>SUM(J35:M35)</f>
        <v>-312.12600000000003</v>
      </c>
      <c r="AA35" s="155">
        <f>SUM(K35:N35)</f>
        <v>-350.81600000000003</v>
      </c>
      <c r="AB35" s="155">
        <f>SUM(L35:O35)</f>
        <v>-396.37400000000002</v>
      </c>
      <c r="AC35" s="155">
        <f>SUM(M35:P35)</f>
        <v>-419.19499999999999</v>
      </c>
      <c r="AD35" s="155">
        <f>SUM(N35:Q35)</f>
        <v>-435.26699999999994</v>
      </c>
      <c r="AE35" s="155">
        <f>SUM(O35:R35)</f>
        <v>-416.52499999999998</v>
      </c>
      <c r="AF35" s="155">
        <f>SUM(P35:S35)</f>
        <v>-416.82</v>
      </c>
      <c r="AG35" s="155">
        <f>SUM(Q35:T35)</f>
        <v>-424.77300000000002</v>
      </c>
      <c r="AH35" s="155">
        <f>SUM(R35:U35)</f>
        <v>-374.45799999999997</v>
      </c>
      <c r="AI35" s="155">
        <f>SUM(S35:V35)</f>
        <v>-362.46499999999997</v>
      </c>
      <c r="AJ35" s="155">
        <f>SUM(T35:W35)</f>
        <v>-344.14499999999998</v>
      </c>
      <c r="AK35" s="155">
        <f>SUM(U35:X35)</f>
        <v>-317.18399999999997</v>
      </c>
      <c r="AM35" s="110">
        <f>SUM(AK35/AG35)-1</f>
        <v>-0.25328587268964842</v>
      </c>
    </row>
    <row r="36" spans="2:39" ht="12.75" customHeight="1">
      <c r="B36" s="21" t="s">
        <v>44</v>
      </c>
      <c r="C36" s="156">
        <f>-'Historical Financials'!C142/1000</f>
        <v>-133.86099999999999</v>
      </c>
      <c r="D36" s="156">
        <f>-'Historical Financials'!D142/1000</f>
        <v>-19.454000000000001</v>
      </c>
      <c r="E36" s="156">
        <f>-'Historical Financials'!E142/1000</f>
        <v>-370.64600000000002</v>
      </c>
      <c r="F36" s="156">
        <f>-'Historical Financials'!F142/1000</f>
        <v>-429.846</v>
      </c>
      <c r="G36" s="156">
        <f>-'Historical Financials'!G142/1000</f>
        <v>-328.21499999999997</v>
      </c>
      <c r="H36" s="156">
        <f>-'Historical Financials'!H142/1000</f>
        <v>-386.05900000000003</v>
      </c>
      <c r="J36" s="156">
        <f>-'Historical Financials'!J142/1000</f>
        <v>-0.52400000000000002</v>
      </c>
      <c r="K36" s="156">
        <f>-'Historical Financials'!K142/1000</f>
        <v>-246.11699999999999</v>
      </c>
      <c r="L36" s="156">
        <f>-'Historical Financials'!L142/1000</f>
        <v>-92.649000000000001</v>
      </c>
      <c r="M36" s="156">
        <f>-'Historical Financials'!M142/1000</f>
        <v>-90.555999999999997</v>
      </c>
      <c r="N36" s="156">
        <f>-'Historical Financials'!N142/1000</f>
        <v>-2.8180000000000001</v>
      </c>
      <c r="O36" s="156">
        <f>-'Historical Financials'!O142/1000</f>
        <v>-186.34800000000001</v>
      </c>
      <c r="P36" s="156">
        <f>-'Historical Financials'!P142/1000</f>
        <v>-77.635999999999996</v>
      </c>
      <c r="Q36" s="156">
        <f>-'Historical Financials'!Q142/1000</f>
        <v>-61.412999999999997</v>
      </c>
      <c r="R36" s="156">
        <f>-'Historical Financials'!R142/1000</f>
        <v>-5.0570000000000004</v>
      </c>
      <c r="S36" s="156">
        <f>-'Historical Financials'!S142/1000</f>
        <v>-228.19200000000001</v>
      </c>
      <c r="T36" s="156">
        <f>-'Historical Financials'!T142/1000</f>
        <v>-83.540999999999997</v>
      </c>
      <c r="U36" s="156">
        <f>-'Historical Financials'!U142/1000</f>
        <v>-69.269000000000005</v>
      </c>
      <c r="V36" s="156">
        <f>-'Historical Financials'!V142/1000</f>
        <v>-7.016</v>
      </c>
      <c r="W36" s="156">
        <f>-'Historical Financials'!W142/1000</f>
        <v>-244.99700000000001</v>
      </c>
      <c r="X36" s="156">
        <f>-'Historical Financials'!X142/1000</f>
        <v>-74.346999999999994</v>
      </c>
      <c r="Z36" s="155">
        <f>SUM(J36:M36)</f>
        <v>-429.84599999999995</v>
      </c>
      <c r="AA36" s="155">
        <f>SUM(K36:N36)</f>
        <v>-432.13999999999993</v>
      </c>
      <c r="AB36" s="155">
        <f>SUM(L36:O36)</f>
        <v>-372.37099999999998</v>
      </c>
      <c r="AC36" s="155">
        <f>SUM(M36:P36)</f>
        <v>-357.35799999999995</v>
      </c>
      <c r="AD36" s="155">
        <f>SUM(N36:Q36)</f>
        <v>-328.21500000000003</v>
      </c>
      <c r="AE36" s="155">
        <f>SUM(O36:R36)</f>
        <v>-330.45400000000006</v>
      </c>
      <c r="AF36" s="155">
        <f>SUM(P36:S36)</f>
        <v>-372.298</v>
      </c>
      <c r="AG36" s="155">
        <f>SUM(Q36:T36)</f>
        <v>-378.20300000000003</v>
      </c>
      <c r="AH36" s="155">
        <f>SUM(R36:U36)</f>
        <v>-386.05899999999997</v>
      </c>
      <c r="AI36" s="155">
        <f>SUM(S36:V36)</f>
        <v>-388.01800000000003</v>
      </c>
      <c r="AJ36" s="155">
        <f>SUM(T36:W36)</f>
        <v>-404.82299999999998</v>
      </c>
      <c r="AK36" s="155">
        <f>SUM(U36:X36)</f>
        <v>-395.62900000000002</v>
      </c>
      <c r="AM36" s="110">
        <f>SUM(AK36/AG36)-1</f>
        <v>4.6075784697635846E-2</v>
      </c>
    </row>
    <row r="37" spans="2:39" ht="12.75" customHeight="1">
      <c r="B37" s="21" t="s">
        <v>81</v>
      </c>
      <c r="C37" s="156">
        <f>-'Historical Financials'!C141/1000</f>
        <v>0</v>
      </c>
      <c r="D37" s="156">
        <f>-'Historical Financials'!D141/1000</f>
        <v>-6.9870000000000001</v>
      </c>
      <c r="E37" s="156">
        <f>-'Historical Financials'!E141/1000</f>
        <v>-2.1320000000000001</v>
      </c>
      <c r="F37" s="156">
        <f>-'Historical Financials'!F141/1000</f>
        <v>-2.1379999999999999</v>
      </c>
      <c r="G37" s="156">
        <f>-'Historical Financials'!G141/1000</f>
        <v>-3.327</v>
      </c>
      <c r="H37" s="156">
        <f>-'Historical Financials'!H141/1000</f>
        <v>-4.1589999999999998</v>
      </c>
      <c r="J37" s="156">
        <f>-'Historical Financials'!J141/1000</f>
        <v>0</v>
      </c>
      <c r="K37" s="156">
        <f>-'Historical Financials'!K141/1000</f>
        <v>-1.0569999999999999</v>
      </c>
      <c r="L37" s="156">
        <f>-'Historical Financials'!L141/1000</f>
        <v>-0.54100000000000004</v>
      </c>
      <c r="M37" s="156">
        <f>-'Historical Financials'!M141/1000</f>
        <v>-0.54</v>
      </c>
      <c r="N37" s="156">
        <f>-'Historical Financials'!N141/1000</f>
        <v>0</v>
      </c>
      <c r="O37" s="156">
        <f>-'Historical Financials'!O141/1000</f>
        <v>0</v>
      </c>
      <c r="P37" s="156">
        <f>-'Historical Financials'!P141/1000</f>
        <v>0</v>
      </c>
      <c r="Q37" s="156">
        <f>-'Historical Financials'!Q141/1000</f>
        <v>-3.327</v>
      </c>
      <c r="R37" s="156">
        <f>-'Historical Financials'!R141/1000</f>
        <v>0</v>
      </c>
      <c r="S37" s="156">
        <f>-'Historical Financials'!S141/1000</f>
        <v>0</v>
      </c>
      <c r="T37" s="156">
        <f>-'Historical Financials'!T141/1000</f>
        <v>0</v>
      </c>
      <c r="U37" s="156">
        <f>-'Historical Financials'!U141/1000</f>
        <v>-4.1589999999999998</v>
      </c>
      <c r="V37" s="156">
        <f>-'Historical Financials'!V141/1000</f>
        <v>0</v>
      </c>
      <c r="W37" s="156">
        <f>-'Historical Financials'!W141/1000</f>
        <v>0</v>
      </c>
      <c r="X37" s="156">
        <f>-'Historical Financials'!X141/1000</f>
        <v>0</v>
      </c>
      <c r="Z37" s="155">
        <f>SUM(J37:M37)</f>
        <v>-2.1379999999999999</v>
      </c>
      <c r="AA37" s="155">
        <f>SUM(K37:N37)</f>
        <v>-2.1379999999999999</v>
      </c>
      <c r="AB37" s="155">
        <f>SUM(L37:O37)</f>
        <v>-1.081</v>
      </c>
      <c r="AC37" s="155">
        <f>SUM(M37:P37)</f>
        <v>-0.54</v>
      </c>
      <c r="AD37" s="155">
        <f>SUM(N37:Q37)</f>
        <v>-3.327</v>
      </c>
      <c r="AE37" s="155">
        <f>SUM(O37:R37)</f>
        <v>-3.327</v>
      </c>
      <c r="AF37" s="155">
        <f>SUM(P37:S37)</f>
        <v>-3.327</v>
      </c>
      <c r="AG37" s="155">
        <f>SUM(Q37:T37)</f>
        <v>-3.327</v>
      </c>
      <c r="AH37" s="155">
        <f>SUM(R37:U37)</f>
        <v>-4.1589999999999998</v>
      </c>
      <c r="AI37" s="155">
        <f>SUM(S37:V37)</f>
        <v>-4.1589999999999998</v>
      </c>
      <c r="AJ37" s="155">
        <f>SUM(T37:W37)</f>
        <v>-4.1589999999999998</v>
      </c>
      <c r="AK37" s="155">
        <f>SUM(U37:X37)</f>
        <v>-4.1589999999999998</v>
      </c>
      <c r="AM37" s="110">
        <f>SUM(AK37/AG37)-1</f>
        <v>0.2500751427712653</v>
      </c>
    </row>
    <row r="38" spans="2:39" ht="12.75" customHeight="1">
      <c r="B38" s="21" t="s">
        <v>45</v>
      </c>
      <c r="C38" s="156">
        <f>SUM('Historical Financials'!C103:C111)/1000</f>
        <v>-215.46899999999999</v>
      </c>
      <c r="D38" s="156">
        <f>SUM('Historical Financials'!D103:D111)/1000</f>
        <v>-14.257999999999999</v>
      </c>
      <c r="E38" s="156">
        <f>SUM('Historical Financials'!E103:E111)/1000</f>
        <v>-498.21199999999999</v>
      </c>
      <c r="F38" s="156">
        <f>SUM('Historical Financials'!F103:F111)/1000</f>
        <v>-369.16199999999998</v>
      </c>
      <c r="G38" s="156">
        <f>SUM('Historical Financials'!G103:G111)/1000</f>
        <v>-481.57299999999998</v>
      </c>
      <c r="H38" s="156">
        <f>SUM('Historical Financials'!H103:H111)/1000</f>
        <v>-451.21600000000001</v>
      </c>
      <c r="J38" s="156">
        <f>SUM('Historical Financials'!J103:J111)/1000</f>
        <v>-52.49</v>
      </c>
      <c r="K38" s="156">
        <f>SUM('Historical Financials'!K103:K111)/1000</f>
        <v>-329.375</v>
      </c>
      <c r="L38" s="156">
        <f>SUM('Historical Financials'!L103:L111)/1000</f>
        <v>-386.476</v>
      </c>
      <c r="M38" s="156">
        <f>SUM('Historical Financials'!M103:M111)/1000</f>
        <v>399.17899999999997</v>
      </c>
      <c r="N38" s="156">
        <f>SUM('Historical Financials'!N103:N111)/1000</f>
        <v>-188.893</v>
      </c>
      <c r="O38" s="156">
        <f>SUM('Historical Financials'!O103:O111)/1000</f>
        <v>-328.26400000000001</v>
      </c>
      <c r="P38" s="156">
        <f>SUM('Historical Financials'!P103:P111)/1000</f>
        <v>-476.82799999999997</v>
      </c>
      <c r="Q38" s="156">
        <f>SUM('Historical Financials'!Q103:Q111)/1000</f>
        <v>512.41200000000003</v>
      </c>
      <c r="R38" s="156">
        <f>SUM('Historical Financials'!R103:R111)/1000</f>
        <v>-313.142</v>
      </c>
      <c r="S38" s="156">
        <f>SUM('Historical Financials'!S103:S111)/1000</f>
        <v>-214.19800000000001</v>
      </c>
      <c r="T38" s="156">
        <f>SUM('Historical Financials'!T103:T111)/1000</f>
        <v>-452.27100000000002</v>
      </c>
      <c r="U38" s="156">
        <f>SUM('Historical Financials'!U103:U111)/1000</f>
        <v>528.39499999999998</v>
      </c>
      <c r="V38" s="156">
        <f>SUM('Historical Financials'!V103:V111)/1000</f>
        <v>-264.52699999999999</v>
      </c>
      <c r="W38" s="156">
        <f>SUM('Historical Financials'!W103:W111)/1000</f>
        <v>-340.06700000000001</v>
      </c>
      <c r="X38" s="156">
        <f>SUM('Historical Financials'!X103:X111)/1000</f>
        <v>-387.96</v>
      </c>
      <c r="Z38" s="155">
        <f>SUM(J38:M38)</f>
        <v>-369.16200000000003</v>
      </c>
      <c r="AA38" s="155">
        <f>SUM(K38:N38)</f>
        <v>-505.56500000000005</v>
      </c>
      <c r="AB38" s="155">
        <f>SUM(L38:O38)</f>
        <v>-504.45400000000006</v>
      </c>
      <c r="AC38" s="155">
        <f>SUM(M38:P38)</f>
        <v>-594.80600000000004</v>
      </c>
      <c r="AD38" s="155">
        <f>SUM(N38:Q38)</f>
        <v>-481.57299999999998</v>
      </c>
      <c r="AE38" s="155">
        <f>SUM(O38:R38)</f>
        <v>-605.82199999999989</v>
      </c>
      <c r="AF38" s="155">
        <f>SUM(P38:S38)</f>
        <v>-491.75599999999997</v>
      </c>
      <c r="AG38" s="155">
        <f>SUM(Q38:T38)</f>
        <v>-467.19899999999996</v>
      </c>
      <c r="AH38" s="155">
        <f>SUM(R38:U38)</f>
        <v>-451.21600000000012</v>
      </c>
      <c r="AI38" s="155">
        <f>SUM(S38:V38)</f>
        <v>-402.60100000000006</v>
      </c>
      <c r="AJ38" s="155">
        <f>SUM(T38:W38)</f>
        <v>-528.47</v>
      </c>
      <c r="AK38" s="155">
        <f>SUM(U38:X38)</f>
        <v>-464.15899999999999</v>
      </c>
      <c r="AM38" s="110">
        <f>SUM(AK38/AG38)-1</f>
        <v>-6.5068632424297723E-3</v>
      </c>
    </row>
    <row r="39" spans="2:39" ht="12.75" customHeight="1">
      <c r="B39" s="12" t="s">
        <v>46</v>
      </c>
      <c r="C39" s="13">
        <f t="shared" ref="C39:G39" si="135">SUM(C32+SUM(C35:C38))</f>
        <v>573.87399999999957</v>
      </c>
      <c r="D39" s="13">
        <f t="shared" si="135"/>
        <v>483.93200000000047</v>
      </c>
      <c r="E39" s="13">
        <f t="shared" si="135"/>
        <v>570.03400000000101</v>
      </c>
      <c r="F39" s="13">
        <f t="shared" si="135"/>
        <v>809.75400000000036</v>
      </c>
      <c r="G39" s="13">
        <f t="shared" si="135"/>
        <v>721.73299999999904</v>
      </c>
      <c r="H39" s="13">
        <f>SUM(H32+SUM(H35:H38))</f>
        <v>658.90900000000238</v>
      </c>
      <c r="J39" s="13">
        <f t="shared" ref="J39:M39" si="136">SUM(J32+SUM(J35:J38))</f>
        <v>386.81299999999976</v>
      </c>
      <c r="K39" s="13">
        <f t="shared" si="136"/>
        <v>-161.14399999999972</v>
      </c>
      <c r="L39" s="13">
        <f t="shared" si="136"/>
        <v>-133.13099999999952</v>
      </c>
      <c r="M39" s="13">
        <f t="shared" si="136"/>
        <v>717.21599999999967</v>
      </c>
      <c r="N39" s="13">
        <f t="shared" ref="N39:W39" si="137">SUM(N32+SUM(N35:N38))</f>
        <v>208.26299999999998</v>
      </c>
      <c r="O39" s="13">
        <f t="shared" si="137"/>
        <v>-144.22099999999978</v>
      </c>
      <c r="P39" s="13">
        <f t="shared" si="137"/>
        <v>-260.17000000000047</v>
      </c>
      <c r="Q39" s="13">
        <f t="shared" si="137"/>
        <v>917.86099999999851</v>
      </c>
      <c r="R39" s="13">
        <f t="shared" si="137"/>
        <v>66.545999999999538</v>
      </c>
      <c r="S39" s="13">
        <f t="shared" si="137"/>
        <v>-133.96200000000016</v>
      </c>
      <c r="T39" s="13">
        <f t="shared" si="137"/>
        <v>-256.1040000000001</v>
      </c>
      <c r="U39" s="13">
        <f t="shared" si="137"/>
        <v>982.42899999999952</v>
      </c>
      <c r="V39" s="13">
        <f t="shared" si="137"/>
        <v>134.65400000000028</v>
      </c>
      <c r="W39" s="13">
        <f t="shared" si="137"/>
        <v>-237.08199999999977</v>
      </c>
      <c r="X39" s="13">
        <f>SUM(X32+SUM(X35:X38))</f>
        <v>-154.38900000000081</v>
      </c>
      <c r="Z39" s="13">
        <f t="shared" ref="Z39:AJ39" si="138">SUM(Z32+SUM(Z35:Z38))</f>
        <v>809.75399999999854</v>
      </c>
      <c r="AA39" s="13">
        <f t="shared" si="138"/>
        <v>631.20400000000109</v>
      </c>
      <c r="AB39" s="13">
        <f t="shared" si="138"/>
        <v>648.12700000000086</v>
      </c>
      <c r="AC39" s="13">
        <f t="shared" si="138"/>
        <v>521.08800000000087</v>
      </c>
      <c r="AD39" s="13">
        <f t="shared" si="138"/>
        <v>721.73299999999813</v>
      </c>
      <c r="AE39" s="13">
        <f t="shared" si="138"/>
        <v>580.01599999999621</v>
      </c>
      <c r="AF39" s="13">
        <f t="shared" si="138"/>
        <v>590.27499999999759</v>
      </c>
      <c r="AG39" s="13">
        <f t="shared" si="138"/>
        <v>594.34099999999557</v>
      </c>
      <c r="AH39" s="13">
        <f t="shared" si="138"/>
        <v>658.90900000000056</v>
      </c>
      <c r="AI39" s="13">
        <f t="shared" si="138"/>
        <v>727.01699999999778</v>
      </c>
      <c r="AJ39" s="13">
        <f t="shared" si="138"/>
        <v>623.89699999999971</v>
      </c>
      <c r="AK39" s="13">
        <f>SUM(AK32+SUM(AK35:AK38))</f>
        <v>725.61199999999985</v>
      </c>
      <c r="AM39" s="111">
        <f>SUM(AK39/AG39)-1</f>
        <v>0.22086815481349142</v>
      </c>
    </row>
    <row r="40" spans="2:39" ht="5.0999999999999996" customHeight="1"/>
    <row r="41" spans="2:39" ht="12.75" customHeight="1">
      <c r="B41" s="29" t="s">
        <v>163</v>
      </c>
      <c r="C41" s="156">
        <f>SUM('Historical Financials'!C116:C117)/1000</f>
        <v>-172.946</v>
      </c>
      <c r="D41" s="156">
        <f>SUM('Historical Financials'!D116:D117)/1000</f>
        <v>103.11499999999999</v>
      </c>
      <c r="E41" s="156">
        <f>SUM('Historical Financials'!E116:E117)/1000</f>
        <v>-4.2969999999999997</v>
      </c>
      <c r="F41" s="156">
        <f>SUM('Historical Financials'!F116:F117)/1000</f>
        <v>-2.4580000000000002</v>
      </c>
      <c r="G41" s="156">
        <f>SUM('Historical Financials'!G116:G117)/1000</f>
        <v>-6.1580000000000004</v>
      </c>
      <c r="H41" s="156">
        <f>SUM('Historical Financials'!H116:H117)/1000</f>
        <v>-8.6310000000000002</v>
      </c>
      <c r="I41" s="30"/>
      <c r="J41" s="156">
        <f>SUM('Historical Financials'!J116:J117)/1000</f>
        <v>-0.79700000000000004</v>
      </c>
      <c r="K41" s="156">
        <f>SUM('Historical Financials'!K116:K117)/1000</f>
        <v>-0.45200000000000001</v>
      </c>
      <c r="L41" s="156">
        <f>SUM('Historical Financials'!L116:L117)/1000</f>
        <v>-1.819</v>
      </c>
      <c r="M41" s="156">
        <f>SUM('Historical Financials'!M116:M117)/1000</f>
        <v>0.61</v>
      </c>
      <c r="N41" s="156">
        <f>SUM('Historical Financials'!N116:N117)/1000</f>
        <v>-0.314</v>
      </c>
      <c r="O41" s="156">
        <f>SUM('Historical Financials'!O116:O117)/1000</f>
        <v>-1.373</v>
      </c>
      <c r="P41" s="156">
        <f>SUM('Historical Financials'!P116:P117)/1000</f>
        <v>-3.1829999999999998</v>
      </c>
      <c r="Q41" s="156">
        <f>SUM('Historical Financials'!Q116:Q117)/1000</f>
        <v>-1.288</v>
      </c>
      <c r="R41" s="156">
        <f>SUM('Historical Financials'!R116:R117)/1000</f>
        <v>-2.5630000000000002</v>
      </c>
      <c r="S41" s="156">
        <f>SUM('Historical Financials'!S116:S117)/1000</f>
        <v>-2.528</v>
      </c>
      <c r="T41" s="156">
        <f>SUM('Historical Financials'!T116:T117)/1000</f>
        <v>-1.0169999999999999</v>
      </c>
      <c r="U41" s="156">
        <f>SUM('Historical Financials'!U116:U117)/1000</f>
        <v>-2.5230000000000001</v>
      </c>
      <c r="V41" s="156">
        <f>SUM('Historical Financials'!V116:V117)/1000</f>
        <v>-7.3460000000000001</v>
      </c>
      <c r="W41" s="156">
        <f>SUM('Historical Financials'!W116:W117)/1000</f>
        <v>-396.577</v>
      </c>
      <c r="X41" s="156">
        <f>SUM('Historical Financials'!X116:X117)/1000</f>
        <v>-8.3149999999999995</v>
      </c>
      <c r="Z41" s="155">
        <f>SUM(J41:M41)</f>
        <v>-2.4580000000000002</v>
      </c>
      <c r="AA41" s="155">
        <f>SUM(K41:N41)</f>
        <v>-1.9750000000000001</v>
      </c>
      <c r="AB41" s="155">
        <f>SUM(L41:O41)</f>
        <v>-2.8959999999999999</v>
      </c>
      <c r="AC41" s="155">
        <f>SUM(M41:P41)</f>
        <v>-4.26</v>
      </c>
      <c r="AD41" s="155">
        <f>SUM(N41:Q41)</f>
        <v>-6.1580000000000004</v>
      </c>
      <c r="AE41" s="155">
        <f>SUM(O41:R41)</f>
        <v>-8.407</v>
      </c>
      <c r="AF41" s="155">
        <f>SUM(P41:S41)</f>
        <v>-9.5620000000000012</v>
      </c>
      <c r="AG41" s="155">
        <f>SUM(Q41:T41)</f>
        <v>-7.395999999999999</v>
      </c>
      <c r="AH41" s="155">
        <f>SUM(R41:U41)</f>
        <v>-8.6310000000000002</v>
      </c>
      <c r="AI41" s="155">
        <f>SUM(S41:V41)</f>
        <v>-13.414</v>
      </c>
      <c r="AJ41" s="155">
        <f>SUM(T41:W41)</f>
        <v>-407.46300000000002</v>
      </c>
      <c r="AK41" s="155">
        <f>SUM(U41:X41)</f>
        <v>-414.76100000000002</v>
      </c>
    </row>
    <row r="42" spans="2:39" ht="12.75" customHeight="1">
      <c r="B42" s="29" t="s">
        <v>178</v>
      </c>
      <c r="C42" s="156">
        <f>'Historical Financials'!C121/1000</f>
        <v>0</v>
      </c>
      <c r="D42" s="156">
        <f>'Historical Financials'!D121/1000</f>
        <v>0</v>
      </c>
      <c r="E42" s="156">
        <f>'Historical Financials'!E121/1000</f>
        <v>0</v>
      </c>
      <c r="F42" s="156">
        <f>'Historical Financials'!F121/1000</f>
        <v>0</v>
      </c>
      <c r="G42" s="156">
        <f>'Historical Financials'!G121/1000</f>
        <v>0</v>
      </c>
      <c r="H42" s="156">
        <f>'Historical Financials'!H121/1000</f>
        <v>0</v>
      </c>
      <c r="I42" s="30"/>
      <c r="J42" s="156">
        <f>'Historical Financials'!J121/1000</f>
        <v>0</v>
      </c>
      <c r="K42" s="156">
        <f>'Historical Financials'!K121/1000</f>
        <v>0</v>
      </c>
      <c r="L42" s="156">
        <f>'Historical Financials'!L121/1000</f>
        <v>0</v>
      </c>
      <c r="M42" s="156">
        <f>'Historical Financials'!M121/1000</f>
        <v>0</v>
      </c>
      <c r="N42" s="156">
        <f>'Historical Financials'!N121/1000</f>
        <v>0</v>
      </c>
      <c r="O42" s="156">
        <f>'Historical Financials'!O121/1000</f>
        <v>0</v>
      </c>
      <c r="P42" s="156">
        <f>'Historical Financials'!P121/1000</f>
        <v>195.4</v>
      </c>
      <c r="Q42" s="156">
        <f>'Historical Financials'!Q121/1000</f>
        <v>-195.4</v>
      </c>
      <c r="R42" s="156">
        <f>'Historical Financials'!R121/1000</f>
        <v>0</v>
      </c>
      <c r="S42" s="156">
        <f>'Historical Financials'!S121/1000</f>
        <v>0</v>
      </c>
      <c r="T42" s="156">
        <f>'Historical Financials'!T121/1000</f>
        <v>199.7</v>
      </c>
      <c r="U42" s="156">
        <f>'Historical Financials'!U121/1000</f>
        <v>-199.7</v>
      </c>
      <c r="V42" s="156">
        <f>'Historical Financials'!V121/1000</f>
        <v>0</v>
      </c>
      <c r="W42" s="156">
        <f>'Historical Financials'!W121/1000</f>
        <v>260.541</v>
      </c>
      <c r="X42" s="156">
        <f>'Historical Financials'!X121/1000</f>
        <v>262.62</v>
      </c>
      <c r="Z42" s="155">
        <f>SUM(J42:M42)</f>
        <v>0</v>
      </c>
      <c r="AA42" s="155">
        <f>SUM(K42:N42)</f>
        <v>0</v>
      </c>
      <c r="AB42" s="155">
        <f>SUM(L42:O42)</f>
        <v>0</v>
      </c>
      <c r="AC42" s="155">
        <f>SUM(M42:P42)</f>
        <v>195.4</v>
      </c>
      <c r="AD42" s="155">
        <f>SUM(N42:Q42)</f>
        <v>0</v>
      </c>
      <c r="AE42" s="155">
        <f>SUM(O42:R42)</f>
        <v>0</v>
      </c>
      <c r="AF42" s="155">
        <f>SUM(P42:S42)</f>
        <v>0</v>
      </c>
      <c r="AG42" s="155">
        <f>SUM(Q42:T42)</f>
        <v>4.2999999999999829</v>
      </c>
      <c r="AH42" s="155">
        <f>SUM(R42:U42)</f>
        <v>0</v>
      </c>
      <c r="AI42" s="155">
        <f>SUM(S42:V42)</f>
        <v>0</v>
      </c>
      <c r="AJ42" s="155">
        <f>SUM(T42:W42)</f>
        <v>260.541</v>
      </c>
      <c r="AK42" s="155">
        <f>SUM(U42:X42)</f>
        <v>323.46100000000001</v>
      </c>
    </row>
    <row r="43" spans="2:39" ht="12.75" customHeight="1">
      <c r="B43" s="29" t="s">
        <v>179</v>
      </c>
      <c r="C43" s="156">
        <f>'Historical Financials'!C122/1000</f>
        <v>-680.97900000000004</v>
      </c>
      <c r="D43" s="156">
        <f>'Historical Financials'!D122/1000</f>
        <v>-114.895</v>
      </c>
      <c r="E43" s="156">
        <f>'Historical Financials'!E122/1000</f>
        <v>-1521.925</v>
      </c>
      <c r="F43" s="156">
        <f>'Historical Financials'!F122/1000</f>
        <v>-900.03300000000002</v>
      </c>
      <c r="G43" s="156">
        <f>'Historical Financials'!G122/1000</f>
        <v>-995.73800000000006</v>
      </c>
      <c r="H43" s="156">
        <f>'Historical Financials'!H122/1000</f>
        <v>-1003.328</v>
      </c>
      <c r="I43" s="30"/>
      <c r="J43" s="156">
        <f>'Historical Financials'!J122/1000</f>
        <v>-132.834</v>
      </c>
      <c r="K43" s="156">
        <f>'Historical Financials'!K122/1000</f>
        <v>-301.61399999999998</v>
      </c>
      <c r="L43" s="156">
        <f>'Historical Financials'!L122/1000</f>
        <v>-137.46</v>
      </c>
      <c r="M43" s="156">
        <f>'Historical Financials'!M122/1000</f>
        <v>-328.125</v>
      </c>
      <c r="N43" s="156">
        <f>'Historical Financials'!N122/1000</f>
        <v>-283.517</v>
      </c>
      <c r="O43" s="156">
        <f>'Historical Financials'!O122/1000</f>
        <v>-275.49400000000003</v>
      </c>
      <c r="P43" s="156">
        <f>'Historical Financials'!P122/1000</f>
        <v>-281.54000000000002</v>
      </c>
      <c r="Q43" s="156">
        <f>'Historical Financials'!Q122/1000</f>
        <v>-155.18700000000001</v>
      </c>
      <c r="R43" s="156">
        <f>'Historical Financials'!R122/1000</f>
        <v>-289.43099999999998</v>
      </c>
      <c r="S43" s="156">
        <f>'Historical Financials'!S122/1000</f>
        <v>-212.33699999999999</v>
      </c>
      <c r="T43" s="156">
        <f>'Historical Financials'!T122/1000</f>
        <v>-263.61599999999999</v>
      </c>
      <c r="U43" s="156">
        <f>'Historical Financials'!U122/1000</f>
        <v>-237.94399999999999</v>
      </c>
      <c r="V43" s="156">
        <f>'Historical Financials'!V122/1000</f>
        <v>-369.786</v>
      </c>
      <c r="W43" s="156">
        <f>'Historical Financials'!W122/1000</f>
        <v>-109.456</v>
      </c>
      <c r="X43" s="156">
        <f>'Historical Financials'!X122/1000</f>
        <v>-224.71799999999999</v>
      </c>
      <c r="Z43" s="155">
        <f>SUM(J43:M43)</f>
        <v>-900.03300000000002</v>
      </c>
      <c r="AA43" s="155">
        <f>SUM(K43:N43)</f>
        <v>-1050.7159999999999</v>
      </c>
      <c r="AB43" s="155">
        <f>SUM(L43:O43)</f>
        <v>-1024.596</v>
      </c>
      <c r="AC43" s="155">
        <f>SUM(M43:P43)</f>
        <v>-1168.6760000000002</v>
      </c>
      <c r="AD43" s="155">
        <f>SUM(N43:Q43)</f>
        <v>-995.73799999999994</v>
      </c>
      <c r="AE43" s="155">
        <f>SUM(O43:R43)</f>
        <v>-1001.652</v>
      </c>
      <c r="AF43" s="155">
        <f>SUM(P43:S43)</f>
        <v>-938.495</v>
      </c>
      <c r="AG43" s="155">
        <f>SUM(Q43:T43)</f>
        <v>-920.57099999999991</v>
      </c>
      <c r="AH43" s="155">
        <f>SUM(R43:U43)</f>
        <v>-1003.328</v>
      </c>
      <c r="AI43" s="155">
        <f>SUM(S43:V43)</f>
        <v>-1083.683</v>
      </c>
      <c r="AJ43" s="155">
        <f>SUM(T43:W43)</f>
        <v>-980.80200000000002</v>
      </c>
      <c r="AK43" s="155">
        <f>SUM(U43:X43)</f>
        <v>-941.904</v>
      </c>
    </row>
    <row r="44" spans="2:39" ht="12.75" customHeight="1">
      <c r="B44" s="29" t="s">
        <v>180</v>
      </c>
      <c r="C44" s="156">
        <f>'Historical Financials'!C124/1000</f>
        <v>43.78</v>
      </c>
      <c r="D44" s="156">
        <f>'Historical Financials'!D124/1000</f>
        <v>12.228999999999999</v>
      </c>
      <c r="E44" s="156">
        <f>'Historical Financials'!E124/1000</f>
        <v>40.386000000000003</v>
      </c>
      <c r="F44" s="156">
        <f>'Historical Financials'!F124/1000</f>
        <v>46.011000000000003</v>
      </c>
      <c r="G44" s="156">
        <f>'Historical Financials'!G124/1000</f>
        <v>12.176</v>
      </c>
      <c r="H44" s="156">
        <f>'Historical Financials'!H124/1000</f>
        <v>12.339</v>
      </c>
      <c r="I44" s="30"/>
      <c r="J44" s="156">
        <f>'Historical Financials'!J124/1000</f>
        <v>6.5019999999999998</v>
      </c>
      <c r="K44" s="156">
        <f>'Historical Financials'!K124/1000</f>
        <v>18.018999999999998</v>
      </c>
      <c r="L44" s="156">
        <f>'Historical Financials'!L124/1000</f>
        <v>6.798</v>
      </c>
      <c r="M44" s="156">
        <f>'Historical Financials'!M124/1000</f>
        <v>14.692</v>
      </c>
      <c r="N44" s="156">
        <f>'Historical Financials'!N124/1000</f>
        <v>8.9269999999999996</v>
      </c>
      <c r="O44" s="156">
        <f>'Historical Financials'!O124/1000</f>
        <v>0.22</v>
      </c>
      <c r="P44" s="156">
        <f>'Historical Financials'!P124/1000</f>
        <v>0.155</v>
      </c>
      <c r="Q44" s="156">
        <f>'Historical Financials'!Q124/1000</f>
        <v>2.8740000000000001</v>
      </c>
      <c r="R44" s="156">
        <f>'Historical Financials'!R124/1000</f>
        <v>8.9130000000000003</v>
      </c>
      <c r="S44" s="156">
        <f>'Historical Financials'!S124/1000</f>
        <v>0.28299999999999997</v>
      </c>
      <c r="T44" s="156">
        <f>'Historical Financials'!T124/1000</f>
        <v>4.0000000000000001E-3</v>
      </c>
      <c r="U44" s="156">
        <f>'Historical Financials'!U124/1000</f>
        <v>3.1389999999999998</v>
      </c>
      <c r="V44" s="156">
        <f>'Historical Financials'!V124/1000</f>
        <v>0.48099999999999998</v>
      </c>
      <c r="W44" s="156">
        <f>'Historical Financials'!W124/1000</f>
        <v>14.37</v>
      </c>
      <c r="X44" s="156">
        <f>'Historical Financials'!X124/1000</f>
        <v>15.252000000000001</v>
      </c>
      <c r="Z44" s="155">
        <f>SUM(J44:M44)</f>
        <v>46.010999999999996</v>
      </c>
      <c r="AA44" s="155">
        <f>SUM(K44:N44)</f>
        <v>48.436</v>
      </c>
      <c r="AB44" s="155">
        <f>SUM(L44:O44)</f>
        <v>30.637</v>
      </c>
      <c r="AC44" s="155">
        <f>SUM(M44:P44)</f>
        <v>23.994</v>
      </c>
      <c r="AD44" s="155">
        <f>SUM(N44:Q44)</f>
        <v>12.176</v>
      </c>
      <c r="AE44" s="155">
        <f>SUM(O44:R44)</f>
        <v>12.162000000000001</v>
      </c>
      <c r="AF44" s="155">
        <f>SUM(P44:S44)</f>
        <v>12.225</v>
      </c>
      <c r="AG44" s="155">
        <f>SUM(Q44:T44)</f>
        <v>12.074</v>
      </c>
      <c r="AH44" s="155">
        <f>SUM(R44:U44)</f>
        <v>12.338999999999999</v>
      </c>
      <c r="AI44" s="155">
        <f>SUM(S44:V44)</f>
        <v>3.9069999999999996</v>
      </c>
      <c r="AJ44" s="155">
        <f>SUM(T44:W44)</f>
        <v>17.994</v>
      </c>
      <c r="AK44" s="155">
        <f>SUM(U44:X44)</f>
        <v>33.241999999999997</v>
      </c>
    </row>
    <row r="45" spans="2:39" ht="12.75" customHeight="1">
      <c r="B45" s="29" t="s">
        <v>181</v>
      </c>
      <c r="C45" s="156">
        <f>'Historical Financials'!C125/1000</f>
        <v>-9.5399999999999991</v>
      </c>
      <c r="D45" s="156">
        <f>'Historical Financials'!D125/1000</f>
        <v>-3.3530000000000002</v>
      </c>
      <c r="E45" s="156">
        <f>'Historical Financials'!E125/1000</f>
        <v>-15.677</v>
      </c>
      <c r="F45" s="156">
        <f>'Historical Financials'!F125/1000</f>
        <v>-6.992</v>
      </c>
      <c r="G45" s="156">
        <f>'Historical Financials'!G125/1000</f>
        <v>-22.562000000000001</v>
      </c>
      <c r="H45" s="156">
        <f>'Historical Financials'!H125/1000</f>
        <v>-23.760999999999999</v>
      </c>
      <c r="I45" s="30"/>
      <c r="J45" s="156">
        <f>'Historical Financials'!J125/1000</f>
        <v>-5.1719999999999997</v>
      </c>
      <c r="K45" s="156">
        <f>'Historical Financials'!K125/1000</f>
        <v>-1.153</v>
      </c>
      <c r="L45" s="156">
        <f>'Historical Financials'!L125/1000</f>
        <v>-0.41499999999999998</v>
      </c>
      <c r="M45" s="156">
        <f>'Historical Financials'!M125/1000</f>
        <v>-0.252</v>
      </c>
      <c r="N45" s="156">
        <f>'Historical Financials'!N125/1000</f>
        <v>-21.658999999999999</v>
      </c>
      <c r="O45" s="156">
        <f>'Historical Financials'!O125/1000</f>
        <v>-0.1</v>
      </c>
      <c r="P45" s="156">
        <f>'Historical Financials'!P125/1000</f>
        <v>-0.56899999999999995</v>
      </c>
      <c r="Q45" s="156">
        <f>'Historical Financials'!Q125/1000</f>
        <v>-0.23400000000000001</v>
      </c>
      <c r="R45" s="156">
        <f>'Historical Financials'!R125/1000</f>
        <v>-23.283000000000001</v>
      </c>
      <c r="S45" s="156">
        <f>'Historical Financials'!S125/1000</f>
        <v>-0.17599999999999999</v>
      </c>
      <c r="T45" s="156">
        <f>'Historical Financials'!T125/1000</f>
        <v>-0.107</v>
      </c>
      <c r="U45" s="156">
        <f>'Historical Financials'!U125/1000</f>
        <v>-0.19500000000000001</v>
      </c>
      <c r="V45" s="156">
        <f>'Historical Financials'!V125/1000</f>
        <v>-12.911</v>
      </c>
      <c r="W45" s="156">
        <f>'Historical Financials'!W125/1000</f>
        <v>-0.32700000000000001</v>
      </c>
      <c r="X45" s="156">
        <f>'Historical Financials'!X125/1000</f>
        <v>-0.26700000000000002</v>
      </c>
      <c r="Z45" s="155">
        <f>SUM(J45:M45)</f>
        <v>-6.9919999999999991</v>
      </c>
      <c r="AA45" s="155">
        <f>SUM(K45:N45)</f>
        <v>-23.478999999999999</v>
      </c>
      <c r="AB45" s="155">
        <f>SUM(L45:O45)</f>
        <v>-22.426000000000002</v>
      </c>
      <c r="AC45" s="155">
        <f>SUM(M45:P45)</f>
        <v>-22.58</v>
      </c>
      <c r="AD45" s="155">
        <f>SUM(N45:Q45)</f>
        <v>-22.562000000000001</v>
      </c>
      <c r="AE45" s="155">
        <f>SUM(O45:R45)</f>
        <v>-24.186</v>
      </c>
      <c r="AF45" s="155">
        <f>SUM(P45:S45)</f>
        <v>-24.262</v>
      </c>
      <c r="AG45" s="155">
        <f>SUM(Q45:T45)</f>
        <v>-23.8</v>
      </c>
      <c r="AH45" s="155">
        <f>SUM(R45:U45)</f>
        <v>-23.760999999999999</v>
      </c>
      <c r="AI45" s="155">
        <f>SUM(S45:V45)</f>
        <v>-13.388999999999999</v>
      </c>
      <c r="AJ45" s="155">
        <f>SUM(T45:W45)</f>
        <v>-13.54</v>
      </c>
      <c r="AK45" s="155">
        <f>SUM(U45:X45)</f>
        <v>-13.7</v>
      </c>
    </row>
    <row r="46" spans="2:39" ht="12.75" customHeight="1">
      <c r="B46" s="29" t="s">
        <v>76</v>
      </c>
      <c r="C46" s="130"/>
      <c r="D46" s="130">
        <f>SUM(D51-C51)-SUM(D39:D45)</f>
        <v>172.69799999999941</v>
      </c>
      <c r="E46" s="130">
        <f>SUM(E51-D51)-SUM(E39:E45)</f>
        <v>316.98799999999903</v>
      </c>
      <c r="F46" s="130">
        <f>SUM(F51-E51)-SUM(F39:F45)</f>
        <v>360.03499999999957</v>
      </c>
      <c r="G46" s="130">
        <f>SUM(G51-F51)-SUM(G39:G45)</f>
        <v>319.26600000000116</v>
      </c>
      <c r="H46" s="130">
        <f>SUM(H51-G51)-SUM(H39:H45)</f>
        <v>301.07899999999756</v>
      </c>
      <c r="I46" s="30"/>
      <c r="J46" s="130"/>
      <c r="K46" s="130">
        <f t="shared" ref="K46:W46" si="139">SUM(K51-J51)-SUM(K39:K45)</f>
        <v>226.08399999999972</v>
      </c>
      <c r="L46" s="130">
        <f t="shared" si="139"/>
        <v>82.428999999999519</v>
      </c>
      <c r="M46" s="130">
        <f t="shared" si="139"/>
        <v>83.108000000000288</v>
      </c>
      <c r="N46" s="130">
        <f t="shared" si="139"/>
        <v>-13.127999999999986</v>
      </c>
      <c r="O46" s="130">
        <f t="shared" si="139"/>
        <v>173.14599999999984</v>
      </c>
      <c r="P46" s="130">
        <f t="shared" si="139"/>
        <v>83.09100000000052</v>
      </c>
      <c r="Q46" s="130">
        <f t="shared" si="139"/>
        <v>76.157000000001517</v>
      </c>
      <c r="R46" s="130">
        <f t="shared" si="139"/>
        <v>-2.1799999999996089</v>
      </c>
      <c r="S46" s="130">
        <f t="shared" si="139"/>
        <v>238.08600000000007</v>
      </c>
      <c r="T46" s="130">
        <f t="shared" si="139"/>
        <v>84.960000000000122</v>
      </c>
      <c r="U46" s="130">
        <f t="shared" si="139"/>
        <v>-19.786999999999466</v>
      </c>
      <c r="V46" s="130">
        <f t="shared" si="139"/>
        <v>6.3359999999997285</v>
      </c>
      <c r="W46" s="130">
        <f t="shared" si="139"/>
        <v>256.64699999999976</v>
      </c>
      <c r="X46" s="130">
        <f>SUM(X51-W51)-SUM(X39:X45)</f>
        <v>71.993000000000777</v>
      </c>
      <c r="Z46" s="155">
        <f>SUM(J46:M46)</f>
        <v>391.62099999999953</v>
      </c>
      <c r="AA46" s="155">
        <f>SUM(K46:N46)</f>
        <v>378.49299999999954</v>
      </c>
      <c r="AB46" s="155">
        <f>SUM(L46:O46)</f>
        <v>325.55499999999967</v>
      </c>
      <c r="AC46" s="155">
        <f>SUM(M46:P46)</f>
        <v>326.21700000000067</v>
      </c>
      <c r="AD46" s="155">
        <f>SUM(N46:Q46)</f>
        <v>319.2660000000019</v>
      </c>
      <c r="AE46" s="155">
        <f>SUM(O46:R46)</f>
        <v>330.21400000000227</v>
      </c>
      <c r="AF46" s="155">
        <f>SUM(P46:S46)</f>
        <v>395.1540000000025</v>
      </c>
      <c r="AG46" s="155">
        <f>SUM(Q46:T46)</f>
        <v>397.02300000000207</v>
      </c>
      <c r="AH46" s="155">
        <f>SUM(R46:U46)</f>
        <v>301.07900000000109</v>
      </c>
      <c r="AI46" s="155">
        <f>SUM(S46:V46)</f>
        <v>309.59500000000043</v>
      </c>
      <c r="AJ46" s="155">
        <f>SUM(T46:W46)</f>
        <v>328.15600000000018</v>
      </c>
      <c r="AK46" s="155">
        <f>SUM(U46:X46)</f>
        <v>315.18900000000082</v>
      </c>
    </row>
    <row r="47" spans="2:39" ht="12.75" customHeight="1">
      <c r="B47" s="12" t="s">
        <v>47</v>
      </c>
      <c r="C47" s="13">
        <f>SUM(C39+SUM(C41:C46))</f>
        <v>-245.81100000000049</v>
      </c>
      <c r="D47" s="13">
        <f>SUM(D39+SUM(D41:D46))</f>
        <v>653.72599999999989</v>
      </c>
      <c r="E47" s="13">
        <f>SUM(E39+SUM(E41:E46))</f>
        <v>-614.49099999999999</v>
      </c>
      <c r="F47" s="13">
        <f>SUM(F39+SUM(F41:F46))</f>
        <v>306.31699999999995</v>
      </c>
      <c r="G47" s="13">
        <f>SUM(G39+SUM(G41:G46))</f>
        <v>28.717000000000098</v>
      </c>
      <c r="H47" s="13">
        <f>SUM(H39+SUM(H41:H46))</f>
        <v>-63.392999999999915</v>
      </c>
      <c r="J47" s="13">
        <f>SUM(J39+SUM(J41:J46))</f>
        <v>254.51199999999974</v>
      </c>
      <c r="K47" s="13">
        <f>SUM(K39+SUM(K41:K46))</f>
        <v>-220.26</v>
      </c>
      <c r="L47" s="13">
        <f>SUM(L39+SUM(L41:L46))</f>
        <v>-183.59799999999998</v>
      </c>
      <c r="M47" s="13">
        <f>SUM(M39+SUM(M41:M46))</f>
        <v>487.24899999999997</v>
      </c>
      <c r="N47" s="13">
        <f>SUM(N39+SUM(N41:N46))</f>
        <v>-101.428</v>
      </c>
      <c r="O47" s="13">
        <f>SUM(O39+SUM(O41:O46))</f>
        <v>-247.82199999999995</v>
      </c>
      <c r="P47" s="13">
        <f>SUM(P39+SUM(P41:P46))</f>
        <v>-266.81599999999997</v>
      </c>
      <c r="Q47" s="13">
        <f>SUM(Q39+SUM(Q41:Q46))</f>
        <v>644.78300000000013</v>
      </c>
      <c r="R47" s="13">
        <f>SUM(R39+SUM(R41:R46))</f>
        <v>-241.99800000000005</v>
      </c>
      <c r="S47" s="13">
        <f>SUM(S39+SUM(S41:S46))</f>
        <v>-110.63400000000007</v>
      </c>
      <c r="T47" s="13">
        <f>SUM(T39+SUM(T41:T46))</f>
        <v>-236.17999999999995</v>
      </c>
      <c r="U47" s="13">
        <f>SUM(U39+SUM(U41:U46))</f>
        <v>525.4190000000001</v>
      </c>
      <c r="V47" s="13">
        <f>SUM(V39+SUM(V41:V46))</f>
        <v>-248.572</v>
      </c>
      <c r="W47" s="13">
        <f>SUM(W39+SUM(W41:W46))</f>
        <v>-211.88400000000001</v>
      </c>
      <c r="X47" s="13">
        <f>SUM(X39+SUM(X41:X46))</f>
        <v>-37.824000000000012</v>
      </c>
      <c r="Z47" s="13">
        <f>SUM(Z39+SUM(Z41:Z46))</f>
        <v>337.90299999999809</v>
      </c>
      <c r="AA47" s="13">
        <f>SUM(AA39+SUM(AA41:AA46))</f>
        <v>-18.036999999999125</v>
      </c>
      <c r="AB47" s="13">
        <f>SUM(AB39+SUM(AB41:AB46))</f>
        <v>-45.598999999999478</v>
      </c>
      <c r="AC47" s="13">
        <f>SUM(AC39+SUM(AC41:AC46))</f>
        <v>-128.81699999999864</v>
      </c>
      <c r="AD47" s="13">
        <f>SUM(AD39+SUM(AD41:AD46))</f>
        <v>28.717000000000098</v>
      </c>
      <c r="AE47" s="13">
        <f>SUM(AE39+SUM(AE41:AE46))</f>
        <v>-111.85300000000166</v>
      </c>
      <c r="AF47" s="13">
        <f>SUM(AF39+SUM(AF41:AF46))</f>
        <v>25.335000000000036</v>
      </c>
      <c r="AG47" s="13">
        <f>SUM(AG39+SUM(AG41:AG46))</f>
        <v>55.97099999999773</v>
      </c>
      <c r="AH47" s="13">
        <f>SUM(AH39+SUM(AH41:AH46))</f>
        <v>-63.39299999999821</v>
      </c>
      <c r="AI47" s="13">
        <f>SUM(AI39+SUM(AI41:AI46))</f>
        <v>-69.96700000000169</v>
      </c>
      <c r="AJ47" s="13">
        <f>SUM(AJ39+SUM(AJ41:AJ46))</f>
        <v>-171.21700000000033</v>
      </c>
      <c r="AK47" s="13">
        <f>SUM(AK39+SUM(AK41:AK46))</f>
        <v>27.139000000000578</v>
      </c>
    </row>
    <row r="48" spans="2:39" ht="5.0999999999999996" customHeight="1"/>
    <row r="49" spans="1:39" ht="12.75" customHeight="1">
      <c r="A49" s="5"/>
      <c r="B49" s="31" t="s">
        <v>48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39" ht="5.0999999999999996" customHeight="1"/>
    <row r="51" spans="1:39" ht="12.75" customHeight="1">
      <c r="B51" s="8" t="s">
        <v>49</v>
      </c>
      <c r="C51" s="82">
        <f>'Historical Financials'!C45/1000</f>
        <v>392.32499999999999</v>
      </c>
      <c r="D51" s="82">
        <f>'Historical Financials'!D45/1000</f>
        <v>1046.0509999999999</v>
      </c>
      <c r="E51" s="82">
        <f>'Historical Financials'!E45/1000</f>
        <v>431.56</v>
      </c>
      <c r="F51" s="82">
        <f>'Historical Financials'!F45/1000</f>
        <v>737.87699999999995</v>
      </c>
      <c r="G51" s="82">
        <f>'Historical Financials'!G45/1000</f>
        <v>766.59400000000005</v>
      </c>
      <c r="H51" s="82">
        <f>'Historical Financials'!H45/1000</f>
        <v>703.20100000000002</v>
      </c>
      <c r="I51" s="30"/>
      <c r="J51" s="82">
        <f>'Historical Financials'!J45/1000</f>
        <v>654.48599999999999</v>
      </c>
      <c r="K51" s="82">
        <f>'Historical Financials'!K45/1000</f>
        <v>434.226</v>
      </c>
      <c r="L51" s="82">
        <f>'Historical Financials'!L45/1000</f>
        <v>250.62799999999999</v>
      </c>
      <c r="M51" s="82">
        <f>'Historical Financials'!M45/1000</f>
        <v>737.87699999999995</v>
      </c>
      <c r="N51" s="82">
        <f>'Historical Financials'!N45/1000</f>
        <v>636.44899999999996</v>
      </c>
      <c r="O51" s="82">
        <f>'Historical Financials'!O45/1000</f>
        <v>388.62700000000001</v>
      </c>
      <c r="P51" s="82">
        <f>'Historical Financials'!P45/1000</f>
        <v>121.81100000000001</v>
      </c>
      <c r="Q51" s="82">
        <f>'Historical Financials'!Q45/1000</f>
        <v>766.59400000000005</v>
      </c>
      <c r="R51" s="82">
        <f>'Historical Financials'!R45/1000</f>
        <v>524.596</v>
      </c>
      <c r="S51" s="82">
        <f>'Historical Financials'!S45/1000</f>
        <v>413.96199999999999</v>
      </c>
      <c r="T51" s="82">
        <f>'Historical Financials'!T45/1000</f>
        <v>177.78200000000001</v>
      </c>
      <c r="U51" s="82">
        <f>'Historical Financials'!U45/1000</f>
        <v>703.20100000000002</v>
      </c>
      <c r="V51" s="82">
        <f>'Historical Financials'!V45/1000</f>
        <v>454.62900000000002</v>
      </c>
      <c r="W51" s="82">
        <f>'Historical Financials'!W45/1000</f>
        <v>242.745</v>
      </c>
      <c r="X51" s="82">
        <f>'Historical Financials'!X45/1000</f>
        <v>204.92099999999999</v>
      </c>
      <c r="Z51" s="10">
        <f>M51</f>
        <v>737.87699999999995</v>
      </c>
      <c r="AA51" s="10">
        <f>N51</f>
        <v>636.44899999999996</v>
      </c>
      <c r="AB51" s="10">
        <f>O51</f>
        <v>388.62700000000001</v>
      </c>
      <c r="AC51" s="10">
        <f>P51</f>
        <v>121.81100000000001</v>
      </c>
      <c r="AD51" s="10">
        <f>Q51</f>
        <v>766.59400000000005</v>
      </c>
      <c r="AE51" s="10">
        <f>R51</f>
        <v>524.596</v>
      </c>
      <c r="AF51" s="10">
        <f>S51</f>
        <v>413.96199999999999</v>
      </c>
      <c r="AG51" s="10">
        <f>T51</f>
        <v>177.78200000000001</v>
      </c>
      <c r="AH51" s="10">
        <f>U51</f>
        <v>703.20100000000002</v>
      </c>
      <c r="AI51" s="10">
        <f>V51</f>
        <v>454.62900000000002</v>
      </c>
      <c r="AJ51" s="10">
        <f>W51</f>
        <v>242.745</v>
      </c>
      <c r="AK51" s="10">
        <f>X51</f>
        <v>204.92099999999999</v>
      </c>
    </row>
    <row r="52" spans="1:39" ht="12.75" customHeight="1">
      <c r="B52" s="8" t="s">
        <v>185</v>
      </c>
      <c r="C52" s="77">
        <f>400-C70</f>
        <v>400</v>
      </c>
      <c r="D52" s="77">
        <f>1000-D70</f>
        <v>1000</v>
      </c>
      <c r="E52" s="77">
        <f t="shared" ref="E52:F52" si="140">1000-E70</f>
        <v>1000</v>
      </c>
      <c r="F52" s="77">
        <f t="shared" si="140"/>
        <v>1000</v>
      </c>
      <c r="G52" s="77">
        <f>800-G70</f>
        <v>800</v>
      </c>
      <c r="H52" s="77">
        <f>800-H70</f>
        <v>800</v>
      </c>
      <c r="I52" s="30"/>
      <c r="J52" s="77">
        <f t="shared" ref="J52:P52" si="141">1000-J70</f>
        <v>1000</v>
      </c>
      <c r="K52" s="77">
        <f t="shared" si="141"/>
        <v>1000</v>
      </c>
      <c r="L52" s="77">
        <f t="shared" si="141"/>
        <v>1000</v>
      </c>
      <c r="M52" s="108">
        <f>F52</f>
        <v>1000</v>
      </c>
      <c r="N52" s="77">
        <f t="shared" si="141"/>
        <v>1000</v>
      </c>
      <c r="O52" s="77">
        <f t="shared" si="141"/>
        <v>1000</v>
      </c>
      <c r="P52" s="77">
        <f t="shared" si="141"/>
        <v>804.6</v>
      </c>
      <c r="Q52" s="108">
        <f>G52</f>
        <v>800</v>
      </c>
      <c r="R52" s="77">
        <f>800-R70</f>
        <v>800</v>
      </c>
      <c r="S52" s="77">
        <f>800-S70</f>
        <v>800</v>
      </c>
      <c r="T52" s="77">
        <f>800-T70</f>
        <v>600.29999999999995</v>
      </c>
      <c r="U52" s="10">
        <f>H52</f>
        <v>800</v>
      </c>
      <c r="V52" s="77">
        <f>800-V70</f>
        <v>800</v>
      </c>
      <c r="W52" s="77">
        <f>800-W70</f>
        <v>562.29999999999995</v>
      </c>
      <c r="X52" s="77">
        <f>800-X70</f>
        <v>311.7</v>
      </c>
      <c r="Z52" s="10">
        <f>M52</f>
        <v>1000</v>
      </c>
      <c r="AA52" s="10">
        <f>N52</f>
        <v>1000</v>
      </c>
      <c r="AB52" s="10">
        <f>O52</f>
        <v>1000</v>
      </c>
      <c r="AC52" s="10">
        <f>P52</f>
        <v>804.6</v>
      </c>
      <c r="AD52" s="10">
        <f>Q52</f>
        <v>800</v>
      </c>
      <c r="AE52" s="10">
        <f>R52</f>
        <v>800</v>
      </c>
      <c r="AF52" s="10">
        <f>S52</f>
        <v>800</v>
      </c>
      <c r="AG52" s="10">
        <f>T52</f>
        <v>600.29999999999995</v>
      </c>
      <c r="AH52" s="10">
        <f>U52</f>
        <v>800</v>
      </c>
      <c r="AI52" s="10">
        <f>V52</f>
        <v>800</v>
      </c>
      <c r="AJ52" s="10">
        <f>W52</f>
        <v>562.29999999999995</v>
      </c>
      <c r="AK52" s="10">
        <f>X52</f>
        <v>311.7</v>
      </c>
    </row>
    <row r="53" spans="1:39">
      <c r="B53" s="29" t="s">
        <v>186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J53" s="77">
        <v>0</v>
      </c>
      <c r="K53" s="77">
        <v>0</v>
      </c>
      <c r="L53" s="77">
        <v>0</v>
      </c>
      <c r="M53" s="108">
        <f>F53</f>
        <v>0</v>
      </c>
      <c r="N53" s="77">
        <v>0</v>
      </c>
      <c r="O53" s="77">
        <v>0</v>
      </c>
      <c r="P53" s="77">
        <v>0</v>
      </c>
      <c r="Q53" s="108">
        <f>G53</f>
        <v>0</v>
      </c>
      <c r="R53" s="77">
        <v>0</v>
      </c>
      <c r="S53" s="77">
        <v>0</v>
      </c>
      <c r="T53" s="77">
        <v>0</v>
      </c>
      <c r="U53" s="10">
        <f>H53</f>
        <v>0</v>
      </c>
      <c r="V53" s="77">
        <v>0</v>
      </c>
      <c r="W53" s="77">
        <f>64.3-W71</f>
        <v>12.898999999999994</v>
      </c>
      <c r="X53" s="77">
        <f>64.3-X71</f>
        <v>0.87899999999999778</v>
      </c>
      <c r="Z53" s="10">
        <f>M53</f>
        <v>0</v>
      </c>
      <c r="AA53" s="10">
        <f>N53</f>
        <v>0</v>
      </c>
      <c r="AB53" s="10">
        <f>O53</f>
        <v>0</v>
      </c>
      <c r="AC53" s="10">
        <f>P53</f>
        <v>0</v>
      </c>
      <c r="AD53" s="10">
        <f>Q53</f>
        <v>0</v>
      </c>
      <c r="AE53" s="10">
        <f>R53</f>
        <v>0</v>
      </c>
      <c r="AF53" s="10">
        <f>S53</f>
        <v>0</v>
      </c>
      <c r="AG53" s="10">
        <f>T53</f>
        <v>0</v>
      </c>
      <c r="AH53" s="10">
        <f>U53</f>
        <v>0</v>
      </c>
      <c r="AI53" s="10">
        <f>V53</f>
        <v>0</v>
      </c>
      <c r="AJ53" s="10">
        <f>W53</f>
        <v>12.898999999999994</v>
      </c>
      <c r="AK53" s="10">
        <f>X53</f>
        <v>0.87899999999999778</v>
      </c>
    </row>
    <row r="54" spans="1:39" ht="12.75" customHeight="1">
      <c r="B54" s="12" t="s">
        <v>50</v>
      </c>
      <c r="C54" s="13">
        <f>SUM(C51:C53)</f>
        <v>792.32500000000005</v>
      </c>
      <c r="D54" s="13">
        <f t="shared" ref="D54:H54" si="142">SUM(D51:D53)</f>
        <v>2046.0509999999999</v>
      </c>
      <c r="E54" s="13">
        <f t="shared" si="142"/>
        <v>1431.56</v>
      </c>
      <c r="F54" s="13">
        <f t="shared" si="142"/>
        <v>1737.877</v>
      </c>
      <c r="G54" s="13">
        <f t="shared" si="142"/>
        <v>1566.5940000000001</v>
      </c>
      <c r="H54" s="13">
        <f t="shared" si="142"/>
        <v>1503.201</v>
      </c>
      <c r="I54" s="30"/>
      <c r="J54" s="13">
        <f t="shared" ref="J54" si="143">SUM(J51:J53)</f>
        <v>1654.4859999999999</v>
      </c>
      <c r="K54" s="13">
        <f t="shared" ref="K54" si="144">SUM(K51:K53)</f>
        <v>1434.2260000000001</v>
      </c>
      <c r="L54" s="13">
        <f t="shared" ref="L54" si="145">SUM(L51:L53)</f>
        <v>1250.6279999999999</v>
      </c>
      <c r="M54" s="13">
        <f t="shared" ref="M54" si="146">SUM(M51:M53)</f>
        <v>1737.877</v>
      </c>
      <c r="N54" s="13">
        <f t="shared" ref="N54" si="147">SUM(N51:N53)</f>
        <v>1636.4490000000001</v>
      </c>
      <c r="O54" s="13">
        <f t="shared" ref="O54" si="148">SUM(O51:O53)</f>
        <v>1388.627</v>
      </c>
      <c r="P54" s="13">
        <f t="shared" ref="P54" si="149">SUM(P51:P53)</f>
        <v>926.41100000000006</v>
      </c>
      <c r="Q54" s="13">
        <f t="shared" ref="Q54" si="150">SUM(Q51:Q53)</f>
        <v>1566.5940000000001</v>
      </c>
      <c r="R54" s="13">
        <f t="shared" ref="R54" si="151">SUM(R51:R53)</f>
        <v>1324.596</v>
      </c>
      <c r="S54" s="13">
        <f t="shared" ref="S54" si="152">SUM(S51:S53)</f>
        <v>1213.962</v>
      </c>
      <c r="T54" s="13">
        <f t="shared" ref="T54" si="153">SUM(T51:T53)</f>
        <v>778.08199999999999</v>
      </c>
      <c r="U54" s="13">
        <f t="shared" ref="U54" si="154">SUM(U51:U53)</f>
        <v>1503.201</v>
      </c>
      <c r="V54" s="13">
        <f t="shared" ref="V54" si="155">SUM(V51:V53)</f>
        <v>1254.6289999999999</v>
      </c>
      <c r="W54" s="13">
        <f t="shared" ref="W54" si="156">SUM(W51:W53)</f>
        <v>817.94399999999996</v>
      </c>
      <c r="X54" s="13">
        <f t="shared" ref="X54" si="157">SUM(X51:X53)</f>
        <v>517.5</v>
      </c>
      <c r="Z54" s="13">
        <f t="shared" ref="Z54" si="158">SUM(Z51:Z53)</f>
        <v>1737.877</v>
      </c>
      <c r="AA54" s="13">
        <f t="shared" ref="AA54" si="159">SUM(AA51:AA53)</f>
        <v>1636.4490000000001</v>
      </c>
      <c r="AB54" s="13">
        <f t="shared" ref="AB54" si="160">SUM(AB51:AB53)</f>
        <v>1388.627</v>
      </c>
      <c r="AC54" s="13">
        <f t="shared" ref="AC54" si="161">SUM(AC51:AC53)</f>
        <v>926.41100000000006</v>
      </c>
      <c r="AD54" s="13">
        <f t="shared" ref="AD54" si="162">SUM(AD51:AD53)</f>
        <v>1566.5940000000001</v>
      </c>
      <c r="AE54" s="13">
        <f t="shared" ref="AE54" si="163">SUM(AE51:AE53)</f>
        <v>1324.596</v>
      </c>
      <c r="AF54" s="13">
        <f t="shared" ref="AF54" si="164">SUM(AF51:AF53)</f>
        <v>1213.962</v>
      </c>
      <c r="AG54" s="13">
        <f t="shared" ref="AG54" si="165">SUM(AG51:AG53)</f>
        <v>778.08199999999999</v>
      </c>
      <c r="AH54" s="13">
        <f t="shared" ref="AH54" si="166">SUM(AH51:AH53)</f>
        <v>1503.201</v>
      </c>
      <c r="AI54" s="13">
        <f t="shared" ref="AI54" si="167">SUM(AI51:AI53)</f>
        <v>1254.6289999999999</v>
      </c>
      <c r="AJ54" s="13">
        <f t="shared" ref="AJ54" si="168">SUM(AJ51:AJ53)</f>
        <v>817.94399999999996</v>
      </c>
      <c r="AK54" s="13">
        <f t="shared" ref="AK54" si="169">SUM(AK51:AK53)</f>
        <v>517.5</v>
      </c>
    </row>
    <row r="55" spans="1:39" s="159" customFormat="1" ht="12.75" customHeight="1">
      <c r="B55" s="162" t="s">
        <v>183</v>
      </c>
      <c r="C55" s="163">
        <v>20</v>
      </c>
      <c r="D55" s="163">
        <v>50</v>
      </c>
      <c r="E55" s="163">
        <v>50</v>
      </c>
      <c r="F55" s="163">
        <v>50</v>
      </c>
      <c r="G55" s="163">
        <v>50</v>
      </c>
      <c r="H55" s="163">
        <v>50</v>
      </c>
      <c r="I55" s="160"/>
      <c r="J55" s="163">
        <v>50</v>
      </c>
      <c r="K55" s="163">
        <v>50</v>
      </c>
      <c r="L55" s="163">
        <v>50</v>
      </c>
      <c r="M55" s="164">
        <v>50</v>
      </c>
      <c r="N55" s="163">
        <v>50</v>
      </c>
      <c r="O55" s="163">
        <v>50</v>
      </c>
      <c r="P55" s="163">
        <v>50</v>
      </c>
      <c r="Q55" s="164">
        <v>50</v>
      </c>
      <c r="R55" s="163">
        <v>50</v>
      </c>
      <c r="S55" s="163">
        <v>50</v>
      </c>
      <c r="T55" s="163">
        <v>50</v>
      </c>
      <c r="U55" s="164">
        <f>H55</f>
        <v>50</v>
      </c>
      <c r="V55" s="163">
        <v>50</v>
      </c>
      <c r="W55" s="163">
        <v>50</v>
      </c>
      <c r="X55" s="163">
        <v>50</v>
      </c>
      <c r="Y55" s="8"/>
      <c r="Z55" s="10">
        <f>M55</f>
        <v>50</v>
      </c>
      <c r="AA55" s="10">
        <f>N55</f>
        <v>50</v>
      </c>
      <c r="AB55" s="10">
        <f>O55</f>
        <v>50</v>
      </c>
      <c r="AC55" s="10">
        <f>P55</f>
        <v>50</v>
      </c>
      <c r="AD55" s="10">
        <f>Q55</f>
        <v>50</v>
      </c>
      <c r="AE55" s="10">
        <f>R55</f>
        <v>50</v>
      </c>
      <c r="AF55" s="10">
        <f>S55</f>
        <v>50</v>
      </c>
      <c r="AG55" s="10">
        <f>T55</f>
        <v>50</v>
      </c>
      <c r="AH55" s="10">
        <f>U55</f>
        <v>50</v>
      </c>
      <c r="AI55" s="10">
        <f>V55</f>
        <v>50</v>
      </c>
      <c r="AJ55" s="10">
        <f>W55</f>
        <v>50</v>
      </c>
      <c r="AK55" s="10">
        <f>X55</f>
        <v>50</v>
      </c>
      <c r="AM55" s="161"/>
    </row>
    <row r="56" spans="1:39" ht="5.0999999999999996" customHeight="1">
      <c r="M56" s="108"/>
    </row>
    <row r="57" spans="1:39" ht="12.75" customHeight="1">
      <c r="B57" s="33" t="s">
        <v>51</v>
      </c>
    </row>
    <row r="58" spans="1:39" ht="12.75" customHeight="1">
      <c r="B58" s="8" t="s">
        <v>164</v>
      </c>
      <c r="C58" s="82">
        <f>'Historical Financials'!C46/1000</f>
        <v>139.33699999999999</v>
      </c>
      <c r="D58" s="82">
        <f>'Historical Financials'!D46/1000</f>
        <v>193.10900000000001</v>
      </c>
      <c r="E58" s="82">
        <f>'Historical Financials'!E46/1000</f>
        <v>233.68199999999999</v>
      </c>
      <c r="F58" s="82">
        <f>'Historical Financials'!F46/1000</f>
        <v>199.422</v>
      </c>
      <c r="G58" s="82">
        <f>'Historical Financials'!G46/1000</f>
        <v>207.93899999999999</v>
      </c>
      <c r="H58" s="82">
        <f>'Historical Financials'!H46/1000</f>
        <v>223.334</v>
      </c>
      <c r="I58" s="82"/>
      <c r="J58" s="82">
        <f>'Historical Financials'!J46/1000</f>
        <v>192.75399999999999</v>
      </c>
      <c r="K58" s="82">
        <f>'Historical Financials'!K46/1000</f>
        <v>180.51400000000001</v>
      </c>
      <c r="L58" s="82">
        <f>'Historical Financials'!L46/1000</f>
        <v>200.304</v>
      </c>
      <c r="M58" s="82">
        <f>'Historical Financials'!M46/1000</f>
        <v>199.422</v>
      </c>
      <c r="N58" s="82">
        <f>'Historical Financials'!N46/1000</f>
        <v>190.28200000000001</v>
      </c>
      <c r="O58" s="82">
        <f>'Historical Financials'!O46/1000</f>
        <v>174.44399999999999</v>
      </c>
      <c r="P58" s="82">
        <f>'Historical Financials'!P46/1000</f>
        <v>202.86799999999999</v>
      </c>
      <c r="Q58" s="82">
        <f>'Historical Financials'!Q46/1000</f>
        <v>207.93899999999999</v>
      </c>
      <c r="R58" s="82">
        <f>'Historical Financials'!R46/1000</f>
        <v>203.46299999999999</v>
      </c>
      <c r="S58" s="82">
        <f>'Historical Financials'!S46/1000</f>
        <v>200.863</v>
      </c>
      <c r="T58" s="82">
        <f>'Historical Financials'!T46/1000</f>
        <v>213.62100000000001</v>
      </c>
      <c r="U58" s="82">
        <f>'Historical Financials'!U46/1000</f>
        <v>223.334</v>
      </c>
      <c r="V58" s="82">
        <f>'Historical Financials'!V46/1000</f>
        <v>225.14599999999999</v>
      </c>
      <c r="W58" s="82">
        <f>'Historical Financials'!W46/1000</f>
        <v>224.41200000000001</v>
      </c>
      <c r="X58" s="82">
        <f>'Historical Financials'!X46/1000</f>
        <v>237.352</v>
      </c>
      <c r="Z58" s="10">
        <f>M58</f>
        <v>199.422</v>
      </c>
      <c r="AA58" s="10">
        <f>N58</f>
        <v>190.28200000000001</v>
      </c>
      <c r="AB58" s="10">
        <f>O58</f>
        <v>174.44399999999999</v>
      </c>
      <c r="AC58" s="10">
        <f>P58</f>
        <v>202.86799999999999</v>
      </c>
      <c r="AD58" s="10">
        <f>Q58</f>
        <v>207.93899999999999</v>
      </c>
      <c r="AE58" s="10">
        <f>R58</f>
        <v>203.46299999999999</v>
      </c>
      <c r="AF58" s="10">
        <f>S58</f>
        <v>200.863</v>
      </c>
      <c r="AG58" s="10">
        <f>T58</f>
        <v>213.62100000000001</v>
      </c>
      <c r="AH58" s="10">
        <f>U58</f>
        <v>223.334</v>
      </c>
      <c r="AI58" s="10">
        <f>V58</f>
        <v>225.14599999999999</v>
      </c>
      <c r="AJ58" s="10">
        <f>W58</f>
        <v>224.41200000000001</v>
      </c>
      <c r="AK58" s="10">
        <f>X58</f>
        <v>237.352</v>
      </c>
    </row>
    <row r="59" spans="1:39" ht="12.75" customHeight="1">
      <c r="B59" s="8" t="s">
        <v>116</v>
      </c>
      <c r="C59" s="82">
        <f>'Historical Financials'!C47/1000</f>
        <v>1293.701</v>
      </c>
      <c r="D59" s="82">
        <f>'Historical Financials'!D47/1000</f>
        <v>1168.2149999999999</v>
      </c>
      <c r="E59" s="82">
        <f>'Historical Financials'!E47/1000</f>
        <v>1499.2180000000001</v>
      </c>
      <c r="F59" s="82">
        <f>'Historical Financials'!F47/1000</f>
        <v>1603.451</v>
      </c>
      <c r="G59" s="82">
        <f>'Historical Financials'!G47/1000</f>
        <v>1742.136</v>
      </c>
      <c r="H59" s="82">
        <f>'Historical Financials'!H47/1000</f>
        <v>1968.2139999999999</v>
      </c>
      <c r="I59" s="82"/>
      <c r="J59" s="82">
        <f>'Historical Financials'!J47/1000</f>
        <v>1570.5519999999999</v>
      </c>
      <c r="K59" s="82">
        <f>'Historical Financials'!K47/1000</f>
        <v>1666.13</v>
      </c>
      <c r="L59" s="82">
        <f>'Historical Financials'!L47/1000</f>
        <v>2114.6689999999999</v>
      </c>
      <c r="M59" s="82">
        <f>'Historical Financials'!M47/1000</f>
        <v>1603.451</v>
      </c>
      <c r="N59" s="82">
        <f>'Historical Financials'!N47/1000</f>
        <v>1751.2349999999999</v>
      </c>
      <c r="O59" s="82">
        <f>'Historical Financials'!O47/1000</f>
        <v>1815.539</v>
      </c>
      <c r="P59" s="82">
        <f>'Historical Financials'!P47/1000</f>
        <v>2321.306</v>
      </c>
      <c r="Q59" s="82">
        <f>'Historical Financials'!Q47/1000</f>
        <v>1742.136</v>
      </c>
      <c r="R59" s="82">
        <f>'Historical Financials'!R47/1000</f>
        <v>1906.04</v>
      </c>
      <c r="S59" s="82">
        <f>'Historical Financials'!S47/1000</f>
        <v>1998.2860000000001</v>
      </c>
      <c r="T59" s="82">
        <f>'Historical Financials'!T47/1000</f>
        <v>2365.1860000000001</v>
      </c>
      <c r="U59" s="82">
        <f>'Historical Financials'!U47/1000</f>
        <v>1968.2139999999999</v>
      </c>
      <c r="V59" s="82">
        <f>'Historical Financials'!V47/1000</f>
        <v>2121.5189999999998</v>
      </c>
      <c r="W59" s="82">
        <f>'Historical Financials'!W47/1000</f>
        <v>2407.0509999999999</v>
      </c>
      <c r="X59" s="82">
        <f>'Historical Financials'!X47/1000</f>
        <v>2743.6390000000001</v>
      </c>
      <c r="Z59" s="10">
        <f t="shared" ref="Z59:Z64" si="170">M59</f>
        <v>1603.451</v>
      </c>
      <c r="AA59" s="10">
        <f t="shared" ref="AA59:AA64" si="171">N59</f>
        <v>1751.2349999999999</v>
      </c>
      <c r="AB59" s="10">
        <f t="shared" ref="AB59:AB64" si="172">O59</f>
        <v>1815.539</v>
      </c>
      <c r="AC59" s="10">
        <f t="shared" ref="AC59:AC64" si="173">P59</f>
        <v>2321.306</v>
      </c>
      <c r="AD59" s="10">
        <f t="shared" ref="AD59:AD64" si="174">Q59</f>
        <v>1742.136</v>
      </c>
      <c r="AE59" s="10">
        <f t="shared" ref="AE59:AE64" si="175">R59</f>
        <v>1906.04</v>
      </c>
      <c r="AF59" s="10">
        <f t="shared" ref="AF59:AF64" si="176">S59</f>
        <v>1998.2860000000001</v>
      </c>
      <c r="AG59" s="10">
        <f t="shared" ref="AG59:AG64" si="177">T59</f>
        <v>2365.1860000000001</v>
      </c>
      <c r="AH59" s="10">
        <f t="shared" ref="AH59:AH64" si="178">U59</f>
        <v>1968.2139999999999</v>
      </c>
      <c r="AI59" s="10">
        <f t="shared" ref="AI59:AI64" si="179">V59</f>
        <v>2121.5189999999998</v>
      </c>
      <c r="AJ59" s="10">
        <f t="shared" ref="AJ59:AJ64" si="180">W59</f>
        <v>2407.0509999999999</v>
      </c>
      <c r="AK59" s="10">
        <f t="shared" ref="AK59:AK64" si="181">X59</f>
        <v>2743.6390000000001</v>
      </c>
    </row>
    <row r="60" spans="1:39" ht="12.75" customHeight="1">
      <c r="B60" s="8" t="s">
        <v>165</v>
      </c>
      <c r="C60" s="82">
        <f>'Historical Financials'!C52/1000</f>
        <v>1205.5239999999999</v>
      </c>
      <c r="D60" s="82">
        <f>'Historical Financials'!D52/1000</f>
        <v>995.79499999999996</v>
      </c>
      <c r="E60" s="82">
        <f>'Historical Financials'!E52/1000</f>
        <v>914.476</v>
      </c>
      <c r="F60" s="82">
        <f>'Historical Financials'!F52/1000</f>
        <v>1009.273</v>
      </c>
      <c r="G60" s="82">
        <f>'Historical Financials'!G52/1000</f>
        <v>1182.335</v>
      </c>
      <c r="H60" s="82">
        <f>'Historical Financials'!H52/1000</f>
        <v>1239.2950000000001</v>
      </c>
      <c r="I60" s="82"/>
      <c r="J60" s="82">
        <f>'Historical Financials'!J52/1000</f>
        <v>909.54300000000001</v>
      </c>
      <c r="K60" s="82">
        <f>'Historical Financials'!K52/1000</f>
        <v>912.01700000000005</v>
      </c>
      <c r="L60" s="82">
        <f>'Historical Financials'!L52/1000</f>
        <v>967.03899999999999</v>
      </c>
      <c r="M60" s="82">
        <f>'Historical Financials'!M52/1000</f>
        <v>1009.273</v>
      </c>
      <c r="N60" s="82">
        <f>'Historical Financials'!N52/1000</f>
        <v>1019.978</v>
      </c>
      <c r="O60" s="82">
        <f>'Historical Financials'!O52/1000</f>
        <v>1073.144</v>
      </c>
      <c r="P60" s="82">
        <f>'Historical Financials'!P52/1000</f>
        <v>1117.874</v>
      </c>
      <c r="Q60" s="82">
        <f>'Historical Financials'!Q52/1000</f>
        <v>1182.335</v>
      </c>
      <c r="R60" s="82">
        <f>'Historical Financials'!R52/1000</f>
        <v>1195.6579999999999</v>
      </c>
      <c r="S60" s="82">
        <f>'Historical Financials'!S52/1000</f>
        <v>1225.8499999999999</v>
      </c>
      <c r="T60" s="82">
        <f>'Historical Financials'!T52/1000</f>
        <v>1264.4190000000001</v>
      </c>
      <c r="U60" s="82">
        <f>'Historical Financials'!U52/1000</f>
        <v>1239.2950000000001</v>
      </c>
      <c r="V60" s="82">
        <f>'Historical Financials'!V52/1000</f>
        <v>1251.287</v>
      </c>
      <c r="W60" s="82">
        <f>'Historical Financials'!W52/1000</f>
        <v>1332.5029999999999</v>
      </c>
      <c r="X60" s="82">
        <f>'Historical Financials'!X52/1000</f>
        <v>1366.5039999999999</v>
      </c>
      <c r="Z60" s="10">
        <f t="shared" si="170"/>
        <v>1009.273</v>
      </c>
      <c r="AA60" s="10">
        <f t="shared" si="171"/>
        <v>1019.978</v>
      </c>
      <c r="AB60" s="10">
        <f t="shared" si="172"/>
        <v>1073.144</v>
      </c>
      <c r="AC60" s="10">
        <f t="shared" si="173"/>
        <v>1117.874</v>
      </c>
      <c r="AD60" s="10">
        <f t="shared" si="174"/>
        <v>1182.335</v>
      </c>
      <c r="AE60" s="10">
        <f t="shared" si="175"/>
        <v>1195.6579999999999</v>
      </c>
      <c r="AF60" s="10">
        <f t="shared" si="176"/>
        <v>1225.8499999999999</v>
      </c>
      <c r="AG60" s="10">
        <f t="shared" si="177"/>
        <v>1264.4190000000001</v>
      </c>
      <c r="AH60" s="10">
        <f t="shared" si="178"/>
        <v>1239.2950000000001</v>
      </c>
      <c r="AI60" s="10">
        <f t="shared" si="179"/>
        <v>1251.287</v>
      </c>
      <c r="AJ60" s="10">
        <f t="shared" si="180"/>
        <v>1332.5029999999999</v>
      </c>
      <c r="AK60" s="10">
        <f t="shared" si="181"/>
        <v>1366.5039999999999</v>
      </c>
    </row>
    <row r="61" spans="1:39" ht="12.75" customHeight="1">
      <c r="B61" s="8" t="s">
        <v>52</v>
      </c>
      <c r="C61" s="82">
        <f>'Historical Financials'!C61/1000</f>
        <v>414.00900000000001</v>
      </c>
      <c r="D61" s="82">
        <f>'Historical Financials'!D61/1000</f>
        <v>477.05200000000002</v>
      </c>
      <c r="E61" s="82">
        <f>'Historical Financials'!E61/1000</f>
        <v>552.73</v>
      </c>
      <c r="F61" s="82">
        <f>'Historical Financials'!F61/1000</f>
        <v>559.52700000000004</v>
      </c>
      <c r="G61" s="82">
        <f>'Historical Financials'!G61/1000</f>
        <v>544.00099999999998</v>
      </c>
      <c r="H61" s="82">
        <f>'Historical Financials'!H61/1000</f>
        <v>563.76099999999997</v>
      </c>
      <c r="I61" s="82"/>
      <c r="J61" s="82">
        <f>'Historical Financials'!J61/1000</f>
        <v>585.5</v>
      </c>
      <c r="K61" s="82">
        <f>'Historical Financials'!K61/1000</f>
        <v>586.851</v>
      </c>
      <c r="L61" s="82">
        <f>'Historical Financials'!L61/1000</f>
        <v>647.11699999999996</v>
      </c>
      <c r="M61" s="82">
        <f>'Historical Financials'!M61/1000</f>
        <v>559.52700000000004</v>
      </c>
      <c r="N61" s="82">
        <f>'Historical Financials'!N61/1000</f>
        <v>621.27200000000005</v>
      </c>
      <c r="O61" s="82">
        <f>'Historical Financials'!O61/1000</f>
        <v>521.31500000000005</v>
      </c>
      <c r="P61" s="82">
        <f>'Historical Financials'!P61/1000</f>
        <v>597.37300000000005</v>
      </c>
      <c r="Q61" s="82">
        <f>'Historical Financials'!Q61/1000</f>
        <v>544.00099999999998</v>
      </c>
      <c r="R61" s="82">
        <f>'Historical Financials'!R61/1000</f>
        <v>463.77699999999999</v>
      </c>
      <c r="S61" s="82">
        <f>'Historical Financials'!S61/1000</f>
        <v>566.904</v>
      </c>
      <c r="T61" s="82">
        <f>'Historical Financials'!T61/1000</f>
        <v>593.21900000000005</v>
      </c>
      <c r="U61" s="82">
        <f>'Historical Financials'!U61/1000</f>
        <v>563.76099999999997</v>
      </c>
      <c r="V61" s="82">
        <f>'Historical Financials'!V61/1000</f>
        <v>537.51800000000003</v>
      </c>
      <c r="W61" s="82">
        <f>'Historical Financials'!W61/1000</f>
        <v>708.65499999999997</v>
      </c>
      <c r="X61" s="82">
        <f>'Historical Financials'!X61/1000</f>
        <v>759.00099999999998</v>
      </c>
      <c r="Z61" s="10">
        <f t="shared" si="170"/>
        <v>559.52700000000004</v>
      </c>
      <c r="AA61" s="10">
        <f t="shared" si="171"/>
        <v>621.27200000000005</v>
      </c>
      <c r="AB61" s="10">
        <f t="shared" si="172"/>
        <v>521.31500000000005</v>
      </c>
      <c r="AC61" s="10">
        <f t="shared" si="173"/>
        <v>597.37300000000005</v>
      </c>
      <c r="AD61" s="10">
        <f t="shared" si="174"/>
        <v>544.00099999999998</v>
      </c>
      <c r="AE61" s="10">
        <f t="shared" si="175"/>
        <v>463.77699999999999</v>
      </c>
      <c r="AF61" s="10">
        <f t="shared" si="176"/>
        <v>566.904</v>
      </c>
      <c r="AG61" s="10">
        <f t="shared" si="177"/>
        <v>593.21900000000005</v>
      </c>
      <c r="AH61" s="10">
        <f t="shared" si="178"/>
        <v>563.76099999999997</v>
      </c>
      <c r="AI61" s="10">
        <f t="shared" si="179"/>
        <v>537.51800000000003</v>
      </c>
      <c r="AJ61" s="10">
        <f t="shared" si="180"/>
        <v>708.65499999999997</v>
      </c>
      <c r="AK61" s="10">
        <f t="shared" si="181"/>
        <v>759.00099999999998</v>
      </c>
    </row>
    <row r="62" spans="1:39" ht="12.75" customHeight="1">
      <c r="B62" s="8" t="s">
        <v>184</v>
      </c>
      <c r="C62" s="82">
        <f>'Historical Financials'!C62/1000</f>
        <v>237.535</v>
      </c>
      <c r="D62" s="82">
        <f>'Historical Financials'!D62/1000</f>
        <v>274.38299999999998</v>
      </c>
      <c r="E62" s="82">
        <f>'Historical Financials'!E62/1000</f>
        <v>353.57900000000001</v>
      </c>
      <c r="F62" s="82">
        <f>'Historical Financials'!F62/1000</f>
        <v>394.67700000000002</v>
      </c>
      <c r="G62" s="82">
        <f>'Historical Financials'!G62/1000</f>
        <v>436.59100000000001</v>
      </c>
      <c r="H62" s="82">
        <f>'Historical Financials'!H62/1000</f>
        <v>500.58499999999998</v>
      </c>
      <c r="I62" s="82"/>
      <c r="J62" s="82">
        <f>'Historical Financials'!J62/1000</f>
        <v>324.69400000000002</v>
      </c>
      <c r="K62" s="82">
        <f>'Historical Financials'!K62/1000</f>
        <v>316.57100000000003</v>
      </c>
      <c r="L62" s="82">
        <f>'Historical Financials'!L62/1000</f>
        <v>312.13200000000001</v>
      </c>
      <c r="M62" s="82">
        <f>'Historical Financials'!M62/1000</f>
        <v>394.67700000000002</v>
      </c>
      <c r="N62" s="82">
        <f>'Historical Financials'!N62/1000</f>
        <v>357.21699999999998</v>
      </c>
      <c r="O62" s="82">
        <f>'Historical Financials'!O62/1000</f>
        <v>354.25299999999999</v>
      </c>
      <c r="P62" s="82">
        <f>'Historical Financials'!P62/1000</f>
        <v>350.93700000000001</v>
      </c>
      <c r="Q62" s="82">
        <f>'Historical Financials'!Q62/1000</f>
        <v>436.59100000000001</v>
      </c>
      <c r="R62" s="82">
        <f>'Historical Financials'!R62/1000</f>
        <v>398.72899999999998</v>
      </c>
      <c r="S62" s="82">
        <f>'Historical Financials'!S62/1000</f>
        <v>394.98700000000002</v>
      </c>
      <c r="T62" s="82">
        <f>'Historical Financials'!T62/1000</f>
        <v>405.04</v>
      </c>
      <c r="U62" s="82">
        <f>'Historical Financials'!U62/1000</f>
        <v>500.58499999999998</v>
      </c>
      <c r="V62" s="82">
        <f>'Historical Financials'!V62/1000</f>
        <v>462.84300000000002</v>
      </c>
      <c r="W62" s="82">
        <f>'Historical Financials'!W62/1000</f>
        <v>460.18700000000001</v>
      </c>
      <c r="X62" s="82">
        <f>'Historical Financials'!X62/1000</f>
        <v>462.964</v>
      </c>
      <c r="Z62" s="10">
        <f t="shared" si="170"/>
        <v>394.67700000000002</v>
      </c>
      <c r="AA62" s="10">
        <f t="shared" si="171"/>
        <v>357.21699999999998</v>
      </c>
      <c r="AB62" s="10">
        <f t="shared" si="172"/>
        <v>354.25299999999999</v>
      </c>
      <c r="AC62" s="10">
        <f t="shared" si="173"/>
        <v>350.93700000000001</v>
      </c>
      <c r="AD62" s="10">
        <f t="shared" si="174"/>
        <v>436.59100000000001</v>
      </c>
      <c r="AE62" s="10">
        <f t="shared" si="175"/>
        <v>398.72899999999998</v>
      </c>
      <c r="AF62" s="10">
        <f t="shared" si="176"/>
        <v>394.98700000000002</v>
      </c>
      <c r="AG62" s="10">
        <f t="shared" si="177"/>
        <v>405.04</v>
      </c>
      <c r="AH62" s="10">
        <f t="shared" si="178"/>
        <v>500.58499999999998</v>
      </c>
      <c r="AI62" s="10">
        <f t="shared" si="179"/>
        <v>462.84300000000002</v>
      </c>
      <c r="AJ62" s="10">
        <f t="shared" si="180"/>
        <v>460.18700000000001</v>
      </c>
      <c r="AK62" s="10">
        <f t="shared" si="181"/>
        <v>462.964</v>
      </c>
    </row>
    <row r="63" spans="1:39" ht="12.75" customHeight="1">
      <c r="B63" s="8" t="s">
        <v>53</v>
      </c>
      <c r="C63" s="82">
        <f>'Historical Financials'!C66/1000</f>
        <v>1137.261</v>
      </c>
      <c r="D63" s="82">
        <f>'Historical Financials'!D66/1000</f>
        <v>1343.713</v>
      </c>
      <c r="E63" s="82">
        <f>'Historical Financials'!E66/1000</f>
        <v>1558.01</v>
      </c>
      <c r="F63" s="82">
        <f>'Historical Financials'!F66/1000</f>
        <v>1681.7750000000001</v>
      </c>
      <c r="G63" s="82">
        <f>'Historical Financials'!G66/1000</f>
        <v>1658.191</v>
      </c>
      <c r="H63" s="82">
        <f>'Historical Financials'!H66/1000</f>
        <v>1779.4780000000001</v>
      </c>
      <c r="I63" s="82"/>
      <c r="J63" s="82">
        <f>'Historical Financials'!J66/1000</f>
        <v>1599.7470000000001</v>
      </c>
      <c r="K63" s="82">
        <f>'Historical Financials'!K66/1000</f>
        <v>1502.0540000000001</v>
      </c>
      <c r="L63" s="82">
        <f>'Historical Financials'!L66/1000</f>
        <v>1697.771</v>
      </c>
      <c r="M63" s="82">
        <f>'Historical Financials'!M66/1000</f>
        <v>1681.7750000000001</v>
      </c>
      <c r="N63" s="82">
        <f>'Historical Financials'!N66/1000</f>
        <v>1633.9</v>
      </c>
      <c r="O63" s="82">
        <f>'Historical Financials'!O66/1000</f>
        <v>1491.174</v>
      </c>
      <c r="P63" s="82">
        <f>'Historical Financials'!P66/1000</f>
        <v>1836.9390000000001</v>
      </c>
      <c r="Q63" s="82">
        <f>'Historical Financials'!Q66/1000</f>
        <v>1658.191</v>
      </c>
      <c r="R63" s="82">
        <f>'Historical Financials'!R66/1000</f>
        <v>1572.7239999999999</v>
      </c>
      <c r="S63" s="82">
        <f>'Historical Financials'!S66/1000</f>
        <v>1591.2339999999999</v>
      </c>
      <c r="T63" s="82">
        <f>'Historical Financials'!T66/1000</f>
        <v>1816.4069999999999</v>
      </c>
      <c r="U63" s="82">
        <f>'Historical Financials'!U66/1000</f>
        <v>1779.4780000000001</v>
      </c>
      <c r="V63" s="82">
        <f>'Historical Financials'!V66/1000</f>
        <v>1763.85</v>
      </c>
      <c r="W63" s="82">
        <f>'Historical Financials'!W66/1000</f>
        <v>2200.768</v>
      </c>
      <c r="X63" s="82">
        <f>'Historical Financials'!X66/1000</f>
        <v>2538.3510000000001</v>
      </c>
      <c r="Z63" s="10">
        <f t="shared" si="170"/>
        <v>1681.7750000000001</v>
      </c>
      <c r="AA63" s="10">
        <f t="shared" si="171"/>
        <v>1633.9</v>
      </c>
      <c r="AB63" s="10">
        <f t="shared" si="172"/>
        <v>1491.174</v>
      </c>
      <c r="AC63" s="10">
        <f t="shared" si="173"/>
        <v>1836.9390000000001</v>
      </c>
      <c r="AD63" s="10">
        <f t="shared" si="174"/>
        <v>1658.191</v>
      </c>
      <c r="AE63" s="10">
        <f t="shared" si="175"/>
        <v>1572.7239999999999</v>
      </c>
      <c r="AF63" s="10">
        <f t="shared" si="176"/>
        <v>1591.2339999999999</v>
      </c>
      <c r="AG63" s="10">
        <f t="shared" si="177"/>
        <v>1816.4069999999999</v>
      </c>
      <c r="AH63" s="10">
        <f t="shared" si="178"/>
        <v>1779.4780000000001</v>
      </c>
      <c r="AI63" s="10">
        <f t="shared" si="179"/>
        <v>1763.85</v>
      </c>
      <c r="AJ63" s="10">
        <f t="shared" si="180"/>
        <v>2200.768</v>
      </c>
      <c r="AK63" s="10">
        <f t="shared" si="181"/>
        <v>2538.3510000000001</v>
      </c>
    </row>
    <row r="64" spans="1:39" ht="12.75" customHeight="1">
      <c r="B64" s="8" t="s">
        <v>18</v>
      </c>
      <c r="C64" s="82">
        <f>'Historical Financials'!C72/1000</f>
        <v>2961.7779999999998</v>
      </c>
      <c r="D64" s="82">
        <f>'Historical Financials'!D72/1000</f>
        <v>3090.42</v>
      </c>
      <c r="E64" s="82">
        <f>'Historical Financials'!E72/1000</f>
        <v>3229.0059999999999</v>
      </c>
      <c r="F64" s="82">
        <f>'Historical Financials'!F72/1000</f>
        <v>3410.6</v>
      </c>
      <c r="G64" s="82">
        <f>'Historical Financials'!G72/1000</f>
        <v>3427.683</v>
      </c>
      <c r="H64" s="82">
        <f>'Historical Financials'!H72/1000</f>
        <v>3513.34</v>
      </c>
      <c r="I64" s="82"/>
      <c r="J64" s="82">
        <f>'Historical Financials'!J72/1000</f>
        <v>3266.4160000000002</v>
      </c>
      <c r="K64" s="82">
        <f>'Historical Financials'!K72/1000</f>
        <v>3176.9259999999999</v>
      </c>
      <c r="L64" s="82">
        <f>'Historical Financials'!L72/1000</f>
        <v>3409.2939999999999</v>
      </c>
      <c r="M64" s="82">
        <f>'Historical Financials'!M72/1000</f>
        <v>3410.6</v>
      </c>
      <c r="N64" s="82">
        <f>'Historical Financials'!N72/1000</f>
        <v>3357.6509999999998</v>
      </c>
      <c r="O64" s="82">
        <f>'Historical Financials'!O72/1000</f>
        <v>3196.8829999999998</v>
      </c>
      <c r="P64" s="82">
        <f>'Historical Financials'!P72/1000</f>
        <v>3566.4659999999999</v>
      </c>
      <c r="Q64" s="82">
        <f>'Historical Financials'!Q72/1000</f>
        <v>3427.683</v>
      </c>
      <c r="R64" s="82">
        <f>'Historical Financials'!R72/1000</f>
        <v>3331.1959999999999</v>
      </c>
      <c r="S64" s="82">
        <f>'Historical Financials'!S72/1000</f>
        <v>3389.248</v>
      </c>
      <c r="T64" s="82">
        <f>'Historical Financials'!T72/1000</f>
        <v>3629.4769999999999</v>
      </c>
      <c r="U64" s="82">
        <f>'Historical Financials'!U72/1000</f>
        <v>3513.34</v>
      </c>
      <c r="V64" s="82">
        <f>'Historical Financials'!V72/1000</f>
        <v>3556.386</v>
      </c>
      <c r="W64" s="82">
        <f>'Historical Financials'!W72/1000</f>
        <v>4026.788</v>
      </c>
      <c r="X64" s="82">
        <f>'Historical Financials'!X72/1000</f>
        <v>4379.2780000000002</v>
      </c>
      <c r="Z64" s="10">
        <f t="shared" si="170"/>
        <v>3410.6</v>
      </c>
      <c r="AA64" s="10">
        <f t="shared" si="171"/>
        <v>3357.6509999999998</v>
      </c>
      <c r="AB64" s="10">
        <f t="shared" si="172"/>
        <v>3196.8829999999998</v>
      </c>
      <c r="AC64" s="10">
        <f t="shared" si="173"/>
        <v>3566.4659999999999</v>
      </c>
      <c r="AD64" s="10">
        <f t="shared" si="174"/>
        <v>3427.683</v>
      </c>
      <c r="AE64" s="10">
        <f t="shared" si="175"/>
        <v>3331.1959999999999</v>
      </c>
      <c r="AF64" s="10">
        <f t="shared" si="176"/>
        <v>3389.248</v>
      </c>
      <c r="AG64" s="10">
        <f t="shared" si="177"/>
        <v>3629.4769999999999</v>
      </c>
      <c r="AH64" s="10">
        <f t="shared" si="178"/>
        <v>3513.34</v>
      </c>
      <c r="AI64" s="10">
        <f t="shared" si="179"/>
        <v>3556.386</v>
      </c>
      <c r="AJ64" s="10">
        <f t="shared" si="180"/>
        <v>4026.788</v>
      </c>
      <c r="AK64" s="10">
        <f t="shared" si="181"/>
        <v>4379.2780000000002</v>
      </c>
    </row>
    <row r="65" spans="1:37" ht="5.0999999999999996" customHeight="1">
      <c r="C65" s="10"/>
      <c r="D65" s="10"/>
      <c r="E65" s="10"/>
      <c r="F65" s="10"/>
      <c r="G65" s="10"/>
      <c r="H65" s="10"/>
    </row>
    <row r="66" spans="1:37">
      <c r="B66" s="33" t="s">
        <v>166</v>
      </c>
      <c r="C66" s="10"/>
      <c r="D66" s="10"/>
      <c r="E66" s="10"/>
      <c r="F66" s="10"/>
      <c r="G66" s="10"/>
      <c r="H66" s="10"/>
    </row>
    <row r="67" spans="1:37">
      <c r="B67" s="8" t="s">
        <v>167</v>
      </c>
      <c r="C67" s="82">
        <f>'Historical Financials'!C65/1000</f>
        <v>0</v>
      </c>
      <c r="D67" s="82">
        <f>'Historical Financials'!D65/1000</f>
        <v>0</v>
      </c>
      <c r="E67" s="82">
        <f>'Historical Financials'!E65/1000</f>
        <v>0</v>
      </c>
      <c r="F67" s="82">
        <f>'Historical Financials'!F65/1000</f>
        <v>0</v>
      </c>
      <c r="G67" s="82">
        <f>'Historical Financials'!G65/1000</f>
        <v>0</v>
      </c>
      <c r="H67" s="82">
        <f>'Historical Financials'!H65/1000</f>
        <v>0</v>
      </c>
      <c r="J67" s="82">
        <f>'Historical Financials'!J65/1000</f>
        <v>0</v>
      </c>
      <c r="K67" s="82">
        <f>'Historical Financials'!K65/1000</f>
        <v>0</v>
      </c>
      <c r="L67" s="82">
        <f>'Historical Financials'!L65/1000</f>
        <v>0</v>
      </c>
      <c r="M67" s="82">
        <f>'Historical Financials'!M65/1000</f>
        <v>0</v>
      </c>
      <c r="N67" s="82">
        <f>'Historical Financials'!N65/1000</f>
        <v>0</v>
      </c>
      <c r="O67" s="82">
        <f>'Historical Financials'!O65/1000</f>
        <v>0</v>
      </c>
      <c r="P67" s="82">
        <f>'Historical Financials'!P65/1000</f>
        <v>195.4</v>
      </c>
      <c r="Q67" s="82">
        <f>'Historical Financials'!Q65/1000</f>
        <v>0</v>
      </c>
      <c r="R67" s="82">
        <f>'Historical Financials'!R65/1000</f>
        <v>0</v>
      </c>
      <c r="S67" s="82">
        <f>'Historical Financials'!S65/1000</f>
        <v>0</v>
      </c>
      <c r="T67" s="82">
        <f>'Historical Financials'!T65/1000</f>
        <v>199.7</v>
      </c>
      <c r="U67" s="82">
        <f>'Historical Financials'!U65/1000</f>
        <v>0</v>
      </c>
      <c r="V67" s="82">
        <f>'Historical Financials'!V65/1000</f>
        <v>0</v>
      </c>
      <c r="W67" s="82">
        <f>'Historical Financials'!W65/1000</f>
        <v>289.101</v>
      </c>
      <c r="X67" s="82">
        <f>'Historical Financials'!X65/1000</f>
        <v>551.721</v>
      </c>
      <c r="Z67" s="10">
        <f>M67</f>
        <v>0</v>
      </c>
      <c r="AA67" s="10">
        <f>N67</f>
        <v>0</v>
      </c>
      <c r="AB67" s="10">
        <f>O67</f>
        <v>0</v>
      </c>
      <c r="AC67" s="10">
        <f>P67</f>
        <v>195.4</v>
      </c>
      <c r="AD67" s="10">
        <f>Q67</f>
        <v>0</v>
      </c>
      <c r="AE67" s="10">
        <f>R67</f>
        <v>0</v>
      </c>
      <c r="AF67" s="10">
        <f>S67</f>
        <v>0</v>
      </c>
      <c r="AG67" s="10">
        <f>T67</f>
        <v>199.7</v>
      </c>
      <c r="AH67" s="10">
        <f>U67</f>
        <v>0</v>
      </c>
      <c r="AI67" s="10">
        <f>V67</f>
        <v>0</v>
      </c>
      <c r="AJ67" s="10">
        <f>W67</f>
        <v>289.101</v>
      </c>
      <c r="AK67" s="10">
        <f>X67</f>
        <v>551.721</v>
      </c>
    </row>
    <row r="68" spans="1:37">
      <c r="B68" s="8" t="s">
        <v>168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Z68" s="10">
        <f>M68</f>
        <v>0</v>
      </c>
      <c r="AA68" s="10">
        <f>N68</f>
        <v>0</v>
      </c>
      <c r="AB68" s="10">
        <f>O68</f>
        <v>0</v>
      </c>
      <c r="AC68" s="10">
        <f>P68</f>
        <v>0</v>
      </c>
      <c r="AD68" s="10">
        <f>Q68</f>
        <v>0</v>
      </c>
      <c r="AE68" s="10">
        <f>R68</f>
        <v>0</v>
      </c>
      <c r="AF68" s="10">
        <f>S68</f>
        <v>0</v>
      </c>
      <c r="AG68" s="10">
        <f>T68</f>
        <v>0</v>
      </c>
      <c r="AH68" s="10">
        <f>U68</f>
        <v>0</v>
      </c>
      <c r="AI68" s="10">
        <f>V68</f>
        <v>0</v>
      </c>
      <c r="AJ68" s="10">
        <f>W68</f>
        <v>0</v>
      </c>
      <c r="AK68" s="10">
        <f>X68</f>
        <v>0</v>
      </c>
    </row>
    <row r="69" spans="1:37">
      <c r="C69" s="10"/>
      <c r="D69" s="10"/>
      <c r="E69" s="10"/>
      <c r="F69" s="10"/>
      <c r="G69" s="10"/>
      <c r="H69" s="10"/>
    </row>
    <row r="70" spans="1:37">
      <c r="B70" s="29" t="s">
        <v>182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J70" s="77">
        <v>0</v>
      </c>
      <c r="K70" s="77">
        <v>0</v>
      </c>
      <c r="L70" s="77">
        <v>0</v>
      </c>
      <c r="M70" s="108">
        <f>F70</f>
        <v>0</v>
      </c>
      <c r="N70" s="77">
        <v>0</v>
      </c>
      <c r="O70" s="77">
        <v>0</v>
      </c>
      <c r="P70" s="77">
        <v>195.4</v>
      </c>
      <c r="Q70" s="108">
        <f>G70</f>
        <v>0</v>
      </c>
      <c r="R70" s="77">
        <v>0</v>
      </c>
      <c r="S70" s="77">
        <v>0</v>
      </c>
      <c r="T70" s="77">
        <v>199.7</v>
      </c>
      <c r="U70" s="10">
        <f>H70</f>
        <v>0</v>
      </c>
      <c r="V70" s="77">
        <v>0</v>
      </c>
      <c r="W70" s="77">
        <v>237.7</v>
      </c>
      <c r="X70" s="77">
        <v>488.3</v>
      </c>
      <c r="Z70" s="10">
        <f>M70</f>
        <v>0</v>
      </c>
      <c r="AA70" s="10">
        <f>N70</f>
        <v>0</v>
      </c>
      <c r="AB70" s="10">
        <f>O70</f>
        <v>0</v>
      </c>
      <c r="AC70" s="10">
        <f>P70</f>
        <v>195.4</v>
      </c>
      <c r="AD70" s="10">
        <f>Q70</f>
        <v>0</v>
      </c>
      <c r="AE70" s="10">
        <f>R70</f>
        <v>0</v>
      </c>
      <c r="AF70" s="10">
        <f>S70</f>
        <v>0</v>
      </c>
      <c r="AG70" s="10">
        <f>T70</f>
        <v>199.7</v>
      </c>
      <c r="AH70" s="10">
        <f>U70</f>
        <v>0</v>
      </c>
      <c r="AI70" s="10">
        <f>V70</f>
        <v>0</v>
      </c>
      <c r="AJ70" s="10">
        <f>W70</f>
        <v>237.7</v>
      </c>
      <c r="AK70" s="10">
        <f>X70</f>
        <v>488.3</v>
      </c>
    </row>
    <row r="71" spans="1:37">
      <c r="B71" s="29" t="s">
        <v>186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J71" s="77">
        <v>0</v>
      </c>
      <c r="K71" s="77">
        <v>0</v>
      </c>
      <c r="L71" s="77">
        <v>0</v>
      </c>
      <c r="M71" s="108">
        <f>F71</f>
        <v>0</v>
      </c>
      <c r="N71" s="77">
        <v>0</v>
      </c>
      <c r="O71" s="77">
        <v>0</v>
      </c>
      <c r="P71" s="77">
        <v>0</v>
      </c>
      <c r="Q71" s="108">
        <f>G71</f>
        <v>0</v>
      </c>
      <c r="R71" s="77">
        <v>0</v>
      </c>
      <c r="S71" s="77">
        <v>0</v>
      </c>
      <c r="T71" s="77">
        <v>0</v>
      </c>
      <c r="U71" s="10">
        <f>H71</f>
        <v>0</v>
      </c>
      <c r="V71" s="77">
        <v>0</v>
      </c>
      <c r="W71" s="77">
        <v>51.401000000000003</v>
      </c>
      <c r="X71" s="77">
        <v>63.420999999999999</v>
      </c>
      <c r="Z71" s="10">
        <f>M71</f>
        <v>0</v>
      </c>
      <c r="AA71" s="10">
        <f>N71</f>
        <v>0</v>
      </c>
      <c r="AB71" s="10">
        <f>O71</f>
        <v>0</v>
      </c>
      <c r="AC71" s="10">
        <f>P71</f>
        <v>0</v>
      </c>
      <c r="AD71" s="10">
        <f>Q71</f>
        <v>0</v>
      </c>
      <c r="AE71" s="10">
        <f>R71</f>
        <v>0</v>
      </c>
      <c r="AF71" s="10">
        <f>S71</f>
        <v>0</v>
      </c>
      <c r="AG71" s="10">
        <f>T71</f>
        <v>0</v>
      </c>
      <c r="AH71" s="10">
        <f>U71</f>
        <v>0</v>
      </c>
      <c r="AI71" s="10">
        <f>V71</f>
        <v>0</v>
      </c>
      <c r="AJ71" s="10">
        <f>W71</f>
        <v>51.401000000000003</v>
      </c>
      <c r="AK71" s="10">
        <f>X71</f>
        <v>63.420999999999999</v>
      </c>
    </row>
    <row r="72" spans="1:37" ht="12.75" customHeight="1">
      <c r="B72" s="12" t="s">
        <v>24</v>
      </c>
      <c r="C72" s="13">
        <f>SUM(C70:C71)</f>
        <v>0</v>
      </c>
      <c r="D72" s="13">
        <f t="shared" ref="D72:H72" si="182">SUM(D70:D71)</f>
        <v>0</v>
      </c>
      <c r="E72" s="13">
        <f t="shared" si="182"/>
        <v>0</v>
      </c>
      <c r="F72" s="13">
        <f t="shared" si="182"/>
        <v>0</v>
      </c>
      <c r="G72" s="13">
        <f t="shared" si="182"/>
        <v>0</v>
      </c>
      <c r="H72" s="13">
        <f t="shared" si="182"/>
        <v>0</v>
      </c>
      <c r="J72" s="13">
        <f t="shared" ref="J72" si="183">SUM(J70:J71)</f>
        <v>0</v>
      </c>
      <c r="K72" s="13">
        <f t="shared" ref="K72" si="184">SUM(K70:K71)</f>
        <v>0</v>
      </c>
      <c r="L72" s="13">
        <f t="shared" ref="L72" si="185">SUM(L70:L71)</f>
        <v>0</v>
      </c>
      <c r="M72" s="13">
        <f t="shared" ref="M72" si="186">SUM(M70:M71)</f>
        <v>0</v>
      </c>
      <c r="N72" s="13">
        <f t="shared" ref="N72" si="187">SUM(N70:N71)</f>
        <v>0</v>
      </c>
      <c r="O72" s="13">
        <f t="shared" ref="O72" si="188">SUM(O70:O71)</f>
        <v>0</v>
      </c>
      <c r="P72" s="13">
        <f t="shared" ref="P72" si="189">SUM(P70:P71)</f>
        <v>195.4</v>
      </c>
      <c r="Q72" s="13">
        <f t="shared" ref="Q72" si="190">SUM(Q70:Q71)</f>
        <v>0</v>
      </c>
      <c r="R72" s="13">
        <f t="shared" ref="R72" si="191">SUM(R70:R71)</f>
        <v>0</v>
      </c>
      <c r="S72" s="13">
        <f t="shared" ref="S72" si="192">SUM(S70:S71)</f>
        <v>0</v>
      </c>
      <c r="T72" s="13">
        <f t="shared" ref="T72" si="193">SUM(T70:T71)</f>
        <v>199.7</v>
      </c>
      <c r="U72" s="13">
        <f t="shared" ref="U72" si="194">SUM(U70:U71)</f>
        <v>0</v>
      </c>
      <c r="V72" s="13">
        <f t="shared" ref="V72" si="195">SUM(V70:V71)</f>
        <v>0</v>
      </c>
      <c r="W72" s="13">
        <f t="shared" ref="W72" si="196">SUM(W70:W71)</f>
        <v>289.101</v>
      </c>
      <c r="X72" s="13">
        <f t="shared" ref="X72" si="197">SUM(X70:X71)</f>
        <v>551.721</v>
      </c>
      <c r="Z72" s="13">
        <f t="shared" ref="Z72" si="198">SUM(Z70:Z71)</f>
        <v>0</v>
      </c>
      <c r="AA72" s="13">
        <f t="shared" ref="AA72" si="199">SUM(AA70:AA71)</f>
        <v>0</v>
      </c>
      <c r="AB72" s="13">
        <f t="shared" ref="AB72" si="200">SUM(AB70:AB71)</f>
        <v>0</v>
      </c>
      <c r="AC72" s="13">
        <f t="shared" ref="AC72" si="201">SUM(AC70:AC71)</f>
        <v>195.4</v>
      </c>
      <c r="AD72" s="13">
        <f t="shared" ref="AD72" si="202">SUM(AD70:AD71)</f>
        <v>0</v>
      </c>
      <c r="AE72" s="13">
        <f t="shared" ref="AE72" si="203">SUM(AE70:AE71)</f>
        <v>0</v>
      </c>
      <c r="AF72" s="13">
        <f t="shared" ref="AF72" si="204">SUM(AF70:AF71)</f>
        <v>0</v>
      </c>
      <c r="AG72" s="13">
        <f t="shared" ref="AG72" si="205">SUM(AG70:AG71)</f>
        <v>199.7</v>
      </c>
      <c r="AH72" s="13">
        <f t="shared" ref="AH72" si="206">SUM(AH70:AH71)</f>
        <v>0</v>
      </c>
      <c r="AI72" s="13">
        <f t="shared" ref="AI72" si="207">SUM(AI70:AI71)</f>
        <v>0</v>
      </c>
      <c r="AJ72" s="13">
        <f t="shared" ref="AJ72" si="208">SUM(AJ70:AJ71)</f>
        <v>289.101</v>
      </c>
      <c r="AK72" s="13">
        <f t="shared" ref="AK72" si="209">SUM(AK70:AK71)</f>
        <v>551.721</v>
      </c>
    </row>
    <row r="73" spans="1:37" ht="5.0999999999999996" customHeight="1"/>
    <row r="74" spans="1:37" ht="12.75" customHeight="1">
      <c r="B74" s="8" t="s">
        <v>54</v>
      </c>
      <c r="C74" s="82">
        <f>'Historical Financials'!C79/1000</f>
        <v>1902.0940000000001</v>
      </c>
      <c r="D74" s="82">
        <f>'Historical Financials'!D79/1000</f>
        <v>1999.549</v>
      </c>
      <c r="E74" s="82">
        <f>'Historical Financials'!E79/1000</f>
        <v>1535.373</v>
      </c>
      <c r="F74" s="82">
        <f>'Historical Financials'!F79/1000</f>
        <v>1959.8109999999999</v>
      </c>
      <c r="G74" s="82">
        <f>'Historical Financials'!G79/1000</f>
        <v>2279.328</v>
      </c>
      <c r="H74" s="82">
        <f>'Historical Financials'!H79/1000</f>
        <v>2488.3530000000001</v>
      </c>
      <c r="I74" s="82">
        <f>'Historical Financials'!I79/1000</f>
        <v>0</v>
      </c>
      <c r="J74" s="82">
        <f>'Historical Financials'!J79/1000</f>
        <v>1745.62</v>
      </c>
      <c r="K74" s="82">
        <f>'Historical Financials'!K79/1000</f>
        <v>1769.068</v>
      </c>
      <c r="L74" s="82">
        <f>'Historical Financials'!L79/1000</f>
        <v>1922.2550000000001</v>
      </c>
      <c r="M74" s="82">
        <f>'Historical Financials'!M79/1000</f>
        <v>1959.8109999999999</v>
      </c>
      <c r="N74" s="82">
        <f>'Historical Financials'!N79/1000</f>
        <v>2018.068</v>
      </c>
      <c r="O74" s="82">
        <f>'Historical Financials'!O79/1000</f>
        <v>2051.877</v>
      </c>
      <c r="P74" s="82">
        <f>'Historical Financials'!P79/1000</f>
        <v>2028.5419999999999</v>
      </c>
      <c r="Q74" s="82">
        <f>'Historical Financials'!Q79/1000</f>
        <v>2279.328</v>
      </c>
      <c r="R74" s="82">
        <f>'Historical Financials'!R79/1000</f>
        <v>2300.7429999999999</v>
      </c>
      <c r="S74" s="82">
        <f>'Historical Financials'!S79/1000</f>
        <v>2348.16</v>
      </c>
      <c r="T74" s="82">
        <f>'Historical Financials'!T79/1000</f>
        <v>2329.009</v>
      </c>
      <c r="U74" s="82">
        <f>'Historical Financials'!U79/1000</f>
        <v>2488.3530000000001</v>
      </c>
      <c r="V74" s="82">
        <f>'Historical Financials'!V79/1000</f>
        <v>2430.3029999999999</v>
      </c>
      <c r="W74" s="82">
        <f>'Historical Financials'!W79/1000</f>
        <v>2603.86</v>
      </c>
      <c r="X74" s="82">
        <f>'Historical Financials'!X79/1000</f>
        <v>2633.0140000000001</v>
      </c>
      <c r="Z74" s="155">
        <f>M74</f>
        <v>1959.8109999999999</v>
      </c>
      <c r="AA74" s="155">
        <f>N74</f>
        <v>2018.068</v>
      </c>
      <c r="AB74" s="155">
        <f>O74</f>
        <v>2051.877</v>
      </c>
      <c r="AC74" s="155">
        <f>P74</f>
        <v>2028.5419999999999</v>
      </c>
      <c r="AD74" s="155">
        <f>Q74</f>
        <v>2279.328</v>
      </c>
      <c r="AE74" s="155">
        <f>R74</f>
        <v>2300.7429999999999</v>
      </c>
      <c r="AF74" s="155">
        <f>S74</f>
        <v>2348.16</v>
      </c>
      <c r="AG74" s="155">
        <f>T74</f>
        <v>2329.009</v>
      </c>
      <c r="AH74" s="155">
        <f>U74</f>
        <v>2488.3530000000001</v>
      </c>
      <c r="AI74" s="155">
        <f>V74</f>
        <v>2430.3029999999999</v>
      </c>
      <c r="AJ74" s="155">
        <f>W74</f>
        <v>2603.86</v>
      </c>
      <c r="AK74" s="155">
        <f>X74</f>
        <v>2633.0140000000001</v>
      </c>
    </row>
    <row r="75" spans="1:37" ht="12.75" customHeight="1">
      <c r="B75" s="12" t="s">
        <v>55</v>
      </c>
      <c r="C75" s="13">
        <f t="shared" ref="C75:G75" si="210">SUM(C72:C74)</f>
        <v>1902.0940000000001</v>
      </c>
      <c r="D75" s="13">
        <f t="shared" si="210"/>
        <v>1999.549</v>
      </c>
      <c r="E75" s="13">
        <f t="shared" si="210"/>
        <v>1535.373</v>
      </c>
      <c r="F75" s="13">
        <f t="shared" si="210"/>
        <v>1959.8109999999999</v>
      </c>
      <c r="G75" s="13">
        <f t="shared" si="210"/>
        <v>2279.328</v>
      </c>
      <c r="H75" s="13">
        <f>SUM(H72:H74)</f>
        <v>2488.3530000000001</v>
      </c>
      <c r="J75" s="13">
        <f t="shared" ref="J75:M75" si="211">SUM(J72:J74)</f>
        <v>1745.62</v>
      </c>
      <c r="K75" s="13">
        <f t="shared" si="211"/>
        <v>1769.068</v>
      </c>
      <c r="L75" s="13">
        <f t="shared" si="211"/>
        <v>1922.2550000000001</v>
      </c>
      <c r="M75" s="13">
        <f t="shared" si="211"/>
        <v>1959.8109999999999</v>
      </c>
      <c r="N75" s="13">
        <f t="shared" ref="N75:S75" si="212">SUM(N72:N74)</f>
        <v>2018.068</v>
      </c>
      <c r="O75" s="13">
        <f t="shared" si="212"/>
        <v>2051.877</v>
      </c>
      <c r="P75" s="13">
        <f t="shared" si="212"/>
        <v>2223.942</v>
      </c>
      <c r="Q75" s="13">
        <f t="shared" si="212"/>
        <v>2279.328</v>
      </c>
      <c r="R75" s="13">
        <f t="shared" si="212"/>
        <v>2300.7429999999999</v>
      </c>
      <c r="S75" s="13">
        <f t="shared" si="212"/>
        <v>2348.16</v>
      </c>
      <c r="T75" s="13">
        <f>SUM(T72:T74)</f>
        <v>2528.7089999999998</v>
      </c>
      <c r="U75" s="13">
        <f>SUM(U72:U74)</f>
        <v>2488.3530000000001</v>
      </c>
      <c r="V75" s="13">
        <f>SUM(V72:V74)</f>
        <v>2430.3029999999999</v>
      </c>
      <c r="W75" s="13">
        <f>SUM(W72:W74)</f>
        <v>2892.9610000000002</v>
      </c>
      <c r="X75" s="13">
        <f>SUM(X72:X74)</f>
        <v>3184.7350000000001</v>
      </c>
      <c r="Z75" s="13">
        <f t="shared" ref="Z75:AJ75" si="213">SUM(Z72:Z74)</f>
        <v>1959.8109999999999</v>
      </c>
      <c r="AA75" s="13">
        <f t="shared" si="213"/>
        <v>2018.068</v>
      </c>
      <c r="AB75" s="13">
        <f t="shared" si="213"/>
        <v>2051.877</v>
      </c>
      <c r="AC75" s="13">
        <f t="shared" si="213"/>
        <v>2223.942</v>
      </c>
      <c r="AD75" s="13">
        <f t="shared" si="213"/>
        <v>2279.328</v>
      </c>
      <c r="AE75" s="13">
        <f t="shared" si="213"/>
        <v>2300.7429999999999</v>
      </c>
      <c r="AF75" s="13">
        <f t="shared" si="213"/>
        <v>2348.16</v>
      </c>
      <c r="AG75" s="13">
        <f t="shared" si="213"/>
        <v>2528.7089999999998</v>
      </c>
      <c r="AH75" s="13">
        <f t="shared" si="213"/>
        <v>2488.3530000000001</v>
      </c>
      <c r="AI75" s="13">
        <f t="shared" si="213"/>
        <v>2430.3029999999999</v>
      </c>
      <c r="AJ75" s="13">
        <f t="shared" si="213"/>
        <v>2892.9610000000002</v>
      </c>
      <c r="AK75" s="13">
        <f>SUM(AK72:AK74)</f>
        <v>3184.7350000000001</v>
      </c>
    </row>
    <row r="76" spans="1:37" ht="5.0999999999999996" customHeight="1"/>
    <row r="77" spans="1:37" ht="12.75" customHeight="1">
      <c r="A77" s="5"/>
      <c r="B77" s="31" t="s">
        <v>77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</row>
    <row r="78" spans="1:37" ht="5.0999999999999996" customHeight="1"/>
    <row r="79" spans="1:37" ht="12.75" customHeight="1">
      <c r="B79" s="29" t="s">
        <v>169</v>
      </c>
      <c r="C79" s="158">
        <f>C72/C32</f>
        <v>0</v>
      </c>
      <c r="D79" s="158">
        <f>D72/D32</f>
        <v>0</v>
      </c>
      <c r="E79" s="158">
        <f>E72/E32</f>
        <v>0</v>
      </c>
      <c r="F79" s="158">
        <f>F72/F32</f>
        <v>0</v>
      </c>
      <c r="G79" s="158">
        <f>G72/G32</f>
        <v>0</v>
      </c>
      <c r="H79" s="158">
        <f>H72/H32</f>
        <v>0</v>
      </c>
      <c r="J79" s="165"/>
      <c r="K79" s="165"/>
      <c r="L79" s="165"/>
      <c r="M79" s="158">
        <f>SUM(M72/SUM(J32:M32))</f>
        <v>0</v>
      </c>
      <c r="N79" s="158">
        <f>SUM(N72/SUM(K32:N32))</f>
        <v>0</v>
      </c>
      <c r="O79" s="158">
        <f>SUM(O72/SUM(L32:O32))</f>
        <v>0</v>
      </c>
      <c r="P79" s="158">
        <f>SUM(P72/SUM(M32:P32))</f>
        <v>0.1032231071845713</v>
      </c>
      <c r="Q79" s="158">
        <f>SUM(Q72/SUM(N32:Q32))</f>
        <v>0</v>
      </c>
      <c r="R79" s="158">
        <f>SUM(R72/SUM(O32:R32))</f>
        <v>0</v>
      </c>
      <c r="S79" s="158">
        <f>SUM(S72/SUM(P32:S32))</f>
        <v>0</v>
      </c>
      <c r="T79" s="158">
        <f>SUM(T72/SUM(Q32:T32))</f>
        <v>0.10691476746171934</v>
      </c>
      <c r="U79" s="158">
        <f>SUM(U72/SUM(R32:U32))</f>
        <v>0</v>
      </c>
      <c r="V79" s="158">
        <f>SUM(V72/SUM(S32:V32))</f>
        <v>0</v>
      </c>
      <c r="W79" s="158">
        <f>SUM(W72/SUM(T32:W32))</f>
        <v>0.15171971152887387</v>
      </c>
      <c r="X79" s="158">
        <f>SUM(X72/SUM(U32:X32))</f>
        <v>0.28935257661887326</v>
      </c>
      <c r="Y79" s="158"/>
      <c r="Z79" s="158">
        <f>Z72/Z32</f>
        <v>0</v>
      </c>
      <c r="AA79" s="158">
        <f>AA72/AA32</f>
        <v>0</v>
      </c>
      <c r="AB79" s="158">
        <f>AB72/AB32</f>
        <v>0</v>
      </c>
      <c r="AC79" s="158">
        <f>AC72/AC32</f>
        <v>0.10322310718457123</v>
      </c>
      <c r="AD79" s="158">
        <f>AD72/AD32</f>
        <v>0</v>
      </c>
      <c r="AE79" s="158">
        <f>AE72/AE32</f>
        <v>0</v>
      </c>
      <c r="AF79" s="158">
        <f>AF72/AF32</f>
        <v>0</v>
      </c>
      <c r="AG79" s="158">
        <f>AG72/AG32</f>
        <v>0.10691476746171946</v>
      </c>
      <c r="AH79" s="158">
        <f>AH72/AH32</f>
        <v>0</v>
      </c>
      <c r="AI79" s="158">
        <f>AI72/AI32</f>
        <v>0</v>
      </c>
      <c r="AJ79" s="158">
        <f>AJ72/AJ32</f>
        <v>0.1517197115288739</v>
      </c>
      <c r="AK79" s="158">
        <f>AK72/AK32</f>
        <v>0.28935257661887315</v>
      </c>
    </row>
    <row r="80" spans="1:37" ht="12.75" customHeight="1">
      <c r="B80" s="29" t="s">
        <v>170</v>
      </c>
      <c r="C80" s="158">
        <f>SUM(C72-C51)/C32</f>
        <v>-0.32112040388364782</v>
      </c>
      <c r="D80" s="158">
        <f>SUM(D72-D51)/D32</f>
        <v>-1.546275888880511</v>
      </c>
      <c r="E80" s="158">
        <f>SUM(E72-E51)/E32</f>
        <v>-0.26751615256776684</v>
      </c>
      <c r="F80" s="158">
        <f>SUM(F72-F51)/F32</f>
        <v>-0.38370620054019022</v>
      </c>
      <c r="G80" s="158">
        <f>SUM(G72-G51)/G32</f>
        <v>-0.38911129553350965</v>
      </c>
      <c r="H80" s="158">
        <f>SUM(H72-H51)/H32</f>
        <v>-0.37508034186028227</v>
      </c>
      <c r="J80" s="165"/>
      <c r="K80" s="165"/>
      <c r="L80" s="165"/>
      <c r="M80" s="158">
        <f>SUM(M72-M51)/SUM(J32:M32)</f>
        <v>-0.38370620054019022</v>
      </c>
      <c r="N80" s="158">
        <f>SUM(N72-N51)/SUM(K32:N32)</f>
        <v>-0.33116252303103799</v>
      </c>
      <c r="O80" s="158">
        <f>SUM(O72-O51)/SUM(L32:O32)</f>
        <v>-0.20215646322552921</v>
      </c>
      <c r="P80" s="158">
        <f>SUM(P72-P51)/SUM(M32:P32)</f>
        <v>3.8874540606987806E-2</v>
      </c>
      <c r="Q80" s="158">
        <f>SUM(Q72-Q51)/SUM(N32:Q32)</f>
        <v>-0.38911129553350982</v>
      </c>
      <c r="R80" s="158">
        <f>SUM(R72-R51)/SUM(O32:R32)</f>
        <v>-0.27094885504384003</v>
      </c>
      <c r="S80" s="158">
        <f>SUM(S72-S51)/SUM(P32:S32)</f>
        <v>-0.22084145115755047</v>
      </c>
      <c r="T80" s="158">
        <f>SUM(T72-T51)/SUM(Q32:T32)</f>
        <v>1.1734390952558649E-2</v>
      </c>
      <c r="U80" s="158">
        <f>SUM(U72-U51)/SUM(R32:U32)</f>
        <v>-0.375080341860283</v>
      </c>
      <c r="V80" s="158">
        <f>SUM(V72-V51)/SUM(S32:V32)</f>
        <v>-0.24127721227431465</v>
      </c>
      <c r="W80" s="158">
        <f>SUM(W72-W51)/SUM(T32:W32)</f>
        <v>2.432754970627039E-2</v>
      </c>
      <c r="X80" s="158">
        <f>SUM(X72-X51)/SUM(U32:X32)</f>
        <v>0.18188083029543059</v>
      </c>
      <c r="Y80" s="158"/>
      <c r="Z80" s="158">
        <f>SUM(Z72-Z51)/Z32</f>
        <v>-0.38370620054019056</v>
      </c>
      <c r="AA80" s="158">
        <f>SUM(AA72-AA51)/AA32</f>
        <v>-0.33116252303103788</v>
      </c>
      <c r="AB80" s="158">
        <f>SUM(AB72-AB51)/AB32</f>
        <v>-0.20215646322552913</v>
      </c>
      <c r="AC80" s="158">
        <f>SUM(AC72-AC51)/AC32</f>
        <v>3.8874540606987779E-2</v>
      </c>
      <c r="AD80" s="158">
        <f>SUM(AD72-AD51)/AD32</f>
        <v>-0.38911129553350987</v>
      </c>
      <c r="AE80" s="158">
        <f>SUM(AE72-AE51)/AE32</f>
        <v>-0.27094885504384025</v>
      </c>
      <c r="AF80" s="158">
        <f>SUM(AF72-AF51)/AF32</f>
        <v>-0.22084145115755044</v>
      </c>
      <c r="AG80" s="158">
        <f>SUM(AG72-AG51)/AG32</f>
        <v>1.1734390952558663E-2</v>
      </c>
      <c r="AH80" s="158">
        <f>SUM(AH72-AH51)/AH32</f>
        <v>-0.37508034186028266</v>
      </c>
      <c r="AI80" s="158">
        <f>SUM(AI72-AI51)/AI32</f>
        <v>-0.2412772122743149</v>
      </c>
      <c r="AJ80" s="158">
        <f>SUM(AJ72-AJ51)/AJ32</f>
        <v>2.4327549706270397E-2</v>
      </c>
      <c r="AK80" s="158">
        <f>SUM(AK72-AK51)/AK32</f>
        <v>0.18188083029543051</v>
      </c>
    </row>
    <row r="81" spans="2:37" ht="12.75" customHeight="1">
      <c r="B81" s="29" t="s">
        <v>171</v>
      </c>
      <c r="C81" s="158" t="e">
        <f>C32/-C37</f>
        <v>#DIV/0!</v>
      </c>
      <c r="D81" s="158">
        <f>D32/-D37</f>
        <v>96.82224130528131</v>
      </c>
      <c r="E81" s="158">
        <f>E32/-E37</f>
        <v>756.6655722326459</v>
      </c>
      <c r="F81" s="158">
        <f>F32/-F37</f>
        <v>899.4508886810105</v>
      </c>
      <c r="G81" s="158">
        <f>G32/-G37</f>
        <v>592.15960324616742</v>
      </c>
      <c r="H81" s="158">
        <f>H32/-H37</f>
        <v>450.78167828805061</v>
      </c>
      <c r="J81" s="165"/>
      <c r="K81" s="165"/>
      <c r="L81" s="165"/>
      <c r="M81" s="158" cm="1">
        <f t="array" ref="M81">SUM(J32:M32)/SUM(-J37:M37)</f>
        <v>899.4508886810105</v>
      </c>
      <c r="N81" s="158" cm="1">
        <f t="array" ref="N81">SUM(K32:N32)/SUM(-K37:N37)</f>
        <v>898.90692235734355</v>
      </c>
      <c r="O81" s="158" cm="1">
        <f t="array" ref="O81">SUM(L32:O32)/SUM(-L37:O37)</f>
        <v>1778.3598519888997</v>
      </c>
      <c r="P81" s="158" cm="1">
        <f t="array" ref="P81">SUM(M32:P32)/SUM(-M37:P37)</f>
        <v>3505.5314814814801</v>
      </c>
      <c r="Q81" s="158" cm="1">
        <f t="array" ref="Q81">SUM(N32:Q32)/SUM(-N37:Q37)</f>
        <v>592.15960324616719</v>
      </c>
      <c r="R81" s="158" cm="1">
        <f t="array" ref="R81">SUM(O32:R32)/SUM(-O37:R37)</f>
        <v>581.94890291553884</v>
      </c>
      <c r="S81" s="158" cm="1">
        <f t="array" ref="S81">SUM(P32:S32)/SUM(-P37:S37)</f>
        <v>563.41328524195899</v>
      </c>
      <c r="T81" s="158" cm="1">
        <f t="array" ref="T81">SUM(Q32:T32)/SUM(-Q37:T37)</f>
        <v>561.41959723474531</v>
      </c>
      <c r="U81" s="158" cm="1">
        <f t="array" ref="U81">SUM(R32:U32)/SUM(-R37:U37)</f>
        <v>450.78167828804982</v>
      </c>
      <c r="V81" s="158" cm="1">
        <f t="array" ref="V81">SUM(S32:V32)/SUM(-S37:V37)</f>
        <v>453.05602308247165</v>
      </c>
      <c r="W81" s="158" cm="1">
        <f t="array" ref="W81">SUM(T32:W32)/SUM(-T37:W37)</f>
        <v>458.1615773022362</v>
      </c>
      <c r="X81" s="158" cm="1">
        <f t="array" ref="X81">SUM(U32:X32)/SUM(-U37:X37)</f>
        <v>458.46188987737418</v>
      </c>
      <c r="Y81" s="158"/>
      <c r="Z81" s="158">
        <f>Z32/-Z37</f>
        <v>899.45088868100959</v>
      </c>
      <c r="AA81" s="158">
        <f>AA32/-AA37</f>
        <v>898.90692235734389</v>
      </c>
      <c r="AB81" s="158">
        <f>AB32/-AB37</f>
        <v>1778.3598519889001</v>
      </c>
      <c r="AC81" s="158">
        <f>AC32/-AC37</f>
        <v>3505.5314814814828</v>
      </c>
      <c r="AD81" s="158">
        <f>AD32/-AD37</f>
        <v>592.15960324616719</v>
      </c>
      <c r="AE81" s="158">
        <f>AE32/-AE37</f>
        <v>581.94890291553838</v>
      </c>
      <c r="AF81" s="158">
        <f>AF32/-AF37</f>
        <v>563.41328524195899</v>
      </c>
      <c r="AG81" s="158">
        <f>AG32/-AG37</f>
        <v>561.41959723474463</v>
      </c>
      <c r="AH81" s="158">
        <f>AH32/-AH37</f>
        <v>450.78167828805016</v>
      </c>
      <c r="AI81" s="158">
        <f>AI32/-AI37</f>
        <v>453.0560230824712</v>
      </c>
      <c r="AJ81" s="158">
        <f>AJ32/-AJ37</f>
        <v>458.16157730223608</v>
      </c>
      <c r="AK81" s="158">
        <f>AK32/-AK37</f>
        <v>458.46188987737435</v>
      </c>
    </row>
    <row r="82" spans="2:37" ht="12.75" customHeight="1">
      <c r="B82" s="29" t="s">
        <v>172</v>
      </c>
      <c r="C82" s="158" cm="1">
        <f t="array" ref="C82">SUM(C32+C35)/SUM(-C36:C37)</f>
        <v>6.8967361666205962</v>
      </c>
      <c r="D82" s="158" cm="1">
        <f t="array" ref="D82">SUM(D32+D35)/SUM(-D36:D37)</f>
        <v>19.841571801369103</v>
      </c>
      <c r="E82" s="158" cm="1">
        <f t="array" ref="E82">SUM(E32+E35)/SUM(-E36:E37)</f>
        <v>3.865635847609036</v>
      </c>
      <c r="F82" s="158" cm="1">
        <f t="array" ref="F82">SUM(F32+F35)/SUM(-F36:F37)</f>
        <v>3.7290732990110755</v>
      </c>
      <c r="G82" s="158" cm="1">
        <f t="array" ref="G82">SUM(G32+G35)/SUM(-G36:G37)</f>
        <v>4.6294225166042287</v>
      </c>
      <c r="H82" s="158" cm="1">
        <f t="array" ref="H82">SUM(H32+H35)/SUM(-H36:H37)</f>
        <v>3.84488414168491</v>
      </c>
      <c r="J82" s="165"/>
      <c r="K82" s="165"/>
      <c r="L82" s="165"/>
      <c r="M82" s="158" cm="1">
        <f t="array" ref="M82">SUM(J32:M32+J35:M35)/SUM(-J36:M37)</f>
        <v>3.7290732990110742</v>
      </c>
      <c r="N82" s="158" cm="1">
        <f t="array" ref="N82">SUM(K32:N32+K35:N35)/SUM(-K36:N37)</f>
        <v>3.6176066943294396</v>
      </c>
      <c r="O82" s="158" cm="1">
        <f t="array" ref="O82">SUM(L32:O32+L35:O35)/SUM(-L36:O37)</f>
        <v>4.0862895365401721</v>
      </c>
      <c r="P82" s="158" cm="1">
        <f t="array" ref="P82">SUM(M32:P32+M35:P35)/SUM(-M36:P37)</f>
        <v>4.1179106896378288</v>
      </c>
      <c r="Q82" s="158" cm="1">
        <f t="array" ref="Q82">SUM(N32:Q32+N35:Q35)/SUM(-N36:Q37)</f>
        <v>4.6294225166042251</v>
      </c>
      <c r="R82" s="158" cm="1">
        <f t="array" ref="R82">SUM(O32:R32+O35:R35)/SUM(-O36:R37)</f>
        <v>4.5527426665987507</v>
      </c>
      <c r="S82" s="158" cm="1">
        <f t="array" ref="S82">SUM(P32:S32+P35:S35)/SUM(-P36:S37)</f>
        <v>3.8806149750415906</v>
      </c>
      <c r="T82" s="158" cm="1">
        <f t="array" ref="T82">SUM(Q32:T32+Q35:T35)/SUM(-Q36:T37)</f>
        <v>3.7823238015359149</v>
      </c>
      <c r="U82" s="158" cm="1">
        <f t="array" ref="U82">SUM(R32:U32+R35:U35)/SUM(-R36:U37)</f>
        <v>3.844884141684902</v>
      </c>
      <c r="V82" s="158" cm="1">
        <f t="array" ref="V82">SUM(S32:V32+S35:V35)/SUM(-S36:V37)</f>
        <v>3.8803779925900792</v>
      </c>
      <c r="W82" s="158" cm="1">
        <f t="array" ref="W82">SUM(T32:W32+T35:W35)/SUM(-T36:W37)</f>
        <v>3.8176472314184977</v>
      </c>
      <c r="X82" s="158" cm="1">
        <f t="array" ref="X82">SUM(U32:X32+U35:X35)/SUM(-U36:X37)</f>
        <v>3.9760047825347415</v>
      </c>
      <c r="Y82" s="158"/>
      <c r="Z82" s="158" cm="1">
        <f t="array" ref="Z82">SUM(Z32+Z35)/SUM(-Z36:Z37)</f>
        <v>3.7290732990110715</v>
      </c>
      <c r="AA82" s="158" cm="1">
        <f t="array" ref="AA82">SUM(AA32+AA35)/SUM(-AA36:AA37)</f>
        <v>3.6176066943294423</v>
      </c>
      <c r="AB82" s="158" cm="1">
        <f t="array" ref="AB82">SUM(AB32+AB35)/SUM(-AB36:AB37)</f>
        <v>4.0862895365401739</v>
      </c>
      <c r="AC82" s="158" cm="1">
        <f t="array" ref="AC82">SUM(AC32+AC35)/SUM(-AC36:AC37)</f>
        <v>4.1179106896378324</v>
      </c>
      <c r="AD82" s="158" cm="1">
        <f t="array" ref="AD82">SUM(AD32+AD35)/SUM(-AD36:AD37)</f>
        <v>4.6294225166042251</v>
      </c>
      <c r="AE82" s="158" cm="1">
        <f t="array" ref="AE82">SUM(AE32+AE35)/SUM(-AE36:AE37)</f>
        <v>4.5527426665987454</v>
      </c>
      <c r="AF82" s="158" cm="1">
        <f t="array" ref="AF82">SUM(AF32+AF35)/SUM(-AF36:AF37)</f>
        <v>3.880614975041591</v>
      </c>
      <c r="AG82" s="158" cm="1">
        <f t="array" ref="AG82">SUM(AG32+AG35)/SUM(-AG36:AG37)</f>
        <v>3.7823238015359095</v>
      </c>
      <c r="AH82" s="158" cm="1">
        <f t="array" ref="AH82">SUM(AH32+AH35)/SUM(-AH36:AH37)</f>
        <v>3.8448841416849064</v>
      </c>
      <c r="AI82" s="158" cm="1">
        <f t="array" ref="AI82">SUM(AI32+AI35)/SUM(-AI36:AI37)</f>
        <v>3.8803779925900748</v>
      </c>
      <c r="AJ82" s="158" cm="1">
        <f t="array" ref="AJ82">SUM(AJ32+AJ35)/SUM(-AJ36:AJ37)</f>
        <v>3.8176472314184973</v>
      </c>
      <c r="AK82" s="158" cm="1">
        <f t="array" ref="AK82">SUM(AK32+AK35)/SUM(-AK36:AK37)</f>
        <v>3.9760047825347429</v>
      </c>
    </row>
    <row r="83" spans="2:37" ht="12.75" customHeight="1">
      <c r="B83" s="29" t="s">
        <v>173</v>
      </c>
      <c r="C83" s="158" cm="1">
        <f t="array" ref="C83">SUM(C32)/SUM(-C35:C37)</f>
        <v>2.8255137085303939</v>
      </c>
      <c r="D83" s="158" cm="1">
        <f t="array" ref="D83">SUM(D32)/SUM(-D35:D37)</f>
        <v>3.7940013572097588</v>
      </c>
      <c r="E83" s="158" cm="1">
        <f t="array" ref="E83">SUM(E32)/SUM(-E35:E37)</f>
        <v>2.9602102887341406</v>
      </c>
      <c r="F83" s="158" cm="1">
        <f t="array" ref="F83">SUM(F32)/SUM(-F35:F37)</f>
        <v>2.584330273749849</v>
      </c>
      <c r="G83" s="158" cm="1">
        <f t="array" ref="G83">SUM(G32)/SUM(-G35:G37)</f>
        <v>2.5692382327280967</v>
      </c>
      <c r="H83" s="158" cm="1">
        <f t="array" ref="H83">SUM(H32)/SUM(-H35:H37)</f>
        <v>2.4517586533381488</v>
      </c>
      <c r="J83" s="165"/>
      <c r="K83" s="165"/>
      <c r="L83" s="165"/>
      <c r="M83" s="158" cm="1">
        <f t="array" ref="M83">SUM(J32:M32)/SUM(-J35:M37)</f>
        <v>2.5843302737498486</v>
      </c>
      <c r="N83" s="158" cm="1">
        <f t="array" ref="N83">SUM(K32:N32)/SUM(-K35:N37)</f>
        <v>2.4479399918990596</v>
      </c>
      <c r="O83" s="158" cm="1">
        <f t="array" ref="O83">SUM(L32:O32)/SUM(-L35:O37)</f>
        <v>2.4971967691400394</v>
      </c>
      <c r="P83" s="158" cm="1">
        <f t="array" ref="P83">SUM(M32:P32)/SUM(-M35:P37)</f>
        <v>2.4359851394878089</v>
      </c>
      <c r="Q83" s="158" cm="1">
        <f t="array" ref="Q83">SUM(N32:Q32)/SUM(-N35:Q37)</f>
        <v>2.5692382327280958</v>
      </c>
      <c r="R83" s="158" cm="1">
        <f t="array" ref="R83">SUM(O32:R32)/SUM(-O35:R37)</f>
        <v>2.5804725005531046</v>
      </c>
      <c r="S83" s="158" cm="1">
        <f t="array" ref="S83">SUM(P32:S32)/SUM(-P35:S37)</f>
        <v>2.3654335632125854</v>
      </c>
      <c r="T83" s="158" cm="1">
        <f t="array" ref="T83">SUM(Q32:T32)/SUM(-Q35:T37)</f>
        <v>2.3165522142420376</v>
      </c>
      <c r="U83" s="158" cm="1">
        <f t="array" ref="U83">SUM(R32:U32)/SUM(-R35:U37)</f>
        <v>2.4517586533381444</v>
      </c>
      <c r="V83" s="158" cm="1">
        <f t="array" ref="V83">SUM(S32:V32)/SUM(-S35:V37)</f>
        <v>2.4968925662764594</v>
      </c>
      <c r="W83" s="158" cm="1">
        <f t="array" ref="W83">SUM(T32:W32)/SUM(-T35:W37)</f>
        <v>2.5301097955590492</v>
      </c>
      <c r="X83" s="158" cm="1">
        <f t="array" ref="X83">SUM(U32:X32)/SUM(-U35:X37)</f>
        <v>2.6594385833756395</v>
      </c>
      <c r="Y83" s="158"/>
      <c r="Z83" s="158" cm="1">
        <f t="array" ref="Z83">SUM(Z32)/SUM(-Z35:Z37)</f>
        <v>2.5843302737498468</v>
      </c>
      <c r="AA83" s="158" cm="1">
        <f t="array" ref="AA83">SUM(AA32)/SUM(-AA35:AA37)</f>
        <v>2.447939991899061</v>
      </c>
      <c r="AB83" s="158" cm="1">
        <f t="array" ref="AB83">SUM(AB32)/SUM(-AB35:AB37)</f>
        <v>2.4971967691400407</v>
      </c>
      <c r="AC83" s="158" cm="1">
        <f t="array" ref="AC83">SUM(AC32)/SUM(-AC35:AC37)</f>
        <v>2.4359851394878107</v>
      </c>
      <c r="AD83" s="158" cm="1">
        <f t="array" ref="AD83">SUM(AD32)/SUM(-AD35:AD37)</f>
        <v>2.5692382327280958</v>
      </c>
      <c r="AE83" s="158" cm="1">
        <f t="array" ref="AE83">SUM(AE32)/SUM(-AE35:AE37)</f>
        <v>2.5804725005531024</v>
      </c>
      <c r="AF83" s="158" cm="1">
        <f t="array" ref="AF83">SUM(AF32)/SUM(-AF35:AF37)</f>
        <v>2.3654335632125862</v>
      </c>
      <c r="AG83" s="158" cm="1">
        <f t="array" ref="AG83">SUM(AG32)/SUM(-AG35:AG37)</f>
        <v>2.3165522142420345</v>
      </c>
      <c r="AH83" s="158" cm="1">
        <f t="array" ref="AH83">SUM(AH32)/SUM(-AH35:AH37)</f>
        <v>2.451758653338147</v>
      </c>
      <c r="AI83" s="158" cm="1">
        <f t="array" ref="AI83">SUM(AI32)/SUM(-AI35:AI37)</f>
        <v>2.4968925662764567</v>
      </c>
      <c r="AJ83" s="158" cm="1">
        <f t="array" ref="AJ83">SUM(AJ32)/SUM(-AJ35:AJ37)</f>
        <v>2.5301097955590488</v>
      </c>
      <c r="AK83" s="158" cm="1">
        <f t="array" ref="AK83">SUM(AK32)/SUM(-AK35:AK37)</f>
        <v>2.6594385833756404</v>
      </c>
    </row>
    <row r="84" spans="2:37" ht="12.75" customHeight="1">
      <c r="B84" s="8" t="s">
        <v>56</v>
      </c>
      <c r="C84" s="158" t="e">
        <f t="shared" ref="C84" si="214">C75/C72</f>
        <v>#DIV/0!</v>
      </c>
      <c r="D84" s="158" t="e">
        <f t="shared" ref="D84:G84" si="215">D75/D72</f>
        <v>#DIV/0!</v>
      </c>
      <c r="E84" s="158" t="e">
        <f t="shared" si="215"/>
        <v>#DIV/0!</v>
      </c>
      <c r="F84" s="158" t="e">
        <f t="shared" si="215"/>
        <v>#DIV/0!</v>
      </c>
      <c r="G84" s="158" t="e">
        <f t="shared" si="215"/>
        <v>#DIV/0!</v>
      </c>
      <c r="H84" s="158" t="e">
        <f>H75/H72</f>
        <v>#DIV/0!</v>
      </c>
      <c r="J84" s="165"/>
      <c r="K84" s="165"/>
      <c r="L84" s="165"/>
      <c r="M84" s="158" t="e">
        <f t="shared" ref="M84:W84" si="216">M75/M72</f>
        <v>#DIV/0!</v>
      </c>
      <c r="N84" s="158" t="e">
        <f t="shared" si="216"/>
        <v>#DIV/0!</v>
      </c>
      <c r="O84" s="158" t="e">
        <f t="shared" si="216"/>
        <v>#DIV/0!</v>
      </c>
      <c r="P84" s="158">
        <f t="shared" si="216"/>
        <v>11.381484135107472</v>
      </c>
      <c r="Q84" s="158" t="e">
        <f t="shared" si="216"/>
        <v>#DIV/0!</v>
      </c>
      <c r="R84" s="158" t="e">
        <f t="shared" si="216"/>
        <v>#DIV/0!</v>
      </c>
      <c r="S84" s="158" t="e">
        <f t="shared" si="216"/>
        <v>#DIV/0!</v>
      </c>
      <c r="T84" s="158">
        <f t="shared" si="216"/>
        <v>12.662538808212318</v>
      </c>
      <c r="U84" s="158" t="e">
        <f t="shared" si="216"/>
        <v>#DIV/0!</v>
      </c>
      <c r="V84" s="158" t="e">
        <f t="shared" si="216"/>
        <v>#DIV/0!</v>
      </c>
      <c r="W84" s="158">
        <f t="shared" si="216"/>
        <v>10.006748506577287</v>
      </c>
      <c r="X84" s="158">
        <f>X75/X72</f>
        <v>5.7723650178260391</v>
      </c>
      <c r="Y84" s="158"/>
      <c r="Z84" s="158" t="e">
        <f t="shared" ref="Z84:AJ84" si="217">Z75/Z72</f>
        <v>#DIV/0!</v>
      </c>
      <c r="AA84" s="158" t="e">
        <f t="shared" si="217"/>
        <v>#DIV/0!</v>
      </c>
      <c r="AB84" s="158" t="e">
        <f t="shared" si="217"/>
        <v>#DIV/0!</v>
      </c>
      <c r="AC84" s="158">
        <f t="shared" si="217"/>
        <v>11.381484135107472</v>
      </c>
      <c r="AD84" s="158" t="e">
        <f t="shared" si="217"/>
        <v>#DIV/0!</v>
      </c>
      <c r="AE84" s="158" t="e">
        <f t="shared" si="217"/>
        <v>#DIV/0!</v>
      </c>
      <c r="AF84" s="158" t="e">
        <f t="shared" si="217"/>
        <v>#DIV/0!</v>
      </c>
      <c r="AG84" s="158">
        <f t="shared" si="217"/>
        <v>12.662538808212318</v>
      </c>
      <c r="AH84" s="158" t="e">
        <f t="shared" si="217"/>
        <v>#DIV/0!</v>
      </c>
      <c r="AI84" s="158" t="e">
        <f t="shared" si="217"/>
        <v>#DIV/0!</v>
      </c>
      <c r="AJ84" s="158">
        <f t="shared" si="217"/>
        <v>10.006748506577287</v>
      </c>
      <c r="AK84" s="158">
        <f>AK75/AK72</f>
        <v>5.7723650178260391</v>
      </c>
    </row>
    <row r="85" spans="2:37" ht="5.0999999999999996" customHeight="1" thickBot="1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</row>
  </sheetData>
  <mergeCells count="1">
    <mergeCell ref="AM2:AM4"/>
  </mergeCells>
  <pageMargins left="0.7" right="0.7" top="0.75" bottom="0.75" header="0.3" footer="0.3"/>
  <ignoredErrors>
    <ignoredError sqref="C41:AG41" formulaRange="1"/>
    <ignoredError sqref="J51:AK54" formula="1"/>
    <ignoredError sqref="M79:V84 C79:H8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2025-12-23T00:07:51Z</dcterms:modified>
</cp:coreProperties>
</file>