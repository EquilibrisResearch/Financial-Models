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8135E8CA-1EDC-474C-8C9B-71E8A3370666}" xr6:coauthVersionLast="47" xr6:coauthVersionMax="47" xr10:uidLastSave="{00000000-0000-0000-0000-000000000000}"/>
  <bookViews>
    <workbookView xWindow="-120" yWindow="-120" windowWidth="29040" windowHeight="15720" activeTab="1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0" i="11" l="1"/>
  <c r="AL21" i="11"/>
  <c r="W36" i="11"/>
  <c r="V36" i="11"/>
  <c r="U36" i="11"/>
  <c r="T36" i="11"/>
  <c r="S36" i="11"/>
  <c r="R36" i="11"/>
  <c r="Q36" i="11"/>
  <c r="P36" i="11"/>
  <c r="O36" i="11"/>
  <c r="N36" i="11"/>
  <c r="AA36" i="11" s="1"/>
  <c r="M36" i="11"/>
  <c r="L36" i="11"/>
  <c r="K36" i="11"/>
  <c r="J36" i="11"/>
  <c r="X36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Z35" i="11" s="1"/>
  <c r="J35" i="11"/>
  <c r="X35" i="11"/>
  <c r="AD13" i="11"/>
  <c r="AE13" i="11"/>
  <c r="Z74" i="11"/>
  <c r="Z71" i="11"/>
  <c r="Z70" i="11"/>
  <c r="Z72" i="11" s="1"/>
  <c r="Z69" i="11"/>
  <c r="Z68" i="11"/>
  <c r="Z66" i="11"/>
  <c r="Z65" i="11"/>
  <c r="Z62" i="11"/>
  <c r="Z61" i="11"/>
  <c r="Z60" i="11"/>
  <c r="Z59" i="11"/>
  <c r="Z58" i="11"/>
  <c r="Z57" i="11"/>
  <c r="Z56" i="11"/>
  <c r="Z52" i="11"/>
  <c r="Z51" i="11"/>
  <c r="Z53" i="11" s="1"/>
  <c r="Z50" i="11"/>
  <c r="Z44" i="11"/>
  <c r="Z43" i="11"/>
  <c r="Z42" i="11"/>
  <c r="Z41" i="11"/>
  <c r="Z40" i="11"/>
  <c r="Z37" i="11"/>
  <c r="Z36" i="11"/>
  <c r="Z34" i="11"/>
  <c r="Z30" i="11"/>
  <c r="Z29" i="11"/>
  <c r="Z25" i="11"/>
  <c r="Z21" i="11"/>
  <c r="Z20" i="11"/>
  <c r="Z16" i="11"/>
  <c r="Z11" i="11"/>
  <c r="Z10" i="11"/>
  <c r="Z9" i="11"/>
  <c r="Z8" i="11"/>
  <c r="Z7" i="11"/>
  <c r="Z6" i="11"/>
  <c r="Z12" i="11" s="1"/>
  <c r="Z17" i="11" s="1"/>
  <c r="Z4" i="11"/>
  <c r="Z3" i="11"/>
  <c r="AA74" i="11"/>
  <c r="AA71" i="11"/>
  <c r="AA70" i="11"/>
  <c r="AA69" i="11"/>
  <c r="AA68" i="11"/>
  <c r="AA72" i="11" s="1"/>
  <c r="AA66" i="11"/>
  <c r="AA65" i="11"/>
  <c r="AA62" i="11"/>
  <c r="AA61" i="11"/>
  <c r="AA60" i="11"/>
  <c r="AA59" i="11"/>
  <c r="AA58" i="11"/>
  <c r="AA57" i="11"/>
  <c r="AA56" i="11"/>
  <c r="AA52" i="11"/>
  <c r="AA51" i="11"/>
  <c r="AA50" i="11"/>
  <c r="AA53" i="11" s="1"/>
  <c r="AA44" i="11"/>
  <c r="AA43" i="11"/>
  <c r="AA42" i="11"/>
  <c r="AA41" i="11"/>
  <c r="AA40" i="11"/>
  <c r="AA37" i="11"/>
  <c r="AA35" i="11"/>
  <c r="AA34" i="11"/>
  <c r="AA30" i="11"/>
  <c r="AA29" i="11"/>
  <c r="AA25" i="11"/>
  <c r="AA21" i="11"/>
  <c r="AA20" i="11"/>
  <c r="AA16" i="11"/>
  <c r="AA11" i="11"/>
  <c r="AA10" i="11"/>
  <c r="AA9" i="11"/>
  <c r="AA12" i="11" s="1"/>
  <c r="AA17" i="11" s="1"/>
  <c r="AA8" i="11"/>
  <c r="AA7" i="11"/>
  <c r="AA6" i="11"/>
  <c r="AA4" i="11"/>
  <c r="AA3" i="11"/>
  <c r="AI70" i="11"/>
  <c r="AH70" i="11"/>
  <c r="AF70" i="11"/>
  <c r="AE70" i="11"/>
  <c r="AD70" i="11"/>
  <c r="AB70" i="11"/>
  <c r="AI69" i="11"/>
  <c r="AH69" i="11"/>
  <c r="AF69" i="11"/>
  <c r="AE69" i="11"/>
  <c r="AD69" i="11"/>
  <c r="AB69" i="11"/>
  <c r="AI68" i="11"/>
  <c r="AH68" i="11"/>
  <c r="AF68" i="11"/>
  <c r="AE68" i="11"/>
  <c r="AD68" i="11"/>
  <c r="AB68" i="11"/>
  <c r="AJ70" i="11"/>
  <c r="AJ69" i="11"/>
  <c r="AJ68" i="11"/>
  <c r="AI62" i="11"/>
  <c r="AI61" i="11"/>
  <c r="AH57" i="11"/>
  <c r="AH56" i="11"/>
  <c r="AJ61" i="11"/>
  <c r="AI52" i="11"/>
  <c r="AH52" i="11"/>
  <c r="AF52" i="11"/>
  <c r="AE52" i="11"/>
  <c r="AD52" i="11"/>
  <c r="AB52" i="11"/>
  <c r="AF50" i="11"/>
  <c r="AJ52" i="11"/>
  <c r="AI16" i="11"/>
  <c r="AD4" i="11"/>
  <c r="X11" i="11"/>
  <c r="W11" i="11"/>
  <c r="V11" i="11"/>
  <c r="U11" i="11"/>
  <c r="T11" i="11"/>
  <c r="AF11" i="11" s="1"/>
  <c r="S11" i="11"/>
  <c r="R11" i="11"/>
  <c r="AG11" i="11" s="1"/>
  <c r="Q11" i="11"/>
  <c r="P11" i="11"/>
  <c r="O11" i="11"/>
  <c r="AD11" i="11" s="1"/>
  <c r="N11" i="11"/>
  <c r="AC11" i="11" s="1"/>
  <c r="M11" i="11"/>
  <c r="L11" i="11"/>
  <c r="K11" i="11"/>
  <c r="J11" i="11"/>
  <c r="X10" i="11"/>
  <c r="W10" i="11"/>
  <c r="V10" i="11"/>
  <c r="U10" i="11"/>
  <c r="T10" i="11"/>
  <c r="S10" i="11"/>
  <c r="AF10" i="11" s="1"/>
  <c r="R10" i="11"/>
  <c r="Q10" i="11"/>
  <c r="P10" i="11"/>
  <c r="O10" i="11"/>
  <c r="N10" i="11"/>
  <c r="M10" i="11"/>
  <c r="AB10" i="11" s="1"/>
  <c r="L10" i="11"/>
  <c r="K10" i="11"/>
  <c r="J10" i="11"/>
  <c r="X9" i="11"/>
  <c r="W9" i="11"/>
  <c r="V9" i="11"/>
  <c r="U9" i="11"/>
  <c r="AJ9" i="11" s="1"/>
  <c r="T9" i="11"/>
  <c r="AI9" i="11" s="1"/>
  <c r="S9" i="11"/>
  <c r="R9" i="11"/>
  <c r="AF9" i="11" s="1"/>
  <c r="Q9" i="11"/>
  <c r="P9" i="11"/>
  <c r="O9" i="11"/>
  <c r="N9" i="11"/>
  <c r="M9" i="11"/>
  <c r="L9" i="11"/>
  <c r="K9" i="11"/>
  <c r="J9" i="11"/>
  <c r="X8" i="11"/>
  <c r="W8" i="11"/>
  <c r="AJ8" i="11" s="1"/>
  <c r="V8" i="11"/>
  <c r="U8" i="11"/>
  <c r="T8" i="11"/>
  <c r="S8" i="11"/>
  <c r="AH8" i="11" s="1"/>
  <c r="R8" i="11"/>
  <c r="Q8" i="11"/>
  <c r="AF8" i="11" s="1"/>
  <c r="P8" i="11"/>
  <c r="O8" i="11"/>
  <c r="N8" i="11"/>
  <c r="M8" i="11"/>
  <c r="L8" i="11"/>
  <c r="K8" i="11"/>
  <c r="J8" i="11"/>
  <c r="X7" i="11"/>
  <c r="AJ7" i="11" s="1"/>
  <c r="W7" i="11"/>
  <c r="V7" i="11"/>
  <c r="U7" i="11"/>
  <c r="T7" i="11"/>
  <c r="S7" i="11"/>
  <c r="R7" i="11"/>
  <c r="AG7" i="11" s="1"/>
  <c r="Q7" i="11"/>
  <c r="P7" i="11"/>
  <c r="AE7" i="11" s="1"/>
  <c r="O7" i="11"/>
  <c r="N7" i="11"/>
  <c r="M7" i="11"/>
  <c r="L7" i="11"/>
  <c r="K7" i="11"/>
  <c r="J7" i="11"/>
  <c r="X6" i="11"/>
  <c r="W6" i="11"/>
  <c r="V6" i="11"/>
  <c r="U6" i="11"/>
  <c r="T6" i="11"/>
  <c r="S6" i="11"/>
  <c r="R6" i="11"/>
  <c r="AG6" i="11" s="1"/>
  <c r="Q6" i="11"/>
  <c r="AF6" i="11" s="1"/>
  <c r="P6" i="11"/>
  <c r="O6" i="11"/>
  <c r="AD6" i="11" s="1"/>
  <c r="N6" i="11"/>
  <c r="M6" i="11"/>
  <c r="L6" i="11"/>
  <c r="K6" i="11"/>
  <c r="J6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H7" i="11"/>
  <c r="G7" i="11"/>
  <c r="F7" i="11"/>
  <c r="E7" i="11"/>
  <c r="D7" i="11"/>
  <c r="C7" i="11"/>
  <c r="H6" i="11"/>
  <c r="G6" i="11"/>
  <c r="F6" i="11"/>
  <c r="E6" i="11"/>
  <c r="D6" i="11"/>
  <c r="C6" i="11"/>
  <c r="AJ59" i="10"/>
  <c r="AI59" i="10"/>
  <c r="AH59" i="10"/>
  <c r="AG59" i="10"/>
  <c r="AF59" i="10"/>
  <c r="AE59" i="10"/>
  <c r="AD59" i="10"/>
  <c r="AC59" i="10"/>
  <c r="AB59" i="10"/>
  <c r="AA59" i="10"/>
  <c r="Z59" i="10"/>
  <c r="AJ58" i="10"/>
  <c r="AI58" i="10"/>
  <c r="AH58" i="10"/>
  <c r="AG58" i="10"/>
  <c r="AF58" i="10"/>
  <c r="AE58" i="10"/>
  <c r="AD58" i="10"/>
  <c r="AC58" i="10"/>
  <c r="AB58" i="10"/>
  <c r="AA58" i="10"/>
  <c r="Z58" i="10"/>
  <c r="Z60" i="10" s="1"/>
  <c r="Z61" i="10" s="1"/>
  <c r="AJ57" i="10"/>
  <c r="AI57" i="10"/>
  <c r="AH57" i="10"/>
  <c r="AG57" i="10"/>
  <c r="AF57" i="10"/>
  <c r="AE57" i="10"/>
  <c r="AD57" i="10"/>
  <c r="AC57" i="10"/>
  <c r="AB57" i="10"/>
  <c r="AA57" i="10"/>
  <c r="Z57" i="10"/>
  <c r="AJ56" i="10"/>
  <c r="AI56" i="10"/>
  <c r="AH56" i="10"/>
  <c r="AG56" i="10"/>
  <c r="AF56" i="10"/>
  <c r="AE56" i="10"/>
  <c r="AD56" i="10"/>
  <c r="AC56" i="10"/>
  <c r="AB56" i="10"/>
  <c r="AA56" i="10"/>
  <c r="Z56" i="10"/>
  <c r="AJ55" i="10"/>
  <c r="AI55" i="10"/>
  <c r="AH55" i="10"/>
  <c r="AG55" i="10"/>
  <c r="AF55" i="10"/>
  <c r="AE55" i="10"/>
  <c r="AD55" i="10"/>
  <c r="AC55" i="10"/>
  <c r="AB55" i="10"/>
  <c r="AA55" i="10"/>
  <c r="Z55" i="10"/>
  <c r="AJ54" i="10"/>
  <c r="AI54" i="10"/>
  <c r="AH54" i="10"/>
  <c r="AG54" i="10"/>
  <c r="AF54" i="10"/>
  <c r="AE54" i="10"/>
  <c r="AD54" i="10"/>
  <c r="AC54" i="10"/>
  <c r="AB54" i="10"/>
  <c r="AA54" i="10"/>
  <c r="Z54" i="10"/>
  <c r="AJ42" i="10"/>
  <c r="AI42" i="10"/>
  <c r="AH42" i="10"/>
  <c r="AG42" i="10"/>
  <c r="AF42" i="10"/>
  <c r="AE42" i="10"/>
  <c r="AD42" i="10"/>
  <c r="AC42" i="10"/>
  <c r="AB42" i="10"/>
  <c r="AA42" i="10"/>
  <c r="Z42" i="10"/>
  <c r="AJ41" i="10"/>
  <c r="AI41" i="10"/>
  <c r="AH41" i="10"/>
  <c r="AG41" i="10"/>
  <c r="AF41" i="10"/>
  <c r="AE41" i="10"/>
  <c r="AD41" i="10"/>
  <c r="AC41" i="10"/>
  <c r="AB41" i="10"/>
  <c r="AA41" i="10"/>
  <c r="Z41" i="10"/>
  <c r="AJ40" i="10"/>
  <c r="AI40" i="10"/>
  <c r="AH40" i="10"/>
  <c r="AG40" i="10"/>
  <c r="AF40" i="10"/>
  <c r="AE40" i="10"/>
  <c r="AD40" i="10"/>
  <c r="AC40" i="10"/>
  <c r="AB40" i="10"/>
  <c r="AA40" i="10"/>
  <c r="Z40" i="10"/>
  <c r="AJ39" i="10"/>
  <c r="AI39" i="10"/>
  <c r="AH39" i="10"/>
  <c r="AG39" i="10"/>
  <c r="AF39" i="10"/>
  <c r="AE39" i="10"/>
  <c r="AD39" i="10"/>
  <c r="AC39" i="10"/>
  <c r="AB39" i="10"/>
  <c r="AA39" i="10"/>
  <c r="Z39" i="10"/>
  <c r="AJ38" i="10"/>
  <c r="AI38" i="10"/>
  <c r="AH38" i="10"/>
  <c r="AG38" i="10"/>
  <c r="AF38" i="10"/>
  <c r="AE38" i="10"/>
  <c r="AD38" i="10"/>
  <c r="AC38" i="10"/>
  <c r="AB38" i="10"/>
  <c r="AA38" i="10"/>
  <c r="Z38" i="10"/>
  <c r="AJ37" i="10"/>
  <c r="AI37" i="10"/>
  <c r="AH37" i="10"/>
  <c r="AG37" i="10"/>
  <c r="AF37" i="10"/>
  <c r="AE37" i="10"/>
  <c r="AD37" i="10"/>
  <c r="AC37" i="10"/>
  <c r="AB37" i="10"/>
  <c r="AA37" i="10"/>
  <c r="Z37" i="10"/>
  <c r="AJ25" i="10"/>
  <c r="AI25" i="10"/>
  <c r="AH25" i="10"/>
  <c r="AG25" i="10"/>
  <c r="AF25" i="10"/>
  <c r="AE25" i="10"/>
  <c r="AD25" i="10"/>
  <c r="AC25" i="10"/>
  <c r="AB25" i="10"/>
  <c r="AA25" i="10"/>
  <c r="Z25" i="10"/>
  <c r="AJ24" i="10"/>
  <c r="AI24" i="10"/>
  <c r="AH24" i="10"/>
  <c r="AG24" i="10"/>
  <c r="AF24" i="10"/>
  <c r="AE24" i="10"/>
  <c r="AD24" i="10"/>
  <c r="AC24" i="10"/>
  <c r="AB24" i="10"/>
  <c r="AA24" i="10"/>
  <c r="Z24" i="10"/>
  <c r="AJ23" i="10"/>
  <c r="AI23" i="10"/>
  <c r="AH23" i="10"/>
  <c r="AG23" i="10"/>
  <c r="AF23" i="10"/>
  <c r="AE23" i="10"/>
  <c r="AD23" i="10"/>
  <c r="AC23" i="10"/>
  <c r="AB23" i="10"/>
  <c r="AA23" i="10"/>
  <c r="Z23" i="10"/>
  <c r="AJ22" i="10"/>
  <c r="AI22" i="10"/>
  <c r="AH22" i="10"/>
  <c r="AG22" i="10"/>
  <c r="AF22" i="10"/>
  <c r="AE22" i="10"/>
  <c r="AD22" i="10"/>
  <c r="AC22" i="10"/>
  <c r="AB22" i="10"/>
  <c r="AA22" i="10"/>
  <c r="Z22" i="10"/>
  <c r="AJ21" i="10"/>
  <c r="AI21" i="10"/>
  <c r="AH21" i="10"/>
  <c r="AG21" i="10"/>
  <c r="AF21" i="10"/>
  <c r="AE21" i="10"/>
  <c r="AD21" i="10"/>
  <c r="AC21" i="10"/>
  <c r="AB21" i="10"/>
  <c r="AA21" i="10"/>
  <c r="Z21" i="10"/>
  <c r="AJ20" i="10"/>
  <c r="AI20" i="10"/>
  <c r="AH20" i="10"/>
  <c r="AG20" i="10"/>
  <c r="AF20" i="10"/>
  <c r="AE20" i="10"/>
  <c r="AD20" i="10"/>
  <c r="AC20" i="10"/>
  <c r="AB20" i="10"/>
  <c r="AA20" i="10"/>
  <c r="Z20" i="10"/>
  <c r="Z15" i="10"/>
  <c r="Z14" i="10"/>
  <c r="Z10" i="10"/>
  <c r="Z9" i="10"/>
  <c r="Z11" i="10" s="1"/>
  <c r="Z12" i="10" s="1"/>
  <c r="Z4" i="10"/>
  <c r="Z3" i="10"/>
  <c r="AI10" i="10"/>
  <c r="AD10" i="10"/>
  <c r="AE9" i="10"/>
  <c r="AH4" i="10"/>
  <c r="AG4" i="10"/>
  <c r="AI3" i="10"/>
  <c r="AH3" i="10"/>
  <c r="AA3" i="10"/>
  <c r="AJ3" i="10"/>
  <c r="X73" i="8"/>
  <c r="X72" i="8"/>
  <c r="T73" i="8"/>
  <c r="T72" i="8"/>
  <c r="AL119" i="8"/>
  <c r="AL118" i="8"/>
  <c r="AL117" i="8"/>
  <c r="AL116" i="8"/>
  <c r="AL112" i="8"/>
  <c r="AL111" i="8"/>
  <c r="AL110" i="8"/>
  <c r="Z130" i="8"/>
  <c r="AJ129" i="8"/>
  <c r="AI129" i="8"/>
  <c r="AH129" i="8"/>
  <c r="AG129" i="8"/>
  <c r="AF129" i="8"/>
  <c r="AE129" i="8"/>
  <c r="AD129" i="8"/>
  <c r="AC129" i="8"/>
  <c r="AB129" i="8"/>
  <c r="AJ128" i="8"/>
  <c r="AI128" i="8"/>
  <c r="AH128" i="8"/>
  <c r="AG128" i="8"/>
  <c r="AF128" i="8"/>
  <c r="AE128" i="8"/>
  <c r="AF124" i="8" s="1"/>
  <c r="AD128" i="8"/>
  <c r="AC128" i="8"/>
  <c r="AD124" i="8" s="1"/>
  <c r="AB128" i="8"/>
  <c r="AJ127" i="8"/>
  <c r="AI127" i="8"/>
  <c r="AH127" i="8"/>
  <c r="AG127" i="8"/>
  <c r="AF127" i="8"/>
  <c r="AE127" i="8"/>
  <c r="AD127" i="8"/>
  <c r="AC127" i="8"/>
  <c r="AB127" i="8"/>
  <c r="AJ124" i="8"/>
  <c r="AI124" i="8"/>
  <c r="AH124" i="8"/>
  <c r="AG124" i="8"/>
  <c r="AE124" i="8"/>
  <c r="AC124" i="8"/>
  <c r="AB124" i="8"/>
  <c r="T48" i="8"/>
  <c r="X48" i="8"/>
  <c r="X127" i="8"/>
  <c r="T127" i="8"/>
  <c r="T119" i="8"/>
  <c r="T118" i="8"/>
  <c r="T117" i="8"/>
  <c r="T116" i="8"/>
  <c r="T42" i="11" s="1"/>
  <c r="X119" i="8"/>
  <c r="X118" i="8"/>
  <c r="X117" i="8"/>
  <c r="X116" i="8"/>
  <c r="T112" i="8"/>
  <c r="T109" i="8"/>
  <c r="X112" i="8"/>
  <c r="X110" i="8"/>
  <c r="X109" i="8"/>
  <c r="X105" i="8"/>
  <c r="X104" i="8"/>
  <c r="X103" i="8"/>
  <c r="X102" i="8"/>
  <c r="X101" i="8"/>
  <c r="T101" i="8"/>
  <c r="AF101" i="8" s="1"/>
  <c r="T102" i="8"/>
  <c r="T103" i="8"/>
  <c r="T104" i="8"/>
  <c r="U104" i="8" s="1"/>
  <c r="AH104" i="8" s="1"/>
  <c r="T105" i="8"/>
  <c r="T98" i="8"/>
  <c r="T97" i="8"/>
  <c r="AF97" i="8" s="1"/>
  <c r="T96" i="8"/>
  <c r="T95" i="8"/>
  <c r="X98" i="8"/>
  <c r="X97" i="8"/>
  <c r="X96" i="8"/>
  <c r="X95" i="8"/>
  <c r="S73" i="8"/>
  <c r="S72" i="8"/>
  <c r="AE72" i="8" s="1"/>
  <c r="W73" i="8"/>
  <c r="W72" i="8"/>
  <c r="AI72" i="8" s="1"/>
  <c r="S48" i="8"/>
  <c r="W48" i="8"/>
  <c r="S127" i="8"/>
  <c r="W127" i="8"/>
  <c r="W119" i="8"/>
  <c r="W117" i="8"/>
  <c r="W116" i="8"/>
  <c r="W112" i="8"/>
  <c r="W110" i="8"/>
  <c r="W109" i="8"/>
  <c r="S109" i="8"/>
  <c r="AF109" i="8" s="1"/>
  <c r="S112" i="8"/>
  <c r="U112" i="8" s="1"/>
  <c r="AG112" i="8" s="1"/>
  <c r="S119" i="8"/>
  <c r="S117" i="8"/>
  <c r="U117" i="8" s="1"/>
  <c r="U43" i="11" s="1"/>
  <c r="S116" i="8"/>
  <c r="W105" i="8"/>
  <c r="W104" i="8"/>
  <c r="W103" i="8"/>
  <c r="W102" i="8"/>
  <c r="W101" i="8"/>
  <c r="W98" i="8"/>
  <c r="W97" i="8"/>
  <c r="W96" i="8"/>
  <c r="W95" i="8"/>
  <c r="W25" i="11" s="1"/>
  <c r="S95" i="8"/>
  <c r="S96" i="8"/>
  <c r="S97" i="8"/>
  <c r="AE97" i="8" s="1"/>
  <c r="S98" i="8"/>
  <c r="S101" i="8"/>
  <c r="S102" i="8"/>
  <c r="S103" i="8"/>
  <c r="S104" i="8"/>
  <c r="S105" i="8"/>
  <c r="W37" i="11"/>
  <c r="X74" i="11"/>
  <c r="AJ74" i="11" s="1"/>
  <c r="W74" i="11"/>
  <c r="AI74" i="11" s="1"/>
  <c r="V74" i="11"/>
  <c r="AH74" i="11" s="1"/>
  <c r="X71" i="11"/>
  <c r="X72" i="11" s="1"/>
  <c r="W71" i="11"/>
  <c r="W72" i="11" s="1"/>
  <c r="V71" i="11"/>
  <c r="AH71" i="11" s="1"/>
  <c r="X66" i="11"/>
  <c r="AJ66" i="11" s="1"/>
  <c r="V66" i="11"/>
  <c r="AH66" i="11" s="1"/>
  <c r="X65" i="11"/>
  <c r="AJ65" i="11" s="1"/>
  <c r="W65" i="11"/>
  <c r="AI65" i="11" s="1"/>
  <c r="V65" i="11"/>
  <c r="AH65" i="11" s="1"/>
  <c r="V62" i="11"/>
  <c r="AH62" i="11" s="1"/>
  <c r="X61" i="11"/>
  <c r="W61" i="11"/>
  <c r="V61" i="11"/>
  <c r="AH61" i="11" s="1"/>
  <c r="X60" i="11"/>
  <c r="AJ60" i="11" s="1"/>
  <c r="W60" i="11"/>
  <c r="AI60" i="11" s="1"/>
  <c r="V60" i="11"/>
  <c r="AH60" i="11" s="1"/>
  <c r="X59" i="11"/>
  <c r="AJ59" i="11" s="1"/>
  <c r="W59" i="11"/>
  <c r="AI59" i="11" s="1"/>
  <c r="V59" i="11"/>
  <c r="AH59" i="11" s="1"/>
  <c r="X58" i="11"/>
  <c r="AJ58" i="11" s="1"/>
  <c r="W58" i="11"/>
  <c r="AI58" i="11" s="1"/>
  <c r="V58" i="11"/>
  <c r="AH58" i="11" s="1"/>
  <c r="X57" i="11"/>
  <c r="AJ57" i="11" s="1"/>
  <c r="W57" i="11"/>
  <c r="AI57" i="11" s="1"/>
  <c r="V57" i="11"/>
  <c r="X56" i="11"/>
  <c r="AJ56" i="11" s="1"/>
  <c r="W56" i="11"/>
  <c r="AI56" i="11" s="1"/>
  <c r="V56" i="11"/>
  <c r="X51" i="11"/>
  <c r="AJ51" i="11" s="1"/>
  <c r="W51" i="11"/>
  <c r="AI51" i="11" s="1"/>
  <c r="V51" i="11"/>
  <c r="AH51" i="11" s="1"/>
  <c r="X50" i="11"/>
  <c r="AJ50" i="11" s="1"/>
  <c r="W50" i="11"/>
  <c r="AI50" i="11" s="1"/>
  <c r="V50" i="11"/>
  <c r="AH50" i="11" s="1"/>
  <c r="X44" i="11"/>
  <c r="W44" i="11"/>
  <c r="V44" i="11"/>
  <c r="X43" i="11"/>
  <c r="W43" i="11"/>
  <c r="V43" i="11"/>
  <c r="X42" i="11"/>
  <c r="W42" i="11"/>
  <c r="V42" i="11"/>
  <c r="X41" i="11"/>
  <c r="W41" i="11"/>
  <c r="V41" i="11"/>
  <c r="X40" i="11"/>
  <c r="W40" i="11"/>
  <c r="V40" i="11"/>
  <c r="X37" i="11"/>
  <c r="V37" i="11"/>
  <c r="X34" i="11"/>
  <c r="W34" i="11"/>
  <c r="V34" i="11"/>
  <c r="X29" i="11"/>
  <c r="W29" i="11"/>
  <c r="V29" i="11"/>
  <c r="V25" i="11"/>
  <c r="X21" i="11"/>
  <c r="X30" i="11" s="1"/>
  <c r="W21" i="11"/>
  <c r="W30" i="11" s="1"/>
  <c r="V21" i="11"/>
  <c r="V30" i="11" s="1"/>
  <c r="X20" i="11"/>
  <c r="W20" i="11"/>
  <c r="V20" i="11"/>
  <c r="X16" i="11"/>
  <c r="W16" i="11"/>
  <c r="V16" i="11"/>
  <c r="X4" i="11"/>
  <c r="AJ4" i="11" s="1"/>
  <c r="W4" i="11"/>
  <c r="AI4" i="11" s="1"/>
  <c r="V4" i="11"/>
  <c r="AH4" i="11" s="1"/>
  <c r="X3" i="11"/>
  <c r="AJ3" i="11" s="1"/>
  <c r="W3" i="11"/>
  <c r="AI3" i="11" s="1"/>
  <c r="V3" i="11"/>
  <c r="AH3" i="11" s="1"/>
  <c r="R73" i="8"/>
  <c r="R72" i="8"/>
  <c r="V73" i="8"/>
  <c r="V72" i="8"/>
  <c r="X25" i="10"/>
  <c r="W25" i="10"/>
  <c r="V25" i="10"/>
  <c r="T25" i="10"/>
  <c r="S25" i="10"/>
  <c r="R25" i="10"/>
  <c r="P25" i="10"/>
  <c r="O25" i="10"/>
  <c r="N25" i="10"/>
  <c r="L25" i="10"/>
  <c r="K25" i="10"/>
  <c r="X24" i="10"/>
  <c r="W24" i="10"/>
  <c r="V24" i="10"/>
  <c r="T24" i="10"/>
  <c r="S24" i="10"/>
  <c r="R24" i="10"/>
  <c r="P24" i="10"/>
  <c r="P26" i="10" s="1"/>
  <c r="P30" i="10" s="1"/>
  <c r="O24" i="10"/>
  <c r="N24" i="10"/>
  <c r="L24" i="10"/>
  <c r="K24" i="10"/>
  <c r="X23" i="10"/>
  <c r="W23" i="10"/>
  <c r="V23" i="10"/>
  <c r="T23" i="10"/>
  <c r="S23" i="10"/>
  <c r="R23" i="10"/>
  <c r="P23" i="10"/>
  <c r="O23" i="10"/>
  <c r="N23" i="10"/>
  <c r="M23" i="10"/>
  <c r="L23" i="10"/>
  <c r="K23" i="10"/>
  <c r="X22" i="10"/>
  <c r="W22" i="10"/>
  <c r="V22" i="10"/>
  <c r="T22" i="10"/>
  <c r="S22" i="10"/>
  <c r="R22" i="10"/>
  <c r="Q22" i="10"/>
  <c r="P22" i="10"/>
  <c r="O22" i="10"/>
  <c r="N22" i="10"/>
  <c r="L22" i="10"/>
  <c r="K22" i="10"/>
  <c r="X21" i="10"/>
  <c r="W21" i="10"/>
  <c r="V21" i="10"/>
  <c r="T21" i="10"/>
  <c r="S21" i="10"/>
  <c r="R21" i="10"/>
  <c r="P21" i="10"/>
  <c r="O21" i="10"/>
  <c r="N21" i="10"/>
  <c r="L21" i="10"/>
  <c r="K21" i="10"/>
  <c r="X20" i="10"/>
  <c r="W20" i="10"/>
  <c r="V20" i="10"/>
  <c r="T20" i="10"/>
  <c r="S20" i="10"/>
  <c r="R20" i="10"/>
  <c r="P20" i="10"/>
  <c r="O20" i="10"/>
  <c r="N20" i="10"/>
  <c r="L20" i="10"/>
  <c r="K20" i="10"/>
  <c r="J25" i="10"/>
  <c r="J24" i="10"/>
  <c r="J23" i="10"/>
  <c r="J22" i="10"/>
  <c r="J21" i="10"/>
  <c r="J20" i="10"/>
  <c r="F33" i="10"/>
  <c r="H25" i="10"/>
  <c r="G25" i="10"/>
  <c r="F25" i="10"/>
  <c r="E25" i="10"/>
  <c r="D25" i="10"/>
  <c r="C25" i="10"/>
  <c r="H24" i="10"/>
  <c r="G24" i="10"/>
  <c r="F24" i="10"/>
  <c r="E24" i="10"/>
  <c r="D24" i="10"/>
  <c r="C24" i="10"/>
  <c r="H23" i="10"/>
  <c r="G23" i="10"/>
  <c r="F23" i="10"/>
  <c r="F32" i="10" s="1"/>
  <c r="E23" i="10"/>
  <c r="D23" i="10"/>
  <c r="C23" i="10"/>
  <c r="H22" i="10"/>
  <c r="G22" i="10"/>
  <c r="F22" i="10"/>
  <c r="F31" i="10" s="1"/>
  <c r="E22" i="10"/>
  <c r="D22" i="10"/>
  <c r="C22" i="10"/>
  <c r="H21" i="10"/>
  <c r="G21" i="10"/>
  <c r="F21" i="10"/>
  <c r="F30" i="10" s="1"/>
  <c r="E21" i="10"/>
  <c r="D21" i="10"/>
  <c r="C21" i="10"/>
  <c r="H20" i="10"/>
  <c r="G20" i="10"/>
  <c r="F20" i="10"/>
  <c r="F29" i="10" s="1"/>
  <c r="E20" i="10"/>
  <c r="D20" i="10"/>
  <c r="C20" i="10"/>
  <c r="B34" i="10"/>
  <c r="B33" i="10"/>
  <c r="B32" i="10"/>
  <c r="B31" i="10"/>
  <c r="B30" i="10"/>
  <c r="B29" i="10"/>
  <c r="L26" i="10"/>
  <c r="L34" i="10" s="1"/>
  <c r="F26" i="10"/>
  <c r="U9" i="10"/>
  <c r="AI9" i="10" s="1"/>
  <c r="X60" i="10"/>
  <c r="X61" i="10" s="1"/>
  <c r="W60" i="10"/>
  <c r="W61" i="10" s="1"/>
  <c r="V60" i="10"/>
  <c r="V61" i="10" s="1"/>
  <c r="X43" i="10"/>
  <c r="X68" i="10" s="1"/>
  <c r="W43" i="10"/>
  <c r="W44" i="10" s="1"/>
  <c r="V43" i="10"/>
  <c r="V66" i="10" s="1"/>
  <c r="X11" i="10"/>
  <c r="X15" i="10" s="1"/>
  <c r="W11" i="10"/>
  <c r="W15" i="10" s="1"/>
  <c r="V11" i="10"/>
  <c r="V15" i="10" s="1"/>
  <c r="X4" i="10"/>
  <c r="AJ4" i="10" s="1"/>
  <c r="W4" i="10"/>
  <c r="AI4" i="10" s="1"/>
  <c r="V4" i="10"/>
  <c r="X3" i="10"/>
  <c r="W3" i="10"/>
  <c r="V3" i="10"/>
  <c r="V48" i="8"/>
  <c r="R48" i="8"/>
  <c r="AD48" i="8" s="1"/>
  <c r="U127" i="8"/>
  <c r="V102" i="8"/>
  <c r="V98" i="8"/>
  <c r="R102" i="8"/>
  <c r="R98" i="8"/>
  <c r="AE98" i="8"/>
  <c r="X18" i="8"/>
  <c r="R66" i="8"/>
  <c r="V66" i="8"/>
  <c r="S66" i="8"/>
  <c r="AE66" i="8" s="1"/>
  <c r="W66" i="8"/>
  <c r="T66" i="8"/>
  <c r="X66" i="8"/>
  <c r="AA129" i="8"/>
  <c r="AA127" i="8"/>
  <c r="Z127" i="8"/>
  <c r="Z124" i="8"/>
  <c r="Z129" i="8"/>
  <c r="Z123" i="8"/>
  <c r="AJ136" i="8"/>
  <c r="AI136" i="8"/>
  <c r="AH136" i="8"/>
  <c r="AG136" i="8"/>
  <c r="AF136" i="8"/>
  <c r="AE136" i="8"/>
  <c r="AD136" i="8"/>
  <c r="AC136" i="8"/>
  <c r="AB136" i="8"/>
  <c r="AA136" i="8"/>
  <c r="Z136" i="8"/>
  <c r="AJ135" i="8"/>
  <c r="AI135" i="8"/>
  <c r="AH135" i="8"/>
  <c r="AG135" i="8"/>
  <c r="AF135" i="8"/>
  <c r="AE135" i="8"/>
  <c r="AD135" i="8"/>
  <c r="AC135" i="8"/>
  <c r="AB135" i="8"/>
  <c r="AA135" i="8"/>
  <c r="Z135" i="8"/>
  <c r="Z95" i="8"/>
  <c r="AC92" i="8"/>
  <c r="AB92" i="8"/>
  <c r="AA92" i="8"/>
  <c r="Z92" i="8"/>
  <c r="Z128" i="8"/>
  <c r="AA124" i="8"/>
  <c r="AA128" i="8"/>
  <c r="AF118" i="8"/>
  <c r="AE118" i="8"/>
  <c r="AD118" i="8"/>
  <c r="AC118" i="8"/>
  <c r="AB118" i="8"/>
  <c r="AA118" i="8"/>
  <c r="Z118" i="8"/>
  <c r="AF117" i="8"/>
  <c r="AE117" i="8"/>
  <c r="AD117" i="8"/>
  <c r="AC117" i="8"/>
  <c r="AB117" i="8"/>
  <c r="AA117" i="8"/>
  <c r="Z117" i="8"/>
  <c r="AF116" i="8"/>
  <c r="AE116" i="8"/>
  <c r="AD116" i="8"/>
  <c r="AC116" i="8"/>
  <c r="AB116" i="8"/>
  <c r="AA116" i="8"/>
  <c r="Z116" i="8"/>
  <c r="AF119" i="8"/>
  <c r="AE119" i="8"/>
  <c r="AD119" i="8"/>
  <c r="AC119" i="8"/>
  <c r="AB119" i="8"/>
  <c r="AA119" i="8"/>
  <c r="Z119" i="8"/>
  <c r="AE112" i="8"/>
  <c r="AD112" i="8"/>
  <c r="AC112" i="8"/>
  <c r="AB112" i="8"/>
  <c r="AA112" i="8"/>
  <c r="Z112" i="8"/>
  <c r="AF111" i="8"/>
  <c r="AE111" i="8"/>
  <c r="AD111" i="8"/>
  <c r="AC111" i="8"/>
  <c r="AB111" i="8"/>
  <c r="AA111" i="8"/>
  <c r="Z111" i="8"/>
  <c r="AF110" i="8"/>
  <c r="AE110" i="8"/>
  <c r="AD110" i="8"/>
  <c r="AC110" i="8"/>
  <c r="AB110" i="8"/>
  <c r="AA110" i="8"/>
  <c r="Z110" i="8"/>
  <c r="AD109" i="8"/>
  <c r="AC109" i="8"/>
  <c r="AB109" i="8"/>
  <c r="AA109" i="8"/>
  <c r="Z109" i="8"/>
  <c r="AD97" i="8"/>
  <c r="AC97" i="8"/>
  <c r="AB97" i="8"/>
  <c r="AA97" i="8"/>
  <c r="Z97" i="8"/>
  <c r="AF96" i="8"/>
  <c r="AE96" i="8"/>
  <c r="AD96" i="8"/>
  <c r="AC96" i="8"/>
  <c r="AB96" i="8"/>
  <c r="AA96" i="8"/>
  <c r="Z96" i="8"/>
  <c r="AF95" i="8"/>
  <c r="AE95" i="8"/>
  <c r="AD95" i="8"/>
  <c r="AC95" i="8"/>
  <c r="AB95" i="8"/>
  <c r="AA95" i="8"/>
  <c r="AF98" i="8"/>
  <c r="AC98" i="8"/>
  <c r="AB98" i="8"/>
  <c r="AA98" i="8"/>
  <c r="Z98" i="8"/>
  <c r="AF105" i="8"/>
  <c r="AE105" i="8"/>
  <c r="AD105" i="8"/>
  <c r="AC105" i="8"/>
  <c r="AB105" i="8"/>
  <c r="AA105" i="8"/>
  <c r="Z105" i="8"/>
  <c r="AE104" i="8"/>
  <c r="AD104" i="8"/>
  <c r="AC104" i="8"/>
  <c r="AB104" i="8"/>
  <c r="AA104" i="8"/>
  <c r="Z104" i="8"/>
  <c r="AF103" i="8"/>
  <c r="AE103" i="8"/>
  <c r="AD103" i="8"/>
  <c r="AC103" i="8"/>
  <c r="AB103" i="8"/>
  <c r="AA103" i="8"/>
  <c r="Z103" i="8"/>
  <c r="AF102" i="8"/>
  <c r="AE102" i="8"/>
  <c r="AD102" i="8"/>
  <c r="AC102" i="8"/>
  <c r="AB102" i="8"/>
  <c r="AA102" i="8"/>
  <c r="Z102" i="8"/>
  <c r="AE101" i="8"/>
  <c r="AD101" i="8"/>
  <c r="AC101" i="8"/>
  <c r="AB101" i="8"/>
  <c r="AA101" i="8"/>
  <c r="Z101" i="8"/>
  <c r="AJ80" i="8"/>
  <c r="AI80" i="8"/>
  <c r="AH80" i="8"/>
  <c r="AG80" i="8"/>
  <c r="AF80" i="8"/>
  <c r="AE80" i="8"/>
  <c r="AD80" i="8"/>
  <c r="AC80" i="8"/>
  <c r="AB80" i="8"/>
  <c r="AA80" i="8"/>
  <c r="Z80" i="8"/>
  <c r="AJ79" i="8"/>
  <c r="AI79" i="8"/>
  <c r="AH79" i="8"/>
  <c r="AG79" i="8"/>
  <c r="AF79" i="8"/>
  <c r="AE79" i="8"/>
  <c r="AD79" i="8"/>
  <c r="AC79" i="8"/>
  <c r="AB79" i="8"/>
  <c r="AA79" i="8"/>
  <c r="Z79" i="8"/>
  <c r="AJ78" i="8"/>
  <c r="AI78" i="8"/>
  <c r="AH78" i="8"/>
  <c r="AG78" i="8"/>
  <c r="AF78" i="8"/>
  <c r="AE78" i="8"/>
  <c r="AD78" i="8"/>
  <c r="AC78" i="8"/>
  <c r="AB78" i="8"/>
  <c r="AA78" i="8"/>
  <c r="Z78" i="8"/>
  <c r="AJ77" i="8"/>
  <c r="AI77" i="8"/>
  <c r="AH77" i="8"/>
  <c r="AG77" i="8"/>
  <c r="AF77" i="8"/>
  <c r="AE77" i="8"/>
  <c r="AD77" i="8"/>
  <c r="AC77" i="8"/>
  <c r="AB77" i="8"/>
  <c r="AA77" i="8"/>
  <c r="Z77" i="8"/>
  <c r="AJ76" i="8"/>
  <c r="AI76" i="8"/>
  <c r="AH76" i="8"/>
  <c r="AG76" i="8"/>
  <c r="AF76" i="8"/>
  <c r="AE76" i="8"/>
  <c r="AD76" i="8"/>
  <c r="AC76" i="8"/>
  <c r="AB76" i="8"/>
  <c r="AA76" i="8"/>
  <c r="Z76" i="8"/>
  <c r="AJ73" i="8"/>
  <c r="AI73" i="8"/>
  <c r="AH73" i="8"/>
  <c r="AG73" i="8"/>
  <c r="AF73" i="8"/>
  <c r="AE73" i="8"/>
  <c r="AD73" i="8"/>
  <c r="AC73" i="8"/>
  <c r="AB73" i="8"/>
  <c r="AA73" i="8"/>
  <c r="Z73" i="8"/>
  <c r="AJ72" i="8"/>
  <c r="AH72" i="8"/>
  <c r="AG72" i="8"/>
  <c r="AF72" i="8"/>
  <c r="AD72" i="8"/>
  <c r="AC72" i="8"/>
  <c r="AB72" i="8"/>
  <c r="AA72" i="8"/>
  <c r="Z72" i="8"/>
  <c r="AJ71" i="8"/>
  <c r="AI71" i="8"/>
  <c r="AH71" i="8"/>
  <c r="AG71" i="8"/>
  <c r="AF71" i="8"/>
  <c r="AE71" i="8"/>
  <c r="AD71" i="8"/>
  <c r="AC71" i="8"/>
  <c r="AB71" i="8"/>
  <c r="AA71" i="8"/>
  <c r="Z71" i="8"/>
  <c r="AJ70" i="8"/>
  <c r="AI70" i="8"/>
  <c r="AH70" i="8"/>
  <c r="AG70" i="8"/>
  <c r="AF70" i="8"/>
  <c r="AE70" i="8"/>
  <c r="AD70" i="8"/>
  <c r="AC70" i="8"/>
  <c r="AB70" i="8"/>
  <c r="AA70" i="8"/>
  <c r="Z70" i="8"/>
  <c r="AJ66" i="8"/>
  <c r="AI66" i="8"/>
  <c r="AH66" i="8"/>
  <c r="AG66" i="8"/>
  <c r="AF66" i="8"/>
  <c r="AD66" i="8"/>
  <c r="AC66" i="8"/>
  <c r="AB66" i="8"/>
  <c r="AA66" i="8"/>
  <c r="Z66" i="8"/>
  <c r="AJ65" i="8"/>
  <c r="AI65" i="8"/>
  <c r="AH65" i="8"/>
  <c r="AG65" i="8"/>
  <c r="AF65" i="8"/>
  <c r="AE65" i="8"/>
  <c r="AD65" i="8"/>
  <c r="AC65" i="8"/>
  <c r="AB65" i="8"/>
  <c r="AA65" i="8"/>
  <c r="Z65" i="8"/>
  <c r="AJ64" i="8"/>
  <c r="AI64" i="8"/>
  <c r="AH64" i="8"/>
  <c r="AG64" i="8"/>
  <c r="AF64" i="8"/>
  <c r="AE64" i="8"/>
  <c r="AD64" i="8"/>
  <c r="AC64" i="8"/>
  <c r="AB64" i="8"/>
  <c r="AA64" i="8"/>
  <c r="Z64" i="8"/>
  <c r="AJ63" i="8"/>
  <c r="AI63" i="8"/>
  <c r="AH63" i="8"/>
  <c r="AG63" i="8"/>
  <c r="AF63" i="8"/>
  <c r="AE63" i="8"/>
  <c r="AD63" i="8"/>
  <c r="AC63" i="8"/>
  <c r="AB63" i="8"/>
  <c r="AA63" i="8"/>
  <c r="Z63" i="8"/>
  <c r="AJ62" i="8"/>
  <c r="AI62" i="8"/>
  <c r="AH62" i="8"/>
  <c r="AG62" i="8"/>
  <c r="AF62" i="8"/>
  <c r="AE62" i="8"/>
  <c r="AD62" i="8"/>
  <c r="AC62" i="8"/>
  <c r="AB62" i="8"/>
  <c r="AA62" i="8"/>
  <c r="Z62" i="8"/>
  <c r="AJ61" i="8"/>
  <c r="AI61" i="8"/>
  <c r="AH61" i="8"/>
  <c r="AG61" i="8"/>
  <c r="AF61" i="8"/>
  <c r="AE61" i="8"/>
  <c r="AD61" i="8"/>
  <c r="AC61" i="8"/>
  <c r="AB61" i="8"/>
  <c r="AA61" i="8"/>
  <c r="Z61" i="8"/>
  <c r="AJ60" i="8"/>
  <c r="AI60" i="8"/>
  <c r="AH60" i="8"/>
  <c r="AG60" i="8"/>
  <c r="AF60" i="8"/>
  <c r="AE60" i="8"/>
  <c r="AD60" i="8"/>
  <c r="AC60" i="8"/>
  <c r="AB60" i="8"/>
  <c r="AA60" i="8"/>
  <c r="Z60" i="8"/>
  <c r="AJ59" i="8"/>
  <c r="AI59" i="8"/>
  <c r="AH59" i="8"/>
  <c r="AG59" i="8"/>
  <c r="AF59" i="8"/>
  <c r="AE59" i="8"/>
  <c r="AD59" i="8"/>
  <c r="AC59" i="8"/>
  <c r="AB59" i="8"/>
  <c r="AA59" i="8"/>
  <c r="Z59" i="8"/>
  <c r="AJ55" i="8"/>
  <c r="AI55" i="8"/>
  <c r="AH55" i="8"/>
  <c r="AG55" i="8"/>
  <c r="AF55" i="8"/>
  <c r="AE55" i="8"/>
  <c r="AD55" i="8"/>
  <c r="AC55" i="8"/>
  <c r="AB55" i="8"/>
  <c r="AA55" i="8"/>
  <c r="Z55" i="8"/>
  <c r="AJ54" i="8"/>
  <c r="AI54" i="8"/>
  <c r="AH54" i="8"/>
  <c r="AG54" i="8"/>
  <c r="AF54" i="8"/>
  <c r="AE54" i="8"/>
  <c r="AD54" i="8"/>
  <c r="AC54" i="8"/>
  <c r="AB54" i="8"/>
  <c r="AA54" i="8"/>
  <c r="Z54" i="8"/>
  <c r="AJ53" i="8"/>
  <c r="AI53" i="8"/>
  <c r="AH53" i="8"/>
  <c r="AG53" i="8"/>
  <c r="AF53" i="8"/>
  <c r="AE53" i="8"/>
  <c r="AD53" i="8"/>
  <c r="AC53" i="8"/>
  <c r="AB53" i="8"/>
  <c r="AA53" i="8"/>
  <c r="Z53" i="8"/>
  <c r="AJ52" i="8"/>
  <c r="AI52" i="8"/>
  <c r="AH52" i="8"/>
  <c r="AG52" i="8"/>
  <c r="AF52" i="8"/>
  <c r="AE52" i="8"/>
  <c r="AD52" i="8"/>
  <c r="AC52" i="8"/>
  <c r="AB52" i="8"/>
  <c r="AA52" i="8"/>
  <c r="Z52" i="8"/>
  <c r="AJ48" i="8"/>
  <c r="AI48" i="8"/>
  <c r="AH48" i="8"/>
  <c r="AG48" i="8"/>
  <c r="AF48" i="8"/>
  <c r="AE48" i="8"/>
  <c r="AC48" i="8"/>
  <c r="AB48" i="8"/>
  <c r="AA48" i="8"/>
  <c r="Z48" i="8"/>
  <c r="AJ47" i="8"/>
  <c r="AI47" i="8"/>
  <c r="AH47" i="8"/>
  <c r="AG47" i="8"/>
  <c r="AF47" i="8"/>
  <c r="AE47" i="8"/>
  <c r="AD47" i="8"/>
  <c r="AC47" i="8"/>
  <c r="AB47" i="8"/>
  <c r="AA47" i="8"/>
  <c r="Z47" i="8"/>
  <c r="AJ46" i="8"/>
  <c r="AI46" i="8"/>
  <c r="AH46" i="8"/>
  <c r="AG46" i="8"/>
  <c r="AF46" i="8"/>
  <c r="AE46" i="8"/>
  <c r="AD46" i="8"/>
  <c r="AC46" i="8"/>
  <c r="AB46" i="8"/>
  <c r="AA46" i="8"/>
  <c r="Z46" i="8"/>
  <c r="AJ45" i="8"/>
  <c r="AI45" i="8"/>
  <c r="AH45" i="8"/>
  <c r="AG45" i="8"/>
  <c r="AF45" i="8"/>
  <c r="AE45" i="8"/>
  <c r="AD45" i="8"/>
  <c r="AC45" i="8"/>
  <c r="AB45" i="8"/>
  <c r="AA45" i="8"/>
  <c r="Z45" i="8"/>
  <c r="AJ44" i="8"/>
  <c r="AI44" i="8"/>
  <c r="AH44" i="8"/>
  <c r="AG44" i="8"/>
  <c r="AF44" i="8"/>
  <c r="AE44" i="8"/>
  <c r="AD44" i="8"/>
  <c r="AC44" i="8"/>
  <c r="AB44" i="8"/>
  <c r="AA44" i="8"/>
  <c r="Z44" i="8"/>
  <c r="AJ36" i="8"/>
  <c r="AI36" i="8"/>
  <c r="AH36" i="8"/>
  <c r="AG36" i="8"/>
  <c r="AF36" i="8"/>
  <c r="AE36" i="8"/>
  <c r="AD36" i="8"/>
  <c r="AC36" i="8"/>
  <c r="AB36" i="8"/>
  <c r="AA36" i="8"/>
  <c r="Z36" i="8"/>
  <c r="AI33" i="8"/>
  <c r="AH33" i="8"/>
  <c r="AG33" i="8"/>
  <c r="AF33" i="8"/>
  <c r="AE33" i="8"/>
  <c r="AD33" i="8"/>
  <c r="AC33" i="8"/>
  <c r="AB33" i="8"/>
  <c r="AA33" i="8"/>
  <c r="Z33" i="8"/>
  <c r="AJ33" i="8"/>
  <c r="AF29" i="8"/>
  <c r="AE29" i="8"/>
  <c r="AD29" i="8"/>
  <c r="AC29" i="8"/>
  <c r="AB29" i="8"/>
  <c r="AA29" i="8"/>
  <c r="Z29" i="8"/>
  <c r="AF28" i="8"/>
  <c r="AE28" i="8"/>
  <c r="AD28" i="8"/>
  <c r="AC28" i="8"/>
  <c r="AB28" i="8"/>
  <c r="AA28" i="8"/>
  <c r="Z28" i="8"/>
  <c r="AF24" i="8"/>
  <c r="AE24" i="8"/>
  <c r="AD24" i="8"/>
  <c r="AC24" i="8"/>
  <c r="AB24" i="8"/>
  <c r="AA24" i="8"/>
  <c r="Z24" i="8"/>
  <c r="AF23" i="8"/>
  <c r="AE23" i="8"/>
  <c r="AD23" i="8"/>
  <c r="AC23" i="8"/>
  <c r="AB23" i="8"/>
  <c r="AA23" i="8"/>
  <c r="Z23" i="8"/>
  <c r="AF22" i="8"/>
  <c r="AE22" i="8"/>
  <c r="AD22" i="8"/>
  <c r="AC22" i="8"/>
  <c r="AB22" i="8"/>
  <c r="AA22" i="8"/>
  <c r="Z22" i="8"/>
  <c r="AF18" i="8"/>
  <c r="AE18" i="8"/>
  <c r="AD18" i="8"/>
  <c r="AC18" i="8"/>
  <c r="AB18" i="8"/>
  <c r="AA18" i="8"/>
  <c r="Z18" i="8"/>
  <c r="AF17" i="8"/>
  <c r="AE17" i="8"/>
  <c r="AD17" i="8"/>
  <c r="AC17" i="8"/>
  <c r="AB17" i="8"/>
  <c r="AA17" i="8"/>
  <c r="Z17" i="8"/>
  <c r="AF13" i="8"/>
  <c r="AE13" i="8"/>
  <c r="AD13" i="8"/>
  <c r="AC13" i="8"/>
  <c r="AB13" i="8"/>
  <c r="AA13" i="8"/>
  <c r="Z13" i="8"/>
  <c r="AI8" i="8"/>
  <c r="AH8" i="8"/>
  <c r="AG8" i="8"/>
  <c r="AF8" i="8"/>
  <c r="AE8" i="8"/>
  <c r="AD8" i="8"/>
  <c r="AC8" i="8"/>
  <c r="AB8" i="8"/>
  <c r="AA8" i="8"/>
  <c r="Z8" i="8"/>
  <c r="AI7" i="8"/>
  <c r="AH7" i="8"/>
  <c r="AG7" i="8"/>
  <c r="AF7" i="8"/>
  <c r="AE7" i="8"/>
  <c r="AD7" i="8"/>
  <c r="AC7" i="8"/>
  <c r="AB7" i="8"/>
  <c r="AA7" i="8"/>
  <c r="Z7" i="8"/>
  <c r="AF10" i="8"/>
  <c r="AE10" i="8"/>
  <c r="AD10" i="8"/>
  <c r="AC10" i="8"/>
  <c r="AB10" i="8"/>
  <c r="AA10" i="8"/>
  <c r="Z10" i="8"/>
  <c r="AJ7" i="8"/>
  <c r="AJ8" i="8"/>
  <c r="W41" i="8"/>
  <c r="V89" i="8"/>
  <c r="X128" i="8"/>
  <c r="X124" i="8"/>
  <c r="X120" i="8"/>
  <c r="X113" i="8"/>
  <c r="X88" i="8"/>
  <c r="X81" i="8"/>
  <c r="X67" i="8"/>
  <c r="X74" i="8" s="1"/>
  <c r="X62" i="11" s="1"/>
  <c r="AJ62" i="11" s="1"/>
  <c r="X49" i="8"/>
  <c r="X56" i="8" s="1"/>
  <c r="X40" i="8"/>
  <c r="X11" i="8"/>
  <c r="X14" i="8" s="1"/>
  <c r="X19" i="8" s="1"/>
  <c r="W128" i="8"/>
  <c r="W124" i="8"/>
  <c r="W120" i="8"/>
  <c r="W113" i="8"/>
  <c r="W88" i="8"/>
  <c r="W81" i="8"/>
  <c r="W67" i="8"/>
  <c r="W74" i="8" s="1"/>
  <c r="W62" i="11" s="1"/>
  <c r="W49" i="8"/>
  <c r="W56" i="8" s="1"/>
  <c r="W40" i="8"/>
  <c r="W11" i="8"/>
  <c r="W14" i="8" s="1"/>
  <c r="W15" i="8" s="1"/>
  <c r="V128" i="8"/>
  <c r="V124" i="8"/>
  <c r="V120" i="8"/>
  <c r="V113" i="8"/>
  <c r="V88" i="8"/>
  <c r="V81" i="8"/>
  <c r="V67" i="8"/>
  <c r="V74" i="8" s="1"/>
  <c r="V49" i="8"/>
  <c r="V56" i="8" s="1"/>
  <c r="V41" i="8"/>
  <c r="V40" i="8"/>
  <c r="V11" i="8"/>
  <c r="V14" i="8" s="1"/>
  <c r="U52" i="11"/>
  <c r="AG52" i="11" s="1"/>
  <c r="U70" i="11"/>
  <c r="AG70" i="11" s="1"/>
  <c r="U69" i="11"/>
  <c r="AG69" i="11" s="1"/>
  <c r="U68" i="11"/>
  <c r="AG68" i="11" s="1"/>
  <c r="AJ36" i="11"/>
  <c r="U3" i="11"/>
  <c r="AG3" i="11" s="1"/>
  <c r="T71" i="11"/>
  <c r="T72" i="11" s="1"/>
  <c r="T66" i="11"/>
  <c r="AF66" i="11" s="1"/>
  <c r="T65" i="11"/>
  <c r="AF65" i="11" s="1"/>
  <c r="T60" i="11"/>
  <c r="AF60" i="11" s="1"/>
  <c r="T59" i="11"/>
  <c r="AF59" i="11" s="1"/>
  <c r="T58" i="11"/>
  <c r="AF58" i="11" s="1"/>
  <c r="T57" i="11"/>
  <c r="AF57" i="11" s="1"/>
  <c r="T56" i="11"/>
  <c r="AF56" i="11" s="1"/>
  <c r="T51" i="11"/>
  <c r="AF51" i="11" s="1"/>
  <c r="T50" i="11"/>
  <c r="T44" i="11"/>
  <c r="AI44" i="11" s="1"/>
  <c r="T43" i="11"/>
  <c r="T41" i="11"/>
  <c r="T40" i="11"/>
  <c r="AI36" i="11"/>
  <c r="T34" i="11"/>
  <c r="T25" i="11"/>
  <c r="T21" i="11"/>
  <c r="T30" i="11" s="1"/>
  <c r="T20" i="11"/>
  <c r="AI20" i="11" s="1"/>
  <c r="T16" i="11"/>
  <c r="T4" i="11"/>
  <c r="AF4" i="11" s="1"/>
  <c r="T3" i="11"/>
  <c r="AF3" i="11" s="1"/>
  <c r="U59" i="10"/>
  <c r="U58" i="10"/>
  <c r="U57" i="10"/>
  <c r="U56" i="10"/>
  <c r="U55" i="10"/>
  <c r="U54" i="10"/>
  <c r="U42" i="10"/>
  <c r="U41" i="10"/>
  <c r="U40" i="10"/>
  <c r="U39" i="10"/>
  <c r="U38" i="10"/>
  <c r="U37" i="10"/>
  <c r="U10" i="10"/>
  <c r="AH10" i="10" s="1"/>
  <c r="U3" i="10"/>
  <c r="AG3" i="10" s="1"/>
  <c r="T60" i="10"/>
  <c r="T61" i="10" s="1"/>
  <c r="T43" i="10"/>
  <c r="T68" i="10" s="1"/>
  <c r="T11" i="10"/>
  <c r="T15" i="10" s="1"/>
  <c r="T4" i="10"/>
  <c r="AF4" i="10" s="1"/>
  <c r="T3" i="10"/>
  <c r="AF3" i="10" s="1"/>
  <c r="U136" i="8"/>
  <c r="U135" i="8"/>
  <c r="U119" i="8"/>
  <c r="AI119" i="8" s="1"/>
  <c r="U118" i="8"/>
  <c r="U44" i="11" s="1"/>
  <c r="U110" i="8"/>
  <c r="U40" i="11" s="1"/>
  <c r="U105" i="8"/>
  <c r="AJ105" i="8" s="1"/>
  <c r="U103" i="8"/>
  <c r="AH103" i="8" s="1"/>
  <c r="U96" i="8"/>
  <c r="AJ96" i="8" s="1"/>
  <c r="U95" i="8"/>
  <c r="U25" i="11" s="1"/>
  <c r="U80" i="8"/>
  <c r="U79" i="8"/>
  <c r="U78" i="8"/>
  <c r="U77" i="8"/>
  <c r="U76" i="8"/>
  <c r="U72" i="8"/>
  <c r="U71" i="8"/>
  <c r="U70" i="8"/>
  <c r="U65" i="8"/>
  <c r="U64" i="8"/>
  <c r="U63" i="8"/>
  <c r="U62" i="8"/>
  <c r="U61" i="8"/>
  <c r="U60" i="11" s="1"/>
  <c r="AG60" i="11" s="1"/>
  <c r="U60" i="8"/>
  <c r="U59" i="8"/>
  <c r="U55" i="8"/>
  <c r="U54" i="8"/>
  <c r="U53" i="8"/>
  <c r="U52" i="8"/>
  <c r="U58" i="11" s="1"/>
  <c r="AG58" i="11" s="1"/>
  <c r="U47" i="8"/>
  <c r="U57" i="11" s="1"/>
  <c r="AG57" i="11" s="1"/>
  <c r="U46" i="8"/>
  <c r="U56" i="11" s="1"/>
  <c r="AG56" i="11" s="1"/>
  <c r="U45" i="8"/>
  <c r="U128" i="8" s="1"/>
  <c r="U44" i="8"/>
  <c r="U50" i="11" s="1"/>
  <c r="AG50" i="11" s="1"/>
  <c r="U36" i="8"/>
  <c r="U33" i="8"/>
  <c r="U29" i="8"/>
  <c r="AI29" i="8" s="1"/>
  <c r="U28" i="8"/>
  <c r="AJ28" i="8" s="1"/>
  <c r="U24" i="8"/>
  <c r="AG24" i="8" s="1"/>
  <c r="U23" i="8"/>
  <c r="AJ23" i="8" s="1"/>
  <c r="U22" i="8"/>
  <c r="AJ22" i="8" s="1"/>
  <c r="U17" i="8"/>
  <c r="U20" i="11" s="1"/>
  <c r="U13" i="8"/>
  <c r="U16" i="11" s="1"/>
  <c r="AJ16" i="11" s="1"/>
  <c r="U10" i="8"/>
  <c r="U11" i="8" s="1"/>
  <c r="U8" i="8"/>
  <c r="U4" i="10" s="1"/>
  <c r="T128" i="8"/>
  <c r="U124" i="8" s="1"/>
  <c r="T120" i="8"/>
  <c r="T113" i="8"/>
  <c r="U89" i="8"/>
  <c r="T89" i="8"/>
  <c r="U88" i="8"/>
  <c r="T88" i="8"/>
  <c r="T81" i="8"/>
  <c r="T74" i="11" s="1"/>
  <c r="AF74" i="11" s="1"/>
  <c r="T67" i="8"/>
  <c r="T74" i="8" s="1"/>
  <c r="T62" i="11" s="1"/>
  <c r="AF62" i="11" s="1"/>
  <c r="T49" i="8"/>
  <c r="T56" i="8" s="1"/>
  <c r="T41" i="8"/>
  <c r="U40" i="8"/>
  <c r="T40" i="8"/>
  <c r="T11" i="8"/>
  <c r="T14" i="8" s="1"/>
  <c r="T19" i="8" s="1"/>
  <c r="Q8" i="8"/>
  <c r="Q4" i="11" s="1"/>
  <c r="AC4" i="11" s="1"/>
  <c r="M8" i="8"/>
  <c r="M4" i="10" s="1"/>
  <c r="L72" i="8"/>
  <c r="L71" i="11" s="1"/>
  <c r="L72" i="11" s="1"/>
  <c r="P72" i="8"/>
  <c r="L48" i="8"/>
  <c r="P48" i="8"/>
  <c r="P119" i="8"/>
  <c r="L66" i="8"/>
  <c r="L65" i="11" s="1"/>
  <c r="P66" i="8"/>
  <c r="P65" i="11" s="1"/>
  <c r="AB65" i="11" s="1"/>
  <c r="K72" i="8"/>
  <c r="O72" i="8"/>
  <c r="K119" i="8"/>
  <c r="L119" i="8" s="1"/>
  <c r="K127" i="8"/>
  <c r="L127" i="8" s="1"/>
  <c r="K48" i="8"/>
  <c r="O48" i="8"/>
  <c r="O127" i="8"/>
  <c r="P127" i="8" s="1"/>
  <c r="Q127" i="8" s="1"/>
  <c r="K117" i="8"/>
  <c r="L117" i="8" s="1"/>
  <c r="L43" i="11" s="1"/>
  <c r="K116" i="8"/>
  <c r="K42" i="11" s="1"/>
  <c r="O117" i="8"/>
  <c r="O43" i="11" s="1"/>
  <c r="O116" i="8"/>
  <c r="P116" i="8" s="1"/>
  <c r="P42" i="11" s="1"/>
  <c r="O112" i="8"/>
  <c r="P112" i="8" s="1"/>
  <c r="O111" i="8"/>
  <c r="O41" i="11" s="1"/>
  <c r="O110" i="8"/>
  <c r="P110" i="8" s="1"/>
  <c r="P40" i="11" s="1"/>
  <c r="O109" i="8"/>
  <c r="O34" i="11" s="1"/>
  <c r="K109" i="8"/>
  <c r="L109" i="8" s="1"/>
  <c r="K111" i="8"/>
  <c r="L111" i="8" s="1"/>
  <c r="L41" i="11" s="1"/>
  <c r="K112" i="8"/>
  <c r="L112" i="8" s="1"/>
  <c r="O105" i="8"/>
  <c r="P105" i="8" s="1"/>
  <c r="O104" i="8"/>
  <c r="P104" i="8" s="1"/>
  <c r="O103" i="8"/>
  <c r="P103" i="8" s="1"/>
  <c r="O101" i="8"/>
  <c r="P101" i="8" s="1"/>
  <c r="O98" i="8"/>
  <c r="P98" i="8" s="1"/>
  <c r="O97" i="8"/>
  <c r="O29" i="11" s="1"/>
  <c r="O96" i="8"/>
  <c r="P96" i="8" s="1"/>
  <c r="O95" i="8"/>
  <c r="P95" i="8" s="1"/>
  <c r="P25" i="11" s="1"/>
  <c r="K95" i="8"/>
  <c r="K25" i="11" s="1"/>
  <c r="K96" i="8"/>
  <c r="L96" i="8" s="1"/>
  <c r="K97" i="8"/>
  <c r="L97" i="8" s="1"/>
  <c r="L29" i="11" s="1"/>
  <c r="K98" i="8"/>
  <c r="L98" i="8" s="1"/>
  <c r="K101" i="8"/>
  <c r="L101" i="8" s="1"/>
  <c r="K103" i="8"/>
  <c r="L103" i="8" s="1"/>
  <c r="K104" i="8"/>
  <c r="L104" i="8" s="1"/>
  <c r="K105" i="8"/>
  <c r="L105" i="8" s="1"/>
  <c r="M78" i="8"/>
  <c r="K66" i="8"/>
  <c r="K65" i="11" s="1"/>
  <c r="O66" i="8"/>
  <c r="O65" i="11" s="1"/>
  <c r="J72" i="8"/>
  <c r="J71" i="11" s="1"/>
  <c r="J72" i="11" s="1"/>
  <c r="N72" i="8"/>
  <c r="N73" i="8" s="1"/>
  <c r="N66" i="8"/>
  <c r="N65" i="11" s="1"/>
  <c r="J66" i="8"/>
  <c r="J65" i="11" s="1"/>
  <c r="N48" i="8"/>
  <c r="J48" i="8"/>
  <c r="Q118" i="8"/>
  <c r="Q44" i="11" s="1"/>
  <c r="M118" i="8"/>
  <c r="M44" i="11" s="1"/>
  <c r="AB44" i="11" s="1"/>
  <c r="M110" i="8"/>
  <c r="M40" i="11" s="1"/>
  <c r="J102" i="8"/>
  <c r="K102" i="8" s="1"/>
  <c r="L102" i="8" s="1"/>
  <c r="H98" i="8"/>
  <c r="G98" i="8"/>
  <c r="F98" i="8"/>
  <c r="E98" i="8"/>
  <c r="D98" i="8"/>
  <c r="C98" i="8"/>
  <c r="N102" i="8"/>
  <c r="N37" i="11" s="1"/>
  <c r="S37" i="11"/>
  <c r="R37" i="11"/>
  <c r="H102" i="8"/>
  <c r="H37" i="11" s="1"/>
  <c r="G102" i="8"/>
  <c r="G37" i="11" s="1"/>
  <c r="F102" i="8"/>
  <c r="F37" i="11" s="1"/>
  <c r="E102" i="8"/>
  <c r="E37" i="11" s="1"/>
  <c r="D102" i="8"/>
  <c r="D37" i="11" s="1"/>
  <c r="C102" i="8"/>
  <c r="C37" i="11" s="1"/>
  <c r="S44" i="11"/>
  <c r="AH44" i="11" s="1"/>
  <c r="R44" i="11"/>
  <c r="P44" i="11"/>
  <c r="AE44" i="11" s="1"/>
  <c r="O44" i="11"/>
  <c r="AD44" i="11" s="1"/>
  <c r="N44" i="11"/>
  <c r="AC44" i="11" s="1"/>
  <c r="L44" i="11"/>
  <c r="K44" i="11"/>
  <c r="R43" i="11"/>
  <c r="N43" i="11"/>
  <c r="S42" i="11"/>
  <c r="R42" i="11"/>
  <c r="N42" i="11"/>
  <c r="S41" i="11"/>
  <c r="R41" i="11"/>
  <c r="N41" i="11"/>
  <c r="S40" i="11"/>
  <c r="R40" i="11"/>
  <c r="N40" i="11"/>
  <c r="L40" i="11"/>
  <c r="K40" i="11"/>
  <c r="J44" i="11"/>
  <c r="J43" i="11"/>
  <c r="J42" i="11"/>
  <c r="J41" i="11"/>
  <c r="J40" i="11"/>
  <c r="H44" i="11"/>
  <c r="G44" i="11"/>
  <c r="F44" i="11"/>
  <c r="E44" i="11"/>
  <c r="H43" i="11"/>
  <c r="G43" i="11"/>
  <c r="F43" i="11"/>
  <c r="E43" i="11"/>
  <c r="D43" i="11"/>
  <c r="H40" i="11"/>
  <c r="G40" i="11"/>
  <c r="F40" i="11"/>
  <c r="E40" i="11"/>
  <c r="D40" i="11"/>
  <c r="C44" i="11"/>
  <c r="C43" i="11"/>
  <c r="C40" i="11"/>
  <c r="H111" i="8"/>
  <c r="H113" i="8" s="1"/>
  <c r="G111" i="8"/>
  <c r="G41" i="11" s="1"/>
  <c r="F111" i="8"/>
  <c r="F41" i="11" s="1"/>
  <c r="E111" i="8"/>
  <c r="E41" i="11" s="1"/>
  <c r="D111" i="8"/>
  <c r="D41" i="11" s="1"/>
  <c r="C111" i="8"/>
  <c r="C41" i="11" s="1"/>
  <c r="D118" i="8"/>
  <c r="D44" i="11" s="1"/>
  <c r="H116" i="8"/>
  <c r="H120" i="8" s="1"/>
  <c r="G116" i="8"/>
  <c r="G42" i="11" s="1"/>
  <c r="F116" i="8"/>
  <c r="F42" i="11" s="1"/>
  <c r="E116" i="8"/>
  <c r="E42" i="11" s="1"/>
  <c r="D116" i="8"/>
  <c r="D42" i="11" s="1"/>
  <c r="C116" i="8"/>
  <c r="C42" i="11" s="1"/>
  <c r="Q70" i="11"/>
  <c r="AC70" i="11" s="1"/>
  <c r="Q69" i="11"/>
  <c r="AC69" i="11" s="1"/>
  <c r="Q68" i="11"/>
  <c r="AC68" i="11" s="1"/>
  <c r="M70" i="11"/>
  <c r="M69" i="11"/>
  <c r="M68" i="11"/>
  <c r="S66" i="11"/>
  <c r="AE66" i="11" s="1"/>
  <c r="R66" i="11"/>
  <c r="AD66" i="11" s="1"/>
  <c r="S65" i="11"/>
  <c r="AE65" i="11" s="1"/>
  <c r="R65" i="11"/>
  <c r="AD65" i="11" s="1"/>
  <c r="S60" i="11"/>
  <c r="AE60" i="11" s="1"/>
  <c r="R60" i="11"/>
  <c r="AD60" i="11" s="1"/>
  <c r="P60" i="11"/>
  <c r="AB60" i="11" s="1"/>
  <c r="O60" i="11"/>
  <c r="N60" i="11"/>
  <c r="L60" i="11"/>
  <c r="K60" i="11"/>
  <c r="S59" i="11"/>
  <c r="AE59" i="11" s="1"/>
  <c r="R59" i="11"/>
  <c r="AD59" i="11" s="1"/>
  <c r="P59" i="11"/>
  <c r="AB59" i="11" s="1"/>
  <c r="O59" i="11"/>
  <c r="N59" i="11"/>
  <c r="L59" i="11"/>
  <c r="K59" i="11"/>
  <c r="S58" i="11"/>
  <c r="AE58" i="11" s="1"/>
  <c r="R58" i="11"/>
  <c r="AD58" i="11" s="1"/>
  <c r="P58" i="11"/>
  <c r="AB58" i="11" s="1"/>
  <c r="O58" i="11"/>
  <c r="N58" i="11"/>
  <c r="L58" i="11"/>
  <c r="K58" i="11"/>
  <c r="S57" i="11"/>
  <c r="AE57" i="11" s="1"/>
  <c r="R57" i="11"/>
  <c r="AD57" i="11" s="1"/>
  <c r="P57" i="11"/>
  <c r="AB57" i="11" s="1"/>
  <c r="O57" i="11"/>
  <c r="N57" i="11"/>
  <c r="L57" i="11"/>
  <c r="K57" i="11"/>
  <c r="S56" i="11"/>
  <c r="AE56" i="11" s="1"/>
  <c r="R56" i="11"/>
  <c r="AD56" i="11" s="1"/>
  <c r="P56" i="11"/>
  <c r="AB56" i="11" s="1"/>
  <c r="O56" i="11"/>
  <c r="N56" i="11"/>
  <c r="L56" i="11"/>
  <c r="K56" i="11"/>
  <c r="J60" i="11"/>
  <c r="J59" i="11"/>
  <c r="J58" i="11"/>
  <c r="J57" i="11"/>
  <c r="J56" i="11"/>
  <c r="H60" i="11"/>
  <c r="G60" i="11"/>
  <c r="F60" i="11"/>
  <c r="E60" i="11"/>
  <c r="D60" i="11"/>
  <c r="H59" i="11"/>
  <c r="G59" i="11"/>
  <c r="F59" i="11"/>
  <c r="E59" i="11"/>
  <c r="D59" i="11"/>
  <c r="H58" i="11"/>
  <c r="G58" i="11"/>
  <c r="F58" i="11"/>
  <c r="E58" i="11"/>
  <c r="D58" i="11"/>
  <c r="H57" i="11"/>
  <c r="G57" i="11"/>
  <c r="F57" i="11"/>
  <c r="E57" i="11"/>
  <c r="D57" i="11"/>
  <c r="H56" i="11"/>
  <c r="G56" i="11"/>
  <c r="F56" i="11"/>
  <c r="E56" i="11"/>
  <c r="D56" i="11"/>
  <c r="C60" i="11"/>
  <c r="C59" i="11"/>
  <c r="C58" i="11"/>
  <c r="C57" i="11"/>
  <c r="C56" i="11"/>
  <c r="AG36" i="11"/>
  <c r="AH35" i="11"/>
  <c r="H36" i="11"/>
  <c r="G36" i="11"/>
  <c r="F36" i="11"/>
  <c r="E36" i="11"/>
  <c r="D36" i="11"/>
  <c r="H35" i="11"/>
  <c r="G35" i="11"/>
  <c r="F35" i="11"/>
  <c r="E35" i="11"/>
  <c r="D35" i="11"/>
  <c r="C36" i="11"/>
  <c r="C35" i="11"/>
  <c r="S34" i="11"/>
  <c r="R34" i="11"/>
  <c r="N34" i="11"/>
  <c r="J34" i="11"/>
  <c r="H34" i="11"/>
  <c r="G34" i="11"/>
  <c r="F34" i="11"/>
  <c r="E34" i="11"/>
  <c r="D34" i="11"/>
  <c r="C34" i="11"/>
  <c r="S29" i="11"/>
  <c r="R29" i="11"/>
  <c r="N29" i="11"/>
  <c r="J29" i="11"/>
  <c r="H29" i="11"/>
  <c r="G29" i="11"/>
  <c r="F29" i="11"/>
  <c r="E29" i="11"/>
  <c r="D29" i="11"/>
  <c r="C29" i="11"/>
  <c r="S25" i="11"/>
  <c r="AH25" i="11" s="1"/>
  <c r="R25" i="11"/>
  <c r="AG25" i="11" s="1"/>
  <c r="N25" i="11"/>
  <c r="J25" i="11"/>
  <c r="H25" i="11"/>
  <c r="G25" i="11"/>
  <c r="F25" i="11"/>
  <c r="E25" i="11"/>
  <c r="D25" i="11"/>
  <c r="C25" i="11"/>
  <c r="S21" i="11"/>
  <c r="S30" i="11" s="1"/>
  <c r="R21" i="11"/>
  <c r="R30" i="11" s="1"/>
  <c r="P21" i="11"/>
  <c r="P30" i="11" s="1"/>
  <c r="O21" i="11"/>
  <c r="O30" i="11" s="1"/>
  <c r="N21" i="11"/>
  <c r="N30" i="11" s="1"/>
  <c r="L21" i="11"/>
  <c r="L30" i="11" s="1"/>
  <c r="K21" i="11"/>
  <c r="K30" i="11" s="1"/>
  <c r="S20" i="11"/>
  <c r="R20" i="11"/>
  <c r="AG20" i="11" s="1"/>
  <c r="P20" i="11"/>
  <c r="O20" i="11"/>
  <c r="N20" i="11"/>
  <c r="L20" i="11"/>
  <c r="K20" i="11"/>
  <c r="J21" i="11"/>
  <c r="J30" i="11" s="1"/>
  <c r="J20" i="11"/>
  <c r="G21" i="11"/>
  <c r="G30" i="11" s="1"/>
  <c r="F21" i="11"/>
  <c r="F30" i="11" s="1"/>
  <c r="E21" i="11"/>
  <c r="E30" i="11" s="1"/>
  <c r="D21" i="11"/>
  <c r="D30" i="11" s="1"/>
  <c r="H20" i="11"/>
  <c r="G20" i="11"/>
  <c r="F20" i="11"/>
  <c r="E20" i="11"/>
  <c r="D20" i="11"/>
  <c r="C21" i="11"/>
  <c r="C30" i="11" s="1"/>
  <c r="C20" i="11"/>
  <c r="S16" i="11"/>
  <c r="AH16" i="11" s="1"/>
  <c r="R16" i="11"/>
  <c r="P16" i="11"/>
  <c r="O16" i="11"/>
  <c r="N16" i="11"/>
  <c r="L16" i="11"/>
  <c r="K16" i="11"/>
  <c r="J16" i="11"/>
  <c r="H16" i="11"/>
  <c r="G16" i="11"/>
  <c r="F16" i="11"/>
  <c r="E16" i="11"/>
  <c r="D16" i="11"/>
  <c r="C16" i="11"/>
  <c r="Q52" i="11"/>
  <c r="AC52" i="11" s="1"/>
  <c r="M52" i="11"/>
  <c r="S71" i="11"/>
  <c r="AE71" i="11" s="1"/>
  <c r="R71" i="11"/>
  <c r="AD71" i="11" s="1"/>
  <c r="O71" i="11"/>
  <c r="O72" i="11" s="1"/>
  <c r="S51" i="11"/>
  <c r="AE51" i="11" s="1"/>
  <c r="R51" i="11"/>
  <c r="AD51" i="11" s="1"/>
  <c r="P51" i="11"/>
  <c r="AB51" i="11" s="1"/>
  <c r="O51" i="11"/>
  <c r="N51" i="11"/>
  <c r="L51" i="11"/>
  <c r="K51" i="11"/>
  <c r="S50" i="11"/>
  <c r="AE50" i="11" s="1"/>
  <c r="R50" i="11"/>
  <c r="AD50" i="11" s="1"/>
  <c r="P50" i="11"/>
  <c r="AB50" i="11" s="1"/>
  <c r="O50" i="11"/>
  <c r="N50" i="11"/>
  <c r="L50" i="11"/>
  <c r="K50" i="11"/>
  <c r="J51" i="11"/>
  <c r="J50" i="11"/>
  <c r="G51" i="11"/>
  <c r="F51" i="11"/>
  <c r="E51" i="11"/>
  <c r="D51" i="11"/>
  <c r="C51" i="11"/>
  <c r="G50" i="11"/>
  <c r="F50" i="11"/>
  <c r="E50" i="11"/>
  <c r="D50" i="11"/>
  <c r="C50" i="11"/>
  <c r="H51" i="11"/>
  <c r="H50" i="11"/>
  <c r="G71" i="11"/>
  <c r="G72" i="11" s="1"/>
  <c r="F71" i="11"/>
  <c r="F72" i="11" s="1"/>
  <c r="E71" i="11"/>
  <c r="E72" i="11" s="1"/>
  <c r="D71" i="11"/>
  <c r="D72" i="11" s="1"/>
  <c r="C71" i="11"/>
  <c r="C72" i="11" s="1"/>
  <c r="H71" i="11"/>
  <c r="H72" i="11" s="1"/>
  <c r="S4" i="11"/>
  <c r="AE4" i="11" s="1"/>
  <c r="R4" i="11"/>
  <c r="P4" i="11"/>
  <c r="AB4" i="11" s="1"/>
  <c r="O4" i="11"/>
  <c r="N4" i="11"/>
  <c r="M4" i="11"/>
  <c r="L4" i="11"/>
  <c r="K4" i="11"/>
  <c r="S3" i="11"/>
  <c r="AE3" i="11" s="1"/>
  <c r="R3" i="11"/>
  <c r="AD3" i="11" s="1"/>
  <c r="Q3" i="11"/>
  <c r="AC3" i="11" s="1"/>
  <c r="P3" i="11"/>
  <c r="AB3" i="11" s="1"/>
  <c r="O3" i="11"/>
  <c r="N3" i="11"/>
  <c r="M3" i="11"/>
  <c r="L3" i="11"/>
  <c r="K3" i="11"/>
  <c r="J4" i="11"/>
  <c r="J3" i="11"/>
  <c r="C4" i="11"/>
  <c r="C3" i="11"/>
  <c r="G4" i="11"/>
  <c r="F4" i="11"/>
  <c r="E4" i="11"/>
  <c r="D4" i="11"/>
  <c r="G3" i="11"/>
  <c r="F3" i="11"/>
  <c r="E3" i="11"/>
  <c r="D3" i="11"/>
  <c r="H3" i="11"/>
  <c r="H4" i="11"/>
  <c r="B2" i="11"/>
  <c r="C66" i="8"/>
  <c r="C65" i="11" s="1"/>
  <c r="C73" i="8"/>
  <c r="C66" i="11" s="1"/>
  <c r="D66" i="8"/>
  <c r="D65" i="11" s="1"/>
  <c r="D73" i="8"/>
  <c r="D66" i="11" s="1"/>
  <c r="F73" i="8"/>
  <c r="F66" i="11" s="1"/>
  <c r="E73" i="8"/>
  <c r="E66" i="11" s="1"/>
  <c r="E66" i="8"/>
  <c r="E65" i="11" s="1"/>
  <c r="F66" i="8"/>
  <c r="F65" i="11" s="1"/>
  <c r="Q72" i="8"/>
  <c r="M72" i="8"/>
  <c r="G73" i="8"/>
  <c r="G66" i="11" s="1"/>
  <c r="H73" i="8"/>
  <c r="H66" i="11" s="1"/>
  <c r="Q65" i="8"/>
  <c r="M65" i="8"/>
  <c r="G66" i="8"/>
  <c r="G65" i="11" s="1"/>
  <c r="H66" i="8"/>
  <c r="H65" i="11" s="1"/>
  <c r="H60" i="10"/>
  <c r="H61" i="10" s="1"/>
  <c r="H43" i="10"/>
  <c r="H68" i="10" s="1"/>
  <c r="H11" i="10"/>
  <c r="H15" i="10" s="1"/>
  <c r="H4" i="10"/>
  <c r="H3" i="10"/>
  <c r="S128" i="8"/>
  <c r="T124" i="8" s="1"/>
  <c r="R128" i="8"/>
  <c r="S124" i="8" s="1"/>
  <c r="P128" i="8"/>
  <c r="Q124" i="8" s="1"/>
  <c r="O128" i="8"/>
  <c r="P124" i="8" s="1"/>
  <c r="N128" i="8"/>
  <c r="O124" i="8" s="1"/>
  <c r="L128" i="8"/>
  <c r="M124" i="8" s="1"/>
  <c r="K128" i="8"/>
  <c r="L124" i="8" s="1"/>
  <c r="J128" i="8"/>
  <c r="K124" i="8" s="1"/>
  <c r="H128" i="8"/>
  <c r="G128" i="8"/>
  <c r="H124" i="8" s="1"/>
  <c r="F128" i="8"/>
  <c r="E128" i="8"/>
  <c r="D128" i="8"/>
  <c r="C128" i="8"/>
  <c r="Q45" i="8"/>
  <c r="M45" i="8"/>
  <c r="M128" i="8" s="1"/>
  <c r="N124" i="8" s="1"/>
  <c r="H48" i="8"/>
  <c r="H49" i="8" s="1"/>
  <c r="H56" i="8" s="1"/>
  <c r="G48" i="8"/>
  <c r="F48" i="8"/>
  <c r="E48" i="8"/>
  <c r="D48" i="8"/>
  <c r="C48" i="8"/>
  <c r="H18" i="8"/>
  <c r="H21" i="11" s="1"/>
  <c r="H30" i="11" s="1"/>
  <c r="H89" i="8"/>
  <c r="H88" i="8"/>
  <c r="H81" i="8"/>
  <c r="H74" i="11" s="1"/>
  <c r="H41" i="8"/>
  <c r="H40" i="8"/>
  <c r="H11" i="8"/>
  <c r="H14" i="8" s="1"/>
  <c r="S4" i="10"/>
  <c r="AE4" i="10" s="1"/>
  <c r="R4" i="10"/>
  <c r="AD4" i="10" s="1"/>
  <c r="Q4" i="10"/>
  <c r="AC4" i="10" s="1"/>
  <c r="P4" i="10"/>
  <c r="AB4" i="10" s="1"/>
  <c r="O4" i="10"/>
  <c r="AA4" i="10" s="1"/>
  <c r="N4" i="10"/>
  <c r="L4" i="10"/>
  <c r="K4" i="10"/>
  <c r="S3" i="10"/>
  <c r="AE3" i="10" s="1"/>
  <c r="R3" i="10"/>
  <c r="AD3" i="10" s="1"/>
  <c r="Q3" i="10"/>
  <c r="AC3" i="10" s="1"/>
  <c r="P3" i="10"/>
  <c r="AB3" i="10" s="1"/>
  <c r="O3" i="10"/>
  <c r="N3" i="10"/>
  <c r="M3" i="10"/>
  <c r="L3" i="10"/>
  <c r="K3" i="10"/>
  <c r="J4" i="10"/>
  <c r="J3" i="10"/>
  <c r="F4" i="10"/>
  <c r="E4" i="10"/>
  <c r="D4" i="10"/>
  <c r="C4" i="10"/>
  <c r="F3" i="10"/>
  <c r="E3" i="10"/>
  <c r="D3" i="10"/>
  <c r="C3" i="10"/>
  <c r="G4" i="10"/>
  <c r="G3" i="10"/>
  <c r="Q9" i="10"/>
  <c r="AD9" i="10" s="1"/>
  <c r="AD11" i="10" s="1"/>
  <c r="AD12" i="10" s="1"/>
  <c r="M9" i="10"/>
  <c r="AB9" i="10" s="1"/>
  <c r="AB11" i="10" s="1"/>
  <c r="AB12" i="10" s="1"/>
  <c r="Q10" i="10"/>
  <c r="AC10" i="10" s="1"/>
  <c r="M10" i="10"/>
  <c r="AB10" i="10" s="1"/>
  <c r="Q41" i="10"/>
  <c r="M41" i="10"/>
  <c r="Q40" i="10"/>
  <c r="M40" i="10"/>
  <c r="Q39" i="10"/>
  <c r="M39" i="10"/>
  <c r="Q38" i="10"/>
  <c r="M38" i="10"/>
  <c r="Q37" i="10"/>
  <c r="M37" i="10"/>
  <c r="Q42" i="10"/>
  <c r="M42" i="10"/>
  <c r="Q59" i="10"/>
  <c r="Q58" i="10"/>
  <c r="Q57" i="10"/>
  <c r="Q56" i="10"/>
  <c r="Q55" i="10"/>
  <c r="Q54" i="10"/>
  <c r="M59" i="10"/>
  <c r="M58" i="10"/>
  <c r="M57" i="10"/>
  <c r="M56" i="10"/>
  <c r="M55" i="10"/>
  <c r="M54" i="10"/>
  <c r="B68" i="10"/>
  <c r="B67" i="10"/>
  <c r="B66" i="10"/>
  <c r="B65" i="10"/>
  <c r="B64" i="10"/>
  <c r="B63" i="10"/>
  <c r="S60" i="10"/>
  <c r="S61" i="10" s="1"/>
  <c r="R60" i="10"/>
  <c r="R61" i="10" s="1"/>
  <c r="P60" i="10"/>
  <c r="P61" i="10" s="1"/>
  <c r="O60" i="10"/>
  <c r="O61" i="10" s="1"/>
  <c r="N60" i="10"/>
  <c r="N61" i="10" s="1"/>
  <c r="L60" i="10"/>
  <c r="L61" i="10" s="1"/>
  <c r="K60" i="10"/>
  <c r="K61" i="10" s="1"/>
  <c r="J60" i="10"/>
  <c r="J61" i="10" s="1"/>
  <c r="G60" i="10"/>
  <c r="G61" i="10" s="1"/>
  <c r="F60" i="10"/>
  <c r="F61" i="10" s="1"/>
  <c r="E60" i="10"/>
  <c r="E61" i="10" s="1"/>
  <c r="D60" i="10"/>
  <c r="D61" i="10" s="1"/>
  <c r="C60" i="10"/>
  <c r="C61" i="10" s="1"/>
  <c r="B51" i="10"/>
  <c r="B50" i="10"/>
  <c r="B49" i="10"/>
  <c r="B48" i="10"/>
  <c r="B47" i="10"/>
  <c r="B46" i="10"/>
  <c r="S43" i="10"/>
  <c r="S44" i="10" s="1"/>
  <c r="R43" i="10"/>
  <c r="R68" i="10" s="1"/>
  <c r="P43" i="10"/>
  <c r="P65" i="10" s="1"/>
  <c r="O43" i="10"/>
  <c r="O68" i="10" s="1"/>
  <c r="N43" i="10"/>
  <c r="N64" i="10" s="1"/>
  <c r="L43" i="10"/>
  <c r="L51" i="10" s="1"/>
  <c r="K43" i="10"/>
  <c r="K46" i="10" s="1"/>
  <c r="J43" i="10"/>
  <c r="J50" i="10" s="1"/>
  <c r="G43" i="10"/>
  <c r="G63" i="10" s="1"/>
  <c r="F43" i="10"/>
  <c r="F65" i="10" s="1"/>
  <c r="E43" i="10"/>
  <c r="E68" i="10" s="1"/>
  <c r="D43" i="10"/>
  <c r="D66" i="10" s="1"/>
  <c r="C43" i="10"/>
  <c r="C63" i="10" s="1"/>
  <c r="AJ35" i="11" l="1"/>
  <c r="Z22" i="11"/>
  <c r="Z18" i="11"/>
  <c r="Z75" i="11"/>
  <c r="Z84" i="11" s="1"/>
  <c r="AA75" i="11"/>
  <c r="AA84" i="11" s="1"/>
  <c r="AA22" i="11"/>
  <c r="AA18" i="11"/>
  <c r="AL7" i="11"/>
  <c r="AG16" i="11"/>
  <c r="AF44" i="11"/>
  <c r="AI35" i="11"/>
  <c r="AH20" i="11"/>
  <c r="AE6" i="11"/>
  <c r="AF7" i="11"/>
  <c r="AH9" i="11"/>
  <c r="AI10" i="11"/>
  <c r="AB11" i="11"/>
  <c r="AJ11" i="11"/>
  <c r="AJ71" i="11"/>
  <c r="AJ40" i="11"/>
  <c r="AG10" i="11"/>
  <c r="AJ44" i="11"/>
  <c r="AH40" i="11"/>
  <c r="V53" i="11"/>
  <c r="AH7" i="11"/>
  <c r="AI8" i="11"/>
  <c r="AB9" i="11"/>
  <c r="AC10" i="11"/>
  <c r="V72" i="11"/>
  <c r="AH6" i="11"/>
  <c r="AI7" i="11"/>
  <c r="AB8" i="11"/>
  <c r="AB12" i="11" s="1"/>
  <c r="AC9" i="11"/>
  <c r="AG44" i="11"/>
  <c r="AI43" i="11"/>
  <c r="AI6" i="11"/>
  <c r="AB7" i="11"/>
  <c r="AC8" i="11"/>
  <c r="AB6" i="11"/>
  <c r="AC7" i="11"/>
  <c r="AE11" i="11"/>
  <c r="AG35" i="11"/>
  <c r="AH36" i="11"/>
  <c r="AJ20" i="11"/>
  <c r="AI25" i="11"/>
  <c r="AJ43" i="11"/>
  <c r="AC6" i="11"/>
  <c r="AJ6" i="11"/>
  <c r="AD7" i="11"/>
  <c r="AD8" i="11"/>
  <c r="AD9" i="11"/>
  <c r="AD10" i="11"/>
  <c r="AH11" i="11"/>
  <c r="AI71" i="11"/>
  <c r="AI72" i="11" s="1"/>
  <c r="AL11" i="11"/>
  <c r="AL8" i="11"/>
  <c r="AL9" i="11"/>
  <c r="AG34" i="11"/>
  <c r="AG8" i="11"/>
  <c r="AJ10" i="11"/>
  <c r="AL10" i="11" s="1"/>
  <c r="AH10" i="11"/>
  <c r="AG9" i="11"/>
  <c r="AI40" i="11"/>
  <c r="AI11" i="11"/>
  <c r="AF71" i="11"/>
  <c r="X53" i="11"/>
  <c r="AE8" i="11"/>
  <c r="AE9" i="11"/>
  <c r="AE10" i="11"/>
  <c r="AG40" i="11"/>
  <c r="Z43" i="10"/>
  <c r="Z44" i="10" s="1"/>
  <c r="Z26" i="10"/>
  <c r="Z27" i="10" s="1"/>
  <c r="D33" i="10"/>
  <c r="G30" i="10"/>
  <c r="D32" i="10"/>
  <c r="C31" i="10"/>
  <c r="G33" i="10"/>
  <c r="D30" i="10"/>
  <c r="D34" i="10"/>
  <c r="L33" i="10"/>
  <c r="M20" i="10"/>
  <c r="Q24" i="10"/>
  <c r="AF9" i="10"/>
  <c r="AE10" i="10"/>
  <c r="AE11" i="10"/>
  <c r="AE12" i="10" s="1"/>
  <c r="Q21" i="10"/>
  <c r="M25" i="10"/>
  <c r="AJ9" i="10"/>
  <c r="AG9" i="10"/>
  <c r="AF10" i="10"/>
  <c r="L31" i="10"/>
  <c r="O26" i="10"/>
  <c r="O32" i="10" s="1"/>
  <c r="M22" i="10"/>
  <c r="AJ10" i="10"/>
  <c r="AH9" i="10"/>
  <c r="AH11" i="10" s="1"/>
  <c r="AH12" i="10" s="1"/>
  <c r="AG10" i="10"/>
  <c r="L29" i="10"/>
  <c r="G26" i="10"/>
  <c r="G32" i="10" s="1"/>
  <c r="K26" i="10"/>
  <c r="Q23" i="10"/>
  <c r="AA9" i="10"/>
  <c r="F34" i="10"/>
  <c r="Q20" i="10"/>
  <c r="R26" i="10"/>
  <c r="M24" i="10"/>
  <c r="AA10" i="10"/>
  <c r="AI11" i="10"/>
  <c r="AI12" i="10" s="1"/>
  <c r="C26" i="10"/>
  <c r="C34" i="10" s="1"/>
  <c r="E26" i="10"/>
  <c r="E29" i="10" s="1"/>
  <c r="M21" i="10"/>
  <c r="P31" i="10"/>
  <c r="Q25" i="10"/>
  <c r="AC9" i="10"/>
  <c r="AC11" i="10" s="1"/>
  <c r="AC12" i="10" s="1"/>
  <c r="V12" i="11"/>
  <c r="V17" i="11" s="1"/>
  <c r="U23" i="10"/>
  <c r="U24" i="10"/>
  <c r="U22" i="10"/>
  <c r="T26" i="10"/>
  <c r="T31" i="10" s="1"/>
  <c r="X12" i="11"/>
  <c r="X26" i="10"/>
  <c r="X30" i="10" s="1"/>
  <c r="U25" i="10"/>
  <c r="U21" i="10"/>
  <c r="U20" i="10"/>
  <c r="S26" i="10"/>
  <c r="S29" i="10" s="1"/>
  <c r="W12" i="11"/>
  <c r="W17" i="11" s="1"/>
  <c r="W26" i="10"/>
  <c r="W32" i="10" s="1"/>
  <c r="U101" i="8"/>
  <c r="AH101" i="8" s="1"/>
  <c r="AF104" i="8"/>
  <c r="T37" i="11"/>
  <c r="AH105" i="8"/>
  <c r="T29" i="11"/>
  <c r="AJ95" i="8"/>
  <c r="X25" i="11"/>
  <c r="AJ25" i="11" s="1"/>
  <c r="W66" i="11"/>
  <c r="AI66" i="11" s="1"/>
  <c r="U109" i="8"/>
  <c r="U34" i="11" s="1"/>
  <c r="AJ34" i="11" s="1"/>
  <c r="AE109" i="8"/>
  <c r="AF112" i="8"/>
  <c r="S43" i="11"/>
  <c r="AH43" i="11" s="1"/>
  <c r="AH112" i="8"/>
  <c r="AI112" i="8"/>
  <c r="AG110" i="8"/>
  <c r="U97" i="8"/>
  <c r="U29" i="11" s="1"/>
  <c r="AJ29" i="11" s="1"/>
  <c r="AI104" i="8"/>
  <c r="AI103" i="8"/>
  <c r="AJ103" i="8"/>
  <c r="AI95" i="8"/>
  <c r="X75" i="11"/>
  <c r="X84" i="11" s="1"/>
  <c r="W75" i="11"/>
  <c r="W84" i="11" s="1"/>
  <c r="V75" i="11"/>
  <c r="V84" i="11" s="1"/>
  <c r="W53" i="11"/>
  <c r="O31" i="10"/>
  <c r="O29" i="10"/>
  <c r="K31" i="10"/>
  <c r="K29" i="10"/>
  <c r="K32" i="10"/>
  <c r="K30" i="10"/>
  <c r="K33" i="10"/>
  <c r="K34" i="10"/>
  <c r="R33" i="10"/>
  <c r="R32" i="10"/>
  <c r="R31" i="10"/>
  <c r="R34" i="10"/>
  <c r="R29" i="10"/>
  <c r="R30" i="10"/>
  <c r="P32" i="10"/>
  <c r="P29" i="10"/>
  <c r="P34" i="10"/>
  <c r="L30" i="10"/>
  <c r="V26" i="10"/>
  <c r="V30" i="10" s="1"/>
  <c r="L32" i="10"/>
  <c r="P33" i="10"/>
  <c r="N26" i="10"/>
  <c r="J26" i="10"/>
  <c r="H26" i="10"/>
  <c r="D26" i="10"/>
  <c r="D29" i="10" s="1"/>
  <c r="X44" i="10"/>
  <c r="W49" i="10"/>
  <c r="X63" i="10"/>
  <c r="W50" i="10"/>
  <c r="W64" i="10"/>
  <c r="W51" i="10"/>
  <c r="W65" i="10"/>
  <c r="W46" i="10"/>
  <c r="X65" i="10"/>
  <c r="X46" i="10"/>
  <c r="W66" i="10"/>
  <c r="W47" i="10"/>
  <c r="W67" i="10"/>
  <c r="W48" i="10"/>
  <c r="W68" i="10"/>
  <c r="X48" i="10"/>
  <c r="W63" i="10"/>
  <c r="V63" i="10"/>
  <c r="V68" i="10"/>
  <c r="V46" i="10"/>
  <c r="V51" i="10"/>
  <c r="V12" i="10"/>
  <c r="V14" i="10"/>
  <c r="W12" i="10"/>
  <c r="X12" i="10"/>
  <c r="V47" i="10"/>
  <c r="X49" i="10"/>
  <c r="V64" i="10"/>
  <c r="X66" i="10"/>
  <c r="V50" i="10"/>
  <c r="V67" i="10"/>
  <c r="W14" i="10"/>
  <c r="V44" i="10"/>
  <c r="X47" i="10"/>
  <c r="X64" i="10"/>
  <c r="X14" i="10"/>
  <c r="V48" i="10"/>
  <c r="X50" i="10"/>
  <c r="V65" i="10"/>
  <c r="X67" i="10"/>
  <c r="V49" i="10"/>
  <c r="X51" i="10"/>
  <c r="U43" i="10"/>
  <c r="U68" i="10" s="1"/>
  <c r="U60" i="10"/>
  <c r="U61" i="10" s="1"/>
  <c r="AG119" i="8"/>
  <c r="AH117" i="8"/>
  <c r="AI117" i="8"/>
  <c r="AG118" i="8"/>
  <c r="AJ119" i="8"/>
  <c r="AI118" i="8"/>
  <c r="AH119" i="8"/>
  <c r="AJ118" i="8"/>
  <c r="AJ117" i="8"/>
  <c r="AH118" i="8"/>
  <c r="AG117" i="8"/>
  <c r="AH110" i="8"/>
  <c r="AI110" i="8"/>
  <c r="AJ110" i="8"/>
  <c r="AJ112" i="8"/>
  <c r="AJ109" i="8"/>
  <c r="AG109" i="8"/>
  <c r="AH109" i="8"/>
  <c r="AI109" i="8"/>
  <c r="AG105" i="8"/>
  <c r="AI105" i="8"/>
  <c r="AJ104" i="8"/>
  <c r="AG104" i="8"/>
  <c r="AG103" i="8"/>
  <c r="U98" i="8"/>
  <c r="AD98" i="8"/>
  <c r="AI97" i="8"/>
  <c r="AH97" i="8"/>
  <c r="AG97" i="8"/>
  <c r="AG96" i="8"/>
  <c r="AH96" i="8"/>
  <c r="AI96" i="8"/>
  <c r="AG95" i="8"/>
  <c r="AH95" i="8"/>
  <c r="AJ10" i="8"/>
  <c r="AI10" i="8"/>
  <c r="AJ29" i="8"/>
  <c r="AG29" i="8"/>
  <c r="AH29" i="8"/>
  <c r="AG28" i="8"/>
  <c r="AH28" i="8"/>
  <c r="AI28" i="8"/>
  <c r="AH24" i="8"/>
  <c r="AI24" i="8"/>
  <c r="AJ24" i="8"/>
  <c r="AG23" i="8"/>
  <c r="AH23" i="8"/>
  <c r="AI23" i="8"/>
  <c r="AG22" i="8"/>
  <c r="AH22" i="8"/>
  <c r="AI22" i="8"/>
  <c r="AJ17" i="8"/>
  <c r="AG17" i="8"/>
  <c r="AH17" i="8"/>
  <c r="AI17" i="8"/>
  <c r="AG10" i="8"/>
  <c r="AH10" i="8"/>
  <c r="AG13" i="8"/>
  <c r="AH13" i="8"/>
  <c r="AI13" i="8"/>
  <c r="AJ13" i="8"/>
  <c r="V82" i="8"/>
  <c r="V84" i="8" s="1"/>
  <c r="W82" i="8"/>
  <c r="W84" i="8" s="1"/>
  <c r="X82" i="8"/>
  <c r="X84" i="8" s="1"/>
  <c r="W89" i="8"/>
  <c r="X25" i="8"/>
  <c r="X20" i="8"/>
  <c r="X15" i="8"/>
  <c r="W19" i="8"/>
  <c r="V19" i="8"/>
  <c r="V15" i="8"/>
  <c r="O25" i="11"/>
  <c r="K29" i="11"/>
  <c r="U51" i="11"/>
  <c r="AG51" i="11" s="1"/>
  <c r="P71" i="11"/>
  <c r="U71" i="11"/>
  <c r="AG71" i="11" s="1"/>
  <c r="AG72" i="11" s="1"/>
  <c r="K34" i="11"/>
  <c r="U66" i="8"/>
  <c r="U65" i="11" s="1"/>
  <c r="AG65" i="11" s="1"/>
  <c r="O40" i="11"/>
  <c r="AB40" i="11" s="1"/>
  <c r="U41" i="8"/>
  <c r="U18" i="8"/>
  <c r="U49" i="8"/>
  <c r="U56" i="8" s="1"/>
  <c r="U4" i="11"/>
  <c r="AG4" i="11" s="1"/>
  <c r="T61" i="11"/>
  <c r="AF61" i="11" s="1"/>
  <c r="U48" i="8"/>
  <c r="U73" i="8"/>
  <c r="U66" i="11" s="1"/>
  <c r="AG66" i="11" s="1"/>
  <c r="U59" i="11"/>
  <c r="AG59" i="11" s="1"/>
  <c r="L37" i="11"/>
  <c r="U111" i="8"/>
  <c r="P111" i="8"/>
  <c r="U81" i="8"/>
  <c r="U74" i="11" s="1"/>
  <c r="AG74" i="11" s="1"/>
  <c r="U102" i="8"/>
  <c r="U116" i="8"/>
  <c r="T12" i="11"/>
  <c r="T17" i="11" s="1"/>
  <c r="T75" i="11"/>
  <c r="T84" i="11" s="1"/>
  <c r="T53" i="11"/>
  <c r="U11" i="10"/>
  <c r="U15" i="10" s="1"/>
  <c r="G44" i="10"/>
  <c r="R46" i="10"/>
  <c r="T12" i="10"/>
  <c r="T14" i="10"/>
  <c r="S46" i="10"/>
  <c r="R50" i="10"/>
  <c r="S50" i="10"/>
  <c r="T44" i="10"/>
  <c r="T46" i="10"/>
  <c r="T63" i="10"/>
  <c r="T47" i="10"/>
  <c r="T64" i="10"/>
  <c r="T48" i="10"/>
  <c r="T65" i="10"/>
  <c r="T49" i="10"/>
  <c r="T66" i="10"/>
  <c r="T50" i="10"/>
  <c r="T67" i="10"/>
  <c r="T51" i="10"/>
  <c r="U14" i="8"/>
  <c r="U15" i="8" s="1"/>
  <c r="T20" i="8"/>
  <c r="T25" i="8"/>
  <c r="T82" i="8"/>
  <c r="T84" i="8" s="1"/>
  <c r="T15" i="8"/>
  <c r="K43" i="11"/>
  <c r="L73" i="8"/>
  <c r="L66" i="11" s="1"/>
  <c r="J37" i="11"/>
  <c r="J73" i="8"/>
  <c r="J66" i="11" s="1"/>
  <c r="K73" i="8"/>
  <c r="K66" i="11" s="1"/>
  <c r="K71" i="11"/>
  <c r="K72" i="11" s="1"/>
  <c r="O42" i="11"/>
  <c r="AC42" i="11" s="1"/>
  <c r="M127" i="8"/>
  <c r="O73" i="8"/>
  <c r="O66" i="11" s="1"/>
  <c r="P109" i="8"/>
  <c r="P34" i="11" s="1"/>
  <c r="M109" i="8"/>
  <c r="L34" i="11"/>
  <c r="N66" i="11"/>
  <c r="Q116" i="8"/>
  <c r="Q42" i="11" s="1"/>
  <c r="AF42" i="11" s="1"/>
  <c r="M111" i="8"/>
  <c r="P66" i="11"/>
  <c r="AB66" i="11" s="1"/>
  <c r="O102" i="8"/>
  <c r="P102" i="8" s="1"/>
  <c r="P37" i="11" s="1"/>
  <c r="Q110" i="8"/>
  <c r="Q40" i="11" s="1"/>
  <c r="AF40" i="11" s="1"/>
  <c r="P97" i="8"/>
  <c r="P29" i="11" s="1"/>
  <c r="P117" i="8"/>
  <c r="P43" i="11" s="1"/>
  <c r="K37" i="11"/>
  <c r="L116" i="8"/>
  <c r="M116" i="8" s="1"/>
  <c r="P73" i="8"/>
  <c r="L95" i="8"/>
  <c r="L25" i="11" s="1"/>
  <c r="N71" i="11"/>
  <c r="AC72" i="11" s="1"/>
  <c r="K41" i="11"/>
  <c r="K49" i="10"/>
  <c r="AB60" i="10"/>
  <c r="J48" i="10"/>
  <c r="J64" i="10"/>
  <c r="J65" i="10"/>
  <c r="J44" i="10"/>
  <c r="J66" i="10"/>
  <c r="J63" i="10"/>
  <c r="J67" i="10"/>
  <c r="J68" i="10"/>
  <c r="J12" i="11"/>
  <c r="J17" i="11" s="1"/>
  <c r="J22" i="11" s="1"/>
  <c r="H41" i="11"/>
  <c r="H42" i="11"/>
  <c r="C12" i="11"/>
  <c r="C17" i="11" s="1"/>
  <c r="C22" i="11" s="1"/>
  <c r="G12" i="11"/>
  <c r="G17" i="11" s="1"/>
  <c r="H12" i="11"/>
  <c r="H17" i="11" s="1"/>
  <c r="P12" i="11"/>
  <c r="R12" i="11"/>
  <c r="H67" i="8"/>
  <c r="H61" i="11" s="1"/>
  <c r="M71" i="11"/>
  <c r="Q71" i="11"/>
  <c r="AC71" i="11" s="1"/>
  <c r="AL45" i="8"/>
  <c r="M51" i="11"/>
  <c r="Q51" i="11"/>
  <c r="AC51" i="11" s="1"/>
  <c r="E12" i="11"/>
  <c r="O12" i="11"/>
  <c r="N12" i="11"/>
  <c r="F12" i="11"/>
  <c r="K12" i="11"/>
  <c r="K17" i="11" s="1"/>
  <c r="S12" i="11"/>
  <c r="S17" i="11" s="1"/>
  <c r="AE72" i="11"/>
  <c r="K53" i="11"/>
  <c r="D53" i="11"/>
  <c r="D12" i="11"/>
  <c r="L53" i="11"/>
  <c r="C53" i="11"/>
  <c r="F53" i="11"/>
  <c r="AD72" i="11"/>
  <c r="L12" i="11"/>
  <c r="L17" i="11" s="1"/>
  <c r="E53" i="11"/>
  <c r="J53" i="11"/>
  <c r="R72" i="11"/>
  <c r="S72" i="11"/>
  <c r="O53" i="11"/>
  <c r="G53" i="11"/>
  <c r="N53" i="11"/>
  <c r="AH53" i="11"/>
  <c r="AH72" i="11"/>
  <c r="AJ53" i="11"/>
  <c r="AD53" i="11"/>
  <c r="AE53" i="11"/>
  <c r="H75" i="11"/>
  <c r="H84" i="11" s="1"/>
  <c r="H53" i="11"/>
  <c r="AG53" i="11"/>
  <c r="AC12" i="11"/>
  <c r="AD12" i="11"/>
  <c r="S53" i="11"/>
  <c r="AJ72" i="11"/>
  <c r="AJ75" i="11" s="1"/>
  <c r="AI53" i="11"/>
  <c r="P53" i="11"/>
  <c r="R53" i="11"/>
  <c r="Q128" i="8"/>
  <c r="R124" i="8" s="1"/>
  <c r="H12" i="10"/>
  <c r="H44" i="10"/>
  <c r="H63" i="10"/>
  <c r="H47" i="10"/>
  <c r="H64" i="10"/>
  <c r="H46" i="10"/>
  <c r="H48" i="10"/>
  <c r="H65" i="10"/>
  <c r="H49" i="10"/>
  <c r="H66" i="10"/>
  <c r="H50" i="10"/>
  <c r="H67" i="10"/>
  <c r="H51" i="10"/>
  <c r="H14" i="10"/>
  <c r="L46" i="10"/>
  <c r="R47" i="10"/>
  <c r="K50" i="10"/>
  <c r="R51" i="10"/>
  <c r="S64" i="10"/>
  <c r="S65" i="10"/>
  <c r="S68" i="10"/>
  <c r="N46" i="10"/>
  <c r="S47" i="10"/>
  <c r="J49" i="10"/>
  <c r="L50" i="10"/>
  <c r="S51" i="10"/>
  <c r="L49" i="10"/>
  <c r="K48" i="10"/>
  <c r="R49" i="10"/>
  <c r="K63" i="10"/>
  <c r="K64" i="10"/>
  <c r="K65" i="10"/>
  <c r="K66" i="10"/>
  <c r="K67" i="10"/>
  <c r="K68" i="10"/>
  <c r="K44" i="10"/>
  <c r="J47" i="10"/>
  <c r="L48" i="10"/>
  <c r="S49" i="10"/>
  <c r="J51" i="10"/>
  <c r="L63" i="10"/>
  <c r="L64" i="10"/>
  <c r="L65" i="10"/>
  <c r="L66" i="10"/>
  <c r="L67" i="10"/>
  <c r="L68" i="10"/>
  <c r="L44" i="10"/>
  <c r="J46" i="10"/>
  <c r="K47" i="10"/>
  <c r="R48" i="10"/>
  <c r="K51" i="10"/>
  <c r="R63" i="10"/>
  <c r="P64" i="10"/>
  <c r="O65" i="10"/>
  <c r="R66" i="10"/>
  <c r="R67" i="10"/>
  <c r="P68" i="10"/>
  <c r="R44" i="10"/>
  <c r="L47" i="10"/>
  <c r="S48" i="10"/>
  <c r="S63" i="10"/>
  <c r="R64" i="10"/>
  <c r="R65" i="10"/>
  <c r="S66" i="10"/>
  <c r="S67" i="10"/>
  <c r="M43" i="10"/>
  <c r="M64" i="10" s="1"/>
  <c r="H19" i="8"/>
  <c r="H15" i="8"/>
  <c r="C65" i="10"/>
  <c r="C66" i="10"/>
  <c r="C67" i="10"/>
  <c r="C46" i="10"/>
  <c r="C68" i="10"/>
  <c r="C64" i="10"/>
  <c r="C47" i="10"/>
  <c r="C44" i="10"/>
  <c r="C50" i="10"/>
  <c r="C48" i="10"/>
  <c r="C51" i="10"/>
  <c r="C49" i="10"/>
  <c r="D63" i="10"/>
  <c r="D47" i="10"/>
  <c r="D67" i="10"/>
  <c r="D50" i="10"/>
  <c r="D46" i="10"/>
  <c r="D51" i="10"/>
  <c r="D64" i="10"/>
  <c r="D68" i="10"/>
  <c r="D48" i="10"/>
  <c r="D65" i="10"/>
  <c r="D44" i="10"/>
  <c r="D49" i="10"/>
  <c r="P46" i="10"/>
  <c r="O51" i="10"/>
  <c r="P44" i="10"/>
  <c r="O49" i="10"/>
  <c r="O50" i="10"/>
  <c r="P48" i="10"/>
  <c r="P49" i="10"/>
  <c r="N67" i="10"/>
  <c r="O64" i="10"/>
  <c r="O67" i="10"/>
  <c r="N47" i="10"/>
  <c r="O47" i="10"/>
  <c r="N50" i="10"/>
  <c r="O63" i="10"/>
  <c r="P67" i="10"/>
  <c r="N63" i="10"/>
  <c r="P47" i="10"/>
  <c r="P63" i="10"/>
  <c r="N66" i="10"/>
  <c r="Q43" i="10"/>
  <c r="Q68" i="10" s="1"/>
  <c r="N48" i="10"/>
  <c r="P50" i="10"/>
  <c r="O66" i="10"/>
  <c r="N44" i="10"/>
  <c r="O48" i="10"/>
  <c r="N51" i="10"/>
  <c r="N65" i="10"/>
  <c r="P66" i="10"/>
  <c r="O44" i="10"/>
  <c r="N68" i="10"/>
  <c r="O46" i="10"/>
  <c r="N49" i="10"/>
  <c r="P51" i="10"/>
  <c r="Q60" i="10"/>
  <c r="Q61" i="10" s="1"/>
  <c r="M60" i="10"/>
  <c r="M61" i="10" s="1"/>
  <c r="E49" i="10"/>
  <c r="E46" i="10"/>
  <c r="E63" i="10"/>
  <c r="E48" i="10"/>
  <c r="E51" i="10"/>
  <c r="E64" i="10"/>
  <c r="E65" i="10"/>
  <c r="E44" i="10"/>
  <c r="E66" i="10"/>
  <c r="E67" i="10"/>
  <c r="E47" i="10"/>
  <c r="E50" i="10"/>
  <c r="F63" i="10"/>
  <c r="F47" i="10"/>
  <c r="F49" i="10"/>
  <c r="F51" i="10"/>
  <c r="F67" i="10"/>
  <c r="F66" i="10"/>
  <c r="F64" i="10"/>
  <c r="F44" i="10"/>
  <c r="F68" i="10"/>
  <c r="F46" i="10"/>
  <c r="F48" i="10"/>
  <c r="F50" i="10"/>
  <c r="G68" i="10"/>
  <c r="G49" i="10"/>
  <c r="G66" i="10"/>
  <c r="G48" i="10"/>
  <c r="G50" i="10"/>
  <c r="G47" i="10"/>
  <c r="G64" i="10"/>
  <c r="G67" i="10"/>
  <c r="G46" i="10"/>
  <c r="G65" i="10"/>
  <c r="G51" i="10"/>
  <c r="AA60" i="10"/>
  <c r="AA43" i="10"/>
  <c r="AA50" i="10" s="1"/>
  <c r="AB43" i="10"/>
  <c r="AB47" i="10" s="1"/>
  <c r="Z23" i="11" l="1"/>
  <c r="Z26" i="11"/>
  <c r="AA26" i="11"/>
  <c r="AA23" i="11"/>
  <c r="AE12" i="11"/>
  <c r="AG43" i="11"/>
  <c r="P72" i="11"/>
  <c r="AB71" i="11"/>
  <c r="AE40" i="11"/>
  <c r="AH34" i="11"/>
  <c r="AH29" i="11"/>
  <c r="AD42" i="11"/>
  <c r="AI34" i="11"/>
  <c r="U72" i="11"/>
  <c r="U75" i="11" s="1"/>
  <c r="U84" i="11" s="1"/>
  <c r="U53" i="11"/>
  <c r="AD40" i="11"/>
  <c r="AI29" i="11"/>
  <c r="AG29" i="11"/>
  <c r="AC40" i="11"/>
  <c r="AE42" i="11"/>
  <c r="V13" i="11"/>
  <c r="Z30" i="10"/>
  <c r="Z29" i="10"/>
  <c r="Z34" i="10"/>
  <c r="Z31" i="10"/>
  <c r="Z33" i="10"/>
  <c r="Z32" i="10"/>
  <c r="Z49" i="10"/>
  <c r="Z65" i="10"/>
  <c r="Z67" i="10"/>
  <c r="Z46" i="10"/>
  <c r="Z51" i="10"/>
  <c r="Z50" i="10"/>
  <c r="Z48" i="10"/>
  <c r="Z47" i="10"/>
  <c r="Z68" i="10"/>
  <c r="Z64" i="10"/>
  <c r="Z66" i="10"/>
  <c r="Z63" i="10"/>
  <c r="H27" i="10"/>
  <c r="H34" i="10"/>
  <c r="H31" i="10"/>
  <c r="O30" i="10"/>
  <c r="G31" i="10"/>
  <c r="H30" i="10"/>
  <c r="C32" i="10"/>
  <c r="C30" i="10"/>
  <c r="AA11" i="10"/>
  <c r="AA12" i="10" s="1"/>
  <c r="G29" i="10"/>
  <c r="AF11" i="10"/>
  <c r="AF12" i="10" s="1"/>
  <c r="E30" i="10"/>
  <c r="H33" i="10"/>
  <c r="C33" i="10"/>
  <c r="O33" i="10"/>
  <c r="AG11" i="10"/>
  <c r="AG12" i="10" s="1"/>
  <c r="C29" i="10"/>
  <c r="D31" i="10"/>
  <c r="M26" i="10"/>
  <c r="H29" i="10"/>
  <c r="G34" i="10"/>
  <c r="O34" i="10"/>
  <c r="W14" i="11"/>
  <c r="H32" i="10"/>
  <c r="E32" i="10"/>
  <c r="E33" i="10"/>
  <c r="E31" i="10"/>
  <c r="E34" i="10"/>
  <c r="X33" i="10"/>
  <c r="X29" i="10"/>
  <c r="U26" i="10"/>
  <c r="U32" i="10" s="1"/>
  <c r="T27" i="10"/>
  <c r="T32" i="10"/>
  <c r="T29" i="10"/>
  <c r="T30" i="10"/>
  <c r="T34" i="10"/>
  <c r="T33" i="10"/>
  <c r="X13" i="11"/>
  <c r="X17" i="11"/>
  <c r="X18" i="11" s="1"/>
  <c r="X14" i="11"/>
  <c r="X31" i="10"/>
  <c r="X32" i="10"/>
  <c r="X27" i="10"/>
  <c r="X34" i="10"/>
  <c r="S32" i="10"/>
  <c r="S31" i="10"/>
  <c r="S34" i="10"/>
  <c r="S30" i="10"/>
  <c r="S33" i="10"/>
  <c r="W13" i="11"/>
  <c r="W30" i="10"/>
  <c r="W29" i="10"/>
  <c r="W34" i="10"/>
  <c r="W27" i="10"/>
  <c r="W33" i="10"/>
  <c r="W31" i="10"/>
  <c r="AJ101" i="8"/>
  <c r="AI101" i="8"/>
  <c r="AG101" i="8"/>
  <c r="AJ97" i="8"/>
  <c r="V22" i="11"/>
  <c r="V18" i="11"/>
  <c r="W18" i="11"/>
  <c r="W22" i="11"/>
  <c r="N29" i="10"/>
  <c r="N32" i="10"/>
  <c r="N33" i="10"/>
  <c r="N31" i="10"/>
  <c r="N34" i="10"/>
  <c r="N30" i="10"/>
  <c r="AG29" i="10"/>
  <c r="V29" i="10"/>
  <c r="V32" i="10"/>
  <c r="V27" i="10"/>
  <c r="V33" i="10"/>
  <c r="V31" i="10"/>
  <c r="V34" i="10"/>
  <c r="M34" i="10"/>
  <c r="J32" i="10"/>
  <c r="J31" i="10"/>
  <c r="J30" i="10"/>
  <c r="M30" i="10"/>
  <c r="M32" i="10"/>
  <c r="AA26" i="10"/>
  <c r="J34" i="10"/>
  <c r="J33" i="10"/>
  <c r="M31" i="10"/>
  <c r="AB26" i="10"/>
  <c r="J29" i="10"/>
  <c r="AF26" i="10"/>
  <c r="AF27" i="10" s="1"/>
  <c r="M29" i="10"/>
  <c r="M33" i="10"/>
  <c r="Q26" i="10"/>
  <c r="AG26" i="10"/>
  <c r="AG27" i="10" s="1"/>
  <c r="AC26" i="10"/>
  <c r="AC27" i="10" s="1"/>
  <c r="AD26" i="10"/>
  <c r="AD27" i="10" s="1"/>
  <c r="T13" i="11"/>
  <c r="U44" i="10"/>
  <c r="U12" i="11"/>
  <c r="U67" i="10"/>
  <c r="U48" i="10"/>
  <c r="U66" i="10"/>
  <c r="U65" i="10"/>
  <c r="U49" i="10"/>
  <c r="U64" i="10"/>
  <c r="U51" i="10"/>
  <c r="U47" i="10"/>
  <c r="U63" i="10"/>
  <c r="U50" i="10"/>
  <c r="U46" i="10"/>
  <c r="U14" i="10"/>
  <c r="AJ116" i="8"/>
  <c r="AI116" i="8"/>
  <c r="AH116" i="8"/>
  <c r="AG116" i="8"/>
  <c r="AI111" i="8"/>
  <c r="AH111" i="8"/>
  <c r="AG111" i="8"/>
  <c r="AJ111" i="8"/>
  <c r="U37" i="11"/>
  <c r="AJ37" i="11" s="1"/>
  <c r="AG102" i="8"/>
  <c r="AJ102" i="8"/>
  <c r="AI102" i="8"/>
  <c r="AH102" i="8"/>
  <c r="AJ98" i="8"/>
  <c r="AI98" i="8"/>
  <c r="AH98" i="8"/>
  <c r="AG98" i="8"/>
  <c r="U21" i="11"/>
  <c r="AH18" i="8"/>
  <c r="AG18" i="8"/>
  <c r="AJ18" i="8"/>
  <c r="AI18" i="8"/>
  <c r="X41" i="8"/>
  <c r="X89" i="8"/>
  <c r="X30" i="8"/>
  <c r="X26" i="8"/>
  <c r="W25" i="8"/>
  <c r="W20" i="8"/>
  <c r="V25" i="8"/>
  <c r="V20" i="8"/>
  <c r="U67" i="8"/>
  <c r="U61" i="11" s="1"/>
  <c r="AG61" i="11" s="1"/>
  <c r="U74" i="8"/>
  <c r="U62" i="11" s="1"/>
  <c r="AG62" i="11" s="1"/>
  <c r="U19" i="8"/>
  <c r="U20" i="8" s="1"/>
  <c r="P41" i="11"/>
  <c r="Q111" i="8"/>
  <c r="M42" i="11"/>
  <c r="AB42" i="11" s="1"/>
  <c r="M41" i="11"/>
  <c r="U113" i="8"/>
  <c r="U41" i="11"/>
  <c r="L42" i="11"/>
  <c r="U42" i="11"/>
  <c r="U120" i="8"/>
  <c r="U82" i="8"/>
  <c r="U84" i="8" s="1"/>
  <c r="T14" i="11"/>
  <c r="T18" i="11"/>
  <c r="T22" i="11"/>
  <c r="M12" i="11"/>
  <c r="N14" i="11" s="1"/>
  <c r="U12" i="10"/>
  <c r="AL6" i="11"/>
  <c r="E17" i="11"/>
  <c r="E18" i="11" s="1"/>
  <c r="E13" i="11"/>
  <c r="D17" i="11"/>
  <c r="D22" i="11" s="1"/>
  <c r="D26" i="11" s="1"/>
  <c r="D13" i="11"/>
  <c r="Q12" i="11"/>
  <c r="AF43" i="10"/>
  <c r="AF64" i="10" s="1"/>
  <c r="T30" i="8"/>
  <c r="T26" i="8"/>
  <c r="N72" i="11"/>
  <c r="Q109" i="8"/>
  <c r="O37" i="11"/>
  <c r="H13" i="11"/>
  <c r="AD60" i="10"/>
  <c r="AH43" i="10"/>
  <c r="AH63" i="10" s="1"/>
  <c r="AC43" i="10"/>
  <c r="AC49" i="10" s="1"/>
  <c r="AE43" i="10"/>
  <c r="AE64" i="10" s="1"/>
  <c r="AJ43" i="10"/>
  <c r="AJ51" i="10" s="1"/>
  <c r="AI43" i="10"/>
  <c r="AI63" i="10" s="1"/>
  <c r="K14" i="11"/>
  <c r="AH60" i="10"/>
  <c r="AD43" i="10"/>
  <c r="AD46" i="10" s="1"/>
  <c r="M63" i="10"/>
  <c r="M49" i="10"/>
  <c r="M46" i="10"/>
  <c r="M67" i="10"/>
  <c r="M68" i="10"/>
  <c r="M44" i="10"/>
  <c r="AB48" i="10"/>
  <c r="M66" i="10"/>
  <c r="M65" i="10"/>
  <c r="AB50" i="10"/>
  <c r="M47" i="10"/>
  <c r="M51" i="10"/>
  <c r="M50" i="10"/>
  <c r="M48" i="10"/>
  <c r="AB64" i="10"/>
  <c r="F13" i="11"/>
  <c r="C18" i="11"/>
  <c r="G13" i="11"/>
  <c r="F17" i="11"/>
  <c r="F18" i="11" s="1"/>
  <c r="H74" i="8"/>
  <c r="H62" i="11" s="1"/>
  <c r="AB72" i="11"/>
  <c r="M72" i="11"/>
  <c r="J18" i="11"/>
  <c r="AF72" i="11"/>
  <c r="Q72" i="11"/>
  <c r="L14" i="11"/>
  <c r="R17" i="11"/>
  <c r="R22" i="11" s="1"/>
  <c r="AJ12" i="11"/>
  <c r="C26" i="11"/>
  <c r="C23" i="11"/>
  <c r="R13" i="11"/>
  <c r="S14" i="11"/>
  <c r="G18" i="11"/>
  <c r="G22" i="11"/>
  <c r="L22" i="11"/>
  <c r="L18" i="11"/>
  <c r="P14" i="11"/>
  <c r="P17" i="11"/>
  <c r="P13" i="11"/>
  <c r="H18" i="11"/>
  <c r="H22" i="11"/>
  <c r="AJ84" i="11"/>
  <c r="O13" i="11"/>
  <c r="O17" i="11"/>
  <c r="O14" i="11"/>
  <c r="AI75" i="11"/>
  <c r="AI84" i="11" s="1"/>
  <c r="S13" i="11"/>
  <c r="K22" i="11"/>
  <c r="K18" i="11"/>
  <c r="J26" i="11"/>
  <c r="J23" i="11"/>
  <c r="N13" i="11"/>
  <c r="N17" i="11"/>
  <c r="S22" i="11"/>
  <c r="S18" i="11"/>
  <c r="AA68" i="10"/>
  <c r="AA65" i="10"/>
  <c r="AA67" i="10"/>
  <c r="AA66" i="10"/>
  <c r="AB51" i="10"/>
  <c r="AB46" i="10"/>
  <c r="AC60" i="10"/>
  <c r="AB68" i="10"/>
  <c r="AA64" i="10"/>
  <c r="AA48" i="10"/>
  <c r="AB49" i="10"/>
  <c r="AB65" i="10"/>
  <c r="AA49" i="10"/>
  <c r="AA63" i="10"/>
  <c r="AB63" i="10"/>
  <c r="AA51" i="10"/>
  <c r="AA46" i="10"/>
  <c r="AB66" i="10"/>
  <c r="AA47" i="10"/>
  <c r="AB67" i="10"/>
  <c r="H25" i="8"/>
  <c r="H20" i="8"/>
  <c r="Q44" i="10"/>
  <c r="Q48" i="10"/>
  <c r="Q50" i="10"/>
  <c r="Q47" i="10"/>
  <c r="Q46" i="10"/>
  <c r="Q65" i="10"/>
  <c r="Q64" i="10"/>
  <c r="Q49" i="10"/>
  <c r="Q51" i="10"/>
  <c r="Q66" i="10"/>
  <c r="Q67" i="10"/>
  <c r="AG43" i="10"/>
  <c r="AG51" i="10" s="1"/>
  <c r="Q63" i="10"/>
  <c r="AJ60" i="10"/>
  <c r="AI60" i="10"/>
  <c r="AG60" i="10"/>
  <c r="AF60" i="10"/>
  <c r="AE60" i="10"/>
  <c r="Z31" i="11" l="1"/>
  <c r="Z27" i="11"/>
  <c r="AA31" i="11"/>
  <c r="AA27" i="11"/>
  <c r="AB41" i="11"/>
  <c r="AH41" i="11"/>
  <c r="AJ41" i="11"/>
  <c r="AI41" i="11"/>
  <c r="AG41" i="11"/>
  <c r="AI37" i="11"/>
  <c r="AG42" i="11"/>
  <c r="AJ42" i="11"/>
  <c r="AI42" i="11"/>
  <c r="AH42" i="11"/>
  <c r="U30" i="11"/>
  <c r="AH21" i="11"/>
  <c r="AG21" i="11"/>
  <c r="AI21" i="11"/>
  <c r="AJ21" i="11"/>
  <c r="AH37" i="11"/>
  <c r="AG37" i="11"/>
  <c r="AB29" i="10"/>
  <c r="AB27" i="10"/>
  <c r="AA29" i="10"/>
  <c r="AA27" i="10"/>
  <c r="AG34" i="10"/>
  <c r="AG30" i="10"/>
  <c r="AD30" i="10"/>
  <c r="U31" i="10"/>
  <c r="U27" i="10"/>
  <c r="U33" i="10"/>
  <c r="U30" i="10"/>
  <c r="U29" i="10"/>
  <c r="U34" i="10"/>
  <c r="X22" i="11"/>
  <c r="X23" i="11" s="1"/>
  <c r="U17" i="11"/>
  <c r="U18" i="11" s="1"/>
  <c r="V14" i="11"/>
  <c r="W23" i="11"/>
  <c r="W26" i="11"/>
  <c r="V23" i="11"/>
  <c r="V26" i="11"/>
  <c r="AD34" i="10"/>
  <c r="Q31" i="10"/>
  <c r="Q29" i="10"/>
  <c r="Q32" i="10"/>
  <c r="Q30" i="10"/>
  <c r="Q33" i="10"/>
  <c r="Q34" i="10"/>
  <c r="AD29" i="10"/>
  <c r="AG32" i="10"/>
  <c r="AD31" i="10"/>
  <c r="AA33" i="10"/>
  <c r="AG33" i="10"/>
  <c r="AA34" i="10"/>
  <c r="AG31" i="10"/>
  <c r="AF34" i="10"/>
  <c r="AF30" i="10"/>
  <c r="AF33" i="10"/>
  <c r="AF32" i="10"/>
  <c r="AF31" i="10"/>
  <c r="AC30" i="10"/>
  <c r="AA30" i="10"/>
  <c r="AA31" i="10"/>
  <c r="AA32" i="10"/>
  <c r="AF29" i="10"/>
  <c r="AC29" i="10"/>
  <c r="AB31" i="10"/>
  <c r="AB30" i="10"/>
  <c r="AB33" i="10"/>
  <c r="AB32" i="10"/>
  <c r="AB34" i="10"/>
  <c r="AC31" i="10"/>
  <c r="AD33" i="10"/>
  <c r="AC32" i="10"/>
  <c r="AE26" i="10"/>
  <c r="AE27" i="10" s="1"/>
  <c r="AC34" i="10"/>
  <c r="AC33" i="10"/>
  <c r="AD32" i="10"/>
  <c r="AJ26" i="10"/>
  <c r="AI26" i="10"/>
  <c r="AI27" i="10" s="1"/>
  <c r="AH26" i="10"/>
  <c r="AF65" i="10"/>
  <c r="AH68" i="10"/>
  <c r="AH50" i="10"/>
  <c r="AH67" i="10"/>
  <c r="AH66" i="10"/>
  <c r="AH64" i="10"/>
  <c r="AH49" i="10"/>
  <c r="AH51" i="10"/>
  <c r="AH46" i="10"/>
  <c r="AH65" i="10"/>
  <c r="AH47" i="10"/>
  <c r="AH48" i="10"/>
  <c r="U14" i="11"/>
  <c r="AC68" i="10"/>
  <c r="AI12" i="11"/>
  <c r="AI13" i="11" s="1"/>
  <c r="AF66" i="10"/>
  <c r="AI46" i="10"/>
  <c r="AI64" i="10"/>
  <c r="AE67" i="10"/>
  <c r="AF47" i="10"/>
  <c r="U25" i="8"/>
  <c r="U30" i="8" s="1"/>
  <c r="X31" i="8"/>
  <c r="X92" i="8"/>
  <c r="X106" i="8" s="1"/>
  <c r="X129" i="8" s="1"/>
  <c r="X34" i="8"/>
  <c r="X37" i="8"/>
  <c r="W30" i="8"/>
  <c r="W26" i="8"/>
  <c r="V26" i="8"/>
  <c r="V30" i="8"/>
  <c r="Q41" i="11"/>
  <c r="AF41" i="11" s="1"/>
  <c r="D23" i="11"/>
  <c r="AF12" i="11"/>
  <c r="AF13" i="11" s="1"/>
  <c r="R14" i="11"/>
  <c r="U13" i="11"/>
  <c r="Q13" i="11"/>
  <c r="Q14" i="11"/>
  <c r="M14" i="11"/>
  <c r="T26" i="11"/>
  <c r="T23" i="11"/>
  <c r="E22" i="11"/>
  <c r="E26" i="11" s="1"/>
  <c r="E27" i="11" s="1"/>
  <c r="D18" i="11"/>
  <c r="AH12" i="11"/>
  <c r="AH13" i="11" s="1"/>
  <c r="AG12" i="11"/>
  <c r="AG13" i="11" s="1"/>
  <c r="AF46" i="10"/>
  <c r="AF50" i="10"/>
  <c r="AI50" i="10"/>
  <c r="AF63" i="10"/>
  <c r="AI47" i="10"/>
  <c r="AF68" i="10"/>
  <c r="AF48" i="10"/>
  <c r="AF49" i="10"/>
  <c r="AI67" i="10"/>
  <c r="AF51" i="10"/>
  <c r="AI66" i="10"/>
  <c r="AF67" i="10"/>
  <c r="AJ47" i="10"/>
  <c r="T34" i="8"/>
  <c r="T31" i="8"/>
  <c r="T92" i="8"/>
  <c r="T106" i="8" s="1"/>
  <c r="T129" i="8" s="1"/>
  <c r="T37" i="8"/>
  <c r="AI68" i="10"/>
  <c r="AI49" i="10"/>
  <c r="AI65" i="10"/>
  <c r="AI48" i="10"/>
  <c r="AI51" i="10"/>
  <c r="AC46" i="10"/>
  <c r="AC67" i="10"/>
  <c r="AC50" i="10"/>
  <c r="AC64" i="10"/>
  <c r="AC47" i="10"/>
  <c r="AC63" i="10"/>
  <c r="AC66" i="10"/>
  <c r="AC65" i="10"/>
  <c r="AC48" i="10"/>
  <c r="AC51" i="10"/>
  <c r="AE63" i="10"/>
  <c r="AE46" i="10"/>
  <c r="AE51" i="10"/>
  <c r="AE48" i="10"/>
  <c r="AD50" i="10"/>
  <c r="AE50" i="10"/>
  <c r="AE49" i="10"/>
  <c r="AE66" i="10"/>
  <c r="AE47" i="10"/>
  <c r="AE68" i="10"/>
  <c r="AE65" i="10"/>
  <c r="AJ63" i="10"/>
  <c r="AJ49" i="10"/>
  <c r="AJ68" i="10"/>
  <c r="AJ66" i="10"/>
  <c r="AJ67" i="10"/>
  <c r="AJ48" i="10"/>
  <c r="AJ64" i="10"/>
  <c r="AJ46" i="10"/>
  <c r="AJ65" i="10"/>
  <c r="AJ50" i="10"/>
  <c r="AD64" i="10"/>
  <c r="AD67" i="10"/>
  <c r="AD51" i="10"/>
  <c r="AD48" i="10"/>
  <c r="AD63" i="10"/>
  <c r="AD66" i="10"/>
  <c r="AD68" i="10"/>
  <c r="AD47" i="10"/>
  <c r="AD49" i="10"/>
  <c r="AD65" i="10"/>
  <c r="F22" i="11"/>
  <c r="F26" i="11" s="1"/>
  <c r="H82" i="8"/>
  <c r="H84" i="8" s="1"/>
  <c r="R18" i="11"/>
  <c r="AJ17" i="11"/>
  <c r="C27" i="11"/>
  <c r="C31" i="11"/>
  <c r="D31" i="11"/>
  <c r="D27" i="11"/>
  <c r="R26" i="11"/>
  <c r="R23" i="11"/>
  <c r="O22" i="11"/>
  <c r="O18" i="11"/>
  <c r="P18" i="11"/>
  <c r="P22" i="11"/>
  <c r="G26" i="11"/>
  <c r="G23" i="11"/>
  <c r="L23" i="11"/>
  <c r="L26" i="11"/>
  <c r="J31" i="11"/>
  <c r="J27" i="11"/>
  <c r="H26" i="11"/>
  <c r="H23" i="11"/>
  <c r="S26" i="11"/>
  <c r="S23" i="11"/>
  <c r="N22" i="11"/>
  <c r="N18" i="11"/>
  <c r="K26" i="11"/>
  <c r="K23" i="11"/>
  <c r="H30" i="8"/>
  <c r="H26" i="8"/>
  <c r="AG48" i="10"/>
  <c r="AG47" i="10"/>
  <c r="AG50" i="10"/>
  <c r="AG46" i="10"/>
  <c r="AG49" i="10"/>
  <c r="AG65" i="10"/>
  <c r="AG64" i="10"/>
  <c r="AG66" i="10"/>
  <c r="AG67" i="10"/>
  <c r="AG68" i="10"/>
  <c r="AG63" i="10"/>
  <c r="Z32" i="11" l="1"/>
  <c r="Z83" i="11" a="1"/>
  <c r="Z83" i="11" s="1"/>
  <c r="Z38" i="11"/>
  <c r="Z82" i="11" a="1"/>
  <c r="Z82" i="11" s="1"/>
  <c r="Z81" i="11"/>
  <c r="Z80" i="11"/>
  <c r="Z79" i="11"/>
  <c r="AA32" i="11"/>
  <c r="AA83" i="11" a="1"/>
  <c r="AA83" i="11" s="1"/>
  <c r="AA38" i="11"/>
  <c r="AA81" i="11"/>
  <c r="AA82" i="11" a="1"/>
  <c r="AA82" i="11" s="1"/>
  <c r="AA80" i="11"/>
  <c r="AA79" i="11"/>
  <c r="AJ22" i="11"/>
  <c r="AJ26" i="11" s="1"/>
  <c r="AJ30" i="11"/>
  <c r="AH30" i="11"/>
  <c r="AG30" i="11"/>
  <c r="AI30" i="11"/>
  <c r="AC41" i="11"/>
  <c r="AD41" i="11"/>
  <c r="AE41" i="11"/>
  <c r="AH29" i="10"/>
  <c r="AH27" i="10"/>
  <c r="AJ29" i="10"/>
  <c r="AJ27" i="10"/>
  <c r="X26" i="11"/>
  <c r="X31" i="11" s="1"/>
  <c r="U22" i="11"/>
  <c r="U26" i="11" s="1"/>
  <c r="U27" i="11" s="1"/>
  <c r="V31" i="11"/>
  <c r="V27" i="11"/>
  <c r="W27" i="11"/>
  <c r="W31" i="11"/>
  <c r="AH30" i="10"/>
  <c r="AH32" i="10"/>
  <c r="AH31" i="10"/>
  <c r="AH33" i="10"/>
  <c r="AH34" i="10"/>
  <c r="AI33" i="10"/>
  <c r="AI32" i="10"/>
  <c r="AI31" i="10"/>
  <c r="AI34" i="10"/>
  <c r="AI30" i="10"/>
  <c r="AJ34" i="10"/>
  <c r="AJ32" i="10"/>
  <c r="AJ33" i="10"/>
  <c r="AJ31" i="10"/>
  <c r="AJ30" i="10"/>
  <c r="AI29" i="10"/>
  <c r="AE29" i="10"/>
  <c r="AE34" i="10"/>
  <c r="AE30" i="10"/>
  <c r="AE32" i="10"/>
  <c r="AE31" i="10"/>
  <c r="AE33" i="10"/>
  <c r="AL12" i="11"/>
  <c r="AJ13" i="11"/>
  <c r="AL13" i="11" s="1"/>
  <c r="U26" i="8"/>
  <c r="W31" i="8"/>
  <c r="W34" i="8"/>
  <c r="W92" i="8"/>
  <c r="W106" i="8" s="1"/>
  <c r="W129" i="8" s="1"/>
  <c r="W37" i="8"/>
  <c r="V92" i="8"/>
  <c r="V106" i="8" s="1"/>
  <c r="V129" i="8" s="1"/>
  <c r="V34" i="8"/>
  <c r="V37" i="8"/>
  <c r="V31" i="8"/>
  <c r="E23" i="11"/>
  <c r="E31" i="11"/>
  <c r="E79" i="11" s="1"/>
  <c r="T27" i="11"/>
  <c r="T31" i="11"/>
  <c r="U31" i="8"/>
  <c r="U92" i="8"/>
  <c r="U106" i="8" s="1"/>
  <c r="U129" i="8" s="1"/>
  <c r="U37" i="8"/>
  <c r="U34" i="8"/>
  <c r="F23" i="11"/>
  <c r="AJ18" i="11"/>
  <c r="C32" i="11"/>
  <c r="C83" i="11" a="1"/>
  <c r="C83" i="11" s="1"/>
  <c r="C38" i="11"/>
  <c r="C46" i="11" s="1"/>
  <c r="C82" i="11" a="1"/>
  <c r="C82" i="11" s="1"/>
  <c r="C81" i="11"/>
  <c r="C80" i="11"/>
  <c r="C79" i="11"/>
  <c r="D32" i="11"/>
  <c r="D83" i="11" a="1"/>
  <c r="D83" i="11" s="1"/>
  <c r="D38" i="11"/>
  <c r="D82" i="11" a="1"/>
  <c r="D82" i="11" s="1"/>
  <c r="D81" i="11"/>
  <c r="D80" i="11"/>
  <c r="D79" i="11"/>
  <c r="J32" i="11"/>
  <c r="J38" i="11"/>
  <c r="J46" i="11" s="1"/>
  <c r="L31" i="11"/>
  <c r="L27" i="11"/>
  <c r="F27" i="11"/>
  <c r="F31" i="11"/>
  <c r="S27" i="11"/>
  <c r="S31" i="11"/>
  <c r="P26" i="11"/>
  <c r="P23" i="11"/>
  <c r="K31" i="11"/>
  <c r="K27" i="11"/>
  <c r="G27" i="11"/>
  <c r="G31" i="11"/>
  <c r="O23" i="11"/>
  <c r="O26" i="11"/>
  <c r="N26" i="11"/>
  <c r="N23" i="11"/>
  <c r="H27" i="11"/>
  <c r="H31" i="11"/>
  <c r="AJ23" i="11"/>
  <c r="R31" i="11"/>
  <c r="R27" i="11"/>
  <c r="H92" i="8"/>
  <c r="H106" i="8" s="1"/>
  <c r="H129" i="8" s="1"/>
  <c r="H31" i="8"/>
  <c r="H37" i="8"/>
  <c r="H34" i="8"/>
  <c r="X27" i="11" l="1"/>
  <c r="U31" i="11"/>
  <c r="W81" i="11" s="1" a="1"/>
  <c r="W81" i="11" s="1"/>
  <c r="U23" i="11"/>
  <c r="W38" i="11"/>
  <c r="W32" i="11"/>
  <c r="X32" i="11"/>
  <c r="X38" i="11"/>
  <c r="V32" i="11"/>
  <c r="V38" i="11"/>
  <c r="E83" i="11" a="1"/>
  <c r="E83" i="11" s="1"/>
  <c r="E80" i="11"/>
  <c r="E82" i="11" a="1"/>
  <c r="E82" i="11" s="1"/>
  <c r="E32" i="11"/>
  <c r="E38" i="11"/>
  <c r="E45" i="11" s="1"/>
  <c r="E46" i="11" s="1"/>
  <c r="E81" i="11"/>
  <c r="T38" i="11"/>
  <c r="T32" i="11"/>
  <c r="D45" i="11"/>
  <c r="D46" i="11" s="1"/>
  <c r="H83" i="11" a="1"/>
  <c r="H83" i="11" s="1"/>
  <c r="H82" i="11" a="1"/>
  <c r="H82" i="11" s="1"/>
  <c r="H38" i="11"/>
  <c r="H45" i="11" s="1"/>
  <c r="H32" i="11"/>
  <c r="H81" i="11"/>
  <c r="H79" i="11"/>
  <c r="H80" i="11"/>
  <c r="P27" i="11"/>
  <c r="P31" i="11"/>
  <c r="S38" i="11"/>
  <c r="S45" i="11" s="1"/>
  <c r="S32" i="11"/>
  <c r="F83" i="11" a="1"/>
  <c r="F83" i="11" s="1"/>
  <c r="F38" i="11"/>
  <c r="F45" i="11" s="1"/>
  <c r="F79" i="11"/>
  <c r="F82" i="11" a="1"/>
  <c r="F82" i="11" s="1"/>
  <c r="F32" i="11"/>
  <c r="F81" i="11"/>
  <c r="F80" i="11"/>
  <c r="N27" i="11"/>
  <c r="N31" i="11"/>
  <c r="G38" i="11"/>
  <c r="G45" i="11" s="1"/>
  <c r="G32" i="11"/>
  <c r="G83" i="11" a="1"/>
  <c r="G83" i="11" s="1"/>
  <c r="G81" i="11"/>
  <c r="G82" i="11" a="1"/>
  <c r="G82" i="11" s="1"/>
  <c r="G80" i="11"/>
  <c r="G79" i="11"/>
  <c r="O27" i="11"/>
  <c r="O31" i="11"/>
  <c r="R32" i="11"/>
  <c r="R38" i="11"/>
  <c r="K32" i="11"/>
  <c r="K38" i="11"/>
  <c r="K45" i="11" s="1"/>
  <c r="AJ27" i="11"/>
  <c r="AJ31" i="11"/>
  <c r="L38" i="11"/>
  <c r="L45" i="11" s="1"/>
  <c r="L32" i="11"/>
  <c r="U32" i="11" l="1"/>
  <c r="X82" i="11" a="1"/>
  <c r="X82" i="11" s="1"/>
  <c r="U83" i="11" a="1"/>
  <c r="U83" i="11" s="1"/>
  <c r="X80" i="11"/>
  <c r="W83" i="11" a="1"/>
  <c r="W83" i="11" s="1"/>
  <c r="V83" i="11" a="1"/>
  <c r="V83" i="11" s="1"/>
  <c r="U82" i="11" a="1"/>
  <c r="U82" i="11" s="1"/>
  <c r="U38" i="11"/>
  <c r="U45" i="11" s="1"/>
  <c r="X79" i="11"/>
  <c r="V81" i="11" a="1"/>
  <c r="V81" i="11" s="1"/>
  <c r="W82" i="11" a="1"/>
  <c r="W82" i="11" s="1"/>
  <c r="X81" i="11" a="1"/>
  <c r="X81" i="11" s="1"/>
  <c r="V80" i="11"/>
  <c r="U80" i="11"/>
  <c r="V79" i="11"/>
  <c r="X83" i="11" a="1"/>
  <c r="X83" i="11" s="1"/>
  <c r="V82" i="11" a="1"/>
  <c r="V82" i="11" s="1"/>
  <c r="U79" i="11"/>
  <c r="W79" i="11"/>
  <c r="U81" i="11" a="1"/>
  <c r="U81" i="11" s="1"/>
  <c r="W80" i="11"/>
  <c r="X45" i="11"/>
  <c r="X46" i="11" s="1"/>
  <c r="V45" i="11"/>
  <c r="V46" i="11" s="1"/>
  <c r="W45" i="11"/>
  <c r="W46" i="11" s="1"/>
  <c r="T45" i="11"/>
  <c r="N38" i="11"/>
  <c r="N32" i="11"/>
  <c r="K46" i="11"/>
  <c r="H46" i="11"/>
  <c r="L46" i="11"/>
  <c r="O38" i="11"/>
  <c r="O45" i="11" s="1"/>
  <c r="O32" i="11"/>
  <c r="AJ83" i="11" a="1"/>
  <c r="AJ83" i="11" s="1"/>
  <c r="AJ38" i="11"/>
  <c r="AJ82" i="11" a="1"/>
  <c r="AJ82" i="11" s="1"/>
  <c r="AJ81" i="11"/>
  <c r="AJ32" i="11"/>
  <c r="AJ79" i="11"/>
  <c r="AJ80" i="11"/>
  <c r="S46" i="11"/>
  <c r="P38" i="11"/>
  <c r="P45" i="11" s="1"/>
  <c r="P32" i="11"/>
  <c r="G46" i="11"/>
  <c r="F46" i="11"/>
  <c r="T46" i="11" l="1"/>
  <c r="AI45" i="11"/>
  <c r="U46" i="11"/>
  <c r="AJ45" i="11"/>
  <c r="AH45" i="11"/>
  <c r="O46" i="11"/>
  <c r="P46" i="11" l="1"/>
  <c r="B2" i="10" l="1"/>
  <c r="B15" i="10"/>
  <c r="B14" i="10"/>
  <c r="L11" i="10"/>
  <c r="L27" i="10" s="1"/>
  <c r="F11" i="10"/>
  <c r="F27" i="10" s="1"/>
  <c r="AG61" i="10"/>
  <c r="AI61" i="10"/>
  <c r="AJ61" i="10"/>
  <c r="AH61" i="10"/>
  <c r="AF61" i="10"/>
  <c r="AD61" i="10"/>
  <c r="AB61" i="10"/>
  <c r="R11" i="10"/>
  <c r="R27" i="10" s="1"/>
  <c r="D11" i="10"/>
  <c r="D27" i="10" s="1"/>
  <c r="G11" i="10"/>
  <c r="G27" i="10" s="1"/>
  <c r="AJ44" i="10"/>
  <c r="AH44" i="10"/>
  <c r="AB44" i="10"/>
  <c r="S11" i="10"/>
  <c r="S27" i="10" s="1"/>
  <c r="Q11" i="10"/>
  <c r="Q27" i="10" s="1"/>
  <c r="P11" i="10"/>
  <c r="P27" i="10" s="1"/>
  <c r="O11" i="10"/>
  <c r="O27" i="10" s="1"/>
  <c r="AG44" i="10"/>
  <c r="K11" i="10"/>
  <c r="K27" i="10" s="1"/>
  <c r="E11" i="10"/>
  <c r="E27" i="10" s="1"/>
  <c r="C11" i="10"/>
  <c r="C27" i="10" s="1"/>
  <c r="Q112" i="8"/>
  <c r="M112" i="8"/>
  <c r="Q117" i="8"/>
  <c r="M117" i="8"/>
  <c r="Q136" i="8"/>
  <c r="M136" i="8"/>
  <c r="AB35" i="11" s="1"/>
  <c r="G124" i="8"/>
  <c r="F124" i="8"/>
  <c r="J124" i="8" s="1"/>
  <c r="E124" i="8"/>
  <c r="D124" i="8"/>
  <c r="AC35" i="11" l="1"/>
  <c r="AF35" i="11"/>
  <c r="AL35" i="11" s="1"/>
  <c r="AD35" i="11"/>
  <c r="AE35" i="11"/>
  <c r="M43" i="11"/>
  <c r="AB43" i="11" s="1"/>
  <c r="Q43" i="11"/>
  <c r="AL52" i="8"/>
  <c r="AL54" i="8"/>
  <c r="AL59" i="8"/>
  <c r="AL61" i="8"/>
  <c r="AL53" i="8"/>
  <c r="AL55" i="8"/>
  <c r="AL60" i="8"/>
  <c r="E14" i="10"/>
  <c r="E15" i="10"/>
  <c r="K14" i="10"/>
  <c r="AA14" i="10" s="1"/>
  <c r="K15" i="10"/>
  <c r="AA15" i="10" s="1"/>
  <c r="G15" i="10"/>
  <c r="G14" i="10"/>
  <c r="O15" i="10"/>
  <c r="AE15" i="10" s="1"/>
  <c r="O14" i="10"/>
  <c r="AE14" i="10" s="1"/>
  <c r="D14" i="10"/>
  <c r="D15" i="10"/>
  <c r="P15" i="10"/>
  <c r="AF15" i="10" s="1"/>
  <c r="P14" i="10"/>
  <c r="AF14" i="10" s="1"/>
  <c r="R14" i="10"/>
  <c r="AH14" i="10" s="1"/>
  <c r="R15" i="10"/>
  <c r="AH15" i="10" s="1"/>
  <c r="F14" i="10"/>
  <c r="F15" i="10"/>
  <c r="C14" i="10"/>
  <c r="C15" i="10"/>
  <c r="Q14" i="10"/>
  <c r="AG14" i="10" s="1"/>
  <c r="Q15" i="10"/>
  <c r="AG15" i="10" s="1"/>
  <c r="L15" i="10"/>
  <c r="AB15" i="10" s="1"/>
  <c r="L14" i="10"/>
  <c r="AB14" i="10" s="1"/>
  <c r="S14" i="10"/>
  <c r="AI14" i="10" s="1"/>
  <c r="S15" i="10"/>
  <c r="AI15" i="10" s="1"/>
  <c r="AJ15" i="10"/>
  <c r="AJ14" i="10"/>
  <c r="AF44" i="10"/>
  <c r="M11" i="10"/>
  <c r="M27" i="10" s="1"/>
  <c r="AD44" i="10"/>
  <c r="AJ11" i="10"/>
  <c r="AJ12" i="10" s="1"/>
  <c r="AC44" i="10"/>
  <c r="AE61" i="10"/>
  <c r="J11" i="10"/>
  <c r="J27" i="10" s="1"/>
  <c r="AA44" i="10"/>
  <c r="AI44" i="10"/>
  <c r="AE44" i="10"/>
  <c r="AA61" i="10"/>
  <c r="N11" i="10"/>
  <c r="N27" i="10" s="1"/>
  <c r="AC61" i="10"/>
  <c r="AF43" i="11" l="1"/>
  <c r="AE43" i="11"/>
  <c r="AC43" i="11"/>
  <c r="AD43" i="11"/>
  <c r="J15" i="10"/>
  <c r="J14" i="10"/>
  <c r="N15" i="10"/>
  <c r="AD15" i="10" s="1"/>
  <c r="N14" i="10"/>
  <c r="AD14" i="10" s="1"/>
  <c r="M15" i="10"/>
  <c r="AC15" i="10" s="1"/>
  <c r="M14" i="10"/>
  <c r="AC14" i="10" s="1"/>
  <c r="Q29" i="8" l="1"/>
  <c r="M29" i="8"/>
  <c r="Q28" i="8"/>
  <c r="M28" i="8"/>
  <c r="Q24" i="8"/>
  <c r="M24" i="8"/>
  <c r="Q23" i="8"/>
  <c r="M23" i="8"/>
  <c r="Q52" i="8"/>
  <c r="M52" i="8"/>
  <c r="M58" i="11" s="1"/>
  <c r="Q53" i="8"/>
  <c r="M53" i="8"/>
  <c r="Q54" i="8"/>
  <c r="M54" i="8"/>
  <c r="Q55" i="8"/>
  <c r="M55" i="8"/>
  <c r="Q62" i="8"/>
  <c r="M62" i="8"/>
  <c r="Q61" i="8"/>
  <c r="M61" i="8"/>
  <c r="M60" i="11" s="1"/>
  <c r="Q60" i="8"/>
  <c r="M60" i="8"/>
  <c r="D67" i="8"/>
  <c r="C125" i="8"/>
  <c r="D120" i="8"/>
  <c r="C120" i="8"/>
  <c r="D113" i="8"/>
  <c r="C113" i="8"/>
  <c r="D89" i="8"/>
  <c r="C89" i="8"/>
  <c r="D88" i="8"/>
  <c r="C88" i="8"/>
  <c r="D81" i="8"/>
  <c r="D74" i="11" s="1"/>
  <c r="D75" i="11" s="1"/>
  <c r="D84" i="11" s="1"/>
  <c r="C81" i="8"/>
  <c r="C74" i="11" s="1"/>
  <c r="C75" i="11" s="1"/>
  <c r="C84" i="11" s="1"/>
  <c r="C67" i="8"/>
  <c r="D49" i="8"/>
  <c r="D56" i="8" s="1"/>
  <c r="C49" i="8"/>
  <c r="C56" i="8" s="1"/>
  <c r="D41" i="8"/>
  <c r="C41" i="8"/>
  <c r="D40" i="8"/>
  <c r="C40" i="8"/>
  <c r="D11" i="8"/>
  <c r="C11" i="8"/>
  <c r="Q135" i="8"/>
  <c r="M135" i="8"/>
  <c r="AB36" i="11" s="1"/>
  <c r="Q119" i="8"/>
  <c r="M119" i="8"/>
  <c r="Q80" i="8"/>
  <c r="M80" i="8"/>
  <c r="Q79" i="8"/>
  <c r="M79" i="8"/>
  <c r="Q78" i="8"/>
  <c r="Q77" i="8"/>
  <c r="M77" i="8"/>
  <c r="Q76" i="8"/>
  <c r="M76" i="8"/>
  <c r="Q73" i="8"/>
  <c r="M73" i="8"/>
  <c r="M66" i="11" s="1"/>
  <c r="Q71" i="8"/>
  <c r="M71" i="8"/>
  <c r="Q70" i="8"/>
  <c r="M70" i="8"/>
  <c r="Q66" i="8"/>
  <c r="M66" i="8"/>
  <c r="M65" i="11" s="1"/>
  <c r="Q64" i="8"/>
  <c r="M64" i="8"/>
  <c r="Q63" i="8"/>
  <c r="M63" i="8"/>
  <c r="Q59" i="8"/>
  <c r="M59" i="8"/>
  <c r="M59" i="11" s="1"/>
  <c r="Q48" i="8"/>
  <c r="M48" i="8"/>
  <c r="Q47" i="8"/>
  <c r="M47" i="8"/>
  <c r="Q46" i="8"/>
  <c r="M46" i="8"/>
  <c r="AL44" i="8"/>
  <c r="G120" i="8"/>
  <c r="R120" i="8"/>
  <c r="E120" i="8"/>
  <c r="Q98" i="8"/>
  <c r="M105" i="8"/>
  <c r="Q44" i="8"/>
  <c r="M44" i="8"/>
  <c r="Q22" i="8"/>
  <c r="M22" i="8"/>
  <c r="AF36" i="11" l="1"/>
  <c r="AE36" i="11"/>
  <c r="AC36" i="11"/>
  <c r="AD36" i="11"/>
  <c r="M56" i="11"/>
  <c r="Q56" i="11"/>
  <c r="AC56" i="11" s="1"/>
  <c r="C74" i="8"/>
  <c r="C62" i="11" s="1"/>
  <c r="C61" i="11"/>
  <c r="Q60" i="11"/>
  <c r="AC60" i="11" s="1"/>
  <c r="M50" i="11"/>
  <c r="Q59" i="11"/>
  <c r="AC59" i="11" s="1"/>
  <c r="AL36" i="11"/>
  <c r="M57" i="11"/>
  <c r="Q58" i="11"/>
  <c r="AC58" i="11" s="1"/>
  <c r="Q66" i="11"/>
  <c r="AC66" i="11" s="1"/>
  <c r="Q50" i="11"/>
  <c r="AC50" i="11" s="1"/>
  <c r="AC53" i="11" s="1"/>
  <c r="Q57" i="11"/>
  <c r="AC57" i="11" s="1"/>
  <c r="D74" i="8"/>
  <c r="D62" i="11" s="1"/>
  <c r="D61" i="11"/>
  <c r="Q65" i="11"/>
  <c r="AC65" i="11" s="1"/>
  <c r="C14" i="8"/>
  <c r="C19" i="8" s="1"/>
  <c r="C25" i="8" s="1"/>
  <c r="C26" i="8" s="1"/>
  <c r="C12" i="10"/>
  <c r="D14" i="8"/>
  <c r="D19" i="8" s="1"/>
  <c r="D25" i="8" s="1"/>
  <c r="D30" i="8" s="1"/>
  <c r="D92" i="8" s="1"/>
  <c r="D12" i="10"/>
  <c r="AL29" i="8"/>
  <c r="AL47" i="8"/>
  <c r="AL78" i="8"/>
  <c r="AL48" i="8"/>
  <c r="C20" i="8"/>
  <c r="C15" i="8"/>
  <c r="AL63" i="8"/>
  <c r="AL80" i="8"/>
  <c r="AL77" i="8"/>
  <c r="AL66" i="8"/>
  <c r="AL70" i="8"/>
  <c r="AL62" i="8"/>
  <c r="AL73" i="8"/>
  <c r="AL64" i="8"/>
  <c r="AL79" i="8"/>
  <c r="AL76" i="8"/>
  <c r="AL46" i="8"/>
  <c r="AL71" i="8"/>
  <c r="AL24" i="8"/>
  <c r="S120" i="8"/>
  <c r="AL23" i="8"/>
  <c r="L120" i="8"/>
  <c r="F120" i="8"/>
  <c r="J120" i="8"/>
  <c r="K120" i="8"/>
  <c r="N120" i="8"/>
  <c r="O120" i="8"/>
  <c r="P120" i="8"/>
  <c r="AC120" i="8"/>
  <c r="AD120" i="8"/>
  <c r="AE120" i="8"/>
  <c r="AB120" i="8"/>
  <c r="M96" i="8"/>
  <c r="M95" i="8"/>
  <c r="M25" i="11" s="1"/>
  <c r="AB25" i="11" s="1"/>
  <c r="M97" i="8"/>
  <c r="M29" i="11" s="1"/>
  <c r="AB29" i="11" s="1"/>
  <c r="M34" i="11"/>
  <c r="AB34" i="11" s="1"/>
  <c r="Q96" i="8"/>
  <c r="M102" i="8"/>
  <c r="Q97" i="8"/>
  <c r="Q29" i="11" s="1"/>
  <c r="M98" i="8"/>
  <c r="Q34" i="11"/>
  <c r="M103" i="8"/>
  <c r="M104" i="8"/>
  <c r="AF29" i="11" l="1"/>
  <c r="AD29" i="11"/>
  <c r="AE29" i="11"/>
  <c r="AC29" i="11"/>
  <c r="AF34" i="11"/>
  <c r="AC34" i="11"/>
  <c r="AD34" i="11"/>
  <c r="AE34" i="11"/>
  <c r="C82" i="8"/>
  <c r="C84" i="8" s="1"/>
  <c r="AL28" i="8"/>
  <c r="D20" i="8"/>
  <c r="C30" i="8"/>
  <c r="C92" i="8" s="1"/>
  <c r="D82" i="8"/>
  <c r="D84" i="8" s="1"/>
  <c r="AL34" i="11"/>
  <c r="Q53" i="11"/>
  <c r="R45" i="11"/>
  <c r="AG45" i="11" s="1"/>
  <c r="AL29" i="11"/>
  <c r="AB53" i="11"/>
  <c r="M53" i="11"/>
  <c r="N45" i="11"/>
  <c r="D15" i="8"/>
  <c r="D26" i="8"/>
  <c r="D37" i="8"/>
  <c r="D34" i="8"/>
  <c r="D31" i="8"/>
  <c r="AL22" i="8"/>
  <c r="AL98" i="8"/>
  <c r="M101" i="8"/>
  <c r="Q120" i="8"/>
  <c r="M120" i="8"/>
  <c r="Z120" i="8"/>
  <c r="AA120" i="8"/>
  <c r="C34" i="8" l="1"/>
  <c r="C37" i="8"/>
  <c r="C31" i="8"/>
  <c r="M37" i="11"/>
  <c r="AB37" i="11" s="1"/>
  <c r="AJ46" i="11"/>
  <c r="R46" i="11"/>
  <c r="N46" i="11"/>
  <c r="AF53" i="11"/>
  <c r="AF120" i="8"/>
  <c r="AH120" i="8"/>
  <c r="C106" i="8"/>
  <c r="D106" i="8"/>
  <c r="D129" i="8" s="1"/>
  <c r="AJ120" i="8"/>
  <c r="AI120" i="8"/>
  <c r="AG120" i="8"/>
  <c r="C129" i="8" l="1"/>
  <c r="C130" i="8" s="1"/>
  <c r="S81" i="8"/>
  <c r="S74" i="11" s="1"/>
  <c r="AE74" i="11" s="1"/>
  <c r="R81" i="8"/>
  <c r="R74" i="11" s="1"/>
  <c r="AD74" i="11" s="1"/>
  <c r="P81" i="8"/>
  <c r="P74" i="11" s="1"/>
  <c r="AB74" i="11" s="1"/>
  <c r="O81" i="8"/>
  <c r="O74" i="11" s="1"/>
  <c r="N81" i="8"/>
  <c r="N74" i="11" s="1"/>
  <c r="L81" i="8"/>
  <c r="L74" i="11" s="1"/>
  <c r="L75" i="11" s="1"/>
  <c r="K81" i="8"/>
  <c r="K74" i="11" s="1"/>
  <c r="K75" i="11" s="1"/>
  <c r="J81" i="8"/>
  <c r="J74" i="11" s="1"/>
  <c r="J75" i="11" s="1"/>
  <c r="G81" i="8"/>
  <c r="G74" i="11" s="1"/>
  <c r="G75" i="11" s="1"/>
  <c r="G84" i="11" s="1"/>
  <c r="F81" i="8"/>
  <c r="F74" i="11" s="1"/>
  <c r="F75" i="11" s="1"/>
  <c r="F84" i="11" s="1"/>
  <c r="E81" i="8"/>
  <c r="E74" i="11" s="1"/>
  <c r="E75" i="11" s="1"/>
  <c r="E84" i="11" s="1"/>
  <c r="Q18" i="8"/>
  <c r="Q21" i="11" s="1"/>
  <c r="M18" i="8"/>
  <c r="M21" i="11" s="1"/>
  <c r="Q36" i="8"/>
  <c r="Q33" i="8"/>
  <c r="Q17" i="8"/>
  <c r="Q20" i="11" s="1"/>
  <c r="Q13" i="8"/>
  <c r="Q16" i="11" s="1"/>
  <c r="Q10" i="8"/>
  <c r="M13" i="8"/>
  <c r="M16" i="11" s="1"/>
  <c r="AB16" i="11" s="1"/>
  <c r="M10" i="8"/>
  <c r="M17" i="8"/>
  <c r="M20" i="11" s="1"/>
  <c r="AB20" i="11" s="1"/>
  <c r="AF16" i="11" l="1"/>
  <c r="AE16" i="11"/>
  <c r="AD16" i="11"/>
  <c r="AD17" i="11" s="1"/>
  <c r="AC16" i="11"/>
  <c r="AC17" i="11" s="1"/>
  <c r="M30" i="11"/>
  <c r="AB30" i="11" s="1"/>
  <c r="AB21" i="11"/>
  <c r="AF21" i="11"/>
  <c r="AE21" i="11"/>
  <c r="AE22" i="11" s="1"/>
  <c r="AC21" i="11"/>
  <c r="AD21" i="11"/>
  <c r="AF20" i="11"/>
  <c r="AC20" i="11"/>
  <c r="AD20" i="11"/>
  <c r="AE20" i="11"/>
  <c r="AG17" i="11"/>
  <c r="AG22" i="11" s="1"/>
  <c r="Q17" i="11"/>
  <c r="AH17" i="11"/>
  <c r="AH22" i="11" s="1"/>
  <c r="AI17" i="11"/>
  <c r="AI22" i="11" s="1"/>
  <c r="AD75" i="11"/>
  <c r="AD84" i="11" s="1"/>
  <c r="O75" i="11"/>
  <c r="O84" i="11" s="1"/>
  <c r="AL20" i="11"/>
  <c r="P75" i="11"/>
  <c r="P84" i="11" s="1"/>
  <c r="AE75" i="11"/>
  <c r="AE84" i="11" s="1"/>
  <c r="AB17" i="11"/>
  <c r="AB22" i="11" s="1"/>
  <c r="AE17" i="11"/>
  <c r="M17" i="11"/>
  <c r="AH75" i="11"/>
  <c r="AH84" i="11" s="1"/>
  <c r="S75" i="11"/>
  <c r="S84" i="11" s="1"/>
  <c r="AG75" i="11"/>
  <c r="AG84" i="11" s="1"/>
  <c r="R75" i="11"/>
  <c r="R84" i="11" s="1"/>
  <c r="N75" i="11"/>
  <c r="N84" i="11" s="1"/>
  <c r="Q30" i="11"/>
  <c r="C132" i="8"/>
  <c r="D123" i="8"/>
  <c r="D125" i="8" s="1"/>
  <c r="D130" i="8" s="1"/>
  <c r="AL33" i="8"/>
  <c r="AL36" i="8"/>
  <c r="AA81" i="8"/>
  <c r="AC81" i="8"/>
  <c r="AE81" i="8"/>
  <c r="AF81" i="8"/>
  <c r="AG81" i="8"/>
  <c r="AI81" i="8"/>
  <c r="AB81" i="8"/>
  <c r="M81" i="8"/>
  <c r="M74" i="11" s="1"/>
  <c r="AD81" i="8"/>
  <c r="AH81" i="8"/>
  <c r="Z81" i="8"/>
  <c r="Q81" i="8"/>
  <c r="Q74" i="11" s="1"/>
  <c r="AC74" i="11" s="1"/>
  <c r="AC75" i="11" s="1"/>
  <c r="AC84" i="11" s="1"/>
  <c r="AJ81" i="8"/>
  <c r="Q102" i="8"/>
  <c r="Q103" i="8"/>
  <c r="Q104" i="8"/>
  <c r="AF30" i="11" l="1"/>
  <c r="AD30" i="11"/>
  <c r="AC30" i="11"/>
  <c r="AE30" i="11"/>
  <c r="AD22" i="11"/>
  <c r="AC22" i="11"/>
  <c r="AB18" i="11"/>
  <c r="AI18" i="11"/>
  <c r="AC18" i="11"/>
  <c r="AB75" i="11"/>
  <c r="AB84" i="11" s="1"/>
  <c r="M75" i="11"/>
  <c r="M84" i="11" s="1"/>
  <c r="AH18" i="11"/>
  <c r="AF75" i="11"/>
  <c r="AF84" i="11" s="1"/>
  <c r="Q75" i="11"/>
  <c r="Q84" i="11" s="1"/>
  <c r="Q22" i="11"/>
  <c r="Q18" i="11"/>
  <c r="M22" i="11"/>
  <c r="M18" i="11"/>
  <c r="AG18" i="11"/>
  <c r="AD18" i="11"/>
  <c r="AE18" i="11"/>
  <c r="AL16" i="11"/>
  <c r="AF17" i="11"/>
  <c r="AF22" i="11" s="1"/>
  <c r="E123" i="8"/>
  <c r="D132" i="8"/>
  <c r="AL104" i="8"/>
  <c r="AL103" i="8"/>
  <c r="AL18" i="8"/>
  <c r="Q105" i="8"/>
  <c r="AL97" i="8"/>
  <c r="Q101" i="8"/>
  <c r="Q95" i="8"/>
  <c r="Q25" i="11" s="1"/>
  <c r="AF25" i="11" l="1"/>
  <c r="AE25" i="11"/>
  <c r="AC25" i="11"/>
  <c r="AD25" i="11"/>
  <c r="AD26" i="11" s="1"/>
  <c r="Q37" i="11"/>
  <c r="AI26" i="11"/>
  <c r="AG26" i="11"/>
  <c r="AH26" i="11"/>
  <c r="AL25" i="11"/>
  <c r="AE23" i="11"/>
  <c r="AE26" i="11"/>
  <c r="Q26" i="11"/>
  <c r="Q23" i="11"/>
  <c r="AC23" i="11"/>
  <c r="AC26" i="11"/>
  <c r="M23" i="11"/>
  <c r="M26" i="11"/>
  <c r="AD23" i="11"/>
  <c r="AG23" i="11"/>
  <c r="AL17" i="11"/>
  <c r="AF18" i="11"/>
  <c r="AL18" i="11" s="1"/>
  <c r="AI23" i="11"/>
  <c r="AH23" i="11"/>
  <c r="AB23" i="11"/>
  <c r="AB26" i="11"/>
  <c r="AL101" i="8"/>
  <c r="AL95" i="8"/>
  <c r="AL105" i="8"/>
  <c r="AL102" i="8"/>
  <c r="AL109" i="8"/>
  <c r="AF37" i="11" l="1"/>
  <c r="AE37" i="11"/>
  <c r="AD37" i="11"/>
  <c r="AC37" i="11"/>
  <c r="AL37" i="11"/>
  <c r="AH31" i="11"/>
  <c r="AH27" i="11"/>
  <c r="Q27" i="11"/>
  <c r="Q31" i="11"/>
  <c r="AI27" i="11"/>
  <c r="AI31" i="11"/>
  <c r="AD27" i="11"/>
  <c r="AD31" i="11"/>
  <c r="M27" i="11"/>
  <c r="M31" i="11"/>
  <c r="AG31" i="11"/>
  <c r="AG27" i="11"/>
  <c r="AE27" i="11"/>
  <c r="AE31" i="11"/>
  <c r="AC27" i="11"/>
  <c r="AC31" i="11"/>
  <c r="AB27" i="11"/>
  <c r="AB31" i="11"/>
  <c r="AF26" i="11"/>
  <c r="AF23" i="11"/>
  <c r="AL23" i="11" s="1"/>
  <c r="AL22" i="11"/>
  <c r="AL96" i="8"/>
  <c r="T83" i="11" l="1" a="1"/>
  <c r="T83" i="11" s="1"/>
  <c r="T82" i="11" a="1"/>
  <c r="T82" i="11" s="1"/>
  <c r="T81" i="11" a="1"/>
  <c r="T81" i="11" s="1"/>
  <c r="T79" i="11"/>
  <c r="T80" i="11"/>
  <c r="Q83" i="11" a="1"/>
  <c r="Q83" i="11" s="1"/>
  <c r="Q81" i="11" a="1"/>
  <c r="Q81" i="11" s="1"/>
  <c r="R79" i="11"/>
  <c r="Q82" i="11" a="1"/>
  <c r="Q82" i="11" s="1"/>
  <c r="Q79" i="11"/>
  <c r="R83" i="11" a="1"/>
  <c r="R83" i="11" s="1"/>
  <c r="R80" i="11"/>
  <c r="R81" i="11" a="1"/>
  <c r="R81" i="11" s="1"/>
  <c r="R82" i="11" a="1"/>
  <c r="R82" i="11" s="1"/>
  <c r="Q80" i="11"/>
  <c r="P82" i="11" a="1"/>
  <c r="P82" i="11" s="1"/>
  <c r="P83" i="11" a="1"/>
  <c r="P83" i="11" s="1"/>
  <c r="P81" i="11" a="1"/>
  <c r="P81" i="11" s="1"/>
  <c r="P80" i="11"/>
  <c r="P79" i="11"/>
  <c r="M82" i="11" a="1"/>
  <c r="M82" i="11" s="1"/>
  <c r="M83" i="11" a="1"/>
  <c r="M83" i="11" s="1"/>
  <c r="N81" i="11" a="1"/>
  <c r="N81" i="11" s="1"/>
  <c r="O83" i="11" a="1"/>
  <c r="O83" i="11" s="1"/>
  <c r="N82" i="11" a="1"/>
  <c r="N82" i="11" s="1"/>
  <c r="O79" i="11"/>
  <c r="O80" i="11"/>
  <c r="M79" i="11"/>
  <c r="N83" i="11" a="1"/>
  <c r="N83" i="11" s="1"/>
  <c r="N79" i="11"/>
  <c r="M81" i="11" a="1"/>
  <c r="M81" i="11" s="1"/>
  <c r="O82" i="11" a="1"/>
  <c r="O82" i="11" s="1"/>
  <c r="N80" i="11"/>
  <c r="O81" i="11" a="1"/>
  <c r="O81" i="11" s="1"/>
  <c r="M80" i="11"/>
  <c r="AC38" i="11"/>
  <c r="AC81" i="11"/>
  <c r="AC32" i="11"/>
  <c r="AC82" i="11" a="1"/>
  <c r="AC82" i="11" s="1"/>
  <c r="AC79" i="11"/>
  <c r="AC80" i="11"/>
  <c r="AC83" i="11" a="1"/>
  <c r="AC83" i="11" s="1"/>
  <c r="AD79" i="11"/>
  <c r="AD82" i="11" a="1"/>
  <c r="AD82" i="11" s="1"/>
  <c r="AD83" i="11" a="1"/>
  <c r="AD83" i="11" s="1"/>
  <c r="AD38" i="11"/>
  <c r="AD81" i="11"/>
  <c r="AD80" i="11"/>
  <c r="AD32" i="11"/>
  <c r="AE32" i="11"/>
  <c r="AE81" i="11"/>
  <c r="AE38" i="11"/>
  <c r="AE79" i="11"/>
  <c r="AE80" i="11"/>
  <c r="AE83" i="11" a="1"/>
  <c r="AE83" i="11" s="1"/>
  <c r="AE82" i="11" a="1"/>
  <c r="AE82" i="11" s="1"/>
  <c r="AI32" i="11"/>
  <c r="AI81" i="11"/>
  <c r="AI82" i="11" a="1"/>
  <c r="AI82" i="11" s="1"/>
  <c r="AI38" i="11"/>
  <c r="AI83" i="11" a="1"/>
  <c r="AI83" i="11" s="1"/>
  <c r="AI80" i="11"/>
  <c r="AI79" i="11"/>
  <c r="Q38" i="11"/>
  <c r="Q32" i="11"/>
  <c r="S82" i="11" a="1"/>
  <c r="S82" i="11" s="1"/>
  <c r="S81" i="11" a="1"/>
  <c r="S81" i="11" s="1"/>
  <c r="S83" i="11" a="1"/>
  <c r="S83" i="11" s="1"/>
  <c r="S79" i="11"/>
  <c r="S80" i="11"/>
  <c r="AF31" i="11"/>
  <c r="AF27" i="11"/>
  <c r="AL27" i="11" s="1"/>
  <c r="AL26" i="11"/>
  <c r="AG32" i="11"/>
  <c r="AG38" i="11"/>
  <c r="AG81" i="11"/>
  <c r="AG83" i="11" a="1"/>
  <c r="AG83" i="11" s="1"/>
  <c r="AG79" i="11"/>
  <c r="AG80" i="11"/>
  <c r="AG82" i="11" a="1"/>
  <c r="AG82" i="11" s="1"/>
  <c r="AB80" i="11"/>
  <c r="AB83" i="11" a="1"/>
  <c r="AB83" i="11" s="1"/>
  <c r="AB79" i="11"/>
  <c r="AB32" i="11"/>
  <c r="AB81" i="11"/>
  <c r="AB82" i="11" a="1"/>
  <c r="AB82" i="11" s="1"/>
  <c r="AB38" i="11"/>
  <c r="M32" i="11"/>
  <c r="M38" i="11"/>
  <c r="AH83" i="11" a="1"/>
  <c r="AH83" i="11" s="1"/>
  <c r="AH38" i="11"/>
  <c r="AH81" i="11"/>
  <c r="AH82" i="11" a="1"/>
  <c r="AH82" i="11" s="1"/>
  <c r="AH32" i="11"/>
  <c r="AH79" i="11"/>
  <c r="AH80" i="11"/>
  <c r="R67" i="8"/>
  <c r="R61" i="11" s="1"/>
  <c r="AD61" i="11" s="1"/>
  <c r="P67" i="8"/>
  <c r="P61" i="11" s="1"/>
  <c r="AB61" i="11" s="1"/>
  <c r="R113" i="8"/>
  <c r="N113" i="8"/>
  <c r="J113" i="8"/>
  <c r="Q11" i="8"/>
  <c r="Q12" i="10" s="1"/>
  <c r="M11" i="8"/>
  <c r="M12" i="10" s="1"/>
  <c r="M36" i="8"/>
  <c r="M33" i="8"/>
  <c r="O49" i="8"/>
  <c r="O56" i="8" s="1"/>
  <c r="N49" i="8"/>
  <c r="N56" i="8" s="1"/>
  <c r="J49" i="8"/>
  <c r="J56" i="8" s="1"/>
  <c r="S89" i="8"/>
  <c r="R89" i="8"/>
  <c r="Q89" i="8"/>
  <c r="P89" i="8"/>
  <c r="O89" i="8"/>
  <c r="N89" i="8"/>
  <c r="M89" i="8"/>
  <c r="L89" i="8"/>
  <c r="K89" i="8"/>
  <c r="J89" i="8"/>
  <c r="S88" i="8"/>
  <c r="R88" i="8"/>
  <c r="Q88" i="8"/>
  <c r="P88" i="8"/>
  <c r="O88" i="8"/>
  <c r="N88" i="8"/>
  <c r="M88" i="8"/>
  <c r="L88" i="8"/>
  <c r="K88" i="8"/>
  <c r="J88" i="8"/>
  <c r="K49" i="8"/>
  <c r="K56" i="8" s="1"/>
  <c r="L49" i="8"/>
  <c r="L56" i="8" s="1"/>
  <c r="P49" i="8"/>
  <c r="P56" i="8" s="1"/>
  <c r="R49" i="8"/>
  <c r="R56" i="8" s="1"/>
  <c r="S49" i="8"/>
  <c r="S56" i="8" s="1"/>
  <c r="S41" i="8"/>
  <c r="R41" i="8"/>
  <c r="Q41" i="8"/>
  <c r="P41" i="8"/>
  <c r="O41" i="8"/>
  <c r="N41" i="8"/>
  <c r="M41" i="8"/>
  <c r="L41" i="8"/>
  <c r="K41" i="8"/>
  <c r="J41" i="8"/>
  <c r="S40" i="8"/>
  <c r="R40" i="8"/>
  <c r="Q40" i="8"/>
  <c r="P40" i="8"/>
  <c r="O40" i="8"/>
  <c r="N40" i="8"/>
  <c r="M40" i="8"/>
  <c r="L40" i="8"/>
  <c r="K40" i="8"/>
  <c r="J40" i="8"/>
  <c r="G41" i="8"/>
  <c r="F41" i="8"/>
  <c r="E41" i="8"/>
  <c r="G40" i="8"/>
  <c r="F40" i="8"/>
  <c r="E40" i="8"/>
  <c r="S11" i="8"/>
  <c r="R11" i="8"/>
  <c r="P11" i="8"/>
  <c r="O11" i="8"/>
  <c r="N11" i="8"/>
  <c r="L11" i="8"/>
  <c r="L12" i="10" s="1"/>
  <c r="K11" i="8"/>
  <c r="K12" i="10" s="1"/>
  <c r="J11" i="8"/>
  <c r="J12" i="10" s="1"/>
  <c r="R14" i="8" l="1"/>
  <c r="R19" i="8" s="1"/>
  <c r="R25" i="8" s="1"/>
  <c r="R12" i="10"/>
  <c r="S14" i="8"/>
  <c r="S15" i="8" s="1"/>
  <c r="S12" i="10"/>
  <c r="N14" i="8"/>
  <c r="N19" i="8" s="1"/>
  <c r="N12" i="10"/>
  <c r="P14" i="8"/>
  <c r="P19" i="8" s="1"/>
  <c r="P12" i="10"/>
  <c r="O14" i="8"/>
  <c r="O12" i="10"/>
  <c r="AF83" i="11" a="1"/>
  <c r="AF83" i="11" s="1"/>
  <c r="AF82" i="11" a="1"/>
  <c r="AF82" i="11" s="1"/>
  <c r="AF32" i="11"/>
  <c r="AL32" i="11" s="1"/>
  <c r="AF38" i="11"/>
  <c r="AL38" i="11" s="1"/>
  <c r="AL31" i="11"/>
  <c r="AF79" i="11"/>
  <c r="AF81" i="11"/>
  <c r="AF80" i="11"/>
  <c r="Q45" i="11"/>
  <c r="M45" i="11"/>
  <c r="P74" i="8"/>
  <c r="P62" i="11" s="1"/>
  <c r="AB62" i="11" s="1"/>
  <c r="J14" i="8"/>
  <c r="J19" i="8" s="1"/>
  <c r="K14" i="8"/>
  <c r="K15" i="8" s="1"/>
  <c r="L14" i="8"/>
  <c r="L15" i="8" s="1"/>
  <c r="N67" i="8"/>
  <c r="N61" i="11" s="1"/>
  <c r="S67" i="8"/>
  <c r="S61" i="11" s="1"/>
  <c r="AE61" i="11" s="1"/>
  <c r="K67" i="8"/>
  <c r="K61" i="11" s="1"/>
  <c r="J67" i="8"/>
  <c r="J61" i="11" s="1"/>
  <c r="O67" i="8"/>
  <c r="O61" i="11" s="1"/>
  <c r="G67" i="8"/>
  <c r="G61" i="11" s="1"/>
  <c r="L67" i="8"/>
  <c r="L61" i="11" s="1"/>
  <c r="S113" i="8"/>
  <c r="Q113" i="8"/>
  <c r="K113" i="8"/>
  <c r="O113" i="8"/>
  <c r="P113" i="8"/>
  <c r="Q14" i="8"/>
  <c r="Q15" i="8" s="1"/>
  <c r="M14" i="8"/>
  <c r="M15" i="8" s="1"/>
  <c r="Q67" i="8"/>
  <c r="Q61" i="11" s="1"/>
  <c r="AC61" i="11" s="1"/>
  <c r="Q49" i="8"/>
  <c r="Q56" i="8" s="1"/>
  <c r="M49" i="8"/>
  <c r="M56" i="8" s="1"/>
  <c r="M67" i="8"/>
  <c r="M61" i="11" s="1"/>
  <c r="S19" i="8"/>
  <c r="S25" i="8" s="1"/>
  <c r="O15" i="8"/>
  <c r="O19" i="8"/>
  <c r="O25" i="8" s="1"/>
  <c r="N15" i="8"/>
  <c r="R15" i="8"/>
  <c r="R20" i="8"/>
  <c r="AA45" i="11" l="1"/>
  <c r="AA46" i="11" s="1"/>
  <c r="Z45" i="11"/>
  <c r="Z46" i="11" s="1"/>
  <c r="M46" i="11"/>
  <c r="AB45" i="11"/>
  <c r="AB46" i="11" s="1"/>
  <c r="Q46" i="11"/>
  <c r="AF45" i="11"/>
  <c r="AF46" i="11" s="1"/>
  <c r="AD45" i="11"/>
  <c r="AD46" i="11" s="1"/>
  <c r="AE45" i="11"/>
  <c r="AE46" i="11" s="1"/>
  <c r="AC45" i="11"/>
  <c r="AC46" i="11" s="1"/>
  <c r="P15" i="8"/>
  <c r="O26" i="8"/>
  <c r="O30" i="8"/>
  <c r="O92" i="8" s="1"/>
  <c r="O106" i="8" s="1"/>
  <c r="R26" i="8"/>
  <c r="R30" i="8"/>
  <c r="R92" i="8" s="1"/>
  <c r="R106" i="8" s="1"/>
  <c r="S26" i="8"/>
  <c r="S30" i="8"/>
  <c r="S92" i="8" s="1"/>
  <c r="S106" i="8" s="1"/>
  <c r="AH46" i="11"/>
  <c r="AI46" i="11"/>
  <c r="AG46" i="11"/>
  <c r="P25" i="8"/>
  <c r="J25" i="8"/>
  <c r="N25" i="8"/>
  <c r="K19" i="8"/>
  <c r="P82" i="8"/>
  <c r="P84" i="8" s="1"/>
  <c r="J20" i="8"/>
  <c r="J15" i="8"/>
  <c r="L19" i="8"/>
  <c r="Q74" i="8"/>
  <c r="Q62" i="11" s="1"/>
  <c r="AC62" i="11" s="1"/>
  <c r="N74" i="8"/>
  <c r="N62" i="11" s="1"/>
  <c r="L74" i="8"/>
  <c r="L62" i="11" s="1"/>
  <c r="G74" i="8"/>
  <c r="G62" i="11" s="1"/>
  <c r="K74" i="8"/>
  <c r="K62" i="11" s="1"/>
  <c r="M74" i="8"/>
  <c r="M62" i="11" s="1"/>
  <c r="S74" i="8"/>
  <c r="S62" i="11" s="1"/>
  <c r="AE62" i="11" s="1"/>
  <c r="J74" i="8"/>
  <c r="J62" i="11" s="1"/>
  <c r="O74" i="8"/>
  <c r="O62" i="11" s="1"/>
  <c r="R74" i="8"/>
  <c r="R62" i="11" s="1"/>
  <c r="AD62" i="11" s="1"/>
  <c r="L113" i="8"/>
  <c r="M113" i="8"/>
  <c r="O20" i="8"/>
  <c r="S20" i="8"/>
  <c r="Q19" i="8"/>
  <c r="Q25" i="8" s="1"/>
  <c r="M19" i="8"/>
  <c r="M25" i="8" s="1"/>
  <c r="P20" i="8"/>
  <c r="N20" i="8"/>
  <c r="Q26" i="8" l="1"/>
  <c r="Q30" i="8"/>
  <c r="Q92" i="8" s="1"/>
  <c r="Q106" i="8" s="1"/>
  <c r="P26" i="8"/>
  <c r="P30" i="8"/>
  <c r="P92" i="8" s="1"/>
  <c r="P106" i="8" s="1"/>
  <c r="N26" i="8"/>
  <c r="N30" i="8"/>
  <c r="N92" i="8" s="1"/>
  <c r="N106" i="8" s="1"/>
  <c r="M26" i="8"/>
  <c r="M30" i="8"/>
  <c r="M92" i="8" s="1"/>
  <c r="M106" i="8" s="1"/>
  <c r="J26" i="8"/>
  <c r="J30" i="8"/>
  <c r="J92" i="8" s="1"/>
  <c r="J106" i="8" s="1"/>
  <c r="J129" i="8" s="1"/>
  <c r="S37" i="8"/>
  <c r="S31" i="8"/>
  <c r="S34" i="8"/>
  <c r="O34" i="8"/>
  <c r="O37" i="8"/>
  <c r="O31" i="8"/>
  <c r="R37" i="8"/>
  <c r="R31" i="8"/>
  <c r="R34" i="8"/>
  <c r="L25" i="8"/>
  <c r="K25" i="8"/>
  <c r="N82" i="8"/>
  <c r="N84" i="8" s="1"/>
  <c r="K20" i="8"/>
  <c r="L20" i="8"/>
  <c r="M82" i="8"/>
  <c r="M84" i="8" s="1"/>
  <c r="Q82" i="8"/>
  <c r="Q84" i="8" s="1"/>
  <c r="L82" i="8"/>
  <c r="L84" i="8" s="1"/>
  <c r="K82" i="8"/>
  <c r="K84" i="8" s="1"/>
  <c r="S82" i="8"/>
  <c r="S84" i="8" s="1"/>
  <c r="R82" i="8"/>
  <c r="R84" i="8" s="1"/>
  <c r="O82" i="8"/>
  <c r="O84" i="8" s="1"/>
  <c r="J82" i="8"/>
  <c r="J84" i="8" s="1"/>
  <c r="S129" i="8"/>
  <c r="M20" i="8"/>
  <c r="Q20" i="8"/>
  <c r="K26" i="8" l="1"/>
  <c r="K30" i="8"/>
  <c r="L26" i="8"/>
  <c r="L30" i="8"/>
  <c r="L92" i="8" s="1"/>
  <c r="L106" i="8" s="1"/>
  <c r="J34" i="8"/>
  <c r="J31" i="8"/>
  <c r="J37" i="8"/>
  <c r="N34" i="8"/>
  <c r="N37" i="8"/>
  <c r="N31" i="8"/>
  <c r="P37" i="8"/>
  <c r="P31" i="8"/>
  <c r="P34" i="8"/>
  <c r="Q37" i="8"/>
  <c r="Q31" i="8"/>
  <c r="Q34" i="8"/>
  <c r="M31" i="8"/>
  <c r="M34" i="8"/>
  <c r="M37" i="8"/>
  <c r="K92" i="8"/>
  <c r="K106" i="8" s="1"/>
  <c r="R129" i="8"/>
  <c r="N129" i="8"/>
  <c r="O129" i="8"/>
  <c r="P129" i="8"/>
  <c r="L37" i="8" l="1"/>
  <c r="L31" i="8"/>
  <c r="L34" i="8"/>
  <c r="K37" i="8"/>
  <c r="K31" i="8"/>
  <c r="K34" i="8"/>
  <c r="K129" i="8" l="1"/>
  <c r="L129" i="8"/>
  <c r="B89" i="8" l="1"/>
  <c r="B88" i="8"/>
  <c r="G89" i="8"/>
  <c r="F89" i="8"/>
  <c r="E89" i="8"/>
  <c r="G88" i="8"/>
  <c r="F88" i="8"/>
  <c r="E88" i="8"/>
  <c r="B41" i="8"/>
  <c r="B40" i="8"/>
  <c r="AJ41" i="8"/>
  <c r="AI41" i="8"/>
  <c r="AH41" i="8"/>
  <c r="AF41" i="8"/>
  <c r="AE41" i="8"/>
  <c r="AD41" i="8"/>
  <c r="AB41" i="8"/>
  <c r="AA41" i="8"/>
  <c r="Z41" i="8"/>
  <c r="AG41" i="8"/>
  <c r="AC41" i="8"/>
  <c r="AJ40" i="8"/>
  <c r="AI40" i="8"/>
  <c r="AH40" i="8"/>
  <c r="AG40" i="8"/>
  <c r="AF40" i="8"/>
  <c r="AE40" i="8"/>
  <c r="AD40" i="8"/>
  <c r="AC40" i="8"/>
  <c r="AB40" i="8"/>
  <c r="AA40" i="8"/>
  <c r="Z40" i="8"/>
  <c r="Z88" i="8" l="1"/>
  <c r="AC88" i="8"/>
  <c r="AD88" i="8"/>
  <c r="AD89" i="8"/>
  <c r="AG88" i="8"/>
  <c r="AH88" i="8"/>
  <c r="AC89" i="8"/>
  <c r="AH89" i="8"/>
  <c r="AI89" i="8"/>
  <c r="AF88" i="8"/>
  <c r="AA88" i="8"/>
  <c r="AI88" i="8"/>
  <c r="AF89" i="8"/>
  <c r="AE89" i="8"/>
  <c r="AB88" i="8"/>
  <c r="AJ88" i="8"/>
  <c r="AG89" i="8"/>
  <c r="Z89" i="8"/>
  <c r="AA89" i="8"/>
  <c r="AE88" i="8"/>
  <c r="AB89" i="8"/>
  <c r="AJ89" i="8"/>
  <c r="AE11" i="8" l="1"/>
  <c r="F49" i="8"/>
  <c r="F56" i="8" s="1"/>
  <c r="E49" i="8"/>
  <c r="E56" i="8" s="1"/>
  <c r="G49" i="8"/>
  <c r="G56" i="8" s="1"/>
  <c r="Z67" i="8" l="1"/>
  <c r="Z74" i="8" s="1"/>
  <c r="Z49" i="8"/>
  <c r="Z56" i="8" s="1"/>
  <c r="AF11" i="8"/>
  <c r="AE14" i="8"/>
  <c r="AE19" i="8" s="1"/>
  <c r="AF49" i="8"/>
  <c r="AF56" i="8" s="1"/>
  <c r="AD49" i="8"/>
  <c r="AD56" i="8" s="1"/>
  <c r="AF67" i="8"/>
  <c r="AF74" i="8" s="1"/>
  <c r="AE67" i="8"/>
  <c r="AE74" i="8" s="1"/>
  <c r="AA67" i="8"/>
  <c r="AA74" i="8" s="1"/>
  <c r="AC11" i="8"/>
  <c r="AA49" i="8"/>
  <c r="AA56" i="8" s="1"/>
  <c r="AE49" i="8"/>
  <c r="AE56" i="8" s="1"/>
  <c r="AD11" i="8"/>
  <c r="AB49" i="8"/>
  <c r="AB56" i="8" s="1"/>
  <c r="AB67" i="8"/>
  <c r="AB74" i="8" s="1"/>
  <c r="AD67" i="8"/>
  <c r="AD74" i="8" s="1"/>
  <c r="AH49" i="8"/>
  <c r="AH56" i="8" s="1"/>
  <c r="AH11" i="8"/>
  <c r="AH67" i="8"/>
  <c r="AH74" i="8" s="1"/>
  <c r="AI67" i="8"/>
  <c r="AI74" i="8" s="1"/>
  <c r="AG11" i="8"/>
  <c r="AI11" i="8"/>
  <c r="AI49" i="8"/>
  <c r="AI56" i="8" s="1"/>
  <c r="AE25" i="8" l="1"/>
  <c r="AE20" i="8"/>
  <c r="AD14" i="8"/>
  <c r="AD19" i="8" s="1"/>
  <c r="Z82" i="8"/>
  <c r="Z84" i="8" s="1"/>
  <c r="AH14" i="8"/>
  <c r="AH19" i="8" s="1"/>
  <c r="AL10" i="8"/>
  <c r="AF82" i="8"/>
  <c r="AF84" i="8" s="1"/>
  <c r="AD82" i="8"/>
  <c r="AD84" i="8" s="1"/>
  <c r="AB82" i="8"/>
  <c r="AB84" i="8" s="1"/>
  <c r="AL17" i="8"/>
  <c r="AE82" i="8"/>
  <c r="AE84" i="8" s="1"/>
  <c r="AF14" i="8"/>
  <c r="AF19" i="8" s="1"/>
  <c r="AA82" i="8"/>
  <c r="AA84" i="8" s="1"/>
  <c r="AC14" i="8"/>
  <c r="AC19" i="8" s="1"/>
  <c r="AE15" i="8"/>
  <c r="AL13" i="8"/>
  <c r="AH82" i="8"/>
  <c r="AH84" i="8" s="1"/>
  <c r="AI14" i="8"/>
  <c r="AI19" i="8" s="1"/>
  <c r="AG14" i="8"/>
  <c r="AG19" i="8" s="1"/>
  <c r="AI82" i="8"/>
  <c r="AI84" i="8" s="1"/>
  <c r="AE26" i="8" l="1"/>
  <c r="AE30" i="8"/>
  <c r="AE92" i="8" s="1"/>
  <c r="AC25" i="8"/>
  <c r="AH25" i="8"/>
  <c r="AG25" i="8"/>
  <c r="AD25" i="8"/>
  <c r="AF25" i="8"/>
  <c r="AI25" i="8"/>
  <c r="AD20" i="8"/>
  <c r="AC20" i="8"/>
  <c r="AF20" i="8"/>
  <c r="AH20" i="8"/>
  <c r="AG20" i="8"/>
  <c r="AI20" i="8"/>
  <c r="AH15" i="8"/>
  <c r="AG15" i="8"/>
  <c r="AD15" i="8"/>
  <c r="AI15" i="8"/>
  <c r="AF15" i="8"/>
  <c r="AC15" i="8"/>
  <c r="AH26" i="8" l="1"/>
  <c r="AH30" i="8"/>
  <c r="AH92" i="8" s="1"/>
  <c r="AI26" i="8"/>
  <c r="AI30" i="8"/>
  <c r="AI92" i="8" s="1"/>
  <c r="AD26" i="8"/>
  <c r="AD30" i="8"/>
  <c r="AC26" i="8"/>
  <c r="AC30" i="8"/>
  <c r="AF26" i="8"/>
  <c r="AF30" i="8"/>
  <c r="AF92" i="8" s="1"/>
  <c r="AG26" i="8"/>
  <c r="AG30" i="8"/>
  <c r="AG92" i="8" s="1"/>
  <c r="AE31" i="8"/>
  <c r="AE34" i="8"/>
  <c r="AE37" i="8"/>
  <c r="AD31" i="8" l="1"/>
  <c r="AD92" i="8"/>
  <c r="AD37" i="8"/>
  <c r="AD34" i="8"/>
  <c r="AH34" i="8"/>
  <c r="AH31" i="8"/>
  <c r="AH37" i="8"/>
  <c r="AF31" i="8"/>
  <c r="AF34" i="8"/>
  <c r="AF37" i="8"/>
  <c r="AC37" i="8"/>
  <c r="AC31" i="8"/>
  <c r="AC34" i="8"/>
  <c r="AI31" i="8"/>
  <c r="AI34" i="8"/>
  <c r="AI37" i="8"/>
  <c r="AG37" i="8"/>
  <c r="AG31" i="8"/>
  <c r="AG34" i="8"/>
  <c r="AC67" i="8" l="1"/>
  <c r="AG67" i="8"/>
  <c r="AG74" i="8" s="1"/>
  <c r="AC74" i="8" l="1"/>
  <c r="AC82" i="8" s="1"/>
  <c r="AA113" i="8"/>
  <c r="AB113" i="8"/>
  <c r="Z113" i="8"/>
  <c r="AF113" i="8"/>
  <c r="AC113" i="8"/>
  <c r="AD113" i="8"/>
  <c r="AE113" i="8"/>
  <c r="AG113" i="8"/>
  <c r="AI113" i="8"/>
  <c r="AH113" i="8"/>
  <c r="G11" i="8" l="1"/>
  <c r="G12" i="10" s="1"/>
  <c r="F11" i="8"/>
  <c r="F12" i="10" s="1"/>
  <c r="E11" i="8"/>
  <c r="E12" i="10" s="1"/>
  <c r="G113" i="8"/>
  <c r="F113" i="8"/>
  <c r="E113" i="8"/>
  <c r="F67" i="8"/>
  <c r="F61" i="11" s="1"/>
  <c r="E67" i="8"/>
  <c r="E61" i="11" s="1"/>
  <c r="AJ11" i="8"/>
  <c r="F74" i="8" l="1"/>
  <c r="F62" i="11" s="1"/>
  <c r="E74" i="8"/>
  <c r="E62" i="11" s="1"/>
  <c r="AL11" i="8"/>
  <c r="AG82" i="8"/>
  <c r="F14" i="8"/>
  <c r="F19" i="8" s="1"/>
  <c r="E14" i="8"/>
  <c r="E19" i="8" s="1"/>
  <c r="G14" i="8"/>
  <c r="G19" i="8" s="1"/>
  <c r="AJ67" i="8"/>
  <c r="AJ74" i="8" s="1"/>
  <c r="AL81" i="8"/>
  <c r="E25" i="8" l="1"/>
  <c r="G25" i="8"/>
  <c r="F25" i="8"/>
  <c r="E82" i="8"/>
  <c r="E84" i="8" s="1"/>
  <c r="E20" i="8"/>
  <c r="F20" i="8"/>
  <c r="G20" i="8"/>
  <c r="AG49" i="8"/>
  <c r="AG56" i="8" s="1"/>
  <c r="AC49" i="8"/>
  <c r="AC56" i="8" s="1"/>
  <c r="F82" i="8"/>
  <c r="F84" i="8" s="1"/>
  <c r="G82" i="8"/>
  <c r="G84" i="8" s="1"/>
  <c r="AL74" i="8"/>
  <c r="AL67" i="8"/>
  <c r="AJ49" i="8"/>
  <c r="AJ56" i="8" s="1"/>
  <c r="F15" i="8"/>
  <c r="G15" i="8"/>
  <c r="E15" i="8"/>
  <c r="AJ14" i="8"/>
  <c r="AJ19" i="8" s="1"/>
  <c r="AJ25" i="8" s="1"/>
  <c r="AJ30" i="8" s="1"/>
  <c r="AJ92" i="8" s="1"/>
  <c r="F26" i="8" l="1"/>
  <c r="F30" i="8"/>
  <c r="F92" i="8" s="1"/>
  <c r="F106" i="8" s="1"/>
  <c r="F129" i="8" s="1"/>
  <c r="G26" i="8"/>
  <c r="G30" i="8"/>
  <c r="G92" i="8" s="1"/>
  <c r="G106" i="8" s="1"/>
  <c r="G129" i="8" s="1"/>
  <c r="E26" i="8"/>
  <c r="E30" i="8"/>
  <c r="E92" i="8" s="1"/>
  <c r="AJ26" i="8"/>
  <c r="AL26" i="8" s="1"/>
  <c r="AL25" i="8"/>
  <c r="M129" i="8"/>
  <c r="AC84" i="8"/>
  <c r="AG84" i="8"/>
  <c r="AL19" i="8"/>
  <c r="AJ20" i="8"/>
  <c r="AL20" i="8" s="1"/>
  <c r="F31" i="8"/>
  <c r="AL120" i="8"/>
  <c r="AJ82" i="8"/>
  <c r="AL82" i="8" s="1"/>
  <c r="AL56" i="8"/>
  <c r="AL49" i="8"/>
  <c r="AL14" i="8"/>
  <c r="AJ113" i="8"/>
  <c r="AL113" i="8" s="1"/>
  <c r="AJ15" i="8"/>
  <c r="AL15" i="8" s="1"/>
  <c r="E31" i="8" l="1"/>
  <c r="AJ34" i="8"/>
  <c r="E37" i="8"/>
  <c r="E34" i="8"/>
  <c r="G34" i="8"/>
  <c r="G37" i="8"/>
  <c r="F37" i="8"/>
  <c r="F34" i="8"/>
  <c r="G31" i="8"/>
  <c r="Q129" i="8"/>
  <c r="AJ84" i="8"/>
  <c r="AL30" i="8" l="1"/>
  <c r="AJ37" i="8"/>
  <c r="AJ31" i="8"/>
  <c r="AL31" i="8" s="1"/>
  <c r="E106" i="8"/>
  <c r="E129" i="8" s="1"/>
  <c r="AF106" i="8"/>
  <c r="AG106" i="8"/>
  <c r="AC106" i="8" l="1"/>
  <c r="AD106" i="8"/>
  <c r="AE106" i="8"/>
  <c r="AL34" i="8" l="1"/>
  <c r="AL37" i="8"/>
  <c r="E125" i="8" l="1"/>
  <c r="E130" i="8" l="1"/>
  <c r="F123" i="8" l="1"/>
  <c r="J123" i="8" s="1"/>
  <c r="E132" i="8"/>
  <c r="F125" i="8" l="1"/>
  <c r="F130" i="8" s="1"/>
  <c r="F132" i="8" s="1"/>
  <c r="G123" i="8" l="1"/>
  <c r="G125" i="8" s="1"/>
  <c r="G130" i="8" s="1"/>
  <c r="J125" i="8"/>
  <c r="J130" i="8" l="1"/>
  <c r="J132" i="8" s="1"/>
  <c r="G132" i="8"/>
  <c r="H123" i="8"/>
  <c r="H125" i="8" s="1"/>
  <c r="H130" i="8" s="1"/>
  <c r="H132" i="8" s="1"/>
  <c r="K123" i="8"/>
  <c r="K125" i="8" s="1"/>
  <c r="K130" i="8" l="1"/>
  <c r="K132" i="8" s="1"/>
  <c r="L123" i="8" l="1"/>
  <c r="L125" i="8" s="1"/>
  <c r="L130" i="8" l="1"/>
  <c r="M123" i="8" l="1"/>
  <c r="M125" i="8" s="1"/>
  <c r="L132" i="8"/>
  <c r="M130" i="8" l="1"/>
  <c r="N123" i="8" l="1"/>
  <c r="N125" i="8" s="1"/>
  <c r="M132" i="8"/>
  <c r="N130" i="8" l="1"/>
  <c r="O123" i="8" l="1"/>
  <c r="O125" i="8" s="1"/>
  <c r="N132" i="8"/>
  <c r="O130" i="8" l="1"/>
  <c r="Z125" i="8"/>
  <c r="P123" i="8" l="1"/>
  <c r="P125" i="8" s="1"/>
  <c r="O132" i="8"/>
  <c r="P130" i="8" l="1"/>
  <c r="Q123" i="8" l="1"/>
  <c r="Q125" i="8" s="1"/>
  <c r="P132" i="8"/>
  <c r="Q130" i="8" l="1"/>
  <c r="R123" i="8" s="1"/>
  <c r="R125" i="8" s="1"/>
  <c r="AB106" i="8"/>
  <c r="Z11" i="8"/>
  <c r="AB11" i="8"/>
  <c r="AA11" i="8"/>
  <c r="AA14" i="8" l="1"/>
  <c r="AA19" i="8" s="1"/>
  <c r="R130" i="8"/>
  <c r="S123" i="8" s="1"/>
  <c r="S125" i="8" s="1"/>
  <c r="Q132" i="8"/>
  <c r="AA15" i="8"/>
  <c r="AB14" i="8"/>
  <c r="Z14" i="8"/>
  <c r="S130" i="8" l="1"/>
  <c r="R132" i="8"/>
  <c r="AA25" i="8"/>
  <c r="AB19" i="8"/>
  <c r="AB15" i="8"/>
  <c r="Z15" i="8"/>
  <c r="Z19" i="8"/>
  <c r="AA20" i="8"/>
  <c r="S132" i="8" l="1"/>
  <c r="T123" i="8"/>
  <c r="T125" i="8" s="1"/>
  <c r="T130" i="8" s="1"/>
  <c r="AA26" i="8"/>
  <c r="AA30" i="8"/>
  <c r="AB25" i="8"/>
  <c r="Z25" i="8"/>
  <c r="Z20" i="8"/>
  <c r="AB20" i="8"/>
  <c r="T132" i="8" l="1"/>
  <c r="U123" i="8"/>
  <c r="U125" i="8" s="1"/>
  <c r="U130" i="8" s="1"/>
  <c r="Z26" i="8"/>
  <c r="Z30" i="8"/>
  <c r="Z31" i="8" s="1"/>
  <c r="AB26" i="8"/>
  <c r="AB30" i="8"/>
  <c r="AA37" i="8"/>
  <c r="AA31" i="8"/>
  <c r="AA34" i="8"/>
  <c r="U132" i="8" l="1"/>
  <c r="V123" i="8"/>
  <c r="V125" i="8" s="1"/>
  <c r="V130" i="8" s="1"/>
  <c r="Z37" i="8"/>
  <c r="Z34" i="8"/>
  <c r="AB34" i="8"/>
  <c r="AB31" i="8"/>
  <c r="AB37" i="8"/>
  <c r="AH106" i="8"/>
  <c r="AI106" i="8"/>
  <c r="AA106" i="8"/>
  <c r="Z106" i="8"/>
  <c r="V132" i="8" l="1"/>
  <c r="W123" i="8"/>
  <c r="W125" i="8" s="1"/>
  <c r="W130" i="8" s="1"/>
  <c r="AJ106" i="8"/>
  <c r="AL92" i="8"/>
  <c r="W132" i="8" l="1"/>
  <c r="X123" i="8"/>
  <c r="X125" i="8" s="1"/>
  <c r="X130" i="8" s="1"/>
  <c r="X132" i="8" s="1"/>
  <c r="Z132" i="8"/>
  <c r="AA123" i="8"/>
  <c r="AA125" i="8" s="1"/>
  <c r="AL106" i="8"/>
  <c r="AA130" i="8" l="1"/>
  <c r="AB123" i="8" s="1"/>
  <c r="AB125" i="8" s="1"/>
  <c r="AA132" i="8"/>
  <c r="AB130" i="8" l="1"/>
  <c r="AC123" i="8" s="1"/>
  <c r="AC125" i="8" s="1"/>
  <c r="AB132" i="8"/>
  <c r="AC130" i="8" l="1"/>
  <c r="AD123" i="8" s="1"/>
  <c r="AD125" i="8" s="1"/>
  <c r="AC132" i="8"/>
  <c r="AD130" i="8" l="1"/>
  <c r="AE123" i="8" s="1"/>
  <c r="AE125" i="8" s="1"/>
  <c r="AD132" i="8"/>
  <c r="AE130" i="8" l="1"/>
  <c r="AF123" i="8" s="1"/>
  <c r="AF125" i="8" s="1"/>
  <c r="AF130" i="8" s="1"/>
  <c r="AE132" i="8"/>
  <c r="AG123" i="8" l="1"/>
  <c r="AG125" i="8" s="1"/>
  <c r="AF132" i="8"/>
  <c r="AG130" i="8" l="1"/>
  <c r="AH123" i="8" s="1"/>
  <c r="AH125" i="8" s="1"/>
  <c r="AH130" i="8" s="1"/>
  <c r="AI123" i="8" l="1"/>
  <c r="AI125" i="8" s="1"/>
  <c r="AH132" i="8"/>
  <c r="AG132" i="8"/>
  <c r="AI130" i="8" l="1"/>
  <c r="AJ123" i="8" s="1"/>
  <c r="AJ125" i="8" s="1"/>
  <c r="AJ130" i="8" l="1"/>
  <c r="AJ132" i="8" s="1"/>
  <c r="AI13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<sst xmlns="http://schemas.openxmlformats.org/spreadsheetml/2006/main" count="275" uniqueCount="194">
  <si>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</si>
  <si>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</si>
  <si>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</si>
  <si>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</si>
  <si>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</si>
  <si>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</si>
  <si>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</si>
  <si>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</si>
  <si>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</si>
  <si>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</si>
  <si>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</si>
  <si>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</si>
  <si>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</si>
  <si>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</si>
  <si>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</si>
  <si>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</si>
  <si>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</si>
  <si>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</si>
  <si>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</si>
  <si>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</si>
  <si>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</si>
  <si>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</si>
  <si>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</si>
  <si>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</si>
  <si>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</si>
  <si>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</si>
  <si>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</si>
  <si>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</si>
  <si>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</si>
  <si>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</si>
  <si>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</si>
  <si>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</si>
  <si>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</si>
  <si>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</si>
  <si>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</si>
  <si>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</si>
  <si>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</si>
  <si>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</si>
  <si>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</si>
  <si>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</si>
  <si>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</si>
  <si>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</si>
  <si>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</si>
  <si>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</si>
  <si>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</si>
  <si>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</si>
  <si>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</si>
  <si>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</si>
  <si>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</si>
  <si>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</si>
  <si>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</si>
  <si>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</si>
  <si>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</si>
  <si>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</si>
  <si>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</si>
  <si>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</si>
  <si>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</si>
  <si>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</si>
  <si>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</si>
  <si>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</si>
  <si>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</si>
  <si>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</si>
  <si>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</si>
  <si>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</si>
  <si>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</si>
  <si>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</si>
  <si>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</si>
  <si>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</si>
  <si>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</si>
  <si>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</si>
  <si>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</si>
  <si>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</si>
  <si>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</si>
  <si>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</si>
  <si>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</si>
  <si>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</si>
  <si>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</si>
  <si>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</si>
  <si>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</si>
  <si>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</si>
  <si>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</si>
  <si>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</si>
  <si>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</si>
  <si>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</si>
  <si>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</si>
  <si>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</si>
  <si>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</si>
  <si>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</si>
  <si>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</si>
  <si>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</si>
  <si>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</si>
  <si>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Restricted Cash</t>
  </si>
  <si>
    <t>Non-Current Liabilities</t>
  </si>
  <si>
    <t>Cash and cash equivalents</t>
  </si>
  <si>
    <t>Goodwill</t>
  </si>
  <si>
    <t>Current portion of operating lease liabilities</t>
  </si>
  <si>
    <t>Additional paid-in capital</t>
  </si>
  <si>
    <t>Stock-based compensation</t>
  </si>
  <si>
    <t>(+/-) Divestitures / (Acquisitions)</t>
  </si>
  <si>
    <t>Other assets</t>
  </si>
  <si>
    <t>Other liabilities</t>
  </si>
  <si>
    <t>Supplemental disclosures of other cash flow information:</t>
  </si>
  <si>
    <t>Selling, general and administrative expenses</t>
  </si>
  <si>
    <t>Restructuring charges</t>
  </si>
  <si>
    <t>Investment income and other</t>
  </si>
  <si>
    <t>Earnings before income tax expense and equity in income of affiliates</t>
  </si>
  <si>
    <t>Income tax expense</t>
  </si>
  <si>
    <t>Equity in income of affiliates</t>
  </si>
  <si>
    <t>Receivables, net</t>
  </si>
  <si>
    <t>Merchandise inventories</t>
  </si>
  <si>
    <t>Other current assets</t>
  </si>
  <si>
    <t>Net property and equipment</t>
  </si>
  <si>
    <t>Operating lease assets</t>
  </si>
  <si>
    <t>Accrued compensation and related expenses</t>
  </si>
  <si>
    <t>Accrued liabilities</t>
  </si>
  <si>
    <t>Current portion of long-term debt</t>
  </si>
  <si>
    <t>Long-term operating lease liabilities</t>
  </si>
  <si>
    <t>Long-term liabilities</t>
  </si>
  <si>
    <t>Long-term debt</t>
  </si>
  <si>
    <t>Retained earnings</t>
  </si>
  <si>
    <t>Accumulated other comprehensive income</t>
  </si>
  <si>
    <t>Other, net</t>
  </si>
  <si>
    <t>Receivables</t>
  </si>
  <si>
    <t>Income taxes</t>
  </si>
  <si>
    <t>Additions to property and equipment</t>
  </si>
  <si>
    <t>Dividends paid</t>
  </si>
  <si>
    <t>Income taxes paid</t>
  </si>
  <si>
    <t>Interest paid</t>
  </si>
  <si>
    <t>Best Buy Co Inc (NASDAQ: BBY)</t>
  </si>
  <si>
    <t>Unredeemed gift card liabilities</t>
  </si>
  <si>
    <t>Deferred revenue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</si>
  <si>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</si>
  <si>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</si>
  <si>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</si>
  <si>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</si>
  <si>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</si>
  <si>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</si>
  <si>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</si>
  <si>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Domestic</t>
  </si>
  <si>
    <t>Revenue by reportable segment</t>
  </si>
  <si>
    <t>Revenue by product category</t>
  </si>
  <si>
    <t>International</t>
  </si>
  <si>
    <t>Revenue by product category: Domestic</t>
  </si>
  <si>
    <t xml:space="preserve">Entertainment </t>
  </si>
  <si>
    <t xml:space="preserve">Appliances </t>
  </si>
  <si>
    <t xml:space="preserve">Consumer Electronics </t>
  </si>
  <si>
    <t xml:space="preserve">Computing and Mobile Phones </t>
  </si>
  <si>
    <t xml:space="preserve">Services </t>
  </si>
  <si>
    <t xml:space="preserve">Other </t>
  </si>
  <si>
    <t>Total Domestic Revenue</t>
  </si>
  <si>
    <t>Revenue by product category: International</t>
  </si>
  <si>
    <t>Total International Revenue</t>
  </si>
  <si>
    <t>Restructuring, Impairments, and Other Charges</t>
  </si>
  <si>
    <t>Finance Lease Obligations</t>
  </si>
  <si>
    <t>Finance Lease Obligations, Current Portion</t>
  </si>
  <si>
    <t>Finance Lease Obligations, Net of Current Portion</t>
  </si>
  <si>
    <t xml:space="preserve">$500MM 4.450% Sr. Unsecured Notes due 2028 </t>
  </si>
  <si>
    <t>$650MM 1.950% Sr. Unsecured Notes due 2030</t>
  </si>
  <si>
    <t>$1.25Bn Sr. Unsecured Revolving Credit Facility due 2028</t>
  </si>
  <si>
    <t>(+) Depreciation and Amortization (D&amp;A)</t>
  </si>
  <si>
    <t>(+) Stock-Based Compensation (SBC)</t>
  </si>
  <si>
    <t>(+/-) Proceeds from Debt Issuances / (Repayment)</t>
  </si>
  <si>
    <t>(+/-) Proceeds from Equity Issuances / (Repurchases)</t>
  </si>
  <si>
    <t>Property and equipment, net</t>
  </si>
  <si>
    <t>Deferred Revenue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</si>
  <si>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</si>
  <si>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</si>
  <si>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</si>
  <si>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</si>
  <si>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</si>
  <si>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</si>
  <si>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</si>
  <si>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</si>
  <si>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$650MM 5.500% Sr. Unsecured Notes due 2021</t>
  </si>
  <si>
    <t>(-) Selling, general and administrative expenses</t>
  </si>
  <si>
    <t>(-) Restructuring, Impairments, and Other Charges</t>
  </si>
  <si>
    <t>(+) Restructuring, Impairments, and Other Charges</t>
  </si>
  <si>
    <t>Proceeds from Equity Issuances / (Repurchases)</t>
  </si>
  <si>
    <t>Proceeds from Debt Issuances / (Repayment)</t>
  </si>
  <si>
    <t>Divestitures / (Acquisitions)</t>
  </si>
  <si>
    <t>Other Investing Activities</t>
  </si>
  <si>
    <t>Sales / (Purchases) of investments</t>
  </si>
  <si>
    <t>Other Financing Activities</t>
  </si>
  <si>
    <t>(+/-) Sales / (Purchases) of investments</t>
  </si>
  <si>
    <t>(-) Dividends paid</t>
  </si>
  <si>
    <t>Merchandise Inventories &amp; Other Assets</t>
  </si>
  <si>
    <t>Interest Income (expense)</t>
  </si>
  <si>
    <t>3Q25</t>
  </si>
  <si>
    <t>4Q25</t>
  </si>
  <si>
    <t>1Q26</t>
  </si>
  <si>
    <t>2Q26</t>
  </si>
  <si>
    <t>3Q26</t>
  </si>
  <si>
    <t>Gain (Loss) on sale of subsidiary, net</t>
  </si>
  <si>
    <t>Revenue by product category: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</si>
</sst>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8" fillId="5" borderId="0" xfId="0" applyNumberFormat="1" applyFont="1" applyFill="1" applyAlignment="1">
      <alignment horizontal="right" vertical="top" wrapText="1"/>
    </xf>
    <xf numFmtId="41" fontId="6" fillId="0" borderId="6" xfId="0" applyNumberFormat="1" applyFont="1" applyBorder="1" applyAlignment="1">
      <alignment horizontal="right" vertical="top" wrapText="1"/>
    </xf>
    <xf numFmtId="37" fontId="4" fillId="0" borderId="7" xfId="0" applyNumberFormat="1" applyFont="1" applyBorder="1" applyAlignment="1">
      <alignment wrapText="1"/>
    </xf>
    <xf numFmtId="41" fontId="6" fillId="0" borderId="8" xfId="0" applyNumberFormat="1" applyFont="1" applyBorder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43" fontId="21" fillId="0" borderId="9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0" fontId="8" fillId="5" borderId="10" xfId="0" applyFont="1" applyFill="1" applyBorder="1" applyAlignment="1">
      <alignment horizontal="right" vertical="center" wrapText="1"/>
    </xf>
    <xf numFmtId="41" fontId="8" fillId="0" borderId="10" xfId="0" applyNumberFormat="1" applyFont="1" applyBorder="1" applyAlignment="1">
      <alignment horizontal="right" vertical="top" wrapText="1"/>
    </xf>
    <xf numFmtId="0" fontId="4" fillId="0" borderId="10" xfId="0" applyFont="1" applyBorder="1"/>
    <xf numFmtId="0" fontId="21" fillId="0" borderId="11" xfId="0" applyFont="1" applyBorder="1" applyAlignment="1">
      <alignment horizontal="right" vertical="top" wrapText="1"/>
    </xf>
    <xf numFmtId="0" fontId="15" fillId="0" borderId="5" xfId="0" applyFont="1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41" fontId="11" fillId="0" borderId="6" xfId="0" applyNumberFormat="1" applyFont="1" applyBorder="1" applyAlignment="1">
      <alignment horizontal="right" vertical="top" wrapText="1"/>
    </xf>
    <xf numFmtId="41" fontId="7" fillId="0" borderId="10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5" fontId="8" fillId="5" borderId="2" xfId="0" applyNumberFormat="1" applyFont="1" applyFill="1" applyBorder="1" applyAlignment="1">
      <alignment horizontal="right" vertical="top" wrapText="1"/>
    </xf>
    <xf numFmtId="41" fontId="6" fillId="0" borderId="0" xfId="0" applyNumberFormat="1" applyFont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13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14" xfId="1" applyFont="1" applyBorder="1"/>
    <xf numFmtId="0" fontId="23" fillId="9" borderId="15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16" xfId="1" applyFont="1" applyBorder="1"/>
    <xf numFmtId="0" fontId="23" fillId="9" borderId="17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8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L149"/>
  <sheetViews>
    <sheetView showGridLines="0" zoomScaleNormal="100" workbookViewId="0">
      <selection activeCell="T77" sqref="T77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hidden="1" customWidth="1" outlineLevel="1"/>
    <col min="6" max="6" width="9.125" style="5" bestFit="1" customWidth="1" collapsed="1"/>
    <col min="7" max="8" width="9.125" style="5" bestFit="1" customWidth="1"/>
    <col min="9" max="9" width="1.5" style="5" customWidth="1"/>
    <col min="10" max="11" width="7.875" style="5" hidden="1" customWidth="1" outlineLevel="1"/>
    <col min="12" max="13" width="8.625" style="5" hidden="1" customWidth="1" outlineLevel="1"/>
    <col min="14" max="15" width="7.875" style="5" hidden="1" customWidth="1" outlineLevel="1"/>
    <col min="16" max="16" width="8.625" style="5" bestFit="1" customWidth="1" collapsed="1"/>
    <col min="17" max="17" width="8.625" style="5" customWidth="1"/>
    <col min="18" max="24" width="8" style="5" customWidth="1"/>
    <col min="25" max="25" width="1.5" style="5" customWidth="1"/>
    <col min="26" max="26" width="8.625" style="5" customWidth="1" outlineLevel="1"/>
    <col min="27" max="27" width="8" style="5" customWidth="1" outlineLevel="1"/>
    <col min="28" max="28" width="8.625" style="5" bestFit="1" customWidth="1" outlineLevel="1"/>
    <col min="29" max="29" width="8" style="5" customWidth="1" outlineLevel="1"/>
    <col min="30" max="30" width="8.625" style="5" customWidth="1" outlineLevel="1"/>
    <col min="31" max="31" width="8.25" style="5" customWidth="1" outlineLevel="1"/>
    <col min="32" max="32" width="8.25" style="5" bestFit="1" customWidth="1"/>
    <col min="33" max="33" width="8.25" style="5" customWidth="1" outlineLevel="1"/>
    <col min="34" max="34" width="8.625" style="5" customWidth="1" outlineLevel="1"/>
    <col min="35" max="35" width="8.25" style="5" customWidth="1" outlineLevel="1"/>
    <col min="36" max="36" width="8.625" style="5" bestFit="1" customWidth="1"/>
    <col min="37" max="37" width="1.25" style="5" customWidth="1"/>
    <col min="38" max="38" width="10.5" style="5" bestFit="1" customWidth="1"/>
    <col min="39" max="39" width="1.375" style="5" customWidth="1"/>
    <col min="40" max="16384" width="9" style="5"/>
  </cols>
  <sheetData>
    <row r="2" spans="1:38" ht="12.75" customHeight="1">
      <c r="B2" s="1" t="s">
        <v>128</v>
      </c>
      <c r="C2" s="87"/>
      <c r="D2" s="87"/>
      <c r="E2" s="87"/>
      <c r="F2" s="87"/>
      <c r="G2" s="87"/>
      <c r="H2" s="87"/>
      <c r="I2" s="3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3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3"/>
      <c r="AL2" s="1"/>
    </row>
    <row r="3" spans="1:38" ht="12.75" customHeight="1">
      <c r="B3" s="6" t="s">
        <v>84</v>
      </c>
      <c r="C3" s="7"/>
      <c r="D3" s="7"/>
      <c r="E3" s="7"/>
      <c r="F3" s="7"/>
      <c r="G3" s="7"/>
      <c r="H3" s="7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1"/>
    </row>
    <row r="4" spans="1:38" ht="12.75" customHeight="1">
      <c r="B4" s="6" t="s">
        <v>137</v>
      </c>
      <c r="C4" s="3"/>
      <c r="D4" s="3"/>
      <c r="E4" s="3"/>
      <c r="F4" s="7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1"/>
    </row>
    <row r="6" spans="1:38" ht="12.75" customHeight="1">
      <c r="A6" s="5" t="s">
        <v>19</v>
      </c>
      <c r="B6" s="1" t="s">
        <v>82</v>
      </c>
      <c r="C6" s="2" t="s">
        <v>0</v>
      </c>
      <c r="D6" s="2"/>
      <c r="E6" s="2"/>
      <c r="F6" s="2" t="s">
        <v>0</v>
      </c>
      <c r="G6" s="2"/>
      <c r="H6" s="2"/>
      <c r="I6" s="3"/>
      <c r="J6" s="2" t="s">
        <v>1</v>
      </c>
      <c r="K6" s="2"/>
      <c r="L6" s="2"/>
      <c r="M6" s="2"/>
      <c r="N6" s="2"/>
      <c r="O6" s="2"/>
      <c r="P6" s="2" t="s">
        <v>1</v>
      </c>
      <c r="Q6" s="2"/>
      <c r="R6" s="2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  <c r="AF6" s="2" t="s">
        <v>10</v>
      </c>
      <c r="AG6" s="2"/>
      <c r="AH6" s="2"/>
      <c r="AI6" s="2"/>
      <c r="AJ6" s="2"/>
      <c r="AK6" s="35"/>
      <c r="AL6" s="125" t="s">
        <v>26</v>
      </c>
    </row>
    <row r="7" spans="1:38" ht="12.75" customHeight="1">
      <c r="B7" s="6" t="s">
        <v>85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7">
        <v>2025</v>
      </c>
      <c r="I7" s="3"/>
      <c r="J7" s="4" t="s">
        <v>6</v>
      </c>
      <c r="K7" s="4" t="s">
        <v>7</v>
      </c>
      <c r="L7" s="4" t="s">
        <v>8</v>
      </c>
      <c r="M7" s="4" t="s">
        <v>9</v>
      </c>
      <c r="N7" s="4" t="s">
        <v>2</v>
      </c>
      <c r="O7" s="4" t="s">
        <v>3</v>
      </c>
      <c r="P7" s="4" t="s">
        <v>4</v>
      </c>
      <c r="Q7" s="4" t="s">
        <v>5</v>
      </c>
      <c r="R7" s="4" t="s">
        <v>28</v>
      </c>
      <c r="S7" s="4" t="s">
        <v>29</v>
      </c>
      <c r="T7" s="4" t="s">
        <v>187</v>
      </c>
      <c r="U7" s="4" t="s">
        <v>188</v>
      </c>
      <c r="V7" s="4" t="s">
        <v>189</v>
      </c>
      <c r="W7" s="4" t="s">
        <v>190</v>
      </c>
      <c r="X7" s="4" t="s">
        <v>191</v>
      </c>
      <c r="Y7" s="4"/>
      <c r="Z7" s="4" t="str">
        <f t="shared" ref="Z7:AI8" si="0">N7</f>
        <v>1Q24</v>
      </c>
      <c r="AA7" s="4" t="str">
        <f t="shared" si="0"/>
        <v>2Q24</v>
      </c>
      <c r="AB7" s="4" t="str">
        <f t="shared" si="0"/>
        <v>3Q24</v>
      </c>
      <c r="AC7" s="4" t="str">
        <f t="shared" si="0"/>
        <v>4Q24</v>
      </c>
      <c r="AD7" s="4" t="str">
        <f t="shared" si="0"/>
        <v>1Q25</v>
      </c>
      <c r="AE7" s="4" t="str">
        <f t="shared" si="0"/>
        <v>2Q25</v>
      </c>
      <c r="AF7" s="4" t="str">
        <f t="shared" si="0"/>
        <v>3Q25</v>
      </c>
      <c r="AG7" s="4" t="str">
        <f t="shared" si="0"/>
        <v>4Q25</v>
      </c>
      <c r="AH7" s="4" t="str">
        <f t="shared" si="0"/>
        <v>1Q26</v>
      </c>
      <c r="AI7" s="4" t="str">
        <f t="shared" si="0"/>
        <v>2Q26</v>
      </c>
      <c r="AJ7" s="4" t="str">
        <f>X7</f>
        <v>3Q26</v>
      </c>
      <c r="AK7" s="35"/>
      <c r="AL7" s="125"/>
    </row>
    <row r="8" spans="1:38" ht="12.75" customHeight="1">
      <c r="B8" s="6" t="s">
        <v>86</v>
      </c>
      <c r="C8" s="3">
        <v>43862</v>
      </c>
      <c r="D8" s="3">
        <v>44226</v>
      </c>
      <c r="E8" s="3">
        <v>44590</v>
      </c>
      <c r="F8" s="3">
        <v>44954</v>
      </c>
      <c r="G8" s="3">
        <v>45325</v>
      </c>
      <c r="H8" s="3">
        <v>45689</v>
      </c>
      <c r="I8" s="3"/>
      <c r="J8" s="3">
        <v>44681</v>
      </c>
      <c r="K8" s="3">
        <v>44772</v>
      </c>
      <c r="L8" s="3">
        <v>44863</v>
      </c>
      <c r="M8" s="3">
        <f>F8</f>
        <v>44954</v>
      </c>
      <c r="N8" s="3">
        <v>45045</v>
      </c>
      <c r="O8" s="3">
        <v>45136</v>
      </c>
      <c r="P8" s="3">
        <v>45227</v>
      </c>
      <c r="Q8" s="3">
        <f>G8</f>
        <v>45325</v>
      </c>
      <c r="R8" s="3">
        <v>45416</v>
      </c>
      <c r="S8" s="3">
        <v>45507</v>
      </c>
      <c r="T8" s="3">
        <v>45598</v>
      </c>
      <c r="U8" s="3">
        <f>H8</f>
        <v>45689</v>
      </c>
      <c r="V8" s="3">
        <v>45780</v>
      </c>
      <c r="W8" s="3">
        <v>45871</v>
      </c>
      <c r="X8" s="3">
        <v>45962</v>
      </c>
      <c r="Y8" s="3"/>
      <c r="Z8" s="3">
        <f t="shared" si="0"/>
        <v>45045</v>
      </c>
      <c r="AA8" s="3">
        <f t="shared" si="0"/>
        <v>45136</v>
      </c>
      <c r="AB8" s="3">
        <f t="shared" si="0"/>
        <v>45227</v>
      </c>
      <c r="AC8" s="3">
        <f t="shared" si="0"/>
        <v>45325</v>
      </c>
      <c r="AD8" s="3">
        <f t="shared" si="0"/>
        <v>45416</v>
      </c>
      <c r="AE8" s="3">
        <f t="shared" si="0"/>
        <v>45507</v>
      </c>
      <c r="AF8" s="3">
        <f t="shared" si="0"/>
        <v>45598</v>
      </c>
      <c r="AG8" s="3">
        <f t="shared" si="0"/>
        <v>45689</v>
      </c>
      <c r="AH8" s="3">
        <f t="shared" si="0"/>
        <v>45780</v>
      </c>
      <c r="AI8" s="3">
        <f t="shared" si="0"/>
        <v>45871</v>
      </c>
      <c r="AJ8" s="3">
        <f>X8</f>
        <v>45962</v>
      </c>
      <c r="AK8" s="35"/>
      <c r="AL8" s="125"/>
    </row>
    <row r="9" spans="1:38" ht="5.0999999999999996" customHeight="1">
      <c r="AL9" s="86"/>
    </row>
    <row r="10" spans="1:38" ht="12.75" customHeight="1">
      <c r="B10" s="9" t="s">
        <v>65</v>
      </c>
      <c r="C10" s="82">
        <v>43638</v>
      </c>
      <c r="D10" s="82">
        <v>47262</v>
      </c>
      <c r="E10" s="82">
        <v>51761</v>
      </c>
      <c r="F10" s="82">
        <v>46298</v>
      </c>
      <c r="G10" s="82">
        <v>43452</v>
      </c>
      <c r="H10" s="82">
        <v>41528</v>
      </c>
      <c r="I10" s="11"/>
      <c r="J10" s="82">
        <v>10647</v>
      </c>
      <c r="K10" s="82">
        <v>10329</v>
      </c>
      <c r="L10" s="82">
        <v>10587</v>
      </c>
      <c r="M10" s="30">
        <f>SUM(F10-SUM(J10:L10))</f>
        <v>14735</v>
      </c>
      <c r="N10" s="82">
        <v>9467</v>
      </c>
      <c r="O10" s="82">
        <v>9583</v>
      </c>
      <c r="P10" s="82">
        <v>9756</v>
      </c>
      <c r="Q10" s="30">
        <f>SUM(G10-SUM(N10:P10))</f>
        <v>14646</v>
      </c>
      <c r="R10" s="82">
        <v>8847</v>
      </c>
      <c r="S10" s="82">
        <v>9288</v>
      </c>
      <c r="T10" s="82">
        <v>9445</v>
      </c>
      <c r="U10" s="30">
        <f>SUM(H10-SUM(R10:T10))</f>
        <v>13948</v>
      </c>
      <c r="V10" s="82">
        <v>8767</v>
      </c>
      <c r="W10" s="82">
        <v>9438</v>
      </c>
      <c r="X10" s="82">
        <v>9672</v>
      </c>
      <c r="Y10" s="30"/>
      <c r="Z10" s="30">
        <f t="shared" ref="Z10:AI10" si="1">SUM(K10:N10)</f>
        <v>45118</v>
      </c>
      <c r="AA10" s="30">
        <f t="shared" si="1"/>
        <v>44372</v>
      </c>
      <c r="AB10" s="30">
        <f t="shared" si="1"/>
        <v>43541</v>
      </c>
      <c r="AC10" s="30">
        <f t="shared" si="1"/>
        <v>43452</v>
      </c>
      <c r="AD10" s="30">
        <f t="shared" si="1"/>
        <v>42832</v>
      </c>
      <c r="AE10" s="30">
        <f t="shared" si="1"/>
        <v>42537</v>
      </c>
      <c r="AF10" s="30">
        <f t="shared" si="1"/>
        <v>42226</v>
      </c>
      <c r="AG10" s="30">
        <f t="shared" si="1"/>
        <v>41528</v>
      </c>
      <c r="AH10" s="30">
        <f t="shared" si="1"/>
        <v>41448</v>
      </c>
      <c r="AI10" s="30">
        <f t="shared" si="1"/>
        <v>41598</v>
      </c>
      <c r="AJ10" s="30">
        <f>SUM(U10:X10)</f>
        <v>41825</v>
      </c>
      <c r="AK10" s="37"/>
      <c r="AL10" s="68">
        <f>SUM(AJ10/AF10)-1</f>
        <v>-9.4965187325344314E-3</v>
      </c>
    </row>
    <row r="11" spans="1:38" ht="12.75" customHeight="1">
      <c r="B11" s="12" t="s">
        <v>12</v>
      </c>
      <c r="C11" s="13">
        <f t="shared" ref="C11:D11" si="2">+SUM(C10:C10)</f>
        <v>43638</v>
      </c>
      <c r="D11" s="13">
        <f t="shared" si="2"/>
        <v>47262</v>
      </c>
      <c r="E11" s="13">
        <f t="shared" ref="E11:G11" si="3">+SUM(E10:E10)</f>
        <v>51761</v>
      </c>
      <c r="F11" s="13">
        <f t="shared" si="3"/>
        <v>46298</v>
      </c>
      <c r="G11" s="13">
        <f t="shared" si="3"/>
        <v>43452</v>
      </c>
      <c r="H11" s="13">
        <f t="shared" ref="H11" si="4">+SUM(H10:H10)</f>
        <v>41528</v>
      </c>
      <c r="I11" s="11"/>
      <c r="J11" s="13">
        <f t="shared" ref="J11:S11" si="5">+SUM(J10:J10)</f>
        <v>10647</v>
      </c>
      <c r="K11" s="13">
        <f t="shared" si="5"/>
        <v>10329</v>
      </c>
      <c r="L11" s="13">
        <f t="shared" si="5"/>
        <v>10587</v>
      </c>
      <c r="M11" s="13">
        <f t="shared" si="5"/>
        <v>14735</v>
      </c>
      <c r="N11" s="13">
        <f t="shared" si="5"/>
        <v>9467</v>
      </c>
      <c r="O11" s="13">
        <f t="shared" si="5"/>
        <v>9583</v>
      </c>
      <c r="P11" s="13">
        <f t="shared" si="5"/>
        <v>9756</v>
      </c>
      <c r="Q11" s="13">
        <f t="shared" si="5"/>
        <v>14646</v>
      </c>
      <c r="R11" s="13">
        <f t="shared" si="5"/>
        <v>8847</v>
      </c>
      <c r="S11" s="13">
        <f t="shared" si="5"/>
        <v>9288</v>
      </c>
      <c r="T11" s="13">
        <f t="shared" ref="T11:U11" si="6">+SUM(T10:T10)</f>
        <v>9445</v>
      </c>
      <c r="U11" s="13">
        <f t="shared" si="6"/>
        <v>13948</v>
      </c>
      <c r="V11" s="13">
        <f t="shared" ref="V11:X11" si="7">+SUM(V10:V10)</f>
        <v>8767</v>
      </c>
      <c r="W11" s="13">
        <f t="shared" si="7"/>
        <v>9438</v>
      </c>
      <c r="X11" s="13">
        <f t="shared" si="7"/>
        <v>9672</v>
      </c>
      <c r="Z11" s="13">
        <f t="shared" ref="Z11:AJ11" si="8">+SUM(Z10:Z10)</f>
        <v>45118</v>
      </c>
      <c r="AA11" s="13">
        <f t="shared" si="8"/>
        <v>44372</v>
      </c>
      <c r="AB11" s="13">
        <f t="shared" si="8"/>
        <v>43541</v>
      </c>
      <c r="AC11" s="13">
        <f t="shared" si="8"/>
        <v>43452</v>
      </c>
      <c r="AD11" s="13">
        <f t="shared" si="8"/>
        <v>42832</v>
      </c>
      <c r="AE11" s="13">
        <f t="shared" si="8"/>
        <v>42537</v>
      </c>
      <c r="AF11" s="13">
        <f t="shared" si="8"/>
        <v>42226</v>
      </c>
      <c r="AG11" s="13">
        <f t="shared" si="8"/>
        <v>41528</v>
      </c>
      <c r="AH11" s="13">
        <f t="shared" si="8"/>
        <v>41448</v>
      </c>
      <c r="AI11" s="13">
        <f t="shared" si="8"/>
        <v>41598</v>
      </c>
      <c r="AJ11" s="13">
        <f t="shared" si="8"/>
        <v>41825</v>
      </c>
      <c r="AK11" s="37"/>
      <c r="AL11" s="69">
        <f t="shared" ref="AL11:AL30" si="9">SUM(AJ11/AF11)-1</f>
        <v>-9.4965187325344314E-3</v>
      </c>
    </row>
    <row r="12" spans="1:38" s="18" customFormat="1" ht="5.0999999999999996" customHeight="1">
      <c r="B12" s="16"/>
      <c r="C12" s="17"/>
      <c r="D12" s="17"/>
      <c r="E12" s="17"/>
      <c r="F12" s="17"/>
      <c r="G12" s="17"/>
      <c r="H12" s="1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AL12" s="68"/>
    </row>
    <row r="13" spans="1:38" ht="12.75" customHeight="1">
      <c r="B13" s="9" t="s">
        <v>13</v>
      </c>
      <c r="C13" s="76">
        <v>-33590</v>
      </c>
      <c r="D13" s="76">
        <v>-36689</v>
      </c>
      <c r="E13" s="76">
        <v>-40121</v>
      </c>
      <c r="F13" s="76">
        <v>-36386</v>
      </c>
      <c r="G13" s="76">
        <v>-33849</v>
      </c>
      <c r="H13" s="76">
        <v>-32143</v>
      </c>
      <c r="I13" s="22"/>
      <c r="J13" s="82">
        <v>-8294</v>
      </c>
      <c r="K13" s="82">
        <v>-8042</v>
      </c>
      <c r="L13" s="82">
        <v>-8255</v>
      </c>
      <c r="M13" s="30">
        <f>SUM(F13-SUM(J13:L13))</f>
        <v>-11795</v>
      </c>
      <c r="N13" s="76">
        <v>-7317</v>
      </c>
      <c r="O13" s="76">
        <v>-7363</v>
      </c>
      <c r="P13" s="76">
        <v>-7524</v>
      </c>
      <c r="Q13" s="30">
        <f>SUM(G13-SUM(N13:P13))</f>
        <v>-11645</v>
      </c>
      <c r="R13" s="76">
        <v>-6783</v>
      </c>
      <c r="S13" s="76">
        <v>-7102</v>
      </c>
      <c r="T13" s="76">
        <v>-7228</v>
      </c>
      <c r="U13" s="30">
        <f>SUM(H13-SUM(R13:T13))</f>
        <v>-11030</v>
      </c>
      <c r="V13" s="76">
        <v>-6718</v>
      </c>
      <c r="W13" s="76">
        <v>-7244</v>
      </c>
      <c r="X13" s="76">
        <v>-7424</v>
      </c>
      <c r="Z13" s="30">
        <f t="shared" ref="Z13" si="10">SUM(K13:N13)</f>
        <v>-35409</v>
      </c>
      <c r="AA13" s="30">
        <f t="shared" ref="AA13" si="11">SUM(L13:O13)</f>
        <v>-34730</v>
      </c>
      <c r="AB13" s="30">
        <f t="shared" ref="AB13" si="12">SUM(M13:P13)</f>
        <v>-33999</v>
      </c>
      <c r="AC13" s="30">
        <f t="shared" ref="AC13" si="13">SUM(N13:Q13)</f>
        <v>-33849</v>
      </c>
      <c r="AD13" s="30">
        <f t="shared" ref="AD13" si="14">SUM(O13:R13)</f>
        <v>-33315</v>
      </c>
      <c r="AE13" s="30">
        <f t="shared" ref="AE13" si="15">SUM(P13:S13)</f>
        <v>-33054</v>
      </c>
      <c r="AF13" s="30">
        <f t="shared" ref="AF13" si="16">SUM(Q13:T13)</f>
        <v>-32758</v>
      </c>
      <c r="AG13" s="30">
        <f t="shared" ref="AG13" si="17">SUM(R13:U13)</f>
        <v>-32143</v>
      </c>
      <c r="AH13" s="30">
        <f t="shared" ref="AH13" si="18">SUM(S13:V13)</f>
        <v>-32078</v>
      </c>
      <c r="AI13" s="30">
        <f t="shared" ref="AI13" si="19">SUM(T13:W13)</f>
        <v>-32220</v>
      </c>
      <c r="AJ13" s="30">
        <f>SUM(U13:X13)</f>
        <v>-32416</v>
      </c>
      <c r="AK13" s="11"/>
      <c r="AL13" s="68">
        <f t="shared" si="9"/>
        <v>-1.044019781427441E-2</v>
      </c>
    </row>
    <row r="14" spans="1:38" ht="12.75" customHeight="1">
      <c r="B14" s="23" t="s">
        <v>24</v>
      </c>
      <c r="C14" s="24">
        <f t="shared" ref="C14:D14" si="20">+SUM(C11+SUM(C13:C13))</f>
        <v>10048</v>
      </c>
      <c r="D14" s="24">
        <f t="shared" si="20"/>
        <v>10573</v>
      </c>
      <c r="E14" s="24">
        <f t="shared" ref="E14:G14" si="21">+SUM(E11+SUM(E13:E13))</f>
        <v>11640</v>
      </c>
      <c r="F14" s="24">
        <f t="shared" si="21"/>
        <v>9912</v>
      </c>
      <c r="G14" s="24">
        <f t="shared" si="21"/>
        <v>9603</v>
      </c>
      <c r="H14" s="24">
        <f t="shared" ref="H14" si="22">+SUM(H11+SUM(H13:H13))</f>
        <v>9385</v>
      </c>
      <c r="J14" s="24">
        <f t="shared" ref="J14:S14" si="23">+SUM(J11+SUM(J13:J13))</f>
        <v>2353</v>
      </c>
      <c r="K14" s="24">
        <f t="shared" si="23"/>
        <v>2287</v>
      </c>
      <c r="L14" s="24">
        <f t="shared" si="23"/>
        <v>2332</v>
      </c>
      <c r="M14" s="24">
        <f t="shared" si="23"/>
        <v>2940</v>
      </c>
      <c r="N14" s="24">
        <f t="shared" si="23"/>
        <v>2150</v>
      </c>
      <c r="O14" s="24">
        <f t="shared" si="23"/>
        <v>2220</v>
      </c>
      <c r="P14" s="24">
        <f t="shared" si="23"/>
        <v>2232</v>
      </c>
      <c r="Q14" s="24">
        <f t="shared" si="23"/>
        <v>3001</v>
      </c>
      <c r="R14" s="24">
        <f t="shared" si="23"/>
        <v>2064</v>
      </c>
      <c r="S14" s="24">
        <f t="shared" si="23"/>
        <v>2186</v>
      </c>
      <c r="T14" s="24">
        <f t="shared" ref="T14:U14" si="24">+SUM(T11+SUM(T13:T13))</f>
        <v>2217</v>
      </c>
      <c r="U14" s="24">
        <f t="shared" si="24"/>
        <v>2918</v>
      </c>
      <c r="V14" s="24">
        <f t="shared" ref="V14:X14" si="25">+SUM(V11+SUM(V13:V13))</f>
        <v>2049</v>
      </c>
      <c r="W14" s="24">
        <f t="shared" si="25"/>
        <v>2194</v>
      </c>
      <c r="X14" s="24">
        <f t="shared" si="25"/>
        <v>2248</v>
      </c>
      <c r="Z14" s="24">
        <f t="shared" ref="Z14:AJ14" si="26">+SUM(Z11+SUM(Z13:Z13))</f>
        <v>9709</v>
      </c>
      <c r="AA14" s="24">
        <f t="shared" si="26"/>
        <v>9642</v>
      </c>
      <c r="AB14" s="24">
        <f t="shared" si="26"/>
        <v>9542</v>
      </c>
      <c r="AC14" s="24">
        <f t="shared" si="26"/>
        <v>9603</v>
      </c>
      <c r="AD14" s="24">
        <f t="shared" si="26"/>
        <v>9517</v>
      </c>
      <c r="AE14" s="24">
        <f t="shared" si="26"/>
        <v>9483</v>
      </c>
      <c r="AF14" s="24">
        <f t="shared" si="26"/>
        <v>9468</v>
      </c>
      <c r="AG14" s="24">
        <f t="shared" si="26"/>
        <v>9385</v>
      </c>
      <c r="AH14" s="24">
        <f t="shared" si="26"/>
        <v>9370</v>
      </c>
      <c r="AI14" s="24">
        <f t="shared" si="26"/>
        <v>9378</v>
      </c>
      <c r="AJ14" s="24">
        <f t="shared" si="26"/>
        <v>9409</v>
      </c>
      <c r="AK14" s="39"/>
      <c r="AL14" s="69">
        <f t="shared" si="9"/>
        <v>-6.2315166877904282E-3</v>
      </c>
    </row>
    <row r="15" spans="1:38" ht="12.75" customHeight="1">
      <c r="B15" s="14" t="s">
        <v>34</v>
      </c>
      <c r="C15" s="15">
        <f t="shared" ref="C15:D15" si="27">C14/C11</f>
        <v>0.23025803199046702</v>
      </c>
      <c r="D15" s="15">
        <f t="shared" si="27"/>
        <v>0.22371038043248276</v>
      </c>
      <c r="E15" s="15">
        <f t="shared" ref="E15:G15" si="28">E14/E11</f>
        <v>0.22487973570835185</v>
      </c>
      <c r="F15" s="15">
        <f t="shared" si="28"/>
        <v>0.21409132143937104</v>
      </c>
      <c r="G15" s="15">
        <f t="shared" si="28"/>
        <v>0.22100248550124274</v>
      </c>
      <c r="H15" s="15">
        <f t="shared" ref="H15" si="29">H14/H11</f>
        <v>0.22599210171450587</v>
      </c>
      <c r="I15" s="25"/>
      <c r="J15" s="15">
        <f t="shared" ref="J15:S15" si="30">J14/J11</f>
        <v>0.22100122100122099</v>
      </c>
      <c r="K15" s="15">
        <f t="shared" si="30"/>
        <v>0.22141543227805208</v>
      </c>
      <c r="L15" s="15">
        <f t="shared" si="30"/>
        <v>0.22027014262775102</v>
      </c>
      <c r="M15" s="15">
        <f t="shared" si="30"/>
        <v>0.1995249406175772</v>
      </c>
      <c r="N15" s="15">
        <f t="shared" si="30"/>
        <v>0.22710467941269674</v>
      </c>
      <c r="O15" s="15">
        <f t="shared" si="30"/>
        <v>0.23166023166023167</v>
      </c>
      <c r="P15" s="15">
        <f t="shared" si="30"/>
        <v>0.22878228782287824</v>
      </c>
      <c r="Q15" s="15">
        <f t="shared" si="30"/>
        <v>0.2049023624197733</v>
      </c>
      <c r="R15" s="15">
        <f t="shared" si="30"/>
        <v>0.23329942353340116</v>
      </c>
      <c r="S15" s="15">
        <f t="shared" si="30"/>
        <v>0.23535745047372955</v>
      </c>
      <c r="T15" s="15">
        <f t="shared" ref="T15:U15" si="31">T14/T11</f>
        <v>0.23472736897829538</v>
      </c>
      <c r="U15" s="15">
        <f t="shared" si="31"/>
        <v>0.20920562087754516</v>
      </c>
      <c r="V15" s="15">
        <f t="shared" ref="V15:X15" si="32">V14/V11</f>
        <v>0.23371734915022244</v>
      </c>
      <c r="W15" s="15">
        <f t="shared" si="32"/>
        <v>0.23246450519177791</v>
      </c>
      <c r="X15" s="15">
        <f t="shared" si="32"/>
        <v>0.23242349048800662</v>
      </c>
      <c r="Y15" s="26"/>
      <c r="Z15" s="15">
        <f t="shared" ref="Z15:AJ15" si="33">Z14/Z11</f>
        <v>0.21519127620905182</v>
      </c>
      <c r="AA15" s="15">
        <f t="shared" si="33"/>
        <v>0.21729919769223835</v>
      </c>
      <c r="AB15" s="15">
        <f t="shared" si="33"/>
        <v>0.21914976688638296</v>
      </c>
      <c r="AC15" s="15">
        <f t="shared" si="33"/>
        <v>0.22100248550124274</v>
      </c>
      <c r="AD15" s="15">
        <f t="shared" si="33"/>
        <v>0.22219368696301831</v>
      </c>
      <c r="AE15" s="15">
        <f t="shared" si="33"/>
        <v>0.22293532689188236</v>
      </c>
      <c r="AF15" s="15">
        <f t="shared" si="33"/>
        <v>0.22422204329086345</v>
      </c>
      <c r="AG15" s="15">
        <f t="shared" si="33"/>
        <v>0.22599210171450587</v>
      </c>
      <c r="AH15" s="15">
        <f t="shared" si="33"/>
        <v>0.22606639644856205</v>
      </c>
      <c r="AI15" s="15">
        <f t="shared" si="33"/>
        <v>0.22544353093898745</v>
      </c>
      <c r="AJ15" s="15">
        <f t="shared" si="33"/>
        <v>0.2249611476389719</v>
      </c>
      <c r="AK15" s="39"/>
      <c r="AL15" s="70">
        <f>SUM(AJ15-AF15)*1000</f>
        <v>0.73910434810844916</v>
      </c>
    </row>
    <row r="16" spans="1:38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39"/>
      <c r="AL16" s="68"/>
    </row>
    <row r="17" spans="2:38" ht="12.75" customHeight="1">
      <c r="B17" s="9" t="s">
        <v>102</v>
      </c>
      <c r="C17" s="76">
        <v>-7998</v>
      </c>
      <c r="D17" s="76">
        <v>-7928</v>
      </c>
      <c r="E17" s="76">
        <v>-8635</v>
      </c>
      <c r="F17" s="76">
        <v>-7970</v>
      </c>
      <c r="G17" s="76">
        <v>-7876</v>
      </c>
      <c r="H17" s="76">
        <v>-7651</v>
      </c>
      <c r="I17" s="30"/>
      <c r="J17" s="82">
        <v>-1890</v>
      </c>
      <c r="K17" s="82">
        <v>-1882</v>
      </c>
      <c r="L17" s="82">
        <v>-1941</v>
      </c>
      <c r="M17" s="30">
        <f>SUM(F17-SUM(J17:L17))</f>
        <v>-2257</v>
      </c>
      <c r="N17" s="76">
        <v>-1848</v>
      </c>
      <c r="O17" s="76">
        <v>-1879</v>
      </c>
      <c r="P17" s="76">
        <v>-1878</v>
      </c>
      <c r="Q17" s="30">
        <f>SUM(G17-SUM(N17:P17))</f>
        <v>-2271</v>
      </c>
      <c r="R17" s="76">
        <v>-1737</v>
      </c>
      <c r="S17" s="76">
        <v>-1810</v>
      </c>
      <c r="T17" s="76">
        <v>-1871</v>
      </c>
      <c r="U17" s="30">
        <f t="shared" ref="U17:U18" si="34">SUM(H17-SUM(R17:T17))</f>
        <v>-2233</v>
      </c>
      <c r="V17" s="76">
        <v>-1721</v>
      </c>
      <c r="W17" s="76">
        <v>-1829</v>
      </c>
      <c r="X17" s="76">
        <v>-1884</v>
      </c>
      <c r="Z17" s="30">
        <f t="shared" ref="Z17:Z18" si="35">SUM(K17:N17)</f>
        <v>-7928</v>
      </c>
      <c r="AA17" s="30">
        <f t="shared" ref="AA17:AA18" si="36">SUM(L17:O17)</f>
        <v>-7925</v>
      </c>
      <c r="AB17" s="30">
        <f t="shared" ref="AB17:AB18" si="37">SUM(M17:P17)</f>
        <v>-7862</v>
      </c>
      <c r="AC17" s="30">
        <f t="shared" ref="AC17:AC18" si="38">SUM(N17:Q17)</f>
        <v>-7876</v>
      </c>
      <c r="AD17" s="30">
        <f t="shared" ref="AD17:AD18" si="39">SUM(O17:R17)</f>
        <v>-7765</v>
      </c>
      <c r="AE17" s="30">
        <f t="shared" ref="AE17:AE18" si="40">SUM(P17:S17)</f>
        <v>-7696</v>
      </c>
      <c r="AF17" s="30">
        <f t="shared" ref="AF17:AF18" si="41">SUM(Q17:T17)</f>
        <v>-7689</v>
      </c>
      <c r="AG17" s="30">
        <f t="shared" ref="AG17:AG18" si="42">SUM(R17:U17)</f>
        <v>-7651</v>
      </c>
      <c r="AH17" s="30">
        <f t="shared" ref="AH17:AH18" si="43">SUM(S17:V17)</f>
        <v>-7635</v>
      </c>
      <c r="AI17" s="30">
        <f t="shared" ref="AI17:AI18" si="44">SUM(T17:W17)</f>
        <v>-7654</v>
      </c>
      <c r="AJ17" s="30">
        <f t="shared" ref="AJ17:AJ18" si="45">SUM(U17:X17)</f>
        <v>-7667</v>
      </c>
      <c r="AK17" s="11"/>
      <c r="AL17" s="68">
        <f t="shared" si="9"/>
        <v>-2.8612303290415086E-3</v>
      </c>
    </row>
    <row r="18" spans="2:38" ht="12.75" customHeight="1">
      <c r="B18" s="9" t="s">
        <v>152</v>
      </c>
      <c r="C18" s="76">
        <v>-41</v>
      </c>
      <c r="D18" s="76">
        <v>-254</v>
      </c>
      <c r="E18" s="76">
        <v>34</v>
      </c>
      <c r="F18" s="76">
        <v>-147</v>
      </c>
      <c r="G18" s="76">
        <v>-153</v>
      </c>
      <c r="H18" s="76">
        <f>-475 +3</f>
        <v>-472</v>
      </c>
      <c r="I18" s="30"/>
      <c r="J18" s="82">
        <v>-1</v>
      </c>
      <c r="K18" s="82">
        <v>-34</v>
      </c>
      <c r="L18" s="82">
        <v>-26</v>
      </c>
      <c r="M18" s="30">
        <f>SUM(F18-SUM(J18:L18))</f>
        <v>-86</v>
      </c>
      <c r="N18" s="76">
        <v>9</v>
      </c>
      <c r="O18" s="76">
        <v>7</v>
      </c>
      <c r="P18" s="76">
        <v>0</v>
      </c>
      <c r="Q18" s="30">
        <f>SUM(G18-SUM(N18:P18))</f>
        <v>-169</v>
      </c>
      <c r="R18" s="76">
        <v>-15</v>
      </c>
      <c r="S18" s="76">
        <v>7</v>
      </c>
      <c r="T18" s="76">
        <v>4</v>
      </c>
      <c r="U18" s="30">
        <f t="shared" si="34"/>
        <v>-468</v>
      </c>
      <c r="V18" s="76">
        <v>-109</v>
      </c>
      <c r="W18" s="76">
        <v>-114</v>
      </c>
      <c r="X18" s="76">
        <f>-171+5</f>
        <v>-166</v>
      </c>
      <c r="Z18" s="30">
        <f t="shared" si="35"/>
        <v>-137</v>
      </c>
      <c r="AA18" s="30">
        <f t="shared" si="36"/>
        <v>-96</v>
      </c>
      <c r="AB18" s="30">
        <f t="shared" si="37"/>
        <v>-70</v>
      </c>
      <c r="AC18" s="30">
        <f t="shared" si="38"/>
        <v>-153</v>
      </c>
      <c r="AD18" s="30">
        <f t="shared" si="39"/>
        <v>-177</v>
      </c>
      <c r="AE18" s="30">
        <f t="shared" si="40"/>
        <v>-177</v>
      </c>
      <c r="AF18" s="30">
        <f t="shared" si="41"/>
        <v>-173</v>
      </c>
      <c r="AG18" s="30">
        <f t="shared" si="42"/>
        <v>-472</v>
      </c>
      <c r="AH18" s="30">
        <f t="shared" si="43"/>
        <v>-566</v>
      </c>
      <c r="AI18" s="30">
        <f t="shared" si="44"/>
        <v>-687</v>
      </c>
      <c r="AJ18" s="30">
        <f t="shared" si="45"/>
        <v>-857</v>
      </c>
      <c r="AK18" s="11"/>
      <c r="AL18" s="68">
        <f t="shared" si="9"/>
        <v>3.9537572254335256</v>
      </c>
    </row>
    <row r="19" spans="2:38" ht="12.75" customHeight="1">
      <c r="B19" s="23" t="s">
        <v>87</v>
      </c>
      <c r="C19" s="24">
        <f>+SUM(C14+SUM(C17:C18))</f>
        <v>2009</v>
      </c>
      <c r="D19" s="24">
        <f>+SUM(D14+SUM(D17:D18))</f>
        <v>2391</v>
      </c>
      <c r="E19" s="24">
        <f>+SUM(E14+SUM(E17:E18))</f>
        <v>3039</v>
      </c>
      <c r="F19" s="24">
        <f>+SUM(F14+SUM(F17:F18))</f>
        <v>1795</v>
      </c>
      <c r="G19" s="24">
        <f>+SUM(G14+SUM(G17:G18))</f>
        <v>1574</v>
      </c>
      <c r="H19" s="24">
        <f>+SUM(H14+SUM(H17:H18))</f>
        <v>1262</v>
      </c>
      <c r="I19" s="30"/>
      <c r="J19" s="24">
        <f t="shared" ref="J19:S19" si="46">+SUM(J14+SUM(J17:J18))</f>
        <v>462</v>
      </c>
      <c r="K19" s="24">
        <f t="shared" si="46"/>
        <v>371</v>
      </c>
      <c r="L19" s="24">
        <f t="shared" si="46"/>
        <v>365</v>
      </c>
      <c r="M19" s="24">
        <f t="shared" si="46"/>
        <v>597</v>
      </c>
      <c r="N19" s="24">
        <f t="shared" si="46"/>
        <v>311</v>
      </c>
      <c r="O19" s="24">
        <f t="shared" si="46"/>
        <v>348</v>
      </c>
      <c r="P19" s="24">
        <f t="shared" si="46"/>
        <v>354</v>
      </c>
      <c r="Q19" s="24">
        <f t="shared" si="46"/>
        <v>561</v>
      </c>
      <c r="R19" s="24">
        <f t="shared" si="46"/>
        <v>312</v>
      </c>
      <c r="S19" s="24">
        <f t="shared" si="46"/>
        <v>383</v>
      </c>
      <c r="T19" s="24">
        <f t="shared" ref="T19:X19" si="47">+SUM(T14+SUM(T17:T18))</f>
        <v>350</v>
      </c>
      <c r="U19" s="24">
        <f t="shared" ref="U19" si="48">+SUM(U14+SUM(U17:U18))</f>
        <v>217</v>
      </c>
      <c r="V19" s="24">
        <f t="shared" si="47"/>
        <v>219</v>
      </c>
      <c r="W19" s="24">
        <f t="shared" si="47"/>
        <v>251</v>
      </c>
      <c r="X19" s="24">
        <f t="shared" si="47"/>
        <v>198</v>
      </c>
      <c r="Z19" s="24">
        <f t="shared" ref="Z19:AJ19" si="49">+SUM(Z14+SUM(Z17:Z18))</f>
        <v>1644</v>
      </c>
      <c r="AA19" s="24">
        <f t="shared" si="49"/>
        <v>1621</v>
      </c>
      <c r="AB19" s="24">
        <f t="shared" si="49"/>
        <v>1610</v>
      </c>
      <c r="AC19" s="24">
        <f t="shared" si="49"/>
        <v>1574</v>
      </c>
      <c r="AD19" s="24">
        <f t="shared" si="49"/>
        <v>1575</v>
      </c>
      <c r="AE19" s="24">
        <f t="shared" si="49"/>
        <v>1610</v>
      </c>
      <c r="AF19" s="24">
        <f t="shared" si="49"/>
        <v>1606</v>
      </c>
      <c r="AG19" s="24">
        <f t="shared" si="49"/>
        <v>1262</v>
      </c>
      <c r="AH19" s="24">
        <f t="shared" si="49"/>
        <v>1169</v>
      </c>
      <c r="AI19" s="24">
        <f t="shared" si="49"/>
        <v>1037</v>
      </c>
      <c r="AJ19" s="24">
        <f t="shared" si="49"/>
        <v>885</v>
      </c>
      <c r="AK19" s="11"/>
      <c r="AL19" s="69">
        <f t="shared" si="9"/>
        <v>-0.44894146948941471</v>
      </c>
    </row>
    <row r="20" spans="2:38" ht="12.75" customHeight="1">
      <c r="B20" s="14" t="s">
        <v>36</v>
      </c>
      <c r="C20" s="15">
        <f>C19/C11</f>
        <v>4.603785691369907E-2</v>
      </c>
      <c r="D20" s="15">
        <f>D19/D11</f>
        <v>5.0590326266345055E-2</v>
      </c>
      <c r="E20" s="15">
        <f>E19/E11</f>
        <v>5.8712157802206295E-2</v>
      </c>
      <c r="F20" s="15">
        <f>F19/F11</f>
        <v>3.8770573242904664E-2</v>
      </c>
      <c r="G20" s="15">
        <f>G19/G11</f>
        <v>3.6223879223050724E-2</v>
      </c>
      <c r="H20" s="15">
        <f>H19/H11</f>
        <v>3.0389135041417839E-2</v>
      </c>
      <c r="I20" s="30"/>
      <c r="J20" s="15">
        <f t="shared" ref="J20:S20" si="50">J19/J11</f>
        <v>4.3392504930966469E-2</v>
      </c>
      <c r="K20" s="15">
        <f t="shared" si="50"/>
        <v>3.5918288314454448E-2</v>
      </c>
      <c r="L20" s="15">
        <f t="shared" si="50"/>
        <v>3.4476244450741475E-2</v>
      </c>
      <c r="M20" s="15">
        <f t="shared" si="50"/>
        <v>4.0515778758059041E-2</v>
      </c>
      <c r="N20" s="15">
        <f t="shared" si="50"/>
        <v>3.2850955952255199E-2</v>
      </c>
      <c r="O20" s="15">
        <f t="shared" si="50"/>
        <v>3.6314306584576857E-2</v>
      </c>
      <c r="P20" s="15">
        <f t="shared" si="50"/>
        <v>3.6285362853628537E-2</v>
      </c>
      <c r="Q20" s="15">
        <f t="shared" si="50"/>
        <v>3.8303973781237198E-2</v>
      </c>
      <c r="R20" s="15">
        <f t="shared" si="50"/>
        <v>3.5266191929467616E-2</v>
      </c>
      <c r="S20" s="15">
        <f t="shared" si="50"/>
        <v>4.1236003445305772E-2</v>
      </c>
      <c r="T20" s="15">
        <f t="shared" ref="T20:X20" si="51">T19/T11</f>
        <v>3.7056643726839596E-2</v>
      </c>
      <c r="U20" s="15">
        <f t="shared" ref="U20" si="52">U19/U11</f>
        <v>1.5557786062517924E-2</v>
      </c>
      <c r="V20" s="15">
        <f t="shared" si="51"/>
        <v>2.4980038781795368E-2</v>
      </c>
      <c r="W20" s="15">
        <f t="shared" si="51"/>
        <v>2.6594617503708413E-2</v>
      </c>
      <c r="X20" s="15">
        <f t="shared" si="51"/>
        <v>2.0471464019851116E-2</v>
      </c>
      <c r="Z20" s="15">
        <f t="shared" ref="Z20:AJ20" si="53">Z19/Z11</f>
        <v>3.6437785362826366E-2</v>
      </c>
      <c r="AA20" s="15">
        <f t="shared" si="53"/>
        <v>3.6532047236996303E-2</v>
      </c>
      <c r="AB20" s="15">
        <f t="shared" si="53"/>
        <v>3.6976642704577296E-2</v>
      </c>
      <c r="AC20" s="15">
        <f t="shared" si="53"/>
        <v>3.6223879223050724E-2</v>
      </c>
      <c r="AD20" s="15">
        <f t="shared" si="53"/>
        <v>3.6771572655958165E-2</v>
      </c>
      <c r="AE20" s="15">
        <f t="shared" si="53"/>
        <v>3.7849401697345839E-2</v>
      </c>
      <c r="AF20" s="15">
        <f t="shared" si="53"/>
        <v>3.803343911334249E-2</v>
      </c>
      <c r="AG20" s="15">
        <f t="shared" si="53"/>
        <v>3.0389135041417839E-2</v>
      </c>
      <c r="AH20" s="15">
        <f t="shared" si="53"/>
        <v>2.8204014668982823E-2</v>
      </c>
      <c r="AI20" s="15">
        <f t="shared" si="53"/>
        <v>2.4929083128996585E-2</v>
      </c>
      <c r="AJ20" s="15">
        <f t="shared" si="53"/>
        <v>2.1159593544530782E-2</v>
      </c>
      <c r="AK20" s="11"/>
      <c r="AL20" s="70">
        <f>SUM(AJ20-AF20)*1000</f>
        <v>-16.873845568811706</v>
      </c>
    </row>
    <row r="21" spans="2:38" ht="5.0999999999999996" customHeight="1">
      <c r="B21" s="14"/>
      <c r="C21" s="15"/>
      <c r="D21" s="15"/>
      <c r="E21" s="15"/>
      <c r="F21" s="15"/>
      <c r="G21" s="15"/>
      <c r="H21" s="15"/>
      <c r="I21" s="30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11"/>
      <c r="AL21" s="68"/>
    </row>
    <row r="22" spans="2:38" ht="12.75" customHeight="1">
      <c r="B22" s="9" t="s">
        <v>192</v>
      </c>
      <c r="C22" s="76">
        <v>1</v>
      </c>
      <c r="D22" s="76">
        <v>1</v>
      </c>
      <c r="E22" s="76">
        <v>0</v>
      </c>
      <c r="F22" s="76">
        <v>0</v>
      </c>
      <c r="G22" s="76">
        <v>21</v>
      </c>
      <c r="H22" s="76">
        <v>0</v>
      </c>
      <c r="I22" s="30"/>
      <c r="J22" s="76">
        <v>0</v>
      </c>
      <c r="K22" s="76">
        <v>0</v>
      </c>
      <c r="L22" s="76">
        <v>0</v>
      </c>
      <c r="M22" s="30">
        <f>SUM(F22-SUM(J22:L22))</f>
        <v>0</v>
      </c>
      <c r="N22" s="76">
        <v>0</v>
      </c>
      <c r="O22" s="76">
        <v>21</v>
      </c>
      <c r="P22" s="76">
        <v>0</v>
      </c>
      <c r="Q22" s="30">
        <f>SUM(G22-SUM(N22:P22))</f>
        <v>0</v>
      </c>
      <c r="R22" s="76">
        <v>0</v>
      </c>
      <c r="S22" s="76">
        <v>0</v>
      </c>
      <c r="T22" s="76">
        <v>0</v>
      </c>
      <c r="U22" s="30">
        <f t="shared" ref="U22:U24" si="54">SUM(H22-SUM(R22:T22))</f>
        <v>0</v>
      </c>
      <c r="V22" s="76">
        <v>0</v>
      </c>
      <c r="W22" s="76">
        <v>-4</v>
      </c>
      <c r="X22" s="76">
        <v>0</v>
      </c>
      <c r="Z22" s="30">
        <f t="shared" ref="Z22:Z24" si="55">SUM(K22:N22)</f>
        <v>0</v>
      </c>
      <c r="AA22" s="30">
        <f t="shared" ref="AA22:AA24" si="56">SUM(L22:O22)</f>
        <v>21</v>
      </c>
      <c r="AB22" s="30">
        <f t="shared" ref="AB22:AB24" si="57">SUM(M22:P22)</f>
        <v>21</v>
      </c>
      <c r="AC22" s="30">
        <f t="shared" ref="AC22:AC24" si="58">SUM(N22:Q22)</f>
        <v>21</v>
      </c>
      <c r="AD22" s="30">
        <f t="shared" ref="AD22:AD24" si="59">SUM(O22:R22)</f>
        <v>21</v>
      </c>
      <c r="AE22" s="30">
        <f t="shared" ref="AE22:AE24" si="60">SUM(P22:S22)</f>
        <v>0</v>
      </c>
      <c r="AF22" s="30">
        <f t="shared" ref="AF22:AF24" si="61">SUM(Q22:T22)</f>
        <v>0</v>
      </c>
      <c r="AG22" s="30">
        <f t="shared" ref="AG22:AG24" si="62">SUM(R22:U22)</f>
        <v>0</v>
      </c>
      <c r="AH22" s="30">
        <f t="shared" ref="AH22:AH24" si="63">SUM(S22:V22)</f>
        <v>0</v>
      </c>
      <c r="AI22" s="30">
        <f t="shared" ref="AI22:AI24" si="64">SUM(T22:W22)</f>
        <v>-4</v>
      </c>
      <c r="AJ22" s="30">
        <f>SUM(U22:X22)</f>
        <v>-4</v>
      </c>
      <c r="AK22" s="11"/>
      <c r="AL22" s="68" t="e">
        <f t="shared" si="9"/>
        <v>#DIV/0!</v>
      </c>
    </row>
    <row r="23" spans="2:38" ht="12.75" customHeight="1">
      <c r="B23" s="9" t="s">
        <v>104</v>
      </c>
      <c r="C23" s="76">
        <v>47</v>
      </c>
      <c r="D23" s="76">
        <v>37</v>
      </c>
      <c r="E23" s="76">
        <v>10</v>
      </c>
      <c r="F23" s="76">
        <v>28</v>
      </c>
      <c r="G23" s="76">
        <v>78</v>
      </c>
      <c r="H23" s="76">
        <v>84</v>
      </c>
      <c r="I23" s="30"/>
      <c r="J23" s="76">
        <v>-5</v>
      </c>
      <c r="K23" s="76">
        <v>3</v>
      </c>
      <c r="L23" s="76">
        <v>4</v>
      </c>
      <c r="M23" s="30">
        <f>SUM(F23-SUM(J23:L23))</f>
        <v>26</v>
      </c>
      <c r="N23" s="76">
        <v>21</v>
      </c>
      <c r="O23" s="76">
        <v>12</v>
      </c>
      <c r="P23" s="76">
        <v>8</v>
      </c>
      <c r="Q23" s="30">
        <f>SUM(G23-SUM(N23:P23))</f>
        <v>37</v>
      </c>
      <c r="R23" s="76">
        <v>25</v>
      </c>
      <c r="S23" s="76">
        <v>21</v>
      </c>
      <c r="T23" s="76">
        <v>19</v>
      </c>
      <c r="U23" s="30">
        <f t="shared" si="54"/>
        <v>19</v>
      </c>
      <c r="V23" s="76">
        <v>15</v>
      </c>
      <c r="W23" s="76">
        <v>18</v>
      </c>
      <c r="X23" s="76">
        <v>19</v>
      </c>
      <c r="Z23" s="30">
        <f t="shared" si="55"/>
        <v>54</v>
      </c>
      <c r="AA23" s="30">
        <f t="shared" si="56"/>
        <v>63</v>
      </c>
      <c r="AB23" s="30">
        <f t="shared" si="57"/>
        <v>67</v>
      </c>
      <c r="AC23" s="30">
        <f t="shared" si="58"/>
        <v>78</v>
      </c>
      <c r="AD23" s="30">
        <f t="shared" si="59"/>
        <v>82</v>
      </c>
      <c r="AE23" s="30">
        <f t="shared" si="60"/>
        <v>91</v>
      </c>
      <c r="AF23" s="30">
        <f t="shared" si="61"/>
        <v>102</v>
      </c>
      <c r="AG23" s="30">
        <f t="shared" si="62"/>
        <v>84</v>
      </c>
      <c r="AH23" s="30">
        <f t="shared" si="63"/>
        <v>74</v>
      </c>
      <c r="AI23" s="30">
        <f t="shared" si="64"/>
        <v>71</v>
      </c>
      <c r="AJ23" s="30">
        <f>SUM(U23:X23)</f>
        <v>71</v>
      </c>
      <c r="AK23" s="11"/>
      <c r="AL23" s="68">
        <f t="shared" si="9"/>
        <v>-0.30392156862745101</v>
      </c>
    </row>
    <row r="24" spans="2:38" ht="12.75" customHeight="1">
      <c r="B24" s="9" t="s">
        <v>186</v>
      </c>
      <c r="C24" s="76">
        <v>-64</v>
      </c>
      <c r="D24" s="76">
        <v>-52</v>
      </c>
      <c r="E24" s="76">
        <v>-25</v>
      </c>
      <c r="F24" s="76">
        <v>-35</v>
      </c>
      <c r="G24" s="76">
        <v>-52</v>
      </c>
      <c r="H24" s="76">
        <v>-51</v>
      </c>
      <c r="I24" s="30"/>
      <c r="J24" s="76">
        <v>-6</v>
      </c>
      <c r="K24" s="76">
        <v>-7</v>
      </c>
      <c r="L24" s="76">
        <v>-10</v>
      </c>
      <c r="M24" s="30">
        <f>SUM(F24-SUM(J24:L24))</f>
        <v>-12</v>
      </c>
      <c r="N24" s="76">
        <v>-12</v>
      </c>
      <c r="O24" s="76">
        <v>-12</v>
      </c>
      <c r="P24" s="76">
        <v>-14</v>
      </c>
      <c r="Q24" s="30">
        <f>SUM(G24-SUM(N24:P24))</f>
        <v>-14</v>
      </c>
      <c r="R24" s="76">
        <v>-12</v>
      </c>
      <c r="S24" s="76">
        <v>-13</v>
      </c>
      <c r="T24" s="76">
        <v>-13</v>
      </c>
      <c r="U24" s="30">
        <f t="shared" si="54"/>
        <v>-13</v>
      </c>
      <c r="V24" s="76">
        <v>-12</v>
      </c>
      <c r="W24" s="76">
        <v>-12</v>
      </c>
      <c r="X24" s="76">
        <v>-12</v>
      </c>
      <c r="Z24" s="30">
        <f t="shared" si="55"/>
        <v>-41</v>
      </c>
      <c r="AA24" s="30">
        <f t="shared" si="56"/>
        <v>-46</v>
      </c>
      <c r="AB24" s="30">
        <f t="shared" si="57"/>
        <v>-50</v>
      </c>
      <c r="AC24" s="30">
        <f t="shared" si="58"/>
        <v>-52</v>
      </c>
      <c r="AD24" s="30">
        <f t="shared" si="59"/>
        <v>-52</v>
      </c>
      <c r="AE24" s="30">
        <f t="shared" si="60"/>
        <v>-53</v>
      </c>
      <c r="AF24" s="30">
        <f t="shared" si="61"/>
        <v>-52</v>
      </c>
      <c r="AG24" s="30">
        <f t="shared" si="62"/>
        <v>-51</v>
      </c>
      <c r="AH24" s="30">
        <f t="shared" si="63"/>
        <v>-51</v>
      </c>
      <c r="AI24" s="30">
        <f t="shared" si="64"/>
        <v>-50</v>
      </c>
      <c r="AJ24" s="30">
        <f>SUM(U24:X24)</f>
        <v>-49</v>
      </c>
      <c r="AK24" s="11"/>
      <c r="AL24" s="68">
        <f t="shared" si="9"/>
        <v>-5.7692307692307709E-2</v>
      </c>
    </row>
    <row r="25" spans="2:38" ht="12.75" customHeight="1">
      <c r="B25" s="23" t="s">
        <v>105</v>
      </c>
      <c r="C25" s="24">
        <f>SUM(C22:C24)+C19</f>
        <v>1993</v>
      </c>
      <c r="D25" s="24">
        <f t="shared" ref="D25:H25" si="65">SUM(D22:D24)+D19</f>
        <v>2377</v>
      </c>
      <c r="E25" s="24">
        <f t="shared" si="65"/>
        <v>3024</v>
      </c>
      <c r="F25" s="24">
        <f t="shared" si="65"/>
        <v>1788</v>
      </c>
      <c r="G25" s="24">
        <f t="shared" si="65"/>
        <v>1621</v>
      </c>
      <c r="H25" s="24">
        <f t="shared" si="65"/>
        <v>1295</v>
      </c>
      <c r="I25" s="30"/>
      <c r="J25" s="24">
        <f t="shared" ref="J25" si="66">SUM(J22:J24)+J19</f>
        <v>451</v>
      </c>
      <c r="K25" s="24">
        <f t="shared" ref="K25" si="67">SUM(K22:K24)+K19</f>
        <v>367</v>
      </c>
      <c r="L25" s="24">
        <f t="shared" ref="L25" si="68">SUM(L22:L24)+L19</f>
        <v>359</v>
      </c>
      <c r="M25" s="24">
        <f t="shared" ref="M25" si="69">SUM(M22:M24)+M19</f>
        <v>611</v>
      </c>
      <c r="N25" s="24">
        <f t="shared" ref="N25" si="70">SUM(N22:N24)+N19</f>
        <v>320</v>
      </c>
      <c r="O25" s="24">
        <f t="shared" ref="O25" si="71">SUM(O22:O24)+O19</f>
        <v>369</v>
      </c>
      <c r="P25" s="24">
        <f t="shared" ref="P25" si="72">SUM(P22:P24)+P19</f>
        <v>348</v>
      </c>
      <c r="Q25" s="24">
        <f t="shared" ref="Q25" si="73">SUM(Q22:Q24)+Q19</f>
        <v>584</v>
      </c>
      <c r="R25" s="24">
        <f t="shared" ref="R25" si="74">SUM(R22:R24)+R19</f>
        <v>325</v>
      </c>
      <c r="S25" s="24">
        <f t="shared" ref="S25" si="75">SUM(S22:S24)+S19</f>
        <v>391</v>
      </c>
      <c r="T25" s="24">
        <f t="shared" ref="T25:X25" si="76">SUM(T22:T24)+T19</f>
        <v>356</v>
      </c>
      <c r="U25" s="24">
        <f t="shared" ref="U25" si="77">SUM(U22:U24)+U19</f>
        <v>223</v>
      </c>
      <c r="V25" s="24">
        <f t="shared" si="76"/>
        <v>222</v>
      </c>
      <c r="W25" s="24">
        <f t="shared" si="76"/>
        <v>253</v>
      </c>
      <c r="X25" s="24">
        <f t="shared" si="76"/>
        <v>205</v>
      </c>
      <c r="Z25" s="24">
        <f t="shared" ref="Z25" si="78">SUM(Z22:Z24)+Z19</f>
        <v>1657</v>
      </c>
      <c r="AA25" s="24">
        <f t="shared" ref="AA25" si="79">SUM(AA22:AA24)+AA19</f>
        <v>1659</v>
      </c>
      <c r="AB25" s="24">
        <f t="shared" ref="AB25" si="80">SUM(AB22:AB24)+AB19</f>
        <v>1648</v>
      </c>
      <c r="AC25" s="24">
        <f t="shared" ref="AC25" si="81">SUM(AC22:AC24)+AC19</f>
        <v>1621</v>
      </c>
      <c r="AD25" s="24">
        <f t="shared" ref="AD25" si="82">SUM(AD22:AD24)+AD19</f>
        <v>1626</v>
      </c>
      <c r="AE25" s="24">
        <f t="shared" ref="AE25" si="83">SUM(AE22:AE24)+AE19</f>
        <v>1648</v>
      </c>
      <c r="AF25" s="24">
        <f t="shared" ref="AF25" si="84">SUM(AF22:AF24)+AF19</f>
        <v>1656</v>
      </c>
      <c r="AG25" s="24">
        <f t="shared" ref="AG25" si="85">SUM(AG22:AG24)+AG19</f>
        <v>1295</v>
      </c>
      <c r="AH25" s="24">
        <f t="shared" ref="AH25" si="86">SUM(AH22:AH24)+AH19</f>
        <v>1192</v>
      </c>
      <c r="AI25" s="24">
        <f t="shared" ref="AI25" si="87">SUM(AI22:AI24)+AI19</f>
        <v>1054</v>
      </c>
      <c r="AJ25" s="24">
        <f t="shared" ref="AJ25" si="88">SUM(AJ22:AJ24)+AJ19</f>
        <v>903</v>
      </c>
      <c r="AK25" s="11"/>
      <c r="AL25" s="68">
        <f t="shared" si="9"/>
        <v>-0.45471014492753625</v>
      </c>
    </row>
    <row r="26" spans="2:38" ht="12.75" customHeight="1">
      <c r="B26" s="14" t="s">
        <v>88</v>
      </c>
      <c r="C26" s="15">
        <f>C25/C11</f>
        <v>4.56712039965168E-2</v>
      </c>
      <c r="D26" s="15">
        <f t="shared" ref="D26:H26" si="89">D25/D11</f>
        <v>5.0294105200795566E-2</v>
      </c>
      <c r="E26" s="15">
        <f t="shared" si="89"/>
        <v>5.8422364328355327E-2</v>
      </c>
      <c r="F26" s="15">
        <f t="shared" si="89"/>
        <v>3.8619378806859908E-2</v>
      </c>
      <c r="G26" s="15">
        <f t="shared" si="89"/>
        <v>3.7305532541655161E-2</v>
      </c>
      <c r="H26" s="15">
        <f t="shared" si="89"/>
        <v>3.1183779618570603E-2</v>
      </c>
      <c r="I26" s="25"/>
      <c r="J26" s="15">
        <f t="shared" ref="J26" si="90">J25/J11</f>
        <v>4.2359350051657745E-2</v>
      </c>
      <c r="K26" s="15">
        <f t="shared" ref="K26" si="91">K25/K11</f>
        <v>3.5531029141252786E-2</v>
      </c>
      <c r="L26" s="15">
        <f t="shared" ref="L26" si="92">L25/L11</f>
        <v>3.3909511665249838E-2</v>
      </c>
      <c r="M26" s="15">
        <f t="shared" ref="M26" si="93">M25/M11</f>
        <v>4.1465897522904652E-2</v>
      </c>
      <c r="N26" s="15">
        <f t="shared" ref="N26" si="94">N25/N11</f>
        <v>3.3801626703285098E-2</v>
      </c>
      <c r="O26" s="15">
        <f t="shared" ref="O26" si="95">O25/O11</f>
        <v>3.8505687154335805E-2</v>
      </c>
      <c r="P26" s="15">
        <f t="shared" ref="P26" si="96">P25/P11</f>
        <v>3.5670356703567038E-2</v>
      </c>
      <c r="Q26" s="15">
        <f t="shared" ref="Q26" si="97">Q25/Q11</f>
        <v>3.9874368428239791E-2</v>
      </c>
      <c r="R26" s="15">
        <f t="shared" ref="R26" si="98">R25/R11</f>
        <v>3.6735616593195436E-2</v>
      </c>
      <c r="S26" s="15">
        <f t="shared" ref="S26" si="99">S25/S11</f>
        <v>4.2097329888027564E-2</v>
      </c>
      <c r="T26" s="15">
        <f t="shared" ref="T26:X26" si="100">T25/T11</f>
        <v>3.7691900476442559E-2</v>
      </c>
      <c r="U26" s="15">
        <f t="shared" ref="U26" si="101">U25/U11</f>
        <v>1.5987955262403212E-2</v>
      </c>
      <c r="V26" s="15">
        <f t="shared" si="100"/>
        <v>2.5322231093874759E-2</v>
      </c>
      <c r="W26" s="15">
        <f t="shared" si="100"/>
        <v>2.6806526806526808E-2</v>
      </c>
      <c r="X26" s="15">
        <f t="shared" si="100"/>
        <v>2.1195202646815549E-2</v>
      </c>
      <c r="Z26" s="15">
        <f t="shared" ref="Z26" si="102">Z25/Z11</f>
        <v>3.6725918702070127E-2</v>
      </c>
      <c r="AA26" s="15">
        <f t="shared" ref="AA26" si="103">AA25/AA11</f>
        <v>3.7388443162354637E-2</v>
      </c>
      <c r="AB26" s="15">
        <f t="shared" ref="AB26" si="104">AB25/AB11</f>
        <v>3.7849383339840607E-2</v>
      </c>
      <c r="AC26" s="15">
        <f t="shared" ref="AC26" si="105">AC25/AC11</f>
        <v>3.7305532541655161E-2</v>
      </c>
      <c r="AD26" s="15">
        <f t="shared" ref="AD26" si="106">AD25/AD11</f>
        <v>3.7962271199103476E-2</v>
      </c>
      <c r="AE26" s="15">
        <f t="shared" ref="AE26" si="107">AE25/AE11</f>
        <v>3.8742741613183813E-2</v>
      </c>
      <c r="AF26" s="15">
        <f t="shared" ref="AF26" si="108">AF25/AF11</f>
        <v>3.9217543693459006E-2</v>
      </c>
      <c r="AG26" s="15">
        <f t="shared" ref="AG26" si="109">AG25/AG11</f>
        <v>3.1183779618570603E-2</v>
      </c>
      <c r="AH26" s="15">
        <f t="shared" ref="AH26" si="110">AH25/AH11</f>
        <v>2.8758926848098821E-2</v>
      </c>
      <c r="AI26" s="15">
        <f t="shared" ref="AI26" si="111">AI25/AI11</f>
        <v>2.5337756622914563E-2</v>
      </c>
      <c r="AJ26" s="15">
        <f t="shared" ref="AJ26" si="112">AJ25/AJ11</f>
        <v>2.1589958158995816E-2</v>
      </c>
      <c r="AK26" s="40"/>
      <c r="AL26" s="70">
        <f>SUM(AJ26-AF26)*1000</f>
        <v>-17.62758553446319</v>
      </c>
    </row>
    <row r="27" spans="2:38" ht="5.0999999999999996" customHeight="1">
      <c r="B27" s="9"/>
      <c r="C27" s="76"/>
      <c r="D27" s="76"/>
      <c r="E27" s="76"/>
      <c r="F27" s="76"/>
      <c r="G27" s="76"/>
      <c r="H27" s="76"/>
      <c r="I27" s="30"/>
      <c r="J27" s="76"/>
      <c r="K27" s="76"/>
      <c r="L27" s="76"/>
      <c r="M27" s="30"/>
      <c r="N27" s="76"/>
      <c r="O27" s="76"/>
      <c r="P27" s="76"/>
      <c r="Q27" s="30"/>
      <c r="R27" s="76"/>
      <c r="S27" s="76"/>
      <c r="T27" s="76"/>
      <c r="U27" s="76"/>
      <c r="V27" s="76"/>
      <c r="W27" s="76"/>
      <c r="X27" s="76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11"/>
      <c r="AL27" s="68"/>
    </row>
    <row r="28" spans="2:38" ht="12.75" customHeight="1">
      <c r="B28" s="9" t="s">
        <v>106</v>
      </c>
      <c r="C28" s="76">
        <v>-452</v>
      </c>
      <c r="D28" s="76">
        <v>-579</v>
      </c>
      <c r="E28" s="76">
        <v>-574</v>
      </c>
      <c r="F28" s="76">
        <v>-370</v>
      </c>
      <c r="G28" s="76">
        <v>-381</v>
      </c>
      <c r="H28" s="76">
        <v>-372</v>
      </c>
      <c r="I28" s="30"/>
      <c r="J28" s="76">
        <v>-110</v>
      </c>
      <c r="K28" s="76">
        <v>-58</v>
      </c>
      <c r="L28" s="76">
        <v>-84</v>
      </c>
      <c r="M28" s="30">
        <f>SUM(F28-SUM(J28:L28))</f>
        <v>-118</v>
      </c>
      <c r="N28" s="76">
        <v>-75</v>
      </c>
      <c r="O28" s="76">
        <v>-96</v>
      </c>
      <c r="P28" s="76">
        <v>-86</v>
      </c>
      <c r="Q28" s="30">
        <f>SUM(G28-SUM(N28:P28))</f>
        <v>-124</v>
      </c>
      <c r="R28" s="76">
        <v>-80</v>
      </c>
      <c r="S28" s="76">
        <v>-101</v>
      </c>
      <c r="T28" s="76">
        <v>-85</v>
      </c>
      <c r="U28" s="30">
        <f t="shared" ref="U28:U29" si="113">SUM(H28-SUM(R28:T28))</f>
        <v>-106</v>
      </c>
      <c r="V28" s="76">
        <v>-19</v>
      </c>
      <c r="W28" s="76">
        <v>-68</v>
      </c>
      <c r="X28" s="76">
        <v>-64</v>
      </c>
      <c r="Z28" s="30">
        <f t="shared" ref="Z28:Z29" si="114">SUM(K28:N28)</f>
        <v>-335</v>
      </c>
      <c r="AA28" s="30">
        <f t="shared" ref="AA28:AA29" si="115">SUM(L28:O28)</f>
        <v>-373</v>
      </c>
      <c r="AB28" s="30">
        <f t="shared" ref="AB28:AB29" si="116">SUM(M28:P28)</f>
        <v>-375</v>
      </c>
      <c r="AC28" s="30">
        <f t="shared" ref="AC28:AC29" si="117">SUM(N28:Q28)</f>
        <v>-381</v>
      </c>
      <c r="AD28" s="30">
        <f t="shared" ref="AD28:AD29" si="118">SUM(O28:R28)</f>
        <v>-386</v>
      </c>
      <c r="AE28" s="30">
        <f t="shared" ref="AE28:AE29" si="119">SUM(P28:S28)</f>
        <v>-391</v>
      </c>
      <c r="AF28" s="30">
        <f t="shared" ref="AF28:AF29" si="120">SUM(Q28:T28)</f>
        <v>-390</v>
      </c>
      <c r="AG28" s="30">
        <f t="shared" ref="AG28:AG29" si="121">SUM(R28:U28)</f>
        <v>-372</v>
      </c>
      <c r="AH28" s="30">
        <f t="shared" ref="AH28:AH29" si="122">SUM(S28:V28)</f>
        <v>-311</v>
      </c>
      <c r="AI28" s="30">
        <f t="shared" ref="AI28:AI29" si="123">SUM(T28:W28)</f>
        <v>-278</v>
      </c>
      <c r="AJ28" s="30">
        <f>SUM(U28:X28)</f>
        <v>-257</v>
      </c>
      <c r="AK28" s="11"/>
      <c r="AL28" s="68">
        <f t="shared" si="9"/>
        <v>-0.34102564102564104</v>
      </c>
    </row>
    <row r="29" spans="2:38" ht="12.75" customHeight="1">
      <c r="B29" s="9" t="s">
        <v>107</v>
      </c>
      <c r="C29" s="76">
        <v>0</v>
      </c>
      <c r="D29" s="76">
        <v>0</v>
      </c>
      <c r="E29" s="76">
        <v>4</v>
      </c>
      <c r="F29" s="76">
        <v>1</v>
      </c>
      <c r="G29" s="76">
        <v>1</v>
      </c>
      <c r="H29" s="76">
        <v>4</v>
      </c>
      <c r="I29" s="30"/>
      <c r="J29" s="76">
        <v>0</v>
      </c>
      <c r="K29" s="76">
        <v>-3</v>
      </c>
      <c r="L29" s="76">
        <v>2</v>
      </c>
      <c r="M29" s="30">
        <f>SUM(F29-SUM(J29:L29))</f>
        <v>2</v>
      </c>
      <c r="N29" s="76">
        <v>-1</v>
      </c>
      <c r="O29" s="76">
        <v>1</v>
      </c>
      <c r="P29" s="76">
        <v>1</v>
      </c>
      <c r="Q29" s="30">
        <f>SUM(G29-SUM(N29:P29))</f>
        <v>0</v>
      </c>
      <c r="R29" s="76">
        <v>1</v>
      </c>
      <c r="S29" s="76">
        <v>1</v>
      </c>
      <c r="T29" s="76">
        <v>2</v>
      </c>
      <c r="U29" s="30">
        <f t="shared" si="113"/>
        <v>0</v>
      </c>
      <c r="V29" s="76">
        <v>-1</v>
      </c>
      <c r="W29" s="76">
        <v>1</v>
      </c>
      <c r="X29" s="76">
        <v>-1</v>
      </c>
      <c r="Z29" s="30">
        <f t="shared" si="114"/>
        <v>0</v>
      </c>
      <c r="AA29" s="30">
        <f t="shared" si="115"/>
        <v>4</v>
      </c>
      <c r="AB29" s="30">
        <f t="shared" si="116"/>
        <v>3</v>
      </c>
      <c r="AC29" s="30">
        <f t="shared" si="117"/>
        <v>1</v>
      </c>
      <c r="AD29" s="30">
        <f t="shared" si="118"/>
        <v>3</v>
      </c>
      <c r="AE29" s="30">
        <f t="shared" si="119"/>
        <v>3</v>
      </c>
      <c r="AF29" s="30">
        <f t="shared" si="120"/>
        <v>4</v>
      </c>
      <c r="AG29" s="30">
        <f t="shared" si="121"/>
        <v>4</v>
      </c>
      <c r="AH29" s="30">
        <f t="shared" si="122"/>
        <v>2</v>
      </c>
      <c r="AI29" s="30">
        <f t="shared" si="123"/>
        <v>2</v>
      </c>
      <c r="AJ29" s="30">
        <f>SUM(U29:X29)</f>
        <v>-1</v>
      </c>
      <c r="AK29" s="11"/>
      <c r="AL29" s="68">
        <f t="shared" si="9"/>
        <v>-1.25</v>
      </c>
    </row>
    <row r="30" spans="2:38" ht="12.75" customHeight="1">
      <c r="B30" s="12" t="s">
        <v>55</v>
      </c>
      <c r="C30" s="13">
        <f>SUM(C25+SUM(C28:C29))</f>
        <v>1541</v>
      </c>
      <c r="D30" s="13">
        <f t="shared" ref="D30:H30" si="124">SUM(D25+SUM(D28:D29))</f>
        <v>1798</v>
      </c>
      <c r="E30" s="13">
        <f t="shared" si="124"/>
        <v>2454</v>
      </c>
      <c r="F30" s="13">
        <f t="shared" si="124"/>
        <v>1419</v>
      </c>
      <c r="G30" s="13">
        <f t="shared" si="124"/>
        <v>1241</v>
      </c>
      <c r="H30" s="13">
        <f t="shared" si="124"/>
        <v>927</v>
      </c>
      <c r="J30" s="13">
        <f t="shared" ref="J30" si="125">SUM(J25+SUM(J28:J29))</f>
        <v>341</v>
      </c>
      <c r="K30" s="13">
        <f t="shared" ref="K30" si="126">SUM(K25+SUM(K28:K29))</f>
        <v>306</v>
      </c>
      <c r="L30" s="13">
        <f t="shared" ref="L30" si="127">SUM(L25+SUM(L28:L29))</f>
        <v>277</v>
      </c>
      <c r="M30" s="13">
        <f t="shared" ref="M30" si="128">SUM(M25+SUM(M28:M29))</f>
        <v>495</v>
      </c>
      <c r="N30" s="13">
        <f t="shared" ref="N30" si="129">SUM(N25+SUM(N28:N29))</f>
        <v>244</v>
      </c>
      <c r="O30" s="13">
        <f t="shared" ref="O30" si="130">SUM(O25+SUM(O28:O29))</f>
        <v>274</v>
      </c>
      <c r="P30" s="13">
        <f t="shared" ref="P30" si="131">SUM(P25+SUM(P28:P29))</f>
        <v>263</v>
      </c>
      <c r="Q30" s="13">
        <f t="shared" ref="Q30" si="132">SUM(Q25+SUM(Q28:Q29))</f>
        <v>460</v>
      </c>
      <c r="R30" s="13">
        <f t="shared" ref="R30" si="133">SUM(R25+SUM(R28:R29))</f>
        <v>246</v>
      </c>
      <c r="S30" s="13">
        <f t="shared" ref="S30" si="134">SUM(S25+SUM(S28:S29))</f>
        <v>291</v>
      </c>
      <c r="T30" s="13">
        <f t="shared" ref="T30:X30" si="135">SUM(T25+SUM(T28:T29))</f>
        <v>273</v>
      </c>
      <c r="U30" s="13">
        <f t="shared" ref="U30" si="136">SUM(U25+SUM(U28:U29))</f>
        <v>117</v>
      </c>
      <c r="V30" s="13">
        <f t="shared" si="135"/>
        <v>202</v>
      </c>
      <c r="W30" s="13">
        <f t="shared" si="135"/>
        <v>186</v>
      </c>
      <c r="X30" s="13">
        <f t="shared" si="135"/>
        <v>140</v>
      </c>
      <c r="Z30" s="13">
        <f t="shared" ref="Z30" si="137">SUM(Z25+SUM(Z28:Z29))</f>
        <v>1322</v>
      </c>
      <c r="AA30" s="13">
        <f t="shared" ref="AA30" si="138">SUM(AA25+SUM(AA28:AA29))</f>
        <v>1290</v>
      </c>
      <c r="AB30" s="13">
        <f t="shared" ref="AB30" si="139">SUM(AB25+SUM(AB28:AB29))</f>
        <v>1276</v>
      </c>
      <c r="AC30" s="13">
        <f t="shared" ref="AC30" si="140">SUM(AC25+SUM(AC28:AC29))</f>
        <v>1241</v>
      </c>
      <c r="AD30" s="13">
        <f t="shared" ref="AD30" si="141">SUM(AD25+SUM(AD28:AD29))</f>
        <v>1243</v>
      </c>
      <c r="AE30" s="13">
        <f t="shared" ref="AE30" si="142">SUM(AE25+SUM(AE28:AE29))</f>
        <v>1260</v>
      </c>
      <c r="AF30" s="13">
        <f t="shared" ref="AF30" si="143">SUM(AF25+SUM(AF28:AF29))</f>
        <v>1270</v>
      </c>
      <c r="AG30" s="13">
        <f t="shared" ref="AG30" si="144">SUM(AG25+SUM(AG28:AG29))</f>
        <v>927</v>
      </c>
      <c r="AH30" s="13">
        <f t="shared" ref="AH30" si="145">SUM(AH25+SUM(AH28:AH29))</f>
        <v>883</v>
      </c>
      <c r="AI30" s="13">
        <f t="shared" ref="AI30" si="146">SUM(AI25+SUM(AI28:AI29))</f>
        <v>778</v>
      </c>
      <c r="AJ30" s="13">
        <f t="shared" ref="AJ30" si="147">SUM(AJ25+SUM(AJ28:AJ29))</f>
        <v>645</v>
      </c>
      <c r="AK30" s="39"/>
      <c r="AL30" s="69">
        <f t="shared" si="9"/>
        <v>-0.49212598425196852</v>
      </c>
    </row>
    <row r="31" spans="2:38" ht="12.75" customHeight="1">
      <c r="B31" s="14" t="s">
        <v>69</v>
      </c>
      <c r="C31" s="15">
        <f>C30/C11</f>
        <v>3.5313259086117606E-2</v>
      </c>
      <c r="D31" s="15">
        <f>D30/D11</f>
        <v>3.8043248275570228E-2</v>
      </c>
      <c r="E31" s="15">
        <f>E30/E11</f>
        <v>4.7410212322018509E-2</v>
      </c>
      <c r="F31" s="15">
        <f>F30/F11</f>
        <v>3.064927210678647E-2</v>
      </c>
      <c r="G31" s="15">
        <f>G30/G11</f>
        <v>2.8560250391236306E-2</v>
      </c>
      <c r="H31" s="15">
        <f>H30/H11</f>
        <v>2.2322288576382202E-2</v>
      </c>
      <c r="I31" s="25"/>
      <c r="J31" s="15">
        <f t="shared" ref="J31:S31" si="148">J30/J11</f>
        <v>3.2027801258570486E-2</v>
      </c>
      <c r="K31" s="15">
        <f t="shared" si="148"/>
        <v>2.9625326749927388E-2</v>
      </c>
      <c r="L31" s="15">
        <f t="shared" si="148"/>
        <v>2.616416359686408E-2</v>
      </c>
      <c r="M31" s="15">
        <f t="shared" si="148"/>
        <v>3.3593484899898204E-2</v>
      </c>
      <c r="N31" s="15">
        <f t="shared" si="148"/>
        <v>2.5773740361254887E-2</v>
      </c>
      <c r="O31" s="15">
        <f t="shared" si="148"/>
        <v>2.8592298862569133E-2</v>
      </c>
      <c r="P31" s="15">
        <f t="shared" si="148"/>
        <v>2.6957769577695776E-2</v>
      </c>
      <c r="Q31" s="15">
        <f t="shared" si="148"/>
        <v>3.140789294005189E-2</v>
      </c>
      <c r="R31" s="15">
        <f t="shared" si="148"/>
        <v>2.7806035944387929E-2</v>
      </c>
      <c r="S31" s="15">
        <f t="shared" si="148"/>
        <v>3.133074935400517E-2</v>
      </c>
      <c r="T31" s="15">
        <f t="shared" ref="T31:X31" si="149">T30/T11</f>
        <v>2.8904182106934885E-2</v>
      </c>
      <c r="U31" s="15">
        <f t="shared" ref="U31" si="150">U30/U11</f>
        <v>8.3882993977631194E-3</v>
      </c>
      <c r="V31" s="15">
        <f t="shared" si="149"/>
        <v>2.30409490133455E-2</v>
      </c>
      <c r="W31" s="15">
        <f t="shared" si="149"/>
        <v>1.9707565162110616E-2</v>
      </c>
      <c r="X31" s="15">
        <f t="shared" si="149"/>
        <v>1.4474772539288668E-2</v>
      </c>
      <c r="Z31" s="15">
        <f t="shared" ref="Z31" si="151">Z30/Z11</f>
        <v>2.9300944190788599E-2</v>
      </c>
      <c r="AA31" s="15">
        <f t="shared" ref="AA31" si="152">AA30/AA11</f>
        <v>2.9072387992427656E-2</v>
      </c>
      <c r="AB31" s="15">
        <f t="shared" ref="AB31" si="153">AB30/AB11</f>
        <v>2.9305711857789209E-2</v>
      </c>
      <c r="AC31" s="15">
        <f t="shared" ref="AC31" si="154">AC30/AC11</f>
        <v>2.8560250391236306E-2</v>
      </c>
      <c r="AD31" s="15">
        <f t="shared" ref="AD31" si="155">AD30/AD11</f>
        <v>2.902035861038476E-2</v>
      </c>
      <c r="AE31" s="15">
        <f t="shared" ref="AE31" si="156">AE30/AE11</f>
        <v>2.9621270893575004E-2</v>
      </c>
      <c r="AF31" s="15">
        <f t="shared" ref="AF31" si="157">AF30/AF11</f>
        <v>3.0076256334959504E-2</v>
      </c>
      <c r="AG31" s="15">
        <f t="shared" ref="AG31" si="158">AG30/AG11</f>
        <v>2.2322288576382202E-2</v>
      </c>
      <c r="AH31" s="15">
        <f t="shared" ref="AH31" si="159">AH30/AH11</f>
        <v>2.1303802354757768E-2</v>
      </c>
      <c r="AI31" s="15">
        <f t="shared" ref="AI31" si="160">AI30/AI11</f>
        <v>1.8702822251069763E-2</v>
      </c>
      <c r="AJ31" s="15">
        <f t="shared" ref="AJ31" si="161">AJ30/AJ11</f>
        <v>1.5421398684997012E-2</v>
      </c>
      <c r="AK31" s="40"/>
      <c r="AL31" s="70">
        <f>SUM(AJ31-AF31)*1000</f>
        <v>-14.654857649962493</v>
      </c>
    </row>
    <row r="32" spans="2:38" ht="5.0999999999999996" customHeight="1">
      <c r="B32" s="14"/>
      <c r="C32" s="15"/>
      <c r="D32" s="15"/>
      <c r="E32" s="15"/>
      <c r="F32" s="15"/>
      <c r="G32" s="15"/>
      <c r="H32" s="15"/>
      <c r="I32" s="2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6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40"/>
      <c r="AL32" s="70"/>
    </row>
    <row r="33" spans="1:38" ht="12.75" customHeight="1">
      <c r="B33" s="41" t="s">
        <v>70</v>
      </c>
      <c r="C33" s="76">
        <v>264.89999999999998</v>
      </c>
      <c r="D33" s="76">
        <v>259.60000000000002</v>
      </c>
      <c r="E33" s="76">
        <v>246.8</v>
      </c>
      <c r="F33" s="76">
        <v>224.8</v>
      </c>
      <c r="G33" s="76">
        <v>217.7</v>
      </c>
      <c r="H33" s="76">
        <v>215.2</v>
      </c>
      <c r="I33" s="25"/>
      <c r="J33" s="76">
        <v>226.8</v>
      </c>
      <c r="K33" s="76">
        <v>225.4</v>
      </c>
      <c r="L33" s="76">
        <v>225.5</v>
      </c>
      <c r="M33" s="30">
        <f>F33</f>
        <v>224.8</v>
      </c>
      <c r="N33" s="76">
        <v>218.9</v>
      </c>
      <c r="O33" s="76">
        <v>218.6</v>
      </c>
      <c r="P33" s="76">
        <v>217.8</v>
      </c>
      <c r="Q33" s="30">
        <f>G33</f>
        <v>217.7</v>
      </c>
      <c r="R33" s="76">
        <v>216.2</v>
      </c>
      <c r="S33" s="76">
        <v>216</v>
      </c>
      <c r="T33" s="76">
        <v>214.8</v>
      </c>
      <c r="U33" s="30">
        <f>H33</f>
        <v>215.2</v>
      </c>
      <c r="V33" s="76">
        <v>212</v>
      </c>
      <c r="W33" s="76">
        <v>211.5</v>
      </c>
      <c r="X33" s="76">
        <v>210.7</v>
      </c>
      <c r="Y33" s="30"/>
      <c r="Z33" s="30">
        <f t="shared" ref="Z33:AI33" si="162">N33</f>
        <v>218.9</v>
      </c>
      <c r="AA33" s="30">
        <f t="shared" si="162"/>
        <v>218.6</v>
      </c>
      <c r="AB33" s="30">
        <f t="shared" si="162"/>
        <v>217.8</v>
      </c>
      <c r="AC33" s="30">
        <f t="shared" si="162"/>
        <v>217.7</v>
      </c>
      <c r="AD33" s="30">
        <f t="shared" si="162"/>
        <v>216.2</v>
      </c>
      <c r="AE33" s="30">
        <f t="shared" si="162"/>
        <v>216</v>
      </c>
      <c r="AF33" s="30">
        <f t="shared" si="162"/>
        <v>214.8</v>
      </c>
      <c r="AG33" s="30">
        <f t="shared" si="162"/>
        <v>215.2</v>
      </c>
      <c r="AH33" s="30">
        <f t="shared" si="162"/>
        <v>212</v>
      </c>
      <c r="AI33" s="30">
        <f t="shared" si="162"/>
        <v>211.5</v>
      </c>
      <c r="AJ33" s="30">
        <f>X33</f>
        <v>210.7</v>
      </c>
      <c r="AK33" s="40"/>
      <c r="AL33" s="68">
        <f t="shared" ref="AL33" si="163">SUM(AJ33/AF33)-1</f>
        <v>-1.9087523277467544E-2</v>
      </c>
    </row>
    <row r="34" spans="1:38" ht="12.75" customHeight="1">
      <c r="B34" s="12" t="s">
        <v>71</v>
      </c>
      <c r="C34" s="71">
        <f>C30/C33</f>
        <v>5.8172895432238585</v>
      </c>
      <c r="D34" s="71">
        <f>D30/D33</f>
        <v>6.9260400616332811</v>
      </c>
      <c r="E34" s="71">
        <f>E30/E33</f>
        <v>9.9432739059967581</v>
      </c>
      <c r="F34" s="71">
        <f>F30/F33</f>
        <v>6.3122775800711741</v>
      </c>
      <c r="G34" s="71">
        <f>G30/G33</f>
        <v>5.7005052824988516</v>
      </c>
      <c r="H34" s="71">
        <f>H30/H33</f>
        <v>4.3076208178438664</v>
      </c>
      <c r="I34" s="11"/>
      <c r="J34" s="71">
        <f>J30/J33</f>
        <v>1.5035273368606701</v>
      </c>
      <c r="K34" s="71">
        <f>K30/K33</f>
        <v>1.3575865128660158</v>
      </c>
      <c r="L34" s="71">
        <f>L30/L33</f>
        <v>1.228381374722838</v>
      </c>
      <c r="M34" s="71">
        <f>M30/M33</f>
        <v>2.2019572953736652</v>
      </c>
      <c r="N34" s="71">
        <f>N30/N33</f>
        <v>1.1146642302421197</v>
      </c>
      <c r="O34" s="71">
        <f>O30/O33</f>
        <v>1.2534309240622141</v>
      </c>
      <c r="P34" s="71">
        <f>P30/P33</f>
        <v>1.2075298438934803</v>
      </c>
      <c r="Q34" s="71">
        <f>Q30/Q33</f>
        <v>2.1129995406522739</v>
      </c>
      <c r="R34" s="71">
        <f>R30/R33</f>
        <v>1.1378353376503239</v>
      </c>
      <c r="S34" s="71">
        <f>S30/S33</f>
        <v>1.3472222222222223</v>
      </c>
      <c r="T34" s="71">
        <f t="shared" ref="T34:X34" si="164">T30/T33</f>
        <v>1.270949720670391</v>
      </c>
      <c r="U34" s="71">
        <f t="shared" si="164"/>
        <v>0.54368029739776957</v>
      </c>
      <c r="V34" s="71">
        <f t="shared" si="164"/>
        <v>0.95283018867924529</v>
      </c>
      <c r="W34" s="71">
        <f t="shared" si="164"/>
        <v>0.87943262411347523</v>
      </c>
      <c r="X34" s="71">
        <f t="shared" si="164"/>
        <v>0.66445182724252494</v>
      </c>
      <c r="Y34" s="30"/>
      <c r="Z34" s="71">
        <f>Z30/Z33</f>
        <v>6.0392873458200089</v>
      </c>
      <c r="AA34" s="71">
        <f>AA30/AA33</f>
        <v>5.9011893870082348</v>
      </c>
      <c r="AB34" s="71">
        <f>AB30/AB33</f>
        <v>5.8585858585858581</v>
      </c>
      <c r="AC34" s="71">
        <f>AC30/AC33</f>
        <v>5.7005052824988516</v>
      </c>
      <c r="AD34" s="71">
        <f>AD30/AD33</f>
        <v>5.7493061979648479</v>
      </c>
      <c r="AE34" s="71">
        <f>AE30/AE33</f>
        <v>5.833333333333333</v>
      </c>
      <c r="AF34" s="71">
        <f>AF30/AF33</f>
        <v>5.9124767225325883</v>
      </c>
      <c r="AG34" s="71">
        <f>AG30/AG33</f>
        <v>4.3076208178438664</v>
      </c>
      <c r="AH34" s="71">
        <f>AH30/AH33</f>
        <v>4.1650943396226419</v>
      </c>
      <c r="AI34" s="71">
        <f>AI30/AI33</f>
        <v>3.6784869976359338</v>
      </c>
      <c r="AJ34" s="71">
        <f>AJ30/AJ33</f>
        <v>3.0612244897959187</v>
      </c>
      <c r="AK34" s="33"/>
      <c r="AL34" s="69">
        <f>SUM(AJ34/AF34)-1</f>
        <v>-0.48224329101719421</v>
      </c>
    </row>
    <row r="35" spans="1:38" ht="5.0999999999999996" customHeight="1">
      <c r="B35" s="14"/>
      <c r="C35" s="15"/>
      <c r="D35" s="15"/>
      <c r="E35" s="15"/>
      <c r="F35" s="15"/>
      <c r="G35" s="15"/>
      <c r="H35" s="15"/>
      <c r="I35" s="2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26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40"/>
      <c r="AL35" s="70"/>
    </row>
    <row r="36" spans="1:38" ht="12.75" customHeight="1">
      <c r="B36" s="41" t="s">
        <v>72</v>
      </c>
      <c r="C36" s="76">
        <v>268.10000000000002</v>
      </c>
      <c r="D36" s="76">
        <v>263</v>
      </c>
      <c r="E36" s="76">
        <v>249.3</v>
      </c>
      <c r="F36" s="76">
        <v>225.7</v>
      </c>
      <c r="G36" s="76">
        <v>218.5</v>
      </c>
      <c r="H36" s="76">
        <v>216.6</v>
      </c>
      <c r="I36" s="25"/>
      <c r="J36" s="76">
        <v>228.4</v>
      </c>
      <c r="K36" s="76">
        <v>226.1</v>
      </c>
      <c r="L36" s="76">
        <v>226.2</v>
      </c>
      <c r="M36" s="30">
        <f>F36</f>
        <v>225.7</v>
      </c>
      <c r="N36" s="76">
        <v>219.9</v>
      </c>
      <c r="O36" s="76">
        <v>219</v>
      </c>
      <c r="P36" s="76">
        <v>218.3</v>
      </c>
      <c r="Q36" s="30">
        <f>G36</f>
        <v>218.5</v>
      </c>
      <c r="R36" s="76">
        <v>217.2</v>
      </c>
      <c r="S36" s="76">
        <v>217.1</v>
      </c>
      <c r="T36" s="76">
        <v>216.7</v>
      </c>
      <c r="U36" s="30">
        <f>H36</f>
        <v>216.6</v>
      </c>
      <c r="V36" s="76">
        <v>213</v>
      </c>
      <c r="W36" s="76">
        <v>212</v>
      </c>
      <c r="X36" s="76">
        <v>212.1</v>
      </c>
      <c r="Y36" s="30"/>
      <c r="Z36" s="30">
        <f t="shared" ref="Z36" si="165">N36</f>
        <v>219.9</v>
      </c>
      <c r="AA36" s="30">
        <f t="shared" ref="AA36" si="166">O36</f>
        <v>219</v>
      </c>
      <c r="AB36" s="30">
        <f t="shared" ref="AB36" si="167">P36</f>
        <v>218.3</v>
      </c>
      <c r="AC36" s="30">
        <f t="shared" ref="AC36" si="168">Q36</f>
        <v>218.5</v>
      </c>
      <c r="AD36" s="30">
        <f t="shared" ref="AD36" si="169">R36</f>
        <v>217.2</v>
      </c>
      <c r="AE36" s="30">
        <f t="shared" ref="AE36" si="170">S36</f>
        <v>217.1</v>
      </c>
      <c r="AF36" s="30">
        <f t="shared" ref="AF36" si="171">T36</f>
        <v>216.7</v>
      </c>
      <c r="AG36" s="30">
        <f t="shared" ref="AG36" si="172">U36</f>
        <v>216.6</v>
      </c>
      <c r="AH36" s="30">
        <f t="shared" ref="AH36" si="173">V36</f>
        <v>213</v>
      </c>
      <c r="AI36" s="30">
        <f t="shared" ref="AI36" si="174">W36</f>
        <v>212</v>
      </c>
      <c r="AJ36" s="30">
        <f>X36</f>
        <v>212.1</v>
      </c>
      <c r="AK36" s="40"/>
      <c r="AL36" s="68">
        <f t="shared" ref="AL36" si="175">SUM(AJ36/AF36)-1</f>
        <v>-2.1227503461005992E-2</v>
      </c>
    </row>
    <row r="37" spans="1:38" ht="12.75" customHeight="1">
      <c r="B37" s="12" t="s">
        <v>73</v>
      </c>
      <c r="C37" s="71">
        <f>C30/C36</f>
        <v>5.7478552778813867</v>
      </c>
      <c r="D37" s="71">
        <f>D30/D36</f>
        <v>6.836501901140684</v>
      </c>
      <c r="E37" s="71">
        <f>E30/E36</f>
        <v>9.8435619735258726</v>
      </c>
      <c r="F37" s="71">
        <f>F30/F36</f>
        <v>6.2871067789100579</v>
      </c>
      <c r="G37" s="71">
        <f>G30/G36</f>
        <v>5.6796338672768876</v>
      </c>
      <c r="H37" s="71">
        <f>H30/H36</f>
        <v>4.2797783933518003</v>
      </c>
      <c r="I37" s="25"/>
      <c r="J37" s="71">
        <f>J30/J36</f>
        <v>1.4929947460595445</v>
      </c>
      <c r="K37" s="71">
        <f>K30/K36</f>
        <v>1.3533834586466165</v>
      </c>
      <c r="L37" s="71">
        <f>L30/L36</f>
        <v>1.224580017683466</v>
      </c>
      <c r="M37" s="71">
        <f>M30/M36</f>
        <v>2.1931767833407179</v>
      </c>
      <c r="N37" s="71">
        <f>N30/N36</f>
        <v>1.1095952705775352</v>
      </c>
      <c r="O37" s="71">
        <f>O30/O36</f>
        <v>1.2511415525114156</v>
      </c>
      <c r="P37" s="71">
        <f>P30/P36</f>
        <v>1.2047640861200182</v>
      </c>
      <c r="Q37" s="71">
        <f>Q30/Q36</f>
        <v>2.1052631578947367</v>
      </c>
      <c r="R37" s="71">
        <f>R30/R36</f>
        <v>1.132596685082873</v>
      </c>
      <c r="S37" s="71">
        <f>S30/S36</f>
        <v>1.3403961308152925</v>
      </c>
      <c r="T37" s="71">
        <f t="shared" ref="T37:X37" si="176">T30/T36</f>
        <v>1.2598061836640517</v>
      </c>
      <c r="U37" s="71">
        <f t="shared" si="176"/>
        <v>0.54016620498614965</v>
      </c>
      <c r="V37" s="71">
        <f t="shared" si="176"/>
        <v>0.94835680751173712</v>
      </c>
      <c r="W37" s="71">
        <f t="shared" si="176"/>
        <v>0.87735849056603776</v>
      </c>
      <c r="X37" s="71">
        <f t="shared" si="176"/>
        <v>0.66006600660066006</v>
      </c>
      <c r="Y37" s="30"/>
      <c r="Z37" s="71">
        <f>Z30/Z36</f>
        <v>6.0118235561618913</v>
      </c>
      <c r="AA37" s="71">
        <f>AA30/AA36</f>
        <v>5.8904109589041092</v>
      </c>
      <c r="AB37" s="71">
        <f>AB30/AB36</f>
        <v>5.8451672010994038</v>
      </c>
      <c r="AC37" s="71">
        <f>AC30/AC36</f>
        <v>5.6796338672768876</v>
      </c>
      <c r="AD37" s="71">
        <f>AD30/AD36</f>
        <v>5.722836095764273</v>
      </c>
      <c r="AE37" s="71">
        <f>AE30/AE36</f>
        <v>5.8037770612620916</v>
      </c>
      <c r="AF37" s="71">
        <f>AF30/AF36</f>
        <v>5.8606368251038301</v>
      </c>
      <c r="AG37" s="71">
        <f>AG30/AG36</f>
        <v>4.2797783933518003</v>
      </c>
      <c r="AH37" s="71">
        <f>AH30/AH36</f>
        <v>4.145539906103286</v>
      </c>
      <c r="AI37" s="71">
        <f>AI30/AI36</f>
        <v>3.6698113207547172</v>
      </c>
      <c r="AJ37" s="71">
        <f>AJ30/AJ36</f>
        <v>3.041018387553041</v>
      </c>
      <c r="AK37" s="33"/>
      <c r="AL37" s="69">
        <f>SUM(AJ37/AF37)-1</f>
        <v>-0.48111127198209136</v>
      </c>
    </row>
    <row r="38" spans="1:38">
      <c r="B38" s="14"/>
      <c r="C38" s="15"/>
      <c r="D38" s="15"/>
      <c r="E38" s="15"/>
      <c r="F38" s="15"/>
      <c r="G38" s="76"/>
      <c r="H38" s="76"/>
      <c r="I38" s="2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6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40"/>
    </row>
    <row r="39" spans="1:38" ht="12.75" customHeight="1">
      <c r="A39" s="5" t="s">
        <v>19</v>
      </c>
      <c r="B39" s="92" t="s">
        <v>83</v>
      </c>
      <c r="C39" s="93" t="s">
        <v>0</v>
      </c>
      <c r="D39" s="93" t="s">
        <v>0</v>
      </c>
      <c r="E39" s="93" t="s">
        <v>0</v>
      </c>
      <c r="F39" s="93"/>
      <c r="G39" s="93"/>
      <c r="H39" s="93"/>
      <c r="I39" s="94"/>
      <c r="J39" s="93"/>
      <c r="K39" s="93"/>
      <c r="L39" s="93"/>
      <c r="M39" s="93"/>
      <c r="N39" s="93"/>
      <c r="O39" s="93"/>
      <c r="P39" s="93" t="s">
        <v>1</v>
      </c>
      <c r="Q39" s="93"/>
      <c r="R39" s="93"/>
      <c r="S39" s="93"/>
      <c r="T39" s="93"/>
      <c r="U39" s="93"/>
      <c r="V39" s="93"/>
      <c r="W39" s="93"/>
      <c r="X39" s="93"/>
      <c r="Y39" s="92"/>
      <c r="Z39" s="93"/>
      <c r="AA39" s="93"/>
      <c r="AB39" s="93"/>
      <c r="AC39" s="93"/>
      <c r="AD39" s="93"/>
      <c r="AE39" s="93"/>
      <c r="AF39" s="93" t="s">
        <v>10</v>
      </c>
      <c r="AG39" s="93"/>
      <c r="AH39" s="93"/>
      <c r="AI39" s="93"/>
      <c r="AJ39" s="93"/>
      <c r="AK39" s="94"/>
      <c r="AL39" s="126" t="s">
        <v>26</v>
      </c>
    </row>
    <row r="40" spans="1:38" ht="12.75" customHeight="1">
      <c r="B40" s="96" t="str">
        <f>B7</f>
        <v>Fiscal Period</v>
      </c>
      <c r="C40" s="95">
        <f>C7</f>
        <v>2020</v>
      </c>
      <c r="D40" s="95">
        <f>D7</f>
        <v>2021</v>
      </c>
      <c r="E40" s="95">
        <f>E7</f>
        <v>2022</v>
      </c>
      <c r="F40" s="95">
        <f>F7</f>
        <v>2023</v>
      </c>
      <c r="G40" s="95">
        <f>G7</f>
        <v>2024</v>
      </c>
      <c r="H40" s="95">
        <f>H7</f>
        <v>2025</v>
      </c>
      <c r="I40" s="94"/>
      <c r="J40" s="95" t="str">
        <f>J7</f>
        <v>1Q23</v>
      </c>
      <c r="K40" s="95" t="str">
        <f>K7</f>
        <v>2Q23</v>
      </c>
      <c r="L40" s="95" t="str">
        <f>L7</f>
        <v>3Q23</v>
      </c>
      <c r="M40" s="95" t="str">
        <f>M7</f>
        <v>4Q23</v>
      </c>
      <c r="N40" s="95" t="str">
        <f>N7</f>
        <v>1Q24</v>
      </c>
      <c r="O40" s="95" t="str">
        <f>O7</f>
        <v>2Q24</v>
      </c>
      <c r="P40" s="95" t="str">
        <f>P7</f>
        <v>3Q24</v>
      </c>
      <c r="Q40" s="95" t="str">
        <f>Q7</f>
        <v>4Q24</v>
      </c>
      <c r="R40" s="95" t="str">
        <f>R7</f>
        <v>1Q25</v>
      </c>
      <c r="S40" s="95" t="str">
        <f>S7</f>
        <v>2Q25</v>
      </c>
      <c r="T40" s="95" t="str">
        <f t="shared" ref="T40:U40" si="177">T7</f>
        <v>3Q25</v>
      </c>
      <c r="U40" s="95" t="str">
        <f t="shared" si="177"/>
        <v>4Q25</v>
      </c>
      <c r="V40" s="95" t="str">
        <f t="shared" ref="V40:X40" si="178">V7</f>
        <v>1Q26</v>
      </c>
      <c r="W40" s="95" t="str">
        <f t="shared" si="178"/>
        <v>2Q26</v>
      </c>
      <c r="X40" s="95" t="str">
        <f t="shared" si="178"/>
        <v>3Q26</v>
      </c>
      <c r="Y40" s="97"/>
      <c r="Z40" s="95" t="str">
        <f>Z7</f>
        <v>1Q24</v>
      </c>
      <c r="AA40" s="95" t="str">
        <f>AA7</f>
        <v>2Q24</v>
      </c>
      <c r="AB40" s="95" t="str">
        <f>AB7</f>
        <v>3Q24</v>
      </c>
      <c r="AC40" s="95" t="str">
        <f>AC7</f>
        <v>4Q24</v>
      </c>
      <c r="AD40" s="95" t="str">
        <f>AD7</f>
        <v>1Q25</v>
      </c>
      <c r="AE40" s="95" t="str">
        <f>AE7</f>
        <v>2Q25</v>
      </c>
      <c r="AF40" s="95" t="str">
        <f>AF7</f>
        <v>3Q25</v>
      </c>
      <c r="AG40" s="95" t="str">
        <f>AG7</f>
        <v>4Q25</v>
      </c>
      <c r="AH40" s="95" t="str">
        <f>AH7</f>
        <v>1Q26</v>
      </c>
      <c r="AI40" s="95" t="str">
        <f>AI7</f>
        <v>2Q26</v>
      </c>
      <c r="AJ40" s="95" t="str">
        <f>AJ7</f>
        <v>3Q26</v>
      </c>
      <c r="AK40" s="94"/>
      <c r="AL40" s="126"/>
    </row>
    <row r="41" spans="1:38" ht="12.75" customHeight="1">
      <c r="B41" s="96" t="str">
        <f>B8</f>
        <v>Fiscal Period End Date</v>
      </c>
      <c r="C41" s="98">
        <f>C8</f>
        <v>43862</v>
      </c>
      <c r="D41" s="98">
        <f>D8</f>
        <v>44226</v>
      </c>
      <c r="E41" s="98">
        <f>E8</f>
        <v>44590</v>
      </c>
      <c r="F41" s="98">
        <f>F8</f>
        <v>44954</v>
      </c>
      <c r="G41" s="98">
        <f>G8</f>
        <v>45325</v>
      </c>
      <c r="H41" s="98">
        <f>H8</f>
        <v>45689</v>
      </c>
      <c r="I41" s="94"/>
      <c r="J41" s="98">
        <f>J8</f>
        <v>44681</v>
      </c>
      <c r="K41" s="98">
        <f>K8</f>
        <v>44772</v>
      </c>
      <c r="L41" s="98">
        <f>L8</f>
        <v>44863</v>
      </c>
      <c r="M41" s="98">
        <f>M8</f>
        <v>44954</v>
      </c>
      <c r="N41" s="98">
        <f>N8</f>
        <v>45045</v>
      </c>
      <c r="O41" s="98">
        <f>O8</f>
        <v>45136</v>
      </c>
      <c r="P41" s="98">
        <f>P8</f>
        <v>45227</v>
      </c>
      <c r="Q41" s="98">
        <f>Q8</f>
        <v>45325</v>
      </c>
      <c r="R41" s="98">
        <f>R8</f>
        <v>45416</v>
      </c>
      <c r="S41" s="98">
        <f>S8</f>
        <v>45507</v>
      </c>
      <c r="T41" s="98">
        <f t="shared" ref="T41:U41" si="179">T8</f>
        <v>45598</v>
      </c>
      <c r="U41" s="98">
        <f t="shared" si="179"/>
        <v>45689</v>
      </c>
      <c r="V41" s="98">
        <f t="shared" ref="V41:X41" si="180">V8</f>
        <v>45780</v>
      </c>
      <c r="W41" s="98">
        <f t="shared" si="180"/>
        <v>45871</v>
      </c>
      <c r="X41" s="98">
        <f t="shared" si="180"/>
        <v>45962</v>
      </c>
      <c r="Y41" s="99"/>
      <c r="Z41" s="98">
        <f>Z8</f>
        <v>45045</v>
      </c>
      <c r="AA41" s="98">
        <f>AA8</f>
        <v>45136</v>
      </c>
      <c r="AB41" s="98">
        <f>AB8</f>
        <v>45227</v>
      </c>
      <c r="AC41" s="98">
        <f>AC8</f>
        <v>45325</v>
      </c>
      <c r="AD41" s="98">
        <f>AD8</f>
        <v>45416</v>
      </c>
      <c r="AE41" s="98">
        <f>AE8</f>
        <v>45507</v>
      </c>
      <c r="AF41" s="98">
        <f>AF8</f>
        <v>45598</v>
      </c>
      <c r="AG41" s="98">
        <f>AG8</f>
        <v>45689</v>
      </c>
      <c r="AH41" s="98">
        <f>AH8</f>
        <v>45780</v>
      </c>
      <c r="AI41" s="98">
        <f>AI8</f>
        <v>45871</v>
      </c>
      <c r="AJ41" s="98">
        <f>AJ8</f>
        <v>45962</v>
      </c>
      <c r="AK41" s="94"/>
      <c r="AL41" s="126"/>
    </row>
    <row r="42" spans="1:38" ht="5.0999999999999996" customHeight="1">
      <c r="B42" s="43"/>
      <c r="C42" s="44"/>
      <c r="D42" s="44"/>
      <c r="E42" s="44"/>
      <c r="F42" s="44"/>
      <c r="G42" s="44"/>
      <c r="H42" s="44"/>
    </row>
    <row r="43" spans="1:38">
      <c r="B43" s="72" t="s">
        <v>89</v>
      </c>
      <c r="C43" s="44"/>
      <c r="D43" s="44"/>
      <c r="E43" s="44"/>
      <c r="F43" s="44"/>
      <c r="G43" s="44"/>
      <c r="H43" s="44"/>
    </row>
    <row r="44" spans="1:38" ht="12.75" customHeight="1">
      <c r="B44" s="105" t="s">
        <v>93</v>
      </c>
      <c r="C44" s="106">
        <v>2229</v>
      </c>
      <c r="D44" s="106">
        <v>5494</v>
      </c>
      <c r="E44" s="106">
        <v>2936</v>
      </c>
      <c r="F44" s="106">
        <v>1874</v>
      </c>
      <c r="G44" s="106">
        <v>1447</v>
      </c>
      <c r="H44" s="106">
        <v>1578</v>
      </c>
      <c r="J44" s="106">
        <v>640</v>
      </c>
      <c r="K44" s="106">
        <v>840</v>
      </c>
      <c r="L44" s="106">
        <v>932</v>
      </c>
      <c r="M44" s="83">
        <f>F44</f>
        <v>1874</v>
      </c>
      <c r="N44" s="106">
        <v>1030</v>
      </c>
      <c r="O44" s="106">
        <v>1093</v>
      </c>
      <c r="P44" s="106">
        <v>636</v>
      </c>
      <c r="Q44" s="83">
        <f>G44</f>
        <v>1447</v>
      </c>
      <c r="R44" s="106">
        <v>1214</v>
      </c>
      <c r="S44" s="106">
        <v>1387</v>
      </c>
      <c r="T44" s="106">
        <v>643</v>
      </c>
      <c r="U44" s="30">
        <f t="shared" ref="U44:U48" si="181">H44</f>
        <v>1578</v>
      </c>
      <c r="V44" s="106">
        <v>1147</v>
      </c>
      <c r="W44" s="106">
        <v>1456</v>
      </c>
      <c r="X44" s="106">
        <v>923</v>
      </c>
      <c r="Y44" s="83"/>
      <c r="Z44" s="30">
        <f t="shared" ref="Z44" si="182">N44</f>
        <v>1030</v>
      </c>
      <c r="AA44" s="30">
        <f t="shared" ref="AA44" si="183">O44</f>
        <v>1093</v>
      </c>
      <c r="AB44" s="30">
        <f t="shared" ref="AB44" si="184">P44</f>
        <v>636</v>
      </c>
      <c r="AC44" s="30">
        <f t="shared" ref="AC44" si="185">Q44</f>
        <v>1447</v>
      </c>
      <c r="AD44" s="30">
        <f t="shared" ref="AD44" si="186">R44</f>
        <v>1214</v>
      </c>
      <c r="AE44" s="30">
        <f t="shared" ref="AE44" si="187">S44</f>
        <v>1387</v>
      </c>
      <c r="AF44" s="30">
        <f t="shared" ref="AF44" si="188">T44</f>
        <v>643</v>
      </c>
      <c r="AG44" s="30">
        <f t="shared" ref="AG44" si="189">U44</f>
        <v>1578</v>
      </c>
      <c r="AH44" s="30">
        <f t="shared" ref="AH44" si="190">V44</f>
        <v>1147</v>
      </c>
      <c r="AI44" s="30">
        <f t="shared" ref="AI44" si="191">W44</f>
        <v>1456</v>
      </c>
      <c r="AJ44" s="30">
        <f>X44</f>
        <v>923</v>
      </c>
      <c r="AK44" s="11"/>
      <c r="AL44" s="68">
        <f t="shared" ref="AL44:AL48" si="192">SUM(AJ44/AF44)-1</f>
        <v>0.4354587869362363</v>
      </c>
    </row>
    <row r="45" spans="1:38" ht="12.75" customHeight="1">
      <c r="B45" s="105" t="s">
        <v>91</v>
      </c>
      <c r="C45" s="106">
        <v>126</v>
      </c>
      <c r="D45" s="106">
        <v>131</v>
      </c>
      <c r="E45" s="106">
        <v>269</v>
      </c>
      <c r="F45" s="106">
        <v>379</v>
      </c>
      <c r="G45" s="106">
        <v>346</v>
      </c>
      <c r="H45" s="106">
        <v>290</v>
      </c>
      <c r="J45" s="106">
        <v>320</v>
      </c>
      <c r="K45" s="106">
        <v>312</v>
      </c>
      <c r="L45" s="106">
        <v>361</v>
      </c>
      <c r="M45" s="83">
        <f>F45</f>
        <v>379</v>
      </c>
      <c r="N45" s="106">
        <v>402</v>
      </c>
      <c r="O45" s="106">
        <v>398</v>
      </c>
      <c r="P45" s="106">
        <v>423</v>
      </c>
      <c r="Q45" s="83">
        <f>G45</f>
        <v>346</v>
      </c>
      <c r="R45" s="106">
        <v>313</v>
      </c>
      <c r="S45" s="106">
        <v>311</v>
      </c>
      <c r="T45" s="106">
        <v>295</v>
      </c>
      <c r="U45" s="30">
        <f t="shared" si="181"/>
        <v>290</v>
      </c>
      <c r="V45" s="106">
        <v>288</v>
      </c>
      <c r="W45" s="106">
        <v>257</v>
      </c>
      <c r="X45" s="106">
        <v>271</v>
      </c>
      <c r="Y45" s="83"/>
      <c r="Z45" s="30">
        <f t="shared" ref="Z45:Z48" si="193">N45</f>
        <v>402</v>
      </c>
      <c r="AA45" s="30">
        <f t="shared" ref="AA45:AA48" si="194">O45</f>
        <v>398</v>
      </c>
      <c r="AB45" s="30">
        <f t="shared" ref="AB45:AB48" si="195">P45</f>
        <v>423</v>
      </c>
      <c r="AC45" s="30">
        <f t="shared" ref="AC45:AC48" si="196">Q45</f>
        <v>346</v>
      </c>
      <c r="AD45" s="30">
        <f t="shared" ref="AD45:AD48" si="197">R45</f>
        <v>313</v>
      </c>
      <c r="AE45" s="30">
        <f t="shared" ref="AE45:AE48" si="198">S45</f>
        <v>311</v>
      </c>
      <c r="AF45" s="30">
        <f t="shared" ref="AF45:AF48" si="199">T45</f>
        <v>295</v>
      </c>
      <c r="AG45" s="30">
        <f t="shared" ref="AG45:AG48" si="200">U45</f>
        <v>290</v>
      </c>
      <c r="AH45" s="30">
        <f t="shared" ref="AH45:AH48" si="201">V45</f>
        <v>288</v>
      </c>
      <c r="AI45" s="30">
        <f t="shared" ref="AI45:AI48" si="202">W45</f>
        <v>257</v>
      </c>
      <c r="AJ45" s="30">
        <f t="shared" ref="AJ45:AJ48" si="203">X45</f>
        <v>271</v>
      </c>
      <c r="AK45" s="11"/>
      <c r="AL45" s="68">
        <f t="shared" si="192"/>
        <v>-8.135593220338988E-2</v>
      </c>
    </row>
    <row r="46" spans="1:38" ht="12.75" customHeight="1">
      <c r="B46" s="105" t="s">
        <v>108</v>
      </c>
      <c r="C46" s="106">
        <v>1149</v>
      </c>
      <c r="D46" s="106">
        <v>1061</v>
      </c>
      <c r="E46" s="106">
        <v>1042</v>
      </c>
      <c r="F46" s="106">
        <v>1141</v>
      </c>
      <c r="G46" s="106">
        <v>939</v>
      </c>
      <c r="H46" s="106">
        <v>1044</v>
      </c>
      <c r="J46" s="106">
        <v>804</v>
      </c>
      <c r="K46" s="106">
        <v>840</v>
      </c>
      <c r="L46" s="106">
        <v>1050</v>
      </c>
      <c r="M46" s="83">
        <f>F46</f>
        <v>1141</v>
      </c>
      <c r="N46" s="106">
        <v>860</v>
      </c>
      <c r="O46" s="106">
        <v>856</v>
      </c>
      <c r="P46" s="106">
        <v>901</v>
      </c>
      <c r="Q46" s="83">
        <f>G46</f>
        <v>939</v>
      </c>
      <c r="R46" s="106">
        <v>770</v>
      </c>
      <c r="S46" s="106">
        <v>871</v>
      </c>
      <c r="T46" s="106">
        <v>932</v>
      </c>
      <c r="U46" s="30">
        <f t="shared" si="181"/>
        <v>1044</v>
      </c>
      <c r="V46" s="106">
        <v>744</v>
      </c>
      <c r="W46" s="106">
        <v>917</v>
      </c>
      <c r="X46" s="106">
        <v>1017</v>
      </c>
      <c r="Y46" s="83"/>
      <c r="Z46" s="30">
        <f t="shared" si="193"/>
        <v>860</v>
      </c>
      <c r="AA46" s="30">
        <f t="shared" si="194"/>
        <v>856</v>
      </c>
      <c r="AB46" s="30">
        <f t="shared" si="195"/>
        <v>901</v>
      </c>
      <c r="AC46" s="30">
        <f t="shared" si="196"/>
        <v>939</v>
      </c>
      <c r="AD46" s="30">
        <f t="shared" si="197"/>
        <v>770</v>
      </c>
      <c r="AE46" s="30">
        <f t="shared" si="198"/>
        <v>871</v>
      </c>
      <c r="AF46" s="30">
        <f t="shared" si="199"/>
        <v>932</v>
      </c>
      <c r="AG46" s="30">
        <f t="shared" si="200"/>
        <v>1044</v>
      </c>
      <c r="AH46" s="30">
        <f t="shared" si="201"/>
        <v>744</v>
      </c>
      <c r="AI46" s="30">
        <f t="shared" si="202"/>
        <v>917</v>
      </c>
      <c r="AJ46" s="30">
        <f t="shared" si="203"/>
        <v>1017</v>
      </c>
      <c r="AK46" s="11"/>
      <c r="AL46" s="68">
        <f t="shared" si="192"/>
        <v>9.1201716738197325E-2</v>
      </c>
    </row>
    <row r="47" spans="1:38" ht="12.75" customHeight="1">
      <c r="B47" s="105" t="s">
        <v>109</v>
      </c>
      <c r="C47" s="106">
        <v>5174</v>
      </c>
      <c r="D47" s="106">
        <v>5612</v>
      </c>
      <c r="E47" s="106">
        <v>5965</v>
      </c>
      <c r="F47" s="106">
        <v>5140</v>
      </c>
      <c r="G47" s="106">
        <v>4958</v>
      </c>
      <c r="H47" s="106">
        <v>5085</v>
      </c>
      <c r="J47" s="106">
        <v>6258</v>
      </c>
      <c r="K47" s="106">
        <v>6043</v>
      </c>
      <c r="L47" s="106">
        <v>7294</v>
      </c>
      <c r="M47" s="83">
        <f>F47</f>
        <v>5140</v>
      </c>
      <c r="N47" s="106">
        <v>5219</v>
      </c>
      <c r="O47" s="106">
        <v>5651</v>
      </c>
      <c r="P47" s="106">
        <v>7562</v>
      </c>
      <c r="Q47" s="83">
        <f>G47</f>
        <v>4958</v>
      </c>
      <c r="R47" s="106">
        <v>5225</v>
      </c>
      <c r="S47" s="106">
        <v>5706</v>
      </c>
      <c r="T47" s="106">
        <v>7806</v>
      </c>
      <c r="U47" s="30">
        <f t="shared" si="181"/>
        <v>5085</v>
      </c>
      <c r="V47" s="106">
        <v>5194</v>
      </c>
      <c r="W47" s="106">
        <v>5816</v>
      </c>
      <c r="X47" s="106">
        <v>7993</v>
      </c>
      <c r="Y47" s="83"/>
      <c r="Z47" s="30">
        <f t="shared" si="193"/>
        <v>5219</v>
      </c>
      <c r="AA47" s="30">
        <f t="shared" si="194"/>
        <v>5651</v>
      </c>
      <c r="AB47" s="30">
        <f t="shared" si="195"/>
        <v>7562</v>
      </c>
      <c r="AC47" s="30">
        <f t="shared" si="196"/>
        <v>4958</v>
      </c>
      <c r="AD47" s="30">
        <f t="shared" si="197"/>
        <v>5225</v>
      </c>
      <c r="AE47" s="30">
        <f t="shared" si="198"/>
        <v>5706</v>
      </c>
      <c r="AF47" s="30">
        <f t="shared" si="199"/>
        <v>7806</v>
      </c>
      <c r="AG47" s="30">
        <f t="shared" si="200"/>
        <v>5085</v>
      </c>
      <c r="AH47" s="30">
        <f t="shared" si="201"/>
        <v>5194</v>
      </c>
      <c r="AI47" s="30">
        <f t="shared" si="202"/>
        <v>5816</v>
      </c>
      <c r="AJ47" s="30">
        <f t="shared" si="203"/>
        <v>7993</v>
      </c>
      <c r="AK47" s="11"/>
      <c r="AL47" s="68">
        <f t="shared" si="192"/>
        <v>2.3955931334870506E-2</v>
      </c>
    </row>
    <row r="48" spans="1:38" ht="12.75" customHeight="1">
      <c r="B48" s="105" t="s">
        <v>110</v>
      </c>
      <c r="C48" s="106">
        <f>305-C45</f>
        <v>179</v>
      </c>
      <c r="D48" s="106">
        <f>373-D45</f>
        <v>242</v>
      </c>
      <c r="E48" s="106">
        <f>596-E45</f>
        <v>327</v>
      </c>
      <c r="F48" s="106">
        <f>647-F45</f>
        <v>268</v>
      </c>
      <c r="G48" s="106">
        <f>553-G45</f>
        <v>207</v>
      </c>
      <c r="H48" s="106">
        <f>517-H45</f>
        <v>227</v>
      </c>
      <c r="J48" s="106">
        <f>613-J45</f>
        <v>293</v>
      </c>
      <c r="K48" s="106">
        <f>621-K45</f>
        <v>309</v>
      </c>
      <c r="L48" s="106">
        <f>646-L45</f>
        <v>285</v>
      </c>
      <c r="M48" s="83">
        <f>F48</f>
        <v>268</v>
      </c>
      <c r="N48" s="106">
        <f>653-N45</f>
        <v>251</v>
      </c>
      <c r="O48" s="106">
        <f>704-O45</f>
        <v>306</v>
      </c>
      <c r="P48" s="106">
        <f>766-P45</f>
        <v>343</v>
      </c>
      <c r="Q48" s="83">
        <f>G48</f>
        <v>207</v>
      </c>
      <c r="R48" s="106">
        <f>544-R45</f>
        <v>231</v>
      </c>
      <c r="S48" s="106">
        <f>598-S45</f>
        <v>287</v>
      </c>
      <c r="T48" s="106">
        <f>574-T45</f>
        <v>279</v>
      </c>
      <c r="U48" s="30">
        <f t="shared" si="181"/>
        <v>227</v>
      </c>
      <c r="V48" s="106">
        <f>500-V45</f>
        <v>212</v>
      </c>
      <c r="W48" s="106">
        <f>688-W45</f>
        <v>431</v>
      </c>
      <c r="X48" s="106">
        <f>640-X45</f>
        <v>369</v>
      </c>
      <c r="Y48" s="83"/>
      <c r="Z48" s="30">
        <f t="shared" si="193"/>
        <v>251</v>
      </c>
      <c r="AA48" s="30">
        <f t="shared" si="194"/>
        <v>306</v>
      </c>
      <c r="AB48" s="30">
        <f t="shared" si="195"/>
        <v>343</v>
      </c>
      <c r="AC48" s="30">
        <f t="shared" si="196"/>
        <v>207</v>
      </c>
      <c r="AD48" s="30">
        <f t="shared" si="197"/>
        <v>231</v>
      </c>
      <c r="AE48" s="30">
        <f t="shared" si="198"/>
        <v>287</v>
      </c>
      <c r="AF48" s="30">
        <f t="shared" si="199"/>
        <v>279</v>
      </c>
      <c r="AG48" s="30">
        <f t="shared" si="200"/>
        <v>227</v>
      </c>
      <c r="AH48" s="30">
        <f t="shared" si="201"/>
        <v>212</v>
      </c>
      <c r="AI48" s="30">
        <f t="shared" si="202"/>
        <v>431</v>
      </c>
      <c r="AJ48" s="30">
        <f t="shared" si="203"/>
        <v>369</v>
      </c>
      <c r="AK48" s="11"/>
      <c r="AL48" s="68">
        <f t="shared" si="192"/>
        <v>0.32258064516129026</v>
      </c>
    </row>
    <row r="49" spans="2:38" ht="12.75" customHeight="1">
      <c r="B49" s="23" t="s">
        <v>22</v>
      </c>
      <c r="C49" s="24">
        <f t="shared" ref="C49:D49" si="204">SUM(C44:C48)</f>
        <v>8857</v>
      </c>
      <c r="D49" s="24">
        <f t="shared" si="204"/>
        <v>12540</v>
      </c>
      <c r="E49" s="24">
        <f>SUM(E44:E48)</f>
        <v>10539</v>
      </c>
      <c r="F49" s="24">
        <f>SUM(F44:F48)</f>
        <v>8802</v>
      </c>
      <c r="G49" s="24">
        <f>SUM(G44:G48)</f>
        <v>7897</v>
      </c>
      <c r="H49" s="24">
        <f>SUM(H44:H48)</f>
        <v>8224</v>
      </c>
      <c r="I49" s="45"/>
      <c r="J49" s="24">
        <f t="shared" ref="J49:S49" si="205">SUM(J44:J48)</f>
        <v>8315</v>
      </c>
      <c r="K49" s="24">
        <f t="shared" si="205"/>
        <v>8344</v>
      </c>
      <c r="L49" s="24">
        <f t="shared" si="205"/>
        <v>9922</v>
      </c>
      <c r="M49" s="24">
        <f t="shared" si="205"/>
        <v>8802</v>
      </c>
      <c r="N49" s="24">
        <f t="shared" si="205"/>
        <v>7762</v>
      </c>
      <c r="O49" s="24">
        <f t="shared" si="205"/>
        <v>8304</v>
      </c>
      <c r="P49" s="24">
        <f t="shared" si="205"/>
        <v>9865</v>
      </c>
      <c r="Q49" s="24">
        <f t="shared" si="205"/>
        <v>7897</v>
      </c>
      <c r="R49" s="24">
        <f t="shared" si="205"/>
        <v>7753</v>
      </c>
      <c r="S49" s="24">
        <f t="shared" si="205"/>
        <v>8562</v>
      </c>
      <c r="T49" s="24">
        <f t="shared" ref="T49:U49" si="206">SUM(T44:T48)</f>
        <v>9955</v>
      </c>
      <c r="U49" s="24">
        <f t="shared" si="206"/>
        <v>8224</v>
      </c>
      <c r="V49" s="24">
        <f t="shared" ref="V49:X49" si="207">SUM(V44:V48)</f>
        <v>7585</v>
      </c>
      <c r="W49" s="24">
        <f t="shared" si="207"/>
        <v>8877</v>
      </c>
      <c r="X49" s="24">
        <f t="shared" si="207"/>
        <v>10573</v>
      </c>
      <c r="Y49" s="45"/>
      <c r="Z49" s="24">
        <f t="shared" ref="Z49:AJ49" si="208">SUM(Z44:Z48)</f>
        <v>7762</v>
      </c>
      <c r="AA49" s="24">
        <f t="shared" si="208"/>
        <v>8304</v>
      </c>
      <c r="AB49" s="24">
        <f t="shared" si="208"/>
        <v>9865</v>
      </c>
      <c r="AC49" s="24">
        <f t="shared" si="208"/>
        <v>7897</v>
      </c>
      <c r="AD49" s="24">
        <f t="shared" si="208"/>
        <v>7753</v>
      </c>
      <c r="AE49" s="24">
        <f t="shared" si="208"/>
        <v>8562</v>
      </c>
      <c r="AF49" s="24">
        <f t="shared" si="208"/>
        <v>9955</v>
      </c>
      <c r="AG49" s="24">
        <f t="shared" si="208"/>
        <v>8224</v>
      </c>
      <c r="AH49" s="24">
        <f t="shared" si="208"/>
        <v>7585</v>
      </c>
      <c r="AI49" s="24">
        <f t="shared" si="208"/>
        <v>8877</v>
      </c>
      <c r="AJ49" s="24">
        <f t="shared" si="208"/>
        <v>10573</v>
      </c>
      <c r="AK49" s="39"/>
      <c r="AL49" s="69">
        <f>SUM(AJ49/AF49)-1</f>
        <v>6.2079357106981314E-2</v>
      </c>
    </row>
    <row r="50" spans="2:38" ht="5.0999999999999996" customHeight="1">
      <c r="B50" s="23"/>
      <c r="C50" s="46"/>
      <c r="D50" s="46"/>
      <c r="E50" s="46"/>
      <c r="F50" s="38"/>
      <c r="G50" s="38"/>
      <c r="H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6"/>
    </row>
    <row r="51" spans="2:38" ht="12.75" customHeight="1">
      <c r="B51" s="72" t="s">
        <v>90</v>
      </c>
      <c r="C51" s="76"/>
      <c r="D51" s="76"/>
      <c r="E51" s="76"/>
      <c r="F51" s="76"/>
      <c r="G51" s="76"/>
      <c r="H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11"/>
      <c r="AL51" s="68"/>
    </row>
    <row r="52" spans="2:38" ht="12.75" customHeight="1">
      <c r="B52" s="9" t="s">
        <v>111</v>
      </c>
      <c r="C52" s="76">
        <v>2328</v>
      </c>
      <c r="D52" s="76">
        <v>2260</v>
      </c>
      <c r="E52" s="76">
        <v>2250</v>
      </c>
      <c r="F52" s="76">
        <v>2352</v>
      </c>
      <c r="G52" s="76">
        <v>2260</v>
      </c>
      <c r="H52" s="76">
        <v>2122</v>
      </c>
      <c r="J52" s="106">
        <v>2251</v>
      </c>
      <c r="K52" s="106">
        <v>2319</v>
      </c>
      <c r="L52" s="106">
        <v>2373</v>
      </c>
      <c r="M52" s="83">
        <f>F52</f>
        <v>2352</v>
      </c>
      <c r="N52" s="106">
        <v>2321</v>
      </c>
      <c r="O52" s="106">
        <v>2305</v>
      </c>
      <c r="P52" s="106">
        <v>2313</v>
      </c>
      <c r="Q52" s="83">
        <f>G52</f>
        <v>2260</v>
      </c>
      <c r="R52" s="106">
        <v>2196</v>
      </c>
      <c r="S52" s="106">
        <v>2183</v>
      </c>
      <c r="T52" s="106">
        <v>2196</v>
      </c>
      <c r="U52" s="30">
        <f t="shared" ref="U52:U55" si="209">H52</f>
        <v>2122</v>
      </c>
      <c r="V52" s="106">
        <v>2089</v>
      </c>
      <c r="W52" s="106">
        <v>2046</v>
      </c>
      <c r="X52" s="106">
        <v>2037</v>
      </c>
      <c r="Z52" s="30">
        <f t="shared" ref="Z52:Z55" si="210">N52</f>
        <v>2321</v>
      </c>
      <c r="AA52" s="30">
        <f t="shared" ref="AA52:AA55" si="211">O52</f>
        <v>2305</v>
      </c>
      <c r="AB52" s="30">
        <f t="shared" ref="AB52:AB55" si="212">P52</f>
        <v>2313</v>
      </c>
      <c r="AC52" s="30">
        <f t="shared" ref="AC52:AC55" si="213">Q52</f>
        <v>2260</v>
      </c>
      <c r="AD52" s="30">
        <f t="shared" ref="AD52:AD55" si="214">R52</f>
        <v>2196</v>
      </c>
      <c r="AE52" s="30">
        <f t="shared" ref="AE52:AE55" si="215">S52</f>
        <v>2183</v>
      </c>
      <c r="AF52" s="30">
        <f t="shared" ref="AF52:AF55" si="216">T52</f>
        <v>2196</v>
      </c>
      <c r="AG52" s="30">
        <f t="shared" ref="AG52:AG55" si="217">U52</f>
        <v>2122</v>
      </c>
      <c r="AH52" s="30">
        <f t="shared" ref="AH52:AH55" si="218">V52</f>
        <v>2089</v>
      </c>
      <c r="AI52" s="30">
        <f t="shared" ref="AI52:AI55" si="219">W52</f>
        <v>2046</v>
      </c>
      <c r="AJ52" s="30">
        <f>X52</f>
        <v>2037</v>
      </c>
      <c r="AK52" s="11"/>
      <c r="AL52" s="68">
        <f t="shared" ref="AL52:AL55" si="220">SUM(AJ52/AF52)-1</f>
        <v>-7.2404371584699478E-2</v>
      </c>
    </row>
    <row r="53" spans="2:38" ht="12.75" customHeight="1">
      <c r="B53" s="9" t="s">
        <v>112</v>
      </c>
      <c r="C53" s="76">
        <v>2709</v>
      </c>
      <c r="D53" s="76">
        <v>2612</v>
      </c>
      <c r="E53" s="76">
        <v>2654</v>
      </c>
      <c r="F53" s="76">
        <v>2746</v>
      </c>
      <c r="G53" s="76">
        <v>2758</v>
      </c>
      <c r="H53" s="76">
        <v>2833</v>
      </c>
      <c r="J53" s="106">
        <v>2704</v>
      </c>
      <c r="K53" s="106">
        <v>2796</v>
      </c>
      <c r="L53" s="106">
        <v>2799</v>
      </c>
      <c r="M53" s="83">
        <f>F53</f>
        <v>2746</v>
      </c>
      <c r="N53" s="106">
        <v>2694</v>
      </c>
      <c r="O53" s="106">
        <v>2813</v>
      </c>
      <c r="P53" s="106">
        <v>2827</v>
      </c>
      <c r="Q53" s="83">
        <f>G53</f>
        <v>2758</v>
      </c>
      <c r="R53" s="106">
        <v>2771</v>
      </c>
      <c r="S53" s="106">
        <v>2860</v>
      </c>
      <c r="T53" s="106">
        <v>2842</v>
      </c>
      <c r="U53" s="30">
        <f t="shared" si="209"/>
        <v>2833</v>
      </c>
      <c r="V53" s="106">
        <v>2821</v>
      </c>
      <c r="W53" s="106">
        <v>2816</v>
      </c>
      <c r="X53" s="106">
        <v>2838</v>
      </c>
      <c r="Z53" s="30">
        <f t="shared" si="210"/>
        <v>2694</v>
      </c>
      <c r="AA53" s="30">
        <f t="shared" si="211"/>
        <v>2813</v>
      </c>
      <c r="AB53" s="30">
        <f t="shared" si="212"/>
        <v>2827</v>
      </c>
      <c r="AC53" s="30">
        <f t="shared" si="213"/>
        <v>2758</v>
      </c>
      <c r="AD53" s="30">
        <f t="shared" si="214"/>
        <v>2771</v>
      </c>
      <c r="AE53" s="30">
        <f t="shared" si="215"/>
        <v>2860</v>
      </c>
      <c r="AF53" s="30">
        <f t="shared" si="216"/>
        <v>2842</v>
      </c>
      <c r="AG53" s="30">
        <f t="shared" si="217"/>
        <v>2833</v>
      </c>
      <c r="AH53" s="30">
        <f t="shared" si="218"/>
        <v>2821</v>
      </c>
      <c r="AI53" s="30">
        <f t="shared" si="219"/>
        <v>2816</v>
      </c>
      <c r="AJ53" s="30">
        <f>X53</f>
        <v>2838</v>
      </c>
      <c r="AK53" s="11"/>
      <c r="AL53" s="68">
        <f t="shared" si="220"/>
        <v>-1.4074595355383357E-3</v>
      </c>
    </row>
    <row r="54" spans="2:38" ht="12.75" customHeight="1">
      <c r="B54" s="9" t="s">
        <v>94</v>
      </c>
      <c r="C54" s="76">
        <v>984</v>
      </c>
      <c r="D54" s="76">
        <v>986</v>
      </c>
      <c r="E54" s="76">
        <v>1384</v>
      </c>
      <c r="F54" s="76">
        <v>1383</v>
      </c>
      <c r="G54" s="76">
        <v>1383</v>
      </c>
      <c r="H54" s="76">
        <v>908</v>
      </c>
      <c r="J54" s="106">
        <v>1385</v>
      </c>
      <c r="K54" s="106">
        <v>1385</v>
      </c>
      <c r="L54" s="106">
        <v>1383</v>
      </c>
      <c r="M54" s="83">
        <f>F54</f>
        <v>1383</v>
      </c>
      <c r="N54" s="106">
        <v>1383</v>
      </c>
      <c r="O54" s="106">
        <v>1383</v>
      </c>
      <c r="P54" s="106">
        <v>1383</v>
      </c>
      <c r="Q54" s="83">
        <f>G54</f>
        <v>1383</v>
      </c>
      <c r="R54" s="106">
        <v>1383</v>
      </c>
      <c r="S54" s="106">
        <v>1383</v>
      </c>
      <c r="T54" s="106">
        <v>1383</v>
      </c>
      <c r="U54" s="30">
        <f t="shared" si="209"/>
        <v>908</v>
      </c>
      <c r="V54" s="106">
        <v>908</v>
      </c>
      <c r="W54" s="106">
        <v>908</v>
      </c>
      <c r="X54" s="106">
        <v>790</v>
      </c>
      <c r="Z54" s="30">
        <f t="shared" si="210"/>
        <v>1383</v>
      </c>
      <c r="AA54" s="30">
        <f t="shared" si="211"/>
        <v>1383</v>
      </c>
      <c r="AB54" s="30">
        <f t="shared" si="212"/>
        <v>1383</v>
      </c>
      <c r="AC54" s="30">
        <f t="shared" si="213"/>
        <v>1383</v>
      </c>
      <c r="AD54" s="30">
        <f t="shared" si="214"/>
        <v>1383</v>
      </c>
      <c r="AE54" s="30">
        <f t="shared" si="215"/>
        <v>1383</v>
      </c>
      <c r="AF54" s="30">
        <f t="shared" si="216"/>
        <v>1383</v>
      </c>
      <c r="AG54" s="30">
        <f t="shared" si="217"/>
        <v>908</v>
      </c>
      <c r="AH54" s="30">
        <f t="shared" si="218"/>
        <v>908</v>
      </c>
      <c r="AI54" s="30">
        <f t="shared" si="219"/>
        <v>908</v>
      </c>
      <c r="AJ54" s="30">
        <f>X54</f>
        <v>790</v>
      </c>
      <c r="AK54" s="11"/>
      <c r="AL54" s="68">
        <f t="shared" si="220"/>
        <v>-0.42877801879971078</v>
      </c>
    </row>
    <row r="55" spans="2:38" ht="12.75" customHeight="1">
      <c r="B55" s="9" t="s">
        <v>99</v>
      </c>
      <c r="C55" s="76">
        <v>713</v>
      </c>
      <c r="D55" s="76">
        <v>669</v>
      </c>
      <c r="E55" s="76">
        <v>677</v>
      </c>
      <c r="F55" s="76">
        <v>520</v>
      </c>
      <c r="G55" s="76">
        <v>669</v>
      </c>
      <c r="H55" s="76">
        <v>695</v>
      </c>
      <c r="J55" s="106">
        <v>596</v>
      </c>
      <c r="K55" s="106">
        <v>575</v>
      </c>
      <c r="L55" s="106">
        <v>544</v>
      </c>
      <c r="M55" s="83">
        <f>F55</f>
        <v>520</v>
      </c>
      <c r="N55" s="106">
        <v>528</v>
      </c>
      <c r="O55" s="106">
        <v>513</v>
      </c>
      <c r="P55" s="106">
        <v>494</v>
      </c>
      <c r="Q55" s="83">
        <f>G55</f>
        <v>669</v>
      </c>
      <c r="R55" s="106">
        <v>649</v>
      </c>
      <c r="S55" s="106">
        <v>636</v>
      </c>
      <c r="T55" s="106">
        <v>642</v>
      </c>
      <c r="U55" s="30">
        <f t="shared" si="209"/>
        <v>695</v>
      </c>
      <c r="V55" s="106">
        <v>725</v>
      </c>
      <c r="W55" s="106">
        <v>606</v>
      </c>
      <c r="X55" s="106">
        <v>548</v>
      </c>
      <c r="Z55" s="30">
        <f t="shared" si="210"/>
        <v>528</v>
      </c>
      <c r="AA55" s="30">
        <f t="shared" si="211"/>
        <v>513</v>
      </c>
      <c r="AB55" s="30">
        <f t="shared" si="212"/>
        <v>494</v>
      </c>
      <c r="AC55" s="30">
        <f t="shared" si="213"/>
        <v>669</v>
      </c>
      <c r="AD55" s="30">
        <f t="shared" si="214"/>
        <v>649</v>
      </c>
      <c r="AE55" s="30">
        <f t="shared" si="215"/>
        <v>636</v>
      </c>
      <c r="AF55" s="30">
        <f t="shared" si="216"/>
        <v>642</v>
      </c>
      <c r="AG55" s="30">
        <f t="shared" si="217"/>
        <v>695</v>
      </c>
      <c r="AH55" s="30">
        <f t="shared" si="218"/>
        <v>725</v>
      </c>
      <c r="AI55" s="30">
        <f t="shared" si="219"/>
        <v>606</v>
      </c>
      <c r="AJ55" s="30">
        <f>X55</f>
        <v>548</v>
      </c>
      <c r="AK55" s="11"/>
      <c r="AL55" s="68">
        <f t="shared" si="220"/>
        <v>-0.14641744548286606</v>
      </c>
    </row>
    <row r="56" spans="2:38" ht="12.75" customHeight="1">
      <c r="B56" s="12" t="s">
        <v>23</v>
      </c>
      <c r="C56" s="13">
        <f>SUM(C52:C55)+C49</f>
        <v>15591</v>
      </c>
      <c r="D56" s="13">
        <f t="shared" ref="D56:G56" si="221">SUM(D52:D55)+D49</f>
        <v>19067</v>
      </c>
      <c r="E56" s="13">
        <f t="shared" si="221"/>
        <v>17504</v>
      </c>
      <c r="F56" s="13">
        <f t="shared" si="221"/>
        <v>15803</v>
      </c>
      <c r="G56" s="13">
        <f t="shared" si="221"/>
        <v>14967</v>
      </c>
      <c r="H56" s="13">
        <f t="shared" ref="H56" si="222">SUM(H52:H55)+H49</f>
        <v>14782</v>
      </c>
      <c r="J56" s="13">
        <f t="shared" ref="J56" si="223">SUM(J52:J55)+J49</f>
        <v>15251</v>
      </c>
      <c r="K56" s="13">
        <f t="shared" ref="K56" si="224">SUM(K52:K55)+K49</f>
        <v>15419</v>
      </c>
      <c r="L56" s="13">
        <f t="shared" ref="L56" si="225">SUM(L52:L55)+L49</f>
        <v>17021</v>
      </c>
      <c r="M56" s="13">
        <f t="shared" ref="M56" si="226">SUM(M52:M55)+M49</f>
        <v>15803</v>
      </c>
      <c r="N56" s="13">
        <f t="shared" ref="N56" si="227">SUM(N52:N55)+N49</f>
        <v>14688</v>
      </c>
      <c r="O56" s="13">
        <f t="shared" ref="O56" si="228">SUM(O52:O55)+O49</f>
        <v>15318</v>
      </c>
      <c r="P56" s="13">
        <f t="shared" ref="P56" si="229">SUM(P52:P55)+P49</f>
        <v>16882</v>
      </c>
      <c r="Q56" s="13">
        <f t="shared" ref="Q56" si="230">SUM(Q52:Q55)+Q49</f>
        <v>14967</v>
      </c>
      <c r="R56" s="13">
        <f t="shared" ref="R56" si="231">SUM(R52:R55)+R49</f>
        <v>14752</v>
      </c>
      <c r="S56" s="13">
        <f t="shared" ref="S56:AJ56" si="232">SUM(S52:S55)+S49</f>
        <v>15624</v>
      </c>
      <c r="T56" s="13">
        <f t="shared" ref="T56:U56" si="233">SUM(T52:T55)+T49</f>
        <v>17018</v>
      </c>
      <c r="U56" s="13">
        <f t="shared" si="233"/>
        <v>14782</v>
      </c>
      <c r="V56" s="13">
        <f t="shared" ref="V56:X56" si="234">SUM(V52:V55)+V49</f>
        <v>14128</v>
      </c>
      <c r="W56" s="13">
        <f t="shared" si="234"/>
        <v>15253</v>
      </c>
      <c r="X56" s="13">
        <f t="shared" si="234"/>
        <v>16786</v>
      </c>
      <c r="Z56" s="13">
        <f t="shared" si="232"/>
        <v>14688</v>
      </c>
      <c r="AA56" s="13">
        <f t="shared" si="232"/>
        <v>15318</v>
      </c>
      <c r="AB56" s="13">
        <f t="shared" si="232"/>
        <v>16882</v>
      </c>
      <c r="AC56" s="13">
        <f t="shared" si="232"/>
        <v>14967</v>
      </c>
      <c r="AD56" s="13">
        <f t="shared" si="232"/>
        <v>14752</v>
      </c>
      <c r="AE56" s="13">
        <f t="shared" si="232"/>
        <v>15624</v>
      </c>
      <c r="AF56" s="13">
        <f t="shared" si="232"/>
        <v>17018</v>
      </c>
      <c r="AG56" s="13">
        <f t="shared" si="232"/>
        <v>14782</v>
      </c>
      <c r="AH56" s="13">
        <f t="shared" si="232"/>
        <v>14128</v>
      </c>
      <c r="AI56" s="13">
        <f t="shared" si="232"/>
        <v>15253</v>
      </c>
      <c r="AJ56" s="13">
        <f t="shared" si="232"/>
        <v>16786</v>
      </c>
      <c r="AK56" s="39"/>
      <c r="AL56" s="69">
        <f>SUM(AJ56/AF56)-1</f>
        <v>-1.3632624280173977E-2</v>
      </c>
    </row>
    <row r="57" spans="2:38" ht="12.75" customHeight="1">
      <c r="B57" s="23"/>
      <c r="C57" s="47"/>
      <c r="D57" s="47"/>
      <c r="E57" s="47"/>
      <c r="F57" s="38"/>
      <c r="G57" s="38"/>
      <c r="H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6"/>
    </row>
    <row r="58" spans="2:38" ht="12.75" customHeight="1">
      <c r="B58" s="72" t="s">
        <v>51</v>
      </c>
      <c r="C58" s="47"/>
      <c r="D58" s="47"/>
      <c r="E58" s="47"/>
      <c r="F58" s="38"/>
      <c r="G58" s="38"/>
      <c r="H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6"/>
    </row>
    <row r="59" spans="2:38" ht="12.75" customHeight="1">
      <c r="B59" s="105" t="s">
        <v>14</v>
      </c>
      <c r="C59" s="76">
        <v>5288</v>
      </c>
      <c r="D59" s="76">
        <v>6979</v>
      </c>
      <c r="E59" s="76">
        <v>6803</v>
      </c>
      <c r="F59" s="76">
        <v>5687</v>
      </c>
      <c r="G59" s="76">
        <v>4637</v>
      </c>
      <c r="H59" s="76">
        <v>4980</v>
      </c>
      <c r="J59" s="106">
        <v>5492</v>
      </c>
      <c r="K59" s="106">
        <v>5406</v>
      </c>
      <c r="L59" s="106">
        <v>7056</v>
      </c>
      <c r="M59" s="83">
        <f>F59</f>
        <v>5687</v>
      </c>
      <c r="N59" s="106">
        <v>4874</v>
      </c>
      <c r="O59" s="106">
        <v>5471</v>
      </c>
      <c r="P59" s="106">
        <v>7133</v>
      </c>
      <c r="Q59" s="83">
        <f>G59</f>
        <v>4637</v>
      </c>
      <c r="R59" s="106">
        <v>4664</v>
      </c>
      <c r="S59" s="106">
        <v>5542</v>
      </c>
      <c r="T59" s="106">
        <v>7145</v>
      </c>
      <c r="U59" s="30">
        <f t="shared" ref="U59:U66" si="235">H59</f>
        <v>4980</v>
      </c>
      <c r="V59" s="106">
        <v>4670</v>
      </c>
      <c r="W59" s="106">
        <v>5682</v>
      </c>
      <c r="X59" s="106">
        <v>7319</v>
      </c>
      <c r="Z59" s="30">
        <f t="shared" ref="Z59:Z66" si="236">N59</f>
        <v>4874</v>
      </c>
      <c r="AA59" s="30">
        <f t="shared" ref="AA59:AA66" si="237">O59</f>
        <v>5471</v>
      </c>
      <c r="AB59" s="30">
        <f t="shared" ref="AB59:AB66" si="238">P59</f>
        <v>7133</v>
      </c>
      <c r="AC59" s="30">
        <f t="shared" ref="AC59:AC66" si="239">Q59</f>
        <v>4637</v>
      </c>
      <c r="AD59" s="30">
        <f t="shared" ref="AD59:AD66" si="240">R59</f>
        <v>4664</v>
      </c>
      <c r="AE59" s="30">
        <f t="shared" ref="AE59:AE66" si="241">S59</f>
        <v>5542</v>
      </c>
      <c r="AF59" s="30">
        <f t="shared" ref="AF59:AF66" si="242">T59</f>
        <v>7145</v>
      </c>
      <c r="AG59" s="30">
        <f t="shared" ref="AG59:AG66" si="243">U59</f>
        <v>4980</v>
      </c>
      <c r="AH59" s="30">
        <f t="shared" ref="AH59:AH66" si="244">V59</f>
        <v>4670</v>
      </c>
      <c r="AI59" s="30">
        <f t="shared" ref="AI59:AI66" si="245">W59</f>
        <v>5682</v>
      </c>
      <c r="AJ59" s="30">
        <f t="shared" ref="AJ59:AJ66" si="246">X59</f>
        <v>7319</v>
      </c>
      <c r="AK59" s="11"/>
      <c r="AL59" s="68">
        <f t="shared" ref="AL59:AL61" si="247">SUM(AJ59/AF59)-1</f>
        <v>2.4352694191742463E-2</v>
      </c>
    </row>
    <row r="60" spans="2:38" ht="12.75" customHeight="1">
      <c r="B60" s="105" t="s">
        <v>129</v>
      </c>
      <c r="C60" s="76">
        <v>281</v>
      </c>
      <c r="D60" s="76">
        <v>317</v>
      </c>
      <c r="E60" s="76">
        <v>316</v>
      </c>
      <c r="F60" s="76">
        <v>274</v>
      </c>
      <c r="G60" s="76">
        <v>253</v>
      </c>
      <c r="H60" s="76">
        <v>253</v>
      </c>
      <c r="J60" s="106">
        <v>284</v>
      </c>
      <c r="K60" s="106">
        <v>273</v>
      </c>
      <c r="L60" s="106">
        <v>273</v>
      </c>
      <c r="M60" s="83">
        <f>F60</f>
        <v>274</v>
      </c>
      <c r="N60" s="106">
        <v>256</v>
      </c>
      <c r="O60" s="106">
        <v>250</v>
      </c>
      <c r="P60" s="106">
        <v>245</v>
      </c>
      <c r="Q60" s="83">
        <f>G60</f>
        <v>253</v>
      </c>
      <c r="R60" s="106">
        <v>242</v>
      </c>
      <c r="S60" s="106">
        <v>243</v>
      </c>
      <c r="T60" s="106">
        <v>246</v>
      </c>
      <c r="U60" s="30">
        <f t="shared" si="235"/>
        <v>253</v>
      </c>
      <c r="V60" s="106">
        <v>246</v>
      </c>
      <c r="W60" s="106">
        <v>230</v>
      </c>
      <c r="X60" s="106">
        <v>231</v>
      </c>
      <c r="Z60" s="30">
        <f t="shared" si="236"/>
        <v>256</v>
      </c>
      <c r="AA60" s="30">
        <f t="shared" si="237"/>
        <v>250</v>
      </c>
      <c r="AB60" s="30">
        <f t="shared" si="238"/>
        <v>245</v>
      </c>
      <c r="AC60" s="30">
        <f t="shared" si="239"/>
        <v>253</v>
      </c>
      <c r="AD60" s="30">
        <f t="shared" si="240"/>
        <v>242</v>
      </c>
      <c r="AE60" s="30">
        <f t="shared" si="241"/>
        <v>243</v>
      </c>
      <c r="AF60" s="30">
        <f t="shared" si="242"/>
        <v>246</v>
      </c>
      <c r="AG60" s="30">
        <f t="shared" si="243"/>
        <v>253</v>
      </c>
      <c r="AH60" s="30">
        <f t="shared" si="244"/>
        <v>246</v>
      </c>
      <c r="AI60" s="30">
        <f t="shared" si="245"/>
        <v>230</v>
      </c>
      <c r="AJ60" s="30">
        <f t="shared" si="246"/>
        <v>231</v>
      </c>
      <c r="AK60" s="11"/>
      <c r="AL60" s="68">
        <f t="shared" si="247"/>
        <v>-6.0975609756097615E-2</v>
      </c>
    </row>
    <row r="61" spans="2:38" ht="12.75" customHeight="1">
      <c r="B61" s="105" t="s">
        <v>130</v>
      </c>
      <c r="C61" s="76">
        <v>501</v>
      </c>
      <c r="D61" s="76">
        <v>711</v>
      </c>
      <c r="E61" s="76">
        <v>1103</v>
      </c>
      <c r="F61" s="76">
        <v>1116</v>
      </c>
      <c r="G61" s="76">
        <v>1000</v>
      </c>
      <c r="H61" s="76">
        <v>951</v>
      </c>
      <c r="J61" s="106">
        <v>1101</v>
      </c>
      <c r="K61" s="106">
        <v>1133</v>
      </c>
      <c r="L61" s="106">
        <v>1080</v>
      </c>
      <c r="M61" s="83">
        <f>F61</f>
        <v>1116</v>
      </c>
      <c r="N61" s="106">
        <v>1015</v>
      </c>
      <c r="O61" s="106">
        <v>996</v>
      </c>
      <c r="P61" s="106">
        <v>934</v>
      </c>
      <c r="Q61" s="83">
        <f>G61</f>
        <v>1000</v>
      </c>
      <c r="R61" s="106">
        <v>923</v>
      </c>
      <c r="S61" s="106">
        <v>940</v>
      </c>
      <c r="T61" s="106">
        <v>878</v>
      </c>
      <c r="U61" s="30">
        <f t="shared" si="235"/>
        <v>951</v>
      </c>
      <c r="V61" s="106">
        <v>891</v>
      </c>
      <c r="W61" s="106">
        <v>889</v>
      </c>
      <c r="X61" s="106">
        <v>853</v>
      </c>
      <c r="Z61" s="30">
        <f t="shared" si="236"/>
        <v>1015</v>
      </c>
      <c r="AA61" s="30">
        <f t="shared" si="237"/>
        <v>996</v>
      </c>
      <c r="AB61" s="30">
        <f t="shared" si="238"/>
        <v>934</v>
      </c>
      <c r="AC61" s="30">
        <f t="shared" si="239"/>
        <v>1000</v>
      </c>
      <c r="AD61" s="30">
        <f t="shared" si="240"/>
        <v>923</v>
      </c>
      <c r="AE61" s="30">
        <f t="shared" si="241"/>
        <v>940</v>
      </c>
      <c r="AF61" s="30">
        <f t="shared" si="242"/>
        <v>878</v>
      </c>
      <c r="AG61" s="30">
        <f t="shared" si="243"/>
        <v>951</v>
      </c>
      <c r="AH61" s="30">
        <f t="shared" si="244"/>
        <v>891</v>
      </c>
      <c r="AI61" s="30">
        <f t="shared" si="245"/>
        <v>889</v>
      </c>
      <c r="AJ61" s="30">
        <f t="shared" si="246"/>
        <v>853</v>
      </c>
      <c r="AK61" s="11"/>
      <c r="AL61" s="68">
        <f t="shared" si="247"/>
        <v>-2.8473804100227817E-2</v>
      </c>
    </row>
    <row r="62" spans="2:38" ht="12.75" customHeight="1">
      <c r="B62" s="105" t="s">
        <v>113</v>
      </c>
      <c r="C62" s="76">
        <v>410</v>
      </c>
      <c r="D62" s="76">
        <v>725</v>
      </c>
      <c r="E62" s="76">
        <v>845</v>
      </c>
      <c r="F62" s="76">
        <v>405</v>
      </c>
      <c r="G62" s="76">
        <v>486</v>
      </c>
      <c r="H62" s="76">
        <v>464</v>
      </c>
      <c r="J62" s="106">
        <v>336</v>
      </c>
      <c r="K62" s="106">
        <v>374</v>
      </c>
      <c r="L62" s="106">
        <v>363</v>
      </c>
      <c r="M62" s="83">
        <f>F62</f>
        <v>405</v>
      </c>
      <c r="N62" s="106">
        <v>364</v>
      </c>
      <c r="O62" s="106">
        <v>377</v>
      </c>
      <c r="P62" s="106">
        <v>309</v>
      </c>
      <c r="Q62" s="83">
        <f>G62</f>
        <v>486</v>
      </c>
      <c r="R62" s="106">
        <v>380</v>
      </c>
      <c r="S62" s="106">
        <v>347</v>
      </c>
      <c r="T62" s="106">
        <v>361</v>
      </c>
      <c r="U62" s="30">
        <f t="shared" si="235"/>
        <v>464</v>
      </c>
      <c r="V62" s="106">
        <v>367</v>
      </c>
      <c r="W62" s="106">
        <v>448</v>
      </c>
      <c r="X62" s="106">
        <v>392</v>
      </c>
      <c r="Z62" s="30">
        <f t="shared" si="236"/>
        <v>364</v>
      </c>
      <c r="AA62" s="30">
        <f t="shared" si="237"/>
        <v>377</v>
      </c>
      <c r="AB62" s="30">
        <f t="shared" si="238"/>
        <v>309</v>
      </c>
      <c r="AC62" s="30">
        <f t="shared" si="239"/>
        <v>486</v>
      </c>
      <c r="AD62" s="30">
        <f t="shared" si="240"/>
        <v>380</v>
      </c>
      <c r="AE62" s="30">
        <f t="shared" si="241"/>
        <v>347</v>
      </c>
      <c r="AF62" s="30">
        <f t="shared" si="242"/>
        <v>361</v>
      </c>
      <c r="AG62" s="30">
        <f t="shared" si="243"/>
        <v>464</v>
      </c>
      <c r="AH62" s="30">
        <f t="shared" si="244"/>
        <v>367</v>
      </c>
      <c r="AI62" s="30">
        <f t="shared" si="245"/>
        <v>448</v>
      </c>
      <c r="AJ62" s="30">
        <f t="shared" si="246"/>
        <v>392</v>
      </c>
      <c r="AK62" s="11"/>
      <c r="AL62" s="68">
        <f t="shared" ref="AL62:AL66" si="248">SUM(AJ62/AF62)-1</f>
        <v>8.5872576177285387E-2</v>
      </c>
    </row>
    <row r="63" spans="2:38" ht="12.75" customHeight="1">
      <c r="B63" s="105" t="s">
        <v>114</v>
      </c>
      <c r="C63" s="76">
        <v>906</v>
      </c>
      <c r="D63" s="76">
        <v>972</v>
      </c>
      <c r="E63" s="76">
        <v>946</v>
      </c>
      <c r="F63" s="76">
        <v>843</v>
      </c>
      <c r="G63" s="76">
        <v>902</v>
      </c>
      <c r="H63" s="76">
        <v>741</v>
      </c>
      <c r="J63" s="106">
        <v>771</v>
      </c>
      <c r="K63" s="106">
        <v>820</v>
      </c>
      <c r="L63" s="106">
        <v>744</v>
      </c>
      <c r="M63" s="83">
        <f>F63</f>
        <v>843</v>
      </c>
      <c r="N63" s="106">
        <v>759</v>
      </c>
      <c r="O63" s="106">
        <v>709</v>
      </c>
      <c r="P63" s="106">
        <v>760</v>
      </c>
      <c r="Q63" s="83">
        <f>G63</f>
        <v>902</v>
      </c>
      <c r="R63" s="106">
        <v>812</v>
      </c>
      <c r="S63" s="106">
        <v>756</v>
      </c>
      <c r="T63" s="106">
        <v>690</v>
      </c>
      <c r="U63" s="30">
        <f t="shared" si="235"/>
        <v>741</v>
      </c>
      <c r="V63" s="106">
        <v>617</v>
      </c>
      <c r="W63" s="106">
        <v>684</v>
      </c>
      <c r="X63" s="106">
        <v>689</v>
      </c>
      <c r="Z63" s="30">
        <f t="shared" si="236"/>
        <v>759</v>
      </c>
      <c r="AA63" s="30">
        <f t="shared" si="237"/>
        <v>709</v>
      </c>
      <c r="AB63" s="30">
        <f t="shared" si="238"/>
        <v>760</v>
      </c>
      <c r="AC63" s="30">
        <f t="shared" si="239"/>
        <v>902</v>
      </c>
      <c r="AD63" s="30">
        <f t="shared" si="240"/>
        <v>812</v>
      </c>
      <c r="AE63" s="30">
        <f t="shared" si="241"/>
        <v>756</v>
      </c>
      <c r="AF63" s="30">
        <f t="shared" si="242"/>
        <v>690</v>
      </c>
      <c r="AG63" s="30">
        <f t="shared" si="243"/>
        <v>741</v>
      </c>
      <c r="AH63" s="30">
        <f t="shared" si="244"/>
        <v>617</v>
      </c>
      <c r="AI63" s="30">
        <f t="shared" si="245"/>
        <v>684</v>
      </c>
      <c r="AJ63" s="30">
        <f t="shared" si="246"/>
        <v>689</v>
      </c>
      <c r="AK63" s="11"/>
      <c r="AL63" s="68">
        <f t="shared" si="248"/>
        <v>-1.4492753623188692E-3</v>
      </c>
    </row>
    <row r="64" spans="2:38" ht="12.75" customHeight="1">
      <c r="B64" s="105" t="s">
        <v>95</v>
      </c>
      <c r="C64" s="76">
        <v>660</v>
      </c>
      <c r="D64" s="76">
        <v>693</v>
      </c>
      <c r="E64" s="76">
        <v>648</v>
      </c>
      <c r="F64" s="76">
        <v>638</v>
      </c>
      <c r="G64" s="76">
        <v>618</v>
      </c>
      <c r="H64" s="76">
        <v>617</v>
      </c>
      <c r="J64" s="106">
        <v>636</v>
      </c>
      <c r="K64" s="106">
        <v>629</v>
      </c>
      <c r="L64" s="106">
        <v>638</v>
      </c>
      <c r="M64" s="83">
        <f>F64</f>
        <v>638</v>
      </c>
      <c r="N64" s="106">
        <v>625</v>
      </c>
      <c r="O64" s="106">
        <v>615</v>
      </c>
      <c r="P64" s="106">
        <v>614</v>
      </c>
      <c r="Q64" s="83">
        <f>G64</f>
        <v>618</v>
      </c>
      <c r="R64" s="106">
        <v>613</v>
      </c>
      <c r="S64" s="106">
        <v>610</v>
      </c>
      <c r="T64" s="106">
        <v>616</v>
      </c>
      <c r="U64" s="30">
        <f t="shared" si="235"/>
        <v>617</v>
      </c>
      <c r="V64" s="106">
        <v>611</v>
      </c>
      <c r="W64" s="106">
        <v>610</v>
      </c>
      <c r="X64" s="106">
        <v>619</v>
      </c>
      <c r="Z64" s="30">
        <f t="shared" si="236"/>
        <v>625</v>
      </c>
      <c r="AA64" s="30">
        <f t="shared" si="237"/>
        <v>615</v>
      </c>
      <c r="AB64" s="30">
        <f t="shared" si="238"/>
        <v>614</v>
      </c>
      <c r="AC64" s="30">
        <f t="shared" si="239"/>
        <v>618</v>
      </c>
      <c r="AD64" s="30">
        <f t="shared" si="240"/>
        <v>613</v>
      </c>
      <c r="AE64" s="30">
        <f t="shared" si="241"/>
        <v>610</v>
      </c>
      <c r="AF64" s="30">
        <f t="shared" si="242"/>
        <v>616</v>
      </c>
      <c r="AG64" s="30">
        <f t="shared" si="243"/>
        <v>617</v>
      </c>
      <c r="AH64" s="30">
        <f t="shared" si="244"/>
        <v>611</v>
      </c>
      <c r="AI64" s="30">
        <f t="shared" si="245"/>
        <v>610</v>
      </c>
      <c r="AJ64" s="30">
        <f t="shared" si="246"/>
        <v>619</v>
      </c>
      <c r="AK64" s="11"/>
      <c r="AL64" s="68">
        <f t="shared" si="248"/>
        <v>4.8701298701299134E-3</v>
      </c>
    </row>
    <row r="65" spans="2:38" ht="12.75" customHeight="1">
      <c r="B65" s="105" t="s">
        <v>154</v>
      </c>
      <c r="C65" s="76">
        <v>14</v>
      </c>
      <c r="D65" s="76">
        <v>14</v>
      </c>
      <c r="E65" s="76">
        <v>13</v>
      </c>
      <c r="F65" s="76">
        <v>16</v>
      </c>
      <c r="G65" s="76">
        <v>13</v>
      </c>
      <c r="H65" s="76">
        <v>10</v>
      </c>
      <c r="J65" s="106">
        <v>15</v>
      </c>
      <c r="K65" s="106">
        <v>15</v>
      </c>
      <c r="L65" s="106">
        <v>16</v>
      </c>
      <c r="M65" s="83">
        <f>F65</f>
        <v>16</v>
      </c>
      <c r="N65" s="106">
        <v>15</v>
      </c>
      <c r="O65" s="106">
        <v>15</v>
      </c>
      <c r="P65" s="106">
        <v>15</v>
      </c>
      <c r="Q65" s="83">
        <f>G65</f>
        <v>13</v>
      </c>
      <c r="R65" s="106">
        <v>15</v>
      </c>
      <c r="S65" s="106">
        <v>13</v>
      </c>
      <c r="T65" s="106">
        <v>12</v>
      </c>
      <c r="U65" s="30">
        <f t="shared" si="235"/>
        <v>10</v>
      </c>
      <c r="V65" s="106">
        <v>10</v>
      </c>
      <c r="W65" s="106">
        <v>10</v>
      </c>
      <c r="X65" s="106">
        <v>10</v>
      </c>
      <c r="Z65" s="30">
        <f t="shared" si="236"/>
        <v>15</v>
      </c>
      <c r="AA65" s="30">
        <f t="shared" si="237"/>
        <v>15</v>
      </c>
      <c r="AB65" s="30">
        <f t="shared" si="238"/>
        <v>15</v>
      </c>
      <c r="AC65" s="30">
        <f t="shared" si="239"/>
        <v>13</v>
      </c>
      <c r="AD65" s="30">
        <f t="shared" si="240"/>
        <v>15</v>
      </c>
      <c r="AE65" s="30">
        <f t="shared" si="241"/>
        <v>13</v>
      </c>
      <c r="AF65" s="30">
        <f t="shared" si="242"/>
        <v>12</v>
      </c>
      <c r="AG65" s="30">
        <f t="shared" si="243"/>
        <v>10</v>
      </c>
      <c r="AH65" s="30">
        <f t="shared" si="244"/>
        <v>10</v>
      </c>
      <c r="AI65" s="30">
        <f t="shared" si="245"/>
        <v>10</v>
      </c>
      <c r="AJ65" s="30">
        <f t="shared" si="246"/>
        <v>10</v>
      </c>
      <c r="AK65" s="11"/>
      <c r="AL65" s="68"/>
    </row>
    <row r="66" spans="2:38" ht="12.75" customHeight="1">
      <c r="B66" s="105" t="s">
        <v>115</v>
      </c>
      <c r="C66" s="76">
        <f>14-C65</f>
        <v>0</v>
      </c>
      <c r="D66" s="76">
        <f>124-D65</f>
        <v>110</v>
      </c>
      <c r="E66" s="76">
        <f>13-E65</f>
        <v>0</v>
      </c>
      <c r="F66" s="76">
        <f>16-F65</f>
        <v>0</v>
      </c>
      <c r="G66" s="76">
        <f>13-G65</f>
        <v>0</v>
      </c>
      <c r="H66" s="76">
        <f>10-H65</f>
        <v>0</v>
      </c>
      <c r="J66" s="106">
        <f>15-J65</f>
        <v>0</v>
      </c>
      <c r="K66" s="106">
        <f>15-K65</f>
        <v>0</v>
      </c>
      <c r="L66" s="106">
        <f>16-L65</f>
        <v>0</v>
      </c>
      <c r="M66" s="83">
        <f>F66</f>
        <v>0</v>
      </c>
      <c r="N66" s="106">
        <f>15-N65</f>
        <v>0</v>
      </c>
      <c r="O66" s="106">
        <f>15-O65</f>
        <v>0</v>
      </c>
      <c r="P66" s="106">
        <f>15-P65</f>
        <v>0</v>
      </c>
      <c r="Q66" s="83">
        <f>G66</f>
        <v>0</v>
      </c>
      <c r="R66" s="106">
        <f>15-R65</f>
        <v>0</v>
      </c>
      <c r="S66" s="106">
        <f>13-S65</f>
        <v>0</v>
      </c>
      <c r="T66" s="106">
        <f>12-T65</f>
        <v>0</v>
      </c>
      <c r="U66" s="30">
        <f t="shared" si="235"/>
        <v>0</v>
      </c>
      <c r="V66" s="106">
        <f>10-V65</f>
        <v>0</v>
      </c>
      <c r="W66" s="106">
        <f>10-W65</f>
        <v>0</v>
      </c>
      <c r="X66" s="106">
        <f>10-X65</f>
        <v>0</v>
      </c>
      <c r="Z66" s="30">
        <f t="shared" si="236"/>
        <v>0</v>
      </c>
      <c r="AA66" s="30">
        <f t="shared" si="237"/>
        <v>0</v>
      </c>
      <c r="AB66" s="30">
        <f t="shared" si="238"/>
        <v>0</v>
      </c>
      <c r="AC66" s="30">
        <f t="shared" si="239"/>
        <v>0</v>
      </c>
      <c r="AD66" s="30">
        <f t="shared" si="240"/>
        <v>0</v>
      </c>
      <c r="AE66" s="30">
        <f t="shared" si="241"/>
        <v>0</v>
      </c>
      <c r="AF66" s="30">
        <f t="shared" si="242"/>
        <v>0</v>
      </c>
      <c r="AG66" s="30">
        <f t="shared" si="243"/>
        <v>0</v>
      </c>
      <c r="AH66" s="30">
        <f t="shared" si="244"/>
        <v>0</v>
      </c>
      <c r="AI66" s="30">
        <f t="shared" si="245"/>
        <v>0</v>
      </c>
      <c r="AJ66" s="30">
        <f t="shared" si="246"/>
        <v>0</v>
      </c>
      <c r="AK66" s="11"/>
      <c r="AL66" s="68" t="e">
        <f t="shared" si="248"/>
        <v>#DIV/0!</v>
      </c>
    </row>
    <row r="67" spans="2:38" ht="12.75" customHeight="1">
      <c r="B67" s="23" t="s">
        <v>20</v>
      </c>
      <c r="C67" s="24">
        <f>SUM(C59:C66)</f>
        <v>8060</v>
      </c>
      <c r="D67" s="24">
        <f>SUM(D59:D66)</f>
        <v>10521</v>
      </c>
      <c r="E67" s="24">
        <f>SUM(E59:E66)</f>
        <v>10674</v>
      </c>
      <c r="F67" s="24">
        <f>SUM(F59:F66)</f>
        <v>8979</v>
      </c>
      <c r="G67" s="24">
        <f>SUM(G59:G66)</f>
        <v>7909</v>
      </c>
      <c r="H67" s="24">
        <f>SUM(H59:H66)</f>
        <v>8016</v>
      </c>
      <c r="J67" s="24">
        <f>SUM(J59:J66)</f>
        <v>8635</v>
      </c>
      <c r="K67" s="24">
        <f>SUM(K59:K66)</f>
        <v>8650</v>
      </c>
      <c r="L67" s="24">
        <f>SUM(L59:L66)</f>
        <v>10170</v>
      </c>
      <c r="M67" s="24">
        <f>SUM(M59:M66)</f>
        <v>8979</v>
      </c>
      <c r="N67" s="24">
        <f>SUM(N59:N66)</f>
        <v>7908</v>
      </c>
      <c r="O67" s="24">
        <f>SUM(O59:O66)</f>
        <v>8433</v>
      </c>
      <c r="P67" s="24">
        <f>SUM(P59:P66)</f>
        <v>10010</v>
      </c>
      <c r="Q67" s="24">
        <f>SUM(Q59:Q66)</f>
        <v>7909</v>
      </c>
      <c r="R67" s="24">
        <f>SUM(R59:R66)</f>
        <v>7649</v>
      </c>
      <c r="S67" s="24">
        <f>SUM(S59:S66)</f>
        <v>8451</v>
      </c>
      <c r="T67" s="24">
        <f t="shared" ref="T67:X67" si="249">SUM(T59:T66)</f>
        <v>9948</v>
      </c>
      <c r="U67" s="24">
        <f t="shared" si="249"/>
        <v>8016</v>
      </c>
      <c r="V67" s="24">
        <f t="shared" si="249"/>
        <v>7412</v>
      </c>
      <c r="W67" s="24">
        <f t="shared" si="249"/>
        <v>8553</v>
      </c>
      <c r="X67" s="24">
        <f t="shared" si="249"/>
        <v>10113</v>
      </c>
      <c r="Y67" s="45"/>
      <c r="Z67" s="24">
        <f>SUM(Z59:Z66)</f>
        <v>7908</v>
      </c>
      <c r="AA67" s="24">
        <f>SUM(AA59:AA66)</f>
        <v>8433</v>
      </c>
      <c r="AB67" s="24">
        <f>SUM(AB59:AB66)</f>
        <v>10010</v>
      </c>
      <c r="AC67" s="24">
        <f>SUM(AC59:AC66)</f>
        <v>7909</v>
      </c>
      <c r="AD67" s="24">
        <f>SUM(AD59:AD66)</f>
        <v>7649</v>
      </c>
      <c r="AE67" s="24">
        <f>SUM(AE59:AE66)</f>
        <v>8451</v>
      </c>
      <c r="AF67" s="24">
        <f>SUM(AF59:AF66)</f>
        <v>9948</v>
      </c>
      <c r="AG67" s="24">
        <f>SUM(AG59:AG66)</f>
        <v>8016</v>
      </c>
      <c r="AH67" s="24">
        <f>SUM(AH59:AH66)</f>
        <v>7412</v>
      </c>
      <c r="AI67" s="24">
        <f>SUM(AI59:AI66)</f>
        <v>8553</v>
      </c>
      <c r="AJ67" s="24">
        <f>SUM(AJ59:AJ66)</f>
        <v>10113</v>
      </c>
      <c r="AK67" s="39"/>
      <c r="AL67" s="69">
        <f>SUM(AJ67/AF67)-1</f>
        <v>1.6586248492159283E-2</v>
      </c>
    </row>
    <row r="68" spans="2:38" ht="5.0999999999999996" customHeight="1">
      <c r="B68" s="23"/>
      <c r="C68" s="47"/>
      <c r="D68" s="47"/>
      <c r="E68" s="47"/>
      <c r="F68" s="38"/>
      <c r="G68" s="38"/>
      <c r="H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6"/>
    </row>
    <row r="69" spans="2:38">
      <c r="B69" s="72" t="s">
        <v>92</v>
      </c>
      <c r="C69" s="47"/>
      <c r="D69" s="47"/>
      <c r="E69" s="47"/>
      <c r="F69" s="38"/>
      <c r="G69" s="38"/>
      <c r="H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6"/>
    </row>
    <row r="70" spans="2:38" ht="12.75" customHeight="1">
      <c r="B70" s="105" t="s">
        <v>116</v>
      </c>
      <c r="C70" s="76">
        <v>2138</v>
      </c>
      <c r="D70" s="76">
        <v>2012</v>
      </c>
      <c r="E70" s="76">
        <v>2061</v>
      </c>
      <c r="F70" s="76">
        <v>2164</v>
      </c>
      <c r="G70" s="76">
        <v>2199</v>
      </c>
      <c r="H70" s="76">
        <v>2282</v>
      </c>
      <c r="J70" s="106">
        <v>2121</v>
      </c>
      <c r="K70" s="106">
        <v>2221</v>
      </c>
      <c r="L70" s="106">
        <v>2216</v>
      </c>
      <c r="M70" s="83">
        <f>F70</f>
        <v>2164</v>
      </c>
      <c r="N70" s="106">
        <v>2128</v>
      </c>
      <c r="O70" s="106">
        <v>2254</v>
      </c>
      <c r="P70" s="106">
        <v>2270</v>
      </c>
      <c r="Q70" s="83">
        <f>G70</f>
        <v>2199</v>
      </c>
      <c r="R70" s="106">
        <v>2222</v>
      </c>
      <c r="S70" s="106">
        <v>2316</v>
      </c>
      <c r="T70" s="106">
        <v>2293</v>
      </c>
      <c r="U70" s="30">
        <f t="shared" ref="U70:U73" si="250">H70</f>
        <v>2282</v>
      </c>
      <c r="V70" s="106">
        <v>2277</v>
      </c>
      <c r="W70" s="106">
        <v>2292</v>
      </c>
      <c r="X70" s="106">
        <v>2309</v>
      </c>
      <c r="Z70" s="30">
        <f t="shared" ref="Z70:Z73" si="251">N70</f>
        <v>2128</v>
      </c>
      <c r="AA70" s="30">
        <f t="shared" ref="AA70:AA73" si="252">O70</f>
        <v>2254</v>
      </c>
      <c r="AB70" s="30">
        <f t="shared" ref="AB70:AB73" si="253">P70</f>
        <v>2270</v>
      </c>
      <c r="AC70" s="30">
        <f t="shared" ref="AC70:AC73" si="254">Q70</f>
        <v>2199</v>
      </c>
      <c r="AD70" s="30">
        <f t="shared" ref="AD70:AD73" si="255">R70</f>
        <v>2222</v>
      </c>
      <c r="AE70" s="30">
        <f t="shared" ref="AE70:AE73" si="256">S70</f>
        <v>2316</v>
      </c>
      <c r="AF70" s="30">
        <f t="shared" ref="AF70:AF73" si="257">T70</f>
        <v>2293</v>
      </c>
      <c r="AG70" s="30">
        <f t="shared" ref="AG70:AG73" si="258">U70</f>
        <v>2282</v>
      </c>
      <c r="AH70" s="30">
        <f t="shared" ref="AH70:AH73" si="259">V70</f>
        <v>2277</v>
      </c>
      <c r="AI70" s="30">
        <f t="shared" ref="AI70:AI73" si="260">W70</f>
        <v>2292</v>
      </c>
      <c r="AJ70" s="30">
        <f t="shared" ref="AJ70:AJ73" si="261">X70</f>
        <v>2309</v>
      </c>
      <c r="AK70" s="39"/>
      <c r="AL70" s="68">
        <f t="shared" ref="AL70:AL73" si="262">SUM(AJ70/AF70)-1</f>
        <v>6.9777583951156075E-3</v>
      </c>
    </row>
    <row r="71" spans="2:38" ht="12.75" customHeight="1">
      <c r="B71" s="105" t="s">
        <v>117</v>
      </c>
      <c r="C71" s="76">
        <v>657</v>
      </c>
      <c r="D71" s="76">
        <v>694</v>
      </c>
      <c r="E71" s="76">
        <v>533</v>
      </c>
      <c r="F71" s="76">
        <v>705</v>
      </c>
      <c r="G71" s="76">
        <v>654</v>
      </c>
      <c r="H71" s="76">
        <v>532</v>
      </c>
      <c r="J71" s="106">
        <v>558</v>
      </c>
      <c r="K71" s="106">
        <v>472</v>
      </c>
      <c r="L71" s="106">
        <v>500</v>
      </c>
      <c r="M71" s="83">
        <f>F71</f>
        <v>705</v>
      </c>
      <c r="N71" s="106">
        <v>704</v>
      </c>
      <c r="O71" s="106">
        <v>651</v>
      </c>
      <c r="P71" s="106">
        <v>660</v>
      </c>
      <c r="Q71" s="83">
        <f>G71</f>
        <v>654</v>
      </c>
      <c r="R71" s="106">
        <v>665</v>
      </c>
      <c r="S71" s="106">
        <v>593</v>
      </c>
      <c r="T71" s="106">
        <v>551</v>
      </c>
      <c r="U71" s="30">
        <f t="shared" si="250"/>
        <v>532</v>
      </c>
      <c r="V71" s="106">
        <v>523</v>
      </c>
      <c r="W71" s="106">
        <v>528</v>
      </c>
      <c r="X71" s="106">
        <v>556</v>
      </c>
      <c r="Z71" s="30">
        <f t="shared" si="251"/>
        <v>704</v>
      </c>
      <c r="AA71" s="30">
        <f t="shared" si="252"/>
        <v>651</v>
      </c>
      <c r="AB71" s="30">
        <f t="shared" si="253"/>
        <v>660</v>
      </c>
      <c r="AC71" s="30">
        <f t="shared" si="254"/>
        <v>654</v>
      </c>
      <c r="AD71" s="30">
        <f t="shared" si="255"/>
        <v>665</v>
      </c>
      <c r="AE71" s="30">
        <f t="shared" si="256"/>
        <v>593</v>
      </c>
      <c r="AF71" s="30">
        <f t="shared" si="257"/>
        <v>551</v>
      </c>
      <c r="AG71" s="30">
        <f t="shared" si="258"/>
        <v>532</v>
      </c>
      <c r="AH71" s="30">
        <f t="shared" si="259"/>
        <v>523</v>
      </c>
      <c r="AI71" s="30">
        <f t="shared" si="260"/>
        <v>528</v>
      </c>
      <c r="AJ71" s="30">
        <f t="shared" si="261"/>
        <v>556</v>
      </c>
      <c r="AK71" s="39"/>
      <c r="AL71" s="68">
        <f t="shared" si="262"/>
        <v>9.0744101633393193E-3</v>
      </c>
    </row>
    <row r="72" spans="2:38" ht="12.75" customHeight="1">
      <c r="B72" s="105" t="s">
        <v>155</v>
      </c>
      <c r="C72" s="76">
        <v>24</v>
      </c>
      <c r="D72" s="76">
        <v>24</v>
      </c>
      <c r="E72" s="76">
        <v>27</v>
      </c>
      <c r="F72" s="76">
        <v>26</v>
      </c>
      <c r="G72" s="76">
        <v>21</v>
      </c>
      <c r="H72" s="76">
        <v>15</v>
      </c>
      <c r="J72" s="106">
        <f>41-J65</f>
        <v>26</v>
      </c>
      <c r="K72" s="106">
        <f>40-K65</f>
        <v>25</v>
      </c>
      <c r="L72" s="106">
        <f>44-L65</f>
        <v>28</v>
      </c>
      <c r="M72" s="83">
        <f>F72</f>
        <v>26</v>
      </c>
      <c r="N72" s="106">
        <f>40-N65</f>
        <v>25</v>
      </c>
      <c r="O72" s="106">
        <f>39-O65</f>
        <v>24</v>
      </c>
      <c r="P72" s="106">
        <f>39-P65</f>
        <v>24</v>
      </c>
      <c r="Q72" s="83">
        <f>G72</f>
        <v>21</v>
      </c>
      <c r="R72" s="106">
        <f>34-R65</f>
        <v>19</v>
      </c>
      <c r="S72" s="106">
        <f>29-S65</f>
        <v>16</v>
      </c>
      <c r="T72" s="106">
        <f>29-T65</f>
        <v>17</v>
      </c>
      <c r="U72" s="30">
        <f t="shared" si="250"/>
        <v>15</v>
      </c>
      <c r="V72" s="106">
        <f>27-V65</f>
        <v>17</v>
      </c>
      <c r="W72" s="106">
        <f>30-W65</f>
        <v>20</v>
      </c>
      <c r="X72" s="106">
        <f>28-X65</f>
        <v>18</v>
      </c>
      <c r="Z72" s="30">
        <f t="shared" si="251"/>
        <v>25</v>
      </c>
      <c r="AA72" s="30">
        <f t="shared" si="252"/>
        <v>24</v>
      </c>
      <c r="AB72" s="30">
        <f t="shared" si="253"/>
        <v>24</v>
      </c>
      <c r="AC72" s="30">
        <f t="shared" si="254"/>
        <v>21</v>
      </c>
      <c r="AD72" s="30">
        <f t="shared" si="255"/>
        <v>19</v>
      </c>
      <c r="AE72" s="30">
        <f t="shared" si="256"/>
        <v>16</v>
      </c>
      <c r="AF72" s="30">
        <f t="shared" si="257"/>
        <v>17</v>
      </c>
      <c r="AG72" s="30">
        <f t="shared" si="258"/>
        <v>15</v>
      </c>
      <c r="AH72" s="30">
        <f t="shared" si="259"/>
        <v>17</v>
      </c>
      <c r="AI72" s="30">
        <f t="shared" si="260"/>
        <v>20</v>
      </c>
      <c r="AJ72" s="30">
        <f t="shared" si="261"/>
        <v>18</v>
      </c>
      <c r="AK72" s="39"/>
      <c r="AL72" s="68"/>
    </row>
    <row r="73" spans="2:38" ht="12.75" customHeight="1">
      <c r="B73" s="105" t="s">
        <v>118</v>
      </c>
      <c r="C73" s="76">
        <f>1257-C72</f>
        <v>1233</v>
      </c>
      <c r="D73" s="76">
        <f>1253-D72</f>
        <v>1229</v>
      </c>
      <c r="E73" s="76">
        <f>1216-E72</f>
        <v>1189</v>
      </c>
      <c r="F73" s="76">
        <f>1160-F72</f>
        <v>1134</v>
      </c>
      <c r="G73" s="76">
        <f>1152-G72</f>
        <v>1131</v>
      </c>
      <c r="H73" s="76">
        <f>1144-H72</f>
        <v>1129</v>
      </c>
      <c r="J73" s="106">
        <f>1170-J72</f>
        <v>1144</v>
      </c>
      <c r="K73" s="106">
        <f>1184-K72</f>
        <v>1159</v>
      </c>
      <c r="L73" s="106">
        <f>1142-L72</f>
        <v>1114</v>
      </c>
      <c r="M73" s="83">
        <f>F73</f>
        <v>1134</v>
      </c>
      <c r="N73" s="106">
        <f>1155-N72</f>
        <v>1130</v>
      </c>
      <c r="O73" s="106">
        <f>1145-O72</f>
        <v>1121</v>
      </c>
      <c r="P73" s="106">
        <f>1130-P72</f>
        <v>1106</v>
      </c>
      <c r="Q73" s="83">
        <f>G73</f>
        <v>1131</v>
      </c>
      <c r="R73" s="106">
        <f>1134-R72</f>
        <v>1115</v>
      </c>
      <c r="S73" s="106">
        <f>1157-S72</f>
        <v>1141</v>
      </c>
      <c r="T73" s="106">
        <f>1144-T72</f>
        <v>1127</v>
      </c>
      <c r="U73" s="30">
        <f t="shared" si="250"/>
        <v>1129</v>
      </c>
      <c r="V73" s="106">
        <f>1153-V72</f>
        <v>1136</v>
      </c>
      <c r="W73" s="106">
        <f>1164-W72</f>
        <v>1144</v>
      </c>
      <c r="X73" s="106">
        <f>1155-X72</f>
        <v>1137</v>
      </c>
      <c r="Z73" s="30">
        <f t="shared" si="251"/>
        <v>1130</v>
      </c>
      <c r="AA73" s="30">
        <f t="shared" si="252"/>
        <v>1121</v>
      </c>
      <c r="AB73" s="30">
        <f t="shared" si="253"/>
        <v>1106</v>
      </c>
      <c r="AC73" s="30">
        <f t="shared" si="254"/>
        <v>1131</v>
      </c>
      <c r="AD73" s="30">
        <f t="shared" si="255"/>
        <v>1115</v>
      </c>
      <c r="AE73" s="30">
        <f t="shared" si="256"/>
        <v>1141</v>
      </c>
      <c r="AF73" s="30">
        <f t="shared" si="257"/>
        <v>1127</v>
      </c>
      <c r="AG73" s="30">
        <f t="shared" si="258"/>
        <v>1129</v>
      </c>
      <c r="AH73" s="30">
        <f t="shared" si="259"/>
        <v>1136</v>
      </c>
      <c r="AI73" s="30">
        <f t="shared" si="260"/>
        <v>1144</v>
      </c>
      <c r="AJ73" s="30">
        <f t="shared" si="261"/>
        <v>1137</v>
      </c>
      <c r="AK73" s="39"/>
      <c r="AL73" s="68">
        <f t="shared" si="262"/>
        <v>8.8731144631766234E-3</v>
      </c>
    </row>
    <row r="74" spans="2:38" ht="12.75" customHeight="1">
      <c r="B74" s="12" t="s">
        <v>18</v>
      </c>
      <c r="C74" s="13">
        <f>SUM(C70:C73)+C67</f>
        <v>12112</v>
      </c>
      <c r="D74" s="13">
        <f>SUM(D70:D73)+D67</f>
        <v>14480</v>
      </c>
      <c r="E74" s="13">
        <f>SUM(E70:E73)+E67</f>
        <v>14484</v>
      </c>
      <c r="F74" s="13">
        <f>SUM(F70:F73)+F67</f>
        <v>13008</v>
      </c>
      <c r="G74" s="13">
        <f>SUM(G70:G73)+G67</f>
        <v>11914</v>
      </c>
      <c r="H74" s="13">
        <f>SUM(H70:H73)+H67</f>
        <v>11974</v>
      </c>
      <c r="J74" s="13">
        <f>SUM(J70:J73)+J67</f>
        <v>12484</v>
      </c>
      <c r="K74" s="13">
        <f>SUM(K70:K73)+K67</f>
        <v>12527</v>
      </c>
      <c r="L74" s="13">
        <f>SUM(L70:L73)+L67</f>
        <v>14028</v>
      </c>
      <c r="M74" s="13">
        <f>SUM(M70:M73)+M67</f>
        <v>13008</v>
      </c>
      <c r="N74" s="13">
        <f>SUM(N70:N73)+N67</f>
        <v>11895</v>
      </c>
      <c r="O74" s="13">
        <f>SUM(O70:O73)+O67</f>
        <v>12483</v>
      </c>
      <c r="P74" s="13">
        <f>SUM(P70:P73)+P67</f>
        <v>14070</v>
      </c>
      <c r="Q74" s="13">
        <f>SUM(Q70:Q73)+Q67</f>
        <v>11914</v>
      </c>
      <c r="R74" s="13">
        <f>SUM(R70:R73)+R67</f>
        <v>11670</v>
      </c>
      <c r="S74" s="13">
        <f>SUM(S70:S73)+S67</f>
        <v>12517</v>
      </c>
      <c r="T74" s="13">
        <f t="shared" ref="T74:X74" si="263">SUM(T70:T73)+T67</f>
        <v>13936</v>
      </c>
      <c r="U74" s="13">
        <f t="shared" si="263"/>
        <v>11974</v>
      </c>
      <c r="V74" s="13">
        <f t="shared" si="263"/>
        <v>11365</v>
      </c>
      <c r="W74" s="13">
        <f t="shared" si="263"/>
        <v>12537</v>
      </c>
      <c r="X74" s="13">
        <f t="shared" si="263"/>
        <v>14133</v>
      </c>
      <c r="Z74" s="13">
        <f>SUM(Z70:Z73)+Z67</f>
        <v>11895</v>
      </c>
      <c r="AA74" s="13">
        <f>SUM(AA70:AA73)+AA67</f>
        <v>12483</v>
      </c>
      <c r="AB74" s="13">
        <f>SUM(AB70:AB73)+AB67</f>
        <v>14070</v>
      </c>
      <c r="AC74" s="13">
        <f>SUM(AC70:AC73)+AC67</f>
        <v>11914</v>
      </c>
      <c r="AD74" s="13">
        <f>SUM(AD70:AD73)+AD67</f>
        <v>11670</v>
      </c>
      <c r="AE74" s="13">
        <f>SUM(AE70:AE73)+AE67</f>
        <v>12517</v>
      </c>
      <c r="AF74" s="13">
        <f>SUM(AF70:AF73)+AF67</f>
        <v>13936</v>
      </c>
      <c r="AG74" s="13">
        <f>SUM(AG70:AG73)+AG67</f>
        <v>11974</v>
      </c>
      <c r="AH74" s="13">
        <f>SUM(AH70:AH73)+AH67</f>
        <v>11365</v>
      </c>
      <c r="AI74" s="13">
        <f>SUM(AI70:AI73)+AI67</f>
        <v>12537</v>
      </c>
      <c r="AJ74" s="13">
        <f>SUM(AJ70:AJ73)+AJ67</f>
        <v>14133</v>
      </c>
      <c r="AK74" s="39"/>
      <c r="AL74" s="69">
        <f>SUM(AJ74/AF74)-1</f>
        <v>1.4136050516647458E-2</v>
      </c>
    </row>
    <row r="75" spans="2:38" ht="5.0999999999999996" customHeight="1">
      <c r="B75" s="23"/>
      <c r="C75" s="46"/>
      <c r="D75" s="46"/>
      <c r="E75" s="46"/>
      <c r="F75" s="38"/>
      <c r="G75" s="38"/>
      <c r="H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6"/>
    </row>
    <row r="76" spans="2:38" ht="12.75" customHeight="1">
      <c r="B76" s="9" t="s">
        <v>81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J76" s="106">
        <v>0</v>
      </c>
      <c r="K76" s="106">
        <v>0</v>
      </c>
      <c r="L76" s="106">
        <v>0</v>
      </c>
      <c r="M76" s="83">
        <f>F76</f>
        <v>0</v>
      </c>
      <c r="N76" s="106">
        <v>0</v>
      </c>
      <c r="O76" s="106">
        <v>0</v>
      </c>
      <c r="P76" s="106">
        <v>0</v>
      </c>
      <c r="Q76" s="83">
        <f>G76</f>
        <v>0</v>
      </c>
      <c r="R76" s="106">
        <v>0</v>
      </c>
      <c r="S76" s="106">
        <v>0</v>
      </c>
      <c r="T76" s="106">
        <v>0</v>
      </c>
      <c r="U76" s="30">
        <f t="shared" ref="U76:U80" si="264">H76</f>
        <v>0</v>
      </c>
      <c r="V76" s="106">
        <v>0</v>
      </c>
      <c r="W76" s="106">
        <v>0</v>
      </c>
      <c r="X76" s="106">
        <v>0</v>
      </c>
      <c r="Z76" s="30">
        <f t="shared" ref="Z76:Z80" si="265">N76</f>
        <v>0</v>
      </c>
      <c r="AA76" s="30">
        <f t="shared" ref="AA76:AA80" si="266">O76</f>
        <v>0</v>
      </c>
      <c r="AB76" s="30">
        <f t="shared" ref="AB76:AB80" si="267">P76</f>
        <v>0</v>
      </c>
      <c r="AC76" s="30">
        <f t="shared" ref="AC76:AC80" si="268">Q76</f>
        <v>0</v>
      </c>
      <c r="AD76" s="30">
        <f t="shared" ref="AD76:AD80" si="269">R76</f>
        <v>0</v>
      </c>
      <c r="AE76" s="30">
        <f t="shared" ref="AE76:AE80" si="270">S76</f>
        <v>0</v>
      </c>
      <c r="AF76" s="30">
        <f t="shared" ref="AF76:AF80" si="271">T76</f>
        <v>0</v>
      </c>
      <c r="AG76" s="30">
        <f t="shared" ref="AG76:AG80" si="272">U76</f>
        <v>0</v>
      </c>
      <c r="AH76" s="30">
        <f t="shared" ref="AH76:AH80" si="273">V76</f>
        <v>0</v>
      </c>
      <c r="AI76" s="30">
        <f t="shared" ref="AI76:AI80" si="274">W76</f>
        <v>0</v>
      </c>
      <c r="AJ76" s="30">
        <f t="shared" ref="AJ76:AJ80" si="275">X76</f>
        <v>0</v>
      </c>
      <c r="AK76" s="11"/>
      <c r="AL76" s="68" t="e">
        <f t="shared" ref="AL76:AL80" si="276">SUM(AJ76/AF76)-1</f>
        <v>#DIV/0!</v>
      </c>
    </row>
    <row r="77" spans="2:38" ht="12.75" customHeight="1">
      <c r="B77" s="9" t="s">
        <v>21</v>
      </c>
      <c r="C77" s="76">
        <v>26</v>
      </c>
      <c r="D77" s="76">
        <v>26</v>
      </c>
      <c r="E77" s="76">
        <v>23</v>
      </c>
      <c r="F77" s="76">
        <v>22</v>
      </c>
      <c r="G77" s="76">
        <v>22</v>
      </c>
      <c r="H77" s="76">
        <v>22</v>
      </c>
      <c r="J77" s="106">
        <v>22</v>
      </c>
      <c r="K77" s="106">
        <v>22</v>
      </c>
      <c r="L77" s="106">
        <v>22</v>
      </c>
      <c r="M77" s="83">
        <f>F77</f>
        <v>22</v>
      </c>
      <c r="N77" s="106">
        <v>22</v>
      </c>
      <c r="O77" s="106">
        <v>22</v>
      </c>
      <c r="P77" s="106">
        <v>22</v>
      </c>
      <c r="Q77" s="83">
        <f>G77</f>
        <v>22</v>
      </c>
      <c r="R77" s="106">
        <v>22</v>
      </c>
      <c r="S77" s="106">
        <v>22</v>
      </c>
      <c r="T77" s="106">
        <v>22</v>
      </c>
      <c r="U77" s="30">
        <f t="shared" si="264"/>
        <v>22</v>
      </c>
      <c r="V77" s="106">
        <v>22</v>
      </c>
      <c r="W77" s="106">
        <v>22</v>
      </c>
      <c r="X77" s="106">
        <v>22</v>
      </c>
      <c r="Z77" s="30">
        <f t="shared" si="265"/>
        <v>22</v>
      </c>
      <c r="AA77" s="30">
        <f t="shared" si="266"/>
        <v>22</v>
      </c>
      <c r="AB77" s="30">
        <f t="shared" si="267"/>
        <v>22</v>
      </c>
      <c r="AC77" s="30">
        <f t="shared" si="268"/>
        <v>22</v>
      </c>
      <c r="AD77" s="30">
        <f t="shared" si="269"/>
        <v>22</v>
      </c>
      <c r="AE77" s="30">
        <f t="shared" si="270"/>
        <v>22</v>
      </c>
      <c r="AF77" s="30">
        <f t="shared" si="271"/>
        <v>22</v>
      </c>
      <c r="AG77" s="30">
        <f t="shared" si="272"/>
        <v>22</v>
      </c>
      <c r="AH77" s="30">
        <f t="shared" si="273"/>
        <v>22</v>
      </c>
      <c r="AI77" s="30">
        <f t="shared" si="274"/>
        <v>22</v>
      </c>
      <c r="AJ77" s="30">
        <f t="shared" si="275"/>
        <v>22</v>
      </c>
      <c r="AK77" s="11"/>
      <c r="AL77" s="68">
        <f t="shared" si="276"/>
        <v>0</v>
      </c>
    </row>
    <row r="78" spans="2:38" ht="12.75" customHeight="1">
      <c r="B78" s="9" t="s">
        <v>96</v>
      </c>
      <c r="C78" s="76">
        <v>0</v>
      </c>
      <c r="D78" s="76">
        <v>0</v>
      </c>
      <c r="E78" s="76">
        <v>0</v>
      </c>
      <c r="F78" s="76">
        <v>21</v>
      </c>
      <c r="G78" s="76">
        <v>31</v>
      </c>
      <c r="H78" s="76">
        <v>0</v>
      </c>
      <c r="J78" s="106">
        <v>0</v>
      </c>
      <c r="K78" s="106">
        <v>20</v>
      </c>
      <c r="L78" s="106">
        <v>61</v>
      </c>
      <c r="M78" s="83">
        <f>F78</f>
        <v>21</v>
      </c>
      <c r="N78" s="106">
        <v>0</v>
      </c>
      <c r="O78" s="106">
        <v>0</v>
      </c>
      <c r="P78" s="106">
        <v>0</v>
      </c>
      <c r="Q78" s="83">
        <f>G78</f>
        <v>31</v>
      </c>
      <c r="R78" s="106">
        <v>26</v>
      </c>
      <c r="S78" s="106">
        <v>0</v>
      </c>
      <c r="T78" s="106">
        <v>0</v>
      </c>
      <c r="U78" s="30">
        <f t="shared" si="264"/>
        <v>0</v>
      </c>
      <c r="V78" s="106">
        <v>0</v>
      </c>
      <c r="W78" s="106">
        <v>0</v>
      </c>
      <c r="X78" s="106">
        <v>16</v>
      </c>
      <c r="Z78" s="30">
        <f t="shared" si="265"/>
        <v>0</v>
      </c>
      <c r="AA78" s="30">
        <f t="shared" si="266"/>
        <v>0</v>
      </c>
      <c r="AB78" s="30">
        <f t="shared" si="267"/>
        <v>0</v>
      </c>
      <c r="AC78" s="30">
        <f t="shared" si="268"/>
        <v>31</v>
      </c>
      <c r="AD78" s="30">
        <f t="shared" si="269"/>
        <v>26</v>
      </c>
      <c r="AE78" s="30">
        <f t="shared" si="270"/>
        <v>0</v>
      </c>
      <c r="AF78" s="30">
        <f t="shared" si="271"/>
        <v>0</v>
      </c>
      <c r="AG78" s="30">
        <f t="shared" si="272"/>
        <v>0</v>
      </c>
      <c r="AH78" s="30">
        <f t="shared" si="273"/>
        <v>0</v>
      </c>
      <c r="AI78" s="30">
        <f t="shared" si="274"/>
        <v>0</v>
      </c>
      <c r="AJ78" s="30">
        <f t="shared" si="275"/>
        <v>16</v>
      </c>
      <c r="AK78" s="11"/>
      <c r="AL78" s="68" t="e">
        <f t="shared" si="276"/>
        <v>#DIV/0!</v>
      </c>
    </row>
    <row r="79" spans="2:38" ht="12.75" customHeight="1">
      <c r="B79" s="9" t="s">
        <v>119</v>
      </c>
      <c r="C79" s="76">
        <v>3158</v>
      </c>
      <c r="D79" s="76">
        <v>4233</v>
      </c>
      <c r="E79" s="76">
        <v>2668</v>
      </c>
      <c r="F79" s="76">
        <v>2430</v>
      </c>
      <c r="G79" s="76">
        <v>2683</v>
      </c>
      <c r="H79" s="76">
        <v>2486</v>
      </c>
      <c r="J79" s="106">
        <v>2417</v>
      </c>
      <c r="K79" s="106">
        <v>2522</v>
      </c>
      <c r="L79" s="106">
        <v>2597</v>
      </c>
      <c r="M79" s="83">
        <f>F79</f>
        <v>2430</v>
      </c>
      <c r="N79" s="106">
        <v>2454</v>
      </c>
      <c r="O79" s="106">
        <v>2491</v>
      </c>
      <c r="P79" s="106">
        <v>2482</v>
      </c>
      <c r="Q79" s="83">
        <f>G79</f>
        <v>2683</v>
      </c>
      <c r="R79" s="106">
        <v>2722</v>
      </c>
      <c r="S79" s="106">
        <v>2775</v>
      </c>
      <c r="T79" s="106">
        <v>2751</v>
      </c>
      <c r="U79" s="30">
        <f t="shared" si="264"/>
        <v>2486</v>
      </c>
      <c r="V79" s="106">
        <v>2428</v>
      </c>
      <c r="W79" s="106">
        <v>2381</v>
      </c>
      <c r="X79" s="106">
        <v>2306</v>
      </c>
      <c r="Z79" s="30">
        <f t="shared" si="265"/>
        <v>2454</v>
      </c>
      <c r="AA79" s="30">
        <f t="shared" si="266"/>
        <v>2491</v>
      </c>
      <c r="AB79" s="30">
        <f t="shared" si="267"/>
        <v>2482</v>
      </c>
      <c r="AC79" s="30">
        <f t="shared" si="268"/>
        <v>2683</v>
      </c>
      <c r="AD79" s="30">
        <f t="shared" si="269"/>
        <v>2722</v>
      </c>
      <c r="AE79" s="30">
        <f t="shared" si="270"/>
        <v>2775</v>
      </c>
      <c r="AF79" s="30">
        <f t="shared" si="271"/>
        <v>2751</v>
      </c>
      <c r="AG79" s="30">
        <f t="shared" si="272"/>
        <v>2486</v>
      </c>
      <c r="AH79" s="30">
        <f t="shared" si="273"/>
        <v>2428</v>
      </c>
      <c r="AI79" s="30">
        <f t="shared" si="274"/>
        <v>2381</v>
      </c>
      <c r="AJ79" s="30">
        <f t="shared" si="275"/>
        <v>2306</v>
      </c>
      <c r="AK79" s="11"/>
      <c r="AL79" s="68">
        <f t="shared" si="276"/>
        <v>-0.1617593602326427</v>
      </c>
    </row>
    <row r="80" spans="2:38" ht="12.75" customHeight="1">
      <c r="B80" s="9" t="s">
        <v>120</v>
      </c>
      <c r="C80" s="76">
        <v>295</v>
      </c>
      <c r="D80" s="76">
        <v>328</v>
      </c>
      <c r="E80" s="76">
        <v>329</v>
      </c>
      <c r="F80" s="76">
        <v>322</v>
      </c>
      <c r="G80" s="76">
        <v>317</v>
      </c>
      <c r="H80" s="76">
        <v>300</v>
      </c>
      <c r="J80" s="106">
        <v>328</v>
      </c>
      <c r="K80" s="106">
        <v>328</v>
      </c>
      <c r="L80" s="106">
        <v>313</v>
      </c>
      <c r="M80" s="83">
        <f>F80</f>
        <v>322</v>
      </c>
      <c r="N80" s="106">
        <v>317</v>
      </c>
      <c r="O80" s="106">
        <v>322</v>
      </c>
      <c r="P80" s="106">
        <v>308</v>
      </c>
      <c r="Q80" s="83">
        <f>G80</f>
        <v>317</v>
      </c>
      <c r="R80" s="106">
        <v>312</v>
      </c>
      <c r="S80" s="106">
        <v>310</v>
      </c>
      <c r="T80" s="106">
        <v>309</v>
      </c>
      <c r="U80" s="30">
        <f t="shared" si="264"/>
        <v>300</v>
      </c>
      <c r="V80" s="106">
        <v>313</v>
      </c>
      <c r="W80" s="106">
        <v>313</v>
      </c>
      <c r="X80" s="106">
        <v>309</v>
      </c>
      <c r="Z80" s="30">
        <f t="shared" si="265"/>
        <v>317</v>
      </c>
      <c r="AA80" s="30">
        <f t="shared" si="266"/>
        <v>322</v>
      </c>
      <c r="AB80" s="30">
        <f t="shared" si="267"/>
        <v>308</v>
      </c>
      <c r="AC80" s="30">
        <f t="shared" si="268"/>
        <v>317</v>
      </c>
      <c r="AD80" s="30">
        <f t="shared" si="269"/>
        <v>312</v>
      </c>
      <c r="AE80" s="30">
        <f t="shared" si="270"/>
        <v>310</v>
      </c>
      <c r="AF80" s="30">
        <f t="shared" si="271"/>
        <v>309</v>
      </c>
      <c r="AG80" s="30">
        <f t="shared" si="272"/>
        <v>300</v>
      </c>
      <c r="AH80" s="30">
        <f t="shared" si="273"/>
        <v>313</v>
      </c>
      <c r="AI80" s="30">
        <f t="shared" si="274"/>
        <v>313</v>
      </c>
      <c r="AJ80" s="30">
        <f t="shared" si="275"/>
        <v>309</v>
      </c>
      <c r="AK80" s="11"/>
      <c r="AL80" s="68">
        <f t="shared" si="276"/>
        <v>0</v>
      </c>
    </row>
    <row r="81" spans="1:38" ht="12.75" customHeight="1">
      <c r="B81" s="12" t="s">
        <v>17</v>
      </c>
      <c r="C81" s="13">
        <f>SUM(C76:C80)</f>
        <v>3479</v>
      </c>
      <c r="D81" s="13">
        <f>SUM(D76:D80)</f>
        <v>4587</v>
      </c>
      <c r="E81" s="13">
        <f>SUM(E76:E80)</f>
        <v>3020</v>
      </c>
      <c r="F81" s="13">
        <f>SUM(F76:F80)</f>
        <v>2795</v>
      </c>
      <c r="G81" s="13">
        <f>SUM(G76:G80)</f>
        <v>3053</v>
      </c>
      <c r="H81" s="13">
        <f>SUM(H76:H80)</f>
        <v>2808</v>
      </c>
      <c r="I81" s="48"/>
      <c r="J81" s="13">
        <f t="shared" ref="J81:S81" si="277">SUM(J76:J80)</f>
        <v>2767</v>
      </c>
      <c r="K81" s="13">
        <f t="shared" si="277"/>
        <v>2892</v>
      </c>
      <c r="L81" s="13">
        <f t="shared" si="277"/>
        <v>2993</v>
      </c>
      <c r="M81" s="13">
        <f t="shared" si="277"/>
        <v>2795</v>
      </c>
      <c r="N81" s="13">
        <f t="shared" si="277"/>
        <v>2793</v>
      </c>
      <c r="O81" s="13">
        <f t="shared" si="277"/>
        <v>2835</v>
      </c>
      <c r="P81" s="13">
        <f t="shared" si="277"/>
        <v>2812</v>
      </c>
      <c r="Q81" s="13">
        <f t="shared" si="277"/>
        <v>3053</v>
      </c>
      <c r="R81" s="13">
        <f t="shared" si="277"/>
        <v>3082</v>
      </c>
      <c r="S81" s="13">
        <f t="shared" si="277"/>
        <v>3107</v>
      </c>
      <c r="T81" s="13">
        <f t="shared" ref="T81:X81" si="278">SUM(T76:T80)</f>
        <v>3082</v>
      </c>
      <c r="U81" s="13">
        <f t="shared" ref="U81" si="279">SUM(U76:U80)</f>
        <v>2808</v>
      </c>
      <c r="V81" s="13">
        <f t="shared" si="278"/>
        <v>2763</v>
      </c>
      <c r="W81" s="13">
        <f t="shared" si="278"/>
        <v>2716</v>
      </c>
      <c r="X81" s="13">
        <f t="shared" si="278"/>
        <v>2653</v>
      </c>
      <c r="Z81" s="13">
        <f t="shared" ref="Z81:AJ81" si="280">SUM(Z76:Z80)</f>
        <v>2793</v>
      </c>
      <c r="AA81" s="13">
        <f t="shared" si="280"/>
        <v>2835</v>
      </c>
      <c r="AB81" s="13">
        <f t="shared" si="280"/>
        <v>2812</v>
      </c>
      <c r="AC81" s="13">
        <f t="shared" si="280"/>
        <v>3053</v>
      </c>
      <c r="AD81" s="13">
        <f t="shared" si="280"/>
        <v>3082</v>
      </c>
      <c r="AE81" s="13">
        <f t="shared" si="280"/>
        <v>3107</v>
      </c>
      <c r="AF81" s="13">
        <f t="shared" si="280"/>
        <v>3082</v>
      </c>
      <c r="AG81" s="13">
        <f t="shared" si="280"/>
        <v>2808</v>
      </c>
      <c r="AH81" s="13">
        <f t="shared" si="280"/>
        <v>2763</v>
      </c>
      <c r="AI81" s="13">
        <f t="shared" si="280"/>
        <v>2716</v>
      </c>
      <c r="AJ81" s="13">
        <f t="shared" si="280"/>
        <v>2653</v>
      </c>
      <c r="AK81" s="39"/>
      <c r="AL81" s="69">
        <f>SUM(AJ81/AF81)-1</f>
        <v>-0.13919532770927967</v>
      </c>
    </row>
    <row r="82" spans="1:38" ht="12.75" customHeight="1">
      <c r="B82" s="23" t="s">
        <v>56</v>
      </c>
      <c r="C82" s="30">
        <f>SUM(C81+C74)</f>
        <v>15591</v>
      </c>
      <c r="D82" s="30">
        <f>SUM(D81+D74)</f>
        <v>19067</v>
      </c>
      <c r="E82" s="30">
        <f>SUM(E81+E74)</f>
        <v>17504</v>
      </c>
      <c r="F82" s="30">
        <f>SUM(F81+F74)</f>
        <v>15803</v>
      </c>
      <c r="G82" s="30">
        <f>SUM(G81+G74)</f>
        <v>14967</v>
      </c>
      <c r="H82" s="30">
        <f>SUM(H81+H74)</f>
        <v>14782</v>
      </c>
      <c r="I82" s="30"/>
      <c r="J82" s="30">
        <f t="shared" ref="J82:S82" si="281">SUM(J81+J74)</f>
        <v>15251</v>
      </c>
      <c r="K82" s="30">
        <f t="shared" si="281"/>
        <v>15419</v>
      </c>
      <c r="L82" s="30">
        <f t="shared" si="281"/>
        <v>17021</v>
      </c>
      <c r="M82" s="30">
        <f t="shared" si="281"/>
        <v>15803</v>
      </c>
      <c r="N82" s="30">
        <f t="shared" si="281"/>
        <v>14688</v>
      </c>
      <c r="O82" s="30">
        <f t="shared" si="281"/>
        <v>15318</v>
      </c>
      <c r="P82" s="30">
        <f t="shared" si="281"/>
        <v>16882</v>
      </c>
      <c r="Q82" s="30">
        <f t="shared" si="281"/>
        <v>14967</v>
      </c>
      <c r="R82" s="30">
        <f t="shared" si="281"/>
        <v>14752</v>
      </c>
      <c r="S82" s="30">
        <f t="shared" si="281"/>
        <v>15624</v>
      </c>
      <c r="T82" s="30">
        <f t="shared" ref="T82:X82" si="282">SUM(T81+T74)</f>
        <v>17018</v>
      </c>
      <c r="U82" s="30">
        <f t="shared" ref="U82" si="283">SUM(U81+U74)</f>
        <v>14782</v>
      </c>
      <c r="V82" s="30">
        <f t="shared" si="282"/>
        <v>14128</v>
      </c>
      <c r="W82" s="30">
        <f t="shared" si="282"/>
        <v>15253</v>
      </c>
      <c r="X82" s="30">
        <f t="shared" si="282"/>
        <v>16786</v>
      </c>
      <c r="Y82" s="30"/>
      <c r="Z82" s="30">
        <f t="shared" ref="Z82:AJ82" si="284">SUM(Z81+Z74)</f>
        <v>14688</v>
      </c>
      <c r="AA82" s="30">
        <f t="shared" si="284"/>
        <v>15318</v>
      </c>
      <c r="AB82" s="30">
        <f t="shared" si="284"/>
        <v>16882</v>
      </c>
      <c r="AC82" s="30">
        <f t="shared" si="284"/>
        <v>14967</v>
      </c>
      <c r="AD82" s="30">
        <f t="shared" si="284"/>
        <v>14752</v>
      </c>
      <c r="AE82" s="30">
        <f t="shared" si="284"/>
        <v>15624</v>
      </c>
      <c r="AF82" s="30">
        <f t="shared" si="284"/>
        <v>17018</v>
      </c>
      <c r="AG82" s="30">
        <f t="shared" si="284"/>
        <v>14782</v>
      </c>
      <c r="AH82" s="30">
        <f t="shared" si="284"/>
        <v>14128</v>
      </c>
      <c r="AI82" s="30">
        <f t="shared" si="284"/>
        <v>15253</v>
      </c>
      <c r="AJ82" s="30">
        <f t="shared" si="284"/>
        <v>16786</v>
      </c>
      <c r="AK82" s="11"/>
      <c r="AL82" s="69">
        <f>SUM(AJ82/AF82)-1</f>
        <v>-1.3632624280173977E-2</v>
      </c>
    </row>
    <row r="83" spans="1:38" ht="5.0999999999999996" customHeight="1">
      <c r="B83" s="23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11"/>
    </row>
    <row r="84" spans="1:38" ht="12.75" customHeight="1">
      <c r="B84" s="62" t="s">
        <v>67</v>
      </c>
      <c r="C84" s="63">
        <f>C82-C56</f>
        <v>0</v>
      </c>
      <c r="D84" s="63">
        <f>D82-D56</f>
        <v>0</v>
      </c>
      <c r="E84" s="63">
        <f>E82-E56</f>
        <v>0</v>
      </c>
      <c r="F84" s="63">
        <f>F82-F56</f>
        <v>0</v>
      </c>
      <c r="G84" s="63">
        <f>G82-G56</f>
        <v>0</v>
      </c>
      <c r="H84" s="63">
        <f>H82-H56</f>
        <v>0</v>
      </c>
      <c r="I84" s="64"/>
      <c r="J84" s="63">
        <f>J82-J56</f>
        <v>0</v>
      </c>
      <c r="K84" s="63">
        <f>K82-K56</f>
        <v>0</v>
      </c>
      <c r="L84" s="63">
        <f>L82-L56</f>
        <v>0</v>
      </c>
      <c r="M84" s="63">
        <f>M82-M56</f>
        <v>0</v>
      </c>
      <c r="N84" s="63">
        <f>N82-N56</f>
        <v>0</v>
      </c>
      <c r="O84" s="63">
        <f>O82-O56</f>
        <v>0</v>
      </c>
      <c r="P84" s="63">
        <f>P82-P56</f>
        <v>0</v>
      </c>
      <c r="Q84" s="63">
        <f>Q82-Q56</f>
        <v>0</v>
      </c>
      <c r="R84" s="63">
        <f>R82-R56</f>
        <v>0</v>
      </c>
      <c r="S84" s="63">
        <f>S82-S56</f>
        <v>0</v>
      </c>
      <c r="T84" s="63">
        <f t="shared" ref="T84:U84" si="285">T82-T56</f>
        <v>0</v>
      </c>
      <c r="U84" s="63">
        <f t="shared" si="285"/>
        <v>0</v>
      </c>
      <c r="V84" s="63">
        <f t="shared" ref="V84:X84" si="286">V82-V56</f>
        <v>0</v>
      </c>
      <c r="W84" s="63">
        <f t="shared" si="286"/>
        <v>0</v>
      </c>
      <c r="X84" s="63">
        <f t="shared" si="286"/>
        <v>0</v>
      </c>
      <c r="Y84" s="26"/>
      <c r="Z84" s="63">
        <f>Z82-Z56</f>
        <v>0</v>
      </c>
      <c r="AA84" s="63">
        <f>AA82-AA56</f>
        <v>0</v>
      </c>
      <c r="AB84" s="63">
        <f>AB82-AB56</f>
        <v>0</v>
      </c>
      <c r="AC84" s="63">
        <f>AC82-AC56</f>
        <v>0</v>
      </c>
      <c r="AD84" s="63">
        <f>AD82-AD56</f>
        <v>0</v>
      </c>
      <c r="AE84" s="63">
        <f>AE82-AE56</f>
        <v>0</v>
      </c>
      <c r="AF84" s="63">
        <f>AF82-AF56</f>
        <v>0</v>
      </c>
      <c r="AG84" s="63">
        <f>AG82-AG56</f>
        <v>0</v>
      </c>
      <c r="AH84" s="63">
        <f>AH82-AH56</f>
        <v>0</v>
      </c>
      <c r="AI84" s="63">
        <f>AI82-AI56</f>
        <v>0</v>
      </c>
      <c r="AJ84" s="63">
        <f>AJ82-AJ56</f>
        <v>0</v>
      </c>
    </row>
    <row r="85" spans="1:38" ht="5.0999999999999996" customHeight="1" thickBot="1">
      <c r="B85" s="101"/>
      <c r="C85" s="102"/>
      <c r="D85" s="102"/>
      <c r="E85" s="102"/>
      <c r="F85" s="102"/>
      <c r="G85" s="102"/>
      <c r="H85" s="102"/>
      <c r="I85" s="103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4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66"/>
      <c r="AL85" s="66"/>
    </row>
    <row r="86" spans="1:38">
      <c r="B86" s="61"/>
      <c r="C86" s="22"/>
      <c r="D86" s="22"/>
      <c r="E86" s="22"/>
      <c r="F86" s="22"/>
      <c r="G86" s="22"/>
      <c r="H86" s="22"/>
      <c r="I86" s="49"/>
    </row>
    <row r="87" spans="1:38" ht="12.75" customHeight="1">
      <c r="A87" s="5" t="s">
        <v>19</v>
      </c>
      <c r="B87" s="84" t="s">
        <v>16</v>
      </c>
      <c r="C87" s="88" t="s">
        <v>0</v>
      </c>
      <c r="D87" s="88" t="s">
        <v>0</v>
      </c>
      <c r="E87" s="88" t="s">
        <v>0</v>
      </c>
      <c r="F87" s="88"/>
      <c r="G87" s="88"/>
      <c r="H87" s="88"/>
      <c r="I87" s="89"/>
      <c r="J87" s="88"/>
      <c r="K87" s="88"/>
      <c r="L87" s="88"/>
      <c r="M87" s="88"/>
      <c r="N87" s="88"/>
      <c r="O87" s="88"/>
      <c r="P87" s="88" t="s">
        <v>1</v>
      </c>
      <c r="Q87" s="88"/>
      <c r="R87" s="88"/>
      <c r="S87" s="88"/>
      <c r="T87" s="88"/>
      <c r="U87" s="88"/>
      <c r="V87" s="88"/>
      <c r="W87" s="88"/>
      <c r="X87" s="88"/>
      <c r="Y87" s="84"/>
      <c r="Z87" s="88"/>
      <c r="AA87" s="88"/>
      <c r="AB87" s="88"/>
      <c r="AC87" s="88"/>
      <c r="AD87" s="88"/>
      <c r="AE87" s="88"/>
      <c r="AF87" s="88" t="s">
        <v>10</v>
      </c>
      <c r="AG87" s="88"/>
      <c r="AH87" s="88"/>
      <c r="AI87" s="88"/>
      <c r="AJ87" s="88"/>
      <c r="AK87" s="89"/>
      <c r="AL87" s="127" t="s">
        <v>26</v>
      </c>
    </row>
    <row r="88" spans="1:38" ht="12.75" customHeight="1">
      <c r="B88" s="85" t="str">
        <f>B7</f>
        <v>Fiscal Period</v>
      </c>
      <c r="C88" s="90">
        <f>C7</f>
        <v>2020</v>
      </c>
      <c r="D88" s="90">
        <f>D7</f>
        <v>2021</v>
      </c>
      <c r="E88" s="90">
        <f>E7</f>
        <v>2022</v>
      </c>
      <c r="F88" s="90">
        <f>F7</f>
        <v>2023</v>
      </c>
      <c r="G88" s="90">
        <f>G7</f>
        <v>2024</v>
      </c>
      <c r="H88" s="90">
        <f>H7</f>
        <v>2025</v>
      </c>
      <c r="I88" s="89"/>
      <c r="J88" s="90" t="str">
        <f>J7</f>
        <v>1Q23</v>
      </c>
      <c r="K88" s="90" t="str">
        <f>K7</f>
        <v>2Q23</v>
      </c>
      <c r="L88" s="90" t="str">
        <f>L7</f>
        <v>3Q23</v>
      </c>
      <c r="M88" s="90" t="str">
        <f>M7</f>
        <v>4Q23</v>
      </c>
      <c r="N88" s="90" t="str">
        <f>N7</f>
        <v>1Q24</v>
      </c>
      <c r="O88" s="90" t="str">
        <f>O7</f>
        <v>2Q24</v>
      </c>
      <c r="P88" s="90" t="str">
        <f>P7</f>
        <v>3Q24</v>
      </c>
      <c r="Q88" s="90" t="str">
        <f>Q7</f>
        <v>4Q24</v>
      </c>
      <c r="R88" s="90" t="str">
        <f>R7</f>
        <v>1Q25</v>
      </c>
      <c r="S88" s="90" t="str">
        <f>S7</f>
        <v>2Q25</v>
      </c>
      <c r="T88" s="90" t="str">
        <f t="shared" ref="T88:U88" si="287">T7</f>
        <v>3Q25</v>
      </c>
      <c r="U88" s="90" t="str">
        <f t="shared" si="287"/>
        <v>4Q25</v>
      </c>
      <c r="V88" s="90" t="str">
        <f t="shared" ref="V88:X88" si="288">V7</f>
        <v>1Q26</v>
      </c>
      <c r="W88" s="90" t="str">
        <f t="shared" si="288"/>
        <v>2Q26</v>
      </c>
      <c r="X88" s="90" t="str">
        <f t="shared" si="288"/>
        <v>3Q26</v>
      </c>
      <c r="Y88" s="90"/>
      <c r="Z88" s="90" t="str">
        <f>Z7</f>
        <v>1Q24</v>
      </c>
      <c r="AA88" s="90" t="str">
        <f>AA7</f>
        <v>2Q24</v>
      </c>
      <c r="AB88" s="90" t="str">
        <f>AB7</f>
        <v>3Q24</v>
      </c>
      <c r="AC88" s="90" t="str">
        <f>AC7</f>
        <v>4Q24</v>
      </c>
      <c r="AD88" s="90" t="str">
        <f>AD7</f>
        <v>1Q25</v>
      </c>
      <c r="AE88" s="90" t="str">
        <f>AE7</f>
        <v>2Q25</v>
      </c>
      <c r="AF88" s="90" t="str">
        <f>AF7</f>
        <v>3Q25</v>
      </c>
      <c r="AG88" s="90" t="str">
        <f>AG7</f>
        <v>4Q25</v>
      </c>
      <c r="AH88" s="90" t="str">
        <f>AH7</f>
        <v>1Q26</v>
      </c>
      <c r="AI88" s="90" t="str">
        <f>AI7</f>
        <v>2Q26</v>
      </c>
      <c r="AJ88" s="90" t="str">
        <f>AJ7</f>
        <v>3Q26</v>
      </c>
      <c r="AK88" s="89"/>
      <c r="AL88" s="127"/>
    </row>
    <row r="89" spans="1:38" ht="12.75" customHeight="1">
      <c r="B89" s="85" t="str">
        <f>B8</f>
        <v>Fiscal Period End Date</v>
      </c>
      <c r="C89" s="91">
        <f>C8</f>
        <v>43862</v>
      </c>
      <c r="D89" s="91">
        <f>D8</f>
        <v>44226</v>
      </c>
      <c r="E89" s="91">
        <f>E8</f>
        <v>44590</v>
      </c>
      <c r="F89" s="91">
        <f>F8</f>
        <v>44954</v>
      </c>
      <c r="G89" s="91">
        <f>G8</f>
        <v>45325</v>
      </c>
      <c r="H89" s="91">
        <f>H8</f>
        <v>45689</v>
      </c>
      <c r="I89" s="89"/>
      <c r="J89" s="91">
        <f>J8</f>
        <v>44681</v>
      </c>
      <c r="K89" s="91">
        <f>K8</f>
        <v>44772</v>
      </c>
      <c r="L89" s="91">
        <f>L8</f>
        <v>44863</v>
      </c>
      <c r="M89" s="91">
        <f>M8</f>
        <v>44954</v>
      </c>
      <c r="N89" s="91">
        <f>N8</f>
        <v>45045</v>
      </c>
      <c r="O89" s="91">
        <f>O8</f>
        <v>45136</v>
      </c>
      <c r="P89" s="91">
        <f>P8</f>
        <v>45227</v>
      </c>
      <c r="Q89" s="91">
        <f>Q8</f>
        <v>45325</v>
      </c>
      <c r="R89" s="91">
        <f>R8</f>
        <v>45416</v>
      </c>
      <c r="S89" s="91">
        <f>S8</f>
        <v>45507</v>
      </c>
      <c r="T89" s="91">
        <f t="shared" ref="T89:U89" si="289">T8</f>
        <v>45598</v>
      </c>
      <c r="U89" s="91">
        <f t="shared" si="289"/>
        <v>45689</v>
      </c>
      <c r="V89" s="91">
        <f t="shared" ref="V89:X89" si="290">V8</f>
        <v>45780</v>
      </c>
      <c r="W89" s="91">
        <f t="shared" si="290"/>
        <v>45871</v>
      </c>
      <c r="X89" s="91">
        <f t="shared" si="290"/>
        <v>45962</v>
      </c>
      <c r="Y89" s="91"/>
      <c r="Z89" s="91">
        <f>Z8</f>
        <v>45045</v>
      </c>
      <c r="AA89" s="91">
        <f>AA8</f>
        <v>45136</v>
      </c>
      <c r="AB89" s="91">
        <f>AB8</f>
        <v>45227</v>
      </c>
      <c r="AC89" s="91">
        <f>AC8</f>
        <v>45325</v>
      </c>
      <c r="AD89" s="91">
        <f>AD8</f>
        <v>45416</v>
      </c>
      <c r="AE89" s="91">
        <f>AE8</f>
        <v>45507</v>
      </c>
      <c r="AF89" s="91">
        <f>AF8</f>
        <v>45598</v>
      </c>
      <c r="AG89" s="91">
        <f>AG8</f>
        <v>45689</v>
      </c>
      <c r="AH89" s="91">
        <f>AH8</f>
        <v>45780</v>
      </c>
      <c r="AI89" s="91">
        <f>AI8</f>
        <v>45871</v>
      </c>
      <c r="AJ89" s="91">
        <f>AJ8</f>
        <v>45962</v>
      </c>
      <c r="AK89" s="89"/>
      <c r="AL89" s="127"/>
    </row>
    <row r="90" spans="1:38" ht="5.0999999999999996" customHeight="1">
      <c r="B90" s="50"/>
      <c r="C90" s="44"/>
      <c r="D90" s="44"/>
      <c r="E90" s="44"/>
      <c r="F90" s="44"/>
      <c r="G90" s="44"/>
      <c r="H90" s="44"/>
    </row>
    <row r="91" spans="1:38" ht="12.75" customHeight="1">
      <c r="B91" s="51" t="s">
        <v>57</v>
      </c>
      <c r="C91" s="52"/>
      <c r="D91" s="52"/>
      <c r="E91" s="52"/>
      <c r="F91" s="52"/>
      <c r="G91" s="52"/>
      <c r="H91" s="52"/>
    </row>
    <row r="92" spans="1:38" ht="12.75" customHeight="1">
      <c r="B92" s="53" t="s">
        <v>58</v>
      </c>
      <c r="C92" s="30">
        <f>C30</f>
        <v>1541</v>
      </c>
      <c r="D92" s="30">
        <f>D30</f>
        <v>1798</v>
      </c>
      <c r="E92" s="30">
        <f>E30</f>
        <v>2454</v>
      </c>
      <c r="F92" s="30">
        <f>F30</f>
        <v>1419</v>
      </c>
      <c r="G92" s="30">
        <f>G30</f>
        <v>1241</v>
      </c>
      <c r="H92" s="30">
        <f>H30</f>
        <v>927</v>
      </c>
      <c r="I92" s="30"/>
      <c r="J92" s="30">
        <f>J30</f>
        <v>341</v>
      </c>
      <c r="K92" s="30">
        <f>K30</f>
        <v>306</v>
      </c>
      <c r="L92" s="30">
        <f>L30</f>
        <v>277</v>
      </c>
      <c r="M92" s="30">
        <f>M30</f>
        <v>495</v>
      </c>
      <c r="N92" s="30">
        <f>N30</f>
        <v>244</v>
      </c>
      <c r="O92" s="30">
        <f>O30</f>
        <v>274</v>
      </c>
      <c r="P92" s="30">
        <f>P30</f>
        <v>263</v>
      </c>
      <c r="Q92" s="30">
        <f>Q30</f>
        <v>460</v>
      </c>
      <c r="R92" s="30">
        <f>R30</f>
        <v>246</v>
      </c>
      <c r="S92" s="30">
        <f>S30</f>
        <v>291</v>
      </c>
      <c r="T92" s="30">
        <f t="shared" ref="T92:U92" si="291">T30</f>
        <v>273</v>
      </c>
      <c r="U92" s="30">
        <f t="shared" si="291"/>
        <v>117</v>
      </c>
      <c r="V92" s="30">
        <f t="shared" ref="V92:AJ92" si="292">V30</f>
        <v>202</v>
      </c>
      <c r="W92" s="30">
        <f t="shared" si="292"/>
        <v>186</v>
      </c>
      <c r="X92" s="30">
        <f t="shared" si="292"/>
        <v>140</v>
      </c>
      <c r="Z92" s="30">
        <f t="shared" si="292"/>
        <v>1322</v>
      </c>
      <c r="AA92" s="30">
        <f t="shared" si="292"/>
        <v>1290</v>
      </c>
      <c r="AB92" s="30">
        <f t="shared" si="292"/>
        <v>1276</v>
      </c>
      <c r="AC92" s="30">
        <f t="shared" si="292"/>
        <v>1241</v>
      </c>
      <c r="AD92" s="30">
        <f t="shared" si="292"/>
        <v>1243</v>
      </c>
      <c r="AE92" s="30">
        <f t="shared" si="292"/>
        <v>1260</v>
      </c>
      <c r="AF92" s="30">
        <f t="shared" si="292"/>
        <v>1270</v>
      </c>
      <c r="AG92" s="30">
        <f t="shared" si="292"/>
        <v>927</v>
      </c>
      <c r="AH92" s="30">
        <f t="shared" si="292"/>
        <v>883</v>
      </c>
      <c r="AI92" s="30">
        <f t="shared" si="292"/>
        <v>778</v>
      </c>
      <c r="AJ92" s="30">
        <f t="shared" si="292"/>
        <v>645</v>
      </c>
      <c r="AK92" s="11"/>
      <c r="AL92" s="68">
        <f>SUM(AJ92/AF92)-1</f>
        <v>-0.49212598425196852</v>
      </c>
    </row>
    <row r="93" spans="1:38" ht="5.0999999999999996" customHeight="1"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11"/>
      <c r="AL93" s="68"/>
    </row>
    <row r="94" spans="1:38" ht="12.75" customHeight="1">
      <c r="B94" s="33" t="s">
        <v>66</v>
      </c>
      <c r="C94" s="30"/>
      <c r="D94" s="30"/>
      <c r="E94" s="30"/>
      <c r="F94" s="30"/>
      <c r="G94" s="30"/>
      <c r="H94" s="30"/>
      <c r="I94" s="30"/>
      <c r="J94" s="76"/>
      <c r="K94" s="76"/>
      <c r="L94" s="76"/>
      <c r="M94" s="30"/>
      <c r="N94" s="76"/>
      <c r="O94" s="76"/>
      <c r="P94" s="76"/>
      <c r="Q94" s="30"/>
      <c r="R94" s="76"/>
      <c r="S94" s="76"/>
      <c r="T94" s="76"/>
      <c r="U94" s="76"/>
      <c r="V94" s="76"/>
      <c r="W94" s="76"/>
      <c r="X94" s="76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55"/>
      <c r="AL94" s="68"/>
    </row>
    <row r="95" spans="1:38" ht="12.75" customHeight="1">
      <c r="B95" s="56" t="s">
        <v>59</v>
      </c>
      <c r="C95" s="76">
        <v>812</v>
      </c>
      <c r="D95" s="76">
        <v>839</v>
      </c>
      <c r="E95" s="76">
        <v>869</v>
      </c>
      <c r="F95" s="76">
        <v>918</v>
      </c>
      <c r="G95" s="76">
        <v>923</v>
      </c>
      <c r="H95" s="76">
        <v>866</v>
      </c>
      <c r="I95" s="30"/>
      <c r="J95" s="76">
        <v>224</v>
      </c>
      <c r="K95" s="76">
        <f>453-J95</f>
        <v>229</v>
      </c>
      <c r="L95" s="76">
        <f>679-K95-J95</f>
        <v>226</v>
      </c>
      <c r="M95" s="30">
        <f>SUM(F95-SUM(J95:L95))</f>
        <v>239</v>
      </c>
      <c r="N95" s="76">
        <v>237</v>
      </c>
      <c r="O95" s="76">
        <f>473-N95</f>
        <v>236</v>
      </c>
      <c r="P95" s="76">
        <f>702-O95-N95</f>
        <v>229</v>
      </c>
      <c r="Q95" s="30">
        <f>SUM(G95-SUM(N95:P95))</f>
        <v>221</v>
      </c>
      <c r="R95" s="76">
        <v>219</v>
      </c>
      <c r="S95" s="76">
        <f>437-R95</f>
        <v>218</v>
      </c>
      <c r="T95" s="76">
        <f>650-S95-R95</f>
        <v>213</v>
      </c>
      <c r="U95" s="30">
        <f t="shared" ref="U95:U98" si="293">SUM(H95-SUM(R95:T95))</f>
        <v>216</v>
      </c>
      <c r="V95" s="76">
        <v>211</v>
      </c>
      <c r="W95" s="76">
        <f>422-V95</f>
        <v>211</v>
      </c>
      <c r="X95" s="76">
        <f>628-W95-V95</f>
        <v>206</v>
      </c>
      <c r="Z95" s="30">
        <f>SUM(K95:N95)</f>
        <v>931</v>
      </c>
      <c r="AA95" s="30">
        <f t="shared" ref="AA92:AA98" si="294">SUM(L95:O95)</f>
        <v>938</v>
      </c>
      <c r="AB95" s="30">
        <f t="shared" ref="AB92:AB98" si="295">SUM(M95:P95)</f>
        <v>941</v>
      </c>
      <c r="AC95" s="30">
        <f t="shared" ref="AC92:AC98" si="296">SUM(N95:Q95)</f>
        <v>923</v>
      </c>
      <c r="AD95" s="30">
        <f t="shared" ref="AD92:AD98" si="297">SUM(O95:R95)</f>
        <v>905</v>
      </c>
      <c r="AE95" s="30">
        <f t="shared" ref="AE92:AE98" si="298">SUM(P95:S95)</f>
        <v>887</v>
      </c>
      <c r="AF95" s="30">
        <f t="shared" ref="AF92:AF98" si="299">SUM(Q95:T95)</f>
        <v>871</v>
      </c>
      <c r="AG95" s="30">
        <f t="shared" ref="AG92:AG98" si="300">SUM(R95:U95)</f>
        <v>866</v>
      </c>
      <c r="AH95" s="30">
        <f t="shared" ref="AH92:AH98" si="301">SUM(S95:V95)</f>
        <v>858</v>
      </c>
      <c r="AI95" s="30">
        <f t="shared" ref="AI92:AI98" si="302">SUM(T95:W95)</f>
        <v>851</v>
      </c>
      <c r="AJ95" s="30">
        <f t="shared" ref="AJ92:AJ98" si="303">SUM(U95:X95)</f>
        <v>844</v>
      </c>
      <c r="AK95" s="11"/>
      <c r="AL95" s="68">
        <f t="shared" ref="AL95:AL101" si="304">SUM(AJ95/AF95)-1</f>
        <v>-3.0998851894374235E-2</v>
      </c>
    </row>
    <row r="96" spans="1:38" ht="12.75" customHeight="1">
      <c r="B96" s="56" t="s">
        <v>103</v>
      </c>
      <c r="C96" s="76">
        <v>41</v>
      </c>
      <c r="D96" s="76">
        <v>254</v>
      </c>
      <c r="E96" s="76">
        <v>-34</v>
      </c>
      <c r="F96" s="76">
        <v>147</v>
      </c>
      <c r="G96" s="76">
        <v>153</v>
      </c>
      <c r="H96" s="76">
        <v>-3</v>
      </c>
      <c r="I96" s="30"/>
      <c r="J96" s="76">
        <v>1</v>
      </c>
      <c r="K96" s="76">
        <f>35-J96</f>
        <v>34</v>
      </c>
      <c r="L96" s="76">
        <f>61-K96-J96</f>
        <v>26</v>
      </c>
      <c r="M96" s="30">
        <f>SUM(F96-SUM(J96:L96))</f>
        <v>86</v>
      </c>
      <c r="N96" s="76">
        <v>-9</v>
      </c>
      <c r="O96" s="76">
        <f>-16-N96</f>
        <v>-7</v>
      </c>
      <c r="P96" s="76">
        <f>-16-O96-N96</f>
        <v>0</v>
      </c>
      <c r="Q96" s="30">
        <f>SUM(G96-SUM(N96:P96))</f>
        <v>169</v>
      </c>
      <c r="R96" s="76">
        <v>15</v>
      </c>
      <c r="S96" s="76">
        <f>8-R96</f>
        <v>-7</v>
      </c>
      <c r="T96" s="76">
        <f>4-S96-R96</f>
        <v>-4</v>
      </c>
      <c r="U96" s="30">
        <f t="shared" si="293"/>
        <v>-7</v>
      </c>
      <c r="V96" s="76">
        <v>109</v>
      </c>
      <c r="W96" s="76">
        <f>223-V96</f>
        <v>114</v>
      </c>
      <c r="X96" s="76">
        <f>218-W96-V96</f>
        <v>-5</v>
      </c>
      <c r="Z96" s="30">
        <f t="shared" ref="Z92:Z98" si="305">SUM(K96:N96)</f>
        <v>137</v>
      </c>
      <c r="AA96" s="30">
        <f t="shared" si="294"/>
        <v>96</v>
      </c>
      <c r="AB96" s="30">
        <f t="shared" si="295"/>
        <v>70</v>
      </c>
      <c r="AC96" s="30">
        <f t="shared" si="296"/>
        <v>153</v>
      </c>
      <c r="AD96" s="30">
        <f t="shared" si="297"/>
        <v>177</v>
      </c>
      <c r="AE96" s="30">
        <f t="shared" si="298"/>
        <v>177</v>
      </c>
      <c r="AF96" s="30">
        <f t="shared" si="299"/>
        <v>173</v>
      </c>
      <c r="AG96" s="30">
        <f t="shared" si="300"/>
        <v>-3</v>
      </c>
      <c r="AH96" s="30">
        <f t="shared" si="301"/>
        <v>91</v>
      </c>
      <c r="AI96" s="30">
        <f t="shared" si="302"/>
        <v>212</v>
      </c>
      <c r="AJ96" s="30">
        <f t="shared" si="303"/>
        <v>211</v>
      </c>
      <c r="AK96" s="11"/>
      <c r="AL96" s="68">
        <f t="shared" si="304"/>
        <v>0.21965317919075145</v>
      </c>
    </row>
    <row r="97" spans="2:38" ht="12.75" customHeight="1">
      <c r="B97" s="56" t="s">
        <v>97</v>
      </c>
      <c r="C97" s="76">
        <v>143</v>
      </c>
      <c r="D97" s="76">
        <v>135</v>
      </c>
      <c r="E97" s="76">
        <v>141</v>
      </c>
      <c r="F97" s="76">
        <v>138</v>
      </c>
      <c r="G97" s="76">
        <v>145</v>
      </c>
      <c r="H97" s="76">
        <v>139</v>
      </c>
      <c r="I97" s="30"/>
      <c r="J97" s="76">
        <v>39</v>
      </c>
      <c r="K97" s="76">
        <f>65-J97</f>
        <v>26</v>
      </c>
      <c r="L97" s="76">
        <f>98-K97-J97</f>
        <v>33</v>
      </c>
      <c r="M97" s="30">
        <f>SUM(F97-SUM(J97:L97))</f>
        <v>40</v>
      </c>
      <c r="N97" s="76">
        <v>38</v>
      </c>
      <c r="O97" s="76">
        <f>75-N97</f>
        <v>37</v>
      </c>
      <c r="P97" s="76">
        <f>110-O97-N97</f>
        <v>35</v>
      </c>
      <c r="Q97" s="30">
        <f>SUM(G97-SUM(N97:P97))</f>
        <v>35</v>
      </c>
      <c r="R97" s="76">
        <v>38</v>
      </c>
      <c r="S97" s="76">
        <f>74-R97</f>
        <v>36</v>
      </c>
      <c r="T97" s="76">
        <f>108-S97-R97</f>
        <v>34</v>
      </c>
      <c r="U97" s="30">
        <f t="shared" si="293"/>
        <v>31</v>
      </c>
      <c r="V97" s="76">
        <v>40</v>
      </c>
      <c r="W97" s="76">
        <f>75-V97</f>
        <v>35</v>
      </c>
      <c r="X97" s="76">
        <f>106-W97-V97</f>
        <v>31</v>
      </c>
      <c r="Z97" s="30">
        <f t="shared" si="305"/>
        <v>137</v>
      </c>
      <c r="AA97" s="30">
        <f t="shared" si="294"/>
        <v>148</v>
      </c>
      <c r="AB97" s="30">
        <f t="shared" si="295"/>
        <v>150</v>
      </c>
      <c r="AC97" s="30">
        <f t="shared" si="296"/>
        <v>145</v>
      </c>
      <c r="AD97" s="30">
        <f t="shared" si="297"/>
        <v>145</v>
      </c>
      <c r="AE97" s="30">
        <f t="shared" si="298"/>
        <v>144</v>
      </c>
      <c r="AF97" s="30">
        <f t="shared" si="299"/>
        <v>143</v>
      </c>
      <c r="AG97" s="30">
        <f t="shared" si="300"/>
        <v>139</v>
      </c>
      <c r="AH97" s="30">
        <f t="shared" si="301"/>
        <v>141</v>
      </c>
      <c r="AI97" s="30">
        <f t="shared" si="302"/>
        <v>140</v>
      </c>
      <c r="AJ97" s="30">
        <f t="shared" si="303"/>
        <v>137</v>
      </c>
      <c r="AK97" s="11"/>
      <c r="AL97" s="68">
        <f t="shared" si="304"/>
        <v>-4.1958041958041981E-2</v>
      </c>
    </row>
    <row r="98" spans="2:38" ht="12.75" customHeight="1">
      <c r="B98" s="56" t="s">
        <v>121</v>
      </c>
      <c r="C98" s="76">
        <f>21+70</f>
        <v>91</v>
      </c>
      <c r="D98" s="76">
        <f>3-36</f>
        <v>-33</v>
      </c>
      <c r="E98" s="76">
        <f>11+14</f>
        <v>25</v>
      </c>
      <c r="F98" s="76">
        <f>12+51</f>
        <v>63</v>
      </c>
      <c r="G98" s="76">
        <f>26-21-214</f>
        <v>-209</v>
      </c>
      <c r="H98" s="76">
        <f>475+12-59</f>
        <v>428</v>
      </c>
      <c r="I98" s="30"/>
      <c r="J98" s="76">
        <v>12</v>
      </c>
      <c r="K98" s="76">
        <f>19-J98</f>
        <v>7</v>
      </c>
      <c r="L98" s="76">
        <f>19-K98-J98</f>
        <v>0</v>
      </c>
      <c r="M98" s="30">
        <f>SUM(F98-SUM(J98:L98))</f>
        <v>44</v>
      </c>
      <c r="N98" s="76">
        <v>14</v>
      </c>
      <c r="O98" s="76">
        <f>-21+2-N98</f>
        <v>-33</v>
      </c>
      <c r="P98" s="76">
        <f>-21+7-O98-N98</f>
        <v>5</v>
      </c>
      <c r="Q98" s="30">
        <f>SUM(G98-SUM(N98:P98))</f>
        <v>-195</v>
      </c>
      <c r="R98" s="76">
        <f>14-2</f>
        <v>12</v>
      </c>
      <c r="S98" s="76">
        <f>10+2-R98</f>
        <v>0</v>
      </c>
      <c r="T98" s="76">
        <f>1+2-S98-R98</f>
        <v>-9</v>
      </c>
      <c r="U98" s="30">
        <f t="shared" si="293"/>
        <v>425</v>
      </c>
      <c r="V98" s="76">
        <f>-51-2</f>
        <v>-53</v>
      </c>
      <c r="W98" s="76">
        <f>45+4+4-V98</f>
        <v>106</v>
      </c>
      <c r="X98" s="76">
        <f>171+37+4+21+6-W98-V98</f>
        <v>186</v>
      </c>
      <c r="Z98" s="30">
        <f t="shared" ref="Z98" si="306">SUM(K98:N98)</f>
        <v>65</v>
      </c>
      <c r="AA98" s="30">
        <f t="shared" ref="AA98" si="307">SUM(L98:O98)</f>
        <v>25</v>
      </c>
      <c r="AB98" s="30">
        <f t="shared" ref="AB98" si="308">SUM(M98:P98)</f>
        <v>30</v>
      </c>
      <c r="AC98" s="30">
        <f t="shared" ref="AC98" si="309">SUM(N98:Q98)</f>
        <v>-209</v>
      </c>
      <c r="AD98" s="30">
        <f t="shared" ref="AD98" si="310">SUM(O98:R98)</f>
        <v>-211</v>
      </c>
      <c r="AE98" s="30">
        <f t="shared" ref="AE98" si="311">SUM(P98:S98)</f>
        <v>-178</v>
      </c>
      <c r="AF98" s="30">
        <f t="shared" ref="AF98" si="312">SUM(Q98:T98)</f>
        <v>-192</v>
      </c>
      <c r="AG98" s="30">
        <f t="shared" ref="AG98" si="313">SUM(R98:U98)</f>
        <v>428</v>
      </c>
      <c r="AH98" s="30">
        <f t="shared" ref="AH98" si="314">SUM(S98:V98)</f>
        <v>363</v>
      </c>
      <c r="AI98" s="30">
        <f t="shared" ref="AI98" si="315">SUM(T98:W98)</f>
        <v>469</v>
      </c>
      <c r="AJ98" s="30">
        <f t="shared" ref="AJ98" si="316">SUM(U98:X98)</f>
        <v>664</v>
      </c>
      <c r="AK98" s="11"/>
      <c r="AL98" s="68">
        <f t="shared" si="304"/>
        <v>-4.4583333333333339</v>
      </c>
    </row>
    <row r="99" spans="2:38" ht="5.0999999999999996" customHeight="1">
      <c r="B99" s="8"/>
      <c r="C99" s="76"/>
      <c r="D99" s="76"/>
      <c r="E99" s="76"/>
      <c r="F99" s="76"/>
      <c r="G99" s="76"/>
      <c r="H99" s="76"/>
      <c r="I99" s="30"/>
      <c r="J99" s="76"/>
      <c r="K99" s="76"/>
      <c r="L99" s="76"/>
      <c r="M99" s="30"/>
      <c r="N99" s="76"/>
      <c r="O99" s="76"/>
      <c r="P99" s="76"/>
      <c r="Q99" s="30"/>
      <c r="R99" s="76"/>
      <c r="S99" s="76"/>
      <c r="T99" s="76"/>
      <c r="U99" s="76"/>
      <c r="V99" s="76"/>
      <c r="W99" s="76"/>
      <c r="X99" s="76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11"/>
      <c r="AL99" s="68"/>
    </row>
    <row r="100" spans="2:38" ht="12.75" customHeight="1">
      <c r="B100" s="33" t="s">
        <v>15</v>
      </c>
      <c r="C100" s="76"/>
      <c r="D100" s="76"/>
      <c r="E100" s="76"/>
      <c r="F100" s="76"/>
      <c r="G100" s="76"/>
      <c r="H100" s="76"/>
      <c r="I100" s="30"/>
      <c r="J100" s="76"/>
      <c r="K100" s="76"/>
      <c r="L100" s="76"/>
      <c r="M100" s="30"/>
      <c r="N100" s="76"/>
      <c r="O100" s="76"/>
      <c r="P100" s="76"/>
      <c r="Q100" s="30"/>
      <c r="R100" s="76"/>
      <c r="S100" s="76"/>
      <c r="T100" s="76"/>
      <c r="U100" s="76"/>
      <c r="V100" s="76"/>
      <c r="W100" s="76"/>
      <c r="X100" s="76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55"/>
      <c r="AL100" s="68"/>
    </row>
    <row r="101" spans="2:38" ht="12.75" customHeight="1">
      <c r="B101" s="56" t="s">
        <v>122</v>
      </c>
      <c r="C101" s="76">
        <v>-131</v>
      </c>
      <c r="D101" s="76">
        <v>73</v>
      </c>
      <c r="E101" s="76">
        <v>17</v>
      </c>
      <c r="F101" s="76">
        <v>-103</v>
      </c>
      <c r="G101" s="76">
        <v>204</v>
      </c>
      <c r="H101" s="76">
        <v>-111</v>
      </c>
      <c r="I101" s="30"/>
      <c r="J101" s="76">
        <v>238</v>
      </c>
      <c r="K101" s="76">
        <f>201-J101</f>
        <v>-37</v>
      </c>
      <c r="L101" s="76">
        <f>-14-K101-J101</f>
        <v>-215</v>
      </c>
      <c r="M101" s="30">
        <f>SUM(F101-SUM(J101:L101))</f>
        <v>-89</v>
      </c>
      <c r="N101" s="76">
        <v>279</v>
      </c>
      <c r="O101" s="76">
        <f>289-N101</f>
        <v>10</v>
      </c>
      <c r="P101" s="76">
        <f>240-O101-N101</f>
        <v>-49</v>
      </c>
      <c r="Q101" s="30">
        <f>SUM(G101-SUM(N101:P101))</f>
        <v>-36</v>
      </c>
      <c r="R101" s="76">
        <v>168</v>
      </c>
      <c r="S101" s="76">
        <f>66-R101</f>
        <v>-102</v>
      </c>
      <c r="T101" s="76">
        <f>4-S101-R101</f>
        <v>-62</v>
      </c>
      <c r="U101" s="30">
        <f t="shared" ref="U101:U105" si="317">SUM(H101-SUM(R101:T101))</f>
        <v>-115</v>
      </c>
      <c r="V101" s="76">
        <v>298</v>
      </c>
      <c r="W101" s="76">
        <f>123-V101</f>
        <v>-175</v>
      </c>
      <c r="X101" s="76">
        <f>23-W101-V101</f>
        <v>-100</v>
      </c>
      <c r="Z101" s="30">
        <f t="shared" ref="Z101:Z105" si="318">SUM(K101:N101)</f>
        <v>-62</v>
      </c>
      <c r="AA101" s="30">
        <f t="shared" ref="AA101:AA105" si="319">SUM(L101:O101)</f>
        <v>-15</v>
      </c>
      <c r="AB101" s="30">
        <f t="shared" ref="AB101:AB105" si="320">SUM(M101:P101)</f>
        <v>151</v>
      </c>
      <c r="AC101" s="30">
        <f t="shared" ref="AC101:AC105" si="321">SUM(N101:Q101)</f>
        <v>204</v>
      </c>
      <c r="AD101" s="30">
        <f t="shared" ref="AD101:AD105" si="322">SUM(O101:R101)</f>
        <v>93</v>
      </c>
      <c r="AE101" s="30">
        <f t="shared" ref="AE101:AE105" si="323">SUM(P101:S101)</f>
        <v>-19</v>
      </c>
      <c r="AF101" s="30">
        <f t="shared" ref="AF101:AF105" si="324">SUM(Q101:T101)</f>
        <v>-32</v>
      </c>
      <c r="AG101" s="30">
        <f t="shared" ref="AG101:AG105" si="325">SUM(R101:U101)</f>
        <v>-111</v>
      </c>
      <c r="AH101" s="30">
        <f t="shared" ref="AH101:AH105" si="326">SUM(S101:V101)</f>
        <v>19</v>
      </c>
      <c r="AI101" s="30">
        <f t="shared" ref="AI101:AI105" si="327">SUM(T101:W101)</f>
        <v>-54</v>
      </c>
      <c r="AJ101" s="30">
        <f t="shared" ref="AJ101:AJ105" si="328">SUM(U101:X101)</f>
        <v>-92</v>
      </c>
      <c r="AK101" s="55"/>
      <c r="AL101" s="68">
        <f t="shared" si="304"/>
        <v>1.875</v>
      </c>
    </row>
    <row r="102" spans="2:38" ht="12.75" customHeight="1">
      <c r="B102" s="56" t="s">
        <v>185</v>
      </c>
      <c r="C102" s="76">
        <f>237+16</f>
        <v>253</v>
      </c>
      <c r="D102" s="76">
        <f>-435-51</f>
        <v>-486</v>
      </c>
      <c r="E102" s="76">
        <f>-328-14</f>
        <v>-342</v>
      </c>
      <c r="F102" s="76">
        <f>809-21</f>
        <v>788</v>
      </c>
      <c r="G102" s="76">
        <f>178-18</f>
        <v>160</v>
      </c>
      <c r="H102" s="76">
        <f>-155+11</f>
        <v>-144</v>
      </c>
      <c r="I102" s="30"/>
      <c r="J102" s="76">
        <f>-297+4</f>
        <v>-293</v>
      </c>
      <c r="K102" s="76">
        <f>-79-13-J102</f>
        <v>201</v>
      </c>
      <c r="L102" s="76">
        <f>-1365-1-K102-J102</f>
        <v>-1274</v>
      </c>
      <c r="M102" s="30">
        <f>SUM(F102-SUM(J102:L102))</f>
        <v>2154</v>
      </c>
      <c r="N102" s="76">
        <f>-86-17</f>
        <v>-103</v>
      </c>
      <c r="O102" s="76">
        <f>-508-32-N102</f>
        <v>-437</v>
      </c>
      <c r="P102" s="76">
        <f>-2444-17-O102-N102</f>
        <v>-1921</v>
      </c>
      <c r="Q102" s="30">
        <f>SUM(G102-SUM(N102:P102))</f>
        <v>2621</v>
      </c>
      <c r="R102" s="76">
        <f>-273-8</f>
        <v>-281</v>
      </c>
      <c r="S102" s="76">
        <f>-761-11-R102</f>
        <v>-491</v>
      </c>
      <c r="T102" s="76">
        <f>-2869-16-S102-R102</f>
        <v>-2113</v>
      </c>
      <c r="U102" s="30">
        <f t="shared" si="317"/>
        <v>2741</v>
      </c>
      <c r="V102" s="76">
        <f>-95+7</f>
        <v>-88</v>
      </c>
      <c r="W102" s="76">
        <f>-717-24-V102</f>
        <v>-653</v>
      </c>
      <c r="X102" s="76">
        <f>-2903+3-W102-V102</f>
        <v>-2159</v>
      </c>
      <c r="Z102" s="30">
        <f t="shared" si="318"/>
        <v>978</v>
      </c>
      <c r="AA102" s="30">
        <f t="shared" si="319"/>
        <v>340</v>
      </c>
      <c r="AB102" s="30">
        <f t="shared" si="320"/>
        <v>-307</v>
      </c>
      <c r="AC102" s="30">
        <f t="shared" si="321"/>
        <v>160</v>
      </c>
      <c r="AD102" s="30">
        <f t="shared" si="322"/>
        <v>-18</v>
      </c>
      <c r="AE102" s="30">
        <f t="shared" si="323"/>
        <v>-72</v>
      </c>
      <c r="AF102" s="30">
        <f t="shared" si="324"/>
        <v>-264</v>
      </c>
      <c r="AG102" s="30">
        <f t="shared" si="325"/>
        <v>-144</v>
      </c>
      <c r="AH102" s="30">
        <f t="shared" si="326"/>
        <v>49</v>
      </c>
      <c r="AI102" s="30">
        <f t="shared" si="327"/>
        <v>-113</v>
      </c>
      <c r="AJ102" s="30">
        <f t="shared" si="328"/>
        <v>-159</v>
      </c>
      <c r="AK102" s="55"/>
      <c r="AL102" s="68">
        <f t="shared" ref="AL102:AL105" si="329">SUM(AJ102/AF102)-1</f>
        <v>-0.39772727272727271</v>
      </c>
    </row>
    <row r="103" spans="2:38" ht="12.75" customHeight="1">
      <c r="B103" s="56" t="s">
        <v>14</v>
      </c>
      <c r="C103" s="76">
        <v>47</v>
      </c>
      <c r="D103" s="76">
        <v>1676</v>
      </c>
      <c r="E103" s="76">
        <v>-201</v>
      </c>
      <c r="F103" s="76">
        <v>-1099</v>
      </c>
      <c r="G103" s="76">
        <v>-1025</v>
      </c>
      <c r="H103" s="76">
        <v>358</v>
      </c>
      <c r="I103" s="30"/>
      <c r="J103" s="76">
        <v>-1296</v>
      </c>
      <c r="K103" s="76">
        <f>-1434-J103</f>
        <v>-138</v>
      </c>
      <c r="L103" s="76">
        <f>224-K103-J103</f>
        <v>1658</v>
      </c>
      <c r="M103" s="30">
        <f>SUM(F103-SUM(J103:L103))</f>
        <v>-1323</v>
      </c>
      <c r="N103" s="76">
        <v>-790</v>
      </c>
      <c r="O103" s="76">
        <f>-206-N103</f>
        <v>584</v>
      </c>
      <c r="P103" s="76">
        <f>1468-O103-N103</f>
        <v>1674</v>
      </c>
      <c r="Q103" s="30">
        <f>SUM(G103-SUM(N103:P103))</f>
        <v>-2493</v>
      </c>
      <c r="R103" s="76">
        <v>43</v>
      </c>
      <c r="S103" s="76">
        <f>904-R103</f>
        <v>861</v>
      </c>
      <c r="T103" s="76">
        <f>2483-S103-R103</f>
        <v>1579</v>
      </c>
      <c r="U103" s="30">
        <f t="shared" si="317"/>
        <v>-2125</v>
      </c>
      <c r="V103" s="76">
        <v>-330</v>
      </c>
      <c r="W103" s="76">
        <f>693-V103</f>
        <v>1023</v>
      </c>
      <c r="X103" s="76">
        <f>2315-W103-V103</f>
        <v>1622</v>
      </c>
      <c r="Z103" s="30">
        <f t="shared" si="318"/>
        <v>-593</v>
      </c>
      <c r="AA103" s="30">
        <f t="shared" si="319"/>
        <v>129</v>
      </c>
      <c r="AB103" s="30">
        <f t="shared" si="320"/>
        <v>145</v>
      </c>
      <c r="AC103" s="30">
        <f t="shared" si="321"/>
        <v>-1025</v>
      </c>
      <c r="AD103" s="30">
        <f t="shared" si="322"/>
        <v>-192</v>
      </c>
      <c r="AE103" s="30">
        <f t="shared" si="323"/>
        <v>85</v>
      </c>
      <c r="AF103" s="30">
        <f t="shared" si="324"/>
        <v>-10</v>
      </c>
      <c r="AG103" s="30">
        <f t="shared" si="325"/>
        <v>358</v>
      </c>
      <c r="AH103" s="30">
        <f t="shared" si="326"/>
        <v>-15</v>
      </c>
      <c r="AI103" s="30">
        <f t="shared" si="327"/>
        <v>147</v>
      </c>
      <c r="AJ103" s="30">
        <f t="shared" si="328"/>
        <v>190</v>
      </c>
      <c r="AK103" s="55"/>
      <c r="AL103" s="68">
        <f t="shared" si="329"/>
        <v>-20</v>
      </c>
    </row>
    <row r="104" spans="2:38" ht="12.75" customHeight="1">
      <c r="B104" s="56" t="s">
        <v>123</v>
      </c>
      <c r="C104" s="76">
        <v>-132</v>
      </c>
      <c r="D104" s="76">
        <v>173</v>
      </c>
      <c r="E104" s="76">
        <v>-156</v>
      </c>
      <c r="F104" s="76">
        <v>36</v>
      </c>
      <c r="G104" s="76">
        <v>52</v>
      </c>
      <c r="H104" s="76">
        <v>-212</v>
      </c>
      <c r="I104" s="30"/>
      <c r="J104" s="76">
        <v>63</v>
      </c>
      <c r="K104" s="76">
        <f>42-J104</f>
        <v>-21</v>
      </c>
      <c r="L104" s="76">
        <f>28-K104-J104</f>
        <v>-14</v>
      </c>
      <c r="M104" s="30">
        <f>SUM(F104-SUM(J104:L104))</f>
        <v>8</v>
      </c>
      <c r="N104" s="76">
        <v>46</v>
      </c>
      <c r="O104" s="76">
        <f>-148-N104</f>
        <v>-194</v>
      </c>
      <c r="P104" s="76">
        <f>-200-O104-N104</f>
        <v>-52</v>
      </c>
      <c r="Q104" s="30">
        <f>SUM(G104-SUM(N104:P104))</f>
        <v>252</v>
      </c>
      <c r="R104" s="76">
        <v>13</v>
      </c>
      <c r="S104" s="76">
        <f>-183-R104</f>
        <v>-196</v>
      </c>
      <c r="T104" s="76">
        <f>-219-S104-R104</f>
        <v>-36</v>
      </c>
      <c r="U104" s="30">
        <f t="shared" si="317"/>
        <v>7</v>
      </c>
      <c r="V104" s="76">
        <v>7</v>
      </c>
      <c r="W104" s="76">
        <f>-167-V104</f>
        <v>-174</v>
      </c>
      <c r="X104" s="76">
        <f>-133-W104-V104</f>
        <v>34</v>
      </c>
      <c r="Z104" s="30">
        <f t="shared" si="318"/>
        <v>19</v>
      </c>
      <c r="AA104" s="30">
        <f t="shared" si="319"/>
        <v>-154</v>
      </c>
      <c r="AB104" s="30">
        <f t="shared" si="320"/>
        <v>-192</v>
      </c>
      <c r="AC104" s="30">
        <f t="shared" si="321"/>
        <v>52</v>
      </c>
      <c r="AD104" s="30">
        <f t="shared" si="322"/>
        <v>19</v>
      </c>
      <c r="AE104" s="30">
        <f t="shared" si="323"/>
        <v>17</v>
      </c>
      <c r="AF104" s="30">
        <f t="shared" si="324"/>
        <v>33</v>
      </c>
      <c r="AG104" s="30">
        <f t="shared" si="325"/>
        <v>-212</v>
      </c>
      <c r="AH104" s="30">
        <f t="shared" si="326"/>
        <v>-218</v>
      </c>
      <c r="AI104" s="30">
        <f t="shared" si="327"/>
        <v>-196</v>
      </c>
      <c r="AJ104" s="30">
        <f t="shared" si="328"/>
        <v>-126</v>
      </c>
      <c r="AK104" s="55"/>
      <c r="AL104" s="68">
        <f t="shared" si="329"/>
        <v>-4.8181818181818183</v>
      </c>
    </row>
    <row r="105" spans="2:38" ht="12.75" customHeight="1">
      <c r="B105" s="56" t="s">
        <v>100</v>
      </c>
      <c r="C105" s="76">
        <v>-100</v>
      </c>
      <c r="D105" s="76">
        <v>498</v>
      </c>
      <c r="E105" s="76">
        <v>479</v>
      </c>
      <c r="F105" s="76">
        <v>-483</v>
      </c>
      <c r="G105" s="76">
        <v>-174</v>
      </c>
      <c r="H105" s="76">
        <v>-150</v>
      </c>
      <c r="I105" s="30"/>
      <c r="J105" s="76">
        <v>-713</v>
      </c>
      <c r="K105" s="76">
        <f>-645-J105</f>
        <v>68</v>
      </c>
      <c r="L105" s="76">
        <f>-761-K105-J105</f>
        <v>-116</v>
      </c>
      <c r="M105" s="30">
        <f>SUM(F105-SUM(J105:L105))</f>
        <v>278</v>
      </c>
      <c r="N105" s="76">
        <v>-287</v>
      </c>
      <c r="O105" s="76">
        <f>-245-N105</f>
        <v>42</v>
      </c>
      <c r="P105" s="76">
        <f>-320-O105-N105</f>
        <v>-75</v>
      </c>
      <c r="Q105" s="30">
        <f>SUM(G105-SUM(N105:P105))</f>
        <v>146</v>
      </c>
      <c r="R105" s="76">
        <v>-317</v>
      </c>
      <c r="S105" s="76">
        <f>-266-R105</f>
        <v>51</v>
      </c>
      <c r="T105" s="76">
        <f>-397-S105-R105</f>
        <v>-131</v>
      </c>
      <c r="U105" s="30">
        <f t="shared" si="317"/>
        <v>247</v>
      </c>
      <c r="V105" s="76">
        <v>-362</v>
      </c>
      <c r="W105" s="76">
        <f>-286-V105</f>
        <v>76</v>
      </c>
      <c r="X105" s="76">
        <f>-340-W105-V105</f>
        <v>-54</v>
      </c>
      <c r="Z105" s="30">
        <f t="shared" si="318"/>
        <v>-57</v>
      </c>
      <c r="AA105" s="30">
        <f t="shared" si="319"/>
        <v>-83</v>
      </c>
      <c r="AB105" s="30">
        <f t="shared" si="320"/>
        <v>-42</v>
      </c>
      <c r="AC105" s="30">
        <f t="shared" si="321"/>
        <v>-174</v>
      </c>
      <c r="AD105" s="30">
        <f t="shared" si="322"/>
        <v>-204</v>
      </c>
      <c r="AE105" s="30">
        <f t="shared" si="323"/>
        <v>-195</v>
      </c>
      <c r="AF105" s="30">
        <f t="shared" si="324"/>
        <v>-251</v>
      </c>
      <c r="AG105" s="30">
        <f t="shared" si="325"/>
        <v>-150</v>
      </c>
      <c r="AH105" s="30">
        <f t="shared" si="326"/>
        <v>-195</v>
      </c>
      <c r="AI105" s="30">
        <f t="shared" si="327"/>
        <v>-170</v>
      </c>
      <c r="AJ105" s="30">
        <f t="shared" si="328"/>
        <v>-93</v>
      </c>
      <c r="AK105" s="55"/>
      <c r="AL105" s="68">
        <f t="shared" si="329"/>
        <v>-0.62948207171314741</v>
      </c>
    </row>
    <row r="106" spans="2:38" ht="12.75" customHeight="1">
      <c r="B106" s="12" t="s">
        <v>60</v>
      </c>
      <c r="C106" s="13">
        <f>SUM(C92:C105)</f>
        <v>2565</v>
      </c>
      <c r="D106" s="13">
        <f>SUM(D92:D105)</f>
        <v>4927</v>
      </c>
      <c r="E106" s="13">
        <f>SUM(E92:E105)</f>
        <v>3252</v>
      </c>
      <c r="F106" s="13">
        <f>SUM(F92:F105)</f>
        <v>1824</v>
      </c>
      <c r="G106" s="13">
        <f>SUM(G92:G105)</f>
        <v>1470</v>
      </c>
      <c r="H106" s="13">
        <f>SUM(H92:H105)</f>
        <v>2098</v>
      </c>
      <c r="J106" s="13">
        <f t="shared" ref="J106:S106" si="330">SUM(J92:J105)</f>
        <v>-1384</v>
      </c>
      <c r="K106" s="13">
        <f t="shared" si="330"/>
        <v>675</v>
      </c>
      <c r="L106" s="13">
        <f t="shared" si="330"/>
        <v>601</v>
      </c>
      <c r="M106" s="13">
        <f t="shared" si="330"/>
        <v>1932</v>
      </c>
      <c r="N106" s="13">
        <f t="shared" si="330"/>
        <v>-331</v>
      </c>
      <c r="O106" s="13">
        <f t="shared" si="330"/>
        <v>512</v>
      </c>
      <c r="P106" s="13">
        <f t="shared" si="330"/>
        <v>109</v>
      </c>
      <c r="Q106" s="13">
        <f t="shared" si="330"/>
        <v>1180</v>
      </c>
      <c r="R106" s="13">
        <f t="shared" si="330"/>
        <v>156</v>
      </c>
      <c r="S106" s="13">
        <f t="shared" si="330"/>
        <v>661</v>
      </c>
      <c r="T106" s="13">
        <f t="shared" ref="T106:X106" si="331">SUM(T92:T105)</f>
        <v>-256</v>
      </c>
      <c r="U106" s="13">
        <f t="shared" ref="U106" si="332">SUM(U92:U105)</f>
        <v>1537</v>
      </c>
      <c r="V106" s="13">
        <f t="shared" si="331"/>
        <v>34</v>
      </c>
      <c r="W106" s="13">
        <f t="shared" si="331"/>
        <v>749</v>
      </c>
      <c r="X106" s="13">
        <f t="shared" si="331"/>
        <v>-99</v>
      </c>
      <c r="Z106" s="13">
        <f>SUM(Z92:Z105)</f>
        <v>2877</v>
      </c>
      <c r="AA106" s="13">
        <f>SUM(AA92:AA105)</f>
        <v>2714</v>
      </c>
      <c r="AB106" s="13">
        <f>SUM(AB92:AB105)</f>
        <v>2222</v>
      </c>
      <c r="AC106" s="13">
        <f>SUM(AC92:AC105)</f>
        <v>1470</v>
      </c>
      <c r="AD106" s="13">
        <f>SUM(AD92:AD105)</f>
        <v>1957</v>
      </c>
      <c r="AE106" s="13">
        <f>SUM(AE92:AE105)</f>
        <v>2106</v>
      </c>
      <c r="AF106" s="13">
        <f>SUM(AF92:AF105)</f>
        <v>1741</v>
      </c>
      <c r="AG106" s="13">
        <f>SUM(AG92:AG105)</f>
        <v>2098</v>
      </c>
      <c r="AH106" s="13">
        <f>SUM(AH92:AH105)</f>
        <v>1976</v>
      </c>
      <c r="AI106" s="13">
        <f>SUM(AI92:AI105)</f>
        <v>2064</v>
      </c>
      <c r="AJ106" s="13">
        <f>SUM(AJ92:AJ105)</f>
        <v>2221</v>
      </c>
      <c r="AK106" s="39"/>
      <c r="AL106" s="69">
        <f>SUM(AJ106/AF106)-1</f>
        <v>0.27570361860999415</v>
      </c>
    </row>
    <row r="107" spans="2:38" ht="12.75" customHeight="1">
      <c r="B107" s="49"/>
      <c r="C107" s="57"/>
      <c r="D107" s="57"/>
      <c r="E107" s="57"/>
      <c r="F107" s="57"/>
      <c r="G107" s="57"/>
      <c r="H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6"/>
    </row>
    <row r="108" spans="2:38" ht="12.75" customHeight="1">
      <c r="B108" s="124" t="s">
        <v>61</v>
      </c>
      <c r="C108" s="54"/>
      <c r="D108" s="54"/>
      <c r="E108" s="54"/>
      <c r="F108" s="54"/>
      <c r="G108" s="54"/>
      <c r="H108" s="54"/>
      <c r="J108" s="76"/>
      <c r="K108" s="76"/>
      <c r="L108" s="76"/>
      <c r="M108" s="30"/>
      <c r="N108" s="76"/>
      <c r="O108" s="76"/>
      <c r="P108" s="76"/>
      <c r="Q108" s="30"/>
      <c r="R108" s="76"/>
      <c r="S108" s="76"/>
      <c r="T108" s="76"/>
      <c r="U108" s="76"/>
      <c r="V108" s="76"/>
      <c r="W108" s="76"/>
      <c r="X108" s="76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5"/>
      <c r="AL108" s="36"/>
    </row>
    <row r="109" spans="2:38" ht="12.75" customHeight="1">
      <c r="B109" s="56" t="s">
        <v>124</v>
      </c>
      <c r="C109" s="76">
        <v>-743</v>
      </c>
      <c r="D109" s="76">
        <v>-713</v>
      </c>
      <c r="E109" s="76">
        <v>-737</v>
      </c>
      <c r="F109" s="76">
        <v>-930</v>
      </c>
      <c r="G109" s="76">
        <v>-795</v>
      </c>
      <c r="H109" s="76">
        <v>-706</v>
      </c>
      <c r="I109" s="30"/>
      <c r="J109" s="76">
        <v>-215</v>
      </c>
      <c r="K109" s="76">
        <f>-441-J109</f>
        <v>-226</v>
      </c>
      <c r="L109" s="76">
        <f>-696-K109-J109</f>
        <v>-255</v>
      </c>
      <c r="M109" s="30">
        <f t="shared" ref="M109:M111" si="333">SUM(F109-SUM(J109:L109))</f>
        <v>-234</v>
      </c>
      <c r="N109" s="76">
        <v>-204</v>
      </c>
      <c r="O109" s="76">
        <f>-395-N109</f>
        <v>-191</v>
      </c>
      <c r="P109" s="76">
        <f>-612-O109-N109</f>
        <v>-217</v>
      </c>
      <c r="Q109" s="30">
        <f t="shared" ref="Q109:Q111" si="334">SUM(G109-SUM(N109:P109))</f>
        <v>-183</v>
      </c>
      <c r="R109" s="76">
        <v>-152</v>
      </c>
      <c r="S109" s="76">
        <f>-335-R109</f>
        <v>-183</v>
      </c>
      <c r="T109" s="76">
        <f>-528-S109-R109</f>
        <v>-193</v>
      </c>
      <c r="U109" s="30">
        <f t="shared" ref="U109:U112" si="335">SUM(H109-SUM(R109:T109))</f>
        <v>-178</v>
      </c>
      <c r="V109" s="76">
        <v>-166</v>
      </c>
      <c r="W109" s="76">
        <f>-341-V109</f>
        <v>-175</v>
      </c>
      <c r="X109" s="76">
        <f>-529-W109-V109</f>
        <v>-188</v>
      </c>
      <c r="Y109" s="30"/>
      <c r="Z109" s="30">
        <f t="shared" ref="Z109:Z112" si="336">SUM(K109:N109)</f>
        <v>-919</v>
      </c>
      <c r="AA109" s="30">
        <f t="shared" ref="AA109:AA112" si="337">SUM(L109:O109)</f>
        <v>-884</v>
      </c>
      <c r="AB109" s="30">
        <f t="shared" ref="AB109:AB112" si="338">SUM(M109:P109)</f>
        <v>-846</v>
      </c>
      <c r="AC109" s="30">
        <f t="shared" ref="AC109:AC112" si="339">SUM(N109:Q109)</f>
        <v>-795</v>
      </c>
      <c r="AD109" s="30">
        <f t="shared" ref="AD109:AD112" si="340">SUM(O109:R109)</f>
        <v>-743</v>
      </c>
      <c r="AE109" s="30">
        <f t="shared" ref="AE109:AE112" si="341">SUM(P109:S109)</f>
        <v>-735</v>
      </c>
      <c r="AF109" s="30">
        <f t="shared" ref="AF109:AF112" si="342">SUM(Q109:T109)</f>
        <v>-711</v>
      </c>
      <c r="AG109" s="30">
        <f t="shared" ref="AG109:AG112" si="343">SUM(R109:U109)</f>
        <v>-706</v>
      </c>
      <c r="AH109" s="30">
        <f t="shared" ref="AH109:AH112" si="344">SUM(S109:V109)</f>
        <v>-720</v>
      </c>
      <c r="AI109" s="30">
        <f t="shared" ref="AI109:AI112" si="345">SUM(T109:W109)</f>
        <v>-712</v>
      </c>
      <c r="AJ109" s="30">
        <f t="shared" ref="AJ109:AJ112" si="346">SUM(U109:X109)</f>
        <v>-707</v>
      </c>
      <c r="AK109" s="55"/>
      <c r="AL109" s="68">
        <f t="shared" ref="AL109:AL112" si="347">SUM(AJ109/AF109)-1</f>
        <v>-5.6258790436005679E-3</v>
      </c>
    </row>
    <row r="110" spans="2:38" ht="12.75" customHeight="1">
      <c r="B110" s="56" t="s">
        <v>179</v>
      </c>
      <c r="C110" s="76">
        <v>-145</v>
      </c>
      <c r="D110" s="76">
        <v>0</v>
      </c>
      <c r="E110" s="76">
        <v>-468</v>
      </c>
      <c r="F110" s="76">
        <v>0</v>
      </c>
      <c r="G110" s="76">
        <v>14</v>
      </c>
      <c r="H110" s="76">
        <v>0</v>
      </c>
      <c r="I110" s="30"/>
      <c r="J110" s="76">
        <v>0</v>
      </c>
      <c r="K110" s="76">
        <v>0</v>
      </c>
      <c r="L110" s="76">
        <v>0</v>
      </c>
      <c r="M110" s="30">
        <f t="shared" si="333"/>
        <v>0</v>
      </c>
      <c r="N110" s="76">
        <v>0</v>
      </c>
      <c r="O110" s="76">
        <f>14-N110</f>
        <v>14</v>
      </c>
      <c r="P110" s="76">
        <f>14-O110-N110</f>
        <v>0</v>
      </c>
      <c r="Q110" s="30">
        <f t="shared" si="334"/>
        <v>0</v>
      </c>
      <c r="R110" s="76">
        <v>0</v>
      </c>
      <c r="S110" s="76">
        <v>0</v>
      </c>
      <c r="T110" s="76">
        <v>0</v>
      </c>
      <c r="U110" s="30">
        <f t="shared" si="335"/>
        <v>0</v>
      </c>
      <c r="V110" s="76">
        <v>0</v>
      </c>
      <c r="W110" s="76">
        <f>-27-V110</f>
        <v>-27</v>
      </c>
      <c r="X110" s="76">
        <f>-27-W110-V110</f>
        <v>0</v>
      </c>
      <c r="Y110" s="30"/>
      <c r="Z110" s="30">
        <f t="shared" si="336"/>
        <v>0</v>
      </c>
      <c r="AA110" s="30">
        <f t="shared" si="337"/>
        <v>14</v>
      </c>
      <c r="AB110" s="30">
        <f t="shared" si="338"/>
        <v>14</v>
      </c>
      <c r="AC110" s="30">
        <f t="shared" si="339"/>
        <v>14</v>
      </c>
      <c r="AD110" s="30">
        <f t="shared" si="340"/>
        <v>14</v>
      </c>
      <c r="AE110" s="30">
        <f t="shared" si="341"/>
        <v>0</v>
      </c>
      <c r="AF110" s="30">
        <f t="shared" si="342"/>
        <v>0</v>
      </c>
      <c r="AG110" s="30">
        <f t="shared" si="343"/>
        <v>0</v>
      </c>
      <c r="AH110" s="30">
        <f t="shared" si="344"/>
        <v>0</v>
      </c>
      <c r="AI110" s="30">
        <f t="shared" si="345"/>
        <v>-27</v>
      </c>
      <c r="AJ110" s="30">
        <f t="shared" si="346"/>
        <v>-27</v>
      </c>
      <c r="AK110" s="55"/>
      <c r="AL110" s="68" t="e">
        <f t="shared" si="347"/>
        <v>#DIV/0!</v>
      </c>
    </row>
    <row r="111" spans="2:38" ht="12.75" customHeight="1">
      <c r="B111" s="56" t="s">
        <v>181</v>
      </c>
      <c r="C111" s="76">
        <f>-330+322</f>
        <v>-8</v>
      </c>
      <c r="D111" s="76">
        <f>-620+546</f>
        <v>-74</v>
      </c>
      <c r="E111" s="76">
        <f>-233+66</f>
        <v>-167</v>
      </c>
      <c r="F111" s="76">
        <f>-46+7</f>
        <v>-39</v>
      </c>
      <c r="G111" s="76">
        <f>-9+7</f>
        <v>-2</v>
      </c>
      <c r="H111" s="76">
        <f>-26+20</f>
        <v>-6</v>
      </c>
      <c r="I111" s="30"/>
      <c r="J111" s="76">
        <v>0</v>
      </c>
      <c r="K111" s="76">
        <f>-46-J111</f>
        <v>-46</v>
      </c>
      <c r="L111" s="76">
        <f>-46-K111-J111</f>
        <v>0</v>
      </c>
      <c r="M111" s="30">
        <f t="shared" si="333"/>
        <v>7</v>
      </c>
      <c r="N111" s="76">
        <v>0</v>
      </c>
      <c r="O111" s="76">
        <f>-2-N111</f>
        <v>-2</v>
      </c>
      <c r="P111" s="76">
        <f>-7-O111-N111</f>
        <v>-5</v>
      </c>
      <c r="Q111" s="30">
        <f t="shared" si="334"/>
        <v>5</v>
      </c>
      <c r="R111" s="76">
        <v>0</v>
      </c>
      <c r="S111" s="76">
        <v>0</v>
      </c>
      <c r="T111" s="76">
        <v>0</v>
      </c>
      <c r="U111" s="30">
        <f t="shared" si="335"/>
        <v>-6</v>
      </c>
      <c r="V111" s="76">
        <v>0</v>
      </c>
      <c r="W111" s="76">
        <v>0</v>
      </c>
      <c r="X111" s="76">
        <v>0</v>
      </c>
      <c r="Y111" s="30"/>
      <c r="Z111" s="30">
        <f t="shared" si="336"/>
        <v>-39</v>
      </c>
      <c r="AA111" s="30">
        <f t="shared" si="337"/>
        <v>5</v>
      </c>
      <c r="AB111" s="30">
        <f t="shared" si="338"/>
        <v>0</v>
      </c>
      <c r="AC111" s="30">
        <f t="shared" si="339"/>
        <v>-2</v>
      </c>
      <c r="AD111" s="30">
        <f t="shared" si="340"/>
        <v>-2</v>
      </c>
      <c r="AE111" s="30">
        <f t="shared" si="341"/>
        <v>0</v>
      </c>
      <c r="AF111" s="30">
        <f t="shared" si="342"/>
        <v>5</v>
      </c>
      <c r="AG111" s="30">
        <f t="shared" si="343"/>
        <v>-6</v>
      </c>
      <c r="AH111" s="30">
        <f t="shared" si="344"/>
        <v>-6</v>
      </c>
      <c r="AI111" s="30">
        <f t="shared" si="345"/>
        <v>-6</v>
      </c>
      <c r="AJ111" s="30">
        <f t="shared" si="346"/>
        <v>-6</v>
      </c>
      <c r="AK111" s="55"/>
      <c r="AL111" s="68">
        <f t="shared" si="347"/>
        <v>-2.2000000000000002</v>
      </c>
    </row>
    <row r="112" spans="2:38" ht="12.75" customHeight="1">
      <c r="B112" s="56" t="s">
        <v>180</v>
      </c>
      <c r="C112" s="76">
        <v>1</v>
      </c>
      <c r="D112" s="76">
        <v>-1</v>
      </c>
      <c r="E112" s="76">
        <v>0</v>
      </c>
      <c r="F112" s="76">
        <v>7</v>
      </c>
      <c r="G112" s="76">
        <v>2</v>
      </c>
      <c r="H112" s="76">
        <v>8</v>
      </c>
      <c r="I112" s="30"/>
      <c r="J112" s="76">
        <v>2</v>
      </c>
      <c r="K112" s="76">
        <f>3-J112</f>
        <v>1</v>
      </c>
      <c r="L112" s="76">
        <f>6-K112-J112</f>
        <v>3</v>
      </c>
      <c r="M112" s="30">
        <f>SUM(F112-SUM(J112:L112))</f>
        <v>1</v>
      </c>
      <c r="N112" s="76">
        <v>0</v>
      </c>
      <c r="O112" s="76">
        <f>2-N112</f>
        <v>2</v>
      </c>
      <c r="P112" s="76">
        <f>5-O112-N112</f>
        <v>3</v>
      </c>
      <c r="Q112" s="30">
        <f>SUM(G112-SUM(N112:P112))</f>
        <v>-3</v>
      </c>
      <c r="R112" s="76">
        <v>-15</v>
      </c>
      <c r="S112" s="76">
        <f>-17-R112</f>
        <v>-2</v>
      </c>
      <c r="T112" s="76">
        <f>6-S112-R112</f>
        <v>23</v>
      </c>
      <c r="U112" s="30">
        <f t="shared" si="335"/>
        <v>2</v>
      </c>
      <c r="V112" s="76">
        <v>0</v>
      </c>
      <c r="W112" s="76">
        <f>-1-V112</f>
        <v>-1</v>
      </c>
      <c r="X112" s="76">
        <f>1-W112-V112</f>
        <v>2</v>
      </c>
      <c r="Y112" s="30"/>
      <c r="Z112" s="30">
        <f t="shared" si="336"/>
        <v>5</v>
      </c>
      <c r="AA112" s="30">
        <f t="shared" si="337"/>
        <v>6</v>
      </c>
      <c r="AB112" s="30">
        <f t="shared" si="338"/>
        <v>6</v>
      </c>
      <c r="AC112" s="30">
        <f t="shared" si="339"/>
        <v>2</v>
      </c>
      <c r="AD112" s="30">
        <f t="shared" si="340"/>
        <v>-13</v>
      </c>
      <c r="AE112" s="30">
        <f t="shared" si="341"/>
        <v>-17</v>
      </c>
      <c r="AF112" s="30">
        <f t="shared" si="342"/>
        <v>3</v>
      </c>
      <c r="AG112" s="30">
        <f t="shared" si="343"/>
        <v>8</v>
      </c>
      <c r="AH112" s="30">
        <f t="shared" si="344"/>
        <v>23</v>
      </c>
      <c r="AI112" s="30">
        <f t="shared" si="345"/>
        <v>24</v>
      </c>
      <c r="AJ112" s="30">
        <f t="shared" si="346"/>
        <v>3</v>
      </c>
      <c r="AK112" s="55"/>
      <c r="AL112" s="68">
        <f t="shared" si="347"/>
        <v>0</v>
      </c>
    </row>
    <row r="113" spans="2:38" ht="12.75" customHeight="1">
      <c r="B113" s="12" t="s">
        <v>62</v>
      </c>
      <c r="C113" s="13">
        <f>SUM(C109:C112)</f>
        <v>-895</v>
      </c>
      <c r="D113" s="13">
        <f>SUM(D109:D112)</f>
        <v>-788</v>
      </c>
      <c r="E113" s="13">
        <f>SUM(E109:E112)</f>
        <v>-1372</v>
      </c>
      <c r="F113" s="13">
        <f>SUM(F109:F112)</f>
        <v>-962</v>
      </c>
      <c r="G113" s="13">
        <f>SUM(G109:G112)</f>
        <v>-781</v>
      </c>
      <c r="H113" s="13">
        <f>SUM(H109:H112)</f>
        <v>-704</v>
      </c>
      <c r="J113" s="13">
        <f>SUM(J109:J112)</f>
        <v>-213</v>
      </c>
      <c r="K113" s="13">
        <f>SUM(K109:K112)</f>
        <v>-271</v>
      </c>
      <c r="L113" s="13">
        <f>SUM(L109:L112)</f>
        <v>-252</v>
      </c>
      <c r="M113" s="13">
        <f>SUM(M109:M112)</f>
        <v>-226</v>
      </c>
      <c r="N113" s="13">
        <f>SUM(N109:N112)</f>
        <v>-204</v>
      </c>
      <c r="O113" s="13">
        <f>SUM(O109:O112)</f>
        <v>-177</v>
      </c>
      <c r="P113" s="13">
        <f>SUM(P109:P112)</f>
        <v>-219</v>
      </c>
      <c r="Q113" s="13">
        <f>SUM(Q109:Q112)</f>
        <v>-181</v>
      </c>
      <c r="R113" s="13">
        <f>SUM(R109:R112)</f>
        <v>-167</v>
      </c>
      <c r="S113" s="13">
        <f>SUM(S109:S112)</f>
        <v>-185</v>
      </c>
      <c r="T113" s="13">
        <f t="shared" ref="T113:X113" si="348">SUM(T109:T112)</f>
        <v>-170</v>
      </c>
      <c r="U113" s="13">
        <f t="shared" si="348"/>
        <v>-182</v>
      </c>
      <c r="V113" s="13">
        <f t="shared" si="348"/>
        <v>-166</v>
      </c>
      <c r="W113" s="13">
        <f t="shared" si="348"/>
        <v>-203</v>
      </c>
      <c r="X113" s="13">
        <f t="shared" si="348"/>
        <v>-186</v>
      </c>
      <c r="Z113" s="13">
        <f>SUM(Z109:Z112)</f>
        <v>-953</v>
      </c>
      <c r="AA113" s="13">
        <f>SUM(AA109:AA112)</f>
        <v>-859</v>
      </c>
      <c r="AB113" s="13">
        <f>SUM(AB109:AB112)</f>
        <v>-826</v>
      </c>
      <c r="AC113" s="13">
        <f>SUM(AC109:AC112)</f>
        <v>-781</v>
      </c>
      <c r="AD113" s="13">
        <f>SUM(AD109:AD112)</f>
        <v>-744</v>
      </c>
      <c r="AE113" s="13">
        <f>SUM(AE109:AE112)</f>
        <v>-752</v>
      </c>
      <c r="AF113" s="13">
        <f>SUM(AF109:AF112)</f>
        <v>-703</v>
      </c>
      <c r="AG113" s="13">
        <f>SUM(AG109:AG112)</f>
        <v>-704</v>
      </c>
      <c r="AH113" s="13">
        <f>SUM(AH109:AH112)</f>
        <v>-703</v>
      </c>
      <c r="AI113" s="13">
        <f>SUM(AI109:AI112)</f>
        <v>-721</v>
      </c>
      <c r="AJ113" s="13">
        <f>SUM(AJ109:AJ112)</f>
        <v>-737</v>
      </c>
      <c r="AK113" s="39"/>
      <c r="AL113" s="69">
        <f>SUM(AJ113/AF113)-1</f>
        <v>4.8364153627311612E-2</v>
      </c>
    </row>
    <row r="114" spans="2:38" ht="5.0999999999999996" customHeight="1">
      <c r="B114" s="48"/>
      <c r="C114" s="57"/>
      <c r="D114" s="57"/>
      <c r="E114" s="57"/>
      <c r="F114" s="57"/>
      <c r="G114" s="57"/>
      <c r="H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6"/>
    </row>
    <row r="115" spans="2:38" ht="12.75" customHeight="1">
      <c r="B115" s="124" t="s">
        <v>63</v>
      </c>
      <c r="C115" s="58"/>
      <c r="D115" s="58"/>
      <c r="E115" s="58"/>
      <c r="F115" s="58"/>
      <c r="G115" s="58"/>
      <c r="H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59"/>
      <c r="AL115" s="36"/>
    </row>
    <row r="116" spans="2:38" ht="12.75" customHeight="1">
      <c r="B116" s="77" t="s">
        <v>177</v>
      </c>
      <c r="C116" s="76">
        <f>-1003+48</f>
        <v>-955</v>
      </c>
      <c r="D116" s="76">
        <f>-312+28</f>
        <v>-284</v>
      </c>
      <c r="E116" s="76">
        <f>-3502+29</f>
        <v>-3473</v>
      </c>
      <c r="F116" s="76">
        <f>-1014+16</f>
        <v>-998</v>
      </c>
      <c r="G116" s="76">
        <f>-340+19</f>
        <v>-321</v>
      </c>
      <c r="H116" s="76">
        <f>-500+17</f>
        <v>-483</v>
      </c>
      <c r="J116" s="76">
        <v>-455</v>
      </c>
      <c r="K116" s="76">
        <f>-465-J116</f>
        <v>-10</v>
      </c>
      <c r="L116" s="76">
        <f>-465-K116-J116</f>
        <v>0</v>
      </c>
      <c r="M116" s="30">
        <f>SUM(F116-SUM(J116:L116))</f>
        <v>-533</v>
      </c>
      <c r="N116" s="76">
        <v>-79</v>
      </c>
      <c r="O116" s="76">
        <f>-158-N116</f>
        <v>-79</v>
      </c>
      <c r="P116" s="76">
        <f>-270-O116-N116</f>
        <v>-112</v>
      </c>
      <c r="Q116" s="30">
        <f>SUM(G116-SUM(N116:P116))</f>
        <v>-51</v>
      </c>
      <c r="R116" s="76">
        <v>-50</v>
      </c>
      <c r="S116" s="76">
        <f>-148-R116</f>
        <v>-98</v>
      </c>
      <c r="T116" s="76">
        <f>-285-S116-R116</f>
        <v>-137</v>
      </c>
      <c r="U116" s="30">
        <f t="shared" ref="U116:U119" si="349">SUM(H116-SUM(R116:T116))</f>
        <v>-198</v>
      </c>
      <c r="V116" s="76">
        <v>-100</v>
      </c>
      <c r="W116" s="76">
        <f>-165-V116</f>
        <v>-65</v>
      </c>
      <c r="X116" s="76">
        <f>-200-W116-V116</f>
        <v>-35</v>
      </c>
      <c r="Y116" s="30"/>
      <c r="Z116" s="30">
        <f t="shared" ref="Z116:Z119" si="350">SUM(K116:N116)</f>
        <v>-622</v>
      </c>
      <c r="AA116" s="30">
        <f t="shared" ref="AA116:AA119" si="351">SUM(L116:O116)</f>
        <v>-691</v>
      </c>
      <c r="AB116" s="30">
        <f t="shared" ref="AB116:AB119" si="352">SUM(M116:P116)</f>
        <v>-803</v>
      </c>
      <c r="AC116" s="30">
        <f t="shared" ref="AC116:AC119" si="353">SUM(N116:Q116)</f>
        <v>-321</v>
      </c>
      <c r="AD116" s="30">
        <f t="shared" ref="AD116:AD119" si="354">SUM(O116:R116)</f>
        <v>-292</v>
      </c>
      <c r="AE116" s="30">
        <f t="shared" ref="AE116:AE119" si="355">SUM(P116:S116)</f>
        <v>-311</v>
      </c>
      <c r="AF116" s="30">
        <f t="shared" ref="AF116:AF119" si="356">SUM(Q116:T116)</f>
        <v>-336</v>
      </c>
      <c r="AG116" s="30">
        <f t="shared" ref="AG116:AG119" si="357">SUM(R116:U116)</f>
        <v>-483</v>
      </c>
      <c r="AH116" s="30">
        <f t="shared" ref="AH116:AH119" si="358">SUM(S116:V116)</f>
        <v>-533</v>
      </c>
      <c r="AI116" s="30">
        <f t="shared" ref="AI116:AI119" si="359">SUM(T116:W116)</f>
        <v>-500</v>
      </c>
      <c r="AJ116" s="30">
        <f t="shared" ref="AJ116:AJ119" si="360">SUM(U116:X116)</f>
        <v>-398</v>
      </c>
      <c r="AK116" s="59"/>
      <c r="AL116" s="68">
        <f t="shared" ref="AL116:AL119" si="361">SUM(AJ116/AF116)-1</f>
        <v>0.18452380952380953</v>
      </c>
    </row>
    <row r="117" spans="2:38" ht="12.75" customHeight="1">
      <c r="B117" s="77" t="s">
        <v>125</v>
      </c>
      <c r="C117" s="76">
        <v>-527</v>
      </c>
      <c r="D117" s="76">
        <v>-568</v>
      </c>
      <c r="E117" s="76">
        <v>-688</v>
      </c>
      <c r="F117" s="76">
        <v>-789</v>
      </c>
      <c r="G117" s="76">
        <v>-801</v>
      </c>
      <c r="H117" s="76">
        <v>-807</v>
      </c>
      <c r="I117" s="30"/>
      <c r="J117" s="76">
        <v>-199</v>
      </c>
      <c r="K117" s="76">
        <f>-397-J117</f>
        <v>-198</v>
      </c>
      <c r="L117" s="76">
        <f>-595-K117-J117</f>
        <v>-198</v>
      </c>
      <c r="M117" s="30">
        <f>SUM(F117-SUM(J117:L117))</f>
        <v>-194</v>
      </c>
      <c r="N117" s="76">
        <v>-202</v>
      </c>
      <c r="O117" s="76">
        <f>-402-N117</f>
        <v>-200</v>
      </c>
      <c r="P117" s="76">
        <f>-603-O117-N117</f>
        <v>-201</v>
      </c>
      <c r="Q117" s="30">
        <f>SUM(G117-SUM(N117:P117))</f>
        <v>-198</v>
      </c>
      <c r="R117" s="76">
        <v>-202</v>
      </c>
      <c r="S117" s="76">
        <f>-405-R117</f>
        <v>-203</v>
      </c>
      <c r="T117" s="76">
        <f>-607-S117-R117</f>
        <v>-202</v>
      </c>
      <c r="U117" s="30">
        <f t="shared" si="349"/>
        <v>-200</v>
      </c>
      <c r="V117" s="76">
        <v>-202</v>
      </c>
      <c r="W117" s="76">
        <f>-403-V117</f>
        <v>-201</v>
      </c>
      <c r="X117" s="76">
        <f>-602-W117-V117</f>
        <v>-199</v>
      </c>
      <c r="Y117" s="30"/>
      <c r="Z117" s="30">
        <f t="shared" si="350"/>
        <v>-792</v>
      </c>
      <c r="AA117" s="30">
        <f t="shared" si="351"/>
        <v>-794</v>
      </c>
      <c r="AB117" s="30">
        <f t="shared" si="352"/>
        <v>-797</v>
      </c>
      <c r="AC117" s="30">
        <f t="shared" si="353"/>
        <v>-801</v>
      </c>
      <c r="AD117" s="30">
        <f t="shared" si="354"/>
        <v>-801</v>
      </c>
      <c r="AE117" s="30">
        <f t="shared" si="355"/>
        <v>-804</v>
      </c>
      <c r="AF117" s="30">
        <f t="shared" si="356"/>
        <v>-805</v>
      </c>
      <c r="AG117" s="30">
        <f t="shared" si="357"/>
        <v>-807</v>
      </c>
      <c r="AH117" s="30">
        <f t="shared" si="358"/>
        <v>-807</v>
      </c>
      <c r="AI117" s="30">
        <f t="shared" si="359"/>
        <v>-805</v>
      </c>
      <c r="AJ117" s="30">
        <f t="shared" si="360"/>
        <v>-802</v>
      </c>
      <c r="AK117" s="59"/>
      <c r="AL117" s="68">
        <f t="shared" si="361"/>
        <v>-3.7267080745341241E-3</v>
      </c>
    </row>
    <row r="118" spans="2:38" ht="12.75" customHeight="1">
      <c r="B118" s="77" t="s">
        <v>178</v>
      </c>
      <c r="C118" s="76">
        <v>-15</v>
      </c>
      <c r="D118" s="76">
        <f>-1916+1892</f>
        <v>-24</v>
      </c>
      <c r="E118" s="76">
        <v>-133</v>
      </c>
      <c r="F118" s="76">
        <v>-19</v>
      </c>
      <c r="G118" s="76">
        <v>-19</v>
      </c>
      <c r="H118" s="76">
        <v>-17</v>
      </c>
      <c r="I118" s="30"/>
      <c r="J118" s="76">
        <v>0</v>
      </c>
      <c r="K118" s="76">
        <v>0</v>
      </c>
      <c r="L118" s="76">
        <v>0</v>
      </c>
      <c r="M118" s="30">
        <f>SUM(F118-SUM(J118:L118))</f>
        <v>-19</v>
      </c>
      <c r="N118" s="76">
        <v>0</v>
      </c>
      <c r="O118" s="76">
        <v>0</v>
      </c>
      <c r="P118" s="76">
        <v>0</v>
      </c>
      <c r="Q118" s="30">
        <f>SUM(G118-SUM(N118:P118))</f>
        <v>-19</v>
      </c>
      <c r="R118" s="76">
        <v>0</v>
      </c>
      <c r="S118" s="76">
        <v>0</v>
      </c>
      <c r="T118" s="76">
        <f>-13-S118-R118</f>
        <v>-13</v>
      </c>
      <c r="U118" s="30">
        <f t="shared" si="349"/>
        <v>-4</v>
      </c>
      <c r="V118" s="76">
        <v>0</v>
      </c>
      <c r="W118" s="76">
        <v>0</v>
      </c>
      <c r="X118" s="76">
        <f>-10-W118-V118</f>
        <v>-10</v>
      </c>
      <c r="Y118" s="30"/>
      <c r="Z118" s="30">
        <f t="shared" si="350"/>
        <v>-19</v>
      </c>
      <c r="AA118" s="30">
        <f t="shared" si="351"/>
        <v>-19</v>
      </c>
      <c r="AB118" s="30">
        <f t="shared" si="352"/>
        <v>-19</v>
      </c>
      <c r="AC118" s="30">
        <f t="shared" si="353"/>
        <v>-19</v>
      </c>
      <c r="AD118" s="30">
        <f t="shared" si="354"/>
        <v>-19</v>
      </c>
      <c r="AE118" s="30">
        <f t="shared" si="355"/>
        <v>-19</v>
      </c>
      <c r="AF118" s="30">
        <f t="shared" si="356"/>
        <v>-32</v>
      </c>
      <c r="AG118" s="30">
        <f t="shared" si="357"/>
        <v>-17</v>
      </c>
      <c r="AH118" s="30">
        <f t="shared" si="358"/>
        <v>-17</v>
      </c>
      <c r="AI118" s="30">
        <f t="shared" si="359"/>
        <v>-17</v>
      </c>
      <c r="AJ118" s="30">
        <f t="shared" si="360"/>
        <v>-14</v>
      </c>
      <c r="AK118" s="59"/>
      <c r="AL118" s="68">
        <f t="shared" si="361"/>
        <v>-0.5625</v>
      </c>
    </row>
    <row r="119" spans="2:38" ht="12.75" customHeight="1">
      <c r="B119" s="56" t="s">
        <v>182</v>
      </c>
      <c r="C119" s="76">
        <v>-1</v>
      </c>
      <c r="D119" s="76">
        <v>0</v>
      </c>
      <c r="E119" s="76">
        <v>-3</v>
      </c>
      <c r="F119" s="76">
        <v>0</v>
      </c>
      <c r="G119" s="76">
        <v>-3</v>
      </c>
      <c r="H119" s="76">
        <v>-2</v>
      </c>
      <c r="I119" s="30"/>
      <c r="J119" s="76">
        <v>4</v>
      </c>
      <c r="K119" s="76">
        <f>1-J119</f>
        <v>-3</v>
      </c>
      <c r="L119" s="76">
        <f>2-K119-J119</f>
        <v>1</v>
      </c>
      <c r="M119" s="30">
        <f>SUM(F119-SUM(J119:L119))</f>
        <v>-2</v>
      </c>
      <c r="N119" s="76">
        <v>0</v>
      </c>
      <c r="O119" s="76">
        <v>0</v>
      </c>
      <c r="P119" s="76">
        <f>1-O119-N119</f>
        <v>1</v>
      </c>
      <c r="Q119" s="30">
        <f>SUM(G119-SUM(N119:P119))</f>
        <v>-4</v>
      </c>
      <c r="R119" s="76">
        <v>0</v>
      </c>
      <c r="S119" s="76">
        <f>-4-R119</f>
        <v>-4</v>
      </c>
      <c r="T119" s="76">
        <f>13-S119-R119</f>
        <v>17</v>
      </c>
      <c r="U119" s="30">
        <f t="shared" si="349"/>
        <v>-15</v>
      </c>
      <c r="V119" s="76">
        <v>-3</v>
      </c>
      <c r="W119" s="76">
        <f>-6-V119</f>
        <v>-3</v>
      </c>
      <c r="X119" s="76">
        <f>4-W119-V119</f>
        <v>10</v>
      </c>
      <c r="Y119" s="30"/>
      <c r="Z119" s="30">
        <f t="shared" ref="Z119" si="362">SUM(K119:N119)</f>
        <v>-4</v>
      </c>
      <c r="AA119" s="30">
        <f t="shared" ref="AA119" si="363">SUM(L119:O119)</f>
        <v>-1</v>
      </c>
      <c r="AB119" s="30">
        <f t="shared" ref="AB119" si="364">SUM(M119:P119)</f>
        <v>-1</v>
      </c>
      <c r="AC119" s="30">
        <f t="shared" ref="AC119" si="365">SUM(N119:Q119)</f>
        <v>-3</v>
      </c>
      <c r="AD119" s="30">
        <f t="shared" ref="AD119" si="366">SUM(O119:R119)</f>
        <v>-3</v>
      </c>
      <c r="AE119" s="30">
        <f t="shared" ref="AE119" si="367">SUM(P119:S119)</f>
        <v>-7</v>
      </c>
      <c r="AF119" s="30">
        <f t="shared" ref="AF119" si="368">SUM(Q119:T119)</f>
        <v>9</v>
      </c>
      <c r="AG119" s="30">
        <f t="shared" ref="AG119" si="369">SUM(R119:U119)</f>
        <v>-2</v>
      </c>
      <c r="AH119" s="30">
        <f t="shared" ref="AH119" si="370">SUM(S119:V119)</f>
        <v>-5</v>
      </c>
      <c r="AI119" s="30">
        <f t="shared" ref="AI119" si="371">SUM(T119:W119)</f>
        <v>-4</v>
      </c>
      <c r="AJ119" s="30">
        <f t="shared" ref="AJ119" si="372">SUM(U119:X119)</f>
        <v>-11</v>
      </c>
      <c r="AK119" s="59"/>
      <c r="AL119" s="68">
        <f t="shared" si="361"/>
        <v>-2.2222222222222223</v>
      </c>
    </row>
    <row r="120" spans="2:38" ht="12.75" customHeight="1">
      <c r="B120" s="12" t="s">
        <v>64</v>
      </c>
      <c r="C120" s="13">
        <f>SUM(C116:C119)</f>
        <v>-1498</v>
      </c>
      <c r="D120" s="13">
        <f>SUM(D116:D119)</f>
        <v>-876</v>
      </c>
      <c r="E120" s="13">
        <f>SUM(E116:E119)</f>
        <v>-4297</v>
      </c>
      <c r="F120" s="13">
        <f>SUM(F116:F119)</f>
        <v>-1806</v>
      </c>
      <c r="G120" s="13">
        <f>SUM(G116:G119)</f>
        <v>-1144</v>
      </c>
      <c r="H120" s="13">
        <f>SUM(H116:H119)</f>
        <v>-1309</v>
      </c>
      <c r="J120" s="13">
        <f>SUM(J116:J119)</f>
        <v>-650</v>
      </c>
      <c r="K120" s="13">
        <f>SUM(K116:K119)</f>
        <v>-211</v>
      </c>
      <c r="L120" s="13">
        <f>SUM(L116:L119)</f>
        <v>-197</v>
      </c>
      <c r="M120" s="13">
        <f>SUM(M116:M119)</f>
        <v>-748</v>
      </c>
      <c r="N120" s="13">
        <f>SUM(N116:N119)</f>
        <v>-281</v>
      </c>
      <c r="O120" s="13">
        <f>SUM(O116:O119)</f>
        <v>-279</v>
      </c>
      <c r="P120" s="13">
        <f>SUM(P116:P119)</f>
        <v>-312</v>
      </c>
      <c r="Q120" s="13">
        <f>SUM(Q116:Q119)</f>
        <v>-272</v>
      </c>
      <c r="R120" s="13">
        <f>SUM(R116:R119)</f>
        <v>-252</v>
      </c>
      <c r="S120" s="13">
        <f>SUM(S116:S119)</f>
        <v>-305</v>
      </c>
      <c r="T120" s="13">
        <f t="shared" ref="T120:X120" si="373">SUM(T116:T119)</f>
        <v>-335</v>
      </c>
      <c r="U120" s="13">
        <f t="shared" si="373"/>
        <v>-417</v>
      </c>
      <c r="V120" s="13">
        <f t="shared" si="373"/>
        <v>-305</v>
      </c>
      <c r="W120" s="13">
        <f t="shared" si="373"/>
        <v>-269</v>
      </c>
      <c r="X120" s="13">
        <f t="shared" si="373"/>
        <v>-234</v>
      </c>
      <c r="Z120" s="13">
        <f>SUM(Z116:Z119)</f>
        <v>-1437</v>
      </c>
      <c r="AA120" s="13">
        <f>SUM(AA116:AA119)</f>
        <v>-1505</v>
      </c>
      <c r="AB120" s="13">
        <f>SUM(AB116:AB119)</f>
        <v>-1620</v>
      </c>
      <c r="AC120" s="13">
        <f>SUM(AC116:AC119)</f>
        <v>-1144</v>
      </c>
      <c r="AD120" s="13">
        <f>SUM(AD116:AD119)</f>
        <v>-1115</v>
      </c>
      <c r="AE120" s="13">
        <f>SUM(AE116:AE119)</f>
        <v>-1141</v>
      </c>
      <c r="AF120" s="13">
        <f>SUM(AF116:AF119)</f>
        <v>-1164</v>
      </c>
      <c r="AG120" s="13">
        <f>SUM(AG116:AG119)</f>
        <v>-1309</v>
      </c>
      <c r="AH120" s="13">
        <f>SUM(AH116:AH119)</f>
        <v>-1362</v>
      </c>
      <c r="AI120" s="13">
        <f>SUM(AI116:AI119)</f>
        <v>-1326</v>
      </c>
      <c r="AJ120" s="13">
        <f>SUM(AJ116:AJ119)</f>
        <v>-1225</v>
      </c>
      <c r="AK120" s="39"/>
      <c r="AL120" s="69">
        <f>SUM(AJ120/AF120)-1</f>
        <v>5.2405498281786977E-2</v>
      </c>
    </row>
    <row r="121" spans="2:38" ht="5.0999999999999996" customHeight="1">
      <c r="B121" s="8"/>
      <c r="C121" s="60"/>
      <c r="D121" s="60"/>
      <c r="E121" s="60"/>
      <c r="F121" s="60"/>
      <c r="G121" s="60"/>
      <c r="H121" s="60"/>
      <c r="I121" s="3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42"/>
    </row>
    <row r="122" spans="2:38" ht="5.0999999999999996" customHeight="1">
      <c r="B122" s="65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11"/>
      <c r="AL122" s="42"/>
    </row>
    <row r="123" spans="2:38">
      <c r="B123" s="131" t="s">
        <v>134</v>
      </c>
      <c r="C123" s="129">
        <v>2184</v>
      </c>
      <c r="D123" s="114">
        <f>C130</f>
        <v>2229</v>
      </c>
      <c r="E123" s="114">
        <f t="shared" ref="E123:G123" si="374">D130</f>
        <v>5494</v>
      </c>
      <c r="F123" s="114">
        <f t="shared" si="374"/>
        <v>2936</v>
      </c>
      <c r="G123" s="114">
        <f t="shared" si="374"/>
        <v>1874</v>
      </c>
      <c r="H123" s="114">
        <f t="shared" ref="H123" si="375">G130</f>
        <v>1447</v>
      </c>
      <c r="I123" s="114"/>
      <c r="J123" s="114">
        <f>F123</f>
        <v>2936</v>
      </c>
      <c r="K123" s="114">
        <f t="shared" ref="K123:S123" si="376">J130</f>
        <v>640</v>
      </c>
      <c r="L123" s="114">
        <f t="shared" si="376"/>
        <v>840</v>
      </c>
      <c r="M123" s="114">
        <f t="shared" si="376"/>
        <v>932</v>
      </c>
      <c r="N123" s="114">
        <f t="shared" si="376"/>
        <v>1874</v>
      </c>
      <c r="O123" s="114">
        <f t="shared" si="376"/>
        <v>1030</v>
      </c>
      <c r="P123" s="114">
        <f t="shared" si="376"/>
        <v>1093</v>
      </c>
      <c r="Q123" s="114">
        <f t="shared" si="376"/>
        <v>636</v>
      </c>
      <c r="R123" s="114">
        <f t="shared" si="376"/>
        <v>1447</v>
      </c>
      <c r="S123" s="114">
        <f t="shared" si="376"/>
        <v>1214</v>
      </c>
      <c r="T123" s="114">
        <f t="shared" ref="T123:X123" si="377">S130</f>
        <v>1387</v>
      </c>
      <c r="U123" s="114">
        <f t="shared" ref="U123" si="378">T130</f>
        <v>643</v>
      </c>
      <c r="V123" s="114">
        <f t="shared" si="377"/>
        <v>1578</v>
      </c>
      <c r="W123" s="114">
        <f t="shared" si="377"/>
        <v>1147</v>
      </c>
      <c r="X123" s="114">
        <f t="shared" si="377"/>
        <v>1456</v>
      </c>
      <c r="Y123" s="114"/>
      <c r="Z123" s="114">
        <f>M130</f>
        <v>1874</v>
      </c>
      <c r="AA123" s="114">
        <f>Z130</f>
        <v>1030</v>
      </c>
      <c r="AB123" s="114">
        <f t="shared" ref="AB123:AJ123" si="379">AA130</f>
        <v>1093</v>
      </c>
      <c r="AC123" s="114">
        <f t="shared" si="379"/>
        <v>636</v>
      </c>
      <c r="AD123" s="114">
        <f t="shared" si="379"/>
        <v>1447</v>
      </c>
      <c r="AE123" s="114">
        <f t="shared" si="379"/>
        <v>1214</v>
      </c>
      <c r="AF123" s="114">
        <f t="shared" si="379"/>
        <v>1387</v>
      </c>
      <c r="AG123" s="114">
        <f t="shared" si="379"/>
        <v>643</v>
      </c>
      <c r="AH123" s="114">
        <f t="shared" si="379"/>
        <v>1578</v>
      </c>
      <c r="AI123" s="114">
        <f t="shared" si="379"/>
        <v>1147</v>
      </c>
      <c r="AJ123" s="116">
        <f t="shared" si="379"/>
        <v>1456</v>
      </c>
      <c r="AK123" s="11"/>
      <c r="AL123" s="42"/>
    </row>
    <row r="124" spans="2:38">
      <c r="B124" s="130" t="s">
        <v>131</v>
      </c>
      <c r="C124" s="30"/>
      <c r="D124" s="30">
        <f>-C128</f>
        <v>126</v>
      </c>
      <c r="E124" s="30">
        <f t="shared" ref="E124:G124" si="380">-D128</f>
        <v>131</v>
      </c>
      <c r="F124" s="30">
        <f t="shared" si="380"/>
        <v>269</v>
      </c>
      <c r="G124" s="30">
        <f t="shared" si="380"/>
        <v>379</v>
      </c>
      <c r="H124" s="30">
        <f t="shared" ref="H124" si="381">-G128</f>
        <v>346</v>
      </c>
      <c r="I124" s="30"/>
      <c r="J124" s="133">
        <f>F124</f>
        <v>269</v>
      </c>
      <c r="K124" s="30">
        <f>-J128</f>
        <v>320</v>
      </c>
      <c r="L124" s="30">
        <f t="shared" ref="L124:S124" si="382">-K128</f>
        <v>312</v>
      </c>
      <c r="M124" s="30">
        <f t="shared" si="382"/>
        <v>361</v>
      </c>
      <c r="N124" s="30">
        <f t="shared" si="382"/>
        <v>379</v>
      </c>
      <c r="O124" s="30">
        <f t="shared" si="382"/>
        <v>402</v>
      </c>
      <c r="P124" s="30">
        <f t="shared" si="382"/>
        <v>398</v>
      </c>
      <c r="Q124" s="30">
        <f t="shared" si="382"/>
        <v>423</v>
      </c>
      <c r="R124" s="30">
        <f t="shared" si="382"/>
        <v>346</v>
      </c>
      <c r="S124" s="30">
        <f t="shared" si="382"/>
        <v>313</v>
      </c>
      <c r="T124" s="30">
        <f t="shared" ref="T124:U124" si="383">-S128</f>
        <v>311</v>
      </c>
      <c r="U124" s="30">
        <f t="shared" si="383"/>
        <v>295</v>
      </c>
      <c r="V124" s="30">
        <f t="shared" ref="V124:X124" si="384">-U128</f>
        <v>290</v>
      </c>
      <c r="W124" s="30">
        <f t="shared" si="384"/>
        <v>288</v>
      </c>
      <c r="X124" s="30">
        <f t="shared" si="384"/>
        <v>257</v>
      </c>
      <c r="Y124" s="30"/>
      <c r="Z124" s="30">
        <f>N124</f>
        <v>379</v>
      </c>
      <c r="AA124" s="30">
        <f>-Z128</f>
        <v>402</v>
      </c>
      <c r="AB124" s="30">
        <f t="shared" ref="AB124:AJ124" si="385">-AA128</f>
        <v>398</v>
      </c>
      <c r="AC124" s="30">
        <f t="shared" si="385"/>
        <v>423</v>
      </c>
      <c r="AD124" s="30">
        <f t="shared" si="385"/>
        <v>346</v>
      </c>
      <c r="AE124" s="30">
        <f t="shared" si="385"/>
        <v>313</v>
      </c>
      <c r="AF124" s="30">
        <f t="shared" si="385"/>
        <v>311</v>
      </c>
      <c r="AG124" s="30">
        <f t="shared" si="385"/>
        <v>295</v>
      </c>
      <c r="AH124" s="30">
        <f t="shared" si="385"/>
        <v>290</v>
      </c>
      <c r="AI124" s="30">
        <f t="shared" si="385"/>
        <v>288</v>
      </c>
      <c r="AJ124" s="117">
        <f t="shared" si="385"/>
        <v>257</v>
      </c>
      <c r="AK124" s="11"/>
      <c r="AL124" s="42"/>
    </row>
    <row r="125" spans="2:38">
      <c r="B125" s="120" t="s">
        <v>78</v>
      </c>
      <c r="C125" s="132">
        <f t="shared" ref="C125:D125" si="386">SUM(C123:C124)</f>
        <v>2184</v>
      </c>
      <c r="D125" s="132">
        <f t="shared" si="386"/>
        <v>2355</v>
      </c>
      <c r="E125" s="132">
        <f t="shared" ref="E125:G125" si="387">SUM(E123:E124)</f>
        <v>5625</v>
      </c>
      <c r="F125" s="132">
        <f t="shared" si="387"/>
        <v>3205</v>
      </c>
      <c r="G125" s="132">
        <f t="shared" si="387"/>
        <v>2253</v>
      </c>
      <c r="H125" s="132">
        <f t="shared" ref="H125" si="388">SUM(H123:H124)</f>
        <v>1793</v>
      </c>
      <c r="I125" s="30"/>
      <c r="J125" s="132">
        <f t="shared" ref="J125:S125" si="389">SUM(J123:J124)</f>
        <v>3205</v>
      </c>
      <c r="K125" s="132">
        <f t="shared" si="389"/>
        <v>960</v>
      </c>
      <c r="L125" s="132">
        <f t="shared" si="389"/>
        <v>1152</v>
      </c>
      <c r="M125" s="132">
        <f t="shared" si="389"/>
        <v>1293</v>
      </c>
      <c r="N125" s="132">
        <f t="shared" si="389"/>
        <v>2253</v>
      </c>
      <c r="O125" s="132">
        <f t="shared" si="389"/>
        <v>1432</v>
      </c>
      <c r="P125" s="132">
        <f t="shared" si="389"/>
        <v>1491</v>
      </c>
      <c r="Q125" s="132">
        <f t="shared" si="389"/>
        <v>1059</v>
      </c>
      <c r="R125" s="132">
        <f t="shared" si="389"/>
        <v>1793</v>
      </c>
      <c r="S125" s="132">
        <f t="shared" si="389"/>
        <v>1527</v>
      </c>
      <c r="T125" s="132">
        <f t="shared" ref="T125:U125" si="390">SUM(T123:T124)</f>
        <v>1698</v>
      </c>
      <c r="U125" s="132">
        <f t="shared" si="390"/>
        <v>938</v>
      </c>
      <c r="V125" s="132">
        <f t="shared" ref="V125:X125" si="391">SUM(V123:V124)</f>
        <v>1868</v>
      </c>
      <c r="W125" s="132">
        <f t="shared" si="391"/>
        <v>1435</v>
      </c>
      <c r="X125" s="132">
        <f t="shared" si="391"/>
        <v>1713</v>
      </c>
      <c r="Y125" s="30"/>
      <c r="Z125" s="113">
        <f t="shared" ref="Z125:AJ125" si="392">SUM(Z123:Z124)</f>
        <v>2253</v>
      </c>
      <c r="AA125" s="113">
        <f t="shared" si="392"/>
        <v>1432</v>
      </c>
      <c r="AB125" s="113">
        <f t="shared" si="392"/>
        <v>1491</v>
      </c>
      <c r="AC125" s="113">
        <f t="shared" si="392"/>
        <v>1059</v>
      </c>
      <c r="AD125" s="113">
        <f t="shared" si="392"/>
        <v>1793</v>
      </c>
      <c r="AE125" s="113">
        <f t="shared" si="392"/>
        <v>1527</v>
      </c>
      <c r="AF125" s="132">
        <f t="shared" ref="AF125" si="393">SUM(AF123:AF124)</f>
        <v>1698</v>
      </c>
      <c r="AG125" s="132">
        <f t="shared" ref="AG125" si="394">SUM(AG123:AG124)</f>
        <v>938</v>
      </c>
      <c r="AH125" s="132">
        <f t="shared" ref="AH125" si="395">SUM(AH123:AH124)</f>
        <v>1868</v>
      </c>
      <c r="AI125" s="132">
        <f t="shared" ref="AI125" si="396">SUM(AI123:AI124)</f>
        <v>1435</v>
      </c>
      <c r="AJ125" s="132">
        <f t="shared" si="392"/>
        <v>1713</v>
      </c>
      <c r="AK125" s="11"/>
      <c r="AL125" s="42"/>
    </row>
    <row r="126" spans="2:38" ht="5.0999999999999996" customHeight="1">
      <c r="B126" s="121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117"/>
      <c r="AK126" s="11"/>
      <c r="AL126" s="42"/>
    </row>
    <row r="127" spans="2:38">
      <c r="B127" s="130" t="s">
        <v>132</v>
      </c>
      <c r="C127" s="76">
        <v>-1</v>
      </c>
      <c r="D127" s="76">
        <v>7</v>
      </c>
      <c r="E127" s="76">
        <v>-3</v>
      </c>
      <c r="F127" s="76">
        <v>-8</v>
      </c>
      <c r="G127" s="76">
        <v>-5</v>
      </c>
      <c r="H127" s="76">
        <v>-10</v>
      </c>
      <c r="I127" s="30"/>
      <c r="J127" s="76">
        <v>2</v>
      </c>
      <c r="K127" s="76">
        <f>1-J127</f>
        <v>-1</v>
      </c>
      <c r="L127" s="76">
        <f>-10-K127-J127</f>
        <v>-11</v>
      </c>
      <c r="M127" s="30">
        <f>SUM(F127-SUM(J127:L127))</f>
        <v>2</v>
      </c>
      <c r="N127" s="76">
        <v>-5</v>
      </c>
      <c r="O127" s="76">
        <f>-2-N127</f>
        <v>3</v>
      </c>
      <c r="P127" s="76">
        <f>-12-O127-N127</f>
        <v>-10</v>
      </c>
      <c r="Q127" s="30">
        <f>SUM(G127-SUM(N127:P127))</f>
        <v>7</v>
      </c>
      <c r="R127" s="76">
        <v>-3</v>
      </c>
      <c r="S127" s="76">
        <f>-3-R127</f>
        <v>0</v>
      </c>
      <c r="T127" s="76">
        <f>-2-S127-R127</f>
        <v>1</v>
      </c>
      <c r="U127" s="30">
        <f t="shared" ref="U127" si="397">SUM(H127-SUM(R127:T127))</f>
        <v>-8</v>
      </c>
      <c r="V127" s="76">
        <v>4</v>
      </c>
      <c r="W127" s="76">
        <f>5-V127</f>
        <v>1</v>
      </c>
      <c r="X127" s="76">
        <f>5-W127-V127</f>
        <v>0</v>
      </c>
      <c r="Y127" s="30"/>
      <c r="Z127" s="30">
        <f>N127</f>
        <v>-5</v>
      </c>
      <c r="AA127" s="30">
        <f t="shared" ref="AA127:AJ127" si="398">O127</f>
        <v>3</v>
      </c>
      <c r="AB127" s="30">
        <f t="shared" ref="AB127" si="399">P127</f>
        <v>-10</v>
      </c>
      <c r="AC127" s="30">
        <f t="shared" ref="AC127" si="400">Q127</f>
        <v>7</v>
      </c>
      <c r="AD127" s="30">
        <f t="shared" ref="AD127" si="401">R127</f>
        <v>-3</v>
      </c>
      <c r="AE127" s="30">
        <f t="shared" ref="AE127" si="402">S127</f>
        <v>0</v>
      </c>
      <c r="AF127" s="30">
        <f t="shared" ref="AF127" si="403">T127</f>
        <v>1</v>
      </c>
      <c r="AG127" s="30">
        <f t="shared" ref="AG127" si="404">U127</f>
        <v>-8</v>
      </c>
      <c r="AH127" s="30">
        <f t="shared" ref="AH127" si="405">V127</f>
        <v>4</v>
      </c>
      <c r="AI127" s="30">
        <f t="shared" ref="AI127" si="406">W127</f>
        <v>1</v>
      </c>
      <c r="AJ127" s="117">
        <f t="shared" ref="AJ127" si="407">X127</f>
        <v>0</v>
      </c>
      <c r="AK127" s="11"/>
      <c r="AL127" s="42"/>
    </row>
    <row r="128" spans="2:38">
      <c r="B128" s="130" t="s">
        <v>133</v>
      </c>
      <c r="C128" s="30">
        <f>-C45</f>
        <v>-126</v>
      </c>
      <c r="D128" s="30">
        <f>-D45</f>
        <v>-131</v>
      </c>
      <c r="E128" s="30">
        <f>-E45</f>
        <v>-269</v>
      </c>
      <c r="F128" s="30">
        <f>-F45</f>
        <v>-379</v>
      </c>
      <c r="G128" s="30">
        <f>-G45</f>
        <v>-346</v>
      </c>
      <c r="H128" s="30">
        <f>-H45</f>
        <v>-290</v>
      </c>
      <c r="I128" s="30"/>
      <c r="J128" s="30">
        <f>-J45</f>
        <v>-320</v>
      </c>
      <c r="K128" s="30">
        <f>-K45</f>
        <v>-312</v>
      </c>
      <c r="L128" s="30">
        <f>-L45</f>
        <v>-361</v>
      </c>
      <c r="M128" s="30">
        <f>-M45</f>
        <v>-379</v>
      </c>
      <c r="N128" s="30">
        <f>-N45</f>
        <v>-402</v>
      </c>
      <c r="O128" s="30">
        <f>-O45</f>
        <v>-398</v>
      </c>
      <c r="P128" s="30">
        <f>-P45</f>
        <v>-423</v>
      </c>
      <c r="Q128" s="30">
        <f>-Q45</f>
        <v>-346</v>
      </c>
      <c r="R128" s="30">
        <f>-R45</f>
        <v>-313</v>
      </c>
      <c r="S128" s="30">
        <f>-S45</f>
        <v>-311</v>
      </c>
      <c r="T128" s="30">
        <f t="shared" ref="T128:U128" si="408">-T45</f>
        <v>-295</v>
      </c>
      <c r="U128" s="30">
        <f t="shared" si="408"/>
        <v>-290</v>
      </c>
      <c r="V128" s="30">
        <f t="shared" ref="V128:AJ128" si="409">-V45</f>
        <v>-288</v>
      </c>
      <c r="W128" s="30">
        <f t="shared" si="409"/>
        <v>-257</v>
      </c>
      <c r="X128" s="30">
        <f t="shared" si="409"/>
        <v>-271</v>
      </c>
      <c r="Y128" s="30"/>
      <c r="Z128" s="30">
        <f>-Z45</f>
        <v>-402</v>
      </c>
      <c r="AA128" s="30">
        <f t="shared" si="409"/>
        <v>-398</v>
      </c>
      <c r="AB128" s="30">
        <f t="shared" si="409"/>
        <v>-423</v>
      </c>
      <c r="AC128" s="30">
        <f t="shared" si="409"/>
        <v>-346</v>
      </c>
      <c r="AD128" s="30">
        <f t="shared" si="409"/>
        <v>-313</v>
      </c>
      <c r="AE128" s="30">
        <f t="shared" si="409"/>
        <v>-311</v>
      </c>
      <c r="AF128" s="30">
        <f t="shared" si="409"/>
        <v>-295</v>
      </c>
      <c r="AG128" s="30">
        <f t="shared" si="409"/>
        <v>-290</v>
      </c>
      <c r="AH128" s="30">
        <f t="shared" si="409"/>
        <v>-288</v>
      </c>
      <c r="AI128" s="30">
        <f t="shared" si="409"/>
        <v>-257</v>
      </c>
      <c r="AJ128" s="117">
        <f t="shared" si="409"/>
        <v>-271</v>
      </c>
      <c r="AK128" s="11"/>
      <c r="AL128" s="42"/>
    </row>
    <row r="129" spans="2:38">
      <c r="B129" s="130" t="s">
        <v>68</v>
      </c>
      <c r="C129" s="30">
        <f>+C120+C113+C106</f>
        <v>172</v>
      </c>
      <c r="D129" s="30">
        <f>+D120+D113+D106</f>
        <v>3263</v>
      </c>
      <c r="E129" s="30">
        <f>+E120+E113+E106</f>
        <v>-2417</v>
      </c>
      <c r="F129" s="30">
        <f>+F120+F113+F106</f>
        <v>-944</v>
      </c>
      <c r="G129" s="30">
        <f>+G120+G113+G106</f>
        <v>-455</v>
      </c>
      <c r="H129" s="30">
        <f>+H120+H113+H106</f>
        <v>85</v>
      </c>
      <c r="I129" s="30"/>
      <c r="J129" s="30">
        <f>+J120+J113+J106</f>
        <v>-2247</v>
      </c>
      <c r="K129" s="30">
        <f>+K120+K113+K106</f>
        <v>193</v>
      </c>
      <c r="L129" s="30">
        <f>+L120+L113+L106</f>
        <v>152</v>
      </c>
      <c r="M129" s="30">
        <f>+M120+M113+M106</f>
        <v>958</v>
      </c>
      <c r="N129" s="30">
        <f>+N120+N113+N106</f>
        <v>-816</v>
      </c>
      <c r="O129" s="30">
        <f>+O120+O113+O106</f>
        <v>56</v>
      </c>
      <c r="P129" s="30">
        <f>+P120+P113+P106</f>
        <v>-422</v>
      </c>
      <c r="Q129" s="30">
        <f>+Q120+Q113+Q106</f>
        <v>727</v>
      </c>
      <c r="R129" s="30">
        <f>+R120+R113+R106</f>
        <v>-263</v>
      </c>
      <c r="S129" s="30">
        <f>+S120+S113+S106</f>
        <v>171</v>
      </c>
      <c r="T129" s="30">
        <f t="shared" ref="T129:U129" si="410">+T120+T113+T106</f>
        <v>-761</v>
      </c>
      <c r="U129" s="30">
        <f t="shared" si="410"/>
        <v>938</v>
      </c>
      <c r="V129" s="30">
        <f t="shared" ref="V129:AJ129" si="411">+V120+V113+V106</f>
        <v>-437</v>
      </c>
      <c r="W129" s="30">
        <f t="shared" si="411"/>
        <v>277</v>
      </c>
      <c r="X129" s="30">
        <f t="shared" si="411"/>
        <v>-519</v>
      </c>
      <c r="Y129" s="30"/>
      <c r="Z129" s="30">
        <f>N129</f>
        <v>-816</v>
      </c>
      <c r="AA129" s="30">
        <f t="shared" ref="AA129:AJ129" si="412">O129</f>
        <v>56</v>
      </c>
      <c r="AB129" s="30">
        <f t="shared" ref="AB129" si="413">P129</f>
        <v>-422</v>
      </c>
      <c r="AC129" s="30">
        <f t="shared" ref="AC129" si="414">Q129</f>
        <v>727</v>
      </c>
      <c r="AD129" s="30">
        <f t="shared" ref="AD129" si="415">R129</f>
        <v>-263</v>
      </c>
      <c r="AE129" s="30">
        <f t="shared" ref="AE129" si="416">S129</f>
        <v>171</v>
      </c>
      <c r="AF129" s="30">
        <f t="shared" ref="AF129" si="417">T129</f>
        <v>-761</v>
      </c>
      <c r="AG129" s="30">
        <f t="shared" ref="AG129" si="418">U129</f>
        <v>938</v>
      </c>
      <c r="AH129" s="30">
        <f t="shared" ref="AH129" si="419">V129</f>
        <v>-437</v>
      </c>
      <c r="AI129" s="30">
        <f t="shared" ref="AI129" si="420">W129</f>
        <v>277</v>
      </c>
      <c r="AJ129" s="117">
        <f t="shared" ref="AJ129" si="421">X129</f>
        <v>-519</v>
      </c>
      <c r="AK129" s="11"/>
      <c r="AL129" s="42"/>
    </row>
    <row r="130" spans="2:38">
      <c r="B130" s="120" t="s">
        <v>79</v>
      </c>
      <c r="C130" s="132">
        <f t="shared" ref="C130:G130" si="422">SUM(C125:C129)</f>
        <v>2229</v>
      </c>
      <c r="D130" s="132">
        <f t="shared" si="422"/>
        <v>5494</v>
      </c>
      <c r="E130" s="132">
        <f t="shared" si="422"/>
        <v>2936</v>
      </c>
      <c r="F130" s="132">
        <f t="shared" si="422"/>
        <v>1874</v>
      </c>
      <c r="G130" s="132">
        <f t="shared" si="422"/>
        <v>1447</v>
      </c>
      <c r="H130" s="132">
        <f t="shared" ref="H130:S130" si="423">SUM(H125:H129)</f>
        <v>1578</v>
      </c>
      <c r="I130" s="30"/>
      <c r="J130" s="132">
        <f t="shared" si="423"/>
        <v>640</v>
      </c>
      <c r="K130" s="132">
        <f t="shared" si="423"/>
        <v>840</v>
      </c>
      <c r="L130" s="132">
        <f t="shared" si="423"/>
        <v>932</v>
      </c>
      <c r="M130" s="132">
        <f t="shared" si="423"/>
        <v>1874</v>
      </c>
      <c r="N130" s="132">
        <f t="shared" si="423"/>
        <v>1030</v>
      </c>
      <c r="O130" s="132">
        <f t="shared" si="423"/>
        <v>1093</v>
      </c>
      <c r="P130" s="132">
        <f t="shared" si="423"/>
        <v>636</v>
      </c>
      <c r="Q130" s="132">
        <f t="shared" si="423"/>
        <v>1447</v>
      </c>
      <c r="R130" s="132">
        <f t="shared" si="423"/>
        <v>1214</v>
      </c>
      <c r="S130" s="132">
        <f t="shared" si="423"/>
        <v>1387</v>
      </c>
      <c r="T130" s="132">
        <f t="shared" ref="T130:U130" si="424">SUM(T125:T129)</f>
        <v>643</v>
      </c>
      <c r="U130" s="132">
        <f t="shared" si="424"/>
        <v>1578</v>
      </c>
      <c r="V130" s="132">
        <f t="shared" ref="V130:AJ130" si="425">SUM(V125:V129)</f>
        <v>1147</v>
      </c>
      <c r="W130" s="132">
        <f t="shared" si="425"/>
        <v>1456</v>
      </c>
      <c r="X130" s="132">
        <f t="shared" si="425"/>
        <v>923</v>
      </c>
      <c r="Y130" s="30"/>
      <c r="Z130" s="79">
        <f t="shared" si="425"/>
        <v>1030</v>
      </c>
      <c r="AA130" s="79">
        <f t="shared" si="425"/>
        <v>1093</v>
      </c>
      <c r="AB130" s="79">
        <f t="shared" si="425"/>
        <v>636</v>
      </c>
      <c r="AC130" s="79">
        <f t="shared" si="425"/>
        <v>1447</v>
      </c>
      <c r="AD130" s="79">
        <f t="shared" si="425"/>
        <v>1214</v>
      </c>
      <c r="AE130" s="79">
        <f t="shared" si="425"/>
        <v>1387</v>
      </c>
      <c r="AF130" s="132">
        <f t="shared" si="425"/>
        <v>643</v>
      </c>
      <c r="AG130" s="132">
        <f t="shared" si="425"/>
        <v>1578</v>
      </c>
      <c r="AH130" s="132">
        <f t="shared" si="425"/>
        <v>1147</v>
      </c>
      <c r="AI130" s="132">
        <f t="shared" si="425"/>
        <v>1456</v>
      </c>
      <c r="AJ130" s="132">
        <f t="shared" si="425"/>
        <v>923</v>
      </c>
      <c r="AK130" s="11"/>
      <c r="AL130" s="42"/>
    </row>
    <row r="131" spans="2:38" ht="5.0999999999999996" customHeight="1">
      <c r="B131" s="122"/>
      <c r="C131" s="60"/>
      <c r="D131" s="60"/>
      <c r="E131" s="60"/>
      <c r="F131" s="60"/>
      <c r="G131" s="60"/>
      <c r="H131" s="60"/>
      <c r="I131" s="3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5"/>
      <c r="AK131" s="11"/>
      <c r="AL131" s="42"/>
    </row>
    <row r="132" spans="2:38">
      <c r="B132" s="123" t="s">
        <v>67</v>
      </c>
      <c r="C132" s="118">
        <f>C130-C44</f>
        <v>0</v>
      </c>
      <c r="D132" s="118">
        <f>D130-D44</f>
        <v>0</v>
      </c>
      <c r="E132" s="118">
        <f>E130-E44</f>
        <v>0</v>
      </c>
      <c r="F132" s="118">
        <f>F130-F44</f>
        <v>0</v>
      </c>
      <c r="G132" s="118">
        <f>G130-G44</f>
        <v>0</v>
      </c>
      <c r="H132" s="118">
        <f>H130-H44</f>
        <v>0</v>
      </c>
      <c r="I132" s="119"/>
      <c r="J132" s="118">
        <f>J130-J44</f>
        <v>0</v>
      </c>
      <c r="K132" s="118">
        <f>K130-K44</f>
        <v>0</v>
      </c>
      <c r="L132" s="118">
        <f>L130-L44</f>
        <v>0</v>
      </c>
      <c r="M132" s="118">
        <f>M130-M44</f>
        <v>0</v>
      </c>
      <c r="N132" s="118">
        <f>N130-N44</f>
        <v>0</v>
      </c>
      <c r="O132" s="118">
        <f>O130-O44</f>
        <v>0</v>
      </c>
      <c r="P132" s="118">
        <f>P130-P44</f>
        <v>0</v>
      </c>
      <c r="Q132" s="118">
        <f>Q130-Q44</f>
        <v>0</v>
      </c>
      <c r="R132" s="118">
        <f>R130-R44</f>
        <v>0</v>
      </c>
      <c r="S132" s="118">
        <f>S130-S44</f>
        <v>0</v>
      </c>
      <c r="T132" s="118">
        <f t="shared" ref="T132:U132" si="426">T130-T44</f>
        <v>0</v>
      </c>
      <c r="U132" s="118">
        <f t="shared" si="426"/>
        <v>0</v>
      </c>
      <c r="V132" s="118">
        <f t="shared" ref="V132:X132" si="427">V130-V44</f>
        <v>0</v>
      </c>
      <c r="W132" s="118">
        <f t="shared" si="427"/>
        <v>0</v>
      </c>
      <c r="X132" s="118">
        <f t="shared" si="427"/>
        <v>0</v>
      </c>
      <c r="Y132" s="118"/>
      <c r="Z132" s="118">
        <f>Z130-Z44</f>
        <v>0</v>
      </c>
      <c r="AA132" s="118">
        <f>AA130-AA44</f>
        <v>0</v>
      </c>
      <c r="AB132" s="118">
        <f>AB130-AB44</f>
        <v>0</v>
      </c>
      <c r="AC132" s="118">
        <f>AC130-AC44</f>
        <v>0</v>
      </c>
      <c r="AD132" s="118">
        <f>AD130-AD44</f>
        <v>0</v>
      </c>
      <c r="AE132" s="118">
        <f>AE130-AE44</f>
        <v>0</v>
      </c>
      <c r="AF132" s="118">
        <f>AF130-AF44</f>
        <v>0</v>
      </c>
      <c r="AG132" s="118">
        <f>AG130-AG44</f>
        <v>0</v>
      </c>
      <c r="AH132" s="118">
        <f>AH130-AH44</f>
        <v>0</v>
      </c>
      <c r="AI132" s="118">
        <f>AI130-AI44</f>
        <v>0</v>
      </c>
      <c r="AJ132" s="118">
        <f>AJ130-AJ44</f>
        <v>0</v>
      </c>
      <c r="AK132" s="11"/>
      <c r="AL132" s="42"/>
    </row>
    <row r="133" spans="2:38" ht="5.0999999999999996" customHeight="1">
      <c r="B133" s="8"/>
      <c r="C133" s="60"/>
      <c r="D133" s="60"/>
      <c r="E133" s="60"/>
      <c r="F133" s="60"/>
      <c r="G133" s="60"/>
      <c r="H133" s="60"/>
      <c r="I133" s="3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42"/>
    </row>
    <row r="134" spans="2:38">
      <c r="B134" s="124" t="s">
        <v>101</v>
      </c>
      <c r="C134" s="60"/>
      <c r="D134" s="60"/>
      <c r="E134" s="60"/>
      <c r="F134" s="60"/>
      <c r="G134" s="60"/>
      <c r="H134" s="60"/>
      <c r="I134" s="3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42"/>
    </row>
    <row r="135" spans="2:38">
      <c r="B135" s="77" t="s">
        <v>127</v>
      </c>
      <c r="C135" s="60">
        <v>62</v>
      </c>
      <c r="D135" s="60">
        <v>50</v>
      </c>
      <c r="E135" s="60">
        <v>22</v>
      </c>
      <c r="F135" s="60">
        <v>31</v>
      </c>
      <c r="G135" s="60">
        <v>51</v>
      </c>
      <c r="H135" s="60">
        <v>46</v>
      </c>
      <c r="I135" s="30"/>
      <c r="J135" s="76"/>
      <c r="K135" s="30"/>
      <c r="L135" s="30"/>
      <c r="M135" s="30">
        <f>SUM(F135-SUM(J135:L135))</f>
        <v>31</v>
      </c>
      <c r="N135" s="76"/>
      <c r="O135" s="30"/>
      <c r="P135" s="30"/>
      <c r="Q135" s="30">
        <f>SUM(G135-SUM(N135:P135))</f>
        <v>51</v>
      </c>
      <c r="R135" s="76"/>
      <c r="S135" s="30"/>
      <c r="T135" s="30"/>
      <c r="U135" s="30">
        <f t="shared" ref="U135:U136" si="428">SUM(H135-SUM(R135:T135))</f>
        <v>46</v>
      </c>
      <c r="V135" s="30"/>
      <c r="W135" s="30"/>
      <c r="X135" s="30"/>
      <c r="Z135" s="30">
        <f t="shared" ref="Z135:Z136" si="429">SUM(K135:N135)</f>
        <v>31</v>
      </c>
      <c r="AA135" s="30">
        <f t="shared" ref="AA135:AA136" si="430">SUM(L135:O135)</f>
        <v>31</v>
      </c>
      <c r="AB135" s="30">
        <f t="shared" ref="AB135:AB136" si="431">SUM(M135:P135)</f>
        <v>31</v>
      </c>
      <c r="AC135" s="30">
        <f t="shared" ref="AC135:AC136" si="432">SUM(N135:Q135)</f>
        <v>51</v>
      </c>
      <c r="AD135" s="30">
        <f t="shared" ref="AD135:AD136" si="433">SUM(O135:R135)</f>
        <v>51</v>
      </c>
      <c r="AE135" s="30">
        <f t="shared" ref="AE135:AE136" si="434">SUM(P135:S135)</f>
        <v>51</v>
      </c>
      <c r="AF135" s="30">
        <f t="shared" ref="AF135:AF136" si="435">SUM(Q135:T135)</f>
        <v>51</v>
      </c>
      <c r="AG135" s="30">
        <f t="shared" ref="AG135:AG136" si="436">SUM(R135:U135)</f>
        <v>46</v>
      </c>
      <c r="AH135" s="30">
        <f t="shared" ref="AH135:AH136" si="437">SUM(S135:V135)</f>
        <v>46</v>
      </c>
      <c r="AI135" s="30">
        <f t="shared" ref="AI135:AI136" si="438">SUM(T135:W135)</f>
        <v>46</v>
      </c>
      <c r="AJ135" s="30">
        <f t="shared" ref="AJ135:AJ136" si="439">SUM(U135:X135)</f>
        <v>46</v>
      </c>
      <c r="AK135" s="11"/>
      <c r="AL135" s="42"/>
    </row>
    <row r="136" spans="2:38">
      <c r="B136" s="77" t="s">
        <v>126</v>
      </c>
      <c r="C136" s="60">
        <v>514</v>
      </c>
      <c r="D136" s="60">
        <v>442</v>
      </c>
      <c r="E136" s="60">
        <v>716</v>
      </c>
      <c r="F136" s="60">
        <v>283</v>
      </c>
      <c r="G136" s="60">
        <v>543</v>
      </c>
      <c r="H136" s="60">
        <v>643</v>
      </c>
      <c r="I136" s="30"/>
      <c r="J136" s="76"/>
      <c r="K136" s="30"/>
      <c r="L136" s="30"/>
      <c r="M136" s="30">
        <f>SUM(F136-SUM(J136:L136))</f>
        <v>283</v>
      </c>
      <c r="N136" s="76"/>
      <c r="O136" s="30"/>
      <c r="P136" s="30"/>
      <c r="Q136" s="30">
        <f>SUM(G136-SUM(N136:P136))</f>
        <v>543</v>
      </c>
      <c r="R136" s="76"/>
      <c r="S136" s="30"/>
      <c r="T136" s="30"/>
      <c r="U136" s="30">
        <f t="shared" si="428"/>
        <v>643</v>
      </c>
      <c r="V136" s="30"/>
      <c r="W136" s="30"/>
      <c r="X136" s="30"/>
      <c r="Z136" s="30">
        <f t="shared" si="429"/>
        <v>283</v>
      </c>
      <c r="AA136" s="30">
        <f t="shared" si="430"/>
        <v>283</v>
      </c>
      <c r="AB136" s="30">
        <f t="shared" si="431"/>
        <v>283</v>
      </c>
      <c r="AC136" s="30">
        <f t="shared" si="432"/>
        <v>543</v>
      </c>
      <c r="AD136" s="30">
        <f t="shared" si="433"/>
        <v>543</v>
      </c>
      <c r="AE136" s="30">
        <f t="shared" si="434"/>
        <v>543</v>
      </c>
      <c r="AF136" s="30">
        <f t="shared" si="435"/>
        <v>543</v>
      </c>
      <c r="AG136" s="30">
        <f t="shared" si="436"/>
        <v>643</v>
      </c>
      <c r="AH136" s="30">
        <f t="shared" si="437"/>
        <v>643</v>
      </c>
      <c r="AI136" s="30">
        <f t="shared" si="438"/>
        <v>643</v>
      </c>
      <c r="AJ136" s="30">
        <f t="shared" si="439"/>
        <v>643</v>
      </c>
      <c r="AK136" s="11"/>
      <c r="AL136" s="42"/>
    </row>
    <row r="137" spans="2:38" ht="5.0999999999999996" customHeight="1" thickBot="1">
      <c r="B137" s="66"/>
      <c r="C137" s="67"/>
      <c r="D137" s="67"/>
      <c r="E137" s="67"/>
      <c r="F137" s="67"/>
      <c r="G137" s="67"/>
      <c r="H137" s="67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L137" s="42"/>
    </row>
    <row r="138" spans="2:38" ht="12.75" customHeight="1">
      <c r="C138" s="52"/>
      <c r="D138" s="52"/>
      <c r="E138" s="52"/>
      <c r="F138" s="52"/>
      <c r="G138" s="52"/>
      <c r="H138" s="52"/>
    </row>
    <row r="139" spans="2:38" ht="12.75" customHeight="1">
      <c r="C139" s="52"/>
      <c r="D139" s="52"/>
      <c r="E139" s="52"/>
      <c r="F139" s="52"/>
      <c r="G139" s="52"/>
      <c r="H139" s="52"/>
    </row>
    <row r="140" spans="2:38" ht="12.75" customHeight="1">
      <c r="C140" s="52"/>
      <c r="D140" s="52"/>
      <c r="E140" s="52"/>
      <c r="F140" s="52"/>
      <c r="G140" s="52"/>
      <c r="H140" s="52"/>
    </row>
    <row r="141" spans="2:38" ht="12.75" customHeight="1">
      <c r="C141" s="52"/>
      <c r="D141" s="52"/>
      <c r="E141" s="52"/>
      <c r="F141" s="52"/>
      <c r="G141" s="52"/>
      <c r="H141" s="52"/>
    </row>
    <row r="142" spans="2:38" ht="12.75" customHeight="1">
      <c r="C142" s="52"/>
      <c r="D142" s="52"/>
      <c r="E142" s="52"/>
      <c r="F142" s="52"/>
      <c r="G142" s="52"/>
      <c r="H142" s="52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</row>
    <row r="143" spans="2:38" ht="12.75" customHeight="1">
      <c r="C143" s="52"/>
      <c r="D143" s="52"/>
      <c r="E143" s="52"/>
      <c r="F143" s="52"/>
      <c r="G143" s="52"/>
      <c r="H143" s="52"/>
    </row>
    <row r="144" spans="2:38" ht="12.75" customHeight="1">
      <c r="C144" s="52"/>
      <c r="D144" s="52"/>
      <c r="E144" s="52"/>
      <c r="F144" s="52"/>
      <c r="G144" s="52"/>
      <c r="H144" s="52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</row>
    <row r="145" spans="10:24"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</row>
    <row r="146" spans="10:24"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</row>
    <row r="148" spans="10:24"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</row>
    <row r="149" spans="10:24"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</row>
  </sheetData>
  <mergeCells count="3">
    <mergeCell ref="AL6:AL8"/>
    <mergeCell ref="AL39:AL41"/>
    <mergeCell ref="AL87:AL89"/>
  </mergeCells>
  <pageMargins left="0.7" right="0.7" top="0.75" bottom="0.75" header="0.3" footer="0.3"/>
  <ignoredErrors>
    <ignoredError sqref="AJ14:AJ16 I49" formulaRange="1"/>
    <ignoredError sqref="AL113:AL115 AL106:AL108" evalError="1"/>
    <ignoredError sqref="N93:R94 F66 Z127 Z128 AA127:AJ127 AA128:AJ1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M68"/>
  <sheetViews>
    <sheetView showGridLines="0" tabSelected="1" zoomScaleNormal="100" workbookViewId="0">
      <selection activeCell="B21" sqref="B21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4" width="8.625" style="8" customWidth="1" outlineLevel="1"/>
    <col min="5" max="8" width="8.625" style="8" bestFit="1" customWidth="1"/>
    <col min="9" max="9" width="1.5" style="8" customWidth="1"/>
    <col min="10" max="11" width="8" style="8" customWidth="1" outlineLevel="1"/>
    <col min="12" max="13" width="8.75" style="8" customWidth="1" outlineLevel="1"/>
    <col min="14" max="14" width="8.5" style="8" customWidth="1" outlineLevel="1"/>
    <col min="15" max="15" width="8.25" style="8" customWidth="1" outlineLevel="1"/>
    <col min="16" max="16" width="8.5" style="8" bestFit="1" customWidth="1"/>
    <col min="17" max="24" width="9.125" style="8" bestFit="1" customWidth="1"/>
    <col min="25" max="25" width="1.5" style="8" customWidth="1"/>
    <col min="26" max="31" width="8.75" style="8" hidden="1" customWidth="1" outlineLevel="1"/>
    <col min="32" max="32" width="8.75" style="8" customWidth="1" collapsed="1"/>
    <col min="33" max="35" width="8.75" style="8" hidden="1" customWidth="1" outlineLevel="1"/>
    <col min="36" max="36" width="8.75" style="8" customWidth="1" collapsed="1"/>
    <col min="37" max="16384" width="9" style="8"/>
  </cols>
  <sheetData>
    <row r="2" spans="1:36" s="5" customFormat="1" ht="12.75" customHeight="1">
      <c r="B2" s="1" t="str">
        <f>'Historical Financials'!B2</f>
        <v>Best Buy Co Inc (NASDAQ: BBY)</v>
      </c>
      <c r="C2" s="2"/>
      <c r="D2" s="2"/>
      <c r="E2" s="2" t="s">
        <v>0</v>
      </c>
      <c r="F2" s="2"/>
      <c r="G2" s="2"/>
      <c r="H2" s="2"/>
      <c r="I2" s="3"/>
      <c r="J2" s="2"/>
      <c r="K2" s="2"/>
      <c r="L2" s="2"/>
      <c r="M2" s="2"/>
      <c r="N2" s="2"/>
      <c r="O2" s="2"/>
      <c r="P2" s="2" t="s">
        <v>1</v>
      </c>
      <c r="Q2" s="2"/>
      <c r="R2" s="2"/>
      <c r="S2" s="2"/>
      <c r="T2" s="2"/>
      <c r="U2" s="2"/>
      <c r="V2" s="2"/>
      <c r="W2" s="2"/>
      <c r="X2" s="2"/>
      <c r="Y2" s="3"/>
      <c r="Z2" s="2"/>
      <c r="AA2" s="2"/>
      <c r="AB2" s="2"/>
      <c r="AC2" s="2"/>
      <c r="AD2" s="2"/>
      <c r="AE2" s="2"/>
      <c r="AF2" s="2" t="s">
        <v>10</v>
      </c>
      <c r="AG2" s="2"/>
      <c r="AH2" s="2"/>
      <c r="AI2" s="2"/>
      <c r="AJ2" s="2"/>
    </row>
    <row r="3" spans="1:36" s="5" customFormat="1" ht="12.75" customHeight="1">
      <c r="B3" s="6" t="s">
        <v>74</v>
      </c>
      <c r="C3" s="7">
        <f>'Historical Financials'!C7</f>
        <v>2020</v>
      </c>
      <c r="D3" s="7">
        <f>'Historical Financials'!D7</f>
        <v>2021</v>
      </c>
      <c r="E3" s="7">
        <f>'Historical Financials'!E7</f>
        <v>2022</v>
      </c>
      <c r="F3" s="7">
        <f>'Historical Financials'!F7</f>
        <v>2023</v>
      </c>
      <c r="G3" s="7">
        <f>'Historical Financials'!G7</f>
        <v>2024</v>
      </c>
      <c r="H3" s="7">
        <f>'Historical Financials'!H7</f>
        <v>2025</v>
      </c>
      <c r="I3" s="3"/>
      <c r="J3" s="7" t="str">
        <f>'Historical Financials'!J7</f>
        <v>1Q23</v>
      </c>
      <c r="K3" s="7" t="str">
        <f>'Historical Financials'!K7</f>
        <v>2Q23</v>
      </c>
      <c r="L3" s="7" t="str">
        <f>'Historical Financials'!L7</f>
        <v>3Q23</v>
      </c>
      <c r="M3" s="7" t="str">
        <f>'Historical Financials'!M7</f>
        <v>4Q23</v>
      </c>
      <c r="N3" s="7" t="str">
        <f>'Historical Financials'!N7</f>
        <v>1Q24</v>
      </c>
      <c r="O3" s="7" t="str">
        <f>'Historical Financials'!O7</f>
        <v>2Q24</v>
      </c>
      <c r="P3" s="7" t="str">
        <f>'Historical Financials'!P7</f>
        <v>3Q24</v>
      </c>
      <c r="Q3" s="7" t="str">
        <f>'Historical Financials'!Q7</f>
        <v>4Q24</v>
      </c>
      <c r="R3" s="7" t="str">
        <f>'Historical Financials'!R7</f>
        <v>1Q25</v>
      </c>
      <c r="S3" s="7" t="str">
        <f>'Historical Financials'!S7</f>
        <v>2Q25</v>
      </c>
      <c r="T3" s="7" t="str">
        <f>'Historical Financials'!T7</f>
        <v>3Q25</v>
      </c>
      <c r="U3" s="7" t="str">
        <f>'Historical Financials'!U7</f>
        <v>4Q25</v>
      </c>
      <c r="V3" s="7" t="str">
        <f>'Historical Financials'!V7</f>
        <v>1Q26</v>
      </c>
      <c r="W3" s="7" t="str">
        <f>'Historical Financials'!W7</f>
        <v>2Q26</v>
      </c>
      <c r="X3" s="7" t="str">
        <f>'Historical Financials'!X7</f>
        <v>3Q26</v>
      </c>
      <c r="Y3" s="4"/>
      <c r="Z3" s="4" t="str">
        <f t="shared" ref="Z3:AI4" si="0">N3</f>
        <v>1Q24</v>
      </c>
      <c r="AA3" s="4" t="str">
        <f t="shared" si="0"/>
        <v>2Q24</v>
      </c>
      <c r="AB3" s="4" t="str">
        <f t="shared" si="0"/>
        <v>3Q24</v>
      </c>
      <c r="AC3" s="4" t="str">
        <f t="shared" si="0"/>
        <v>4Q24</v>
      </c>
      <c r="AD3" s="4" t="str">
        <f t="shared" si="0"/>
        <v>1Q25</v>
      </c>
      <c r="AE3" s="4" t="str">
        <f t="shared" si="0"/>
        <v>2Q25</v>
      </c>
      <c r="AF3" s="4" t="str">
        <f t="shared" si="0"/>
        <v>3Q25</v>
      </c>
      <c r="AG3" s="4" t="str">
        <f t="shared" si="0"/>
        <v>4Q25</v>
      </c>
      <c r="AH3" s="4" t="str">
        <f t="shared" si="0"/>
        <v>1Q26</v>
      </c>
      <c r="AI3" s="4" t="str">
        <f t="shared" si="0"/>
        <v>2Q26</v>
      </c>
      <c r="AJ3" s="4" t="str">
        <f>X3</f>
        <v>3Q26</v>
      </c>
    </row>
    <row r="4" spans="1:36" s="5" customFormat="1" ht="12.75" customHeight="1">
      <c r="B4" s="6" t="s">
        <v>136</v>
      </c>
      <c r="C4" s="3">
        <f>'Historical Financials'!C8</f>
        <v>43862</v>
      </c>
      <c r="D4" s="3">
        <f>'Historical Financials'!D8</f>
        <v>44226</v>
      </c>
      <c r="E4" s="3">
        <f>'Historical Financials'!E8</f>
        <v>44590</v>
      </c>
      <c r="F4" s="3">
        <f>'Historical Financials'!F8</f>
        <v>44954</v>
      </c>
      <c r="G4" s="3">
        <f>'Historical Financials'!G8</f>
        <v>45325</v>
      </c>
      <c r="H4" s="3">
        <f>'Historical Financials'!H8</f>
        <v>45689</v>
      </c>
      <c r="I4" s="3"/>
      <c r="J4" s="3">
        <f>'Historical Financials'!J8</f>
        <v>44681</v>
      </c>
      <c r="K4" s="3">
        <f>'Historical Financials'!K8</f>
        <v>44772</v>
      </c>
      <c r="L4" s="3">
        <f>'Historical Financials'!L8</f>
        <v>44863</v>
      </c>
      <c r="M4" s="3">
        <f>'Historical Financials'!M8</f>
        <v>44954</v>
      </c>
      <c r="N4" s="3">
        <f>'Historical Financials'!N8</f>
        <v>45045</v>
      </c>
      <c r="O4" s="3">
        <f>'Historical Financials'!O8</f>
        <v>45136</v>
      </c>
      <c r="P4" s="3">
        <f>'Historical Financials'!P8</f>
        <v>45227</v>
      </c>
      <c r="Q4" s="3">
        <f>'Historical Financials'!Q8</f>
        <v>45325</v>
      </c>
      <c r="R4" s="3">
        <f>'Historical Financials'!R8</f>
        <v>45416</v>
      </c>
      <c r="S4" s="3">
        <f>'Historical Financials'!S8</f>
        <v>45507</v>
      </c>
      <c r="T4" s="3">
        <f>'Historical Financials'!T8</f>
        <v>45598</v>
      </c>
      <c r="U4" s="3">
        <f>'Historical Financials'!U8</f>
        <v>45689</v>
      </c>
      <c r="V4" s="3">
        <f>'Historical Financials'!V8</f>
        <v>45780</v>
      </c>
      <c r="W4" s="3">
        <f>'Historical Financials'!W8</f>
        <v>45871</v>
      </c>
      <c r="X4" s="3">
        <f>'Historical Financials'!X8</f>
        <v>45962</v>
      </c>
      <c r="Y4" s="3"/>
      <c r="Z4" s="3">
        <f t="shared" si="0"/>
        <v>45045</v>
      </c>
      <c r="AA4" s="3">
        <f t="shared" si="0"/>
        <v>45136</v>
      </c>
      <c r="AB4" s="3">
        <f t="shared" si="0"/>
        <v>45227</v>
      </c>
      <c r="AC4" s="3">
        <f t="shared" si="0"/>
        <v>45325</v>
      </c>
      <c r="AD4" s="3">
        <f t="shared" si="0"/>
        <v>45416</v>
      </c>
      <c r="AE4" s="3">
        <f t="shared" si="0"/>
        <v>45507</v>
      </c>
      <c r="AF4" s="3">
        <f t="shared" si="0"/>
        <v>45598</v>
      </c>
      <c r="AG4" s="3">
        <f t="shared" si="0"/>
        <v>45689</v>
      </c>
      <c r="AH4" s="3">
        <f t="shared" si="0"/>
        <v>45780</v>
      </c>
      <c r="AI4" s="3">
        <f t="shared" si="0"/>
        <v>45871</v>
      </c>
      <c r="AJ4" s="3">
        <f>X4</f>
        <v>45962</v>
      </c>
    </row>
    <row r="5" spans="1:36" ht="5.0999999999999996" customHeight="1"/>
    <row r="6" spans="1:36">
      <c r="A6" s="33" t="s">
        <v>19</v>
      </c>
      <c r="B6" s="1" t="s">
        <v>139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5.0999999999999996" customHeight="1"/>
    <row r="8" spans="1:36" ht="12.75" customHeight="1">
      <c r="A8" s="74" t="s">
        <v>19</v>
      </c>
      <c r="B8" s="72" t="s">
        <v>135</v>
      </c>
      <c r="C8" s="10"/>
      <c r="D8" s="10"/>
      <c r="E8" s="10"/>
      <c r="F8" s="10"/>
      <c r="G8" s="10"/>
      <c r="H8" s="10"/>
      <c r="I8" s="10"/>
      <c r="J8" s="82"/>
      <c r="K8" s="82"/>
      <c r="L8" s="82"/>
      <c r="M8" s="30"/>
      <c r="N8" s="82"/>
      <c r="O8" s="82"/>
      <c r="P8" s="82"/>
      <c r="Q8" s="30"/>
      <c r="R8" s="82"/>
      <c r="S8" s="82"/>
      <c r="T8" s="82"/>
      <c r="U8" s="82"/>
      <c r="V8" s="82"/>
      <c r="W8" s="82"/>
      <c r="X8" s="82"/>
      <c r="Y8" s="5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12.75" customHeight="1">
      <c r="A9" s="74"/>
      <c r="B9" s="9" t="s">
        <v>138</v>
      </c>
      <c r="C9" s="75">
        <v>40114</v>
      </c>
      <c r="D9" s="75">
        <v>43293</v>
      </c>
      <c r="E9" s="75">
        <v>47830</v>
      </c>
      <c r="F9" s="75">
        <v>42794</v>
      </c>
      <c r="G9" s="75">
        <v>40097</v>
      </c>
      <c r="H9" s="75">
        <v>38238</v>
      </c>
      <c r="I9" s="10"/>
      <c r="J9" s="75">
        <v>9894</v>
      </c>
      <c r="K9" s="75">
        <v>9569</v>
      </c>
      <c r="L9" s="75">
        <v>9800</v>
      </c>
      <c r="M9" s="30">
        <f>SUM(F9-SUM(J9:L9))</f>
        <v>13531</v>
      </c>
      <c r="N9" s="75">
        <v>8801</v>
      </c>
      <c r="O9" s="75">
        <v>8890</v>
      </c>
      <c r="P9" s="75">
        <v>8996</v>
      </c>
      <c r="Q9" s="30">
        <f>SUM(G9-SUM(N9:P9))</f>
        <v>13410</v>
      </c>
      <c r="R9" s="75">
        <v>8203</v>
      </c>
      <c r="S9" s="75">
        <v>8623</v>
      </c>
      <c r="T9" s="75">
        <v>8697</v>
      </c>
      <c r="U9" s="30">
        <f>SUM(H9-SUM(R9:T9))</f>
        <v>12715</v>
      </c>
      <c r="V9" s="75">
        <v>8127</v>
      </c>
      <c r="W9" s="75">
        <v>8698</v>
      </c>
      <c r="X9" s="75">
        <v>8878</v>
      </c>
      <c r="Y9" s="5"/>
      <c r="Z9" s="30">
        <f>SUM(K9:N9)</f>
        <v>41701</v>
      </c>
      <c r="AA9" s="30">
        <f>SUM(L9:O9)</f>
        <v>41022</v>
      </c>
      <c r="AB9" s="30">
        <f>SUM(M9:P9)</f>
        <v>40218</v>
      </c>
      <c r="AC9" s="30">
        <f>SUM(N9:Q9)</f>
        <v>40097</v>
      </c>
      <c r="AD9" s="30">
        <f>SUM(O9:R9)</f>
        <v>39499</v>
      </c>
      <c r="AE9" s="30">
        <f>SUM(P9:S9)</f>
        <v>39232</v>
      </c>
      <c r="AF9" s="30">
        <f>SUM(Q9:T9)</f>
        <v>38933</v>
      </c>
      <c r="AG9" s="30">
        <f>SUM(R9:U9)</f>
        <v>38238</v>
      </c>
      <c r="AH9" s="30">
        <f>SUM(S9:V9)</f>
        <v>38162</v>
      </c>
      <c r="AI9" s="30">
        <f>SUM(T9:W9)</f>
        <v>38237</v>
      </c>
      <c r="AJ9" s="30">
        <f>SUM(U9:X9)</f>
        <v>38418</v>
      </c>
    </row>
    <row r="10" spans="1:36">
      <c r="B10" s="9" t="s">
        <v>141</v>
      </c>
      <c r="C10" s="75">
        <v>3524</v>
      </c>
      <c r="D10" s="75">
        <v>3969</v>
      </c>
      <c r="E10" s="75">
        <v>3931</v>
      </c>
      <c r="F10" s="75">
        <v>3504</v>
      </c>
      <c r="G10" s="75">
        <v>3355</v>
      </c>
      <c r="H10" s="75">
        <v>3290</v>
      </c>
      <c r="I10" s="75"/>
      <c r="J10" s="75">
        <v>753</v>
      </c>
      <c r="K10" s="75">
        <v>760</v>
      </c>
      <c r="L10" s="75">
        <v>787</v>
      </c>
      <c r="M10" s="30">
        <f>SUM(F10-SUM(J10:L10))</f>
        <v>1204</v>
      </c>
      <c r="N10" s="75">
        <v>666</v>
      </c>
      <c r="O10" s="75">
        <v>693</v>
      </c>
      <c r="P10" s="75">
        <v>760</v>
      </c>
      <c r="Q10" s="30">
        <f>SUM(G10-SUM(N10:P10))</f>
        <v>1236</v>
      </c>
      <c r="R10" s="75">
        <v>644</v>
      </c>
      <c r="S10" s="75">
        <v>665</v>
      </c>
      <c r="T10" s="75">
        <v>748</v>
      </c>
      <c r="U10" s="30">
        <f>SUM(H10-SUM(R10:T10))</f>
        <v>1233</v>
      </c>
      <c r="V10" s="75">
        <v>640</v>
      </c>
      <c r="W10" s="75">
        <v>740</v>
      </c>
      <c r="X10" s="75">
        <v>794</v>
      </c>
      <c r="Y10" s="5"/>
      <c r="Z10" s="30">
        <f>SUM(K10:N10)</f>
        <v>3417</v>
      </c>
      <c r="AA10" s="30">
        <f>SUM(L10:O10)</f>
        <v>3350</v>
      </c>
      <c r="AB10" s="30">
        <f>SUM(M10:P10)</f>
        <v>3323</v>
      </c>
      <c r="AC10" s="30">
        <f>SUM(N10:Q10)</f>
        <v>3355</v>
      </c>
      <c r="AD10" s="30">
        <f>SUM(O10:R10)</f>
        <v>3333</v>
      </c>
      <c r="AE10" s="30">
        <f>SUM(P10:S10)</f>
        <v>3305</v>
      </c>
      <c r="AF10" s="30">
        <f>SUM(Q10:T10)</f>
        <v>3293</v>
      </c>
      <c r="AG10" s="30">
        <f>SUM(R10:U10)</f>
        <v>3290</v>
      </c>
      <c r="AH10" s="30">
        <f>SUM(S10:V10)</f>
        <v>3286</v>
      </c>
      <c r="AI10" s="30">
        <f>SUM(T10:W10)</f>
        <v>3361</v>
      </c>
      <c r="AJ10" s="30">
        <f>SUM(U10:X10)</f>
        <v>3407</v>
      </c>
    </row>
    <row r="11" spans="1:36">
      <c r="B11" s="12" t="s">
        <v>75</v>
      </c>
      <c r="C11" s="13">
        <f>SUM(C9:C10)</f>
        <v>43638</v>
      </c>
      <c r="D11" s="13">
        <f>SUM(D9:D10)</f>
        <v>47262</v>
      </c>
      <c r="E11" s="13">
        <f>SUM(E9:E10)</f>
        <v>51761</v>
      </c>
      <c r="F11" s="13">
        <f>SUM(F9:F10)</f>
        <v>46298</v>
      </c>
      <c r="G11" s="13">
        <f>SUM(G9:G10)</f>
        <v>43452</v>
      </c>
      <c r="H11" s="13">
        <f>SUM(H9:H10)</f>
        <v>41528</v>
      </c>
      <c r="I11" s="11"/>
      <c r="J11" s="13">
        <f>SUM(J9:J10)</f>
        <v>10647</v>
      </c>
      <c r="K11" s="13">
        <f>SUM(K9:K10)</f>
        <v>10329</v>
      </c>
      <c r="L11" s="13">
        <f>SUM(L9:L10)</f>
        <v>10587</v>
      </c>
      <c r="M11" s="13">
        <f>SUM(M9:M10)</f>
        <v>14735</v>
      </c>
      <c r="N11" s="13">
        <f>SUM(N9:N10)</f>
        <v>9467</v>
      </c>
      <c r="O11" s="13">
        <f>SUM(O9:O10)</f>
        <v>9583</v>
      </c>
      <c r="P11" s="13">
        <f>SUM(P9:P10)</f>
        <v>9756</v>
      </c>
      <c r="Q11" s="13">
        <f>SUM(Q9:Q10)</f>
        <v>14646</v>
      </c>
      <c r="R11" s="13">
        <f>SUM(R9:R10)</f>
        <v>8847</v>
      </c>
      <c r="S11" s="13">
        <f>SUM(S9:S10)</f>
        <v>9288</v>
      </c>
      <c r="T11" s="13">
        <f>SUM(T9:T10)</f>
        <v>9445</v>
      </c>
      <c r="U11" s="13">
        <f>SUM(U9:U10)</f>
        <v>13948</v>
      </c>
      <c r="V11" s="13">
        <f t="shared" ref="V11:X11" si="1">SUM(V9:V10)</f>
        <v>8767</v>
      </c>
      <c r="W11" s="13">
        <f t="shared" si="1"/>
        <v>9438</v>
      </c>
      <c r="X11" s="13">
        <f t="shared" si="1"/>
        <v>9672</v>
      </c>
      <c r="Y11" s="5"/>
      <c r="Z11" s="13">
        <f t="shared" ref="Z11:AI11" si="2">SUM(Z9:Z10)</f>
        <v>45118</v>
      </c>
      <c r="AA11" s="13">
        <f t="shared" si="2"/>
        <v>44372</v>
      </c>
      <c r="AB11" s="13">
        <f t="shared" si="2"/>
        <v>43541</v>
      </c>
      <c r="AC11" s="13">
        <f t="shared" si="2"/>
        <v>43452</v>
      </c>
      <c r="AD11" s="13">
        <f t="shared" si="2"/>
        <v>42832</v>
      </c>
      <c r="AE11" s="13">
        <f t="shared" si="2"/>
        <v>42537</v>
      </c>
      <c r="AF11" s="13">
        <f t="shared" si="2"/>
        <v>42226</v>
      </c>
      <c r="AG11" s="13">
        <f t="shared" si="2"/>
        <v>41528</v>
      </c>
      <c r="AH11" s="13">
        <f t="shared" si="2"/>
        <v>41448</v>
      </c>
      <c r="AI11" s="13">
        <f t="shared" si="2"/>
        <v>41598</v>
      </c>
      <c r="AJ11" s="13">
        <f>SUM(AJ9:AJ10)</f>
        <v>41825</v>
      </c>
    </row>
    <row r="12" spans="1:36" outlineLevel="1">
      <c r="B12" s="134" t="s">
        <v>67</v>
      </c>
      <c r="C12" s="73">
        <f>+C11-'Historical Financials'!C11</f>
        <v>0</v>
      </c>
      <c r="D12" s="73">
        <f>+D11-'Historical Financials'!D11</f>
        <v>0</v>
      </c>
      <c r="E12" s="73">
        <f>+E11-'Historical Financials'!E11</f>
        <v>0</v>
      </c>
      <c r="F12" s="73">
        <f>+F11-'Historical Financials'!F11</f>
        <v>0</v>
      </c>
      <c r="G12" s="73">
        <f>+G11-'Historical Financials'!G11</f>
        <v>0</v>
      </c>
      <c r="H12" s="73">
        <f>+H11-'Historical Financials'!H11</f>
        <v>0</v>
      </c>
      <c r="I12" s="11"/>
      <c r="J12" s="73">
        <f>+J11-'Historical Financials'!J11</f>
        <v>0</v>
      </c>
      <c r="K12" s="73">
        <f>+K11-'Historical Financials'!K11</f>
        <v>0</v>
      </c>
      <c r="L12" s="73">
        <f>+L11-'Historical Financials'!L11</f>
        <v>0</v>
      </c>
      <c r="M12" s="73">
        <f>+M11-'Historical Financials'!M11</f>
        <v>0</v>
      </c>
      <c r="N12" s="73">
        <f>+N11-'Historical Financials'!N11</f>
        <v>0</v>
      </c>
      <c r="O12" s="73">
        <f>+O11-'Historical Financials'!O11</f>
        <v>0</v>
      </c>
      <c r="P12" s="73">
        <f>+P11-'Historical Financials'!P11</f>
        <v>0</v>
      </c>
      <c r="Q12" s="73">
        <f>+Q11-'Historical Financials'!Q11</f>
        <v>0</v>
      </c>
      <c r="R12" s="73">
        <f>+R11-'Historical Financials'!R11</f>
        <v>0</v>
      </c>
      <c r="S12" s="73">
        <f>+S11-'Historical Financials'!S11</f>
        <v>0</v>
      </c>
      <c r="T12" s="73">
        <f>+T11-'Historical Financials'!T11</f>
        <v>0</v>
      </c>
      <c r="U12" s="73">
        <f>+U11-'Historical Financials'!U11</f>
        <v>0</v>
      </c>
      <c r="V12" s="73">
        <f>+V11-'Historical Financials'!V11</f>
        <v>0</v>
      </c>
      <c r="W12" s="73">
        <f>+W11-'Historical Financials'!W11</f>
        <v>0</v>
      </c>
      <c r="X12" s="73">
        <f>+X11-'Historical Financials'!X11</f>
        <v>0</v>
      </c>
      <c r="Y12" s="73"/>
      <c r="Z12" s="73">
        <f>+Z11-'Historical Financials'!Z11</f>
        <v>0</v>
      </c>
      <c r="AA12" s="73">
        <f>+AA11-'Historical Financials'!AA11</f>
        <v>0</v>
      </c>
      <c r="AB12" s="73">
        <f>+AB11-'Historical Financials'!AB11</f>
        <v>0</v>
      </c>
      <c r="AC12" s="73">
        <f>+AC11-'Historical Financials'!AC11</f>
        <v>0</v>
      </c>
      <c r="AD12" s="73">
        <f>+AD11-'Historical Financials'!AD11</f>
        <v>0</v>
      </c>
      <c r="AE12" s="73">
        <f>+AE11-'Historical Financials'!AE11</f>
        <v>0</v>
      </c>
      <c r="AF12" s="73">
        <f>+AF11-'Historical Financials'!AF11</f>
        <v>0</v>
      </c>
      <c r="AG12" s="73">
        <f>+AG11-'Historical Financials'!AG11</f>
        <v>0</v>
      </c>
      <c r="AH12" s="73">
        <f>+AH11-'Historical Financials'!AH11</f>
        <v>0</v>
      </c>
      <c r="AI12" s="73">
        <f>+AI11-'Historical Financials'!AI11</f>
        <v>0</v>
      </c>
      <c r="AJ12" s="73">
        <f>+AJ11-'Historical Financials'!AJ11</f>
        <v>0</v>
      </c>
    </row>
    <row r="13" spans="1:36">
      <c r="B13" s="16"/>
      <c r="C13" s="17"/>
      <c r="D13" s="17"/>
      <c r="E13" s="17"/>
      <c r="F13" s="17"/>
      <c r="G13" s="17"/>
      <c r="H13" s="17"/>
      <c r="I13" s="18"/>
      <c r="J13" s="19"/>
      <c r="K13" s="19"/>
      <c r="L13" s="19"/>
      <c r="M13" s="2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 spans="1:36">
      <c r="B14" s="135" t="str">
        <f>B9&amp;"(%)"</f>
        <v>Domestic(%)</v>
      </c>
      <c r="C14" s="147">
        <f t="shared" ref="C14:G14" si="3">SUM(C9/C$11)</f>
        <v>0.91924469499060457</v>
      </c>
      <c r="D14" s="147">
        <f t="shared" si="3"/>
        <v>0.91602132791671953</v>
      </c>
      <c r="E14" s="147">
        <f t="shared" si="3"/>
        <v>0.92405479028612281</v>
      </c>
      <c r="F14" s="147">
        <f t="shared" si="3"/>
        <v>0.92431638515702619</v>
      </c>
      <c r="G14" s="147">
        <f t="shared" si="3"/>
        <v>0.92278836417195986</v>
      </c>
      <c r="H14" s="147">
        <f t="shared" ref="H14" si="4">SUM(H9/H$11)</f>
        <v>0.92077634367173955</v>
      </c>
      <c r="I14" s="136"/>
      <c r="J14" s="147">
        <f t="shared" ref="J14:S14" si="5">SUM(J9/J$11)</f>
        <v>0.92927585235277543</v>
      </c>
      <c r="K14" s="147">
        <f t="shared" si="5"/>
        <v>0.92642075709168359</v>
      </c>
      <c r="L14" s="147">
        <f t="shared" si="5"/>
        <v>0.92566354963634645</v>
      </c>
      <c r="M14" s="147">
        <f t="shared" si="5"/>
        <v>0.91828978622327795</v>
      </c>
      <c r="N14" s="147">
        <f t="shared" si="5"/>
        <v>0.9296503644237879</v>
      </c>
      <c r="O14" s="147">
        <f t="shared" si="5"/>
        <v>0.92768444119795468</v>
      </c>
      <c r="P14" s="147">
        <f t="shared" si="5"/>
        <v>0.92209922099220987</v>
      </c>
      <c r="Q14" s="147">
        <f t="shared" si="5"/>
        <v>0.91560835723064316</v>
      </c>
      <c r="R14" s="147">
        <f t="shared" si="5"/>
        <v>0.92720696281225279</v>
      </c>
      <c r="S14" s="147">
        <f t="shared" si="5"/>
        <v>0.92840223944875111</v>
      </c>
      <c r="T14" s="147">
        <f t="shared" ref="T14:U14" si="6">SUM(T9/T$11)</f>
        <v>0.92080465854949711</v>
      </c>
      <c r="U14" s="147">
        <f t="shared" si="6"/>
        <v>0.91160022942357333</v>
      </c>
      <c r="V14" s="147">
        <f t="shared" ref="V14:X14" si="7">SUM(V9/V$11)</f>
        <v>0.92699897342306381</v>
      </c>
      <c r="W14" s="147">
        <f t="shared" si="7"/>
        <v>0.92159355795719433</v>
      </c>
      <c r="X14" s="147">
        <f t="shared" si="7"/>
        <v>0.91790736145574858</v>
      </c>
      <c r="Y14" s="136"/>
      <c r="Z14" s="137">
        <f>J14</f>
        <v>0.92927585235277543</v>
      </c>
      <c r="AA14" s="137">
        <f>K14</f>
        <v>0.92642075709168359</v>
      </c>
      <c r="AB14" s="137">
        <f>L14</f>
        <v>0.92566354963634645</v>
      </c>
      <c r="AC14" s="137">
        <f>M14</f>
        <v>0.91828978622327795</v>
      </c>
      <c r="AD14" s="137">
        <f>N14</f>
        <v>0.9296503644237879</v>
      </c>
      <c r="AE14" s="137">
        <f>O14</f>
        <v>0.92768444119795468</v>
      </c>
      <c r="AF14" s="137">
        <f>P14</f>
        <v>0.92209922099220987</v>
      </c>
      <c r="AG14" s="137">
        <f>Q14</f>
        <v>0.91560835723064316</v>
      </c>
      <c r="AH14" s="137">
        <f>R14</f>
        <v>0.92720696281225279</v>
      </c>
      <c r="AI14" s="137">
        <f>S14</f>
        <v>0.92840223944875111</v>
      </c>
      <c r="AJ14" s="138">
        <f>T14</f>
        <v>0.92080465854949711</v>
      </c>
    </row>
    <row r="15" spans="1:36" ht="12.75" customHeight="1">
      <c r="B15" s="143" t="str">
        <f>B10&amp;"(%)"</f>
        <v>International(%)</v>
      </c>
      <c r="C15" s="148">
        <f t="shared" ref="C15:G15" si="8">SUM(C10/C$11)</f>
        <v>8.0755305009395484E-2</v>
      </c>
      <c r="D15" s="148">
        <f t="shared" si="8"/>
        <v>8.3978672083280442E-2</v>
      </c>
      <c r="E15" s="148">
        <f t="shared" si="8"/>
        <v>7.5945209713877249E-2</v>
      </c>
      <c r="F15" s="148">
        <f t="shared" si="8"/>
        <v>7.5683614842973784E-2</v>
      </c>
      <c r="G15" s="148">
        <f t="shared" si="8"/>
        <v>7.7211635828040137E-2</v>
      </c>
      <c r="H15" s="148">
        <f t="shared" ref="H15" si="9">SUM(H10/H$11)</f>
        <v>7.922365632826045E-2</v>
      </c>
      <c r="I15" s="144"/>
      <c r="J15" s="148">
        <f t="shared" ref="J15:S15" si="10">SUM(J10/J$11)</f>
        <v>7.0724147647224567E-2</v>
      </c>
      <c r="K15" s="148">
        <f t="shared" si="10"/>
        <v>7.3579242908316397E-2</v>
      </c>
      <c r="L15" s="148">
        <f t="shared" si="10"/>
        <v>7.4336450363653536E-2</v>
      </c>
      <c r="M15" s="148">
        <f t="shared" si="10"/>
        <v>8.1710213776722093E-2</v>
      </c>
      <c r="N15" s="148">
        <f t="shared" si="10"/>
        <v>7.03496355762121E-2</v>
      </c>
      <c r="O15" s="148">
        <f t="shared" si="10"/>
        <v>7.2315558802045293E-2</v>
      </c>
      <c r="P15" s="148">
        <f t="shared" si="10"/>
        <v>7.7900779007790077E-2</v>
      </c>
      <c r="Q15" s="148">
        <f t="shared" si="10"/>
        <v>8.4391642769356817E-2</v>
      </c>
      <c r="R15" s="148">
        <f t="shared" si="10"/>
        <v>7.2793037187747253E-2</v>
      </c>
      <c r="S15" s="148">
        <f t="shared" si="10"/>
        <v>7.1597760551248918E-2</v>
      </c>
      <c r="T15" s="148">
        <f t="shared" ref="T15:U15" si="11">SUM(T10/T$11)</f>
        <v>7.9195341450502915E-2</v>
      </c>
      <c r="U15" s="148">
        <f t="shared" si="11"/>
        <v>8.8399770576426728E-2</v>
      </c>
      <c r="V15" s="148">
        <f t="shared" ref="V15:X15" si="12">SUM(V10/V$11)</f>
        <v>7.3001026576936232E-2</v>
      </c>
      <c r="W15" s="148">
        <f t="shared" si="12"/>
        <v>7.8406442042805682E-2</v>
      </c>
      <c r="X15" s="148">
        <f t="shared" si="12"/>
        <v>8.2092638544251445E-2</v>
      </c>
      <c r="Y15" s="144"/>
      <c r="Z15" s="145">
        <f>J15</f>
        <v>7.0724147647224567E-2</v>
      </c>
      <c r="AA15" s="145">
        <f>K15</f>
        <v>7.3579242908316397E-2</v>
      </c>
      <c r="AB15" s="145">
        <f>L15</f>
        <v>7.4336450363653536E-2</v>
      </c>
      <c r="AC15" s="145">
        <f>M15</f>
        <v>8.1710213776722093E-2</v>
      </c>
      <c r="AD15" s="145">
        <f>N15</f>
        <v>7.03496355762121E-2</v>
      </c>
      <c r="AE15" s="145">
        <f>O15</f>
        <v>7.2315558802045293E-2</v>
      </c>
      <c r="AF15" s="145">
        <f>P15</f>
        <v>7.7900779007790077E-2</v>
      </c>
      <c r="AG15" s="145">
        <f>Q15</f>
        <v>8.4391642769356817E-2</v>
      </c>
      <c r="AH15" s="145">
        <f>R15</f>
        <v>7.2793037187747253E-2</v>
      </c>
      <c r="AI15" s="145">
        <f>S15</f>
        <v>7.1597760551248918E-2</v>
      </c>
      <c r="AJ15" s="146">
        <f>T15</f>
        <v>7.9195341450502915E-2</v>
      </c>
    </row>
    <row r="16" spans="1:36">
      <c r="B16" s="16"/>
      <c r="C16" s="17"/>
      <c r="D16" s="17"/>
      <c r="E16" s="17"/>
      <c r="F16" s="17"/>
      <c r="G16" s="17"/>
      <c r="H16" s="17"/>
      <c r="I16" s="18"/>
      <c r="J16" s="19"/>
      <c r="K16" s="19"/>
      <c r="L16" s="19"/>
      <c r="M16" s="2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 spans="1:36">
      <c r="A17" s="33" t="s">
        <v>19</v>
      </c>
      <c r="B17" s="1" t="s">
        <v>140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9" spans="1:36" ht="12.75" customHeight="1">
      <c r="A19" s="74" t="s">
        <v>19</v>
      </c>
      <c r="B19" s="72" t="s">
        <v>193</v>
      </c>
      <c r="C19" s="10"/>
      <c r="D19" s="10"/>
      <c r="E19" s="10"/>
      <c r="F19" s="10"/>
      <c r="G19" s="10"/>
      <c r="H19" s="10"/>
      <c r="I19" s="10"/>
      <c r="J19" s="82"/>
      <c r="K19" s="82"/>
      <c r="L19" s="82"/>
      <c r="M19" s="30"/>
      <c r="N19" s="82"/>
      <c r="O19" s="82"/>
      <c r="P19" s="82"/>
      <c r="Q19" s="30"/>
      <c r="R19" s="82"/>
      <c r="S19" s="82"/>
      <c r="T19" s="82"/>
      <c r="U19" s="82"/>
      <c r="V19" s="82"/>
      <c r="W19" s="82"/>
      <c r="X19" s="82"/>
      <c r="Y19" s="5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2.75" customHeight="1">
      <c r="A20" s="74"/>
      <c r="B20" s="9" t="s">
        <v>146</v>
      </c>
      <c r="C20" s="107">
        <f>SUM(C37+C54)</f>
        <v>19399</v>
      </c>
      <c r="D20" s="107">
        <f t="shared" ref="D20:H20" si="13">SUM(D37+D54)</f>
        <v>21653</v>
      </c>
      <c r="E20" s="107">
        <f t="shared" si="13"/>
        <v>22478</v>
      </c>
      <c r="F20" s="107">
        <f t="shared" si="13"/>
        <v>19766</v>
      </c>
      <c r="G20" s="107">
        <f t="shared" si="13"/>
        <v>18482</v>
      </c>
      <c r="H20" s="107">
        <f t="shared" si="13"/>
        <v>18681</v>
      </c>
      <c r="I20" s="10"/>
      <c r="J20" s="107">
        <f t="shared" ref="J20:X20" si="14">SUM(J37+J54)</f>
        <v>4629</v>
      </c>
      <c r="K20" s="107">
        <f t="shared" si="14"/>
        <v>4291</v>
      </c>
      <c r="L20" s="107">
        <f t="shared" si="14"/>
        <v>4726</v>
      </c>
      <c r="M20" s="107">
        <f t="shared" si="14"/>
        <v>6120</v>
      </c>
      <c r="N20" s="107">
        <f t="shared" si="14"/>
        <v>4004</v>
      </c>
      <c r="O20" s="107">
        <f t="shared" si="14"/>
        <v>3983</v>
      </c>
      <c r="P20" s="107">
        <f t="shared" si="14"/>
        <v>4316</v>
      </c>
      <c r="Q20" s="107">
        <f t="shared" si="14"/>
        <v>6179</v>
      </c>
      <c r="R20" s="107">
        <f t="shared" si="14"/>
        <v>3906</v>
      </c>
      <c r="S20" s="107">
        <f t="shared" si="14"/>
        <v>4100</v>
      </c>
      <c r="T20" s="107">
        <f t="shared" si="14"/>
        <v>4451</v>
      </c>
      <c r="U20" s="107">
        <f t="shared" si="14"/>
        <v>6224</v>
      </c>
      <c r="V20" s="107">
        <f t="shared" si="14"/>
        <v>4116</v>
      </c>
      <c r="W20" s="107">
        <f t="shared" si="14"/>
        <v>4276</v>
      </c>
      <c r="X20" s="107">
        <f t="shared" si="14"/>
        <v>4788</v>
      </c>
      <c r="Y20" s="5"/>
      <c r="Z20" s="30">
        <f t="shared" ref="Z20:Z25" si="15">SUM(K20:N20)</f>
        <v>19141</v>
      </c>
      <c r="AA20" s="30">
        <f t="shared" ref="AA20:AA25" si="16">SUM(L20:O20)</f>
        <v>18833</v>
      </c>
      <c r="AB20" s="30">
        <f t="shared" ref="AB20:AB25" si="17">SUM(M20:P20)</f>
        <v>18423</v>
      </c>
      <c r="AC20" s="30">
        <f t="shared" ref="AC20:AC25" si="18">SUM(N20:Q20)</f>
        <v>18482</v>
      </c>
      <c r="AD20" s="30">
        <f t="shared" ref="AD20:AD25" si="19">SUM(O20:R20)</f>
        <v>18384</v>
      </c>
      <c r="AE20" s="30">
        <f t="shared" ref="AE20:AE25" si="20">SUM(P20:S20)</f>
        <v>18501</v>
      </c>
      <c r="AF20" s="30">
        <f t="shared" ref="AF20:AF25" si="21">SUM(Q20:T20)</f>
        <v>18636</v>
      </c>
      <c r="AG20" s="30">
        <f t="shared" ref="AG20:AG25" si="22">SUM(R20:U20)</f>
        <v>18681</v>
      </c>
      <c r="AH20" s="30">
        <f t="shared" ref="AH20:AH25" si="23">SUM(S20:V20)</f>
        <v>18891</v>
      </c>
      <c r="AI20" s="30">
        <f t="shared" ref="AI20:AI25" si="24">SUM(T20:W20)</f>
        <v>19067</v>
      </c>
      <c r="AJ20" s="30">
        <f t="shared" ref="AJ20:AJ25" si="25">SUM(U20:X20)</f>
        <v>19404</v>
      </c>
    </row>
    <row r="21" spans="1:36" ht="12.75" customHeight="1">
      <c r="A21" s="74"/>
      <c r="B21" s="9" t="s">
        <v>145</v>
      </c>
      <c r="C21" s="107">
        <f t="shared" ref="C21:H21" si="26">SUM(C38+C55)</f>
        <v>14292</v>
      </c>
      <c r="D21" s="107">
        <f t="shared" si="26"/>
        <v>14211</v>
      </c>
      <c r="E21" s="107">
        <f t="shared" si="26"/>
        <v>16203</v>
      </c>
      <c r="F21" s="107">
        <f t="shared" si="26"/>
        <v>14094</v>
      </c>
      <c r="G21" s="107">
        <f t="shared" si="26"/>
        <v>12969</v>
      </c>
      <c r="H21" s="107">
        <f t="shared" si="26"/>
        <v>12065</v>
      </c>
      <c r="I21" s="10"/>
      <c r="J21" s="107">
        <f t="shared" ref="J21:X21" si="27">SUM(J38+J55)</f>
        <v>3109</v>
      </c>
      <c r="K21" s="107">
        <f t="shared" si="27"/>
        <v>3068</v>
      </c>
      <c r="L21" s="107">
        <f t="shared" si="27"/>
        <v>3109</v>
      </c>
      <c r="M21" s="107">
        <f t="shared" si="27"/>
        <v>4808</v>
      </c>
      <c r="N21" s="107">
        <f t="shared" si="27"/>
        <v>2776</v>
      </c>
      <c r="O21" s="107">
        <f t="shared" si="27"/>
        <v>2852</v>
      </c>
      <c r="P21" s="107">
        <f t="shared" si="27"/>
        <v>2789</v>
      </c>
      <c r="Q21" s="107">
        <f t="shared" si="27"/>
        <v>4552</v>
      </c>
      <c r="R21" s="107">
        <f t="shared" si="27"/>
        <v>2537</v>
      </c>
      <c r="S21" s="107">
        <f t="shared" si="27"/>
        <v>2664</v>
      </c>
      <c r="T21" s="107">
        <f t="shared" si="27"/>
        <v>2619</v>
      </c>
      <c r="U21" s="107">
        <f t="shared" si="27"/>
        <v>4245</v>
      </c>
      <c r="V21" s="107">
        <f t="shared" si="27"/>
        <v>2410</v>
      </c>
      <c r="W21" s="107">
        <f t="shared" si="27"/>
        <v>2549</v>
      </c>
      <c r="X21" s="107">
        <f t="shared" si="27"/>
        <v>2553</v>
      </c>
      <c r="Y21" s="5"/>
      <c r="Z21" s="30">
        <f t="shared" si="15"/>
        <v>13761</v>
      </c>
      <c r="AA21" s="30">
        <f t="shared" si="16"/>
        <v>13545</v>
      </c>
      <c r="AB21" s="30">
        <f t="shared" si="17"/>
        <v>13225</v>
      </c>
      <c r="AC21" s="30">
        <f t="shared" si="18"/>
        <v>12969</v>
      </c>
      <c r="AD21" s="30">
        <f t="shared" si="19"/>
        <v>12730</v>
      </c>
      <c r="AE21" s="30">
        <f t="shared" si="20"/>
        <v>12542</v>
      </c>
      <c r="AF21" s="30">
        <f t="shared" si="21"/>
        <v>12372</v>
      </c>
      <c r="AG21" s="30">
        <f t="shared" si="22"/>
        <v>12065</v>
      </c>
      <c r="AH21" s="30">
        <f t="shared" si="23"/>
        <v>11938</v>
      </c>
      <c r="AI21" s="30">
        <f t="shared" si="24"/>
        <v>11823</v>
      </c>
      <c r="AJ21" s="30">
        <f t="shared" si="25"/>
        <v>11757</v>
      </c>
    </row>
    <row r="22" spans="1:36" ht="12.75" customHeight="1">
      <c r="A22" s="74"/>
      <c r="B22" s="9" t="s">
        <v>144</v>
      </c>
      <c r="C22" s="107">
        <f t="shared" ref="C22:H22" si="28">SUM(C39+C56)</f>
        <v>4810</v>
      </c>
      <c r="D22" s="107">
        <f t="shared" si="28"/>
        <v>5873</v>
      </c>
      <c r="E22" s="107">
        <f t="shared" si="28"/>
        <v>7167</v>
      </c>
      <c r="F22" s="107">
        <f t="shared" si="28"/>
        <v>6736</v>
      </c>
      <c r="G22" s="107">
        <f t="shared" si="28"/>
        <v>5804</v>
      </c>
      <c r="H22" s="107">
        <f t="shared" si="28"/>
        <v>4910</v>
      </c>
      <c r="I22" s="10"/>
      <c r="J22" s="107">
        <f t="shared" ref="J22:X22" si="29">SUM(J39+J56)</f>
        <v>1661</v>
      </c>
      <c r="K22" s="107">
        <f t="shared" si="29"/>
        <v>1761</v>
      </c>
      <c r="L22" s="107">
        <f t="shared" si="29"/>
        <v>1543</v>
      </c>
      <c r="M22" s="107">
        <f t="shared" si="29"/>
        <v>1771</v>
      </c>
      <c r="N22" s="107">
        <f t="shared" si="29"/>
        <v>1398</v>
      </c>
      <c r="O22" s="107">
        <f t="shared" si="29"/>
        <v>1476</v>
      </c>
      <c r="P22" s="107">
        <f t="shared" si="29"/>
        <v>1312</v>
      </c>
      <c r="Q22" s="107">
        <f t="shared" si="29"/>
        <v>1618</v>
      </c>
      <c r="R22" s="107">
        <f t="shared" si="29"/>
        <v>1150</v>
      </c>
      <c r="S22" s="107">
        <f t="shared" si="29"/>
        <v>1263</v>
      </c>
      <c r="T22" s="107">
        <f t="shared" si="29"/>
        <v>1124</v>
      </c>
      <c r="U22" s="107">
        <f t="shared" si="29"/>
        <v>1373</v>
      </c>
      <c r="V22" s="107">
        <f t="shared" si="29"/>
        <v>1058</v>
      </c>
      <c r="W22" s="107">
        <f t="shared" si="29"/>
        <v>1154</v>
      </c>
      <c r="X22" s="107">
        <f t="shared" si="29"/>
        <v>1029</v>
      </c>
      <c r="Y22" s="5"/>
      <c r="Z22" s="30">
        <f t="shared" si="15"/>
        <v>6473</v>
      </c>
      <c r="AA22" s="30">
        <f t="shared" si="16"/>
        <v>6188</v>
      </c>
      <c r="AB22" s="30">
        <f t="shared" si="17"/>
        <v>5957</v>
      </c>
      <c r="AC22" s="30">
        <f t="shared" si="18"/>
        <v>5804</v>
      </c>
      <c r="AD22" s="30">
        <f t="shared" si="19"/>
        <v>5556</v>
      </c>
      <c r="AE22" s="30">
        <f t="shared" si="20"/>
        <v>5343</v>
      </c>
      <c r="AF22" s="30">
        <f t="shared" si="21"/>
        <v>5155</v>
      </c>
      <c r="AG22" s="30">
        <f t="shared" si="22"/>
        <v>4910</v>
      </c>
      <c r="AH22" s="30">
        <f t="shared" si="23"/>
        <v>4818</v>
      </c>
      <c r="AI22" s="30">
        <f t="shared" si="24"/>
        <v>4709</v>
      </c>
      <c r="AJ22" s="30">
        <f t="shared" si="25"/>
        <v>4614</v>
      </c>
    </row>
    <row r="23" spans="1:36">
      <c r="A23" s="74"/>
      <c r="B23" s="9" t="s">
        <v>143</v>
      </c>
      <c r="C23" s="107">
        <f t="shared" ref="C23:H23" si="30">SUM(C40+C57)</f>
        <v>2597</v>
      </c>
      <c r="D23" s="107">
        <f t="shared" si="30"/>
        <v>3079</v>
      </c>
      <c r="E23" s="107">
        <f t="shared" si="30"/>
        <v>3275</v>
      </c>
      <c r="F23" s="107">
        <f t="shared" si="30"/>
        <v>3053</v>
      </c>
      <c r="G23" s="107">
        <f t="shared" si="30"/>
        <v>3363</v>
      </c>
      <c r="H23" s="107">
        <f t="shared" si="30"/>
        <v>2908</v>
      </c>
      <c r="I23" s="10"/>
      <c r="J23" s="107">
        <f t="shared" ref="J23:X23" si="31">SUM(J40+J57)</f>
        <v>630</v>
      </c>
      <c r="K23" s="107">
        <f t="shared" si="31"/>
        <v>559</v>
      </c>
      <c r="L23" s="107">
        <f t="shared" si="31"/>
        <v>546</v>
      </c>
      <c r="M23" s="107">
        <f t="shared" si="31"/>
        <v>1318</v>
      </c>
      <c r="N23" s="107">
        <f t="shared" si="31"/>
        <v>651</v>
      </c>
      <c r="O23" s="107">
        <f t="shared" si="31"/>
        <v>594</v>
      </c>
      <c r="P23" s="107">
        <f t="shared" si="31"/>
        <v>648</v>
      </c>
      <c r="Q23" s="107">
        <f t="shared" si="31"/>
        <v>1470</v>
      </c>
      <c r="R23" s="107">
        <f t="shared" si="31"/>
        <v>566</v>
      </c>
      <c r="S23" s="107">
        <f t="shared" si="31"/>
        <v>537</v>
      </c>
      <c r="T23" s="107">
        <f t="shared" si="31"/>
        <v>526</v>
      </c>
      <c r="U23" s="107">
        <f t="shared" si="31"/>
        <v>1279</v>
      </c>
      <c r="V23" s="107">
        <f t="shared" si="31"/>
        <v>491</v>
      </c>
      <c r="W23" s="107">
        <f t="shared" si="31"/>
        <v>749</v>
      </c>
      <c r="X23" s="107">
        <f t="shared" si="31"/>
        <v>597</v>
      </c>
      <c r="Y23" s="5"/>
      <c r="Z23" s="30">
        <f t="shared" si="15"/>
        <v>3074</v>
      </c>
      <c r="AA23" s="30">
        <f t="shared" si="16"/>
        <v>3109</v>
      </c>
      <c r="AB23" s="30">
        <f t="shared" si="17"/>
        <v>3211</v>
      </c>
      <c r="AC23" s="30">
        <f t="shared" si="18"/>
        <v>3363</v>
      </c>
      <c r="AD23" s="30">
        <f t="shared" si="19"/>
        <v>3278</v>
      </c>
      <c r="AE23" s="30">
        <f t="shared" si="20"/>
        <v>3221</v>
      </c>
      <c r="AF23" s="30">
        <f t="shared" si="21"/>
        <v>3099</v>
      </c>
      <c r="AG23" s="30">
        <f t="shared" si="22"/>
        <v>2908</v>
      </c>
      <c r="AH23" s="30">
        <f t="shared" si="23"/>
        <v>2833</v>
      </c>
      <c r="AI23" s="30">
        <f t="shared" si="24"/>
        <v>3045</v>
      </c>
      <c r="AJ23" s="30">
        <f t="shared" si="25"/>
        <v>3116</v>
      </c>
    </row>
    <row r="24" spans="1:36">
      <c r="B24" s="9" t="s">
        <v>147</v>
      </c>
      <c r="C24" s="107">
        <f t="shared" ref="C24:H24" si="32">SUM(C41+C58)</f>
        <v>2325</v>
      </c>
      <c r="D24" s="107">
        <f t="shared" si="32"/>
        <v>2252</v>
      </c>
      <c r="E24" s="107">
        <f t="shared" si="32"/>
        <v>2380</v>
      </c>
      <c r="F24" s="107">
        <f t="shared" si="32"/>
        <v>2332</v>
      </c>
      <c r="G24" s="107">
        <f t="shared" si="32"/>
        <v>2530</v>
      </c>
      <c r="H24" s="107">
        <f t="shared" si="32"/>
        <v>2631</v>
      </c>
      <c r="I24" s="75"/>
      <c r="J24" s="107">
        <f t="shared" ref="J24:X24" si="33">SUM(J41+J58)</f>
        <v>543</v>
      </c>
      <c r="K24" s="107">
        <f t="shared" si="33"/>
        <v>553</v>
      </c>
      <c r="L24" s="107">
        <f t="shared" si="33"/>
        <v>576</v>
      </c>
      <c r="M24" s="107">
        <f t="shared" si="33"/>
        <v>660</v>
      </c>
      <c r="N24" s="107">
        <f t="shared" si="33"/>
        <v>573</v>
      </c>
      <c r="O24" s="107">
        <f t="shared" si="33"/>
        <v>588</v>
      </c>
      <c r="P24" s="107">
        <f t="shared" si="33"/>
        <v>608</v>
      </c>
      <c r="Q24" s="107">
        <f t="shared" si="33"/>
        <v>761</v>
      </c>
      <c r="R24" s="107">
        <f t="shared" si="33"/>
        <v>617</v>
      </c>
      <c r="S24" s="107">
        <f t="shared" si="33"/>
        <v>628</v>
      </c>
      <c r="T24" s="107">
        <f t="shared" si="33"/>
        <v>648</v>
      </c>
      <c r="U24" s="107">
        <f t="shared" si="33"/>
        <v>738</v>
      </c>
      <c r="V24" s="107">
        <f t="shared" si="33"/>
        <v>616</v>
      </c>
      <c r="W24" s="107">
        <f t="shared" si="33"/>
        <v>620</v>
      </c>
      <c r="X24" s="107">
        <f t="shared" si="33"/>
        <v>638</v>
      </c>
      <c r="Y24" s="5"/>
      <c r="Z24" s="30">
        <f t="shared" si="15"/>
        <v>2362</v>
      </c>
      <c r="AA24" s="30">
        <f t="shared" si="16"/>
        <v>2397</v>
      </c>
      <c r="AB24" s="30">
        <f t="shared" si="17"/>
        <v>2429</v>
      </c>
      <c r="AC24" s="30">
        <f t="shared" si="18"/>
        <v>2530</v>
      </c>
      <c r="AD24" s="30">
        <f t="shared" si="19"/>
        <v>2574</v>
      </c>
      <c r="AE24" s="30">
        <f t="shared" si="20"/>
        <v>2614</v>
      </c>
      <c r="AF24" s="30">
        <f t="shared" si="21"/>
        <v>2654</v>
      </c>
      <c r="AG24" s="30">
        <f t="shared" si="22"/>
        <v>2631</v>
      </c>
      <c r="AH24" s="30">
        <f t="shared" si="23"/>
        <v>2630</v>
      </c>
      <c r="AI24" s="30">
        <f t="shared" si="24"/>
        <v>2622</v>
      </c>
      <c r="AJ24" s="30">
        <f t="shared" si="25"/>
        <v>2612</v>
      </c>
    </row>
    <row r="25" spans="1:36">
      <c r="B25" s="9" t="s">
        <v>148</v>
      </c>
      <c r="C25" s="107">
        <f t="shared" ref="C25:H25" si="34">SUM(C42+C59)</f>
        <v>215</v>
      </c>
      <c r="D25" s="107">
        <f t="shared" si="34"/>
        <v>194</v>
      </c>
      <c r="E25" s="107">
        <f t="shared" si="34"/>
        <v>258</v>
      </c>
      <c r="F25" s="107">
        <f t="shared" si="34"/>
        <v>317</v>
      </c>
      <c r="G25" s="107">
        <f t="shared" si="34"/>
        <v>304</v>
      </c>
      <c r="H25" s="107">
        <f t="shared" si="34"/>
        <v>333</v>
      </c>
      <c r="I25" s="75"/>
      <c r="J25" s="107">
        <f t="shared" ref="J25:X25" si="35">SUM(J42+J59)</f>
        <v>75</v>
      </c>
      <c r="K25" s="107">
        <f t="shared" si="35"/>
        <v>97</v>
      </c>
      <c r="L25" s="107">
        <f t="shared" si="35"/>
        <v>87</v>
      </c>
      <c r="M25" s="107">
        <f t="shared" si="35"/>
        <v>58</v>
      </c>
      <c r="N25" s="107">
        <f t="shared" si="35"/>
        <v>65</v>
      </c>
      <c r="O25" s="107">
        <f t="shared" si="35"/>
        <v>90</v>
      </c>
      <c r="P25" s="107">
        <f t="shared" si="35"/>
        <v>83</v>
      </c>
      <c r="Q25" s="107">
        <f t="shared" si="35"/>
        <v>66</v>
      </c>
      <c r="R25" s="107">
        <f t="shared" si="35"/>
        <v>71</v>
      </c>
      <c r="S25" s="107">
        <f t="shared" si="35"/>
        <v>96</v>
      </c>
      <c r="T25" s="107">
        <f t="shared" si="35"/>
        <v>77</v>
      </c>
      <c r="U25" s="107">
        <f t="shared" si="35"/>
        <v>89</v>
      </c>
      <c r="V25" s="107">
        <f t="shared" si="35"/>
        <v>76</v>
      </c>
      <c r="W25" s="107">
        <f t="shared" si="35"/>
        <v>90</v>
      </c>
      <c r="X25" s="107">
        <f t="shared" si="35"/>
        <v>67</v>
      </c>
      <c r="Y25" s="5"/>
      <c r="Z25" s="30">
        <f t="shared" si="15"/>
        <v>307</v>
      </c>
      <c r="AA25" s="30">
        <f t="shared" si="16"/>
        <v>300</v>
      </c>
      <c r="AB25" s="30">
        <f t="shared" si="17"/>
        <v>296</v>
      </c>
      <c r="AC25" s="30">
        <f t="shared" si="18"/>
        <v>304</v>
      </c>
      <c r="AD25" s="30">
        <f t="shared" si="19"/>
        <v>310</v>
      </c>
      <c r="AE25" s="30">
        <f t="shared" si="20"/>
        <v>316</v>
      </c>
      <c r="AF25" s="30">
        <f t="shared" si="21"/>
        <v>310</v>
      </c>
      <c r="AG25" s="30">
        <f t="shared" si="22"/>
        <v>333</v>
      </c>
      <c r="AH25" s="30">
        <f t="shared" si="23"/>
        <v>338</v>
      </c>
      <c r="AI25" s="30">
        <f t="shared" si="24"/>
        <v>332</v>
      </c>
      <c r="AJ25" s="30">
        <f t="shared" si="25"/>
        <v>322</v>
      </c>
    </row>
    <row r="26" spans="1:36">
      <c r="B26" s="12" t="s">
        <v>149</v>
      </c>
      <c r="C26" s="13">
        <f t="shared" ref="C26:H26" si="36">SUM(C20:C25)</f>
        <v>43638</v>
      </c>
      <c r="D26" s="13">
        <f t="shared" si="36"/>
        <v>47262</v>
      </c>
      <c r="E26" s="13">
        <f t="shared" si="36"/>
        <v>51761</v>
      </c>
      <c r="F26" s="13">
        <f t="shared" si="36"/>
        <v>46298</v>
      </c>
      <c r="G26" s="13">
        <f t="shared" si="36"/>
        <v>43452</v>
      </c>
      <c r="H26" s="13">
        <f t="shared" si="36"/>
        <v>41528</v>
      </c>
      <c r="I26" s="11"/>
      <c r="J26" s="13">
        <f t="shared" ref="J26:X26" si="37">SUM(J20:J25)</f>
        <v>10647</v>
      </c>
      <c r="K26" s="13">
        <f t="shared" si="37"/>
        <v>10329</v>
      </c>
      <c r="L26" s="13">
        <f t="shared" si="37"/>
        <v>10587</v>
      </c>
      <c r="M26" s="13">
        <f t="shared" si="37"/>
        <v>14735</v>
      </c>
      <c r="N26" s="13">
        <f t="shared" si="37"/>
        <v>9467</v>
      </c>
      <c r="O26" s="13">
        <f t="shared" si="37"/>
        <v>9583</v>
      </c>
      <c r="P26" s="13">
        <f t="shared" si="37"/>
        <v>9756</v>
      </c>
      <c r="Q26" s="13">
        <f t="shared" si="37"/>
        <v>14646</v>
      </c>
      <c r="R26" s="13">
        <f t="shared" si="37"/>
        <v>8847</v>
      </c>
      <c r="S26" s="13">
        <f t="shared" si="37"/>
        <v>9288</v>
      </c>
      <c r="T26" s="13">
        <f t="shared" si="37"/>
        <v>9445</v>
      </c>
      <c r="U26" s="13">
        <f t="shared" si="37"/>
        <v>13948</v>
      </c>
      <c r="V26" s="13">
        <f t="shared" si="37"/>
        <v>8767</v>
      </c>
      <c r="W26" s="13">
        <f t="shared" si="37"/>
        <v>9438</v>
      </c>
      <c r="X26" s="13">
        <f t="shared" si="37"/>
        <v>9672</v>
      </c>
      <c r="Y26" s="5"/>
      <c r="Z26" s="13">
        <f t="shared" ref="Z26" si="38">SUM(Z20:Z25)</f>
        <v>45118</v>
      </c>
      <c r="AA26" s="13">
        <f t="shared" ref="AA26:AJ26" si="39">SUM(AA20:AA25)</f>
        <v>44372</v>
      </c>
      <c r="AB26" s="13">
        <f t="shared" si="39"/>
        <v>43541</v>
      </c>
      <c r="AC26" s="13">
        <f t="shared" si="39"/>
        <v>43452</v>
      </c>
      <c r="AD26" s="13">
        <f t="shared" si="39"/>
        <v>42832</v>
      </c>
      <c r="AE26" s="13">
        <f t="shared" si="39"/>
        <v>42537</v>
      </c>
      <c r="AF26" s="13">
        <f t="shared" si="39"/>
        <v>42226</v>
      </c>
      <c r="AG26" s="13">
        <f t="shared" si="39"/>
        <v>41528</v>
      </c>
      <c r="AH26" s="13">
        <f t="shared" si="39"/>
        <v>41448</v>
      </c>
      <c r="AI26" s="13">
        <f t="shared" si="39"/>
        <v>41598</v>
      </c>
      <c r="AJ26" s="13">
        <f t="shared" si="39"/>
        <v>41825</v>
      </c>
    </row>
    <row r="27" spans="1:36" outlineLevel="1">
      <c r="B27" s="134" t="s">
        <v>67</v>
      </c>
      <c r="C27" s="73">
        <f>+C26-C11</f>
        <v>0</v>
      </c>
      <c r="D27" s="73">
        <f t="shared" ref="D27:H27" si="40">+D26-D11</f>
        <v>0</v>
      </c>
      <c r="E27" s="73">
        <f t="shared" si="40"/>
        <v>0</v>
      </c>
      <c r="F27" s="73">
        <f t="shared" si="40"/>
        <v>0</v>
      </c>
      <c r="G27" s="73">
        <f t="shared" si="40"/>
        <v>0</v>
      </c>
      <c r="H27" s="73">
        <f t="shared" si="40"/>
        <v>0</v>
      </c>
      <c r="I27" s="11"/>
      <c r="J27" s="73">
        <f t="shared" ref="J27" si="41">+J26-J11</f>
        <v>0</v>
      </c>
      <c r="K27" s="73">
        <f t="shared" ref="K27" si="42">+K26-K11</f>
        <v>0</v>
      </c>
      <c r="L27" s="73">
        <f t="shared" ref="L27" si="43">+L26-L11</f>
        <v>0</v>
      </c>
      <c r="M27" s="73">
        <f t="shared" ref="M27" si="44">+M26-M11</f>
        <v>0</v>
      </c>
      <c r="N27" s="73">
        <f t="shared" ref="N27" si="45">+N26-N11</f>
        <v>0</v>
      </c>
      <c r="O27" s="73">
        <f t="shared" ref="O27" si="46">+O26-O11</f>
        <v>0</v>
      </c>
      <c r="P27" s="73">
        <f t="shared" ref="P27" si="47">+P26-P11</f>
        <v>0</v>
      </c>
      <c r="Q27" s="73">
        <f t="shared" ref="Q27" si="48">+Q26-Q11</f>
        <v>0</v>
      </c>
      <c r="R27" s="73">
        <f t="shared" ref="R27" si="49">+R26-R11</f>
        <v>0</v>
      </c>
      <c r="S27" s="73">
        <f t="shared" ref="S27" si="50">+S26-S11</f>
        <v>0</v>
      </c>
      <c r="T27" s="73">
        <f t="shared" ref="T27" si="51">+T26-T11</f>
        <v>0</v>
      </c>
      <c r="U27" s="73">
        <f t="shared" ref="U27" si="52">+U26-U11</f>
        <v>0</v>
      </c>
      <c r="V27" s="73">
        <f t="shared" ref="V27" si="53">+V26-V11</f>
        <v>0</v>
      </c>
      <c r="W27" s="73">
        <f t="shared" ref="W27" si="54">+W26-W11</f>
        <v>0</v>
      </c>
      <c r="X27" s="73">
        <f t="shared" ref="X27" si="55">+X26-X11</f>
        <v>0</v>
      </c>
      <c r="Y27" s="5"/>
      <c r="Z27" s="73">
        <f t="shared" ref="Z27" si="56">+Z26-Z11</f>
        <v>0</v>
      </c>
      <c r="AA27" s="73">
        <f t="shared" ref="AA27" si="57">+AA26-AA11</f>
        <v>0</v>
      </c>
      <c r="AB27" s="73">
        <f t="shared" ref="AB27" si="58">+AB26-AB11</f>
        <v>0</v>
      </c>
      <c r="AC27" s="73">
        <f t="shared" ref="AC27" si="59">+AC26-AC11</f>
        <v>0</v>
      </c>
      <c r="AD27" s="73">
        <f t="shared" ref="AD27" si="60">+AD26-AD11</f>
        <v>0</v>
      </c>
      <c r="AE27" s="73">
        <f t="shared" ref="AE27" si="61">+AE26-AE11</f>
        <v>0</v>
      </c>
      <c r="AF27" s="73">
        <f t="shared" ref="AF27" si="62">+AF26-AF11</f>
        <v>0</v>
      </c>
      <c r="AG27" s="73">
        <f t="shared" ref="AG27" si="63">+AG26-AG11</f>
        <v>0</v>
      </c>
      <c r="AH27" s="73">
        <f t="shared" ref="AH27" si="64">+AH26-AH11</f>
        <v>0</v>
      </c>
      <c r="AI27" s="73">
        <f t="shared" ref="AI27" si="65">+AI26-AI11</f>
        <v>0</v>
      </c>
      <c r="AJ27" s="73">
        <f t="shared" ref="AJ27" si="66">+AJ26-AJ11</f>
        <v>0</v>
      </c>
    </row>
    <row r="28" spans="1:36">
      <c r="B28" s="16"/>
      <c r="C28" s="17"/>
      <c r="D28" s="17"/>
      <c r="E28" s="17"/>
      <c r="F28" s="17"/>
      <c r="G28" s="17"/>
      <c r="H28" s="17"/>
      <c r="I28" s="18"/>
      <c r="J28" s="19"/>
      <c r="K28" s="19"/>
      <c r="L28" s="19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</row>
    <row r="29" spans="1:36">
      <c r="B29" s="135" t="str">
        <f>B20&amp;"(%)"</f>
        <v>Computing and Mobile Phones (%)</v>
      </c>
      <c r="C29" s="147">
        <f>C20/C$26</f>
        <v>0.44454374627618132</v>
      </c>
      <c r="D29" s="147">
        <f t="shared" ref="D29:H29" si="67">D20/D$26</f>
        <v>0.45814819516736488</v>
      </c>
      <c r="E29" s="147">
        <f t="shared" si="67"/>
        <v>0.43426518034813855</v>
      </c>
      <c r="F29" s="147">
        <f t="shared" si="67"/>
        <v>0.42692988898008555</v>
      </c>
      <c r="G29" s="147">
        <f t="shared" si="67"/>
        <v>0.42534290711589801</v>
      </c>
      <c r="H29" s="147">
        <f t="shared" si="67"/>
        <v>0.44984107108456944</v>
      </c>
      <c r="I29" s="136"/>
      <c r="J29" s="147">
        <f t="shared" ref="J29:X29" si="68">J20/J$26</f>
        <v>0.43477035784728091</v>
      </c>
      <c r="K29" s="147">
        <f t="shared" si="68"/>
        <v>0.41543227805208638</v>
      </c>
      <c r="L29" s="147">
        <f t="shared" si="68"/>
        <v>0.44639652403891567</v>
      </c>
      <c r="M29" s="147">
        <f t="shared" si="68"/>
        <v>0.41533763148965047</v>
      </c>
      <c r="N29" s="147">
        <f t="shared" si="68"/>
        <v>0.42294285412485477</v>
      </c>
      <c r="O29" s="147">
        <f t="shared" si="68"/>
        <v>0.4156318480642805</v>
      </c>
      <c r="P29" s="147">
        <f t="shared" si="68"/>
        <v>0.44239442394423945</v>
      </c>
      <c r="Q29" s="147">
        <f t="shared" si="68"/>
        <v>0.42188993581865358</v>
      </c>
      <c r="R29" s="147">
        <f t="shared" si="68"/>
        <v>0.44150559511698884</v>
      </c>
      <c r="S29" s="147">
        <f t="shared" si="68"/>
        <v>0.44142980189491815</v>
      </c>
      <c r="T29" s="147">
        <f t="shared" si="68"/>
        <v>0.47125463208046586</v>
      </c>
      <c r="U29" s="147">
        <f t="shared" si="68"/>
        <v>0.44622885001433898</v>
      </c>
      <c r="V29" s="147">
        <f t="shared" si="68"/>
        <v>0.46948785217292116</v>
      </c>
      <c r="W29" s="147">
        <f t="shared" si="68"/>
        <v>0.45306208942572579</v>
      </c>
      <c r="X29" s="147">
        <f t="shared" si="68"/>
        <v>0.49503722084367247</v>
      </c>
      <c r="Y29" s="136"/>
      <c r="Z29" s="137">
        <f t="shared" ref="Z29" si="69">Z20/Z$26</f>
        <v>0.42424309588190967</v>
      </c>
      <c r="AA29" s="137">
        <f t="shared" ref="AA29:AJ29" si="70">AA20/AA$26</f>
        <v>0.42443432795456593</v>
      </c>
      <c r="AB29" s="137">
        <f t="shared" si="70"/>
        <v>0.42311844009094879</v>
      </c>
      <c r="AC29" s="137">
        <f t="shared" si="70"/>
        <v>0.42534290711589801</v>
      </c>
      <c r="AD29" s="137">
        <f t="shared" si="70"/>
        <v>0.42921180425849831</v>
      </c>
      <c r="AE29" s="137">
        <f t="shared" si="70"/>
        <v>0.43493899428732635</v>
      </c>
      <c r="AF29" s="137">
        <f t="shared" si="70"/>
        <v>0.44133945910102779</v>
      </c>
      <c r="AG29" s="137">
        <f t="shared" si="70"/>
        <v>0.44984107108456944</v>
      </c>
      <c r="AH29" s="137">
        <f t="shared" si="70"/>
        <v>0.45577591198610307</v>
      </c>
      <c r="AI29" s="137">
        <f t="shared" si="70"/>
        <v>0.45836338285494493</v>
      </c>
      <c r="AJ29" s="138">
        <f t="shared" si="70"/>
        <v>0.46393305439330546</v>
      </c>
    </row>
    <row r="30" spans="1:36" ht="12.75" customHeight="1">
      <c r="B30" s="139" t="str">
        <f t="shared" ref="B30" si="71">B21&amp;"(%)"</f>
        <v>Consumer Electronics (%)</v>
      </c>
      <c r="C30" s="149">
        <f t="shared" ref="C30:H34" si="72">C21/C$26</f>
        <v>0.32751271827306477</v>
      </c>
      <c r="D30" s="149">
        <f t="shared" si="72"/>
        <v>0.30068554018027166</v>
      </c>
      <c r="E30" s="149">
        <f t="shared" si="72"/>
        <v>0.31303491045381659</v>
      </c>
      <c r="F30" s="149">
        <f t="shared" si="72"/>
        <v>0.30441919737353668</v>
      </c>
      <c r="G30" s="149">
        <f t="shared" si="72"/>
        <v>0.29846727423363711</v>
      </c>
      <c r="H30" s="149">
        <f t="shared" si="72"/>
        <v>0.290526873434791</v>
      </c>
      <c r="I30" s="140"/>
      <c r="J30" s="149">
        <f t="shared" ref="J30:X30" si="73">J21/J$26</f>
        <v>0.29200713816098434</v>
      </c>
      <c r="K30" s="149">
        <f t="shared" si="73"/>
        <v>0.29702778584567724</v>
      </c>
      <c r="L30" s="149">
        <f t="shared" si="73"/>
        <v>0.29366203834891846</v>
      </c>
      <c r="M30" s="149">
        <f t="shared" si="73"/>
        <v>0.32629793009840513</v>
      </c>
      <c r="N30" s="149">
        <f t="shared" si="73"/>
        <v>0.29322911165099819</v>
      </c>
      <c r="O30" s="149">
        <f t="shared" si="73"/>
        <v>0.29761035166440569</v>
      </c>
      <c r="P30" s="149">
        <f t="shared" si="73"/>
        <v>0.28587535875358755</v>
      </c>
      <c r="Q30" s="149">
        <f t="shared" si="73"/>
        <v>0.31080158405025266</v>
      </c>
      <c r="R30" s="149">
        <f t="shared" si="73"/>
        <v>0.28676387475980558</v>
      </c>
      <c r="S30" s="149">
        <f t="shared" si="73"/>
        <v>0.2868217054263566</v>
      </c>
      <c r="T30" s="149">
        <f t="shared" si="73"/>
        <v>0.27728957120169401</v>
      </c>
      <c r="U30" s="149">
        <f t="shared" si="73"/>
        <v>0.30434470891884141</v>
      </c>
      <c r="V30" s="149">
        <f t="shared" si="73"/>
        <v>0.27489449070377553</v>
      </c>
      <c r="W30" s="149">
        <f t="shared" si="73"/>
        <v>0.27007840644204278</v>
      </c>
      <c r="X30" s="149">
        <f t="shared" si="73"/>
        <v>0.26395781637717119</v>
      </c>
      <c r="Y30" s="140"/>
      <c r="Z30" s="141">
        <f t="shared" ref="Z30" si="74">Z21/Z$26</f>
        <v>0.30500022164103019</v>
      </c>
      <c r="AA30" s="141">
        <f t="shared" ref="AA30:AJ30" si="75">AA21/AA$26</f>
        <v>0.30526007392049043</v>
      </c>
      <c r="AB30" s="141">
        <f t="shared" si="75"/>
        <v>0.30373670793045637</v>
      </c>
      <c r="AC30" s="141">
        <f t="shared" si="75"/>
        <v>0.29846727423363711</v>
      </c>
      <c r="AD30" s="141">
        <f t="shared" si="75"/>
        <v>0.29720769518117296</v>
      </c>
      <c r="AE30" s="141">
        <f t="shared" si="75"/>
        <v>0.29484919011683947</v>
      </c>
      <c r="AF30" s="141">
        <f t="shared" si="75"/>
        <v>0.2929948373040307</v>
      </c>
      <c r="AG30" s="141">
        <f t="shared" si="75"/>
        <v>0.290526873434791</v>
      </c>
      <c r="AH30" s="141">
        <f t="shared" si="75"/>
        <v>0.28802354757768772</v>
      </c>
      <c r="AI30" s="141">
        <f t="shared" si="75"/>
        <v>0.28422039521130826</v>
      </c>
      <c r="AJ30" s="142">
        <f t="shared" si="75"/>
        <v>0.28109982068141065</v>
      </c>
    </row>
    <row r="31" spans="1:36" ht="12.75" customHeight="1">
      <c r="B31" s="139" t="str">
        <f>B22&amp;"(%)"</f>
        <v>Appliances (%)</v>
      </c>
      <c r="C31" s="149">
        <f t="shared" si="72"/>
        <v>0.11022503322792061</v>
      </c>
      <c r="D31" s="149">
        <f t="shared" si="72"/>
        <v>0.12426473699801109</v>
      </c>
      <c r="E31" s="149">
        <f t="shared" si="72"/>
        <v>0.13846332180599294</v>
      </c>
      <c r="F31" s="149">
        <f t="shared" si="72"/>
        <v>0.14549224588535142</v>
      </c>
      <c r="G31" s="149">
        <f t="shared" si="72"/>
        <v>0.13357267789745006</v>
      </c>
      <c r="H31" s="149">
        <f t="shared" si="72"/>
        <v>0.11823348102485071</v>
      </c>
      <c r="I31" s="140"/>
      <c r="J31" s="149">
        <f t="shared" ref="J31:X31" si="76">J22/J$26</f>
        <v>0.15600638677561754</v>
      </c>
      <c r="K31" s="149">
        <f t="shared" si="76"/>
        <v>0.17049085100203312</v>
      </c>
      <c r="L31" s="149">
        <f t="shared" si="76"/>
        <v>0.14574478133560026</v>
      </c>
      <c r="M31" s="149">
        <f t="shared" si="76"/>
        <v>0.12019002375296912</v>
      </c>
      <c r="N31" s="149">
        <f t="shared" si="76"/>
        <v>0.14767085665997676</v>
      </c>
      <c r="O31" s="149">
        <f t="shared" si="76"/>
        <v>0.15402274861734322</v>
      </c>
      <c r="P31" s="149">
        <f t="shared" si="76"/>
        <v>0.13448134481344814</v>
      </c>
      <c r="Q31" s="149">
        <f t="shared" si="76"/>
        <v>0.110473849515226</v>
      </c>
      <c r="R31" s="149">
        <f t="shared" si="76"/>
        <v>0.12998756640669154</v>
      </c>
      <c r="S31" s="149">
        <f t="shared" si="76"/>
        <v>0.13598191214470284</v>
      </c>
      <c r="T31" s="149">
        <f t="shared" si="76"/>
        <v>0.11900476442562202</v>
      </c>
      <c r="U31" s="149">
        <f t="shared" si="76"/>
        <v>9.8437051907083448E-2</v>
      </c>
      <c r="V31" s="149">
        <f t="shared" si="76"/>
        <v>0.12067982205999772</v>
      </c>
      <c r="W31" s="149">
        <f t="shared" si="76"/>
        <v>0.12227166772621319</v>
      </c>
      <c r="X31" s="149">
        <f t="shared" si="76"/>
        <v>0.10638957816377172</v>
      </c>
      <c r="Y31" s="140"/>
      <c r="Z31" s="141">
        <f t="shared" ref="Z31" si="77">Z22/Z$26</f>
        <v>0.14346823884037413</v>
      </c>
      <c r="AA31" s="141">
        <f t="shared" ref="AA31:AJ31" si="78">AA22/AA$26</f>
        <v>0.13945731542414136</v>
      </c>
      <c r="AB31" s="141">
        <f t="shared" si="78"/>
        <v>0.136813578006936</v>
      </c>
      <c r="AC31" s="141">
        <f t="shared" si="78"/>
        <v>0.13357267789745006</v>
      </c>
      <c r="AD31" s="141">
        <f t="shared" si="78"/>
        <v>0.12971610011206575</v>
      </c>
      <c r="AE31" s="141">
        <f t="shared" si="78"/>
        <v>0.12560829395585021</v>
      </c>
      <c r="AF31" s="141">
        <f t="shared" si="78"/>
        <v>0.1220811822100128</v>
      </c>
      <c r="AG31" s="141">
        <f t="shared" si="78"/>
        <v>0.11823348102485071</v>
      </c>
      <c r="AH31" s="141">
        <f t="shared" si="78"/>
        <v>0.11624203821656051</v>
      </c>
      <c r="AI31" s="141">
        <f t="shared" si="78"/>
        <v>0.11320255781527958</v>
      </c>
      <c r="AJ31" s="142">
        <f t="shared" si="78"/>
        <v>0.11031679617453675</v>
      </c>
    </row>
    <row r="32" spans="1:36" ht="12.75" customHeight="1">
      <c r="B32" s="139" t="str">
        <f>B23&amp;"(%)"</f>
        <v>Entertainment (%)</v>
      </c>
      <c r="C32" s="149">
        <f t="shared" si="72"/>
        <v>5.9512351620147577E-2</v>
      </c>
      <c r="D32" s="149">
        <f t="shared" si="72"/>
        <v>6.5147475773348562E-2</v>
      </c>
      <c r="E32" s="149">
        <f t="shared" si="72"/>
        <v>6.3271575124128204E-2</v>
      </c>
      <c r="F32" s="149">
        <f t="shared" si="72"/>
        <v>6.5942373320661801E-2</v>
      </c>
      <c r="G32" s="149">
        <f t="shared" si="72"/>
        <v>7.7395747031206844E-2</v>
      </c>
      <c r="H32" s="149">
        <f t="shared" si="72"/>
        <v>7.0025043344249666E-2</v>
      </c>
      <c r="I32" s="140"/>
      <c r="J32" s="149">
        <f t="shared" ref="J32:X32" si="79">J23/J$26</f>
        <v>5.9171597633136092E-2</v>
      </c>
      <c r="K32" s="149">
        <f t="shared" si="79"/>
        <v>5.4119469454932713E-2</v>
      </c>
      <c r="L32" s="149">
        <f t="shared" si="79"/>
        <v>5.1572683479739305E-2</v>
      </c>
      <c r="M32" s="149">
        <f t="shared" si="79"/>
        <v>8.944689514760773E-2</v>
      </c>
      <c r="N32" s="149">
        <f t="shared" si="79"/>
        <v>6.8765184324495618E-2</v>
      </c>
      <c r="O32" s="149">
        <f t="shared" si="79"/>
        <v>6.1984764687467393E-2</v>
      </c>
      <c r="P32" s="149">
        <f t="shared" si="79"/>
        <v>6.6420664206642069E-2</v>
      </c>
      <c r="Q32" s="149">
        <f t="shared" si="79"/>
        <v>0.10036870135190495</v>
      </c>
      <c r="R32" s="149">
        <f t="shared" si="79"/>
        <v>6.3976489205380349E-2</v>
      </c>
      <c r="S32" s="149">
        <f t="shared" si="79"/>
        <v>5.7816537467700262E-2</v>
      </c>
      <c r="T32" s="149">
        <f t="shared" si="79"/>
        <v>5.5690841715193222E-2</v>
      </c>
      <c r="U32" s="149">
        <f t="shared" si="79"/>
        <v>9.1697734442213935E-2</v>
      </c>
      <c r="V32" s="149">
        <f t="shared" si="79"/>
        <v>5.6005475076993272E-2</v>
      </c>
      <c r="W32" s="149">
        <f t="shared" si="79"/>
        <v>7.9360033905488445E-2</v>
      </c>
      <c r="X32" s="149">
        <f t="shared" si="79"/>
        <v>6.1724565756823821E-2</v>
      </c>
      <c r="Y32" s="140"/>
      <c r="Z32" s="141">
        <f t="shared" ref="Z32" si="80">Z23/Z$26</f>
        <v>6.8132452679640049E-2</v>
      </c>
      <c r="AA32" s="141">
        <f t="shared" ref="AA32:AJ32" si="81">AA23/AA$26</f>
        <v>7.0066708735238445E-2</v>
      </c>
      <c r="AB32" s="141">
        <f t="shared" si="81"/>
        <v>7.3746583679750122E-2</v>
      </c>
      <c r="AC32" s="141">
        <f t="shared" si="81"/>
        <v>7.7395747031206844E-2</v>
      </c>
      <c r="AD32" s="141">
        <f t="shared" si="81"/>
        <v>7.6531565184908473E-2</v>
      </c>
      <c r="AE32" s="141">
        <f t="shared" si="81"/>
        <v>7.5722312339845305E-2</v>
      </c>
      <c r="AF32" s="141">
        <f t="shared" si="81"/>
        <v>7.339080187562165E-2</v>
      </c>
      <c r="AG32" s="141">
        <f t="shared" si="81"/>
        <v>7.0025043344249666E-2</v>
      </c>
      <c r="AH32" s="141">
        <f t="shared" si="81"/>
        <v>6.8350704497201306E-2</v>
      </c>
      <c r="AI32" s="141">
        <f t="shared" si="81"/>
        <v>7.3200634645896434E-2</v>
      </c>
      <c r="AJ32" s="142">
        <f t="shared" si="81"/>
        <v>7.45008965929468E-2</v>
      </c>
    </row>
    <row r="33" spans="1:36" ht="12.75" customHeight="1">
      <c r="B33" s="139" t="str">
        <f>B24&amp;"(%)"</f>
        <v>Services (%)</v>
      </c>
      <c r="C33" s="149">
        <f t="shared" si="72"/>
        <v>5.3279252028048951E-2</v>
      </c>
      <c r="D33" s="149">
        <f t="shared" si="72"/>
        <v>4.7649274258389406E-2</v>
      </c>
      <c r="E33" s="149">
        <f t="shared" si="72"/>
        <v>4.5980564517687061E-2</v>
      </c>
      <c r="F33" s="149">
        <f t="shared" si="72"/>
        <v>5.0369346408052185E-2</v>
      </c>
      <c r="G33" s="149">
        <f t="shared" si="72"/>
        <v>5.8225168001472892E-2</v>
      </c>
      <c r="H33" s="149">
        <f t="shared" si="72"/>
        <v>6.3354844923906764E-2</v>
      </c>
      <c r="I33" s="140"/>
      <c r="J33" s="149">
        <f t="shared" ref="J33:X33" si="82">J24/J$26</f>
        <v>5.1000281769512538E-2</v>
      </c>
      <c r="K33" s="149">
        <f t="shared" si="82"/>
        <v>5.3538580695130213E-2</v>
      </c>
      <c r="L33" s="149">
        <f t="shared" si="82"/>
        <v>5.4406347407197506E-2</v>
      </c>
      <c r="M33" s="149">
        <f t="shared" si="82"/>
        <v>4.479131319986427E-2</v>
      </c>
      <c r="N33" s="149">
        <f t="shared" si="82"/>
        <v>6.0526037815569873E-2</v>
      </c>
      <c r="O33" s="149">
        <f t="shared" si="82"/>
        <v>6.1358655953250546E-2</v>
      </c>
      <c r="P33" s="149">
        <f t="shared" si="82"/>
        <v>6.2320623206232065E-2</v>
      </c>
      <c r="Q33" s="149">
        <f t="shared" si="82"/>
        <v>5.1959579407346718E-2</v>
      </c>
      <c r="R33" s="149">
        <f t="shared" si="82"/>
        <v>6.9741155193851018E-2</v>
      </c>
      <c r="S33" s="149">
        <f t="shared" si="82"/>
        <v>6.7614125753660631E-2</v>
      </c>
      <c r="T33" s="149">
        <f t="shared" si="82"/>
        <v>6.8607728957120168E-2</v>
      </c>
      <c r="U33" s="149">
        <f t="shared" si="82"/>
        <v>5.2910811585890449E-2</v>
      </c>
      <c r="V33" s="149">
        <f t="shared" si="82"/>
        <v>7.0263488080301126E-2</v>
      </c>
      <c r="W33" s="149">
        <f t="shared" si="82"/>
        <v>6.5691883873702062E-2</v>
      </c>
      <c r="X33" s="149">
        <f t="shared" si="82"/>
        <v>6.5963606286186929E-2</v>
      </c>
      <c r="Y33" s="140"/>
      <c r="Z33" s="141">
        <f t="shared" ref="Z33" si="83">Z24/Z$26</f>
        <v>5.2351611330289462E-2</v>
      </c>
      <c r="AA33" s="141">
        <f t="shared" ref="AA33:AJ33" si="84">AA24/AA$26</f>
        <v>5.40205535022086E-2</v>
      </c>
      <c r="AB33" s="141">
        <f t="shared" si="84"/>
        <v>5.5786500080384008E-2</v>
      </c>
      <c r="AC33" s="141">
        <f t="shared" si="84"/>
        <v>5.8225168001472892E-2</v>
      </c>
      <c r="AD33" s="141">
        <f t="shared" si="84"/>
        <v>6.0095255883451625E-2</v>
      </c>
      <c r="AE33" s="141">
        <f t="shared" si="84"/>
        <v>6.1452382631591321E-2</v>
      </c>
      <c r="AF33" s="141">
        <f t="shared" si="84"/>
        <v>6.2852271112584665E-2</v>
      </c>
      <c r="AG33" s="141">
        <f t="shared" si="84"/>
        <v>6.3354844923906764E-2</v>
      </c>
      <c r="AH33" s="141">
        <f t="shared" si="84"/>
        <v>6.3453001351090527E-2</v>
      </c>
      <c r="AI33" s="141">
        <f t="shared" si="84"/>
        <v>6.3031876532525608E-2</v>
      </c>
      <c r="AJ33" s="142">
        <f t="shared" si="84"/>
        <v>6.2450687387925884E-2</v>
      </c>
    </row>
    <row r="34" spans="1:36" ht="12.75" customHeight="1">
      <c r="B34" s="143" t="str">
        <f>B25&amp;"(%)"</f>
        <v>Other (%)</v>
      </c>
      <c r="C34" s="148">
        <f t="shared" si="72"/>
        <v>4.9268985746367842E-3</v>
      </c>
      <c r="D34" s="148">
        <f t="shared" si="72"/>
        <v>4.1047776226143624E-3</v>
      </c>
      <c r="E34" s="148">
        <f t="shared" si="72"/>
        <v>4.9844477502366648E-3</v>
      </c>
      <c r="F34" s="148">
        <f t="shared" si="72"/>
        <v>6.8469480323124108E-3</v>
      </c>
      <c r="G34" s="148">
        <f t="shared" si="72"/>
        <v>6.9962257203350824E-3</v>
      </c>
      <c r="H34" s="148">
        <f t="shared" si="72"/>
        <v>8.0186861876324414E-3</v>
      </c>
      <c r="I34" s="144"/>
      <c r="J34" s="148">
        <f t="shared" ref="J34:X34" si="85">J25/J$26</f>
        <v>7.0442378134685825E-3</v>
      </c>
      <c r="K34" s="148">
        <f t="shared" si="85"/>
        <v>9.3910349501403808E-3</v>
      </c>
      <c r="L34" s="148">
        <f t="shared" si="85"/>
        <v>8.2176253896287903E-3</v>
      </c>
      <c r="M34" s="148">
        <f t="shared" si="85"/>
        <v>3.9362063115032236E-3</v>
      </c>
      <c r="N34" s="148">
        <f t="shared" si="85"/>
        <v>6.8659554241047851E-3</v>
      </c>
      <c r="O34" s="148">
        <f t="shared" si="85"/>
        <v>9.3916310132526343E-3</v>
      </c>
      <c r="P34" s="148">
        <f t="shared" si="85"/>
        <v>8.5075850758507578E-3</v>
      </c>
      <c r="Q34" s="148">
        <f t="shared" si="85"/>
        <v>4.5063498566161406E-3</v>
      </c>
      <c r="R34" s="148">
        <f t="shared" si="85"/>
        <v>8.0253193172826944E-3</v>
      </c>
      <c r="S34" s="148">
        <f t="shared" si="85"/>
        <v>1.0335917312661499E-2</v>
      </c>
      <c r="T34" s="148">
        <f t="shared" si="85"/>
        <v>8.1524616199047106E-3</v>
      </c>
      <c r="U34" s="148">
        <f t="shared" si="85"/>
        <v>6.3808431316317755E-3</v>
      </c>
      <c r="V34" s="148">
        <f t="shared" si="85"/>
        <v>8.6688719060111791E-3</v>
      </c>
      <c r="W34" s="148">
        <f t="shared" si="85"/>
        <v>9.5359186268277173E-3</v>
      </c>
      <c r="X34" s="148">
        <f t="shared" si="85"/>
        <v>6.927212572373863E-3</v>
      </c>
      <c r="Y34" s="144"/>
      <c r="Z34" s="145">
        <f t="shared" ref="Z34" si="86">Z25/Z$26</f>
        <v>6.8043796267565054E-3</v>
      </c>
      <c r="AA34" s="145">
        <f t="shared" ref="AA34:AJ34" si="87">AA25/AA$26</f>
        <v>6.7610204633552695E-3</v>
      </c>
      <c r="AB34" s="145">
        <f t="shared" si="87"/>
        <v>6.7981902115247699E-3</v>
      </c>
      <c r="AC34" s="145">
        <f t="shared" si="87"/>
        <v>6.9962257203350824E-3</v>
      </c>
      <c r="AD34" s="145">
        <f t="shared" si="87"/>
        <v>7.2375793799028766E-3</v>
      </c>
      <c r="AE34" s="145">
        <f t="shared" si="87"/>
        <v>7.4288266685473819E-3</v>
      </c>
      <c r="AF34" s="145">
        <f t="shared" si="87"/>
        <v>7.3414483967223984E-3</v>
      </c>
      <c r="AG34" s="145">
        <f t="shared" si="87"/>
        <v>8.0186861876324414E-3</v>
      </c>
      <c r="AH34" s="145">
        <f t="shared" si="87"/>
        <v>8.1547963713568816E-3</v>
      </c>
      <c r="AI34" s="145">
        <f t="shared" si="87"/>
        <v>7.9811529400451945E-3</v>
      </c>
      <c r="AJ34" s="146">
        <f t="shared" si="87"/>
        <v>7.6987447698744771E-3</v>
      </c>
    </row>
    <row r="36" spans="1:36" ht="12.75" customHeight="1">
      <c r="A36" s="74" t="s">
        <v>19</v>
      </c>
      <c r="B36" s="72" t="s">
        <v>142</v>
      </c>
      <c r="C36" s="10"/>
      <c r="D36" s="10"/>
      <c r="E36" s="10"/>
      <c r="F36" s="10"/>
      <c r="G36" s="10"/>
      <c r="H36" s="10"/>
      <c r="I36" s="10"/>
      <c r="J36" s="82"/>
      <c r="K36" s="82"/>
      <c r="L36" s="82"/>
      <c r="M36" s="30"/>
      <c r="N36" s="82"/>
      <c r="O36" s="82"/>
      <c r="P36" s="82"/>
      <c r="Q36" s="30"/>
      <c r="R36" s="82"/>
      <c r="S36" s="82"/>
      <c r="T36" s="82"/>
      <c r="U36" s="82"/>
      <c r="V36" s="82"/>
      <c r="W36" s="82"/>
      <c r="X36" s="82"/>
      <c r="Y36" s="5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2.75" customHeight="1">
      <c r="A37" s="74"/>
      <c r="B37" s="9" t="s">
        <v>146</v>
      </c>
      <c r="C37" s="75">
        <v>17819</v>
      </c>
      <c r="D37" s="75">
        <v>19799</v>
      </c>
      <c r="E37" s="75">
        <v>20693</v>
      </c>
      <c r="F37" s="75">
        <v>18191</v>
      </c>
      <c r="G37" s="75">
        <v>16930</v>
      </c>
      <c r="H37" s="75">
        <v>17103</v>
      </c>
      <c r="I37" s="10"/>
      <c r="J37" s="75">
        <v>4285</v>
      </c>
      <c r="K37" s="75">
        <v>3964</v>
      </c>
      <c r="L37" s="75">
        <v>4337</v>
      </c>
      <c r="M37" s="30">
        <f t="shared" ref="M37:M41" si="88">SUM(F37-SUM(J37:L37))</f>
        <v>5605</v>
      </c>
      <c r="N37" s="75">
        <v>3688</v>
      </c>
      <c r="O37" s="75">
        <v>3674</v>
      </c>
      <c r="P37" s="75">
        <v>3938</v>
      </c>
      <c r="Q37" s="30">
        <f t="shared" ref="Q37:Q41" si="89">SUM(G37-SUM(N37:P37))</f>
        <v>5630</v>
      </c>
      <c r="R37" s="75">
        <v>3588</v>
      </c>
      <c r="S37" s="75">
        <v>3792</v>
      </c>
      <c r="T37" s="75">
        <v>4065</v>
      </c>
      <c r="U37" s="30">
        <f t="shared" ref="U37:U42" si="90">SUM(H37-SUM(R37:T37))</f>
        <v>5658</v>
      </c>
      <c r="V37" s="75">
        <v>3792</v>
      </c>
      <c r="W37" s="75">
        <v>3930</v>
      </c>
      <c r="X37" s="75">
        <v>4368</v>
      </c>
      <c r="Y37" s="5"/>
      <c r="Z37" s="30">
        <f t="shared" ref="Z37:Z42" si="91">SUM(K37:N37)</f>
        <v>17594</v>
      </c>
      <c r="AA37" s="30">
        <f t="shared" ref="AA37:AA42" si="92">SUM(L37:O37)</f>
        <v>17304</v>
      </c>
      <c r="AB37" s="30">
        <f t="shared" ref="AB37:AB42" si="93">SUM(M37:P37)</f>
        <v>16905</v>
      </c>
      <c r="AC37" s="30">
        <f t="shared" ref="AC37:AC42" si="94">SUM(N37:Q37)</f>
        <v>16930</v>
      </c>
      <c r="AD37" s="30">
        <f t="shared" ref="AD37:AD42" si="95">SUM(O37:R37)</f>
        <v>16830</v>
      </c>
      <c r="AE37" s="30">
        <f t="shared" ref="AE37:AE42" si="96">SUM(P37:S37)</f>
        <v>16948</v>
      </c>
      <c r="AF37" s="30">
        <f t="shared" ref="AF37:AF42" si="97">SUM(Q37:T37)</f>
        <v>17075</v>
      </c>
      <c r="AG37" s="30">
        <f t="shared" ref="AG37:AG42" si="98">SUM(R37:U37)</f>
        <v>17103</v>
      </c>
      <c r="AH37" s="30">
        <f t="shared" ref="AH37:AH42" si="99">SUM(S37:V37)</f>
        <v>17307</v>
      </c>
      <c r="AI37" s="30">
        <f t="shared" ref="AI37:AI42" si="100">SUM(T37:W37)</f>
        <v>17445</v>
      </c>
      <c r="AJ37" s="30">
        <f t="shared" ref="AJ37:AJ42" si="101">SUM(U37:X37)</f>
        <v>17748</v>
      </c>
    </row>
    <row r="38" spans="1:36" ht="12.75" customHeight="1">
      <c r="A38" s="74"/>
      <c r="B38" s="9" t="s">
        <v>145</v>
      </c>
      <c r="C38" s="75">
        <v>13129</v>
      </c>
      <c r="D38" s="75">
        <v>13022</v>
      </c>
      <c r="E38" s="75">
        <v>15009</v>
      </c>
      <c r="F38" s="75">
        <v>13040</v>
      </c>
      <c r="G38" s="75">
        <v>12014</v>
      </c>
      <c r="H38" s="75">
        <v>11148</v>
      </c>
      <c r="I38" s="10"/>
      <c r="J38" s="75">
        <v>2896</v>
      </c>
      <c r="K38" s="75">
        <v>2845</v>
      </c>
      <c r="L38" s="75">
        <v>2889</v>
      </c>
      <c r="M38" s="30">
        <f t="shared" si="88"/>
        <v>4410</v>
      </c>
      <c r="N38" s="75">
        <v>2592</v>
      </c>
      <c r="O38" s="75">
        <v>2658</v>
      </c>
      <c r="P38" s="75">
        <v>2589</v>
      </c>
      <c r="Q38" s="30">
        <f t="shared" si="89"/>
        <v>4175</v>
      </c>
      <c r="R38" s="75">
        <v>2364</v>
      </c>
      <c r="S38" s="75">
        <v>2478</v>
      </c>
      <c r="T38" s="75">
        <v>2425</v>
      </c>
      <c r="U38" s="30">
        <f t="shared" si="90"/>
        <v>3881</v>
      </c>
      <c r="V38" s="75">
        <v>2237</v>
      </c>
      <c r="W38" s="75">
        <v>2351</v>
      </c>
      <c r="X38" s="75">
        <v>2351</v>
      </c>
      <c r="Y38" s="5"/>
      <c r="Z38" s="30">
        <f t="shared" si="91"/>
        <v>12736</v>
      </c>
      <c r="AA38" s="30">
        <f t="shared" si="92"/>
        <v>12549</v>
      </c>
      <c r="AB38" s="30">
        <f t="shared" si="93"/>
        <v>12249</v>
      </c>
      <c r="AC38" s="30">
        <f t="shared" si="94"/>
        <v>12014</v>
      </c>
      <c r="AD38" s="30">
        <f t="shared" si="95"/>
        <v>11786</v>
      </c>
      <c r="AE38" s="30">
        <f t="shared" si="96"/>
        <v>11606</v>
      </c>
      <c r="AF38" s="30">
        <f t="shared" si="97"/>
        <v>11442</v>
      </c>
      <c r="AG38" s="30">
        <f t="shared" si="98"/>
        <v>11148</v>
      </c>
      <c r="AH38" s="30">
        <f t="shared" si="99"/>
        <v>11021</v>
      </c>
      <c r="AI38" s="30">
        <f t="shared" si="100"/>
        <v>10894</v>
      </c>
      <c r="AJ38" s="30">
        <f t="shared" si="101"/>
        <v>10820</v>
      </c>
    </row>
    <row r="39" spans="1:36" ht="12.75" customHeight="1">
      <c r="A39" s="74"/>
      <c r="B39" s="9" t="s">
        <v>144</v>
      </c>
      <c r="C39" s="75">
        <v>4493</v>
      </c>
      <c r="D39" s="75">
        <v>5489</v>
      </c>
      <c r="E39" s="75">
        <v>6784</v>
      </c>
      <c r="F39" s="75">
        <v>6381</v>
      </c>
      <c r="G39" s="75">
        <v>5469</v>
      </c>
      <c r="H39" s="75">
        <v>4589</v>
      </c>
      <c r="I39" s="10"/>
      <c r="J39" s="75">
        <v>1590</v>
      </c>
      <c r="K39" s="75">
        <v>1657</v>
      </c>
      <c r="L39" s="75">
        <v>1469</v>
      </c>
      <c r="M39" s="30">
        <f t="shared" si="88"/>
        <v>1665</v>
      </c>
      <c r="N39" s="75">
        <v>1339</v>
      </c>
      <c r="O39" s="75">
        <v>1384</v>
      </c>
      <c r="P39" s="75">
        <v>1238</v>
      </c>
      <c r="Q39" s="30">
        <f t="shared" si="89"/>
        <v>1508</v>
      </c>
      <c r="R39" s="75">
        <v>1090</v>
      </c>
      <c r="S39" s="75">
        <v>1177</v>
      </c>
      <c r="T39" s="75">
        <v>1057</v>
      </c>
      <c r="U39" s="30">
        <f t="shared" si="90"/>
        <v>1265</v>
      </c>
      <c r="V39" s="75">
        <v>1001</v>
      </c>
      <c r="W39" s="75">
        <v>1074</v>
      </c>
      <c r="X39" s="75">
        <v>965</v>
      </c>
      <c r="Y39" s="5"/>
      <c r="Z39" s="30">
        <f t="shared" si="91"/>
        <v>6130</v>
      </c>
      <c r="AA39" s="30">
        <f t="shared" si="92"/>
        <v>5857</v>
      </c>
      <c r="AB39" s="30">
        <f t="shared" si="93"/>
        <v>5626</v>
      </c>
      <c r="AC39" s="30">
        <f t="shared" si="94"/>
        <v>5469</v>
      </c>
      <c r="AD39" s="30">
        <f t="shared" si="95"/>
        <v>5220</v>
      </c>
      <c r="AE39" s="30">
        <f t="shared" si="96"/>
        <v>5013</v>
      </c>
      <c r="AF39" s="30">
        <f t="shared" si="97"/>
        <v>4832</v>
      </c>
      <c r="AG39" s="30">
        <f t="shared" si="98"/>
        <v>4589</v>
      </c>
      <c r="AH39" s="30">
        <f t="shared" si="99"/>
        <v>4500</v>
      </c>
      <c r="AI39" s="30">
        <f t="shared" si="100"/>
        <v>4397</v>
      </c>
      <c r="AJ39" s="30">
        <f t="shared" si="101"/>
        <v>4305</v>
      </c>
    </row>
    <row r="40" spans="1:36">
      <c r="A40" s="74"/>
      <c r="B40" s="9" t="s">
        <v>143</v>
      </c>
      <c r="C40" s="75">
        <v>2388</v>
      </c>
      <c r="D40" s="75">
        <v>2769</v>
      </c>
      <c r="E40" s="75">
        <v>2963</v>
      </c>
      <c r="F40" s="75">
        <v>2786</v>
      </c>
      <c r="G40" s="75">
        <v>3063</v>
      </c>
      <c r="H40" s="75">
        <v>2641</v>
      </c>
      <c r="I40" s="10"/>
      <c r="J40" s="75">
        <v>573</v>
      </c>
      <c r="K40" s="75">
        <v>508</v>
      </c>
      <c r="L40" s="75">
        <v>500</v>
      </c>
      <c r="M40" s="30">
        <f t="shared" si="88"/>
        <v>1205</v>
      </c>
      <c r="N40" s="75">
        <v>591</v>
      </c>
      <c r="O40" s="75">
        <v>544</v>
      </c>
      <c r="P40" s="75">
        <v>594</v>
      </c>
      <c r="Q40" s="30">
        <f t="shared" si="89"/>
        <v>1334</v>
      </c>
      <c r="R40" s="75">
        <v>520</v>
      </c>
      <c r="S40" s="75">
        <v>498</v>
      </c>
      <c r="T40" s="75">
        <v>479</v>
      </c>
      <c r="U40" s="30">
        <f t="shared" si="90"/>
        <v>1144</v>
      </c>
      <c r="V40" s="75">
        <v>449</v>
      </c>
      <c r="W40" s="75">
        <v>681</v>
      </c>
      <c r="X40" s="75">
        <v>543</v>
      </c>
      <c r="Y40" s="5"/>
      <c r="Z40" s="30">
        <f t="shared" si="91"/>
        <v>2804</v>
      </c>
      <c r="AA40" s="30">
        <f t="shared" si="92"/>
        <v>2840</v>
      </c>
      <c r="AB40" s="30">
        <f t="shared" si="93"/>
        <v>2934</v>
      </c>
      <c r="AC40" s="30">
        <f t="shared" si="94"/>
        <v>3063</v>
      </c>
      <c r="AD40" s="30">
        <f t="shared" si="95"/>
        <v>2992</v>
      </c>
      <c r="AE40" s="30">
        <f t="shared" si="96"/>
        <v>2946</v>
      </c>
      <c r="AF40" s="30">
        <f t="shared" si="97"/>
        <v>2831</v>
      </c>
      <c r="AG40" s="30">
        <f t="shared" si="98"/>
        <v>2641</v>
      </c>
      <c r="AH40" s="30">
        <f t="shared" si="99"/>
        <v>2570</v>
      </c>
      <c r="AI40" s="30">
        <f t="shared" si="100"/>
        <v>2753</v>
      </c>
      <c r="AJ40" s="30">
        <f t="shared" si="101"/>
        <v>2817</v>
      </c>
    </row>
    <row r="41" spans="1:36">
      <c r="B41" s="9" t="s">
        <v>147</v>
      </c>
      <c r="C41" s="75">
        <v>2126</v>
      </c>
      <c r="D41" s="75">
        <v>2082</v>
      </c>
      <c r="E41" s="75">
        <v>2190</v>
      </c>
      <c r="F41" s="75">
        <v>2149</v>
      </c>
      <c r="G41" s="75">
        <v>2357</v>
      </c>
      <c r="H41" s="75">
        <v>2456</v>
      </c>
      <c r="I41" s="75"/>
      <c r="J41" s="75">
        <v>489</v>
      </c>
      <c r="K41" s="75">
        <v>516</v>
      </c>
      <c r="L41" s="75">
        <v>533</v>
      </c>
      <c r="M41" s="30">
        <f t="shared" si="88"/>
        <v>611</v>
      </c>
      <c r="N41" s="75">
        <v>537</v>
      </c>
      <c r="O41" s="75">
        <v>550</v>
      </c>
      <c r="P41" s="75">
        <v>563</v>
      </c>
      <c r="Q41" s="30">
        <f t="shared" si="89"/>
        <v>707</v>
      </c>
      <c r="R41" s="75">
        <v>578</v>
      </c>
      <c r="S41" s="75">
        <v>590</v>
      </c>
      <c r="T41" s="75">
        <v>601</v>
      </c>
      <c r="U41" s="30">
        <f t="shared" si="90"/>
        <v>687</v>
      </c>
      <c r="V41" s="75">
        <v>579</v>
      </c>
      <c r="W41" s="75">
        <v>581</v>
      </c>
      <c r="X41" s="75">
        <v>591</v>
      </c>
      <c r="Y41" s="5"/>
      <c r="Z41" s="30">
        <f t="shared" si="91"/>
        <v>2197</v>
      </c>
      <c r="AA41" s="30">
        <f t="shared" si="92"/>
        <v>2231</v>
      </c>
      <c r="AB41" s="30">
        <f t="shared" si="93"/>
        <v>2261</v>
      </c>
      <c r="AC41" s="30">
        <f t="shared" si="94"/>
        <v>2357</v>
      </c>
      <c r="AD41" s="30">
        <f t="shared" si="95"/>
        <v>2398</v>
      </c>
      <c r="AE41" s="30">
        <f t="shared" si="96"/>
        <v>2438</v>
      </c>
      <c r="AF41" s="30">
        <f t="shared" si="97"/>
        <v>2476</v>
      </c>
      <c r="AG41" s="30">
        <f t="shared" si="98"/>
        <v>2456</v>
      </c>
      <c r="AH41" s="30">
        <f t="shared" si="99"/>
        <v>2457</v>
      </c>
      <c r="AI41" s="30">
        <f t="shared" si="100"/>
        <v>2448</v>
      </c>
      <c r="AJ41" s="30">
        <f t="shared" si="101"/>
        <v>2438</v>
      </c>
    </row>
    <row r="42" spans="1:36">
      <c r="B42" s="9" t="s">
        <v>148</v>
      </c>
      <c r="C42" s="75">
        <v>159</v>
      </c>
      <c r="D42" s="75">
        <v>132</v>
      </c>
      <c r="E42" s="75">
        <v>191</v>
      </c>
      <c r="F42" s="75">
        <v>247</v>
      </c>
      <c r="G42" s="75">
        <v>264</v>
      </c>
      <c r="H42" s="75">
        <v>301</v>
      </c>
      <c r="I42" s="75"/>
      <c r="J42" s="75">
        <v>61</v>
      </c>
      <c r="K42" s="75">
        <v>79</v>
      </c>
      <c r="L42" s="75">
        <v>72</v>
      </c>
      <c r="M42" s="30">
        <f>SUM(F42-SUM(J42:L42))</f>
        <v>35</v>
      </c>
      <c r="N42" s="75">
        <v>54</v>
      </c>
      <c r="O42" s="75">
        <v>80</v>
      </c>
      <c r="P42" s="75">
        <v>74</v>
      </c>
      <c r="Q42" s="30">
        <f>SUM(G42-SUM(N42:P42))</f>
        <v>56</v>
      </c>
      <c r="R42" s="75">
        <v>63</v>
      </c>
      <c r="S42" s="75">
        <v>88</v>
      </c>
      <c r="T42" s="75">
        <v>70</v>
      </c>
      <c r="U42" s="30">
        <f t="shared" si="90"/>
        <v>80</v>
      </c>
      <c r="V42" s="75">
        <v>69</v>
      </c>
      <c r="W42" s="75">
        <v>81</v>
      </c>
      <c r="X42" s="75">
        <v>60</v>
      </c>
      <c r="Y42" s="5"/>
      <c r="Z42" s="30">
        <f t="shared" si="91"/>
        <v>240</v>
      </c>
      <c r="AA42" s="30">
        <f t="shared" si="92"/>
        <v>241</v>
      </c>
      <c r="AB42" s="30">
        <f t="shared" si="93"/>
        <v>243</v>
      </c>
      <c r="AC42" s="30">
        <f t="shared" si="94"/>
        <v>264</v>
      </c>
      <c r="AD42" s="30">
        <f t="shared" si="95"/>
        <v>273</v>
      </c>
      <c r="AE42" s="30">
        <f t="shared" si="96"/>
        <v>281</v>
      </c>
      <c r="AF42" s="30">
        <f t="shared" si="97"/>
        <v>277</v>
      </c>
      <c r="AG42" s="30">
        <f t="shared" si="98"/>
        <v>301</v>
      </c>
      <c r="AH42" s="30">
        <f t="shared" si="99"/>
        <v>307</v>
      </c>
      <c r="AI42" s="30">
        <f t="shared" si="100"/>
        <v>300</v>
      </c>
      <c r="AJ42" s="30">
        <f t="shared" si="101"/>
        <v>290</v>
      </c>
    </row>
    <row r="43" spans="1:36">
      <c r="B43" s="12" t="s">
        <v>149</v>
      </c>
      <c r="C43" s="13">
        <f t="shared" ref="C43:G43" si="102">SUM(C37:C42)</f>
        <v>40114</v>
      </c>
      <c r="D43" s="13">
        <f t="shared" si="102"/>
        <v>43293</v>
      </c>
      <c r="E43" s="13">
        <f t="shared" si="102"/>
        <v>47830</v>
      </c>
      <c r="F43" s="13">
        <f t="shared" si="102"/>
        <v>42794</v>
      </c>
      <c r="G43" s="13">
        <f t="shared" si="102"/>
        <v>40097</v>
      </c>
      <c r="H43" s="13">
        <f t="shared" ref="H43" si="103">SUM(H37:H42)</f>
        <v>38238</v>
      </c>
      <c r="I43" s="11"/>
      <c r="J43" s="13">
        <f t="shared" ref="J43:S43" si="104">SUM(J37:J42)</f>
        <v>9894</v>
      </c>
      <c r="K43" s="13">
        <f t="shared" si="104"/>
        <v>9569</v>
      </c>
      <c r="L43" s="13">
        <f t="shared" si="104"/>
        <v>9800</v>
      </c>
      <c r="M43" s="13">
        <f t="shared" si="104"/>
        <v>13531</v>
      </c>
      <c r="N43" s="13">
        <f t="shared" si="104"/>
        <v>8801</v>
      </c>
      <c r="O43" s="13">
        <f t="shared" si="104"/>
        <v>8890</v>
      </c>
      <c r="P43" s="13">
        <f t="shared" si="104"/>
        <v>8996</v>
      </c>
      <c r="Q43" s="13">
        <f t="shared" si="104"/>
        <v>13410</v>
      </c>
      <c r="R43" s="13">
        <f t="shared" si="104"/>
        <v>8203</v>
      </c>
      <c r="S43" s="13">
        <f t="shared" si="104"/>
        <v>8623</v>
      </c>
      <c r="T43" s="13">
        <f t="shared" ref="T43:U43" si="105">SUM(T37:T42)</f>
        <v>8697</v>
      </c>
      <c r="U43" s="13">
        <f t="shared" si="105"/>
        <v>12715</v>
      </c>
      <c r="V43" s="13">
        <f t="shared" ref="V43:X43" si="106">SUM(V37:V42)</f>
        <v>8127</v>
      </c>
      <c r="W43" s="13">
        <f t="shared" si="106"/>
        <v>8698</v>
      </c>
      <c r="X43" s="13">
        <f t="shared" si="106"/>
        <v>8878</v>
      </c>
      <c r="Y43" s="5"/>
      <c r="Z43" s="13">
        <f t="shared" ref="Z43" si="107">SUM(Z37:Z42)</f>
        <v>41701</v>
      </c>
      <c r="AA43" s="13">
        <f t="shared" ref="AA43:AJ43" si="108">SUM(AA37:AA42)</f>
        <v>41022</v>
      </c>
      <c r="AB43" s="13">
        <f t="shared" si="108"/>
        <v>40218</v>
      </c>
      <c r="AC43" s="13">
        <f t="shared" si="108"/>
        <v>40097</v>
      </c>
      <c r="AD43" s="13">
        <f t="shared" si="108"/>
        <v>39499</v>
      </c>
      <c r="AE43" s="13">
        <f t="shared" si="108"/>
        <v>39232</v>
      </c>
      <c r="AF43" s="13">
        <f t="shared" si="108"/>
        <v>38933</v>
      </c>
      <c r="AG43" s="13">
        <f t="shared" si="108"/>
        <v>38238</v>
      </c>
      <c r="AH43" s="13">
        <f t="shared" si="108"/>
        <v>38162</v>
      </c>
      <c r="AI43" s="13">
        <f t="shared" si="108"/>
        <v>38237</v>
      </c>
      <c r="AJ43" s="13">
        <f t="shared" si="108"/>
        <v>38418</v>
      </c>
    </row>
    <row r="44" spans="1:36" outlineLevel="1">
      <c r="B44" s="134" t="s">
        <v>67</v>
      </c>
      <c r="C44" s="73">
        <f t="shared" ref="C44:F44" si="109">+C43-C9</f>
        <v>0</v>
      </c>
      <c r="D44" s="73">
        <f t="shared" si="109"/>
        <v>0</v>
      </c>
      <c r="E44" s="73">
        <f t="shared" si="109"/>
        <v>0</v>
      </c>
      <c r="F44" s="73">
        <f t="shared" si="109"/>
        <v>0</v>
      </c>
      <c r="G44" s="73">
        <f>+G43-G9</f>
        <v>0</v>
      </c>
      <c r="H44" s="73">
        <f>+H43-H9</f>
        <v>0</v>
      </c>
      <c r="I44" s="11"/>
      <c r="J44" s="73">
        <f t="shared" ref="J44:U44" si="110">+J43-J9</f>
        <v>0</v>
      </c>
      <c r="K44" s="73">
        <f t="shared" si="110"/>
        <v>0</v>
      </c>
      <c r="L44" s="73">
        <f t="shared" si="110"/>
        <v>0</v>
      </c>
      <c r="M44" s="73">
        <f t="shared" si="110"/>
        <v>0</v>
      </c>
      <c r="N44" s="73">
        <f t="shared" si="110"/>
        <v>0</v>
      </c>
      <c r="O44" s="73">
        <f t="shared" si="110"/>
        <v>0</v>
      </c>
      <c r="P44" s="73">
        <f t="shared" si="110"/>
        <v>0</v>
      </c>
      <c r="Q44" s="73">
        <f t="shared" si="110"/>
        <v>0</v>
      </c>
      <c r="R44" s="73">
        <f t="shared" si="110"/>
        <v>0</v>
      </c>
      <c r="S44" s="73">
        <f t="shared" si="110"/>
        <v>0</v>
      </c>
      <c r="T44" s="73">
        <f t="shared" si="110"/>
        <v>0</v>
      </c>
      <c r="U44" s="73">
        <f t="shared" si="110"/>
        <v>0</v>
      </c>
      <c r="V44" s="73">
        <f t="shared" ref="V44" si="111">+V43-V9</f>
        <v>0</v>
      </c>
      <c r="W44" s="73">
        <f t="shared" ref="W44" si="112">+W43-W9</f>
        <v>0</v>
      </c>
      <c r="X44" s="73">
        <f t="shared" ref="X44" si="113">+X43-X9</f>
        <v>0</v>
      </c>
      <c r="Y44" s="5"/>
      <c r="Z44" s="73">
        <f t="shared" ref="Z44:AA44" si="114">+Z43-Z9</f>
        <v>0</v>
      </c>
      <c r="AA44" s="73">
        <f t="shared" si="114"/>
        <v>0</v>
      </c>
      <c r="AB44" s="73">
        <f t="shared" ref="AB44" si="115">+AB43-AB9</f>
        <v>0</v>
      </c>
      <c r="AC44" s="73">
        <f t="shared" ref="AC44" si="116">+AC43-AC9</f>
        <v>0</v>
      </c>
      <c r="AD44" s="73">
        <f t="shared" ref="AD44" si="117">+AD43-AD9</f>
        <v>0</v>
      </c>
      <c r="AE44" s="73">
        <f t="shared" ref="AE44" si="118">+AE43-AE9</f>
        <v>0</v>
      </c>
      <c r="AF44" s="73">
        <f t="shared" ref="AF44" si="119">+AF43-AF9</f>
        <v>0</v>
      </c>
      <c r="AG44" s="73">
        <f t="shared" ref="AG44" si="120">+AG43-AG9</f>
        <v>0</v>
      </c>
      <c r="AH44" s="73">
        <f t="shared" ref="AH44" si="121">+AH43-AH9</f>
        <v>0</v>
      </c>
      <c r="AI44" s="73">
        <f t="shared" ref="AI44" si="122">+AI43-AI9</f>
        <v>0</v>
      </c>
      <c r="AJ44" s="73">
        <f t="shared" ref="AJ44" si="123">+AJ43-AJ9</f>
        <v>0</v>
      </c>
    </row>
    <row r="45" spans="1:36">
      <c r="B45" s="16"/>
      <c r="C45" s="17"/>
      <c r="D45" s="17"/>
      <c r="E45" s="17"/>
      <c r="F45" s="17"/>
      <c r="G45" s="17"/>
      <c r="H45" s="17"/>
      <c r="I45" s="18"/>
      <c r="J45" s="19"/>
      <c r="K45" s="19"/>
      <c r="L45" s="19"/>
      <c r="M45" s="20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</row>
    <row r="46" spans="1:36">
      <c r="B46" s="135" t="str">
        <f>B37&amp;"(%)"</f>
        <v>Computing and Mobile Phones (%)</v>
      </c>
      <c r="C46" s="147">
        <f>C37/C$43</f>
        <v>0.44420900433763771</v>
      </c>
      <c r="D46" s="147">
        <f t="shared" ref="D46:G46" si="124">D37/D$43</f>
        <v>0.45732566465710395</v>
      </c>
      <c r="E46" s="147">
        <f t="shared" si="124"/>
        <v>0.43263642065649172</v>
      </c>
      <c r="F46" s="147">
        <f t="shared" si="124"/>
        <v>0.42508295555451697</v>
      </c>
      <c r="G46" s="147">
        <f t="shared" si="124"/>
        <v>0.42222610170336933</v>
      </c>
      <c r="H46" s="147">
        <f t="shared" ref="H46" si="125">H37/H$43</f>
        <v>0.44727757727914641</v>
      </c>
      <c r="I46" s="136"/>
      <c r="J46" s="147">
        <f t="shared" ref="J46:S46" si="126">J37/J$43</f>
        <v>0.4330907620780271</v>
      </c>
      <c r="K46" s="147">
        <f t="shared" si="126"/>
        <v>0.41425436304734037</v>
      </c>
      <c r="L46" s="147">
        <f t="shared" si="126"/>
        <v>0.44255102040816324</v>
      </c>
      <c r="M46" s="147">
        <f t="shared" si="126"/>
        <v>0.41423398122829058</v>
      </c>
      <c r="N46" s="147">
        <f t="shared" si="126"/>
        <v>0.41904329053516648</v>
      </c>
      <c r="O46" s="147">
        <f t="shared" si="126"/>
        <v>0.41327334083239597</v>
      </c>
      <c r="P46" s="147">
        <f t="shared" si="126"/>
        <v>0.43775011116051576</v>
      </c>
      <c r="Q46" s="147">
        <f t="shared" si="126"/>
        <v>0.4198359433258762</v>
      </c>
      <c r="R46" s="147">
        <f t="shared" si="126"/>
        <v>0.43740095087163233</v>
      </c>
      <c r="S46" s="147">
        <f t="shared" si="126"/>
        <v>0.43975414588890177</v>
      </c>
      <c r="T46" s="147">
        <f t="shared" ref="T46:U46" si="127">T37/T$43</f>
        <v>0.46740255260434632</v>
      </c>
      <c r="U46" s="147">
        <f t="shared" si="127"/>
        <v>0.4449862367282737</v>
      </c>
      <c r="V46" s="147">
        <f t="shared" ref="V46:X46" si="128">V37/V$43</f>
        <v>0.46659283868586193</v>
      </c>
      <c r="W46" s="147">
        <f t="shared" si="128"/>
        <v>0.45182800643826165</v>
      </c>
      <c r="X46" s="147">
        <f t="shared" si="128"/>
        <v>0.49200270331155666</v>
      </c>
      <c r="Y46" s="136"/>
      <c r="Z46" s="137">
        <f t="shared" ref="Z46" si="129">Z37/Z$43</f>
        <v>0.42190834752164219</v>
      </c>
      <c r="AA46" s="137">
        <f t="shared" ref="AA46:AJ46" si="130">AA37/AA$43</f>
        <v>0.4218224367412608</v>
      </c>
      <c r="AB46" s="137">
        <f t="shared" si="130"/>
        <v>0.42033417872594359</v>
      </c>
      <c r="AC46" s="137">
        <f t="shared" si="130"/>
        <v>0.42222610170336933</v>
      </c>
      <c r="AD46" s="137">
        <f t="shared" si="130"/>
        <v>0.42608673637307276</v>
      </c>
      <c r="AE46" s="137">
        <f t="shared" si="130"/>
        <v>0.43199429037520393</v>
      </c>
      <c r="AF46" s="137">
        <f t="shared" si="130"/>
        <v>0.4385739603934965</v>
      </c>
      <c r="AG46" s="137">
        <f t="shared" si="130"/>
        <v>0.44727757727914641</v>
      </c>
      <c r="AH46" s="137">
        <f t="shared" si="130"/>
        <v>0.45351396677322992</v>
      </c>
      <c r="AI46" s="137">
        <f t="shared" si="130"/>
        <v>0.45623349112116535</v>
      </c>
      <c r="AJ46" s="138">
        <f t="shared" si="130"/>
        <v>0.46197095111666409</v>
      </c>
    </row>
    <row r="47" spans="1:36" ht="12.75" customHeight="1">
      <c r="B47" s="139" t="str">
        <f t="shared" ref="B47" si="131">B38&amp;"(%)"</f>
        <v>Consumer Electronics (%)</v>
      </c>
      <c r="C47" s="149">
        <f t="shared" ref="C47:G47" si="132">C38/C$43</f>
        <v>0.32729221718103407</v>
      </c>
      <c r="D47" s="149">
        <f t="shared" si="132"/>
        <v>0.30078765620308134</v>
      </c>
      <c r="E47" s="149">
        <f t="shared" si="132"/>
        <v>0.31379887100146353</v>
      </c>
      <c r="F47" s="149">
        <f t="shared" si="132"/>
        <v>0.30471561433845867</v>
      </c>
      <c r="G47" s="149">
        <f t="shared" si="132"/>
        <v>0.2996234132229344</v>
      </c>
      <c r="H47" s="149">
        <f t="shared" ref="H47" si="133">H38/H$43</f>
        <v>0.29154244468852974</v>
      </c>
      <c r="I47" s="140"/>
      <c r="J47" s="149">
        <f t="shared" ref="J47:S47" si="134">J38/J$43</f>
        <v>0.29270264806953711</v>
      </c>
      <c r="K47" s="149">
        <f t="shared" si="134"/>
        <v>0.29731424391263456</v>
      </c>
      <c r="L47" s="149">
        <f t="shared" si="134"/>
        <v>0.29479591836734692</v>
      </c>
      <c r="M47" s="149">
        <f t="shared" si="134"/>
        <v>0.32591826176927058</v>
      </c>
      <c r="N47" s="149">
        <f t="shared" si="134"/>
        <v>0.29451198727417338</v>
      </c>
      <c r="O47" s="149">
        <f t="shared" si="134"/>
        <v>0.29898762654668165</v>
      </c>
      <c r="P47" s="149">
        <f t="shared" si="134"/>
        <v>0.28779457536682967</v>
      </c>
      <c r="Q47" s="149">
        <f t="shared" si="134"/>
        <v>0.31133482475764357</v>
      </c>
      <c r="R47" s="149">
        <f t="shared" si="134"/>
        <v>0.2881872485675972</v>
      </c>
      <c r="S47" s="149">
        <f t="shared" si="134"/>
        <v>0.28737098457613358</v>
      </c>
      <c r="T47" s="149">
        <f t="shared" ref="T47:U47" si="135">T38/T$43</f>
        <v>0.27883178107393353</v>
      </c>
      <c r="U47" s="149">
        <f t="shared" si="135"/>
        <v>0.30523004325599684</v>
      </c>
      <c r="V47" s="149">
        <f t="shared" ref="V47:X47" si="136">V38/V$43</f>
        <v>0.27525532176694967</v>
      </c>
      <c r="W47" s="149">
        <f t="shared" si="136"/>
        <v>0.27029202115428835</v>
      </c>
      <c r="X47" s="149">
        <f t="shared" si="136"/>
        <v>0.2648118945708493</v>
      </c>
      <c r="Y47" s="140"/>
      <c r="Z47" s="141">
        <f t="shared" ref="Z47" si="137">Z38/Z$43</f>
        <v>0.30541234023164915</v>
      </c>
      <c r="AA47" s="141">
        <f t="shared" ref="AA47:AJ47" si="138">AA38/AA$43</f>
        <v>0.30590902442591777</v>
      </c>
      <c r="AB47" s="141">
        <f t="shared" si="138"/>
        <v>0.30456512009547965</v>
      </c>
      <c r="AC47" s="141">
        <f t="shared" si="138"/>
        <v>0.2996234132229344</v>
      </c>
      <c r="AD47" s="141">
        <f t="shared" si="138"/>
        <v>0.29838730094432769</v>
      </c>
      <c r="AE47" s="141">
        <f t="shared" si="138"/>
        <v>0.2958299347471452</v>
      </c>
      <c r="AF47" s="141">
        <f t="shared" si="138"/>
        <v>0.29388950247861712</v>
      </c>
      <c r="AG47" s="141">
        <f t="shared" si="138"/>
        <v>0.29154244468852974</v>
      </c>
      <c r="AH47" s="141">
        <f t="shared" si="138"/>
        <v>0.28879513652324301</v>
      </c>
      <c r="AI47" s="141">
        <f t="shared" si="138"/>
        <v>0.2849072887517326</v>
      </c>
      <c r="AJ47" s="142">
        <f t="shared" si="138"/>
        <v>0.28163881513873706</v>
      </c>
    </row>
    <row r="48" spans="1:36" ht="12.75" customHeight="1">
      <c r="B48" s="139" t="str">
        <f>B39&amp;"(%)"</f>
        <v>Appliances (%)</v>
      </c>
      <c r="C48" s="149">
        <f t="shared" ref="C48:G48" si="139">C39/C$43</f>
        <v>0.11200578351697661</v>
      </c>
      <c r="D48" s="149">
        <f t="shared" si="139"/>
        <v>0.12678724043147854</v>
      </c>
      <c r="E48" s="149">
        <f t="shared" si="139"/>
        <v>0.14183566799080075</v>
      </c>
      <c r="F48" s="149">
        <f t="shared" si="139"/>
        <v>0.1491096882740571</v>
      </c>
      <c r="G48" s="149">
        <f t="shared" si="139"/>
        <v>0.13639424395840088</v>
      </c>
      <c r="H48" s="149">
        <f t="shared" ref="H48" si="140">H39/H$43</f>
        <v>0.12001150687797479</v>
      </c>
      <c r="I48" s="140"/>
      <c r="J48" s="149">
        <f t="shared" ref="J48:S48" si="141">J39/J$43</f>
        <v>0.16070345664038813</v>
      </c>
      <c r="K48" s="149">
        <f t="shared" si="141"/>
        <v>0.17316333995192809</v>
      </c>
      <c r="L48" s="149">
        <f t="shared" si="141"/>
        <v>0.14989795918367346</v>
      </c>
      <c r="M48" s="149">
        <f t="shared" si="141"/>
        <v>0.12305077230064297</v>
      </c>
      <c r="N48" s="149">
        <f t="shared" si="141"/>
        <v>0.15214180206794684</v>
      </c>
      <c r="O48" s="149">
        <f t="shared" si="141"/>
        <v>0.15568053993250844</v>
      </c>
      <c r="P48" s="149">
        <f t="shared" si="141"/>
        <v>0.13761671854157403</v>
      </c>
      <c r="Q48" s="149">
        <f t="shared" si="141"/>
        <v>0.11245339299030574</v>
      </c>
      <c r="R48" s="149">
        <f t="shared" si="141"/>
        <v>0.1328782152870901</v>
      </c>
      <c r="S48" s="149">
        <f t="shared" si="141"/>
        <v>0.13649541922764699</v>
      </c>
      <c r="T48" s="149">
        <f t="shared" ref="T48:U48" si="142">T39/T$43</f>
        <v>0.12153616189490629</v>
      </c>
      <c r="U48" s="149">
        <f t="shared" si="142"/>
        <v>9.9488792764451439E-2</v>
      </c>
      <c r="V48" s="149">
        <f t="shared" ref="V48:X48" si="143">V39/V$43</f>
        <v>0.1231696813092162</v>
      </c>
      <c r="W48" s="149">
        <f t="shared" si="143"/>
        <v>0.1234766613014486</v>
      </c>
      <c r="X48" s="149">
        <f t="shared" si="143"/>
        <v>0.10869565217391304</v>
      </c>
      <c r="Y48" s="140"/>
      <c r="Z48" s="141">
        <f t="shared" ref="Z48" si="144">Z39/Z$43</f>
        <v>0.14699887292870675</v>
      </c>
      <c r="AA48" s="141">
        <f t="shared" ref="AA48:AJ48" si="145">AA39/AA$43</f>
        <v>0.14277704646287359</v>
      </c>
      <c r="AB48" s="141">
        <f t="shared" si="145"/>
        <v>0.13988761251181064</v>
      </c>
      <c r="AC48" s="141">
        <f t="shared" si="145"/>
        <v>0.13639424395840088</v>
      </c>
      <c r="AD48" s="141">
        <f t="shared" si="145"/>
        <v>0.13215524443656801</v>
      </c>
      <c r="AE48" s="141">
        <f t="shared" si="145"/>
        <v>0.12777834420880912</v>
      </c>
      <c r="AF48" s="141">
        <f t="shared" si="145"/>
        <v>0.12411065163229137</v>
      </c>
      <c r="AG48" s="141">
        <f t="shared" si="145"/>
        <v>0.12001150687797479</v>
      </c>
      <c r="AH48" s="141">
        <f t="shared" si="145"/>
        <v>0.11791834809496357</v>
      </c>
      <c r="AI48" s="141">
        <f t="shared" si="145"/>
        <v>0.11499333106676779</v>
      </c>
      <c r="AJ48" s="142">
        <f t="shared" si="145"/>
        <v>0.11205684835233484</v>
      </c>
    </row>
    <row r="49" spans="1:36" ht="12.75" customHeight="1">
      <c r="B49" s="139" t="str">
        <f>B40&amp;"(%)"</f>
        <v>Entertainment (%)</v>
      </c>
      <c r="C49" s="149">
        <f t="shared" ref="C49:G49" si="146">C40/C$43</f>
        <v>5.9530338535174754E-2</v>
      </c>
      <c r="D49" s="149">
        <f t="shared" si="146"/>
        <v>6.3959531563994185E-2</v>
      </c>
      <c r="E49" s="149">
        <f t="shared" si="146"/>
        <v>6.194856784444909E-2</v>
      </c>
      <c r="F49" s="149">
        <f t="shared" si="146"/>
        <v>6.5102584474459033E-2</v>
      </c>
      <c r="G49" s="149">
        <f t="shared" si="146"/>
        <v>7.6389754844502084E-2</v>
      </c>
      <c r="H49" s="149">
        <f t="shared" ref="H49" si="147">H40/H$43</f>
        <v>6.9067419844134101E-2</v>
      </c>
      <c r="I49" s="140"/>
      <c r="J49" s="149">
        <f t="shared" ref="J49:S49" si="148">J40/J$43</f>
        <v>5.7913887204366285E-2</v>
      </c>
      <c r="K49" s="149">
        <f t="shared" si="148"/>
        <v>5.3088096979830704E-2</v>
      </c>
      <c r="L49" s="149">
        <f t="shared" si="148"/>
        <v>5.1020408163265307E-2</v>
      </c>
      <c r="M49" s="149">
        <f t="shared" si="148"/>
        <v>8.9054763136501361E-2</v>
      </c>
      <c r="N49" s="149">
        <f t="shared" si="148"/>
        <v>6.7151460061356666E-2</v>
      </c>
      <c r="O49" s="149">
        <f t="shared" si="148"/>
        <v>6.1192350956130487E-2</v>
      </c>
      <c r="P49" s="149">
        <f t="shared" si="148"/>
        <v>6.6029346376167183E-2</v>
      </c>
      <c r="Q49" s="149">
        <f t="shared" si="148"/>
        <v>9.9478001491424314E-2</v>
      </c>
      <c r="R49" s="149">
        <f t="shared" si="148"/>
        <v>6.3391442155309036E-2</v>
      </c>
      <c r="S49" s="149">
        <f t="shared" si="148"/>
        <v>5.7752522324017161E-2</v>
      </c>
      <c r="T49" s="149">
        <f t="shared" ref="T49:U49" si="149">T40/T$43</f>
        <v>5.5076463148212025E-2</v>
      </c>
      <c r="U49" s="149">
        <f t="shared" si="149"/>
        <v>8.997247345654738E-2</v>
      </c>
      <c r="V49" s="149">
        <f t="shared" ref="V49:X49" si="150">V40/V$43</f>
        <v>5.5247938968869204E-2</v>
      </c>
      <c r="W49" s="149">
        <f t="shared" si="150"/>
        <v>7.8293860657622436E-2</v>
      </c>
      <c r="X49" s="149">
        <f t="shared" si="150"/>
        <v>6.1162423969362466E-2</v>
      </c>
      <c r="Y49" s="140"/>
      <c r="Z49" s="141">
        <f t="shared" ref="Z49" si="151">Z40/Z$43</f>
        <v>6.7240593750749381E-2</v>
      </c>
      <c r="AA49" s="141">
        <f t="shared" ref="AA49:AJ49" si="152">AA40/AA$43</f>
        <v>6.923114426405344E-2</v>
      </c>
      <c r="AB49" s="141">
        <f t="shared" si="152"/>
        <v>7.2952409368939278E-2</v>
      </c>
      <c r="AC49" s="141">
        <f t="shared" si="152"/>
        <v>7.6389754844502084E-2</v>
      </c>
      <c r="AD49" s="141">
        <f t="shared" si="152"/>
        <v>7.5748753132990704E-2</v>
      </c>
      <c r="AE49" s="141">
        <f t="shared" si="152"/>
        <v>7.5091761827079939E-2</v>
      </c>
      <c r="AF49" s="141">
        <f t="shared" si="152"/>
        <v>7.2714663652942241E-2</v>
      </c>
      <c r="AG49" s="141">
        <f t="shared" si="152"/>
        <v>6.9067419844134101E-2</v>
      </c>
      <c r="AH49" s="141">
        <f t="shared" si="152"/>
        <v>6.7344478800901414E-2</v>
      </c>
      <c r="AI49" s="141">
        <f t="shared" si="152"/>
        <v>7.1998326228522105E-2</v>
      </c>
      <c r="AJ49" s="142">
        <f t="shared" si="152"/>
        <v>7.3325003904419803E-2</v>
      </c>
    </row>
    <row r="50" spans="1:36" ht="12.75" customHeight="1">
      <c r="B50" s="139" t="str">
        <f>B41&amp;"(%)"</f>
        <v>Services (%)</v>
      </c>
      <c r="C50" s="149">
        <f t="shared" ref="C50:G50" si="153">C41/C$43</f>
        <v>5.2998952983995609E-2</v>
      </c>
      <c r="D50" s="149">
        <f t="shared" si="153"/>
        <v>4.8090915390478828E-2</v>
      </c>
      <c r="E50" s="149">
        <f t="shared" si="153"/>
        <v>4.5787162868492576E-2</v>
      </c>
      <c r="F50" s="149">
        <f t="shared" si="153"/>
        <v>5.0217320185072675E-2</v>
      </c>
      <c r="G50" s="149">
        <f t="shared" si="153"/>
        <v>5.8782452552560045E-2</v>
      </c>
      <c r="H50" s="149">
        <f t="shared" ref="H50" si="154">H41/H$43</f>
        <v>6.4229300695643074E-2</v>
      </c>
      <c r="I50" s="140"/>
      <c r="J50" s="149">
        <f t="shared" ref="J50:S50" si="155">J41/J$43</f>
        <v>4.9423893268647663E-2</v>
      </c>
      <c r="K50" s="149">
        <f t="shared" si="155"/>
        <v>5.3924130003135125E-2</v>
      </c>
      <c r="L50" s="149">
        <f t="shared" si="155"/>
        <v>5.4387755102040816E-2</v>
      </c>
      <c r="M50" s="149">
        <f t="shared" si="155"/>
        <v>4.5155568694109825E-2</v>
      </c>
      <c r="N50" s="149">
        <f t="shared" si="155"/>
        <v>6.1015793659811385E-2</v>
      </c>
      <c r="O50" s="149">
        <f t="shared" si="155"/>
        <v>6.1867266591676039E-2</v>
      </c>
      <c r="P50" s="149">
        <f t="shared" si="155"/>
        <v>6.2583370386838588E-2</v>
      </c>
      <c r="Q50" s="149">
        <f t="shared" si="155"/>
        <v>5.2721849366144671E-2</v>
      </c>
      <c r="R50" s="149">
        <f t="shared" si="155"/>
        <v>7.0462026088016577E-2</v>
      </c>
      <c r="S50" s="149">
        <f t="shared" si="155"/>
        <v>6.8421662994317525E-2</v>
      </c>
      <c r="T50" s="149">
        <f t="shared" ref="T50:U50" si="156">T41/T$43</f>
        <v>6.9104288835230537E-2</v>
      </c>
      <c r="U50" s="149">
        <f t="shared" si="156"/>
        <v>5.4030672434132912E-2</v>
      </c>
      <c r="V50" s="149">
        <f t="shared" ref="V50:X50" si="157">V41/V$43</f>
        <v>7.1244001476559612E-2</v>
      </c>
      <c r="W50" s="149">
        <f t="shared" si="157"/>
        <v>6.6796964819498733E-2</v>
      </c>
      <c r="X50" s="149">
        <f t="shared" si="157"/>
        <v>6.6569047082676275E-2</v>
      </c>
      <c r="Y50" s="140"/>
      <c r="Z50" s="141">
        <f t="shared" ref="Z50" si="158">Z41/Z$43</f>
        <v>5.2684587899570756E-2</v>
      </c>
      <c r="AA50" s="141">
        <f t="shared" ref="AA50:AJ50" si="159">AA41/AA$43</f>
        <v>5.4385451708839162E-2</v>
      </c>
      <c r="AB50" s="141">
        <f t="shared" si="159"/>
        <v>5.621860858322144E-2</v>
      </c>
      <c r="AC50" s="141">
        <f t="shared" si="159"/>
        <v>5.8782452552560045E-2</v>
      </c>
      <c r="AD50" s="141">
        <f t="shared" si="159"/>
        <v>6.0710397731588144E-2</v>
      </c>
      <c r="AE50" s="141">
        <f t="shared" si="159"/>
        <v>6.2143148450244698E-2</v>
      </c>
      <c r="AF50" s="141">
        <f t="shared" si="159"/>
        <v>6.3596434900983739E-2</v>
      </c>
      <c r="AG50" s="141">
        <f t="shared" si="159"/>
        <v>6.4229300695643074E-2</v>
      </c>
      <c r="AH50" s="141">
        <f t="shared" si="159"/>
        <v>6.4383418059850109E-2</v>
      </c>
      <c r="AI50" s="141">
        <f t="shared" si="159"/>
        <v>6.4021759029212547E-2</v>
      </c>
      <c r="AJ50" s="142">
        <f t="shared" si="159"/>
        <v>6.345983653495757E-2</v>
      </c>
    </row>
    <row r="51" spans="1:36" ht="12.75" customHeight="1">
      <c r="B51" s="143" t="str">
        <f>B42&amp;"(%)"</f>
        <v>Other (%)</v>
      </c>
      <c r="C51" s="148">
        <f t="shared" ref="C51:G51" si="160">C42/C$43</f>
        <v>3.9637034451812337E-3</v>
      </c>
      <c r="D51" s="148">
        <f t="shared" si="160"/>
        <v>3.048991753863211E-3</v>
      </c>
      <c r="E51" s="148">
        <f t="shared" si="160"/>
        <v>3.9933096383023203E-3</v>
      </c>
      <c r="F51" s="148">
        <f t="shared" si="160"/>
        <v>5.7718371734355282E-3</v>
      </c>
      <c r="G51" s="148">
        <f t="shared" si="160"/>
        <v>6.584033718233284E-3</v>
      </c>
      <c r="H51" s="148">
        <f t="shared" ref="H51" si="161">H42/H$43</f>
        <v>7.8717506145718919E-3</v>
      </c>
      <c r="I51" s="144"/>
      <c r="J51" s="148">
        <f t="shared" ref="J51:S51" si="162">J42/J$43</f>
        <v>6.1653527390337576E-3</v>
      </c>
      <c r="K51" s="148">
        <f t="shared" si="162"/>
        <v>8.2558261051311529E-3</v>
      </c>
      <c r="L51" s="148">
        <f t="shared" si="162"/>
        <v>7.3469387755102037E-3</v>
      </c>
      <c r="M51" s="148">
        <f t="shared" si="162"/>
        <v>2.5866528711846869E-3</v>
      </c>
      <c r="N51" s="148">
        <f t="shared" si="162"/>
        <v>6.1356664015452794E-3</v>
      </c>
      <c r="O51" s="148">
        <f t="shared" si="162"/>
        <v>8.9988751406074249E-3</v>
      </c>
      <c r="P51" s="148">
        <f t="shared" si="162"/>
        <v>8.2258781680747007E-3</v>
      </c>
      <c r="Q51" s="148">
        <f t="shared" si="162"/>
        <v>4.1759880686055182E-3</v>
      </c>
      <c r="R51" s="148">
        <f t="shared" si="162"/>
        <v>7.6801170303547484E-3</v>
      </c>
      <c r="S51" s="148">
        <f t="shared" si="162"/>
        <v>1.0205264988982953E-2</v>
      </c>
      <c r="T51" s="148">
        <f t="shared" ref="T51:U51" si="163">T42/T$43</f>
        <v>8.0487524433712782E-3</v>
      </c>
      <c r="U51" s="148">
        <f t="shared" si="163"/>
        <v>6.291781360597719E-3</v>
      </c>
      <c r="V51" s="148">
        <f t="shared" ref="V51:X51" si="164">V42/V$43</f>
        <v>8.4902177925433742E-3</v>
      </c>
      <c r="W51" s="148">
        <f t="shared" si="164"/>
        <v>9.3124856288802019E-3</v>
      </c>
      <c r="X51" s="148">
        <f t="shared" si="164"/>
        <v>6.7582788916422621E-3</v>
      </c>
      <c r="Y51" s="144"/>
      <c r="Z51" s="145">
        <f t="shared" ref="Z51" si="165">Z42/Z$43</f>
        <v>5.7552576676818306E-3</v>
      </c>
      <c r="AA51" s="145">
        <f t="shared" ref="AA51:AJ51" si="166">AA42/AA$43</f>
        <v>5.8748963970552386E-3</v>
      </c>
      <c r="AB51" s="145">
        <f t="shared" si="166"/>
        <v>6.042070714605401E-3</v>
      </c>
      <c r="AC51" s="145">
        <f t="shared" si="166"/>
        <v>6.584033718233284E-3</v>
      </c>
      <c r="AD51" s="145">
        <f t="shared" si="166"/>
        <v>6.9115673814526954E-3</v>
      </c>
      <c r="AE51" s="145">
        <f t="shared" si="166"/>
        <v>7.162520391517129E-3</v>
      </c>
      <c r="AF51" s="145">
        <f t="shared" si="166"/>
        <v>7.1147869416690211E-3</v>
      </c>
      <c r="AG51" s="145">
        <f t="shared" si="166"/>
        <v>7.8717506145718919E-3</v>
      </c>
      <c r="AH51" s="145">
        <f t="shared" si="166"/>
        <v>8.0446517478119598E-3</v>
      </c>
      <c r="AI51" s="145">
        <f t="shared" si="166"/>
        <v>7.8458038025995755E-3</v>
      </c>
      <c r="AJ51" s="146">
        <f t="shared" si="166"/>
        <v>7.5485449528866679E-3</v>
      </c>
    </row>
    <row r="53" spans="1:36" ht="12.75" customHeight="1">
      <c r="A53" s="74" t="s">
        <v>19</v>
      </c>
      <c r="B53" s="72" t="s">
        <v>150</v>
      </c>
      <c r="C53" s="10"/>
      <c r="D53" s="10"/>
      <c r="E53" s="10"/>
      <c r="F53" s="10"/>
      <c r="G53" s="10"/>
      <c r="H53" s="10"/>
      <c r="I53" s="10"/>
      <c r="J53" s="82"/>
      <c r="K53" s="82"/>
      <c r="L53" s="82"/>
      <c r="M53" s="30"/>
      <c r="N53" s="82"/>
      <c r="O53" s="82"/>
      <c r="P53" s="82"/>
      <c r="Q53" s="30"/>
      <c r="R53" s="82"/>
      <c r="S53" s="82"/>
      <c r="T53" s="82"/>
      <c r="U53" s="82"/>
      <c r="V53" s="82"/>
      <c r="W53" s="82"/>
      <c r="X53" s="82"/>
      <c r="Y53" s="5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ht="12.75" customHeight="1">
      <c r="A54" s="74"/>
      <c r="B54" s="9" t="s">
        <v>146</v>
      </c>
      <c r="C54" s="75">
        <v>1580</v>
      </c>
      <c r="D54" s="75">
        <v>1854</v>
      </c>
      <c r="E54" s="75">
        <v>1785</v>
      </c>
      <c r="F54" s="75">
        <v>1575</v>
      </c>
      <c r="G54" s="75">
        <v>1552</v>
      </c>
      <c r="H54" s="75">
        <v>1578</v>
      </c>
      <c r="I54" s="10"/>
      <c r="J54" s="75">
        <v>344</v>
      </c>
      <c r="K54" s="75">
        <v>327</v>
      </c>
      <c r="L54" s="75">
        <v>389</v>
      </c>
      <c r="M54" s="30">
        <f>SUM(F54-SUM(J54:L54))</f>
        <v>515</v>
      </c>
      <c r="N54" s="75">
        <v>316</v>
      </c>
      <c r="O54" s="75">
        <v>309</v>
      </c>
      <c r="P54" s="75">
        <v>378</v>
      </c>
      <c r="Q54" s="30">
        <f>SUM(G54-SUM(N54:P54))</f>
        <v>549</v>
      </c>
      <c r="R54" s="75">
        <v>318</v>
      </c>
      <c r="S54" s="75">
        <v>308</v>
      </c>
      <c r="T54" s="75">
        <v>386</v>
      </c>
      <c r="U54" s="30">
        <f t="shared" ref="U54:U59" si="167">SUM(H54-SUM(R54:T54))</f>
        <v>566</v>
      </c>
      <c r="V54" s="75">
        <v>324</v>
      </c>
      <c r="W54" s="75">
        <v>346</v>
      </c>
      <c r="X54" s="75">
        <v>420</v>
      </c>
      <c r="Y54" s="5"/>
      <c r="Z54" s="30">
        <f t="shared" ref="Z54:Z59" si="168">SUM(K54:N54)</f>
        <v>1547</v>
      </c>
      <c r="AA54" s="30">
        <f t="shared" ref="AA54:AA59" si="169">SUM(L54:O54)</f>
        <v>1529</v>
      </c>
      <c r="AB54" s="30">
        <f t="shared" ref="AB54:AB59" si="170">SUM(M54:P54)</f>
        <v>1518</v>
      </c>
      <c r="AC54" s="30">
        <f t="shared" ref="AC54:AC59" si="171">SUM(N54:Q54)</f>
        <v>1552</v>
      </c>
      <c r="AD54" s="30">
        <f t="shared" ref="AD54:AD59" si="172">SUM(O54:R54)</f>
        <v>1554</v>
      </c>
      <c r="AE54" s="30">
        <f t="shared" ref="AE54:AE59" si="173">SUM(P54:S54)</f>
        <v>1553</v>
      </c>
      <c r="AF54" s="30">
        <f t="shared" ref="AF54:AF59" si="174">SUM(Q54:T54)</f>
        <v>1561</v>
      </c>
      <c r="AG54" s="30">
        <f t="shared" ref="AG54:AG59" si="175">SUM(R54:U54)</f>
        <v>1578</v>
      </c>
      <c r="AH54" s="30">
        <f t="shared" ref="AH54:AH59" si="176">SUM(S54:V54)</f>
        <v>1584</v>
      </c>
      <c r="AI54" s="30">
        <f t="shared" ref="AI54:AI59" si="177">SUM(T54:W54)</f>
        <v>1622</v>
      </c>
      <c r="AJ54" s="30">
        <f t="shared" ref="AJ54:AJ59" si="178">SUM(U54:X54)</f>
        <v>1656</v>
      </c>
    </row>
    <row r="55" spans="1:36" ht="12.75" customHeight="1">
      <c r="A55" s="74"/>
      <c r="B55" s="9" t="s">
        <v>145</v>
      </c>
      <c r="C55" s="75">
        <v>1163</v>
      </c>
      <c r="D55" s="75">
        <v>1189</v>
      </c>
      <c r="E55" s="75">
        <v>1194</v>
      </c>
      <c r="F55" s="75">
        <v>1054</v>
      </c>
      <c r="G55" s="75">
        <v>955</v>
      </c>
      <c r="H55" s="75">
        <v>917</v>
      </c>
      <c r="I55" s="10"/>
      <c r="J55" s="75">
        <v>213</v>
      </c>
      <c r="K55" s="75">
        <v>223</v>
      </c>
      <c r="L55" s="75">
        <v>220</v>
      </c>
      <c r="M55" s="30">
        <f t="shared" ref="M55:M59" si="179">SUM(F55-SUM(J55:L55))</f>
        <v>398</v>
      </c>
      <c r="N55" s="75">
        <v>184</v>
      </c>
      <c r="O55" s="75">
        <v>194</v>
      </c>
      <c r="P55" s="75">
        <v>200</v>
      </c>
      <c r="Q55" s="30">
        <f t="shared" ref="Q55:Q59" si="180">SUM(G55-SUM(N55:P55))</f>
        <v>377</v>
      </c>
      <c r="R55" s="75">
        <v>173</v>
      </c>
      <c r="S55" s="75">
        <v>186</v>
      </c>
      <c r="T55" s="75">
        <v>194</v>
      </c>
      <c r="U55" s="30">
        <f t="shared" si="167"/>
        <v>364</v>
      </c>
      <c r="V55" s="75">
        <v>173</v>
      </c>
      <c r="W55" s="75">
        <v>198</v>
      </c>
      <c r="X55" s="75">
        <v>202</v>
      </c>
      <c r="Y55" s="5"/>
      <c r="Z55" s="30">
        <f t="shared" si="168"/>
        <v>1025</v>
      </c>
      <c r="AA55" s="30">
        <f t="shared" si="169"/>
        <v>996</v>
      </c>
      <c r="AB55" s="30">
        <f t="shared" si="170"/>
        <v>976</v>
      </c>
      <c r="AC55" s="30">
        <f t="shared" si="171"/>
        <v>955</v>
      </c>
      <c r="AD55" s="30">
        <f t="shared" si="172"/>
        <v>944</v>
      </c>
      <c r="AE55" s="30">
        <f t="shared" si="173"/>
        <v>936</v>
      </c>
      <c r="AF55" s="30">
        <f t="shared" si="174"/>
        <v>930</v>
      </c>
      <c r="AG55" s="30">
        <f t="shared" si="175"/>
        <v>917</v>
      </c>
      <c r="AH55" s="30">
        <f t="shared" si="176"/>
        <v>917</v>
      </c>
      <c r="AI55" s="30">
        <f t="shared" si="177"/>
        <v>929</v>
      </c>
      <c r="AJ55" s="30">
        <f t="shared" si="178"/>
        <v>937</v>
      </c>
    </row>
    <row r="56" spans="1:36" ht="12.75" customHeight="1">
      <c r="A56" s="74"/>
      <c r="B56" s="9" t="s">
        <v>144</v>
      </c>
      <c r="C56" s="75">
        <v>317</v>
      </c>
      <c r="D56" s="75">
        <v>384</v>
      </c>
      <c r="E56" s="75">
        <v>383</v>
      </c>
      <c r="F56" s="75">
        <v>355</v>
      </c>
      <c r="G56" s="75">
        <v>335</v>
      </c>
      <c r="H56" s="75">
        <v>321</v>
      </c>
      <c r="I56" s="10"/>
      <c r="J56" s="75">
        <v>71</v>
      </c>
      <c r="K56" s="75">
        <v>104</v>
      </c>
      <c r="L56" s="75">
        <v>74</v>
      </c>
      <c r="M56" s="30">
        <f t="shared" si="179"/>
        <v>106</v>
      </c>
      <c r="N56" s="75">
        <v>59</v>
      </c>
      <c r="O56" s="75">
        <v>92</v>
      </c>
      <c r="P56" s="75">
        <v>74</v>
      </c>
      <c r="Q56" s="30">
        <f t="shared" si="180"/>
        <v>110</v>
      </c>
      <c r="R56" s="75">
        <v>60</v>
      </c>
      <c r="S56" s="75">
        <v>86</v>
      </c>
      <c r="T56" s="75">
        <v>67</v>
      </c>
      <c r="U56" s="30">
        <f t="shared" si="167"/>
        <v>108</v>
      </c>
      <c r="V56" s="75">
        <v>57</v>
      </c>
      <c r="W56" s="75">
        <v>80</v>
      </c>
      <c r="X56" s="75">
        <v>64</v>
      </c>
      <c r="Y56" s="5"/>
      <c r="Z56" s="30">
        <f t="shared" si="168"/>
        <v>343</v>
      </c>
      <c r="AA56" s="30">
        <f t="shared" si="169"/>
        <v>331</v>
      </c>
      <c r="AB56" s="30">
        <f t="shared" si="170"/>
        <v>331</v>
      </c>
      <c r="AC56" s="30">
        <f t="shared" si="171"/>
        <v>335</v>
      </c>
      <c r="AD56" s="30">
        <f t="shared" si="172"/>
        <v>336</v>
      </c>
      <c r="AE56" s="30">
        <f t="shared" si="173"/>
        <v>330</v>
      </c>
      <c r="AF56" s="30">
        <f t="shared" si="174"/>
        <v>323</v>
      </c>
      <c r="AG56" s="30">
        <f t="shared" si="175"/>
        <v>321</v>
      </c>
      <c r="AH56" s="30">
        <f t="shared" si="176"/>
        <v>318</v>
      </c>
      <c r="AI56" s="30">
        <f t="shared" si="177"/>
        <v>312</v>
      </c>
      <c r="AJ56" s="30">
        <f t="shared" si="178"/>
        <v>309</v>
      </c>
    </row>
    <row r="57" spans="1:36">
      <c r="A57" s="74"/>
      <c r="B57" s="9" t="s">
        <v>143</v>
      </c>
      <c r="C57" s="75">
        <v>209</v>
      </c>
      <c r="D57" s="75">
        <v>310</v>
      </c>
      <c r="E57" s="75">
        <v>312</v>
      </c>
      <c r="F57" s="75">
        <v>267</v>
      </c>
      <c r="G57" s="75">
        <v>300</v>
      </c>
      <c r="H57" s="75">
        <v>267</v>
      </c>
      <c r="I57" s="10"/>
      <c r="J57" s="75">
        <v>57</v>
      </c>
      <c r="K57" s="75">
        <v>51</v>
      </c>
      <c r="L57" s="75">
        <v>46</v>
      </c>
      <c r="M57" s="30">
        <f t="shared" si="179"/>
        <v>113</v>
      </c>
      <c r="N57" s="75">
        <v>60</v>
      </c>
      <c r="O57" s="75">
        <v>50</v>
      </c>
      <c r="P57" s="75">
        <v>54</v>
      </c>
      <c r="Q57" s="30">
        <f t="shared" si="180"/>
        <v>136</v>
      </c>
      <c r="R57" s="75">
        <v>46</v>
      </c>
      <c r="S57" s="75">
        <v>39</v>
      </c>
      <c r="T57" s="75">
        <v>47</v>
      </c>
      <c r="U57" s="30">
        <f t="shared" si="167"/>
        <v>135</v>
      </c>
      <c r="V57" s="75">
        <v>42</v>
      </c>
      <c r="W57" s="75">
        <v>68</v>
      </c>
      <c r="X57" s="75">
        <v>54</v>
      </c>
      <c r="Y57" s="5"/>
      <c r="Z57" s="30">
        <f t="shared" si="168"/>
        <v>270</v>
      </c>
      <c r="AA57" s="30">
        <f t="shared" si="169"/>
        <v>269</v>
      </c>
      <c r="AB57" s="30">
        <f t="shared" si="170"/>
        <v>277</v>
      </c>
      <c r="AC57" s="30">
        <f t="shared" si="171"/>
        <v>300</v>
      </c>
      <c r="AD57" s="30">
        <f t="shared" si="172"/>
        <v>286</v>
      </c>
      <c r="AE57" s="30">
        <f t="shared" si="173"/>
        <v>275</v>
      </c>
      <c r="AF57" s="30">
        <f t="shared" si="174"/>
        <v>268</v>
      </c>
      <c r="AG57" s="30">
        <f t="shared" si="175"/>
        <v>267</v>
      </c>
      <c r="AH57" s="30">
        <f t="shared" si="176"/>
        <v>263</v>
      </c>
      <c r="AI57" s="30">
        <f t="shared" si="177"/>
        <v>292</v>
      </c>
      <c r="AJ57" s="30">
        <f t="shared" si="178"/>
        <v>299</v>
      </c>
    </row>
    <row r="58" spans="1:36">
      <c r="B58" s="9" t="s">
        <v>147</v>
      </c>
      <c r="C58" s="75">
        <v>199</v>
      </c>
      <c r="D58" s="75">
        <v>170</v>
      </c>
      <c r="E58" s="75">
        <v>190</v>
      </c>
      <c r="F58" s="75">
        <v>183</v>
      </c>
      <c r="G58" s="75">
        <v>173</v>
      </c>
      <c r="H58" s="75">
        <v>175</v>
      </c>
      <c r="I58" s="75"/>
      <c r="J58" s="75">
        <v>54</v>
      </c>
      <c r="K58" s="75">
        <v>37</v>
      </c>
      <c r="L58" s="75">
        <v>43</v>
      </c>
      <c r="M58" s="30">
        <f t="shared" si="179"/>
        <v>49</v>
      </c>
      <c r="N58" s="75">
        <v>36</v>
      </c>
      <c r="O58" s="75">
        <v>38</v>
      </c>
      <c r="P58" s="75">
        <v>45</v>
      </c>
      <c r="Q58" s="30">
        <f t="shared" si="180"/>
        <v>54</v>
      </c>
      <c r="R58" s="75">
        <v>39</v>
      </c>
      <c r="S58" s="75">
        <v>38</v>
      </c>
      <c r="T58" s="75">
        <v>47</v>
      </c>
      <c r="U58" s="30">
        <f t="shared" si="167"/>
        <v>51</v>
      </c>
      <c r="V58" s="75">
        <v>37</v>
      </c>
      <c r="W58" s="75">
        <v>39</v>
      </c>
      <c r="X58" s="75">
        <v>47</v>
      </c>
      <c r="Y58" s="5"/>
      <c r="Z58" s="30">
        <f t="shared" si="168"/>
        <v>165</v>
      </c>
      <c r="AA58" s="30">
        <f t="shared" si="169"/>
        <v>166</v>
      </c>
      <c r="AB58" s="30">
        <f t="shared" si="170"/>
        <v>168</v>
      </c>
      <c r="AC58" s="30">
        <f t="shared" si="171"/>
        <v>173</v>
      </c>
      <c r="AD58" s="30">
        <f t="shared" si="172"/>
        <v>176</v>
      </c>
      <c r="AE58" s="30">
        <f t="shared" si="173"/>
        <v>176</v>
      </c>
      <c r="AF58" s="30">
        <f t="shared" si="174"/>
        <v>178</v>
      </c>
      <c r="AG58" s="30">
        <f t="shared" si="175"/>
        <v>175</v>
      </c>
      <c r="AH58" s="30">
        <f t="shared" si="176"/>
        <v>173</v>
      </c>
      <c r="AI58" s="30">
        <f t="shared" si="177"/>
        <v>174</v>
      </c>
      <c r="AJ58" s="30">
        <f t="shared" si="178"/>
        <v>174</v>
      </c>
    </row>
    <row r="59" spans="1:36">
      <c r="B59" s="9" t="s">
        <v>148</v>
      </c>
      <c r="C59" s="75">
        <v>56</v>
      </c>
      <c r="D59" s="75">
        <v>62</v>
      </c>
      <c r="E59" s="75">
        <v>67</v>
      </c>
      <c r="F59" s="75">
        <v>70</v>
      </c>
      <c r="G59" s="75">
        <v>40</v>
      </c>
      <c r="H59" s="75">
        <v>32</v>
      </c>
      <c r="I59" s="75"/>
      <c r="J59" s="75">
        <v>14</v>
      </c>
      <c r="K59" s="75">
        <v>18</v>
      </c>
      <c r="L59" s="75">
        <v>15</v>
      </c>
      <c r="M59" s="30">
        <f t="shared" si="179"/>
        <v>23</v>
      </c>
      <c r="N59" s="75">
        <v>11</v>
      </c>
      <c r="O59" s="75">
        <v>10</v>
      </c>
      <c r="P59" s="75">
        <v>9</v>
      </c>
      <c r="Q59" s="30">
        <f t="shared" si="180"/>
        <v>10</v>
      </c>
      <c r="R59" s="75">
        <v>8</v>
      </c>
      <c r="S59" s="75">
        <v>8</v>
      </c>
      <c r="T59" s="75">
        <v>7</v>
      </c>
      <c r="U59" s="30">
        <f t="shared" si="167"/>
        <v>9</v>
      </c>
      <c r="V59" s="75">
        <v>7</v>
      </c>
      <c r="W59" s="75">
        <v>9</v>
      </c>
      <c r="X59" s="75">
        <v>7</v>
      </c>
      <c r="Y59" s="5"/>
      <c r="Z59" s="30">
        <f t="shared" si="168"/>
        <v>67</v>
      </c>
      <c r="AA59" s="30">
        <f t="shared" si="169"/>
        <v>59</v>
      </c>
      <c r="AB59" s="30">
        <f t="shared" si="170"/>
        <v>53</v>
      </c>
      <c r="AC59" s="30">
        <f t="shared" si="171"/>
        <v>40</v>
      </c>
      <c r="AD59" s="30">
        <f t="shared" si="172"/>
        <v>37</v>
      </c>
      <c r="AE59" s="30">
        <f t="shared" si="173"/>
        <v>35</v>
      </c>
      <c r="AF59" s="30">
        <f t="shared" si="174"/>
        <v>33</v>
      </c>
      <c r="AG59" s="30">
        <f t="shared" si="175"/>
        <v>32</v>
      </c>
      <c r="AH59" s="30">
        <f t="shared" si="176"/>
        <v>31</v>
      </c>
      <c r="AI59" s="30">
        <f t="shared" si="177"/>
        <v>32</v>
      </c>
      <c r="AJ59" s="30">
        <f t="shared" si="178"/>
        <v>32</v>
      </c>
    </row>
    <row r="60" spans="1:36">
      <c r="B60" s="12" t="s">
        <v>151</v>
      </c>
      <c r="C60" s="13">
        <f t="shared" ref="C60:G60" si="181">SUM(C54:C59)</f>
        <v>3524</v>
      </c>
      <c r="D60" s="13">
        <f t="shared" si="181"/>
        <v>3969</v>
      </c>
      <c r="E60" s="13">
        <f t="shared" si="181"/>
        <v>3931</v>
      </c>
      <c r="F60" s="13">
        <f t="shared" si="181"/>
        <v>3504</v>
      </c>
      <c r="G60" s="13">
        <f t="shared" si="181"/>
        <v>3355</v>
      </c>
      <c r="H60" s="13">
        <f t="shared" ref="H60" si="182">SUM(H54:H59)</f>
        <v>3290</v>
      </c>
      <c r="I60" s="11"/>
      <c r="J60" s="13">
        <f t="shared" ref="J60:S60" si="183">SUM(J54:J59)</f>
        <v>753</v>
      </c>
      <c r="K60" s="13">
        <f t="shared" si="183"/>
        <v>760</v>
      </c>
      <c r="L60" s="13">
        <f t="shared" si="183"/>
        <v>787</v>
      </c>
      <c r="M60" s="13">
        <f t="shared" si="183"/>
        <v>1204</v>
      </c>
      <c r="N60" s="13">
        <f t="shared" si="183"/>
        <v>666</v>
      </c>
      <c r="O60" s="13">
        <f t="shared" si="183"/>
        <v>693</v>
      </c>
      <c r="P60" s="13">
        <f t="shared" si="183"/>
        <v>760</v>
      </c>
      <c r="Q60" s="13">
        <f t="shared" si="183"/>
        <v>1236</v>
      </c>
      <c r="R60" s="13">
        <f t="shared" si="183"/>
        <v>644</v>
      </c>
      <c r="S60" s="13">
        <f t="shared" si="183"/>
        <v>665</v>
      </c>
      <c r="T60" s="13">
        <f t="shared" ref="T60:U60" si="184">SUM(T54:T59)</f>
        <v>748</v>
      </c>
      <c r="U60" s="13">
        <f t="shared" si="184"/>
        <v>1233</v>
      </c>
      <c r="V60" s="13">
        <f t="shared" ref="V60:X60" si="185">SUM(V54:V59)</f>
        <v>640</v>
      </c>
      <c r="W60" s="13">
        <f t="shared" si="185"/>
        <v>740</v>
      </c>
      <c r="X60" s="13">
        <f t="shared" si="185"/>
        <v>794</v>
      </c>
      <c r="Y60" s="5"/>
      <c r="Z60" s="13">
        <f t="shared" ref="Z60" si="186">SUM(Z54:Z59)</f>
        <v>3417</v>
      </c>
      <c r="AA60" s="13">
        <f t="shared" ref="AA60:AJ60" si="187">SUM(AA54:AA59)</f>
        <v>3350</v>
      </c>
      <c r="AB60" s="13">
        <f t="shared" si="187"/>
        <v>3323</v>
      </c>
      <c r="AC60" s="13">
        <f t="shared" si="187"/>
        <v>3355</v>
      </c>
      <c r="AD60" s="13">
        <f t="shared" si="187"/>
        <v>3333</v>
      </c>
      <c r="AE60" s="13">
        <f t="shared" si="187"/>
        <v>3305</v>
      </c>
      <c r="AF60" s="13">
        <f t="shared" si="187"/>
        <v>3293</v>
      </c>
      <c r="AG60" s="13">
        <f t="shared" si="187"/>
        <v>3290</v>
      </c>
      <c r="AH60" s="13">
        <f t="shared" si="187"/>
        <v>3286</v>
      </c>
      <c r="AI60" s="13">
        <f t="shared" si="187"/>
        <v>3361</v>
      </c>
      <c r="AJ60" s="13">
        <f t="shared" si="187"/>
        <v>3407</v>
      </c>
    </row>
    <row r="61" spans="1:36" outlineLevel="1">
      <c r="B61" s="134" t="s">
        <v>67</v>
      </c>
      <c r="C61" s="73">
        <f t="shared" ref="C61:F61" si="188">+C60-C10</f>
        <v>0</v>
      </c>
      <c r="D61" s="73">
        <f t="shared" si="188"/>
        <v>0</v>
      </c>
      <c r="E61" s="73">
        <f t="shared" si="188"/>
        <v>0</v>
      </c>
      <c r="F61" s="73">
        <f t="shared" si="188"/>
        <v>0</v>
      </c>
      <c r="G61" s="73">
        <f>+G60-G10</f>
        <v>0</v>
      </c>
      <c r="H61" s="73">
        <f>+H60-H10</f>
        <v>0</v>
      </c>
      <c r="I61" s="11"/>
      <c r="J61" s="73">
        <f t="shared" ref="J61:U61" si="189">+J60-J10</f>
        <v>0</v>
      </c>
      <c r="K61" s="73">
        <f t="shared" si="189"/>
        <v>0</v>
      </c>
      <c r="L61" s="73">
        <f t="shared" si="189"/>
        <v>0</v>
      </c>
      <c r="M61" s="73">
        <f t="shared" si="189"/>
        <v>0</v>
      </c>
      <c r="N61" s="73">
        <f t="shared" si="189"/>
        <v>0</v>
      </c>
      <c r="O61" s="73">
        <f t="shared" si="189"/>
        <v>0</v>
      </c>
      <c r="P61" s="73">
        <f t="shared" si="189"/>
        <v>0</v>
      </c>
      <c r="Q61" s="73">
        <f t="shared" si="189"/>
        <v>0</v>
      </c>
      <c r="R61" s="73">
        <f t="shared" si="189"/>
        <v>0</v>
      </c>
      <c r="S61" s="73">
        <f t="shared" si="189"/>
        <v>0</v>
      </c>
      <c r="T61" s="73">
        <f t="shared" si="189"/>
        <v>0</v>
      </c>
      <c r="U61" s="73">
        <f t="shared" si="189"/>
        <v>0</v>
      </c>
      <c r="V61" s="73">
        <f t="shared" ref="V61" si="190">+V60-V10</f>
        <v>0</v>
      </c>
      <c r="W61" s="73">
        <f t="shared" ref="W61" si="191">+W60-W10</f>
        <v>0</v>
      </c>
      <c r="X61" s="73">
        <f t="shared" ref="X61" si="192">+X60-X10</f>
        <v>0</v>
      </c>
      <c r="Y61" s="5"/>
      <c r="Z61" s="73">
        <f t="shared" ref="Z61:AA61" si="193">+Z60-Z10</f>
        <v>0</v>
      </c>
      <c r="AA61" s="73">
        <f t="shared" si="193"/>
        <v>0</v>
      </c>
      <c r="AB61" s="73">
        <f t="shared" ref="AB61" si="194">+AB60-AB10</f>
        <v>0</v>
      </c>
      <c r="AC61" s="73">
        <f t="shared" ref="AC61" si="195">+AC60-AC10</f>
        <v>0</v>
      </c>
      <c r="AD61" s="73">
        <f t="shared" ref="AD61" si="196">+AD60-AD10</f>
        <v>0</v>
      </c>
      <c r="AE61" s="73">
        <f t="shared" ref="AE61" si="197">+AE60-AE10</f>
        <v>0</v>
      </c>
      <c r="AF61" s="73">
        <f t="shared" ref="AF61" si="198">+AF60-AF10</f>
        <v>0</v>
      </c>
      <c r="AG61" s="73">
        <f t="shared" ref="AG61" si="199">+AG60-AG10</f>
        <v>0</v>
      </c>
      <c r="AH61" s="73">
        <f t="shared" ref="AH61" si="200">+AH60-AH10</f>
        <v>0</v>
      </c>
      <c r="AI61" s="73">
        <f t="shared" ref="AI61" si="201">+AI60-AI10</f>
        <v>0</v>
      </c>
      <c r="AJ61" s="73">
        <f t="shared" ref="AJ61" si="202">+AJ60-AJ10</f>
        <v>0</v>
      </c>
    </row>
    <row r="62" spans="1:36">
      <c r="B62" s="16"/>
      <c r="C62" s="17"/>
      <c r="D62" s="17"/>
      <c r="E62" s="17"/>
      <c r="F62" s="17"/>
      <c r="G62" s="17"/>
      <c r="H62" s="17"/>
      <c r="I62" s="18"/>
      <c r="J62" s="19"/>
      <c r="K62" s="19"/>
      <c r="L62" s="19"/>
      <c r="M62" s="20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spans="1:36">
      <c r="B63" s="135" t="str">
        <f>B54&amp;"(%)"</f>
        <v>Computing and Mobile Phones (%)</v>
      </c>
      <c r="C63" s="147">
        <f>C54/C$43</f>
        <v>3.9387744926958172E-2</v>
      </c>
      <c r="D63" s="147">
        <f t="shared" ref="D63:G63" si="203">D54/D$43</f>
        <v>4.2824475088351466E-2</v>
      </c>
      <c r="E63" s="147">
        <f t="shared" si="203"/>
        <v>3.7319673844867236E-2</v>
      </c>
      <c r="F63" s="147">
        <f t="shared" si="203"/>
        <v>3.6804224891339908E-2</v>
      </c>
      <c r="G63" s="147">
        <f t="shared" si="203"/>
        <v>3.8706137616280521E-2</v>
      </c>
      <c r="H63" s="147">
        <f t="shared" ref="H63" si="204">H54/H$43</f>
        <v>4.1267848736858626E-2</v>
      </c>
      <c r="I63" s="136"/>
      <c r="J63" s="147">
        <f t="shared" ref="J63:S63" si="205">J54/J$43</f>
        <v>3.4768546593895291E-2</v>
      </c>
      <c r="K63" s="147">
        <f t="shared" si="205"/>
        <v>3.4172849827568186E-2</v>
      </c>
      <c r="L63" s="147">
        <f t="shared" si="205"/>
        <v>3.9693877551020405E-2</v>
      </c>
      <c r="M63" s="147">
        <f t="shared" si="205"/>
        <v>3.8060749390288966E-2</v>
      </c>
      <c r="N63" s="147">
        <f t="shared" si="205"/>
        <v>3.5905010794227928E-2</v>
      </c>
      <c r="O63" s="147">
        <f t="shared" si="205"/>
        <v>3.4758155230596173E-2</v>
      </c>
      <c r="P63" s="147">
        <f t="shared" si="205"/>
        <v>4.2018674966651848E-2</v>
      </c>
      <c r="Q63" s="147">
        <f t="shared" si="205"/>
        <v>4.0939597315436241E-2</v>
      </c>
      <c r="R63" s="147">
        <f t="shared" si="205"/>
        <v>3.8766305010362059E-2</v>
      </c>
      <c r="S63" s="147">
        <f t="shared" si="205"/>
        <v>3.5718427461440334E-2</v>
      </c>
      <c r="T63" s="147">
        <f t="shared" ref="T63:U63" si="206">T54/T$43</f>
        <v>4.4383120616304471E-2</v>
      </c>
      <c r="U63" s="147">
        <f t="shared" si="206"/>
        <v>4.451435312622886E-2</v>
      </c>
      <c r="V63" s="147">
        <f t="shared" ref="V63:X63" si="207">V54/V$43</f>
        <v>3.9867109634551492E-2</v>
      </c>
      <c r="W63" s="147">
        <f t="shared" si="207"/>
        <v>3.9779259599908023E-2</v>
      </c>
      <c r="X63" s="147">
        <f t="shared" si="207"/>
        <v>4.7307952241495831E-2</v>
      </c>
      <c r="Y63" s="136"/>
      <c r="Z63" s="137">
        <f t="shared" ref="Z63" si="208">Z54/Z$43</f>
        <v>3.7097431716265797E-2</v>
      </c>
      <c r="AA63" s="137">
        <f t="shared" ref="AA63:AK63" si="209">AA54/AA$43</f>
        <v>3.7272682950611868E-2</v>
      </c>
      <c r="AB63" s="137">
        <f t="shared" si="209"/>
        <v>3.774429359988065E-2</v>
      </c>
      <c r="AC63" s="137">
        <f t="shared" si="209"/>
        <v>3.8706137616280521E-2</v>
      </c>
      <c r="AD63" s="137">
        <f t="shared" si="209"/>
        <v>3.9342768171346111E-2</v>
      </c>
      <c r="AE63" s="137">
        <f t="shared" si="209"/>
        <v>3.9585032626427409E-2</v>
      </c>
      <c r="AF63" s="137">
        <f t="shared" si="209"/>
        <v>4.00945213572034E-2</v>
      </c>
      <c r="AG63" s="137">
        <f t="shared" si="209"/>
        <v>4.1267848736858626E-2</v>
      </c>
      <c r="AH63" s="137">
        <f t="shared" si="209"/>
        <v>4.1507258529427181E-2</v>
      </c>
      <c r="AI63" s="137">
        <f t="shared" si="209"/>
        <v>4.2419645892721708E-2</v>
      </c>
      <c r="AJ63" s="138">
        <f t="shared" si="209"/>
        <v>4.3104794627518352E-2</v>
      </c>
    </row>
    <row r="64" spans="1:36" ht="12.75" customHeight="1">
      <c r="B64" s="139" t="str">
        <f t="shared" ref="B64" si="210">B55&amp;"(%)"</f>
        <v>Consumer Electronics (%)</v>
      </c>
      <c r="C64" s="149">
        <f t="shared" ref="C64:G64" si="211">C55/C$43</f>
        <v>2.8992371740539463E-2</v>
      </c>
      <c r="D64" s="149">
        <f t="shared" si="211"/>
        <v>2.7464024207146651E-2</v>
      </c>
      <c r="E64" s="149">
        <f t="shared" si="211"/>
        <v>2.4963412084465817E-2</v>
      </c>
      <c r="F64" s="149">
        <f t="shared" si="211"/>
        <v>2.4629620974903024E-2</v>
      </c>
      <c r="G64" s="149">
        <f t="shared" si="211"/>
        <v>2.3817243185275706E-2</v>
      </c>
      <c r="H64" s="149">
        <f t="shared" ref="H64" si="212">H55/H$43</f>
        <v>2.3981379779277157E-2</v>
      </c>
      <c r="I64" s="140"/>
      <c r="J64" s="149">
        <f t="shared" ref="J64:S64" si="213">J55/J$43</f>
        <v>2.1528198908429351E-2</v>
      </c>
      <c r="K64" s="149">
        <f t="shared" si="213"/>
        <v>2.3304420524610722E-2</v>
      </c>
      <c r="L64" s="149">
        <f t="shared" si="213"/>
        <v>2.2448979591836733E-2</v>
      </c>
      <c r="M64" s="149">
        <f t="shared" si="213"/>
        <v>2.9413938363757299E-2</v>
      </c>
      <c r="N64" s="149">
        <f t="shared" si="213"/>
        <v>2.0906715146006137E-2</v>
      </c>
      <c r="O64" s="149">
        <f t="shared" si="213"/>
        <v>2.1822272215973004E-2</v>
      </c>
      <c r="P64" s="149">
        <f t="shared" si="213"/>
        <v>2.2232103156958647E-2</v>
      </c>
      <c r="Q64" s="149">
        <f t="shared" si="213"/>
        <v>2.8113348247576435E-2</v>
      </c>
      <c r="R64" s="149">
        <f t="shared" si="213"/>
        <v>2.1089845178593199E-2</v>
      </c>
      <c r="S64" s="149">
        <f t="shared" si="213"/>
        <v>2.1570219181259422E-2</v>
      </c>
      <c r="T64" s="149">
        <f t="shared" ref="T64:U64" si="214">T55/T$43</f>
        <v>2.2306542485914682E-2</v>
      </c>
      <c r="U64" s="149">
        <f t="shared" si="214"/>
        <v>2.8627605190719621E-2</v>
      </c>
      <c r="V64" s="149">
        <f t="shared" ref="V64:X64" si="215">V55/V$43</f>
        <v>2.1287067798695707E-2</v>
      </c>
      <c r="W64" s="149">
        <f t="shared" si="215"/>
        <v>2.2763853759484941E-2</v>
      </c>
      <c r="X64" s="149">
        <f t="shared" si="215"/>
        <v>2.2752872268528949E-2</v>
      </c>
      <c r="Y64" s="140"/>
      <c r="Z64" s="141">
        <f t="shared" ref="Z64" si="216">Z55/Z$43</f>
        <v>2.4579746289057815E-2</v>
      </c>
      <c r="AA64" s="141">
        <f t="shared" ref="AA64:AK64" si="217">AA55/AA$43</f>
        <v>2.4279654819365219E-2</v>
      </c>
      <c r="AB64" s="141">
        <f t="shared" si="217"/>
        <v>2.4267740812571485E-2</v>
      </c>
      <c r="AC64" s="141">
        <f t="shared" si="217"/>
        <v>2.3817243185275706E-2</v>
      </c>
      <c r="AD64" s="141">
        <f t="shared" si="217"/>
        <v>2.3899339223777818E-2</v>
      </c>
      <c r="AE64" s="141">
        <f t="shared" si="217"/>
        <v>2.3858075040783033E-2</v>
      </c>
      <c r="AF64" s="141">
        <f t="shared" si="217"/>
        <v>2.3887190814989856E-2</v>
      </c>
      <c r="AG64" s="141">
        <f t="shared" si="217"/>
        <v>2.3981379779277157E-2</v>
      </c>
      <c r="AH64" s="141">
        <f t="shared" si="217"/>
        <v>2.4029138934018132E-2</v>
      </c>
      <c r="AI64" s="141">
        <f t="shared" si="217"/>
        <v>2.4295839108716688E-2</v>
      </c>
      <c r="AJ64" s="142">
        <f t="shared" si="217"/>
        <v>2.4389609037430371E-2</v>
      </c>
    </row>
    <row r="65" spans="2:36" ht="12.75" customHeight="1">
      <c r="B65" s="139" t="str">
        <f>B56&amp;"(%)"</f>
        <v>Appliances (%)</v>
      </c>
      <c r="C65" s="149">
        <f t="shared" ref="C65:G65" si="218">C56/C$43</f>
        <v>7.9024779378770501E-3</v>
      </c>
      <c r="D65" s="149">
        <f t="shared" si="218"/>
        <v>8.8697941930566144E-3</v>
      </c>
      <c r="E65" s="149">
        <f t="shared" si="218"/>
        <v>8.0075266569098885E-3</v>
      </c>
      <c r="F65" s="149">
        <f t="shared" si="218"/>
        <v>8.2955554516988359E-3</v>
      </c>
      <c r="G65" s="149">
        <f t="shared" si="218"/>
        <v>8.3547397560914775E-3</v>
      </c>
      <c r="H65" s="149">
        <f t="shared" ref="H65" si="219">H56/H$43</f>
        <v>8.3947905225168675E-3</v>
      </c>
      <c r="I65" s="140"/>
      <c r="J65" s="149">
        <f t="shared" ref="J65:S65" si="220">J56/J$43</f>
        <v>7.1760663028097834E-3</v>
      </c>
      <c r="K65" s="149">
        <f t="shared" si="220"/>
        <v>1.0868429302957467E-2</v>
      </c>
      <c r="L65" s="149">
        <f t="shared" si="220"/>
        <v>7.5510204081632656E-3</v>
      </c>
      <c r="M65" s="149">
        <f t="shared" si="220"/>
        <v>7.8338629813021945E-3</v>
      </c>
      <c r="N65" s="149">
        <f t="shared" si="220"/>
        <v>6.7037836609476192E-3</v>
      </c>
      <c r="O65" s="149">
        <f t="shared" si="220"/>
        <v>1.0348706411698537E-2</v>
      </c>
      <c r="P65" s="149">
        <f t="shared" si="220"/>
        <v>8.2258781680747007E-3</v>
      </c>
      <c r="Q65" s="149">
        <f t="shared" si="220"/>
        <v>8.2028337061894104E-3</v>
      </c>
      <c r="R65" s="149">
        <f t="shared" si="220"/>
        <v>7.3143971717664269E-3</v>
      </c>
      <c r="S65" s="149">
        <f t="shared" si="220"/>
        <v>9.9733271483242493E-3</v>
      </c>
      <c r="T65" s="149">
        <f t="shared" ref="T65:U65" si="221">T56/T$43</f>
        <v>7.7038059100839372E-3</v>
      </c>
      <c r="U65" s="149">
        <f t="shared" si="221"/>
        <v>8.4939048368069207E-3</v>
      </c>
      <c r="V65" s="149">
        <f t="shared" ref="V65:X65" si="222">V56/V$43</f>
        <v>7.0136581764488745E-3</v>
      </c>
      <c r="W65" s="149">
        <f t="shared" si="222"/>
        <v>9.1975166704989647E-3</v>
      </c>
      <c r="X65" s="149">
        <f t="shared" si="222"/>
        <v>7.2088308177517459E-3</v>
      </c>
      <c r="Y65" s="140"/>
      <c r="Z65" s="141">
        <f t="shared" ref="Z65" si="223">Z56/Z$43</f>
        <v>8.2252224167286159E-3</v>
      </c>
      <c r="AA65" s="141">
        <f t="shared" ref="AA65:AK65" si="224">AA56/AA$43</f>
        <v>8.0688411096484815E-3</v>
      </c>
      <c r="AB65" s="141">
        <f t="shared" si="224"/>
        <v>8.2301457059028287E-3</v>
      </c>
      <c r="AC65" s="141">
        <f t="shared" si="224"/>
        <v>8.3547397560914775E-3</v>
      </c>
      <c r="AD65" s="141">
        <f t="shared" si="224"/>
        <v>8.5065444694802407E-3</v>
      </c>
      <c r="AE65" s="141">
        <f t="shared" si="224"/>
        <v>8.4115008156606854E-3</v>
      </c>
      <c r="AF65" s="141">
        <f t="shared" si="224"/>
        <v>8.2963039067115302E-3</v>
      </c>
      <c r="AG65" s="141">
        <f t="shared" si="224"/>
        <v>8.3947905225168675E-3</v>
      </c>
      <c r="AH65" s="141">
        <f t="shared" si="224"/>
        <v>8.3328965987107591E-3</v>
      </c>
      <c r="AI65" s="141">
        <f t="shared" si="224"/>
        <v>8.1596359547035594E-3</v>
      </c>
      <c r="AJ65" s="142">
        <f t="shared" si="224"/>
        <v>8.0431047946275189E-3</v>
      </c>
    </row>
    <row r="66" spans="2:36" ht="12.75" customHeight="1">
      <c r="B66" s="139" t="str">
        <f>B57&amp;"(%)"</f>
        <v>Entertainment (%)</v>
      </c>
      <c r="C66" s="149">
        <f t="shared" ref="C66:G66" si="225">C57/C$43</f>
        <v>5.2101510694520618E-3</v>
      </c>
      <c r="D66" s="149">
        <f t="shared" si="225"/>
        <v>7.160510937102996E-3</v>
      </c>
      <c r="E66" s="149">
        <f t="shared" si="225"/>
        <v>6.5231026552372987E-3</v>
      </c>
      <c r="F66" s="149">
        <f t="shared" si="225"/>
        <v>6.2391924101509559E-3</v>
      </c>
      <c r="G66" s="149">
        <f t="shared" si="225"/>
        <v>7.4818564979923681E-3</v>
      </c>
      <c r="H66" s="149">
        <f t="shared" ref="H66" si="226">H57/H$43</f>
        <v>6.9825827710654322E-3</v>
      </c>
      <c r="I66" s="140"/>
      <c r="J66" s="149">
        <f t="shared" ref="J66:S66" si="227">J57/J$43</f>
        <v>5.7610673135233478E-3</v>
      </c>
      <c r="K66" s="149">
        <f t="shared" si="227"/>
        <v>5.3297105235656809E-3</v>
      </c>
      <c r="L66" s="149">
        <f t="shared" si="227"/>
        <v>4.6938775510204081E-3</v>
      </c>
      <c r="M66" s="149">
        <f t="shared" si="227"/>
        <v>8.3511935555391319E-3</v>
      </c>
      <c r="N66" s="149">
        <f t="shared" si="227"/>
        <v>6.8174071128280873E-3</v>
      </c>
      <c r="O66" s="149">
        <f t="shared" si="227"/>
        <v>5.6242969628796397E-3</v>
      </c>
      <c r="P66" s="149">
        <f t="shared" si="227"/>
        <v>6.0026678523788348E-3</v>
      </c>
      <c r="Q66" s="149">
        <f t="shared" si="227"/>
        <v>1.0141685309470544E-2</v>
      </c>
      <c r="R66" s="149">
        <f t="shared" si="227"/>
        <v>5.6077044983542605E-3</v>
      </c>
      <c r="S66" s="149">
        <f t="shared" si="227"/>
        <v>4.5227878928447178E-3</v>
      </c>
      <c r="T66" s="149">
        <f t="shared" ref="T66:U66" si="228">T57/T$43</f>
        <v>5.4041623548350005E-3</v>
      </c>
      <c r="U66" s="149">
        <f t="shared" si="228"/>
        <v>1.061738104600865E-2</v>
      </c>
      <c r="V66" s="149">
        <f t="shared" ref="V66:X66" si="229">V57/V$43</f>
        <v>5.1679586563307496E-3</v>
      </c>
      <c r="W66" s="149">
        <f t="shared" si="229"/>
        <v>7.8178891699241197E-3</v>
      </c>
      <c r="X66" s="149">
        <f t="shared" si="229"/>
        <v>6.082451002478036E-3</v>
      </c>
      <c r="Y66" s="140"/>
      <c r="Z66" s="141">
        <f t="shared" ref="Z66" si="230">Z57/Z$43</f>
        <v>6.4746648761420588E-3</v>
      </c>
      <c r="AA66" s="141">
        <f t="shared" ref="AA66:AK66" si="231">AA57/AA$43</f>
        <v>6.5574569743064694E-3</v>
      </c>
      <c r="AB66" s="141">
        <f t="shared" si="231"/>
        <v>6.8874633248794071E-3</v>
      </c>
      <c r="AC66" s="141">
        <f t="shared" si="231"/>
        <v>7.4818564979923681E-3</v>
      </c>
      <c r="AD66" s="141">
        <f t="shared" si="231"/>
        <v>7.2406896377123471E-3</v>
      </c>
      <c r="AE66" s="141">
        <f t="shared" si="231"/>
        <v>7.0095840130505712E-3</v>
      </c>
      <c r="AF66" s="141">
        <f t="shared" si="231"/>
        <v>6.8836205789433126E-3</v>
      </c>
      <c r="AG66" s="141">
        <f t="shared" si="231"/>
        <v>6.9825827710654322E-3</v>
      </c>
      <c r="AH66" s="141">
        <f t="shared" si="231"/>
        <v>6.8916723442167599E-3</v>
      </c>
      <c r="AI66" s="141">
        <f t="shared" si="231"/>
        <v>7.6365823678635879E-3</v>
      </c>
      <c r="AJ66" s="142">
        <f t="shared" si="231"/>
        <v>7.782810141079702E-3</v>
      </c>
    </row>
    <row r="67" spans="2:36" ht="12.75" customHeight="1">
      <c r="B67" s="139" t="str">
        <f>B58&amp;"(%)"</f>
        <v>Services (%)</v>
      </c>
      <c r="C67" s="149">
        <f t="shared" ref="C67:G67" si="232">C58/C$43</f>
        <v>4.9608615445978959E-3</v>
      </c>
      <c r="D67" s="149">
        <f t="shared" si="232"/>
        <v>3.9267318042177715E-3</v>
      </c>
      <c r="E67" s="149">
        <f t="shared" si="232"/>
        <v>3.9724022579970732E-3</v>
      </c>
      <c r="F67" s="149">
        <f t="shared" si="232"/>
        <v>4.2763004159461606E-3</v>
      </c>
      <c r="G67" s="149">
        <f t="shared" si="232"/>
        <v>4.3145372471755988E-3</v>
      </c>
      <c r="H67" s="149">
        <f t="shared" ref="H67" si="233">H58/H$43</f>
        <v>4.5765991945185417E-3</v>
      </c>
      <c r="I67" s="140"/>
      <c r="J67" s="149">
        <f t="shared" ref="J67:S67" si="234">J58/J$43</f>
        <v>5.4578532443905394E-3</v>
      </c>
      <c r="K67" s="149">
        <f t="shared" si="234"/>
        <v>3.8666527327829449E-3</v>
      </c>
      <c r="L67" s="149">
        <f t="shared" si="234"/>
        <v>4.387755102040816E-3</v>
      </c>
      <c r="M67" s="149">
        <f t="shared" si="234"/>
        <v>3.6213140196585617E-3</v>
      </c>
      <c r="N67" s="149">
        <f t="shared" si="234"/>
        <v>4.0904442676968529E-3</v>
      </c>
      <c r="O67" s="149">
        <f t="shared" si="234"/>
        <v>4.2744656917885265E-3</v>
      </c>
      <c r="P67" s="149">
        <f t="shared" si="234"/>
        <v>5.0022232103156955E-3</v>
      </c>
      <c r="Q67" s="149">
        <f t="shared" si="234"/>
        <v>4.0268456375838931E-3</v>
      </c>
      <c r="R67" s="149">
        <f t="shared" si="234"/>
        <v>4.7543581616481777E-3</v>
      </c>
      <c r="S67" s="149">
        <f t="shared" si="234"/>
        <v>4.4068189725153658E-3</v>
      </c>
      <c r="T67" s="149">
        <f t="shared" ref="T67:U67" si="235">T58/T$43</f>
        <v>5.4041623548350005E-3</v>
      </c>
      <c r="U67" s="149">
        <f t="shared" si="235"/>
        <v>4.0110106173810462E-3</v>
      </c>
      <c r="V67" s="149">
        <f t="shared" ref="V67:X67" si="236">V58/V$43</f>
        <v>4.5527254829580413E-3</v>
      </c>
      <c r="W67" s="149">
        <f t="shared" si="236"/>
        <v>4.483789376868246E-3</v>
      </c>
      <c r="X67" s="149">
        <f t="shared" si="236"/>
        <v>5.2939851317864387E-3</v>
      </c>
      <c r="Y67" s="140"/>
      <c r="Z67" s="141">
        <f t="shared" ref="Z67" si="237">Z58/Z$43</f>
        <v>3.9567396465312581E-3</v>
      </c>
      <c r="AA67" s="141">
        <f t="shared" ref="AA67:AK67" si="238">AA58/AA$43</f>
        <v>4.0466091365608699E-3</v>
      </c>
      <c r="AB67" s="141">
        <f t="shared" si="238"/>
        <v>4.1772340742950919E-3</v>
      </c>
      <c r="AC67" s="141">
        <f t="shared" si="238"/>
        <v>4.3145372471755988E-3</v>
      </c>
      <c r="AD67" s="141">
        <f t="shared" si="238"/>
        <v>4.4558090078229825E-3</v>
      </c>
      <c r="AE67" s="141">
        <f t="shared" si="238"/>
        <v>4.486133768352365E-3</v>
      </c>
      <c r="AF67" s="141">
        <f t="shared" si="238"/>
        <v>4.5719569516862301E-3</v>
      </c>
      <c r="AG67" s="141">
        <f t="shared" si="238"/>
        <v>4.5765991945185417E-3</v>
      </c>
      <c r="AH67" s="141">
        <f t="shared" si="238"/>
        <v>4.5333053823174889E-3</v>
      </c>
      <c r="AI67" s="141">
        <f t="shared" si="238"/>
        <v>4.5505662055077539E-3</v>
      </c>
      <c r="AJ67" s="142">
        <f t="shared" si="238"/>
        <v>4.5291269717320009E-3</v>
      </c>
    </row>
    <row r="68" spans="2:36" ht="12.75" customHeight="1">
      <c r="B68" s="143" t="str">
        <f>B59&amp;"(%)"</f>
        <v>Other (%)</v>
      </c>
      <c r="C68" s="148">
        <f t="shared" ref="C68:G68" si="239">C59/C$43</f>
        <v>1.3960213391833276E-3</v>
      </c>
      <c r="D68" s="148">
        <f t="shared" si="239"/>
        <v>1.4321021874205992E-3</v>
      </c>
      <c r="E68" s="148">
        <f t="shared" si="239"/>
        <v>1.4007944804515994E-3</v>
      </c>
      <c r="F68" s="148">
        <f t="shared" si="239"/>
        <v>1.635743328503996E-3</v>
      </c>
      <c r="G68" s="148">
        <f t="shared" si="239"/>
        <v>9.9758086639898237E-4</v>
      </c>
      <c r="H68" s="148">
        <f t="shared" ref="H68" si="240">H59/H$43</f>
        <v>8.3686385271196189E-4</v>
      </c>
      <c r="I68" s="144"/>
      <c r="J68" s="148">
        <f t="shared" ref="J68:S68" si="241">J59/J$43</f>
        <v>1.4149989892864362E-3</v>
      </c>
      <c r="K68" s="148">
        <f t="shared" si="241"/>
        <v>1.8810743024349462E-3</v>
      </c>
      <c r="L68" s="148">
        <f t="shared" si="241"/>
        <v>1.5306122448979591E-3</v>
      </c>
      <c r="M68" s="148">
        <f t="shared" si="241"/>
        <v>1.6998004582070801E-3</v>
      </c>
      <c r="N68" s="148">
        <f t="shared" si="241"/>
        <v>1.2498579706851495E-3</v>
      </c>
      <c r="O68" s="148">
        <f t="shared" si="241"/>
        <v>1.1248593925759281E-3</v>
      </c>
      <c r="P68" s="148">
        <f t="shared" si="241"/>
        <v>1.0004446420631393E-3</v>
      </c>
      <c r="Q68" s="148">
        <f t="shared" si="241"/>
        <v>7.4571215510812821E-4</v>
      </c>
      <c r="R68" s="148">
        <f t="shared" si="241"/>
        <v>9.7525295623552362E-4</v>
      </c>
      <c r="S68" s="148">
        <f t="shared" si="241"/>
        <v>9.2775136263481388E-4</v>
      </c>
      <c r="T68" s="148">
        <f t="shared" ref="T68:U68" si="242">T59/T$43</f>
        <v>8.0487524433712771E-4</v>
      </c>
      <c r="U68" s="148">
        <f t="shared" si="242"/>
        <v>7.0782540306724346E-4</v>
      </c>
      <c r="V68" s="148">
        <f t="shared" ref="V68:X68" si="243">V59/V$43</f>
        <v>8.6132644272179156E-4</v>
      </c>
      <c r="W68" s="148">
        <f t="shared" si="243"/>
        <v>1.0347206254311336E-3</v>
      </c>
      <c r="X68" s="148">
        <f t="shared" si="243"/>
        <v>7.8846587069159718E-4</v>
      </c>
      <c r="Y68" s="144"/>
      <c r="Z68" s="145">
        <f t="shared" ref="Z68" si="244">Z59/Z$43</f>
        <v>1.6066760988945109E-3</v>
      </c>
      <c r="AA68" s="145">
        <f t="shared" ref="AA68:AK68" si="245">AA59/AA$43</f>
        <v>1.4382526449222368E-3</v>
      </c>
      <c r="AB68" s="145">
        <f t="shared" si="245"/>
        <v>1.3178178924859517E-3</v>
      </c>
      <c r="AC68" s="145">
        <f t="shared" si="245"/>
        <v>9.9758086639898237E-4</v>
      </c>
      <c r="AD68" s="145">
        <f t="shared" si="245"/>
        <v>9.3673257550824069E-4</v>
      </c>
      <c r="AE68" s="145">
        <f t="shared" si="245"/>
        <v>8.9212887438825446E-4</v>
      </c>
      <c r="AF68" s="145">
        <f t="shared" si="245"/>
        <v>8.4760999666093036E-4</v>
      </c>
      <c r="AG68" s="145">
        <f t="shared" si="245"/>
        <v>8.3686385271196189E-4</v>
      </c>
      <c r="AH68" s="145">
        <f t="shared" si="245"/>
        <v>8.1232639798752687E-4</v>
      </c>
      <c r="AI68" s="145">
        <f t="shared" si="245"/>
        <v>8.3688573894395485E-4</v>
      </c>
      <c r="AJ68" s="146">
        <f t="shared" si="245"/>
        <v>8.3294289135301162E-4</v>
      </c>
    </row>
  </sheetData>
  <pageMargins left="0.7" right="0.7" top="0.75" bottom="0.75" header="0.3" footer="0.3"/>
  <ignoredErrors>
    <ignoredError sqref="J14:S15 C14:G15 C46:G51 J46:S51 J29:X3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L85"/>
  <sheetViews>
    <sheetView showGridLines="0" zoomScale="115" zoomScaleNormal="115" workbookViewId="0">
      <selection activeCell="AL30" sqref="AL30"/>
    </sheetView>
  </sheetViews>
  <sheetFormatPr defaultRowHeight="12" outlineLevelCol="1"/>
  <cols>
    <col min="1" max="1" width="1.5" style="8" customWidth="1"/>
    <col min="2" max="2" width="41.625" style="8" customWidth="1"/>
    <col min="3" max="5" width="8.625" style="8" hidden="1" customWidth="1" outlineLevel="1"/>
    <col min="6" max="6" width="9" style="8" bestFit="1" collapsed="1"/>
    <col min="7" max="7" width="9.25" style="8" bestFit="1" customWidth="1"/>
    <col min="8" max="8" width="9" style="8"/>
    <col min="9" max="9" width="1.5" style="8" customWidth="1"/>
    <col min="10" max="12" width="8" style="8" hidden="1" customWidth="1" outlineLevel="1"/>
    <col min="13" max="13" width="8.75" style="8" hidden="1" customWidth="1" outlineLevel="1"/>
    <col min="14" max="15" width="8" style="8" hidden="1" customWidth="1" outlineLevel="1"/>
    <col min="16" max="19" width="8.875" style="8" hidden="1" customWidth="1" outlineLevel="1"/>
    <col min="20" max="20" width="8.875" style="8" customWidth="1" collapsed="1"/>
    <col min="21" max="24" width="8.875" style="8" customWidth="1"/>
    <col min="25" max="25" width="1.625" style="8" customWidth="1"/>
    <col min="26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hidden="1" customWidth="1" outlineLevel="1"/>
    <col min="32" max="32" width="9" style="8" collapsed="1"/>
    <col min="33" max="34" width="9" style="8" hidden="1" customWidth="1" outlineLevel="1"/>
    <col min="35" max="35" width="8.5" style="8" hidden="1" customWidth="1" outlineLevel="1"/>
    <col min="36" max="36" width="8.5" style="8" bestFit="1" customWidth="1" collapsed="1"/>
    <col min="37" max="37" width="1.5" style="8" customWidth="1"/>
    <col min="38" max="38" width="7.5" style="112" bestFit="1" customWidth="1"/>
    <col min="39" max="16384" width="9" style="8"/>
  </cols>
  <sheetData>
    <row r="2" spans="2:38" s="5" customFormat="1" ht="12.75" customHeight="1">
      <c r="B2" s="1" t="str">
        <f>'Historical Financials'!B2</f>
        <v>Best Buy Co Inc (NASDAQ: BBY)</v>
      </c>
      <c r="C2" s="2"/>
      <c r="D2" s="2"/>
      <c r="E2" s="2"/>
      <c r="F2" s="2" t="s">
        <v>0</v>
      </c>
      <c r="G2" s="2"/>
      <c r="H2" s="2"/>
      <c r="I2" s="3"/>
      <c r="J2" s="2" t="s">
        <v>1</v>
      </c>
      <c r="K2" s="2"/>
      <c r="L2" s="2"/>
      <c r="M2" s="2"/>
      <c r="N2" s="2"/>
      <c r="O2" s="2"/>
      <c r="P2" s="2"/>
      <c r="Q2" s="2"/>
      <c r="R2" s="2"/>
      <c r="S2" s="2"/>
      <c r="T2" s="2" t="s">
        <v>1</v>
      </c>
      <c r="U2" s="2"/>
      <c r="V2" s="2"/>
      <c r="W2" s="2"/>
      <c r="X2" s="2"/>
      <c r="Y2" s="3"/>
      <c r="Z2" s="2"/>
      <c r="AA2" s="2"/>
      <c r="AB2" s="2"/>
      <c r="AC2" s="2"/>
      <c r="AD2" s="2"/>
      <c r="AE2" s="2" t="s">
        <v>10</v>
      </c>
      <c r="AF2" s="2" t="s">
        <v>10</v>
      </c>
      <c r="AG2" s="2"/>
      <c r="AH2" s="2"/>
      <c r="AI2" s="2"/>
      <c r="AJ2" s="2"/>
      <c r="AK2" s="3"/>
      <c r="AL2" s="128" t="s">
        <v>26</v>
      </c>
    </row>
    <row r="3" spans="2:38" s="5" customFormat="1" ht="12.75" customHeight="1">
      <c r="B3" s="6" t="s">
        <v>27</v>
      </c>
      <c r="C3" s="7">
        <f>'Historical Financials'!C7</f>
        <v>2020</v>
      </c>
      <c r="D3" s="7">
        <f>'Historical Financials'!D7</f>
        <v>2021</v>
      </c>
      <c r="E3" s="7">
        <f>'Historical Financials'!E7</f>
        <v>2022</v>
      </c>
      <c r="F3" s="7">
        <f>'Historical Financials'!F7</f>
        <v>2023</v>
      </c>
      <c r="G3" s="7">
        <f>'Historical Financials'!G7</f>
        <v>2024</v>
      </c>
      <c r="H3" s="7">
        <f>'Historical Financials'!H7</f>
        <v>2025</v>
      </c>
      <c r="I3" s="3"/>
      <c r="J3" s="7" t="str">
        <f>'Historical Financials'!J7</f>
        <v>1Q23</v>
      </c>
      <c r="K3" s="7" t="str">
        <f>'Historical Financials'!K7</f>
        <v>2Q23</v>
      </c>
      <c r="L3" s="7" t="str">
        <f>'Historical Financials'!L7</f>
        <v>3Q23</v>
      </c>
      <c r="M3" s="7" t="str">
        <f>'Historical Financials'!M7</f>
        <v>4Q23</v>
      </c>
      <c r="N3" s="7" t="str">
        <f>'Historical Financials'!N7</f>
        <v>1Q24</v>
      </c>
      <c r="O3" s="7" t="str">
        <f>'Historical Financials'!O7</f>
        <v>2Q24</v>
      </c>
      <c r="P3" s="7" t="str">
        <f>'Historical Financials'!P7</f>
        <v>3Q24</v>
      </c>
      <c r="Q3" s="7" t="str">
        <f>'Historical Financials'!Q7</f>
        <v>4Q24</v>
      </c>
      <c r="R3" s="7" t="str">
        <f>'Historical Financials'!R7</f>
        <v>1Q25</v>
      </c>
      <c r="S3" s="7" t="str">
        <f>'Historical Financials'!S7</f>
        <v>2Q25</v>
      </c>
      <c r="T3" s="7" t="str">
        <f>'Historical Financials'!T7</f>
        <v>3Q25</v>
      </c>
      <c r="U3" s="7" t="str">
        <f>'Historical Financials'!U7</f>
        <v>4Q25</v>
      </c>
      <c r="V3" s="7" t="str">
        <f>'Historical Financials'!V7</f>
        <v>1Q26</v>
      </c>
      <c r="W3" s="7" t="str">
        <f>'Historical Financials'!W7</f>
        <v>2Q26</v>
      </c>
      <c r="X3" s="7" t="str">
        <f>'Historical Financials'!X7</f>
        <v>3Q26</v>
      </c>
      <c r="Y3" s="3"/>
      <c r="Z3" s="4" t="str">
        <f t="shared" ref="Z3:AI4" si="0">N3</f>
        <v>1Q24</v>
      </c>
      <c r="AA3" s="4" t="str">
        <f t="shared" si="0"/>
        <v>2Q24</v>
      </c>
      <c r="AB3" s="4" t="str">
        <f t="shared" si="0"/>
        <v>3Q24</v>
      </c>
      <c r="AC3" s="4" t="str">
        <f t="shared" si="0"/>
        <v>4Q24</v>
      </c>
      <c r="AD3" s="4" t="str">
        <f t="shared" si="0"/>
        <v>1Q25</v>
      </c>
      <c r="AE3" s="4" t="str">
        <f t="shared" si="0"/>
        <v>2Q25</v>
      </c>
      <c r="AF3" s="4" t="str">
        <f t="shared" si="0"/>
        <v>3Q25</v>
      </c>
      <c r="AG3" s="4" t="str">
        <f t="shared" si="0"/>
        <v>4Q25</v>
      </c>
      <c r="AH3" s="4" t="str">
        <f t="shared" si="0"/>
        <v>1Q26</v>
      </c>
      <c r="AI3" s="4" t="str">
        <f t="shared" si="0"/>
        <v>2Q26</v>
      </c>
      <c r="AJ3" s="4" t="str">
        <f>X3</f>
        <v>3Q26</v>
      </c>
      <c r="AK3" s="3"/>
      <c r="AL3" s="128"/>
    </row>
    <row r="4" spans="2:38" s="5" customFormat="1" ht="12.75" customHeight="1">
      <c r="B4" s="6" t="s">
        <v>136</v>
      </c>
      <c r="C4" s="3">
        <f>'Historical Financials'!C8</f>
        <v>43862</v>
      </c>
      <c r="D4" s="3">
        <f>'Historical Financials'!D8</f>
        <v>44226</v>
      </c>
      <c r="E4" s="3">
        <f>'Historical Financials'!E8</f>
        <v>44590</v>
      </c>
      <c r="F4" s="3">
        <f>'Historical Financials'!F8</f>
        <v>44954</v>
      </c>
      <c r="G4" s="3">
        <f>'Historical Financials'!G8</f>
        <v>45325</v>
      </c>
      <c r="H4" s="3">
        <f>'Historical Financials'!H8</f>
        <v>45689</v>
      </c>
      <c r="I4" s="3"/>
      <c r="J4" s="3">
        <f>'Historical Financials'!J8</f>
        <v>44681</v>
      </c>
      <c r="K4" s="3">
        <f>'Historical Financials'!K8</f>
        <v>44772</v>
      </c>
      <c r="L4" s="3">
        <f>'Historical Financials'!L8</f>
        <v>44863</v>
      </c>
      <c r="M4" s="3">
        <f>'Historical Financials'!M8</f>
        <v>44954</v>
      </c>
      <c r="N4" s="3">
        <f>'Historical Financials'!N8</f>
        <v>45045</v>
      </c>
      <c r="O4" s="3">
        <f>'Historical Financials'!O8</f>
        <v>45136</v>
      </c>
      <c r="P4" s="3">
        <f>'Historical Financials'!P8</f>
        <v>45227</v>
      </c>
      <c r="Q4" s="3">
        <f>'Historical Financials'!Q8</f>
        <v>45325</v>
      </c>
      <c r="R4" s="3">
        <f>'Historical Financials'!R8</f>
        <v>45416</v>
      </c>
      <c r="S4" s="3">
        <f>'Historical Financials'!S8</f>
        <v>45507</v>
      </c>
      <c r="T4" s="3">
        <f>'Historical Financials'!T8</f>
        <v>45598</v>
      </c>
      <c r="U4" s="3">
        <f>'Historical Financials'!U8</f>
        <v>45689</v>
      </c>
      <c r="V4" s="3">
        <f>'Historical Financials'!V8</f>
        <v>45780</v>
      </c>
      <c r="W4" s="3">
        <f>'Historical Financials'!W8</f>
        <v>45871</v>
      </c>
      <c r="X4" s="3">
        <f>'Historical Financials'!X8</f>
        <v>45962</v>
      </c>
      <c r="Y4" s="3"/>
      <c r="Z4" s="3">
        <f t="shared" si="0"/>
        <v>45045</v>
      </c>
      <c r="AA4" s="3">
        <f t="shared" si="0"/>
        <v>45136</v>
      </c>
      <c r="AB4" s="3">
        <f t="shared" si="0"/>
        <v>45227</v>
      </c>
      <c r="AC4" s="3">
        <f t="shared" si="0"/>
        <v>45325</v>
      </c>
      <c r="AD4" s="3">
        <f t="shared" si="0"/>
        <v>45416</v>
      </c>
      <c r="AE4" s="3">
        <f t="shared" si="0"/>
        <v>45507</v>
      </c>
      <c r="AF4" s="3">
        <f t="shared" si="0"/>
        <v>45598</v>
      </c>
      <c r="AG4" s="3">
        <f t="shared" si="0"/>
        <v>45689</v>
      </c>
      <c r="AH4" s="3">
        <f t="shared" si="0"/>
        <v>45780</v>
      </c>
      <c r="AI4" s="3">
        <f t="shared" si="0"/>
        <v>45871</v>
      </c>
      <c r="AJ4" s="3">
        <f>X4</f>
        <v>45962</v>
      </c>
      <c r="AK4" s="3"/>
      <c r="AL4" s="128"/>
    </row>
    <row r="5" spans="2:38" ht="5.0999999999999996" customHeight="1">
      <c r="AL5" s="108"/>
    </row>
    <row r="6" spans="2:38" ht="12.75" customHeight="1">
      <c r="B6" s="9" t="s">
        <v>146</v>
      </c>
      <c r="C6" s="81">
        <f>'Revenue Drivers'!C20</f>
        <v>19399</v>
      </c>
      <c r="D6" s="81">
        <f>'Revenue Drivers'!D20</f>
        <v>21653</v>
      </c>
      <c r="E6" s="81">
        <f>'Revenue Drivers'!E20</f>
        <v>22478</v>
      </c>
      <c r="F6" s="81">
        <f>'Revenue Drivers'!F20</f>
        <v>19766</v>
      </c>
      <c r="G6" s="81">
        <f>'Revenue Drivers'!G20</f>
        <v>18482</v>
      </c>
      <c r="H6" s="81">
        <f>'Revenue Drivers'!H20</f>
        <v>18681</v>
      </c>
      <c r="I6" s="10"/>
      <c r="J6" s="81">
        <f>'Revenue Drivers'!J20</f>
        <v>4629</v>
      </c>
      <c r="K6" s="81">
        <f>'Revenue Drivers'!K20</f>
        <v>4291</v>
      </c>
      <c r="L6" s="81">
        <f>'Revenue Drivers'!L20</f>
        <v>4726</v>
      </c>
      <c r="M6" s="81">
        <f>'Revenue Drivers'!M20</f>
        <v>6120</v>
      </c>
      <c r="N6" s="81">
        <f>'Revenue Drivers'!N20</f>
        <v>4004</v>
      </c>
      <c r="O6" s="81">
        <f>'Revenue Drivers'!O20</f>
        <v>3983</v>
      </c>
      <c r="P6" s="81">
        <f>'Revenue Drivers'!P20</f>
        <v>4316</v>
      </c>
      <c r="Q6" s="81">
        <f>'Revenue Drivers'!Q20</f>
        <v>6179</v>
      </c>
      <c r="R6" s="81">
        <f>'Revenue Drivers'!R20</f>
        <v>3906</v>
      </c>
      <c r="S6" s="81">
        <f>'Revenue Drivers'!S20</f>
        <v>4100</v>
      </c>
      <c r="T6" s="81">
        <f>'Revenue Drivers'!T20</f>
        <v>4451</v>
      </c>
      <c r="U6" s="81">
        <f>'Revenue Drivers'!U20</f>
        <v>6224</v>
      </c>
      <c r="V6" s="81">
        <f>'Revenue Drivers'!V20</f>
        <v>4116</v>
      </c>
      <c r="W6" s="81">
        <f>'Revenue Drivers'!W20</f>
        <v>4276</v>
      </c>
      <c r="X6" s="81">
        <f>'Revenue Drivers'!X20</f>
        <v>4788</v>
      </c>
      <c r="Y6" s="5"/>
      <c r="Z6" s="151">
        <f>SUM(K6:N6)</f>
        <v>19141</v>
      </c>
      <c r="AA6" s="151">
        <f>SUM(L6:O6)</f>
        <v>18833</v>
      </c>
      <c r="AB6" s="151">
        <f>SUM(M6:P6)</f>
        <v>18423</v>
      </c>
      <c r="AC6" s="151">
        <f>SUM(N6:Q6)</f>
        <v>18482</v>
      </c>
      <c r="AD6" s="151">
        <f>SUM(O6:R6)</f>
        <v>18384</v>
      </c>
      <c r="AE6" s="151">
        <f>SUM(P6:S6)</f>
        <v>18501</v>
      </c>
      <c r="AF6" s="151">
        <f>SUM(Q6:T6)</f>
        <v>18636</v>
      </c>
      <c r="AG6" s="151">
        <f>SUM(R6:U6)</f>
        <v>18681</v>
      </c>
      <c r="AH6" s="151">
        <f>SUM(S6:V6)</f>
        <v>18891</v>
      </c>
      <c r="AI6" s="151">
        <f>SUM(T6:W6)</f>
        <v>19067</v>
      </c>
      <c r="AJ6" s="151">
        <f>SUM(U6:X6)</f>
        <v>19404</v>
      </c>
      <c r="AL6" s="109">
        <f t="shared" ref="AL6:AL11" si="1">SUM(AJ6/AF6)-1</f>
        <v>4.1210560206052849E-2</v>
      </c>
    </row>
    <row r="7" spans="2:38" ht="12.75" customHeight="1">
      <c r="B7" s="9" t="s">
        <v>145</v>
      </c>
      <c r="C7" s="81">
        <f>'Revenue Drivers'!C21</f>
        <v>14292</v>
      </c>
      <c r="D7" s="81">
        <f>'Revenue Drivers'!D21</f>
        <v>14211</v>
      </c>
      <c r="E7" s="81">
        <f>'Revenue Drivers'!E21</f>
        <v>16203</v>
      </c>
      <c r="F7" s="81">
        <f>'Revenue Drivers'!F21</f>
        <v>14094</v>
      </c>
      <c r="G7" s="81">
        <f>'Revenue Drivers'!G21</f>
        <v>12969</v>
      </c>
      <c r="H7" s="81">
        <f>'Revenue Drivers'!H21</f>
        <v>12065</v>
      </c>
      <c r="I7" s="10"/>
      <c r="J7" s="81">
        <f>'Revenue Drivers'!J21</f>
        <v>3109</v>
      </c>
      <c r="K7" s="81">
        <f>'Revenue Drivers'!K21</f>
        <v>3068</v>
      </c>
      <c r="L7" s="81">
        <f>'Revenue Drivers'!L21</f>
        <v>3109</v>
      </c>
      <c r="M7" s="81">
        <f>'Revenue Drivers'!M21</f>
        <v>4808</v>
      </c>
      <c r="N7" s="81">
        <f>'Revenue Drivers'!N21</f>
        <v>2776</v>
      </c>
      <c r="O7" s="81">
        <f>'Revenue Drivers'!O21</f>
        <v>2852</v>
      </c>
      <c r="P7" s="81">
        <f>'Revenue Drivers'!P21</f>
        <v>2789</v>
      </c>
      <c r="Q7" s="81">
        <f>'Revenue Drivers'!Q21</f>
        <v>4552</v>
      </c>
      <c r="R7" s="81">
        <f>'Revenue Drivers'!R21</f>
        <v>2537</v>
      </c>
      <c r="S7" s="81">
        <f>'Revenue Drivers'!S21</f>
        <v>2664</v>
      </c>
      <c r="T7" s="81">
        <f>'Revenue Drivers'!T21</f>
        <v>2619</v>
      </c>
      <c r="U7" s="81">
        <f>'Revenue Drivers'!U21</f>
        <v>4245</v>
      </c>
      <c r="V7" s="81">
        <f>'Revenue Drivers'!V21</f>
        <v>2410</v>
      </c>
      <c r="W7" s="81">
        <f>'Revenue Drivers'!W21</f>
        <v>2549</v>
      </c>
      <c r="X7" s="81">
        <f>'Revenue Drivers'!X21</f>
        <v>2553</v>
      </c>
      <c r="Y7" s="5"/>
      <c r="Z7" s="151">
        <f>SUM(K7:N7)</f>
        <v>13761</v>
      </c>
      <c r="AA7" s="151">
        <f>SUM(L7:O7)</f>
        <v>13545</v>
      </c>
      <c r="AB7" s="151">
        <f>SUM(M7:P7)</f>
        <v>13225</v>
      </c>
      <c r="AC7" s="151">
        <f>SUM(N7:Q7)</f>
        <v>12969</v>
      </c>
      <c r="AD7" s="151">
        <f>SUM(O7:R7)</f>
        <v>12730</v>
      </c>
      <c r="AE7" s="151">
        <f>SUM(P7:S7)</f>
        <v>12542</v>
      </c>
      <c r="AF7" s="151">
        <f>SUM(Q7:T7)</f>
        <v>12372</v>
      </c>
      <c r="AG7" s="151">
        <f>SUM(R7:U7)</f>
        <v>12065</v>
      </c>
      <c r="AH7" s="151">
        <f>SUM(S7:V7)</f>
        <v>11938</v>
      </c>
      <c r="AI7" s="151">
        <f>SUM(T7:W7)</f>
        <v>11823</v>
      </c>
      <c r="AJ7" s="151">
        <f t="shared" ref="AJ7:AJ11" si="2">SUM(U7:X7)</f>
        <v>11757</v>
      </c>
      <c r="AL7" s="109">
        <f t="shared" si="1"/>
        <v>-4.9709020368574164E-2</v>
      </c>
    </row>
    <row r="8" spans="2:38" ht="12.75" customHeight="1">
      <c r="B8" s="9" t="s">
        <v>144</v>
      </c>
      <c r="C8" s="81">
        <f>'Revenue Drivers'!C22</f>
        <v>4810</v>
      </c>
      <c r="D8" s="81">
        <f>'Revenue Drivers'!D22</f>
        <v>5873</v>
      </c>
      <c r="E8" s="81">
        <f>'Revenue Drivers'!E22</f>
        <v>7167</v>
      </c>
      <c r="F8" s="81">
        <f>'Revenue Drivers'!F22</f>
        <v>6736</v>
      </c>
      <c r="G8" s="81">
        <f>'Revenue Drivers'!G22</f>
        <v>5804</v>
      </c>
      <c r="H8" s="81">
        <f>'Revenue Drivers'!H22</f>
        <v>4910</v>
      </c>
      <c r="I8" s="10"/>
      <c r="J8" s="81">
        <f>'Revenue Drivers'!J22</f>
        <v>1661</v>
      </c>
      <c r="K8" s="81">
        <f>'Revenue Drivers'!K22</f>
        <v>1761</v>
      </c>
      <c r="L8" s="81">
        <f>'Revenue Drivers'!L22</f>
        <v>1543</v>
      </c>
      <c r="M8" s="81">
        <f>'Revenue Drivers'!M22</f>
        <v>1771</v>
      </c>
      <c r="N8" s="81">
        <f>'Revenue Drivers'!N22</f>
        <v>1398</v>
      </c>
      <c r="O8" s="81">
        <f>'Revenue Drivers'!O22</f>
        <v>1476</v>
      </c>
      <c r="P8" s="81">
        <f>'Revenue Drivers'!P22</f>
        <v>1312</v>
      </c>
      <c r="Q8" s="81">
        <f>'Revenue Drivers'!Q22</f>
        <v>1618</v>
      </c>
      <c r="R8" s="81">
        <f>'Revenue Drivers'!R22</f>
        <v>1150</v>
      </c>
      <c r="S8" s="81">
        <f>'Revenue Drivers'!S22</f>
        <v>1263</v>
      </c>
      <c r="T8" s="81">
        <f>'Revenue Drivers'!T22</f>
        <v>1124</v>
      </c>
      <c r="U8" s="81">
        <f>'Revenue Drivers'!U22</f>
        <v>1373</v>
      </c>
      <c r="V8" s="81">
        <f>'Revenue Drivers'!V22</f>
        <v>1058</v>
      </c>
      <c r="W8" s="81">
        <f>'Revenue Drivers'!W22</f>
        <v>1154</v>
      </c>
      <c r="X8" s="81">
        <f>'Revenue Drivers'!X22</f>
        <v>1029</v>
      </c>
      <c r="Y8" s="5"/>
      <c r="Z8" s="151">
        <f>SUM(K8:N8)</f>
        <v>6473</v>
      </c>
      <c r="AA8" s="151">
        <f>SUM(L8:O8)</f>
        <v>6188</v>
      </c>
      <c r="AB8" s="151">
        <f>SUM(M8:P8)</f>
        <v>5957</v>
      </c>
      <c r="AC8" s="151">
        <f>SUM(N8:Q8)</f>
        <v>5804</v>
      </c>
      <c r="AD8" s="151">
        <f>SUM(O8:R8)</f>
        <v>5556</v>
      </c>
      <c r="AE8" s="151">
        <f>SUM(P8:S8)</f>
        <v>5343</v>
      </c>
      <c r="AF8" s="151">
        <f>SUM(Q8:T8)</f>
        <v>5155</v>
      </c>
      <c r="AG8" s="151">
        <f>SUM(R8:U8)</f>
        <v>4910</v>
      </c>
      <c r="AH8" s="151">
        <f>SUM(S8:V8)</f>
        <v>4818</v>
      </c>
      <c r="AI8" s="151">
        <f>SUM(T8:W8)</f>
        <v>4709</v>
      </c>
      <c r="AJ8" s="151">
        <f t="shared" si="2"/>
        <v>4614</v>
      </c>
      <c r="AL8" s="109">
        <f t="shared" si="1"/>
        <v>-0.10494665373423862</v>
      </c>
    </row>
    <row r="9" spans="2:38" ht="12.75" customHeight="1">
      <c r="B9" s="9" t="s">
        <v>143</v>
      </c>
      <c r="C9" s="81">
        <f>'Revenue Drivers'!C23</f>
        <v>2597</v>
      </c>
      <c r="D9" s="81">
        <f>'Revenue Drivers'!D23</f>
        <v>3079</v>
      </c>
      <c r="E9" s="81">
        <f>'Revenue Drivers'!E23</f>
        <v>3275</v>
      </c>
      <c r="F9" s="81">
        <f>'Revenue Drivers'!F23</f>
        <v>3053</v>
      </c>
      <c r="G9" s="81">
        <f>'Revenue Drivers'!G23</f>
        <v>3363</v>
      </c>
      <c r="H9" s="81">
        <f>'Revenue Drivers'!H23</f>
        <v>2908</v>
      </c>
      <c r="I9" s="10"/>
      <c r="J9" s="81">
        <f>'Revenue Drivers'!J23</f>
        <v>630</v>
      </c>
      <c r="K9" s="81">
        <f>'Revenue Drivers'!K23</f>
        <v>559</v>
      </c>
      <c r="L9" s="81">
        <f>'Revenue Drivers'!L23</f>
        <v>546</v>
      </c>
      <c r="M9" s="81">
        <f>'Revenue Drivers'!M23</f>
        <v>1318</v>
      </c>
      <c r="N9" s="81">
        <f>'Revenue Drivers'!N23</f>
        <v>651</v>
      </c>
      <c r="O9" s="81">
        <f>'Revenue Drivers'!O23</f>
        <v>594</v>
      </c>
      <c r="P9" s="81">
        <f>'Revenue Drivers'!P23</f>
        <v>648</v>
      </c>
      <c r="Q9" s="81">
        <f>'Revenue Drivers'!Q23</f>
        <v>1470</v>
      </c>
      <c r="R9" s="81">
        <f>'Revenue Drivers'!R23</f>
        <v>566</v>
      </c>
      <c r="S9" s="81">
        <f>'Revenue Drivers'!S23</f>
        <v>537</v>
      </c>
      <c r="T9" s="81">
        <f>'Revenue Drivers'!T23</f>
        <v>526</v>
      </c>
      <c r="U9" s="81">
        <f>'Revenue Drivers'!U23</f>
        <v>1279</v>
      </c>
      <c r="V9" s="81">
        <f>'Revenue Drivers'!V23</f>
        <v>491</v>
      </c>
      <c r="W9" s="81">
        <f>'Revenue Drivers'!W23</f>
        <v>749</v>
      </c>
      <c r="X9" s="81">
        <f>'Revenue Drivers'!X23</f>
        <v>597</v>
      </c>
      <c r="Y9" s="5"/>
      <c r="Z9" s="151">
        <f>SUM(K9:N9)</f>
        <v>3074</v>
      </c>
      <c r="AA9" s="151">
        <f>SUM(L9:O9)</f>
        <v>3109</v>
      </c>
      <c r="AB9" s="151">
        <f>SUM(M9:P9)</f>
        <v>3211</v>
      </c>
      <c r="AC9" s="151">
        <f>SUM(N9:Q9)</f>
        <v>3363</v>
      </c>
      <c r="AD9" s="151">
        <f>SUM(O9:R9)</f>
        <v>3278</v>
      </c>
      <c r="AE9" s="151">
        <f>SUM(P9:S9)</f>
        <v>3221</v>
      </c>
      <c r="AF9" s="151">
        <f>SUM(Q9:T9)</f>
        <v>3099</v>
      </c>
      <c r="AG9" s="151">
        <f>SUM(R9:U9)</f>
        <v>2908</v>
      </c>
      <c r="AH9" s="151">
        <f>SUM(S9:V9)</f>
        <v>2833</v>
      </c>
      <c r="AI9" s="151">
        <f>SUM(T9:W9)</f>
        <v>3045</v>
      </c>
      <c r="AJ9" s="151">
        <f t="shared" si="2"/>
        <v>3116</v>
      </c>
      <c r="AL9" s="109">
        <f t="shared" si="1"/>
        <v>5.4856405292029731E-3</v>
      </c>
    </row>
    <row r="10" spans="2:38" ht="12.75" customHeight="1">
      <c r="B10" s="9" t="s">
        <v>147</v>
      </c>
      <c r="C10" s="81">
        <f>'Revenue Drivers'!C24</f>
        <v>2325</v>
      </c>
      <c r="D10" s="81">
        <f>'Revenue Drivers'!D24</f>
        <v>2252</v>
      </c>
      <c r="E10" s="81">
        <f>'Revenue Drivers'!E24</f>
        <v>2380</v>
      </c>
      <c r="F10" s="81">
        <f>'Revenue Drivers'!F24</f>
        <v>2332</v>
      </c>
      <c r="G10" s="81">
        <f>'Revenue Drivers'!G24</f>
        <v>2530</v>
      </c>
      <c r="H10" s="81">
        <f>'Revenue Drivers'!H24</f>
        <v>2631</v>
      </c>
      <c r="I10" s="10"/>
      <c r="J10" s="81">
        <f>'Revenue Drivers'!J24</f>
        <v>543</v>
      </c>
      <c r="K10" s="81">
        <f>'Revenue Drivers'!K24</f>
        <v>553</v>
      </c>
      <c r="L10" s="81">
        <f>'Revenue Drivers'!L24</f>
        <v>576</v>
      </c>
      <c r="M10" s="81">
        <f>'Revenue Drivers'!M24</f>
        <v>660</v>
      </c>
      <c r="N10" s="81">
        <f>'Revenue Drivers'!N24</f>
        <v>573</v>
      </c>
      <c r="O10" s="81">
        <f>'Revenue Drivers'!O24</f>
        <v>588</v>
      </c>
      <c r="P10" s="81">
        <f>'Revenue Drivers'!P24</f>
        <v>608</v>
      </c>
      <c r="Q10" s="81">
        <f>'Revenue Drivers'!Q24</f>
        <v>761</v>
      </c>
      <c r="R10" s="81">
        <f>'Revenue Drivers'!R24</f>
        <v>617</v>
      </c>
      <c r="S10" s="81">
        <f>'Revenue Drivers'!S24</f>
        <v>628</v>
      </c>
      <c r="T10" s="81">
        <f>'Revenue Drivers'!T24</f>
        <v>648</v>
      </c>
      <c r="U10" s="81">
        <f>'Revenue Drivers'!U24</f>
        <v>738</v>
      </c>
      <c r="V10" s="81">
        <f>'Revenue Drivers'!V24</f>
        <v>616</v>
      </c>
      <c r="W10" s="81">
        <f>'Revenue Drivers'!W24</f>
        <v>620</v>
      </c>
      <c r="X10" s="81">
        <f>'Revenue Drivers'!X24</f>
        <v>638</v>
      </c>
      <c r="Y10" s="5"/>
      <c r="Z10" s="151">
        <f>SUM(K10:N10)</f>
        <v>2362</v>
      </c>
      <c r="AA10" s="151">
        <f>SUM(L10:O10)</f>
        <v>2397</v>
      </c>
      <c r="AB10" s="151">
        <f>SUM(M10:P10)</f>
        <v>2429</v>
      </c>
      <c r="AC10" s="151">
        <f>SUM(N10:Q10)</f>
        <v>2530</v>
      </c>
      <c r="AD10" s="151">
        <f>SUM(O10:R10)</f>
        <v>2574</v>
      </c>
      <c r="AE10" s="151">
        <f>SUM(P10:S10)</f>
        <v>2614</v>
      </c>
      <c r="AF10" s="151">
        <f>SUM(Q10:T10)</f>
        <v>2654</v>
      </c>
      <c r="AG10" s="151">
        <f>SUM(R10:U10)</f>
        <v>2631</v>
      </c>
      <c r="AH10" s="151">
        <f>SUM(S10:V10)</f>
        <v>2630</v>
      </c>
      <c r="AI10" s="151">
        <f>SUM(T10:W10)</f>
        <v>2622</v>
      </c>
      <c r="AJ10" s="151">
        <f t="shared" si="2"/>
        <v>2612</v>
      </c>
      <c r="AL10" s="109">
        <f t="shared" si="1"/>
        <v>-1.5825169555388041E-2</v>
      </c>
    </row>
    <row r="11" spans="2:38" ht="12.75" customHeight="1">
      <c r="B11" s="9" t="s">
        <v>148</v>
      </c>
      <c r="C11" s="81">
        <f>'Revenue Drivers'!C25</f>
        <v>215</v>
      </c>
      <c r="D11" s="81">
        <f>'Revenue Drivers'!D25</f>
        <v>194</v>
      </c>
      <c r="E11" s="81">
        <f>'Revenue Drivers'!E25</f>
        <v>258</v>
      </c>
      <c r="F11" s="81">
        <f>'Revenue Drivers'!F25</f>
        <v>317</v>
      </c>
      <c r="G11" s="81">
        <f>'Revenue Drivers'!G25</f>
        <v>304</v>
      </c>
      <c r="H11" s="81">
        <f>'Revenue Drivers'!H25</f>
        <v>333</v>
      </c>
      <c r="I11" s="10"/>
      <c r="J11" s="81">
        <f>'Revenue Drivers'!J25</f>
        <v>75</v>
      </c>
      <c r="K11" s="81">
        <f>'Revenue Drivers'!K25</f>
        <v>97</v>
      </c>
      <c r="L11" s="81">
        <f>'Revenue Drivers'!L25</f>
        <v>87</v>
      </c>
      <c r="M11" s="81">
        <f>'Revenue Drivers'!M25</f>
        <v>58</v>
      </c>
      <c r="N11" s="81">
        <f>'Revenue Drivers'!N25</f>
        <v>65</v>
      </c>
      <c r="O11" s="81">
        <f>'Revenue Drivers'!O25</f>
        <v>90</v>
      </c>
      <c r="P11" s="81">
        <f>'Revenue Drivers'!P25</f>
        <v>83</v>
      </c>
      <c r="Q11" s="81">
        <f>'Revenue Drivers'!Q25</f>
        <v>66</v>
      </c>
      <c r="R11" s="81">
        <f>'Revenue Drivers'!R25</f>
        <v>71</v>
      </c>
      <c r="S11" s="81">
        <f>'Revenue Drivers'!S25</f>
        <v>96</v>
      </c>
      <c r="T11" s="81">
        <f>'Revenue Drivers'!T25</f>
        <v>77</v>
      </c>
      <c r="U11" s="81">
        <f>'Revenue Drivers'!U25</f>
        <v>89</v>
      </c>
      <c r="V11" s="81">
        <f>'Revenue Drivers'!V25</f>
        <v>76</v>
      </c>
      <c r="W11" s="81">
        <f>'Revenue Drivers'!W25</f>
        <v>90</v>
      </c>
      <c r="X11" s="81">
        <f>'Revenue Drivers'!X25</f>
        <v>67</v>
      </c>
      <c r="Y11" s="5"/>
      <c r="Z11" s="151">
        <f>SUM(K11:N11)</f>
        <v>307</v>
      </c>
      <c r="AA11" s="151">
        <f>SUM(L11:O11)</f>
        <v>300</v>
      </c>
      <c r="AB11" s="151">
        <f>SUM(M11:P11)</f>
        <v>296</v>
      </c>
      <c r="AC11" s="151">
        <f>SUM(N11:Q11)</f>
        <v>304</v>
      </c>
      <c r="AD11" s="151">
        <f>SUM(O11:R11)</f>
        <v>310</v>
      </c>
      <c r="AE11" s="151">
        <f>SUM(P11:S11)</f>
        <v>316</v>
      </c>
      <c r="AF11" s="151">
        <f>SUM(Q11:T11)</f>
        <v>310</v>
      </c>
      <c r="AG11" s="151">
        <f>SUM(R11:U11)</f>
        <v>333</v>
      </c>
      <c r="AH11" s="151">
        <f>SUM(S11:V11)</f>
        <v>338</v>
      </c>
      <c r="AI11" s="151">
        <f>SUM(T11:W11)</f>
        <v>332</v>
      </c>
      <c r="AJ11" s="151">
        <f t="shared" si="2"/>
        <v>322</v>
      </c>
      <c r="AL11" s="109">
        <f t="shared" si="1"/>
        <v>3.8709677419354938E-2</v>
      </c>
    </row>
    <row r="12" spans="2:38" ht="12.75" customHeight="1">
      <c r="B12" s="12" t="s">
        <v>12</v>
      </c>
      <c r="C12" s="13">
        <f>SUM(C6:C11)</f>
        <v>43638</v>
      </c>
      <c r="D12" s="13">
        <f>SUM(D6:D11)</f>
        <v>47262</v>
      </c>
      <c r="E12" s="13">
        <f>SUM(E6:E11)</f>
        <v>51761</v>
      </c>
      <c r="F12" s="13">
        <f>SUM(F6:F11)</f>
        <v>46298</v>
      </c>
      <c r="G12" s="13">
        <f>SUM(G6:G11)</f>
        <v>43452</v>
      </c>
      <c r="H12" s="13">
        <f>SUM(H6:H11)</f>
        <v>41528</v>
      </c>
      <c r="I12" s="10"/>
      <c r="J12" s="13">
        <f>SUM(J6:J11)</f>
        <v>10647</v>
      </c>
      <c r="K12" s="13">
        <f>SUM(K6:K11)</f>
        <v>10329</v>
      </c>
      <c r="L12" s="13">
        <f>SUM(L6:L11)</f>
        <v>10587</v>
      </c>
      <c r="M12" s="13">
        <f>SUM(M6:M11)</f>
        <v>14735</v>
      </c>
      <c r="N12" s="13">
        <f>SUM(N6:N11)</f>
        <v>9467</v>
      </c>
      <c r="O12" s="13">
        <f>SUM(O6:O11)</f>
        <v>9583</v>
      </c>
      <c r="P12" s="13">
        <f>SUM(P6:P11)</f>
        <v>9756</v>
      </c>
      <c r="Q12" s="13">
        <f>SUM(Q6:Q11)</f>
        <v>14646</v>
      </c>
      <c r="R12" s="13">
        <f>SUM(R6:R11)</f>
        <v>8847</v>
      </c>
      <c r="S12" s="13">
        <f>SUM(S6:S11)</f>
        <v>9288</v>
      </c>
      <c r="T12" s="13">
        <f>SUM(T6:T11)</f>
        <v>9445</v>
      </c>
      <c r="U12" s="13">
        <f>SUM(U6:U11)</f>
        <v>13948</v>
      </c>
      <c r="V12" s="13">
        <f t="shared" ref="V12:X12" si="3">SUM(V6:V11)</f>
        <v>8767</v>
      </c>
      <c r="W12" s="13">
        <f t="shared" si="3"/>
        <v>9438</v>
      </c>
      <c r="X12" s="13">
        <f t="shared" si="3"/>
        <v>9672</v>
      </c>
      <c r="Y12" s="5"/>
      <c r="Z12" s="13">
        <f>SUM(Z6:Z11)</f>
        <v>45118</v>
      </c>
      <c r="AA12" s="13">
        <f>SUM(AA6:AA11)</f>
        <v>44372</v>
      </c>
      <c r="AB12" s="13">
        <f>SUM(AB6:AB11)</f>
        <v>43541</v>
      </c>
      <c r="AC12" s="13">
        <f>SUM(AC6:AC11)</f>
        <v>43452</v>
      </c>
      <c r="AD12" s="13">
        <f>SUM(AD6:AD11)</f>
        <v>42832</v>
      </c>
      <c r="AE12" s="13">
        <f>SUM(AE6:AE11)</f>
        <v>42537</v>
      </c>
      <c r="AF12" s="13">
        <f>SUM(AF6:AF11)</f>
        <v>42226</v>
      </c>
      <c r="AG12" s="13">
        <f>SUM(AG6:AG11)</f>
        <v>41528</v>
      </c>
      <c r="AH12" s="13">
        <f>SUM(AH6:AH11)</f>
        <v>41448</v>
      </c>
      <c r="AI12" s="13">
        <f>SUM(AI6:AI11)</f>
        <v>41598</v>
      </c>
      <c r="AJ12" s="13">
        <f>SUM(AJ6:AJ11)</f>
        <v>41825</v>
      </c>
      <c r="AL12" s="110">
        <f>SUM(AJ12/AF12)-1</f>
        <v>-9.4965187325344314E-3</v>
      </c>
    </row>
    <row r="13" spans="2:38" ht="12.75" customHeight="1">
      <c r="B13" s="14" t="s">
        <v>30</v>
      </c>
      <c r="C13" s="100"/>
      <c r="D13" s="15">
        <f t="shared" ref="D13:E13" si="4">SUM(D12/C12)-1</f>
        <v>8.3046885741784759E-2</v>
      </c>
      <c r="E13" s="15">
        <f t="shared" si="4"/>
        <v>9.5192755279082553E-2</v>
      </c>
      <c r="F13" s="15">
        <f>SUM(F12/E12)-1</f>
        <v>-0.10554278317652288</v>
      </c>
      <c r="G13" s="15">
        <f>SUM(G12/F12)-1</f>
        <v>-6.1471337854766994E-2</v>
      </c>
      <c r="H13" s="15">
        <f>SUM(H12/G12)-1</f>
        <v>-4.4278744361594402E-2</v>
      </c>
      <c r="I13" s="11"/>
      <c r="J13" s="100"/>
      <c r="K13" s="100"/>
      <c r="L13" s="100"/>
      <c r="M13" s="100"/>
      <c r="N13" s="15">
        <f t="shared" ref="N13:U13" si="5">SUM(N12/J12)-1</f>
        <v>-0.11082934159857238</v>
      </c>
      <c r="O13" s="15">
        <f t="shared" si="5"/>
        <v>-7.2223835802110559E-2</v>
      </c>
      <c r="P13" s="15">
        <f t="shared" si="5"/>
        <v>-7.8492490790592284E-2</v>
      </c>
      <c r="Q13" s="15">
        <f t="shared" si="5"/>
        <v>-6.0400407193755834E-3</v>
      </c>
      <c r="R13" s="15">
        <f t="shared" si="5"/>
        <v>-6.5490651737614924E-2</v>
      </c>
      <c r="S13" s="15">
        <f t="shared" si="5"/>
        <v>-3.078367943232807E-2</v>
      </c>
      <c r="T13" s="15">
        <f t="shared" si="5"/>
        <v>-3.1877818778187739E-2</v>
      </c>
      <c r="U13" s="15">
        <f t="shared" si="5"/>
        <v>-4.7658063635122261E-2</v>
      </c>
      <c r="V13" s="15">
        <f t="shared" ref="V13" si="6">SUM(V12/R12)-1</f>
        <v>-9.0426133152481381E-3</v>
      </c>
      <c r="W13" s="15">
        <f t="shared" ref="W13" si="7">SUM(W12/S12)-1</f>
        <v>1.6149870801033694E-2</v>
      </c>
      <c r="X13" s="15">
        <f t="shared" ref="X13" si="8">SUM(X12/T12)-1</f>
        <v>2.4033880359978887E-2</v>
      </c>
      <c r="Y13" s="5"/>
      <c r="Z13" s="100"/>
      <c r="AA13" s="100"/>
      <c r="AB13" s="100"/>
      <c r="AC13" s="100"/>
      <c r="AD13" s="15">
        <f>SUM(AD12/Z12)-1</f>
        <v>-5.0667139500864433E-2</v>
      </c>
      <c r="AE13" s="15">
        <f>SUM(AE12/AA12)-1</f>
        <v>-4.1354908500856435E-2</v>
      </c>
      <c r="AF13" s="15">
        <f>SUM(AF12/AB12)-1</f>
        <v>-3.0201419351875258E-2</v>
      </c>
      <c r="AG13" s="15">
        <f>SUM(AG12/AC12)-1</f>
        <v>-4.4278744361594402E-2</v>
      </c>
      <c r="AH13" s="15">
        <f>SUM(AH12/AD12)-1</f>
        <v>-3.2312289876727629E-2</v>
      </c>
      <c r="AI13" s="15">
        <f>SUM(AI12/AE12)-1</f>
        <v>-2.2074899499259448E-2</v>
      </c>
      <c r="AJ13" s="15">
        <f>SUM(AJ12/AF12)-1</f>
        <v>-9.4965187325344314E-3</v>
      </c>
      <c r="AL13" s="111">
        <f>SUM(AJ13-AF13)*10000</f>
        <v>207.04900619340827</v>
      </c>
    </row>
    <row r="14" spans="2:38" ht="12.75" customHeight="1">
      <c r="B14" s="14" t="s">
        <v>31</v>
      </c>
      <c r="C14" s="15" t="s">
        <v>32</v>
      </c>
      <c r="D14" s="15" t="s">
        <v>32</v>
      </c>
      <c r="E14" s="15" t="s">
        <v>32</v>
      </c>
      <c r="F14" s="15" t="s">
        <v>32</v>
      </c>
      <c r="G14" s="15" t="s">
        <v>32</v>
      </c>
      <c r="H14" s="15" t="s">
        <v>32</v>
      </c>
      <c r="I14" s="11"/>
      <c r="J14" s="100"/>
      <c r="K14" s="15">
        <f>SUM(K12/J12)-1</f>
        <v>-2.9867568329106753E-2</v>
      </c>
      <c r="L14" s="15">
        <f>SUM(L12/K12)-1</f>
        <v>2.4978216671507347E-2</v>
      </c>
      <c r="M14" s="15">
        <f>SUM(M12/L12)-1</f>
        <v>0.39180126570322082</v>
      </c>
      <c r="N14" s="15">
        <f>SUM(N12/M12)-1</f>
        <v>-0.35751611808618933</v>
      </c>
      <c r="O14" s="15">
        <f t="shared" ref="O14:U14" si="9">SUM(O12/N12)-1</f>
        <v>1.2253089679940876E-2</v>
      </c>
      <c r="P14" s="15">
        <f t="shared" si="9"/>
        <v>1.805280183658553E-2</v>
      </c>
      <c r="Q14" s="15">
        <f t="shared" si="9"/>
        <v>0.50123001230012298</v>
      </c>
      <c r="R14" s="15">
        <f t="shared" si="9"/>
        <v>-0.39594428512904545</v>
      </c>
      <c r="S14" s="15">
        <f t="shared" si="9"/>
        <v>4.984740590030512E-2</v>
      </c>
      <c r="T14" s="15">
        <f t="shared" si="9"/>
        <v>1.6903531438415165E-2</v>
      </c>
      <c r="U14" s="15">
        <f t="shared" si="9"/>
        <v>0.4767601905770249</v>
      </c>
      <c r="V14" s="15">
        <f t="shared" ref="V14" si="10">SUM(V12/U12)-1</f>
        <v>-0.37145110410094639</v>
      </c>
      <c r="W14" s="15">
        <f t="shared" ref="W14" si="11">SUM(W12/V12)-1</f>
        <v>7.6537013801756482E-2</v>
      </c>
      <c r="X14" s="15">
        <f t="shared" ref="X14" si="12">SUM(X12/W12)-1</f>
        <v>2.4793388429751984E-2</v>
      </c>
      <c r="Y14" s="5"/>
      <c r="Z14" s="15" t="s">
        <v>32</v>
      </c>
      <c r="AA14" s="15" t="s">
        <v>32</v>
      </c>
      <c r="AB14" s="15" t="s">
        <v>32</v>
      </c>
      <c r="AC14" s="15" t="s">
        <v>32</v>
      </c>
      <c r="AD14" s="15" t="s">
        <v>32</v>
      </c>
      <c r="AE14" s="15" t="s">
        <v>32</v>
      </c>
      <c r="AF14" s="15" t="s">
        <v>32</v>
      </c>
      <c r="AG14" s="15" t="s">
        <v>32</v>
      </c>
      <c r="AH14" s="15" t="s">
        <v>32</v>
      </c>
      <c r="AI14" s="15" t="s">
        <v>32</v>
      </c>
      <c r="AJ14" s="15" t="s">
        <v>32</v>
      </c>
      <c r="AL14" s="108"/>
    </row>
    <row r="15" spans="2:38" ht="5.0999999999999996" customHeight="1">
      <c r="B15" s="16"/>
      <c r="C15" s="17"/>
      <c r="D15" s="17"/>
      <c r="E15" s="17"/>
      <c r="F15" s="17"/>
      <c r="G15" s="17"/>
      <c r="H15" s="17"/>
      <c r="I15" s="18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L15" s="108"/>
    </row>
    <row r="16" spans="2:38" ht="12.75" customHeight="1">
      <c r="B16" s="21" t="s">
        <v>33</v>
      </c>
      <c r="C16" s="81">
        <f>'Historical Financials'!C13</f>
        <v>-33590</v>
      </c>
      <c r="D16" s="81">
        <f>'Historical Financials'!D13</f>
        <v>-36689</v>
      </c>
      <c r="E16" s="81">
        <f>'Historical Financials'!E13</f>
        <v>-40121</v>
      </c>
      <c r="F16" s="81">
        <f>'Historical Financials'!F13</f>
        <v>-36386</v>
      </c>
      <c r="G16" s="81">
        <f>'Historical Financials'!G13</f>
        <v>-33849</v>
      </c>
      <c r="H16" s="81">
        <f>'Historical Financials'!H13</f>
        <v>-32143</v>
      </c>
      <c r="I16" s="10"/>
      <c r="J16" s="81">
        <f>'Historical Financials'!J13</f>
        <v>-8294</v>
      </c>
      <c r="K16" s="81">
        <f>'Historical Financials'!K13</f>
        <v>-8042</v>
      </c>
      <c r="L16" s="81">
        <f>'Historical Financials'!L13</f>
        <v>-8255</v>
      </c>
      <c r="M16" s="81">
        <f>'Historical Financials'!M13</f>
        <v>-11795</v>
      </c>
      <c r="N16" s="81">
        <f>'Historical Financials'!N13</f>
        <v>-7317</v>
      </c>
      <c r="O16" s="81">
        <f>'Historical Financials'!O13</f>
        <v>-7363</v>
      </c>
      <c r="P16" s="81">
        <f>'Historical Financials'!P13</f>
        <v>-7524</v>
      </c>
      <c r="Q16" s="81">
        <f>'Historical Financials'!Q13</f>
        <v>-11645</v>
      </c>
      <c r="R16" s="81">
        <f>'Historical Financials'!R13</f>
        <v>-6783</v>
      </c>
      <c r="S16" s="81">
        <f>'Historical Financials'!S13</f>
        <v>-7102</v>
      </c>
      <c r="T16" s="81">
        <f>'Historical Financials'!T13</f>
        <v>-7228</v>
      </c>
      <c r="U16" s="81">
        <f>'Historical Financials'!U13</f>
        <v>-11030</v>
      </c>
      <c r="V16" s="81">
        <f>'Historical Financials'!V13</f>
        <v>-6718</v>
      </c>
      <c r="W16" s="81">
        <f>'Historical Financials'!W13</f>
        <v>-7244</v>
      </c>
      <c r="X16" s="81">
        <f>'Historical Financials'!X13</f>
        <v>-7424</v>
      </c>
      <c r="Y16" s="5"/>
      <c r="Z16" s="151">
        <f t="shared" ref="Z16:AB16" si="13">SUM(K16:N16)</f>
        <v>-35409</v>
      </c>
      <c r="AA16" s="151">
        <f t="shared" si="13"/>
        <v>-34730</v>
      </c>
      <c r="AB16" s="151">
        <f t="shared" si="13"/>
        <v>-33999</v>
      </c>
      <c r="AC16" s="151">
        <f t="shared" ref="AC16" si="14">SUM(N16:Q16)</f>
        <v>-33849</v>
      </c>
      <c r="AD16" s="151">
        <f t="shared" ref="AD16" si="15">SUM(O16:R16)</f>
        <v>-33315</v>
      </c>
      <c r="AE16" s="151">
        <f t="shared" ref="AE16" si="16">SUM(P16:S16)</f>
        <v>-33054</v>
      </c>
      <c r="AF16" s="151">
        <f t="shared" ref="AF16" si="17">SUM(Q16:T16)</f>
        <v>-32758</v>
      </c>
      <c r="AG16" s="151">
        <f t="shared" ref="AG16" si="18">SUM(R16:U16)</f>
        <v>-32143</v>
      </c>
      <c r="AH16" s="151">
        <f t="shared" ref="AH16" si="19">SUM(S16:V16)</f>
        <v>-32078</v>
      </c>
      <c r="AI16" s="151">
        <f t="shared" ref="AI16" si="20">SUM(T16:W16)</f>
        <v>-32220</v>
      </c>
      <c r="AJ16" s="151">
        <f>SUM(U16:X16)</f>
        <v>-32416</v>
      </c>
      <c r="AL16" s="109">
        <f>SUM(AJ16/AF16)-1</f>
        <v>-1.044019781427441E-2</v>
      </c>
    </row>
    <row r="17" spans="2:38" ht="12.75" customHeight="1">
      <c r="B17" s="23" t="s">
        <v>24</v>
      </c>
      <c r="C17" s="24">
        <f>SUM(C12+SUM(C16:C16))</f>
        <v>10048</v>
      </c>
      <c r="D17" s="24">
        <f>SUM(D12+SUM(D16:D16))</f>
        <v>10573</v>
      </c>
      <c r="E17" s="24">
        <f>SUM(E12+SUM(E16:E16))</f>
        <v>11640</v>
      </c>
      <c r="F17" s="24">
        <f>SUM(F12+SUM(F16:F16))</f>
        <v>9912</v>
      </c>
      <c r="G17" s="24">
        <f>SUM(G12+SUM(G16:G16))</f>
        <v>9603</v>
      </c>
      <c r="H17" s="24">
        <f>SUM(H12+SUM(H16:H16))</f>
        <v>9385</v>
      </c>
      <c r="I17" s="5"/>
      <c r="J17" s="24">
        <f>SUM(J12+SUM(J16:J16))</f>
        <v>2353</v>
      </c>
      <c r="K17" s="24">
        <f>SUM(K12+SUM(K16:K16))</f>
        <v>2287</v>
      </c>
      <c r="L17" s="24">
        <f>SUM(L12+SUM(L16:L16))</f>
        <v>2332</v>
      </c>
      <c r="M17" s="24">
        <f>SUM(M12+SUM(M16:M16))</f>
        <v>2940</v>
      </c>
      <c r="N17" s="24">
        <f t="shared" ref="N17:S17" si="21">SUM(N12+SUM(N16:N16))</f>
        <v>2150</v>
      </c>
      <c r="O17" s="24">
        <f t="shared" si="21"/>
        <v>2220</v>
      </c>
      <c r="P17" s="24">
        <f t="shared" si="21"/>
        <v>2232</v>
      </c>
      <c r="Q17" s="24">
        <f t="shared" si="21"/>
        <v>3001</v>
      </c>
      <c r="R17" s="24">
        <f t="shared" si="21"/>
        <v>2064</v>
      </c>
      <c r="S17" s="24">
        <f t="shared" si="21"/>
        <v>2186</v>
      </c>
      <c r="T17" s="24">
        <f t="shared" ref="T17:U17" si="22">SUM(T12+SUM(T16:T16))</f>
        <v>2217</v>
      </c>
      <c r="U17" s="24">
        <f t="shared" si="22"/>
        <v>2918</v>
      </c>
      <c r="V17" s="24">
        <f t="shared" ref="V17:X17" si="23">SUM(V12+SUM(V16:V16))</f>
        <v>2049</v>
      </c>
      <c r="W17" s="24">
        <f t="shared" si="23"/>
        <v>2194</v>
      </c>
      <c r="X17" s="24">
        <f t="shared" si="23"/>
        <v>2248</v>
      </c>
      <c r="Y17" s="5"/>
      <c r="Z17" s="24">
        <f t="shared" ref="Z17" si="24">SUM(Z12+SUM(Z16:Z16))</f>
        <v>9709</v>
      </c>
      <c r="AA17" s="24">
        <f t="shared" ref="AA17" si="25">SUM(AA12+SUM(AA16:AA16))</f>
        <v>9642</v>
      </c>
      <c r="AB17" s="24">
        <f t="shared" ref="AB17:AJ17" si="26">SUM(AB12+SUM(AB16:AB16))</f>
        <v>9542</v>
      </c>
      <c r="AC17" s="24">
        <f t="shared" si="26"/>
        <v>9603</v>
      </c>
      <c r="AD17" s="24">
        <f t="shared" si="26"/>
        <v>9517</v>
      </c>
      <c r="AE17" s="24">
        <f t="shared" si="26"/>
        <v>9483</v>
      </c>
      <c r="AF17" s="24">
        <f t="shared" si="26"/>
        <v>9468</v>
      </c>
      <c r="AG17" s="24">
        <f t="shared" si="26"/>
        <v>9385</v>
      </c>
      <c r="AH17" s="24">
        <f t="shared" si="26"/>
        <v>9370</v>
      </c>
      <c r="AI17" s="24">
        <f t="shared" si="26"/>
        <v>9378</v>
      </c>
      <c r="AJ17" s="24">
        <f t="shared" si="26"/>
        <v>9409</v>
      </c>
      <c r="AL17" s="110">
        <f>SUM(AJ17/AF17)-1</f>
        <v>-6.2315166877904282E-3</v>
      </c>
    </row>
    <row r="18" spans="2:38" ht="12.75" customHeight="1">
      <c r="B18" s="14" t="s">
        <v>34</v>
      </c>
      <c r="C18" s="15">
        <f>C17/C12</f>
        <v>0.23025803199046702</v>
      </c>
      <c r="D18" s="15">
        <f>D17/D12</f>
        <v>0.22371038043248276</v>
      </c>
      <c r="E18" s="15">
        <f>E17/E12</f>
        <v>0.22487973570835185</v>
      </c>
      <c r="F18" s="15">
        <f>F17/F12</f>
        <v>0.21409132143937104</v>
      </c>
      <c r="G18" s="15">
        <f>G17/G12</f>
        <v>0.22100248550124274</v>
      </c>
      <c r="H18" s="15">
        <f>H17/H12</f>
        <v>0.22599210171450587</v>
      </c>
      <c r="I18" s="25"/>
      <c r="J18" s="15">
        <f>J17/J12</f>
        <v>0.22100122100122099</v>
      </c>
      <c r="K18" s="15">
        <f>K17/K12</f>
        <v>0.22141543227805208</v>
      </c>
      <c r="L18" s="15">
        <f>L17/L12</f>
        <v>0.22027014262775102</v>
      </c>
      <c r="M18" s="15">
        <f>M17/M12</f>
        <v>0.1995249406175772</v>
      </c>
      <c r="N18" s="15">
        <f t="shared" ref="N18:S18" si="27">N17/N12</f>
        <v>0.22710467941269674</v>
      </c>
      <c r="O18" s="15">
        <f t="shared" si="27"/>
        <v>0.23166023166023167</v>
      </c>
      <c r="P18" s="15">
        <f t="shared" si="27"/>
        <v>0.22878228782287824</v>
      </c>
      <c r="Q18" s="15">
        <f t="shared" si="27"/>
        <v>0.2049023624197733</v>
      </c>
      <c r="R18" s="15">
        <f t="shared" si="27"/>
        <v>0.23329942353340116</v>
      </c>
      <c r="S18" s="15">
        <f t="shared" si="27"/>
        <v>0.23535745047372955</v>
      </c>
      <c r="T18" s="15">
        <f t="shared" ref="T18:U18" si="28">T17/T12</f>
        <v>0.23472736897829538</v>
      </c>
      <c r="U18" s="15">
        <f t="shared" si="28"/>
        <v>0.20920562087754516</v>
      </c>
      <c r="V18" s="15">
        <f t="shared" ref="V18:X18" si="29">V17/V12</f>
        <v>0.23371734915022244</v>
      </c>
      <c r="W18" s="15">
        <f t="shared" si="29"/>
        <v>0.23246450519177791</v>
      </c>
      <c r="X18" s="15">
        <f t="shared" si="29"/>
        <v>0.23242349048800662</v>
      </c>
      <c r="Y18" s="26"/>
      <c r="Z18" s="15">
        <f t="shared" ref="Z18" si="30">Z17/Z12</f>
        <v>0.21519127620905182</v>
      </c>
      <c r="AA18" s="15">
        <f t="shared" ref="AA18" si="31">AA17/AA12</f>
        <v>0.21729919769223835</v>
      </c>
      <c r="AB18" s="15">
        <f t="shared" ref="AB18:AJ18" si="32">AB17/AB12</f>
        <v>0.21914976688638296</v>
      </c>
      <c r="AC18" s="15">
        <f t="shared" si="32"/>
        <v>0.22100248550124274</v>
      </c>
      <c r="AD18" s="15">
        <f t="shared" si="32"/>
        <v>0.22219368696301831</v>
      </c>
      <c r="AE18" s="15">
        <f t="shared" si="32"/>
        <v>0.22293532689188236</v>
      </c>
      <c r="AF18" s="15">
        <f t="shared" si="32"/>
        <v>0.22422204329086345</v>
      </c>
      <c r="AG18" s="15">
        <f t="shared" si="32"/>
        <v>0.22599210171450587</v>
      </c>
      <c r="AH18" s="15">
        <f t="shared" si="32"/>
        <v>0.22606639644856205</v>
      </c>
      <c r="AI18" s="15">
        <f t="shared" si="32"/>
        <v>0.22544353093898745</v>
      </c>
      <c r="AJ18" s="15">
        <f t="shared" si="32"/>
        <v>0.2249611476389719</v>
      </c>
      <c r="AL18" s="111">
        <f>SUM(AJ18-AF18)*10000</f>
        <v>7.3910434810844912</v>
      </c>
    </row>
    <row r="19" spans="2:38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5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L19" s="108"/>
    </row>
    <row r="20" spans="2:38" ht="12.75" customHeight="1">
      <c r="B20" s="21" t="s">
        <v>174</v>
      </c>
      <c r="C20" s="152">
        <f>'Historical Financials'!C17</f>
        <v>-7998</v>
      </c>
      <c r="D20" s="152">
        <f>'Historical Financials'!D17</f>
        <v>-7928</v>
      </c>
      <c r="E20" s="152">
        <f>'Historical Financials'!E17</f>
        <v>-8635</v>
      </c>
      <c r="F20" s="152">
        <f>'Historical Financials'!F17</f>
        <v>-7970</v>
      </c>
      <c r="G20" s="152">
        <f>'Historical Financials'!G17</f>
        <v>-7876</v>
      </c>
      <c r="H20" s="152">
        <f>'Historical Financials'!H17</f>
        <v>-7651</v>
      </c>
      <c r="I20" s="81"/>
      <c r="J20" s="152">
        <f>'Historical Financials'!J17</f>
        <v>-1890</v>
      </c>
      <c r="K20" s="152">
        <f>'Historical Financials'!K17</f>
        <v>-1882</v>
      </c>
      <c r="L20" s="152">
        <f>'Historical Financials'!L17</f>
        <v>-1941</v>
      </c>
      <c r="M20" s="152">
        <f>'Historical Financials'!M17</f>
        <v>-2257</v>
      </c>
      <c r="N20" s="152">
        <f>'Historical Financials'!N17</f>
        <v>-1848</v>
      </c>
      <c r="O20" s="152">
        <f>'Historical Financials'!O17</f>
        <v>-1879</v>
      </c>
      <c r="P20" s="152">
        <f>'Historical Financials'!P17</f>
        <v>-1878</v>
      </c>
      <c r="Q20" s="152">
        <f>'Historical Financials'!Q17</f>
        <v>-2271</v>
      </c>
      <c r="R20" s="152">
        <f>'Historical Financials'!R17</f>
        <v>-1737</v>
      </c>
      <c r="S20" s="152">
        <f>'Historical Financials'!S17</f>
        <v>-1810</v>
      </c>
      <c r="T20" s="152">
        <f>'Historical Financials'!T17</f>
        <v>-1871</v>
      </c>
      <c r="U20" s="152">
        <f>'Historical Financials'!U17</f>
        <v>-2233</v>
      </c>
      <c r="V20" s="152">
        <f>'Historical Financials'!V17</f>
        <v>-1721</v>
      </c>
      <c r="W20" s="152">
        <f>'Historical Financials'!W17</f>
        <v>-1829</v>
      </c>
      <c r="X20" s="152">
        <f>'Historical Financials'!X17</f>
        <v>-1884</v>
      </c>
      <c r="Y20" s="5"/>
      <c r="Z20" s="151">
        <f t="shared" ref="Z20:AB21" si="33">SUM(K20:N20)</f>
        <v>-7928</v>
      </c>
      <c r="AA20" s="151">
        <f t="shared" si="33"/>
        <v>-7925</v>
      </c>
      <c r="AB20" s="151">
        <f t="shared" si="33"/>
        <v>-7862</v>
      </c>
      <c r="AC20" s="151">
        <f t="shared" ref="AC20:AC21" si="34">SUM(N20:Q20)</f>
        <v>-7876</v>
      </c>
      <c r="AD20" s="151">
        <f t="shared" ref="AD20:AD21" si="35">SUM(O20:R20)</f>
        <v>-7765</v>
      </c>
      <c r="AE20" s="151">
        <f t="shared" ref="AE20:AE21" si="36">SUM(P20:S20)</f>
        <v>-7696</v>
      </c>
      <c r="AF20" s="151">
        <f t="shared" ref="AF20:AF21" si="37">SUM(Q20:T20)</f>
        <v>-7689</v>
      </c>
      <c r="AG20" s="151">
        <f t="shared" ref="AG20:AG21" si="38">SUM(R20:U20)</f>
        <v>-7651</v>
      </c>
      <c r="AH20" s="151">
        <f t="shared" ref="AH20:AH21" si="39">SUM(S20:V20)</f>
        <v>-7635</v>
      </c>
      <c r="AI20" s="151">
        <f t="shared" ref="AI20:AI21" si="40">SUM(T20:W20)</f>
        <v>-7654</v>
      </c>
      <c r="AJ20" s="151">
        <f>SUM(U20:X20)</f>
        <v>-7667</v>
      </c>
      <c r="AL20" s="109">
        <f>SUM(AJ20/AF20)-1</f>
        <v>-2.8612303290415086E-3</v>
      </c>
    </row>
    <row r="21" spans="2:38" ht="12.75" customHeight="1">
      <c r="B21" s="21" t="s">
        <v>175</v>
      </c>
      <c r="C21" s="152">
        <f>'Historical Financials'!C18</f>
        <v>-41</v>
      </c>
      <c r="D21" s="152">
        <f>'Historical Financials'!D18</f>
        <v>-254</v>
      </c>
      <c r="E21" s="152">
        <f>'Historical Financials'!E18</f>
        <v>34</v>
      </c>
      <c r="F21" s="152">
        <f>'Historical Financials'!F18</f>
        <v>-147</v>
      </c>
      <c r="G21" s="152">
        <f>'Historical Financials'!G18</f>
        <v>-153</v>
      </c>
      <c r="H21" s="152">
        <f>'Historical Financials'!H18</f>
        <v>-472</v>
      </c>
      <c r="I21" s="81"/>
      <c r="J21" s="152">
        <f>'Historical Financials'!J18</f>
        <v>-1</v>
      </c>
      <c r="K21" s="152">
        <f>'Historical Financials'!K18</f>
        <v>-34</v>
      </c>
      <c r="L21" s="152">
        <f>'Historical Financials'!L18</f>
        <v>-26</v>
      </c>
      <c r="M21" s="152">
        <f>'Historical Financials'!M18</f>
        <v>-86</v>
      </c>
      <c r="N21" s="152">
        <f>'Historical Financials'!N18</f>
        <v>9</v>
      </c>
      <c r="O21" s="152">
        <f>'Historical Financials'!O18</f>
        <v>7</v>
      </c>
      <c r="P21" s="152">
        <f>'Historical Financials'!P18</f>
        <v>0</v>
      </c>
      <c r="Q21" s="152">
        <f>'Historical Financials'!Q18</f>
        <v>-169</v>
      </c>
      <c r="R21" s="152">
        <f>'Historical Financials'!R18</f>
        <v>-15</v>
      </c>
      <c r="S21" s="152">
        <f>'Historical Financials'!S18</f>
        <v>7</v>
      </c>
      <c r="T21" s="152">
        <f>'Historical Financials'!T18</f>
        <v>4</v>
      </c>
      <c r="U21" s="152">
        <f>'Historical Financials'!U18</f>
        <v>-468</v>
      </c>
      <c r="V21" s="152">
        <f>'Historical Financials'!V18</f>
        <v>-109</v>
      </c>
      <c r="W21" s="152">
        <f>'Historical Financials'!W18</f>
        <v>-114</v>
      </c>
      <c r="X21" s="152">
        <f>'Historical Financials'!X18</f>
        <v>-166</v>
      </c>
      <c r="Y21" s="5"/>
      <c r="Z21" s="151">
        <f t="shared" si="33"/>
        <v>-137</v>
      </c>
      <c r="AA21" s="151">
        <f t="shared" si="33"/>
        <v>-96</v>
      </c>
      <c r="AB21" s="151">
        <f t="shared" si="33"/>
        <v>-70</v>
      </c>
      <c r="AC21" s="151">
        <f t="shared" si="34"/>
        <v>-153</v>
      </c>
      <c r="AD21" s="151">
        <f t="shared" si="35"/>
        <v>-177</v>
      </c>
      <c r="AE21" s="151">
        <f t="shared" si="36"/>
        <v>-177</v>
      </c>
      <c r="AF21" s="151">
        <f t="shared" si="37"/>
        <v>-173</v>
      </c>
      <c r="AG21" s="151">
        <f t="shared" si="38"/>
        <v>-472</v>
      </c>
      <c r="AH21" s="151">
        <f t="shared" si="39"/>
        <v>-566</v>
      </c>
      <c r="AI21" s="151">
        <f t="shared" si="40"/>
        <v>-687</v>
      </c>
      <c r="AJ21" s="151">
        <f>SUM(U21:X21)</f>
        <v>-857</v>
      </c>
      <c r="AL21" s="109">
        <f>SUM(AJ21/AF21)-1</f>
        <v>3.9537572254335256</v>
      </c>
    </row>
    <row r="22" spans="2:38" ht="12.75" customHeight="1">
      <c r="B22" s="12" t="s">
        <v>35</v>
      </c>
      <c r="C22" s="13">
        <f>SUM(C17+SUM(C20:C21))</f>
        <v>2009</v>
      </c>
      <c r="D22" s="13">
        <f>SUM(D17+SUM(D20:D21))</f>
        <v>2391</v>
      </c>
      <c r="E22" s="13">
        <f>SUM(E17+SUM(E20:E21))</f>
        <v>3039</v>
      </c>
      <c r="F22" s="13">
        <f>SUM(F17+SUM(F20:F21))</f>
        <v>1795</v>
      </c>
      <c r="G22" s="13">
        <f>SUM(G17+SUM(G20:G21))</f>
        <v>1574</v>
      </c>
      <c r="H22" s="13">
        <f>SUM(H17+SUM(H20:H21))</f>
        <v>1262</v>
      </c>
      <c r="I22" s="11"/>
      <c r="J22" s="13">
        <f>SUM(J17+SUM(J20:J21))</f>
        <v>462</v>
      </c>
      <c r="K22" s="13">
        <f>SUM(K17+SUM(K20:K21))</f>
        <v>371</v>
      </c>
      <c r="L22" s="13">
        <f>SUM(L17+SUM(L20:L21))</f>
        <v>365</v>
      </c>
      <c r="M22" s="13">
        <f>SUM(M17+SUM(M20:M21))</f>
        <v>597</v>
      </c>
      <c r="N22" s="13">
        <f>SUM(N17+SUM(N20:N21))</f>
        <v>311</v>
      </c>
      <c r="O22" s="13">
        <f>SUM(O17+SUM(O20:O21))</f>
        <v>348</v>
      </c>
      <c r="P22" s="13">
        <f>SUM(P17+SUM(P20:P21))</f>
        <v>354</v>
      </c>
      <c r="Q22" s="13">
        <f>SUM(Q17+SUM(Q20:Q21))</f>
        <v>561</v>
      </c>
      <c r="R22" s="13">
        <f>SUM(R17+SUM(R20:R21))</f>
        <v>312</v>
      </c>
      <c r="S22" s="13">
        <f>SUM(S17+SUM(S20:S21))</f>
        <v>383</v>
      </c>
      <c r="T22" s="13">
        <f>SUM(T17+SUM(T20:T21))</f>
        <v>350</v>
      </c>
      <c r="U22" s="13">
        <f>SUM(U17+SUM(U20:U21))</f>
        <v>217</v>
      </c>
      <c r="V22" s="13">
        <f t="shared" ref="V22:X22" si="41">SUM(V17+SUM(V20:V21))</f>
        <v>219</v>
      </c>
      <c r="W22" s="13">
        <f t="shared" si="41"/>
        <v>251</v>
      </c>
      <c r="X22" s="13">
        <f t="shared" si="41"/>
        <v>198</v>
      </c>
      <c r="Y22" s="5"/>
      <c r="Z22" s="13">
        <f>SUM(Z17+SUM(Z20:Z21))</f>
        <v>1644</v>
      </c>
      <c r="AA22" s="13">
        <f>SUM(AA17+SUM(AA20:AA21))</f>
        <v>1621</v>
      </c>
      <c r="AB22" s="13">
        <f>SUM(AB17+SUM(AB20:AB21))</f>
        <v>1610</v>
      </c>
      <c r="AC22" s="13">
        <f>SUM(AC17+SUM(AC20:AC21))</f>
        <v>1574</v>
      </c>
      <c r="AD22" s="13">
        <f>SUM(AD17+SUM(AD20:AD21))</f>
        <v>1575</v>
      </c>
      <c r="AE22" s="13">
        <f>SUM(AE17+SUM(AE20:AE21))</f>
        <v>1610</v>
      </c>
      <c r="AF22" s="13">
        <f>SUM(AF17+SUM(AF20:AF21))</f>
        <v>1606</v>
      </c>
      <c r="AG22" s="13">
        <f>SUM(AG17+SUM(AG20:AG21))</f>
        <v>1262</v>
      </c>
      <c r="AH22" s="13">
        <f>SUM(AH17+SUM(AH20:AH21))</f>
        <v>1169</v>
      </c>
      <c r="AI22" s="13">
        <f>SUM(AI17+SUM(AI20:AI21))</f>
        <v>1037</v>
      </c>
      <c r="AJ22" s="13">
        <f>SUM(AJ17+SUM(AJ20:AJ21))</f>
        <v>885</v>
      </c>
      <c r="AL22" s="110">
        <f>SUM(AJ22/AF22)-1</f>
        <v>-0.44894146948941471</v>
      </c>
    </row>
    <row r="23" spans="2:38" ht="12.75" customHeight="1">
      <c r="B23" s="14" t="s">
        <v>36</v>
      </c>
      <c r="C23" s="15">
        <f>C22/C12</f>
        <v>4.603785691369907E-2</v>
      </c>
      <c r="D23" s="15">
        <f>D22/D12</f>
        <v>5.0590326266345055E-2</v>
      </c>
      <c r="E23" s="15">
        <f>E22/E12</f>
        <v>5.8712157802206295E-2</v>
      </c>
      <c r="F23" s="15">
        <f>F22/F12</f>
        <v>3.8770573242904664E-2</v>
      </c>
      <c r="G23" s="15">
        <f>G22/G12</f>
        <v>3.6223879223050724E-2</v>
      </c>
      <c r="H23" s="15">
        <f>H22/H12</f>
        <v>3.0389135041417839E-2</v>
      </c>
      <c r="I23" s="25"/>
      <c r="J23" s="15">
        <f>J22/J12</f>
        <v>4.3392504930966469E-2</v>
      </c>
      <c r="K23" s="15">
        <f>K22/K12</f>
        <v>3.5918288314454448E-2</v>
      </c>
      <c r="L23" s="15">
        <f>L22/L12</f>
        <v>3.4476244450741475E-2</v>
      </c>
      <c r="M23" s="15">
        <f>M22/M12</f>
        <v>4.0515778758059041E-2</v>
      </c>
      <c r="N23" s="15">
        <f>N22/N12</f>
        <v>3.2850955952255199E-2</v>
      </c>
      <c r="O23" s="15">
        <f>O22/O12</f>
        <v>3.6314306584576857E-2</v>
      </c>
      <c r="P23" s="15">
        <f>P22/P12</f>
        <v>3.6285362853628537E-2</v>
      </c>
      <c r="Q23" s="15">
        <f>Q22/Q12</f>
        <v>3.8303973781237198E-2</v>
      </c>
      <c r="R23" s="15">
        <f>R22/R12</f>
        <v>3.5266191929467616E-2</v>
      </c>
      <c r="S23" s="15">
        <f>S22/S12</f>
        <v>4.1236003445305772E-2</v>
      </c>
      <c r="T23" s="15">
        <f>T22/T12</f>
        <v>3.7056643726839596E-2</v>
      </c>
      <c r="U23" s="15">
        <f>U22/U12</f>
        <v>1.5557786062517924E-2</v>
      </c>
      <c r="V23" s="15">
        <f t="shared" ref="V23:X23" si="42">V22/V12</f>
        <v>2.4980038781795368E-2</v>
      </c>
      <c r="W23" s="15">
        <f t="shared" si="42"/>
        <v>2.6594617503708413E-2</v>
      </c>
      <c r="X23" s="15">
        <f t="shared" si="42"/>
        <v>2.0471464019851116E-2</v>
      </c>
      <c r="Y23" s="26"/>
      <c r="Z23" s="15">
        <f>Z22/Z12</f>
        <v>3.6437785362826366E-2</v>
      </c>
      <c r="AA23" s="15">
        <f>AA22/AA12</f>
        <v>3.6532047236996303E-2</v>
      </c>
      <c r="AB23" s="15">
        <f>AB22/AB12</f>
        <v>3.6976642704577296E-2</v>
      </c>
      <c r="AC23" s="15">
        <f>AC22/AC12</f>
        <v>3.6223879223050724E-2</v>
      </c>
      <c r="AD23" s="15">
        <f>AD22/AD12</f>
        <v>3.6771572655958165E-2</v>
      </c>
      <c r="AE23" s="15">
        <f>AE22/AE12</f>
        <v>3.7849401697345839E-2</v>
      </c>
      <c r="AF23" s="15">
        <f>AF22/AF12</f>
        <v>3.803343911334249E-2</v>
      </c>
      <c r="AG23" s="15">
        <f>AG22/AG12</f>
        <v>3.0389135041417839E-2</v>
      </c>
      <c r="AH23" s="15">
        <f>AH22/AH12</f>
        <v>2.8204014668982823E-2</v>
      </c>
      <c r="AI23" s="15">
        <f>AI22/AI12</f>
        <v>2.4929083128996585E-2</v>
      </c>
      <c r="AJ23" s="15">
        <f>AJ22/AJ12</f>
        <v>2.1159593544530782E-2</v>
      </c>
      <c r="AL23" s="111">
        <f>SUM(AJ23-AF23)*10000</f>
        <v>-168.73845568811709</v>
      </c>
    </row>
    <row r="24" spans="2:38" ht="5.0999999999999996" customHeight="1">
      <c r="AL24" s="108"/>
    </row>
    <row r="25" spans="2:38" ht="12.75" customHeight="1">
      <c r="B25" s="29" t="s">
        <v>159</v>
      </c>
      <c r="C25" s="152">
        <f>'Historical Financials'!C95</f>
        <v>812</v>
      </c>
      <c r="D25" s="152">
        <f>'Historical Financials'!D95</f>
        <v>839</v>
      </c>
      <c r="E25" s="152">
        <f>'Historical Financials'!E95</f>
        <v>869</v>
      </c>
      <c r="F25" s="152">
        <f>'Historical Financials'!F95</f>
        <v>918</v>
      </c>
      <c r="G25" s="152">
        <f>'Historical Financials'!G95</f>
        <v>923</v>
      </c>
      <c r="H25" s="152">
        <f>'Historical Financials'!H95</f>
        <v>866</v>
      </c>
      <c r="J25" s="152">
        <f>'Historical Financials'!J95</f>
        <v>224</v>
      </c>
      <c r="K25" s="152">
        <f>'Historical Financials'!K95</f>
        <v>229</v>
      </c>
      <c r="L25" s="152">
        <f>'Historical Financials'!L95</f>
        <v>226</v>
      </c>
      <c r="M25" s="152">
        <f>'Historical Financials'!M95</f>
        <v>239</v>
      </c>
      <c r="N25" s="152">
        <f>'Historical Financials'!N95</f>
        <v>237</v>
      </c>
      <c r="O25" s="152">
        <f>'Historical Financials'!O95</f>
        <v>236</v>
      </c>
      <c r="P25" s="152">
        <f>'Historical Financials'!P95</f>
        <v>229</v>
      </c>
      <c r="Q25" s="152">
        <f>'Historical Financials'!Q95</f>
        <v>221</v>
      </c>
      <c r="R25" s="152">
        <f>'Historical Financials'!R95</f>
        <v>219</v>
      </c>
      <c r="S25" s="152">
        <f>'Historical Financials'!S95</f>
        <v>218</v>
      </c>
      <c r="T25" s="152">
        <f>'Historical Financials'!T95</f>
        <v>213</v>
      </c>
      <c r="U25" s="152">
        <f>'Historical Financials'!U95</f>
        <v>216</v>
      </c>
      <c r="V25" s="152">
        <f>'Historical Financials'!V95</f>
        <v>211</v>
      </c>
      <c r="W25" s="152">
        <f>'Historical Financials'!W95</f>
        <v>211</v>
      </c>
      <c r="X25" s="152">
        <f>'Historical Financials'!X95</f>
        <v>206</v>
      </c>
      <c r="Z25" s="151">
        <f t="shared" ref="Z25:AB25" si="43">SUM(K25:N25)</f>
        <v>931</v>
      </c>
      <c r="AA25" s="151">
        <f t="shared" si="43"/>
        <v>938</v>
      </c>
      <c r="AB25" s="151">
        <f t="shared" si="43"/>
        <v>941</v>
      </c>
      <c r="AC25" s="151">
        <f t="shared" ref="AC25" si="44">SUM(N25:Q25)</f>
        <v>923</v>
      </c>
      <c r="AD25" s="151">
        <f t="shared" ref="AD25" si="45">SUM(O25:R25)</f>
        <v>905</v>
      </c>
      <c r="AE25" s="151">
        <f t="shared" ref="AE25" si="46">SUM(P25:S25)</f>
        <v>887</v>
      </c>
      <c r="AF25" s="151">
        <f t="shared" ref="AF25" si="47">SUM(Q25:T25)</f>
        <v>871</v>
      </c>
      <c r="AG25" s="151">
        <f t="shared" ref="AG25" si="48">SUM(R25:U25)</f>
        <v>866</v>
      </c>
      <c r="AH25" s="151">
        <f t="shared" ref="AH25" si="49">SUM(S25:V25)</f>
        <v>858</v>
      </c>
      <c r="AI25" s="151">
        <f t="shared" ref="AI25" si="50">SUM(T25:W25)</f>
        <v>851</v>
      </c>
      <c r="AJ25" s="151">
        <f>SUM(U25:X25)</f>
        <v>844</v>
      </c>
      <c r="AL25" s="109">
        <f>SUM(AJ25/AF25)-1</f>
        <v>-3.0998851894374235E-2</v>
      </c>
    </row>
    <row r="26" spans="2:38" ht="12.75" customHeight="1">
      <c r="B26" s="23" t="s">
        <v>11</v>
      </c>
      <c r="C26" s="24">
        <f>SUM(C22+SUM(C25:C25))</f>
        <v>2821</v>
      </c>
      <c r="D26" s="24">
        <f>SUM(D22+SUM(D25:D25))</f>
        <v>3230</v>
      </c>
      <c r="E26" s="24">
        <f>SUM(E22+SUM(E25:E25))</f>
        <v>3908</v>
      </c>
      <c r="F26" s="24">
        <f>SUM(F22+SUM(F25:F25))</f>
        <v>2713</v>
      </c>
      <c r="G26" s="24">
        <f>SUM(G22+SUM(G25:G25))</f>
        <v>2497</v>
      </c>
      <c r="H26" s="24">
        <f>SUM(H22+SUM(H25:H25))</f>
        <v>2128</v>
      </c>
      <c r="J26" s="24">
        <f t="shared" ref="J26:S26" si="51">SUM(J22+SUM(J25:J25))</f>
        <v>686</v>
      </c>
      <c r="K26" s="24">
        <f t="shared" si="51"/>
        <v>600</v>
      </c>
      <c r="L26" s="24">
        <f t="shared" si="51"/>
        <v>591</v>
      </c>
      <c r="M26" s="24">
        <f t="shared" si="51"/>
        <v>836</v>
      </c>
      <c r="N26" s="24">
        <f t="shared" si="51"/>
        <v>548</v>
      </c>
      <c r="O26" s="24">
        <f t="shared" si="51"/>
        <v>584</v>
      </c>
      <c r="P26" s="24">
        <f t="shared" si="51"/>
        <v>583</v>
      </c>
      <c r="Q26" s="24">
        <f t="shared" si="51"/>
        <v>782</v>
      </c>
      <c r="R26" s="24">
        <f t="shared" si="51"/>
        <v>531</v>
      </c>
      <c r="S26" s="24">
        <f t="shared" si="51"/>
        <v>601</v>
      </c>
      <c r="T26" s="24">
        <f t="shared" ref="T26:U26" si="52">SUM(T22+SUM(T25:T25))</f>
        <v>563</v>
      </c>
      <c r="U26" s="24">
        <f t="shared" si="52"/>
        <v>433</v>
      </c>
      <c r="V26" s="24">
        <f t="shared" ref="V26:X26" si="53">SUM(V22+SUM(V25:V25))</f>
        <v>430</v>
      </c>
      <c r="W26" s="24">
        <f t="shared" si="53"/>
        <v>462</v>
      </c>
      <c r="X26" s="24">
        <f t="shared" si="53"/>
        <v>404</v>
      </c>
      <c r="Z26" s="24">
        <f t="shared" ref="Z26" si="54">SUM(Z22+SUM(Z25:Z25))</f>
        <v>2575</v>
      </c>
      <c r="AA26" s="24">
        <f t="shared" ref="AA26" si="55">SUM(AA22+SUM(AA25:AA25))</f>
        <v>2559</v>
      </c>
      <c r="AB26" s="24">
        <f t="shared" ref="AB26:AJ26" si="56">SUM(AB22+SUM(AB25:AB25))</f>
        <v>2551</v>
      </c>
      <c r="AC26" s="24">
        <f t="shared" si="56"/>
        <v>2497</v>
      </c>
      <c r="AD26" s="24">
        <f t="shared" si="56"/>
        <v>2480</v>
      </c>
      <c r="AE26" s="24">
        <f t="shared" si="56"/>
        <v>2497</v>
      </c>
      <c r="AF26" s="24">
        <f t="shared" si="56"/>
        <v>2477</v>
      </c>
      <c r="AG26" s="24">
        <f t="shared" si="56"/>
        <v>2128</v>
      </c>
      <c r="AH26" s="24">
        <f t="shared" si="56"/>
        <v>2027</v>
      </c>
      <c r="AI26" s="24">
        <f t="shared" si="56"/>
        <v>1888</v>
      </c>
      <c r="AJ26" s="24">
        <f t="shared" si="56"/>
        <v>1729</v>
      </c>
      <c r="AL26" s="110">
        <f>SUM(AJ26/AF26)-1</f>
        <v>-0.3019781994348002</v>
      </c>
    </row>
    <row r="27" spans="2:38" ht="12.75" customHeight="1">
      <c r="B27" s="14" t="s">
        <v>37</v>
      </c>
      <c r="C27" s="15">
        <f>C26/C12</f>
        <v>6.4645492460699394E-2</v>
      </c>
      <c r="D27" s="15">
        <f>D26/D12</f>
        <v>6.8342431551775204E-2</v>
      </c>
      <c r="E27" s="15">
        <f>E26/E12</f>
        <v>7.5500859720639094E-2</v>
      </c>
      <c r="F27" s="15">
        <f>F26/F12</f>
        <v>5.8598643569916627E-2</v>
      </c>
      <c r="G27" s="15">
        <f>G26/G12</f>
        <v>5.7465709288410202E-2</v>
      </c>
      <c r="H27" s="15">
        <f>H26/H12</f>
        <v>5.1242535157002507E-2</v>
      </c>
      <c r="J27" s="15">
        <f>J26/J12</f>
        <v>6.443129520052597E-2</v>
      </c>
      <c r="K27" s="15">
        <f>K26/K12</f>
        <v>5.8088875980249782E-2</v>
      </c>
      <c r="L27" s="15">
        <f>L26/L12</f>
        <v>5.5823179370926609E-2</v>
      </c>
      <c r="M27" s="15">
        <f>M26/M12</f>
        <v>5.6735663386494738E-2</v>
      </c>
      <c r="N27" s="15">
        <f>N26/N12</f>
        <v>5.7885285729375728E-2</v>
      </c>
      <c r="O27" s="15">
        <f>O26/O12</f>
        <v>6.0941250130439321E-2</v>
      </c>
      <c r="P27" s="15">
        <f>P26/P12</f>
        <v>5.9758097580975812E-2</v>
      </c>
      <c r="Q27" s="15">
        <f>Q26/Q12</f>
        <v>5.3393417998088215E-2</v>
      </c>
      <c r="R27" s="15">
        <f>R26/R12</f>
        <v>6.002034587995931E-2</v>
      </c>
      <c r="S27" s="15">
        <f>S26/S12</f>
        <v>6.4707149009474593E-2</v>
      </c>
      <c r="T27" s="15">
        <f>T26/T12</f>
        <v>5.9608258337744836E-2</v>
      </c>
      <c r="U27" s="15">
        <f>U26/U12</f>
        <v>3.1043877258388298E-2</v>
      </c>
      <c r="V27" s="15">
        <f t="shared" ref="V27:X27" si="57">V26/V12</f>
        <v>4.9047564731379036E-2</v>
      </c>
      <c r="W27" s="15">
        <f t="shared" si="57"/>
        <v>4.8951048951048952E-2</v>
      </c>
      <c r="X27" s="15">
        <f t="shared" si="57"/>
        <v>4.1770057899090156E-2</v>
      </c>
      <c r="Z27" s="15">
        <f>Z26/Z12</f>
        <v>5.7072565273283388E-2</v>
      </c>
      <c r="AA27" s="15">
        <f>AA26/AA12</f>
        <v>5.7671504552420448E-2</v>
      </c>
      <c r="AB27" s="15">
        <f>AB26/AB12</f>
        <v>5.8588456856755698E-2</v>
      </c>
      <c r="AC27" s="15">
        <f>AC26/AC12</f>
        <v>5.7465709288410202E-2</v>
      </c>
      <c r="AD27" s="15">
        <f>AD26/AD12</f>
        <v>5.7900635039223013E-2</v>
      </c>
      <c r="AE27" s="15">
        <f>AE26/AE12</f>
        <v>5.87018360486165E-2</v>
      </c>
      <c r="AF27" s="15">
        <f>AF26/AF12</f>
        <v>5.8660540898972199E-2</v>
      </c>
      <c r="AG27" s="15">
        <f>AG26/AG12</f>
        <v>5.1242535157002507E-2</v>
      </c>
      <c r="AH27" s="15">
        <f>AH26/AH12</f>
        <v>4.8904651611657982E-2</v>
      </c>
      <c r="AI27" s="15">
        <f>AI26/AI12</f>
        <v>4.5386797442184719E-2</v>
      </c>
      <c r="AJ27" s="15">
        <f>AJ26/AJ12</f>
        <v>4.1338912133891216E-2</v>
      </c>
      <c r="AL27" s="111">
        <f>SUM(AJ27-AF27)*10000</f>
        <v>-173.21628765080985</v>
      </c>
    </row>
    <row r="28" spans="2:38" ht="5.0999999999999996" customHeight="1">
      <c r="AL28" s="108"/>
    </row>
    <row r="29" spans="2:38" ht="12.75" customHeight="1">
      <c r="B29" s="29" t="s">
        <v>160</v>
      </c>
      <c r="C29" s="152">
        <f>'Historical Financials'!C97</f>
        <v>143</v>
      </c>
      <c r="D29" s="152">
        <f>'Historical Financials'!D97</f>
        <v>135</v>
      </c>
      <c r="E29" s="152">
        <f>'Historical Financials'!E97</f>
        <v>141</v>
      </c>
      <c r="F29" s="152">
        <f>'Historical Financials'!F97</f>
        <v>138</v>
      </c>
      <c r="G29" s="152">
        <f>'Historical Financials'!G97</f>
        <v>145</v>
      </c>
      <c r="H29" s="152">
        <f>'Historical Financials'!H97</f>
        <v>139</v>
      </c>
      <c r="J29" s="152">
        <f>'Historical Financials'!J97</f>
        <v>39</v>
      </c>
      <c r="K29" s="152">
        <f>'Historical Financials'!K97</f>
        <v>26</v>
      </c>
      <c r="L29" s="152">
        <f>'Historical Financials'!L97</f>
        <v>33</v>
      </c>
      <c r="M29" s="152">
        <f>'Historical Financials'!M97</f>
        <v>40</v>
      </c>
      <c r="N29" s="152">
        <f>'Historical Financials'!N97</f>
        <v>38</v>
      </c>
      <c r="O29" s="152">
        <f>'Historical Financials'!O97</f>
        <v>37</v>
      </c>
      <c r="P29" s="152">
        <f>'Historical Financials'!P97</f>
        <v>35</v>
      </c>
      <c r="Q29" s="152">
        <f>'Historical Financials'!Q97</f>
        <v>35</v>
      </c>
      <c r="R29" s="152">
        <f>'Historical Financials'!R97</f>
        <v>38</v>
      </c>
      <c r="S29" s="152">
        <f>'Historical Financials'!S97</f>
        <v>36</v>
      </c>
      <c r="T29" s="152">
        <f>'Historical Financials'!T97</f>
        <v>34</v>
      </c>
      <c r="U29" s="152">
        <f>'Historical Financials'!U97</f>
        <v>31</v>
      </c>
      <c r="V29" s="152">
        <f>'Historical Financials'!V97</f>
        <v>40</v>
      </c>
      <c r="W29" s="152">
        <f>'Historical Financials'!W97</f>
        <v>35</v>
      </c>
      <c r="X29" s="152">
        <f>'Historical Financials'!X97</f>
        <v>31</v>
      </c>
      <c r="Z29" s="151">
        <f t="shared" ref="Z29:AB30" si="58">SUM(K29:N29)</f>
        <v>137</v>
      </c>
      <c r="AA29" s="151">
        <f t="shared" si="58"/>
        <v>148</v>
      </c>
      <c r="AB29" s="151">
        <f t="shared" si="58"/>
        <v>150</v>
      </c>
      <c r="AC29" s="151">
        <f t="shared" ref="AC29:AC30" si="59">SUM(N29:Q29)</f>
        <v>145</v>
      </c>
      <c r="AD29" s="151">
        <f t="shared" ref="AD29:AD30" si="60">SUM(O29:R29)</f>
        <v>145</v>
      </c>
      <c r="AE29" s="151">
        <f t="shared" ref="AE29:AE30" si="61">SUM(P29:S29)</f>
        <v>144</v>
      </c>
      <c r="AF29" s="151">
        <f t="shared" ref="AF29:AF30" si="62">SUM(Q29:T29)</f>
        <v>143</v>
      </c>
      <c r="AG29" s="151">
        <f t="shared" ref="AG29:AG30" si="63">SUM(R29:U29)</f>
        <v>139</v>
      </c>
      <c r="AH29" s="151">
        <f t="shared" ref="AH29:AH30" si="64">SUM(S29:V29)</f>
        <v>141</v>
      </c>
      <c r="AI29" s="151">
        <f t="shared" ref="AI29:AI30" si="65">SUM(T29:W29)</f>
        <v>140</v>
      </c>
      <c r="AJ29" s="151">
        <f t="shared" ref="AJ29:AJ30" si="66">SUM(U29:X29)</f>
        <v>137</v>
      </c>
      <c r="AL29" s="109">
        <f>SUM(AJ29/AF29)-1</f>
        <v>-4.1958041958041981E-2</v>
      </c>
    </row>
    <row r="30" spans="2:38" ht="12.75" customHeight="1">
      <c r="B30" s="29" t="s">
        <v>176</v>
      </c>
      <c r="C30" s="155">
        <f>-C21</f>
        <v>41</v>
      </c>
      <c r="D30" s="155">
        <f t="shared" ref="D30:H30" si="67">-D21</f>
        <v>254</v>
      </c>
      <c r="E30" s="155">
        <f t="shared" si="67"/>
        <v>-34</v>
      </c>
      <c r="F30" s="155">
        <f t="shared" si="67"/>
        <v>147</v>
      </c>
      <c r="G30" s="155">
        <f t="shared" si="67"/>
        <v>153</v>
      </c>
      <c r="H30" s="155">
        <f t="shared" si="67"/>
        <v>472</v>
      </c>
      <c r="J30" s="155">
        <f t="shared" ref="J30:S30" si="68">-J21</f>
        <v>1</v>
      </c>
      <c r="K30" s="155">
        <f t="shared" si="68"/>
        <v>34</v>
      </c>
      <c r="L30" s="155">
        <f t="shared" si="68"/>
        <v>26</v>
      </c>
      <c r="M30" s="155">
        <f t="shared" si="68"/>
        <v>86</v>
      </c>
      <c r="N30" s="155">
        <f t="shared" si="68"/>
        <v>-9</v>
      </c>
      <c r="O30" s="155">
        <f t="shared" si="68"/>
        <v>-7</v>
      </c>
      <c r="P30" s="155">
        <f t="shared" si="68"/>
        <v>0</v>
      </c>
      <c r="Q30" s="155">
        <f t="shared" si="68"/>
        <v>169</v>
      </c>
      <c r="R30" s="155">
        <f t="shared" si="68"/>
        <v>15</v>
      </c>
      <c r="S30" s="155">
        <f t="shared" si="68"/>
        <v>-7</v>
      </c>
      <c r="T30" s="155">
        <f t="shared" ref="T30:U30" si="69">-T21</f>
        <v>-4</v>
      </c>
      <c r="U30" s="155">
        <f t="shared" si="69"/>
        <v>468</v>
      </c>
      <c r="V30" s="155">
        <f t="shared" ref="V30:X30" si="70">-V21</f>
        <v>109</v>
      </c>
      <c r="W30" s="155">
        <f t="shared" si="70"/>
        <v>114</v>
      </c>
      <c r="X30" s="155">
        <f t="shared" si="70"/>
        <v>166</v>
      </c>
      <c r="Z30" s="151">
        <f t="shared" si="58"/>
        <v>137</v>
      </c>
      <c r="AA30" s="151">
        <f t="shared" si="58"/>
        <v>96</v>
      </c>
      <c r="AB30" s="151">
        <f t="shared" si="58"/>
        <v>70</v>
      </c>
      <c r="AC30" s="151">
        <f t="shared" si="59"/>
        <v>153</v>
      </c>
      <c r="AD30" s="151">
        <f t="shared" si="60"/>
        <v>177</v>
      </c>
      <c r="AE30" s="151">
        <f t="shared" si="61"/>
        <v>177</v>
      </c>
      <c r="AF30" s="151">
        <f t="shared" si="62"/>
        <v>173</v>
      </c>
      <c r="AG30" s="151">
        <f t="shared" si="63"/>
        <v>472</v>
      </c>
      <c r="AH30" s="151">
        <f t="shared" si="64"/>
        <v>566</v>
      </c>
      <c r="AI30" s="151">
        <f t="shared" si="65"/>
        <v>687</v>
      </c>
      <c r="AJ30" s="151">
        <f t="shared" si="66"/>
        <v>857</v>
      </c>
      <c r="AL30" s="109">
        <f>SUM(AJ30/AF30)-1</f>
        <v>3.9537572254335256</v>
      </c>
    </row>
    <row r="31" spans="2:38" ht="12.75" customHeight="1">
      <c r="B31" s="12" t="s">
        <v>38</v>
      </c>
      <c r="C31" s="13">
        <f>+SUM(C26+SUM(C29:C29))</f>
        <v>2964</v>
      </c>
      <c r="D31" s="13">
        <f>+SUM(D26+SUM(D29:D29))</f>
        <v>3365</v>
      </c>
      <c r="E31" s="13">
        <f>+SUM(E26+SUM(E29:E29))</f>
        <v>4049</v>
      </c>
      <c r="F31" s="13">
        <f>+SUM(F26+SUM(F29:F29))</f>
        <v>2851</v>
      </c>
      <c r="G31" s="13">
        <f>+SUM(G26+SUM(G29:G29))</f>
        <v>2642</v>
      </c>
      <c r="H31" s="13">
        <f>+SUM(H26+SUM(H29:H29))</f>
        <v>2267</v>
      </c>
      <c r="I31" s="11"/>
      <c r="J31" s="13">
        <f>+SUM(J26+SUM(J29:J29))</f>
        <v>725</v>
      </c>
      <c r="K31" s="13">
        <f>+SUM(K26+SUM(K29:K29))</f>
        <v>626</v>
      </c>
      <c r="L31" s="13">
        <f>+SUM(L26+SUM(L29:L29))</f>
        <v>624</v>
      </c>
      <c r="M31" s="13">
        <f>+SUM(M26+SUM(M29:M29))</f>
        <v>876</v>
      </c>
      <c r="N31" s="13">
        <f t="shared" ref="N31:S31" si="71">+SUM(N26+SUM(N29:N29))</f>
        <v>586</v>
      </c>
      <c r="O31" s="13">
        <f t="shared" si="71"/>
        <v>621</v>
      </c>
      <c r="P31" s="13">
        <f t="shared" si="71"/>
        <v>618</v>
      </c>
      <c r="Q31" s="13">
        <f t="shared" si="71"/>
        <v>817</v>
      </c>
      <c r="R31" s="13">
        <f t="shared" si="71"/>
        <v>569</v>
      </c>
      <c r="S31" s="13">
        <f t="shared" si="71"/>
        <v>637</v>
      </c>
      <c r="T31" s="13">
        <f t="shared" ref="T31:U31" si="72">+SUM(T26+SUM(T29:T29))</f>
        <v>597</v>
      </c>
      <c r="U31" s="13">
        <f t="shared" si="72"/>
        <v>464</v>
      </c>
      <c r="V31" s="13">
        <f t="shared" ref="V31:X31" si="73">+SUM(V26+SUM(V29:V29))</f>
        <v>470</v>
      </c>
      <c r="W31" s="13">
        <f t="shared" si="73"/>
        <v>497</v>
      </c>
      <c r="X31" s="13">
        <f t="shared" si="73"/>
        <v>435</v>
      </c>
      <c r="Z31" s="13">
        <f t="shared" ref="Z31" si="74">+SUM(Z26+SUM(Z29:Z29))</f>
        <v>2712</v>
      </c>
      <c r="AA31" s="13">
        <f t="shared" ref="AA31" si="75">+SUM(AA26+SUM(AA29:AA29))</f>
        <v>2707</v>
      </c>
      <c r="AB31" s="13">
        <f t="shared" ref="AB31:AJ31" si="76">+SUM(AB26+SUM(AB29:AB29))</f>
        <v>2701</v>
      </c>
      <c r="AC31" s="13">
        <f t="shared" si="76"/>
        <v>2642</v>
      </c>
      <c r="AD31" s="13">
        <f t="shared" si="76"/>
        <v>2625</v>
      </c>
      <c r="AE31" s="13">
        <f t="shared" si="76"/>
        <v>2641</v>
      </c>
      <c r="AF31" s="13">
        <f t="shared" si="76"/>
        <v>2620</v>
      </c>
      <c r="AG31" s="13">
        <f t="shared" si="76"/>
        <v>2267</v>
      </c>
      <c r="AH31" s="13">
        <f t="shared" si="76"/>
        <v>2168</v>
      </c>
      <c r="AI31" s="13">
        <f t="shared" si="76"/>
        <v>2028</v>
      </c>
      <c r="AJ31" s="13">
        <f t="shared" si="76"/>
        <v>1866</v>
      </c>
      <c r="AL31" s="110">
        <f>SUM(AJ31/AF31)-1</f>
        <v>-0.28778625954198478</v>
      </c>
    </row>
    <row r="32" spans="2:38" ht="12.75" customHeight="1">
      <c r="B32" s="14" t="s">
        <v>39</v>
      </c>
      <c r="C32" s="15">
        <f>C31/C12</f>
        <v>6.7922452908015948E-2</v>
      </c>
      <c r="D32" s="15">
        <f>D31/D12</f>
        <v>7.1198848969573861E-2</v>
      </c>
      <c r="E32" s="15">
        <f>E31/E12</f>
        <v>7.8224918374838193E-2</v>
      </c>
      <c r="F32" s="15">
        <f>F31/F12</f>
        <v>6.1579333880513197E-2</v>
      </c>
      <c r="G32" s="15">
        <f>G31/G12</f>
        <v>6.0802724845806864E-2</v>
      </c>
      <c r="H32" s="15">
        <f>H31/H12</f>
        <v>5.4589674436524752E-2</v>
      </c>
      <c r="J32" s="15">
        <f>J31/J12</f>
        <v>6.8094298863529634E-2</v>
      </c>
      <c r="K32" s="15">
        <f>K31/K12</f>
        <v>6.0606060606060608E-2</v>
      </c>
      <c r="L32" s="15">
        <f>L31/L12</f>
        <v>5.8940209691130632E-2</v>
      </c>
      <c r="M32" s="15">
        <f>M31/M12</f>
        <v>5.9450288428910758E-2</v>
      </c>
      <c r="N32" s="15">
        <f>N31/N12</f>
        <v>6.1899228900390832E-2</v>
      </c>
      <c r="O32" s="15">
        <f>O31/O12</f>
        <v>6.4802253991443182E-2</v>
      </c>
      <c r="P32" s="15">
        <f>P31/P12</f>
        <v>6.3345633456334566E-2</v>
      </c>
      <c r="Q32" s="15">
        <f>Q31/Q12</f>
        <v>5.5783148982657384E-2</v>
      </c>
      <c r="R32" s="15">
        <f>R31/R12</f>
        <v>6.4315587204702165E-2</v>
      </c>
      <c r="S32" s="15">
        <f>S31/S12</f>
        <v>6.8583118001722648E-2</v>
      </c>
      <c r="T32" s="15">
        <f>T31/T12</f>
        <v>6.3208046585494976E-2</v>
      </c>
      <c r="U32" s="15">
        <f>U31/U12</f>
        <v>3.3266418124462287E-2</v>
      </c>
      <c r="V32" s="15">
        <f t="shared" ref="V32:X32" si="77">V31/V12</f>
        <v>5.3610128892437547E-2</v>
      </c>
      <c r="W32" s="15">
        <f t="shared" si="77"/>
        <v>5.265946175037084E-2</v>
      </c>
      <c r="X32" s="15">
        <f t="shared" si="77"/>
        <v>4.4975186104218363E-2</v>
      </c>
      <c r="Z32" s="15">
        <f>Z31/Z12</f>
        <v>6.0109047386852257E-2</v>
      </c>
      <c r="AA32" s="15">
        <f>AA31/AA12</f>
        <v>6.1006941314342381E-2</v>
      </c>
      <c r="AB32" s="15">
        <f>AB31/AB12</f>
        <v>6.2033485680163522E-2</v>
      </c>
      <c r="AC32" s="15">
        <f>AC31/AC12</f>
        <v>6.0802724845806864E-2</v>
      </c>
      <c r="AD32" s="15">
        <f>AD31/AD12</f>
        <v>6.1285954426596935E-2</v>
      </c>
      <c r="AE32" s="15">
        <f>AE31/AE12</f>
        <v>6.2087124150739359E-2</v>
      </c>
      <c r="AF32" s="15">
        <f>AF31/AF12</f>
        <v>6.204707999810543E-2</v>
      </c>
      <c r="AG32" s="15">
        <f>AG31/AG12</f>
        <v>5.4589674436524752E-2</v>
      </c>
      <c r="AH32" s="15">
        <f>AH31/AH12</f>
        <v>5.2306504535803898E-2</v>
      </c>
      <c r="AI32" s="15">
        <f>AI31/AI12</f>
        <v>4.8752343862685704E-2</v>
      </c>
      <c r="AJ32" s="15">
        <f>AJ31/AJ12</f>
        <v>4.4614465032875077E-2</v>
      </c>
      <c r="AL32" s="111">
        <f>SUM(AJ32-AF32)*10000</f>
        <v>-174.32614965230354</v>
      </c>
    </row>
    <row r="33" spans="1:38" ht="5.0999999999999996" customHeight="1">
      <c r="AL33" s="108"/>
    </row>
    <row r="34" spans="1:38" ht="12.75" customHeight="1">
      <c r="B34" s="21" t="s">
        <v>40</v>
      </c>
      <c r="C34" s="152">
        <f>'Historical Financials'!C109</f>
        <v>-743</v>
      </c>
      <c r="D34" s="152">
        <f>'Historical Financials'!D109</f>
        <v>-713</v>
      </c>
      <c r="E34" s="152">
        <f>'Historical Financials'!E109</f>
        <v>-737</v>
      </c>
      <c r="F34" s="152">
        <f>'Historical Financials'!F109</f>
        <v>-930</v>
      </c>
      <c r="G34" s="152">
        <f>'Historical Financials'!G109</f>
        <v>-795</v>
      </c>
      <c r="H34" s="152">
        <f>'Historical Financials'!H109</f>
        <v>-706</v>
      </c>
      <c r="J34" s="152">
        <f>'Historical Financials'!J109</f>
        <v>-215</v>
      </c>
      <c r="K34" s="152">
        <f>'Historical Financials'!K109</f>
        <v>-226</v>
      </c>
      <c r="L34" s="152">
        <f>'Historical Financials'!L109</f>
        <v>-255</v>
      </c>
      <c r="M34" s="152">
        <f>'Historical Financials'!M109</f>
        <v>-234</v>
      </c>
      <c r="N34" s="152">
        <f>'Historical Financials'!N109</f>
        <v>-204</v>
      </c>
      <c r="O34" s="152">
        <f>'Historical Financials'!O109</f>
        <v>-191</v>
      </c>
      <c r="P34" s="152">
        <f>'Historical Financials'!P109</f>
        <v>-217</v>
      </c>
      <c r="Q34" s="152">
        <f>'Historical Financials'!Q109</f>
        <v>-183</v>
      </c>
      <c r="R34" s="152">
        <f>'Historical Financials'!R109</f>
        <v>-152</v>
      </c>
      <c r="S34" s="152">
        <f>'Historical Financials'!S109</f>
        <v>-183</v>
      </c>
      <c r="T34" s="152">
        <f>'Historical Financials'!T109</f>
        <v>-193</v>
      </c>
      <c r="U34" s="152">
        <f>'Historical Financials'!U109</f>
        <v>-178</v>
      </c>
      <c r="V34" s="152">
        <f>'Historical Financials'!V109</f>
        <v>-166</v>
      </c>
      <c r="W34" s="152">
        <f>'Historical Financials'!W109</f>
        <v>-175</v>
      </c>
      <c r="X34" s="152">
        <f>'Historical Financials'!X109</f>
        <v>-188</v>
      </c>
      <c r="Z34" s="151">
        <f t="shared" ref="Z34:AB37" si="78">SUM(K34:N34)</f>
        <v>-919</v>
      </c>
      <c r="AA34" s="151">
        <f t="shared" si="78"/>
        <v>-884</v>
      </c>
      <c r="AB34" s="151">
        <f t="shared" si="78"/>
        <v>-846</v>
      </c>
      <c r="AC34" s="151">
        <f t="shared" ref="AC34:AC37" si="79">SUM(N34:Q34)</f>
        <v>-795</v>
      </c>
      <c r="AD34" s="151">
        <f t="shared" ref="AD34:AD37" si="80">SUM(O34:R34)</f>
        <v>-743</v>
      </c>
      <c r="AE34" s="151">
        <f t="shared" ref="AE34:AE37" si="81">SUM(P34:S34)</f>
        <v>-735</v>
      </c>
      <c r="AF34" s="151">
        <f t="shared" ref="AF34:AF37" si="82">SUM(Q34:T34)</f>
        <v>-711</v>
      </c>
      <c r="AG34" s="151">
        <f t="shared" ref="AG34:AG37" si="83">SUM(R34:U34)</f>
        <v>-706</v>
      </c>
      <c r="AH34" s="151">
        <f t="shared" ref="AH34:AH37" si="84">SUM(S34:V34)</f>
        <v>-720</v>
      </c>
      <c r="AI34" s="151">
        <f t="shared" ref="AI34:AI37" si="85">SUM(T34:W34)</f>
        <v>-712</v>
      </c>
      <c r="AJ34" s="151">
        <f t="shared" ref="AJ34:AJ37" si="86">SUM(U34:X34)</f>
        <v>-707</v>
      </c>
      <c r="AL34" s="109">
        <f>SUM(AJ34/AF34)-1</f>
        <v>-5.6258790436005679E-3</v>
      </c>
    </row>
    <row r="35" spans="1:38" ht="12.75" customHeight="1">
      <c r="B35" s="21" t="s">
        <v>41</v>
      </c>
      <c r="C35" s="152">
        <f>-'Historical Financials'!C136</f>
        <v>-514</v>
      </c>
      <c r="D35" s="152">
        <f>-'Historical Financials'!D136</f>
        <v>-442</v>
      </c>
      <c r="E35" s="152">
        <f>-'Historical Financials'!E136</f>
        <v>-716</v>
      </c>
      <c r="F35" s="152">
        <f>-'Historical Financials'!F136</f>
        <v>-283</v>
      </c>
      <c r="G35" s="152">
        <f>-'Historical Financials'!G136</f>
        <v>-543</v>
      </c>
      <c r="H35" s="152">
        <f>-'Historical Financials'!H136</f>
        <v>-643</v>
      </c>
      <c r="J35" s="152">
        <f>'Historical Financials'!J28</f>
        <v>-110</v>
      </c>
      <c r="K35" s="152">
        <f>'Historical Financials'!K28</f>
        <v>-58</v>
      </c>
      <c r="L35" s="152">
        <f>'Historical Financials'!L28</f>
        <v>-84</v>
      </c>
      <c r="M35" s="152">
        <f>'Historical Financials'!M28</f>
        <v>-118</v>
      </c>
      <c r="N35" s="152">
        <f>'Historical Financials'!N28</f>
        <v>-75</v>
      </c>
      <c r="O35" s="152">
        <f>'Historical Financials'!O28</f>
        <v>-96</v>
      </c>
      <c r="P35" s="152">
        <f>'Historical Financials'!P28</f>
        <v>-86</v>
      </c>
      <c r="Q35" s="152">
        <f>'Historical Financials'!Q28</f>
        <v>-124</v>
      </c>
      <c r="R35" s="152">
        <f>'Historical Financials'!R28</f>
        <v>-80</v>
      </c>
      <c r="S35" s="152">
        <f>'Historical Financials'!S28</f>
        <v>-101</v>
      </c>
      <c r="T35" s="152">
        <f>'Historical Financials'!T28</f>
        <v>-85</v>
      </c>
      <c r="U35" s="152">
        <f>'Historical Financials'!U28</f>
        <v>-106</v>
      </c>
      <c r="V35" s="152">
        <f>'Historical Financials'!V28</f>
        <v>-19</v>
      </c>
      <c r="W35" s="152">
        <f>'Historical Financials'!W28</f>
        <v>-68</v>
      </c>
      <c r="X35" s="152">
        <f>'Historical Financials'!X28</f>
        <v>-64</v>
      </c>
      <c r="Z35" s="151">
        <f t="shared" si="78"/>
        <v>-335</v>
      </c>
      <c r="AA35" s="151">
        <f t="shared" si="78"/>
        <v>-373</v>
      </c>
      <c r="AB35" s="151">
        <f t="shared" si="78"/>
        <v>-375</v>
      </c>
      <c r="AC35" s="151">
        <f t="shared" si="79"/>
        <v>-381</v>
      </c>
      <c r="AD35" s="151">
        <f t="shared" si="80"/>
        <v>-386</v>
      </c>
      <c r="AE35" s="151">
        <f t="shared" si="81"/>
        <v>-391</v>
      </c>
      <c r="AF35" s="151">
        <f t="shared" si="82"/>
        <v>-390</v>
      </c>
      <c r="AG35" s="151">
        <f t="shared" si="83"/>
        <v>-372</v>
      </c>
      <c r="AH35" s="151">
        <f t="shared" si="84"/>
        <v>-311</v>
      </c>
      <c r="AI35" s="151">
        <f t="shared" si="85"/>
        <v>-278</v>
      </c>
      <c r="AJ35" s="151">
        <f t="shared" si="86"/>
        <v>-257</v>
      </c>
      <c r="AL35" s="109">
        <f>SUM(AJ35/AF35)-1</f>
        <v>-0.34102564102564104</v>
      </c>
    </row>
    <row r="36" spans="1:38" ht="12.75" customHeight="1">
      <c r="B36" s="21" t="s">
        <v>80</v>
      </c>
      <c r="C36" s="152">
        <f>-'Historical Financials'!C135</f>
        <v>-62</v>
      </c>
      <c r="D36" s="152">
        <f>-'Historical Financials'!D135</f>
        <v>-50</v>
      </c>
      <c r="E36" s="152">
        <f>-'Historical Financials'!E135</f>
        <v>-22</v>
      </c>
      <c r="F36" s="152">
        <f>-'Historical Financials'!F135</f>
        <v>-31</v>
      </c>
      <c r="G36" s="152">
        <f>-'Historical Financials'!G135</f>
        <v>-51</v>
      </c>
      <c r="H36" s="152">
        <f>-'Historical Financials'!H135</f>
        <v>-46</v>
      </c>
      <c r="J36" s="152">
        <f>'Historical Financials'!J24</f>
        <v>-6</v>
      </c>
      <c r="K36" s="152">
        <f>'Historical Financials'!K24</f>
        <v>-7</v>
      </c>
      <c r="L36" s="152">
        <f>'Historical Financials'!L24</f>
        <v>-10</v>
      </c>
      <c r="M36" s="152">
        <f>'Historical Financials'!M24</f>
        <v>-12</v>
      </c>
      <c r="N36" s="152">
        <f>'Historical Financials'!N24</f>
        <v>-12</v>
      </c>
      <c r="O36" s="152">
        <f>'Historical Financials'!O24</f>
        <v>-12</v>
      </c>
      <c r="P36" s="152">
        <f>'Historical Financials'!P24</f>
        <v>-14</v>
      </c>
      <c r="Q36" s="152">
        <f>'Historical Financials'!Q24</f>
        <v>-14</v>
      </c>
      <c r="R36" s="152">
        <f>'Historical Financials'!R24</f>
        <v>-12</v>
      </c>
      <c r="S36" s="152">
        <f>'Historical Financials'!S24</f>
        <v>-13</v>
      </c>
      <c r="T36" s="152">
        <f>'Historical Financials'!T24</f>
        <v>-13</v>
      </c>
      <c r="U36" s="152">
        <f>'Historical Financials'!U24</f>
        <v>-13</v>
      </c>
      <c r="V36" s="152">
        <f>'Historical Financials'!V24</f>
        <v>-12</v>
      </c>
      <c r="W36" s="152">
        <f>'Historical Financials'!W24</f>
        <v>-12</v>
      </c>
      <c r="X36" s="152">
        <f>'Historical Financials'!X24</f>
        <v>-12</v>
      </c>
      <c r="Z36" s="151">
        <f t="shared" si="78"/>
        <v>-41</v>
      </c>
      <c r="AA36" s="151">
        <f t="shared" si="78"/>
        <v>-46</v>
      </c>
      <c r="AB36" s="151">
        <f t="shared" si="78"/>
        <v>-50</v>
      </c>
      <c r="AC36" s="151">
        <f t="shared" si="79"/>
        <v>-52</v>
      </c>
      <c r="AD36" s="151">
        <f t="shared" si="80"/>
        <v>-52</v>
      </c>
      <c r="AE36" s="151">
        <f t="shared" si="81"/>
        <v>-53</v>
      </c>
      <c r="AF36" s="151">
        <f t="shared" si="82"/>
        <v>-52</v>
      </c>
      <c r="AG36" s="151">
        <f t="shared" si="83"/>
        <v>-51</v>
      </c>
      <c r="AH36" s="151">
        <f t="shared" si="84"/>
        <v>-51</v>
      </c>
      <c r="AI36" s="151">
        <f t="shared" si="85"/>
        <v>-50</v>
      </c>
      <c r="AJ36" s="151">
        <f t="shared" si="86"/>
        <v>-49</v>
      </c>
      <c r="AL36" s="109">
        <f>SUM(AJ36/AF36)-1</f>
        <v>-5.7692307692307709E-2</v>
      </c>
    </row>
    <row r="37" spans="1:38" ht="12.75" customHeight="1">
      <c r="B37" s="21" t="s">
        <v>42</v>
      </c>
      <c r="C37" s="152">
        <f>SUM('Historical Financials'!C101:C105)</f>
        <v>-63</v>
      </c>
      <c r="D37" s="152">
        <f>SUM('Historical Financials'!D101:D105)</f>
        <v>1934</v>
      </c>
      <c r="E37" s="152">
        <f>SUM('Historical Financials'!E101:E105)</f>
        <v>-203</v>
      </c>
      <c r="F37" s="152">
        <f>SUM('Historical Financials'!F101:F105)</f>
        <v>-861</v>
      </c>
      <c r="G37" s="152">
        <f>SUM('Historical Financials'!G101:G105)</f>
        <v>-783</v>
      </c>
      <c r="H37" s="152">
        <f>SUM('Historical Financials'!H101:H105)</f>
        <v>-259</v>
      </c>
      <c r="J37" s="152">
        <f>SUM('Historical Financials'!J101:J105)</f>
        <v>-2001</v>
      </c>
      <c r="K37" s="152">
        <f>SUM('Historical Financials'!K101:K105)</f>
        <v>73</v>
      </c>
      <c r="L37" s="152">
        <f>SUM('Historical Financials'!L101:L105)</f>
        <v>39</v>
      </c>
      <c r="M37" s="152">
        <f>SUM('Historical Financials'!M101:M105)</f>
        <v>1028</v>
      </c>
      <c r="N37" s="152">
        <f>SUM('Historical Financials'!N101:N105)</f>
        <v>-855</v>
      </c>
      <c r="O37" s="152">
        <f>SUM('Historical Financials'!O101:O105)</f>
        <v>5</v>
      </c>
      <c r="P37" s="152">
        <f>SUM('Historical Financials'!P101:P105)</f>
        <v>-423</v>
      </c>
      <c r="Q37" s="152">
        <f>SUM('Historical Financials'!Q101:Q105)</f>
        <v>490</v>
      </c>
      <c r="R37" s="152">
        <f>SUM('Historical Financials'!R101:R105)</f>
        <v>-374</v>
      </c>
      <c r="S37" s="152">
        <f>SUM('Historical Financials'!S101:S105)</f>
        <v>123</v>
      </c>
      <c r="T37" s="152">
        <f>SUM('Historical Financials'!T101:T105)</f>
        <v>-763</v>
      </c>
      <c r="U37" s="152">
        <f>SUM('Historical Financials'!U101:U105)</f>
        <v>755</v>
      </c>
      <c r="V37" s="152">
        <f>SUM('Historical Financials'!V101:V105)</f>
        <v>-475</v>
      </c>
      <c r="W37" s="152">
        <f>SUM('Historical Financials'!W101:W105)</f>
        <v>97</v>
      </c>
      <c r="X37" s="152">
        <f>SUM('Historical Financials'!X101:X105)</f>
        <v>-657</v>
      </c>
      <c r="Z37" s="151">
        <f t="shared" si="78"/>
        <v>285</v>
      </c>
      <c r="AA37" s="151">
        <f t="shared" si="78"/>
        <v>217</v>
      </c>
      <c r="AB37" s="151">
        <f t="shared" si="78"/>
        <v>-245</v>
      </c>
      <c r="AC37" s="151">
        <f t="shared" si="79"/>
        <v>-783</v>
      </c>
      <c r="AD37" s="151">
        <f t="shared" si="80"/>
        <v>-302</v>
      </c>
      <c r="AE37" s="151">
        <f t="shared" si="81"/>
        <v>-184</v>
      </c>
      <c r="AF37" s="151">
        <f t="shared" si="82"/>
        <v>-524</v>
      </c>
      <c r="AG37" s="151">
        <f t="shared" si="83"/>
        <v>-259</v>
      </c>
      <c r="AH37" s="151">
        <f t="shared" si="84"/>
        <v>-360</v>
      </c>
      <c r="AI37" s="151">
        <f t="shared" si="85"/>
        <v>-386</v>
      </c>
      <c r="AJ37" s="151">
        <f t="shared" si="86"/>
        <v>-280</v>
      </c>
      <c r="AL37" s="109">
        <f>SUM(AJ37/AF37)-1</f>
        <v>-0.46564885496183206</v>
      </c>
    </row>
    <row r="38" spans="1:38" ht="12.75" customHeight="1">
      <c r="B38" s="12" t="s">
        <v>43</v>
      </c>
      <c r="C38" s="13">
        <f>SUM(C31+SUM(C34:C37))</f>
        <v>1582</v>
      </c>
      <c r="D38" s="13">
        <f>SUM(D31+SUM(D34:D37))</f>
        <v>4094</v>
      </c>
      <c r="E38" s="13">
        <f>SUM(E31+SUM(E34:E37))</f>
        <v>2371</v>
      </c>
      <c r="F38" s="13">
        <f>SUM(F31+SUM(F34:F37))</f>
        <v>746</v>
      </c>
      <c r="G38" s="13">
        <f>SUM(G31+SUM(G34:G37))</f>
        <v>470</v>
      </c>
      <c r="H38" s="13">
        <f>SUM(H31+SUM(H34:H37))</f>
        <v>613</v>
      </c>
      <c r="J38" s="13">
        <f>SUM(J31+SUM(J34:J37))</f>
        <v>-1607</v>
      </c>
      <c r="K38" s="13">
        <f>SUM(K31+SUM(K34:K37))</f>
        <v>408</v>
      </c>
      <c r="L38" s="13">
        <f>SUM(L31+SUM(L34:L37))</f>
        <v>314</v>
      </c>
      <c r="M38" s="13">
        <f>SUM(M31+SUM(M34:M37))</f>
        <v>1540</v>
      </c>
      <c r="N38" s="13">
        <f t="shared" ref="N38:S38" si="87">SUM(N31+SUM(N34:N37))</f>
        <v>-560</v>
      </c>
      <c r="O38" s="13">
        <f t="shared" si="87"/>
        <v>327</v>
      </c>
      <c r="P38" s="13">
        <f t="shared" si="87"/>
        <v>-122</v>
      </c>
      <c r="Q38" s="13">
        <f t="shared" si="87"/>
        <v>986</v>
      </c>
      <c r="R38" s="13">
        <f t="shared" si="87"/>
        <v>-49</v>
      </c>
      <c r="S38" s="13">
        <f t="shared" si="87"/>
        <v>463</v>
      </c>
      <c r="T38" s="13">
        <f t="shared" ref="T38:U38" si="88">SUM(T31+SUM(T34:T37))</f>
        <v>-457</v>
      </c>
      <c r="U38" s="13">
        <f t="shared" si="88"/>
        <v>922</v>
      </c>
      <c r="V38" s="13">
        <f t="shared" ref="V38:X38" si="89">SUM(V31+SUM(V34:V37))</f>
        <v>-202</v>
      </c>
      <c r="W38" s="13">
        <f t="shared" si="89"/>
        <v>339</v>
      </c>
      <c r="X38" s="13">
        <f t="shared" si="89"/>
        <v>-486</v>
      </c>
      <c r="Z38" s="13">
        <f t="shared" ref="Z38" si="90">SUM(Z31+SUM(Z34:Z37))</f>
        <v>1702</v>
      </c>
      <c r="AA38" s="13">
        <f t="shared" ref="AA38" si="91">SUM(AA31+SUM(AA34:AA37))</f>
        <v>1621</v>
      </c>
      <c r="AB38" s="13">
        <f t="shared" ref="AB38:AH38" si="92">SUM(AB31+SUM(AB34:AB37))</f>
        <v>1185</v>
      </c>
      <c r="AC38" s="13">
        <f t="shared" si="92"/>
        <v>631</v>
      </c>
      <c r="AD38" s="13">
        <f t="shared" si="92"/>
        <v>1142</v>
      </c>
      <c r="AE38" s="13">
        <f t="shared" si="92"/>
        <v>1278</v>
      </c>
      <c r="AF38" s="13">
        <f t="shared" si="92"/>
        <v>943</v>
      </c>
      <c r="AG38" s="13">
        <f t="shared" si="92"/>
        <v>879</v>
      </c>
      <c r="AH38" s="13">
        <f t="shared" si="92"/>
        <v>726</v>
      </c>
      <c r="AI38" s="13">
        <f>SUM(AI31+SUM(AI34:AI37))</f>
        <v>602</v>
      </c>
      <c r="AJ38" s="13">
        <f>SUM(AJ31+SUM(AJ34:AJ37))</f>
        <v>573</v>
      </c>
      <c r="AL38" s="110">
        <f>SUM(AJ38/AF38)-1</f>
        <v>-0.39236479321314954</v>
      </c>
    </row>
    <row r="39" spans="1:38" ht="5.0999999999999996" customHeight="1"/>
    <row r="40" spans="1:38" ht="12.75" customHeight="1">
      <c r="B40" s="29" t="s">
        <v>98</v>
      </c>
      <c r="C40" s="152">
        <f>'Historical Financials'!C110</f>
        <v>-145</v>
      </c>
      <c r="D40" s="152">
        <f>'Historical Financials'!D110</f>
        <v>0</v>
      </c>
      <c r="E40" s="152">
        <f>'Historical Financials'!E110</f>
        <v>-468</v>
      </c>
      <c r="F40" s="152">
        <f>'Historical Financials'!F110</f>
        <v>0</v>
      </c>
      <c r="G40" s="152">
        <f>'Historical Financials'!G110</f>
        <v>14</v>
      </c>
      <c r="H40" s="152">
        <f>'Historical Financials'!H110</f>
        <v>0</v>
      </c>
      <c r="I40" s="30"/>
      <c r="J40" s="152">
        <f>'Historical Financials'!J110</f>
        <v>0</v>
      </c>
      <c r="K40" s="152">
        <f>'Historical Financials'!K110</f>
        <v>0</v>
      </c>
      <c r="L40" s="152">
        <f>'Historical Financials'!L110</f>
        <v>0</v>
      </c>
      <c r="M40" s="152">
        <f>'Historical Financials'!M110</f>
        <v>0</v>
      </c>
      <c r="N40" s="152">
        <f>'Historical Financials'!N110</f>
        <v>0</v>
      </c>
      <c r="O40" s="152">
        <f>'Historical Financials'!O110</f>
        <v>14</v>
      </c>
      <c r="P40" s="152">
        <f>'Historical Financials'!P110</f>
        <v>0</v>
      </c>
      <c r="Q40" s="152">
        <f>'Historical Financials'!Q110</f>
        <v>0</v>
      </c>
      <c r="R40" s="152">
        <f>'Historical Financials'!R110</f>
        <v>0</v>
      </c>
      <c r="S40" s="152">
        <f>'Historical Financials'!S110</f>
        <v>0</v>
      </c>
      <c r="T40" s="152">
        <f>'Historical Financials'!T110</f>
        <v>0</v>
      </c>
      <c r="U40" s="152">
        <f>'Historical Financials'!U110</f>
        <v>0</v>
      </c>
      <c r="V40" s="152">
        <f>'Historical Financials'!V110</f>
        <v>0</v>
      </c>
      <c r="W40" s="152">
        <f>'Historical Financials'!W110</f>
        <v>-27</v>
      </c>
      <c r="X40" s="152">
        <f>'Historical Financials'!X110</f>
        <v>0</v>
      </c>
      <c r="Z40" s="151">
        <f t="shared" ref="Z40:AB45" si="93">SUM(K40:N40)</f>
        <v>0</v>
      </c>
      <c r="AA40" s="151">
        <f t="shared" si="93"/>
        <v>14</v>
      </c>
      <c r="AB40" s="151">
        <f t="shared" si="93"/>
        <v>14</v>
      </c>
      <c r="AC40" s="151">
        <f t="shared" ref="AC40:AC45" si="94">SUM(N40:Q40)</f>
        <v>14</v>
      </c>
      <c r="AD40" s="151">
        <f t="shared" ref="AD40:AD45" si="95">SUM(O40:R40)</f>
        <v>14</v>
      </c>
      <c r="AE40" s="151">
        <f t="shared" ref="AE40:AE45" si="96">SUM(P40:S40)</f>
        <v>0</v>
      </c>
      <c r="AF40" s="151">
        <f t="shared" ref="AF40:AF45" si="97">SUM(Q40:T40)</f>
        <v>0</v>
      </c>
      <c r="AG40" s="151">
        <f t="shared" ref="AG40:AG45" si="98">SUM(R40:U40)</f>
        <v>0</v>
      </c>
      <c r="AH40" s="151">
        <f t="shared" ref="AH40:AH45" si="99">SUM(S40:V40)</f>
        <v>0</v>
      </c>
      <c r="AI40" s="151">
        <f t="shared" ref="AI40:AI45" si="100">SUM(T40:W40)</f>
        <v>-27</v>
      </c>
      <c r="AJ40" s="151">
        <f t="shared" ref="AJ40:AJ45" si="101">SUM(U40:X40)</f>
        <v>-27</v>
      </c>
    </row>
    <row r="41" spans="1:38" ht="12.75" customHeight="1">
      <c r="B41" s="29" t="s">
        <v>183</v>
      </c>
      <c r="C41" s="152">
        <f>'Historical Financials'!C111</f>
        <v>-8</v>
      </c>
      <c r="D41" s="152">
        <f>'Historical Financials'!D111</f>
        <v>-74</v>
      </c>
      <c r="E41" s="152">
        <f>'Historical Financials'!E111</f>
        <v>-167</v>
      </c>
      <c r="F41" s="152">
        <f>'Historical Financials'!F111</f>
        <v>-39</v>
      </c>
      <c r="G41" s="152">
        <f>'Historical Financials'!G111</f>
        <v>-2</v>
      </c>
      <c r="H41" s="152">
        <f>'Historical Financials'!H111</f>
        <v>-6</v>
      </c>
      <c r="I41" s="30"/>
      <c r="J41" s="152">
        <f>'Historical Financials'!J111</f>
        <v>0</v>
      </c>
      <c r="K41" s="152">
        <f>'Historical Financials'!K111</f>
        <v>-46</v>
      </c>
      <c r="L41" s="152">
        <f>'Historical Financials'!L111</f>
        <v>0</v>
      </c>
      <c r="M41" s="152">
        <f>'Historical Financials'!M111</f>
        <v>7</v>
      </c>
      <c r="N41" s="152">
        <f>'Historical Financials'!N111</f>
        <v>0</v>
      </c>
      <c r="O41" s="152">
        <f>'Historical Financials'!O111</f>
        <v>-2</v>
      </c>
      <c r="P41" s="152">
        <f>'Historical Financials'!P111</f>
        <v>-5</v>
      </c>
      <c r="Q41" s="152">
        <f>'Historical Financials'!Q111</f>
        <v>5</v>
      </c>
      <c r="R41" s="152">
        <f>'Historical Financials'!R111</f>
        <v>0</v>
      </c>
      <c r="S41" s="152">
        <f>'Historical Financials'!S111</f>
        <v>0</v>
      </c>
      <c r="T41" s="152">
        <f>'Historical Financials'!T111</f>
        <v>0</v>
      </c>
      <c r="U41" s="152">
        <f>'Historical Financials'!U111</f>
        <v>-6</v>
      </c>
      <c r="V41" s="152">
        <f>'Historical Financials'!V111</f>
        <v>0</v>
      </c>
      <c r="W41" s="152">
        <f>'Historical Financials'!W111</f>
        <v>0</v>
      </c>
      <c r="X41" s="152">
        <f>'Historical Financials'!X111</f>
        <v>0</v>
      </c>
      <c r="Z41" s="151">
        <f t="shared" si="93"/>
        <v>-39</v>
      </c>
      <c r="AA41" s="151">
        <f t="shared" si="93"/>
        <v>5</v>
      </c>
      <c r="AB41" s="151">
        <f t="shared" si="93"/>
        <v>0</v>
      </c>
      <c r="AC41" s="151">
        <f t="shared" si="94"/>
        <v>-2</v>
      </c>
      <c r="AD41" s="151">
        <f t="shared" si="95"/>
        <v>-2</v>
      </c>
      <c r="AE41" s="151">
        <f t="shared" si="96"/>
        <v>0</v>
      </c>
      <c r="AF41" s="151">
        <f t="shared" si="97"/>
        <v>5</v>
      </c>
      <c r="AG41" s="151">
        <f t="shared" si="98"/>
        <v>-6</v>
      </c>
      <c r="AH41" s="151">
        <f t="shared" si="99"/>
        <v>-6</v>
      </c>
      <c r="AI41" s="151">
        <f t="shared" si="100"/>
        <v>-6</v>
      </c>
      <c r="AJ41" s="151">
        <f t="shared" si="101"/>
        <v>-6</v>
      </c>
    </row>
    <row r="42" spans="1:38" ht="12.75" customHeight="1">
      <c r="B42" s="29" t="s">
        <v>162</v>
      </c>
      <c r="C42" s="152">
        <f>'Historical Financials'!C116</f>
        <v>-955</v>
      </c>
      <c r="D42" s="152">
        <f>'Historical Financials'!D116</f>
        <v>-284</v>
      </c>
      <c r="E42" s="152">
        <f>'Historical Financials'!E116</f>
        <v>-3473</v>
      </c>
      <c r="F42" s="152">
        <f>'Historical Financials'!F116</f>
        <v>-998</v>
      </c>
      <c r="G42" s="152">
        <f>'Historical Financials'!G116</f>
        <v>-321</v>
      </c>
      <c r="H42" s="152">
        <f>'Historical Financials'!H116</f>
        <v>-483</v>
      </c>
      <c r="I42" s="30"/>
      <c r="J42" s="152">
        <f>'Historical Financials'!J116</f>
        <v>-455</v>
      </c>
      <c r="K42" s="152">
        <f>'Historical Financials'!K116</f>
        <v>-10</v>
      </c>
      <c r="L42" s="152">
        <f>'Historical Financials'!L116</f>
        <v>0</v>
      </c>
      <c r="M42" s="152">
        <f>'Historical Financials'!M116</f>
        <v>-533</v>
      </c>
      <c r="N42" s="152">
        <f>'Historical Financials'!N116</f>
        <v>-79</v>
      </c>
      <c r="O42" s="152">
        <f>'Historical Financials'!O116</f>
        <v>-79</v>
      </c>
      <c r="P42" s="152">
        <f>'Historical Financials'!P116</f>
        <v>-112</v>
      </c>
      <c r="Q42" s="152">
        <f>'Historical Financials'!Q116</f>
        <v>-51</v>
      </c>
      <c r="R42" s="152">
        <f>'Historical Financials'!R116</f>
        <v>-50</v>
      </c>
      <c r="S42" s="152">
        <f>'Historical Financials'!S116</f>
        <v>-98</v>
      </c>
      <c r="T42" s="152">
        <f>'Historical Financials'!T116</f>
        <v>-137</v>
      </c>
      <c r="U42" s="152">
        <f>'Historical Financials'!U116</f>
        <v>-198</v>
      </c>
      <c r="V42" s="152">
        <f>'Historical Financials'!V116</f>
        <v>-100</v>
      </c>
      <c r="W42" s="152">
        <f>'Historical Financials'!W116</f>
        <v>-65</v>
      </c>
      <c r="X42" s="152">
        <f>'Historical Financials'!X116</f>
        <v>-35</v>
      </c>
      <c r="Z42" s="151">
        <f t="shared" si="93"/>
        <v>-622</v>
      </c>
      <c r="AA42" s="151">
        <f t="shared" si="93"/>
        <v>-691</v>
      </c>
      <c r="AB42" s="151">
        <f t="shared" si="93"/>
        <v>-803</v>
      </c>
      <c r="AC42" s="151">
        <f t="shared" si="94"/>
        <v>-321</v>
      </c>
      <c r="AD42" s="151">
        <f t="shared" si="95"/>
        <v>-292</v>
      </c>
      <c r="AE42" s="151">
        <f t="shared" si="96"/>
        <v>-311</v>
      </c>
      <c r="AF42" s="151">
        <f t="shared" si="97"/>
        <v>-336</v>
      </c>
      <c r="AG42" s="151">
        <f t="shared" si="98"/>
        <v>-483</v>
      </c>
      <c r="AH42" s="151">
        <f t="shared" si="99"/>
        <v>-533</v>
      </c>
      <c r="AI42" s="151">
        <f t="shared" si="100"/>
        <v>-500</v>
      </c>
      <c r="AJ42" s="151">
        <f t="shared" si="101"/>
        <v>-398</v>
      </c>
    </row>
    <row r="43" spans="1:38" ht="12.75" customHeight="1">
      <c r="B43" s="29" t="s">
        <v>184</v>
      </c>
      <c r="C43" s="152">
        <f>'Historical Financials'!C117</f>
        <v>-527</v>
      </c>
      <c r="D43" s="152">
        <f>'Historical Financials'!D117</f>
        <v>-568</v>
      </c>
      <c r="E43" s="152">
        <f>'Historical Financials'!E117</f>
        <v>-688</v>
      </c>
      <c r="F43" s="152">
        <f>'Historical Financials'!F117</f>
        <v>-789</v>
      </c>
      <c r="G43" s="152">
        <f>'Historical Financials'!G117</f>
        <v>-801</v>
      </c>
      <c r="H43" s="152">
        <f>'Historical Financials'!H117</f>
        <v>-807</v>
      </c>
      <c r="I43" s="30"/>
      <c r="J43" s="152">
        <f>'Historical Financials'!J117</f>
        <v>-199</v>
      </c>
      <c r="K43" s="152">
        <f>'Historical Financials'!K117</f>
        <v>-198</v>
      </c>
      <c r="L43" s="152">
        <f>'Historical Financials'!L117</f>
        <v>-198</v>
      </c>
      <c r="M43" s="152">
        <f>'Historical Financials'!M117</f>
        <v>-194</v>
      </c>
      <c r="N43" s="152">
        <f>'Historical Financials'!N117</f>
        <v>-202</v>
      </c>
      <c r="O43" s="152">
        <f>'Historical Financials'!O117</f>
        <v>-200</v>
      </c>
      <c r="P43" s="152">
        <f>'Historical Financials'!P117</f>
        <v>-201</v>
      </c>
      <c r="Q43" s="152">
        <f>'Historical Financials'!Q117</f>
        <v>-198</v>
      </c>
      <c r="R43" s="152">
        <f>'Historical Financials'!R117</f>
        <v>-202</v>
      </c>
      <c r="S43" s="152">
        <f>'Historical Financials'!S117</f>
        <v>-203</v>
      </c>
      <c r="T43" s="152">
        <f>'Historical Financials'!T117</f>
        <v>-202</v>
      </c>
      <c r="U43" s="152">
        <f>'Historical Financials'!U117</f>
        <v>-200</v>
      </c>
      <c r="V43" s="152">
        <f>'Historical Financials'!V117</f>
        <v>-202</v>
      </c>
      <c r="W43" s="152">
        <f>'Historical Financials'!W117</f>
        <v>-201</v>
      </c>
      <c r="X43" s="152">
        <f>'Historical Financials'!X117</f>
        <v>-199</v>
      </c>
      <c r="Z43" s="151">
        <f t="shared" si="93"/>
        <v>-792</v>
      </c>
      <c r="AA43" s="151">
        <f t="shared" si="93"/>
        <v>-794</v>
      </c>
      <c r="AB43" s="151">
        <f t="shared" si="93"/>
        <v>-797</v>
      </c>
      <c r="AC43" s="151">
        <f t="shared" si="94"/>
        <v>-801</v>
      </c>
      <c r="AD43" s="151">
        <f t="shared" si="95"/>
        <v>-801</v>
      </c>
      <c r="AE43" s="151">
        <f t="shared" si="96"/>
        <v>-804</v>
      </c>
      <c r="AF43" s="151">
        <f t="shared" si="97"/>
        <v>-805</v>
      </c>
      <c r="AG43" s="151">
        <f t="shared" si="98"/>
        <v>-807</v>
      </c>
      <c r="AH43" s="151">
        <f t="shared" si="99"/>
        <v>-807</v>
      </c>
      <c r="AI43" s="151">
        <f t="shared" si="100"/>
        <v>-805</v>
      </c>
      <c r="AJ43" s="151">
        <f t="shared" si="101"/>
        <v>-802</v>
      </c>
    </row>
    <row r="44" spans="1:38" ht="12.75" customHeight="1">
      <c r="B44" s="29" t="s">
        <v>161</v>
      </c>
      <c r="C44" s="152">
        <f>'Historical Financials'!C118</f>
        <v>-15</v>
      </c>
      <c r="D44" s="152">
        <f>'Historical Financials'!D118</f>
        <v>-24</v>
      </c>
      <c r="E44" s="152">
        <f>'Historical Financials'!E118</f>
        <v>-133</v>
      </c>
      <c r="F44" s="152">
        <f>'Historical Financials'!F118</f>
        <v>-19</v>
      </c>
      <c r="G44" s="152">
        <f>'Historical Financials'!G118</f>
        <v>-19</v>
      </c>
      <c r="H44" s="152">
        <f>'Historical Financials'!H118</f>
        <v>-17</v>
      </c>
      <c r="I44" s="30"/>
      <c r="J44" s="152">
        <f>'Historical Financials'!J118</f>
        <v>0</v>
      </c>
      <c r="K44" s="152">
        <f>'Historical Financials'!K118</f>
        <v>0</v>
      </c>
      <c r="L44" s="152">
        <f>'Historical Financials'!L118</f>
        <v>0</v>
      </c>
      <c r="M44" s="152">
        <f>'Historical Financials'!M118</f>
        <v>-19</v>
      </c>
      <c r="N44" s="152">
        <f>'Historical Financials'!N118</f>
        <v>0</v>
      </c>
      <c r="O44" s="152">
        <f>'Historical Financials'!O118</f>
        <v>0</v>
      </c>
      <c r="P44" s="152">
        <f>'Historical Financials'!P118</f>
        <v>0</v>
      </c>
      <c r="Q44" s="152">
        <f>'Historical Financials'!Q118</f>
        <v>-19</v>
      </c>
      <c r="R44" s="152">
        <f>'Historical Financials'!R118</f>
        <v>0</v>
      </c>
      <c r="S44" s="152">
        <f>'Historical Financials'!S118</f>
        <v>0</v>
      </c>
      <c r="T44" s="152">
        <f>'Historical Financials'!T118</f>
        <v>-13</v>
      </c>
      <c r="U44" s="152">
        <f>'Historical Financials'!U118</f>
        <v>-4</v>
      </c>
      <c r="V44" s="152">
        <f>'Historical Financials'!V118</f>
        <v>0</v>
      </c>
      <c r="W44" s="152">
        <f>'Historical Financials'!W118</f>
        <v>0</v>
      </c>
      <c r="X44" s="152">
        <f>'Historical Financials'!X118</f>
        <v>-10</v>
      </c>
      <c r="Z44" s="151">
        <f t="shared" si="93"/>
        <v>-19</v>
      </c>
      <c r="AA44" s="151">
        <f t="shared" si="93"/>
        <v>-19</v>
      </c>
      <c r="AB44" s="151">
        <f t="shared" si="93"/>
        <v>-19</v>
      </c>
      <c r="AC44" s="151">
        <f t="shared" si="94"/>
        <v>-19</v>
      </c>
      <c r="AD44" s="151">
        <f t="shared" si="95"/>
        <v>-19</v>
      </c>
      <c r="AE44" s="151">
        <f t="shared" si="96"/>
        <v>-19</v>
      </c>
      <c r="AF44" s="151">
        <f t="shared" si="97"/>
        <v>-32</v>
      </c>
      <c r="AG44" s="151">
        <f t="shared" si="98"/>
        <v>-17</v>
      </c>
      <c r="AH44" s="151">
        <f t="shared" si="99"/>
        <v>-17</v>
      </c>
      <c r="AI44" s="151">
        <f t="shared" si="100"/>
        <v>-17</v>
      </c>
      <c r="AJ44" s="151">
        <f t="shared" si="101"/>
        <v>-14</v>
      </c>
    </row>
    <row r="45" spans="1:38" ht="12.75" customHeight="1">
      <c r="B45" s="29" t="s">
        <v>76</v>
      </c>
      <c r="C45" s="153"/>
      <c r="D45" s="153">
        <f>SUM(D50:D51)-SUM(C50:C51)-SUM(D38:D44)</f>
        <v>126</v>
      </c>
      <c r="E45" s="153">
        <f>SUM(E50:E51)-SUM(D50:D51)-SUM(E38:E44)</f>
        <v>138</v>
      </c>
      <c r="F45" s="153">
        <f>SUM(F50:F51)-SUM(E50:E51)-SUM(F38:F44)</f>
        <v>147</v>
      </c>
      <c r="G45" s="153">
        <f>SUM(G50:G51)-SUM(F50:F51)-SUM(G38:G44)</f>
        <v>199</v>
      </c>
      <c r="H45" s="153">
        <f>SUM(H50:H51)-SUM(G50:G51)-SUM(H38:H44)</f>
        <v>775</v>
      </c>
      <c r="I45" s="30"/>
      <c r="J45" s="153"/>
      <c r="K45" s="153">
        <f>SUM(K50:K51)-SUM(J50:J51)-SUM(K38:K44)</f>
        <v>38</v>
      </c>
      <c r="L45" s="153">
        <f>SUM(L50:L51)-SUM(K50:K51)-SUM(L38:L44)</f>
        <v>25</v>
      </c>
      <c r="M45" s="153">
        <f>SUM(M50:M51)-SUM(L50:L51)-SUM(M38:M44)</f>
        <v>159</v>
      </c>
      <c r="N45" s="153">
        <f>SUM(N50:N51)-SUM(M50:M51)-SUM(N38:N44)</f>
        <v>20</v>
      </c>
      <c r="O45" s="153">
        <f>SUM(O50:O51)-SUM(N50:N51)-SUM(O38:O44)</f>
        <v>-1</v>
      </c>
      <c r="P45" s="153">
        <f>SUM(P50:P51)-SUM(O50:O51)-SUM(P38:P44)</f>
        <v>8</v>
      </c>
      <c r="Q45" s="153">
        <f>SUM(Q50:Q51)-SUM(P50:P51)-SUM(Q38:Q44)</f>
        <v>11</v>
      </c>
      <c r="R45" s="153">
        <f>SUM(R50:R51)-SUM(Q50:Q51)-SUM(R38:R44)</f>
        <v>35</v>
      </c>
      <c r="S45" s="153">
        <f>SUM(S50:S51)-SUM(R50:R51)-SUM(S38:S44)</f>
        <v>9</v>
      </c>
      <c r="T45" s="153">
        <f>SUM(T50:T51)-SUM(S50:S51)-SUM(T38:T44)</f>
        <v>49</v>
      </c>
      <c r="U45" s="153">
        <f>SUM(U50:U51)-SUM(T50:T51)-SUM(U38:U44)</f>
        <v>416</v>
      </c>
      <c r="V45" s="153">
        <f t="shared" ref="V45:X45" si="102">SUM(V50:V51)-SUM(U50:U51)-SUM(V38:V44)</f>
        <v>71</v>
      </c>
      <c r="W45" s="153">
        <f t="shared" si="102"/>
        <v>232</v>
      </c>
      <c r="X45" s="153">
        <f t="shared" si="102"/>
        <v>211</v>
      </c>
      <c r="Z45" s="151">
        <f t="shared" si="93"/>
        <v>242</v>
      </c>
      <c r="AA45" s="151">
        <f t="shared" si="93"/>
        <v>203</v>
      </c>
      <c r="AB45" s="151">
        <f t="shared" si="93"/>
        <v>186</v>
      </c>
      <c r="AC45" s="151">
        <f t="shared" si="94"/>
        <v>38</v>
      </c>
      <c r="AD45" s="151">
        <f t="shared" si="95"/>
        <v>53</v>
      </c>
      <c r="AE45" s="151">
        <f t="shared" si="96"/>
        <v>63</v>
      </c>
      <c r="AF45" s="151">
        <f t="shared" si="97"/>
        <v>104</v>
      </c>
      <c r="AG45" s="151">
        <f t="shared" si="98"/>
        <v>509</v>
      </c>
      <c r="AH45" s="151">
        <f t="shared" si="99"/>
        <v>545</v>
      </c>
      <c r="AI45" s="151">
        <f t="shared" si="100"/>
        <v>768</v>
      </c>
      <c r="AJ45" s="151">
        <f t="shared" si="101"/>
        <v>930</v>
      </c>
    </row>
    <row r="46" spans="1:38" ht="12.75" customHeight="1">
      <c r="B46" s="12" t="s">
        <v>44</v>
      </c>
      <c r="C46" s="13">
        <f>SUM(C38+SUM(C40:C45))</f>
        <v>-68</v>
      </c>
      <c r="D46" s="13">
        <f>SUM(D38+SUM(D40:D45))</f>
        <v>3270</v>
      </c>
      <c r="E46" s="13">
        <f>SUM(E38+SUM(E40:E45))</f>
        <v>-2420</v>
      </c>
      <c r="F46" s="13">
        <f>SUM(F38+SUM(F40:F45))</f>
        <v>-952</v>
      </c>
      <c r="G46" s="13">
        <f>SUM(G38+SUM(G40:G45))</f>
        <v>-460</v>
      </c>
      <c r="H46" s="13">
        <f>SUM(H38+SUM(H40:H45))</f>
        <v>75</v>
      </c>
      <c r="J46" s="13">
        <f>SUM(J38+SUM(J40:J45))</f>
        <v>-2261</v>
      </c>
      <c r="K46" s="13">
        <f>SUM(K38+SUM(K40:K45))</f>
        <v>192</v>
      </c>
      <c r="L46" s="13">
        <f>SUM(L38+SUM(L40:L45))</f>
        <v>141</v>
      </c>
      <c r="M46" s="13">
        <f>SUM(M38+SUM(M40:M45))</f>
        <v>960</v>
      </c>
      <c r="N46" s="13">
        <f>SUM(N38+SUM(N40:N45))</f>
        <v>-821</v>
      </c>
      <c r="O46" s="13">
        <f>SUM(O38+SUM(O40:O45))</f>
        <v>59</v>
      </c>
      <c r="P46" s="13">
        <f>SUM(P38+SUM(P40:P45))</f>
        <v>-432</v>
      </c>
      <c r="Q46" s="13">
        <f>SUM(Q38+SUM(Q40:Q45))</f>
        <v>734</v>
      </c>
      <c r="R46" s="13">
        <f>SUM(R38+SUM(R40:R45))</f>
        <v>-266</v>
      </c>
      <c r="S46" s="13">
        <f>SUM(S38+SUM(S40:S45))</f>
        <v>171</v>
      </c>
      <c r="T46" s="13">
        <f>SUM(T38+SUM(T40:T45))</f>
        <v>-760</v>
      </c>
      <c r="U46" s="13">
        <f>SUM(U38+SUM(U40:U45))</f>
        <v>930</v>
      </c>
      <c r="V46" s="13">
        <f t="shared" ref="V46:X46" si="103">SUM(V38+SUM(V40:V45))</f>
        <v>-433</v>
      </c>
      <c r="W46" s="13">
        <f t="shared" si="103"/>
        <v>278</v>
      </c>
      <c r="X46" s="13">
        <f t="shared" si="103"/>
        <v>-519</v>
      </c>
      <c r="Z46" s="13">
        <f>SUM(Z38+SUM(Z40:Z45))</f>
        <v>472</v>
      </c>
      <c r="AA46" s="13">
        <f>SUM(AA38+SUM(AA40:AA45))</f>
        <v>339</v>
      </c>
      <c r="AB46" s="13">
        <f>SUM(AB38+SUM(AB40:AB45))</f>
        <v>-234</v>
      </c>
      <c r="AC46" s="13">
        <f>SUM(AC38+SUM(AC40:AC45))</f>
        <v>-460</v>
      </c>
      <c r="AD46" s="13">
        <f>SUM(AD38+SUM(AD40:AD45))</f>
        <v>95</v>
      </c>
      <c r="AE46" s="13">
        <f>SUM(AE38+SUM(AE40:AE45))</f>
        <v>207</v>
      </c>
      <c r="AF46" s="13">
        <f>SUM(AF38+SUM(AF40:AF45))</f>
        <v>-121</v>
      </c>
      <c r="AG46" s="13">
        <f>SUM(AG38+SUM(AG40:AG45))</f>
        <v>75</v>
      </c>
      <c r="AH46" s="13">
        <f>SUM(AH38+SUM(AH40:AH45))</f>
        <v>-92</v>
      </c>
      <c r="AI46" s="13">
        <f>SUM(AI38+SUM(AI40:AI45))</f>
        <v>15</v>
      </c>
      <c r="AJ46" s="13">
        <f>SUM(AJ38+SUM(AJ40:AJ45))</f>
        <v>256</v>
      </c>
    </row>
    <row r="47" spans="1:38" ht="5.0999999999999996" customHeight="1"/>
    <row r="48" spans="1:38" ht="12.75" customHeight="1">
      <c r="A48" s="5"/>
      <c r="B48" s="31" t="s">
        <v>45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spans="2:36" ht="5.0999999999999996" customHeight="1"/>
    <row r="50" spans="2:36" ht="12.75" customHeight="1">
      <c r="B50" s="8" t="s">
        <v>46</v>
      </c>
      <c r="C50" s="81">
        <f>'Historical Financials'!C44</f>
        <v>2229</v>
      </c>
      <c r="D50" s="81">
        <f>'Historical Financials'!D44</f>
        <v>5494</v>
      </c>
      <c r="E50" s="81">
        <f>'Historical Financials'!E44</f>
        <v>2936</v>
      </c>
      <c r="F50" s="81">
        <f>'Historical Financials'!F44</f>
        <v>1874</v>
      </c>
      <c r="G50" s="81">
        <f>'Historical Financials'!G44</f>
        <v>1447</v>
      </c>
      <c r="H50" s="81">
        <f>'Historical Financials'!H44</f>
        <v>1578</v>
      </c>
      <c r="I50" s="30"/>
      <c r="J50" s="81">
        <f>'Historical Financials'!J44</f>
        <v>640</v>
      </c>
      <c r="K50" s="81">
        <f>'Historical Financials'!K44</f>
        <v>840</v>
      </c>
      <c r="L50" s="81">
        <f>'Historical Financials'!L44</f>
        <v>932</v>
      </c>
      <c r="M50" s="81">
        <f>'Historical Financials'!M44</f>
        <v>1874</v>
      </c>
      <c r="N50" s="81">
        <f>'Historical Financials'!N44</f>
        <v>1030</v>
      </c>
      <c r="O50" s="81">
        <f>'Historical Financials'!O44</f>
        <v>1093</v>
      </c>
      <c r="P50" s="81">
        <f>'Historical Financials'!P44</f>
        <v>636</v>
      </c>
      <c r="Q50" s="81">
        <f>'Historical Financials'!Q44</f>
        <v>1447</v>
      </c>
      <c r="R50" s="81">
        <f>'Historical Financials'!R44</f>
        <v>1214</v>
      </c>
      <c r="S50" s="81">
        <f>'Historical Financials'!S44</f>
        <v>1387</v>
      </c>
      <c r="T50" s="81">
        <f>'Historical Financials'!T44</f>
        <v>643</v>
      </c>
      <c r="U50" s="81">
        <f>'Historical Financials'!U44</f>
        <v>1578</v>
      </c>
      <c r="V50" s="81">
        <f>'Historical Financials'!V44</f>
        <v>1147</v>
      </c>
      <c r="W50" s="81">
        <f>'Historical Financials'!W44</f>
        <v>1456</v>
      </c>
      <c r="X50" s="81">
        <f>'Historical Financials'!X44</f>
        <v>923</v>
      </c>
      <c r="Z50" s="10">
        <f t="shared" ref="Z50:AB52" si="104">N50</f>
        <v>1030</v>
      </c>
      <c r="AA50" s="10">
        <f t="shared" si="104"/>
        <v>1093</v>
      </c>
      <c r="AB50" s="10">
        <f t="shared" si="104"/>
        <v>636</v>
      </c>
      <c r="AC50" s="10">
        <f t="shared" ref="AC50:AC52" si="105">Q50</f>
        <v>1447</v>
      </c>
      <c r="AD50" s="10">
        <f t="shared" ref="AD50:AD52" si="106">R50</f>
        <v>1214</v>
      </c>
      <c r="AE50" s="10">
        <f t="shared" ref="AE50:AE52" si="107">S50</f>
        <v>1387</v>
      </c>
      <c r="AF50" s="10">
        <f t="shared" ref="AF50:AF52" si="108">T50</f>
        <v>643</v>
      </c>
      <c r="AG50" s="10">
        <f t="shared" ref="AG50:AG52" si="109">U50</f>
        <v>1578</v>
      </c>
      <c r="AH50" s="10">
        <f t="shared" ref="AH50:AH52" si="110">V50</f>
        <v>1147</v>
      </c>
      <c r="AI50" s="10">
        <f t="shared" ref="AI50:AI52" si="111">W50</f>
        <v>1456</v>
      </c>
      <c r="AJ50" s="10">
        <f t="shared" ref="AJ50:AJ52" si="112">X50</f>
        <v>923</v>
      </c>
    </row>
    <row r="51" spans="2:36" ht="12.75" customHeight="1">
      <c r="B51" s="8" t="s">
        <v>91</v>
      </c>
      <c r="C51" s="81">
        <f>'Historical Financials'!C45</f>
        <v>126</v>
      </c>
      <c r="D51" s="81">
        <f>'Historical Financials'!D45</f>
        <v>131</v>
      </c>
      <c r="E51" s="81">
        <f>'Historical Financials'!E45</f>
        <v>269</v>
      </c>
      <c r="F51" s="81">
        <f>'Historical Financials'!F45</f>
        <v>379</v>
      </c>
      <c r="G51" s="81">
        <f>'Historical Financials'!G45</f>
        <v>346</v>
      </c>
      <c r="H51" s="81">
        <f>'Historical Financials'!H45</f>
        <v>290</v>
      </c>
      <c r="I51" s="30"/>
      <c r="J51" s="81">
        <f>'Historical Financials'!J45</f>
        <v>320</v>
      </c>
      <c r="K51" s="81">
        <f>'Historical Financials'!K45</f>
        <v>312</v>
      </c>
      <c r="L51" s="81">
        <f>'Historical Financials'!L45</f>
        <v>361</v>
      </c>
      <c r="M51" s="81">
        <f>'Historical Financials'!M45</f>
        <v>379</v>
      </c>
      <c r="N51" s="81">
        <f>'Historical Financials'!N45</f>
        <v>402</v>
      </c>
      <c r="O51" s="81">
        <f>'Historical Financials'!O45</f>
        <v>398</v>
      </c>
      <c r="P51" s="81">
        <f>'Historical Financials'!P45</f>
        <v>423</v>
      </c>
      <c r="Q51" s="81">
        <f>'Historical Financials'!Q45</f>
        <v>346</v>
      </c>
      <c r="R51" s="81">
        <f>'Historical Financials'!R45</f>
        <v>313</v>
      </c>
      <c r="S51" s="81">
        <f>'Historical Financials'!S45</f>
        <v>311</v>
      </c>
      <c r="T51" s="81">
        <f>'Historical Financials'!T45</f>
        <v>295</v>
      </c>
      <c r="U51" s="81">
        <f>'Historical Financials'!U45</f>
        <v>290</v>
      </c>
      <c r="V51" s="81">
        <f>'Historical Financials'!V45</f>
        <v>288</v>
      </c>
      <c r="W51" s="81">
        <f>'Historical Financials'!W45</f>
        <v>257</v>
      </c>
      <c r="X51" s="81">
        <f>'Historical Financials'!X45</f>
        <v>271</v>
      </c>
      <c r="Z51" s="10">
        <f t="shared" si="104"/>
        <v>402</v>
      </c>
      <c r="AA51" s="10">
        <f t="shared" si="104"/>
        <v>398</v>
      </c>
      <c r="AB51" s="10">
        <f t="shared" si="104"/>
        <v>423</v>
      </c>
      <c r="AC51" s="10">
        <f t="shared" si="105"/>
        <v>346</v>
      </c>
      <c r="AD51" s="10">
        <f t="shared" si="106"/>
        <v>313</v>
      </c>
      <c r="AE51" s="10">
        <f t="shared" si="107"/>
        <v>311</v>
      </c>
      <c r="AF51" s="10">
        <f t="shared" si="108"/>
        <v>295</v>
      </c>
      <c r="AG51" s="10">
        <f t="shared" si="109"/>
        <v>290</v>
      </c>
      <c r="AH51" s="10">
        <f t="shared" si="110"/>
        <v>288</v>
      </c>
      <c r="AI51" s="10">
        <f t="shared" si="111"/>
        <v>257</v>
      </c>
      <c r="AJ51" s="10">
        <f t="shared" si="112"/>
        <v>271</v>
      </c>
    </row>
    <row r="52" spans="2:36" ht="12.75" customHeight="1">
      <c r="B52" s="8" t="s">
        <v>158</v>
      </c>
      <c r="C52" s="75">
        <v>1250</v>
      </c>
      <c r="D52" s="75">
        <v>1250</v>
      </c>
      <c r="E52" s="75">
        <v>1250</v>
      </c>
      <c r="F52" s="75">
        <v>1250</v>
      </c>
      <c r="G52" s="75">
        <v>1250</v>
      </c>
      <c r="H52" s="75">
        <v>1250</v>
      </c>
      <c r="I52" s="30"/>
      <c r="J52" s="75">
        <v>1250</v>
      </c>
      <c r="K52" s="75">
        <v>1250</v>
      </c>
      <c r="L52" s="75">
        <v>1250</v>
      </c>
      <c r="M52" s="107">
        <f>F52</f>
        <v>1250</v>
      </c>
      <c r="N52" s="75">
        <v>1250</v>
      </c>
      <c r="O52" s="75">
        <v>1250</v>
      </c>
      <c r="P52" s="75">
        <v>1250</v>
      </c>
      <c r="Q52" s="107">
        <f>G52</f>
        <v>1250</v>
      </c>
      <c r="R52" s="75">
        <v>1250</v>
      </c>
      <c r="S52" s="75">
        <v>1250</v>
      </c>
      <c r="T52" s="75">
        <v>1250</v>
      </c>
      <c r="U52" s="107">
        <f>H52</f>
        <v>1250</v>
      </c>
      <c r="V52" s="75">
        <v>1250</v>
      </c>
      <c r="W52" s="75">
        <v>1250</v>
      </c>
      <c r="X52" s="75">
        <v>1250</v>
      </c>
      <c r="Z52" s="10">
        <f t="shared" si="104"/>
        <v>1250</v>
      </c>
      <c r="AA52" s="10">
        <f t="shared" si="104"/>
        <v>1250</v>
      </c>
      <c r="AB52" s="10">
        <f t="shared" si="104"/>
        <v>1250</v>
      </c>
      <c r="AC52" s="10">
        <f t="shared" si="105"/>
        <v>1250</v>
      </c>
      <c r="AD52" s="10">
        <f t="shared" si="106"/>
        <v>1250</v>
      </c>
      <c r="AE52" s="10">
        <f t="shared" si="107"/>
        <v>1250</v>
      </c>
      <c r="AF52" s="10">
        <f t="shared" si="108"/>
        <v>1250</v>
      </c>
      <c r="AG52" s="10">
        <f t="shared" si="109"/>
        <v>1250</v>
      </c>
      <c r="AH52" s="10">
        <f t="shared" si="110"/>
        <v>1250</v>
      </c>
      <c r="AI52" s="10">
        <f t="shared" si="111"/>
        <v>1250</v>
      </c>
      <c r="AJ52" s="10">
        <f>X52</f>
        <v>1250</v>
      </c>
    </row>
    <row r="53" spans="2:36" ht="12.75" customHeight="1">
      <c r="B53" s="12" t="s">
        <v>47</v>
      </c>
      <c r="C53" s="13">
        <f>SUM(C50:C52)</f>
        <v>3605</v>
      </c>
      <c r="D53" s="13">
        <f>SUM(D50:D52)</f>
        <v>6875</v>
      </c>
      <c r="E53" s="13">
        <f>SUM(E50:E52)</f>
        <v>4455</v>
      </c>
      <c r="F53" s="13">
        <f t="shared" ref="F53:H53" si="113">SUM(F50:F52)</f>
        <v>3503</v>
      </c>
      <c r="G53" s="13">
        <f t="shared" si="113"/>
        <v>3043</v>
      </c>
      <c r="H53" s="13">
        <f t="shared" si="113"/>
        <v>3118</v>
      </c>
      <c r="I53" s="30"/>
      <c r="J53" s="13">
        <f>SUM(J50:J52)</f>
        <v>2210</v>
      </c>
      <c r="K53" s="13">
        <f>SUM(K50:K52)</f>
        <v>2402</v>
      </c>
      <c r="L53" s="13">
        <f>SUM(L50:L52)</f>
        <v>2543</v>
      </c>
      <c r="M53" s="13">
        <f>SUM(M50:M52)</f>
        <v>3503</v>
      </c>
      <c r="N53" s="13">
        <f>SUM(N50:N52)</f>
        <v>2682</v>
      </c>
      <c r="O53" s="13">
        <f>SUM(O50:O52)</f>
        <v>2741</v>
      </c>
      <c r="P53" s="13">
        <f>SUM(P50:P52)</f>
        <v>2309</v>
      </c>
      <c r="Q53" s="13">
        <f>SUM(Q50:Q52)</f>
        <v>3043</v>
      </c>
      <c r="R53" s="13">
        <f>SUM(R50:R52)</f>
        <v>2777</v>
      </c>
      <c r="S53" s="13">
        <f>SUM(S50:S52)</f>
        <v>2948</v>
      </c>
      <c r="T53" s="13">
        <f>SUM(T50:T52)</f>
        <v>2188</v>
      </c>
      <c r="U53" s="13">
        <f>SUM(U50:U52)</f>
        <v>3118</v>
      </c>
      <c r="V53" s="13">
        <f t="shared" ref="V53:X53" si="114">SUM(V50:V52)</f>
        <v>2685</v>
      </c>
      <c r="W53" s="13">
        <f t="shared" si="114"/>
        <v>2963</v>
      </c>
      <c r="X53" s="13">
        <f t="shared" si="114"/>
        <v>2444</v>
      </c>
      <c r="Z53" s="13">
        <f t="shared" ref="Z53" si="115">SUM(Z50:Z52)</f>
        <v>2682</v>
      </c>
      <c r="AA53" s="13">
        <f t="shared" ref="AA53" si="116">SUM(AA50:AA52)</f>
        <v>2741</v>
      </c>
      <c r="AB53" s="13">
        <f t="shared" ref="AB53:AJ53" si="117">SUM(AB50:AB52)</f>
        <v>2309</v>
      </c>
      <c r="AC53" s="13">
        <f t="shared" si="117"/>
        <v>3043</v>
      </c>
      <c r="AD53" s="13">
        <f t="shared" si="117"/>
        <v>2777</v>
      </c>
      <c r="AE53" s="13">
        <f t="shared" si="117"/>
        <v>2948</v>
      </c>
      <c r="AF53" s="13">
        <f t="shared" si="117"/>
        <v>2188</v>
      </c>
      <c r="AG53" s="13">
        <f t="shared" si="117"/>
        <v>3118</v>
      </c>
      <c r="AH53" s="13">
        <f t="shared" si="117"/>
        <v>2685</v>
      </c>
      <c r="AI53" s="13">
        <f t="shared" si="117"/>
        <v>2963</v>
      </c>
      <c r="AJ53" s="13">
        <f t="shared" si="117"/>
        <v>2444</v>
      </c>
    </row>
    <row r="54" spans="2:36" ht="5.0999999999999996" customHeight="1"/>
    <row r="55" spans="2:36" ht="12.75" customHeight="1">
      <c r="B55" s="32" t="s">
        <v>48</v>
      </c>
    </row>
    <row r="56" spans="2:36" ht="12.75" customHeight="1">
      <c r="B56" s="8" t="s">
        <v>49</v>
      </c>
      <c r="C56" s="81">
        <f>'Historical Financials'!C46</f>
        <v>1149</v>
      </c>
      <c r="D56" s="81">
        <f>'Historical Financials'!D46</f>
        <v>1061</v>
      </c>
      <c r="E56" s="81">
        <f>'Historical Financials'!E46</f>
        <v>1042</v>
      </c>
      <c r="F56" s="81">
        <f>'Historical Financials'!F46</f>
        <v>1141</v>
      </c>
      <c r="G56" s="81">
        <f>'Historical Financials'!G46</f>
        <v>939</v>
      </c>
      <c r="H56" s="81">
        <f>'Historical Financials'!H46</f>
        <v>1044</v>
      </c>
      <c r="J56" s="81">
        <f>'Historical Financials'!J46</f>
        <v>804</v>
      </c>
      <c r="K56" s="81">
        <f>'Historical Financials'!K46</f>
        <v>840</v>
      </c>
      <c r="L56" s="81">
        <f>'Historical Financials'!L46</f>
        <v>1050</v>
      </c>
      <c r="M56" s="81">
        <f>'Historical Financials'!M46</f>
        <v>1141</v>
      </c>
      <c r="N56" s="81">
        <f>'Historical Financials'!N46</f>
        <v>860</v>
      </c>
      <c r="O56" s="81">
        <f>'Historical Financials'!O46</f>
        <v>856</v>
      </c>
      <c r="P56" s="81">
        <f>'Historical Financials'!P46</f>
        <v>901</v>
      </c>
      <c r="Q56" s="81">
        <f>'Historical Financials'!Q46</f>
        <v>939</v>
      </c>
      <c r="R56" s="81">
        <f>'Historical Financials'!R46</f>
        <v>770</v>
      </c>
      <c r="S56" s="81">
        <f>'Historical Financials'!S46</f>
        <v>871</v>
      </c>
      <c r="T56" s="81">
        <f>'Historical Financials'!T46</f>
        <v>932</v>
      </c>
      <c r="U56" s="81">
        <f>'Historical Financials'!U46</f>
        <v>1044</v>
      </c>
      <c r="V56" s="81">
        <f>'Historical Financials'!V46</f>
        <v>744</v>
      </c>
      <c r="W56" s="81">
        <f>'Historical Financials'!W46</f>
        <v>917</v>
      </c>
      <c r="X56" s="81">
        <f>'Historical Financials'!X46</f>
        <v>1017</v>
      </c>
      <c r="Y56" s="10"/>
      <c r="Z56" s="10">
        <f t="shared" ref="Z56:AB62" si="118">N56</f>
        <v>860</v>
      </c>
      <c r="AA56" s="10">
        <f t="shared" si="118"/>
        <v>856</v>
      </c>
      <c r="AB56" s="10">
        <f t="shared" si="118"/>
        <v>901</v>
      </c>
      <c r="AC56" s="10">
        <f t="shared" ref="AC56:AC62" si="119">Q56</f>
        <v>939</v>
      </c>
      <c r="AD56" s="10">
        <f t="shared" ref="AD56:AD62" si="120">R56</f>
        <v>770</v>
      </c>
      <c r="AE56" s="10">
        <f t="shared" ref="AE56:AE62" si="121">S56</f>
        <v>871</v>
      </c>
      <c r="AF56" s="10">
        <f t="shared" ref="AF56:AF62" si="122">T56</f>
        <v>932</v>
      </c>
      <c r="AG56" s="10">
        <f t="shared" ref="AG56:AG62" si="123">U56</f>
        <v>1044</v>
      </c>
      <c r="AH56" s="10">
        <f t="shared" ref="AH56:AH62" si="124">V56</f>
        <v>744</v>
      </c>
      <c r="AI56" s="10">
        <f t="shared" ref="AI56:AI62" si="125">W56</f>
        <v>917</v>
      </c>
      <c r="AJ56" s="10">
        <f t="shared" ref="AJ56:AJ62" si="126">X56</f>
        <v>1017</v>
      </c>
    </row>
    <row r="57" spans="2:36" ht="12.75" customHeight="1">
      <c r="B57" s="8" t="s">
        <v>109</v>
      </c>
      <c r="C57" s="81">
        <f>'Historical Financials'!C47</f>
        <v>5174</v>
      </c>
      <c r="D57" s="81">
        <f>'Historical Financials'!D47</f>
        <v>5612</v>
      </c>
      <c r="E57" s="81">
        <f>'Historical Financials'!E47</f>
        <v>5965</v>
      </c>
      <c r="F57" s="81">
        <f>'Historical Financials'!F47</f>
        <v>5140</v>
      </c>
      <c r="G57" s="81">
        <f>'Historical Financials'!G47</f>
        <v>4958</v>
      </c>
      <c r="H57" s="81">
        <f>'Historical Financials'!H47</f>
        <v>5085</v>
      </c>
      <c r="J57" s="81">
        <f>'Historical Financials'!J47</f>
        <v>6258</v>
      </c>
      <c r="K57" s="81">
        <f>'Historical Financials'!K47</f>
        <v>6043</v>
      </c>
      <c r="L57" s="81">
        <f>'Historical Financials'!L47</f>
        <v>7294</v>
      </c>
      <c r="M57" s="81">
        <f>'Historical Financials'!M47</f>
        <v>5140</v>
      </c>
      <c r="N57" s="81">
        <f>'Historical Financials'!N47</f>
        <v>5219</v>
      </c>
      <c r="O57" s="81">
        <f>'Historical Financials'!O47</f>
        <v>5651</v>
      </c>
      <c r="P57" s="81">
        <f>'Historical Financials'!P47</f>
        <v>7562</v>
      </c>
      <c r="Q57" s="81">
        <f>'Historical Financials'!Q47</f>
        <v>4958</v>
      </c>
      <c r="R57" s="81">
        <f>'Historical Financials'!R47</f>
        <v>5225</v>
      </c>
      <c r="S57" s="81">
        <f>'Historical Financials'!S47</f>
        <v>5706</v>
      </c>
      <c r="T57" s="81">
        <f>'Historical Financials'!T47</f>
        <v>7806</v>
      </c>
      <c r="U57" s="81">
        <f>'Historical Financials'!U47</f>
        <v>5085</v>
      </c>
      <c r="V57" s="81">
        <f>'Historical Financials'!V47</f>
        <v>5194</v>
      </c>
      <c r="W57" s="81">
        <f>'Historical Financials'!W47</f>
        <v>5816</v>
      </c>
      <c r="X57" s="81">
        <f>'Historical Financials'!X47</f>
        <v>7993</v>
      </c>
      <c r="Y57" s="10"/>
      <c r="Z57" s="10">
        <f t="shared" si="118"/>
        <v>5219</v>
      </c>
      <c r="AA57" s="10">
        <f t="shared" si="118"/>
        <v>5651</v>
      </c>
      <c r="AB57" s="10">
        <f t="shared" si="118"/>
        <v>7562</v>
      </c>
      <c r="AC57" s="10">
        <f t="shared" si="119"/>
        <v>4958</v>
      </c>
      <c r="AD57" s="10">
        <f t="shared" si="120"/>
        <v>5225</v>
      </c>
      <c r="AE57" s="10">
        <f t="shared" si="121"/>
        <v>5706</v>
      </c>
      <c r="AF57" s="10">
        <f t="shared" si="122"/>
        <v>7806</v>
      </c>
      <c r="AG57" s="10">
        <f t="shared" si="123"/>
        <v>5085</v>
      </c>
      <c r="AH57" s="10">
        <f t="shared" si="124"/>
        <v>5194</v>
      </c>
      <c r="AI57" s="10">
        <f t="shared" si="125"/>
        <v>5816</v>
      </c>
      <c r="AJ57" s="10">
        <f t="shared" si="126"/>
        <v>7993</v>
      </c>
    </row>
    <row r="58" spans="2:36" ht="12.75" customHeight="1">
      <c r="B58" s="8" t="s">
        <v>163</v>
      </c>
      <c r="C58" s="81">
        <f>'Historical Financials'!C52</f>
        <v>2328</v>
      </c>
      <c r="D58" s="81">
        <f>'Historical Financials'!D52</f>
        <v>2260</v>
      </c>
      <c r="E58" s="81">
        <f>'Historical Financials'!E52</f>
        <v>2250</v>
      </c>
      <c r="F58" s="81">
        <f>'Historical Financials'!F52</f>
        <v>2352</v>
      </c>
      <c r="G58" s="81">
        <f>'Historical Financials'!G52</f>
        <v>2260</v>
      </c>
      <c r="H58" s="81">
        <f>'Historical Financials'!H52</f>
        <v>2122</v>
      </c>
      <c r="J58" s="81">
        <f>'Historical Financials'!J52</f>
        <v>2251</v>
      </c>
      <c r="K58" s="81">
        <f>'Historical Financials'!K52</f>
        <v>2319</v>
      </c>
      <c r="L58" s="81">
        <f>'Historical Financials'!L52</f>
        <v>2373</v>
      </c>
      <c r="M58" s="81">
        <f>'Historical Financials'!M52</f>
        <v>2352</v>
      </c>
      <c r="N58" s="81">
        <f>'Historical Financials'!N52</f>
        <v>2321</v>
      </c>
      <c r="O58" s="81">
        <f>'Historical Financials'!O52</f>
        <v>2305</v>
      </c>
      <c r="P58" s="81">
        <f>'Historical Financials'!P52</f>
        <v>2313</v>
      </c>
      <c r="Q58" s="81">
        <f>'Historical Financials'!Q52</f>
        <v>2260</v>
      </c>
      <c r="R58" s="81">
        <f>'Historical Financials'!R52</f>
        <v>2196</v>
      </c>
      <c r="S58" s="81">
        <f>'Historical Financials'!S52</f>
        <v>2183</v>
      </c>
      <c r="T58" s="81">
        <f>'Historical Financials'!T52</f>
        <v>2196</v>
      </c>
      <c r="U58" s="81">
        <f>'Historical Financials'!U52</f>
        <v>2122</v>
      </c>
      <c r="V58" s="81">
        <f>'Historical Financials'!V52</f>
        <v>2089</v>
      </c>
      <c r="W58" s="81">
        <f>'Historical Financials'!W52</f>
        <v>2046</v>
      </c>
      <c r="X58" s="81">
        <f>'Historical Financials'!X52</f>
        <v>2037</v>
      </c>
      <c r="Y58" s="10"/>
      <c r="Z58" s="10">
        <f t="shared" si="118"/>
        <v>2321</v>
      </c>
      <c r="AA58" s="10">
        <f t="shared" si="118"/>
        <v>2305</v>
      </c>
      <c r="AB58" s="10">
        <f t="shared" si="118"/>
        <v>2313</v>
      </c>
      <c r="AC58" s="10">
        <f t="shared" si="119"/>
        <v>2260</v>
      </c>
      <c r="AD58" s="10">
        <f t="shared" si="120"/>
        <v>2196</v>
      </c>
      <c r="AE58" s="10">
        <f t="shared" si="121"/>
        <v>2183</v>
      </c>
      <c r="AF58" s="10">
        <f t="shared" si="122"/>
        <v>2196</v>
      </c>
      <c r="AG58" s="10">
        <f t="shared" si="123"/>
        <v>2122</v>
      </c>
      <c r="AH58" s="10">
        <f t="shared" si="124"/>
        <v>2089</v>
      </c>
      <c r="AI58" s="10">
        <f t="shared" si="125"/>
        <v>2046</v>
      </c>
      <c r="AJ58" s="10">
        <f t="shared" si="126"/>
        <v>2037</v>
      </c>
    </row>
    <row r="59" spans="2:36" ht="12.75" customHeight="1">
      <c r="B59" s="8" t="s">
        <v>50</v>
      </c>
      <c r="C59" s="81">
        <f>'Historical Financials'!C59</f>
        <v>5288</v>
      </c>
      <c r="D59" s="81">
        <f>'Historical Financials'!D59</f>
        <v>6979</v>
      </c>
      <c r="E59" s="81">
        <f>'Historical Financials'!E59</f>
        <v>6803</v>
      </c>
      <c r="F59" s="81">
        <f>'Historical Financials'!F59</f>
        <v>5687</v>
      </c>
      <c r="G59" s="81">
        <f>'Historical Financials'!G59</f>
        <v>4637</v>
      </c>
      <c r="H59" s="81">
        <f>'Historical Financials'!H59</f>
        <v>4980</v>
      </c>
      <c r="J59" s="81">
        <f>'Historical Financials'!J59</f>
        <v>5492</v>
      </c>
      <c r="K59" s="81">
        <f>'Historical Financials'!K59</f>
        <v>5406</v>
      </c>
      <c r="L59" s="81">
        <f>'Historical Financials'!L59</f>
        <v>7056</v>
      </c>
      <c r="M59" s="81">
        <f>'Historical Financials'!M59</f>
        <v>5687</v>
      </c>
      <c r="N59" s="81">
        <f>'Historical Financials'!N59</f>
        <v>4874</v>
      </c>
      <c r="O59" s="81">
        <f>'Historical Financials'!O59</f>
        <v>5471</v>
      </c>
      <c r="P59" s="81">
        <f>'Historical Financials'!P59</f>
        <v>7133</v>
      </c>
      <c r="Q59" s="81">
        <f>'Historical Financials'!Q59</f>
        <v>4637</v>
      </c>
      <c r="R59" s="81">
        <f>'Historical Financials'!R59</f>
        <v>4664</v>
      </c>
      <c r="S59" s="81">
        <f>'Historical Financials'!S59</f>
        <v>5542</v>
      </c>
      <c r="T59" s="81">
        <f>'Historical Financials'!T59</f>
        <v>7145</v>
      </c>
      <c r="U59" s="81">
        <f>'Historical Financials'!U59</f>
        <v>4980</v>
      </c>
      <c r="V59" s="81">
        <f>'Historical Financials'!V59</f>
        <v>4670</v>
      </c>
      <c r="W59" s="81">
        <f>'Historical Financials'!W59</f>
        <v>5682</v>
      </c>
      <c r="X59" s="81">
        <f>'Historical Financials'!X59</f>
        <v>7319</v>
      </c>
      <c r="Y59" s="10"/>
      <c r="Z59" s="10">
        <f t="shared" si="118"/>
        <v>4874</v>
      </c>
      <c r="AA59" s="10">
        <f t="shared" si="118"/>
        <v>5471</v>
      </c>
      <c r="AB59" s="10">
        <f t="shared" si="118"/>
        <v>7133</v>
      </c>
      <c r="AC59" s="10">
        <f t="shared" si="119"/>
        <v>4637</v>
      </c>
      <c r="AD59" s="10">
        <f t="shared" si="120"/>
        <v>4664</v>
      </c>
      <c r="AE59" s="10">
        <f t="shared" si="121"/>
        <v>5542</v>
      </c>
      <c r="AF59" s="10">
        <f t="shared" si="122"/>
        <v>7145</v>
      </c>
      <c r="AG59" s="10">
        <f t="shared" si="123"/>
        <v>4980</v>
      </c>
      <c r="AH59" s="10">
        <f t="shared" si="124"/>
        <v>4670</v>
      </c>
      <c r="AI59" s="10">
        <f t="shared" si="125"/>
        <v>5682</v>
      </c>
      <c r="AJ59" s="10">
        <f t="shared" si="126"/>
        <v>7319</v>
      </c>
    </row>
    <row r="60" spans="2:36" ht="12.75" customHeight="1">
      <c r="B60" s="8" t="s">
        <v>164</v>
      </c>
      <c r="C60" s="81">
        <f>'Historical Financials'!C61</f>
        <v>501</v>
      </c>
      <c r="D60" s="81">
        <f>'Historical Financials'!D61</f>
        <v>711</v>
      </c>
      <c r="E60" s="81">
        <f>'Historical Financials'!E61</f>
        <v>1103</v>
      </c>
      <c r="F60" s="81">
        <f>'Historical Financials'!F61</f>
        <v>1116</v>
      </c>
      <c r="G60" s="81">
        <f>'Historical Financials'!G61</f>
        <v>1000</v>
      </c>
      <c r="H60" s="81">
        <f>'Historical Financials'!H61</f>
        <v>951</v>
      </c>
      <c r="I60" s="81"/>
      <c r="J60" s="81">
        <f>'Historical Financials'!J61</f>
        <v>1101</v>
      </c>
      <c r="K60" s="81">
        <f>'Historical Financials'!K61</f>
        <v>1133</v>
      </c>
      <c r="L60" s="81">
        <f>'Historical Financials'!L61</f>
        <v>1080</v>
      </c>
      <c r="M60" s="81">
        <f>'Historical Financials'!M61</f>
        <v>1116</v>
      </c>
      <c r="N60" s="81">
        <f>'Historical Financials'!N61</f>
        <v>1015</v>
      </c>
      <c r="O60" s="81">
        <f>'Historical Financials'!O61</f>
        <v>996</v>
      </c>
      <c r="P60" s="81">
        <f>'Historical Financials'!P61</f>
        <v>934</v>
      </c>
      <c r="Q60" s="81">
        <f>'Historical Financials'!Q61</f>
        <v>1000</v>
      </c>
      <c r="R60" s="81">
        <f>'Historical Financials'!R61</f>
        <v>923</v>
      </c>
      <c r="S60" s="81">
        <f>'Historical Financials'!S61</f>
        <v>940</v>
      </c>
      <c r="T60" s="81">
        <f>'Historical Financials'!T61</f>
        <v>878</v>
      </c>
      <c r="U60" s="81">
        <f>'Historical Financials'!U61</f>
        <v>951</v>
      </c>
      <c r="V60" s="81">
        <f>'Historical Financials'!V61</f>
        <v>891</v>
      </c>
      <c r="W60" s="81">
        <f>'Historical Financials'!W61</f>
        <v>889</v>
      </c>
      <c r="X60" s="81">
        <f>'Historical Financials'!X61</f>
        <v>853</v>
      </c>
      <c r="Z60" s="10">
        <f t="shared" si="118"/>
        <v>1015</v>
      </c>
      <c r="AA60" s="10">
        <f t="shared" si="118"/>
        <v>996</v>
      </c>
      <c r="AB60" s="10">
        <f t="shared" si="118"/>
        <v>934</v>
      </c>
      <c r="AC60" s="10">
        <f t="shared" si="119"/>
        <v>1000</v>
      </c>
      <c r="AD60" s="10">
        <f t="shared" si="120"/>
        <v>923</v>
      </c>
      <c r="AE60" s="10">
        <f t="shared" si="121"/>
        <v>940</v>
      </c>
      <c r="AF60" s="10">
        <f t="shared" si="122"/>
        <v>878</v>
      </c>
      <c r="AG60" s="10">
        <f t="shared" si="123"/>
        <v>951</v>
      </c>
      <c r="AH60" s="10">
        <f t="shared" si="124"/>
        <v>891</v>
      </c>
      <c r="AI60" s="10">
        <f t="shared" si="125"/>
        <v>889</v>
      </c>
      <c r="AJ60" s="10">
        <f t="shared" si="126"/>
        <v>853</v>
      </c>
    </row>
    <row r="61" spans="2:36" ht="12.75" customHeight="1">
      <c r="B61" s="8" t="s">
        <v>51</v>
      </c>
      <c r="C61" s="81">
        <f>'Historical Financials'!C67</f>
        <v>8060</v>
      </c>
      <c r="D61" s="81">
        <f>'Historical Financials'!D67</f>
        <v>10521</v>
      </c>
      <c r="E61" s="81">
        <f>'Historical Financials'!E67</f>
        <v>10674</v>
      </c>
      <c r="F61" s="81">
        <f>'Historical Financials'!F67</f>
        <v>8979</v>
      </c>
      <c r="G61" s="81">
        <f>'Historical Financials'!G67</f>
        <v>7909</v>
      </c>
      <c r="H61" s="81">
        <f>'Historical Financials'!H67</f>
        <v>8016</v>
      </c>
      <c r="I61" s="81"/>
      <c r="J61" s="81">
        <f>'Historical Financials'!J67</f>
        <v>8635</v>
      </c>
      <c r="K61" s="81">
        <f>'Historical Financials'!K67</f>
        <v>8650</v>
      </c>
      <c r="L61" s="81">
        <f>'Historical Financials'!L67</f>
        <v>10170</v>
      </c>
      <c r="M61" s="81">
        <f>'Historical Financials'!M67</f>
        <v>8979</v>
      </c>
      <c r="N61" s="81">
        <f>'Historical Financials'!N67</f>
        <v>7908</v>
      </c>
      <c r="O61" s="81">
        <f>'Historical Financials'!O67</f>
        <v>8433</v>
      </c>
      <c r="P61" s="81">
        <f>'Historical Financials'!P67</f>
        <v>10010</v>
      </c>
      <c r="Q61" s="81">
        <f>'Historical Financials'!Q67</f>
        <v>7909</v>
      </c>
      <c r="R61" s="81">
        <f>'Historical Financials'!R67</f>
        <v>7649</v>
      </c>
      <c r="S61" s="81">
        <f>'Historical Financials'!S67</f>
        <v>8451</v>
      </c>
      <c r="T61" s="81">
        <f>'Historical Financials'!T67</f>
        <v>9948</v>
      </c>
      <c r="U61" s="81">
        <f>'Historical Financials'!U67</f>
        <v>8016</v>
      </c>
      <c r="V61" s="81">
        <f>'Historical Financials'!V67</f>
        <v>7412</v>
      </c>
      <c r="W61" s="81">
        <f>'Historical Financials'!W67</f>
        <v>8553</v>
      </c>
      <c r="X61" s="81">
        <f>'Historical Financials'!X67</f>
        <v>10113</v>
      </c>
      <c r="Z61" s="10">
        <f t="shared" si="118"/>
        <v>7908</v>
      </c>
      <c r="AA61" s="10">
        <f t="shared" si="118"/>
        <v>8433</v>
      </c>
      <c r="AB61" s="10">
        <f t="shared" si="118"/>
        <v>10010</v>
      </c>
      <c r="AC61" s="10">
        <f t="shared" si="119"/>
        <v>7909</v>
      </c>
      <c r="AD61" s="10">
        <f t="shared" si="120"/>
        <v>7649</v>
      </c>
      <c r="AE61" s="10">
        <f t="shared" si="121"/>
        <v>8451</v>
      </c>
      <c r="AF61" s="10">
        <f t="shared" si="122"/>
        <v>9948</v>
      </c>
      <c r="AG61" s="10">
        <f t="shared" si="123"/>
        <v>8016</v>
      </c>
      <c r="AH61" s="10">
        <f t="shared" si="124"/>
        <v>7412</v>
      </c>
      <c r="AI61" s="10">
        <f t="shared" si="125"/>
        <v>8553</v>
      </c>
      <c r="AJ61" s="10">
        <f t="shared" si="126"/>
        <v>10113</v>
      </c>
    </row>
    <row r="62" spans="2:36" ht="12.75" customHeight="1">
      <c r="B62" s="8" t="s">
        <v>18</v>
      </c>
      <c r="C62" s="81">
        <f>'Historical Financials'!C74</f>
        <v>12112</v>
      </c>
      <c r="D62" s="81">
        <f>'Historical Financials'!D74</f>
        <v>14480</v>
      </c>
      <c r="E62" s="81">
        <f>'Historical Financials'!E74</f>
        <v>14484</v>
      </c>
      <c r="F62" s="81">
        <f>'Historical Financials'!F74</f>
        <v>13008</v>
      </c>
      <c r="G62" s="81">
        <f>'Historical Financials'!G74</f>
        <v>11914</v>
      </c>
      <c r="H62" s="81">
        <f>'Historical Financials'!H74</f>
        <v>11974</v>
      </c>
      <c r="I62" s="81"/>
      <c r="J62" s="81">
        <f>'Historical Financials'!J74</f>
        <v>12484</v>
      </c>
      <c r="K62" s="81">
        <f>'Historical Financials'!K74</f>
        <v>12527</v>
      </c>
      <c r="L62" s="81">
        <f>'Historical Financials'!L74</f>
        <v>14028</v>
      </c>
      <c r="M62" s="81">
        <f>'Historical Financials'!M74</f>
        <v>13008</v>
      </c>
      <c r="N62" s="81">
        <f>'Historical Financials'!N74</f>
        <v>11895</v>
      </c>
      <c r="O62" s="81">
        <f>'Historical Financials'!O74</f>
        <v>12483</v>
      </c>
      <c r="P62" s="81">
        <f>'Historical Financials'!P74</f>
        <v>14070</v>
      </c>
      <c r="Q62" s="81">
        <f>'Historical Financials'!Q74</f>
        <v>11914</v>
      </c>
      <c r="R62" s="81">
        <f>'Historical Financials'!R74</f>
        <v>11670</v>
      </c>
      <c r="S62" s="81">
        <f>'Historical Financials'!S74</f>
        <v>12517</v>
      </c>
      <c r="T62" s="81">
        <f>'Historical Financials'!T74</f>
        <v>13936</v>
      </c>
      <c r="U62" s="81">
        <f>'Historical Financials'!U74</f>
        <v>11974</v>
      </c>
      <c r="V62" s="81">
        <f>'Historical Financials'!V74</f>
        <v>11365</v>
      </c>
      <c r="W62" s="81">
        <f>'Historical Financials'!W74</f>
        <v>12537</v>
      </c>
      <c r="X62" s="81">
        <f>'Historical Financials'!X74</f>
        <v>14133</v>
      </c>
      <c r="Z62" s="10">
        <f t="shared" si="118"/>
        <v>11895</v>
      </c>
      <c r="AA62" s="10">
        <f t="shared" si="118"/>
        <v>12483</v>
      </c>
      <c r="AB62" s="10">
        <f t="shared" si="118"/>
        <v>14070</v>
      </c>
      <c r="AC62" s="10">
        <f t="shared" si="119"/>
        <v>11914</v>
      </c>
      <c r="AD62" s="10">
        <f t="shared" si="120"/>
        <v>11670</v>
      </c>
      <c r="AE62" s="10">
        <f t="shared" si="121"/>
        <v>12517</v>
      </c>
      <c r="AF62" s="10">
        <f t="shared" si="122"/>
        <v>13936</v>
      </c>
      <c r="AG62" s="10">
        <f t="shared" si="123"/>
        <v>11974</v>
      </c>
      <c r="AH62" s="10">
        <f t="shared" si="124"/>
        <v>11365</v>
      </c>
      <c r="AI62" s="10">
        <f t="shared" si="125"/>
        <v>12537</v>
      </c>
      <c r="AJ62" s="10">
        <f t="shared" si="126"/>
        <v>14133</v>
      </c>
    </row>
    <row r="63" spans="2:36" ht="5.0999999999999996" customHeight="1">
      <c r="H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2:36">
      <c r="B64" s="32" t="s">
        <v>165</v>
      </c>
      <c r="H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36">
      <c r="B65" s="8" t="s">
        <v>166</v>
      </c>
      <c r="C65" s="81">
        <f>'Historical Financials'!C66+'Historical Financials'!C65</f>
        <v>14</v>
      </c>
      <c r="D65" s="81">
        <f>'Historical Financials'!D66+'Historical Financials'!D65</f>
        <v>124</v>
      </c>
      <c r="E65" s="81">
        <f>'Historical Financials'!E66+'Historical Financials'!E65</f>
        <v>13</v>
      </c>
      <c r="F65" s="81">
        <f>'Historical Financials'!F66+'Historical Financials'!F65</f>
        <v>16</v>
      </c>
      <c r="G65" s="81">
        <f>'Historical Financials'!G66+'Historical Financials'!G65</f>
        <v>13</v>
      </c>
      <c r="H65" s="81">
        <f>'Historical Financials'!H66+'Historical Financials'!H65</f>
        <v>10</v>
      </c>
      <c r="J65" s="81">
        <f>'Historical Financials'!J66+'Historical Financials'!J65</f>
        <v>15</v>
      </c>
      <c r="K65" s="81">
        <f>'Historical Financials'!K66+'Historical Financials'!K65</f>
        <v>15</v>
      </c>
      <c r="L65" s="81">
        <f>'Historical Financials'!L66+'Historical Financials'!L65</f>
        <v>16</v>
      </c>
      <c r="M65" s="81">
        <f>'Historical Financials'!M66+'Historical Financials'!M65</f>
        <v>16</v>
      </c>
      <c r="N65" s="81">
        <f>'Historical Financials'!N66+'Historical Financials'!N65</f>
        <v>15</v>
      </c>
      <c r="O65" s="81">
        <f>'Historical Financials'!O66+'Historical Financials'!O65</f>
        <v>15</v>
      </c>
      <c r="P65" s="81">
        <f>'Historical Financials'!P66+'Historical Financials'!P65</f>
        <v>15</v>
      </c>
      <c r="Q65" s="81">
        <f>'Historical Financials'!Q66+'Historical Financials'!Q65</f>
        <v>13</v>
      </c>
      <c r="R65" s="81">
        <f>'Historical Financials'!R66+'Historical Financials'!R65</f>
        <v>15</v>
      </c>
      <c r="S65" s="81">
        <f>'Historical Financials'!S66+'Historical Financials'!S65</f>
        <v>13</v>
      </c>
      <c r="T65" s="81">
        <f>'Historical Financials'!T66+'Historical Financials'!T65</f>
        <v>12</v>
      </c>
      <c r="U65" s="81">
        <f>'Historical Financials'!U66+'Historical Financials'!U65</f>
        <v>10</v>
      </c>
      <c r="V65" s="81">
        <f>'Historical Financials'!V66+'Historical Financials'!V65</f>
        <v>10</v>
      </c>
      <c r="W65" s="81">
        <f>'Historical Financials'!W66+'Historical Financials'!W65</f>
        <v>10</v>
      </c>
      <c r="X65" s="81">
        <f>'Historical Financials'!X66+'Historical Financials'!X65</f>
        <v>10</v>
      </c>
      <c r="Z65" s="10">
        <f t="shared" ref="Z65:AB66" si="127">N65</f>
        <v>15</v>
      </c>
      <c r="AA65" s="10">
        <f t="shared" si="127"/>
        <v>15</v>
      </c>
      <c r="AB65" s="10">
        <f t="shared" si="127"/>
        <v>15</v>
      </c>
      <c r="AC65" s="10">
        <f t="shared" ref="AC65:AC66" si="128">Q65</f>
        <v>13</v>
      </c>
      <c r="AD65" s="10">
        <f t="shared" ref="AD65:AD66" si="129">R65</f>
        <v>15</v>
      </c>
      <c r="AE65" s="10">
        <f t="shared" ref="AE65:AE66" si="130">S65</f>
        <v>13</v>
      </c>
      <c r="AF65" s="10">
        <f t="shared" ref="AF65:AF66" si="131">T65</f>
        <v>12</v>
      </c>
      <c r="AG65" s="10">
        <f t="shared" ref="AG65:AG66" si="132">U65</f>
        <v>10</v>
      </c>
      <c r="AH65" s="10">
        <f t="shared" ref="AH65:AH66" si="133">V65</f>
        <v>10</v>
      </c>
      <c r="AI65" s="10">
        <f t="shared" ref="AI65:AI66" si="134">W65</f>
        <v>10</v>
      </c>
      <c r="AJ65" s="10">
        <f t="shared" ref="AJ65" si="135">X65</f>
        <v>10</v>
      </c>
    </row>
    <row r="66" spans="1:36">
      <c r="B66" s="8" t="s">
        <v>167</v>
      </c>
      <c r="C66" s="81">
        <f>'Historical Financials'!C72+'Historical Financials'!C73</f>
        <v>1257</v>
      </c>
      <c r="D66" s="81">
        <f>'Historical Financials'!D72+'Historical Financials'!D73</f>
        <v>1253</v>
      </c>
      <c r="E66" s="81">
        <f>'Historical Financials'!E72+'Historical Financials'!E73</f>
        <v>1216</v>
      </c>
      <c r="F66" s="81">
        <f>'Historical Financials'!F72+'Historical Financials'!F73</f>
        <v>1160</v>
      </c>
      <c r="G66" s="81">
        <f>'Historical Financials'!G72+'Historical Financials'!G73</f>
        <v>1152</v>
      </c>
      <c r="H66" s="81">
        <f>'Historical Financials'!H72+'Historical Financials'!H73</f>
        <v>1144</v>
      </c>
      <c r="J66" s="81">
        <f>'Historical Financials'!J72+'Historical Financials'!J73</f>
        <v>1170</v>
      </c>
      <c r="K66" s="81">
        <f>'Historical Financials'!K72+'Historical Financials'!K73</f>
        <v>1184</v>
      </c>
      <c r="L66" s="81">
        <f>'Historical Financials'!L72+'Historical Financials'!L73</f>
        <v>1142</v>
      </c>
      <c r="M66" s="81">
        <f>'Historical Financials'!M72+'Historical Financials'!M73</f>
        <v>1160</v>
      </c>
      <c r="N66" s="81">
        <f>'Historical Financials'!N72+'Historical Financials'!N73</f>
        <v>1155</v>
      </c>
      <c r="O66" s="81">
        <f>'Historical Financials'!O72+'Historical Financials'!O73</f>
        <v>1145</v>
      </c>
      <c r="P66" s="81">
        <f>'Historical Financials'!P72+'Historical Financials'!P73</f>
        <v>1130</v>
      </c>
      <c r="Q66" s="81">
        <f>'Historical Financials'!Q72+'Historical Financials'!Q73</f>
        <v>1152</v>
      </c>
      <c r="R66" s="81">
        <f>'Historical Financials'!R72+'Historical Financials'!R73</f>
        <v>1134</v>
      </c>
      <c r="S66" s="81">
        <f>'Historical Financials'!S72+'Historical Financials'!S73</f>
        <v>1157</v>
      </c>
      <c r="T66" s="81">
        <f>'Historical Financials'!T72+'Historical Financials'!T73</f>
        <v>1144</v>
      </c>
      <c r="U66" s="81">
        <f>'Historical Financials'!U72+'Historical Financials'!U73</f>
        <v>1144</v>
      </c>
      <c r="V66" s="81">
        <f>'Historical Financials'!V72+'Historical Financials'!V73</f>
        <v>1153</v>
      </c>
      <c r="W66" s="81">
        <f>'Historical Financials'!W72+'Historical Financials'!W73</f>
        <v>1164</v>
      </c>
      <c r="X66" s="81">
        <f>'Historical Financials'!X72+'Historical Financials'!X73</f>
        <v>1155</v>
      </c>
      <c r="Z66" s="10">
        <f t="shared" si="127"/>
        <v>1155</v>
      </c>
      <c r="AA66" s="10">
        <f t="shared" si="127"/>
        <v>1145</v>
      </c>
      <c r="AB66" s="10">
        <f t="shared" si="127"/>
        <v>1130</v>
      </c>
      <c r="AC66" s="10">
        <f t="shared" si="128"/>
        <v>1152</v>
      </c>
      <c r="AD66" s="10">
        <f t="shared" si="129"/>
        <v>1134</v>
      </c>
      <c r="AE66" s="10">
        <f t="shared" si="130"/>
        <v>1157</v>
      </c>
      <c r="AF66" s="10">
        <f t="shared" si="131"/>
        <v>1144</v>
      </c>
      <c r="AG66" s="10">
        <f t="shared" si="132"/>
        <v>1144</v>
      </c>
      <c r="AH66" s="10">
        <f t="shared" si="133"/>
        <v>1153</v>
      </c>
      <c r="AI66" s="10">
        <f t="shared" si="134"/>
        <v>1164</v>
      </c>
      <c r="AJ66" s="10">
        <f t="shared" ref="AJ66:AJ71" si="136">X66</f>
        <v>1155</v>
      </c>
    </row>
    <row r="67" spans="1:36">
      <c r="H67" s="10"/>
    </row>
    <row r="68" spans="1:36">
      <c r="B68" s="150" t="s">
        <v>173</v>
      </c>
      <c r="C68" s="75">
        <v>650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J68" s="75">
        <v>0</v>
      </c>
      <c r="K68" s="75">
        <v>0</v>
      </c>
      <c r="L68" s="75">
        <v>0</v>
      </c>
      <c r="M68" s="107">
        <f t="shared" ref="M68:M70" si="137">F68</f>
        <v>0</v>
      </c>
      <c r="N68" s="75">
        <v>0</v>
      </c>
      <c r="O68" s="75">
        <v>0</v>
      </c>
      <c r="P68" s="75">
        <v>0</v>
      </c>
      <c r="Q68" s="107">
        <f t="shared" ref="Q68:Q70" si="138">G68</f>
        <v>0</v>
      </c>
      <c r="R68" s="75">
        <v>0</v>
      </c>
      <c r="S68" s="75">
        <v>0</v>
      </c>
      <c r="T68" s="75">
        <v>0</v>
      </c>
      <c r="U68" s="107">
        <f>H68</f>
        <v>0</v>
      </c>
      <c r="V68" s="75">
        <v>0</v>
      </c>
      <c r="W68" s="75">
        <v>0</v>
      </c>
      <c r="X68" s="75">
        <v>0</v>
      </c>
      <c r="Z68" s="10">
        <f t="shared" ref="Z68:AB71" si="139">N68</f>
        <v>0</v>
      </c>
      <c r="AA68" s="10">
        <f t="shared" si="139"/>
        <v>0</v>
      </c>
      <c r="AB68" s="10">
        <f t="shared" si="139"/>
        <v>0</v>
      </c>
      <c r="AC68" s="10">
        <f t="shared" ref="AC68:AC71" si="140">Q68</f>
        <v>0</v>
      </c>
      <c r="AD68" s="10">
        <f t="shared" ref="AD68:AD71" si="141">R68</f>
        <v>0</v>
      </c>
      <c r="AE68" s="10">
        <f t="shared" ref="AE68:AE71" si="142">S68</f>
        <v>0</v>
      </c>
      <c r="AF68" s="10">
        <f t="shared" ref="AF68:AF71" si="143">T68</f>
        <v>0</v>
      </c>
      <c r="AG68" s="10">
        <f t="shared" ref="AG68:AG71" si="144">U68</f>
        <v>0</v>
      </c>
      <c r="AH68" s="10">
        <f t="shared" ref="AH68:AH71" si="145">V68</f>
        <v>0</v>
      </c>
      <c r="AI68" s="10">
        <f t="shared" ref="AI68:AI71" si="146">W68</f>
        <v>0</v>
      </c>
      <c r="AJ68" s="10">
        <f t="shared" si="136"/>
        <v>0</v>
      </c>
    </row>
    <row r="69" spans="1:36">
      <c r="B69" s="150" t="s">
        <v>156</v>
      </c>
      <c r="C69" s="75">
        <v>500</v>
      </c>
      <c r="D69" s="75">
        <v>500</v>
      </c>
      <c r="E69" s="75">
        <v>500</v>
      </c>
      <c r="F69" s="75">
        <v>500</v>
      </c>
      <c r="G69" s="75">
        <v>500</v>
      </c>
      <c r="H69" s="75">
        <v>500</v>
      </c>
      <c r="J69" s="75">
        <v>500</v>
      </c>
      <c r="K69" s="75">
        <v>500</v>
      </c>
      <c r="L69" s="75">
        <v>500</v>
      </c>
      <c r="M69" s="107">
        <f t="shared" si="137"/>
        <v>500</v>
      </c>
      <c r="N69" s="75">
        <v>500</v>
      </c>
      <c r="O69" s="75">
        <v>500</v>
      </c>
      <c r="P69" s="75">
        <v>500</v>
      </c>
      <c r="Q69" s="107">
        <f t="shared" si="138"/>
        <v>500</v>
      </c>
      <c r="R69" s="75">
        <v>500</v>
      </c>
      <c r="S69" s="75">
        <v>500</v>
      </c>
      <c r="T69" s="75">
        <v>500</v>
      </c>
      <c r="U69" s="107">
        <f t="shared" ref="U69:U70" si="147">H69</f>
        <v>500</v>
      </c>
      <c r="V69" s="75">
        <v>500</v>
      </c>
      <c r="W69" s="75">
        <v>500</v>
      </c>
      <c r="X69" s="75">
        <v>500</v>
      </c>
      <c r="Z69" s="10">
        <f t="shared" si="139"/>
        <v>500</v>
      </c>
      <c r="AA69" s="10">
        <f t="shared" si="139"/>
        <v>500</v>
      </c>
      <c r="AB69" s="10">
        <f t="shared" si="139"/>
        <v>500</v>
      </c>
      <c r="AC69" s="10">
        <f t="shared" si="140"/>
        <v>500</v>
      </c>
      <c r="AD69" s="10">
        <f t="shared" si="141"/>
        <v>500</v>
      </c>
      <c r="AE69" s="10">
        <f t="shared" si="142"/>
        <v>500</v>
      </c>
      <c r="AF69" s="10">
        <f t="shared" si="143"/>
        <v>500</v>
      </c>
      <c r="AG69" s="10">
        <f t="shared" si="144"/>
        <v>500</v>
      </c>
      <c r="AH69" s="10">
        <f t="shared" si="145"/>
        <v>500</v>
      </c>
      <c r="AI69" s="10">
        <f t="shared" si="146"/>
        <v>500</v>
      </c>
      <c r="AJ69" s="10">
        <f t="shared" si="136"/>
        <v>500</v>
      </c>
    </row>
    <row r="70" spans="1:36">
      <c r="B70" s="150" t="s">
        <v>157</v>
      </c>
      <c r="C70" s="75">
        <v>0</v>
      </c>
      <c r="D70" s="75">
        <v>650</v>
      </c>
      <c r="E70" s="75">
        <v>650</v>
      </c>
      <c r="F70" s="75">
        <v>650</v>
      </c>
      <c r="G70" s="75">
        <v>650</v>
      </c>
      <c r="H70" s="75">
        <v>650</v>
      </c>
      <c r="J70" s="75">
        <v>650</v>
      </c>
      <c r="K70" s="75">
        <v>650</v>
      </c>
      <c r="L70" s="75">
        <v>650</v>
      </c>
      <c r="M70" s="107">
        <f t="shared" si="137"/>
        <v>650</v>
      </c>
      <c r="N70" s="75">
        <v>650</v>
      </c>
      <c r="O70" s="75">
        <v>650</v>
      </c>
      <c r="P70" s="75">
        <v>650</v>
      </c>
      <c r="Q70" s="107">
        <f t="shared" si="138"/>
        <v>650</v>
      </c>
      <c r="R70" s="75">
        <v>650</v>
      </c>
      <c r="S70" s="75">
        <v>650</v>
      </c>
      <c r="T70" s="75">
        <v>650</v>
      </c>
      <c r="U70" s="107">
        <f t="shared" si="147"/>
        <v>650</v>
      </c>
      <c r="V70" s="75">
        <v>650</v>
      </c>
      <c r="W70" s="75">
        <v>650</v>
      </c>
      <c r="X70" s="75">
        <v>650</v>
      </c>
      <c r="Z70" s="10">
        <f t="shared" si="139"/>
        <v>650</v>
      </c>
      <c r="AA70" s="10">
        <f t="shared" si="139"/>
        <v>650</v>
      </c>
      <c r="AB70" s="10">
        <f t="shared" si="139"/>
        <v>650</v>
      </c>
      <c r="AC70" s="10">
        <f t="shared" si="140"/>
        <v>650</v>
      </c>
      <c r="AD70" s="10">
        <f t="shared" si="141"/>
        <v>650</v>
      </c>
      <c r="AE70" s="10">
        <f t="shared" si="142"/>
        <v>650</v>
      </c>
      <c r="AF70" s="10">
        <f t="shared" si="143"/>
        <v>650</v>
      </c>
      <c r="AG70" s="10">
        <f t="shared" si="144"/>
        <v>650</v>
      </c>
      <c r="AH70" s="10">
        <f t="shared" si="145"/>
        <v>650</v>
      </c>
      <c r="AI70" s="10">
        <f t="shared" si="146"/>
        <v>650</v>
      </c>
      <c r="AJ70" s="10">
        <f t="shared" si="136"/>
        <v>650</v>
      </c>
    </row>
    <row r="71" spans="1:36">
      <c r="B71" s="150" t="s">
        <v>153</v>
      </c>
      <c r="C71" s="81">
        <f>'Historical Financials'!C65+'Historical Financials'!C72</f>
        <v>38</v>
      </c>
      <c r="D71" s="81">
        <f>'Historical Financials'!D65+'Historical Financials'!D72</f>
        <v>38</v>
      </c>
      <c r="E71" s="81">
        <f>'Historical Financials'!E65+'Historical Financials'!E72</f>
        <v>40</v>
      </c>
      <c r="F71" s="81">
        <f>'Historical Financials'!F65+'Historical Financials'!F72</f>
        <v>42</v>
      </c>
      <c r="G71" s="81">
        <f>'Historical Financials'!G65+'Historical Financials'!G72</f>
        <v>34</v>
      </c>
      <c r="H71" s="81">
        <f>'Historical Financials'!H65+'Historical Financials'!H72</f>
        <v>25</v>
      </c>
      <c r="J71" s="81">
        <f>'Historical Financials'!J65+'Historical Financials'!J72</f>
        <v>41</v>
      </c>
      <c r="K71" s="81">
        <f>'Historical Financials'!K65+'Historical Financials'!K72</f>
        <v>40</v>
      </c>
      <c r="L71" s="81">
        <f>'Historical Financials'!L65+'Historical Financials'!L72</f>
        <v>44</v>
      </c>
      <c r="M71" s="81">
        <f>'Historical Financials'!M65+'Historical Financials'!M72</f>
        <v>42</v>
      </c>
      <c r="N71" s="81">
        <f>'Historical Financials'!N65+'Historical Financials'!N72</f>
        <v>40</v>
      </c>
      <c r="O71" s="81">
        <f>'Historical Financials'!O65+'Historical Financials'!O72</f>
        <v>39</v>
      </c>
      <c r="P71" s="81">
        <f>'Historical Financials'!P65+'Historical Financials'!P72</f>
        <v>39</v>
      </c>
      <c r="Q71" s="81">
        <f>'Historical Financials'!Q65+'Historical Financials'!Q72</f>
        <v>34</v>
      </c>
      <c r="R71" s="81">
        <f>'Historical Financials'!R65+'Historical Financials'!R72</f>
        <v>34</v>
      </c>
      <c r="S71" s="81">
        <f>'Historical Financials'!S65+'Historical Financials'!S72</f>
        <v>29</v>
      </c>
      <c r="T71" s="81">
        <f>'Historical Financials'!T65+'Historical Financials'!T72</f>
        <v>29</v>
      </c>
      <c r="U71" s="81">
        <f>'Historical Financials'!U65+'Historical Financials'!U72</f>
        <v>25</v>
      </c>
      <c r="V71" s="81">
        <f>'Historical Financials'!V65+'Historical Financials'!V72</f>
        <v>27</v>
      </c>
      <c r="W71" s="81">
        <f>'Historical Financials'!W65+'Historical Financials'!W72</f>
        <v>30</v>
      </c>
      <c r="X71" s="81">
        <f>'Historical Financials'!X65+'Historical Financials'!X72</f>
        <v>28</v>
      </c>
      <c r="Z71" s="10">
        <f t="shared" si="139"/>
        <v>40</v>
      </c>
      <c r="AA71" s="10">
        <f t="shared" si="139"/>
        <v>39</v>
      </c>
      <c r="AB71" s="10">
        <f t="shared" si="139"/>
        <v>39</v>
      </c>
      <c r="AC71" s="10">
        <f t="shared" si="140"/>
        <v>34</v>
      </c>
      <c r="AD71" s="10">
        <f t="shared" si="141"/>
        <v>34</v>
      </c>
      <c r="AE71" s="10">
        <f t="shared" si="142"/>
        <v>29</v>
      </c>
      <c r="AF71" s="10">
        <f t="shared" si="143"/>
        <v>29</v>
      </c>
      <c r="AG71" s="10">
        <f t="shared" si="144"/>
        <v>25</v>
      </c>
      <c r="AH71" s="10">
        <f t="shared" si="145"/>
        <v>27</v>
      </c>
      <c r="AI71" s="10">
        <f t="shared" si="146"/>
        <v>30</v>
      </c>
      <c r="AJ71" s="10">
        <f t="shared" si="136"/>
        <v>28</v>
      </c>
    </row>
    <row r="72" spans="1:36" ht="12.75" customHeight="1">
      <c r="B72" s="12" t="s">
        <v>25</v>
      </c>
      <c r="C72" s="13">
        <f>SUM(C68:C71)</f>
        <v>1188</v>
      </c>
      <c r="D72" s="13">
        <f>SUM(D68:D71)</f>
        <v>1188</v>
      </c>
      <c r="E72" s="13">
        <f>SUM(E68:E71)</f>
        <v>1190</v>
      </c>
      <c r="F72" s="13">
        <f>SUM(F68:F71)</f>
        <v>1192</v>
      </c>
      <c r="G72" s="13">
        <f>SUM(G68:G71)</f>
        <v>1184</v>
      </c>
      <c r="H72" s="13">
        <f>SUM(H68:H71)</f>
        <v>1175</v>
      </c>
      <c r="J72" s="13">
        <f>SUM(J68:J71)</f>
        <v>1191</v>
      </c>
      <c r="K72" s="13">
        <f>SUM(K68:K71)</f>
        <v>1190</v>
      </c>
      <c r="L72" s="13">
        <f>SUM(L68:L71)</f>
        <v>1194</v>
      </c>
      <c r="M72" s="13">
        <f>SUM(M68:M71)</f>
        <v>1192</v>
      </c>
      <c r="N72" s="13">
        <f>SUM(N68:N71)</f>
        <v>1190</v>
      </c>
      <c r="O72" s="13">
        <f>SUM(O68:O71)</f>
        <v>1189</v>
      </c>
      <c r="P72" s="13">
        <f>SUM(P68:P71)</f>
        <v>1189</v>
      </c>
      <c r="Q72" s="13">
        <f>SUM(Q68:Q71)</f>
        <v>1184</v>
      </c>
      <c r="R72" s="13">
        <f>SUM(R68:R71)</f>
        <v>1184</v>
      </c>
      <c r="S72" s="13">
        <f>SUM(S68:S71)</f>
        <v>1179</v>
      </c>
      <c r="T72" s="13">
        <f>SUM(T68:T71)</f>
        <v>1179</v>
      </c>
      <c r="U72" s="13">
        <f>SUM(U68:U71)</f>
        <v>1175</v>
      </c>
      <c r="V72" s="13">
        <f t="shared" ref="V72:X72" si="148">SUM(V68:V71)</f>
        <v>1177</v>
      </c>
      <c r="W72" s="13">
        <f t="shared" si="148"/>
        <v>1180</v>
      </c>
      <c r="X72" s="13">
        <f t="shared" si="148"/>
        <v>1178</v>
      </c>
      <c r="Z72" s="13">
        <f>SUM(Z68:Z71)</f>
        <v>1190</v>
      </c>
      <c r="AA72" s="13">
        <f>SUM(AA68:AA71)</f>
        <v>1189</v>
      </c>
      <c r="AB72" s="13">
        <f>SUM(AB68:AB71)</f>
        <v>1189</v>
      </c>
      <c r="AC72" s="13">
        <f>SUM(AC68:AC71)</f>
        <v>1184</v>
      </c>
      <c r="AD72" s="13">
        <f>SUM(AD68:AD71)</f>
        <v>1184</v>
      </c>
      <c r="AE72" s="13">
        <f>SUM(AE68:AE71)</f>
        <v>1179</v>
      </c>
      <c r="AF72" s="13">
        <f>SUM(AF68:AF71)</f>
        <v>1179</v>
      </c>
      <c r="AG72" s="13">
        <f>SUM(AG68:AG71)</f>
        <v>1175</v>
      </c>
      <c r="AH72" s="13">
        <f>SUM(AH68:AH71)</f>
        <v>1177</v>
      </c>
      <c r="AI72" s="13">
        <f>SUM(AI68:AI71)</f>
        <v>1180</v>
      </c>
      <c r="AJ72" s="13">
        <f>SUM(AJ68:AJ71)</f>
        <v>1178</v>
      </c>
    </row>
    <row r="73" spans="1:36" ht="5.0999999999999996" customHeight="1"/>
    <row r="74" spans="1:36" ht="12.75" customHeight="1">
      <c r="B74" s="8" t="s">
        <v>52</v>
      </c>
      <c r="C74" s="81">
        <f>'Historical Financials'!C81</f>
        <v>3479</v>
      </c>
      <c r="D74" s="81">
        <f>'Historical Financials'!D81</f>
        <v>4587</v>
      </c>
      <c r="E74" s="81">
        <f>'Historical Financials'!E81</f>
        <v>3020</v>
      </c>
      <c r="F74" s="81">
        <f>'Historical Financials'!F81</f>
        <v>2795</v>
      </c>
      <c r="G74" s="81">
        <f>'Historical Financials'!G81</f>
        <v>3053</v>
      </c>
      <c r="H74" s="81">
        <f>'Historical Financials'!H81</f>
        <v>2808</v>
      </c>
      <c r="J74" s="81">
        <f>'Historical Financials'!J81</f>
        <v>2767</v>
      </c>
      <c r="K74" s="81">
        <f>'Historical Financials'!K81</f>
        <v>2892</v>
      </c>
      <c r="L74" s="81">
        <f>'Historical Financials'!L81</f>
        <v>2993</v>
      </c>
      <c r="M74" s="81">
        <f>'Historical Financials'!M81</f>
        <v>2795</v>
      </c>
      <c r="N74" s="81">
        <f>'Historical Financials'!N81</f>
        <v>2793</v>
      </c>
      <c r="O74" s="81">
        <f>'Historical Financials'!O81</f>
        <v>2835</v>
      </c>
      <c r="P74" s="81">
        <f>'Historical Financials'!P81</f>
        <v>2812</v>
      </c>
      <c r="Q74" s="81">
        <f>'Historical Financials'!Q81</f>
        <v>3053</v>
      </c>
      <c r="R74" s="81">
        <f>'Historical Financials'!R81</f>
        <v>3082</v>
      </c>
      <c r="S74" s="81">
        <f>'Historical Financials'!S81</f>
        <v>3107</v>
      </c>
      <c r="T74" s="81">
        <f>'Historical Financials'!T81</f>
        <v>3082</v>
      </c>
      <c r="U74" s="81">
        <f>'Historical Financials'!U81</f>
        <v>2808</v>
      </c>
      <c r="V74" s="81">
        <f>'Historical Financials'!V81</f>
        <v>2763</v>
      </c>
      <c r="W74" s="81">
        <f>'Historical Financials'!W81</f>
        <v>2716</v>
      </c>
      <c r="X74" s="81">
        <f>'Historical Financials'!X81</f>
        <v>2653</v>
      </c>
      <c r="Z74" s="10">
        <f t="shared" ref="Z74:AB74" si="149">N74</f>
        <v>2793</v>
      </c>
      <c r="AA74" s="10">
        <f t="shared" si="149"/>
        <v>2835</v>
      </c>
      <c r="AB74" s="10">
        <f t="shared" si="149"/>
        <v>2812</v>
      </c>
      <c r="AC74" s="10">
        <f t="shared" ref="AC74" si="150">Q74</f>
        <v>3053</v>
      </c>
      <c r="AD74" s="10">
        <f t="shared" ref="AD74" si="151">R74</f>
        <v>3082</v>
      </c>
      <c r="AE74" s="10">
        <f t="shared" ref="AE74" si="152">S74</f>
        <v>3107</v>
      </c>
      <c r="AF74" s="10">
        <f t="shared" ref="AF74" si="153">T74</f>
        <v>3082</v>
      </c>
      <c r="AG74" s="10">
        <f t="shared" ref="AG74" si="154">U74</f>
        <v>2808</v>
      </c>
      <c r="AH74" s="10">
        <f t="shared" ref="AH74" si="155">V74</f>
        <v>2763</v>
      </c>
      <c r="AI74" s="10">
        <f t="shared" ref="AI74" si="156">W74</f>
        <v>2716</v>
      </c>
      <c r="AJ74" s="10">
        <f t="shared" ref="AJ74" si="157">X74</f>
        <v>2653</v>
      </c>
    </row>
    <row r="75" spans="1:36" ht="12.75" customHeight="1">
      <c r="B75" s="12" t="s">
        <v>53</v>
      </c>
      <c r="C75" s="13">
        <f>SUM(C72:C74)</f>
        <v>4667</v>
      </c>
      <c r="D75" s="13">
        <f>SUM(D72:D74)</f>
        <v>5775</v>
      </c>
      <c r="E75" s="13">
        <f>SUM(E72:E74)</f>
        <v>4210</v>
      </c>
      <c r="F75" s="13">
        <f>SUM(F72:F74)</f>
        <v>3987</v>
      </c>
      <c r="G75" s="13">
        <f>SUM(G72:G74)</f>
        <v>4237</v>
      </c>
      <c r="H75" s="13">
        <f>SUM(H72:H74)</f>
        <v>3983</v>
      </c>
      <c r="J75" s="13">
        <f>SUM(J72:J74)</f>
        <v>3958</v>
      </c>
      <c r="K75" s="13">
        <f>SUM(K72:K74)</f>
        <v>4082</v>
      </c>
      <c r="L75" s="13">
        <f>SUM(L72:L74)</f>
        <v>4187</v>
      </c>
      <c r="M75" s="13">
        <f>SUM(M72:M74)</f>
        <v>3987</v>
      </c>
      <c r="N75" s="13">
        <f t="shared" ref="N75:S75" si="158">SUM(N72:N74)</f>
        <v>3983</v>
      </c>
      <c r="O75" s="13">
        <f t="shared" si="158"/>
        <v>4024</v>
      </c>
      <c r="P75" s="13">
        <f t="shared" si="158"/>
        <v>4001</v>
      </c>
      <c r="Q75" s="13">
        <f t="shared" si="158"/>
        <v>4237</v>
      </c>
      <c r="R75" s="13">
        <f t="shared" si="158"/>
        <v>4266</v>
      </c>
      <c r="S75" s="13">
        <f t="shared" si="158"/>
        <v>4286</v>
      </c>
      <c r="T75" s="13">
        <f t="shared" ref="T75:U75" si="159">SUM(T72:T74)</f>
        <v>4261</v>
      </c>
      <c r="U75" s="13">
        <f t="shared" si="159"/>
        <v>3983</v>
      </c>
      <c r="V75" s="13">
        <f t="shared" ref="V75:X75" si="160">SUM(V72:V74)</f>
        <v>3940</v>
      </c>
      <c r="W75" s="13">
        <f t="shared" si="160"/>
        <v>3896</v>
      </c>
      <c r="X75" s="13">
        <f t="shared" si="160"/>
        <v>3831</v>
      </c>
      <c r="Z75" s="13">
        <f t="shared" ref="Z75" si="161">SUM(Z72:Z74)</f>
        <v>3983</v>
      </c>
      <c r="AA75" s="13">
        <f t="shared" ref="AA75" si="162">SUM(AA72:AA74)</f>
        <v>4024</v>
      </c>
      <c r="AB75" s="13">
        <f t="shared" ref="AB75:AH75" si="163">SUM(AB72:AB74)</f>
        <v>4001</v>
      </c>
      <c r="AC75" s="13">
        <f t="shared" si="163"/>
        <v>4237</v>
      </c>
      <c r="AD75" s="13">
        <f t="shared" si="163"/>
        <v>4266</v>
      </c>
      <c r="AE75" s="13">
        <f t="shared" si="163"/>
        <v>4286</v>
      </c>
      <c r="AF75" s="13">
        <f t="shared" si="163"/>
        <v>4261</v>
      </c>
      <c r="AG75" s="13">
        <f t="shared" si="163"/>
        <v>3983</v>
      </c>
      <c r="AH75" s="13">
        <f t="shared" si="163"/>
        <v>3940</v>
      </c>
      <c r="AI75" s="13">
        <f>SUM(AI72:AI74)</f>
        <v>3896</v>
      </c>
      <c r="AJ75" s="13">
        <f>SUM(AJ72:AJ74)</f>
        <v>3831</v>
      </c>
    </row>
    <row r="76" spans="1:36" ht="5.0999999999999996" customHeight="1"/>
    <row r="77" spans="1:36" ht="12.75" customHeight="1">
      <c r="A77" s="5"/>
      <c r="B77" s="31" t="s">
        <v>77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spans="1:36" ht="5.0999999999999996" customHeight="1"/>
    <row r="79" spans="1:36" ht="12.75" customHeight="1">
      <c r="B79" s="29" t="s">
        <v>168</v>
      </c>
      <c r="C79" s="154">
        <f>C72/C31</f>
        <v>0.40080971659919029</v>
      </c>
      <c r="D79" s="154">
        <f>D72/D31</f>
        <v>0.35304606240713227</v>
      </c>
      <c r="E79" s="154">
        <f>E72/E31</f>
        <v>0.29389972832798222</v>
      </c>
      <c r="F79" s="154">
        <f>F72/F31</f>
        <v>0.41809891266222377</v>
      </c>
      <c r="G79" s="154">
        <f>G72/G31</f>
        <v>0.44814534443603332</v>
      </c>
      <c r="H79" s="154">
        <f>H72/H31</f>
        <v>0.51830613145125715</v>
      </c>
      <c r="J79" s="156"/>
      <c r="K79" s="156"/>
      <c r="L79" s="156"/>
      <c r="M79" s="154">
        <f t="shared" ref="M79:R79" si="164">SUM(M72/SUM(J31:M31))</f>
        <v>0.41809891266222377</v>
      </c>
      <c r="N79" s="154">
        <f t="shared" si="164"/>
        <v>0.4387905604719764</v>
      </c>
      <c r="O79" s="154">
        <f t="shared" si="164"/>
        <v>0.43923162172146285</v>
      </c>
      <c r="P79" s="154">
        <f t="shared" si="164"/>
        <v>0.44020733061828954</v>
      </c>
      <c r="Q79" s="154">
        <f t="shared" si="164"/>
        <v>0.44814534443603332</v>
      </c>
      <c r="R79" s="154">
        <f t="shared" si="164"/>
        <v>0.45104761904761903</v>
      </c>
      <c r="S79" s="154">
        <f>SUM(S72/SUM(P31:S31))</f>
        <v>0.44642180992048469</v>
      </c>
      <c r="T79" s="154">
        <f>SUM(T72/SUM(Q31:T31))</f>
        <v>0.45</v>
      </c>
      <c r="U79" s="154">
        <f>SUM(U72/SUM(R31:U31))</f>
        <v>0.51830613145125715</v>
      </c>
      <c r="V79" s="154">
        <f t="shared" ref="V79:X79" si="165">SUM(V72/SUM(S31:V31))</f>
        <v>0.54289667896678961</v>
      </c>
      <c r="W79" s="154">
        <f t="shared" si="165"/>
        <v>0.5818540433925049</v>
      </c>
      <c r="X79" s="154">
        <f t="shared" si="165"/>
        <v>0.6312968917470525</v>
      </c>
      <c r="Y79" s="154"/>
      <c r="Z79" s="154">
        <f>Z72/Z31</f>
        <v>0.4387905604719764</v>
      </c>
      <c r="AA79" s="154">
        <f>AA72/AA31</f>
        <v>0.43923162172146285</v>
      </c>
      <c r="AB79" s="154">
        <f>AB72/AB31</f>
        <v>0.44020733061828954</v>
      </c>
      <c r="AC79" s="154">
        <f>AC72/AC31</f>
        <v>0.44814534443603332</v>
      </c>
      <c r="AD79" s="154">
        <f>AD72/AD31</f>
        <v>0.45104761904761903</v>
      </c>
      <c r="AE79" s="154">
        <f>AE72/AE31</f>
        <v>0.44642180992048469</v>
      </c>
      <c r="AF79" s="154">
        <f>AF72/AF31</f>
        <v>0.45</v>
      </c>
      <c r="AG79" s="154">
        <f>AG72/AG31</f>
        <v>0.51830613145125715</v>
      </c>
      <c r="AH79" s="154">
        <f>AH72/AH31</f>
        <v>0.54289667896678961</v>
      </c>
      <c r="AI79" s="154">
        <f>AI72/AI31</f>
        <v>0.5818540433925049</v>
      </c>
      <c r="AJ79" s="154">
        <f>AJ72/AJ31</f>
        <v>0.6312968917470525</v>
      </c>
    </row>
    <row r="80" spans="1:36" ht="12.75" customHeight="1">
      <c r="B80" s="29" t="s">
        <v>169</v>
      </c>
      <c r="C80" s="154">
        <f>SUM(C72-C50)/C31</f>
        <v>-0.35121457489878544</v>
      </c>
      <c r="D80" s="154">
        <f>SUM(D72-D50)/D31</f>
        <v>-1.2796433878157503</v>
      </c>
      <c r="E80" s="154">
        <f>SUM(E72-E50)/E31</f>
        <v>-0.43121758458878734</v>
      </c>
      <c r="F80" s="154">
        <f>SUM(F72-F50)/F31</f>
        <v>-0.23921431076815153</v>
      </c>
      <c r="G80" s="154">
        <f>SUM(G72-G50)/G31</f>
        <v>-9.9545798637395919E-2</v>
      </c>
      <c r="H80" s="154">
        <f>SUM(H72-H50)/H31</f>
        <v>-0.17776797529775032</v>
      </c>
      <c r="J80" s="156"/>
      <c r="K80" s="156"/>
      <c r="L80" s="156"/>
      <c r="M80" s="154">
        <f t="shared" ref="M80:R80" si="166">SUM(M72-M50)/SUM(J31:M31)</f>
        <v>-0.23921431076815153</v>
      </c>
      <c r="N80" s="154">
        <f t="shared" si="166"/>
        <v>5.8997050147492625E-2</v>
      </c>
      <c r="O80" s="154">
        <f t="shared" si="166"/>
        <v>3.5463612855559663E-2</v>
      </c>
      <c r="P80" s="154">
        <f t="shared" si="166"/>
        <v>0.20473898556090336</v>
      </c>
      <c r="Q80" s="154">
        <f t="shared" si="166"/>
        <v>-9.9545798637395919E-2</v>
      </c>
      <c r="R80" s="154">
        <f t="shared" si="166"/>
        <v>-1.1428571428571429E-2</v>
      </c>
      <c r="S80" s="154">
        <f>SUM(S72-S50)/SUM(P31:S31)</f>
        <v>-7.8758046194623246E-2</v>
      </c>
      <c r="T80" s="154">
        <f>SUM(T72-T50)/SUM(Q31:T31)</f>
        <v>0.20458015267175572</v>
      </c>
      <c r="U80" s="154">
        <f>SUM(U72-U50)/SUM(R31:U31)</f>
        <v>-0.17776797529775032</v>
      </c>
      <c r="V80" s="154">
        <f t="shared" ref="V80:X80" si="167">SUM(V72-V50)/SUM(S31:V31)</f>
        <v>1.3837638376383764E-2</v>
      </c>
      <c r="W80" s="154">
        <f t="shared" si="167"/>
        <v>-0.13609467455621302</v>
      </c>
      <c r="X80" s="154">
        <f t="shared" si="167"/>
        <v>0.13665594855305466</v>
      </c>
      <c r="Y80" s="154"/>
      <c r="Z80" s="154">
        <f>SUM(Z72-Z50)/Z31</f>
        <v>5.8997050147492625E-2</v>
      </c>
      <c r="AA80" s="154">
        <f>SUM(AA72-AA50)/AA31</f>
        <v>3.5463612855559663E-2</v>
      </c>
      <c r="AB80" s="154">
        <f>SUM(AB72-AB50)/AB31</f>
        <v>0.20473898556090336</v>
      </c>
      <c r="AC80" s="154">
        <f>SUM(AC72-AC50)/AC31</f>
        <v>-9.9545798637395919E-2</v>
      </c>
      <c r="AD80" s="154">
        <f>SUM(AD72-AD50)/AD31</f>
        <v>-1.1428571428571429E-2</v>
      </c>
      <c r="AE80" s="154">
        <f>SUM(AE72-AE50)/AE31</f>
        <v>-7.8758046194623246E-2</v>
      </c>
      <c r="AF80" s="154">
        <f>SUM(AF72-AF50)/AF31</f>
        <v>0.20458015267175572</v>
      </c>
      <c r="AG80" s="154">
        <f>SUM(AG72-AG50)/AG31</f>
        <v>-0.17776797529775032</v>
      </c>
      <c r="AH80" s="154">
        <f>SUM(AH72-AH50)/AH31</f>
        <v>1.3837638376383764E-2</v>
      </c>
      <c r="AI80" s="154">
        <f>SUM(AI72-AI50)/AI31</f>
        <v>-0.13609467455621302</v>
      </c>
      <c r="AJ80" s="154">
        <f>SUM(AJ72-AJ50)/AJ31</f>
        <v>0.13665594855305466</v>
      </c>
    </row>
    <row r="81" spans="2:36" ht="12.75" customHeight="1">
      <c r="B81" s="29" t="s">
        <v>170</v>
      </c>
      <c r="C81" s="154">
        <f>C31/-C36</f>
        <v>47.806451612903224</v>
      </c>
      <c r="D81" s="154">
        <f>D31/-D36</f>
        <v>67.3</v>
      </c>
      <c r="E81" s="154">
        <f>E31/-E36</f>
        <v>184.04545454545453</v>
      </c>
      <c r="F81" s="154">
        <f>F31/-F36</f>
        <v>91.967741935483872</v>
      </c>
      <c r="G81" s="154">
        <f>G31/-G36</f>
        <v>51.803921568627452</v>
      </c>
      <c r="H81" s="154">
        <f>H31/-H36</f>
        <v>49.282608695652172</v>
      </c>
      <c r="J81" s="156"/>
      <c r="K81" s="156"/>
      <c r="L81" s="156"/>
      <c r="M81" s="154" cm="1">
        <f t="array" ref="M81">SUM(J31:M31)/SUM(-J36:M36)</f>
        <v>81.457142857142856</v>
      </c>
      <c r="N81" s="154" cm="1">
        <f t="array" ref="N81">SUM(K31:N31)/SUM(-K36:N36)</f>
        <v>66.146341463414629</v>
      </c>
      <c r="O81" s="154" cm="1">
        <f t="array" ref="O81">SUM(L31:O31)/SUM(-L36:O36)</f>
        <v>58.847826086956523</v>
      </c>
      <c r="P81" s="154" cm="1">
        <f t="array" ref="P81">SUM(M31:P31)/SUM(-M36:P36)</f>
        <v>54.02</v>
      </c>
      <c r="Q81" s="154" cm="1">
        <f t="array" ref="Q81">SUM(N31:Q31)/SUM(-N36:Q36)</f>
        <v>50.807692307692307</v>
      </c>
      <c r="R81" s="154" cm="1">
        <f t="array" ref="R81">SUM(O31:R31)/SUM(-O36:R36)</f>
        <v>50.480769230769234</v>
      </c>
      <c r="S81" s="154" cm="1">
        <f t="array" ref="S81">SUM(P31:S31)/SUM(-P36:S36)</f>
        <v>49.830188679245282</v>
      </c>
      <c r="T81" s="154" cm="1">
        <f t="array" ref="T81">SUM(Q31:T31)/SUM(-Q36:T36)</f>
        <v>50.384615384615387</v>
      </c>
      <c r="U81" s="154" cm="1">
        <f t="array" ref="U81">SUM(R31:U31)/SUM(-R36:U36)</f>
        <v>44.450980392156865</v>
      </c>
      <c r="V81" s="154" cm="1">
        <f t="array" ref="V81">SUM(S31:V31)/SUM(-S36:V36)</f>
        <v>42.509803921568626</v>
      </c>
      <c r="W81" s="154" cm="1">
        <f t="array" ref="W81">SUM(T31:W31)/SUM(-T36:W36)</f>
        <v>40.56</v>
      </c>
      <c r="X81" s="154" cm="1">
        <f t="array" ref="X81">SUM(U31:X31)/SUM(-U36:X36)</f>
        <v>38.081632653061227</v>
      </c>
      <c r="Y81" s="154"/>
      <c r="Z81" s="154">
        <f>Z31/-Z36</f>
        <v>66.146341463414629</v>
      </c>
      <c r="AA81" s="154">
        <f>AA31/-AA36</f>
        <v>58.847826086956523</v>
      </c>
      <c r="AB81" s="154">
        <f>AB31/-AB36</f>
        <v>54.02</v>
      </c>
      <c r="AC81" s="154">
        <f>AC31/-AC36</f>
        <v>50.807692307692307</v>
      </c>
      <c r="AD81" s="154">
        <f>AD31/-AD36</f>
        <v>50.480769230769234</v>
      </c>
      <c r="AE81" s="154">
        <f>AE31/-AE36</f>
        <v>49.830188679245282</v>
      </c>
      <c r="AF81" s="154">
        <f>AF31/-AF36</f>
        <v>50.384615384615387</v>
      </c>
      <c r="AG81" s="154">
        <f>AG31/-AG36</f>
        <v>44.450980392156865</v>
      </c>
      <c r="AH81" s="154">
        <f>AH31/-AH36</f>
        <v>42.509803921568626</v>
      </c>
      <c r="AI81" s="154">
        <f>AI31/-AI36</f>
        <v>40.56</v>
      </c>
      <c r="AJ81" s="154">
        <f>AJ31/-AJ36</f>
        <v>38.081632653061227</v>
      </c>
    </row>
    <row r="82" spans="2:36" ht="12.75" customHeight="1">
      <c r="B82" s="29" t="s">
        <v>171</v>
      </c>
      <c r="C82" s="154" cm="1">
        <f t="array" ref="C82">SUM(C31+C34)/SUM(-C35:C36)</f>
        <v>3.8559027777777777</v>
      </c>
      <c r="D82" s="154" cm="1">
        <f t="array" ref="D82">SUM(D31+D34)/SUM(-D35:D36)</f>
        <v>5.3902439024390247</v>
      </c>
      <c r="E82" s="154" cm="1">
        <f t="array" ref="E82">SUM(E31+E34)/SUM(-E35:E36)</f>
        <v>4.4878048780487809</v>
      </c>
      <c r="F82" s="154" cm="1">
        <f t="array" ref="F82">SUM(F31+F34)/SUM(-F35:F36)</f>
        <v>6.1178343949044587</v>
      </c>
      <c r="G82" s="154" cm="1">
        <f t="array" ref="G82">SUM(G31+G34)/SUM(-G35:G36)</f>
        <v>3.1094276094276094</v>
      </c>
      <c r="H82" s="154" cm="1">
        <f t="array" ref="H82">SUM(H31+H34)/SUM(-H35:H36)</f>
        <v>2.2656023222060959</v>
      </c>
      <c r="J82" s="156"/>
      <c r="K82" s="156"/>
      <c r="L82" s="156"/>
      <c r="M82" s="154" cm="1">
        <f t="array" ref="M82">SUM(J31:M31+J34:M34)/SUM(-J35:M36)</f>
        <v>4.7432098765432098</v>
      </c>
      <c r="N82" s="154" cm="1">
        <f t="array" ref="N82">SUM(K31:N31+K34:N34)/SUM(-K35:N36)</f>
        <v>4.7686170212765955</v>
      </c>
      <c r="O82" s="154" cm="1">
        <f t="array" ref="O82">SUM(L31:O31+L34:O34)/SUM(-L35:O36)</f>
        <v>4.3508353221957039</v>
      </c>
      <c r="P82" s="154" cm="1">
        <f t="array" ref="P82">SUM(M31:P31+M34:P34)/SUM(-M35:P36)</f>
        <v>4.3647058823529408</v>
      </c>
      <c r="Q82" s="154" cm="1">
        <f t="array" ref="Q82">SUM(N31:Q31+N34:Q34)/SUM(-N35:Q36)</f>
        <v>4.2655889145496539</v>
      </c>
      <c r="R82" s="154" cm="1">
        <f t="array" ref="R82">SUM(O31:R31+O34:R34)/SUM(-O35:R36)</f>
        <v>4.2968036529680367</v>
      </c>
      <c r="S82" s="154" cm="1">
        <f t="array" ref="S82">SUM(P31:S31+P34:S34)/SUM(-P35:S36)</f>
        <v>4.2927927927927927</v>
      </c>
      <c r="T82" s="154" cm="1">
        <f t="array" ref="T82">SUM(Q31:T31+Q34:T34)/SUM(-Q35:T36)</f>
        <v>4.3190045248868776</v>
      </c>
      <c r="U82" s="154" cm="1">
        <f t="array" ref="U82">SUM(R31:U31+R34:U34)/SUM(-R35:U36)</f>
        <v>3.6903073286052011</v>
      </c>
      <c r="V82" s="154" cm="1">
        <f t="array" ref="V82">SUM(S31:V31+S34:V34)/SUM(-S35:V36)</f>
        <v>4</v>
      </c>
      <c r="W82" s="154" cm="1">
        <f t="array" ref="W82">SUM(T31:W31+T34:W34)/SUM(-T35:W36)</f>
        <v>4.0121951219512191</v>
      </c>
      <c r="X82" s="154" cm="1">
        <f t="array" ref="X82">SUM(U31:X31+U34:X34)/SUM(-U35:X36)</f>
        <v>3.7875816993464051</v>
      </c>
      <c r="Y82" s="154"/>
      <c r="Z82" s="154" cm="1">
        <f t="array" ref="Z82">SUM(Z31+Z34)/SUM(-Z35:Z36)</f>
        <v>4.7686170212765955</v>
      </c>
      <c r="AA82" s="154" cm="1">
        <f t="array" ref="AA82">SUM(AA31+AA34)/SUM(-AA35:AA36)</f>
        <v>4.3508353221957039</v>
      </c>
      <c r="AB82" s="154" cm="1">
        <f t="array" ref="AB82">SUM(AB31+AB34)/SUM(-AB35:AB36)</f>
        <v>4.3647058823529408</v>
      </c>
      <c r="AC82" s="154" cm="1">
        <f t="array" ref="AC82">SUM(AC31+AC34)/SUM(-AC35:AC36)</f>
        <v>4.2655889145496539</v>
      </c>
      <c r="AD82" s="154" cm="1">
        <f t="array" ref="AD82">SUM(AD31+AD34)/SUM(-AD35:AD36)</f>
        <v>4.2968036529680367</v>
      </c>
      <c r="AE82" s="154" cm="1">
        <f t="array" ref="AE82">SUM(AE31+AE34)/SUM(-AE35:AE36)</f>
        <v>4.2927927927927927</v>
      </c>
      <c r="AF82" s="154" cm="1">
        <f t="array" ref="AF82">SUM(AF31+AF34)/SUM(-AF35:AF36)</f>
        <v>4.3190045248868776</v>
      </c>
      <c r="AG82" s="154" cm="1">
        <f t="array" ref="AG82">SUM(AG31+AG34)/SUM(-AG35:AG36)</f>
        <v>3.6903073286052011</v>
      </c>
      <c r="AH82" s="154" cm="1">
        <f t="array" ref="AH82">SUM(AH31+AH34)/SUM(-AH35:AH36)</f>
        <v>4</v>
      </c>
      <c r="AI82" s="154" cm="1">
        <f t="array" ref="AI82">SUM(AI31+AI34)/SUM(-AI35:AI36)</f>
        <v>4.0121951219512191</v>
      </c>
      <c r="AJ82" s="154" cm="1">
        <f t="array" ref="AJ82">SUM(AJ31+AJ34)/SUM(-AJ35:AJ36)</f>
        <v>3.7875816993464051</v>
      </c>
    </row>
    <row r="83" spans="2:36" ht="12.75" customHeight="1">
      <c r="B83" s="29" t="s">
        <v>172</v>
      </c>
      <c r="C83" s="154" cm="1">
        <f t="array" ref="C83">SUM(C31)/SUM(-C34:C36)</f>
        <v>2.2471569370735405</v>
      </c>
      <c r="D83" s="154" cm="1">
        <f t="array" ref="D83">SUM(D31)/SUM(-D34:D36)</f>
        <v>2.7925311203319501</v>
      </c>
      <c r="E83" s="154" cm="1">
        <f t="array" ref="E83">SUM(E31)/SUM(-E34:E36)</f>
        <v>2.7450847457627119</v>
      </c>
      <c r="F83" s="154" cm="1">
        <f t="array" ref="F83">SUM(F31)/SUM(-F34:F36)</f>
        <v>2.2918006430868165</v>
      </c>
      <c r="G83" s="154" cm="1">
        <f t="array" ref="G83">SUM(G31)/SUM(-G34:G36)</f>
        <v>1.9020878329733621</v>
      </c>
      <c r="H83" s="154" cm="1">
        <f t="array" ref="H83">SUM(H31)/SUM(-H34:H36)</f>
        <v>1.625089605734767</v>
      </c>
      <c r="J83" s="156"/>
      <c r="K83" s="156"/>
      <c r="L83" s="156"/>
      <c r="M83" s="154" cm="1">
        <f t="array" ref="M83">SUM(J31:M31)/SUM(-J34:M36)</f>
        <v>2.1355805243445691</v>
      </c>
      <c r="N83" s="154" cm="1">
        <f t="array" ref="N83">SUM(K31:N31)/SUM(-K34:N36)</f>
        <v>2.0942084942084942</v>
      </c>
      <c r="O83" s="154" cm="1">
        <f t="array" ref="O83">SUM(L31:O31)/SUM(-L34:O36)</f>
        <v>2.0775134305448963</v>
      </c>
      <c r="P83" s="154" cm="1">
        <f t="array" ref="P83">SUM(M31:P31)/SUM(-M34:P36)</f>
        <v>2.125098347757671</v>
      </c>
      <c r="Q83" s="154" cm="1">
        <f t="array" ref="Q83">SUM(N31:Q31)/SUM(-N34:Q36)</f>
        <v>2.1514657980456025</v>
      </c>
      <c r="R83" s="154" cm="1">
        <f t="array" ref="R83">SUM(O31:R31)/SUM(-O34:R36)</f>
        <v>2.2226926333615582</v>
      </c>
      <c r="S83" s="154" cm="1">
        <f t="array" ref="S83">SUM(P31:S31)/SUM(-P34:S36)</f>
        <v>2.2400339270568277</v>
      </c>
      <c r="T83" s="154" cm="1">
        <f t="array" ref="T83">SUM(Q31:T31)/SUM(-Q34:T36)</f>
        <v>2.272333044232437</v>
      </c>
      <c r="U83" s="154" cm="1">
        <f t="array" ref="U83">SUM(R31:U31)/SUM(-R34:U36)</f>
        <v>2.0079716563330381</v>
      </c>
      <c r="V83" s="154" cm="1">
        <f t="array" ref="V83">SUM(S31:V31)/SUM(-S34:V36)</f>
        <v>2.0036968576709797</v>
      </c>
      <c r="W83" s="154" cm="1">
        <f t="array" ref="W83">SUM(T31:W31)/SUM(-T34:W36)</f>
        <v>1.95</v>
      </c>
      <c r="X83" s="154" cm="1">
        <f t="array" ref="X83">SUM(U31:X31)/SUM(-U34:X36)</f>
        <v>1.8420533070088845</v>
      </c>
      <c r="Y83" s="154"/>
      <c r="Z83" s="154" cm="1">
        <f t="array" ref="Z83">SUM(Z31)/SUM(-Z34:Z36)</f>
        <v>2.0942084942084942</v>
      </c>
      <c r="AA83" s="154" cm="1">
        <f t="array" ref="AA83">SUM(AA31)/SUM(-AA34:AA36)</f>
        <v>2.0775134305448963</v>
      </c>
      <c r="AB83" s="154" cm="1">
        <f t="array" ref="AB83">SUM(AB31)/SUM(-AB34:AB36)</f>
        <v>2.125098347757671</v>
      </c>
      <c r="AC83" s="154" cm="1">
        <f t="array" ref="AC83">SUM(AC31)/SUM(-AC34:AC36)</f>
        <v>2.1514657980456025</v>
      </c>
      <c r="AD83" s="154" cm="1">
        <f t="array" ref="AD83">SUM(AD31)/SUM(-AD34:AD36)</f>
        <v>2.2226926333615582</v>
      </c>
      <c r="AE83" s="154" cm="1">
        <f t="array" ref="AE83">SUM(AE31)/SUM(-AE34:AE36)</f>
        <v>2.2400339270568277</v>
      </c>
      <c r="AF83" s="154" cm="1">
        <f t="array" ref="AF83">SUM(AF31)/SUM(-AF34:AF36)</f>
        <v>2.272333044232437</v>
      </c>
      <c r="AG83" s="154" cm="1">
        <f t="array" ref="AG83">SUM(AG31)/SUM(-AG34:AG36)</f>
        <v>2.0079716563330381</v>
      </c>
      <c r="AH83" s="154" cm="1">
        <f t="array" ref="AH83">SUM(AH31)/SUM(-AH34:AH36)</f>
        <v>2.0036968576709797</v>
      </c>
      <c r="AI83" s="154" cm="1">
        <f t="array" ref="AI83">SUM(AI31)/SUM(-AI34:AI36)</f>
        <v>1.95</v>
      </c>
      <c r="AJ83" s="154" cm="1">
        <f t="array" ref="AJ83">SUM(AJ31)/SUM(-AJ34:AJ36)</f>
        <v>1.8420533070088845</v>
      </c>
    </row>
    <row r="84" spans="2:36" ht="12.75" customHeight="1">
      <c r="B84" s="8" t="s">
        <v>54</v>
      </c>
      <c r="C84" s="154">
        <f>C75/C72</f>
        <v>3.9284511784511786</v>
      </c>
      <c r="D84" s="154">
        <f>D75/D72</f>
        <v>4.8611111111111107</v>
      </c>
      <c r="E84" s="154">
        <f>E75/E72</f>
        <v>3.53781512605042</v>
      </c>
      <c r="F84" s="154">
        <f>F75/F72</f>
        <v>3.3447986577181208</v>
      </c>
      <c r="G84" s="154">
        <f>G75/G72</f>
        <v>3.5785472972972974</v>
      </c>
      <c r="H84" s="154">
        <f>H75/H72</f>
        <v>3.389787234042553</v>
      </c>
      <c r="J84" s="156"/>
      <c r="K84" s="156"/>
      <c r="L84" s="156"/>
      <c r="M84" s="154">
        <f t="shared" ref="M84:R84" si="168">M75/M72</f>
        <v>3.3447986577181208</v>
      </c>
      <c r="N84" s="154">
        <f t="shared" si="168"/>
        <v>3.3470588235294119</v>
      </c>
      <c r="O84" s="154">
        <f t="shared" si="168"/>
        <v>3.3843566021867115</v>
      </c>
      <c r="P84" s="154">
        <f t="shared" si="168"/>
        <v>3.3650126156433977</v>
      </c>
      <c r="Q84" s="154">
        <f t="shared" si="168"/>
        <v>3.5785472972972974</v>
      </c>
      <c r="R84" s="154">
        <f t="shared" si="168"/>
        <v>3.6030405405405403</v>
      </c>
      <c r="S84" s="154">
        <f t="shared" ref="S84:T84" si="169">S75/S72</f>
        <v>3.635284139100933</v>
      </c>
      <c r="T84" s="154">
        <f t="shared" si="169"/>
        <v>3.6140797285835453</v>
      </c>
      <c r="U84" s="154">
        <f t="shared" ref="U84:X84" si="170">U75/U72</f>
        <v>3.389787234042553</v>
      </c>
      <c r="V84" s="154">
        <f t="shared" si="170"/>
        <v>3.3474936278674599</v>
      </c>
      <c r="W84" s="154">
        <f t="shared" si="170"/>
        <v>3.3016949152542372</v>
      </c>
      <c r="X84" s="154">
        <f t="shared" si="170"/>
        <v>3.2521222410865875</v>
      </c>
      <c r="Y84" s="154"/>
      <c r="Z84" s="154">
        <f t="shared" ref="Z84" si="171">Z75/Z72</f>
        <v>3.3470588235294119</v>
      </c>
      <c r="AA84" s="154">
        <f t="shared" ref="AA84" si="172">AA75/AA72</f>
        <v>3.3843566021867115</v>
      </c>
      <c r="AB84" s="154">
        <f t="shared" ref="AB84:AH84" si="173">AB75/AB72</f>
        <v>3.3650126156433977</v>
      </c>
      <c r="AC84" s="154">
        <f t="shared" si="173"/>
        <v>3.5785472972972974</v>
      </c>
      <c r="AD84" s="154">
        <f t="shared" si="173"/>
        <v>3.6030405405405403</v>
      </c>
      <c r="AE84" s="154">
        <f t="shared" si="173"/>
        <v>3.635284139100933</v>
      </c>
      <c r="AF84" s="154">
        <f t="shared" si="173"/>
        <v>3.6140797285835453</v>
      </c>
      <c r="AG84" s="154">
        <f t="shared" si="173"/>
        <v>3.389787234042553</v>
      </c>
      <c r="AH84" s="154">
        <f t="shared" si="173"/>
        <v>3.3474936278674599</v>
      </c>
      <c r="AI84" s="154">
        <f>AI75/AI72</f>
        <v>3.3016949152542372</v>
      </c>
      <c r="AJ84" s="154">
        <f>AJ75/AJ72</f>
        <v>3.2521222410865875</v>
      </c>
    </row>
    <row r="85" spans="2:36" ht="5.0999999999999996" customHeight="1" thickBot="1"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</row>
  </sheetData>
  <mergeCells count="1">
    <mergeCell ref="AL2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2025-12-24T00:51:49Z</dcterms:modified>
</cp:coreProperties>
</file>