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7FBFAE38-B1FF-45DF-8EB1-D61B6AF25733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9" i="8" l="1"/>
  <c r="W119" i="8" s="1"/>
  <c r="X115" i="8" s="1"/>
  <c r="N118" i="8"/>
  <c r="W118" i="8" s="1"/>
  <c r="N110" i="8"/>
  <c r="N109" i="8"/>
  <c r="N108" i="8"/>
  <c r="Z108" i="8" s="1"/>
  <c r="N104" i="8"/>
  <c r="J110" i="8"/>
  <c r="V110" i="8" s="1"/>
  <c r="J109" i="8"/>
  <c r="V109" i="8" s="1"/>
  <c r="J108" i="8"/>
  <c r="T108" i="8" s="1"/>
  <c r="J104" i="8"/>
  <c r="V104" i="8" s="1"/>
  <c r="N100" i="8"/>
  <c r="X100" i="8" s="1"/>
  <c r="N99" i="8"/>
  <c r="N98" i="8"/>
  <c r="N97" i="8"/>
  <c r="N96" i="8"/>
  <c r="N95" i="8"/>
  <c r="N94" i="8"/>
  <c r="N92" i="8"/>
  <c r="Z92" i="8" s="1"/>
  <c r="N91" i="8"/>
  <c r="N90" i="8"/>
  <c r="N89" i="8"/>
  <c r="Y89" i="8" s="1"/>
  <c r="N88" i="8"/>
  <c r="N87" i="8"/>
  <c r="J92" i="8"/>
  <c r="S92" i="8" s="1"/>
  <c r="J91" i="8"/>
  <c r="J90" i="8"/>
  <c r="J89" i="8"/>
  <c r="V89" i="8" s="1"/>
  <c r="J88" i="8"/>
  <c r="J87" i="8"/>
  <c r="J100" i="8"/>
  <c r="J99" i="8"/>
  <c r="J98" i="8"/>
  <c r="J97" i="8"/>
  <c r="J96" i="8"/>
  <c r="J95" i="8"/>
  <c r="V95" i="8" s="1"/>
  <c r="J94" i="8"/>
  <c r="N10" i="8"/>
  <c r="N15" i="8"/>
  <c r="N14" i="8"/>
  <c r="N13" i="8"/>
  <c r="N19" i="8"/>
  <c r="N23" i="8"/>
  <c r="N27" i="8"/>
  <c r="N31" i="8"/>
  <c r="N34" i="8"/>
  <c r="J34" i="8"/>
  <c r="J31" i="8"/>
  <c r="J27" i="8"/>
  <c r="J23" i="8"/>
  <c r="J19" i="8"/>
  <c r="J15" i="8"/>
  <c r="J14" i="8"/>
  <c r="U14" i="8" s="1"/>
  <c r="J13" i="8"/>
  <c r="J10" i="8"/>
  <c r="J118" i="8"/>
  <c r="J119" i="8"/>
  <c r="G115" i="8"/>
  <c r="G114" i="8"/>
  <c r="J4" i="11"/>
  <c r="M4" i="11"/>
  <c r="X4" i="11" s="1"/>
  <c r="N8" i="8"/>
  <c r="J8" i="8"/>
  <c r="H4" i="10"/>
  <c r="X8" i="8"/>
  <c r="N4" i="11"/>
  <c r="Y4" i="11" s="1"/>
  <c r="C123" i="8"/>
  <c r="AB95" i="8"/>
  <c r="AA95" i="8"/>
  <c r="Y95" i="8"/>
  <c r="J45" i="8"/>
  <c r="J44" i="8"/>
  <c r="J43" i="8"/>
  <c r="J42" i="8"/>
  <c r="J52" i="8"/>
  <c r="J51" i="8"/>
  <c r="J50" i="8"/>
  <c r="S50" i="8" s="1"/>
  <c r="J49" i="8"/>
  <c r="S49" i="8" s="1"/>
  <c r="J60" i="8"/>
  <c r="J59" i="8"/>
  <c r="J58" i="8"/>
  <c r="S58" i="8" s="1"/>
  <c r="J57" i="8"/>
  <c r="S57" i="8" s="1"/>
  <c r="J56" i="8"/>
  <c r="J65" i="8"/>
  <c r="J64" i="8"/>
  <c r="S64" i="8" s="1"/>
  <c r="J71" i="8"/>
  <c r="S71" i="8" s="1"/>
  <c r="J70" i="8"/>
  <c r="J69" i="8"/>
  <c r="J68" i="8"/>
  <c r="S68" i="8" s="1"/>
  <c r="J72" i="8"/>
  <c r="N72" i="8"/>
  <c r="W72" i="8" s="1"/>
  <c r="N71" i="8"/>
  <c r="N70" i="8"/>
  <c r="W70" i="8" s="1"/>
  <c r="N69" i="8"/>
  <c r="W69" i="8" s="1"/>
  <c r="N68" i="8"/>
  <c r="N65" i="8"/>
  <c r="N64" i="8"/>
  <c r="W64" i="8" s="1"/>
  <c r="N60" i="8"/>
  <c r="W60" i="8" s="1"/>
  <c r="N59" i="8"/>
  <c r="W59" i="8" s="1"/>
  <c r="N58" i="8"/>
  <c r="N57" i="8"/>
  <c r="W57" i="8" s="1"/>
  <c r="N56" i="8"/>
  <c r="W56" i="8" s="1"/>
  <c r="N52" i="8"/>
  <c r="W52" i="8" s="1"/>
  <c r="N51" i="8"/>
  <c r="W51" i="8" s="1"/>
  <c r="N50" i="8"/>
  <c r="W50" i="8" s="1"/>
  <c r="N49" i="8"/>
  <c r="W49" i="8" s="1"/>
  <c r="N45" i="8"/>
  <c r="N44" i="8"/>
  <c r="N43" i="8"/>
  <c r="W43" i="8" s="1"/>
  <c r="N42" i="8"/>
  <c r="AB15" i="8"/>
  <c r="AA15" i="8"/>
  <c r="Z15" i="8"/>
  <c r="T15" i="8"/>
  <c r="AB14" i="8"/>
  <c r="AA14" i="8"/>
  <c r="Z14" i="8"/>
  <c r="N10" i="10"/>
  <c r="J10" i="10"/>
  <c r="B16" i="10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AA27" i="10"/>
  <c r="AB26" i="10"/>
  <c r="AA25" i="10"/>
  <c r="AB24" i="10"/>
  <c r="AB23" i="10"/>
  <c r="AB22" i="10"/>
  <c r="N27" i="10"/>
  <c r="X27" i="10" s="1"/>
  <c r="N26" i="10"/>
  <c r="X26" i="10" s="1"/>
  <c r="N25" i="10"/>
  <c r="Y25" i="10" s="1"/>
  <c r="N24" i="10"/>
  <c r="X24" i="10" s="1"/>
  <c r="N23" i="10"/>
  <c r="Z23" i="10" s="1"/>
  <c r="N22" i="10"/>
  <c r="X22" i="10" s="1"/>
  <c r="J27" i="10"/>
  <c r="U27" i="10" s="1"/>
  <c r="J26" i="10"/>
  <c r="V26" i="10" s="1"/>
  <c r="J25" i="10"/>
  <c r="U25" i="10" s="1"/>
  <c r="J24" i="10"/>
  <c r="V24" i="10" s="1"/>
  <c r="J23" i="10"/>
  <c r="T23" i="10" s="1"/>
  <c r="J22" i="10"/>
  <c r="V22" i="10" s="1"/>
  <c r="AB27" i="10"/>
  <c r="W25" i="10"/>
  <c r="V23" i="10"/>
  <c r="AA119" i="8"/>
  <c r="AB115" i="8" s="1"/>
  <c r="Z119" i="8"/>
  <c r="AA115" i="8" s="1"/>
  <c r="Y119" i="8"/>
  <c r="X119" i="8"/>
  <c r="V119" i="8"/>
  <c r="W115" i="8" s="1"/>
  <c r="U119" i="8"/>
  <c r="T119" i="8"/>
  <c r="U115" i="8" s="1"/>
  <c r="S119" i="8"/>
  <c r="T115" i="8" s="1"/>
  <c r="Z118" i="8"/>
  <c r="Y118" i="8"/>
  <c r="X118" i="8"/>
  <c r="V118" i="8"/>
  <c r="U118" i="8"/>
  <c r="T118" i="8"/>
  <c r="AB119" i="8"/>
  <c r="AB118" i="8"/>
  <c r="AB109" i="8"/>
  <c r="AA109" i="8"/>
  <c r="AA108" i="8"/>
  <c r="AB99" i="8"/>
  <c r="AA99" i="8"/>
  <c r="AA98" i="8"/>
  <c r="AB92" i="8"/>
  <c r="AA92" i="8"/>
  <c r="AA91" i="8"/>
  <c r="AB89" i="8"/>
  <c r="AB72" i="8"/>
  <c r="Z72" i="8"/>
  <c r="Y72" i="8"/>
  <c r="X72" i="8"/>
  <c r="V72" i="8"/>
  <c r="U72" i="8"/>
  <c r="T72" i="8"/>
  <c r="AB71" i="8"/>
  <c r="Z71" i="8"/>
  <c r="Y71" i="8"/>
  <c r="X71" i="8"/>
  <c r="V71" i="8"/>
  <c r="U71" i="8"/>
  <c r="T71" i="8"/>
  <c r="AB70" i="8"/>
  <c r="Z70" i="8"/>
  <c r="Y70" i="8"/>
  <c r="X70" i="8"/>
  <c r="V70" i="8"/>
  <c r="U70" i="8"/>
  <c r="T70" i="8"/>
  <c r="AB69" i="8"/>
  <c r="AA69" i="8"/>
  <c r="Z69" i="8"/>
  <c r="Y69" i="8"/>
  <c r="X69" i="8"/>
  <c r="V69" i="8"/>
  <c r="U69" i="8"/>
  <c r="T69" i="8"/>
  <c r="AB68" i="8"/>
  <c r="Z68" i="8"/>
  <c r="Y68" i="8"/>
  <c r="X68" i="8"/>
  <c r="V68" i="8"/>
  <c r="U68" i="8"/>
  <c r="T68" i="8"/>
  <c r="AB65" i="8"/>
  <c r="Z65" i="8"/>
  <c r="Y65" i="8"/>
  <c r="X65" i="8"/>
  <c r="V65" i="8"/>
  <c r="U65" i="8"/>
  <c r="T65" i="8"/>
  <c r="AB64" i="8"/>
  <c r="AA64" i="8"/>
  <c r="Z64" i="8"/>
  <c r="Y64" i="8"/>
  <c r="X64" i="8"/>
  <c r="V64" i="8"/>
  <c r="U64" i="8"/>
  <c r="T64" i="8"/>
  <c r="AB60" i="8"/>
  <c r="Z60" i="8"/>
  <c r="Y60" i="8"/>
  <c r="X60" i="8"/>
  <c r="V60" i="8"/>
  <c r="U60" i="8"/>
  <c r="T60" i="8"/>
  <c r="AB59" i="8"/>
  <c r="Z59" i="8"/>
  <c r="Y59" i="8"/>
  <c r="X59" i="8"/>
  <c r="V59" i="8"/>
  <c r="U59" i="8"/>
  <c r="T59" i="8"/>
  <c r="AB58" i="8"/>
  <c r="Z58" i="8"/>
  <c r="Y58" i="8"/>
  <c r="X58" i="8"/>
  <c r="V58" i="8"/>
  <c r="U58" i="8"/>
  <c r="T58" i="8"/>
  <c r="AB57" i="8"/>
  <c r="AA57" i="8"/>
  <c r="Z57" i="8"/>
  <c r="Y57" i="8"/>
  <c r="X57" i="8"/>
  <c r="V57" i="8"/>
  <c r="U57" i="8"/>
  <c r="T57" i="8"/>
  <c r="AB56" i="8"/>
  <c r="Z56" i="8"/>
  <c r="Y56" i="8"/>
  <c r="X56" i="8"/>
  <c r="V56" i="8"/>
  <c r="U56" i="8"/>
  <c r="T56" i="8"/>
  <c r="AB52" i="8"/>
  <c r="AA52" i="8"/>
  <c r="Z52" i="8"/>
  <c r="Y52" i="8"/>
  <c r="X52" i="8"/>
  <c r="V52" i="8"/>
  <c r="U52" i="8"/>
  <c r="T52" i="8"/>
  <c r="AB51" i="8"/>
  <c r="Z51" i="8"/>
  <c r="Y51" i="8"/>
  <c r="X51" i="8"/>
  <c r="V51" i="8"/>
  <c r="U51" i="8"/>
  <c r="T51" i="8"/>
  <c r="AB50" i="8"/>
  <c r="Z50" i="8"/>
  <c r="Y50" i="8"/>
  <c r="X50" i="8"/>
  <c r="V50" i="8"/>
  <c r="U50" i="8"/>
  <c r="T50" i="8"/>
  <c r="AB49" i="8"/>
  <c r="Z49" i="8"/>
  <c r="Y49" i="8"/>
  <c r="X49" i="8"/>
  <c r="V49" i="8"/>
  <c r="U49" i="8"/>
  <c r="T49" i="8"/>
  <c r="AB45" i="8"/>
  <c r="Z45" i="8"/>
  <c r="Y45" i="8"/>
  <c r="X45" i="8"/>
  <c r="V45" i="8"/>
  <c r="U45" i="8"/>
  <c r="T45" i="8"/>
  <c r="AB44" i="8"/>
  <c r="AA44" i="8"/>
  <c r="Z44" i="8"/>
  <c r="Y44" i="8"/>
  <c r="X44" i="8"/>
  <c r="V44" i="8"/>
  <c r="U44" i="8"/>
  <c r="T44" i="8"/>
  <c r="AB43" i="8"/>
  <c r="AA43" i="8"/>
  <c r="Z43" i="8"/>
  <c r="Y43" i="8"/>
  <c r="X43" i="8"/>
  <c r="V43" i="8"/>
  <c r="U43" i="8"/>
  <c r="T43" i="8"/>
  <c r="AB42" i="8"/>
  <c r="Z42" i="8"/>
  <c r="Y42" i="8"/>
  <c r="X42" i="8"/>
  <c r="V42" i="8"/>
  <c r="U42" i="8"/>
  <c r="T42" i="8"/>
  <c r="AB34" i="8"/>
  <c r="Z34" i="8"/>
  <c r="Y34" i="8"/>
  <c r="X34" i="8"/>
  <c r="V34" i="8"/>
  <c r="U34" i="8"/>
  <c r="T34" i="8"/>
  <c r="AA31" i="8"/>
  <c r="Z31" i="8"/>
  <c r="Y31" i="8"/>
  <c r="X31" i="8"/>
  <c r="V31" i="8"/>
  <c r="U31" i="8"/>
  <c r="T31" i="8"/>
  <c r="AB31" i="8"/>
  <c r="AA27" i="8"/>
  <c r="AA23" i="8"/>
  <c r="AA19" i="8"/>
  <c r="V8" i="8"/>
  <c r="U8" i="8"/>
  <c r="AA7" i="8"/>
  <c r="Z7" i="8"/>
  <c r="Y7" i="8"/>
  <c r="X7" i="8"/>
  <c r="W7" i="8"/>
  <c r="V7" i="8"/>
  <c r="U7" i="8"/>
  <c r="T7" i="8"/>
  <c r="S7" i="8"/>
  <c r="AB8" i="8"/>
  <c r="AB7" i="8"/>
  <c r="AB110" i="8"/>
  <c r="Z109" i="8"/>
  <c r="AB100" i="8"/>
  <c r="V100" i="8"/>
  <c r="S99" i="8"/>
  <c r="AB98" i="8"/>
  <c r="T98" i="8"/>
  <c r="AB97" i="8"/>
  <c r="W97" i="8"/>
  <c r="V97" i="8"/>
  <c r="Y96" i="8"/>
  <c r="V96" i="8"/>
  <c r="AB91" i="8"/>
  <c r="U91" i="8"/>
  <c r="AB90" i="8"/>
  <c r="V90" i="8"/>
  <c r="AA89" i="8"/>
  <c r="Z88" i="8"/>
  <c r="U88" i="8"/>
  <c r="AA65" i="8"/>
  <c r="W65" i="8"/>
  <c r="S65" i="8"/>
  <c r="W44" i="8"/>
  <c r="S44" i="8"/>
  <c r="S52" i="8"/>
  <c r="AA51" i="8"/>
  <c r="S51" i="8"/>
  <c r="V48" i="11"/>
  <c r="AB108" i="8"/>
  <c r="W104" i="8"/>
  <c r="AA72" i="8"/>
  <c r="S72" i="8"/>
  <c r="AA71" i="8"/>
  <c r="W71" i="8"/>
  <c r="AA70" i="8"/>
  <c r="S70" i="8"/>
  <c r="S69" i="8"/>
  <c r="AA68" i="8"/>
  <c r="W68" i="8"/>
  <c r="AA60" i="8"/>
  <c r="S60" i="8"/>
  <c r="AA59" i="8"/>
  <c r="S59" i="8"/>
  <c r="AA58" i="8"/>
  <c r="W58" i="8"/>
  <c r="AA56" i="8"/>
  <c r="S56" i="8"/>
  <c r="AA50" i="8"/>
  <c r="AA49" i="8"/>
  <c r="T4" i="11"/>
  <c r="AE4" i="11" s="1"/>
  <c r="T3" i="11"/>
  <c r="AE3" i="11" s="1"/>
  <c r="B36" i="10"/>
  <c r="B35" i="10"/>
  <c r="B34" i="10"/>
  <c r="B33" i="10"/>
  <c r="B32" i="10"/>
  <c r="B31" i="10"/>
  <c r="AA9" i="10"/>
  <c r="AB4" i="10"/>
  <c r="AB3" i="10"/>
  <c r="Q61" i="8"/>
  <c r="Y115" i="8"/>
  <c r="S74" i="11"/>
  <c r="AD74" i="11" s="1"/>
  <c r="S73" i="11"/>
  <c r="AD73" i="11" s="1"/>
  <c r="S72" i="11"/>
  <c r="AD72" i="11" s="1"/>
  <c r="S3" i="11"/>
  <c r="AD3" i="11" s="1"/>
  <c r="R3" i="11"/>
  <c r="AC3" i="11" s="1"/>
  <c r="AB11" i="10"/>
  <c r="AA3" i="10"/>
  <c r="Q12" i="10"/>
  <c r="Q17" i="10" s="1"/>
  <c r="Q3" i="10"/>
  <c r="Z3" i="10" s="1"/>
  <c r="AA127" i="8"/>
  <c r="AB126" i="8"/>
  <c r="AA45" i="8"/>
  <c r="S54" i="11"/>
  <c r="AD54" i="11" s="1"/>
  <c r="AA34" i="8"/>
  <c r="AB27" i="8"/>
  <c r="AB23" i="8"/>
  <c r="AB19" i="8"/>
  <c r="AB13" i="8"/>
  <c r="AA4" i="10"/>
  <c r="Q80" i="8"/>
  <c r="Q73" i="8"/>
  <c r="Q46" i="8"/>
  <c r="Q53" i="8" s="1"/>
  <c r="Q38" i="8"/>
  <c r="Q11" i="8"/>
  <c r="O4" i="11"/>
  <c r="Z4" i="11" s="1"/>
  <c r="J4" i="10"/>
  <c r="S4" i="10" s="1"/>
  <c r="J76" i="11"/>
  <c r="H76" i="11"/>
  <c r="X48" i="11"/>
  <c r="W48" i="11"/>
  <c r="W44" i="11"/>
  <c r="E105" i="8"/>
  <c r="E111" i="8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3" i="11"/>
  <c r="E4" i="11"/>
  <c r="D4" i="11"/>
  <c r="C4" i="11"/>
  <c r="E3" i="11"/>
  <c r="D3" i="11"/>
  <c r="C3" i="11"/>
  <c r="F3" i="11"/>
  <c r="F4" i="11"/>
  <c r="B2" i="11"/>
  <c r="E12" i="10"/>
  <c r="E17" i="10" s="1"/>
  <c r="E4" i="10"/>
  <c r="E3" i="10"/>
  <c r="Q115" i="8"/>
  <c r="P115" i="8"/>
  <c r="N115" i="8"/>
  <c r="M115" i="8"/>
  <c r="L115" i="8"/>
  <c r="J115" i="8"/>
  <c r="S115" i="8" s="1"/>
  <c r="I115" i="8"/>
  <c r="H115" i="8"/>
  <c r="E115" i="8"/>
  <c r="K115" i="8"/>
  <c r="E46" i="8"/>
  <c r="E53" i="8" s="1"/>
  <c r="E81" i="8"/>
  <c r="E80" i="8"/>
  <c r="E73" i="8"/>
  <c r="E39" i="8"/>
  <c r="E38" i="8"/>
  <c r="E11" i="8"/>
  <c r="E16" i="8" s="1"/>
  <c r="O4" i="10"/>
  <c r="X4" i="10" s="1"/>
  <c r="M4" i="10"/>
  <c r="V4" i="10" s="1"/>
  <c r="I4" i="10"/>
  <c r="P3" i="10"/>
  <c r="Y3" i="10" s="1"/>
  <c r="O3" i="10"/>
  <c r="X3" i="10" s="1"/>
  <c r="N3" i="10"/>
  <c r="W3" i="10" s="1"/>
  <c r="M3" i="10"/>
  <c r="V3" i="10" s="1"/>
  <c r="L3" i="10"/>
  <c r="U3" i="10" s="1"/>
  <c r="K3" i="10"/>
  <c r="T3" i="10" s="1"/>
  <c r="J3" i="10"/>
  <c r="S3" i="10" s="1"/>
  <c r="I3" i="10"/>
  <c r="H3" i="10"/>
  <c r="G3" i="10"/>
  <c r="C4" i="10"/>
  <c r="C3" i="10"/>
  <c r="D4" i="10"/>
  <c r="D3" i="10"/>
  <c r="N9" i="10"/>
  <c r="Z9" i="10" s="1"/>
  <c r="J9" i="10"/>
  <c r="V9" i="10" s="1"/>
  <c r="N11" i="10"/>
  <c r="Z11" i="10" s="1"/>
  <c r="J11" i="10"/>
  <c r="U11" i="10" s="1"/>
  <c r="H4" i="11" l="1"/>
  <c r="G4" i="10"/>
  <c r="L4" i="10"/>
  <c r="U4" i="10" s="1"/>
  <c r="Y8" i="8"/>
  <c r="P4" i="10"/>
  <c r="Y4" i="10" s="1"/>
  <c r="Q4" i="11"/>
  <c r="AB4" i="11" s="1"/>
  <c r="I4" i="11"/>
  <c r="Q4" i="10"/>
  <c r="Z4" i="10" s="1"/>
  <c r="Q39" i="8"/>
  <c r="Z8" i="8"/>
  <c r="R4" i="11"/>
  <c r="AC4" i="11" s="1"/>
  <c r="Q81" i="8"/>
  <c r="P4" i="11"/>
  <c r="AA4" i="11" s="1"/>
  <c r="S95" i="8"/>
  <c r="U95" i="8"/>
  <c r="T95" i="8"/>
  <c r="W95" i="8"/>
  <c r="Z95" i="8"/>
  <c r="X95" i="8"/>
  <c r="AD95" i="8" s="1"/>
  <c r="Q16" i="8"/>
  <c r="Q20" i="8" s="1"/>
  <c r="U15" i="8"/>
  <c r="S14" i="8"/>
  <c r="V15" i="8"/>
  <c r="T14" i="8"/>
  <c r="W15" i="8"/>
  <c r="V14" i="8"/>
  <c r="X15" i="8"/>
  <c r="AD15" i="8" s="1"/>
  <c r="Y15" i="8"/>
  <c r="W14" i="8"/>
  <c r="X14" i="8"/>
  <c r="AD14" i="8" s="1"/>
  <c r="S15" i="8"/>
  <c r="Y14" i="8"/>
  <c r="S108" i="8"/>
  <c r="T99" i="8"/>
  <c r="V91" i="8"/>
  <c r="V88" i="8"/>
  <c r="S43" i="8"/>
  <c r="Y88" i="8"/>
  <c r="T96" i="8"/>
  <c r="Y22" i="10"/>
  <c r="S27" i="10"/>
  <c r="Q16" i="10"/>
  <c r="AB16" i="10" s="1"/>
  <c r="E16" i="10"/>
  <c r="T26" i="10"/>
  <c r="S26" i="10"/>
  <c r="AA22" i="10"/>
  <c r="T27" i="10"/>
  <c r="AA23" i="10"/>
  <c r="T9" i="10"/>
  <c r="U9" i="10"/>
  <c r="U12" i="10" s="1"/>
  <c r="W9" i="10"/>
  <c r="S11" i="10"/>
  <c r="AA24" i="10"/>
  <c r="T11" i="10"/>
  <c r="V11" i="10"/>
  <c r="V12" i="10" s="1"/>
  <c r="W96" i="8"/>
  <c r="T89" i="8"/>
  <c r="T92" i="8"/>
  <c r="Z96" i="8"/>
  <c r="U108" i="8"/>
  <c r="W89" i="8"/>
  <c r="Y92" i="8"/>
  <c r="U97" i="8"/>
  <c r="V108" i="8"/>
  <c r="Z89" i="8"/>
  <c r="X97" i="8"/>
  <c r="AD97" i="8" s="1"/>
  <c r="W100" i="8"/>
  <c r="S98" i="8"/>
  <c r="Y100" i="8"/>
  <c r="S109" i="8"/>
  <c r="S88" i="8"/>
  <c r="U90" i="8"/>
  <c r="U98" i="8"/>
  <c r="Z100" i="8"/>
  <c r="T109" i="8"/>
  <c r="T88" i="8"/>
  <c r="S91" i="8"/>
  <c r="V98" i="8"/>
  <c r="U104" i="8"/>
  <c r="Y109" i="8"/>
  <c r="AA88" i="8"/>
  <c r="AB88" i="8"/>
  <c r="Z99" i="8"/>
  <c r="X99" i="8"/>
  <c r="AD99" i="8" s="1"/>
  <c r="W99" i="8"/>
  <c r="Y99" i="8"/>
  <c r="AA10" i="8"/>
  <c r="AB10" i="8"/>
  <c r="W90" i="8"/>
  <c r="Z90" i="8"/>
  <c r="Y90" i="8"/>
  <c r="X90" i="8"/>
  <c r="AD90" i="8" s="1"/>
  <c r="Z98" i="8"/>
  <c r="Y98" i="8"/>
  <c r="X98" i="8"/>
  <c r="AD98" i="8" s="1"/>
  <c r="W98" i="8"/>
  <c r="Y110" i="8"/>
  <c r="X110" i="8"/>
  <c r="AD110" i="8" s="1"/>
  <c r="W110" i="8"/>
  <c r="Z110" i="8"/>
  <c r="AB104" i="8"/>
  <c r="AA104" i="8"/>
  <c r="Z91" i="8"/>
  <c r="Y91" i="8"/>
  <c r="X91" i="8"/>
  <c r="AD91" i="8" s="1"/>
  <c r="W91" i="8"/>
  <c r="AB96" i="8"/>
  <c r="AA96" i="8"/>
  <c r="O55" i="11"/>
  <c r="Z55" i="11" s="1"/>
  <c r="X104" i="8"/>
  <c r="S89" i="8"/>
  <c r="U92" i="8"/>
  <c r="S96" i="8"/>
  <c r="Y97" i="8"/>
  <c r="U99" i="8"/>
  <c r="S100" i="8"/>
  <c r="AA100" i="8"/>
  <c r="Y104" i="8"/>
  <c r="W108" i="8"/>
  <c r="U109" i="8"/>
  <c r="S110" i="8"/>
  <c r="AA110" i="8"/>
  <c r="V92" i="8"/>
  <c r="Z97" i="8"/>
  <c r="V99" i="8"/>
  <c r="T100" i="8"/>
  <c r="Z104" i="8"/>
  <c r="X108" i="8"/>
  <c r="T110" i="8"/>
  <c r="K55" i="11"/>
  <c r="V55" i="11" s="1"/>
  <c r="AA13" i="8"/>
  <c r="AA42" i="8"/>
  <c r="W88" i="8"/>
  <c r="U89" i="8"/>
  <c r="S90" i="8"/>
  <c r="AA90" i="8"/>
  <c r="W92" i="8"/>
  <c r="U96" i="8"/>
  <c r="S97" i="8"/>
  <c r="AA97" i="8"/>
  <c r="U100" i="8"/>
  <c r="S104" i="8"/>
  <c r="Y108" i="8"/>
  <c r="W109" i="8"/>
  <c r="U110" i="8"/>
  <c r="X88" i="8"/>
  <c r="T90" i="8"/>
  <c r="X92" i="8"/>
  <c r="AD92" i="8" s="1"/>
  <c r="T97" i="8"/>
  <c r="T104" i="8"/>
  <c r="X109" i="8"/>
  <c r="AD109" i="8" s="1"/>
  <c r="S55" i="11"/>
  <c r="AD55" i="11" s="1"/>
  <c r="X89" i="8"/>
  <c r="AD89" i="8" s="1"/>
  <c r="T91" i="8"/>
  <c r="X96" i="8"/>
  <c r="AG21" i="11"/>
  <c r="AG22" i="11"/>
  <c r="AG23" i="11"/>
  <c r="AE48" i="11"/>
  <c r="AD38" i="11"/>
  <c r="X44" i="11"/>
  <c r="V44" i="11"/>
  <c r="Y48" i="11"/>
  <c r="Z24" i="10"/>
  <c r="X9" i="10"/>
  <c r="W11" i="10"/>
  <c r="Y9" i="10"/>
  <c r="X11" i="10"/>
  <c r="Y11" i="10"/>
  <c r="T25" i="10"/>
  <c r="S9" i="10"/>
  <c r="Y23" i="10"/>
  <c r="V25" i="10"/>
  <c r="W27" i="10"/>
  <c r="AA11" i="10"/>
  <c r="AA12" i="10" s="1"/>
  <c r="W24" i="10"/>
  <c r="S22" i="10"/>
  <c r="Y24" i="10"/>
  <c r="Z25" i="10"/>
  <c r="AB25" i="10"/>
  <c r="Y27" i="10"/>
  <c r="S24" i="10"/>
  <c r="Z27" i="10"/>
  <c r="T24" i="10"/>
  <c r="S25" i="10"/>
  <c r="U24" i="10"/>
  <c r="U23" i="10"/>
  <c r="W23" i="10"/>
  <c r="X23" i="10"/>
  <c r="W26" i="10"/>
  <c r="Y26" i="10"/>
  <c r="Z26" i="10"/>
  <c r="AA26" i="10"/>
  <c r="Z22" i="10"/>
  <c r="X25" i="10"/>
  <c r="W22" i="10"/>
  <c r="V27" i="10"/>
  <c r="T22" i="10"/>
  <c r="U22" i="10"/>
  <c r="S23" i="10"/>
  <c r="U26" i="10"/>
  <c r="AB9" i="10"/>
  <c r="C28" i="10"/>
  <c r="C32" i="10" s="1"/>
  <c r="I28" i="10"/>
  <c r="I36" i="10" s="1"/>
  <c r="M28" i="10"/>
  <c r="M32" i="10" s="1"/>
  <c r="V115" i="8"/>
  <c r="W8" i="8"/>
  <c r="AD48" i="11"/>
  <c r="S8" i="8"/>
  <c r="AA8" i="8"/>
  <c r="AC48" i="11"/>
  <c r="AD44" i="11"/>
  <c r="AD44" i="8"/>
  <c r="AD65" i="8"/>
  <c r="AD52" i="8"/>
  <c r="AD51" i="8"/>
  <c r="N4" i="10"/>
  <c r="W4" i="10" s="1"/>
  <c r="Z115" i="8"/>
  <c r="AE28" i="11"/>
  <c r="Y126" i="8"/>
  <c r="R76" i="11"/>
  <c r="R79" i="11" s="1"/>
  <c r="R88" i="11" s="1"/>
  <c r="AB127" i="8"/>
  <c r="AE37" i="11"/>
  <c r="Z126" i="8"/>
  <c r="K4" i="11"/>
  <c r="V4" i="11" s="1"/>
  <c r="AA126" i="8"/>
  <c r="Y127" i="8"/>
  <c r="Q111" i="8"/>
  <c r="Z127" i="8"/>
  <c r="Q66" i="8"/>
  <c r="AE38" i="11"/>
  <c r="AE39" i="11"/>
  <c r="AE76" i="11"/>
  <c r="AE79" i="11" s="1"/>
  <c r="T57" i="11"/>
  <c r="T76" i="11"/>
  <c r="T79" i="11" s="1"/>
  <c r="T88" i="11" s="1"/>
  <c r="L28" i="10"/>
  <c r="L34" i="10" s="1"/>
  <c r="Z12" i="10"/>
  <c r="D28" i="10"/>
  <c r="D34" i="10" s="1"/>
  <c r="H28" i="10"/>
  <c r="H33" i="10" s="1"/>
  <c r="O28" i="10"/>
  <c r="O36" i="10" s="1"/>
  <c r="T12" i="11"/>
  <c r="T17" i="11" s="1"/>
  <c r="Q28" i="10"/>
  <c r="Q33" i="10" s="1"/>
  <c r="P28" i="10"/>
  <c r="P31" i="10" s="1"/>
  <c r="AD32" i="11"/>
  <c r="K28" i="10"/>
  <c r="G28" i="10"/>
  <c r="E28" i="10"/>
  <c r="AB57" i="11"/>
  <c r="S75" i="11"/>
  <c r="S4" i="11"/>
  <c r="AD4" i="11" s="1"/>
  <c r="R57" i="11"/>
  <c r="Q13" i="10"/>
  <c r="Q15" i="10"/>
  <c r="I76" i="11"/>
  <c r="S118" i="8"/>
  <c r="H12" i="11"/>
  <c r="H17" i="11" s="1"/>
  <c r="H25" i="11" s="1"/>
  <c r="E12" i="11"/>
  <c r="E17" i="11" s="1"/>
  <c r="F12" i="11"/>
  <c r="F17" i="11" s="1"/>
  <c r="E61" i="8"/>
  <c r="K75" i="11"/>
  <c r="V75" i="11" s="1"/>
  <c r="V76" i="11" s="1"/>
  <c r="O75" i="11"/>
  <c r="Z75" i="11" s="1"/>
  <c r="Z76" i="11" s="1"/>
  <c r="AD43" i="8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AD57" i="11"/>
  <c r="N57" i="11"/>
  <c r="P57" i="11"/>
  <c r="O115" i="8"/>
  <c r="E13" i="10"/>
  <c r="E15" i="10"/>
  <c r="E20" i="8"/>
  <c r="E17" i="8"/>
  <c r="L4" i="11" l="1"/>
  <c r="W4" i="11" s="1"/>
  <c r="K4" i="10"/>
  <c r="T4" i="10" s="1"/>
  <c r="T8" i="8"/>
  <c r="Q17" i="8"/>
  <c r="Q21" i="8"/>
  <c r="Q24" i="8"/>
  <c r="Q25" i="8" s="1"/>
  <c r="AD96" i="8"/>
  <c r="T12" i="10"/>
  <c r="C36" i="10"/>
  <c r="C33" i="10"/>
  <c r="C35" i="10"/>
  <c r="AA94" i="8"/>
  <c r="AB94" i="8"/>
  <c r="AB87" i="8"/>
  <c r="AA87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M33" i="10"/>
  <c r="C34" i="10"/>
  <c r="C31" i="10"/>
  <c r="H31" i="10"/>
  <c r="M36" i="10"/>
  <c r="H36" i="10"/>
  <c r="H35" i="10"/>
  <c r="P12" i="11"/>
  <c r="H32" i="10"/>
  <c r="H34" i="10"/>
  <c r="N12" i="11"/>
  <c r="I34" i="10"/>
  <c r="I12" i="11"/>
  <c r="I17" i="11" s="1"/>
  <c r="I25" i="11" s="1"/>
  <c r="M12" i="11"/>
  <c r="O33" i="10"/>
  <c r="O35" i="10"/>
  <c r="I32" i="10"/>
  <c r="I35" i="10"/>
  <c r="M31" i="10"/>
  <c r="L12" i="11"/>
  <c r="L17" i="11" s="1"/>
  <c r="M34" i="10"/>
  <c r="L31" i="10"/>
  <c r="M35" i="10"/>
  <c r="L33" i="10"/>
  <c r="W12" i="10"/>
  <c r="AD9" i="11"/>
  <c r="O34" i="10"/>
  <c r="AD7" i="11"/>
  <c r="I31" i="10"/>
  <c r="AD11" i="11"/>
  <c r="Y11" i="11"/>
  <c r="D35" i="10"/>
  <c r="AC8" i="11"/>
  <c r="AC7" i="11"/>
  <c r="D32" i="10"/>
  <c r="R12" i="11"/>
  <c r="R17" i="11" s="1"/>
  <c r="R18" i="11" s="1"/>
  <c r="O32" i="10"/>
  <c r="W7" i="11"/>
  <c r="O31" i="10"/>
  <c r="AA9" i="11"/>
  <c r="AE6" i="11"/>
  <c r="AE10" i="11"/>
  <c r="I33" i="10"/>
  <c r="AD100" i="8"/>
  <c r="AD88" i="8"/>
  <c r="Q74" i="8"/>
  <c r="Q76" i="8" s="1"/>
  <c r="AA76" i="11"/>
  <c r="AD41" i="11"/>
  <c r="AA118" i="8"/>
  <c r="X76" i="11"/>
  <c r="Q105" i="8"/>
  <c r="N76" i="11"/>
  <c r="W76" i="11"/>
  <c r="S76" i="11"/>
  <c r="S79" i="11" s="1"/>
  <c r="S88" i="11" s="1"/>
  <c r="S57" i="11"/>
  <c r="E29" i="10"/>
  <c r="E36" i="10"/>
  <c r="E33" i="10"/>
  <c r="L32" i="10"/>
  <c r="D33" i="10"/>
  <c r="E32" i="10"/>
  <c r="S12" i="10"/>
  <c r="D31" i="10"/>
  <c r="X12" i="10"/>
  <c r="E35" i="10"/>
  <c r="L35" i="10"/>
  <c r="Y12" i="10"/>
  <c r="J28" i="10"/>
  <c r="J32" i="10" s="1"/>
  <c r="E31" i="10"/>
  <c r="D36" i="10"/>
  <c r="L36" i="10"/>
  <c r="E34" i="10"/>
  <c r="Q29" i="10"/>
  <c r="Q34" i="10"/>
  <c r="Q31" i="10"/>
  <c r="Q32" i="10"/>
  <c r="Q36" i="10"/>
  <c r="Q35" i="10"/>
  <c r="P34" i="10"/>
  <c r="P33" i="10"/>
  <c r="P36" i="10"/>
  <c r="P32" i="10"/>
  <c r="P35" i="10"/>
  <c r="T25" i="11"/>
  <c r="T18" i="11"/>
  <c r="K31" i="10"/>
  <c r="K34" i="10"/>
  <c r="K35" i="10"/>
  <c r="K33" i="10"/>
  <c r="K36" i="10"/>
  <c r="K32" i="10"/>
  <c r="G34" i="10"/>
  <c r="G33" i="10"/>
  <c r="G32" i="10"/>
  <c r="G36" i="10"/>
  <c r="G35" i="10"/>
  <c r="G31" i="10"/>
  <c r="N28" i="10"/>
  <c r="Y46" i="11"/>
  <c r="V45" i="11"/>
  <c r="C17" i="11"/>
  <c r="C18" i="11" s="1"/>
  <c r="C13" i="11"/>
  <c r="L76" i="11"/>
  <c r="F13" i="11"/>
  <c r="E66" i="8"/>
  <c r="K76" i="11"/>
  <c r="H18" i="11"/>
  <c r="O76" i="11"/>
  <c r="E18" i="11"/>
  <c r="E25" i="11"/>
  <c r="F18" i="11"/>
  <c r="F25" i="11"/>
  <c r="AE88" i="11"/>
  <c r="I18" i="11"/>
  <c r="H29" i="11"/>
  <c r="H26" i="11"/>
  <c r="E24" i="8"/>
  <c r="E21" i="8"/>
  <c r="Q28" i="8" l="1"/>
  <c r="Q84" i="8" s="1"/>
  <c r="Q101" i="8" s="1"/>
  <c r="Q120" i="8" s="1"/>
  <c r="Z120" i="8" s="1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J35" i="10"/>
  <c r="I14" i="11"/>
  <c r="M14" i="11"/>
  <c r="J14" i="11"/>
  <c r="J25" i="11"/>
  <c r="J26" i="11" s="1"/>
  <c r="N13" i="11"/>
  <c r="J33" i="10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V28" i="10"/>
  <c r="V29" i="10" s="1"/>
  <c r="N14" i="11"/>
  <c r="U28" i="10"/>
  <c r="U29" i="10" s="1"/>
  <c r="R13" i="11"/>
  <c r="S28" i="10"/>
  <c r="Y28" i="10"/>
  <c r="R25" i="11"/>
  <c r="R26" i="11" s="1"/>
  <c r="T28" i="10"/>
  <c r="T29" i="10" s="1"/>
  <c r="X28" i="10"/>
  <c r="X29" i="10" s="1"/>
  <c r="J36" i="10"/>
  <c r="AG6" i="11"/>
  <c r="K12" i="11"/>
  <c r="L14" i="11" s="1"/>
  <c r="S12" i="11"/>
  <c r="T14" i="11" s="1"/>
  <c r="J31" i="10"/>
  <c r="J34" i="10"/>
  <c r="AD108" i="8"/>
  <c r="T26" i="11"/>
  <c r="T29" i="11"/>
  <c r="N33" i="10"/>
  <c r="N31" i="10"/>
  <c r="N34" i="10"/>
  <c r="N32" i="10"/>
  <c r="N35" i="10"/>
  <c r="N36" i="10"/>
  <c r="W28" i="10"/>
  <c r="W29" i="10" s="1"/>
  <c r="AB28" i="10"/>
  <c r="AA28" i="10"/>
  <c r="AA29" i="10" s="1"/>
  <c r="Z28" i="10"/>
  <c r="Z29" i="10" s="1"/>
  <c r="AC45" i="11"/>
  <c r="C25" i="11"/>
  <c r="C29" i="11" s="1"/>
  <c r="C30" i="11" s="1"/>
  <c r="D25" i="11"/>
  <c r="D29" i="11" s="1"/>
  <c r="E74" i="8"/>
  <c r="E76" i="8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E28" i="8"/>
  <c r="E25" i="8"/>
  <c r="Q29" i="8" l="1"/>
  <c r="Q35" i="8"/>
  <c r="Q32" i="8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T31" i="10"/>
  <c r="T34" i="10"/>
  <c r="T35" i="10"/>
  <c r="N25" i="11"/>
  <c r="N26" i="11" s="1"/>
  <c r="X34" i="10"/>
  <c r="V33" i="10"/>
  <c r="V34" i="10"/>
  <c r="V35" i="10"/>
  <c r="V36" i="10"/>
  <c r="V31" i="10"/>
  <c r="T36" i="10"/>
  <c r="V32" i="10"/>
  <c r="T32" i="10"/>
  <c r="X35" i="10"/>
  <c r="X32" i="10"/>
  <c r="X36" i="10"/>
  <c r="S14" i="11"/>
  <c r="T33" i="10"/>
  <c r="X31" i="10"/>
  <c r="U32" i="10"/>
  <c r="U33" i="10"/>
  <c r="X33" i="10"/>
  <c r="S35" i="10"/>
  <c r="S29" i="10"/>
  <c r="Y32" i="10"/>
  <c r="Y29" i="10"/>
  <c r="S31" i="10"/>
  <c r="Y34" i="10"/>
  <c r="Y31" i="10"/>
  <c r="Y35" i="10"/>
  <c r="Y36" i="10"/>
  <c r="AB12" i="11"/>
  <c r="Y33" i="10"/>
  <c r="S13" i="11"/>
  <c r="X12" i="11"/>
  <c r="U35" i="10"/>
  <c r="U36" i="10"/>
  <c r="U34" i="10"/>
  <c r="U31" i="10"/>
  <c r="S17" i="11"/>
  <c r="S18" i="11" s="1"/>
  <c r="AA12" i="11"/>
  <c r="S34" i="10"/>
  <c r="R29" i="11"/>
  <c r="R30" i="11" s="1"/>
  <c r="S33" i="10"/>
  <c r="S32" i="10"/>
  <c r="S36" i="10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Z31" i="10"/>
  <c r="AB31" i="10"/>
  <c r="T34" i="11"/>
  <c r="T30" i="11"/>
  <c r="Z32" i="10"/>
  <c r="Z34" i="10"/>
  <c r="Z33" i="10"/>
  <c r="Z35" i="10"/>
  <c r="Z36" i="10"/>
  <c r="AA35" i="10"/>
  <c r="AA34" i="10"/>
  <c r="AA33" i="10"/>
  <c r="AA36" i="10"/>
  <c r="AA32" i="10"/>
  <c r="AB36" i="10"/>
  <c r="AB34" i="10"/>
  <c r="AB35" i="10"/>
  <c r="AB33" i="10"/>
  <c r="AB32" i="10"/>
  <c r="AA31" i="10"/>
  <c r="W31" i="10"/>
  <c r="W36" i="10"/>
  <c r="W32" i="10"/>
  <c r="W34" i="10"/>
  <c r="W33" i="10"/>
  <c r="W35" i="10"/>
  <c r="AB120" i="8"/>
  <c r="C26" i="11"/>
  <c r="C34" i="11"/>
  <c r="C83" i="11" s="1"/>
  <c r="AA120" i="8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E84" i="8"/>
  <c r="E101" i="8" s="1"/>
  <c r="E120" i="8" s="1"/>
  <c r="E29" i="8"/>
  <c r="E35" i="8"/>
  <c r="E32" i="8"/>
  <c r="P34" i="11" l="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7" i="10"/>
  <c r="B15" i="10"/>
  <c r="I12" i="10"/>
  <c r="C12" i="10"/>
  <c r="O12" i="10"/>
  <c r="D12" i="10"/>
  <c r="P12" i="10"/>
  <c r="N12" i="10"/>
  <c r="M12" i="10"/>
  <c r="L12" i="10"/>
  <c r="H12" i="10"/>
  <c r="N127" i="8"/>
  <c r="J127" i="8"/>
  <c r="D115" i="8"/>
  <c r="H29" i="10" l="1"/>
  <c r="H16" i="10"/>
  <c r="S16" i="10" s="1"/>
  <c r="I29" i="10"/>
  <c r="I16" i="10"/>
  <c r="T16" i="10" s="1"/>
  <c r="O29" i="10"/>
  <c r="O16" i="10"/>
  <c r="Z16" i="10" s="1"/>
  <c r="L29" i="10"/>
  <c r="L16" i="10"/>
  <c r="W16" i="10" s="1"/>
  <c r="M29" i="10"/>
  <c r="M16" i="10"/>
  <c r="X16" i="10" s="1"/>
  <c r="P29" i="10"/>
  <c r="P16" i="10"/>
  <c r="AA16" i="10" s="1"/>
  <c r="C29" i="10"/>
  <c r="C16" i="10"/>
  <c r="D29" i="10"/>
  <c r="D16" i="10"/>
  <c r="N29" i="10"/>
  <c r="N16" i="10"/>
  <c r="Y16" i="10" s="1"/>
  <c r="V127" i="8"/>
  <c r="U127" i="8"/>
  <c r="X127" i="8"/>
  <c r="W127" i="8"/>
  <c r="T127" i="8"/>
  <c r="S127" i="8"/>
  <c r="AD49" i="8"/>
  <c r="AD56" i="8"/>
  <c r="AD50" i="8"/>
  <c r="AD57" i="8"/>
  <c r="H15" i="10"/>
  <c r="S15" i="10" s="1"/>
  <c r="H17" i="10"/>
  <c r="S17" i="10" s="1"/>
  <c r="D17" i="10"/>
  <c r="D15" i="10"/>
  <c r="L17" i="10"/>
  <c r="W17" i="10" s="1"/>
  <c r="L15" i="10"/>
  <c r="W15" i="10" s="1"/>
  <c r="M17" i="10"/>
  <c r="X17" i="10" s="1"/>
  <c r="M15" i="10"/>
  <c r="X15" i="10" s="1"/>
  <c r="O15" i="10"/>
  <c r="Z15" i="10" s="1"/>
  <c r="O17" i="10"/>
  <c r="Z17" i="10" s="1"/>
  <c r="C15" i="10"/>
  <c r="C17" i="10"/>
  <c r="N15" i="10"/>
  <c r="Y15" i="10" s="1"/>
  <c r="N17" i="10"/>
  <c r="Y17" i="10" s="1"/>
  <c r="I17" i="10"/>
  <c r="T17" i="10" s="1"/>
  <c r="I15" i="10"/>
  <c r="T15" i="10" s="1"/>
  <c r="P15" i="10"/>
  <c r="AA15" i="10" s="1"/>
  <c r="P17" i="10"/>
  <c r="AA17" i="10" s="1"/>
  <c r="AB17" i="10"/>
  <c r="AB15" i="10"/>
  <c r="J12" i="10"/>
  <c r="AB12" i="10"/>
  <c r="AB29" i="10" s="1"/>
  <c r="G12" i="10"/>
  <c r="K12" i="10"/>
  <c r="G29" i="10" l="1"/>
  <c r="G16" i="10"/>
  <c r="K29" i="10"/>
  <c r="K16" i="10"/>
  <c r="V16" i="10" s="1"/>
  <c r="J29" i="10"/>
  <c r="J16" i="10"/>
  <c r="U16" i="10" s="1"/>
  <c r="AC47" i="11"/>
  <c r="AB47" i="11"/>
  <c r="AA47" i="11"/>
  <c r="Z47" i="11"/>
  <c r="X47" i="11"/>
  <c r="Y47" i="11"/>
  <c r="W47" i="11"/>
  <c r="V47" i="11"/>
  <c r="G17" i="10"/>
  <c r="G15" i="10"/>
  <c r="K17" i="10"/>
  <c r="V17" i="10" s="1"/>
  <c r="K15" i="10"/>
  <c r="V15" i="10" s="1"/>
  <c r="J17" i="10"/>
  <c r="U17" i="10" s="1"/>
  <c r="J15" i="10"/>
  <c r="U15" i="10" s="1"/>
  <c r="N126" i="8" l="1"/>
  <c r="J126" i="8"/>
  <c r="W45" i="8"/>
  <c r="S45" i="8"/>
  <c r="AD42" i="8"/>
  <c r="D111" i="8"/>
  <c r="O111" i="8"/>
  <c r="K54" i="11" l="1"/>
  <c r="S42" i="8"/>
  <c r="W42" i="8"/>
  <c r="O54" i="11"/>
  <c r="U27" i="8"/>
  <c r="T27" i="8"/>
  <c r="V27" i="8"/>
  <c r="S27" i="8"/>
  <c r="Z27" i="8"/>
  <c r="Y27" i="8"/>
  <c r="X27" i="8"/>
  <c r="W27" i="8"/>
  <c r="U23" i="8"/>
  <c r="T23" i="8"/>
  <c r="V23" i="8"/>
  <c r="S23" i="8"/>
  <c r="Z23" i="8"/>
  <c r="Y23" i="8"/>
  <c r="X23" i="8"/>
  <c r="W23" i="8"/>
  <c r="W111" i="8"/>
  <c r="V111" i="8"/>
  <c r="U111" i="8"/>
  <c r="T126" i="8"/>
  <c r="S126" i="8"/>
  <c r="T111" i="8"/>
  <c r="X126" i="8"/>
  <c r="V126" i="8"/>
  <c r="U126" i="8"/>
  <c r="W126" i="8"/>
  <c r="X57" i="11"/>
  <c r="AD70" i="8"/>
  <c r="AD58" i="8"/>
  <c r="AD72" i="8"/>
  <c r="AD69" i="8"/>
  <c r="AD64" i="8"/>
  <c r="AD59" i="8"/>
  <c r="AD71" i="8"/>
  <c r="AD68" i="8"/>
  <c r="AD45" i="8"/>
  <c r="P111" i="8"/>
  <c r="I111" i="8"/>
  <c r="C111" i="8"/>
  <c r="G111" i="8"/>
  <c r="H111" i="8"/>
  <c r="K111" i="8"/>
  <c r="L111" i="8"/>
  <c r="M111" i="8"/>
  <c r="U87" i="8" l="1"/>
  <c r="T87" i="8"/>
  <c r="V87" i="8"/>
  <c r="S87" i="8"/>
  <c r="Z54" i="11"/>
  <c r="Z57" i="11" s="1"/>
  <c r="P49" i="11"/>
  <c r="AD49" i="11" s="1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AD27" i="8"/>
  <c r="O57" i="11"/>
  <c r="W57" i="11"/>
  <c r="K57" i="11"/>
  <c r="AD23" i="8"/>
  <c r="N111" i="8"/>
  <c r="J111" i="8"/>
  <c r="S111" i="8"/>
  <c r="S94" i="8" l="1"/>
  <c r="V94" i="8"/>
  <c r="U94" i="8"/>
  <c r="T94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X111" i="8"/>
  <c r="Z111" i="8"/>
  <c r="AB111" i="8"/>
  <c r="AA111" i="8"/>
  <c r="Y111" i="8"/>
  <c r="Y41" i="11" l="1"/>
  <c r="W41" i="11"/>
  <c r="X41" i="11"/>
  <c r="V41" i="11"/>
  <c r="P73" i="8"/>
  <c r="O73" i="8"/>
  <c r="M73" i="8"/>
  <c r="L73" i="8"/>
  <c r="V79" i="11" s="1"/>
  <c r="V88" i="11" s="1"/>
  <c r="K73" i="8"/>
  <c r="I73" i="8"/>
  <c r="J79" i="11" s="1"/>
  <c r="H73" i="8"/>
  <c r="I79" i="11" s="1"/>
  <c r="G73" i="8"/>
  <c r="H79" i="11" s="1"/>
  <c r="D73" i="8"/>
  <c r="E79" i="11" s="1"/>
  <c r="E88" i="11" s="1"/>
  <c r="C73" i="8"/>
  <c r="D79" i="11" s="1"/>
  <c r="D88" i="11" s="1"/>
  <c r="C79" i="11"/>
  <c r="C88" i="11" s="1"/>
  <c r="W34" i="8"/>
  <c r="W31" i="8"/>
  <c r="X10" i="8" l="1"/>
  <c r="W10" i="8"/>
  <c r="Z10" i="8"/>
  <c r="Y10" i="8"/>
  <c r="V13" i="8"/>
  <c r="T13" i="8"/>
  <c r="S13" i="8"/>
  <c r="U13" i="8"/>
  <c r="Z19" i="8"/>
  <c r="Y19" i="8"/>
  <c r="X19" i="8"/>
  <c r="W19" i="8"/>
  <c r="U19" i="8"/>
  <c r="T19" i="8"/>
  <c r="V19" i="8"/>
  <c r="S19" i="8"/>
  <c r="U10" i="8"/>
  <c r="T10" i="8"/>
  <c r="S10" i="8"/>
  <c r="V10" i="8"/>
  <c r="W13" i="8"/>
  <c r="Z13" i="8"/>
  <c r="Y13" i="8"/>
  <c r="X13" i="8"/>
  <c r="AD17" i="1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AD31" i="8"/>
  <c r="AD34" i="8"/>
  <c r="S73" i="8"/>
  <c r="U73" i="8"/>
  <c r="W73" i="8"/>
  <c r="X73" i="8"/>
  <c r="Y73" i="8"/>
  <c r="AA73" i="8"/>
  <c r="T73" i="8"/>
  <c r="J73" i="8"/>
  <c r="V73" i="8"/>
  <c r="Z73" i="8"/>
  <c r="N73" i="8"/>
  <c r="X79" i="11" s="1"/>
  <c r="X88" i="11" s="1"/>
  <c r="AB73" i="8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Z87" i="8" l="1"/>
  <c r="Y87" i="8"/>
  <c r="X87" i="8"/>
  <c r="AD87" i="8" s="1"/>
  <c r="W87" i="8"/>
  <c r="Z94" i="8"/>
  <c r="X94" i="8"/>
  <c r="AD94" i="8" s="1"/>
  <c r="W94" i="8"/>
  <c r="Y94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AD104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O61" i="8"/>
  <c r="M61" i="8"/>
  <c r="O105" i="8"/>
  <c r="K105" i="8"/>
  <c r="G105" i="8"/>
  <c r="N11" i="8"/>
  <c r="J11" i="8"/>
  <c r="S34" i="8"/>
  <c r="S31" i="8"/>
  <c r="L46" i="8"/>
  <c r="L53" i="8" s="1"/>
  <c r="K46" i="8"/>
  <c r="K53" i="8" s="1"/>
  <c r="G46" i="8"/>
  <c r="G53" i="8" s="1"/>
  <c r="P81" i="8"/>
  <c r="O81" i="8"/>
  <c r="N81" i="8"/>
  <c r="M81" i="8"/>
  <c r="L81" i="8"/>
  <c r="K81" i="8"/>
  <c r="J81" i="8"/>
  <c r="I81" i="8"/>
  <c r="H81" i="8"/>
  <c r="G81" i="8"/>
  <c r="P80" i="8"/>
  <c r="O80" i="8"/>
  <c r="N80" i="8"/>
  <c r="M80" i="8"/>
  <c r="L80" i="8"/>
  <c r="K80" i="8"/>
  <c r="J80" i="8"/>
  <c r="I80" i="8"/>
  <c r="H80" i="8"/>
  <c r="G80" i="8"/>
  <c r="H46" i="8"/>
  <c r="H53" i="8" s="1"/>
  <c r="I46" i="8"/>
  <c r="I53" i="8" s="1"/>
  <c r="M46" i="8"/>
  <c r="M53" i="8" s="1"/>
  <c r="O46" i="8"/>
  <c r="O53" i="8" s="1"/>
  <c r="P46" i="8"/>
  <c r="P53" i="8" s="1"/>
  <c r="P39" i="8"/>
  <c r="O39" i="8"/>
  <c r="N39" i="8"/>
  <c r="M39" i="8"/>
  <c r="L39" i="8"/>
  <c r="K39" i="8"/>
  <c r="J39" i="8"/>
  <c r="I39" i="8"/>
  <c r="H39" i="8"/>
  <c r="G39" i="8"/>
  <c r="P38" i="8"/>
  <c r="O38" i="8"/>
  <c r="N38" i="8"/>
  <c r="M38" i="8"/>
  <c r="L38" i="8"/>
  <c r="K38" i="8"/>
  <c r="J38" i="8"/>
  <c r="I38" i="8"/>
  <c r="H38" i="8"/>
  <c r="G38" i="8"/>
  <c r="D39" i="8"/>
  <c r="C39" i="8"/>
  <c r="D38" i="8"/>
  <c r="C38" i="8"/>
  <c r="P11" i="8"/>
  <c r="P16" i="8" s="1"/>
  <c r="O11" i="8"/>
  <c r="O16" i="8" s="1"/>
  <c r="M11" i="8"/>
  <c r="M16" i="8" s="1"/>
  <c r="L11" i="8"/>
  <c r="L16" i="8" s="1"/>
  <c r="K11" i="8"/>
  <c r="K16" i="8" s="1"/>
  <c r="I11" i="8"/>
  <c r="H11" i="8"/>
  <c r="G11" i="8"/>
  <c r="H13" i="10" l="1"/>
  <c r="H16" i="8"/>
  <c r="H17" i="8" s="1"/>
  <c r="I13" i="10"/>
  <c r="I16" i="8"/>
  <c r="I17" i="8" s="1"/>
  <c r="J13" i="10"/>
  <c r="J16" i="8"/>
  <c r="J17" i="8" s="1"/>
  <c r="G13" i="10"/>
  <c r="G16" i="8"/>
  <c r="G20" i="8" s="1"/>
  <c r="N13" i="10"/>
  <c r="N16" i="8"/>
  <c r="AB86" i="1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O20" i="8"/>
  <c r="O24" i="8" s="1"/>
  <c r="O13" i="10"/>
  <c r="P17" i="8"/>
  <c r="P13" i="10"/>
  <c r="K20" i="8"/>
  <c r="K13" i="10"/>
  <c r="M20" i="8"/>
  <c r="M13" i="10"/>
  <c r="L17" i="8"/>
  <c r="L13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M66" i="8"/>
  <c r="K61" i="8"/>
  <c r="P61" i="8"/>
  <c r="H61" i="8"/>
  <c r="G61" i="8"/>
  <c r="L61" i="8"/>
  <c r="D61" i="8"/>
  <c r="I61" i="8"/>
  <c r="P105" i="8"/>
  <c r="N105" i="8"/>
  <c r="H105" i="8"/>
  <c r="L105" i="8"/>
  <c r="M105" i="8"/>
  <c r="N17" i="8"/>
  <c r="N61" i="8"/>
  <c r="N46" i="8"/>
  <c r="N53" i="8" s="1"/>
  <c r="J46" i="8"/>
  <c r="J53" i="8" s="1"/>
  <c r="J61" i="8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P20" i="8"/>
  <c r="P24" i="8" s="1"/>
  <c r="P25" i="8" s="1"/>
  <c r="O17" i="8"/>
  <c r="O21" i="8"/>
  <c r="L20" i="8"/>
  <c r="L24" i="8" s="1"/>
  <c r="L25" i="8" s="1"/>
  <c r="K17" i="8"/>
  <c r="K50" i="11"/>
  <c r="O50" i="11"/>
  <c r="M17" i="8"/>
  <c r="O25" i="8"/>
  <c r="O28" i="8"/>
  <c r="O84" i="8" s="1"/>
  <c r="O101" i="8" s="1"/>
  <c r="AD50" i="11"/>
  <c r="M24" i="8"/>
  <c r="G24" i="8"/>
  <c r="K24" i="8"/>
  <c r="H20" i="8"/>
  <c r="M74" i="8"/>
  <c r="M76" i="8" s="1"/>
  <c r="G21" i="8"/>
  <c r="G17" i="8"/>
  <c r="I20" i="8"/>
  <c r="N66" i="8"/>
  <c r="K66" i="8"/>
  <c r="I66" i="8"/>
  <c r="D66" i="8"/>
  <c r="H66" i="8"/>
  <c r="J66" i="8"/>
  <c r="P66" i="8"/>
  <c r="G66" i="8"/>
  <c r="L66" i="8"/>
  <c r="O66" i="8"/>
  <c r="I105" i="8"/>
  <c r="J105" i="8"/>
  <c r="N20" i="8"/>
  <c r="N24" i="8" s="1"/>
  <c r="J20" i="8"/>
  <c r="J24" i="8" s="1"/>
  <c r="M21" i="8"/>
  <c r="K21" i="8"/>
  <c r="L28" i="8" l="1"/>
  <c r="L84" i="8" s="1"/>
  <c r="L101" i="8" s="1"/>
  <c r="P28" i="8"/>
  <c r="P84" i="8" s="1"/>
  <c r="P101" i="8" s="1"/>
  <c r="P120" i="8" s="1"/>
  <c r="Y120" i="8" s="1"/>
  <c r="P21" i="8"/>
  <c r="L21" i="8"/>
  <c r="N25" i="8"/>
  <c r="N28" i="8"/>
  <c r="N84" i="8" s="1"/>
  <c r="N101" i="8" s="1"/>
  <c r="M25" i="8"/>
  <c r="M28" i="8"/>
  <c r="M84" i="8" s="1"/>
  <c r="M101" i="8" s="1"/>
  <c r="K25" i="8"/>
  <c r="K28" i="8"/>
  <c r="K84" i="8" s="1"/>
  <c r="K101" i="8" s="1"/>
  <c r="J25" i="8"/>
  <c r="J28" i="8"/>
  <c r="J84" i="8" s="1"/>
  <c r="J101" i="8" s="1"/>
  <c r="G25" i="8"/>
  <c r="G28" i="8"/>
  <c r="G84" i="8" s="1"/>
  <c r="G101" i="8" s="1"/>
  <c r="G120" i="8" s="1"/>
  <c r="P35" i="8"/>
  <c r="P29" i="8"/>
  <c r="O35" i="8"/>
  <c r="O29" i="8"/>
  <c r="O32" i="8"/>
  <c r="I24" i="8"/>
  <c r="H24" i="8"/>
  <c r="K74" i="8"/>
  <c r="K76" i="8" s="1"/>
  <c r="H21" i="8"/>
  <c r="I21" i="8"/>
  <c r="J74" i="8"/>
  <c r="J76" i="8" s="1"/>
  <c r="N74" i="8"/>
  <c r="N76" i="8" s="1"/>
  <c r="I74" i="8"/>
  <c r="I76" i="8" s="1"/>
  <c r="H74" i="8"/>
  <c r="H76" i="8" s="1"/>
  <c r="P74" i="8"/>
  <c r="P76" i="8" s="1"/>
  <c r="O74" i="8"/>
  <c r="O76" i="8" s="1"/>
  <c r="L74" i="8"/>
  <c r="L76" i="8" s="1"/>
  <c r="G74" i="8"/>
  <c r="G76" i="8" s="1"/>
  <c r="J21" i="8"/>
  <c r="N21" i="8"/>
  <c r="P32" i="8" l="1"/>
  <c r="L29" i="8"/>
  <c r="L35" i="8"/>
  <c r="L32" i="8"/>
  <c r="H25" i="8"/>
  <c r="H28" i="8"/>
  <c r="H84" i="8" s="1"/>
  <c r="H101" i="8" s="1"/>
  <c r="I25" i="8"/>
  <c r="I28" i="8"/>
  <c r="I84" i="8" s="1"/>
  <c r="I101" i="8" s="1"/>
  <c r="G32" i="8"/>
  <c r="G29" i="8"/>
  <c r="G35" i="8"/>
  <c r="K32" i="8"/>
  <c r="K35" i="8"/>
  <c r="K29" i="8"/>
  <c r="M35" i="8"/>
  <c r="M29" i="8"/>
  <c r="M32" i="8"/>
  <c r="N35" i="8"/>
  <c r="N29" i="8"/>
  <c r="N32" i="8"/>
  <c r="J29" i="8"/>
  <c r="J32" i="8"/>
  <c r="J35" i="8"/>
  <c r="O120" i="8"/>
  <c r="X120" i="8" s="1"/>
  <c r="K120" i="8"/>
  <c r="T120" i="8" s="1"/>
  <c r="L120" i="8"/>
  <c r="U120" i="8" s="1"/>
  <c r="M120" i="8"/>
  <c r="V120" i="8" s="1"/>
  <c r="I35" i="8" l="1"/>
  <c r="I29" i="8"/>
  <c r="I32" i="8"/>
  <c r="H35" i="8"/>
  <c r="H29" i="8"/>
  <c r="H32" i="8"/>
  <c r="H120" i="8" l="1"/>
  <c r="I120" i="8"/>
  <c r="B81" i="8" l="1"/>
  <c r="B80" i="8"/>
  <c r="D81" i="8"/>
  <c r="C81" i="8"/>
  <c r="D80" i="8"/>
  <c r="C80" i="8"/>
  <c r="B39" i="8"/>
  <c r="B38" i="8"/>
  <c r="AB39" i="8"/>
  <c r="AA39" i="8"/>
  <c r="Z39" i="8"/>
  <c r="X39" i="8"/>
  <c r="W39" i="8"/>
  <c r="V39" i="8"/>
  <c r="T39" i="8"/>
  <c r="S39" i="8"/>
  <c r="Y39" i="8"/>
  <c r="U39" i="8"/>
  <c r="AB38" i="8"/>
  <c r="AA38" i="8"/>
  <c r="Z38" i="8"/>
  <c r="Y38" i="8"/>
  <c r="X38" i="8"/>
  <c r="W38" i="8"/>
  <c r="V38" i="8"/>
  <c r="U38" i="8"/>
  <c r="T38" i="8"/>
  <c r="S38" i="8"/>
  <c r="U80" i="8" l="1"/>
  <c r="V80" i="8"/>
  <c r="V81" i="8"/>
  <c r="Y80" i="8"/>
  <c r="Z80" i="8"/>
  <c r="U81" i="8"/>
  <c r="Z81" i="8"/>
  <c r="AA81" i="8"/>
  <c r="X80" i="8"/>
  <c r="S80" i="8"/>
  <c r="AA80" i="8"/>
  <c r="X81" i="8"/>
  <c r="W81" i="8"/>
  <c r="T80" i="8"/>
  <c r="AB80" i="8"/>
  <c r="Y81" i="8"/>
  <c r="S81" i="8"/>
  <c r="W80" i="8"/>
  <c r="T81" i="8"/>
  <c r="AB81" i="8"/>
  <c r="W11" i="8" l="1"/>
  <c r="C46" i="8"/>
  <c r="C53" i="8" s="1"/>
  <c r="D46" i="8"/>
  <c r="D53" i="8" s="1"/>
  <c r="W13" i="10" l="1"/>
  <c r="W16" i="8"/>
  <c r="W20" i="8" s="1"/>
  <c r="X11" i="8"/>
  <c r="X46" i="8"/>
  <c r="X53" i="8" s="1"/>
  <c r="V46" i="8"/>
  <c r="V53" i="8" s="1"/>
  <c r="X61" i="8"/>
  <c r="X66" i="8" s="1"/>
  <c r="W61" i="8"/>
  <c r="W66" i="8" s="1"/>
  <c r="S61" i="8"/>
  <c r="S66" i="8" s="1"/>
  <c r="U11" i="8"/>
  <c r="S46" i="8"/>
  <c r="S53" i="8" s="1"/>
  <c r="W46" i="8"/>
  <c r="W53" i="8" s="1"/>
  <c r="V11" i="8"/>
  <c r="T46" i="8"/>
  <c r="T53" i="8" s="1"/>
  <c r="T61" i="8"/>
  <c r="T66" i="8" s="1"/>
  <c r="V61" i="8"/>
  <c r="V66" i="8" s="1"/>
  <c r="Z46" i="8"/>
  <c r="Z53" i="8" s="1"/>
  <c r="Z11" i="8"/>
  <c r="Z61" i="8"/>
  <c r="Z66" i="8" s="1"/>
  <c r="AA61" i="8"/>
  <c r="AA66" i="8" s="1"/>
  <c r="Y11" i="8"/>
  <c r="AA11" i="8"/>
  <c r="AA46" i="8"/>
  <c r="AA53" i="8" s="1"/>
  <c r="AA13" i="10" l="1"/>
  <c r="AA16" i="8"/>
  <c r="Y13" i="10"/>
  <c r="Y16" i="8"/>
  <c r="Y20" i="8" s="1"/>
  <c r="V13" i="10"/>
  <c r="V16" i="8"/>
  <c r="V20" i="8" s="1"/>
  <c r="X13" i="10"/>
  <c r="X16" i="8"/>
  <c r="X20" i="8" s="1"/>
  <c r="Z13" i="10"/>
  <c r="Z16" i="8"/>
  <c r="U13" i="10"/>
  <c r="U16" i="8"/>
  <c r="U20" i="8" s="1"/>
  <c r="W24" i="8"/>
  <c r="W21" i="8"/>
  <c r="Z20" i="8"/>
  <c r="AD10" i="8"/>
  <c r="X74" i="8"/>
  <c r="X76" i="8" s="1"/>
  <c r="V74" i="8"/>
  <c r="V76" i="8" s="1"/>
  <c r="T74" i="8"/>
  <c r="T76" i="8" s="1"/>
  <c r="AD19" i="8"/>
  <c r="W74" i="8"/>
  <c r="W76" i="8" s="1"/>
  <c r="S74" i="8"/>
  <c r="S76" i="8" s="1"/>
  <c r="W17" i="8"/>
  <c r="AD13" i="8"/>
  <c r="Z74" i="8"/>
  <c r="Z76" i="8" s="1"/>
  <c r="AA20" i="8"/>
  <c r="AA74" i="8"/>
  <c r="AA76" i="8" s="1"/>
  <c r="W25" i="8" l="1"/>
  <c r="W28" i="8"/>
  <c r="W84" i="8" s="1"/>
  <c r="U24" i="8"/>
  <c r="Z24" i="8"/>
  <c r="Y24" i="8"/>
  <c r="V24" i="8"/>
  <c r="X24" i="8"/>
  <c r="AA24" i="8"/>
  <c r="V21" i="8"/>
  <c r="U21" i="8"/>
  <c r="X21" i="8"/>
  <c r="Z21" i="8"/>
  <c r="Y21" i="8"/>
  <c r="AA21" i="8"/>
  <c r="Z17" i="8"/>
  <c r="Y17" i="8"/>
  <c r="V17" i="8"/>
  <c r="AA17" i="8"/>
  <c r="X17" i="8"/>
  <c r="U17" i="8"/>
  <c r="Z25" i="8" l="1"/>
  <c r="Z28" i="8"/>
  <c r="Z84" i="8" s="1"/>
  <c r="AA25" i="8"/>
  <c r="AA28" i="8"/>
  <c r="AA84" i="8" s="1"/>
  <c r="V25" i="8"/>
  <c r="V28" i="8"/>
  <c r="U25" i="8"/>
  <c r="U28" i="8"/>
  <c r="U84" i="8" s="1"/>
  <c r="X25" i="8"/>
  <c r="X28" i="8"/>
  <c r="X84" i="8" s="1"/>
  <c r="Y25" i="8"/>
  <c r="Y28" i="8"/>
  <c r="Y84" i="8" s="1"/>
  <c r="W29" i="8"/>
  <c r="W32" i="8"/>
  <c r="W35" i="8"/>
  <c r="V29" i="8" l="1"/>
  <c r="V84" i="8"/>
  <c r="V35" i="8"/>
  <c r="V32" i="8"/>
  <c r="Z32" i="8"/>
  <c r="Z29" i="8"/>
  <c r="Z35" i="8"/>
  <c r="X29" i="8"/>
  <c r="X32" i="8"/>
  <c r="X35" i="8"/>
  <c r="U35" i="8"/>
  <c r="U29" i="8"/>
  <c r="U32" i="8"/>
  <c r="AA29" i="8"/>
  <c r="AA32" i="8"/>
  <c r="AA35" i="8"/>
  <c r="Y35" i="8"/>
  <c r="Y29" i="8"/>
  <c r="Y32" i="8"/>
  <c r="U61" i="8" l="1"/>
  <c r="Y61" i="8"/>
  <c r="Y66" i="8" s="1"/>
  <c r="U66" i="8" l="1"/>
  <c r="U74" i="8" s="1"/>
  <c r="S105" i="8"/>
  <c r="T105" i="8"/>
  <c r="X105" i="8"/>
  <c r="U105" i="8"/>
  <c r="V105" i="8"/>
  <c r="W105" i="8"/>
  <c r="Y105" i="8"/>
  <c r="AA105" i="8"/>
  <c r="Z105" i="8"/>
  <c r="D11" i="8" l="1"/>
  <c r="C11" i="8"/>
  <c r="D105" i="8"/>
  <c r="C105" i="8"/>
  <c r="C61" i="8"/>
  <c r="AB11" i="8"/>
  <c r="AB13" i="10" l="1"/>
  <c r="AB16" i="8"/>
  <c r="C13" i="10"/>
  <c r="C16" i="8"/>
  <c r="C20" i="8" s="1"/>
  <c r="D13" i="10"/>
  <c r="D16" i="8"/>
  <c r="D20" i="8" s="1"/>
  <c r="C66" i="8"/>
  <c r="AD11" i="8"/>
  <c r="Y74" i="8"/>
  <c r="AB61" i="8"/>
  <c r="AB66" i="8" s="1"/>
  <c r="AD73" i="8"/>
  <c r="D24" i="8" l="1"/>
  <c r="C24" i="8"/>
  <c r="C21" i="8"/>
  <c r="D21" i="8"/>
  <c r="Y46" i="8"/>
  <c r="Y53" i="8" s="1"/>
  <c r="U46" i="8"/>
  <c r="U53" i="8" s="1"/>
  <c r="C74" i="8"/>
  <c r="C76" i="8" s="1"/>
  <c r="D74" i="8"/>
  <c r="D76" i="8" s="1"/>
  <c r="AD66" i="8"/>
  <c r="AD61" i="8"/>
  <c r="AB46" i="8"/>
  <c r="AB53" i="8" s="1"/>
  <c r="C17" i="8"/>
  <c r="D17" i="8"/>
  <c r="AB20" i="8"/>
  <c r="AB24" i="8" s="1"/>
  <c r="AB28" i="8" s="1"/>
  <c r="AB84" i="8" s="1"/>
  <c r="C25" i="8" l="1"/>
  <c r="C28" i="8"/>
  <c r="C84" i="8" s="1"/>
  <c r="C101" i="8" s="1"/>
  <c r="C120" i="8" s="1"/>
  <c r="D25" i="8"/>
  <c r="D28" i="8"/>
  <c r="D84" i="8" s="1"/>
  <c r="D101" i="8" s="1"/>
  <c r="D120" i="8" s="1"/>
  <c r="AB25" i="8"/>
  <c r="AD25" i="8" s="1"/>
  <c r="AD24" i="8"/>
  <c r="J120" i="8"/>
  <c r="S120" i="8" s="1"/>
  <c r="U76" i="8"/>
  <c r="Y76" i="8"/>
  <c r="AD20" i="8"/>
  <c r="AB21" i="8"/>
  <c r="AD21" i="8" s="1"/>
  <c r="AD111" i="8"/>
  <c r="AB74" i="8"/>
  <c r="AD74" i="8" s="1"/>
  <c r="AD53" i="8"/>
  <c r="AD46" i="8"/>
  <c r="AD16" i="8"/>
  <c r="AB105" i="8"/>
  <c r="AD105" i="8" s="1"/>
  <c r="AB17" i="8"/>
  <c r="AD17" i="8" s="1"/>
  <c r="C29" i="8" l="1"/>
  <c r="AB32" i="8"/>
  <c r="D32" i="8"/>
  <c r="D35" i="8"/>
  <c r="C35" i="8"/>
  <c r="C32" i="8"/>
  <c r="D29" i="8"/>
  <c r="N120" i="8"/>
  <c r="W120" i="8" s="1"/>
  <c r="AB76" i="8"/>
  <c r="AD28" i="8" l="1"/>
  <c r="AB35" i="8"/>
  <c r="AB29" i="8"/>
  <c r="AD29" i="8" s="1"/>
  <c r="X101" i="8"/>
  <c r="Y101" i="8"/>
  <c r="U101" i="8" l="1"/>
  <c r="V101" i="8"/>
  <c r="W101" i="8"/>
  <c r="AD32" i="8" l="1"/>
  <c r="AD35" i="8"/>
  <c r="C116" i="8" l="1"/>
  <c r="C121" i="8" s="1"/>
  <c r="D114" i="8" l="1"/>
  <c r="D116" i="8" s="1"/>
  <c r="D121" i="8" s="1"/>
  <c r="G116" i="8"/>
  <c r="G121" i="8" l="1"/>
  <c r="G123" i="8" s="1"/>
  <c r="D123" i="8"/>
  <c r="E114" i="8"/>
  <c r="E116" i="8" s="1"/>
  <c r="E121" i="8" s="1"/>
  <c r="E123" i="8" s="1"/>
  <c r="H114" i="8" l="1"/>
  <c r="H116" i="8" s="1"/>
  <c r="H121" i="8" s="1"/>
  <c r="H123" i="8" s="1"/>
  <c r="I114" i="8" l="1"/>
  <c r="I116" i="8" s="1"/>
  <c r="I121" i="8" l="1"/>
  <c r="J114" i="8" l="1"/>
  <c r="I123" i="8"/>
  <c r="J116" i="8" l="1"/>
  <c r="J121" i="8" s="1"/>
  <c r="S114" i="8"/>
  <c r="S116" i="8" s="1"/>
  <c r="S121" i="8" s="1"/>
  <c r="K114" i="8" l="1"/>
  <c r="K116" i="8" s="1"/>
  <c r="J123" i="8"/>
  <c r="K121" i="8" l="1"/>
  <c r="L114" i="8" l="1"/>
  <c r="L116" i="8" s="1"/>
  <c r="K123" i="8"/>
  <c r="L121" i="8" l="1"/>
  <c r="M114" i="8" l="1"/>
  <c r="M116" i="8" s="1"/>
  <c r="L123" i="8"/>
  <c r="M121" i="8" l="1"/>
  <c r="N114" i="8" l="1"/>
  <c r="N116" i="8" s="1"/>
  <c r="M123" i="8"/>
  <c r="N121" i="8" l="1"/>
  <c r="O114" i="8" s="1"/>
  <c r="O116" i="8" s="1"/>
  <c r="T11" i="8"/>
  <c r="S11" i="8"/>
  <c r="S13" i="10" l="1"/>
  <c r="S16" i="8"/>
  <c r="S20" i="8" s="1"/>
  <c r="T13" i="10"/>
  <c r="T16" i="8"/>
  <c r="O121" i="8"/>
  <c r="P114" i="8" s="1"/>
  <c r="P116" i="8" s="1"/>
  <c r="N123" i="8"/>
  <c r="S17" i="8" l="1"/>
  <c r="P121" i="8"/>
  <c r="O123" i="8"/>
  <c r="S24" i="8"/>
  <c r="T20" i="8"/>
  <c r="T17" i="8"/>
  <c r="S21" i="8"/>
  <c r="P123" i="8" l="1"/>
  <c r="Q114" i="8"/>
  <c r="Q116" i="8" s="1"/>
  <c r="Q121" i="8" s="1"/>
  <c r="S25" i="8"/>
  <c r="S28" i="8"/>
  <c r="S84" i="8" s="1"/>
  <c r="T24" i="8"/>
  <c r="T21" i="8"/>
  <c r="Q123" i="8" l="1"/>
  <c r="T25" i="8"/>
  <c r="T28" i="8"/>
  <c r="T84" i="8" s="1"/>
  <c r="T101" i="8" s="1"/>
  <c r="S35" i="8"/>
  <c r="S29" i="8"/>
  <c r="S32" i="8"/>
  <c r="T32" i="8" l="1"/>
  <c r="T29" i="8"/>
  <c r="T35" i="8"/>
  <c r="Z101" i="8"/>
  <c r="AA101" i="8"/>
  <c r="S101" i="8"/>
  <c r="AB101" i="8" l="1"/>
  <c r="AD84" i="8"/>
  <c r="AD101" i="8" l="1"/>
  <c r="T114" i="8" l="1"/>
  <c r="T116" i="8" s="1"/>
  <c r="T121" i="8" s="1"/>
  <c r="S123" i="8" l="1"/>
  <c r="U114" i="8"/>
  <c r="U116" i="8" s="1"/>
  <c r="U121" i="8" s="1"/>
  <c r="T123" i="8" l="1"/>
  <c r="V114" i="8"/>
  <c r="V116" i="8" s="1"/>
  <c r="V121" i="8" s="1"/>
  <c r="U123" i="8" l="1"/>
  <c r="W114" i="8"/>
  <c r="W116" i="8" s="1"/>
  <c r="W121" i="8" s="1"/>
  <c r="V123" i="8" l="1"/>
  <c r="X114" i="8"/>
  <c r="X116" i="8" s="1"/>
  <c r="X121" i="8" s="1"/>
  <c r="W123" i="8" l="1"/>
  <c r="Y114" i="8"/>
  <c r="Y116" i="8" s="1"/>
  <c r="X123" i="8"/>
  <c r="Y121" i="8" l="1"/>
  <c r="Z114" i="8" s="1"/>
  <c r="Z116" i="8" s="1"/>
  <c r="Z121" i="8" s="1"/>
  <c r="AA114" i="8" l="1"/>
  <c r="AA116" i="8" s="1"/>
  <c r="Z123" i="8"/>
  <c r="Y123" i="8"/>
  <c r="AA121" i="8" l="1"/>
  <c r="AB114" i="8" s="1"/>
  <c r="AB116" i="8" s="1"/>
  <c r="AB121" i="8" l="1"/>
  <c r="AB123" i="8" s="1"/>
  <c r="AA12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<sst xmlns="http://schemas.openxmlformats.org/spreadsheetml/2006/main" count="249" uniqueCount="160">
  <si>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</si>
  <si>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</si>
  <si>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</si>
  <si>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</si>
  <si>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</si>
  <si>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</si>
  <si>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</si>
  <si>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</si>
  <si>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</si>
  <si>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</si>
  <si>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</si>
  <si>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</si>
  <si>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</si>
  <si>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</si>
  <si>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</si>
  <si>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</si>
  <si>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</si>
  <si>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</si>
  <si>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</si>
  <si>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</si>
  <si>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</si>
  <si>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</si>
  <si>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</si>
  <si>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</si>
  <si>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</si>
  <si>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</si>
  <si>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</si>
  <si>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</si>
  <si>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</si>
  <si>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</si>
  <si>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</si>
  <si>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</si>
  <si>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</si>
  <si>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</si>
  <si>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</si>
  <si>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</si>
  <si>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</si>
  <si>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</si>
  <si>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</si>
  <si>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</si>
  <si>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</si>
  <si>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</si>
  <si>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</si>
  <si>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</si>
  <si>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</si>
  <si>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</si>
  <si>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</si>
  <si>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</si>
  <si>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</si>
  <si>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</si>
  <si>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</si>
  <si>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</si>
  <si>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</si>
  <si>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</si>
  <si>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</si>
  <si>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</si>
  <si>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</si>
  <si>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</si>
  <si>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</si>
  <si>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</si>
  <si>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</si>
  <si>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</si>
  <si>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</si>
  <si>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</si>
  <si>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</si>
  <si>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</si>
  <si>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</si>
  <si>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</si>
  <si>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</si>
  <si>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</si>
  <si>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</si>
  <si>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</si>
  <si>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</si>
  <si>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</si>
  <si>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</si>
  <si>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</si>
  <si>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</si>
  <si>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</si>
  <si>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</si>
  <si>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</si>
  <si>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</si>
  <si>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</si>
  <si>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</si>
  <si>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</si>
  <si>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</si>
  <si>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</si>
  <si>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</si>
  <si>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</si>
  <si>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</si>
  <si>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</si>
  <si>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</si>
  <si>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</si>
  <si>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</si>
  <si>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</si>
  <si>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</si>
  <si>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</si>
  <si>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</si>
  <si>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Revenue by product category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</si>
  <si>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</si>
  <si>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</si>
  <si>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</si>
  <si>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</si>
  <si>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</si>
  <si>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</si>
  <si>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</si>
  <si>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</si>
  <si>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</si>
  <si>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</si>
  <si>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</si>
  <si>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XXX</t>
  </si>
  <si>
    <t>Earnings before Taxes</t>
  </si>
  <si>
    <t>Revenue by XXX</t>
  </si>
  <si>
    <t>(+/-) XXX</t>
  </si>
  <si>
    <t>(+) XXX</t>
  </si>
  <si>
    <t>(-) XXX</t>
  </si>
  <si>
    <t>(-) Mandatory Outflows</t>
  </si>
  <si>
    <t xml:space="preserve">International franchising </t>
  </si>
  <si>
    <t xml:space="preserve">Commercial revenue </t>
  </si>
  <si>
    <t xml:space="preserve">Net retail sales </t>
  </si>
  <si>
    <t>Cost of merchandise sold - retail</t>
  </si>
  <si>
    <t>Cost of merchandise sold - commercial</t>
  </si>
  <si>
    <t>Cost of merchandise sold - international franchising</t>
  </si>
  <si>
    <t>Selling, general and administrative expense</t>
  </si>
  <si>
    <t>Cash, cash equivalents and restricted cash</t>
  </si>
  <si>
    <t>Inventories, net</t>
  </si>
  <si>
    <t>Receivables, net</t>
  </si>
  <si>
    <t>Prepaid expenses and other current assets</t>
  </si>
  <si>
    <t>Operating lease right-of-use asset</t>
  </si>
  <si>
    <t>Property and equipment, net</t>
  </si>
  <si>
    <t>Deferred tax assets</t>
  </si>
  <si>
    <t>Other assets, net</t>
  </si>
  <si>
    <t>Accounts payable</t>
  </si>
  <si>
    <t>Accrued expenses</t>
  </si>
  <si>
    <t>Operating lease liability short term</t>
  </si>
  <si>
    <t>Gift cards and customer deposits</t>
  </si>
  <si>
    <t>Deferred revenue and other</t>
  </si>
  <si>
    <t>Operating lease liability long term</t>
  </si>
  <si>
    <t>Other long-term liabilities</t>
  </si>
  <si>
    <t>Preferred stock</t>
  </si>
  <si>
    <t>Common stock</t>
  </si>
  <si>
    <t>Additional paid-in capital</t>
  </si>
  <si>
    <t>Accumulated other comprehensive loss</t>
  </si>
  <si>
    <t>Retained earnings</t>
  </si>
  <si>
    <t>-</t>
  </si>
  <si>
    <t>Share-based and performance-based stock compensation</t>
  </si>
  <si>
    <t>Deferred taxes</t>
  </si>
  <si>
    <t>Provision/(adjustments) for doubtful accounts</t>
  </si>
  <si>
    <t>Loss on disposal of property and equipment</t>
  </si>
  <si>
    <t>Net change in film costs and advances</t>
  </si>
  <si>
    <t>Changes in Working Capital:</t>
  </si>
  <si>
    <t>Prepaid expenses and other assets</t>
  </si>
  <si>
    <t>Accounts payable and accrued expenses</t>
  </si>
  <si>
    <t>Operating leases</t>
  </si>
  <si>
    <t>Deferred revenue</t>
  </si>
  <si>
    <t>Capital expenditures</t>
  </si>
  <si>
    <t>Proceeds from exercise of employee equity awards, net of tax</t>
  </si>
  <si>
    <t>Purchases of Company's common stock</t>
  </si>
  <si>
    <t>Cash dividends paid on vested participating securities</t>
  </si>
  <si>
    <t>Interest income (expense), net</t>
  </si>
  <si>
    <t>Build-A-Bear Workshop, Inc (NYSE: BBW)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</si>
</sst>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4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41" fontId="11" fillId="0" borderId="19" xfId="0" applyNumberFormat="1" applyFont="1" applyBorder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D140"/>
  <sheetViews>
    <sheetView showGridLines="0" tabSelected="1" zoomScaleNormal="10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bestFit="1" customWidth="1"/>
    <col min="6" max="6" width="1.5" style="5" customWidth="1"/>
    <col min="7" max="8" width="7.875" style="5" customWidth="1" outlineLevel="1"/>
    <col min="9" max="10" width="8.625" style="5" customWidth="1" outlineLevel="1"/>
    <col min="11" max="12" width="7.875" style="5" customWidth="1" outlineLevel="1"/>
    <col min="13" max="13" width="8.625" style="5" bestFit="1" customWidth="1"/>
    <col min="14" max="14" width="8.625" style="5" customWidth="1"/>
    <col min="15" max="17" width="8" style="5" customWidth="1"/>
    <col min="18" max="18" width="1.5" style="5" customWidth="1"/>
    <col min="19" max="19" width="8" style="5" customWidth="1" outlineLevel="1"/>
    <col min="20" max="20" width="8.625" style="5" bestFit="1" customWidth="1" outlineLevel="1"/>
    <col min="21" max="21" width="8" style="5" customWidth="1" outlineLevel="1"/>
    <col min="22" max="22" width="8.625" style="5" customWidth="1" outlineLevel="1"/>
    <col min="23" max="23" width="8.25" style="5" customWidth="1" outlineLevel="1"/>
    <col min="24" max="24" width="8.25" style="5" bestFit="1" customWidth="1"/>
    <col min="25" max="25" width="8.25" style="5" customWidth="1" outlineLevel="1"/>
    <col min="26" max="26" width="8.625" style="5" customWidth="1" outlineLevel="1"/>
    <col min="27" max="27" width="8.25" style="5" customWidth="1" outlineLevel="1"/>
    <col min="28" max="28" width="8.625" style="5" bestFit="1" customWidth="1"/>
    <col min="29" max="29" width="1.25" style="5" customWidth="1"/>
    <col min="30" max="30" width="10.5" style="5" bestFit="1" customWidth="1"/>
    <col min="31" max="31" width="1.375" style="5" customWidth="1"/>
    <col min="32" max="16384" width="9" style="5"/>
  </cols>
  <sheetData>
    <row r="2" spans="1:30" ht="12.75" customHeight="1">
      <c r="B2" s="1" t="s">
        <v>159</v>
      </c>
      <c r="C2" s="84"/>
      <c r="D2" s="84"/>
      <c r="E2" s="84"/>
      <c r="F2" s="3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3"/>
      <c r="S2" s="84"/>
      <c r="T2" s="84"/>
      <c r="U2" s="84"/>
      <c r="V2" s="84"/>
      <c r="W2" s="84"/>
      <c r="X2" s="84"/>
      <c r="Y2" s="84"/>
      <c r="Z2" s="84"/>
      <c r="AA2" s="84"/>
      <c r="AB2" s="84"/>
      <c r="AC2" s="3"/>
      <c r="AD2" s="1"/>
    </row>
    <row r="3" spans="1:30" ht="12.75" customHeight="1">
      <c r="B3" s="6" t="s">
        <v>77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3"/>
      <c r="AD3" s="1"/>
    </row>
    <row r="4" spans="1:30" ht="12.75" customHeight="1">
      <c r="B4" s="6" t="s">
        <v>95</v>
      </c>
      <c r="C4" s="7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"/>
    </row>
    <row r="6" spans="1:30" ht="12.75" customHeight="1">
      <c r="A6" s="5" t="s">
        <v>16</v>
      </c>
      <c r="B6" s="1" t="s">
        <v>75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2"/>
      <c r="R6" s="3"/>
      <c r="S6" s="2"/>
      <c r="T6" s="2"/>
      <c r="U6" s="2"/>
      <c r="V6" s="2"/>
      <c r="W6" s="2"/>
      <c r="X6" s="2" t="s">
        <v>10</v>
      </c>
      <c r="Y6" s="2"/>
      <c r="Z6" s="2"/>
      <c r="AA6" s="2"/>
      <c r="AB6" s="2"/>
      <c r="AC6" s="35"/>
      <c r="AD6" s="149" t="s">
        <v>22</v>
      </c>
    </row>
    <row r="7" spans="1:30" ht="12.75" customHeight="1">
      <c r="B7" s="6" t="s">
        <v>78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24</v>
      </c>
      <c r="P7" s="4" t="s">
        <v>25</v>
      </c>
      <c r="Q7" s="4" t="s">
        <v>108</v>
      </c>
      <c r="R7" s="4"/>
      <c r="S7" s="4" t="str">
        <f>J7</f>
        <v>4Q23</v>
      </c>
      <c r="T7" s="4" t="str">
        <f>K7</f>
        <v>1Q24</v>
      </c>
      <c r="U7" s="4" t="str">
        <f>L7</f>
        <v>2Q24</v>
      </c>
      <c r="V7" s="4" t="str">
        <f>M7</f>
        <v>3Q24</v>
      </c>
      <c r="W7" s="4" t="str">
        <f>N7</f>
        <v>4Q24</v>
      </c>
      <c r="X7" s="4" t="str">
        <f>O7</f>
        <v>1Q25</v>
      </c>
      <c r="Y7" s="4" t="str">
        <f>P7</f>
        <v>2Q25</v>
      </c>
      <c r="Z7" s="4" t="str">
        <f>Q7</f>
        <v>3Q25</v>
      </c>
      <c r="AA7" s="4" t="e">
        <f>#REF!</f>
        <v>#REF!</v>
      </c>
      <c r="AB7" s="4" t="e">
        <f>#REF!</f>
        <v>#REF!</v>
      </c>
      <c r="AC7" s="35"/>
      <c r="AD7" s="149"/>
    </row>
    <row r="8" spans="1:30" ht="12.75" customHeight="1">
      <c r="B8" s="6" t="s">
        <v>79</v>
      </c>
      <c r="C8" s="3">
        <v>44954</v>
      </c>
      <c r="D8" s="3">
        <v>45325</v>
      </c>
      <c r="E8" s="3">
        <v>45689</v>
      </c>
      <c r="F8" s="3"/>
      <c r="G8" s="3">
        <v>45045</v>
      </c>
      <c r="H8" s="3">
        <v>45136</v>
      </c>
      <c r="I8" s="3">
        <v>45227</v>
      </c>
      <c r="J8" s="3">
        <f>D8</f>
        <v>45325</v>
      </c>
      <c r="K8" s="3">
        <v>45416</v>
      </c>
      <c r="L8" s="3">
        <v>45507</v>
      </c>
      <c r="M8" s="3">
        <v>45598</v>
      </c>
      <c r="N8" s="3">
        <f>E8</f>
        <v>45689</v>
      </c>
      <c r="O8" s="3">
        <v>45780</v>
      </c>
      <c r="P8" s="3">
        <v>45871</v>
      </c>
      <c r="Q8" s="3">
        <v>45962</v>
      </c>
      <c r="R8" s="3"/>
      <c r="S8" s="3">
        <f>J8</f>
        <v>45325</v>
      </c>
      <c r="T8" s="3">
        <f>K8</f>
        <v>45416</v>
      </c>
      <c r="U8" s="3">
        <f>L8</f>
        <v>45507</v>
      </c>
      <c r="V8" s="3">
        <f>M8</f>
        <v>45598</v>
      </c>
      <c r="W8" s="3">
        <f>N8</f>
        <v>45689</v>
      </c>
      <c r="X8" s="3">
        <f>O8</f>
        <v>45780</v>
      </c>
      <c r="Y8" s="3">
        <f>P8</f>
        <v>45871</v>
      </c>
      <c r="Z8" s="3">
        <f>Q8</f>
        <v>45962</v>
      </c>
      <c r="AA8" s="3" t="e">
        <f>#REF!</f>
        <v>#REF!</v>
      </c>
      <c r="AB8" s="3" t="e">
        <f>#REF!</f>
        <v>#REF!</v>
      </c>
      <c r="AC8" s="35"/>
      <c r="AD8" s="149"/>
    </row>
    <row r="9" spans="1:30" ht="5.0999999999999996" customHeight="1">
      <c r="AD9" s="83"/>
    </row>
    <row r="10" spans="1:30" ht="12.75" customHeight="1">
      <c r="B10" s="9" t="s">
        <v>59</v>
      </c>
      <c r="C10" s="79">
        <v>467937</v>
      </c>
      <c r="D10" s="79">
        <v>486114</v>
      </c>
      <c r="E10" s="79">
        <v>496404</v>
      </c>
      <c r="F10" s="11"/>
      <c r="G10" s="79">
        <v>120050</v>
      </c>
      <c r="H10" s="79"/>
      <c r="I10" s="79"/>
      <c r="J10" s="30">
        <f>SUM(D10-SUM(G10:I10))</f>
        <v>366064</v>
      </c>
      <c r="K10" s="79">
        <v>114730</v>
      </c>
      <c r="L10" s="79"/>
      <c r="M10" s="79"/>
      <c r="N10" s="30">
        <f>SUM(E10-SUM(K10:M10))</f>
        <v>381674</v>
      </c>
      <c r="O10" s="79"/>
      <c r="P10" s="79"/>
      <c r="Q10" s="79"/>
      <c r="R10" s="30"/>
      <c r="S10" s="30">
        <f>SUM(G10:J10)</f>
        <v>486114</v>
      </c>
      <c r="T10" s="30">
        <f>SUM(H10:K10)</f>
        <v>480794</v>
      </c>
      <c r="U10" s="30">
        <f>SUM(I10:L10)</f>
        <v>480794</v>
      </c>
      <c r="V10" s="30">
        <f>SUM(J10:M10)</f>
        <v>480794</v>
      </c>
      <c r="W10" s="30">
        <f>SUM(K10:N10)</f>
        <v>496404</v>
      </c>
      <c r="X10" s="30">
        <f>SUM(L10:O10)</f>
        <v>381674</v>
      </c>
      <c r="Y10" s="30">
        <f>SUM(M10:P10)</f>
        <v>381674</v>
      </c>
      <c r="Z10" s="30">
        <f>SUM(N10:Q10)</f>
        <v>381674</v>
      </c>
      <c r="AA10" s="30">
        <f>SUM(O10:Q10)</f>
        <v>0</v>
      </c>
      <c r="AB10" s="30">
        <f>SUM(P10:Q10)</f>
        <v>0</v>
      </c>
      <c r="AC10" s="37"/>
      <c r="AD10" s="66">
        <f>SUM(AB10/X10)-1</f>
        <v>-1</v>
      </c>
    </row>
    <row r="11" spans="1:30" ht="12.75" customHeight="1">
      <c r="B11" s="12" t="s">
        <v>12</v>
      </c>
      <c r="C11" s="13">
        <f t="shared" ref="C11:D11" si="0">+SUM(C10:C10)</f>
        <v>467937</v>
      </c>
      <c r="D11" s="13">
        <f t="shared" si="0"/>
        <v>486114</v>
      </c>
      <c r="E11" s="13">
        <f t="shared" ref="E11" si="1">+SUM(E10:E10)</f>
        <v>496404</v>
      </c>
      <c r="F11" s="11"/>
      <c r="G11" s="13">
        <f t="shared" ref="G11:P11" si="2">+SUM(G10:G10)</f>
        <v>120050</v>
      </c>
      <c r="H11" s="13">
        <f t="shared" si="2"/>
        <v>0</v>
      </c>
      <c r="I11" s="13">
        <f t="shared" si="2"/>
        <v>0</v>
      </c>
      <c r="J11" s="13">
        <f t="shared" si="2"/>
        <v>366064</v>
      </c>
      <c r="K11" s="13">
        <f t="shared" si="2"/>
        <v>114730</v>
      </c>
      <c r="L11" s="13">
        <f t="shared" si="2"/>
        <v>0</v>
      </c>
      <c r="M11" s="13">
        <f t="shared" si="2"/>
        <v>0</v>
      </c>
      <c r="N11" s="13">
        <f t="shared" si="2"/>
        <v>381674</v>
      </c>
      <c r="O11" s="13">
        <f t="shared" si="2"/>
        <v>0</v>
      </c>
      <c r="P11" s="13">
        <f t="shared" si="2"/>
        <v>0</v>
      </c>
      <c r="Q11" s="13">
        <f t="shared" ref="Q11" si="3">+SUM(Q10:Q10)</f>
        <v>0</v>
      </c>
      <c r="S11" s="13">
        <f t="shared" ref="S11:AB11" si="4">+SUM(S10:S10)</f>
        <v>486114</v>
      </c>
      <c r="T11" s="13">
        <f t="shared" si="4"/>
        <v>480794</v>
      </c>
      <c r="U11" s="13">
        <f t="shared" si="4"/>
        <v>480794</v>
      </c>
      <c r="V11" s="13">
        <f t="shared" si="4"/>
        <v>480794</v>
      </c>
      <c r="W11" s="13">
        <f t="shared" si="4"/>
        <v>496404</v>
      </c>
      <c r="X11" s="13">
        <f t="shared" si="4"/>
        <v>381674</v>
      </c>
      <c r="Y11" s="13">
        <f t="shared" si="4"/>
        <v>381674</v>
      </c>
      <c r="Z11" s="13">
        <f t="shared" si="4"/>
        <v>381674</v>
      </c>
      <c r="AA11" s="13">
        <f t="shared" si="4"/>
        <v>0</v>
      </c>
      <c r="AB11" s="13">
        <f t="shared" si="4"/>
        <v>0</v>
      </c>
      <c r="AC11" s="37"/>
      <c r="AD11" s="67">
        <f t="shared" ref="AD11:AD28" si="5">SUM(AB11/X11)-1</f>
        <v>-1</v>
      </c>
    </row>
    <row r="12" spans="1:30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D12" s="66"/>
    </row>
    <row r="13" spans="1:30" ht="12.75" customHeight="1">
      <c r="B13" s="9" t="s">
        <v>119</v>
      </c>
      <c r="C13" s="79">
        <v>-211489</v>
      </c>
      <c r="D13" s="79">
        <v>-206815</v>
      </c>
      <c r="E13" s="79">
        <v>-207200</v>
      </c>
      <c r="F13" s="22"/>
      <c r="G13" s="74">
        <v>-50904</v>
      </c>
      <c r="H13" s="79"/>
      <c r="I13" s="79"/>
      <c r="J13" s="30">
        <f t="shared" ref="J13:J15" si="6">SUM(D13-SUM(G13:I13))</f>
        <v>-155911</v>
      </c>
      <c r="K13" s="74">
        <v>-49415</v>
      </c>
      <c r="L13" s="74"/>
      <c r="M13" s="74"/>
      <c r="N13" s="30">
        <f t="shared" ref="N13:N15" si="7">SUM(E13-SUM(K13:M13))</f>
        <v>-157785</v>
      </c>
      <c r="O13" s="74"/>
      <c r="P13" s="74"/>
      <c r="Q13" s="74"/>
      <c r="S13" s="30">
        <f>SUM(G13:J13)</f>
        <v>-206815</v>
      </c>
      <c r="T13" s="30">
        <f>SUM(H13:K13)</f>
        <v>-205326</v>
      </c>
      <c r="U13" s="30">
        <f>SUM(I13:L13)</f>
        <v>-205326</v>
      </c>
      <c r="V13" s="30">
        <f>SUM(J13:M13)</f>
        <v>-205326</v>
      </c>
      <c r="W13" s="30">
        <f>SUM(K13:N13)</f>
        <v>-207200</v>
      </c>
      <c r="X13" s="30">
        <f>SUM(L13:O13)</f>
        <v>-157785</v>
      </c>
      <c r="Y13" s="30">
        <f>SUM(M13:P13)</f>
        <v>-157785</v>
      </c>
      <c r="Z13" s="30">
        <f>SUM(N13:Q13)</f>
        <v>-157785</v>
      </c>
      <c r="AA13" s="30">
        <f>SUM(O13:Q13)</f>
        <v>0</v>
      </c>
      <c r="AB13" s="30">
        <f>SUM(P13:Q13)</f>
        <v>0</v>
      </c>
      <c r="AC13" s="11"/>
      <c r="AD13" s="66">
        <f t="shared" si="5"/>
        <v>-1</v>
      </c>
    </row>
    <row r="14" spans="1:30" ht="12.75" customHeight="1">
      <c r="B14" s="9" t="s">
        <v>120</v>
      </c>
      <c r="C14" s="79">
        <v>-8591</v>
      </c>
      <c r="D14" s="79">
        <v>-12091</v>
      </c>
      <c r="E14" s="79">
        <v>-13439</v>
      </c>
      <c r="F14" s="22"/>
      <c r="G14" s="74">
        <v>-3358</v>
      </c>
      <c r="H14" s="79"/>
      <c r="I14" s="79"/>
      <c r="J14" s="30">
        <f t="shared" si="6"/>
        <v>-8733</v>
      </c>
      <c r="K14" s="74">
        <v>-2533</v>
      </c>
      <c r="L14" s="74"/>
      <c r="M14" s="74"/>
      <c r="N14" s="30">
        <f t="shared" si="7"/>
        <v>-10906</v>
      </c>
      <c r="O14" s="74"/>
      <c r="P14" s="74"/>
      <c r="Q14" s="74"/>
      <c r="S14" s="30">
        <f t="shared" ref="S14:S15" si="8">SUM(G14:J14)</f>
        <v>-12091</v>
      </c>
      <c r="T14" s="30">
        <f t="shared" ref="T14:T15" si="9">SUM(H14:K14)</f>
        <v>-11266</v>
      </c>
      <c r="U14" s="30">
        <f t="shared" ref="U14:U15" si="10">SUM(I14:L14)</f>
        <v>-11266</v>
      </c>
      <c r="V14" s="30">
        <f t="shared" ref="V14:V15" si="11">SUM(J14:M14)</f>
        <v>-11266</v>
      </c>
      <c r="W14" s="30">
        <f t="shared" ref="W14:W15" si="12">SUM(K14:N14)</f>
        <v>-13439</v>
      </c>
      <c r="X14" s="30">
        <f t="shared" ref="X14:X15" si="13">SUM(L14:O14)</f>
        <v>-10906</v>
      </c>
      <c r="Y14" s="30">
        <f t="shared" ref="Y14:Y15" si="14">SUM(M14:P14)</f>
        <v>-10906</v>
      </c>
      <c r="Z14" s="30">
        <f t="shared" ref="Z14:Z15" si="15">SUM(N14:Q14)</f>
        <v>-10906</v>
      </c>
      <c r="AA14" s="30">
        <f t="shared" ref="AA14:AA15" si="16">SUM(O14:Q14)</f>
        <v>0</v>
      </c>
      <c r="AB14" s="30">
        <f t="shared" ref="AB14:AB15" si="17">SUM(P14:Q14)</f>
        <v>0</v>
      </c>
      <c r="AC14" s="11"/>
      <c r="AD14" s="66">
        <f t="shared" ref="AD14:AD15" si="18">SUM(AB14/X14)-1</f>
        <v>-1</v>
      </c>
    </row>
    <row r="15" spans="1:30" ht="12.75" customHeight="1">
      <c r="B15" s="9" t="s">
        <v>121</v>
      </c>
      <c r="C15" s="79">
        <v>-1985</v>
      </c>
      <c r="D15" s="79">
        <v>-2816</v>
      </c>
      <c r="E15" s="79">
        <v>-3247</v>
      </c>
      <c r="F15" s="22"/>
      <c r="G15" s="74">
        <v>-885</v>
      </c>
      <c r="H15" s="79"/>
      <c r="I15" s="79"/>
      <c r="J15" s="30">
        <f t="shared" si="6"/>
        <v>-1931</v>
      </c>
      <c r="K15" s="74">
        <v>-617</v>
      </c>
      <c r="L15" s="74"/>
      <c r="M15" s="74"/>
      <c r="N15" s="30">
        <f t="shared" si="7"/>
        <v>-2630</v>
      </c>
      <c r="O15" s="74"/>
      <c r="P15" s="74"/>
      <c r="Q15" s="74"/>
      <c r="S15" s="30">
        <f t="shared" si="8"/>
        <v>-2816</v>
      </c>
      <c r="T15" s="30">
        <f t="shared" si="9"/>
        <v>-2548</v>
      </c>
      <c r="U15" s="30">
        <f t="shared" si="10"/>
        <v>-2548</v>
      </c>
      <c r="V15" s="30">
        <f t="shared" si="11"/>
        <v>-2548</v>
      </c>
      <c r="W15" s="30">
        <f t="shared" si="12"/>
        <v>-3247</v>
      </c>
      <c r="X15" s="30">
        <f t="shared" si="13"/>
        <v>-2630</v>
      </c>
      <c r="Y15" s="30">
        <f t="shared" si="14"/>
        <v>-2630</v>
      </c>
      <c r="Z15" s="30">
        <f t="shared" si="15"/>
        <v>-2630</v>
      </c>
      <c r="AA15" s="30">
        <f t="shared" si="16"/>
        <v>0</v>
      </c>
      <c r="AB15" s="30">
        <f t="shared" si="17"/>
        <v>0</v>
      </c>
      <c r="AC15" s="11"/>
      <c r="AD15" s="66">
        <f t="shared" si="18"/>
        <v>-1</v>
      </c>
    </row>
    <row r="16" spans="1:30" ht="12.75" customHeight="1">
      <c r="B16" s="23" t="s">
        <v>20</v>
      </c>
      <c r="C16" s="24">
        <f>+SUM(C11+SUM(C13:C15))</f>
        <v>245872</v>
      </c>
      <c r="D16" s="24">
        <f t="shared" ref="D16:E16" si="19">+SUM(D11+SUM(D13:D15))</f>
        <v>264392</v>
      </c>
      <c r="E16" s="24">
        <f t="shared" si="19"/>
        <v>272518</v>
      </c>
      <c r="G16" s="24">
        <f t="shared" ref="G16:Q16" si="20">+SUM(G11+SUM(G13:G15))</f>
        <v>64903</v>
      </c>
      <c r="H16" s="24">
        <f t="shared" si="20"/>
        <v>0</v>
      </c>
      <c r="I16" s="24">
        <f t="shared" si="20"/>
        <v>0</v>
      </c>
      <c r="J16" s="24">
        <f t="shared" si="20"/>
        <v>199489</v>
      </c>
      <c r="K16" s="24">
        <f t="shared" si="20"/>
        <v>62165</v>
      </c>
      <c r="L16" s="24">
        <f t="shared" si="20"/>
        <v>0</v>
      </c>
      <c r="M16" s="24">
        <f t="shared" si="20"/>
        <v>0</v>
      </c>
      <c r="N16" s="24">
        <f t="shared" si="20"/>
        <v>210353</v>
      </c>
      <c r="O16" s="24">
        <f t="shared" si="20"/>
        <v>0</v>
      </c>
      <c r="P16" s="24">
        <f t="shared" si="20"/>
        <v>0</v>
      </c>
      <c r="Q16" s="24">
        <f t="shared" si="20"/>
        <v>0</v>
      </c>
      <c r="S16" s="24">
        <f t="shared" ref="S16" si="21">+SUM(S11+SUM(S13:S15))</f>
        <v>264392</v>
      </c>
      <c r="T16" s="24">
        <f t="shared" ref="T16" si="22">+SUM(T11+SUM(T13:T15))</f>
        <v>261654</v>
      </c>
      <c r="U16" s="24">
        <f t="shared" ref="U16" si="23">+SUM(U11+SUM(U13:U15))</f>
        <v>261654</v>
      </c>
      <c r="V16" s="24">
        <f t="shared" ref="V16" si="24">+SUM(V11+SUM(V13:V15))</f>
        <v>261654</v>
      </c>
      <c r="W16" s="24">
        <f t="shared" ref="W16" si="25">+SUM(W11+SUM(W13:W15))</f>
        <v>272518</v>
      </c>
      <c r="X16" s="24">
        <f t="shared" ref="X16" si="26">+SUM(X11+SUM(X13:X15))</f>
        <v>210353</v>
      </c>
      <c r="Y16" s="24">
        <f t="shared" ref="Y16" si="27">+SUM(Y11+SUM(Y13:Y15))</f>
        <v>210353</v>
      </c>
      <c r="Z16" s="24">
        <f t="shared" ref="Z16" si="28">+SUM(Z11+SUM(Z13:Z15))</f>
        <v>210353</v>
      </c>
      <c r="AA16" s="24">
        <f t="shared" ref="AA16" si="29">+SUM(AA11+SUM(AA13:AA15))</f>
        <v>0</v>
      </c>
      <c r="AB16" s="24">
        <f t="shared" ref="AB16" si="30">+SUM(AB11+SUM(AB13:AB15))</f>
        <v>0</v>
      </c>
      <c r="AC16" s="39"/>
      <c r="AD16" s="67">
        <f t="shared" si="5"/>
        <v>-1</v>
      </c>
    </row>
    <row r="17" spans="2:30" ht="12.75" customHeight="1">
      <c r="B17" s="14" t="s">
        <v>30</v>
      </c>
      <c r="C17" s="15">
        <f>C16/C11</f>
        <v>0.52543825344009987</v>
      </c>
      <c r="D17" s="15">
        <f>D16/D11</f>
        <v>0.54388888203178676</v>
      </c>
      <c r="E17" s="15">
        <f t="shared" ref="E17" si="31">E16/E11</f>
        <v>0.54898429504999957</v>
      </c>
      <c r="F17" s="25"/>
      <c r="G17" s="15">
        <f t="shared" ref="G17:P17" si="32">G16/G11</f>
        <v>0.54063306955435231</v>
      </c>
      <c r="H17" s="15" t="e">
        <f t="shared" si="32"/>
        <v>#DIV/0!</v>
      </c>
      <c r="I17" s="15" t="e">
        <f t="shared" si="32"/>
        <v>#DIV/0!</v>
      </c>
      <c r="J17" s="15">
        <f t="shared" si="32"/>
        <v>0.5449566196075003</v>
      </c>
      <c r="K17" s="15">
        <f t="shared" si="32"/>
        <v>0.54183735727359883</v>
      </c>
      <c r="L17" s="15" t="e">
        <f t="shared" si="32"/>
        <v>#DIV/0!</v>
      </c>
      <c r="M17" s="15" t="e">
        <f t="shared" si="32"/>
        <v>#DIV/0!</v>
      </c>
      <c r="N17" s="15">
        <f t="shared" si="32"/>
        <v>0.5511326419929049</v>
      </c>
      <c r="O17" s="15" t="e">
        <f t="shared" si="32"/>
        <v>#DIV/0!</v>
      </c>
      <c r="P17" s="15" t="e">
        <f t="shared" si="32"/>
        <v>#DIV/0!</v>
      </c>
      <c r="Q17" s="15" t="e">
        <f>Q16/Q11</f>
        <v>#DIV/0!</v>
      </c>
      <c r="R17" s="26"/>
      <c r="S17" s="15">
        <f t="shared" ref="S17:AB17" si="33">S16/S11</f>
        <v>0.54388888203178676</v>
      </c>
      <c r="T17" s="15">
        <f t="shared" si="33"/>
        <v>0.54421228218322193</v>
      </c>
      <c r="U17" s="15">
        <f t="shared" si="33"/>
        <v>0.54421228218322193</v>
      </c>
      <c r="V17" s="15">
        <f t="shared" si="33"/>
        <v>0.54421228218322193</v>
      </c>
      <c r="W17" s="15">
        <f t="shared" si="33"/>
        <v>0.54898429504999957</v>
      </c>
      <c r="X17" s="15">
        <f t="shared" si="33"/>
        <v>0.5511326419929049</v>
      </c>
      <c r="Y17" s="15">
        <f t="shared" si="33"/>
        <v>0.5511326419929049</v>
      </c>
      <c r="Z17" s="15">
        <f t="shared" si="33"/>
        <v>0.5511326419929049</v>
      </c>
      <c r="AA17" s="15" t="e">
        <f t="shared" si="33"/>
        <v>#DIV/0!</v>
      </c>
      <c r="AB17" s="15" t="e">
        <f t="shared" si="33"/>
        <v>#DIV/0!</v>
      </c>
      <c r="AC17" s="39"/>
      <c r="AD17" s="68" t="e">
        <f>SUM(AB17-X17)*1000</f>
        <v>#DIV/0!</v>
      </c>
    </row>
    <row r="18" spans="2:30" ht="5.0999999999999996" customHeight="1"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39"/>
      <c r="AD18" s="66"/>
    </row>
    <row r="19" spans="2:30" ht="12.75" customHeight="1">
      <c r="B19" s="9" t="s">
        <v>122</v>
      </c>
      <c r="C19" s="74">
        <v>-183929</v>
      </c>
      <c r="D19" s="74">
        <v>-198992</v>
      </c>
      <c r="E19" s="74">
        <v>-206238</v>
      </c>
      <c r="F19" s="30"/>
      <c r="G19" s="74">
        <v>-45626</v>
      </c>
      <c r="H19" s="79"/>
      <c r="I19" s="79"/>
      <c r="J19" s="30">
        <f>SUM(D19-SUM(G19:I19))</f>
        <v>-153366</v>
      </c>
      <c r="K19" s="74">
        <v>-47562</v>
      </c>
      <c r="L19" s="74"/>
      <c r="M19" s="74"/>
      <c r="N19" s="30">
        <f>SUM(E19-SUM(K19:M19))</f>
        <v>-158676</v>
      </c>
      <c r="O19" s="74"/>
      <c r="P19" s="74"/>
      <c r="Q19" s="74"/>
      <c r="S19" s="30">
        <f>SUM(G19:J19)</f>
        <v>-198992</v>
      </c>
      <c r="T19" s="30">
        <f>SUM(H19:K19)</f>
        <v>-200928</v>
      </c>
      <c r="U19" s="30">
        <f>SUM(I19:L19)</f>
        <v>-200928</v>
      </c>
      <c r="V19" s="30">
        <f>SUM(J19:M19)</f>
        <v>-200928</v>
      </c>
      <c r="W19" s="30">
        <f>SUM(K19:N19)</f>
        <v>-206238</v>
      </c>
      <c r="X19" s="30">
        <f>SUM(L19:O19)</f>
        <v>-158676</v>
      </c>
      <c r="Y19" s="30">
        <f>SUM(M19:P19)</f>
        <v>-158676</v>
      </c>
      <c r="Z19" s="30">
        <f>SUM(N19:Q19)</f>
        <v>-158676</v>
      </c>
      <c r="AA19" s="30">
        <f>SUM(O19:Q19)</f>
        <v>0</v>
      </c>
      <c r="AB19" s="30">
        <f>SUM(P19:Q19)</f>
        <v>0</v>
      </c>
      <c r="AC19" s="11"/>
      <c r="AD19" s="66">
        <f t="shared" si="5"/>
        <v>-1</v>
      </c>
    </row>
    <row r="20" spans="2:30" ht="12.75" customHeight="1">
      <c r="B20" s="23" t="s">
        <v>80</v>
      </c>
      <c r="C20" s="24">
        <f>+SUM(C16+SUM(C19:C19))</f>
        <v>61943</v>
      </c>
      <c r="D20" s="24">
        <f>+SUM(D16+SUM(D19:D19))</f>
        <v>65400</v>
      </c>
      <c r="E20" s="24">
        <f>+SUM(E16+SUM(E19:E19))</f>
        <v>66280</v>
      </c>
      <c r="F20" s="30"/>
      <c r="G20" s="24">
        <f>+SUM(G16+SUM(G19:G19))</f>
        <v>19277</v>
      </c>
      <c r="H20" s="24">
        <f>+SUM(H16+SUM(H19:H19))</f>
        <v>0</v>
      </c>
      <c r="I20" s="24">
        <f>+SUM(I16+SUM(I19:I19))</f>
        <v>0</v>
      </c>
      <c r="J20" s="24">
        <f>+SUM(J16+SUM(J19:J19))</f>
        <v>46123</v>
      </c>
      <c r="K20" s="24">
        <f>+SUM(K16+SUM(K19:K19))</f>
        <v>14603</v>
      </c>
      <c r="L20" s="24">
        <f>+SUM(L16+SUM(L19:L19))</f>
        <v>0</v>
      </c>
      <c r="M20" s="24">
        <f>+SUM(M16+SUM(M19:M19))</f>
        <v>0</v>
      </c>
      <c r="N20" s="24">
        <f>+SUM(N16+SUM(N19:N19))</f>
        <v>51677</v>
      </c>
      <c r="O20" s="24">
        <f>+SUM(O16+SUM(O19:O19))</f>
        <v>0</v>
      </c>
      <c r="P20" s="24">
        <f>+SUM(P16+SUM(P19:P19))</f>
        <v>0</v>
      </c>
      <c r="Q20" s="24">
        <f>+SUM(Q16+SUM(Q19:Q19))</f>
        <v>0</v>
      </c>
      <c r="S20" s="24">
        <f>+SUM(S16+SUM(S19:S19))</f>
        <v>65400</v>
      </c>
      <c r="T20" s="24">
        <f>+SUM(T16+SUM(T19:T19))</f>
        <v>60726</v>
      </c>
      <c r="U20" s="24">
        <f>+SUM(U16+SUM(U19:U19))</f>
        <v>60726</v>
      </c>
      <c r="V20" s="24">
        <f>+SUM(V16+SUM(V19:V19))</f>
        <v>60726</v>
      </c>
      <c r="W20" s="24">
        <f>+SUM(W16+SUM(W19:W19))</f>
        <v>66280</v>
      </c>
      <c r="X20" s="24">
        <f>+SUM(X16+SUM(X19:X19))</f>
        <v>51677</v>
      </c>
      <c r="Y20" s="24">
        <f>+SUM(Y16+SUM(Y19:Y19))</f>
        <v>51677</v>
      </c>
      <c r="Z20" s="24">
        <f>+SUM(Z16+SUM(Z19:Z19))</f>
        <v>51677</v>
      </c>
      <c r="AA20" s="24">
        <f>+SUM(AA16+SUM(AA19:AA19))</f>
        <v>0</v>
      </c>
      <c r="AB20" s="24">
        <f>+SUM(AB16+SUM(AB19:AB19))</f>
        <v>0</v>
      </c>
      <c r="AC20" s="11"/>
      <c r="AD20" s="67">
        <f t="shared" si="5"/>
        <v>-1</v>
      </c>
    </row>
    <row r="21" spans="2:30" ht="12.75" customHeight="1">
      <c r="B21" s="14" t="s">
        <v>32</v>
      </c>
      <c r="C21" s="15">
        <f>C20/C11</f>
        <v>0.13237465727223963</v>
      </c>
      <c r="D21" s="15">
        <f>D20/D11</f>
        <v>0.13453634332687395</v>
      </c>
      <c r="E21" s="15">
        <f>E20/E11</f>
        <v>0.13352027783821244</v>
      </c>
      <c r="F21" s="30"/>
      <c r="G21" s="15">
        <f>G20/G11</f>
        <v>0.16057476051645148</v>
      </c>
      <c r="H21" s="15" t="e">
        <f>H20/H11</f>
        <v>#DIV/0!</v>
      </c>
      <c r="I21" s="15" t="e">
        <f>I20/I11</f>
        <v>#DIV/0!</v>
      </c>
      <c r="J21" s="15">
        <f>J20/J11</f>
        <v>0.12599709340443202</v>
      </c>
      <c r="K21" s="15">
        <f>K20/K11</f>
        <v>0.12728144338882594</v>
      </c>
      <c r="L21" s="15" t="e">
        <f>L20/L11</f>
        <v>#DIV/0!</v>
      </c>
      <c r="M21" s="15" t="e">
        <f>M20/M11</f>
        <v>#DIV/0!</v>
      </c>
      <c r="N21" s="15">
        <f>N20/N11</f>
        <v>0.13539565178660323</v>
      </c>
      <c r="O21" s="15" t="e">
        <f>O20/O11</f>
        <v>#DIV/0!</v>
      </c>
      <c r="P21" s="15" t="e">
        <f>P20/P11</f>
        <v>#DIV/0!</v>
      </c>
      <c r="Q21" s="15" t="e">
        <f>Q20/Q11</f>
        <v>#DIV/0!</v>
      </c>
      <c r="S21" s="15">
        <f>S20/S11</f>
        <v>0.13453634332687395</v>
      </c>
      <c r="T21" s="15">
        <f>T20/T11</f>
        <v>0.1263035728399273</v>
      </c>
      <c r="U21" s="15">
        <f>U20/U11</f>
        <v>0.1263035728399273</v>
      </c>
      <c r="V21" s="15">
        <f>V20/V11</f>
        <v>0.1263035728399273</v>
      </c>
      <c r="W21" s="15">
        <f>W20/W11</f>
        <v>0.13352027783821244</v>
      </c>
      <c r="X21" s="15">
        <f>X20/X11</f>
        <v>0.13539565178660323</v>
      </c>
      <c r="Y21" s="15">
        <f>Y20/Y11</f>
        <v>0.13539565178660323</v>
      </c>
      <c r="Z21" s="15">
        <f>Z20/Z11</f>
        <v>0.13539565178660323</v>
      </c>
      <c r="AA21" s="15" t="e">
        <f>AA20/AA11</f>
        <v>#DIV/0!</v>
      </c>
      <c r="AB21" s="15" t="e">
        <f>AB20/AB11</f>
        <v>#DIV/0!</v>
      </c>
      <c r="AC21" s="11"/>
      <c r="AD21" s="68" t="e">
        <f>SUM(AB21-X21)*1000</f>
        <v>#DIV/0!</v>
      </c>
    </row>
    <row r="22" spans="2:30" ht="5.0999999999999996" customHeight="1">
      <c r="B22" s="14"/>
      <c r="C22" s="15"/>
      <c r="D22" s="15"/>
      <c r="E22" s="15"/>
      <c r="F22" s="30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11"/>
      <c r="AD22" s="66"/>
    </row>
    <row r="23" spans="2:30" ht="12.75" customHeight="1">
      <c r="B23" s="9" t="s">
        <v>158</v>
      </c>
      <c r="C23" s="74">
        <v>-19</v>
      </c>
      <c r="D23" s="74">
        <v>929</v>
      </c>
      <c r="E23" s="74">
        <v>861</v>
      </c>
      <c r="F23" s="30"/>
      <c r="G23" s="74">
        <v>76</v>
      </c>
      <c r="H23" s="74"/>
      <c r="I23" s="74"/>
      <c r="J23" s="30">
        <f>SUM(D23-SUM(G23:I23))</f>
        <v>853</v>
      </c>
      <c r="K23" s="74">
        <v>426</v>
      </c>
      <c r="L23" s="74"/>
      <c r="M23" s="74"/>
      <c r="N23" s="30">
        <f>SUM(E23-SUM(K23:M23))</f>
        <v>435</v>
      </c>
      <c r="O23" s="74"/>
      <c r="P23" s="74"/>
      <c r="Q23" s="74"/>
      <c r="S23" s="30">
        <f>SUM(G23:J23)</f>
        <v>929</v>
      </c>
      <c r="T23" s="30">
        <f>SUM(H23:K23)</f>
        <v>1279</v>
      </c>
      <c r="U23" s="30">
        <f>SUM(I23:L23)</f>
        <v>1279</v>
      </c>
      <c r="V23" s="30">
        <f>SUM(J23:M23)</f>
        <v>1279</v>
      </c>
      <c r="W23" s="30">
        <f>SUM(K23:N23)</f>
        <v>861</v>
      </c>
      <c r="X23" s="30">
        <f>SUM(L23:O23)</f>
        <v>435</v>
      </c>
      <c r="Y23" s="30">
        <f>SUM(M23:P23)</f>
        <v>435</v>
      </c>
      <c r="Z23" s="30">
        <f>SUM(N23:Q23)</f>
        <v>435</v>
      </c>
      <c r="AA23" s="30">
        <f>SUM(O23:Q23)</f>
        <v>0</v>
      </c>
      <c r="AB23" s="30">
        <f>SUM(P23:Q23)</f>
        <v>0</v>
      </c>
      <c r="AC23" s="11"/>
      <c r="AD23" s="66">
        <f t="shared" si="5"/>
        <v>-1</v>
      </c>
    </row>
    <row r="24" spans="2:30" ht="12.75" customHeight="1">
      <c r="B24" s="23" t="s">
        <v>110</v>
      </c>
      <c r="C24" s="24">
        <f>SUM(C23:C23)+C20</f>
        <v>61924</v>
      </c>
      <c r="D24" s="24">
        <f>SUM(D23:D23)+D20</f>
        <v>66329</v>
      </c>
      <c r="E24" s="24">
        <f>SUM(E23:E23)+E20</f>
        <v>67141</v>
      </c>
      <c r="F24" s="30"/>
      <c r="G24" s="24">
        <f>SUM(G23:G23)+G20</f>
        <v>19353</v>
      </c>
      <c r="H24" s="24">
        <f>SUM(H23:H23)+H20</f>
        <v>0</v>
      </c>
      <c r="I24" s="24">
        <f>SUM(I23:I23)+I20</f>
        <v>0</v>
      </c>
      <c r="J24" s="24">
        <f>SUM(J23:J23)+J20</f>
        <v>46976</v>
      </c>
      <c r="K24" s="24">
        <f>SUM(K23:K23)+K20</f>
        <v>15029</v>
      </c>
      <c r="L24" s="24">
        <f>SUM(L23:L23)+L20</f>
        <v>0</v>
      </c>
      <c r="M24" s="24">
        <f>SUM(M23:M23)+M20</f>
        <v>0</v>
      </c>
      <c r="N24" s="24">
        <f>SUM(N23:N23)+N20</f>
        <v>52112</v>
      </c>
      <c r="O24" s="24">
        <f>SUM(O23:O23)+O20</f>
        <v>0</v>
      </c>
      <c r="P24" s="24">
        <f>SUM(P23:P23)+P20</f>
        <v>0</v>
      </c>
      <c r="Q24" s="24">
        <f>SUM(Q23:Q23)+Q20</f>
        <v>0</v>
      </c>
      <c r="S24" s="24">
        <f>SUM(S23:S23)+S20</f>
        <v>66329</v>
      </c>
      <c r="T24" s="24">
        <f>SUM(T23:T23)+T20</f>
        <v>62005</v>
      </c>
      <c r="U24" s="24">
        <f>SUM(U23:U23)+U20</f>
        <v>62005</v>
      </c>
      <c r="V24" s="24">
        <f>SUM(V23:V23)+V20</f>
        <v>62005</v>
      </c>
      <c r="W24" s="24">
        <f>SUM(W23:W23)+W20</f>
        <v>67141</v>
      </c>
      <c r="X24" s="24">
        <f>SUM(X23:X23)+X20</f>
        <v>52112</v>
      </c>
      <c r="Y24" s="24">
        <f>SUM(Y23:Y23)+Y20</f>
        <v>52112</v>
      </c>
      <c r="Z24" s="24">
        <f>SUM(Z23:Z23)+Z20</f>
        <v>52112</v>
      </c>
      <c r="AA24" s="24">
        <f>SUM(AA23:AA23)+AA20</f>
        <v>0</v>
      </c>
      <c r="AB24" s="24">
        <f>SUM(AB23:AB23)+AB20</f>
        <v>0</v>
      </c>
      <c r="AC24" s="11"/>
      <c r="AD24" s="66">
        <f t="shared" si="5"/>
        <v>-1</v>
      </c>
    </row>
    <row r="25" spans="2:30" ht="12.75" customHeight="1">
      <c r="B25" s="14" t="s">
        <v>81</v>
      </c>
      <c r="C25" s="15">
        <f>C24/C11</f>
        <v>0.13233405351575106</v>
      </c>
      <c r="D25" s="15">
        <f>D24/D11</f>
        <v>0.13644741768391777</v>
      </c>
      <c r="E25" s="15">
        <f>E24/E11</f>
        <v>0.13525475217766175</v>
      </c>
      <c r="F25" s="25"/>
      <c r="G25" s="15">
        <f>G24/G11</f>
        <v>0.16120783007080383</v>
      </c>
      <c r="H25" s="15" t="e">
        <f>H24/H11</f>
        <v>#DIV/0!</v>
      </c>
      <c r="I25" s="15" t="e">
        <f>I24/I11</f>
        <v>#DIV/0!</v>
      </c>
      <c r="J25" s="15">
        <f>J24/J11</f>
        <v>0.12832728703177587</v>
      </c>
      <c r="K25" s="15">
        <f>K24/K11</f>
        <v>0.13099450884685784</v>
      </c>
      <c r="L25" s="15" t="e">
        <f>L24/L11</f>
        <v>#DIV/0!</v>
      </c>
      <c r="M25" s="15" t="e">
        <f>M24/M11</f>
        <v>#DIV/0!</v>
      </c>
      <c r="N25" s="15">
        <f>N24/N11</f>
        <v>0.13653536787939446</v>
      </c>
      <c r="O25" s="15" t="e">
        <f>O24/O11</f>
        <v>#DIV/0!</v>
      </c>
      <c r="P25" s="15" t="e">
        <f>P24/P11</f>
        <v>#DIV/0!</v>
      </c>
      <c r="Q25" s="15" t="e">
        <f>Q24/Q11</f>
        <v>#DIV/0!</v>
      </c>
      <c r="S25" s="15">
        <f>S24/S11</f>
        <v>0.13644741768391777</v>
      </c>
      <c r="T25" s="15">
        <f>T24/T11</f>
        <v>0.12896375578730185</v>
      </c>
      <c r="U25" s="15">
        <f>U24/U11</f>
        <v>0.12896375578730185</v>
      </c>
      <c r="V25" s="15">
        <f>V24/V11</f>
        <v>0.12896375578730185</v>
      </c>
      <c r="W25" s="15">
        <f>W24/W11</f>
        <v>0.13525475217766175</v>
      </c>
      <c r="X25" s="15">
        <f>X24/X11</f>
        <v>0.13653536787939446</v>
      </c>
      <c r="Y25" s="15">
        <f>Y24/Y11</f>
        <v>0.13653536787939446</v>
      </c>
      <c r="Z25" s="15">
        <f>Z24/Z11</f>
        <v>0.13653536787939446</v>
      </c>
      <c r="AA25" s="15" t="e">
        <f>AA24/AA11</f>
        <v>#DIV/0!</v>
      </c>
      <c r="AB25" s="15" t="e">
        <f>AB24/AB11</f>
        <v>#DIV/0!</v>
      </c>
      <c r="AC25" s="40"/>
      <c r="AD25" s="68" t="e">
        <f>SUM(AB25-X25)*1000</f>
        <v>#DIV/0!</v>
      </c>
    </row>
    <row r="26" spans="2:30" ht="5.0999999999999996" customHeight="1">
      <c r="B26" s="9"/>
      <c r="C26" s="74"/>
      <c r="D26" s="74"/>
      <c r="E26" s="74"/>
      <c r="F26" s="30"/>
      <c r="G26" s="74"/>
      <c r="H26" s="74"/>
      <c r="I26" s="74"/>
      <c r="J26" s="30"/>
      <c r="K26" s="74"/>
      <c r="L26" s="74"/>
      <c r="M26" s="74"/>
      <c r="N26" s="30"/>
      <c r="O26" s="74"/>
      <c r="P26" s="74"/>
      <c r="Q26" s="74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11"/>
      <c r="AD26" s="66"/>
    </row>
    <row r="27" spans="2:30" ht="12.75" customHeight="1">
      <c r="B27" s="9" t="s">
        <v>86</v>
      </c>
      <c r="C27" s="74">
        <v>-13939</v>
      </c>
      <c r="D27" s="74">
        <v>-13524</v>
      </c>
      <c r="E27" s="74">
        <v>-15356</v>
      </c>
      <c r="F27" s="30"/>
      <c r="G27" s="74">
        <v>-4745</v>
      </c>
      <c r="H27" s="74"/>
      <c r="I27" s="74"/>
      <c r="J27" s="30">
        <f>SUM(D27-SUM(G27:I27))</f>
        <v>-8779</v>
      </c>
      <c r="K27" s="74">
        <v>-3570</v>
      </c>
      <c r="L27" s="74"/>
      <c r="M27" s="74"/>
      <c r="N27" s="30">
        <f>SUM(E27-SUM(K27:M27))</f>
        <v>-11786</v>
      </c>
      <c r="O27" s="74"/>
      <c r="P27" s="74"/>
      <c r="Q27" s="74"/>
      <c r="S27" s="30">
        <f>SUM(G27:J27)</f>
        <v>-13524</v>
      </c>
      <c r="T27" s="30">
        <f>SUM(H27:K27)</f>
        <v>-12349</v>
      </c>
      <c r="U27" s="30">
        <f>SUM(I27:L27)</f>
        <v>-12349</v>
      </c>
      <c r="V27" s="30">
        <f>SUM(J27:M27)</f>
        <v>-12349</v>
      </c>
      <c r="W27" s="30">
        <f>SUM(K27:N27)</f>
        <v>-15356</v>
      </c>
      <c r="X27" s="30">
        <f>SUM(L27:O27)</f>
        <v>-11786</v>
      </c>
      <c r="Y27" s="30">
        <f>SUM(M27:P27)</f>
        <v>-11786</v>
      </c>
      <c r="Z27" s="30">
        <f>SUM(N27:Q27)</f>
        <v>-11786</v>
      </c>
      <c r="AA27" s="30">
        <f>SUM(O27:Q27)</f>
        <v>0</v>
      </c>
      <c r="AB27" s="30">
        <f>SUM(P27:Q27)</f>
        <v>0</v>
      </c>
      <c r="AC27" s="11"/>
      <c r="AD27" s="66">
        <f t="shared" si="5"/>
        <v>-1</v>
      </c>
    </row>
    <row r="28" spans="2:30" ht="12.75" customHeight="1">
      <c r="B28" s="12" t="s">
        <v>49</v>
      </c>
      <c r="C28" s="13">
        <f>SUM(C24+SUM(C27:C27))</f>
        <v>47985</v>
      </c>
      <c r="D28" s="13">
        <f>SUM(D24+SUM(D27:D27))</f>
        <v>52805</v>
      </c>
      <c r="E28" s="13">
        <f>SUM(E24+SUM(E27:E27))</f>
        <v>51785</v>
      </c>
      <c r="G28" s="13">
        <f t="shared" ref="G28:Q28" si="34">SUM(G24+SUM(G27:G27))</f>
        <v>14608</v>
      </c>
      <c r="H28" s="13">
        <f t="shared" si="34"/>
        <v>0</v>
      </c>
      <c r="I28" s="13">
        <f t="shared" si="34"/>
        <v>0</v>
      </c>
      <c r="J28" s="13">
        <f t="shared" si="34"/>
        <v>38197</v>
      </c>
      <c r="K28" s="13">
        <f t="shared" si="34"/>
        <v>11459</v>
      </c>
      <c r="L28" s="13">
        <f t="shared" si="34"/>
        <v>0</v>
      </c>
      <c r="M28" s="13">
        <f t="shared" si="34"/>
        <v>0</v>
      </c>
      <c r="N28" s="13">
        <f t="shared" si="34"/>
        <v>40326</v>
      </c>
      <c r="O28" s="13">
        <f t="shared" si="34"/>
        <v>0</v>
      </c>
      <c r="P28" s="13">
        <f t="shared" si="34"/>
        <v>0</v>
      </c>
      <c r="Q28" s="13">
        <f t="shared" si="34"/>
        <v>0</v>
      </c>
      <c r="S28" s="13">
        <f t="shared" ref="S28:AB28" si="35">SUM(S24+SUM(S27:S27))</f>
        <v>52805</v>
      </c>
      <c r="T28" s="13">
        <f t="shared" si="35"/>
        <v>49656</v>
      </c>
      <c r="U28" s="13">
        <f t="shared" si="35"/>
        <v>49656</v>
      </c>
      <c r="V28" s="13">
        <f t="shared" si="35"/>
        <v>49656</v>
      </c>
      <c r="W28" s="13">
        <f t="shared" si="35"/>
        <v>51785</v>
      </c>
      <c r="X28" s="13">
        <f t="shared" si="35"/>
        <v>40326</v>
      </c>
      <c r="Y28" s="13">
        <f t="shared" si="35"/>
        <v>40326</v>
      </c>
      <c r="Z28" s="13">
        <f t="shared" si="35"/>
        <v>40326</v>
      </c>
      <c r="AA28" s="13">
        <f t="shared" si="35"/>
        <v>0</v>
      </c>
      <c r="AB28" s="13">
        <f t="shared" si="35"/>
        <v>0</v>
      </c>
      <c r="AC28" s="39"/>
      <c r="AD28" s="67">
        <f t="shared" si="5"/>
        <v>-1</v>
      </c>
    </row>
    <row r="29" spans="2:30" ht="12.75" customHeight="1">
      <c r="B29" s="14" t="s">
        <v>63</v>
      </c>
      <c r="C29" s="15">
        <f>C28/C11</f>
        <v>0.10254585553183442</v>
      </c>
      <c r="D29" s="15">
        <f>D28/D11</f>
        <v>0.10862678301797521</v>
      </c>
      <c r="E29" s="15">
        <f>E28/E11</f>
        <v>0.10432027139185018</v>
      </c>
      <c r="F29" s="25"/>
      <c r="G29" s="15">
        <f>G28/G11</f>
        <v>0.1216826322365681</v>
      </c>
      <c r="H29" s="15" t="e">
        <f>H28/H11</f>
        <v>#DIV/0!</v>
      </c>
      <c r="I29" s="15" t="e">
        <f>I28/I11</f>
        <v>#DIV/0!</v>
      </c>
      <c r="J29" s="15">
        <f>J28/J11</f>
        <v>0.10434514183312207</v>
      </c>
      <c r="K29" s="15">
        <f>K28/K11</f>
        <v>9.9877974374618664E-2</v>
      </c>
      <c r="L29" s="15" t="e">
        <f>L28/L11</f>
        <v>#DIV/0!</v>
      </c>
      <c r="M29" s="15" t="e">
        <f>M28/M11</f>
        <v>#DIV/0!</v>
      </c>
      <c r="N29" s="15">
        <f>N28/N11</f>
        <v>0.10565561185723943</v>
      </c>
      <c r="O29" s="15" t="e">
        <f>O28/O11</f>
        <v>#DIV/0!</v>
      </c>
      <c r="P29" s="15" t="e">
        <f>P28/P11</f>
        <v>#DIV/0!</v>
      </c>
      <c r="Q29" s="15" t="e">
        <f>Q28/Q11</f>
        <v>#DIV/0!</v>
      </c>
      <c r="S29" s="15">
        <f>S28/S11</f>
        <v>0.10862678301797521</v>
      </c>
      <c r="T29" s="15">
        <f>T28/T11</f>
        <v>0.10327915905772535</v>
      </c>
      <c r="U29" s="15">
        <f>U28/U11</f>
        <v>0.10327915905772535</v>
      </c>
      <c r="V29" s="15">
        <f>V28/V11</f>
        <v>0.10327915905772535</v>
      </c>
      <c r="W29" s="15">
        <f>W28/W11</f>
        <v>0.10432027139185018</v>
      </c>
      <c r="X29" s="15">
        <f>X28/X11</f>
        <v>0.10565561185723943</v>
      </c>
      <c r="Y29" s="15">
        <f>Y28/Y11</f>
        <v>0.10565561185723943</v>
      </c>
      <c r="Z29" s="15">
        <f>Z28/Z11</f>
        <v>0.10565561185723943</v>
      </c>
      <c r="AA29" s="15" t="e">
        <f>AA28/AA11</f>
        <v>#DIV/0!</v>
      </c>
      <c r="AB29" s="15" t="e">
        <f>AB28/AB11</f>
        <v>#DIV/0!</v>
      </c>
      <c r="AC29" s="40"/>
      <c r="AD29" s="68" t="e">
        <f>SUM(AB29-X29)*1000</f>
        <v>#DIV/0!</v>
      </c>
    </row>
    <row r="30" spans="2:30" ht="5.0999999999999996" customHeight="1">
      <c r="B30" s="14"/>
      <c r="C30" s="15"/>
      <c r="D30" s="15"/>
      <c r="E30" s="15"/>
      <c r="F30" s="2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26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40"/>
      <c r="AD30" s="68"/>
    </row>
    <row r="31" spans="2:30" ht="12.75" customHeight="1">
      <c r="B31" s="41" t="s">
        <v>64</v>
      </c>
      <c r="C31" s="74">
        <v>14940.77</v>
      </c>
      <c r="D31" s="74">
        <v>14342.931</v>
      </c>
      <c r="E31" s="74">
        <v>13578.587</v>
      </c>
      <c r="F31" s="25"/>
      <c r="G31" s="74">
        <v>14457.858</v>
      </c>
      <c r="H31" s="74"/>
      <c r="I31" s="74"/>
      <c r="J31" s="30">
        <f>D31</f>
        <v>14342.931</v>
      </c>
      <c r="K31" s="74">
        <v>13925.957</v>
      </c>
      <c r="L31" s="74"/>
      <c r="M31" s="74"/>
      <c r="N31" s="30">
        <f>E31</f>
        <v>13578.587</v>
      </c>
      <c r="O31" s="74"/>
      <c r="P31" s="74"/>
      <c r="Q31" s="74"/>
      <c r="R31" s="30"/>
      <c r="S31" s="30">
        <f>J31</f>
        <v>14342.931</v>
      </c>
      <c r="T31" s="30">
        <f>K31</f>
        <v>13925.957</v>
      </c>
      <c r="U31" s="30">
        <f>L31</f>
        <v>0</v>
      </c>
      <c r="V31" s="30">
        <f>M31</f>
        <v>0</v>
      </c>
      <c r="W31" s="30">
        <f>N31</f>
        <v>13578.587</v>
      </c>
      <c r="X31" s="30">
        <f>O31</f>
        <v>0</v>
      </c>
      <c r="Y31" s="30">
        <f>P31</f>
        <v>0</v>
      </c>
      <c r="Z31" s="30">
        <f>Q31</f>
        <v>0</v>
      </c>
      <c r="AA31" s="30" t="e">
        <f>#REF!</f>
        <v>#REF!</v>
      </c>
      <c r="AB31" s="30" t="e">
        <f>#REF!</f>
        <v>#REF!</v>
      </c>
      <c r="AC31" s="40"/>
      <c r="AD31" s="66" t="e">
        <f t="shared" ref="AD31" si="36">SUM(AB31/X31)-1</f>
        <v>#REF!</v>
      </c>
    </row>
    <row r="32" spans="2:30" ht="12.75" customHeight="1">
      <c r="B32" s="12" t="s">
        <v>65</v>
      </c>
      <c r="C32" s="69">
        <f t="shared" ref="C32:E32" si="37">C28/C31</f>
        <v>3.2116818611088984</v>
      </c>
      <c r="D32" s="69">
        <f t="shared" si="37"/>
        <v>3.6816045479128356</v>
      </c>
      <c r="E32" s="69">
        <f t="shared" si="37"/>
        <v>3.8137252425454875</v>
      </c>
      <c r="F32" s="11"/>
      <c r="G32" s="69">
        <f t="shared" ref="G32:P32" si="38">G28/G31</f>
        <v>1.0103848025067059</v>
      </c>
      <c r="H32" s="69" t="e">
        <f t="shared" si="38"/>
        <v>#DIV/0!</v>
      </c>
      <c r="I32" s="69" t="e">
        <f t="shared" si="38"/>
        <v>#DIV/0!</v>
      </c>
      <c r="J32" s="69">
        <f t="shared" si="38"/>
        <v>2.6631237367034672</v>
      </c>
      <c r="K32" s="69">
        <f t="shared" si="38"/>
        <v>0.82285188730656</v>
      </c>
      <c r="L32" s="69" t="e">
        <f t="shared" si="38"/>
        <v>#DIV/0!</v>
      </c>
      <c r="M32" s="69" t="e">
        <f t="shared" si="38"/>
        <v>#DIV/0!</v>
      </c>
      <c r="N32" s="69">
        <f t="shared" si="38"/>
        <v>2.9698230014654694</v>
      </c>
      <c r="O32" s="69" t="e">
        <f t="shared" si="38"/>
        <v>#DIV/0!</v>
      </c>
      <c r="P32" s="69" t="e">
        <f t="shared" si="38"/>
        <v>#DIV/0!</v>
      </c>
      <c r="Q32" s="69" t="e">
        <f t="shared" ref="Q32" si="39">Q28/Q31</f>
        <v>#DIV/0!</v>
      </c>
      <c r="R32" s="30"/>
      <c r="S32" s="69">
        <f t="shared" ref="S32:AB32" si="40">S28/S31</f>
        <v>3.6816045479128356</v>
      </c>
      <c r="T32" s="69">
        <f t="shared" si="40"/>
        <v>3.5657154477785618</v>
      </c>
      <c r="U32" s="69" t="e">
        <f t="shared" si="40"/>
        <v>#DIV/0!</v>
      </c>
      <c r="V32" s="69" t="e">
        <f t="shared" si="40"/>
        <v>#DIV/0!</v>
      </c>
      <c r="W32" s="69">
        <f t="shared" si="40"/>
        <v>3.8137252425454875</v>
      </c>
      <c r="X32" s="69" t="e">
        <f t="shared" si="40"/>
        <v>#DIV/0!</v>
      </c>
      <c r="Y32" s="69" t="e">
        <f t="shared" si="40"/>
        <v>#DIV/0!</v>
      </c>
      <c r="Z32" s="69" t="e">
        <f t="shared" si="40"/>
        <v>#DIV/0!</v>
      </c>
      <c r="AA32" s="69" t="e">
        <f t="shared" si="40"/>
        <v>#REF!</v>
      </c>
      <c r="AB32" s="69" t="e">
        <f t="shared" si="40"/>
        <v>#REF!</v>
      </c>
      <c r="AC32" s="33"/>
      <c r="AD32" s="67" t="e">
        <f>SUM(AB32/X32)-1</f>
        <v>#REF!</v>
      </c>
    </row>
    <row r="33" spans="1:30" ht="5.0999999999999996" customHeight="1">
      <c r="B33" s="14"/>
      <c r="C33" s="15"/>
      <c r="D33" s="15"/>
      <c r="E33" s="15"/>
      <c r="F33" s="2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26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40"/>
      <c r="AD33" s="68"/>
    </row>
    <row r="34" spans="1:30" ht="12.75" customHeight="1">
      <c r="B34" s="41" t="s">
        <v>66</v>
      </c>
      <c r="C34" s="74">
        <v>15249.819</v>
      </c>
      <c r="D34" s="74">
        <v>14471.875</v>
      </c>
      <c r="E34" s="74">
        <v>13621.075000000001</v>
      </c>
      <c r="F34" s="25"/>
      <c r="G34" s="74">
        <v>14974.93</v>
      </c>
      <c r="H34" s="74"/>
      <c r="I34" s="74"/>
      <c r="J34" s="30">
        <f>D34</f>
        <v>14471.875</v>
      </c>
      <c r="K34" s="74">
        <v>14006.4</v>
      </c>
      <c r="L34" s="74"/>
      <c r="M34" s="74"/>
      <c r="N34" s="30">
        <f>E34</f>
        <v>13621.075000000001</v>
      </c>
      <c r="O34" s="74"/>
      <c r="P34" s="74"/>
      <c r="Q34" s="74"/>
      <c r="R34" s="30"/>
      <c r="S34" s="30">
        <f>J34</f>
        <v>14471.875</v>
      </c>
      <c r="T34" s="30">
        <f>K34</f>
        <v>14006.4</v>
      </c>
      <c r="U34" s="30">
        <f>L34</f>
        <v>0</v>
      </c>
      <c r="V34" s="30">
        <f>M34</f>
        <v>0</v>
      </c>
      <c r="W34" s="30">
        <f>N34</f>
        <v>13621.075000000001</v>
      </c>
      <c r="X34" s="30">
        <f>O34</f>
        <v>0</v>
      </c>
      <c r="Y34" s="30">
        <f>P34</f>
        <v>0</v>
      </c>
      <c r="Z34" s="30">
        <f>Q34</f>
        <v>0</v>
      </c>
      <c r="AA34" s="30" t="e">
        <f>#REF!</f>
        <v>#REF!</v>
      </c>
      <c r="AB34" s="30" t="e">
        <f>#REF!</f>
        <v>#REF!</v>
      </c>
      <c r="AC34" s="40"/>
      <c r="AD34" s="66" t="e">
        <f t="shared" ref="AD34" si="41">SUM(AB34/X34)-1</f>
        <v>#REF!</v>
      </c>
    </row>
    <row r="35" spans="1:30" ht="12.75" customHeight="1">
      <c r="B35" s="12" t="s">
        <v>67</v>
      </c>
      <c r="C35" s="69">
        <f t="shared" ref="C35:E35" si="42">C28/C34</f>
        <v>3.1465947235177021</v>
      </c>
      <c r="D35" s="69">
        <f t="shared" si="42"/>
        <v>3.6488015547397969</v>
      </c>
      <c r="E35" s="69">
        <f t="shared" si="42"/>
        <v>3.8018291507828859</v>
      </c>
      <c r="F35" s="25"/>
      <c r="G35" s="69">
        <f t="shared" ref="G35:P35" si="43">G28/G34</f>
        <v>0.97549704739855214</v>
      </c>
      <c r="H35" s="69" t="e">
        <f t="shared" si="43"/>
        <v>#DIV/0!</v>
      </c>
      <c r="I35" s="69" t="e">
        <f t="shared" si="43"/>
        <v>#DIV/0!</v>
      </c>
      <c r="J35" s="69">
        <f t="shared" si="43"/>
        <v>2.6393953789678255</v>
      </c>
      <c r="K35" s="69">
        <f t="shared" si="43"/>
        <v>0.81812599954306608</v>
      </c>
      <c r="L35" s="69" t="e">
        <f t="shared" si="43"/>
        <v>#DIV/0!</v>
      </c>
      <c r="M35" s="69" t="e">
        <f t="shared" si="43"/>
        <v>#DIV/0!</v>
      </c>
      <c r="N35" s="69">
        <f t="shared" si="43"/>
        <v>2.9605592803798522</v>
      </c>
      <c r="O35" s="69" t="e">
        <f t="shared" si="43"/>
        <v>#DIV/0!</v>
      </c>
      <c r="P35" s="69" t="e">
        <f t="shared" si="43"/>
        <v>#DIV/0!</v>
      </c>
      <c r="Q35" s="69" t="e">
        <f t="shared" ref="Q35" si="44">Q28/Q34</f>
        <v>#DIV/0!</v>
      </c>
      <c r="R35" s="30"/>
      <c r="S35" s="69">
        <f t="shared" ref="S35:AB35" si="45">S28/S34</f>
        <v>3.6488015547397969</v>
      </c>
      <c r="T35" s="69">
        <f t="shared" si="45"/>
        <v>3.5452364633310487</v>
      </c>
      <c r="U35" s="69" t="e">
        <f t="shared" si="45"/>
        <v>#DIV/0!</v>
      </c>
      <c r="V35" s="69" t="e">
        <f t="shared" si="45"/>
        <v>#DIV/0!</v>
      </c>
      <c r="W35" s="69">
        <f t="shared" si="45"/>
        <v>3.8018291507828859</v>
      </c>
      <c r="X35" s="69" t="e">
        <f t="shared" si="45"/>
        <v>#DIV/0!</v>
      </c>
      <c r="Y35" s="69" t="e">
        <f t="shared" si="45"/>
        <v>#DIV/0!</v>
      </c>
      <c r="Z35" s="69" t="e">
        <f t="shared" si="45"/>
        <v>#DIV/0!</v>
      </c>
      <c r="AA35" s="69" t="e">
        <f t="shared" si="45"/>
        <v>#REF!</v>
      </c>
      <c r="AB35" s="69" t="e">
        <f t="shared" si="45"/>
        <v>#REF!</v>
      </c>
      <c r="AC35" s="33"/>
      <c r="AD35" s="67" t="e">
        <f>SUM(AB35/X35)-1</f>
        <v>#REF!</v>
      </c>
    </row>
    <row r="36" spans="1:30">
      <c r="B36" s="14"/>
      <c r="C36" s="15"/>
      <c r="D36" s="74"/>
      <c r="E36" s="74"/>
      <c r="F36" s="2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6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40"/>
    </row>
    <row r="37" spans="1:30" ht="12.75" customHeight="1">
      <c r="A37" s="5" t="s">
        <v>16</v>
      </c>
      <c r="B37" s="89" t="s">
        <v>76</v>
      </c>
      <c r="C37" s="90"/>
      <c r="D37" s="90"/>
      <c r="E37" s="90"/>
      <c r="F37" s="91"/>
      <c r="G37" s="90"/>
      <c r="H37" s="90"/>
      <c r="I37" s="90"/>
      <c r="J37" s="90"/>
      <c r="K37" s="90"/>
      <c r="L37" s="90"/>
      <c r="M37" s="90" t="s">
        <v>1</v>
      </c>
      <c r="N37" s="90"/>
      <c r="O37" s="90"/>
      <c r="P37" s="90"/>
      <c r="Q37" s="90"/>
      <c r="R37" s="89"/>
      <c r="S37" s="90"/>
      <c r="T37" s="90"/>
      <c r="U37" s="90"/>
      <c r="V37" s="90"/>
      <c r="W37" s="90"/>
      <c r="X37" s="90" t="s">
        <v>10</v>
      </c>
      <c r="Y37" s="90"/>
      <c r="Z37" s="90"/>
      <c r="AA37" s="90"/>
      <c r="AB37" s="90"/>
      <c r="AC37" s="91"/>
      <c r="AD37" s="150" t="s">
        <v>22</v>
      </c>
    </row>
    <row r="38" spans="1:30" ht="12.75" customHeight="1">
      <c r="B38" s="93" t="str">
        <f>B7</f>
        <v>Fiscal Period</v>
      </c>
      <c r="C38" s="92">
        <f>C7</f>
        <v>2022</v>
      </c>
      <c r="D38" s="92">
        <f>D7</f>
        <v>2023</v>
      </c>
      <c r="E38" s="92">
        <f>E7</f>
        <v>2024</v>
      </c>
      <c r="F38" s="91"/>
      <c r="G38" s="92" t="str">
        <f>G7</f>
        <v>1Q23</v>
      </c>
      <c r="H38" s="92" t="str">
        <f>H7</f>
        <v>2Q23</v>
      </c>
      <c r="I38" s="92" t="str">
        <f>I7</f>
        <v>3Q23</v>
      </c>
      <c r="J38" s="92" t="str">
        <f>J7</f>
        <v>4Q23</v>
      </c>
      <c r="K38" s="92" t="str">
        <f>K7</f>
        <v>1Q24</v>
      </c>
      <c r="L38" s="92" t="str">
        <f>L7</f>
        <v>2Q24</v>
      </c>
      <c r="M38" s="92" t="str">
        <f>M7</f>
        <v>3Q24</v>
      </c>
      <c r="N38" s="92" t="str">
        <f>N7</f>
        <v>4Q24</v>
      </c>
      <c r="O38" s="92" t="str">
        <f>O7</f>
        <v>1Q25</v>
      </c>
      <c r="P38" s="92" t="str">
        <f>P7</f>
        <v>2Q25</v>
      </c>
      <c r="Q38" s="92" t="str">
        <f>Q7</f>
        <v>3Q25</v>
      </c>
      <c r="R38" s="94"/>
      <c r="S38" s="92" t="str">
        <f>S7</f>
        <v>4Q23</v>
      </c>
      <c r="T38" s="92" t="str">
        <f>T7</f>
        <v>1Q24</v>
      </c>
      <c r="U38" s="92" t="str">
        <f>U7</f>
        <v>2Q24</v>
      </c>
      <c r="V38" s="92" t="str">
        <f>V7</f>
        <v>3Q24</v>
      </c>
      <c r="W38" s="92" t="str">
        <f>W7</f>
        <v>4Q24</v>
      </c>
      <c r="X38" s="92" t="str">
        <f>X7</f>
        <v>1Q25</v>
      </c>
      <c r="Y38" s="92" t="str">
        <f>Y7</f>
        <v>2Q25</v>
      </c>
      <c r="Z38" s="92" t="str">
        <f>Z7</f>
        <v>3Q25</v>
      </c>
      <c r="AA38" s="92" t="e">
        <f>AA7</f>
        <v>#REF!</v>
      </c>
      <c r="AB38" s="92" t="e">
        <f>AB7</f>
        <v>#REF!</v>
      </c>
      <c r="AC38" s="91"/>
      <c r="AD38" s="150"/>
    </row>
    <row r="39" spans="1:30" ht="12.75" customHeight="1">
      <c r="B39" s="93" t="str">
        <f>B8</f>
        <v>Fiscal Period End Date</v>
      </c>
      <c r="C39" s="95">
        <f>C8</f>
        <v>44954</v>
      </c>
      <c r="D39" s="95">
        <f>D8</f>
        <v>45325</v>
      </c>
      <c r="E39" s="95">
        <f>E8</f>
        <v>45689</v>
      </c>
      <c r="F39" s="91"/>
      <c r="G39" s="95">
        <f>G8</f>
        <v>45045</v>
      </c>
      <c r="H39" s="95">
        <f>H8</f>
        <v>45136</v>
      </c>
      <c r="I39" s="95">
        <f>I8</f>
        <v>45227</v>
      </c>
      <c r="J39" s="95">
        <f>J8</f>
        <v>45325</v>
      </c>
      <c r="K39" s="95">
        <f>K8</f>
        <v>45416</v>
      </c>
      <c r="L39" s="95">
        <f>L8</f>
        <v>45507</v>
      </c>
      <c r="M39" s="95">
        <f>M8</f>
        <v>45598</v>
      </c>
      <c r="N39" s="95">
        <f>N8</f>
        <v>45689</v>
      </c>
      <c r="O39" s="95">
        <f>O8</f>
        <v>45780</v>
      </c>
      <c r="P39" s="95">
        <f>P8</f>
        <v>45871</v>
      </c>
      <c r="Q39" s="95">
        <f>Q8</f>
        <v>45962</v>
      </c>
      <c r="R39" s="96"/>
      <c r="S39" s="95">
        <f>S8</f>
        <v>45325</v>
      </c>
      <c r="T39" s="95">
        <f>T8</f>
        <v>45416</v>
      </c>
      <c r="U39" s="95">
        <f>U8</f>
        <v>45507</v>
      </c>
      <c r="V39" s="95">
        <f>V8</f>
        <v>45598</v>
      </c>
      <c r="W39" s="95">
        <f>W8</f>
        <v>45689</v>
      </c>
      <c r="X39" s="95">
        <f>X8</f>
        <v>45780</v>
      </c>
      <c r="Y39" s="95">
        <f>Y8</f>
        <v>45871</v>
      </c>
      <c r="Z39" s="95">
        <f>Z8</f>
        <v>45962</v>
      </c>
      <c r="AA39" s="95" t="e">
        <f>AA8</f>
        <v>#REF!</v>
      </c>
      <c r="AB39" s="95" t="e">
        <f>AB8</f>
        <v>#REF!</v>
      </c>
      <c r="AC39" s="91"/>
      <c r="AD39" s="150"/>
    </row>
    <row r="40" spans="1:30" ht="5.0999999999999996" customHeight="1">
      <c r="B40" s="43"/>
      <c r="C40" s="44"/>
      <c r="D40" s="44"/>
      <c r="E40" s="44"/>
    </row>
    <row r="41" spans="1:30">
      <c r="B41" s="70" t="s">
        <v>82</v>
      </c>
      <c r="C41" s="44"/>
      <c r="D41" s="44"/>
      <c r="E41" s="44"/>
    </row>
    <row r="42" spans="1:30" ht="12.75" customHeight="1">
      <c r="B42" s="9" t="s">
        <v>123</v>
      </c>
      <c r="C42" s="103">
        <v>42198</v>
      </c>
      <c r="D42" s="103">
        <v>44327</v>
      </c>
      <c r="E42" s="103">
        <v>27758</v>
      </c>
      <c r="G42" s="103">
        <v>32819</v>
      </c>
      <c r="H42" s="103"/>
      <c r="I42" s="103"/>
      <c r="J42" s="80">
        <f t="shared" ref="J42:J45" si="46">D42</f>
        <v>44327</v>
      </c>
      <c r="K42" s="103">
        <v>38233</v>
      </c>
      <c r="L42" s="103"/>
      <c r="M42" s="103"/>
      <c r="N42" s="80">
        <f>E42</f>
        <v>27758</v>
      </c>
      <c r="O42" s="103"/>
      <c r="P42" s="103"/>
      <c r="Q42" s="103"/>
      <c r="R42" s="80"/>
      <c r="S42" s="30">
        <f>J42</f>
        <v>44327</v>
      </c>
      <c r="T42" s="30">
        <f>K42</f>
        <v>38233</v>
      </c>
      <c r="U42" s="30">
        <f>L42</f>
        <v>0</v>
      </c>
      <c r="V42" s="30">
        <f>M42</f>
        <v>0</v>
      </c>
      <c r="W42" s="30">
        <f>N42</f>
        <v>27758</v>
      </c>
      <c r="X42" s="30">
        <f>O42</f>
        <v>0</v>
      </c>
      <c r="Y42" s="30">
        <f>P42</f>
        <v>0</v>
      </c>
      <c r="Z42" s="30">
        <f>Q42</f>
        <v>0</v>
      </c>
      <c r="AA42" s="30" t="e">
        <f>#REF!</f>
        <v>#REF!</v>
      </c>
      <c r="AB42" s="30" t="e">
        <f>#REF!</f>
        <v>#REF!</v>
      </c>
      <c r="AC42" s="11"/>
      <c r="AD42" s="66" t="e">
        <f t="shared" ref="AD42:AD45" si="47">SUM(AB42/X42)-1</f>
        <v>#REF!</v>
      </c>
    </row>
    <row r="43" spans="1:30" ht="12.75" customHeight="1">
      <c r="B43" s="9" t="s">
        <v>124</v>
      </c>
      <c r="C43" s="103">
        <v>70485</v>
      </c>
      <c r="D43" s="103">
        <v>63499</v>
      </c>
      <c r="E43" s="103">
        <v>69775</v>
      </c>
      <c r="G43" s="103">
        <v>66489</v>
      </c>
      <c r="H43" s="103"/>
      <c r="I43" s="103"/>
      <c r="J43" s="80">
        <f t="shared" si="46"/>
        <v>63499</v>
      </c>
      <c r="K43" s="103">
        <v>64024</v>
      </c>
      <c r="L43" s="103"/>
      <c r="M43" s="103"/>
      <c r="N43" s="80">
        <f t="shared" ref="N43:N45" si="48">E43</f>
        <v>69775</v>
      </c>
      <c r="O43" s="103"/>
      <c r="P43" s="103"/>
      <c r="Q43" s="103"/>
      <c r="R43" s="80"/>
      <c r="S43" s="30">
        <f>J43</f>
        <v>63499</v>
      </c>
      <c r="T43" s="30">
        <f>K43</f>
        <v>64024</v>
      </c>
      <c r="U43" s="30">
        <f>L43</f>
        <v>0</v>
      </c>
      <c r="V43" s="30">
        <f>M43</f>
        <v>0</v>
      </c>
      <c r="W43" s="30">
        <f>N43</f>
        <v>69775</v>
      </c>
      <c r="X43" s="30">
        <f>O43</f>
        <v>0</v>
      </c>
      <c r="Y43" s="30">
        <f>P43</f>
        <v>0</v>
      </c>
      <c r="Z43" s="30">
        <f>Q43</f>
        <v>0</v>
      </c>
      <c r="AA43" s="30" t="e">
        <f>#REF!</f>
        <v>#REF!</v>
      </c>
      <c r="AB43" s="30" t="e">
        <f>#REF!</f>
        <v>#REF!</v>
      </c>
      <c r="AC43" s="11"/>
      <c r="AD43" s="66" t="e">
        <f t="shared" si="47"/>
        <v>#REF!</v>
      </c>
    </row>
    <row r="44" spans="1:30" ht="12.75" customHeight="1">
      <c r="B44" s="9" t="s">
        <v>125</v>
      </c>
      <c r="C44" s="103">
        <v>15374</v>
      </c>
      <c r="D44" s="103">
        <v>8569</v>
      </c>
      <c r="E44" s="103">
        <v>16096</v>
      </c>
      <c r="G44" s="103">
        <v>13307</v>
      </c>
      <c r="H44" s="103"/>
      <c r="I44" s="103"/>
      <c r="J44" s="80">
        <f t="shared" si="46"/>
        <v>8569</v>
      </c>
      <c r="K44" s="103">
        <v>9547</v>
      </c>
      <c r="L44" s="103"/>
      <c r="M44" s="103"/>
      <c r="N44" s="80">
        <f t="shared" si="48"/>
        <v>16096</v>
      </c>
      <c r="O44" s="103"/>
      <c r="P44" s="103"/>
      <c r="Q44" s="103"/>
      <c r="R44" s="80"/>
      <c r="S44" s="30">
        <f>J44</f>
        <v>8569</v>
      </c>
      <c r="T44" s="30">
        <f>K44</f>
        <v>9547</v>
      </c>
      <c r="U44" s="30">
        <f>L44</f>
        <v>0</v>
      </c>
      <c r="V44" s="30">
        <f>M44</f>
        <v>0</v>
      </c>
      <c r="W44" s="30">
        <f>N44</f>
        <v>16096</v>
      </c>
      <c r="X44" s="30">
        <f>O44</f>
        <v>0</v>
      </c>
      <c r="Y44" s="30">
        <f>P44</f>
        <v>0</v>
      </c>
      <c r="Z44" s="30">
        <f>Q44</f>
        <v>0</v>
      </c>
      <c r="AA44" s="30" t="e">
        <f>#REF!</f>
        <v>#REF!</v>
      </c>
      <c r="AB44" s="30" t="e">
        <f>#REF!</f>
        <v>#REF!</v>
      </c>
      <c r="AC44" s="11"/>
      <c r="AD44" s="66" t="e">
        <f t="shared" ref="AD44" si="49">SUM(AB44/X44)-1</f>
        <v>#REF!</v>
      </c>
    </row>
    <row r="45" spans="1:30" ht="12.75" customHeight="1">
      <c r="B45" s="9" t="s">
        <v>126</v>
      </c>
      <c r="C45" s="103">
        <v>19374</v>
      </c>
      <c r="D45" s="103">
        <v>11377</v>
      </c>
      <c r="E45" s="103">
        <v>12669</v>
      </c>
      <c r="G45" s="103">
        <v>13503</v>
      </c>
      <c r="H45" s="103"/>
      <c r="I45" s="103"/>
      <c r="J45" s="80">
        <f t="shared" si="46"/>
        <v>11377</v>
      </c>
      <c r="K45" s="103">
        <v>12046</v>
      </c>
      <c r="L45" s="103"/>
      <c r="M45" s="103"/>
      <c r="N45" s="80">
        <f t="shared" si="48"/>
        <v>12669</v>
      </c>
      <c r="O45" s="103"/>
      <c r="P45" s="103"/>
      <c r="Q45" s="103"/>
      <c r="R45" s="80"/>
      <c r="S45" s="30">
        <f>J45</f>
        <v>11377</v>
      </c>
      <c r="T45" s="30">
        <f>K45</f>
        <v>12046</v>
      </c>
      <c r="U45" s="30">
        <f>L45</f>
        <v>0</v>
      </c>
      <c r="V45" s="30">
        <f>M45</f>
        <v>0</v>
      </c>
      <c r="W45" s="30">
        <f>N45</f>
        <v>12669</v>
      </c>
      <c r="X45" s="30">
        <f>O45</f>
        <v>0</v>
      </c>
      <c r="Y45" s="30">
        <f>P45</f>
        <v>0</v>
      </c>
      <c r="Z45" s="30">
        <f>Q45</f>
        <v>0</v>
      </c>
      <c r="AA45" s="30" t="e">
        <f>#REF!</f>
        <v>#REF!</v>
      </c>
      <c r="AB45" s="30" t="e">
        <f>#REF!</f>
        <v>#REF!</v>
      </c>
      <c r="AC45" s="11"/>
      <c r="AD45" s="66" t="e">
        <f t="shared" si="47"/>
        <v>#REF!</v>
      </c>
    </row>
    <row r="46" spans="1:30" ht="12.75" customHeight="1">
      <c r="B46" s="23" t="s">
        <v>18</v>
      </c>
      <c r="C46" s="24">
        <f>SUM(C42:C45)</f>
        <v>147431</v>
      </c>
      <c r="D46" s="24">
        <f>SUM(D42:D45)</f>
        <v>127772</v>
      </c>
      <c r="E46" s="24">
        <f>SUM(E42:E45)</f>
        <v>126298</v>
      </c>
      <c r="F46" s="45"/>
      <c r="G46" s="24">
        <f>SUM(G42:G45)</f>
        <v>126118</v>
      </c>
      <c r="H46" s="24">
        <f>SUM(H42:H45)</f>
        <v>0</v>
      </c>
      <c r="I46" s="24">
        <f>SUM(I42:I45)</f>
        <v>0</v>
      </c>
      <c r="J46" s="24">
        <f>SUM(J42:J45)</f>
        <v>127772</v>
      </c>
      <c r="K46" s="24">
        <f>SUM(K42:K45)</f>
        <v>123850</v>
      </c>
      <c r="L46" s="24">
        <f>SUM(L42:L45)</f>
        <v>0</v>
      </c>
      <c r="M46" s="24">
        <f>SUM(M42:M45)</f>
        <v>0</v>
      </c>
      <c r="N46" s="24">
        <f>SUM(N42:N45)</f>
        <v>126298</v>
      </c>
      <c r="O46" s="24">
        <f>SUM(O42:O45)</f>
        <v>0</v>
      </c>
      <c r="P46" s="24">
        <f>SUM(P42:P45)</f>
        <v>0</v>
      </c>
      <c r="Q46" s="24">
        <f>SUM(Q42:Q45)</f>
        <v>0</v>
      </c>
      <c r="R46" s="45"/>
      <c r="S46" s="24">
        <f>SUM(S42:S45)</f>
        <v>127772</v>
      </c>
      <c r="T46" s="24">
        <f>SUM(T42:T45)</f>
        <v>123850</v>
      </c>
      <c r="U46" s="24">
        <f>SUM(U42:U45)</f>
        <v>0</v>
      </c>
      <c r="V46" s="24">
        <f>SUM(V42:V45)</f>
        <v>0</v>
      </c>
      <c r="W46" s="24">
        <f>SUM(W42:W45)</f>
        <v>126298</v>
      </c>
      <c r="X46" s="24">
        <f>SUM(X42:X45)</f>
        <v>0</v>
      </c>
      <c r="Y46" s="24">
        <f>SUM(Y42:Y45)</f>
        <v>0</v>
      </c>
      <c r="Z46" s="24">
        <f>SUM(Z42:Z45)</f>
        <v>0</v>
      </c>
      <c r="AA46" s="24" t="e">
        <f>SUM(AA42:AA45)</f>
        <v>#REF!</v>
      </c>
      <c r="AB46" s="24" t="e">
        <f>SUM(AB42:AB45)</f>
        <v>#REF!</v>
      </c>
      <c r="AC46" s="39"/>
      <c r="AD46" s="67" t="e">
        <f>SUM(AB46/X46)-1</f>
        <v>#REF!</v>
      </c>
    </row>
    <row r="47" spans="1:30" ht="5.0999999999999996" customHeight="1">
      <c r="B47" s="23"/>
      <c r="C47" s="38"/>
      <c r="D47" s="38"/>
      <c r="E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6"/>
    </row>
    <row r="48" spans="1:30" ht="12.75" customHeight="1">
      <c r="B48" s="70" t="s">
        <v>83</v>
      </c>
      <c r="C48" s="74"/>
      <c r="D48" s="74"/>
      <c r="E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11"/>
      <c r="AD48" s="66"/>
    </row>
    <row r="49" spans="2:30" ht="12.75" customHeight="1">
      <c r="B49" s="9" t="s">
        <v>127</v>
      </c>
      <c r="C49" s="74">
        <v>71791</v>
      </c>
      <c r="D49" s="74">
        <v>73443</v>
      </c>
      <c r="E49" s="74">
        <v>90200</v>
      </c>
      <c r="G49" s="103">
        <v>73780</v>
      </c>
      <c r="H49" s="103"/>
      <c r="I49" s="103"/>
      <c r="J49" s="80">
        <f t="shared" ref="J49:J52" si="50">D49</f>
        <v>73443</v>
      </c>
      <c r="K49" s="103">
        <v>72783</v>
      </c>
      <c r="L49" s="103"/>
      <c r="M49" s="103"/>
      <c r="N49" s="80">
        <f t="shared" ref="N49:N52" si="51">E49</f>
        <v>90200</v>
      </c>
      <c r="O49" s="103"/>
      <c r="P49" s="103"/>
      <c r="Q49" s="103"/>
      <c r="S49" s="30">
        <f>J49</f>
        <v>73443</v>
      </c>
      <c r="T49" s="30">
        <f>K49</f>
        <v>72783</v>
      </c>
      <c r="U49" s="30">
        <f>L49</f>
        <v>0</v>
      </c>
      <c r="V49" s="30">
        <f>M49</f>
        <v>0</v>
      </c>
      <c r="W49" s="30">
        <f>N49</f>
        <v>90200</v>
      </c>
      <c r="X49" s="30">
        <f>O49</f>
        <v>0</v>
      </c>
      <c r="Y49" s="30">
        <f>P49</f>
        <v>0</v>
      </c>
      <c r="Z49" s="30">
        <f>Q49</f>
        <v>0</v>
      </c>
      <c r="AA49" s="30" t="e">
        <f>#REF!</f>
        <v>#REF!</v>
      </c>
      <c r="AB49" s="30" t="e">
        <f>#REF!</f>
        <v>#REF!</v>
      </c>
      <c r="AC49" s="11"/>
      <c r="AD49" s="66" t="e">
        <f t="shared" ref="AD49:AD50" si="52">SUM(AB49/X49)-1</f>
        <v>#REF!</v>
      </c>
    </row>
    <row r="50" spans="2:30" ht="12.75" customHeight="1">
      <c r="B50" s="9" t="s">
        <v>128</v>
      </c>
      <c r="C50" s="74">
        <v>50759</v>
      </c>
      <c r="D50" s="74">
        <v>55262</v>
      </c>
      <c r="E50" s="74">
        <v>59761</v>
      </c>
      <c r="G50" s="103">
        <v>50385</v>
      </c>
      <c r="H50" s="103"/>
      <c r="I50" s="103"/>
      <c r="J50" s="80">
        <f t="shared" si="50"/>
        <v>55262</v>
      </c>
      <c r="K50" s="103">
        <v>53897</v>
      </c>
      <c r="L50" s="103"/>
      <c r="M50" s="103"/>
      <c r="N50" s="80">
        <f t="shared" si="51"/>
        <v>59761</v>
      </c>
      <c r="O50" s="103"/>
      <c r="P50" s="103"/>
      <c r="Q50" s="103"/>
      <c r="S50" s="30">
        <f>J50</f>
        <v>55262</v>
      </c>
      <c r="T50" s="30">
        <f>K50</f>
        <v>53897</v>
      </c>
      <c r="U50" s="30">
        <f>L50</f>
        <v>0</v>
      </c>
      <c r="V50" s="30">
        <f>M50</f>
        <v>0</v>
      </c>
      <c r="W50" s="30">
        <f>N50</f>
        <v>59761</v>
      </c>
      <c r="X50" s="30">
        <f>O50</f>
        <v>0</v>
      </c>
      <c r="Y50" s="30">
        <f>P50</f>
        <v>0</v>
      </c>
      <c r="Z50" s="30">
        <f>Q50</f>
        <v>0</v>
      </c>
      <c r="AA50" s="30" t="e">
        <f>#REF!</f>
        <v>#REF!</v>
      </c>
      <c r="AB50" s="30" t="e">
        <f>#REF!</f>
        <v>#REF!</v>
      </c>
      <c r="AC50" s="11"/>
      <c r="AD50" s="66" t="e">
        <f t="shared" si="52"/>
        <v>#REF!</v>
      </c>
    </row>
    <row r="51" spans="2:30" ht="12.75" customHeight="1">
      <c r="B51" s="9" t="s">
        <v>129</v>
      </c>
      <c r="C51" s="74">
        <v>6592</v>
      </c>
      <c r="D51" s="74">
        <v>8682</v>
      </c>
      <c r="E51" s="74">
        <v>7596</v>
      </c>
      <c r="G51" s="103">
        <v>6642</v>
      </c>
      <c r="H51" s="103"/>
      <c r="I51" s="103"/>
      <c r="J51" s="80">
        <f t="shared" si="50"/>
        <v>8682</v>
      </c>
      <c r="K51" s="103">
        <v>8672</v>
      </c>
      <c r="L51" s="103"/>
      <c r="M51" s="103"/>
      <c r="N51" s="80">
        <f t="shared" si="51"/>
        <v>7596</v>
      </c>
      <c r="O51" s="103"/>
      <c r="P51" s="103"/>
      <c r="Q51" s="103"/>
      <c r="S51" s="30">
        <f>J51</f>
        <v>8682</v>
      </c>
      <c r="T51" s="30">
        <f>K51</f>
        <v>8672</v>
      </c>
      <c r="U51" s="30">
        <f>L51</f>
        <v>0</v>
      </c>
      <c r="V51" s="30">
        <f>M51</f>
        <v>0</v>
      </c>
      <c r="W51" s="30">
        <f>N51</f>
        <v>7596</v>
      </c>
      <c r="X51" s="30">
        <f>O51</f>
        <v>0</v>
      </c>
      <c r="Y51" s="30">
        <f>P51</f>
        <v>0</v>
      </c>
      <c r="Z51" s="30">
        <f>Q51</f>
        <v>0</v>
      </c>
      <c r="AA51" s="30" t="e">
        <f>#REF!</f>
        <v>#REF!</v>
      </c>
      <c r="AB51" s="30" t="e">
        <f>#REF!</f>
        <v>#REF!</v>
      </c>
      <c r="AC51" s="11"/>
      <c r="AD51" s="66" t="e">
        <f t="shared" ref="AD51:AD52" si="53">SUM(AB51/X51)-1</f>
        <v>#REF!</v>
      </c>
    </row>
    <row r="52" spans="2:30" ht="12.75" customHeight="1">
      <c r="B52" s="9" t="s">
        <v>130</v>
      </c>
      <c r="C52" s="74">
        <v>4221</v>
      </c>
      <c r="D52" s="74">
        <v>7166</v>
      </c>
      <c r="E52" s="74">
        <v>6101</v>
      </c>
      <c r="G52" s="103">
        <v>4785</v>
      </c>
      <c r="H52" s="103"/>
      <c r="I52" s="103"/>
      <c r="J52" s="80">
        <f t="shared" si="50"/>
        <v>7166</v>
      </c>
      <c r="K52" s="103">
        <v>6074</v>
      </c>
      <c r="L52" s="103"/>
      <c r="M52" s="103"/>
      <c r="N52" s="80">
        <f t="shared" si="51"/>
        <v>6101</v>
      </c>
      <c r="O52" s="103"/>
      <c r="P52" s="103"/>
      <c r="Q52" s="103"/>
      <c r="S52" s="30">
        <f>J52</f>
        <v>7166</v>
      </c>
      <c r="T52" s="30">
        <f>K52</f>
        <v>6074</v>
      </c>
      <c r="U52" s="30">
        <f>L52</f>
        <v>0</v>
      </c>
      <c r="V52" s="30">
        <f>M52</f>
        <v>0</v>
      </c>
      <c r="W52" s="30">
        <f>N52</f>
        <v>6101</v>
      </c>
      <c r="X52" s="30">
        <f>O52</f>
        <v>0</v>
      </c>
      <c r="Y52" s="30">
        <f>P52</f>
        <v>0</v>
      </c>
      <c r="Z52" s="30">
        <f>Q52</f>
        <v>0</v>
      </c>
      <c r="AA52" s="30" t="e">
        <f>#REF!</f>
        <v>#REF!</v>
      </c>
      <c r="AB52" s="30" t="e">
        <f>#REF!</f>
        <v>#REF!</v>
      </c>
      <c r="AC52" s="11"/>
      <c r="AD52" s="66" t="e">
        <f t="shared" si="53"/>
        <v>#REF!</v>
      </c>
    </row>
    <row r="53" spans="2:30" ht="12.75" customHeight="1">
      <c r="B53" s="12" t="s">
        <v>19</v>
      </c>
      <c r="C53" s="13">
        <f>SUM(C49:C52)+C46</f>
        <v>280794</v>
      </c>
      <c r="D53" s="13">
        <f>SUM(D49:D52)+D46</f>
        <v>272325</v>
      </c>
      <c r="E53" s="13">
        <f>SUM(E49:E52)+E46</f>
        <v>289956</v>
      </c>
      <c r="G53" s="13">
        <f>SUM(G49:G52)+G46</f>
        <v>261710</v>
      </c>
      <c r="H53" s="13">
        <f>SUM(H49:H52)+H46</f>
        <v>0</v>
      </c>
      <c r="I53" s="13">
        <f>SUM(I49:I52)+I46</f>
        <v>0</v>
      </c>
      <c r="J53" s="13">
        <f>SUM(J49:J52)+J46</f>
        <v>272325</v>
      </c>
      <c r="K53" s="13">
        <f>SUM(K49:K52)+K46</f>
        <v>265276</v>
      </c>
      <c r="L53" s="13">
        <f>SUM(L49:L52)+L46</f>
        <v>0</v>
      </c>
      <c r="M53" s="13">
        <f>SUM(M49:M52)+M46</f>
        <v>0</v>
      </c>
      <c r="N53" s="13">
        <f>SUM(N49:N52)+N46</f>
        <v>289956</v>
      </c>
      <c r="O53" s="13">
        <f>SUM(O49:O52)+O46</f>
        <v>0</v>
      </c>
      <c r="P53" s="13">
        <f>SUM(P49:P52)+P46</f>
        <v>0</v>
      </c>
      <c r="Q53" s="13">
        <f>SUM(Q49:Q52)+Q46</f>
        <v>0</v>
      </c>
      <c r="S53" s="13">
        <f>SUM(S49:S52)+S46</f>
        <v>272325</v>
      </c>
      <c r="T53" s="13">
        <f>SUM(T49:T52)+T46</f>
        <v>265276</v>
      </c>
      <c r="U53" s="13">
        <f>SUM(U49:U52)+U46</f>
        <v>0</v>
      </c>
      <c r="V53" s="13">
        <f>SUM(V49:V52)+V46</f>
        <v>0</v>
      </c>
      <c r="W53" s="13">
        <f>SUM(W49:W52)+W46</f>
        <v>289956</v>
      </c>
      <c r="X53" s="13">
        <f>SUM(X49:X52)+X46</f>
        <v>0</v>
      </c>
      <c r="Y53" s="13">
        <f>SUM(Y49:Y52)+Y46</f>
        <v>0</v>
      </c>
      <c r="Z53" s="13">
        <f>SUM(Z49:Z52)+Z46</f>
        <v>0</v>
      </c>
      <c r="AA53" s="13" t="e">
        <f>SUM(AA49:AA52)+AA46</f>
        <v>#REF!</v>
      </c>
      <c r="AB53" s="13" t="e">
        <f>SUM(AB49:AB52)+AB46</f>
        <v>#REF!</v>
      </c>
      <c r="AC53" s="39"/>
      <c r="AD53" s="67" t="e">
        <f>SUM(AB53/X53)-1</f>
        <v>#REF!</v>
      </c>
    </row>
    <row r="54" spans="2:30" ht="12.75" customHeight="1">
      <c r="B54" s="23"/>
      <c r="C54" s="38"/>
      <c r="D54" s="38"/>
      <c r="E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6"/>
    </row>
    <row r="55" spans="2:30" ht="12.75" customHeight="1">
      <c r="B55" s="70" t="s">
        <v>45</v>
      </c>
      <c r="C55" s="38"/>
      <c r="D55" s="38"/>
      <c r="E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6"/>
    </row>
    <row r="56" spans="2:30" ht="12.75" customHeight="1">
      <c r="B56" s="9" t="s">
        <v>131</v>
      </c>
      <c r="C56" s="74">
        <v>10286</v>
      </c>
      <c r="D56" s="74">
        <v>16170</v>
      </c>
      <c r="E56" s="74">
        <v>16538</v>
      </c>
      <c r="G56" s="103">
        <v>13686</v>
      </c>
      <c r="H56" s="103"/>
      <c r="I56" s="103"/>
      <c r="J56" s="80">
        <f t="shared" ref="J56:J60" si="54">D56</f>
        <v>16170</v>
      </c>
      <c r="K56" s="103">
        <v>14793</v>
      </c>
      <c r="L56" s="103"/>
      <c r="M56" s="103"/>
      <c r="N56" s="80">
        <f t="shared" ref="N56:N60" si="55">E56</f>
        <v>16538</v>
      </c>
      <c r="O56" s="103"/>
      <c r="P56" s="103"/>
      <c r="Q56" s="103"/>
      <c r="S56" s="30">
        <f>J56</f>
        <v>16170</v>
      </c>
      <c r="T56" s="30">
        <f>K56</f>
        <v>14793</v>
      </c>
      <c r="U56" s="30">
        <f>L56</f>
        <v>0</v>
      </c>
      <c r="V56" s="30">
        <f>M56</f>
        <v>0</v>
      </c>
      <c r="W56" s="30">
        <f>N56</f>
        <v>16538</v>
      </c>
      <c r="X56" s="30">
        <f>O56</f>
        <v>0</v>
      </c>
      <c r="Y56" s="30">
        <f>P56</f>
        <v>0</v>
      </c>
      <c r="Z56" s="30">
        <f>Q56</f>
        <v>0</v>
      </c>
      <c r="AA56" s="30" t="e">
        <f>#REF!</f>
        <v>#REF!</v>
      </c>
      <c r="AB56" s="30" t="e">
        <f>#REF!</f>
        <v>#REF!</v>
      </c>
      <c r="AC56" s="11"/>
      <c r="AD56" s="66" t="e">
        <f t="shared" ref="AD56:AD57" si="56">SUM(AB56/X56)-1</f>
        <v>#REF!</v>
      </c>
    </row>
    <row r="57" spans="2:30" ht="12.75" customHeight="1">
      <c r="B57" s="9" t="s">
        <v>132</v>
      </c>
      <c r="C57" s="74">
        <v>37358</v>
      </c>
      <c r="D57" s="74">
        <v>19954</v>
      </c>
      <c r="E57" s="74">
        <v>16209</v>
      </c>
      <c r="G57" s="103">
        <v>27272</v>
      </c>
      <c r="H57" s="103"/>
      <c r="I57" s="103"/>
      <c r="J57" s="80">
        <f t="shared" si="54"/>
        <v>19954</v>
      </c>
      <c r="K57" s="103">
        <v>19552</v>
      </c>
      <c r="L57" s="103"/>
      <c r="M57" s="103"/>
      <c r="N57" s="80">
        <f t="shared" si="55"/>
        <v>16209</v>
      </c>
      <c r="O57" s="103"/>
      <c r="P57" s="103"/>
      <c r="Q57" s="103"/>
      <c r="S57" s="30">
        <f>J57</f>
        <v>19954</v>
      </c>
      <c r="T57" s="30">
        <f>K57</f>
        <v>19552</v>
      </c>
      <c r="U57" s="30">
        <f>L57</f>
        <v>0</v>
      </c>
      <c r="V57" s="30">
        <f>M57</f>
        <v>0</v>
      </c>
      <c r="W57" s="30">
        <f>N57</f>
        <v>16209</v>
      </c>
      <c r="X57" s="30">
        <f>O57</f>
        <v>0</v>
      </c>
      <c r="Y57" s="30">
        <f>P57</f>
        <v>0</v>
      </c>
      <c r="Z57" s="30">
        <f>Q57</f>
        <v>0</v>
      </c>
      <c r="AA57" s="30" t="e">
        <f>#REF!</f>
        <v>#REF!</v>
      </c>
      <c r="AB57" s="30" t="e">
        <f>#REF!</f>
        <v>#REF!</v>
      </c>
      <c r="AC57" s="11"/>
      <c r="AD57" s="66" t="e">
        <f t="shared" si="56"/>
        <v>#REF!</v>
      </c>
    </row>
    <row r="58" spans="2:30" ht="12.75" customHeight="1">
      <c r="B58" s="9" t="s">
        <v>133</v>
      </c>
      <c r="C58" s="74">
        <v>27436</v>
      </c>
      <c r="D58" s="74">
        <v>25961</v>
      </c>
      <c r="E58" s="74">
        <v>26841</v>
      </c>
      <c r="G58" s="103">
        <v>27843</v>
      </c>
      <c r="H58" s="103"/>
      <c r="I58" s="103"/>
      <c r="J58" s="80">
        <f t="shared" si="54"/>
        <v>25961</v>
      </c>
      <c r="K58" s="103">
        <v>24276</v>
      </c>
      <c r="L58" s="103"/>
      <c r="M58" s="103"/>
      <c r="N58" s="80">
        <f t="shared" si="55"/>
        <v>26841</v>
      </c>
      <c r="O58" s="103"/>
      <c r="P58" s="103"/>
      <c r="Q58" s="103"/>
      <c r="S58" s="30">
        <f>J58</f>
        <v>25961</v>
      </c>
      <c r="T58" s="30">
        <f>K58</f>
        <v>24276</v>
      </c>
      <c r="U58" s="30">
        <f>L58</f>
        <v>0</v>
      </c>
      <c r="V58" s="30">
        <f>M58</f>
        <v>0</v>
      </c>
      <c r="W58" s="30">
        <f>N58</f>
        <v>26841</v>
      </c>
      <c r="X58" s="30">
        <f>O58</f>
        <v>0</v>
      </c>
      <c r="Y58" s="30">
        <f>P58</f>
        <v>0</v>
      </c>
      <c r="Z58" s="30">
        <f>Q58</f>
        <v>0</v>
      </c>
      <c r="AA58" s="30" t="e">
        <f>#REF!</f>
        <v>#REF!</v>
      </c>
      <c r="AB58" s="30" t="e">
        <f>#REF!</f>
        <v>#REF!</v>
      </c>
      <c r="AC58" s="11"/>
      <c r="AD58" s="66" t="e">
        <f t="shared" ref="AD58:AD59" si="57">SUM(AB58/X58)-1</f>
        <v>#REF!</v>
      </c>
    </row>
    <row r="59" spans="2:30" ht="12.75" customHeight="1">
      <c r="B59" s="9" t="s">
        <v>134</v>
      </c>
      <c r="C59" s="74">
        <v>19425</v>
      </c>
      <c r="D59" s="74">
        <v>18134</v>
      </c>
      <c r="E59" s="74">
        <v>15791</v>
      </c>
      <c r="G59" s="103">
        <v>18637</v>
      </c>
      <c r="H59" s="103"/>
      <c r="I59" s="103"/>
      <c r="J59" s="80">
        <f t="shared" si="54"/>
        <v>18134</v>
      </c>
      <c r="K59" s="103">
        <v>16620</v>
      </c>
      <c r="L59" s="103"/>
      <c r="M59" s="103"/>
      <c r="N59" s="80">
        <f t="shared" si="55"/>
        <v>15791</v>
      </c>
      <c r="O59" s="103"/>
      <c r="P59" s="103"/>
      <c r="Q59" s="103"/>
      <c r="S59" s="30">
        <f>J59</f>
        <v>18134</v>
      </c>
      <c r="T59" s="30">
        <f>K59</f>
        <v>16620</v>
      </c>
      <c r="U59" s="30">
        <f>L59</f>
        <v>0</v>
      </c>
      <c r="V59" s="30">
        <f>M59</f>
        <v>0</v>
      </c>
      <c r="W59" s="30">
        <f>N59</f>
        <v>15791</v>
      </c>
      <c r="X59" s="30">
        <f>O59</f>
        <v>0</v>
      </c>
      <c r="Y59" s="30">
        <f>P59</f>
        <v>0</v>
      </c>
      <c r="Z59" s="30">
        <f>Q59</f>
        <v>0</v>
      </c>
      <c r="AA59" s="30" t="e">
        <f>#REF!</f>
        <v>#REF!</v>
      </c>
      <c r="AB59" s="30" t="e">
        <f>#REF!</f>
        <v>#REF!</v>
      </c>
      <c r="AC59" s="11"/>
      <c r="AD59" s="66" t="e">
        <f t="shared" si="57"/>
        <v>#REF!</v>
      </c>
    </row>
    <row r="60" spans="2:30" ht="12.75" customHeight="1">
      <c r="B60" s="9" t="s">
        <v>135</v>
      </c>
      <c r="C60" s="74">
        <v>6646</v>
      </c>
      <c r="D60" s="74">
        <v>3514</v>
      </c>
      <c r="E60" s="74">
        <v>4015</v>
      </c>
      <c r="G60" s="103">
        <v>5010</v>
      </c>
      <c r="H60" s="103"/>
      <c r="I60" s="103"/>
      <c r="J60" s="80">
        <f t="shared" si="54"/>
        <v>3514</v>
      </c>
      <c r="K60" s="103">
        <v>3432</v>
      </c>
      <c r="L60" s="103"/>
      <c r="M60" s="103"/>
      <c r="N60" s="80">
        <f t="shared" si="55"/>
        <v>4015</v>
      </c>
      <c r="O60" s="103"/>
      <c r="P60" s="103"/>
      <c r="Q60" s="103"/>
      <c r="S60" s="30">
        <f>J60</f>
        <v>3514</v>
      </c>
      <c r="T60" s="30">
        <f>K60</f>
        <v>3432</v>
      </c>
      <c r="U60" s="30">
        <f>L60</f>
        <v>0</v>
      </c>
      <c r="V60" s="30">
        <f>M60</f>
        <v>0</v>
      </c>
      <c r="W60" s="30">
        <f>N60</f>
        <v>4015</v>
      </c>
      <c r="X60" s="30">
        <f>O60</f>
        <v>0</v>
      </c>
      <c r="Y60" s="30">
        <f>P60</f>
        <v>0</v>
      </c>
      <c r="Z60" s="30">
        <f>Q60</f>
        <v>0</v>
      </c>
      <c r="AA60" s="30" t="e">
        <f>#REF!</f>
        <v>#REF!</v>
      </c>
      <c r="AB60" s="30" t="e">
        <f>#REF!</f>
        <v>#REF!</v>
      </c>
      <c r="AC60" s="11"/>
      <c r="AD60" s="66"/>
    </row>
    <row r="61" spans="2:30" ht="12.75" customHeight="1">
      <c r="B61" s="23" t="s">
        <v>17</v>
      </c>
      <c r="C61" s="24">
        <f>SUM(C56:C60)</f>
        <v>101151</v>
      </c>
      <c r="D61" s="24">
        <f>SUM(D56:D60)</f>
        <v>83733</v>
      </c>
      <c r="E61" s="24">
        <f>SUM(E56:E60)</f>
        <v>79394</v>
      </c>
      <c r="G61" s="24">
        <f>SUM(G56:G60)</f>
        <v>92448</v>
      </c>
      <c r="H61" s="24">
        <f>SUM(H56:H60)</f>
        <v>0</v>
      </c>
      <c r="I61" s="24">
        <f>SUM(I56:I60)</f>
        <v>0</v>
      </c>
      <c r="J61" s="24">
        <f>SUM(J56:J60)</f>
        <v>83733</v>
      </c>
      <c r="K61" s="24">
        <f>SUM(K56:K60)</f>
        <v>78673</v>
      </c>
      <c r="L61" s="24">
        <f>SUM(L56:L60)</f>
        <v>0</v>
      </c>
      <c r="M61" s="24">
        <f>SUM(M56:M60)</f>
        <v>0</v>
      </c>
      <c r="N61" s="24">
        <f>SUM(N56:N60)</f>
        <v>79394</v>
      </c>
      <c r="O61" s="24">
        <f>SUM(O56:O60)</f>
        <v>0</v>
      </c>
      <c r="P61" s="24">
        <f>SUM(P56:P60)</f>
        <v>0</v>
      </c>
      <c r="Q61" s="24">
        <f>SUM(Q56:Q60)</f>
        <v>0</v>
      </c>
      <c r="R61" s="45"/>
      <c r="S61" s="24">
        <f>SUM(S56:S60)</f>
        <v>83733</v>
      </c>
      <c r="T61" s="24">
        <f>SUM(T56:T60)</f>
        <v>78673</v>
      </c>
      <c r="U61" s="24">
        <f>SUM(U56:U60)</f>
        <v>0</v>
      </c>
      <c r="V61" s="24">
        <f>SUM(V56:V60)</f>
        <v>0</v>
      </c>
      <c r="W61" s="24">
        <f>SUM(W56:W60)</f>
        <v>79394</v>
      </c>
      <c r="X61" s="24">
        <f>SUM(X56:X60)</f>
        <v>0</v>
      </c>
      <c r="Y61" s="24">
        <f>SUM(Y56:Y60)</f>
        <v>0</v>
      </c>
      <c r="Z61" s="24">
        <f>SUM(Z56:Z60)</f>
        <v>0</v>
      </c>
      <c r="AA61" s="24" t="e">
        <f>SUM(AA56:AA60)</f>
        <v>#REF!</v>
      </c>
      <c r="AB61" s="24" t="e">
        <f>SUM(AB56:AB60)</f>
        <v>#REF!</v>
      </c>
      <c r="AC61" s="39"/>
      <c r="AD61" s="67" t="e">
        <f>SUM(AB61/X61)-1</f>
        <v>#REF!</v>
      </c>
    </row>
    <row r="62" spans="2:30" ht="5.0999999999999996" customHeight="1">
      <c r="B62" s="23"/>
      <c r="C62" s="38"/>
      <c r="D62" s="38"/>
      <c r="E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6"/>
    </row>
    <row r="63" spans="2:30">
      <c r="B63" s="70" t="s">
        <v>84</v>
      </c>
      <c r="C63" s="38"/>
      <c r="D63" s="38"/>
      <c r="E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6"/>
    </row>
    <row r="64" spans="2:30" ht="12.75" customHeight="1">
      <c r="B64" s="102" t="s">
        <v>136</v>
      </c>
      <c r="C64" s="74">
        <v>59080</v>
      </c>
      <c r="D64" s="74">
        <v>57609</v>
      </c>
      <c r="E64" s="74">
        <v>70155</v>
      </c>
      <c r="G64" s="103">
        <v>59030</v>
      </c>
      <c r="H64" s="103"/>
      <c r="I64" s="103"/>
      <c r="J64" s="80">
        <f t="shared" ref="J64:J65" si="58">D64</f>
        <v>57609</v>
      </c>
      <c r="K64" s="103">
        <v>56906</v>
      </c>
      <c r="L64" s="103"/>
      <c r="M64" s="103"/>
      <c r="N64" s="80">
        <f t="shared" ref="N64:N65" si="59">E64</f>
        <v>70155</v>
      </c>
      <c r="O64" s="103"/>
      <c r="P64" s="103"/>
      <c r="Q64" s="103"/>
      <c r="S64" s="30">
        <f>J64</f>
        <v>57609</v>
      </c>
      <c r="T64" s="30">
        <f>K64</f>
        <v>56906</v>
      </c>
      <c r="U64" s="30">
        <f>L64</f>
        <v>0</v>
      </c>
      <c r="V64" s="30">
        <f>M64</f>
        <v>0</v>
      </c>
      <c r="W64" s="30">
        <f>N64</f>
        <v>70155</v>
      </c>
      <c r="X64" s="30">
        <f>O64</f>
        <v>0</v>
      </c>
      <c r="Y64" s="30">
        <f>P64</f>
        <v>0</v>
      </c>
      <c r="Z64" s="30">
        <f>Q64</f>
        <v>0</v>
      </c>
      <c r="AA64" s="30" t="e">
        <f>#REF!</f>
        <v>#REF!</v>
      </c>
      <c r="AB64" s="30" t="e">
        <f>#REF!</f>
        <v>#REF!</v>
      </c>
      <c r="AC64" s="39"/>
      <c r="AD64" s="66" t="e">
        <f t="shared" ref="AD64" si="60">SUM(AB64/X64)-1</f>
        <v>#REF!</v>
      </c>
    </row>
    <row r="65" spans="1:30" ht="12.75" customHeight="1">
      <c r="B65" s="102" t="s">
        <v>137</v>
      </c>
      <c r="C65" s="74">
        <v>1446</v>
      </c>
      <c r="D65" s="74">
        <v>1321</v>
      </c>
      <c r="E65" s="74">
        <v>1325</v>
      </c>
      <c r="G65" s="103">
        <v>1260</v>
      </c>
      <c r="H65" s="103"/>
      <c r="I65" s="103"/>
      <c r="J65" s="80">
        <f t="shared" si="58"/>
        <v>1321</v>
      </c>
      <c r="K65" s="103">
        <v>1356</v>
      </c>
      <c r="L65" s="103"/>
      <c r="M65" s="103"/>
      <c r="N65" s="80">
        <f t="shared" si="59"/>
        <v>1325</v>
      </c>
      <c r="O65" s="103"/>
      <c r="P65" s="103"/>
      <c r="Q65" s="103"/>
      <c r="S65" s="30">
        <f>J65</f>
        <v>1321</v>
      </c>
      <c r="T65" s="30">
        <f>K65</f>
        <v>1356</v>
      </c>
      <c r="U65" s="30">
        <f>L65</f>
        <v>0</v>
      </c>
      <c r="V65" s="30">
        <f>M65</f>
        <v>0</v>
      </c>
      <c r="W65" s="30">
        <f>N65</f>
        <v>1325</v>
      </c>
      <c r="X65" s="30">
        <f>O65</f>
        <v>0</v>
      </c>
      <c r="Y65" s="30">
        <f>P65</f>
        <v>0</v>
      </c>
      <c r="Z65" s="30">
        <f>Q65</f>
        <v>0</v>
      </c>
      <c r="AA65" s="30" t="e">
        <f>#REF!</f>
        <v>#REF!</v>
      </c>
      <c r="AB65" s="30" t="e">
        <f>#REF!</f>
        <v>#REF!</v>
      </c>
      <c r="AC65" s="39"/>
      <c r="AD65" s="66" t="e">
        <f t="shared" ref="AD65" si="61">SUM(AB65/X65)-1</f>
        <v>#REF!</v>
      </c>
    </row>
    <row r="66" spans="1:30" ht="12.75" customHeight="1">
      <c r="B66" s="12" t="s">
        <v>15</v>
      </c>
      <c r="C66" s="13">
        <f>SUM(C64:C65)+C61</f>
        <v>161677</v>
      </c>
      <c r="D66" s="13">
        <f>SUM(D64:D65)+D61</f>
        <v>142663</v>
      </c>
      <c r="E66" s="13">
        <f>SUM(E64:E65)+E61</f>
        <v>150874</v>
      </c>
      <c r="G66" s="13">
        <f>SUM(G64:G65)+G61</f>
        <v>152738</v>
      </c>
      <c r="H66" s="13">
        <f>SUM(H64:H65)+H61</f>
        <v>0</v>
      </c>
      <c r="I66" s="13">
        <f>SUM(I64:I65)+I61</f>
        <v>0</v>
      </c>
      <c r="J66" s="13">
        <f>SUM(J64:J65)+J61</f>
        <v>142663</v>
      </c>
      <c r="K66" s="13">
        <f>SUM(K64:K65)+K61</f>
        <v>136935</v>
      </c>
      <c r="L66" s="13">
        <f>SUM(L64:L65)+L61</f>
        <v>0</v>
      </c>
      <c r="M66" s="13">
        <f>SUM(M64:M65)+M61</f>
        <v>0</v>
      </c>
      <c r="N66" s="13">
        <f>SUM(N64:N65)+N61</f>
        <v>150874</v>
      </c>
      <c r="O66" s="13">
        <f>SUM(O64:O65)+O61</f>
        <v>0</v>
      </c>
      <c r="P66" s="13">
        <f>SUM(P64:P65)+P61</f>
        <v>0</v>
      </c>
      <c r="Q66" s="13">
        <f>SUM(Q64:Q65)+Q61</f>
        <v>0</v>
      </c>
      <c r="S66" s="13">
        <f>SUM(S64:S65)+S61</f>
        <v>142663</v>
      </c>
      <c r="T66" s="13">
        <f>SUM(T64:T65)+T61</f>
        <v>136935</v>
      </c>
      <c r="U66" s="13">
        <f>SUM(U64:U65)+U61</f>
        <v>0</v>
      </c>
      <c r="V66" s="13">
        <f>SUM(V64:V65)+V61</f>
        <v>0</v>
      </c>
      <c r="W66" s="13">
        <f>SUM(W64:W65)+W61</f>
        <v>150874</v>
      </c>
      <c r="X66" s="13">
        <f>SUM(X64:X65)+X61</f>
        <v>0</v>
      </c>
      <c r="Y66" s="13">
        <f>SUM(Y64:Y65)+Y61</f>
        <v>0</v>
      </c>
      <c r="Z66" s="13">
        <f>SUM(Z64:Z65)+Z61</f>
        <v>0</v>
      </c>
      <c r="AA66" s="13" t="e">
        <f>SUM(AA64:AA65)+AA61</f>
        <v>#REF!</v>
      </c>
      <c r="AB66" s="13" t="e">
        <f>SUM(AB64:AB65)+AB61</f>
        <v>#REF!</v>
      </c>
      <c r="AC66" s="39"/>
      <c r="AD66" s="67" t="e">
        <f>SUM(AB66/X66)-1</f>
        <v>#REF!</v>
      </c>
    </row>
    <row r="67" spans="1:30" ht="5.0999999999999996" customHeight="1">
      <c r="B67" s="23"/>
      <c r="C67" s="38"/>
      <c r="D67" s="38"/>
      <c r="E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6"/>
    </row>
    <row r="68" spans="1:30" ht="12.75" customHeight="1">
      <c r="B68" s="102" t="s">
        <v>138</v>
      </c>
      <c r="C68" s="74">
        <v>0</v>
      </c>
      <c r="D68" s="74" t="s">
        <v>143</v>
      </c>
      <c r="E68" s="74" t="s">
        <v>143</v>
      </c>
      <c r="G68" s="74" t="s">
        <v>143</v>
      </c>
      <c r="H68" s="74" t="s">
        <v>143</v>
      </c>
      <c r="I68" s="74" t="s">
        <v>143</v>
      </c>
      <c r="J68" s="80" t="str">
        <f t="shared" ref="J68:J72" si="62">D68</f>
        <v>-</v>
      </c>
      <c r="K68" s="74" t="s">
        <v>143</v>
      </c>
      <c r="L68" s="74" t="s">
        <v>143</v>
      </c>
      <c r="M68" s="74" t="s">
        <v>143</v>
      </c>
      <c r="N68" s="80" t="str">
        <f t="shared" ref="N68:N72" si="63">E68</f>
        <v>-</v>
      </c>
      <c r="O68" s="74" t="s">
        <v>143</v>
      </c>
      <c r="P68" s="74" t="s">
        <v>143</v>
      </c>
      <c r="Q68" s="74" t="s">
        <v>143</v>
      </c>
      <c r="S68" s="30" t="str">
        <f>J68</f>
        <v>-</v>
      </c>
      <c r="T68" s="30" t="str">
        <f>K68</f>
        <v>-</v>
      </c>
      <c r="U68" s="30" t="str">
        <f>L68</f>
        <v>-</v>
      </c>
      <c r="V68" s="30" t="str">
        <f>M68</f>
        <v>-</v>
      </c>
      <c r="W68" s="30" t="str">
        <f>N68</f>
        <v>-</v>
      </c>
      <c r="X68" s="30" t="str">
        <f>O68</f>
        <v>-</v>
      </c>
      <c r="Y68" s="30" t="str">
        <f>P68</f>
        <v>-</v>
      </c>
      <c r="Z68" s="30" t="str">
        <f>Q68</f>
        <v>-</v>
      </c>
      <c r="AA68" s="30" t="e">
        <f>#REF!</f>
        <v>#REF!</v>
      </c>
      <c r="AB68" s="30" t="e">
        <f>#REF!</f>
        <v>#REF!</v>
      </c>
      <c r="AC68" s="11"/>
      <c r="AD68" s="66" t="e">
        <f t="shared" ref="AD68:AD72" si="64">SUM(AB68/X68)-1</f>
        <v>#REF!</v>
      </c>
    </row>
    <row r="69" spans="1:30" ht="12.75" customHeight="1">
      <c r="B69" s="102" t="s">
        <v>139</v>
      </c>
      <c r="C69" s="74">
        <v>148</v>
      </c>
      <c r="D69" s="74">
        <v>142</v>
      </c>
      <c r="E69" s="74">
        <v>133</v>
      </c>
      <c r="G69" s="103">
        <v>149</v>
      </c>
      <c r="H69" s="103"/>
      <c r="I69" s="103"/>
      <c r="J69" s="80">
        <f t="shared" si="62"/>
        <v>142</v>
      </c>
      <c r="K69" s="103">
        <v>139</v>
      </c>
      <c r="L69" s="103"/>
      <c r="M69" s="103"/>
      <c r="N69" s="80">
        <f t="shared" si="63"/>
        <v>133</v>
      </c>
      <c r="O69" s="103"/>
      <c r="P69" s="103"/>
      <c r="Q69" s="103"/>
      <c r="S69" s="30">
        <f>J69</f>
        <v>142</v>
      </c>
      <c r="T69" s="30">
        <f>K69</f>
        <v>139</v>
      </c>
      <c r="U69" s="30">
        <f>L69</f>
        <v>0</v>
      </c>
      <c r="V69" s="30">
        <f>M69</f>
        <v>0</v>
      </c>
      <c r="W69" s="30">
        <f>N69</f>
        <v>133</v>
      </c>
      <c r="X69" s="30">
        <f>O69</f>
        <v>0</v>
      </c>
      <c r="Y69" s="30">
        <f>P69</f>
        <v>0</v>
      </c>
      <c r="Z69" s="30">
        <f>Q69</f>
        <v>0</v>
      </c>
      <c r="AA69" s="30" t="e">
        <f>#REF!</f>
        <v>#REF!</v>
      </c>
      <c r="AB69" s="30" t="e">
        <f>#REF!</f>
        <v>#REF!</v>
      </c>
      <c r="AC69" s="11"/>
      <c r="AD69" s="66" t="e">
        <f t="shared" si="64"/>
        <v>#REF!</v>
      </c>
    </row>
    <row r="70" spans="1:30" ht="12.75" customHeight="1">
      <c r="B70" s="102" t="s">
        <v>140</v>
      </c>
      <c r="C70" s="74">
        <v>69868</v>
      </c>
      <c r="D70" s="74">
        <v>66330</v>
      </c>
      <c r="E70" s="74">
        <v>61987</v>
      </c>
      <c r="G70" s="103">
        <v>70324</v>
      </c>
      <c r="H70" s="103"/>
      <c r="I70" s="103"/>
      <c r="J70" s="80">
        <f t="shared" si="62"/>
        <v>66330</v>
      </c>
      <c r="K70" s="103">
        <v>64065</v>
      </c>
      <c r="L70" s="103"/>
      <c r="M70" s="103"/>
      <c r="N70" s="80">
        <f t="shared" si="63"/>
        <v>61987</v>
      </c>
      <c r="O70" s="103"/>
      <c r="P70" s="103"/>
      <c r="Q70" s="103"/>
      <c r="S70" s="30">
        <f>J70</f>
        <v>66330</v>
      </c>
      <c r="T70" s="30">
        <f>K70</f>
        <v>64065</v>
      </c>
      <c r="U70" s="30">
        <f>L70</f>
        <v>0</v>
      </c>
      <c r="V70" s="30">
        <f>M70</f>
        <v>0</v>
      </c>
      <c r="W70" s="30">
        <f>N70</f>
        <v>61987</v>
      </c>
      <c r="X70" s="30">
        <f>O70</f>
        <v>0</v>
      </c>
      <c r="Y70" s="30">
        <f>P70</f>
        <v>0</v>
      </c>
      <c r="Z70" s="30">
        <f>Q70</f>
        <v>0</v>
      </c>
      <c r="AA70" s="30" t="e">
        <f>#REF!</f>
        <v>#REF!</v>
      </c>
      <c r="AB70" s="30" t="e">
        <f>#REF!</f>
        <v>#REF!</v>
      </c>
      <c r="AC70" s="11"/>
      <c r="AD70" s="66" t="e">
        <f t="shared" si="64"/>
        <v>#REF!</v>
      </c>
    </row>
    <row r="71" spans="1:30" ht="12.75" customHeight="1">
      <c r="B71" s="102" t="s">
        <v>141</v>
      </c>
      <c r="C71" s="74">
        <v>-12274</v>
      </c>
      <c r="D71" s="74">
        <v>-12082</v>
      </c>
      <c r="E71" s="74">
        <v>-12554</v>
      </c>
      <c r="G71" s="103">
        <v>-12177</v>
      </c>
      <c r="H71" s="103"/>
      <c r="I71" s="103"/>
      <c r="J71" s="80">
        <f t="shared" si="62"/>
        <v>-12082</v>
      </c>
      <c r="K71" s="103">
        <v>-12153</v>
      </c>
      <c r="L71" s="103"/>
      <c r="M71" s="103"/>
      <c r="N71" s="80">
        <f t="shared" si="63"/>
        <v>-12554</v>
      </c>
      <c r="O71" s="103"/>
      <c r="P71" s="103"/>
      <c r="Q71" s="103"/>
      <c r="S71" s="30">
        <f>J71</f>
        <v>-12082</v>
      </c>
      <c r="T71" s="30">
        <f>K71</f>
        <v>-12153</v>
      </c>
      <c r="U71" s="30">
        <f>L71</f>
        <v>0</v>
      </c>
      <c r="V71" s="30">
        <f>M71</f>
        <v>0</v>
      </c>
      <c r="W71" s="30">
        <f>N71</f>
        <v>-12554</v>
      </c>
      <c r="X71" s="30">
        <f>O71</f>
        <v>0</v>
      </c>
      <c r="Y71" s="30">
        <f>P71</f>
        <v>0</v>
      </c>
      <c r="Z71" s="30">
        <f>Q71</f>
        <v>0</v>
      </c>
      <c r="AA71" s="30" t="e">
        <f>#REF!</f>
        <v>#REF!</v>
      </c>
      <c r="AB71" s="30" t="e">
        <f>#REF!</f>
        <v>#REF!</v>
      </c>
      <c r="AC71" s="11"/>
      <c r="AD71" s="66" t="e">
        <f t="shared" si="64"/>
        <v>#REF!</v>
      </c>
    </row>
    <row r="72" spans="1:30" ht="12.75" customHeight="1">
      <c r="B72" s="102" t="s">
        <v>142</v>
      </c>
      <c r="C72" s="74">
        <v>61375</v>
      </c>
      <c r="D72" s="74">
        <v>75272</v>
      </c>
      <c r="E72" s="74">
        <v>89516</v>
      </c>
      <c r="G72" s="103">
        <v>50676</v>
      </c>
      <c r="H72" s="103"/>
      <c r="I72" s="103"/>
      <c r="J72" s="80">
        <f>D72</f>
        <v>75272</v>
      </c>
      <c r="K72" s="103">
        <v>76290</v>
      </c>
      <c r="L72" s="103"/>
      <c r="M72" s="103"/>
      <c r="N72" s="80">
        <f t="shared" si="63"/>
        <v>89516</v>
      </c>
      <c r="O72" s="103"/>
      <c r="P72" s="103"/>
      <c r="Q72" s="103"/>
      <c r="S72" s="30">
        <f>J72</f>
        <v>75272</v>
      </c>
      <c r="T72" s="30">
        <f>K72</f>
        <v>76290</v>
      </c>
      <c r="U72" s="30">
        <f>L72</f>
        <v>0</v>
      </c>
      <c r="V72" s="30">
        <f>M72</f>
        <v>0</v>
      </c>
      <c r="W72" s="30">
        <f>N72</f>
        <v>89516</v>
      </c>
      <c r="X72" s="30">
        <f>O72</f>
        <v>0</v>
      </c>
      <c r="Y72" s="30">
        <f>P72</f>
        <v>0</v>
      </c>
      <c r="Z72" s="30">
        <f>Q72</f>
        <v>0</v>
      </c>
      <c r="AA72" s="30" t="e">
        <f>#REF!</f>
        <v>#REF!</v>
      </c>
      <c r="AB72" s="30" t="e">
        <f>#REF!</f>
        <v>#REF!</v>
      </c>
      <c r="AC72" s="11"/>
      <c r="AD72" s="66" t="e">
        <f t="shared" si="64"/>
        <v>#REF!</v>
      </c>
    </row>
    <row r="73" spans="1:30" ht="12.75" customHeight="1">
      <c r="B73" s="12" t="s">
        <v>14</v>
      </c>
      <c r="C73" s="13">
        <f t="shared" ref="C73:E73" si="65">SUM(C68:C72)</f>
        <v>119117</v>
      </c>
      <c r="D73" s="13">
        <f t="shared" si="65"/>
        <v>129662</v>
      </c>
      <c r="E73" s="13">
        <f t="shared" si="65"/>
        <v>139082</v>
      </c>
      <c r="F73" s="46"/>
      <c r="G73" s="13">
        <f t="shared" ref="G73:P73" si="66">SUM(G68:G72)</f>
        <v>108972</v>
      </c>
      <c r="H73" s="13">
        <f t="shared" si="66"/>
        <v>0</v>
      </c>
      <c r="I73" s="13">
        <f t="shared" si="66"/>
        <v>0</v>
      </c>
      <c r="J73" s="13">
        <f t="shared" si="66"/>
        <v>129662</v>
      </c>
      <c r="K73" s="13">
        <f t="shared" si="66"/>
        <v>128341</v>
      </c>
      <c r="L73" s="13">
        <f t="shared" si="66"/>
        <v>0</v>
      </c>
      <c r="M73" s="13">
        <f t="shared" si="66"/>
        <v>0</v>
      </c>
      <c r="N73" s="13">
        <f t="shared" si="66"/>
        <v>139082</v>
      </c>
      <c r="O73" s="13">
        <f t="shared" si="66"/>
        <v>0</v>
      </c>
      <c r="P73" s="13">
        <f t="shared" si="66"/>
        <v>0</v>
      </c>
      <c r="Q73" s="13">
        <f t="shared" ref="Q73" si="67">SUM(Q68:Q72)</f>
        <v>0</v>
      </c>
      <c r="S73" s="13">
        <f t="shared" ref="S73:AB73" si="68">SUM(S68:S72)</f>
        <v>129662</v>
      </c>
      <c r="T73" s="13">
        <f t="shared" si="68"/>
        <v>128341</v>
      </c>
      <c r="U73" s="13">
        <f t="shared" si="68"/>
        <v>0</v>
      </c>
      <c r="V73" s="13">
        <f t="shared" si="68"/>
        <v>0</v>
      </c>
      <c r="W73" s="13">
        <f t="shared" si="68"/>
        <v>139082</v>
      </c>
      <c r="X73" s="13">
        <f t="shared" si="68"/>
        <v>0</v>
      </c>
      <c r="Y73" s="13">
        <f t="shared" si="68"/>
        <v>0</v>
      </c>
      <c r="Z73" s="13">
        <f t="shared" si="68"/>
        <v>0</v>
      </c>
      <c r="AA73" s="13" t="e">
        <f t="shared" si="68"/>
        <v>#REF!</v>
      </c>
      <c r="AB73" s="13" t="e">
        <f t="shared" si="68"/>
        <v>#REF!</v>
      </c>
      <c r="AC73" s="39"/>
      <c r="AD73" s="67" t="e">
        <f>SUM(AB73/X73)-1</f>
        <v>#REF!</v>
      </c>
    </row>
    <row r="74" spans="1:30" ht="12.75" customHeight="1">
      <c r="B74" s="23" t="s">
        <v>50</v>
      </c>
      <c r="C74" s="30">
        <f t="shared" ref="C74:E74" si="69">SUM(C73+C66)</f>
        <v>280794</v>
      </c>
      <c r="D74" s="30">
        <f t="shared" si="69"/>
        <v>272325</v>
      </c>
      <c r="E74" s="30">
        <f t="shared" si="69"/>
        <v>289956</v>
      </c>
      <c r="F74" s="30"/>
      <c r="G74" s="30">
        <f t="shared" ref="G74:P74" si="70">SUM(G73+G66)</f>
        <v>261710</v>
      </c>
      <c r="H74" s="30">
        <f t="shared" si="70"/>
        <v>0</v>
      </c>
      <c r="I74" s="30">
        <f t="shared" si="70"/>
        <v>0</v>
      </c>
      <c r="J74" s="30">
        <f t="shared" si="70"/>
        <v>272325</v>
      </c>
      <c r="K74" s="30">
        <f t="shared" si="70"/>
        <v>265276</v>
      </c>
      <c r="L74" s="30">
        <f t="shared" si="70"/>
        <v>0</v>
      </c>
      <c r="M74" s="30">
        <f t="shared" si="70"/>
        <v>0</v>
      </c>
      <c r="N74" s="30">
        <f t="shared" si="70"/>
        <v>289956</v>
      </c>
      <c r="O74" s="30">
        <f t="shared" si="70"/>
        <v>0</v>
      </c>
      <c r="P74" s="30">
        <f t="shared" si="70"/>
        <v>0</v>
      </c>
      <c r="Q74" s="30">
        <f t="shared" ref="Q74" si="71">SUM(Q73+Q66)</f>
        <v>0</v>
      </c>
      <c r="R74" s="30"/>
      <c r="S74" s="30">
        <f t="shared" ref="S74:AB74" si="72">SUM(S73+S66)</f>
        <v>272325</v>
      </c>
      <c r="T74" s="30">
        <f t="shared" si="72"/>
        <v>265276</v>
      </c>
      <c r="U74" s="30">
        <f t="shared" si="72"/>
        <v>0</v>
      </c>
      <c r="V74" s="30">
        <f t="shared" si="72"/>
        <v>0</v>
      </c>
      <c r="W74" s="30">
        <f t="shared" si="72"/>
        <v>289956</v>
      </c>
      <c r="X74" s="30">
        <f t="shared" si="72"/>
        <v>0</v>
      </c>
      <c r="Y74" s="30">
        <f t="shared" si="72"/>
        <v>0</v>
      </c>
      <c r="Z74" s="30">
        <f t="shared" si="72"/>
        <v>0</v>
      </c>
      <c r="AA74" s="30" t="e">
        <f t="shared" si="72"/>
        <v>#REF!</v>
      </c>
      <c r="AB74" s="30" t="e">
        <f t="shared" si="72"/>
        <v>#REF!</v>
      </c>
      <c r="AC74" s="11"/>
      <c r="AD74" s="67" t="e">
        <f>SUM(AB74/X74)-1</f>
        <v>#REF!</v>
      </c>
    </row>
    <row r="75" spans="1:30" ht="5.0999999999999996" customHeight="1">
      <c r="B75" s="23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11"/>
    </row>
    <row r="76" spans="1:30" ht="12.75" customHeight="1">
      <c r="B76" s="60" t="s">
        <v>61</v>
      </c>
      <c r="C76" s="61">
        <f>C74-C53</f>
        <v>0</v>
      </c>
      <c r="D76" s="61">
        <f>D74-D53</f>
        <v>0</v>
      </c>
      <c r="E76" s="61">
        <f>E74-E53</f>
        <v>0</v>
      </c>
      <c r="F76" s="62"/>
      <c r="G76" s="61">
        <f>G74-G53</f>
        <v>0</v>
      </c>
      <c r="H76" s="61">
        <f>H74-H53</f>
        <v>0</v>
      </c>
      <c r="I76" s="61">
        <f>I74-I53</f>
        <v>0</v>
      </c>
      <c r="J76" s="61">
        <f>J74-J53</f>
        <v>0</v>
      </c>
      <c r="K76" s="61">
        <f>K74-K53</f>
        <v>0</v>
      </c>
      <c r="L76" s="61">
        <f>L74-L53</f>
        <v>0</v>
      </c>
      <c r="M76" s="61">
        <f>M74-M53</f>
        <v>0</v>
      </c>
      <c r="N76" s="61">
        <f>N74-N53</f>
        <v>0</v>
      </c>
      <c r="O76" s="61">
        <f>O74-O53</f>
        <v>0</v>
      </c>
      <c r="P76" s="61">
        <f>P74-P53</f>
        <v>0</v>
      </c>
      <c r="Q76" s="61">
        <f>Q74-Q53</f>
        <v>0</v>
      </c>
      <c r="R76" s="26"/>
      <c r="S76" s="61">
        <f>S74-S53</f>
        <v>0</v>
      </c>
      <c r="T76" s="61">
        <f>T74-T53</f>
        <v>0</v>
      </c>
      <c r="U76" s="61">
        <f>U74-U53</f>
        <v>0</v>
      </c>
      <c r="V76" s="61">
        <f>V74-V53</f>
        <v>0</v>
      </c>
      <c r="W76" s="61">
        <f>W74-W53</f>
        <v>0</v>
      </c>
      <c r="X76" s="61">
        <f>X74-X53</f>
        <v>0</v>
      </c>
      <c r="Y76" s="61">
        <f>Y74-Y53</f>
        <v>0</v>
      </c>
      <c r="Z76" s="61">
        <f>Z74-Z53</f>
        <v>0</v>
      </c>
      <c r="AA76" s="61" t="e">
        <f>AA74-AA53</f>
        <v>#REF!</v>
      </c>
      <c r="AB76" s="61" t="e">
        <f>AB74-AB53</f>
        <v>#REF!</v>
      </c>
    </row>
    <row r="77" spans="1:30" ht="5.0999999999999996" customHeight="1" thickBot="1">
      <c r="B77" s="98"/>
      <c r="C77" s="99"/>
      <c r="D77" s="99"/>
      <c r="E77" s="99"/>
      <c r="F77" s="100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101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64"/>
      <c r="AD77" s="64"/>
    </row>
    <row r="78" spans="1:30">
      <c r="B78" s="59"/>
      <c r="C78" s="22"/>
      <c r="D78" s="22"/>
      <c r="E78" s="22"/>
      <c r="F78" s="47"/>
    </row>
    <row r="79" spans="1:30" ht="12.75" customHeight="1">
      <c r="A79" s="5" t="s">
        <v>16</v>
      </c>
      <c r="B79" s="81" t="s">
        <v>13</v>
      </c>
      <c r="C79" s="85"/>
      <c r="D79" s="85"/>
      <c r="E79" s="85"/>
      <c r="F79" s="86"/>
      <c r="G79" s="85"/>
      <c r="H79" s="85"/>
      <c r="I79" s="85"/>
      <c r="J79" s="85"/>
      <c r="K79" s="85"/>
      <c r="L79" s="85"/>
      <c r="M79" s="85" t="s">
        <v>1</v>
      </c>
      <c r="N79" s="85"/>
      <c r="O79" s="85"/>
      <c r="P79" s="85"/>
      <c r="Q79" s="85"/>
      <c r="R79" s="81"/>
      <c r="S79" s="85"/>
      <c r="T79" s="85"/>
      <c r="U79" s="85"/>
      <c r="V79" s="85"/>
      <c r="W79" s="85"/>
      <c r="X79" s="85" t="s">
        <v>10</v>
      </c>
      <c r="Y79" s="85"/>
      <c r="Z79" s="85"/>
      <c r="AA79" s="85"/>
      <c r="AB79" s="85"/>
      <c r="AC79" s="86"/>
      <c r="AD79" s="151" t="s">
        <v>22</v>
      </c>
    </row>
    <row r="80" spans="1:30" ht="12.75" customHeight="1">
      <c r="B80" s="82" t="str">
        <f>B7</f>
        <v>Fiscal Period</v>
      </c>
      <c r="C80" s="87">
        <f>C7</f>
        <v>2022</v>
      </c>
      <c r="D80" s="87">
        <f>D7</f>
        <v>2023</v>
      </c>
      <c r="E80" s="87">
        <f>E7</f>
        <v>2024</v>
      </c>
      <c r="F80" s="86"/>
      <c r="G80" s="87" t="str">
        <f>G7</f>
        <v>1Q23</v>
      </c>
      <c r="H80" s="87" t="str">
        <f>H7</f>
        <v>2Q23</v>
      </c>
      <c r="I80" s="87" t="str">
        <f>I7</f>
        <v>3Q23</v>
      </c>
      <c r="J80" s="87" t="str">
        <f>J7</f>
        <v>4Q23</v>
      </c>
      <c r="K80" s="87" t="str">
        <f>K7</f>
        <v>1Q24</v>
      </c>
      <c r="L80" s="87" t="str">
        <f>L7</f>
        <v>2Q24</v>
      </c>
      <c r="M80" s="87" t="str">
        <f>M7</f>
        <v>3Q24</v>
      </c>
      <c r="N80" s="87" t="str">
        <f>N7</f>
        <v>4Q24</v>
      </c>
      <c r="O80" s="87" t="str">
        <f>O7</f>
        <v>1Q25</v>
      </c>
      <c r="P80" s="87" t="str">
        <f>P7</f>
        <v>2Q25</v>
      </c>
      <c r="Q80" s="87" t="str">
        <f>Q7</f>
        <v>3Q25</v>
      </c>
      <c r="R80" s="87"/>
      <c r="S80" s="87" t="str">
        <f>S7</f>
        <v>4Q23</v>
      </c>
      <c r="T80" s="87" t="str">
        <f>T7</f>
        <v>1Q24</v>
      </c>
      <c r="U80" s="87" t="str">
        <f>U7</f>
        <v>2Q24</v>
      </c>
      <c r="V80" s="87" t="str">
        <f>V7</f>
        <v>3Q24</v>
      </c>
      <c r="W80" s="87" t="str">
        <f>W7</f>
        <v>4Q24</v>
      </c>
      <c r="X80" s="87" t="str">
        <f>X7</f>
        <v>1Q25</v>
      </c>
      <c r="Y80" s="87" t="str">
        <f>Y7</f>
        <v>2Q25</v>
      </c>
      <c r="Z80" s="87" t="str">
        <f>Z7</f>
        <v>3Q25</v>
      </c>
      <c r="AA80" s="87" t="e">
        <f>AA7</f>
        <v>#REF!</v>
      </c>
      <c r="AB80" s="87" t="e">
        <f>AB7</f>
        <v>#REF!</v>
      </c>
      <c r="AC80" s="86"/>
      <c r="AD80" s="151"/>
    </row>
    <row r="81" spans="2:30" ht="12.75" customHeight="1">
      <c r="B81" s="82" t="str">
        <f>B8</f>
        <v>Fiscal Period End Date</v>
      </c>
      <c r="C81" s="88">
        <f>C8</f>
        <v>44954</v>
      </c>
      <c r="D81" s="88">
        <f>D8</f>
        <v>45325</v>
      </c>
      <c r="E81" s="88">
        <f>E8</f>
        <v>45689</v>
      </c>
      <c r="F81" s="86"/>
      <c r="G81" s="88">
        <f>G8</f>
        <v>45045</v>
      </c>
      <c r="H81" s="88">
        <f>H8</f>
        <v>45136</v>
      </c>
      <c r="I81" s="88">
        <f>I8</f>
        <v>45227</v>
      </c>
      <c r="J81" s="88">
        <f>J8</f>
        <v>45325</v>
      </c>
      <c r="K81" s="88">
        <f>K8</f>
        <v>45416</v>
      </c>
      <c r="L81" s="88">
        <f>L8</f>
        <v>45507</v>
      </c>
      <c r="M81" s="88">
        <f>M8</f>
        <v>45598</v>
      </c>
      <c r="N81" s="88">
        <f>N8</f>
        <v>45689</v>
      </c>
      <c r="O81" s="88">
        <f>O8</f>
        <v>45780</v>
      </c>
      <c r="P81" s="88">
        <f>P8</f>
        <v>45871</v>
      </c>
      <c r="Q81" s="88">
        <f>Q8</f>
        <v>45962</v>
      </c>
      <c r="R81" s="88"/>
      <c r="S81" s="88">
        <f>S8</f>
        <v>45325</v>
      </c>
      <c r="T81" s="88">
        <f>T8</f>
        <v>45416</v>
      </c>
      <c r="U81" s="88">
        <f>U8</f>
        <v>45507</v>
      </c>
      <c r="V81" s="88">
        <f>V8</f>
        <v>45598</v>
      </c>
      <c r="W81" s="88">
        <f>W8</f>
        <v>45689</v>
      </c>
      <c r="X81" s="88">
        <f>X8</f>
        <v>45780</v>
      </c>
      <c r="Y81" s="88">
        <f>Y8</f>
        <v>45871</v>
      </c>
      <c r="Z81" s="88">
        <f>Z8</f>
        <v>45962</v>
      </c>
      <c r="AA81" s="88" t="e">
        <f>AA8</f>
        <v>#REF!</v>
      </c>
      <c r="AB81" s="88" t="e">
        <f>AB8</f>
        <v>#REF!</v>
      </c>
      <c r="AC81" s="86"/>
      <c r="AD81" s="151"/>
    </row>
    <row r="82" spans="2:30" ht="5.0999999999999996" customHeight="1">
      <c r="B82" s="48"/>
      <c r="C82" s="44"/>
      <c r="D82" s="44"/>
      <c r="E82" s="44"/>
    </row>
    <row r="83" spans="2:30" ht="12.75" customHeight="1">
      <c r="B83" s="49" t="s">
        <v>51</v>
      </c>
      <c r="C83" s="50"/>
      <c r="D83" s="50"/>
      <c r="E83" s="50"/>
    </row>
    <row r="84" spans="2:30" ht="12.75" customHeight="1">
      <c r="B84" s="51" t="s">
        <v>52</v>
      </c>
      <c r="C84" s="30">
        <f>C28</f>
        <v>47985</v>
      </c>
      <c r="D84" s="30">
        <f>D28</f>
        <v>52805</v>
      </c>
      <c r="E84" s="30">
        <f>E28</f>
        <v>51785</v>
      </c>
      <c r="F84" s="30"/>
      <c r="G84" s="30">
        <f t="shared" ref="G84:Q84" si="73">G28</f>
        <v>14608</v>
      </c>
      <c r="H84" s="30">
        <f t="shared" si="73"/>
        <v>0</v>
      </c>
      <c r="I84" s="30">
        <f t="shared" si="73"/>
        <v>0</v>
      </c>
      <c r="J84" s="30">
        <f t="shared" si="73"/>
        <v>38197</v>
      </c>
      <c r="K84" s="30">
        <f t="shared" si="73"/>
        <v>11459</v>
      </c>
      <c r="L84" s="30">
        <f t="shared" si="73"/>
        <v>0</v>
      </c>
      <c r="M84" s="30">
        <f t="shared" si="73"/>
        <v>0</v>
      </c>
      <c r="N84" s="30">
        <f t="shared" si="73"/>
        <v>40326</v>
      </c>
      <c r="O84" s="30">
        <f t="shared" si="73"/>
        <v>0</v>
      </c>
      <c r="P84" s="30">
        <f t="shared" si="73"/>
        <v>0</v>
      </c>
      <c r="Q84" s="30">
        <f t="shared" si="73"/>
        <v>0</v>
      </c>
      <c r="S84" s="30">
        <f t="shared" ref="S84:AB84" si="74">S28</f>
        <v>52805</v>
      </c>
      <c r="T84" s="30">
        <f t="shared" si="74"/>
        <v>49656</v>
      </c>
      <c r="U84" s="30">
        <f t="shared" si="74"/>
        <v>49656</v>
      </c>
      <c r="V84" s="30">
        <f t="shared" si="74"/>
        <v>49656</v>
      </c>
      <c r="W84" s="30">
        <f t="shared" si="74"/>
        <v>51785</v>
      </c>
      <c r="X84" s="30">
        <f t="shared" si="74"/>
        <v>40326</v>
      </c>
      <c r="Y84" s="30">
        <f t="shared" si="74"/>
        <v>40326</v>
      </c>
      <c r="Z84" s="30">
        <f t="shared" si="74"/>
        <v>40326</v>
      </c>
      <c r="AA84" s="30">
        <f t="shared" si="74"/>
        <v>0</v>
      </c>
      <c r="AB84" s="30">
        <f t="shared" si="74"/>
        <v>0</v>
      </c>
      <c r="AC84" s="11"/>
      <c r="AD84" s="66">
        <f>SUM(AB84/X84)-1</f>
        <v>-1</v>
      </c>
    </row>
    <row r="85" spans="2:30" ht="5.0999999999999996" customHeight="1"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11"/>
      <c r="AD85" s="66"/>
    </row>
    <row r="86" spans="2:30" ht="12.75" customHeight="1">
      <c r="B86" s="33" t="s">
        <v>60</v>
      </c>
      <c r="C86" s="30"/>
      <c r="D86" s="30"/>
      <c r="E86" s="30"/>
      <c r="F86" s="30"/>
      <c r="G86" s="74"/>
      <c r="H86" s="74"/>
      <c r="I86" s="74"/>
      <c r="J86" s="30"/>
      <c r="K86" s="74"/>
      <c r="L86" s="74"/>
      <c r="M86" s="74"/>
      <c r="N86" s="30"/>
      <c r="O86" s="74"/>
      <c r="P86" s="74"/>
      <c r="Q86" s="74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53"/>
      <c r="AD86" s="66"/>
    </row>
    <row r="87" spans="2:30" ht="12.75" customHeight="1">
      <c r="B87" s="54" t="s">
        <v>53</v>
      </c>
      <c r="C87" s="74">
        <v>12482</v>
      </c>
      <c r="D87" s="74">
        <v>13657</v>
      </c>
      <c r="E87" s="74">
        <v>14772</v>
      </c>
      <c r="F87" s="30"/>
      <c r="G87" s="74">
        <v>3080</v>
      </c>
      <c r="H87" s="74"/>
      <c r="I87" s="74"/>
      <c r="J87" s="30">
        <f t="shared" ref="J87:J92" si="75">SUM(D87-SUM(G87:I87))</f>
        <v>10577</v>
      </c>
      <c r="K87" s="74">
        <v>3658</v>
      </c>
      <c r="L87" s="74"/>
      <c r="M87" s="74"/>
      <c r="N87" s="30">
        <f>SUM(E87-SUM(K87:M87))</f>
        <v>11114</v>
      </c>
      <c r="O87" s="74"/>
      <c r="P87" s="74"/>
      <c r="Q87" s="74"/>
      <c r="S87" s="30">
        <f>SUM(G87:J87)</f>
        <v>13657</v>
      </c>
      <c r="T87" s="30">
        <f>SUM(H87:K87)</f>
        <v>14235</v>
      </c>
      <c r="U87" s="30">
        <f>SUM(I87:L87)</f>
        <v>14235</v>
      </c>
      <c r="V87" s="30">
        <f>SUM(J87:M87)</f>
        <v>14235</v>
      </c>
      <c r="W87" s="30">
        <f>SUM(K87:N87)</f>
        <v>14772</v>
      </c>
      <c r="X87" s="30">
        <f>SUM(L87:O87)</f>
        <v>11114</v>
      </c>
      <c r="Y87" s="30">
        <f>SUM(M87:P87)</f>
        <v>11114</v>
      </c>
      <c r="Z87" s="30">
        <f>SUM(N87:Q87)</f>
        <v>11114</v>
      </c>
      <c r="AA87" s="30">
        <f>SUM(O87:Q87)</f>
        <v>0</v>
      </c>
      <c r="AB87" s="30">
        <f>SUM(P87:Q87)</f>
        <v>0</v>
      </c>
      <c r="AC87" s="11"/>
      <c r="AD87" s="66">
        <f t="shared" ref="AD87:AD95" si="76">SUM(AB87/X87)-1</f>
        <v>-1</v>
      </c>
    </row>
    <row r="88" spans="2:30" ht="12.75" customHeight="1">
      <c r="B88" s="54" t="s">
        <v>144</v>
      </c>
      <c r="C88" s="74">
        <v>2559</v>
      </c>
      <c r="D88" s="74">
        <v>2089</v>
      </c>
      <c r="E88" s="74">
        <v>2175</v>
      </c>
      <c r="F88" s="30"/>
      <c r="G88" s="74">
        <v>1052</v>
      </c>
      <c r="H88" s="74"/>
      <c r="I88" s="74"/>
      <c r="J88" s="30">
        <f t="shared" si="75"/>
        <v>1037</v>
      </c>
      <c r="K88" s="74">
        <v>412</v>
      </c>
      <c r="L88" s="74"/>
      <c r="M88" s="74"/>
      <c r="N88" s="30">
        <f t="shared" ref="N88:N92" si="77">SUM(E88-SUM(K88:M88))</f>
        <v>1763</v>
      </c>
      <c r="O88" s="74"/>
      <c r="P88" s="74"/>
      <c r="Q88" s="74"/>
      <c r="S88" s="30">
        <f>SUM(G88:J88)</f>
        <v>2089</v>
      </c>
      <c r="T88" s="30">
        <f>SUM(H88:K88)</f>
        <v>1449</v>
      </c>
      <c r="U88" s="30">
        <f>SUM(I88:L88)</f>
        <v>1449</v>
      </c>
      <c r="V88" s="30">
        <f>SUM(J88:M88)</f>
        <v>1449</v>
      </c>
      <c r="W88" s="30">
        <f>SUM(K88:N88)</f>
        <v>2175</v>
      </c>
      <c r="X88" s="30">
        <f>SUM(L88:O88)</f>
        <v>1763</v>
      </c>
      <c r="Y88" s="30">
        <f>SUM(M88:P88)</f>
        <v>1763</v>
      </c>
      <c r="Z88" s="30">
        <f>SUM(N88:Q88)</f>
        <v>1763</v>
      </c>
      <c r="AA88" s="30">
        <f>SUM(O88:Q88)</f>
        <v>0</v>
      </c>
      <c r="AB88" s="30">
        <f>SUM(P88:Q88)</f>
        <v>0</v>
      </c>
      <c r="AC88" s="11"/>
      <c r="AD88" s="66">
        <f t="shared" ref="AD88" si="78">SUM(AB88/X88)-1</f>
        <v>-1</v>
      </c>
    </row>
    <row r="89" spans="2:30" ht="12.75" customHeight="1">
      <c r="B89" s="54" t="s">
        <v>145</v>
      </c>
      <c r="C89" s="74">
        <v>992</v>
      </c>
      <c r="D89" s="74">
        <v>-1893</v>
      </c>
      <c r="E89" s="74">
        <v>1060</v>
      </c>
      <c r="F89" s="30"/>
      <c r="G89" s="74">
        <v>-53</v>
      </c>
      <c r="H89" s="74"/>
      <c r="I89" s="74"/>
      <c r="J89" s="30">
        <f t="shared" si="75"/>
        <v>-1840</v>
      </c>
      <c r="K89" s="74" t="s">
        <v>143</v>
      </c>
      <c r="L89" s="74"/>
      <c r="M89" s="74"/>
      <c r="N89" s="30">
        <f t="shared" si="77"/>
        <v>1060</v>
      </c>
      <c r="O89" s="74"/>
      <c r="P89" s="74"/>
      <c r="Q89" s="74"/>
      <c r="S89" s="30">
        <f>SUM(G89:J89)</f>
        <v>-1893</v>
      </c>
      <c r="T89" s="30">
        <f>SUM(H89:K89)</f>
        <v>-1840</v>
      </c>
      <c r="U89" s="30">
        <f>SUM(I89:L89)</f>
        <v>-1840</v>
      </c>
      <c r="V89" s="30">
        <f>SUM(J89:M89)</f>
        <v>-1840</v>
      </c>
      <c r="W89" s="30">
        <f>SUM(K89:N89)</f>
        <v>1060</v>
      </c>
      <c r="X89" s="30">
        <f>SUM(L89:O89)</f>
        <v>1060</v>
      </c>
      <c r="Y89" s="30">
        <f>SUM(M89:P89)</f>
        <v>1060</v>
      </c>
      <c r="Z89" s="30">
        <f>SUM(N89:Q89)</f>
        <v>1060</v>
      </c>
      <c r="AA89" s="30">
        <f>SUM(O89:Q89)</f>
        <v>0</v>
      </c>
      <c r="AB89" s="30">
        <f>SUM(P89:Q89)</f>
        <v>0</v>
      </c>
      <c r="AC89" s="11"/>
      <c r="AD89" s="66">
        <f t="shared" ref="AD89:AD92" si="79">SUM(AB89/X89)-1</f>
        <v>-1</v>
      </c>
    </row>
    <row r="90" spans="2:30" ht="12.75" customHeight="1">
      <c r="B90" s="54" t="s">
        <v>146</v>
      </c>
      <c r="C90" s="74">
        <v>-820</v>
      </c>
      <c r="D90" s="74">
        <v>251</v>
      </c>
      <c r="E90" s="74">
        <v>187</v>
      </c>
      <c r="F90" s="30"/>
      <c r="G90" s="74">
        <v>-316</v>
      </c>
      <c r="H90" s="74"/>
      <c r="I90" s="74"/>
      <c r="J90" s="30">
        <f t="shared" si="75"/>
        <v>567</v>
      </c>
      <c r="K90" s="74">
        <v>-78</v>
      </c>
      <c r="L90" s="74"/>
      <c r="M90" s="74"/>
      <c r="N90" s="30">
        <f t="shared" si="77"/>
        <v>265</v>
      </c>
      <c r="O90" s="74"/>
      <c r="P90" s="74"/>
      <c r="Q90" s="74"/>
      <c r="S90" s="30">
        <f>SUM(G90:J90)</f>
        <v>251</v>
      </c>
      <c r="T90" s="30">
        <f>SUM(H90:K90)</f>
        <v>489</v>
      </c>
      <c r="U90" s="30">
        <f>SUM(I90:L90)</f>
        <v>489</v>
      </c>
      <c r="V90" s="30">
        <f>SUM(J90:M90)</f>
        <v>489</v>
      </c>
      <c r="W90" s="30">
        <f>SUM(K90:N90)</f>
        <v>187</v>
      </c>
      <c r="X90" s="30">
        <f>SUM(L90:O90)</f>
        <v>265</v>
      </c>
      <c r="Y90" s="30">
        <f>SUM(M90:P90)</f>
        <v>265</v>
      </c>
      <c r="Z90" s="30">
        <f>SUM(N90:Q90)</f>
        <v>265</v>
      </c>
      <c r="AA90" s="30">
        <f>SUM(O90:Q90)</f>
        <v>0</v>
      </c>
      <c r="AB90" s="30">
        <f>SUM(P90:Q90)</f>
        <v>0</v>
      </c>
      <c r="AC90" s="11"/>
      <c r="AD90" s="66">
        <f t="shared" si="79"/>
        <v>-1</v>
      </c>
    </row>
    <row r="91" spans="2:30" ht="12.75" customHeight="1">
      <c r="B91" s="54" t="s">
        <v>147</v>
      </c>
      <c r="C91" s="74">
        <v>110</v>
      </c>
      <c r="D91" s="74">
        <v>121</v>
      </c>
      <c r="E91" s="74">
        <v>290</v>
      </c>
      <c r="F91" s="30"/>
      <c r="G91" s="74">
        <v>21</v>
      </c>
      <c r="H91" s="74"/>
      <c r="I91" s="74"/>
      <c r="J91" s="30">
        <f t="shared" si="75"/>
        <v>100</v>
      </c>
      <c r="K91" s="74">
        <v>139</v>
      </c>
      <c r="L91" s="74"/>
      <c r="M91" s="74"/>
      <c r="N91" s="30">
        <f t="shared" si="77"/>
        <v>151</v>
      </c>
      <c r="O91" s="74"/>
      <c r="P91" s="74"/>
      <c r="Q91" s="74"/>
      <c r="S91" s="30">
        <f>SUM(G91:J91)</f>
        <v>121</v>
      </c>
      <c r="T91" s="30">
        <f>SUM(H91:K91)</f>
        <v>239</v>
      </c>
      <c r="U91" s="30">
        <f>SUM(I91:L91)</f>
        <v>239</v>
      </c>
      <c r="V91" s="30">
        <f>SUM(J91:M91)</f>
        <v>239</v>
      </c>
      <c r="W91" s="30">
        <f>SUM(K91:N91)</f>
        <v>290</v>
      </c>
      <c r="X91" s="30">
        <f>SUM(L91:O91)</f>
        <v>151</v>
      </c>
      <c r="Y91" s="30">
        <f>SUM(M91:P91)</f>
        <v>151</v>
      </c>
      <c r="Z91" s="30">
        <f>SUM(N91:Q91)</f>
        <v>151</v>
      </c>
      <c r="AA91" s="30">
        <f>SUM(O91:Q91)</f>
        <v>0</v>
      </c>
      <c r="AB91" s="30">
        <f>SUM(P91:Q91)</f>
        <v>0</v>
      </c>
      <c r="AC91" s="11"/>
      <c r="AD91" s="66">
        <f t="shared" si="79"/>
        <v>-1</v>
      </c>
    </row>
    <row r="92" spans="2:30" ht="12.75" customHeight="1">
      <c r="B92" s="54" t="s">
        <v>148</v>
      </c>
      <c r="C92" s="74">
        <v>-2453</v>
      </c>
      <c r="D92" s="74">
        <v>-1913</v>
      </c>
      <c r="E92" s="74">
        <v>513</v>
      </c>
      <c r="F92" s="30"/>
      <c r="G92" s="74"/>
      <c r="H92" s="74"/>
      <c r="I92" s="74"/>
      <c r="J92" s="30">
        <f t="shared" si="75"/>
        <v>-1913</v>
      </c>
      <c r="K92" s="74"/>
      <c r="L92" s="74"/>
      <c r="M92" s="74"/>
      <c r="N92" s="30">
        <f t="shared" si="77"/>
        <v>513</v>
      </c>
      <c r="O92" s="74"/>
      <c r="P92" s="74"/>
      <c r="Q92" s="74"/>
      <c r="S92" s="30">
        <f>SUM(G92:J92)</f>
        <v>-1913</v>
      </c>
      <c r="T92" s="30">
        <f>SUM(H92:K92)</f>
        <v>-1913</v>
      </c>
      <c r="U92" s="30">
        <f>SUM(I92:L92)</f>
        <v>-1913</v>
      </c>
      <c r="V92" s="30">
        <f>SUM(J92:M92)</f>
        <v>-1913</v>
      </c>
      <c r="W92" s="30">
        <f>SUM(K92:N92)</f>
        <v>513</v>
      </c>
      <c r="X92" s="30">
        <f>SUM(L92:O92)</f>
        <v>513</v>
      </c>
      <c r="Y92" s="30">
        <f>SUM(M92:P92)</f>
        <v>513</v>
      </c>
      <c r="Z92" s="30">
        <f>SUM(N92:Q92)</f>
        <v>513</v>
      </c>
      <c r="AA92" s="30">
        <f>SUM(O92:Q92)</f>
        <v>0</v>
      </c>
      <c r="AB92" s="30">
        <f>SUM(P92:Q92)</f>
        <v>0</v>
      </c>
      <c r="AC92" s="11"/>
      <c r="AD92" s="66">
        <f t="shared" si="79"/>
        <v>-1</v>
      </c>
    </row>
    <row r="93" spans="2:30" ht="12.75" customHeight="1">
      <c r="B93" s="33" t="s">
        <v>149</v>
      </c>
      <c r="C93" s="74"/>
      <c r="D93" s="74"/>
      <c r="E93" s="74"/>
      <c r="F93" s="30"/>
      <c r="G93" s="74"/>
      <c r="H93" s="74"/>
      <c r="I93" s="74"/>
      <c r="J93" s="30"/>
      <c r="K93" s="74"/>
      <c r="L93" s="74"/>
      <c r="M93" s="74"/>
      <c r="N93" s="30"/>
      <c r="O93" s="74"/>
      <c r="P93" s="74"/>
      <c r="Q93" s="74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53"/>
      <c r="AD93" s="66"/>
    </row>
    <row r="94" spans="2:30" ht="12.75" customHeight="1">
      <c r="B94" s="54" t="s">
        <v>124</v>
      </c>
      <c r="C94" s="74">
        <v>357</v>
      </c>
      <c r="D94" s="74">
        <v>7102</v>
      </c>
      <c r="E94" s="74">
        <v>-6550</v>
      </c>
      <c r="F94" s="30"/>
      <c r="G94" s="74">
        <v>4077</v>
      </c>
      <c r="H94" s="74"/>
      <c r="I94" s="74"/>
      <c r="J94" s="30">
        <f t="shared" ref="J94:J100" si="80">SUM(D94-SUM(G94:I94))</f>
        <v>3025</v>
      </c>
      <c r="K94" s="74">
        <v>-593</v>
      </c>
      <c r="L94" s="74"/>
      <c r="M94" s="74"/>
      <c r="N94" s="30">
        <f t="shared" ref="N94:N100" si="81">SUM(E94-SUM(K94:M94))</f>
        <v>-5957</v>
      </c>
      <c r="O94" s="74"/>
      <c r="P94" s="74"/>
      <c r="Q94" s="74"/>
      <c r="S94" s="30">
        <f>SUM(G94:J94)</f>
        <v>7102</v>
      </c>
      <c r="T94" s="30">
        <f>SUM(H94:K94)</f>
        <v>2432</v>
      </c>
      <c r="U94" s="30">
        <f>SUM(I94:L94)</f>
        <v>2432</v>
      </c>
      <c r="V94" s="30">
        <f>SUM(J94:M94)</f>
        <v>2432</v>
      </c>
      <c r="W94" s="30">
        <f>SUM(K94:N94)</f>
        <v>-6550</v>
      </c>
      <c r="X94" s="30">
        <f>SUM(L94:O94)</f>
        <v>-5957</v>
      </c>
      <c r="Y94" s="30">
        <f>SUM(M94:P94)</f>
        <v>-5957</v>
      </c>
      <c r="Z94" s="30">
        <f>SUM(N94:Q94)</f>
        <v>-5957</v>
      </c>
      <c r="AA94" s="30">
        <f>SUM(O94:Q94)</f>
        <v>0</v>
      </c>
      <c r="AB94" s="30">
        <f>SUM(P94:Q94)</f>
        <v>0</v>
      </c>
      <c r="AC94" s="53"/>
      <c r="AD94" s="66">
        <f t="shared" si="76"/>
        <v>-1</v>
      </c>
    </row>
    <row r="95" spans="2:30" ht="12.75" customHeight="1">
      <c r="B95" s="54" t="s">
        <v>125</v>
      </c>
      <c r="C95" s="74">
        <v>-3045</v>
      </c>
      <c r="D95" s="74">
        <v>5870</v>
      </c>
      <c r="E95" s="74">
        <v>-7742</v>
      </c>
      <c r="F95" s="30"/>
      <c r="G95" s="74">
        <v>1626</v>
      </c>
      <c r="H95" s="74"/>
      <c r="I95" s="74"/>
      <c r="J95" s="30">
        <f t="shared" si="80"/>
        <v>4244</v>
      </c>
      <c r="K95" s="74">
        <v>-901</v>
      </c>
      <c r="L95" s="74"/>
      <c r="M95" s="74"/>
      <c r="N95" s="30">
        <f t="shared" si="81"/>
        <v>-6841</v>
      </c>
      <c r="O95" s="74"/>
      <c r="P95" s="74"/>
      <c r="Q95" s="74"/>
      <c r="S95" s="30">
        <f t="shared" ref="S95:S96" si="82">SUM(G95:J95)</f>
        <v>5870</v>
      </c>
      <c r="T95" s="30">
        <f t="shared" ref="T95:T96" si="83">SUM(H95:K95)</f>
        <v>3343</v>
      </c>
      <c r="U95" s="30">
        <f t="shared" ref="U95:U96" si="84">SUM(I95:L95)</f>
        <v>3343</v>
      </c>
      <c r="V95" s="30">
        <f t="shared" ref="V95:V96" si="85">SUM(J95:M95)</f>
        <v>3343</v>
      </c>
      <c r="W95" s="30">
        <f t="shared" ref="W95:W96" si="86">SUM(K95:N95)</f>
        <v>-7742</v>
      </c>
      <c r="X95" s="30">
        <f t="shared" ref="X95:X96" si="87">SUM(L95:O95)</f>
        <v>-6841</v>
      </c>
      <c r="Y95" s="30">
        <f t="shared" ref="Y95:Y96" si="88">SUM(M95:P95)</f>
        <v>-6841</v>
      </c>
      <c r="Z95" s="30">
        <f t="shared" ref="Z95:Z96" si="89">SUM(N95:Q95)</f>
        <v>-6841</v>
      </c>
      <c r="AA95" s="30">
        <f t="shared" ref="AA95:AA96" si="90">SUM(O95:Q95)</f>
        <v>0</v>
      </c>
      <c r="AB95" s="30">
        <f t="shared" ref="AB95:AB96" si="91">SUM(P95:Q95)</f>
        <v>0</v>
      </c>
      <c r="AC95" s="53"/>
      <c r="AD95" s="66">
        <f t="shared" si="76"/>
        <v>-1</v>
      </c>
    </row>
    <row r="96" spans="2:30" ht="12.75" customHeight="1">
      <c r="B96" s="54" t="s">
        <v>150</v>
      </c>
      <c r="C96" s="74">
        <v>-6067</v>
      </c>
      <c r="D96" s="74">
        <v>6776</v>
      </c>
      <c r="E96" s="74">
        <v>-750</v>
      </c>
      <c r="F96" s="30"/>
      <c r="G96" s="74">
        <v>5264</v>
      </c>
      <c r="H96" s="74"/>
      <c r="I96" s="74"/>
      <c r="J96" s="30">
        <f t="shared" si="80"/>
        <v>1512</v>
      </c>
      <c r="K96" s="74">
        <v>407</v>
      </c>
      <c r="L96" s="74"/>
      <c r="M96" s="74"/>
      <c r="N96" s="30">
        <f t="shared" si="81"/>
        <v>-1157</v>
      </c>
      <c r="O96" s="74"/>
      <c r="P96" s="74"/>
      <c r="Q96" s="74"/>
      <c r="S96" s="30">
        <f>SUM(G96:J96)</f>
        <v>6776</v>
      </c>
      <c r="T96" s="30">
        <f>SUM(H96:K96)</f>
        <v>1919</v>
      </c>
      <c r="U96" s="30">
        <f>SUM(I96:L96)</f>
        <v>1919</v>
      </c>
      <c r="V96" s="30">
        <f>SUM(J96:M96)</f>
        <v>1919</v>
      </c>
      <c r="W96" s="30">
        <f>SUM(K96:N96)</f>
        <v>-750</v>
      </c>
      <c r="X96" s="30">
        <f>SUM(L96:O96)</f>
        <v>-1157</v>
      </c>
      <c r="Y96" s="30">
        <f>SUM(M96:P96)</f>
        <v>-1157</v>
      </c>
      <c r="Z96" s="30">
        <f>SUM(N96:Q96)</f>
        <v>-1157</v>
      </c>
      <c r="AA96" s="30">
        <f>SUM(O96:Q96)</f>
        <v>0</v>
      </c>
      <c r="AB96" s="30">
        <f>SUM(P96:Q96)</f>
        <v>0</v>
      </c>
      <c r="AC96" s="53"/>
      <c r="AD96" s="66">
        <f t="shared" ref="AD96" si="92">SUM(AB96/X96)-1</f>
        <v>-1</v>
      </c>
    </row>
    <row r="97" spans="2:30" ht="12.75" customHeight="1">
      <c r="B97" s="54" t="s">
        <v>151</v>
      </c>
      <c r="C97" s="74">
        <v>-335</v>
      </c>
      <c r="D97" s="74">
        <v>-11083</v>
      </c>
      <c r="E97" s="74">
        <v>-3480</v>
      </c>
      <c r="F97" s="30"/>
      <c r="G97" s="74">
        <v>-6265</v>
      </c>
      <c r="H97" s="74"/>
      <c r="I97" s="74"/>
      <c r="J97" s="30">
        <f t="shared" si="80"/>
        <v>-4818</v>
      </c>
      <c r="K97" s="74">
        <v>-810</v>
      </c>
      <c r="L97" s="74"/>
      <c r="M97" s="74"/>
      <c r="N97" s="30">
        <f t="shared" si="81"/>
        <v>-2670</v>
      </c>
      <c r="O97" s="74"/>
      <c r="P97" s="74"/>
      <c r="Q97" s="74"/>
      <c r="S97" s="30">
        <f>SUM(G97:J97)</f>
        <v>-11083</v>
      </c>
      <c r="T97" s="30">
        <f>SUM(H97:K97)</f>
        <v>-5628</v>
      </c>
      <c r="U97" s="30">
        <f>SUM(I97:L97)</f>
        <v>-5628</v>
      </c>
      <c r="V97" s="30">
        <f>SUM(J97:M97)</f>
        <v>-5628</v>
      </c>
      <c r="W97" s="30">
        <f>SUM(K97:N97)</f>
        <v>-3480</v>
      </c>
      <c r="X97" s="30">
        <f>SUM(L97:O97)</f>
        <v>-2670</v>
      </c>
      <c r="Y97" s="30">
        <f>SUM(M97:P97)</f>
        <v>-2670</v>
      </c>
      <c r="Z97" s="30">
        <f>SUM(N97:Q97)</f>
        <v>-2670</v>
      </c>
      <c r="AA97" s="30">
        <f>SUM(O97:Q97)</f>
        <v>0</v>
      </c>
      <c r="AB97" s="30">
        <f>SUM(P97:Q97)</f>
        <v>0</v>
      </c>
      <c r="AC97" s="53"/>
      <c r="AD97" s="66">
        <f t="shared" ref="AD97:AD100" si="93">SUM(AB97/X97)-1</f>
        <v>-1</v>
      </c>
    </row>
    <row r="98" spans="2:30" ht="12.75" customHeight="1">
      <c r="B98" s="54" t="s">
        <v>152</v>
      </c>
      <c r="C98" s="74">
        <v>-5899</v>
      </c>
      <c r="D98" s="74">
        <v>-5175</v>
      </c>
      <c r="E98" s="74">
        <v>-3302</v>
      </c>
      <c r="F98" s="30"/>
      <c r="G98" s="74">
        <v>-1840</v>
      </c>
      <c r="H98" s="74"/>
      <c r="I98" s="74"/>
      <c r="J98" s="30">
        <f t="shared" si="80"/>
        <v>-3335</v>
      </c>
      <c r="K98" s="74">
        <v>-1716</v>
      </c>
      <c r="L98" s="74"/>
      <c r="M98" s="74"/>
      <c r="N98" s="30">
        <f t="shared" si="81"/>
        <v>-1586</v>
      </c>
      <c r="O98" s="74"/>
      <c r="P98" s="74"/>
      <c r="Q98" s="74"/>
      <c r="S98" s="30">
        <f>SUM(G98:J98)</f>
        <v>-5175</v>
      </c>
      <c r="T98" s="30">
        <f>SUM(H98:K98)</f>
        <v>-5051</v>
      </c>
      <c r="U98" s="30">
        <f>SUM(I98:L98)</f>
        <v>-5051</v>
      </c>
      <c r="V98" s="30">
        <f>SUM(J98:M98)</f>
        <v>-5051</v>
      </c>
      <c r="W98" s="30">
        <f>SUM(K98:N98)</f>
        <v>-3302</v>
      </c>
      <c r="X98" s="30">
        <f>SUM(L98:O98)</f>
        <v>-1586</v>
      </c>
      <c r="Y98" s="30">
        <f>SUM(M98:P98)</f>
        <v>-1586</v>
      </c>
      <c r="Z98" s="30">
        <f>SUM(N98:Q98)</f>
        <v>-1586</v>
      </c>
      <c r="AA98" s="30">
        <f>SUM(O98:Q98)</f>
        <v>0</v>
      </c>
      <c r="AB98" s="30">
        <f>SUM(P98:Q98)</f>
        <v>0</v>
      </c>
      <c r="AC98" s="53"/>
      <c r="AD98" s="66">
        <f t="shared" si="93"/>
        <v>-1</v>
      </c>
    </row>
    <row r="99" spans="2:30" ht="12.75" customHeight="1">
      <c r="B99" s="54" t="s">
        <v>134</v>
      </c>
      <c r="C99" s="74">
        <v>-1485</v>
      </c>
      <c r="D99" s="74">
        <v>-1310</v>
      </c>
      <c r="E99" s="74">
        <v>-2298</v>
      </c>
      <c r="F99" s="30"/>
      <c r="G99" s="74">
        <v>-799</v>
      </c>
      <c r="H99" s="74"/>
      <c r="I99" s="74"/>
      <c r="J99" s="30">
        <f t="shared" si="80"/>
        <v>-511</v>
      </c>
      <c r="K99" s="74">
        <v>-1502</v>
      </c>
      <c r="L99" s="74"/>
      <c r="M99" s="74"/>
      <c r="N99" s="30">
        <f t="shared" si="81"/>
        <v>-796</v>
      </c>
      <c r="O99" s="74"/>
      <c r="P99" s="74"/>
      <c r="Q99" s="74"/>
      <c r="S99" s="30">
        <f>SUM(G99:J99)</f>
        <v>-1310</v>
      </c>
      <c r="T99" s="30">
        <f>SUM(H99:K99)</f>
        <v>-2013</v>
      </c>
      <c r="U99" s="30">
        <f>SUM(I99:L99)</f>
        <v>-2013</v>
      </c>
      <c r="V99" s="30">
        <f>SUM(J99:M99)</f>
        <v>-2013</v>
      </c>
      <c r="W99" s="30">
        <f>SUM(K99:N99)</f>
        <v>-2298</v>
      </c>
      <c r="X99" s="30">
        <f>SUM(L99:O99)</f>
        <v>-796</v>
      </c>
      <c r="Y99" s="30">
        <f>SUM(M99:P99)</f>
        <v>-796</v>
      </c>
      <c r="Z99" s="30">
        <f>SUM(N99:Q99)</f>
        <v>-796</v>
      </c>
      <c r="AA99" s="30">
        <f>SUM(O99:Q99)</f>
        <v>0</v>
      </c>
      <c r="AB99" s="30">
        <f>SUM(P99:Q99)</f>
        <v>0</v>
      </c>
      <c r="AC99" s="53"/>
      <c r="AD99" s="66">
        <f t="shared" si="93"/>
        <v>-1</v>
      </c>
    </row>
    <row r="100" spans="2:30" ht="12.75" customHeight="1">
      <c r="B100" s="54" t="s">
        <v>153</v>
      </c>
      <c r="C100" s="74">
        <v>2895</v>
      </c>
      <c r="D100" s="74">
        <v>-2987</v>
      </c>
      <c r="E100" s="74">
        <v>427</v>
      </c>
      <c r="F100" s="30"/>
      <c r="G100" s="74">
        <v>-1669</v>
      </c>
      <c r="H100" s="74"/>
      <c r="I100" s="74"/>
      <c r="J100" s="30">
        <f t="shared" si="80"/>
        <v>-1318</v>
      </c>
      <c r="K100" s="74">
        <v>-110</v>
      </c>
      <c r="L100" s="74"/>
      <c r="M100" s="74"/>
      <c r="N100" s="30">
        <f t="shared" si="81"/>
        <v>537</v>
      </c>
      <c r="O100" s="74"/>
      <c r="P100" s="74"/>
      <c r="Q100" s="74"/>
      <c r="S100" s="30">
        <f>SUM(G100:J100)</f>
        <v>-2987</v>
      </c>
      <c r="T100" s="30">
        <f>SUM(H100:K100)</f>
        <v>-1428</v>
      </c>
      <c r="U100" s="30">
        <f>SUM(I100:L100)</f>
        <v>-1428</v>
      </c>
      <c r="V100" s="30">
        <f>SUM(J100:M100)</f>
        <v>-1428</v>
      </c>
      <c r="W100" s="30">
        <f>SUM(K100:N100)</f>
        <v>427</v>
      </c>
      <c r="X100" s="30">
        <f>SUM(L100:O100)</f>
        <v>537</v>
      </c>
      <c r="Y100" s="30">
        <f>SUM(M100:P100)</f>
        <v>537</v>
      </c>
      <c r="Z100" s="30">
        <f>SUM(N100:Q100)</f>
        <v>537</v>
      </c>
      <c r="AA100" s="30">
        <f>SUM(O100:Q100)</f>
        <v>0</v>
      </c>
      <c r="AB100" s="30">
        <f>SUM(P100:Q100)</f>
        <v>0</v>
      </c>
      <c r="AC100" s="53"/>
      <c r="AD100" s="66">
        <f t="shared" si="93"/>
        <v>-1</v>
      </c>
    </row>
    <row r="101" spans="2:30" ht="12.75" customHeight="1">
      <c r="B101" s="12" t="s">
        <v>54</v>
      </c>
      <c r="C101" s="13">
        <f>SUM(C84:C100)</f>
        <v>47276</v>
      </c>
      <c r="D101" s="13">
        <f>SUM(D84:D100)</f>
        <v>64310</v>
      </c>
      <c r="E101" s="13">
        <f>SUM(E84:E100)</f>
        <v>47087</v>
      </c>
      <c r="G101" s="13">
        <f>SUM(G84:G100)</f>
        <v>18786</v>
      </c>
      <c r="H101" s="13">
        <f>SUM(H84:H100)</f>
        <v>0</v>
      </c>
      <c r="I101" s="13">
        <f>SUM(I84:I100)</f>
        <v>0</v>
      </c>
      <c r="J101" s="13">
        <f>SUM(J84:J100)</f>
        <v>45524</v>
      </c>
      <c r="K101" s="13">
        <f>SUM(K84:K100)</f>
        <v>10365</v>
      </c>
      <c r="L101" s="13">
        <f>SUM(L84:L100)</f>
        <v>0</v>
      </c>
      <c r="M101" s="13">
        <f>SUM(M84:M100)</f>
        <v>0</v>
      </c>
      <c r="N101" s="13">
        <f>SUM(N84:N100)</f>
        <v>36722</v>
      </c>
      <c r="O101" s="13">
        <f>SUM(O84:O100)</f>
        <v>0</v>
      </c>
      <c r="P101" s="13">
        <f>SUM(P84:P100)</f>
        <v>0</v>
      </c>
      <c r="Q101" s="13">
        <f>SUM(Q84:Q100)</f>
        <v>0</v>
      </c>
      <c r="S101" s="13">
        <f>SUM(S84:S100)</f>
        <v>64310</v>
      </c>
      <c r="T101" s="13">
        <f>SUM(T84:T100)</f>
        <v>55889</v>
      </c>
      <c r="U101" s="13">
        <f>SUM(U84:U100)</f>
        <v>55889</v>
      </c>
      <c r="V101" s="13">
        <f>SUM(V84:V100)</f>
        <v>55889</v>
      </c>
      <c r="W101" s="13">
        <f>SUM(W84:W100)</f>
        <v>47087</v>
      </c>
      <c r="X101" s="13">
        <f>SUM(X84:X100)</f>
        <v>36722</v>
      </c>
      <c r="Y101" s="13">
        <f>SUM(Y84:Y100)</f>
        <v>36722</v>
      </c>
      <c r="Z101" s="13">
        <f>SUM(Z84:Z100)</f>
        <v>36722</v>
      </c>
      <c r="AA101" s="13">
        <f>SUM(AA84:AA100)</f>
        <v>0</v>
      </c>
      <c r="AB101" s="13">
        <f>SUM(AB84:AB100)</f>
        <v>0</v>
      </c>
      <c r="AC101" s="39"/>
      <c r="AD101" s="67">
        <f>SUM(AB101/X101)-1</f>
        <v>-1</v>
      </c>
    </row>
    <row r="102" spans="2:30" ht="12.75" customHeight="1">
      <c r="B102" s="47"/>
      <c r="C102" s="55"/>
      <c r="D102" s="55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6"/>
    </row>
    <row r="103" spans="2:30" ht="12.75" customHeight="1">
      <c r="B103" s="110" t="s">
        <v>55</v>
      </c>
      <c r="C103" s="52"/>
      <c r="D103" s="52"/>
      <c r="E103" s="52"/>
      <c r="G103" s="74"/>
      <c r="H103" s="74"/>
      <c r="I103" s="74"/>
      <c r="J103" s="30"/>
      <c r="K103" s="74"/>
      <c r="L103" s="74"/>
      <c r="M103" s="74"/>
      <c r="N103" s="30"/>
      <c r="O103" s="74"/>
      <c r="P103" s="74"/>
      <c r="Q103" s="74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3"/>
      <c r="AD103" s="36"/>
    </row>
    <row r="104" spans="2:30" ht="12.75" customHeight="1">
      <c r="B104" s="54" t="s">
        <v>154</v>
      </c>
      <c r="C104" s="74">
        <v>-13634</v>
      </c>
      <c r="D104" s="74">
        <v>-18295</v>
      </c>
      <c r="E104" s="74">
        <v>-19317</v>
      </c>
      <c r="F104" s="30"/>
      <c r="G104" s="74">
        <v>-3065</v>
      </c>
      <c r="H104" s="74"/>
      <c r="I104" s="74"/>
      <c r="J104" s="30">
        <f t="shared" ref="J104" si="94">SUM(D104-SUM(G104:I104))</f>
        <v>-15230</v>
      </c>
      <c r="K104" s="74">
        <v>-2430</v>
      </c>
      <c r="L104" s="74"/>
      <c r="M104" s="74"/>
      <c r="N104" s="30">
        <f t="shared" ref="N104" si="95">SUM(E104-SUM(K104:M104))</f>
        <v>-16887</v>
      </c>
      <c r="O104" s="74"/>
      <c r="P104" s="74"/>
      <c r="Q104" s="74"/>
      <c r="R104" s="30"/>
      <c r="S104" s="30">
        <f>SUM(G104:J104)</f>
        <v>-18295</v>
      </c>
      <c r="T104" s="30">
        <f>SUM(H104:K104)</f>
        <v>-17660</v>
      </c>
      <c r="U104" s="30">
        <f>SUM(I104:L104)</f>
        <v>-17660</v>
      </c>
      <c r="V104" s="30">
        <f>SUM(J104:M104)</f>
        <v>-17660</v>
      </c>
      <c r="W104" s="30">
        <f>SUM(K104:N104)</f>
        <v>-19317</v>
      </c>
      <c r="X104" s="30">
        <f>SUM(L104:O104)</f>
        <v>-16887</v>
      </c>
      <c r="Y104" s="30">
        <f>SUM(M104:P104)</f>
        <v>-16887</v>
      </c>
      <c r="Z104" s="30">
        <f>SUM(N104:Q104)</f>
        <v>-16887</v>
      </c>
      <c r="AA104" s="30">
        <f>SUM(O104:Q104)</f>
        <v>0</v>
      </c>
      <c r="AB104" s="30">
        <f>SUM(P104:Q104)</f>
        <v>0</v>
      </c>
      <c r="AC104" s="53"/>
      <c r="AD104" s="66">
        <f t="shared" ref="AD104" si="96">SUM(AB104/X104)-1</f>
        <v>-1</v>
      </c>
    </row>
    <row r="105" spans="2:30" ht="12.75" customHeight="1">
      <c r="B105" s="12" t="s">
        <v>56</v>
      </c>
      <c r="C105" s="13">
        <f>SUM(C104:C104)</f>
        <v>-13634</v>
      </c>
      <c r="D105" s="13">
        <f>SUM(D104:D104)</f>
        <v>-18295</v>
      </c>
      <c r="E105" s="13">
        <f>SUM(E104:E104)</f>
        <v>-19317</v>
      </c>
      <c r="G105" s="13">
        <f>SUM(G104:G104)</f>
        <v>-3065</v>
      </c>
      <c r="H105" s="13">
        <f>SUM(H104:H104)</f>
        <v>0</v>
      </c>
      <c r="I105" s="13">
        <f>SUM(I104:I104)</f>
        <v>0</v>
      </c>
      <c r="J105" s="13">
        <f>SUM(J104:J104)</f>
        <v>-15230</v>
      </c>
      <c r="K105" s="13">
        <f>SUM(K104:K104)</f>
        <v>-2430</v>
      </c>
      <c r="L105" s="13">
        <f>SUM(L104:L104)</f>
        <v>0</v>
      </c>
      <c r="M105" s="13">
        <f>SUM(M104:M104)</f>
        <v>0</v>
      </c>
      <c r="N105" s="13">
        <f>SUM(N104:N104)</f>
        <v>-16887</v>
      </c>
      <c r="O105" s="13">
        <f>SUM(O104:O104)</f>
        <v>0</v>
      </c>
      <c r="P105" s="13">
        <f>SUM(P104:P104)</f>
        <v>0</v>
      </c>
      <c r="Q105" s="13">
        <f>SUM(Q104:Q104)</f>
        <v>0</v>
      </c>
      <c r="S105" s="13">
        <f>SUM(S104:S104)</f>
        <v>-18295</v>
      </c>
      <c r="T105" s="13">
        <f>SUM(T104:T104)</f>
        <v>-17660</v>
      </c>
      <c r="U105" s="13">
        <f>SUM(U104:U104)</f>
        <v>-17660</v>
      </c>
      <c r="V105" s="13">
        <f>SUM(V104:V104)</f>
        <v>-17660</v>
      </c>
      <c r="W105" s="13">
        <f>SUM(W104:W104)</f>
        <v>-19317</v>
      </c>
      <c r="X105" s="13">
        <f>SUM(X104:X104)</f>
        <v>-16887</v>
      </c>
      <c r="Y105" s="13">
        <f>SUM(Y104:Y104)</f>
        <v>-16887</v>
      </c>
      <c r="Z105" s="13">
        <f>SUM(Z104:Z104)</f>
        <v>-16887</v>
      </c>
      <c r="AA105" s="13">
        <f>SUM(AA104:AA104)</f>
        <v>0</v>
      </c>
      <c r="AB105" s="13">
        <f>SUM(AB104:AB104)</f>
        <v>0</v>
      </c>
      <c r="AC105" s="39"/>
      <c r="AD105" s="67">
        <f>SUM(AB105/X105)-1</f>
        <v>-1</v>
      </c>
    </row>
    <row r="106" spans="2:30" ht="5.0999999999999996" customHeight="1">
      <c r="B106" s="46"/>
      <c r="C106" s="55"/>
      <c r="D106" s="55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6"/>
    </row>
    <row r="107" spans="2:30" ht="12.75" customHeight="1">
      <c r="B107" s="110" t="s">
        <v>57</v>
      </c>
      <c r="C107" s="56"/>
      <c r="D107" s="56"/>
      <c r="E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57"/>
      <c r="AD107" s="36"/>
    </row>
    <row r="108" spans="2:30" ht="12.75" customHeight="1">
      <c r="B108" s="75" t="s">
        <v>155</v>
      </c>
      <c r="C108" s="74">
        <v>-592</v>
      </c>
      <c r="D108" s="74">
        <v>-1339</v>
      </c>
      <c r="E108" s="74">
        <v>-1869</v>
      </c>
      <c r="G108" s="74">
        <v>94</v>
      </c>
      <c r="H108" s="74"/>
      <c r="I108" s="74"/>
      <c r="J108" s="30">
        <f t="shared" ref="J108:J110" si="97">SUM(D108-SUM(G108:I108))</f>
        <v>-1433</v>
      </c>
      <c r="K108" s="74">
        <v>-1869</v>
      </c>
      <c r="L108" s="74"/>
      <c r="M108" s="74"/>
      <c r="N108" s="30">
        <f t="shared" ref="N108:N110" si="98">SUM(E108-SUM(K108:M108))</f>
        <v>0</v>
      </c>
      <c r="O108" s="74"/>
      <c r="P108" s="74"/>
      <c r="Q108" s="74"/>
      <c r="R108" s="30"/>
      <c r="S108" s="30">
        <f>SUM(G108:J108)</f>
        <v>-1339</v>
      </c>
      <c r="T108" s="30">
        <f>SUM(H108:K108)</f>
        <v>-3302</v>
      </c>
      <c r="U108" s="30">
        <f>SUM(I108:L108)</f>
        <v>-3302</v>
      </c>
      <c r="V108" s="30">
        <f>SUM(J108:M108)</f>
        <v>-3302</v>
      </c>
      <c r="W108" s="30">
        <f>SUM(K108:N108)</f>
        <v>-1869</v>
      </c>
      <c r="X108" s="30">
        <f>SUM(L108:O108)</f>
        <v>0</v>
      </c>
      <c r="Y108" s="30">
        <f>SUM(M108:P108)</f>
        <v>0</v>
      </c>
      <c r="Z108" s="30">
        <f>SUM(N108:Q108)</f>
        <v>0</v>
      </c>
      <c r="AA108" s="30">
        <f>SUM(O108:Q108)</f>
        <v>0</v>
      </c>
      <c r="AB108" s="30">
        <f>SUM(P108:Q108)</f>
        <v>0</v>
      </c>
      <c r="AC108" s="57"/>
      <c r="AD108" s="66" t="e">
        <f t="shared" ref="AD108" si="99">SUM(AB108/X108)-1</f>
        <v>#DIV/0!</v>
      </c>
    </row>
    <row r="109" spans="2:30" ht="12.75" customHeight="1">
      <c r="B109" s="54" t="s">
        <v>156</v>
      </c>
      <c r="C109" s="74">
        <v>-24172</v>
      </c>
      <c r="D109" s="74">
        <v>-20500</v>
      </c>
      <c r="E109" s="74">
        <v>-31266</v>
      </c>
      <c r="F109" s="30"/>
      <c r="G109" s="74">
        <v>-3099</v>
      </c>
      <c r="H109" s="74"/>
      <c r="I109" s="74"/>
      <c r="J109" s="30">
        <f t="shared" si="97"/>
        <v>-17401</v>
      </c>
      <c r="K109" s="74">
        <v>-9198</v>
      </c>
      <c r="L109" s="74"/>
      <c r="M109" s="74"/>
      <c r="N109" s="30">
        <f t="shared" si="98"/>
        <v>-22068</v>
      </c>
      <c r="O109" s="74"/>
      <c r="P109" s="74"/>
      <c r="Q109" s="74"/>
      <c r="R109" s="30"/>
      <c r="S109" s="30">
        <f>SUM(G109:J109)</f>
        <v>-20500</v>
      </c>
      <c r="T109" s="30">
        <f>SUM(H109:K109)</f>
        <v>-26599</v>
      </c>
      <c r="U109" s="30">
        <f>SUM(I109:L109)</f>
        <v>-26599</v>
      </c>
      <c r="V109" s="30">
        <f>SUM(J109:M109)</f>
        <v>-26599</v>
      </c>
      <c r="W109" s="30">
        <f>SUM(K109:N109)</f>
        <v>-31266</v>
      </c>
      <c r="X109" s="30">
        <f>SUM(L109:O109)</f>
        <v>-22068</v>
      </c>
      <c r="Y109" s="30">
        <f>SUM(M109:P109)</f>
        <v>-22068</v>
      </c>
      <c r="Z109" s="30">
        <f>SUM(N109:Q109)</f>
        <v>-22068</v>
      </c>
      <c r="AA109" s="30">
        <f>SUM(O109:Q109)</f>
        <v>0</v>
      </c>
      <c r="AB109" s="30">
        <f>SUM(P109:Q109)</f>
        <v>0</v>
      </c>
      <c r="AC109" s="53"/>
      <c r="AD109" s="66">
        <f t="shared" ref="AD109" si="100">SUM(AB109/X109)-1</f>
        <v>-1</v>
      </c>
    </row>
    <row r="110" spans="2:30" ht="12.75" customHeight="1">
      <c r="B110" s="54" t="s">
        <v>157</v>
      </c>
      <c r="C110" s="74">
        <v>-292</v>
      </c>
      <c r="D110" s="74">
        <v>-22062</v>
      </c>
      <c r="E110" s="74">
        <v>-11024</v>
      </c>
      <c r="F110" s="30"/>
      <c r="G110" s="74">
        <v>-22098</v>
      </c>
      <c r="H110" s="74"/>
      <c r="I110" s="74"/>
      <c r="J110" s="30">
        <f t="shared" si="97"/>
        <v>36</v>
      </c>
      <c r="K110" s="74">
        <v>-2911</v>
      </c>
      <c r="L110" s="74"/>
      <c r="M110" s="74"/>
      <c r="N110" s="30">
        <f t="shared" si="98"/>
        <v>-8113</v>
      </c>
      <c r="O110" s="74"/>
      <c r="P110" s="74"/>
      <c r="Q110" s="74"/>
      <c r="R110" s="30"/>
      <c r="S110" s="30">
        <f>SUM(G110:J110)</f>
        <v>-22062</v>
      </c>
      <c r="T110" s="30">
        <f>SUM(H110:K110)</f>
        <v>-2875</v>
      </c>
      <c r="U110" s="30">
        <f>SUM(I110:L110)</f>
        <v>-2875</v>
      </c>
      <c r="V110" s="30">
        <f>SUM(J110:M110)</f>
        <v>-2875</v>
      </c>
      <c r="W110" s="30">
        <f>SUM(K110:N110)</f>
        <v>-11024</v>
      </c>
      <c r="X110" s="30">
        <f>SUM(L110:O110)</f>
        <v>-8113</v>
      </c>
      <c r="Y110" s="30">
        <f>SUM(M110:P110)</f>
        <v>-8113</v>
      </c>
      <c r="Z110" s="30">
        <f>SUM(N110:Q110)</f>
        <v>-8113</v>
      </c>
      <c r="AA110" s="30">
        <f>SUM(O110:Q110)</f>
        <v>0</v>
      </c>
      <c r="AB110" s="30">
        <f>SUM(P110:Q110)</f>
        <v>0</v>
      </c>
      <c r="AC110" s="53"/>
      <c r="AD110" s="66">
        <f t="shared" ref="AD110" si="101">SUM(AB110/X110)-1</f>
        <v>-1</v>
      </c>
    </row>
    <row r="111" spans="2:30" ht="12.75" customHeight="1">
      <c r="B111" s="12" t="s">
        <v>58</v>
      </c>
      <c r="C111" s="13">
        <f>SUM(C108:C110)</f>
        <v>-25056</v>
      </c>
      <c r="D111" s="13">
        <f>SUM(D108:D110)</f>
        <v>-43901</v>
      </c>
      <c r="E111" s="13">
        <f>SUM(E108:E110)</f>
        <v>-44159</v>
      </c>
      <c r="G111" s="13">
        <f>SUM(G108:G110)</f>
        <v>-25103</v>
      </c>
      <c r="H111" s="13">
        <f>SUM(H108:H110)</f>
        <v>0</v>
      </c>
      <c r="I111" s="13">
        <f>SUM(I108:I110)</f>
        <v>0</v>
      </c>
      <c r="J111" s="13">
        <f>SUM(J108:J110)</f>
        <v>-18798</v>
      </c>
      <c r="K111" s="13">
        <f>SUM(K108:K110)</f>
        <v>-13978</v>
      </c>
      <c r="L111" s="13">
        <f>SUM(L108:L110)</f>
        <v>0</v>
      </c>
      <c r="M111" s="13">
        <f>SUM(M108:M110)</f>
        <v>0</v>
      </c>
      <c r="N111" s="13">
        <f>SUM(N108:N110)</f>
        <v>-30181</v>
      </c>
      <c r="O111" s="13">
        <f>SUM(O108:O110)</f>
        <v>0</v>
      </c>
      <c r="P111" s="13">
        <f>SUM(P108:P110)</f>
        <v>0</v>
      </c>
      <c r="Q111" s="13">
        <f>SUM(Q108:Q110)</f>
        <v>0</v>
      </c>
      <c r="S111" s="13">
        <f>SUM(S108:S110)</f>
        <v>-43901</v>
      </c>
      <c r="T111" s="13">
        <f>SUM(T108:T110)</f>
        <v>-32776</v>
      </c>
      <c r="U111" s="13">
        <f>SUM(U108:U110)</f>
        <v>-32776</v>
      </c>
      <c r="V111" s="13">
        <f>SUM(V108:V110)</f>
        <v>-32776</v>
      </c>
      <c r="W111" s="13">
        <f>SUM(W108:W110)</f>
        <v>-44159</v>
      </c>
      <c r="X111" s="13">
        <f>SUM(X108:X110)</f>
        <v>-30181</v>
      </c>
      <c r="Y111" s="13">
        <f>SUM(Y108:Y110)</f>
        <v>-30181</v>
      </c>
      <c r="Z111" s="13">
        <f>SUM(Z108:Z110)</f>
        <v>-30181</v>
      </c>
      <c r="AA111" s="13">
        <f>SUM(AA108:AA110)</f>
        <v>0</v>
      </c>
      <c r="AB111" s="13">
        <f>SUM(AB108:AB110)</f>
        <v>0</v>
      </c>
      <c r="AC111" s="39"/>
      <c r="AD111" s="67">
        <f>SUM(AB111/X111)-1</f>
        <v>-1</v>
      </c>
    </row>
    <row r="112" spans="2:30" ht="5.0999999999999996" customHeight="1">
      <c r="B112" s="8"/>
      <c r="C112" s="58"/>
      <c r="D112" s="58"/>
      <c r="E112" s="58"/>
      <c r="F112" s="30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42"/>
    </row>
    <row r="113" spans="2:30" ht="5.0999999999999996" customHeight="1">
      <c r="B113" s="63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11"/>
      <c r="AD113" s="42"/>
    </row>
    <row r="114" spans="2:30">
      <c r="B114" s="141" t="s">
        <v>92</v>
      </c>
      <c r="C114" s="153">
        <v>32845</v>
      </c>
      <c r="D114" s="147">
        <f t="shared" ref="D114" si="102">C121</f>
        <v>42198</v>
      </c>
      <c r="E114" s="147">
        <f t="shared" ref="E114" si="103">D121</f>
        <v>44327</v>
      </c>
      <c r="F114" s="147"/>
      <c r="G114" s="147">
        <f>D114</f>
        <v>42198</v>
      </c>
      <c r="H114" s="147">
        <f t="shared" ref="H114:P114" si="104">G121</f>
        <v>32819</v>
      </c>
      <c r="I114" s="147">
        <f t="shared" si="104"/>
        <v>32819</v>
      </c>
      <c r="J114" s="147">
        <f t="shared" si="104"/>
        <v>32819</v>
      </c>
      <c r="K114" s="147">
        <f t="shared" si="104"/>
        <v>44327</v>
      </c>
      <c r="L114" s="147">
        <f t="shared" si="104"/>
        <v>38233</v>
      </c>
      <c r="M114" s="147">
        <f t="shared" si="104"/>
        <v>38233</v>
      </c>
      <c r="N114" s="147">
        <f t="shared" si="104"/>
        <v>38233</v>
      </c>
      <c r="O114" s="147">
        <f t="shared" si="104"/>
        <v>27758</v>
      </c>
      <c r="P114" s="147">
        <f t="shared" si="104"/>
        <v>27758</v>
      </c>
      <c r="Q114" s="147">
        <f t="shared" ref="Q114" si="105">P121</f>
        <v>27758</v>
      </c>
      <c r="R114" s="147"/>
      <c r="S114" s="147">
        <f>J114</f>
        <v>32819</v>
      </c>
      <c r="T114" s="147">
        <f t="shared" ref="T114:AB114" si="106">S121</f>
        <v>44327</v>
      </c>
      <c r="U114" s="147">
        <f t="shared" si="106"/>
        <v>38233</v>
      </c>
      <c r="V114" s="147">
        <f t="shared" si="106"/>
        <v>38233</v>
      </c>
      <c r="W114" s="147">
        <f t="shared" si="106"/>
        <v>38233</v>
      </c>
      <c r="X114" s="147">
        <f t="shared" si="106"/>
        <v>27758</v>
      </c>
      <c r="Y114" s="147">
        <f t="shared" si="106"/>
        <v>27758</v>
      </c>
      <c r="Z114" s="147">
        <f t="shared" si="106"/>
        <v>27758</v>
      </c>
      <c r="AA114" s="147">
        <f t="shared" si="106"/>
        <v>27758</v>
      </c>
      <c r="AB114" s="148" t="e">
        <f t="shared" si="106"/>
        <v>#REF!</v>
      </c>
      <c r="AC114" s="11"/>
      <c r="AD114" s="42"/>
    </row>
    <row r="115" spans="2:30">
      <c r="B115" s="142" t="s">
        <v>89</v>
      </c>
      <c r="C115" s="74">
        <v>0</v>
      </c>
      <c r="D115" s="30">
        <f t="shared" ref="D115" si="107">-C119</f>
        <v>0</v>
      </c>
      <c r="E115" s="30">
        <f t="shared" ref="E115" si="108">-D119</f>
        <v>0</v>
      </c>
      <c r="F115" s="30"/>
      <c r="G115" s="30">
        <f>D115</f>
        <v>0</v>
      </c>
      <c r="H115" s="30">
        <f>-G119</f>
        <v>0</v>
      </c>
      <c r="I115" s="30">
        <f t="shared" ref="I115:P115" si="109">-H119</f>
        <v>0</v>
      </c>
      <c r="J115" s="30">
        <f t="shared" si="109"/>
        <v>0</v>
      </c>
      <c r="K115" s="30">
        <f t="shared" si="109"/>
        <v>0</v>
      </c>
      <c r="L115" s="30">
        <f t="shared" si="109"/>
        <v>0</v>
      </c>
      <c r="M115" s="30">
        <f t="shared" si="109"/>
        <v>0</v>
      </c>
      <c r="N115" s="30">
        <f t="shared" si="109"/>
        <v>0</v>
      </c>
      <c r="O115" s="30">
        <f t="shared" si="109"/>
        <v>0</v>
      </c>
      <c r="P115" s="30">
        <f t="shared" si="109"/>
        <v>0</v>
      </c>
      <c r="Q115" s="30">
        <f t="shared" ref="Q115" si="110">-P119</f>
        <v>0</v>
      </c>
      <c r="R115" s="30"/>
      <c r="S115" s="30">
        <f>J115</f>
        <v>0</v>
      </c>
      <c r="T115" s="30">
        <f t="shared" ref="T115:AB115" si="111">-S119</f>
        <v>0</v>
      </c>
      <c r="U115" s="30">
        <f t="shared" si="111"/>
        <v>0</v>
      </c>
      <c r="V115" s="30">
        <f t="shared" si="111"/>
        <v>0</v>
      </c>
      <c r="W115" s="30">
        <f t="shared" si="111"/>
        <v>0</v>
      </c>
      <c r="X115" s="30">
        <f t="shared" si="111"/>
        <v>0</v>
      </c>
      <c r="Y115" s="30">
        <f t="shared" si="111"/>
        <v>0</v>
      </c>
      <c r="Z115" s="30">
        <f t="shared" si="111"/>
        <v>0</v>
      </c>
      <c r="AA115" s="30">
        <f t="shared" si="111"/>
        <v>0</v>
      </c>
      <c r="AB115" s="137" t="e">
        <f t="shared" si="111"/>
        <v>#REF!</v>
      </c>
      <c r="AC115" s="11"/>
      <c r="AD115" s="42"/>
    </row>
    <row r="116" spans="2:30">
      <c r="B116" s="143" t="s">
        <v>72</v>
      </c>
      <c r="C116" s="111">
        <f t="shared" ref="C116:D116" si="112">SUM(C114:C115)</f>
        <v>32845</v>
      </c>
      <c r="D116" s="111">
        <f t="shared" si="112"/>
        <v>42198</v>
      </c>
      <c r="E116" s="111">
        <f t="shared" ref="E116" si="113">SUM(E114:E115)</f>
        <v>44327</v>
      </c>
      <c r="F116" s="30"/>
      <c r="G116" s="111">
        <f t="shared" ref="G116:P116" si="114">SUM(G114:G115)</f>
        <v>42198</v>
      </c>
      <c r="H116" s="111">
        <f t="shared" si="114"/>
        <v>32819</v>
      </c>
      <c r="I116" s="111">
        <f t="shared" si="114"/>
        <v>32819</v>
      </c>
      <c r="J116" s="111">
        <f t="shared" si="114"/>
        <v>32819</v>
      </c>
      <c r="K116" s="111">
        <f t="shared" si="114"/>
        <v>44327</v>
      </c>
      <c r="L116" s="111">
        <f t="shared" si="114"/>
        <v>38233</v>
      </c>
      <c r="M116" s="111">
        <f t="shared" si="114"/>
        <v>38233</v>
      </c>
      <c r="N116" s="111">
        <f t="shared" si="114"/>
        <v>38233</v>
      </c>
      <c r="O116" s="111">
        <f t="shared" si="114"/>
        <v>27758</v>
      </c>
      <c r="P116" s="111">
        <f t="shared" si="114"/>
        <v>27758</v>
      </c>
      <c r="Q116" s="111">
        <f t="shared" ref="Q116" si="115">SUM(Q114:Q115)</f>
        <v>27758</v>
      </c>
      <c r="R116" s="30"/>
      <c r="S116" s="111">
        <f t="shared" ref="S116:W116" si="116">SUM(S114:S115)</f>
        <v>32819</v>
      </c>
      <c r="T116" s="111">
        <f t="shared" si="116"/>
        <v>44327</v>
      </c>
      <c r="U116" s="111">
        <f t="shared" si="116"/>
        <v>38233</v>
      </c>
      <c r="V116" s="111">
        <f t="shared" si="116"/>
        <v>38233</v>
      </c>
      <c r="W116" s="111">
        <f t="shared" si="116"/>
        <v>38233</v>
      </c>
      <c r="X116" s="111">
        <f t="shared" ref="X116" si="117">SUM(X114:X115)</f>
        <v>27758</v>
      </c>
      <c r="Y116" s="111">
        <f t="shared" ref="Y116" si="118">SUM(Y114:Y115)</f>
        <v>27758</v>
      </c>
      <c r="Z116" s="111">
        <f t="shared" ref="Z116" si="119">SUM(Z114:Z115)</f>
        <v>27758</v>
      </c>
      <c r="AA116" s="111">
        <f t="shared" ref="AA116" si="120">SUM(AA114:AA115)</f>
        <v>27758</v>
      </c>
      <c r="AB116" s="138" t="e">
        <f t="shared" ref="AB116" si="121">SUM(AB114:AB115)</f>
        <v>#REF!</v>
      </c>
      <c r="AC116" s="11"/>
      <c r="AD116" s="42"/>
    </row>
    <row r="117" spans="2:30" ht="5.0999999999999996" customHeight="1">
      <c r="B117" s="144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137"/>
      <c r="AC117" s="11"/>
      <c r="AD117" s="42"/>
    </row>
    <row r="118" spans="2:30">
      <c r="B118" s="142" t="s">
        <v>90</v>
      </c>
      <c r="C118" s="74">
        <v>767</v>
      </c>
      <c r="D118" s="74">
        <v>15</v>
      </c>
      <c r="E118" s="74">
        <v>-180</v>
      </c>
      <c r="F118" s="30"/>
      <c r="G118" s="74">
        <v>3</v>
      </c>
      <c r="H118" s="74"/>
      <c r="I118" s="74"/>
      <c r="J118" s="30">
        <f>SUM(D118-SUM(G118:I118))</f>
        <v>12</v>
      </c>
      <c r="K118" s="74">
        <v>-51</v>
      </c>
      <c r="L118" s="74"/>
      <c r="M118" s="74"/>
      <c r="N118" s="30">
        <f>SUM(E118-SUM(K118:M118))</f>
        <v>-129</v>
      </c>
      <c r="O118" s="74"/>
      <c r="P118" s="74"/>
      <c r="Q118" s="74"/>
      <c r="R118" s="30"/>
      <c r="S118" s="30">
        <f>J118</f>
        <v>12</v>
      </c>
      <c r="T118" s="30">
        <f>K118</f>
        <v>-51</v>
      </c>
      <c r="U118" s="30">
        <f>L118</f>
        <v>0</v>
      </c>
      <c r="V118" s="30">
        <f>M118</f>
        <v>0</v>
      </c>
      <c r="W118" s="30">
        <f>N118</f>
        <v>-129</v>
      </c>
      <c r="X118" s="30">
        <f>O118</f>
        <v>0</v>
      </c>
      <c r="Y118" s="30">
        <f>P118</f>
        <v>0</v>
      </c>
      <c r="Z118" s="30">
        <f>Q118</f>
        <v>0</v>
      </c>
      <c r="AA118" s="30" t="e">
        <f>#REF!</f>
        <v>#REF!</v>
      </c>
      <c r="AB118" s="137" t="e">
        <f>#REF!</f>
        <v>#REF!</v>
      </c>
      <c r="AC118" s="11"/>
      <c r="AD118" s="42"/>
    </row>
    <row r="119" spans="2:30">
      <c r="B119" s="142" t="s">
        <v>91</v>
      </c>
      <c r="C119" s="74">
        <v>0</v>
      </c>
      <c r="D119" s="74">
        <v>0</v>
      </c>
      <c r="E119" s="74">
        <v>0</v>
      </c>
      <c r="F119" s="30"/>
      <c r="G119" s="30"/>
      <c r="H119" s="30"/>
      <c r="I119" s="30"/>
      <c r="J119" s="30">
        <f>D119</f>
        <v>0</v>
      </c>
      <c r="K119" s="30"/>
      <c r="L119" s="30"/>
      <c r="M119" s="30"/>
      <c r="N119" s="30">
        <f>E119</f>
        <v>0</v>
      </c>
      <c r="O119" s="30"/>
      <c r="P119" s="30"/>
      <c r="Q119" s="30"/>
      <c r="R119" s="30"/>
      <c r="S119" s="30">
        <f>J119</f>
        <v>0</v>
      </c>
      <c r="T119" s="30">
        <f>K119</f>
        <v>0</v>
      </c>
      <c r="U119" s="30">
        <f>L119</f>
        <v>0</v>
      </c>
      <c r="V119" s="30">
        <f>M119</f>
        <v>0</v>
      </c>
      <c r="W119" s="30">
        <f>N119</f>
        <v>0</v>
      </c>
      <c r="X119" s="30">
        <f>O119</f>
        <v>0</v>
      </c>
      <c r="Y119" s="30">
        <f>P119</f>
        <v>0</v>
      </c>
      <c r="Z119" s="30">
        <f>Q119</f>
        <v>0</v>
      </c>
      <c r="AA119" s="30" t="e">
        <f>#REF!</f>
        <v>#REF!</v>
      </c>
      <c r="AB119" s="137" t="e">
        <f>#REF!</f>
        <v>#REF!</v>
      </c>
      <c r="AC119" s="11"/>
      <c r="AD119" s="42"/>
    </row>
    <row r="120" spans="2:30">
      <c r="B120" s="142" t="s">
        <v>62</v>
      </c>
      <c r="C120" s="30">
        <f>+C111+C105+C101</f>
        <v>8586</v>
      </c>
      <c r="D120" s="30">
        <f>+D111+D105+D101</f>
        <v>2114</v>
      </c>
      <c r="E120" s="30">
        <f>+E111+E105+E101</f>
        <v>-16389</v>
      </c>
      <c r="F120" s="30"/>
      <c r="G120" s="30">
        <f>+G111+G105+G101</f>
        <v>-9382</v>
      </c>
      <c r="H120" s="30">
        <f>+H111+H105+H101</f>
        <v>0</v>
      </c>
      <c r="I120" s="30">
        <f>+I111+I105+I101</f>
        <v>0</v>
      </c>
      <c r="J120" s="30">
        <f>+J111+J105+J101</f>
        <v>11496</v>
      </c>
      <c r="K120" s="30">
        <f>+K111+K105+K101</f>
        <v>-6043</v>
      </c>
      <c r="L120" s="30">
        <f>+L111+L105+L101</f>
        <v>0</v>
      </c>
      <c r="M120" s="30">
        <f>+M111+M105+M101</f>
        <v>0</v>
      </c>
      <c r="N120" s="30">
        <f>+N111+N105+N101</f>
        <v>-10346</v>
      </c>
      <c r="O120" s="30">
        <f>+O111+O105+O101</f>
        <v>0</v>
      </c>
      <c r="P120" s="30">
        <f>+P111+P105+P101</f>
        <v>0</v>
      </c>
      <c r="Q120" s="30">
        <f>+Q111+Q105+Q101</f>
        <v>0</v>
      </c>
      <c r="R120" s="30"/>
      <c r="S120" s="30">
        <f>J120</f>
        <v>11496</v>
      </c>
      <c r="T120" s="30">
        <f>K120</f>
        <v>-6043</v>
      </c>
      <c r="U120" s="30">
        <f>L120</f>
        <v>0</v>
      </c>
      <c r="V120" s="30">
        <f>M120</f>
        <v>0</v>
      </c>
      <c r="W120" s="30">
        <f>N120</f>
        <v>-10346</v>
      </c>
      <c r="X120" s="30">
        <f>O120</f>
        <v>0</v>
      </c>
      <c r="Y120" s="30">
        <f>P120</f>
        <v>0</v>
      </c>
      <c r="Z120" s="30">
        <f>Q120</f>
        <v>0</v>
      </c>
      <c r="AA120" s="30" t="e">
        <f>#REF!</f>
        <v>#REF!</v>
      </c>
      <c r="AB120" s="137" t="e">
        <f>#REF!</f>
        <v>#REF!</v>
      </c>
      <c r="AC120" s="11"/>
      <c r="AD120" s="42"/>
    </row>
    <row r="121" spans="2:30">
      <c r="B121" s="143" t="s">
        <v>73</v>
      </c>
      <c r="C121" s="111">
        <f t="shared" ref="C121:D121" si="122">SUM(C116:C120)</f>
        <v>42198</v>
      </c>
      <c r="D121" s="111">
        <f t="shared" si="122"/>
        <v>44327</v>
      </c>
      <c r="E121" s="111">
        <f t="shared" ref="E121:P121" si="123">SUM(E116:E120)</f>
        <v>27758</v>
      </c>
      <c r="F121" s="30"/>
      <c r="G121" s="111">
        <f t="shared" si="123"/>
        <v>32819</v>
      </c>
      <c r="H121" s="111">
        <f t="shared" si="123"/>
        <v>32819</v>
      </c>
      <c r="I121" s="111">
        <f t="shared" si="123"/>
        <v>32819</v>
      </c>
      <c r="J121" s="111">
        <f t="shared" si="123"/>
        <v>44327</v>
      </c>
      <c r="K121" s="111">
        <f t="shared" si="123"/>
        <v>38233</v>
      </c>
      <c r="L121" s="111">
        <f t="shared" si="123"/>
        <v>38233</v>
      </c>
      <c r="M121" s="111">
        <f t="shared" si="123"/>
        <v>38233</v>
      </c>
      <c r="N121" s="111">
        <f t="shared" si="123"/>
        <v>27758</v>
      </c>
      <c r="O121" s="111">
        <f t="shared" si="123"/>
        <v>27758</v>
      </c>
      <c r="P121" s="111">
        <f t="shared" si="123"/>
        <v>27758</v>
      </c>
      <c r="Q121" s="111">
        <f t="shared" ref="Q121" si="124">SUM(Q116:Q120)</f>
        <v>27758</v>
      </c>
      <c r="R121" s="30"/>
      <c r="S121" s="111">
        <f t="shared" ref="S121:AB121" si="125">SUM(S116:S120)</f>
        <v>44327</v>
      </c>
      <c r="T121" s="111">
        <f t="shared" si="125"/>
        <v>38233</v>
      </c>
      <c r="U121" s="111">
        <f t="shared" si="125"/>
        <v>38233</v>
      </c>
      <c r="V121" s="111">
        <f t="shared" si="125"/>
        <v>38233</v>
      </c>
      <c r="W121" s="111">
        <f t="shared" si="125"/>
        <v>27758</v>
      </c>
      <c r="X121" s="111">
        <f t="shared" si="125"/>
        <v>27758</v>
      </c>
      <c r="Y121" s="111">
        <f t="shared" si="125"/>
        <v>27758</v>
      </c>
      <c r="Z121" s="111">
        <f t="shared" si="125"/>
        <v>27758</v>
      </c>
      <c r="AA121" s="111" t="e">
        <f t="shared" si="125"/>
        <v>#REF!</v>
      </c>
      <c r="AB121" s="138" t="e">
        <f t="shared" si="125"/>
        <v>#REF!</v>
      </c>
      <c r="AC121" s="11"/>
      <c r="AD121" s="42"/>
    </row>
    <row r="122" spans="2:30" ht="5.0999999999999996" customHeight="1">
      <c r="B122" s="145"/>
      <c r="C122" s="58"/>
      <c r="D122" s="58"/>
      <c r="E122" s="58"/>
      <c r="F122" s="30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S122" s="11"/>
      <c r="T122" s="11"/>
      <c r="U122" s="11"/>
      <c r="V122" s="11"/>
      <c r="W122" s="11"/>
      <c r="X122" s="11"/>
      <c r="Y122" s="11"/>
      <c r="Z122" s="11"/>
      <c r="AA122" s="11"/>
      <c r="AB122" s="139"/>
      <c r="AC122" s="11"/>
      <c r="AD122" s="42"/>
    </row>
    <row r="123" spans="2:30">
      <c r="B123" s="146" t="s">
        <v>61</v>
      </c>
      <c r="C123" s="135">
        <f>C121-C42</f>
        <v>0</v>
      </c>
      <c r="D123" s="135">
        <f>D121-D42</f>
        <v>0</v>
      </c>
      <c r="E123" s="135">
        <f>E121-E42</f>
        <v>0</v>
      </c>
      <c r="F123" s="136"/>
      <c r="G123" s="135">
        <f>G121-G42</f>
        <v>0</v>
      </c>
      <c r="H123" s="135">
        <f>H121-H42</f>
        <v>32819</v>
      </c>
      <c r="I123" s="135">
        <f>I121-I42</f>
        <v>32819</v>
      </c>
      <c r="J123" s="135">
        <f>J121-J42</f>
        <v>0</v>
      </c>
      <c r="K123" s="135">
        <f>K121-K42</f>
        <v>0</v>
      </c>
      <c r="L123" s="135">
        <f>L121-L42</f>
        <v>38233</v>
      </c>
      <c r="M123" s="135">
        <f>M121-M42</f>
        <v>38233</v>
      </c>
      <c r="N123" s="135">
        <f>N121-N42</f>
        <v>0</v>
      </c>
      <c r="O123" s="135">
        <f>O121-O42</f>
        <v>27758</v>
      </c>
      <c r="P123" s="135">
        <f>P121-P42</f>
        <v>27758</v>
      </c>
      <c r="Q123" s="135">
        <f>Q121-Q42</f>
        <v>27758</v>
      </c>
      <c r="R123" s="135"/>
      <c r="S123" s="135">
        <f>S121-S42</f>
        <v>0</v>
      </c>
      <c r="T123" s="135">
        <f>T121-T42</f>
        <v>0</v>
      </c>
      <c r="U123" s="135">
        <f>U121-U42</f>
        <v>38233</v>
      </c>
      <c r="V123" s="135">
        <f>V121-V42</f>
        <v>38233</v>
      </c>
      <c r="W123" s="135">
        <f>W121-W42</f>
        <v>0</v>
      </c>
      <c r="X123" s="135">
        <f>X121-X42</f>
        <v>27758</v>
      </c>
      <c r="Y123" s="135">
        <f>Y121-Y42</f>
        <v>27758</v>
      </c>
      <c r="Z123" s="135">
        <f>Z121-Z42</f>
        <v>27758</v>
      </c>
      <c r="AA123" s="135" t="e">
        <f>AA121-AA42</f>
        <v>#REF!</v>
      </c>
      <c r="AB123" s="140" t="e">
        <f>AB121-AB42</f>
        <v>#REF!</v>
      </c>
      <c r="AC123" s="11"/>
      <c r="AD123" s="42"/>
    </row>
    <row r="124" spans="2:30" ht="5.0999999999999996" customHeight="1">
      <c r="B124" s="8"/>
      <c r="C124" s="58"/>
      <c r="D124" s="58"/>
      <c r="E124" s="58"/>
      <c r="F124" s="30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42"/>
    </row>
    <row r="125" spans="2:30">
      <c r="B125" s="110" t="s">
        <v>85</v>
      </c>
      <c r="C125" s="58"/>
      <c r="D125" s="58"/>
      <c r="E125" s="58"/>
      <c r="F125" s="30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42"/>
    </row>
    <row r="126" spans="2:30">
      <c r="B126" s="75" t="s">
        <v>88</v>
      </c>
      <c r="C126" s="74">
        <v>0</v>
      </c>
      <c r="D126" s="74">
        <v>0</v>
      </c>
      <c r="E126" s="74">
        <v>0</v>
      </c>
      <c r="F126" s="30"/>
      <c r="G126" s="74">
        <v>0</v>
      </c>
      <c r="H126" s="74">
        <v>0</v>
      </c>
      <c r="I126" s="74">
        <v>0</v>
      </c>
      <c r="J126" s="30">
        <f>SUM(C126-SUM(G126:I126))</f>
        <v>0</v>
      </c>
      <c r="K126" s="74">
        <v>0</v>
      </c>
      <c r="L126" s="74">
        <v>0</v>
      </c>
      <c r="M126" s="74">
        <v>0</v>
      </c>
      <c r="N126" s="30">
        <f>SUM(D126-SUM(K126:M126))</f>
        <v>0</v>
      </c>
      <c r="O126" s="74">
        <v>0</v>
      </c>
      <c r="P126" s="74">
        <v>0</v>
      </c>
      <c r="Q126" s="74">
        <v>0</v>
      </c>
      <c r="S126" s="30">
        <f>SUM(I126:L126)</f>
        <v>0</v>
      </c>
      <c r="T126" s="30">
        <f>SUM(J126:M126)</f>
        <v>0</v>
      </c>
      <c r="U126" s="30">
        <f>SUM(K126:N126)</f>
        <v>0</v>
      </c>
      <c r="V126" s="30">
        <f>SUM(L126:O126)</f>
        <v>0</v>
      </c>
      <c r="W126" s="30">
        <f>SUM(M126:P126)</f>
        <v>0</v>
      </c>
      <c r="X126" s="30">
        <f>SUM(N126:Q126)</f>
        <v>0</v>
      </c>
      <c r="Y126" s="30">
        <f>SUM(O126:Q126)</f>
        <v>0</v>
      </c>
      <c r="Z126" s="30">
        <f>SUM(P126:Q126)</f>
        <v>0</v>
      </c>
      <c r="AA126" s="30">
        <f>SUM(Q126:Q126)</f>
        <v>0</v>
      </c>
      <c r="AB126" s="30" t="e">
        <f>SUM(#REF!)</f>
        <v>#REF!</v>
      </c>
      <c r="AC126" s="11"/>
      <c r="AD126" s="42"/>
    </row>
    <row r="127" spans="2:30">
      <c r="B127" s="75" t="s">
        <v>87</v>
      </c>
      <c r="C127" s="58">
        <v>10327</v>
      </c>
      <c r="D127" s="58">
        <v>17364</v>
      </c>
      <c r="E127" s="58">
        <v>16693</v>
      </c>
      <c r="F127" s="30"/>
      <c r="G127" s="74">
        <v>646</v>
      </c>
      <c r="H127" s="74"/>
      <c r="I127" s="74"/>
      <c r="J127" s="30">
        <f>SUM(C127-SUM(G127:I127))</f>
        <v>9681</v>
      </c>
      <c r="K127" s="74">
        <v>210</v>
      </c>
      <c r="L127" s="30"/>
      <c r="M127" s="30"/>
      <c r="N127" s="30">
        <f>SUM(D127-SUM(K127:M127))</f>
        <v>17154</v>
      </c>
      <c r="O127" s="74"/>
      <c r="P127" s="30"/>
      <c r="Q127" s="30"/>
      <c r="S127" s="30">
        <f>SUM(I127:L127)</f>
        <v>9891</v>
      </c>
      <c r="T127" s="30">
        <f>SUM(J127:M127)</f>
        <v>9891</v>
      </c>
      <c r="U127" s="30">
        <f>SUM(K127:N127)</f>
        <v>17364</v>
      </c>
      <c r="V127" s="30">
        <f>SUM(L127:O127)</f>
        <v>17154</v>
      </c>
      <c r="W127" s="30">
        <f>SUM(M127:P127)</f>
        <v>17154</v>
      </c>
      <c r="X127" s="30">
        <f>SUM(N127:Q127)</f>
        <v>17154</v>
      </c>
      <c r="Y127" s="30">
        <f>SUM(O127:Q127)</f>
        <v>0</v>
      </c>
      <c r="Z127" s="30">
        <f>SUM(P127:Q127)</f>
        <v>0</v>
      </c>
      <c r="AA127" s="30">
        <f>SUM(Q127:Q127)</f>
        <v>0</v>
      </c>
      <c r="AB127" s="30" t="e">
        <f>SUM(#REF!)</f>
        <v>#REF!</v>
      </c>
      <c r="AC127" s="11"/>
      <c r="AD127" s="42"/>
    </row>
    <row r="128" spans="2:30" ht="5.0999999999999996" customHeight="1" thickBot="1">
      <c r="B128" s="64"/>
      <c r="C128" s="65"/>
      <c r="D128" s="65"/>
      <c r="E128" s="65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D128" s="42"/>
    </row>
    <row r="129" spans="3:17" ht="12.75" customHeight="1">
      <c r="C129" s="50"/>
      <c r="D129" s="50"/>
      <c r="E129" s="50"/>
    </row>
    <row r="130" spans="3:17" ht="12.75" customHeight="1">
      <c r="C130" s="50"/>
      <c r="D130" s="50"/>
      <c r="E130" s="50"/>
    </row>
    <row r="131" spans="3:17" ht="12.75" customHeight="1">
      <c r="C131" s="50"/>
      <c r="D131" s="50"/>
      <c r="E131" s="50"/>
    </row>
    <row r="132" spans="3:17" ht="12.75" customHeight="1">
      <c r="C132" s="50"/>
      <c r="D132" s="50"/>
      <c r="E132" s="50"/>
    </row>
    <row r="133" spans="3:17" ht="12.75" customHeight="1">
      <c r="C133" s="50"/>
      <c r="D133" s="50"/>
      <c r="E133" s="50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</row>
    <row r="134" spans="3:17" ht="12.75" customHeight="1">
      <c r="C134" s="50"/>
      <c r="D134" s="50"/>
      <c r="E134" s="50"/>
    </row>
    <row r="135" spans="3:17" ht="12.75" customHeight="1">
      <c r="C135" s="50"/>
      <c r="D135" s="50"/>
      <c r="E135" s="50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</row>
    <row r="136" spans="3:17"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</row>
    <row r="137" spans="3:17"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</row>
    <row r="139" spans="3:17"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</row>
    <row r="140" spans="3:17"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</row>
  </sheetData>
  <mergeCells count="3">
    <mergeCell ref="AD6:AD8"/>
    <mergeCell ref="AD37:AD39"/>
    <mergeCell ref="AD79:AD81"/>
  </mergeCells>
  <pageMargins left="0.7" right="0.7" top="0.75" bottom="0.75" header="0.3" footer="0.3"/>
  <ignoredErrors>
    <ignoredError sqref="AB17:AB18 F46" formulaRange="1"/>
    <ignoredError sqref="AD105:AD107 AD101:AD103" evalError="1"/>
    <ignoredError sqref="K85:O86 J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B36"/>
  <sheetViews>
    <sheetView showGridLines="0" zoomScaleNormal="100" workbookViewId="0">
      <selection activeCell="H9" sqref="H9:H11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8" width="8" style="8" customWidth="1" outlineLevel="1"/>
    <col min="9" max="10" width="8.75" style="8" customWidth="1" outlineLevel="1"/>
    <col min="11" max="11" width="8.5" style="8" customWidth="1" outlineLevel="1"/>
    <col min="12" max="12" width="8.25" style="8" customWidth="1" outlineLevel="1"/>
    <col min="13" max="13" width="8.5" style="8" bestFit="1" customWidth="1"/>
    <col min="14" max="17" width="9.125" style="8" bestFit="1" customWidth="1"/>
    <col min="18" max="18" width="1.5" style="8" customWidth="1"/>
    <col min="19" max="23" width="8.75" style="8" customWidth="1" outlineLevel="1"/>
    <col min="24" max="24" width="8.75" style="8" customWidth="1"/>
    <col min="25" max="27" width="8.75" style="8" customWidth="1" outlineLevel="1"/>
    <col min="28" max="28" width="8.75" style="8" customWidth="1"/>
    <col min="29" max="16384" width="9" style="8"/>
  </cols>
  <sheetData>
    <row r="2" spans="1:28" s="5" customFormat="1" ht="12.75" customHeight="1">
      <c r="B2" s="1" t="str">
        <f>'Historical Financials'!B2</f>
        <v>Build-A-Bear Workshop, Inc (NYSE: BBW)</v>
      </c>
      <c r="C2" s="2"/>
      <c r="D2" s="2"/>
      <c r="E2" s="2"/>
      <c r="F2" s="3"/>
      <c r="G2" s="2"/>
      <c r="H2" s="2"/>
      <c r="I2" s="2"/>
      <c r="J2" s="2"/>
      <c r="K2" s="2"/>
      <c r="L2" s="2"/>
      <c r="M2" s="2" t="s">
        <v>1</v>
      </c>
      <c r="N2" s="2"/>
      <c r="O2" s="2"/>
      <c r="P2" s="2"/>
      <c r="Q2" s="2"/>
      <c r="R2" s="3"/>
      <c r="S2" s="2"/>
      <c r="T2" s="2"/>
      <c r="U2" s="2"/>
      <c r="V2" s="2"/>
      <c r="W2" s="2"/>
      <c r="X2" s="2" t="s">
        <v>10</v>
      </c>
      <c r="Y2" s="2"/>
      <c r="Z2" s="2"/>
      <c r="AA2" s="2"/>
      <c r="AB2" s="2"/>
    </row>
    <row r="3" spans="1:28" s="5" customFormat="1" ht="12.75" customHeight="1">
      <c r="B3" s="6" t="s">
        <v>68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7" t="str">
        <f>'Historical Financials'!Q7</f>
        <v>3Q25</v>
      </c>
      <c r="R3" s="4"/>
      <c r="S3" s="4" t="str">
        <f>J3</f>
        <v>4Q23</v>
      </c>
      <c r="T3" s="4" t="str">
        <f>K3</f>
        <v>1Q24</v>
      </c>
      <c r="U3" s="4" t="str">
        <f>L3</f>
        <v>2Q24</v>
      </c>
      <c r="V3" s="4" t="str">
        <f>M3</f>
        <v>3Q24</v>
      </c>
      <c r="W3" s="4" t="str">
        <f>N3</f>
        <v>4Q24</v>
      </c>
      <c r="X3" s="4" t="str">
        <f>O3</f>
        <v>1Q25</v>
      </c>
      <c r="Y3" s="4" t="str">
        <f>P3</f>
        <v>2Q25</v>
      </c>
      <c r="Z3" s="4" t="str">
        <f>Q3</f>
        <v>3Q25</v>
      </c>
      <c r="AA3" s="4" t="e">
        <f>#REF!</f>
        <v>#REF!</v>
      </c>
      <c r="AB3" s="4" t="e">
        <f>#REF!</f>
        <v>#REF!</v>
      </c>
    </row>
    <row r="4" spans="1:28" s="5" customFormat="1" ht="12.75" customHeight="1">
      <c r="B4" s="6" t="s">
        <v>94</v>
      </c>
      <c r="C4" s="3">
        <f>'Historical Financials'!C8</f>
        <v>44954</v>
      </c>
      <c r="D4" s="3">
        <f>'Historical Financials'!D8</f>
        <v>45325</v>
      </c>
      <c r="E4" s="3">
        <f>'Historical Financials'!E8</f>
        <v>45689</v>
      </c>
      <c r="F4" s="3"/>
      <c r="G4" s="3">
        <f>'Historical Financials'!G8</f>
        <v>45045</v>
      </c>
      <c r="H4" s="3">
        <f>'Historical Financials'!H8</f>
        <v>45136</v>
      </c>
      <c r="I4" s="3">
        <f>'Historical Financials'!I8</f>
        <v>45227</v>
      </c>
      <c r="J4" s="3">
        <f>'Historical Financials'!J8</f>
        <v>45325</v>
      </c>
      <c r="K4" s="3">
        <f>'Historical Financials'!K8</f>
        <v>45416</v>
      </c>
      <c r="L4" s="3">
        <f>'Historical Financials'!L8</f>
        <v>45507</v>
      </c>
      <c r="M4" s="3">
        <f>'Historical Financials'!M8</f>
        <v>45598</v>
      </c>
      <c r="N4" s="3">
        <f>'Historical Financials'!N8</f>
        <v>45689</v>
      </c>
      <c r="O4" s="3">
        <f>'Historical Financials'!O8</f>
        <v>45780</v>
      </c>
      <c r="P4" s="3">
        <f>'Historical Financials'!P8</f>
        <v>45871</v>
      </c>
      <c r="Q4" s="3">
        <f>'Historical Financials'!Q8</f>
        <v>45962</v>
      </c>
      <c r="R4" s="3"/>
      <c r="S4" s="3">
        <f>J4</f>
        <v>45325</v>
      </c>
      <c r="T4" s="3">
        <f>K4</f>
        <v>45416</v>
      </c>
      <c r="U4" s="3">
        <f>L4</f>
        <v>45507</v>
      </c>
      <c r="V4" s="3">
        <f>M4</f>
        <v>45598</v>
      </c>
      <c r="W4" s="3">
        <f>N4</f>
        <v>45689</v>
      </c>
      <c r="X4" s="3">
        <f>O4</f>
        <v>45780</v>
      </c>
      <c r="Y4" s="3">
        <f>P4</f>
        <v>45871</v>
      </c>
      <c r="Z4" s="3">
        <f>Q4</f>
        <v>45962</v>
      </c>
      <c r="AA4" s="3" t="e">
        <f>#REF!</f>
        <v>#REF!</v>
      </c>
      <c r="AB4" s="3" t="e">
        <f>#REF!</f>
        <v>#REF!</v>
      </c>
    </row>
    <row r="5" spans="1:28" ht="5.0999999999999996" customHeight="1"/>
    <row r="6" spans="1:28">
      <c r="A6" s="33" t="s">
        <v>16</v>
      </c>
      <c r="B6" s="1" t="s">
        <v>96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5.0999999999999996" customHeight="1"/>
    <row r="8" spans="1:28" ht="12.75" customHeight="1">
      <c r="A8" s="72" t="s">
        <v>16</v>
      </c>
      <c r="B8" s="70" t="s">
        <v>93</v>
      </c>
      <c r="C8" s="10"/>
      <c r="D8" s="10"/>
      <c r="E8" s="10"/>
      <c r="F8" s="10"/>
      <c r="G8" s="79"/>
      <c r="H8" s="79"/>
      <c r="I8" s="79"/>
      <c r="J8" s="30"/>
      <c r="K8" s="79"/>
      <c r="L8" s="79"/>
      <c r="M8" s="79"/>
      <c r="N8" s="30"/>
      <c r="O8" s="79"/>
      <c r="P8" s="79"/>
      <c r="Q8" s="79"/>
      <c r="R8" s="5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2.75" customHeight="1">
      <c r="A9" s="72"/>
      <c r="B9" s="9" t="s">
        <v>118</v>
      </c>
      <c r="C9" s="73">
        <v>446181</v>
      </c>
      <c r="D9" s="73">
        <v>456163</v>
      </c>
      <c r="E9" s="73">
        <v>460325</v>
      </c>
      <c r="F9" s="10"/>
      <c r="G9" s="73">
        <v>112096</v>
      </c>
      <c r="H9" s="73"/>
      <c r="I9" s="73"/>
      <c r="J9" s="30">
        <f>SUM(C9-SUM(G9:I9))</f>
        <v>334085</v>
      </c>
      <c r="K9" s="73">
        <v>107868</v>
      </c>
      <c r="L9" s="73"/>
      <c r="M9" s="73"/>
      <c r="N9" s="30">
        <f>SUM(D9-SUM(K9:M9))</f>
        <v>348295</v>
      </c>
      <c r="O9" s="73"/>
      <c r="P9" s="73"/>
      <c r="Q9" s="73"/>
      <c r="R9" s="5"/>
      <c r="S9" s="30">
        <f>SUM(G9:J9)</f>
        <v>446181</v>
      </c>
      <c r="T9" s="30">
        <f>SUM(H9:K9)</f>
        <v>441953</v>
      </c>
      <c r="U9" s="30">
        <f>SUM(I9:L9)</f>
        <v>441953</v>
      </c>
      <c r="V9" s="30">
        <f>SUM(J9:M9)</f>
        <v>441953</v>
      </c>
      <c r="W9" s="30">
        <f>SUM(K9:N9)</f>
        <v>456163</v>
      </c>
      <c r="X9" s="30">
        <f>SUM(L9:O9)</f>
        <v>348295</v>
      </c>
      <c r="Y9" s="30">
        <f>SUM(M9:P9)</f>
        <v>348295</v>
      </c>
      <c r="Z9" s="30">
        <f>SUM(N9:Q9)</f>
        <v>348295</v>
      </c>
      <c r="AA9" s="30">
        <f>SUM(O9:Q9)</f>
        <v>0</v>
      </c>
      <c r="AB9" s="30">
        <f>SUM(P9:Q9)</f>
        <v>0</v>
      </c>
    </row>
    <row r="10" spans="1:28" ht="12.75" customHeight="1">
      <c r="A10" s="72"/>
      <c r="B10" s="9" t="s">
        <v>117</v>
      </c>
      <c r="C10" s="73">
        <v>18523</v>
      </c>
      <c r="D10" s="73">
        <v>25413</v>
      </c>
      <c r="E10" s="73">
        <v>31387</v>
      </c>
      <c r="F10" s="10"/>
      <c r="G10" s="73">
        <v>6688</v>
      </c>
      <c r="H10" s="73"/>
      <c r="I10" s="73"/>
      <c r="J10" s="30">
        <f t="shared" ref="J10" si="0">SUM(C10-SUM(G10:I10))</f>
        <v>11835</v>
      </c>
      <c r="K10" s="73">
        <v>5985</v>
      </c>
      <c r="L10" s="73"/>
      <c r="M10" s="73"/>
      <c r="N10" s="30">
        <f t="shared" ref="N10" si="1">SUM(D10-SUM(K10:M10))</f>
        <v>19428</v>
      </c>
      <c r="O10" s="73"/>
      <c r="P10" s="73"/>
      <c r="Q10" s="73"/>
      <c r="R10" s="5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>
      <c r="B11" s="9" t="s">
        <v>116</v>
      </c>
      <c r="C11" s="73">
        <v>3233</v>
      </c>
      <c r="D11" s="73">
        <v>4538</v>
      </c>
      <c r="E11" s="73">
        <v>4692</v>
      </c>
      <c r="F11" s="73"/>
      <c r="G11" s="73">
        <v>1266</v>
      </c>
      <c r="H11" s="73"/>
      <c r="I11" s="73"/>
      <c r="J11" s="30">
        <f>SUM(C11-SUM(G11:I11))</f>
        <v>1967</v>
      </c>
      <c r="K11" s="73">
        <v>877</v>
      </c>
      <c r="L11" s="73"/>
      <c r="M11" s="73"/>
      <c r="N11" s="30">
        <f>SUM(D11-SUM(K11:M11))</f>
        <v>3661</v>
      </c>
      <c r="O11" s="73"/>
      <c r="P11" s="73"/>
      <c r="Q11" s="73"/>
      <c r="R11" s="5"/>
      <c r="S11" s="30">
        <f>SUM(G11:J11)</f>
        <v>3233</v>
      </c>
      <c r="T11" s="30">
        <f>SUM(H11:K11)</f>
        <v>2844</v>
      </c>
      <c r="U11" s="30">
        <f>SUM(I11:L11)</f>
        <v>2844</v>
      </c>
      <c r="V11" s="30">
        <f>SUM(J11:M11)</f>
        <v>2844</v>
      </c>
      <c r="W11" s="30">
        <f>SUM(K11:N11)</f>
        <v>4538</v>
      </c>
      <c r="X11" s="30">
        <f>SUM(L11:O11)</f>
        <v>3661</v>
      </c>
      <c r="Y11" s="30">
        <f>SUM(M11:P11)</f>
        <v>3661</v>
      </c>
      <c r="Z11" s="30">
        <f>SUM(N11:Q11)</f>
        <v>3661</v>
      </c>
      <c r="AA11" s="30">
        <f>SUM(O11:Q11)</f>
        <v>0</v>
      </c>
      <c r="AB11" s="30">
        <f>SUM(P11:Q11)</f>
        <v>0</v>
      </c>
    </row>
    <row r="12" spans="1:28">
      <c r="B12" s="12" t="s">
        <v>69</v>
      </c>
      <c r="C12" s="13">
        <f t="shared" ref="C12:E12" si="2">SUM(C9:C11)</f>
        <v>467937</v>
      </c>
      <c r="D12" s="13">
        <f t="shared" si="2"/>
        <v>486114</v>
      </c>
      <c r="E12" s="13">
        <f t="shared" si="2"/>
        <v>496404</v>
      </c>
      <c r="F12" s="11"/>
      <c r="G12" s="13">
        <f t="shared" ref="G12:Q12" si="3">SUM(G9:G11)</f>
        <v>120050</v>
      </c>
      <c r="H12" s="13">
        <f t="shared" si="3"/>
        <v>0</v>
      </c>
      <c r="I12" s="13">
        <f t="shared" si="3"/>
        <v>0</v>
      </c>
      <c r="J12" s="13">
        <f t="shared" si="3"/>
        <v>347887</v>
      </c>
      <c r="K12" s="13">
        <f t="shared" si="3"/>
        <v>114730</v>
      </c>
      <c r="L12" s="13">
        <f t="shared" si="3"/>
        <v>0</v>
      </c>
      <c r="M12" s="13">
        <f t="shared" si="3"/>
        <v>0</v>
      </c>
      <c r="N12" s="13">
        <f t="shared" si="3"/>
        <v>371384</v>
      </c>
      <c r="O12" s="13">
        <f t="shared" si="3"/>
        <v>0</v>
      </c>
      <c r="P12" s="13">
        <f t="shared" si="3"/>
        <v>0</v>
      </c>
      <c r="Q12" s="13">
        <f t="shared" si="3"/>
        <v>0</v>
      </c>
      <c r="R12" s="5"/>
      <c r="S12" s="13">
        <f t="shared" ref="S12:AA12" si="4">SUM(S9:S11)</f>
        <v>449414</v>
      </c>
      <c r="T12" s="13">
        <f t="shared" si="4"/>
        <v>444797</v>
      </c>
      <c r="U12" s="13">
        <f t="shared" si="4"/>
        <v>444797</v>
      </c>
      <c r="V12" s="13">
        <f t="shared" si="4"/>
        <v>444797</v>
      </c>
      <c r="W12" s="13">
        <f t="shared" si="4"/>
        <v>460701</v>
      </c>
      <c r="X12" s="13">
        <f t="shared" si="4"/>
        <v>351956</v>
      </c>
      <c r="Y12" s="13">
        <f t="shared" si="4"/>
        <v>351956</v>
      </c>
      <c r="Z12" s="13">
        <f t="shared" si="4"/>
        <v>351956</v>
      </c>
      <c r="AA12" s="13">
        <f t="shared" si="4"/>
        <v>0</v>
      </c>
      <c r="AB12" s="13">
        <f>SUM(AB9:AB11)</f>
        <v>0</v>
      </c>
    </row>
    <row r="13" spans="1:28" outlineLevel="1">
      <c r="B13" s="112" t="s">
        <v>61</v>
      </c>
      <c r="C13" s="71">
        <f>+C12-'Historical Financials'!C11</f>
        <v>0</v>
      </c>
      <c r="D13" s="71">
        <f>+D12-'Historical Financials'!D11</f>
        <v>0</v>
      </c>
      <c r="E13" s="71">
        <f>+E12-'Historical Financials'!E11</f>
        <v>0</v>
      </c>
      <c r="F13" s="11"/>
      <c r="G13" s="71">
        <f>+G12-'Historical Financials'!G11</f>
        <v>0</v>
      </c>
      <c r="H13" s="71">
        <f>+H12-'Historical Financials'!H11</f>
        <v>0</v>
      </c>
      <c r="I13" s="71">
        <f>+I12-'Historical Financials'!I11</f>
        <v>0</v>
      </c>
      <c r="J13" s="71">
        <f>+J12-'Historical Financials'!J11</f>
        <v>-18177</v>
      </c>
      <c r="K13" s="71">
        <f>+K12-'Historical Financials'!K11</f>
        <v>0</v>
      </c>
      <c r="L13" s="71">
        <f>+L12-'Historical Financials'!L11</f>
        <v>0</v>
      </c>
      <c r="M13" s="71">
        <f>+M12-'Historical Financials'!M11</f>
        <v>0</v>
      </c>
      <c r="N13" s="71">
        <f>+N12-'Historical Financials'!N11</f>
        <v>-10290</v>
      </c>
      <c r="O13" s="71">
        <f>+O12-'Historical Financials'!O11</f>
        <v>0</v>
      </c>
      <c r="P13" s="71">
        <f>+P12-'Historical Financials'!P11</f>
        <v>0</v>
      </c>
      <c r="Q13" s="71">
        <f>+Q12-'Historical Financials'!Q11</f>
        <v>0</v>
      </c>
      <c r="R13" s="71"/>
      <c r="S13" s="71">
        <f>+S12-'Historical Financials'!S11</f>
        <v>-36700</v>
      </c>
      <c r="T13" s="71">
        <f>+T12-'Historical Financials'!T11</f>
        <v>-35997</v>
      </c>
      <c r="U13" s="71">
        <f>+U12-'Historical Financials'!U11</f>
        <v>-35997</v>
      </c>
      <c r="V13" s="71">
        <f>+V12-'Historical Financials'!V11</f>
        <v>-35997</v>
      </c>
      <c r="W13" s="71">
        <f>+W12-'Historical Financials'!W11</f>
        <v>-35703</v>
      </c>
      <c r="X13" s="71">
        <f>+X12-'Historical Financials'!X11</f>
        <v>-29718</v>
      </c>
      <c r="Y13" s="71">
        <f>+Y12-'Historical Financials'!Y11</f>
        <v>-29718</v>
      </c>
      <c r="Z13" s="71">
        <f>+Z12-'Historical Financials'!Z11</f>
        <v>-29718</v>
      </c>
      <c r="AA13" s="71">
        <f>+AA12-'Historical Financials'!AA11</f>
        <v>0</v>
      </c>
      <c r="AB13" s="71">
        <f>+AB12-'Historical Financials'!AB11</f>
        <v>0</v>
      </c>
    </row>
    <row r="14" spans="1:28">
      <c r="B14" s="16"/>
      <c r="C14" s="17"/>
      <c r="D14" s="17"/>
      <c r="E14" s="17"/>
      <c r="F14" s="18"/>
      <c r="G14" s="19"/>
      <c r="H14" s="19"/>
      <c r="I14" s="19"/>
      <c r="J14" s="20"/>
      <c r="K14" s="19"/>
      <c r="L14" s="19"/>
      <c r="M14" s="19"/>
      <c r="N14" s="19"/>
      <c r="O14" s="19"/>
      <c r="P14" s="19"/>
      <c r="Q14" s="19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>
      <c r="B15" s="113" t="str">
        <f>B9&amp;"(%)"</f>
        <v>Net retail sales (%)</v>
      </c>
      <c r="C15" s="125">
        <f t="shared" ref="C15:D16" si="5">SUM(C9/C$12)</f>
        <v>0.95350656178075255</v>
      </c>
      <c r="D15" s="125">
        <f t="shared" si="5"/>
        <v>0.9383868804436819</v>
      </c>
      <c r="E15" s="125">
        <f t="shared" ref="E15:E16" si="6">SUM(E9/E$12)</f>
        <v>0.92731928026365618</v>
      </c>
      <c r="F15" s="114"/>
      <c r="G15" s="125">
        <f t="shared" ref="G15:P16" si="7">SUM(G9/G$12)</f>
        <v>0.93374427321949183</v>
      </c>
      <c r="H15" s="125" t="e">
        <f t="shared" si="7"/>
        <v>#DIV/0!</v>
      </c>
      <c r="I15" s="125" t="e">
        <f t="shared" si="7"/>
        <v>#DIV/0!</v>
      </c>
      <c r="J15" s="125">
        <f t="shared" si="7"/>
        <v>0.96032619787459716</v>
      </c>
      <c r="K15" s="125">
        <f t="shared" si="7"/>
        <v>0.94019001133095093</v>
      </c>
      <c r="L15" s="125" t="e">
        <f t="shared" si="7"/>
        <v>#DIV/0!</v>
      </c>
      <c r="M15" s="125" t="e">
        <f t="shared" si="7"/>
        <v>#DIV/0!</v>
      </c>
      <c r="N15" s="125">
        <f t="shared" si="7"/>
        <v>0.93782984727398055</v>
      </c>
      <c r="O15" s="125" t="e">
        <f t="shared" si="7"/>
        <v>#DIV/0!</v>
      </c>
      <c r="P15" s="125" t="e">
        <f t="shared" si="7"/>
        <v>#DIV/0!</v>
      </c>
      <c r="Q15" s="125" t="e">
        <f t="shared" ref="Q15:Q16" si="8">SUM(Q9/Q$12)</f>
        <v>#DIV/0!</v>
      </c>
      <c r="R15" s="114"/>
      <c r="S15" s="115" t="e">
        <f t="shared" ref="S15:AB17" si="9">H15</f>
        <v>#DIV/0!</v>
      </c>
      <c r="T15" s="115" t="e">
        <f t="shared" si="9"/>
        <v>#DIV/0!</v>
      </c>
      <c r="U15" s="115">
        <f t="shared" si="9"/>
        <v>0.96032619787459716</v>
      </c>
      <c r="V15" s="115">
        <f t="shared" si="9"/>
        <v>0.94019001133095093</v>
      </c>
      <c r="W15" s="115" t="e">
        <f t="shared" si="9"/>
        <v>#DIV/0!</v>
      </c>
      <c r="X15" s="115" t="e">
        <f t="shared" si="9"/>
        <v>#DIV/0!</v>
      </c>
      <c r="Y15" s="115">
        <f t="shared" si="9"/>
        <v>0.93782984727398055</v>
      </c>
      <c r="Z15" s="115" t="e">
        <f t="shared" si="9"/>
        <v>#DIV/0!</v>
      </c>
      <c r="AA15" s="115" t="e">
        <f t="shared" si="9"/>
        <v>#DIV/0!</v>
      </c>
      <c r="AB15" s="116" t="e">
        <f t="shared" si="9"/>
        <v>#DIV/0!</v>
      </c>
    </row>
    <row r="16" spans="1:28">
      <c r="B16" s="117" t="str">
        <f>B10&amp;"(%)"</f>
        <v>Commercial revenue (%)</v>
      </c>
      <c r="C16" s="127">
        <f t="shared" si="5"/>
        <v>3.9584388496742083E-2</v>
      </c>
      <c r="D16" s="127">
        <f t="shared" si="5"/>
        <v>5.2277860748713267E-2</v>
      </c>
      <c r="E16" s="127">
        <f t="shared" si="6"/>
        <v>6.3228741106034603E-2</v>
      </c>
      <c r="F16" s="118"/>
      <c r="G16" s="127">
        <f t="shared" si="7"/>
        <v>5.5710120783007078E-2</v>
      </c>
      <c r="H16" s="127" t="e">
        <f t="shared" si="7"/>
        <v>#DIV/0!</v>
      </c>
      <c r="I16" s="127" t="e">
        <f t="shared" si="7"/>
        <v>#DIV/0!</v>
      </c>
      <c r="J16" s="127">
        <f t="shared" si="7"/>
        <v>3.4019667305763078E-2</v>
      </c>
      <c r="K16" s="127">
        <f t="shared" si="7"/>
        <v>5.2165954850518607E-2</v>
      </c>
      <c r="L16" s="127" t="e">
        <f t="shared" si="7"/>
        <v>#DIV/0!</v>
      </c>
      <c r="M16" s="127" t="e">
        <f t="shared" si="7"/>
        <v>#DIV/0!</v>
      </c>
      <c r="N16" s="127">
        <f t="shared" si="7"/>
        <v>5.2312431337914397E-2</v>
      </c>
      <c r="O16" s="127" t="e">
        <f t="shared" si="7"/>
        <v>#DIV/0!</v>
      </c>
      <c r="P16" s="127" t="e">
        <f t="shared" si="7"/>
        <v>#DIV/0!</v>
      </c>
      <c r="Q16" s="127" t="e">
        <f t="shared" si="8"/>
        <v>#DIV/0!</v>
      </c>
      <c r="R16" s="118"/>
      <c r="S16" s="119" t="e">
        <f t="shared" ref="S16" si="10">H16</f>
        <v>#DIV/0!</v>
      </c>
      <c r="T16" s="119" t="e">
        <f t="shared" ref="T16" si="11">I16</f>
        <v>#DIV/0!</v>
      </c>
      <c r="U16" s="119">
        <f t="shared" ref="U16" si="12">J16</f>
        <v>3.4019667305763078E-2</v>
      </c>
      <c r="V16" s="119">
        <f t="shared" ref="V16" si="13">K16</f>
        <v>5.2165954850518607E-2</v>
      </c>
      <c r="W16" s="119" t="e">
        <f t="shared" ref="W16" si="14">L16</f>
        <v>#DIV/0!</v>
      </c>
      <c r="X16" s="119" t="e">
        <f t="shared" ref="X16" si="15">M16</f>
        <v>#DIV/0!</v>
      </c>
      <c r="Y16" s="119">
        <f t="shared" ref="Y16" si="16">N16</f>
        <v>5.2312431337914397E-2</v>
      </c>
      <c r="Z16" s="119" t="e">
        <f t="shared" ref="Z16" si="17">O16</f>
        <v>#DIV/0!</v>
      </c>
      <c r="AA16" s="119" t="e">
        <f t="shared" ref="AA16" si="18">P16</f>
        <v>#DIV/0!</v>
      </c>
      <c r="AB16" s="120" t="e">
        <f t="shared" ref="AB16" si="19">Q16</f>
        <v>#DIV/0!</v>
      </c>
    </row>
    <row r="17" spans="1:28" ht="12.75" customHeight="1">
      <c r="B17" s="121" t="str">
        <f>B11&amp;"(%)"</f>
        <v>International franchising (%)</v>
      </c>
      <c r="C17" s="126">
        <f>SUM(C11/C$12)</f>
        <v>6.9090497225053797E-3</v>
      </c>
      <c r="D17" s="126">
        <f>SUM(D11/D$12)</f>
        <v>9.3352588076047998E-3</v>
      </c>
      <c r="E17" s="126">
        <f t="shared" ref="E17" si="20">SUM(E11/E$12)</f>
        <v>9.4519786303091831E-3</v>
      </c>
      <c r="F17" s="122"/>
      <c r="G17" s="126">
        <f t="shared" ref="G17:P17" si="21">SUM(G11/G$12)</f>
        <v>1.0545605997501041E-2</v>
      </c>
      <c r="H17" s="126" t="e">
        <f t="shared" si="21"/>
        <v>#DIV/0!</v>
      </c>
      <c r="I17" s="126" t="e">
        <f t="shared" si="21"/>
        <v>#DIV/0!</v>
      </c>
      <c r="J17" s="126">
        <f t="shared" si="21"/>
        <v>5.6541348196397102E-3</v>
      </c>
      <c r="K17" s="126">
        <f t="shared" si="21"/>
        <v>7.6440338185304628E-3</v>
      </c>
      <c r="L17" s="126" t="e">
        <f t="shared" si="21"/>
        <v>#DIV/0!</v>
      </c>
      <c r="M17" s="126" t="e">
        <f t="shared" si="21"/>
        <v>#DIV/0!</v>
      </c>
      <c r="N17" s="126">
        <f t="shared" si="21"/>
        <v>9.8577213881050341E-3</v>
      </c>
      <c r="O17" s="126" t="e">
        <f t="shared" si="21"/>
        <v>#DIV/0!</v>
      </c>
      <c r="P17" s="126" t="e">
        <f t="shared" si="21"/>
        <v>#DIV/0!</v>
      </c>
      <c r="Q17" s="126" t="e">
        <f t="shared" ref="Q17" si="22">SUM(Q11/Q$12)</f>
        <v>#DIV/0!</v>
      </c>
      <c r="R17" s="122"/>
      <c r="S17" s="123" t="e">
        <f t="shared" si="9"/>
        <v>#DIV/0!</v>
      </c>
      <c r="T17" s="123" t="e">
        <f t="shared" si="9"/>
        <v>#DIV/0!</v>
      </c>
      <c r="U17" s="123">
        <f t="shared" si="9"/>
        <v>5.6541348196397102E-3</v>
      </c>
      <c r="V17" s="123">
        <f t="shared" si="9"/>
        <v>7.6440338185304628E-3</v>
      </c>
      <c r="W17" s="123" t="e">
        <f t="shared" si="9"/>
        <v>#DIV/0!</v>
      </c>
      <c r="X17" s="123" t="e">
        <f t="shared" si="9"/>
        <v>#DIV/0!</v>
      </c>
      <c r="Y17" s="123">
        <f t="shared" si="9"/>
        <v>9.8577213881050341E-3</v>
      </c>
      <c r="Z17" s="123" t="e">
        <f t="shared" si="9"/>
        <v>#DIV/0!</v>
      </c>
      <c r="AA17" s="123" t="e">
        <f t="shared" si="9"/>
        <v>#DIV/0!</v>
      </c>
      <c r="AB17" s="124" t="e">
        <f t="shared" si="9"/>
        <v>#DIV/0!</v>
      </c>
    </row>
    <row r="18" spans="1:28">
      <c r="B18" s="16"/>
      <c r="C18" s="17"/>
      <c r="D18" s="17"/>
      <c r="E18" s="17"/>
      <c r="F18" s="18"/>
      <c r="G18" s="19"/>
      <c r="H18" s="19"/>
      <c r="I18" s="19"/>
      <c r="J18" s="20"/>
      <c r="K18" s="19"/>
      <c r="L18" s="19"/>
      <c r="M18" s="19"/>
      <c r="N18" s="19"/>
      <c r="O18" s="19"/>
      <c r="P18" s="19"/>
      <c r="Q18" s="19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>
      <c r="A19" s="33" t="s">
        <v>16</v>
      </c>
      <c r="B19" s="1" t="s">
        <v>97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1" spans="1:28" ht="12.75" customHeight="1">
      <c r="A21" s="72" t="s">
        <v>16</v>
      </c>
      <c r="B21" s="70" t="s">
        <v>111</v>
      </c>
      <c r="C21" s="10"/>
      <c r="D21" s="10"/>
      <c r="E21" s="10"/>
      <c r="F21" s="10"/>
      <c r="G21" s="79"/>
      <c r="H21" s="79"/>
      <c r="I21" s="79"/>
      <c r="J21" s="30"/>
      <c r="K21" s="79"/>
      <c r="L21" s="79"/>
      <c r="M21" s="79"/>
      <c r="N21" s="30"/>
      <c r="O21" s="79"/>
      <c r="P21" s="79"/>
      <c r="Q21" s="79"/>
      <c r="R21" s="5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2.75" customHeight="1">
      <c r="A22" s="72"/>
      <c r="B22" s="9" t="s">
        <v>109</v>
      </c>
      <c r="C22" s="73"/>
      <c r="D22" s="73"/>
      <c r="E22" s="73"/>
      <c r="F22" s="10"/>
      <c r="G22" s="73"/>
      <c r="H22" s="73"/>
      <c r="I22" s="73"/>
      <c r="J22" s="30">
        <f t="shared" ref="J22:J27" si="23">SUM(C22-SUM(G22:I22))</f>
        <v>0</v>
      </c>
      <c r="K22" s="73"/>
      <c r="L22" s="73"/>
      <c r="M22" s="73"/>
      <c r="N22" s="30">
        <f t="shared" ref="N22:N27" si="24">SUM(D22-SUM(K22:M22))</f>
        <v>0</v>
      </c>
      <c r="O22" s="73"/>
      <c r="P22" s="73"/>
      <c r="Q22" s="73"/>
      <c r="R22" s="5"/>
      <c r="S22" s="30">
        <f>SUM(G22:J22)</f>
        <v>0</v>
      </c>
      <c r="T22" s="30">
        <f>SUM(H22:K22)</f>
        <v>0</v>
      </c>
      <c r="U22" s="30">
        <f>SUM(I22:L22)</f>
        <v>0</v>
      </c>
      <c r="V22" s="30">
        <f>SUM(J22:M22)</f>
        <v>0</v>
      </c>
      <c r="W22" s="30">
        <f>SUM(K22:N22)</f>
        <v>0</v>
      </c>
      <c r="X22" s="30">
        <f>SUM(L22:O22)</f>
        <v>0</v>
      </c>
      <c r="Y22" s="30">
        <f>SUM(M22:P22)</f>
        <v>0</v>
      </c>
      <c r="Z22" s="30">
        <f>SUM(N22:Q22)</f>
        <v>0</v>
      </c>
      <c r="AA22" s="30">
        <f>SUM(O22:Q22)</f>
        <v>0</v>
      </c>
      <c r="AB22" s="30">
        <f>SUM(P22:Q22)</f>
        <v>0</v>
      </c>
    </row>
    <row r="23" spans="1:28" ht="12.75" customHeight="1">
      <c r="A23" s="72"/>
      <c r="B23" s="9" t="s">
        <v>109</v>
      </c>
      <c r="C23" s="73"/>
      <c r="D23" s="73"/>
      <c r="E23" s="73"/>
      <c r="F23" s="10"/>
      <c r="G23" s="73"/>
      <c r="H23" s="73"/>
      <c r="I23" s="73"/>
      <c r="J23" s="30">
        <f t="shared" si="23"/>
        <v>0</v>
      </c>
      <c r="K23" s="73"/>
      <c r="L23" s="73"/>
      <c r="M23" s="73"/>
      <c r="N23" s="30">
        <f t="shared" si="24"/>
        <v>0</v>
      </c>
      <c r="O23" s="73"/>
      <c r="P23" s="73"/>
      <c r="Q23" s="73"/>
      <c r="R23" s="5"/>
      <c r="S23" s="30">
        <f>SUM(G23:J23)</f>
        <v>0</v>
      </c>
      <c r="T23" s="30">
        <f>SUM(H23:K23)</f>
        <v>0</v>
      </c>
      <c r="U23" s="30">
        <f>SUM(I23:L23)</f>
        <v>0</v>
      </c>
      <c r="V23" s="30">
        <f>SUM(J23:M23)</f>
        <v>0</v>
      </c>
      <c r="W23" s="30">
        <f>SUM(K23:N23)</f>
        <v>0</v>
      </c>
      <c r="X23" s="30">
        <f>SUM(L23:O23)</f>
        <v>0</v>
      </c>
      <c r="Y23" s="30">
        <f>SUM(M23:P23)</f>
        <v>0</v>
      </c>
      <c r="Z23" s="30">
        <f>SUM(N23:Q23)</f>
        <v>0</v>
      </c>
      <c r="AA23" s="30">
        <f>SUM(O23:Q23)</f>
        <v>0</v>
      </c>
      <c r="AB23" s="30">
        <f>SUM(P23:Q23)</f>
        <v>0</v>
      </c>
    </row>
    <row r="24" spans="1:28" ht="12.75" customHeight="1">
      <c r="A24" s="72"/>
      <c r="B24" s="9" t="s">
        <v>109</v>
      </c>
      <c r="C24" s="73"/>
      <c r="D24" s="73"/>
      <c r="E24" s="73"/>
      <c r="F24" s="10"/>
      <c r="G24" s="73"/>
      <c r="H24" s="73"/>
      <c r="I24" s="73"/>
      <c r="J24" s="30">
        <f t="shared" si="23"/>
        <v>0</v>
      </c>
      <c r="K24" s="73"/>
      <c r="L24" s="73"/>
      <c r="M24" s="73"/>
      <c r="N24" s="30">
        <f t="shared" si="24"/>
        <v>0</v>
      </c>
      <c r="O24" s="73"/>
      <c r="P24" s="73"/>
      <c r="Q24" s="73"/>
      <c r="R24" s="5"/>
      <c r="S24" s="30">
        <f>SUM(G24:J24)</f>
        <v>0</v>
      </c>
      <c r="T24" s="30">
        <f>SUM(H24:K24)</f>
        <v>0</v>
      </c>
      <c r="U24" s="30">
        <f>SUM(I24:L24)</f>
        <v>0</v>
      </c>
      <c r="V24" s="30">
        <f>SUM(J24:M24)</f>
        <v>0</v>
      </c>
      <c r="W24" s="30">
        <f>SUM(K24:N24)</f>
        <v>0</v>
      </c>
      <c r="X24" s="30">
        <f>SUM(L24:O24)</f>
        <v>0</v>
      </c>
      <c r="Y24" s="30">
        <f>SUM(M24:P24)</f>
        <v>0</v>
      </c>
      <c r="Z24" s="30">
        <f>SUM(N24:Q24)</f>
        <v>0</v>
      </c>
      <c r="AA24" s="30">
        <f>SUM(O24:Q24)</f>
        <v>0</v>
      </c>
      <c r="AB24" s="30">
        <f>SUM(P24:Q24)</f>
        <v>0</v>
      </c>
    </row>
    <row r="25" spans="1:28">
      <c r="A25" s="72"/>
      <c r="B25" s="9" t="s">
        <v>109</v>
      </c>
      <c r="C25" s="73"/>
      <c r="D25" s="73"/>
      <c r="E25" s="73"/>
      <c r="F25" s="10"/>
      <c r="G25" s="73"/>
      <c r="H25" s="73"/>
      <c r="I25" s="73"/>
      <c r="J25" s="30">
        <f t="shared" si="23"/>
        <v>0</v>
      </c>
      <c r="K25" s="73"/>
      <c r="L25" s="73"/>
      <c r="M25" s="73"/>
      <c r="N25" s="30">
        <f t="shared" si="24"/>
        <v>0</v>
      </c>
      <c r="O25" s="73"/>
      <c r="P25" s="73"/>
      <c r="Q25" s="73"/>
      <c r="R25" s="5"/>
      <c r="S25" s="30">
        <f>SUM(G25:J25)</f>
        <v>0</v>
      </c>
      <c r="T25" s="30">
        <f>SUM(H25:K25)</f>
        <v>0</v>
      </c>
      <c r="U25" s="30">
        <f>SUM(I25:L25)</f>
        <v>0</v>
      </c>
      <c r="V25" s="30">
        <f>SUM(J25:M25)</f>
        <v>0</v>
      </c>
      <c r="W25" s="30">
        <f>SUM(K25:N25)</f>
        <v>0</v>
      </c>
      <c r="X25" s="30">
        <f>SUM(L25:O25)</f>
        <v>0</v>
      </c>
      <c r="Y25" s="30">
        <f>SUM(M25:P25)</f>
        <v>0</v>
      </c>
      <c r="Z25" s="30">
        <f>SUM(N25:Q25)</f>
        <v>0</v>
      </c>
      <c r="AA25" s="30">
        <f>SUM(O25:Q25)</f>
        <v>0</v>
      </c>
      <c r="AB25" s="30">
        <f>SUM(P25:Q25)</f>
        <v>0</v>
      </c>
    </row>
    <row r="26" spans="1:28">
      <c r="A26" s="72"/>
      <c r="B26" s="9" t="s">
        <v>109</v>
      </c>
      <c r="C26" s="73"/>
      <c r="D26" s="73"/>
      <c r="E26" s="73"/>
      <c r="F26" s="10"/>
      <c r="G26" s="73"/>
      <c r="H26" s="73"/>
      <c r="I26" s="73"/>
      <c r="J26" s="30">
        <f t="shared" si="23"/>
        <v>0</v>
      </c>
      <c r="K26" s="73"/>
      <c r="L26" s="73"/>
      <c r="M26" s="73"/>
      <c r="N26" s="30">
        <f t="shared" si="24"/>
        <v>0</v>
      </c>
      <c r="O26" s="73"/>
      <c r="P26" s="73"/>
      <c r="Q26" s="73"/>
      <c r="R26" s="5"/>
      <c r="S26" s="30">
        <f>SUM(G26:J26)</f>
        <v>0</v>
      </c>
      <c r="T26" s="30">
        <f>SUM(H26:K26)</f>
        <v>0</v>
      </c>
      <c r="U26" s="30">
        <f>SUM(I26:L26)</f>
        <v>0</v>
      </c>
      <c r="V26" s="30">
        <f>SUM(J26:M26)</f>
        <v>0</v>
      </c>
      <c r="W26" s="30">
        <f>SUM(K26:N26)</f>
        <v>0</v>
      </c>
      <c r="X26" s="30">
        <f>SUM(L26:O26)</f>
        <v>0</v>
      </c>
      <c r="Y26" s="30">
        <f>SUM(M26:P26)</f>
        <v>0</v>
      </c>
      <c r="Z26" s="30">
        <f>SUM(N26:Q26)</f>
        <v>0</v>
      </c>
      <c r="AA26" s="30">
        <f>SUM(O26:Q26)</f>
        <v>0</v>
      </c>
      <c r="AB26" s="30">
        <f>SUM(P26:Q26)</f>
        <v>0</v>
      </c>
    </row>
    <row r="27" spans="1:28">
      <c r="A27" s="72"/>
      <c r="B27" s="9" t="s">
        <v>109</v>
      </c>
      <c r="C27" s="73"/>
      <c r="D27" s="73"/>
      <c r="E27" s="73"/>
      <c r="F27" s="10"/>
      <c r="G27" s="73"/>
      <c r="H27" s="73"/>
      <c r="I27" s="73"/>
      <c r="J27" s="30">
        <f t="shared" si="23"/>
        <v>0</v>
      </c>
      <c r="K27" s="73"/>
      <c r="L27" s="73"/>
      <c r="M27" s="73"/>
      <c r="N27" s="30">
        <f t="shared" si="24"/>
        <v>0</v>
      </c>
      <c r="O27" s="73"/>
      <c r="P27" s="73"/>
      <c r="Q27" s="73"/>
      <c r="R27" s="5"/>
      <c r="S27" s="30">
        <f>SUM(G27:J27)</f>
        <v>0</v>
      </c>
      <c r="T27" s="30">
        <f>SUM(H27:K27)</f>
        <v>0</v>
      </c>
      <c r="U27" s="30">
        <f>SUM(I27:L27)</f>
        <v>0</v>
      </c>
      <c r="V27" s="30">
        <f>SUM(J27:M27)</f>
        <v>0</v>
      </c>
      <c r="W27" s="30">
        <f>SUM(K27:N27)</f>
        <v>0</v>
      </c>
      <c r="X27" s="30">
        <f>SUM(L27:O27)</f>
        <v>0</v>
      </c>
      <c r="Y27" s="30">
        <f>SUM(M27:P27)</f>
        <v>0</v>
      </c>
      <c r="Z27" s="30">
        <f>SUM(N27:Q27)</f>
        <v>0</v>
      </c>
      <c r="AA27" s="30">
        <f>SUM(O27:Q27)</f>
        <v>0</v>
      </c>
      <c r="AB27" s="30">
        <f>SUM(P27:Q27)</f>
        <v>0</v>
      </c>
    </row>
    <row r="28" spans="1:28">
      <c r="B28" s="12" t="s">
        <v>12</v>
      </c>
      <c r="C28" s="13">
        <f t="shared" ref="C28:E28" si="25">SUM(C22:C27)</f>
        <v>0</v>
      </c>
      <c r="D28" s="13">
        <f t="shared" si="25"/>
        <v>0</v>
      </c>
      <c r="E28" s="13">
        <f t="shared" si="25"/>
        <v>0</v>
      </c>
      <c r="F28" s="11"/>
      <c r="G28" s="13">
        <f t="shared" ref="G28:Q28" si="26">SUM(G22:G27)</f>
        <v>0</v>
      </c>
      <c r="H28" s="13">
        <f t="shared" si="26"/>
        <v>0</v>
      </c>
      <c r="I28" s="13">
        <f t="shared" si="26"/>
        <v>0</v>
      </c>
      <c r="J28" s="13">
        <f t="shared" si="26"/>
        <v>0</v>
      </c>
      <c r="K28" s="13">
        <f t="shared" si="26"/>
        <v>0</v>
      </c>
      <c r="L28" s="13">
        <f t="shared" si="26"/>
        <v>0</v>
      </c>
      <c r="M28" s="13">
        <f t="shared" si="26"/>
        <v>0</v>
      </c>
      <c r="N28" s="13">
        <f t="shared" si="26"/>
        <v>0</v>
      </c>
      <c r="O28" s="13">
        <f t="shared" si="26"/>
        <v>0</v>
      </c>
      <c r="P28" s="13">
        <f t="shared" si="26"/>
        <v>0</v>
      </c>
      <c r="Q28" s="13">
        <f t="shared" si="26"/>
        <v>0</v>
      </c>
      <c r="R28" s="5"/>
      <c r="S28" s="13">
        <f t="shared" ref="S28:AB28" si="27">SUM(S22:S27)</f>
        <v>0</v>
      </c>
      <c r="T28" s="13">
        <f t="shared" si="27"/>
        <v>0</v>
      </c>
      <c r="U28" s="13">
        <f t="shared" si="27"/>
        <v>0</v>
      </c>
      <c r="V28" s="13">
        <f t="shared" si="27"/>
        <v>0</v>
      </c>
      <c r="W28" s="13">
        <f t="shared" si="27"/>
        <v>0</v>
      </c>
      <c r="X28" s="13">
        <f t="shared" si="27"/>
        <v>0</v>
      </c>
      <c r="Y28" s="13">
        <f t="shared" si="27"/>
        <v>0</v>
      </c>
      <c r="Z28" s="13">
        <f t="shared" si="27"/>
        <v>0</v>
      </c>
      <c r="AA28" s="13">
        <f t="shared" si="27"/>
        <v>0</v>
      </c>
      <c r="AB28" s="13">
        <f t="shared" si="27"/>
        <v>0</v>
      </c>
    </row>
    <row r="29" spans="1:28" outlineLevel="1">
      <c r="B29" s="112" t="s">
        <v>61</v>
      </c>
      <c r="C29" s="71">
        <f>+C28-C12</f>
        <v>-467937</v>
      </c>
      <c r="D29" s="71">
        <f>+D28-D12</f>
        <v>-486114</v>
      </c>
      <c r="E29" s="71">
        <f>+E28-E12</f>
        <v>-496404</v>
      </c>
      <c r="F29" s="11"/>
      <c r="G29" s="71">
        <f t="shared" ref="G29" si="28">+G28-G12</f>
        <v>-120050</v>
      </c>
      <c r="H29" s="71">
        <f t="shared" ref="H29" si="29">+H28-H12</f>
        <v>0</v>
      </c>
      <c r="I29" s="71">
        <f t="shared" ref="I29" si="30">+I28-I12</f>
        <v>0</v>
      </c>
      <c r="J29" s="71">
        <f t="shared" ref="J29" si="31">+J28-J12</f>
        <v>-347887</v>
      </c>
      <c r="K29" s="71">
        <f t="shared" ref="K29" si="32">+K28-K12</f>
        <v>-114730</v>
      </c>
      <c r="L29" s="71">
        <f t="shared" ref="L29" si="33">+L28-L12</f>
        <v>0</v>
      </c>
      <c r="M29" s="71">
        <f t="shared" ref="M29" si="34">+M28-M12</f>
        <v>0</v>
      </c>
      <c r="N29" s="71">
        <f t="shared" ref="N29" si="35">+N28-N12</f>
        <v>-371384</v>
      </c>
      <c r="O29" s="71">
        <f t="shared" ref="O29" si="36">+O28-O12</f>
        <v>0</v>
      </c>
      <c r="P29" s="71">
        <f t="shared" ref="P29" si="37">+P28-P12</f>
        <v>0</v>
      </c>
      <c r="Q29" s="71">
        <f t="shared" ref="Q29" si="38">+Q28-Q12</f>
        <v>0</v>
      </c>
      <c r="R29" s="5"/>
      <c r="S29" s="71">
        <f t="shared" ref="S29" si="39">+S28-S12</f>
        <v>-449414</v>
      </c>
      <c r="T29" s="71">
        <f t="shared" ref="T29" si="40">+T28-T12</f>
        <v>-444797</v>
      </c>
      <c r="U29" s="71">
        <f t="shared" ref="U29" si="41">+U28-U12</f>
        <v>-444797</v>
      </c>
      <c r="V29" s="71">
        <f t="shared" ref="V29" si="42">+V28-V12</f>
        <v>-444797</v>
      </c>
      <c r="W29" s="71">
        <f t="shared" ref="W29" si="43">+W28-W12</f>
        <v>-460701</v>
      </c>
      <c r="X29" s="71">
        <f t="shared" ref="X29" si="44">+X28-X12</f>
        <v>-351956</v>
      </c>
      <c r="Y29" s="71">
        <f t="shared" ref="Y29" si="45">+Y28-Y12</f>
        <v>-351956</v>
      </c>
      <c r="Z29" s="71">
        <f t="shared" ref="Z29" si="46">+Z28-Z12</f>
        <v>-351956</v>
      </c>
      <c r="AA29" s="71">
        <f t="shared" ref="AA29" si="47">+AA28-AA12</f>
        <v>0</v>
      </c>
      <c r="AB29" s="71">
        <f t="shared" ref="AB29" si="48">+AB28-AB12</f>
        <v>0</v>
      </c>
    </row>
    <row r="30" spans="1:28">
      <c r="B30" s="16"/>
      <c r="C30" s="17"/>
      <c r="D30" s="17"/>
      <c r="E30" s="17"/>
      <c r="F30" s="18"/>
      <c r="G30" s="19"/>
      <c r="H30" s="19"/>
      <c r="I30" s="19"/>
      <c r="J30" s="20"/>
      <c r="K30" s="19"/>
      <c r="L30" s="19"/>
      <c r="M30" s="19"/>
      <c r="N30" s="19"/>
      <c r="O30" s="19"/>
      <c r="P30" s="19"/>
      <c r="Q30" s="19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>
      <c r="B31" s="113" t="str">
        <f>B22&amp;"(%)"</f>
        <v>XXX(%)</v>
      </c>
      <c r="C31" s="125" t="e">
        <f>C22/C$28</f>
        <v>#DIV/0!</v>
      </c>
      <c r="D31" s="125" t="e">
        <f>D22/D$28</f>
        <v>#DIV/0!</v>
      </c>
      <c r="E31" s="125" t="e">
        <f>E22/E$28</f>
        <v>#DIV/0!</v>
      </c>
      <c r="F31" s="114"/>
      <c r="G31" s="125" t="e">
        <f t="shared" ref="G31:Q31" si="49">G22/G$28</f>
        <v>#DIV/0!</v>
      </c>
      <c r="H31" s="125" t="e">
        <f t="shared" si="49"/>
        <v>#DIV/0!</v>
      </c>
      <c r="I31" s="125" t="e">
        <f t="shared" si="49"/>
        <v>#DIV/0!</v>
      </c>
      <c r="J31" s="125" t="e">
        <f t="shared" si="49"/>
        <v>#DIV/0!</v>
      </c>
      <c r="K31" s="125" t="e">
        <f t="shared" si="49"/>
        <v>#DIV/0!</v>
      </c>
      <c r="L31" s="125" t="e">
        <f t="shared" si="49"/>
        <v>#DIV/0!</v>
      </c>
      <c r="M31" s="125" t="e">
        <f t="shared" si="49"/>
        <v>#DIV/0!</v>
      </c>
      <c r="N31" s="125" t="e">
        <f t="shared" si="49"/>
        <v>#DIV/0!</v>
      </c>
      <c r="O31" s="125" t="e">
        <f t="shared" si="49"/>
        <v>#DIV/0!</v>
      </c>
      <c r="P31" s="125" t="e">
        <f t="shared" si="49"/>
        <v>#DIV/0!</v>
      </c>
      <c r="Q31" s="125" t="e">
        <f t="shared" si="49"/>
        <v>#DIV/0!</v>
      </c>
      <c r="R31" s="114"/>
      <c r="S31" s="115" t="e">
        <f t="shared" ref="S31:AB31" si="50">S22/S$28</f>
        <v>#DIV/0!</v>
      </c>
      <c r="T31" s="115" t="e">
        <f t="shared" si="50"/>
        <v>#DIV/0!</v>
      </c>
      <c r="U31" s="115" t="e">
        <f t="shared" si="50"/>
        <v>#DIV/0!</v>
      </c>
      <c r="V31" s="115" t="e">
        <f t="shared" si="50"/>
        <v>#DIV/0!</v>
      </c>
      <c r="W31" s="115" t="e">
        <f t="shared" si="50"/>
        <v>#DIV/0!</v>
      </c>
      <c r="X31" s="115" t="e">
        <f t="shared" si="50"/>
        <v>#DIV/0!</v>
      </c>
      <c r="Y31" s="115" t="e">
        <f t="shared" si="50"/>
        <v>#DIV/0!</v>
      </c>
      <c r="Z31" s="115" t="e">
        <f t="shared" si="50"/>
        <v>#DIV/0!</v>
      </c>
      <c r="AA31" s="115" t="e">
        <f t="shared" si="50"/>
        <v>#DIV/0!</v>
      </c>
      <c r="AB31" s="116" t="e">
        <f t="shared" si="50"/>
        <v>#DIV/0!</v>
      </c>
    </row>
    <row r="32" spans="1:28" ht="12.75" customHeight="1">
      <c r="B32" s="117" t="str">
        <f t="shared" ref="B32" si="51">B23&amp;"(%)"</f>
        <v>XXX(%)</v>
      </c>
      <c r="C32" s="127" t="e">
        <f>C23/C$28</f>
        <v>#DIV/0!</v>
      </c>
      <c r="D32" s="127" t="e">
        <f>D23/D$28</f>
        <v>#DIV/0!</v>
      </c>
      <c r="E32" s="127" t="e">
        <f>E23/E$28</f>
        <v>#DIV/0!</v>
      </c>
      <c r="F32" s="118"/>
      <c r="G32" s="127" t="e">
        <f t="shared" ref="G32:Q32" si="52">G23/G$28</f>
        <v>#DIV/0!</v>
      </c>
      <c r="H32" s="127" t="e">
        <f t="shared" si="52"/>
        <v>#DIV/0!</v>
      </c>
      <c r="I32" s="127" t="e">
        <f t="shared" si="52"/>
        <v>#DIV/0!</v>
      </c>
      <c r="J32" s="127" t="e">
        <f t="shared" si="52"/>
        <v>#DIV/0!</v>
      </c>
      <c r="K32" s="127" t="e">
        <f t="shared" si="52"/>
        <v>#DIV/0!</v>
      </c>
      <c r="L32" s="127" t="e">
        <f t="shared" si="52"/>
        <v>#DIV/0!</v>
      </c>
      <c r="M32" s="127" t="e">
        <f t="shared" si="52"/>
        <v>#DIV/0!</v>
      </c>
      <c r="N32" s="127" t="e">
        <f t="shared" si="52"/>
        <v>#DIV/0!</v>
      </c>
      <c r="O32" s="127" t="e">
        <f t="shared" si="52"/>
        <v>#DIV/0!</v>
      </c>
      <c r="P32" s="127" t="e">
        <f t="shared" si="52"/>
        <v>#DIV/0!</v>
      </c>
      <c r="Q32" s="127" t="e">
        <f t="shared" si="52"/>
        <v>#DIV/0!</v>
      </c>
      <c r="R32" s="118"/>
      <c r="S32" s="119" t="e">
        <f t="shared" ref="S32:AB32" si="53">S23/S$28</f>
        <v>#DIV/0!</v>
      </c>
      <c r="T32" s="119" t="e">
        <f t="shared" si="53"/>
        <v>#DIV/0!</v>
      </c>
      <c r="U32" s="119" t="e">
        <f t="shared" si="53"/>
        <v>#DIV/0!</v>
      </c>
      <c r="V32" s="119" t="e">
        <f t="shared" si="53"/>
        <v>#DIV/0!</v>
      </c>
      <c r="W32" s="119" t="e">
        <f t="shared" si="53"/>
        <v>#DIV/0!</v>
      </c>
      <c r="X32" s="119" t="e">
        <f t="shared" si="53"/>
        <v>#DIV/0!</v>
      </c>
      <c r="Y32" s="119" t="e">
        <f t="shared" si="53"/>
        <v>#DIV/0!</v>
      </c>
      <c r="Z32" s="119" t="e">
        <f t="shared" si="53"/>
        <v>#DIV/0!</v>
      </c>
      <c r="AA32" s="119" t="e">
        <f t="shared" si="53"/>
        <v>#DIV/0!</v>
      </c>
      <c r="AB32" s="120" t="e">
        <f t="shared" si="53"/>
        <v>#DIV/0!</v>
      </c>
    </row>
    <row r="33" spans="2:28" ht="12.75" customHeight="1">
      <c r="B33" s="117" t="str">
        <f>B24&amp;"(%)"</f>
        <v>XXX(%)</v>
      </c>
      <c r="C33" s="127" t="e">
        <f>C24/C$28</f>
        <v>#DIV/0!</v>
      </c>
      <c r="D33" s="127" t="e">
        <f>D24/D$28</f>
        <v>#DIV/0!</v>
      </c>
      <c r="E33" s="127" t="e">
        <f>E24/E$28</f>
        <v>#DIV/0!</v>
      </c>
      <c r="F33" s="118"/>
      <c r="G33" s="127" t="e">
        <f t="shared" ref="G33:Q33" si="54">G24/G$28</f>
        <v>#DIV/0!</v>
      </c>
      <c r="H33" s="127" t="e">
        <f t="shared" si="54"/>
        <v>#DIV/0!</v>
      </c>
      <c r="I33" s="127" t="e">
        <f t="shared" si="54"/>
        <v>#DIV/0!</v>
      </c>
      <c r="J33" s="127" t="e">
        <f t="shared" si="54"/>
        <v>#DIV/0!</v>
      </c>
      <c r="K33" s="127" t="e">
        <f t="shared" si="54"/>
        <v>#DIV/0!</v>
      </c>
      <c r="L33" s="127" t="e">
        <f t="shared" si="54"/>
        <v>#DIV/0!</v>
      </c>
      <c r="M33" s="127" t="e">
        <f t="shared" si="54"/>
        <v>#DIV/0!</v>
      </c>
      <c r="N33" s="127" t="e">
        <f t="shared" si="54"/>
        <v>#DIV/0!</v>
      </c>
      <c r="O33" s="127" t="e">
        <f t="shared" si="54"/>
        <v>#DIV/0!</v>
      </c>
      <c r="P33" s="127" t="e">
        <f t="shared" si="54"/>
        <v>#DIV/0!</v>
      </c>
      <c r="Q33" s="127" t="e">
        <f t="shared" si="54"/>
        <v>#DIV/0!</v>
      </c>
      <c r="R33" s="118"/>
      <c r="S33" s="119" t="e">
        <f t="shared" ref="S33:AB33" si="55">S24/S$28</f>
        <v>#DIV/0!</v>
      </c>
      <c r="T33" s="119" t="e">
        <f t="shared" si="55"/>
        <v>#DIV/0!</v>
      </c>
      <c r="U33" s="119" t="e">
        <f t="shared" si="55"/>
        <v>#DIV/0!</v>
      </c>
      <c r="V33" s="119" t="e">
        <f t="shared" si="55"/>
        <v>#DIV/0!</v>
      </c>
      <c r="W33" s="119" t="e">
        <f t="shared" si="55"/>
        <v>#DIV/0!</v>
      </c>
      <c r="X33" s="119" t="e">
        <f t="shared" si="55"/>
        <v>#DIV/0!</v>
      </c>
      <c r="Y33" s="119" t="e">
        <f t="shared" si="55"/>
        <v>#DIV/0!</v>
      </c>
      <c r="Z33" s="119" t="e">
        <f t="shared" si="55"/>
        <v>#DIV/0!</v>
      </c>
      <c r="AA33" s="119" t="e">
        <f t="shared" si="55"/>
        <v>#DIV/0!</v>
      </c>
      <c r="AB33" s="120" t="e">
        <f t="shared" si="55"/>
        <v>#DIV/0!</v>
      </c>
    </row>
    <row r="34" spans="2:28" ht="12.75" customHeight="1">
      <c r="B34" s="117" t="str">
        <f>B25&amp;"(%)"</f>
        <v>XXX(%)</v>
      </c>
      <c r="C34" s="127" t="e">
        <f>C25/C$28</f>
        <v>#DIV/0!</v>
      </c>
      <c r="D34" s="127" t="e">
        <f>D25/D$28</f>
        <v>#DIV/0!</v>
      </c>
      <c r="E34" s="127" t="e">
        <f>E25/E$28</f>
        <v>#DIV/0!</v>
      </c>
      <c r="F34" s="118"/>
      <c r="G34" s="127" t="e">
        <f t="shared" ref="G34:Q34" si="56">G25/G$28</f>
        <v>#DIV/0!</v>
      </c>
      <c r="H34" s="127" t="e">
        <f t="shared" si="56"/>
        <v>#DIV/0!</v>
      </c>
      <c r="I34" s="127" t="e">
        <f t="shared" si="56"/>
        <v>#DIV/0!</v>
      </c>
      <c r="J34" s="127" t="e">
        <f t="shared" si="56"/>
        <v>#DIV/0!</v>
      </c>
      <c r="K34" s="127" t="e">
        <f t="shared" si="56"/>
        <v>#DIV/0!</v>
      </c>
      <c r="L34" s="127" t="e">
        <f t="shared" si="56"/>
        <v>#DIV/0!</v>
      </c>
      <c r="M34" s="127" t="e">
        <f t="shared" si="56"/>
        <v>#DIV/0!</v>
      </c>
      <c r="N34" s="127" t="e">
        <f t="shared" si="56"/>
        <v>#DIV/0!</v>
      </c>
      <c r="O34" s="127" t="e">
        <f t="shared" si="56"/>
        <v>#DIV/0!</v>
      </c>
      <c r="P34" s="127" t="e">
        <f t="shared" si="56"/>
        <v>#DIV/0!</v>
      </c>
      <c r="Q34" s="127" t="e">
        <f t="shared" si="56"/>
        <v>#DIV/0!</v>
      </c>
      <c r="R34" s="118"/>
      <c r="S34" s="119" t="e">
        <f t="shared" ref="S34:AB34" si="57">S25/S$28</f>
        <v>#DIV/0!</v>
      </c>
      <c r="T34" s="119" t="e">
        <f t="shared" si="57"/>
        <v>#DIV/0!</v>
      </c>
      <c r="U34" s="119" t="e">
        <f t="shared" si="57"/>
        <v>#DIV/0!</v>
      </c>
      <c r="V34" s="119" t="e">
        <f t="shared" si="57"/>
        <v>#DIV/0!</v>
      </c>
      <c r="W34" s="119" t="e">
        <f t="shared" si="57"/>
        <v>#DIV/0!</v>
      </c>
      <c r="X34" s="119" t="e">
        <f t="shared" si="57"/>
        <v>#DIV/0!</v>
      </c>
      <c r="Y34" s="119" t="e">
        <f t="shared" si="57"/>
        <v>#DIV/0!</v>
      </c>
      <c r="Z34" s="119" t="e">
        <f t="shared" si="57"/>
        <v>#DIV/0!</v>
      </c>
      <c r="AA34" s="119" t="e">
        <f t="shared" si="57"/>
        <v>#DIV/0!</v>
      </c>
      <c r="AB34" s="120" t="e">
        <f t="shared" si="57"/>
        <v>#DIV/0!</v>
      </c>
    </row>
    <row r="35" spans="2:28" ht="12.75" customHeight="1">
      <c r="B35" s="117" t="str">
        <f>B26&amp;"(%)"</f>
        <v>XXX(%)</v>
      </c>
      <c r="C35" s="127" t="e">
        <f>C26/C$28</f>
        <v>#DIV/0!</v>
      </c>
      <c r="D35" s="127" t="e">
        <f>D26/D$28</f>
        <v>#DIV/0!</v>
      </c>
      <c r="E35" s="127" t="e">
        <f>E26/E$28</f>
        <v>#DIV/0!</v>
      </c>
      <c r="F35" s="118"/>
      <c r="G35" s="127" t="e">
        <f t="shared" ref="G35:Q35" si="58">G26/G$28</f>
        <v>#DIV/0!</v>
      </c>
      <c r="H35" s="127" t="e">
        <f t="shared" si="58"/>
        <v>#DIV/0!</v>
      </c>
      <c r="I35" s="127" t="e">
        <f t="shared" si="58"/>
        <v>#DIV/0!</v>
      </c>
      <c r="J35" s="127" t="e">
        <f t="shared" si="58"/>
        <v>#DIV/0!</v>
      </c>
      <c r="K35" s="127" t="e">
        <f t="shared" si="58"/>
        <v>#DIV/0!</v>
      </c>
      <c r="L35" s="127" t="e">
        <f t="shared" si="58"/>
        <v>#DIV/0!</v>
      </c>
      <c r="M35" s="127" t="e">
        <f t="shared" si="58"/>
        <v>#DIV/0!</v>
      </c>
      <c r="N35" s="127" t="e">
        <f t="shared" si="58"/>
        <v>#DIV/0!</v>
      </c>
      <c r="O35" s="127" t="e">
        <f t="shared" si="58"/>
        <v>#DIV/0!</v>
      </c>
      <c r="P35" s="127" t="e">
        <f t="shared" si="58"/>
        <v>#DIV/0!</v>
      </c>
      <c r="Q35" s="127" t="e">
        <f t="shared" si="58"/>
        <v>#DIV/0!</v>
      </c>
      <c r="R35" s="118"/>
      <c r="S35" s="119" t="e">
        <f t="shared" ref="S35:AB35" si="59">S26/S$28</f>
        <v>#DIV/0!</v>
      </c>
      <c r="T35" s="119" t="e">
        <f t="shared" si="59"/>
        <v>#DIV/0!</v>
      </c>
      <c r="U35" s="119" t="e">
        <f t="shared" si="59"/>
        <v>#DIV/0!</v>
      </c>
      <c r="V35" s="119" t="e">
        <f t="shared" si="59"/>
        <v>#DIV/0!</v>
      </c>
      <c r="W35" s="119" t="e">
        <f t="shared" si="59"/>
        <v>#DIV/0!</v>
      </c>
      <c r="X35" s="119" t="e">
        <f t="shared" si="59"/>
        <v>#DIV/0!</v>
      </c>
      <c r="Y35" s="119" t="e">
        <f t="shared" si="59"/>
        <v>#DIV/0!</v>
      </c>
      <c r="Z35" s="119" t="e">
        <f t="shared" si="59"/>
        <v>#DIV/0!</v>
      </c>
      <c r="AA35" s="119" t="e">
        <f t="shared" si="59"/>
        <v>#DIV/0!</v>
      </c>
      <c r="AB35" s="120" t="e">
        <f t="shared" si="59"/>
        <v>#DIV/0!</v>
      </c>
    </row>
    <row r="36" spans="2:28" ht="12.75" customHeight="1">
      <c r="B36" s="121" t="str">
        <f>B27&amp;"(%)"</f>
        <v>XXX(%)</v>
      </c>
      <c r="C36" s="126" t="e">
        <f>C27/C$28</f>
        <v>#DIV/0!</v>
      </c>
      <c r="D36" s="126" t="e">
        <f>D27/D$28</f>
        <v>#DIV/0!</v>
      </c>
      <c r="E36" s="126" t="e">
        <f>E27/E$28</f>
        <v>#DIV/0!</v>
      </c>
      <c r="F36" s="122"/>
      <c r="G36" s="126" t="e">
        <f t="shared" ref="G36:Q36" si="60">G27/G$28</f>
        <v>#DIV/0!</v>
      </c>
      <c r="H36" s="126" t="e">
        <f t="shared" si="60"/>
        <v>#DIV/0!</v>
      </c>
      <c r="I36" s="126" t="e">
        <f t="shared" si="60"/>
        <v>#DIV/0!</v>
      </c>
      <c r="J36" s="126" t="e">
        <f t="shared" si="60"/>
        <v>#DIV/0!</v>
      </c>
      <c r="K36" s="126" t="e">
        <f t="shared" si="60"/>
        <v>#DIV/0!</v>
      </c>
      <c r="L36" s="126" t="e">
        <f t="shared" si="60"/>
        <v>#DIV/0!</v>
      </c>
      <c r="M36" s="126" t="e">
        <f t="shared" si="60"/>
        <v>#DIV/0!</v>
      </c>
      <c r="N36" s="126" t="e">
        <f t="shared" si="60"/>
        <v>#DIV/0!</v>
      </c>
      <c r="O36" s="126" t="e">
        <f t="shared" si="60"/>
        <v>#DIV/0!</v>
      </c>
      <c r="P36" s="126" t="e">
        <f t="shared" si="60"/>
        <v>#DIV/0!</v>
      </c>
      <c r="Q36" s="126" t="e">
        <f t="shared" si="60"/>
        <v>#DIV/0!</v>
      </c>
      <c r="R36" s="122"/>
      <c r="S36" s="123" t="e">
        <f t="shared" ref="S36:AB36" si="61">S27/S$28</f>
        <v>#DIV/0!</v>
      </c>
      <c r="T36" s="123" t="e">
        <f t="shared" si="61"/>
        <v>#DIV/0!</v>
      </c>
      <c r="U36" s="123" t="e">
        <f t="shared" si="61"/>
        <v>#DIV/0!</v>
      </c>
      <c r="V36" s="123" t="e">
        <f t="shared" si="61"/>
        <v>#DIV/0!</v>
      </c>
      <c r="W36" s="123" t="e">
        <f t="shared" si="61"/>
        <v>#DIV/0!</v>
      </c>
      <c r="X36" s="123" t="e">
        <f t="shared" si="61"/>
        <v>#DIV/0!</v>
      </c>
      <c r="Y36" s="123" t="e">
        <f t="shared" si="61"/>
        <v>#DIV/0!</v>
      </c>
      <c r="Z36" s="123" t="e">
        <f t="shared" si="61"/>
        <v>#DIV/0!</v>
      </c>
      <c r="AA36" s="123" t="e">
        <f t="shared" si="61"/>
        <v>#DIV/0!</v>
      </c>
      <c r="AB36" s="124" t="e">
        <f t="shared" si="61"/>
        <v>#DIV/0!</v>
      </c>
    </row>
  </sheetData>
  <pageMargins left="0.7" right="0.7" top="0.75" bottom="0.75" header="0.3" footer="0.3"/>
  <ignoredErrors>
    <ignoredError sqref="G17:P17 C17:D17 G31:Q36 C15:D15 G15:P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B12" sqref="B1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09" bestFit="1" customWidth="1"/>
    <col min="34" max="16384" width="9" style="8"/>
  </cols>
  <sheetData>
    <row r="2" spans="2:33" s="5" customFormat="1" ht="12.75" customHeight="1">
      <c r="B2" s="1" t="str">
        <f>'Historical Financials'!B2</f>
        <v>Build-A-Bear Workshop, Inc (NYSE: BBW)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52" t="s">
        <v>22</v>
      </c>
    </row>
    <row r="3" spans="2:33" s="5" customFormat="1" ht="12.75" customHeight="1">
      <c r="B3" s="6" t="s">
        <v>23</v>
      </c>
      <c r="C3" s="7" t="e">
        <f>'Historical Financials'!#REF!</f>
        <v>#REF!</v>
      </c>
      <c r="D3" s="7">
        <f>'Historical Financials'!C7</f>
        <v>2022</v>
      </c>
      <c r="E3" s="7">
        <f>'Historical Financials'!D7</f>
        <v>2023</v>
      </c>
      <c r="F3" s="7">
        <f>'Historical Financials'!E7</f>
        <v>2024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 t="str">
        <f>'Historical Financials'!Q7</f>
        <v>3Q25</v>
      </c>
      <c r="S3" s="7" t="e">
        <f>'Historical Financials'!#REF!</f>
        <v>#REF!</v>
      </c>
      <c r="T3" s="7" t="e">
        <f>'Historical Financials'!#REF!</f>
        <v>#REF!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e">
        <f t="shared" si="0"/>
        <v>#REF!</v>
      </c>
      <c r="AE3" s="4" t="e">
        <f t="shared" si="0"/>
        <v>#REF!</v>
      </c>
      <c r="AF3" s="3"/>
      <c r="AG3" s="152"/>
    </row>
    <row r="4" spans="2:33" s="5" customFormat="1" ht="12.75" customHeight="1">
      <c r="B4" s="6" t="s">
        <v>94</v>
      </c>
      <c r="C4" s="3" t="e">
        <f>'Historical Financials'!#REF!</f>
        <v>#REF!</v>
      </c>
      <c r="D4" s="3">
        <f>'Historical Financials'!C8</f>
        <v>44954</v>
      </c>
      <c r="E4" s="3">
        <f>'Historical Financials'!D8</f>
        <v>45325</v>
      </c>
      <c r="F4" s="3">
        <f>'Historical Financials'!E8</f>
        <v>45689</v>
      </c>
      <c r="G4" s="3"/>
      <c r="H4" s="3">
        <f>'Historical Financials'!G8</f>
        <v>45045</v>
      </c>
      <c r="I4" s="3">
        <f>'Historical Financials'!H8</f>
        <v>45136</v>
      </c>
      <c r="J4" s="3">
        <f>'Historical Financials'!I8</f>
        <v>45227</v>
      </c>
      <c r="K4" s="3">
        <f>'Historical Financials'!J8</f>
        <v>45325</v>
      </c>
      <c r="L4" s="3">
        <f>'Historical Financials'!K8</f>
        <v>45416</v>
      </c>
      <c r="M4" s="3">
        <f>'Historical Financials'!L8</f>
        <v>45507</v>
      </c>
      <c r="N4" s="3">
        <f>'Historical Financials'!M8</f>
        <v>45598</v>
      </c>
      <c r="O4" s="3">
        <f>'Historical Financials'!N8</f>
        <v>45689</v>
      </c>
      <c r="P4" s="3">
        <f>'Historical Financials'!O8</f>
        <v>45780</v>
      </c>
      <c r="Q4" s="3">
        <f>'Historical Financials'!P8</f>
        <v>45871</v>
      </c>
      <c r="R4" s="3">
        <f>'Historical Financials'!Q8</f>
        <v>45962</v>
      </c>
      <c r="S4" s="3" t="e">
        <f>'Historical Financials'!#REF!</f>
        <v>#REF!</v>
      </c>
      <c r="T4" s="3" t="e">
        <f>'Historical Financials'!#REF!</f>
        <v>#REF!</v>
      </c>
      <c r="U4" s="3"/>
      <c r="V4" s="3">
        <f t="shared" si="0"/>
        <v>45325</v>
      </c>
      <c r="W4" s="3">
        <f t="shared" si="0"/>
        <v>45416</v>
      </c>
      <c r="X4" s="3">
        <f t="shared" si="0"/>
        <v>45507</v>
      </c>
      <c r="Y4" s="3">
        <f t="shared" si="0"/>
        <v>45598</v>
      </c>
      <c r="Z4" s="3">
        <f t="shared" si="0"/>
        <v>45689</v>
      </c>
      <c r="AA4" s="3">
        <f t="shared" si="0"/>
        <v>45780</v>
      </c>
      <c r="AB4" s="3">
        <f t="shared" si="0"/>
        <v>45871</v>
      </c>
      <c r="AC4" s="3">
        <f t="shared" si="0"/>
        <v>45962</v>
      </c>
      <c r="AD4" s="3" t="e">
        <f t="shared" si="0"/>
        <v>#REF!</v>
      </c>
      <c r="AE4" s="3" t="e">
        <f t="shared" si="0"/>
        <v>#REF!</v>
      </c>
      <c r="AF4" s="3"/>
      <c r="AG4" s="152"/>
    </row>
    <row r="5" spans="2:33" ht="5.0999999999999996" customHeight="1">
      <c r="AG5" s="105"/>
    </row>
    <row r="6" spans="2:33" ht="12.75" customHeight="1">
      <c r="B6" s="9" t="s">
        <v>109</v>
      </c>
      <c r="C6" s="78"/>
      <c r="D6" s="78"/>
      <c r="E6" s="78"/>
      <c r="F6" s="78"/>
      <c r="G6" s="10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5"/>
      <c r="V6" s="129">
        <f t="shared" ref="V6:AD6" si="1">SUM(H6:K6)</f>
        <v>0</v>
      </c>
      <c r="W6" s="129">
        <f t="shared" si="1"/>
        <v>0</v>
      </c>
      <c r="X6" s="129">
        <f t="shared" si="1"/>
        <v>0</v>
      </c>
      <c r="Y6" s="129">
        <f t="shared" si="1"/>
        <v>0</v>
      </c>
      <c r="Z6" s="129">
        <f t="shared" si="1"/>
        <v>0</v>
      </c>
      <c r="AA6" s="129">
        <f t="shared" si="1"/>
        <v>0</v>
      </c>
      <c r="AB6" s="129">
        <f t="shared" si="1"/>
        <v>0</v>
      </c>
      <c r="AC6" s="129">
        <f t="shared" si="1"/>
        <v>0</v>
      </c>
      <c r="AD6" s="129">
        <f t="shared" si="1"/>
        <v>0</v>
      </c>
      <c r="AE6" s="129">
        <f>SUM(Q6:T6)</f>
        <v>0</v>
      </c>
      <c r="AG6" s="106" t="e">
        <f t="shared" ref="AG6:AG11" si="2">SUM(AE6/AA6)-1</f>
        <v>#DIV/0!</v>
      </c>
    </row>
    <row r="7" spans="2:33" ht="12.75" customHeight="1">
      <c r="B7" s="9" t="s">
        <v>109</v>
      </c>
      <c r="C7" s="78"/>
      <c r="D7" s="78"/>
      <c r="E7" s="78"/>
      <c r="F7" s="78"/>
      <c r="G7" s="10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5"/>
      <c r="V7" s="129">
        <f t="shared" ref="V7:V11" si="3">SUM(H7:K7)</f>
        <v>0</v>
      </c>
      <c r="W7" s="129">
        <f t="shared" ref="W7:W11" si="4">SUM(I7:L7)</f>
        <v>0</v>
      </c>
      <c r="X7" s="129">
        <f t="shared" ref="X7:X11" si="5">SUM(J7:M7)</f>
        <v>0</v>
      </c>
      <c r="Y7" s="129">
        <f t="shared" ref="Y7:Y11" si="6">SUM(K7:N7)</f>
        <v>0</v>
      </c>
      <c r="Z7" s="129">
        <f t="shared" ref="Z7:Z11" si="7">SUM(L7:O7)</f>
        <v>0</v>
      </c>
      <c r="AA7" s="129">
        <f t="shared" ref="AA7:AA11" si="8">SUM(M7:P7)</f>
        <v>0</v>
      </c>
      <c r="AB7" s="129">
        <f t="shared" ref="AB7:AB11" si="9">SUM(N7:Q7)</f>
        <v>0</v>
      </c>
      <c r="AC7" s="129">
        <f t="shared" ref="AC7:AC11" si="10">SUM(O7:R7)</f>
        <v>0</v>
      </c>
      <c r="AD7" s="129">
        <f t="shared" ref="AD7:AD11" si="11">SUM(P7:S7)</f>
        <v>0</v>
      </c>
      <c r="AE7" s="129">
        <f t="shared" ref="AE7:AE11" si="12">SUM(Q7:T7)</f>
        <v>0</v>
      </c>
      <c r="AG7" s="106" t="e">
        <f t="shared" si="2"/>
        <v>#DIV/0!</v>
      </c>
    </row>
    <row r="8" spans="2:33" ht="12.75" customHeight="1">
      <c r="B8" s="9" t="s">
        <v>109</v>
      </c>
      <c r="C8" s="78"/>
      <c r="D8" s="78"/>
      <c r="E8" s="78"/>
      <c r="F8" s="78"/>
      <c r="G8" s="10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5"/>
      <c r="V8" s="129">
        <f t="shared" si="3"/>
        <v>0</v>
      </c>
      <c r="W8" s="129">
        <f t="shared" si="4"/>
        <v>0</v>
      </c>
      <c r="X8" s="129">
        <f t="shared" si="5"/>
        <v>0</v>
      </c>
      <c r="Y8" s="129">
        <f t="shared" si="6"/>
        <v>0</v>
      </c>
      <c r="Z8" s="129">
        <f t="shared" si="7"/>
        <v>0</v>
      </c>
      <c r="AA8" s="129">
        <f t="shared" si="8"/>
        <v>0</v>
      </c>
      <c r="AB8" s="129">
        <f t="shared" si="9"/>
        <v>0</v>
      </c>
      <c r="AC8" s="129">
        <f t="shared" si="10"/>
        <v>0</v>
      </c>
      <c r="AD8" s="129">
        <f t="shared" si="11"/>
        <v>0</v>
      </c>
      <c r="AE8" s="129">
        <f t="shared" si="12"/>
        <v>0</v>
      </c>
      <c r="AG8" s="106" t="e">
        <f t="shared" si="2"/>
        <v>#DIV/0!</v>
      </c>
    </row>
    <row r="9" spans="2:33" ht="12.75" customHeight="1">
      <c r="B9" s="9" t="s">
        <v>109</v>
      </c>
      <c r="C9" s="78"/>
      <c r="D9" s="78"/>
      <c r="E9" s="78"/>
      <c r="F9" s="78"/>
      <c r="G9" s="10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5"/>
      <c r="V9" s="129">
        <f t="shared" si="3"/>
        <v>0</v>
      </c>
      <c r="W9" s="129">
        <f t="shared" si="4"/>
        <v>0</v>
      </c>
      <c r="X9" s="129">
        <f t="shared" si="5"/>
        <v>0</v>
      </c>
      <c r="Y9" s="129">
        <f t="shared" si="6"/>
        <v>0</v>
      </c>
      <c r="Z9" s="129">
        <f t="shared" si="7"/>
        <v>0</v>
      </c>
      <c r="AA9" s="129">
        <f t="shared" si="8"/>
        <v>0</v>
      </c>
      <c r="AB9" s="129">
        <f t="shared" si="9"/>
        <v>0</v>
      </c>
      <c r="AC9" s="129">
        <f t="shared" si="10"/>
        <v>0</v>
      </c>
      <c r="AD9" s="129">
        <f t="shared" si="11"/>
        <v>0</v>
      </c>
      <c r="AE9" s="129">
        <f t="shared" si="12"/>
        <v>0</v>
      </c>
      <c r="AG9" s="106" t="e">
        <f t="shared" si="2"/>
        <v>#DIV/0!</v>
      </c>
    </row>
    <row r="10" spans="2:33" ht="12.75" customHeight="1">
      <c r="B10" s="9" t="s">
        <v>109</v>
      </c>
      <c r="C10" s="78"/>
      <c r="D10" s="78"/>
      <c r="E10" s="78"/>
      <c r="F10" s="78"/>
      <c r="G10" s="10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5"/>
      <c r="V10" s="129">
        <f t="shared" si="3"/>
        <v>0</v>
      </c>
      <c r="W10" s="129">
        <f t="shared" si="4"/>
        <v>0</v>
      </c>
      <c r="X10" s="129">
        <f t="shared" si="5"/>
        <v>0</v>
      </c>
      <c r="Y10" s="129">
        <f t="shared" si="6"/>
        <v>0</v>
      </c>
      <c r="Z10" s="129">
        <f t="shared" si="7"/>
        <v>0</v>
      </c>
      <c r="AA10" s="129">
        <f t="shared" si="8"/>
        <v>0</v>
      </c>
      <c r="AB10" s="129">
        <f t="shared" si="9"/>
        <v>0</v>
      </c>
      <c r="AC10" s="129">
        <f t="shared" si="10"/>
        <v>0</v>
      </c>
      <c r="AD10" s="129">
        <f t="shared" si="11"/>
        <v>0</v>
      </c>
      <c r="AE10" s="129">
        <f t="shared" si="12"/>
        <v>0</v>
      </c>
      <c r="AG10" s="106" t="e">
        <f t="shared" si="2"/>
        <v>#DIV/0!</v>
      </c>
    </row>
    <row r="11" spans="2:33" ht="12.75" customHeight="1">
      <c r="B11" s="9" t="s">
        <v>109</v>
      </c>
      <c r="C11" s="78"/>
      <c r="D11" s="78"/>
      <c r="E11" s="78"/>
      <c r="F11" s="78"/>
      <c r="G11" s="10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5"/>
      <c r="V11" s="129">
        <f t="shared" si="3"/>
        <v>0</v>
      </c>
      <c r="W11" s="129">
        <f t="shared" si="4"/>
        <v>0</v>
      </c>
      <c r="X11" s="129">
        <f t="shared" si="5"/>
        <v>0</v>
      </c>
      <c r="Y11" s="129">
        <f t="shared" si="6"/>
        <v>0</v>
      </c>
      <c r="Z11" s="129">
        <f t="shared" si="7"/>
        <v>0</v>
      </c>
      <c r="AA11" s="129">
        <f t="shared" si="8"/>
        <v>0</v>
      </c>
      <c r="AB11" s="129">
        <f t="shared" si="9"/>
        <v>0</v>
      </c>
      <c r="AC11" s="129">
        <f t="shared" si="10"/>
        <v>0</v>
      </c>
      <c r="AD11" s="129">
        <f t="shared" si="11"/>
        <v>0</v>
      </c>
      <c r="AE11" s="129">
        <f t="shared" si="12"/>
        <v>0</v>
      </c>
      <c r="AG11" s="106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7" t="e">
        <f>SUM(AE12/AA12)-1</f>
        <v>#DIV/0!</v>
      </c>
    </row>
    <row r="13" spans="2:33" ht="12.75" customHeight="1">
      <c r="B13" s="14" t="s">
        <v>26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7"/>
      <c r="I13" s="97"/>
      <c r="J13" s="97"/>
      <c r="K13" s="97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7"/>
      <c r="W13" s="97"/>
      <c r="X13" s="97"/>
      <c r="Y13" s="97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08" t="e">
        <f>SUM(AE13-AA13)*10000</f>
        <v>#DIV/0!</v>
      </c>
    </row>
    <row r="14" spans="2:33" ht="12.75" customHeight="1">
      <c r="B14" s="14" t="s">
        <v>27</v>
      </c>
      <c r="C14" s="15" t="s">
        <v>28</v>
      </c>
      <c r="D14" s="15" t="s">
        <v>28</v>
      </c>
      <c r="E14" s="15" t="s">
        <v>28</v>
      </c>
      <c r="F14" s="15" t="s">
        <v>28</v>
      </c>
      <c r="G14" s="11"/>
      <c r="H14" s="97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28</v>
      </c>
      <c r="W14" s="15" t="s">
        <v>28</v>
      </c>
      <c r="X14" s="15" t="s">
        <v>28</v>
      </c>
      <c r="Y14" s="15" t="s">
        <v>28</v>
      </c>
      <c r="Z14" s="15" t="s">
        <v>28</v>
      </c>
      <c r="AA14" s="15" t="s">
        <v>28</v>
      </c>
      <c r="AB14" s="15" t="s">
        <v>28</v>
      </c>
      <c r="AC14" s="15" t="s">
        <v>28</v>
      </c>
      <c r="AD14" s="15" t="s">
        <v>28</v>
      </c>
      <c r="AE14" s="15" t="s">
        <v>28</v>
      </c>
      <c r="AG14" s="105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5"/>
    </row>
    <row r="16" spans="2:33" ht="12.75" customHeight="1">
      <c r="B16" s="21" t="s">
        <v>29</v>
      </c>
      <c r="C16" s="78"/>
      <c r="D16" s="78"/>
      <c r="E16" s="78"/>
      <c r="F16" s="78"/>
      <c r="G16" s="10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5"/>
      <c r="V16" s="129">
        <f t="shared" ref="V16" si="22">SUM(H16:K16)</f>
        <v>0</v>
      </c>
      <c r="W16" s="129">
        <f t="shared" ref="W16" si="23">SUM(I16:L16)</f>
        <v>0</v>
      </c>
      <c r="X16" s="129">
        <f t="shared" ref="X16" si="24">SUM(J16:M16)</f>
        <v>0</v>
      </c>
      <c r="Y16" s="129">
        <f t="shared" ref="Y16" si="25">SUM(K16:N16)</f>
        <v>0</v>
      </c>
      <c r="Z16" s="129">
        <f t="shared" ref="Z16" si="26">SUM(L16:O16)</f>
        <v>0</v>
      </c>
      <c r="AA16" s="129">
        <f t="shared" ref="AA16" si="27">SUM(M16:P16)</f>
        <v>0</v>
      </c>
      <c r="AB16" s="129">
        <f t="shared" ref="AB16" si="28">SUM(N16:Q16)</f>
        <v>0</v>
      </c>
      <c r="AC16" s="129">
        <f t="shared" ref="AC16" si="29">SUM(O16:R16)</f>
        <v>0</v>
      </c>
      <c r="AD16" s="129">
        <f t="shared" ref="AD16" si="30">SUM(P16:S16)</f>
        <v>0</v>
      </c>
      <c r="AE16" s="129">
        <f>SUM(Q16:T16)</f>
        <v>0</v>
      </c>
      <c r="AG16" s="106" t="e">
        <f>SUM(AE16/AA16)-1</f>
        <v>#DIV/0!</v>
      </c>
    </row>
    <row r="17" spans="2:33" ht="12.75" customHeight="1">
      <c r="B17" s="23" t="s">
        <v>20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7" t="e">
        <f>SUM(AE17/AA17)-1</f>
        <v>#DIV/0!</v>
      </c>
    </row>
    <row r="18" spans="2:33" ht="12.75" customHeight="1">
      <c r="B18" s="14" t="s">
        <v>30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08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5"/>
    </row>
    <row r="20" spans="2:33" ht="12.75" customHeight="1">
      <c r="B20" s="21" t="s">
        <v>114</v>
      </c>
      <c r="C20" s="130"/>
      <c r="D20" s="130"/>
      <c r="E20" s="130"/>
      <c r="F20" s="130"/>
      <c r="G20" s="78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5"/>
      <c r="V20" s="129">
        <f t="shared" ref="V20:V24" si="43">SUM(H20:K20)</f>
        <v>0</v>
      </c>
      <c r="W20" s="129">
        <f t="shared" ref="W20:W24" si="44">SUM(I20:L20)</f>
        <v>0</v>
      </c>
      <c r="X20" s="129">
        <f t="shared" ref="X20:X24" si="45">SUM(J20:M20)</f>
        <v>0</v>
      </c>
      <c r="Y20" s="129">
        <f t="shared" ref="Y20:Y24" si="46">SUM(K20:N20)</f>
        <v>0</v>
      </c>
      <c r="Z20" s="129">
        <f t="shared" ref="Z20:Z24" si="47">SUM(L20:O20)</f>
        <v>0</v>
      </c>
      <c r="AA20" s="129">
        <f t="shared" ref="AA20:AA24" si="48">SUM(M20:P20)</f>
        <v>0</v>
      </c>
      <c r="AB20" s="129">
        <f t="shared" ref="AB20:AB24" si="49">SUM(N20:Q20)</f>
        <v>0</v>
      </c>
      <c r="AC20" s="129">
        <f t="shared" ref="AC20:AC24" si="50">SUM(O20:R20)</f>
        <v>0</v>
      </c>
      <c r="AD20" s="129">
        <f t="shared" ref="AD20:AD24" si="51">SUM(P20:S20)</f>
        <v>0</v>
      </c>
      <c r="AE20" s="129">
        <f t="shared" ref="AE20:AE24" si="52">SUM(Q20:T20)</f>
        <v>0</v>
      </c>
      <c r="AG20" s="106" t="e">
        <f>SUM(AE20/AA20)-1</f>
        <v>#DIV/0!</v>
      </c>
    </row>
    <row r="21" spans="2:33" ht="12.75" customHeight="1">
      <c r="B21" s="21" t="s">
        <v>114</v>
      </c>
      <c r="C21" s="130"/>
      <c r="D21" s="130"/>
      <c r="E21" s="130"/>
      <c r="F21" s="130"/>
      <c r="G21" s="78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5"/>
      <c r="V21" s="129">
        <f t="shared" ref="V21:V23" si="53">SUM(H21:K21)</f>
        <v>0</v>
      </c>
      <c r="W21" s="129">
        <f t="shared" ref="W21:W23" si="54">SUM(I21:L21)</f>
        <v>0</v>
      </c>
      <c r="X21" s="129">
        <f t="shared" ref="X21:X23" si="55">SUM(J21:M21)</f>
        <v>0</v>
      </c>
      <c r="Y21" s="129">
        <f t="shared" ref="Y21:Y23" si="56">SUM(K21:N21)</f>
        <v>0</v>
      </c>
      <c r="Z21" s="129">
        <f t="shared" ref="Z21:Z23" si="57">SUM(L21:O21)</f>
        <v>0</v>
      </c>
      <c r="AA21" s="129">
        <f t="shared" ref="AA21:AA23" si="58">SUM(M21:P21)</f>
        <v>0</v>
      </c>
      <c r="AB21" s="129">
        <f t="shared" ref="AB21:AB23" si="59">SUM(N21:Q21)</f>
        <v>0</v>
      </c>
      <c r="AC21" s="129">
        <f t="shared" ref="AC21:AC23" si="60">SUM(O21:R21)</f>
        <v>0</v>
      </c>
      <c r="AD21" s="129">
        <f t="shared" ref="AD21:AD23" si="61">SUM(P21:S21)</f>
        <v>0</v>
      </c>
      <c r="AE21" s="129">
        <f t="shared" ref="AE21:AE23" si="62">SUM(Q21:T21)</f>
        <v>0</v>
      </c>
      <c r="AG21" s="106" t="e">
        <f t="shared" ref="AG21:AG23" si="63">SUM(AE21/AA21)-1</f>
        <v>#DIV/0!</v>
      </c>
    </row>
    <row r="22" spans="2:33" ht="12.75" customHeight="1">
      <c r="B22" s="21" t="s">
        <v>114</v>
      </c>
      <c r="C22" s="130"/>
      <c r="D22" s="130"/>
      <c r="E22" s="130"/>
      <c r="F22" s="130"/>
      <c r="G22" s="78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5"/>
      <c r="V22" s="129">
        <f t="shared" si="53"/>
        <v>0</v>
      </c>
      <c r="W22" s="129">
        <f t="shared" si="54"/>
        <v>0</v>
      </c>
      <c r="X22" s="129">
        <f t="shared" si="55"/>
        <v>0</v>
      </c>
      <c r="Y22" s="129">
        <f t="shared" si="56"/>
        <v>0</v>
      </c>
      <c r="Z22" s="129">
        <f t="shared" si="57"/>
        <v>0</v>
      </c>
      <c r="AA22" s="129">
        <f t="shared" si="58"/>
        <v>0</v>
      </c>
      <c r="AB22" s="129">
        <f t="shared" si="59"/>
        <v>0</v>
      </c>
      <c r="AC22" s="129">
        <f t="shared" si="60"/>
        <v>0</v>
      </c>
      <c r="AD22" s="129">
        <f t="shared" si="61"/>
        <v>0</v>
      </c>
      <c r="AE22" s="129">
        <f t="shared" si="62"/>
        <v>0</v>
      </c>
      <c r="AG22" s="106" t="e">
        <f t="shared" si="63"/>
        <v>#DIV/0!</v>
      </c>
    </row>
    <row r="23" spans="2:33" ht="12.75" customHeight="1">
      <c r="B23" s="21" t="s">
        <v>114</v>
      </c>
      <c r="C23" s="130"/>
      <c r="D23" s="130"/>
      <c r="E23" s="130"/>
      <c r="F23" s="130"/>
      <c r="G23" s="78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5"/>
      <c r="V23" s="129">
        <f t="shared" si="53"/>
        <v>0</v>
      </c>
      <c r="W23" s="129">
        <f t="shared" si="54"/>
        <v>0</v>
      </c>
      <c r="X23" s="129">
        <f t="shared" si="55"/>
        <v>0</v>
      </c>
      <c r="Y23" s="129">
        <f t="shared" si="56"/>
        <v>0</v>
      </c>
      <c r="Z23" s="129">
        <f t="shared" si="57"/>
        <v>0</v>
      </c>
      <c r="AA23" s="129">
        <f t="shared" si="58"/>
        <v>0</v>
      </c>
      <c r="AB23" s="129">
        <f t="shared" si="59"/>
        <v>0</v>
      </c>
      <c r="AC23" s="129">
        <f t="shared" si="60"/>
        <v>0</v>
      </c>
      <c r="AD23" s="129">
        <f t="shared" si="61"/>
        <v>0</v>
      </c>
      <c r="AE23" s="129">
        <f t="shared" si="62"/>
        <v>0</v>
      </c>
      <c r="AG23" s="106" t="e">
        <f t="shared" si="63"/>
        <v>#DIV/0!</v>
      </c>
    </row>
    <row r="24" spans="2:33" ht="12.75" customHeight="1">
      <c r="B24" s="21" t="s">
        <v>114</v>
      </c>
      <c r="C24" s="130"/>
      <c r="D24" s="130"/>
      <c r="E24" s="130"/>
      <c r="F24" s="130"/>
      <c r="G24" s="78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5"/>
      <c r="V24" s="129">
        <f t="shared" si="43"/>
        <v>0</v>
      </c>
      <c r="W24" s="129">
        <f t="shared" si="44"/>
        <v>0</v>
      </c>
      <c r="X24" s="129">
        <f t="shared" si="45"/>
        <v>0</v>
      </c>
      <c r="Y24" s="129">
        <f t="shared" si="46"/>
        <v>0</v>
      </c>
      <c r="Z24" s="129">
        <f t="shared" si="47"/>
        <v>0</v>
      </c>
      <c r="AA24" s="129">
        <f t="shared" si="48"/>
        <v>0</v>
      </c>
      <c r="AB24" s="129">
        <f t="shared" si="49"/>
        <v>0</v>
      </c>
      <c r="AC24" s="129">
        <f t="shared" si="50"/>
        <v>0</v>
      </c>
      <c r="AD24" s="129">
        <f t="shared" si="51"/>
        <v>0</v>
      </c>
      <c r="AE24" s="129">
        <f t="shared" si="52"/>
        <v>0</v>
      </c>
      <c r="AG24" s="106" t="e">
        <f>SUM(AE24/AA24)-1</f>
        <v>#DIV/0!</v>
      </c>
    </row>
    <row r="25" spans="2:33" ht="12.75" customHeight="1">
      <c r="B25" s="12" t="s">
        <v>31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7" t="e">
        <f>SUM(AE25/AA25)-1</f>
        <v>#DIV/0!</v>
      </c>
    </row>
    <row r="26" spans="2:33" ht="12.75" customHeight="1">
      <c r="B26" s="14" t="s">
        <v>32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08" t="e">
        <f>SUM(AE26-AA26)*10000</f>
        <v>#DIV/0!</v>
      </c>
    </row>
    <row r="27" spans="2:33" ht="5.0999999999999996" customHeight="1">
      <c r="AG27" s="105"/>
    </row>
    <row r="28" spans="2:33" ht="12.75" customHeight="1">
      <c r="B28" s="29" t="s">
        <v>98</v>
      </c>
      <c r="C28" s="130"/>
      <c r="D28" s="130"/>
      <c r="E28" s="130"/>
      <c r="F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V28" s="129">
        <f t="shared" ref="V28" si="70">SUM(H28:K28)</f>
        <v>0</v>
      </c>
      <c r="W28" s="129">
        <f t="shared" ref="W28" si="71">SUM(I28:L28)</f>
        <v>0</v>
      </c>
      <c r="X28" s="129">
        <f t="shared" ref="X28" si="72">SUM(J28:M28)</f>
        <v>0</v>
      </c>
      <c r="Y28" s="129">
        <f t="shared" ref="Y28" si="73">SUM(K28:N28)</f>
        <v>0</v>
      </c>
      <c r="Z28" s="129">
        <f t="shared" ref="Z28" si="74">SUM(L28:O28)</f>
        <v>0</v>
      </c>
      <c r="AA28" s="129">
        <f t="shared" ref="AA28" si="75">SUM(M28:P28)</f>
        <v>0</v>
      </c>
      <c r="AB28" s="129">
        <f t="shared" ref="AB28" si="76">SUM(N28:Q28)</f>
        <v>0</v>
      </c>
      <c r="AC28" s="129">
        <f t="shared" ref="AC28" si="77">SUM(O28:R28)</f>
        <v>0</v>
      </c>
      <c r="AD28" s="129">
        <f t="shared" ref="AD28" si="78">SUM(P28:S28)</f>
        <v>0</v>
      </c>
      <c r="AE28" s="129">
        <f>SUM(Q28:T28)</f>
        <v>0</v>
      </c>
      <c r="AG28" s="106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7" t="e">
        <f>SUM(AE29/AA29)-1</f>
        <v>#DIV/0!</v>
      </c>
    </row>
    <row r="30" spans="2:33" ht="12.75" customHeight="1">
      <c r="B30" s="14" t="s">
        <v>33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08" t="e">
        <f>SUM(AE30-AA30)*10000</f>
        <v>#DIV/0!</v>
      </c>
    </row>
    <row r="31" spans="2:33" ht="5.0999999999999996" customHeight="1">
      <c r="AG31" s="105"/>
    </row>
    <row r="32" spans="2:33" ht="12.75" customHeight="1">
      <c r="B32" s="29" t="s">
        <v>99</v>
      </c>
      <c r="C32" s="130"/>
      <c r="D32" s="130"/>
      <c r="E32" s="130"/>
      <c r="F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V32" s="129">
        <f t="shared" ref="V32:V33" si="88">SUM(H32:K32)</f>
        <v>0</v>
      </c>
      <c r="W32" s="129">
        <f t="shared" ref="W32:W33" si="89">SUM(I32:L32)</f>
        <v>0</v>
      </c>
      <c r="X32" s="129">
        <f t="shared" ref="X32:X33" si="90">SUM(J32:M32)</f>
        <v>0</v>
      </c>
      <c r="Y32" s="129">
        <f t="shared" ref="Y32:Y33" si="91">SUM(K32:N32)</f>
        <v>0</v>
      </c>
      <c r="Z32" s="129">
        <f t="shared" ref="Z32:Z33" si="92">SUM(L32:O32)</f>
        <v>0</v>
      </c>
      <c r="AA32" s="129">
        <f t="shared" ref="AA32:AA33" si="93">SUM(M32:P32)</f>
        <v>0</v>
      </c>
      <c r="AB32" s="129">
        <f t="shared" ref="AB32:AB33" si="94">SUM(N32:Q32)</f>
        <v>0</v>
      </c>
      <c r="AC32" s="129">
        <f t="shared" ref="AC32:AC33" si="95">SUM(O32:R32)</f>
        <v>0</v>
      </c>
      <c r="AD32" s="129">
        <f t="shared" ref="AD32:AD33" si="96">SUM(P32:S32)</f>
        <v>0</v>
      </c>
      <c r="AE32" s="129">
        <f t="shared" ref="AE32:AE33" si="97">SUM(Q32:T32)</f>
        <v>0</v>
      </c>
      <c r="AG32" s="106" t="e">
        <f>SUM(AE32/AA32)-1</f>
        <v>#DIV/0!</v>
      </c>
    </row>
    <row r="33" spans="2:33" ht="12.75" customHeight="1">
      <c r="B33" s="29" t="s">
        <v>113</v>
      </c>
      <c r="C33" s="133"/>
      <c r="D33" s="133"/>
      <c r="E33" s="133"/>
      <c r="F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V33" s="129">
        <f t="shared" si="88"/>
        <v>0</v>
      </c>
      <c r="W33" s="129">
        <f t="shared" si="89"/>
        <v>0</v>
      </c>
      <c r="X33" s="129">
        <f t="shared" si="90"/>
        <v>0</v>
      </c>
      <c r="Y33" s="129">
        <f t="shared" si="91"/>
        <v>0</v>
      </c>
      <c r="Z33" s="129">
        <f t="shared" si="92"/>
        <v>0</v>
      </c>
      <c r="AA33" s="129">
        <f t="shared" si="93"/>
        <v>0</v>
      </c>
      <c r="AB33" s="129">
        <f t="shared" si="94"/>
        <v>0</v>
      </c>
      <c r="AC33" s="129">
        <f t="shared" si="95"/>
        <v>0</v>
      </c>
      <c r="AD33" s="129">
        <f t="shared" si="96"/>
        <v>0</v>
      </c>
      <c r="AE33" s="129">
        <f t="shared" si="97"/>
        <v>0</v>
      </c>
      <c r="AG33" s="106" t="e">
        <f>SUM(AE33/AA33)-1</f>
        <v>#DIV/0!</v>
      </c>
    </row>
    <row r="34" spans="2:33" ht="12.75" customHeight="1">
      <c r="B34" s="12" t="s">
        <v>34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7" t="e">
        <f>SUM(AE34/AA34)-1</f>
        <v>#DIV/0!</v>
      </c>
    </row>
    <row r="35" spans="2:33" ht="12.75" customHeight="1">
      <c r="B35" s="14" t="s">
        <v>35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08" t="e">
        <f>SUM(AE35-AA35)*10000</f>
        <v>#DIV/0!</v>
      </c>
    </row>
    <row r="36" spans="2:33" ht="5.0999999999999996" customHeight="1">
      <c r="AG36" s="105"/>
    </row>
    <row r="37" spans="2:33" ht="12.75" customHeight="1">
      <c r="B37" s="21" t="s">
        <v>36</v>
      </c>
      <c r="C37" s="130"/>
      <c r="D37" s="130"/>
      <c r="E37" s="130"/>
      <c r="F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V37" s="129">
        <f t="shared" ref="V37:V41" si="107">SUM(H37:K37)</f>
        <v>0</v>
      </c>
      <c r="W37" s="129">
        <f t="shared" ref="W37:W41" si="108">SUM(I37:L37)</f>
        <v>0</v>
      </c>
      <c r="X37" s="129">
        <f t="shared" ref="X37:X41" si="109">SUM(J37:M37)</f>
        <v>0</v>
      </c>
      <c r="Y37" s="129">
        <f t="shared" ref="Y37:Y41" si="110">SUM(K37:N37)</f>
        <v>0</v>
      </c>
      <c r="Z37" s="129">
        <f t="shared" ref="Z37:Z41" si="111">SUM(L37:O37)</f>
        <v>0</v>
      </c>
      <c r="AA37" s="129">
        <f t="shared" ref="AA37:AA41" si="112">SUM(M37:P37)</f>
        <v>0</v>
      </c>
      <c r="AB37" s="129">
        <f t="shared" ref="AB37:AB41" si="113">SUM(N37:Q37)</f>
        <v>0</v>
      </c>
      <c r="AC37" s="129">
        <f t="shared" ref="AC37:AC41" si="114">SUM(O37:R37)</f>
        <v>0</v>
      </c>
      <c r="AD37" s="129">
        <f t="shared" ref="AD37:AD41" si="115">SUM(P37:S37)</f>
        <v>0</v>
      </c>
      <c r="AE37" s="129">
        <f t="shared" ref="AE37:AE41" si="116">SUM(Q37:T37)</f>
        <v>0</v>
      </c>
      <c r="AG37" s="106" t="e">
        <f t="shared" ref="AG37:AG42" si="117">SUM(AE37/AA37)-1</f>
        <v>#DIV/0!</v>
      </c>
    </row>
    <row r="38" spans="2:33" ht="12.75" customHeight="1">
      <c r="B38" s="21" t="s">
        <v>37</v>
      </c>
      <c r="C38" s="130"/>
      <c r="D38" s="130"/>
      <c r="E38" s="130"/>
      <c r="F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V38" s="129">
        <f t="shared" si="107"/>
        <v>0</v>
      </c>
      <c r="W38" s="129">
        <f t="shared" si="108"/>
        <v>0</v>
      </c>
      <c r="X38" s="129">
        <f t="shared" si="109"/>
        <v>0</v>
      </c>
      <c r="Y38" s="129">
        <f t="shared" si="110"/>
        <v>0</v>
      </c>
      <c r="Z38" s="129">
        <f t="shared" si="111"/>
        <v>0</v>
      </c>
      <c r="AA38" s="129">
        <f t="shared" si="112"/>
        <v>0</v>
      </c>
      <c r="AB38" s="129">
        <f t="shared" si="113"/>
        <v>0</v>
      </c>
      <c r="AC38" s="129">
        <f t="shared" si="114"/>
        <v>0</v>
      </c>
      <c r="AD38" s="129">
        <f t="shared" si="115"/>
        <v>0</v>
      </c>
      <c r="AE38" s="129">
        <f t="shared" si="116"/>
        <v>0</v>
      </c>
      <c r="AG38" s="106" t="e">
        <f t="shared" si="117"/>
        <v>#DIV/0!</v>
      </c>
    </row>
    <row r="39" spans="2:33" ht="12.75" customHeight="1">
      <c r="B39" s="21" t="s">
        <v>74</v>
      </c>
      <c r="C39" s="130"/>
      <c r="D39" s="130"/>
      <c r="E39" s="130"/>
      <c r="F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V39" s="129">
        <f t="shared" si="107"/>
        <v>0</v>
      </c>
      <c r="W39" s="129">
        <f t="shared" si="108"/>
        <v>0</v>
      </c>
      <c r="X39" s="129">
        <f t="shared" si="109"/>
        <v>0</v>
      </c>
      <c r="Y39" s="129">
        <f t="shared" si="110"/>
        <v>0</v>
      </c>
      <c r="Z39" s="129">
        <f t="shared" si="111"/>
        <v>0</v>
      </c>
      <c r="AA39" s="129">
        <f t="shared" si="112"/>
        <v>0</v>
      </c>
      <c r="AB39" s="129">
        <f t="shared" si="113"/>
        <v>0</v>
      </c>
      <c r="AC39" s="129">
        <f t="shared" si="114"/>
        <v>0</v>
      </c>
      <c r="AD39" s="129">
        <f t="shared" si="115"/>
        <v>0</v>
      </c>
      <c r="AE39" s="129">
        <f t="shared" si="116"/>
        <v>0</v>
      </c>
      <c r="AG39" s="106" t="e">
        <f t="shared" si="117"/>
        <v>#DIV/0!</v>
      </c>
    </row>
    <row r="40" spans="2:33" ht="12.75" customHeight="1">
      <c r="B40" s="21" t="s">
        <v>115</v>
      </c>
      <c r="C40" s="130"/>
      <c r="D40" s="130"/>
      <c r="E40" s="130"/>
      <c r="F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V40" s="129">
        <f t="shared" ref="V40" si="118">SUM(H40:K40)</f>
        <v>0</v>
      </c>
      <c r="W40" s="129">
        <f t="shared" ref="W40" si="119">SUM(I40:L40)</f>
        <v>0</v>
      </c>
      <c r="X40" s="129">
        <f t="shared" ref="X40" si="120">SUM(J40:M40)</f>
        <v>0</v>
      </c>
      <c r="Y40" s="129">
        <f t="shared" ref="Y40" si="121">SUM(K40:N40)</f>
        <v>0</v>
      </c>
      <c r="Z40" s="129">
        <f t="shared" ref="Z40" si="122">SUM(L40:O40)</f>
        <v>0</v>
      </c>
      <c r="AA40" s="129">
        <f t="shared" ref="AA40" si="123">SUM(M40:P40)</f>
        <v>0</v>
      </c>
      <c r="AB40" s="129">
        <f t="shared" ref="AB40" si="124">SUM(N40:Q40)</f>
        <v>0</v>
      </c>
      <c r="AC40" s="129">
        <f t="shared" ref="AC40" si="125">SUM(O40:R40)</f>
        <v>0</v>
      </c>
      <c r="AD40" s="129">
        <f t="shared" ref="AD40" si="126">SUM(P40:S40)</f>
        <v>0</v>
      </c>
      <c r="AE40" s="129">
        <f t="shared" ref="AE40" si="127">SUM(Q40:T40)</f>
        <v>0</v>
      </c>
      <c r="AG40" s="106" t="e">
        <f t="shared" si="117"/>
        <v>#DIV/0!</v>
      </c>
    </row>
    <row r="41" spans="2:33" ht="12.75" customHeight="1">
      <c r="B41" s="21" t="s">
        <v>38</v>
      </c>
      <c r="C41" s="130"/>
      <c r="D41" s="130"/>
      <c r="E41" s="130"/>
      <c r="F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V41" s="129">
        <f t="shared" si="107"/>
        <v>0</v>
      </c>
      <c r="W41" s="129">
        <f t="shared" si="108"/>
        <v>0</v>
      </c>
      <c r="X41" s="129">
        <f t="shared" si="109"/>
        <v>0</v>
      </c>
      <c r="Y41" s="129">
        <f t="shared" si="110"/>
        <v>0</v>
      </c>
      <c r="Z41" s="129">
        <f t="shared" si="111"/>
        <v>0</v>
      </c>
      <c r="AA41" s="129">
        <f t="shared" si="112"/>
        <v>0</v>
      </c>
      <c r="AB41" s="129">
        <f t="shared" si="113"/>
        <v>0</v>
      </c>
      <c r="AC41" s="129">
        <f t="shared" si="114"/>
        <v>0</v>
      </c>
      <c r="AD41" s="129">
        <f t="shared" si="115"/>
        <v>0</v>
      </c>
      <c r="AE41" s="129">
        <f t="shared" si="116"/>
        <v>0</v>
      </c>
      <c r="AG41" s="106" t="e">
        <f t="shared" si="117"/>
        <v>#DIV/0!</v>
      </c>
    </row>
    <row r="42" spans="2:33" ht="12.75" customHeight="1">
      <c r="B42" s="12" t="s">
        <v>39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7" t="e">
        <f t="shared" si="117"/>
        <v>#DIV/0!</v>
      </c>
    </row>
    <row r="43" spans="2:33" ht="5.0999999999999996" customHeight="1"/>
    <row r="44" spans="2:33" ht="12.75" customHeight="1">
      <c r="B44" s="29" t="s">
        <v>112</v>
      </c>
      <c r="C44" s="130"/>
      <c r="D44" s="130"/>
      <c r="E44" s="130"/>
      <c r="F44" s="130"/>
      <c r="G44" s="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V44" s="129">
        <f t="shared" ref="V44:V49" si="133">SUM(H44:K44)</f>
        <v>0</v>
      </c>
      <c r="W44" s="129">
        <f t="shared" ref="W44:W49" si="134">SUM(I44:L44)</f>
        <v>0</v>
      </c>
      <c r="X44" s="129">
        <f t="shared" ref="X44:X49" si="135">SUM(J44:M44)</f>
        <v>0</v>
      </c>
      <c r="Y44" s="129">
        <f t="shared" ref="Y44:Y49" si="136">SUM(K44:N44)</f>
        <v>0</v>
      </c>
      <c r="Z44" s="129">
        <f t="shared" ref="Z44:Z49" si="137">SUM(L44:O44)</f>
        <v>0</v>
      </c>
      <c r="AA44" s="129">
        <f t="shared" ref="AA44:AA49" si="138">SUM(M44:P44)</f>
        <v>0</v>
      </c>
      <c r="AB44" s="129">
        <f t="shared" ref="AB44:AB49" si="139">SUM(N44:Q44)</f>
        <v>0</v>
      </c>
      <c r="AC44" s="129">
        <f t="shared" ref="AC44:AC49" si="140">SUM(O44:R44)</f>
        <v>0</v>
      </c>
      <c r="AD44" s="129">
        <f t="shared" ref="AD44:AD49" si="141">SUM(P44:S44)</f>
        <v>0</v>
      </c>
      <c r="AE44" s="129">
        <f t="shared" ref="AE44:AE49" si="142">SUM(Q44:T44)</f>
        <v>0</v>
      </c>
    </row>
    <row r="45" spans="2:33" ht="12.75" customHeight="1">
      <c r="B45" s="29" t="s">
        <v>112</v>
      </c>
      <c r="C45" s="130"/>
      <c r="D45" s="130"/>
      <c r="E45" s="130"/>
      <c r="F45" s="130"/>
      <c r="G45" s="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V45" s="129">
        <f t="shared" si="133"/>
        <v>0</v>
      </c>
      <c r="W45" s="129">
        <f t="shared" si="134"/>
        <v>0</v>
      </c>
      <c r="X45" s="129">
        <f t="shared" si="135"/>
        <v>0</v>
      </c>
      <c r="Y45" s="129">
        <f t="shared" si="136"/>
        <v>0</v>
      </c>
      <c r="Z45" s="129">
        <f t="shared" si="137"/>
        <v>0</v>
      </c>
      <c r="AA45" s="129">
        <f t="shared" si="138"/>
        <v>0</v>
      </c>
      <c r="AB45" s="129">
        <f t="shared" si="139"/>
        <v>0</v>
      </c>
      <c r="AC45" s="129">
        <f t="shared" si="140"/>
        <v>0</v>
      </c>
      <c r="AD45" s="129">
        <f t="shared" si="141"/>
        <v>0</v>
      </c>
      <c r="AE45" s="129">
        <f t="shared" si="142"/>
        <v>0</v>
      </c>
    </row>
    <row r="46" spans="2:33" ht="12.75" customHeight="1">
      <c r="B46" s="29" t="s">
        <v>112</v>
      </c>
      <c r="C46" s="130"/>
      <c r="D46" s="130"/>
      <c r="E46" s="130"/>
      <c r="F46" s="130"/>
      <c r="G46" s="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V46" s="129">
        <f t="shared" si="133"/>
        <v>0</v>
      </c>
      <c r="W46" s="129">
        <f t="shared" si="134"/>
        <v>0</v>
      </c>
      <c r="X46" s="129">
        <f t="shared" si="135"/>
        <v>0</v>
      </c>
      <c r="Y46" s="129">
        <f t="shared" si="136"/>
        <v>0</v>
      </c>
      <c r="Z46" s="129">
        <f t="shared" si="137"/>
        <v>0</v>
      </c>
      <c r="AA46" s="129">
        <f t="shared" si="138"/>
        <v>0</v>
      </c>
      <c r="AB46" s="129">
        <f t="shared" si="139"/>
        <v>0</v>
      </c>
      <c r="AC46" s="129">
        <f t="shared" si="140"/>
        <v>0</v>
      </c>
      <c r="AD46" s="129">
        <f t="shared" si="141"/>
        <v>0</v>
      </c>
      <c r="AE46" s="129">
        <f t="shared" si="142"/>
        <v>0</v>
      </c>
    </row>
    <row r="47" spans="2:33" ht="12.75" customHeight="1">
      <c r="B47" s="29" t="s">
        <v>112</v>
      </c>
      <c r="C47" s="130"/>
      <c r="D47" s="130"/>
      <c r="E47" s="130"/>
      <c r="F47" s="130"/>
      <c r="G47" s="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V47" s="129">
        <f t="shared" si="133"/>
        <v>0</v>
      </c>
      <c r="W47" s="129">
        <f t="shared" si="134"/>
        <v>0</v>
      </c>
      <c r="X47" s="129">
        <f t="shared" si="135"/>
        <v>0</v>
      </c>
      <c r="Y47" s="129">
        <f t="shared" si="136"/>
        <v>0</v>
      </c>
      <c r="Z47" s="129">
        <f t="shared" si="137"/>
        <v>0</v>
      </c>
      <c r="AA47" s="129">
        <f t="shared" si="138"/>
        <v>0</v>
      </c>
      <c r="AB47" s="129">
        <f t="shared" si="139"/>
        <v>0</v>
      </c>
      <c r="AC47" s="129">
        <f t="shared" si="140"/>
        <v>0</v>
      </c>
      <c r="AD47" s="129">
        <f t="shared" si="141"/>
        <v>0</v>
      </c>
      <c r="AE47" s="129">
        <f t="shared" si="142"/>
        <v>0</v>
      </c>
    </row>
    <row r="48" spans="2:33" ht="12.75" customHeight="1">
      <c r="B48" s="29" t="s">
        <v>112</v>
      </c>
      <c r="C48" s="130"/>
      <c r="D48" s="130"/>
      <c r="E48" s="130"/>
      <c r="F48" s="130"/>
      <c r="G48" s="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V48" s="129">
        <f t="shared" si="133"/>
        <v>0</v>
      </c>
      <c r="W48" s="129">
        <f t="shared" si="134"/>
        <v>0</v>
      </c>
      <c r="X48" s="129">
        <f t="shared" si="135"/>
        <v>0</v>
      </c>
      <c r="Y48" s="129">
        <f t="shared" si="136"/>
        <v>0</v>
      </c>
      <c r="Z48" s="129">
        <f t="shared" si="137"/>
        <v>0</v>
      </c>
      <c r="AA48" s="129">
        <f t="shared" si="138"/>
        <v>0</v>
      </c>
      <c r="AB48" s="129">
        <f t="shared" si="139"/>
        <v>0</v>
      </c>
      <c r="AC48" s="129">
        <f t="shared" si="140"/>
        <v>0</v>
      </c>
      <c r="AD48" s="129">
        <f t="shared" si="141"/>
        <v>0</v>
      </c>
      <c r="AE48" s="129">
        <f t="shared" si="142"/>
        <v>0</v>
      </c>
    </row>
    <row r="49" spans="1:31" ht="12.75" customHeight="1">
      <c r="B49" s="29" t="s">
        <v>70</v>
      </c>
      <c r="C49" s="131"/>
      <c r="D49" s="131">
        <f t="shared" ref="D49:F49" si="143">SUM(D54)-SUM(C54)-SUM(D42:D48)</f>
        <v>0</v>
      </c>
      <c r="E49" s="131">
        <f t="shared" si="143"/>
        <v>0</v>
      </c>
      <c r="F49" s="131">
        <f t="shared" si="143"/>
        <v>0</v>
      </c>
      <c r="G49" s="30"/>
      <c r="H49" s="131">
        <f>SUM(H54)-SUM(C54)-SUM(H42:H48)</f>
        <v>0</v>
      </c>
      <c r="I49" s="131">
        <f t="shared" ref="I49" si="144">SUM(I54)-SUM(H54)-SUM(I42:I48)</f>
        <v>0</v>
      </c>
      <c r="J49" s="131">
        <f t="shared" ref="J49" si="145">SUM(J54)-SUM(I54)-SUM(J42:J48)</f>
        <v>0</v>
      </c>
      <c r="K49" s="131">
        <f t="shared" ref="K49" si="146">SUM(K54)-SUM(J54)-SUM(K42:K48)</f>
        <v>44327</v>
      </c>
      <c r="L49" s="131">
        <f t="shared" ref="L49" si="147">SUM(L54)-SUM(K54)-SUM(L42:L48)</f>
        <v>-44327</v>
      </c>
      <c r="M49" s="131">
        <f t="shared" ref="M49" si="148">SUM(M54)-SUM(L54)-SUM(M42:M48)</f>
        <v>0</v>
      </c>
      <c r="N49" s="131">
        <f t="shared" ref="N49" si="149">SUM(N54)-SUM(M54)-SUM(N42:N48)</f>
        <v>0</v>
      </c>
      <c r="O49" s="131">
        <f t="shared" ref="O49" si="150">SUM(O54)-SUM(N54)-SUM(O42:O48)</f>
        <v>27758</v>
      </c>
      <c r="P49" s="131">
        <f t="shared" ref="P49" si="151">SUM(P54)-SUM(O54)-SUM(P42:P48)</f>
        <v>-27758</v>
      </c>
      <c r="Q49" s="131">
        <f t="shared" ref="Q49" si="152">SUM(Q54)-SUM(P54)-SUM(Q42:Q48)</f>
        <v>0</v>
      </c>
      <c r="R49" s="131">
        <f t="shared" ref="R49" si="153">SUM(R54)-SUM(Q54)-SUM(R42:R48)</f>
        <v>0</v>
      </c>
      <c r="S49" s="131" t="e">
        <f t="shared" ref="S49" si="154">SUM(S54)-SUM(R54)-SUM(S42:S48)</f>
        <v>#REF!</v>
      </c>
      <c r="T49" s="131" t="e">
        <f t="shared" ref="T49" si="155">SUM(T54)-SUM(S54)-SUM(T42:T48)</f>
        <v>#REF!</v>
      </c>
      <c r="V49" s="129">
        <f t="shared" si="133"/>
        <v>44327</v>
      </c>
      <c r="W49" s="129">
        <f t="shared" si="134"/>
        <v>0</v>
      </c>
      <c r="X49" s="129">
        <f t="shared" si="135"/>
        <v>0</v>
      </c>
      <c r="Y49" s="129">
        <f t="shared" si="136"/>
        <v>0</v>
      </c>
      <c r="Z49" s="129">
        <f t="shared" si="137"/>
        <v>-16569</v>
      </c>
      <c r="AA49" s="129">
        <f t="shared" si="138"/>
        <v>0</v>
      </c>
      <c r="AB49" s="129">
        <f t="shared" si="139"/>
        <v>0</v>
      </c>
      <c r="AC49" s="129">
        <f t="shared" si="140"/>
        <v>0</v>
      </c>
      <c r="AD49" s="129" t="e">
        <f t="shared" si="141"/>
        <v>#REF!</v>
      </c>
      <c r="AE49" s="129" t="e">
        <f t="shared" si="142"/>
        <v>#REF!</v>
      </c>
    </row>
    <row r="50" spans="1:31" ht="12.75" customHeight="1">
      <c r="B50" s="12" t="s">
        <v>40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44327</v>
      </c>
      <c r="L50" s="13">
        <f t="shared" si="157"/>
        <v>-44327</v>
      </c>
      <c r="M50" s="13">
        <f t="shared" si="157"/>
        <v>0</v>
      </c>
      <c r="N50" s="13">
        <f t="shared" si="157"/>
        <v>0</v>
      </c>
      <c r="O50" s="13">
        <f t="shared" si="157"/>
        <v>27758</v>
      </c>
      <c r="P50" s="13">
        <f t="shared" si="157"/>
        <v>-27758</v>
      </c>
      <c r="Q50" s="13">
        <f t="shared" si="157"/>
        <v>0</v>
      </c>
      <c r="R50" s="13">
        <f t="shared" si="157"/>
        <v>0</v>
      </c>
      <c r="S50" s="13" t="e">
        <f t="shared" si="157"/>
        <v>#REF!</v>
      </c>
      <c r="T50" s="13" t="e">
        <f t="shared" ref="T50" si="158">SUM(T42+SUM(T44:T49))</f>
        <v>#REF!</v>
      </c>
      <c r="V50" s="13">
        <f t="shared" ref="V50:AE50" si="159">SUM(V42+SUM(V44:V49))</f>
        <v>44327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-16569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 t="e">
        <f t="shared" si="159"/>
        <v>#REF!</v>
      </c>
      <c r="AE50" s="13" t="e">
        <f t="shared" si="159"/>
        <v>#REF!</v>
      </c>
    </row>
    <row r="51" spans="1:31" ht="5.0999999999999996" customHeight="1"/>
    <row r="52" spans="1:31" ht="12.75" customHeight="1">
      <c r="A52" s="5"/>
      <c r="B52" s="31" t="s">
        <v>41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42</v>
      </c>
      <c r="C54" s="78"/>
      <c r="D54" s="78"/>
      <c r="E54" s="78"/>
      <c r="F54" s="78"/>
      <c r="G54" s="30"/>
      <c r="H54" s="78"/>
      <c r="I54" s="78"/>
      <c r="J54" s="78"/>
      <c r="K54" s="78">
        <f>'Historical Financials'!J42</f>
        <v>44327</v>
      </c>
      <c r="L54" s="78"/>
      <c r="M54" s="78"/>
      <c r="N54" s="78"/>
      <c r="O54" s="78">
        <f>'Historical Financials'!N42</f>
        <v>27758</v>
      </c>
      <c r="P54" s="78"/>
      <c r="Q54" s="78"/>
      <c r="R54" s="78"/>
      <c r="S54" s="78" t="e">
        <f>'Historical Financials'!#REF!</f>
        <v>#REF!</v>
      </c>
      <c r="T54" s="78"/>
      <c r="V54" s="10">
        <f t="shared" ref="V54:AD56" si="160">K54</f>
        <v>44327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27758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 t="e">
        <f t="shared" si="160"/>
        <v>#REF!</v>
      </c>
      <c r="AE54" s="10">
        <f>T54</f>
        <v>0</v>
      </c>
    </row>
    <row r="55" spans="1:31" ht="12.75" customHeight="1">
      <c r="B55" s="8" t="s">
        <v>109</v>
      </c>
      <c r="C55" s="78"/>
      <c r="D55" s="78"/>
      <c r="E55" s="78"/>
      <c r="F55" s="78"/>
      <c r="G55" s="30"/>
      <c r="H55" s="78"/>
      <c r="I55" s="78"/>
      <c r="J55" s="78"/>
      <c r="K55" s="78">
        <f>'Historical Financials'!J43</f>
        <v>63499</v>
      </c>
      <c r="L55" s="78"/>
      <c r="M55" s="78"/>
      <c r="N55" s="78"/>
      <c r="O55" s="78">
        <f>'Historical Financials'!N43</f>
        <v>69775</v>
      </c>
      <c r="P55" s="78"/>
      <c r="Q55" s="78"/>
      <c r="R55" s="78"/>
      <c r="S55" s="78" t="e">
        <f>'Historical Financials'!#REF!</f>
        <v>#REF!</v>
      </c>
      <c r="T55" s="78"/>
      <c r="V55" s="10">
        <f t="shared" si="160"/>
        <v>63499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>
        <f t="shared" si="160"/>
        <v>69775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 t="e">
        <f t="shared" si="160"/>
        <v>#REF!</v>
      </c>
      <c r="AE55" s="10">
        <f t="shared" ref="AE55:AE56" si="161">T55</f>
        <v>0</v>
      </c>
    </row>
    <row r="56" spans="1:31" ht="12.75" customHeight="1">
      <c r="B56" s="8" t="s">
        <v>109</v>
      </c>
      <c r="C56" s="73"/>
      <c r="D56" s="73"/>
      <c r="E56" s="73"/>
      <c r="F56" s="73"/>
      <c r="G56" s="30"/>
      <c r="H56" s="73"/>
      <c r="I56" s="73"/>
      <c r="J56" s="73"/>
      <c r="K56" s="104">
        <f>D56</f>
        <v>0</v>
      </c>
      <c r="L56" s="73"/>
      <c r="M56" s="73"/>
      <c r="N56" s="73"/>
      <c r="O56" s="104">
        <f>E56</f>
        <v>0</v>
      </c>
      <c r="P56" s="73"/>
      <c r="Q56" s="73"/>
      <c r="R56" s="73"/>
      <c r="S56" s="104">
        <f>F56</f>
        <v>0</v>
      </c>
      <c r="T56" s="73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43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>
        <f t="shared" si="163"/>
        <v>107826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>
        <f t="shared" si="163"/>
        <v>97533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 t="e">
        <f t="shared" si="163"/>
        <v>#REF!</v>
      </c>
      <c r="T57" s="13">
        <f t="shared" ref="T57" si="164">SUM(T54:T56)</f>
        <v>0</v>
      </c>
      <c r="V57" s="13">
        <f t="shared" ref="V57" si="165">SUM(V54:V56)</f>
        <v>107826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>
        <f t="shared" si="166"/>
        <v>97533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 t="e">
        <f t="shared" si="166"/>
        <v>#REF!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44</v>
      </c>
    </row>
    <row r="60" spans="1:31" ht="12.75" customHeight="1">
      <c r="B60" s="8" t="s">
        <v>109</v>
      </c>
      <c r="C60" s="78"/>
      <c r="D60" s="78"/>
      <c r="E60" s="78"/>
      <c r="F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109</v>
      </c>
      <c r="C61" s="78"/>
      <c r="D61" s="78"/>
      <c r="E61" s="78"/>
      <c r="F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109</v>
      </c>
      <c r="C62" s="78"/>
      <c r="D62" s="78"/>
      <c r="E62" s="78"/>
      <c r="F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109</v>
      </c>
      <c r="C63" s="78"/>
      <c r="D63" s="78"/>
      <c r="E63" s="78"/>
      <c r="F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109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109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109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100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101</v>
      </c>
      <c r="C69" s="78"/>
      <c r="D69" s="78"/>
      <c r="E69" s="78"/>
      <c r="F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102</v>
      </c>
      <c r="C70" s="78"/>
      <c r="D70" s="78"/>
      <c r="E70" s="78"/>
      <c r="F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28" t="s">
        <v>109</v>
      </c>
      <c r="C72" s="73"/>
      <c r="D72" s="73"/>
      <c r="E72" s="73"/>
      <c r="F72" s="73"/>
      <c r="H72" s="73"/>
      <c r="I72" s="73"/>
      <c r="J72" s="73"/>
      <c r="K72" s="104">
        <f t="shared" ref="K72:K74" si="187">D72</f>
        <v>0</v>
      </c>
      <c r="L72" s="73"/>
      <c r="M72" s="73"/>
      <c r="N72" s="73"/>
      <c r="O72" s="104">
        <f t="shared" ref="O72:O74" si="188">E72</f>
        <v>0</v>
      </c>
      <c r="P72" s="73"/>
      <c r="Q72" s="73"/>
      <c r="R72" s="73"/>
      <c r="S72" s="104">
        <f>F72</f>
        <v>0</v>
      </c>
      <c r="T72" s="73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28" t="s">
        <v>109</v>
      </c>
      <c r="C73" s="73"/>
      <c r="D73" s="73"/>
      <c r="E73" s="73"/>
      <c r="F73" s="73"/>
      <c r="H73" s="73"/>
      <c r="I73" s="73"/>
      <c r="J73" s="73"/>
      <c r="K73" s="104">
        <f t="shared" si="187"/>
        <v>0</v>
      </c>
      <c r="L73" s="73"/>
      <c r="M73" s="73"/>
      <c r="N73" s="73"/>
      <c r="O73" s="104">
        <f t="shared" si="188"/>
        <v>0</v>
      </c>
      <c r="P73" s="73"/>
      <c r="Q73" s="73"/>
      <c r="R73" s="73"/>
      <c r="S73" s="104">
        <f t="shared" ref="S73:S74" si="199">F73</f>
        <v>0</v>
      </c>
      <c r="T73" s="73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28" t="s">
        <v>109</v>
      </c>
      <c r="C74" s="73"/>
      <c r="D74" s="73"/>
      <c r="E74" s="73"/>
      <c r="F74" s="73"/>
      <c r="H74" s="73"/>
      <c r="I74" s="73"/>
      <c r="J74" s="73"/>
      <c r="K74" s="104">
        <f t="shared" si="187"/>
        <v>0</v>
      </c>
      <c r="L74" s="73"/>
      <c r="M74" s="73"/>
      <c r="N74" s="73"/>
      <c r="O74" s="104">
        <f t="shared" si="188"/>
        <v>0</v>
      </c>
      <c r="P74" s="73"/>
      <c r="Q74" s="73"/>
      <c r="R74" s="73"/>
      <c r="S74" s="104">
        <f t="shared" si="199"/>
        <v>0</v>
      </c>
      <c r="T74" s="73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28" t="s">
        <v>109</v>
      </c>
      <c r="C75" s="73"/>
      <c r="D75" s="73"/>
      <c r="E75" s="73"/>
      <c r="F75" s="73"/>
      <c r="H75" s="73"/>
      <c r="I75" s="73"/>
      <c r="J75" s="73"/>
      <c r="K75" s="78" t="e">
        <f>'Historical Financials'!J60+'Historical Financials'!#REF!</f>
        <v>#REF!</v>
      </c>
      <c r="L75" s="73"/>
      <c r="M75" s="73"/>
      <c r="N75" s="73"/>
      <c r="O75" s="78" t="e">
        <f>'Historical Financials'!N60+'Historical Financials'!#REF!</f>
        <v>#REF!</v>
      </c>
      <c r="P75" s="73"/>
      <c r="Q75" s="73"/>
      <c r="R75" s="73"/>
      <c r="S75" s="78" t="e">
        <f>'Historical Financials'!#REF!+'Historical Financials'!#REF!</f>
        <v>#REF!</v>
      </c>
      <c r="T75" s="73"/>
      <c r="V75" s="10" t="e">
        <f t="shared" si="189"/>
        <v>#REF!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 t="e">
        <f t="shared" si="193"/>
        <v>#REF!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 t="e">
        <f t="shared" si="197"/>
        <v>#REF!</v>
      </c>
      <c r="AE75" s="10">
        <f t="shared" si="198"/>
        <v>0</v>
      </c>
    </row>
    <row r="76" spans="2:31" ht="12.75" customHeight="1">
      <c r="B76" s="12" t="s">
        <v>21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 t="e">
        <f t="shared" si="201"/>
        <v>#REF!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 t="e">
        <f t="shared" si="201"/>
        <v>#REF!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 t="e">
        <f t="shared" si="201"/>
        <v>#REF!</v>
      </c>
      <c r="T76" s="13">
        <f t="shared" ref="T76" si="202">SUM(T72:T75)</f>
        <v>0</v>
      </c>
      <c r="V76" s="13" t="e">
        <f t="shared" ref="V76:AE76" si="203">SUM(V72:V75)</f>
        <v>#REF!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 t="e">
        <f t="shared" si="203"/>
        <v>#REF!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 t="e">
        <f t="shared" si="203"/>
        <v>#REF!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46</v>
      </c>
      <c r="C78" s="78"/>
      <c r="D78" s="78"/>
      <c r="E78" s="78"/>
      <c r="F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47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 t="e">
        <f>SUM(K76:K78)</f>
        <v>#REF!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 t="e">
        <f t="shared" si="215"/>
        <v>#REF!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 t="e">
        <f t="shared" si="216"/>
        <v>#REF!</v>
      </c>
      <c r="T79" s="13">
        <f t="shared" ref="T79" si="217">SUM(T76:T78)</f>
        <v>0</v>
      </c>
      <c r="V79" s="13" t="e">
        <f t="shared" ref="V79" si="218">SUM(V76:V78)</f>
        <v>#REF!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 t="e">
        <f t="shared" si="219"/>
        <v>#REF!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 t="e">
        <f>SUM(AD76:AD78)</f>
        <v>#REF!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71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103</v>
      </c>
      <c r="C83" s="132" t="e">
        <f>C76/C34</f>
        <v>#DIV/0!</v>
      </c>
      <c r="D83" s="132" t="e">
        <f>D76/D34</f>
        <v>#DIV/0!</v>
      </c>
      <c r="E83" s="132" t="e">
        <f>E76/E34</f>
        <v>#DIV/0!</v>
      </c>
      <c r="F83" s="132" t="e">
        <f>F76/F34</f>
        <v>#DIV/0!</v>
      </c>
      <c r="H83" s="134"/>
      <c r="I83" s="134"/>
      <c r="J83" s="134"/>
      <c r="K83" s="132" t="e">
        <f t="shared" ref="K83" si="220">SUM(K76/SUM(H34:K34))</f>
        <v>#REF!</v>
      </c>
      <c r="L83" s="132" t="e">
        <f t="shared" ref="L83" si="221">SUM(L76/SUM(I34:L34))</f>
        <v>#DIV/0!</v>
      </c>
      <c r="M83" s="132" t="e">
        <f t="shared" ref="M83" si="222">SUM(M76/SUM(J34:M34))</f>
        <v>#DIV/0!</v>
      </c>
      <c r="N83" s="132" t="e">
        <f t="shared" ref="N83" si="223">SUM(N76/SUM(K34:N34))</f>
        <v>#DIV/0!</v>
      </c>
      <c r="O83" s="132" t="e">
        <f t="shared" ref="O83" si="224">SUM(O76/SUM(L34:O34))</f>
        <v>#REF!</v>
      </c>
      <c r="P83" s="132" t="e">
        <f t="shared" ref="P83" si="225">SUM(P76/SUM(M34:P34))</f>
        <v>#DIV/0!</v>
      </c>
      <c r="Q83" s="132" t="e">
        <f t="shared" ref="Q83" si="226">SUM(Q76/SUM(N34:Q34))</f>
        <v>#DIV/0!</v>
      </c>
      <c r="R83" s="132" t="e">
        <f t="shared" ref="R83" si="227">SUM(R76/SUM(O34:R34))</f>
        <v>#DIV/0!</v>
      </c>
      <c r="S83" s="132" t="e">
        <f t="shared" ref="S83" si="228">SUM(S76/SUM(P34:S34))</f>
        <v>#REF!</v>
      </c>
      <c r="T83" s="132" t="e">
        <f t="shared" ref="T83" si="229">SUM(T76/SUM(Q34:T34))</f>
        <v>#DIV/0!</v>
      </c>
      <c r="U83" s="132"/>
      <c r="V83" s="132" t="e">
        <f t="shared" ref="V83:AE83" si="230">V76/V34</f>
        <v>#REF!</v>
      </c>
      <c r="W83" s="132" t="e">
        <f t="shared" si="230"/>
        <v>#DIV/0!</v>
      </c>
      <c r="X83" s="132" t="e">
        <f t="shared" si="230"/>
        <v>#DIV/0!</v>
      </c>
      <c r="Y83" s="132" t="e">
        <f t="shared" si="230"/>
        <v>#DIV/0!</v>
      </c>
      <c r="Z83" s="132" t="e">
        <f t="shared" si="230"/>
        <v>#REF!</v>
      </c>
      <c r="AA83" s="132" t="e">
        <f t="shared" si="230"/>
        <v>#DIV/0!</v>
      </c>
      <c r="AB83" s="132" t="e">
        <f t="shared" si="230"/>
        <v>#DIV/0!</v>
      </c>
      <c r="AC83" s="132" t="e">
        <f t="shared" si="230"/>
        <v>#DIV/0!</v>
      </c>
      <c r="AD83" s="132" t="e">
        <f t="shared" si="230"/>
        <v>#REF!</v>
      </c>
      <c r="AE83" s="132" t="e">
        <f t="shared" si="230"/>
        <v>#DIV/0!</v>
      </c>
    </row>
    <row r="84" spans="1:31" ht="12.75" customHeight="1">
      <c r="B84" s="29" t="s">
        <v>104</v>
      </c>
      <c r="C84" s="132" t="e">
        <f>SUM(C76-C54)/C34</f>
        <v>#DIV/0!</v>
      </c>
      <c r="D84" s="132" t="e">
        <f>SUM(D76-D54)/D34</f>
        <v>#DIV/0!</v>
      </c>
      <c r="E84" s="132" t="e">
        <f>SUM(E76-E54)/E34</f>
        <v>#DIV/0!</v>
      </c>
      <c r="F84" s="132" t="e">
        <f>SUM(F76-F54)/F34</f>
        <v>#DIV/0!</v>
      </c>
      <c r="H84" s="134"/>
      <c r="I84" s="134"/>
      <c r="J84" s="134"/>
      <c r="K84" s="132" t="e">
        <f t="shared" ref="K84" si="231">SUM(K76-K54)/SUM(H34:K34)</f>
        <v>#REF!</v>
      </c>
      <c r="L84" s="132" t="e">
        <f t="shared" ref="L84" si="232">SUM(L76-L54)/SUM(I34:L34)</f>
        <v>#DIV/0!</v>
      </c>
      <c r="M84" s="132" t="e">
        <f t="shared" ref="M84" si="233">SUM(M76-M54)/SUM(J34:M34)</f>
        <v>#DIV/0!</v>
      </c>
      <c r="N84" s="132" t="e">
        <f t="shared" ref="N84" si="234">SUM(N76-N54)/SUM(K34:N34)</f>
        <v>#DIV/0!</v>
      </c>
      <c r="O84" s="132" t="e">
        <f t="shared" ref="O84" si="235">SUM(O76-O54)/SUM(L34:O34)</f>
        <v>#REF!</v>
      </c>
      <c r="P84" s="132" t="e">
        <f t="shared" ref="P84" si="236">SUM(P76-P54)/SUM(M34:P34)</f>
        <v>#DIV/0!</v>
      </c>
      <c r="Q84" s="132" t="e">
        <f t="shared" ref="Q84" si="237">SUM(Q76-Q54)/SUM(N34:Q34)</f>
        <v>#DIV/0!</v>
      </c>
      <c r="R84" s="132" t="e">
        <f t="shared" ref="R84" si="238">SUM(R76-R54)/SUM(O34:R34)</f>
        <v>#DIV/0!</v>
      </c>
      <c r="S84" s="132" t="e">
        <f t="shared" ref="S84" si="239">SUM(S76-S54)/SUM(P34:S34)</f>
        <v>#REF!</v>
      </c>
      <c r="T84" s="132" t="e">
        <f t="shared" ref="T84" si="240">SUM(T76-T54)/SUM(Q34:T34)</f>
        <v>#DIV/0!</v>
      </c>
      <c r="U84" s="132"/>
      <c r="V84" s="132" t="e">
        <f t="shared" ref="V84:AE84" si="241">SUM(V76-V54)/V34</f>
        <v>#REF!</v>
      </c>
      <c r="W84" s="132" t="e">
        <f t="shared" si="241"/>
        <v>#DIV/0!</v>
      </c>
      <c r="X84" s="132" t="e">
        <f t="shared" si="241"/>
        <v>#DIV/0!</v>
      </c>
      <c r="Y84" s="132" t="e">
        <f t="shared" si="241"/>
        <v>#DIV/0!</v>
      </c>
      <c r="Z84" s="132" t="e">
        <f t="shared" si="241"/>
        <v>#REF!</v>
      </c>
      <c r="AA84" s="132" t="e">
        <f t="shared" si="241"/>
        <v>#DIV/0!</v>
      </c>
      <c r="AB84" s="132" t="e">
        <f t="shared" si="241"/>
        <v>#DIV/0!</v>
      </c>
      <c r="AC84" s="132" t="e">
        <f t="shared" si="241"/>
        <v>#DIV/0!</v>
      </c>
      <c r="AD84" s="132" t="e">
        <f t="shared" si="241"/>
        <v>#REF!</v>
      </c>
      <c r="AE84" s="132" t="e">
        <f t="shared" si="241"/>
        <v>#DIV/0!</v>
      </c>
    </row>
    <row r="85" spans="1:31" ht="12.75" customHeight="1">
      <c r="B85" s="29" t="s">
        <v>105</v>
      </c>
      <c r="C85" s="132" t="e">
        <f>C34/-C39</f>
        <v>#DIV/0!</v>
      </c>
      <c r="D85" s="132" t="e">
        <f>D34/-D39</f>
        <v>#DIV/0!</v>
      </c>
      <c r="E85" s="132" t="e">
        <f>E34/-E39</f>
        <v>#DIV/0!</v>
      </c>
      <c r="F85" s="132" t="e">
        <f>F34/-F39</f>
        <v>#DIV/0!</v>
      </c>
      <c r="H85" s="134"/>
      <c r="I85" s="134"/>
      <c r="J85" s="134"/>
      <c r="K85" s="132" t="e" cm="1">
        <f t="array" ref="K85">SUM(H34:K34)/SUM(-H39:K39)</f>
        <v>#DIV/0!</v>
      </c>
      <c r="L85" s="132" t="e" cm="1">
        <f t="array" ref="L85">SUM(I34:L34)/SUM(-I39:L39)</f>
        <v>#DIV/0!</v>
      </c>
      <c r="M85" s="132" t="e" cm="1">
        <f t="array" ref="M85">SUM(J34:M34)/SUM(-J39:M39)</f>
        <v>#DIV/0!</v>
      </c>
      <c r="N85" s="132" t="e" cm="1">
        <f t="array" ref="N85">SUM(K34:N34)/SUM(-K39:N39)</f>
        <v>#DIV/0!</v>
      </c>
      <c r="O85" s="132" t="e" cm="1">
        <f t="array" ref="O85">SUM(L34:O34)/SUM(-L39:O39)</f>
        <v>#DIV/0!</v>
      </c>
      <c r="P85" s="132" t="e" cm="1">
        <f t="array" ref="P85">SUM(M34:P34)/SUM(-M39:P39)</f>
        <v>#DIV/0!</v>
      </c>
      <c r="Q85" s="132" t="e" cm="1">
        <f t="array" ref="Q85">SUM(N34:Q34)/SUM(-N39:Q39)</f>
        <v>#DIV/0!</v>
      </c>
      <c r="R85" s="132" t="e" cm="1">
        <f t="array" ref="R85">SUM(O34:R34)/SUM(-O39:R39)</f>
        <v>#DIV/0!</v>
      </c>
      <c r="S85" s="132" t="e" cm="1">
        <f t="array" ref="S85">SUM(P34:S34)/SUM(-P39:S39)</f>
        <v>#DIV/0!</v>
      </c>
      <c r="T85" s="132" t="e" cm="1">
        <f t="array" ref="T85">SUM(Q34:T34)/SUM(-Q39:T39)</f>
        <v>#DIV/0!</v>
      </c>
      <c r="U85" s="132"/>
      <c r="V85" s="132" t="e">
        <f t="shared" ref="V85:AE85" si="242">V34/-V39</f>
        <v>#DIV/0!</v>
      </c>
      <c r="W85" s="132" t="e">
        <f t="shared" si="242"/>
        <v>#DIV/0!</v>
      </c>
      <c r="X85" s="132" t="e">
        <f t="shared" si="242"/>
        <v>#DIV/0!</v>
      </c>
      <c r="Y85" s="132" t="e">
        <f t="shared" si="242"/>
        <v>#DIV/0!</v>
      </c>
      <c r="Z85" s="132" t="e">
        <f t="shared" si="242"/>
        <v>#DIV/0!</v>
      </c>
      <c r="AA85" s="132" t="e">
        <f t="shared" si="242"/>
        <v>#DIV/0!</v>
      </c>
      <c r="AB85" s="132" t="e">
        <f t="shared" si="242"/>
        <v>#DIV/0!</v>
      </c>
      <c r="AC85" s="132" t="e">
        <f t="shared" si="242"/>
        <v>#DIV/0!</v>
      </c>
      <c r="AD85" s="132" t="e">
        <f t="shared" si="242"/>
        <v>#DIV/0!</v>
      </c>
      <c r="AE85" s="132" t="e">
        <f t="shared" si="242"/>
        <v>#DIV/0!</v>
      </c>
    </row>
    <row r="86" spans="1:31" ht="12.75" customHeight="1">
      <c r="B86" s="29" t="s">
        <v>106</v>
      </c>
      <c r="C86" s="132" t="e" cm="1">
        <f t="array" ref="C86">SUM(C34+C37)/SUM(-C38:C39)</f>
        <v>#DIV/0!</v>
      </c>
      <c r="D86" s="132" t="e" cm="1">
        <f t="array" ref="D86">SUM(D34+D37)/SUM(-D38:D39)</f>
        <v>#DIV/0!</v>
      </c>
      <c r="E86" s="132" t="e" cm="1">
        <f t="array" ref="E86">SUM(E34+E37)/SUM(-E38:E39)</f>
        <v>#DIV/0!</v>
      </c>
      <c r="F86" s="132" t="e" cm="1">
        <f t="array" ref="F86">SUM(F34+F37)/SUM(-F38:F39)</f>
        <v>#DIV/0!</v>
      </c>
      <c r="H86" s="134"/>
      <c r="I86" s="134"/>
      <c r="J86" s="134"/>
      <c r="K86" s="132" t="e" cm="1">
        <f t="array" ref="K86">SUM(H34:K34+H37:K37)/SUM(-H38:K39)</f>
        <v>#DIV/0!</v>
      </c>
      <c r="L86" s="132" t="e" cm="1">
        <f t="array" ref="L86">SUM(I34:L34+I37:L37)/SUM(-I38:L39)</f>
        <v>#DIV/0!</v>
      </c>
      <c r="M86" s="132" t="e" cm="1">
        <f t="array" ref="M86">SUM(J34:M34+J37:M37)/SUM(-J38:M39)</f>
        <v>#DIV/0!</v>
      </c>
      <c r="N86" s="132" t="e" cm="1">
        <f t="array" ref="N86">SUM(K34:N34+K37:N37)/SUM(-K38:N39)</f>
        <v>#DIV/0!</v>
      </c>
      <c r="O86" s="132" t="e" cm="1">
        <f t="array" ref="O86">SUM(L34:O34+L37:O37)/SUM(-L38:O39)</f>
        <v>#DIV/0!</v>
      </c>
      <c r="P86" s="132" t="e" cm="1">
        <f t="array" ref="P86">SUM(M34:P34+M37:P37)/SUM(-M38:P39)</f>
        <v>#DIV/0!</v>
      </c>
      <c r="Q86" s="132" t="e" cm="1">
        <f t="array" ref="Q86">SUM(N34:Q34+N37:Q37)/SUM(-N38:Q39)</f>
        <v>#DIV/0!</v>
      </c>
      <c r="R86" s="132" t="e" cm="1">
        <f t="array" ref="R86">SUM(O34:R34+O37:R37)/SUM(-O38:R39)</f>
        <v>#DIV/0!</v>
      </c>
      <c r="S86" s="132" t="e" cm="1">
        <f t="array" ref="S86">SUM(P34:S34+P37:S37)/SUM(-P38:S39)</f>
        <v>#DIV/0!</v>
      </c>
      <c r="T86" s="132" t="e" cm="1">
        <f t="array" ref="T86">SUM(Q34:T34+Q37:T37)/SUM(-Q38:T39)</f>
        <v>#DIV/0!</v>
      </c>
      <c r="U86" s="132"/>
      <c r="V86" s="132" t="e" cm="1">
        <f t="array" ref="V86">SUM(V34+V37)/SUM(-V38:V39)</f>
        <v>#DIV/0!</v>
      </c>
      <c r="W86" s="132" t="e" cm="1">
        <f t="array" ref="W86">SUM(W34+W37)/SUM(-W38:W39)</f>
        <v>#DIV/0!</v>
      </c>
      <c r="X86" s="132" t="e" cm="1">
        <f t="array" ref="X86">SUM(X34+X37)/SUM(-X38:X39)</f>
        <v>#DIV/0!</v>
      </c>
      <c r="Y86" s="132" t="e" cm="1">
        <f t="array" ref="Y86">SUM(Y34+Y37)/SUM(-Y38:Y39)</f>
        <v>#DIV/0!</v>
      </c>
      <c r="Z86" s="132" t="e" cm="1">
        <f t="array" ref="Z86">SUM(Z34+Z37)/SUM(-Z38:Z39)</f>
        <v>#DIV/0!</v>
      </c>
      <c r="AA86" s="132" t="e" cm="1">
        <f t="array" ref="AA86">SUM(AA34+AA37)/SUM(-AA38:AA39)</f>
        <v>#DIV/0!</v>
      </c>
      <c r="AB86" s="132" t="e" cm="1">
        <f t="array" ref="AB86">SUM(AB34+AB37)/SUM(-AB38:AB39)</f>
        <v>#DIV/0!</v>
      </c>
      <c r="AC86" s="132" t="e" cm="1">
        <f t="array" ref="AC86">SUM(AC34+AC37)/SUM(-AC38:AC39)</f>
        <v>#DIV/0!</v>
      </c>
      <c r="AD86" s="132" t="e" cm="1">
        <f t="array" ref="AD86">SUM(AD34+AD37)/SUM(-AD38:AD39)</f>
        <v>#DIV/0!</v>
      </c>
      <c r="AE86" s="132" t="e" cm="1">
        <f t="array" ref="AE86">SUM(AE34+AE37)/SUM(-AE38:AE39)</f>
        <v>#DIV/0!</v>
      </c>
    </row>
    <row r="87" spans="1:31" ht="12.75" customHeight="1">
      <c r="B87" s="29" t="s">
        <v>107</v>
      </c>
      <c r="C87" s="132" t="e" cm="1">
        <f t="array" ref="C87">SUM(C34)/SUM(-C37:C39)</f>
        <v>#DIV/0!</v>
      </c>
      <c r="D87" s="132" t="e" cm="1">
        <f t="array" ref="D87">SUM(D34)/SUM(-D37:D39)</f>
        <v>#DIV/0!</v>
      </c>
      <c r="E87" s="132" t="e" cm="1">
        <f t="array" ref="E87">SUM(E34)/SUM(-E37:E39)</f>
        <v>#DIV/0!</v>
      </c>
      <c r="F87" s="132" t="e" cm="1">
        <f t="array" ref="F87">SUM(F34)/SUM(-F37:F39)</f>
        <v>#DIV/0!</v>
      </c>
      <c r="H87" s="134"/>
      <c r="I87" s="134"/>
      <c r="J87" s="134"/>
      <c r="K87" s="132" t="e" cm="1">
        <f t="array" ref="K87">SUM(H34:K34)/SUM(-H37:K39)</f>
        <v>#DIV/0!</v>
      </c>
      <c r="L87" s="132" t="e" cm="1">
        <f t="array" ref="L87">SUM(I34:L34)/SUM(-I37:L39)</f>
        <v>#DIV/0!</v>
      </c>
      <c r="M87" s="132" t="e" cm="1">
        <f t="array" ref="M87">SUM(J34:M34)/SUM(-J37:M39)</f>
        <v>#DIV/0!</v>
      </c>
      <c r="N87" s="132" t="e" cm="1">
        <f t="array" ref="N87">SUM(K34:N34)/SUM(-K37:N39)</f>
        <v>#DIV/0!</v>
      </c>
      <c r="O87" s="132" t="e" cm="1">
        <f t="array" ref="O87">SUM(L34:O34)/SUM(-L37:O39)</f>
        <v>#DIV/0!</v>
      </c>
      <c r="P87" s="132" t="e" cm="1">
        <f t="array" ref="P87">SUM(M34:P34)/SUM(-M37:P39)</f>
        <v>#DIV/0!</v>
      </c>
      <c r="Q87" s="132" t="e" cm="1">
        <f t="array" ref="Q87">SUM(N34:Q34)/SUM(-N37:Q39)</f>
        <v>#DIV/0!</v>
      </c>
      <c r="R87" s="132" t="e" cm="1">
        <f t="array" ref="R87">SUM(O34:R34)/SUM(-O37:R39)</f>
        <v>#DIV/0!</v>
      </c>
      <c r="S87" s="132" t="e" cm="1">
        <f t="array" ref="S87">SUM(P34:S34)/SUM(-P37:S39)</f>
        <v>#DIV/0!</v>
      </c>
      <c r="T87" s="132" t="e" cm="1">
        <f t="array" ref="T87">SUM(Q34:T34)/SUM(-Q37:T39)</f>
        <v>#DIV/0!</v>
      </c>
      <c r="U87" s="132"/>
      <c r="V87" s="132" t="e" cm="1">
        <f t="array" ref="V87">SUM(V34)/SUM(-V37:V39)</f>
        <v>#DIV/0!</v>
      </c>
      <c r="W87" s="132" t="e" cm="1">
        <f t="array" ref="W87">SUM(W34)/SUM(-W37:W39)</f>
        <v>#DIV/0!</v>
      </c>
      <c r="X87" s="132" t="e" cm="1">
        <f t="array" ref="X87">SUM(X34)/SUM(-X37:X39)</f>
        <v>#DIV/0!</v>
      </c>
      <c r="Y87" s="132" t="e" cm="1">
        <f t="array" ref="Y87">SUM(Y34)/SUM(-Y37:Y39)</f>
        <v>#DIV/0!</v>
      </c>
      <c r="Z87" s="132" t="e" cm="1">
        <f t="array" ref="Z87">SUM(Z34)/SUM(-Z37:Z39)</f>
        <v>#DIV/0!</v>
      </c>
      <c r="AA87" s="132" t="e" cm="1">
        <f t="array" ref="AA87">SUM(AA34)/SUM(-AA37:AA39)</f>
        <v>#DIV/0!</v>
      </c>
      <c r="AB87" s="132" t="e" cm="1">
        <f t="array" ref="AB87">SUM(AB34)/SUM(-AB37:AB39)</f>
        <v>#DIV/0!</v>
      </c>
      <c r="AC87" s="132" t="e" cm="1">
        <f t="array" ref="AC87">SUM(AC34)/SUM(-AC37:AC39)</f>
        <v>#DIV/0!</v>
      </c>
      <c r="AD87" s="132" t="e" cm="1">
        <f t="array" ref="AD87">SUM(AD34)/SUM(-AD37:AD39)</f>
        <v>#DIV/0!</v>
      </c>
      <c r="AE87" s="132" t="e" cm="1">
        <f t="array" ref="AE87">SUM(AE34)/SUM(-AE37:AE39)</f>
        <v>#DIV/0!</v>
      </c>
    </row>
    <row r="88" spans="1:31" ht="12.75" customHeight="1">
      <c r="B88" s="8" t="s">
        <v>48</v>
      </c>
      <c r="C88" s="132" t="e">
        <f t="shared" ref="C88:F88" si="243">C79/C76</f>
        <v>#DIV/0!</v>
      </c>
      <c r="D88" s="132" t="e">
        <f t="shared" si="243"/>
        <v>#DIV/0!</v>
      </c>
      <c r="E88" s="132" t="e">
        <f t="shared" si="243"/>
        <v>#DIV/0!</v>
      </c>
      <c r="F88" s="132" t="e">
        <f t="shared" si="243"/>
        <v>#DIV/0!</v>
      </c>
      <c r="H88" s="134"/>
      <c r="I88" s="134"/>
      <c r="J88" s="134"/>
      <c r="K88" s="132" t="e">
        <f t="shared" ref="K88:S88" si="244">K79/K76</f>
        <v>#REF!</v>
      </c>
      <c r="L88" s="132" t="e">
        <f t="shared" si="244"/>
        <v>#DIV/0!</v>
      </c>
      <c r="M88" s="132" t="e">
        <f t="shared" si="244"/>
        <v>#DIV/0!</v>
      </c>
      <c r="N88" s="132" t="e">
        <f t="shared" si="244"/>
        <v>#DIV/0!</v>
      </c>
      <c r="O88" s="132" t="e">
        <f t="shared" si="244"/>
        <v>#REF!</v>
      </c>
      <c r="P88" s="132" t="e">
        <f t="shared" si="244"/>
        <v>#DIV/0!</v>
      </c>
      <c r="Q88" s="132" t="e">
        <f t="shared" si="244"/>
        <v>#DIV/0!</v>
      </c>
      <c r="R88" s="132" t="e">
        <f t="shared" si="244"/>
        <v>#DIV/0!</v>
      </c>
      <c r="S88" s="132" t="e">
        <f t="shared" si="244"/>
        <v>#REF!</v>
      </c>
      <c r="T88" s="132" t="e">
        <f t="shared" ref="T88" si="245">T79/T76</f>
        <v>#DIV/0!</v>
      </c>
      <c r="U88" s="132"/>
      <c r="V88" s="132" t="e">
        <f t="shared" ref="V88" si="246">V79/V76</f>
        <v>#REF!</v>
      </c>
      <c r="W88" s="132" t="e">
        <f t="shared" ref="W88:AC88" si="247">W79/W76</f>
        <v>#DIV/0!</v>
      </c>
      <c r="X88" s="132" t="e">
        <f t="shared" si="247"/>
        <v>#DIV/0!</v>
      </c>
      <c r="Y88" s="132" t="e">
        <f t="shared" si="247"/>
        <v>#DIV/0!</v>
      </c>
      <c r="Z88" s="132" t="e">
        <f t="shared" si="247"/>
        <v>#REF!</v>
      </c>
      <c r="AA88" s="132" t="e">
        <f t="shared" si="247"/>
        <v>#DIV/0!</v>
      </c>
      <c r="AB88" s="132" t="e">
        <f t="shared" si="247"/>
        <v>#DIV/0!</v>
      </c>
      <c r="AC88" s="132" t="e">
        <f t="shared" si="247"/>
        <v>#DIV/0!</v>
      </c>
      <c r="AD88" s="132" t="e">
        <f>AD79/AD76</f>
        <v>#REF!</v>
      </c>
      <c r="AE88" s="132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2026-01-02T01:08:12Z</dcterms:modified>
</cp:coreProperties>
</file>