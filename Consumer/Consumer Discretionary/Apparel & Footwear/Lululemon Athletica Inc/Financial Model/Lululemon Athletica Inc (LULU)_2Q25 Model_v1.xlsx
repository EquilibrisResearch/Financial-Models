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03BF25D3-1D3F-4423-AE75-385F7DA33F37}" xr6:coauthVersionLast="47" xr6:coauthVersionMax="47" xr10:uidLastSave="{00000000-0000-0000-0000-000000000000}"/>
  <bookViews>
    <workbookView xWindow="33000" yWindow="1770" windowWidth="15330" windowHeight="1041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0" i="8" l="1"/>
  <c r="V70" i="8" s="1"/>
  <c r="N69" i="8"/>
  <c r="V69" i="8" s="1"/>
  <c r="N68" i="8"/>
  <c r="J70" i="8"/>
  <c r="J69" i="8"/>
  <c r="J68" i="8"/>
  <c r="N45" i="8"/>
  <c r="N44" i="8"/>
  <c r="N43" i="8"/>
  <c r="V43" i="8" s="1"/>
  <c r="N42" i="8"/>
  <c r="N41" i="8"/>
  <c r="N54" i="8"/>
  <c r="N53" i="8"/>
  <c r="V53" i="8" s="1"/>
  <c r="N52" i="8"/>
  <c r="N51" i="8"/>
  <c r="N50" i="8"/>
  <c r="N49" i="8"/>
  <c r="N64" i="8"/>
  <c r="N63" i="8"/>
  <c r="N62" i="8"/>
  <c r="N61" i="8"/>
  <c r="N60" i="8"/>
  <c r="N59" i="8"/>
  <c r="N58" i="8"/>
  <c r="J54" i="8"/>
  <c r="J53" i="8"/>
  <c r="R53" i="8" s="1"/>
  <c r="J52" i="8"/>
  <c r="R52" i="8" s="1"/>
  <c r="J51" i="8"/>
  <c r="J50" i="8"/>
  <c r="J49" i="8"/>
  <c r="J64" i="8"/>
  <c r="J63" i="8"/>
  <c r="R63" i="8" s="1"/>
  <c r="J62" i="8"/>
  <c r="R62" i="8" s="1"/>
  <c r="J61" i="8"/>
  <c r="J60" i="8"/>
  <c r="J59" i="8"/>
  <c r="J58" i="8"/>
  <c r="R69" i="8"/>
  <c r="X63" i="8"/>
  <c r="W63" i="8"/>
  <c r="V63" i="8"/>
  <c r="U63" i="8"/>
  <c r="T63" i="8"/>
  <c r="S63" i="8"/>
  <c r="X62" i="8"/>
  <c r="W62" i="8"/>
  <c r="V62" i="8"/>
  <c r="U62" i="8"/>
  <c r="T62" i="8"/>
  <c r="S62" i="8"/>
  <c r="X61" i="8"/>
  <c r="W61" i="8"/>
  <c r="V61" i="8"/>
  <c r="U61" i="8"/>
  <c r="T61" i="8"/>
  <c r="S61" i="8"/>
  <c r="R61" i="8"/>
  <c r="X60" i="8"/>
  <c r="W60" i="8"/>
  <c r="V60" i="8"/>
  <c r="U60" i="8"/>
  <c r="T60" i="8"/>
  <c r="S60" i="8"/>
  <c r="R60" i="8"/>
  <c r="X53" i="8"/>
  <c r="W53" i="8"/>
  <c r="U53" i="8"/>
  <c r="T53" i="8"/>
  <c r="S53" i="8"/>
  <c r="X52" i="8"/>
  <c r="W52" i="8"/>
  <c r="V52" i="8"/>
  <c r="U52" i="8"/>
  <c r="T52" i="8"/>
  <c r="S52" i="8"/>
  <c r="V44" i="8"/>
  <c r="V42" i="8"/>
  <c r="J45" i="8"/>
  <c r="J44" i="8"/>
  <c r="R44" i="8" s="1"/>
  <c r="J43" i="8"/>
  <c r="R43" i="8" s="1"/>
  <c r="J42" i="8"/>
  <c r="R42" i="8" s="1"/>
  <c r="J41" i="8"/>
  <c r="X44" i="8"/>
  <c r="W44" i="8"/>
  <c r="U44" i="8"/>
  <c r="T44" i="8"/>
  <c r="S44" i="8"/>
  <c r="X43" i="8"/>
  <c r="W43" i="8"/>
  <c r="U43" i="8"/>
  <c r="T43" i="8"/>
  <c r="S43" i="8"/>
  <c r="X42" i="8"/>
  <c r="W42" i="8"/>
  <c r="U42" i="8"/>
  <c r="T42" i="8"/>
  <c r="S42" i="8"/>
  <c r="N26" i="8"/>
  <c r="N22" i="8"/>
  <c r="J26" i="8"/>
  <c r="J22" i="8"/>
  <c r="N13" i="8"/>
  <c r="V13" i="8" s="1"/>
  <c r="N18" i="8"/>
  <c r="W18" i="8" s="1"/>
  <c r="N17" i="8"/>
  <c r="W17" i="8" s="1"/>
  <c r="J18" i="8"/>
  <c r="U18" i="8" s="1"/>
  <c r="J17" i="8"/>
  <c r="U17" i="8" s="1"/>
  <c r="W77" i="8"/>
  <c r="U77" i="8"/>
  <c r="T77" i="8"/>
  <c r="S77" i="8"/>
  <c r="W76" i="8"/>
  <c r="U76" i="8"/>
  <c r="T76" i="8"/>
  <c r="S76" i="8"/>
  <c r="W75" i="8"/>
  <c r="U75" i="8"/>
  <c r="T75" i="8"/>
  <c r="S75" i="8"/>
  <c r="W74" i="8"/>
  <c r="U74" i="8"/>
  <c r="T74" i="8"/>
  <c r="S74" i="8"/>
  <c r="W73" i="8"/>
  <c r="U73" i="8"/>
  <c r="T73" i="8"/>
  <c r="S73" i="8"/>
  <c r="X77" i="8"/>
  <c r="X76" i="8"/>
  <c r="X75" i="8"/>
  <c r="X74" i="8"/>
  <c r="X73" i="8"/>
  <c r="W70" i="8"/>
  <c r="U70" i="8"/>
  <c r="T70" i="8"/>
  <c r="S70" i="8"/>
  <c r="R70" i="8"/>
  <c r="W69" i="8"/>
  <c r="U69" i="8"/>
  <c r="T69" i="8"/>
  <c r="S69" i="8"/>
  <c r="W68" i="8"/>
  <c r="V68" i="8"/>
  <c r="U68" i="8"/>
  <c r="T68" i="8"/>
  <c r="S68" i="8"/>
  <c r="R68" i="8"/>
  <c r="X70" i="8"/>
  <c r="X69" i="8"/>
  <c r="X68" i="8"/>
  <c r="X64" i="8"/>
  <c r="W64" i="8"/>
  <c r="U64" i="8"/>
  <c r="T64" i="8"/>
  <c r="S64" i="8"/>
  <c r="X59" i="8"/>
  <c r="W59" i="8"/>
  <c r="U59" i="8"/>
  <c r="T59" i="8"/>
  <c r="S59" i="8"/>
  <c r="W58" i="8"/>
  <c r="U58" i="8"/>
  <c r="T58" i="8"/>
  <c r="S58" i="8"/>
  <c r="X58" i="8"/>
  <c r="W54" i="8"/>
  <c r="U54" i="8"/>
  <c r="T54" i="8"/>
  <c r="S54" i="8"/>
  <c r="W51" i="8"/>
  <c r="U51" i="8"/>
  <c r="T51" i="8"/>
  <c r="S51" i="8"/>
  <c r="W50" i="8"/>
  <c r="U50" i="8"/>
  <c r="T50" i="8"/>
  <c r="S50" i="8"/>
  <c r="W49" i="8"/>
  <c r="U49" i="8"/>
  <c r="T49" i="8"/>
  <c r="S49" i="8"/>
  <c r="X54" i="8"/>
  <c r="X51" i="8"/>
  <c r="X50" i="8"/>
  <c r="X49" i="8"/>
  <c r="W45" i="8"/>
  <c r="U45" i="8"/>
  <c r="T45" i="8"/>
  <c r="S45" i="8"/>
  <c r="W41" i="8"/>
  <c r="U41" i="8"/>
  <c r="T41" i="8"/>
  <c r="S41" i="8"/>
  <c r="X45" i="8"/>
  <c r="X41" i="8"/>
  <c r="X33" i="8"/>
  <c r="W33" i="8"/>
  <c r="U33" i="8"/>
  <c r="T33" i="8"/>
  <c r="S33" i="8"/>
  <c r="W30" i="8"/>
  <c r="U30" i="8"/>
  <c r="T30" i="8"/>
  <c r="S30" i="8"/>
  <c r="X30" i="8"/>
  <c r="U13" i="8"/>
  <c r="T13" i="8"/>
  <c r="S13" i="8"/>
  <c r="R13" i="8"/>
  <c r="W8" i="8"/>
  <c r="U8" i="8"/>
  <c r="T8" i="8"/>
  <c r="S8" i="8"/>
  <c r="W7" i="8"/>
  <c r="V7" i="8"/>
  <c r="U7" i="8"/>
  <c r="T7" i="8"/>
  <c r="S7" i="8"/>
  <c r="R7" i="8"/>
  <c r="X8" i="8"/>
  <c r="X86" i="8" s="1"/>
  <c r="X7" i="8"/>
  <c r="X37" i="8" s="1"/>
  <c r="X133" i="8"/>
  <c r="X134" i="8"/>
  <c r="X135" i="8"/>
  <c r="N26" i="10"/>
  <c r="N25" i="10"/>
  <c r="N24" i="10"/>
  <c r="N23" i="10"/>
  <c r="N22" i="10"/>
  <c r="J26" i="10"/>
  <c r="J25" i="10"/>
  <c r="J24" i="10"/>
  <c r="J23" i="10"/>
  <c r="J22" i="10"/>
  <c r="N11" i="10"/>
  <c r="N10" i="10"/>
  <c r="W10" i="10" s="1"/>
  <c r="N9" i="10"/>
  <c r="J11" i="10"/>
  <c r="J10" i="10"/>
  <c r="U10" i="10" s="1"/>
  <c r="J9" i="10"/>
  <c r="X16" i="10"/>
  <c r="B16" i="10"/>
  <c r="Z42" i="8" l="1"/>
  <c r="Z44" i="8"/>
  <c r="Z43" i="8"/>
  <c r="R17" i="8"/>
  <c r="S17" i="8"/>
  <c r="T17" i="8"/>
  <c r="R18" i="8"/>
  <c r="S18" i="8"/>
  <c r="T18" i="8"/>
  <c r="X46" i="8"/>
  <c r="X55" i="8" s="1"/>
  <c r="W13" i="8"/>
  <c r="X13" i="8"/>
  <c r="V18" i="8"/>
  <c r="V17" i="8"/>
  <c r="X18" i="8"/>
  <c r="X17" i="8"/>
  <c r="X78" i="8"/>
  <c r="X65" i="8"/>
  <c r="X71" i="8" s="1"/>
  <c r="X38" i="8"/>
  <c r="X85" i="8"/>
  <c r="X10" i="10"/>
  <c r="S10" i="10"/>
  <c r="T10" i="10"/>
  <c r="R10" i="10"/>
  <c r="V10" i="10"/>
  <c r="X79" i="8" l="1"/>
  <c r="X81" i="8" s="1"/>
  <c r="V64" i="8" l="1"/>
  <c r="V59" i="8"/>
  <c r="V58" i="8"/>
  <c r="R64" i="8"/>
  <c r="R59" i="8"/>
  <c r="R58" i="8"/>
  <c r="V54" i="8"/>
  <c r="V51" i="8"/>
  <c r="V50" i="8"/>
  <c r="V49" i="8"/>
  <c r="R54" i="8"/>
  <c r="R51" i="8"/>
  <c r="R50" i="8"/>
  <c r="R49" i="8"/>
  <c r="V45" i="8"/>
  <c r="V41" i="8"/>
  <c r="R45" i="8"/>
  <c r="R41" i="8"/>
  <c r="U22" i="8" l="1"/>
  <c r="T22" i="8"/>
  <c r="S22" i="8"/>
  <c r="R22" i="8"/>
  <c r="V26" i="8"/>
  <c r="W26" i="8"/>
  <c r="X26" i="8"/>
  <c r="V22" i="8"/>
  <c r="X22" i="8"/>
  <c r="W22" i="8"/>
  <c r="U26" i="8"/>
  <c r="T26" i="8"/>
  <c r="S26" i="8"/>
  <c r="R26" i="8"/>
  <c r="N10" i="8"/>
  <c r="J10" i="8"/>
  <c r="W134" i="8"/>
  <c r="X130" i="8" s="1"/>
  <c r="V134" i="8"/>
  <c r="W130" i="8" s="1"/>
  <c r="U134" i="8"/>
  <c r="T134" i="8"/>
  <c r="U130" i="8" s="1"/>
  <c r="S134" i="8"/>
  <c r="T130" i="8" s="1"/>
  <c r="R134" i="8"/>
  <c r="S130" i="8" s="1"/>
  <c r="W133" i="8"/>
  <c r="V133" i="8"/>
  <c r="T133" i="8"/>
  <c r="S133" i="8"/>
  <c r="R133" i="8"/>
  <c r="C11" i="8"/>
  <c r="C14" i="8" s="1"/>
  <c r="C37" i="8"/>
  <c r="C38" i="8"/>
  <c r="C46" i="8"/>
  <c r="C55" i="8" s="1"/>
  <c r="C65" i="8"/>
  <c r="C71" i="8" s="1"/>
  <c r="C78" i="8"/>
  <c r="C85" i="8"/>
  <c r="C86" i="8"/>
  <c r="C117" i="8"/>
  <c r="C126" i="8"/>
  <c r="C131" i="8"/>
  <c r="AE40" i="11"/>
  <c r="AG40" i="11" s="1"/>
  <c r="AD40" i="11"/>
  <c r="AC40" i="11"/>
  <c r="AB40" i="11"/>
  <c r="AA40" i="11"/>
  <c r="Z40" i="11"/>
  <c r="Y40" i="11"/>
  <c r="X40" i="11"/>
  <c r="W40" i="11"/>
  <c r="V40" i="11"/>
  <c r="AE23" i="11"/>
  <c r="AD23" i="11"/>
  <c r="AC23" i="11"/>
  <c r="AB23" i="11"/>
  <c r="AA23" i="11"/>
  <c r="Z23" i="11"/>
  <c r="Y23" i="11"/>
  <c r="X23" i="11"/>
  <c r="W23" i="11"/>
  <c r="V23" i="11"/>
  <c r="AE22" i="11"/>
  <c r="AD22" i="11"/>
  <c r="AC22" i="11"/>
  <c r="AB22" i="11"/>
  <c r="AA22" i="11"/>
  <c r="Z22" i="11"/>
  <c r="Y22" i="11"/>
  <c r="X22" i="11"/>
  <c r="W22" i="11"/>
  <c r="V22" i="11"/>
  <c r="AE21" i="11"/>
  <c r="AD21" i="11"/>
  <c r="AC21" i="11"/>
  <c r="AB21" i="11"/>
  <c r="AA21" i="11"/>
  <c r="Z21" i="11"/>
  <c r="Y21" i="11"/>
  <c r="X21" i="11"/>
  <c r="W21" i="11"/>
  <c r="V21" i="11"/>
  <c r="W54" i="11"/>
  <c r="AC54" i="11"/>
  <c r="W55" i="11"/>
  <c r="AA55" i="11"/>
  <c r="AB55" i="11"/>
  <c r="K56" i="11"/>
  <c r="O56" i="11"/>
  <c r="Z56" i="11" s="1"/>
  <c r="S56" i="11"/>
  <c r="AD56" i="11" s="1"/>
  <c r="X54" i="11"/>
  <c r="Y54" i="11"/>
  <c r="AC55" i="11"/>
  <c r="AD78" i="11"/>
  <c r="AC78" i="11"/>
  <c r="AB78" i="11"/>
  <c r="AA78" i="11"/>
  <c r="Z78" i="11"/>
  <c r="Y78" i="11"/>
  <c r="X78" i="11"/>
  <c r="W78" i="11"/>
  <c r="V78" i="11"/>
  <c r="AE78" i="11"/>
  <c r="AC75" i="11"/>
  <c r="AB75" i="11"/>
  <c r="AA75" i="11"/>
  <c r="Y75" i="11"/>
  <c r="X75" i="11"/>
  <c r="W75" i="11"/>
  <c r="AC74" i="11"/>
  <c r="AB74" i="11"/>
  <c r="AA74" i="11"/>
  <c r="Y74" i="11"/>
  <c r="X74" i="11"/>
  <c r="W74" i="11"/>
  <c r="AC73" i="11"/>
  <c r="AB73" i="11"/>
  <c r="AA73" i="11"/>
  <c r="Y73" i="11"/>
  <c r="X73" i="11"/>
  <c r="W73" i="11"/>
  <c r="AC72" i="11"/>
  <c r="AB72" i="11"/>
  <c r="AA72" i="11"/>
  <c r="Y72" i="11"/>
  <c r="X72" i="11"/>
  <c r="W72" i="11"/>
  <c r="AE75" i="11"/>
  <c r="AE74" i="11"/>
  <c r="AE73" i="11"/>
  <c r="AE72" i="11"/>
  <c r="AD70" i="11"/>
  <c r="AC70" i="11"/>
  <c r="AB70" i="11"/>
  <c r="AA70" i="11"/>
  <c r="Z70" i="11"/>
  <c r="Y70" i="11"/>
  <c r="X70" i="11"/>
  <c r="W70" i="11"/>
  <c r="V70" i="11"/>
  <c r="AD69" i="11"/>
  <c r="AC69" i="11"/>
  <c r="AB69" i="11"/>
  <c r="AA69" i="11"/>
  <c r="Z69" i="11"/>
  <c r="Y69" i="11"/>
  <c r="X69" i="11"/>
  <c r="W69" i="11"/>
  <c r="V69" i="11"/>
  <c r="AE70" i="11"/>
  <c r="AE69" i="11"/>
  <c r="AD66" i="11"/>
  <c r="AC66" i="11"/>
  <c r="AB66" i="11"/>
  <c r="AA66" i="11"/>
  <c r="Z66" i="11"/>
  <c r="Y66" i="11"/>
  <c r="X66" i="11"/>
  <c r="W66" i="11"/>
  <c r="V66" i="11"/>
  <c r="AD65" i="11"/>
  <c r="AC65" i="11"/>
  <c r="AB65" i="11"/>
  <c r="AA65" i="11"/>
  <c r="Z65" i="11"/>
  <c r="Y65" i="11"/>
  <c r="X65" i="11"/>
  <c r="W65" i="11"/>
  <c r="V65" i="11"/>
  <c r="AD64" i="11"/>
  <c r="AC64" i="11"/>
  <c r="AB64" i="11"/>
  <c r="AA64" i="11"/>
  <c r="Z64" i="11"/>
  <c r="Y64" i="11"/>
  <c r="X64" i="11"/>
  <c r="W64" i="11"/>
  <c r="V64" i="11"/>
  <c r="AD63" i="11"/>
  <c r="AC63" i="11"/>
  <c r="AB63" i="11"/>
  <c r="AA63" i="11"/>
  <c r="Z63" i="11"/>
  <c r="Y63" i="11"/>
  <c r="X63" i="11"/>
  <c r="W63" i="11"/>
  <c r="V63" i="11"/>
  <c r="AD62" i="11"/>
  <c r="AC62" i="11"/>
  <c r="AB62" i="11"/>
  <c r="AA62" i="11"/>
  <c r="Z62" i="11"/>
  <c r="Y62" i="11"/>
  <c r="X62" i="11"/>
  <c r="W62" i="11"/>
  <c r="V62" i="11"/>
  <c r="AD61" i="11"/>
  <c r="AC61" i="11"/>
  <c r="AB61" i="11"/>
  <c r="AA61" i="11"/>
  <c r="Z61" i="11"/>
  <c r="Y61" i="11"/>
  <c r="X61" i="11"/>
  <c r="W61" i="11"/>
  <c r="V61" i="11"/>
  <c r="AD60" i="11"/>
  <c r="AC60" i="11"/>
  <c r="AB60" i="11"/>
  <c r="AA60" i="11"/>
  <c r="Z60" i="11"/>
  <c r="Y60" i="11"/>
  <c r="X60" i="11"/>
  <c r="W60" i="11"/>
  <c r="V60" i="11"/>
  <c r="AE66" i="11"/>
  <c r="AE65" i="11"/>
  <c r="AE64" i="11"/>
  <c r="AE63" i="11"/>
  <c r="AE62" i="11"/>
  <c r="AE61" i="11"/>
  <c r="AE60" i="11"/>
  <c r="AC56" i="11"/>
  <c r="AB56" i="11"/>
  <c r="AA56" i="11"/>
  <c r="Y56" i="11"/>
  <c r="X56" i="11"/>
  <c r="W56" i="11"/>
  <c r="V56" i="11"/>
  <c r="Y55" i="11"/>
  <c r="X55" i="11"/>
  <c r="AB54" i="11"/>
  <c r="AA54" i="11"/>
  <c r="AE56" i="11"/>
  <c r="AE55" i="11"/>
  <c r="AE54" i="11"/>
  <c r="X26" i="10"/>
  <c r="W25" i="10"/>
  <c r="X23" i="10"/>
  <c r="T26" i="10"/>
  <c r="U25" i="10"/>
  <c r="T24" i="10"/>
  <c r="V23" i="10"/>
  <c r="T22" i="10"/>
  <c r="R26" i="10"/>
  <c r="R24" i="10"/>
  <c r="R22" i="10"/>
  <c r="X24" i="10"/>
  <c r="W24" i="10"/>
  <c r="W23" i="10"/>
  <c r="X22" i="10"/>
  <c r="W22" i="10"/>
  <c r="N125" i="8"/>
  <c r="J125" i="8"/>
  <c r="T125" i="8" s="1"/>
  <c r="N124" i="8"/>
  <c r="X124" i="8" s="1"/>
  <c r="J124" i="8"/>
  <c r="T124" i="8" s="1"/>
  <c r="N123" i="8"/>
  <c r="J123" i="8"/>
  <c r="T123" i="8" s="1"/>
  <c r="N122" i="8"/>
  <c r="J122" i="8"/>
  <c r="T122" i="8" s="1"/>
  <c r="N121" i="8"/>
  <c r="J121" i="8"/>
  <c r="N116" i="8"/>
  <c r="X116" i="8" s="1"/>
  <c r="J116" i="8"/>
  <c r="T116" i="8" s="1"/>
  <c r="N115" i="8"/>
  <c r="J115" i="8"/>
  <c r="T115" i="8" s="1"/>
  <c r="N114" i="8"/>
  <c r="J114" i="8"/>
  <c r="T114" i="8" s="1"/>
  <c r="N113" i="8"/>
  <c r="J113" i="8"/>
  <c r="N108" i="8"/>
  <c r="X108" i="8" s="1"/>
  <c r="J108" i="8"/>
  <c r="T108" i="8" s="1"/>
  <c r="N107" i="8"/>
  <c r="J107" i="8"/>
  <c r="T107" i="8" s="1"/>
  <c r="N106" i="8"/>
  <c r="J106" i="8"/>
  <c r="T106" i="8" s="1"/>
  <c r="N105" i="8"/>
  <c r="J105" i="8"/>
  <c r="T105" i="8" s="1"/>
  <c r="N104" i="8"/>
  <c r="X104" i="8" s="1"/>
  <c r="J104" i="8"/>
  <c r="T104" i="8" s="1"/>
  <c r="N100" i="8"/>
  <c r="J100" i="8"/>
  <c r="T100" i="8" s="1"/>
  <c r="N99" i="8"/>
  <c r="J99" i="8"/>
  <c r="T99" i="8" s="1"/>
  <c r="N98" i="8"/>
  <c r="J98" i="8"/>
  <c r="T98" i="8" s="1"/>
  <c r="N97" i="8"/>
  <c r="X97" i="8" s="1"/>
  <c r="J97" i="8"/>
  <c r="T97" i="8" s="1"/>
  <c r="N96" i="8"/>
  <c r="J96" i="8"/>
  <c r="T96" i="8" s="1"/>
  <c r="N95" i="8"/>
  <c r="J95" i="8"/>
  <c r="T95" i="8" s="1"/>
  <c r="N94" i="8"/>
  <c r="J94" i="8"/>
  <c r="T94" i="8" s="1"/>
  <c r="N93" i="8"/>
  <c r="X93" i="8" s="1"/>
  <c r="J93" i="8"/>
  <c r="T93" i="8" s="1"/>
  <c r="V48" i="11"/>
  <c r="N120" i="8"/>
  <c r="J120" i="8"/>
  <c r="T120" i="8" s="1"/>
  <c r="N112" i="8"/>
  <c r="J112" i="8"/>
  <c r="T112" i="8" s="1"/>
  <c r="N77" i="8"/>
  <c r="V77" i="8" s="1"/>
  <c r="J77" i="8"/>
  <c r="R77" i="8" s="1"/>
  <c r="N76" i="8"/>
  <c r="V76" i="8" s="1"/>
  <c r="J76" i="8"/>
  <c r="R76" i="8" s="1"/>
  <c r="N75" i="8"/>
  <c r="V75" i="8" s="1"/>
  <c r="J75" i="8"/>
  <c r="R75" i="8" s="1"/>
  <c r="N74" i="8"/>
  <c r="V74" i="8" s="1"/>
  <c r="J74" i="8"/>
  <c r="R74" i="8" s="1"/>
  <c r="V73" i="8"/>
  <c r="R73" i="8"/>
  <c r="T4" i="11"/>
  <c r="AE4" i="11" s="1"/>
  <c r="T3" i="11"/>
  <c r="AE3" i="11" s="1"/>
  <c r="B34" i="10"/>
  <c r="B33" i="10"/>
  <c r="B32" i="10"/>
  <c r="B31" i="10"/>
  <c r="B30" i="10"/>
  <c r="S74" i="11"/>
  <c r="AD74" i="11" s="1"/>
  <c r="S73" i="11"/>
  <c r="AD73" i="11" s="1"/>
  <c r="S72" i="11"/>
  <c r="AD72" i="11" s="1"/>
  <c r="S3" i="11"/>
  <c r="AD3" i="11" s="1"/>
  <c r="R4" i="11"/>
  <c r="AC4" i="11" s="1"/>
  <c r="R3" i="11"/>
  <c r="AC3" i="11" s="1"/>
  <c r="S54" i="11"/>
  <c r="AD54" i="11" s="1"/>
  <c r="N8" i="8"/>
  <c r="J8" i="8"/>
  <c r="J76" i="11"/>
  <c r="N133" i="8"/>
  <c r="U133" i="8" s="1"/>
  <c r="H76" i="11"/>
  <c r="X48" i="11"/>
  <c r="W48" i="11"/>
  <c r="W44" i="11"/>
  <c r="O74" i="11"/>
  <c r="Z74" i="11" s="1"/>
  <c r="O73" i="11"/>
  <c r="Z73" i="11" s="1"/>
  <c r="O72" i="11"/>
  <c r="Z72" i="11" s="1"/>
  <c r="K74" i="11"/>
  <c r="V74" i="11" s="1"/>
  <c r="K73" i="11"/>
  <c r="V73" i="11" s="1"/>
  <c r="K72" i="11"/>
  <c r="V72" i="11" s="1"/>
  <c r="AE20" i="11"/>
  <c r="AD20" i="11"/>
  <c r="AE16" i="11"/>
  <c r="AD16" i="11"/>
  <c r="M76" i="11"/>
  <c r="E76" i="11"/>
  <c r="D76" i="11"/>
  <c r="C76" i="11"/>
  <c r="F76" i="11"/>
  <c r="Q4" i="11"/>
  <c r="AB4" i="11" s="1"/>
  <c r="P4" i="11"/>
  <c r="AA4" i="11" s="1"/>
  <c r="N4" i="11"/>
  <c r="Y4" i="11" s="1"/>
  <c r="M4" i="11"/>
  <c r="X4" i="11" s="1"/>
  <c r="L4" i="11"/>
  <c r="W4" i="11" s="1"/>
  <c r="J4" i="11"/>
  <c r="I4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P130" i="8"/>
  <c r="N130" i="8"/>
  <c r="M130" i="8"/>
  <c r="L130" i="8"/>
  <c r="J130" i="8"/>
  <c r="I130" i="8"/>
  <c r="H130" i="8"/>
  <c r="P4" i="10"/>
  <c r="X4" i="10" s="1"/>
  <c r="O4" i="10"/>
  <c r="W4" i="10" s="1"/>
  <c r="M4" i="10"/>
  <c r="U4" i="10" s="1"/>
  <c r="L4" i="10"/>
  <c r="T4" i="10" s="1"/>
  <c r="K4" i="10"/>
  <c r="S4" i="10" s="1"/>
  <c r="I4" i="10"/>
  <c r="H4" i="10"/>
  <c r="P3" i="10"/>
  <c r="X3" i="10" s="1"/>
  <c r="O3" i="10"/>
  <c r="W3" i="10" s="1"/>
  <c r="N3" i="10"/>
  <c r="V3" i="10" s="1"/>
  <c r="M3" i="10"/>
  <c r="U3" i="10" s="1"/>
  <c r="L3" i="10"/>
  <c r="T3" i="10" s="1"/>
  <c r="K3" i="10"/>
  <c r="S3" i="10" s="1"/>
  <c r="J3" i="10"/>
  <c r="R3" i="10" s="1"/>
  <c r="I3" i="10"/>
  <c r="H3" i="10"/>
  <c r="G4" i="10"/>
  <c r="G3" i="10"/>
  <c r="D4" i="10"/>
  <c r="C4" i="10"/>
  <c r="D3" i="10"/>
  <c r="C3" i="10"/>
  <c r="E4" i="10"/>
  <c r="E3" i="10"/>
  <c r="U10" i="8" l="1"/>
  <c r="T10" i="8"/>
  <c r="S10" i="8"/>
  <c r="R10" i="8"/>
  <c r="W10" i="8"/>
  <c r="V10" i="8"/>
  <c r="X10" i="8"/>
  <c r="X11" i="8" s="1"/>
  <c r="X14" i="8" s="1"/>
  <c r="O4" i="11"/>
  <c r="Z4" i="11" s="1"/>
  <c r="V8" i="8"/>
  <c r="J4" i="10"/>
  <c r="R4" i="10" s="1"/>
  <c r="R8" i="8"/>
  <c r="W96" i="8"/>
  <c r="X96" i="8"/>
  <c r="Z96" i="8" s="1"/>
  <c r="W100" i="8"/>
  <c r="X100" i="8"/>
  <c r="Z100" i="8" s="1"/>
  <c r="W107" i="8"/>
  <c r="X107" i="8"/>
  <c r="W115" i="8"/>
  <c r="X115" i="8"/>
  <c r="Z115" i="8" s="1"/>
  <c r="W123" i="8"/>
  <c r="X123" i="8"/>
  <c r="Z123" i="8" s="1"/>
  <c r="W120" i="8"/>
  <c r="X120" i="8"/>
  <c r="W112" i="8"/>
  <c r="X112" i="8"/>
  <c r="W94" i="8"/>
  <c r="X94" i="8"/>
  <c r="Z94" i="8" s="1"/>
  <c r="W98" i="8"/>
  <c r="X98" i="8"/>
  <c r="Z98" i="8" s="1"/>
  <c r="W105" i="8"/>
  <c r="X105" i="8"/>
  <c r="Z105" i="8" s="1"/>
  <c r="W113" i="8"/>
  <c r="X113" i="8"/>
  <c r="W121" i="8"/>
  <c r="X121" i="8"/>
  <c r="W125" i="8"/>
  <c r="X125" i="8"/>
  <c r="Z125" i="8" s="1"/>
  <c r="W95" i="8"/>
  <c r="X95" i="8"/>
  <c r="Z95" i="8" s="1"/>
  <c r="W99" i="8"/>
  <c r="X99" i="8"/>
  <c r="Z99" i="8" s="1"/>
  <c r="W106" i="8"/>
  <c r="X106" i="8"/>
  <c r="Z106" i="8" s="1"/>
  <c r="W114" i="8"/>
  <c r="X114" i="8"/>
  <c r="Z114" i="8" s="1"/>
  <c r="W122" i="8"/>
  <c r="X122" i="8"/>
  <c r="Z122" i="8" s="1"/>
  <c r="U9" i="10"/>
  <c r="T9" i="10"/>
  <c r="S9" i="10"/>
  <c r="R9" i="10"/>
  <c r="W11" i="10"/>
  <c r="V11" i="10"/>
  <c r="X11" i="10"/>
  <c r="V9" i="10"/>
  <c r="X9" i="10"/>
  <c r="W9" i="10"/>
  <c r="U11" i="10"/>
  <c r="T11" i="10"/>
  <c r="S11" i="10"/>
  <c r="R11" i="10"/>
  <c r="R12" i="10" s="1"/>
  <c r="S25" i="10"/>
  <c r="U22" i="10"/>
  <c r="R23" i="10"/>
  <c r="Z107" i="8"/>
  <c r="Z18" i="8"/>
  <c r="R93" i="8"/>
  <c r="R94" i="8"/>
  <c r="R95" i="8"/>
  <c r="R96" i="8"/>
  <c r="R97" i="8"/>
  <c r="R98" i="8"/>
  <c r="R99" i="8"/>
  <c r="R100" i="8"/>
  <c r="R104" i="8"/>
  <c r="R105" i="8"/>
  <c r="R106" i="8"/>
  <c r="R107" i="8"/>
  <c r="R108" i="8"/>
  <c r="R112" i="8"/>
  <c r="R113" i="8"/>
  <c r="R114" i="8"/>
  <c r="R115" i="8"/>
  <c r="R116" i="8"/>
  <c r="R120" i="8"/>
  <c r="R121" i="8"/>
  <c r="R122" i="8"/>
  <c r="R123" i="8"/>
  <c r="R124" i="8"/>
  <c r="R125" i="8"/>
  <c r="S93" i="8"/>
  <c r="S94" i="8"/>
  <c r="S95" i="8"/>
  <c r="S96" i="8"/>
  <c r="S97" i="8"/>
  <c r="S98" i="8"/>
  <c r="S99" i="8"/>
  <c r="S100" i="8"/>
  <c r="S104" i="8"/>
  <c r="S105" i="8"/>
  <c r="S106" i="8"/>
  <c r="S107" i="8"/>
  <c r="S108" i="8"/>
  <c r="S112" i="8"/>
  <c r="S113" i="8"/>
  <c r="S114" i="8"/>
  <c r="S115" i="8"/>
  <c r="S116" i="8"/>
  <c r="S120" i="8"/>
  <c r="S121" i="8"/>
  <c r="S122" i="8"/>
  <c r="S123" i="8"/>
  <c r="S124" i="8"/>
  <c r="S125" i="8"/>
  <c r="T113" i="8"/>
  <c r="T121" i="8"/>
  <c r="U93" i="8"/>
  <c r="U94" i="8"/>
  <c r="U95" i="8"/>
  <c r="U96" i="8"/>
  <c r="U97" i="8"/>
  <c r="U98" i="8"/>
  <c r="U99" i="8"/>
  <c r="U100" i="8"/>
  <c r="U104" i="8"/>
  <c r="U105" i="8"/>
  <c r="U106" i="8"/>
  <c r="U107" i="8"/>
  <c r="U108" i="8"/>
  <c r="U112" i="8"/>
  <c r="U113" i="8"/>
  <c r="U114" i="8"/>
  <c r="U115" i="8"/>
  <c r="U116" i="8"/>
  <c r="U120" i="8"/>
  <c r="U121" i="8"/>
  <c r="U122" i="8"/>
  <c r="U123" i="8"/>
  <c r="U124" i="8"/>
  <c r="U125" i="8"/>
  <c r="V93" i="8"/>
  <c r="V94" i="8"/>
  <c r="V95" i="8"/>
  <c r="V96" i="8"/>
  <c r="V97" i="8"/>
  <c r="V98" i="8"/>
  <c r="V99" i="8"/>
  <c r="V100" i="8"/>
  <c r="V104" i="8"/>
  <c r="V105" i="8"/>
  <c r="V106" i="8"/>
  <c r="V107" i="8"/>
  <c r="V108" i="8"/>
  <c r="V112" i="8"/>
  <c r="V113" i="8"/>
  <c r="V114" i="8"/>
  <c r="V115" i="8"/>
  <c r="V116" i="8"/>
  <c r="V120" i="8"/>
  <c r="V121" i="8"/>
  <c r="V122" i="8"/>
  <c r="V123" i="8"/>
  <c r="V124" i="8"/>
  <c r="V125" i="8"/>
  <c r="W93" i="8"/>
  <c r="W97" i="8"/>
  <c r="W104" i="8"/>
  <c r="W108" i="8"/>
  <c r="W116" i="8"/>
  <c r="W124" i="8"/>
  <c r="C79" i="8"/>
  <c r="C81" i="8" s="1"/>
  <c r="C15" i="8"/>
  <c r="C19" i="8"/>
  <c r="O55" i="11"/>
  <c r="Z55" i="11" s="1"/>
  <c r="Z104" i="8"/>
  <c r="K130" i="8"/>
  <c r="K55" i="11"/>
  <c r="V55" i="11" s="1"/>
  <c r="Z124" i="8"/>
  <c r="S55" i="11"/>
  <c r="AD55" i="11" s="1"/>
  <c r="AG21" i="11"/>
  <c r="AG22" i="11"/>
  <c r="AG23" i="11"/>
  <c r="AE48" i="11"/>
  <c r="AD38" i="11"/>
  <c r="X44" i="11"/>
  <c r="V44" i="11"/>
  <c r="Y48" i="11"/>
  <c r="V24" i="10"/>
  <c r="U23" i="10"/>
  <c r="R25" i="10"/>
  <c r="S24" i="10"/>
  <c r="U24" i="10"/>
  <c r="V25" i="10"/>
  <c r="X25" i="10"/>
  <c r="S23" i="10"/>
  <c r="T23" i="10"/>
  <c r="S26" i="10"/>
  <c r="U26" i="10"/>
  <c r="V26" i="10"/>
  <c r="W26" i="10"/>
  <c r="V22" i="10"/>
  <c r="T25" i="10"/>
  <c r="S22" i="10"/>
  <c r="D27" i="10"/>
  <c r="D31" i="10" s="1"/>
  <c r="I27" i="10"/>
  <c r="M27" i="10"/>
  <c r="M31" i="10" s="1"/>
  <c r="R130" i="8"/>
  <c r="AD48" i="11"/>
  <c r="AC48" i="11"/>
  <c r="AD44" i="11"/>
  <c r="Z97" i="8"/>
  <c r="Z69" i="8"/>
  <c r="Z70" i="8"/>
  <c r="Z52" i="8"/>
  <c r="Z51" i="8"/>
  <c r="N4" i="10"/>
  <c r="V4" i="10" s="1"/>
  <c r="V130" i="8"/>
  <c r="AE28" i="11"/>
  <c r="R76" i="11"/>
  <c r="R79" i="11" s="1"/>
  <c r="R88" i="11" s="1"/>
  <c r="AE37" i="11"/>
  <c r="K4" i="11"/>
  <c r="V4" i="11" s="1"/>
  <c r="AE38" i="11"/>
  <c r="AE39" i="11"/>
  <c r="AE76" i="11"/>
  <c r="AE79" i="11" s="1"/>
  <c r="T57" i="11"/>
  <c r="T76" i="11"/>
  <c r="T79" i="11" s="1"/>
  <c r="T88" i="11" s="1"/>
  <c r="L27" i="10"/>
  <c r="L33" i="10" s="1"/>
  <c r="E27" i="10"/>
  <c r="E33" i="10" s="1"/>
  <c r="H27" i="10"/>
  <c r="H32" i="10" s="1"/>
  <c r="O27" i="10"/>
  <c r="C27" i="10"/>
  <c r="C30" i="10" s="1"/>
  <c r="T12" i="11"/>
  <c r="T17" i="11" s="1"/>
  <c r="P27" i="10"/>
  <c r="P30" i="10" s="1"/>
  <c r="AD32" i="11"/>
  <c r="K27" i="10"/>
  <c r="G27" i="10"/>
  <c r="AB57" i="11"/>
  <c r="S75" i="11"/>
  <c r="S4" i="11"/>
  <c r="AD4" i="11" s="1"/>
  <c r="R57" i="11"/>
  <c r="I76" i="11"/>
  <c r="J133" i="8"/>
  <c r="H12" i="11"/>
  <c r="H17" i="11" s="1"/>
  <c r="H25" i="11" s="1"/>
  <c r="E12" i="11"/>
  <c r="E17" i="11" s="1"/>
  <c r="F12" i="11"/>
  <c r="F17" i="11" s="1"/>
  <c r="K75" i="11"/>
  <c r="V75" i="11" s="1"/>
  <c r="V76" i="11" s="1"/>
  <c r="O75" i="11"/>
  <c r="Z75" i="11" s="1"/>
  <c r="Z76" i="11" s="1"/>
  <c r="C12" i="11"/>
  <c r="I57" i="11"/>
  <c r="J57" i="11"/>
  <c r="D57" i="11"/>
  <c r="Y76" i="11"/>
  <c r="C57" i="11"/>
  <c r="H57" i="11"/>
  <c r="P76" i="11"/>
  <c r="Q76" i="11"/>
  <c r="M57" i="11"/>
  <c r="E57" i="11"/>
  <c r="L57" i="11"/>
  <c r="AC57" i="11"/>
  <c r="AC76" i="11"/>
  <c r="AE57" i="11"/>
  <c r="Y57" i="11"/>
  <c r="F79" i="11"/>
  <c r="F88" i="11" s="1"/>
  <c r="F57" i="11"/>
  <c r="Q57" i="11"/>
  <c r="AD57" i="11"/>
  <c r="N57" i="11"/>
  <c r="P57" i="11"/>
  <c r="O130" i="8"/>
  <c r="X15" i="8" l="1"/>
  <c r="X19" i="8"/>
  <c r="X20" i="8" s="1"/>
  <c r="X117" i="8"/>
  <c r="X126" i="8"/>
  <c r="Z113" i="8"/>
  <c r="W12" i="10"/>
  <c r="V12" i="10"/>
  <c r="D34" i="10"/>
  <c r="D32" i="10"/>
  <c r="Z121" i="8"/>
  <c r="C20" i="8"/>
  <c r="C23" i="8"/>
  <c r="V11" i="11"/>
  <c r="AA48" i="11"/>
  <c r="AB8" i="11"/>
  <c r="AB48" i="11"/>
  <c r="Z48" i="11"/>
  <c r="AD39" i="11"/>
  <c r="AE7" i="11"/>
  <c r="AD37" i="11"/>
  <c r="X11" i="11"/>
  <c r="W45" i="11"/>
  <c r="AB76" i="11"/>
  <c r="AD75" i="11"/>
  <c r="AD76" i="11" s="1"/>
  <c r="AD79" i="11" s="1"/>
  <c r="AD88" i="11" s="1"/>
  <c r="X10" i="11"/>
  <c r="AE32" i="11"/>
  <c r="AD28" i="11"/>
  <c r="Y44" i="11"/>
  <c r="AE44" i="11"/>
  <c r="Z11" i="11"/>
  <c r="D12" i="11"/>
  <c r="D17" i="11" s="1"/>
  <c r="D18" i="11" s="1"/>
  <c r="Q12" i="11"/>
  <c r="Q17" i="11" s="1"/>
  <c r="Q25" i="11" s="1"/>
  <c r="J12" i="11"/>
  <c r="J17" i="11" s="1"/>
  <c r="J18" i="11" s="1"/>
  <c r="M32" i="10"/>
  <c r="D33" i="10"/>
  <c r="D30" i="10"/>
  <c r="H30" i="10"/>
  <c r="H34" i="10"/>
  <c r="P12" i="11"/>
  <c r="H31" i="10"/>
  <c r="H33" i="10"/>
  <c r="N12" i="11"/>
  <c r="I33" i="10"/>
  <c r="I12" i="11"/>
  <c r="I17" i="11" s="1"/>
  <c r="I25" i="11" s="1"/>
  <c r="M12" i="11"/>
  <c r="O32" i="10"/>
  <c r="O34" i="10"/>
  <c r="I31" i="10"/>
  <c r="I34" i="10"/>
  <c r="M30" i="10"/>
  <c r="L12" i="11"/>
  <c r="L17" i="11" s="1"/>
  <c r="M33" i="10"/>
  <c r="L30" i="10"/>
  <c r="M34" i="10"/>
  <c r="L32" i="10"/>
  <c r="S12" i="10"/>
  <c r="AD9" i="11"/>
  <c r="O33" i="10"/>
  <c r="AD7" i="11"/>
  <c r="I30" i="10"/>
  <c r="AD11" i="11"/>
  <c r="Y11" i="11"/>
  <c r="E34" i="10"/>
  <c r="AC8" i="11"/>
  <c r="AC7" i="11"/>
  <c r="E31" i="10"/>
  <c r="R12" i="11"/>
  <c r="R17" i="11" s="1"/>
  <c r="R18" i="11" s="1"/>
  <c r="O31" i="10"/>
  <c r="W7" i="11"/>
  <c r="O30" i="10"/>
  <c r="AA9" i="11"/>
  <c r="AE6" i="11"/>
  <c r="AE10" i="11"/>
  <c r="I32" i="10"/>
  <c r="Z116" i="8"/>
  <c r="Z108" i="8"/>
  <c r="Z93" i="8"/>
  <c r="AA76" i="11"/>
  <c r="AD41" i="11"/>
  <c r="X76" i="11"/>
  <c r="N76" i="11"/>
  <c r="W76" i="11"/>
  <c r="S76" i="11"/>
  <c r="S79" i="11" s="1"/>
  <c r="S88" i="11" s="1"/>
  <c r="S57" i="11"/>
  <c r="L31" i="10"/>
  <c r="E32" i="10"/>
  <c r="E30" i="10"/>
  <c r="T12" i="10"/>
  <c r="C31" i="10"/>
  <c r="L34" i="10"/>
  <c r="U12" i="10"/>
  <c r="J27" i="10"/>
  <c r="J31" i="10" s="1"/>
  <c r="C33" i="10"/>
  <c r="C34" i="10"/>
  <c r="C32" i="10"/>
  <c r="P33" i="10"/>
  <c r="P32" i="10"/>
  <c r="P31" i="10"/>
  <c r="P34" i="10"/>
  <c r="T25" i="11"/>
  <c r="T18" i="11"/>
  <c r="K30" i="10"/>
  <c r="K33" i="10"/>
  <c r="K34" i="10"/>
  <c r="K32" i="10"/>
  <c r="K31" i="10"/>
  <c r="G33" i="10"/>
  <c r="G32" i="10"/>
  <c r="G31" i="10"/>
  <c r="G34" i="10"/>
  <c r="G30" i="10"/>
  <c r="Y46" i="11"/>
  <c r="V45" i="11"/>
  <c r="C17" i="11"/>
  <c r="C18" i="11" s="1"/>
  <c r="C13" i="11"/>
  <c r="L76" i="11"/>
  <c r="F13" i="11"/>
  <c r="K76" i="11"/>
  <c r="H18" i="11"/>
  <c r="O76" i="11"/>
  <c r="E18" i="11"/>
  <c r="E25" i="11"/>
  <c r="F18" i="11"/>
  <c r="F25" i="11"/>
  <c r="AE88" i="11"/>
  <c r="I18" i="11"/>
  <c r="H29" i="11"/>
  <c r="H26" i="11"/>
  <c r="X23" i="8" l="1"/>
  <c r="X27" i="8"/>
  <c r="X24" i="8"/>
  <c r="C27" i="8"/>
  <c r="C24" i="8"/>
  <c r="E13" i="11"/>
  <c r="L13" i="11"/>
  <c r="AE45" i="11"/>
  <c r="AD45" i="11"/>
  <c r="AB9" i="11"/>
  <c r="Z8" i="11"/>
  <c r="AC6" i="11"/>
  <c r="AA6" i="11"/>
  <c r="AB6" i="11"/>
  <c r="AB11" i="11"/>
  <c r="AC11" i="11"/>
  <c r="AC46" i="11"/>
  <c r="AB46" i="11"/>
  <c r="Y9" i="11"/>
  <c r="V9" i="11"/>
  <c r="Y6" i="11"/>
  <c r="X6" i="11"/>
  <c r="V6" i="11"/>
  <c r="W6" i="11"/>
  <c r="AA46" i="11"/>
  <c r="AE11" i="11"/>
  <c r="AA7" i="11"/>
  <c r="Z46" i="11"/>
  <c r="AD10" i="11"/>
  <c r="W9" i="11"/>
  <c r="AE9" i="11"/>
  <c r="Z6" i="11"/>
  <c r="AB7" i="11"/>
  <c r="AE24" i="11"/>
  <c r="AD24" i="11"/>
  <c r="AC10" i="11"/>
  <c r="Z10" i="11"/>
  <c r="AB10" i="11"/>
  <c r="AA10" i="11"/>
  <c r="AC44" i="11"/>
  <c r="AB44" i="11"/>
  <c r="AE8" i="11"/>
  <c r="AD8" i="11"/>
  <c r="Y10" i="11"/>
  <c r="W10" i="11"/>
  <c r="V10" i="11"/>
  <c r="AA11" i="11"/>
  <c r="Y45" i="11"/>
  <c r="X45" i="11"/>
  <c r="AC9" i="11"/>
  <c r="Z9" i="11"/>
  <c r="AE46" i="11"/>
  <c r="AD46" i="11"/>
  <c r="AA8" i="11"/>
  <c r="Z44" i="11"/>
  <c r="AE41" i="11"/>
  <c r="AD6" i="11"/>
  <c r="Y7" i="11"/>
  <c r="X7" i="11"/>
  <c r="V7" i="11"/>
  <c r="X46" i="11"/>
  <c r="V46" i="11"/>
  <c r="W46" i="11"/>
  <c r="Y8" i="11"/>
  <c r="X8" i="11"/>
  <c r="V8" i="11"/>
  <c r="W8" i="11"/>
  <c r="W11" i="11"/>
  <c r="X9" i="11"/>
  <c r="AA44" i="11"/>
  <c r="Z7" i="11"/>
  <c r="D13" i="11"/>
  <c r="Q18" i="11"/>
  <c r="M13" i="11"/>
  <c r="P13" i="11"/>
  <c r="J34" i="10"/>
  <c r="I14" i="11"/>
  <c r="M14" i="11"/>
  <c r="J14" i="11"/>
  <c r="J25" i="11"/>
  <c r="J26" i="11" s="1"/>
  <c r="N13" i="11"/>
  <c r="J32" i="10"/>
  <c r="Q14" i="11"/>
  <c r="T13" i="11"/>
  <c r="P17" i="11"/>
  <c r="P25" i="11" s="1"/>
  <c r="P26" i="11" s="1"/>
  <c r="R14" i="11"/>
  <c r="Q13" i="11"/>
  <c r="N17" i="11"/>
  <c r="N18" i="11" s="1"/>
  <c r="M17" i="11"/>
  <c r="M18" i="11" s="1"/>
  <c r="O12" i="11"/>
  <c r="O14" i="11" s="1"/>
  <c r="R27" i="10"/>
  <c r="R28" i="10" s="1"/>
  <c r="N14" i="11"/>
  <c r="R13" i="11"/>
  <c r="U27" i="10"/>
  <c r="R25" i="11"/>
  <c r="R26" i="11" s="1"/>
  <c r="T27" i="10"/>
  <c r="T28" i="10" s="1"/>
  <c r="AG6" i="11"/>
  <c r="K12" i="11"/>
  <c r="L14" i="11" s="1"/>
  <c r="S12" i="11"/>
  <c r="T14" i="11" s="1"/>
  <c r="J30" i="10"/>
  <c r="J33" i="10"/>
  <c r="Z120" i="8"/>
  <c r="T26" i="11"/>
  <c r="T29" i="11"/>
  <c r="S27" i="10"/>
  <c r="S28" i="10" s="1"/>
  <c r="X27" i="10"/>
  <c r="W27" i="10"/>
  <c r="W28" i="10" s="1"/>
  <c r="V27" i="10"/>
  <c r="V28" i="10" s="1"/>
  <c r="AC45" i="11"/>
  <c r="C25" i="11"/>
  <c r="C29" i="11" s="1"/>
  <c r="C30" i="11" s="1"/>
  <c r="D25" i="11"/>
  <c r="D29" i="11" s="1"/>
  <c r="E29" i="11"/>
  <c r="E26" i="11"/>
  <c r="H34" i="11"/>
  <c r="H30" i="11"/>
  <c r="F29" i="11"/>
  <c r="F26" i="11"/>
  <c r="Q29" i="11"/>
  <c r="Q26" i="11"/>
  <c r="L25" i="11"/>
  <c r="L18" i="11"/>
  <c r="I29" i="11"/>
  <c r="I26" i="11"/>
  <c r="X28" i="8" l="1"/>
  <c r="X89" i="8"/>
  <c r="X31" i="8"/>
  <c r="X34" i="8"/>
  <c r="C28" i="8"/>
  <c r="C31" i="8"/>
  <c r="C34" i="8"/>
  <c r="C89" i="8"/>
  <c r="C109" i="8" s="1"/>
  <c r="C135" i="8" s="1"/>
  <c r="C136" i="8" s="1"/>
  <c r="C138" i="8" s="1"/>
  <c r="J29" i="11"/>
  <c r="AD33" i="11"/>
  <c r="AE33" i="11"/>
  <c r="AA45" i="11"/>
  <c r="Z45" i="11"/>
  <c r="M25" i="11"/>
  <c r="M29" i="11" s="1"/>
  <c r="AE47" i="11"/>
  <c r="AD47" i="11"/>
  <c r="AB45" i="11"/>
  <c r="P29" i="11"/>
  <c r="P30" i="11" s="1"/>
  <c r="AD12" i="11"/>
  <c r="P18" i="11"/>
  <c r="P14" i="11"/>
  <c r="N25" i="11"/>
  <c r="N26" i="11" s="1"/>
  <c r="T33" i="10"/>
  <c r="R32" i="10"/>
  <c r="R33" i="10"/>
  <c r="R34" i="10"/>
  <c r="R30" i="10"/>
  <c r="R31" i="10"/>
  <c r="T34" i="10"/>
  <c r="T31" i="10"/>
  <c r="S14" i="11"/>
  <c r="T30" i="10"/>
  <c r="T32" i="10"/>
  <c r="U31" i="10"/>
  <c r="U28" i="10"/>
  <c r="U33" i="10"/>
  <c r="U30" i="10"/>
  <c r="U34" i="10"/>
  <c r="AB12" i="11"/>
  <c r="U32" i="10"/>
  <c r="S13" i="11"/>
  <c r="X12" i="11"/>
  <c r="S17" i="11"/>
  <c r="S18" i="11" s="1"/>
  <c r="AA12" i="11"/>
  <c r="R29" i="11"/>
  <c r="R30" i="11" s="1"/>
  <c r="Z12" i="11"/>
  <c r="V12" i="11"/>
  <c r="AC12" i="11"/>
  <c r="AG11" i="11"/>
  <c r="Y12" i="11"/>
  <c r="K14" i="11"/>
  <c r="AG7" i="11"/>
  <c r="AE12" i="11"/>
  <c r="AE17" i="11" s="1"/>
  <c r="AE18" i="11" s="1"/>
  <c r="W12" i="11"/>
  <c r="O13" i="11"/>
  <c r="AG8" i="11"/>
  <c r="AG9" i="11"/>
  <c r="AG10" i="11"/>
  <c r="V30" i="10"/>
  <c r="X30" i="10"/>
  <c r="T34" i="11"/>
  <c r="T30" i="11"/>
  <c r="V31" i="10"/>
  <c r="V33" i="10"/>
  <c r="V32" i="10"/>
  <c r="V34" i="10"/>
  <c r="W34" i="10"/>
  <c r="W33" i="10"/>
  <c r="W32" i="10"/>
  <c r="W31" i="10"/>
  <c r="X33" i="10"/>
  <c r="X34" i="10"/>
  <c r="X32" i="10"/>
  <c r="X31" i="10"/>
  <c r="W30" i="10"/>
  <c r="S30" i="10"/>
  <c r="S31" i="10"/>
  <c r="S33" i="10"/>
  <c r="S32" i="10"/>
  <c r="S34" i="10"/>
  <c r="C26" i="11"/>
  <c r="C34" i="11"/>
  <c r="C83" i="11" s="1"/>
  <c r="D26" i="11"/>
  <c r="H35" i="11"/>
  <c r="H42" i="11"/>
  <c r="J34" i="11"/>
  <c r="J30" i="11"/>
  <c r="D30" i="11"/>
  <c r="D34" i="11"/>
  <c r="Q30" i="11"/>
  <c r="Q34" i="11"/>
  <c r="I34" i="11"/>
  <c r="I30" i="11"/>
  <c r="E30" i="11"/>
  <c r="E34" i="11"/>
  <c r="L29" i="11"/>
  <c r="L26" i="11"/>
  <c r="F30" i="11"/>
  <c r="F34" i="11"/>
  <c r="P34" i="11" l="1"/>
  <c r="P35" i="11" s="1"/>
  <c r="M26" i="11"/>
  <c r="H49" i="11"/>
  <c r="H50" i="11" s="1"/>
  <c r="AD13" i="11"/>
  <c r="N29" i="11"/>
  <c r="N30" i="11" s="1"/>
  <c r="AB13" i="11"/>
  <c r="Z13" i="11"/>
  <c r="AA13" i="11"/>
  <c r="R34" i="11"/>
  <c r="R35" i="11" s="1"/>
  <c r="S25" i="11"/>
  <c r="S29" i="11" s="1"/>
  <c r="S30" i="11" s="1"/>
  <c r="AE25" i="11"/>
  <c r="AE29" i="11" s="1"/>
  <c r="AE34" i="11" s="1"/>
  <c r="AE13" i="11"/>
  <c r="AG12" i="11"/>
  <c r="AC13" i="11"/>
  <c r="T35" i="11"/>
  <c r="T42" i="11"/>
  <c r="T49" i="11" s="1"/>
  <c r="C87" i="11" a="1"/>
  <c r="C87" i="11" s="1"/>
  <c r="C84" i="11"/>
  <c r="C86" i="11" a="1"/>
  <c r="C86" i="11" s="1"/>
  <c r="C35" i="11"/>
  <c r="C42" i="11"/>
  <c r="C85" i="11"/>
  <c r="F87" i="11" a="1"/>
  <c r="F87" i="11" s="1"/>
  <c r="F86" i="11" a="1"/>
  <c r="F86" i="11" s="1"/>
  <c r="F42" i="11"/>
  <c r="F49" i="11" s="1"/>
  <c r="F35" i="11"/>
  <c r="F85" i="11"/>
  <c r="F83" i="11"/>
  <c r="F84" i="11"/>
  <c r="Q42" i="11"/>
  <c r="Q49" i="11" s="1"/>
  <c r="Q35" i="11"/>
  <c r="D87" i="11" a="1"/>
  <c r="D87" i="11" s="1"/>
  <c r="D42" i="11"/>
  <c r="D49" i="11" s="1"/>
  <c r="D83" i="11"/>
  <c r="D86" i="11" a="1"/>
  <c r="D86" i="11" s="1"/>
  <c r="D35" i="11"/>
  <c r="D85" i="11"/>
  <c r="D84" i="11"/>
  <c r="L30" i="11"/>
  <c r="L34" i="11"/>
  <c r="E42" i="11"/>
  <c r="E49" i="11" s="1"/>
  <c r="E35" i="11"/>
  <c r="E87" i="11" a="1"/>
  <c r="E87" i="11" s="1"/>
  <c r="E85" i="11"/>
  <c r="E86" i="11" a="1"/>
  <c r="E86" i="11" s="1"/>
  <c r="E84" i="11"/>
  <c r="E83" i="11"/>
  <c r="M30" i="11"/>
  <c r="M34" i="11"/>
  <c r="P42" i="11"/>
  <c r="I35" i="11"/>
  <c r="I42" i="11"/>
  <c r="I49" i="11" s="1"/>
  <c r="J42" i="11"/>
  <c r="J49" i="11" s="1"/>
  <c r="J35" i="11"/>
  <c r="N34" i="11" l="1"/>
  <c r="N35" i="11" s="1"/>
  <c r="C50" i="11"/>
  <c r="R42" i="11"/>
  <c r="R49" i="11" s="1"/>
  <c r="AG13" i="11"/>
  <c r="AE30" i="11"/>
  <c r="S26" i="11"/>
  <c r="S34" i="11"/>
  <c r="S85" i="11" s="1" a="1"/>
  <c r="S85" i="11" s="1"/>
  <c r="AE26" i="11"/>
  <c r="T50" i="11"/>
  <c r="L42" i="11"/>
  <c r="L35" i="11"/>
  <c r="I50" i="11"/>
  <c r="F50" i="11"/>
  <c r="J50" i="11"/>
  <c r="M42" i="11"/>
  <c r="M49" i="11" s="1"/>
  <c r="M35" i="11"/>
  <c r="AE87" i="11" a="1"/>
  <c r="AE87" i="11" s="1"/>
  <c r="AE42" i="11"/>
  <c r="AE86" i="11" a="1"/>
  <c r="AE86" i="11" s="1"/>
  <c r="AE85" i="11"/>
  <c r="AE35" i="11"/>
  <c r="AE83" i="11"/>
  <c r="AE84" i="11"/>
  <c r="Q50" i="11"/>
  <c r="N42" i="11"/>
  <c r="N49" i="11" s="1"/>
  <c r="E50" i="11"/>
  <c r="D50" i="11"/>
  <c r="S35" i="11" l="1"/>
  <c r="T84" i="11"/>
  <c r="S86" i="11" a="1"/>
  <c r="S86" i="11" s="1"/>
  <c r="S87" i="11" a="1"/>
  <c r="S87" i="11" s="1"/>
  <c r="S83" i="11"/>
  <c r="S84" i="11"/>
  <c r="T86" i="11" a="1"/>
  <c r="T86" i="11" s="1"/>
  <c r="T83" i="11"/>
  <c r="T85" i="11" a="1"/>
  <c r="T85" i="11" s="1"/>
  <c r="S42" i="11"/>
  <c r="T87" i="11" a="1"/>
  <c r="T87" i="11" s="1"/>
  <c r="R50" i="11"/>
  <c r="M50" i="11"/>
  <c r="S49" i="11" l="1"/>
  <c r="AE49" i="11" s="1"/>
  <c r="N50" i="11"/>
  <c r="S50" i="11" l="1"/>
  <c r="B2" i="10"/>
  <c r="B17" i="10"/>
  <c r="B15" i="10"/>
  <c r="I12" i="10"/>
  <c r="I16" i="10" s="1"/>
  <c r="D12" i="10"/>
  <c r="D16" i="10" s="1"/>
  <c r="O12" i="10"/>
  <c r="O16" i="10" s="1"/>
  <c r="V16" i="10" s="1"/>
  <c r="E12" i="10"/>
  <c r="E16" i="10" s="1"/>
  <c r="P12" i="10"/>
  <c r="P16" i="10" s="1"/>
  <c r="W16" i="10" s="1"/>
  <c r="N12" i="10"/>
  <c r="M12" i="10"/>
  <c r="M16" i="10" s="1"/>
  <c r="T16" i="10" s="1"/>
  <c r="L12" i="10"/>
  <c r="L16" i="10" s="1"/>
  <c r="S16" i="10" s="1"/>
  <c r="H12" i="10"/>
  <c r="H16" i="10" s="1"/>
  <c r="C12" i="10"/>
  <c r="C16" i="10" s="1"/>
  <c r="N142" i="8"/>
  <c r="X142" i="8" s="1"/>
  <c r="J142" i="8"/>
  <c r="E130" i="8"/>
  <c r="D130" i="8"/>
  <c r="G130" i="8" s="1"/>
  <c r="N16" i="10" l="1"/>
  <c r="U16" i="10" s="1"/>
  <c r="E28" i="10"/>
  <c r="C28" i="10"/>
  <c r="L28" i="10"/>
  <c r="D28" i="10"/>
  <c r="H28" i="10"/>
  <c r="I28" i="10"/>
  <c r="O28" i="10"/>
  <c r="M28" i="10"/>
  <c r="P28" i="10"/>
  <c r="W142" i="8"/>
  <c r="V142" i="8"/>
  <c r="U142" i="8"/>
  <c r="T142" i="8"/>
  <c r="S142" i="8"/>
  <c r="R142" i="8"/>
  <c r="Z49" i="8"/>
  <c r="Z54" i="8"/>
  <c r="Z58" i="8"/>
  <c r="Z50" i="8"/>
  <c r="Z59" i="8"/>
  <c r="C15" i="10"/>
  <c r="C17" i="10"/>
  <c r="H15" i="10"/>
  <c r="H17" i="10"/>
  <c r="E17" i="10"/>
  <c r="E15" i="10"/>
  <c r="L17" i="10"/>
  <c r="S17" i="10" s="1"/>
  <c r="L15" i="10"/>
  <c r="S15" i="10" s="1"/>
  <c r="M17" i="10"/>
  <c r="T17" i="10" s="1"/>
  <c r="M15" i="10"/>
  <c r="T15" i="10" s="1"/>
  <c r="O15" i="10"/>
  <c r="V15" i="10" s="1"/>
  <c r="O17" i="10"/>
  <c r="V17" i="10" s="1"/>
  <c r="D15" i="10"/>
  <c r="D17" i="10"/>
  <c r="N15" i="10"/>
  <c r="U15" i="10" s="1"/>
  <c r="N17" i="10"/>
  <c r="U17" i="10" s="1"/>
  <c r="I17" i="10"/>
  <c r="I15" i="10"/>
  <c r="P15" i="10"/>
  <c r="W15" i="10" s="1"/>
  <c r="P17" i="10"/>
  <c r="W17" i="10" s="1"/>
  <c r="X17" i="10"/>
  <c r="X15" i="10"/>
  <c r="J12" i="10"/>
  <c r="J16" i="10" s="1"/>
  <c r="X12" i="10"/>
  <c r="X28" i="10" s="1"/>
  <c r="G12" i="10"/>
  <c r="G16" i="10" s="1"/>
  <c r="K12" i="10"/>
  <c r="K16" i="10" s="1"/>
  <c r="R16" i="10" s="1"/>
  <c r="J28" i="10" l="1"/>
  <c r="G28" i="10"/>
  <c r="K28" i="10"/>
  <c r="AC47" i="11"/>
  <c r="AB47" i="11"/>
  <c r="AA47" i="11"/>
  <c r="Z47" i="11"/>
  <c r="X47" i="11"/>
  <c r="Y47" i="11"/>
  <c r="W47" i="11"/>
  <c r="V47" i="11"/>
  <c r="G17" i="10"/>
  <c r="G15" i="10"/>
  <c r="K17" i="10"/>
  <c r="R17" i="10" s="1"/>
  <c r="K15" i="10"/>
  <c r="R15" i="10" s="1"/>
  <c r="J17" i="10"/>
  <c r="J15" i="10"/>
  <c r="N141" i="8" l="1"/>
  <c r="X141" i="8" s="1"/>
  <c r="J141" i="8"/>
  <c r="Z41" i="8"/>
  <c r="E126" i="8"/>
  <c r="O126" i="8"/>
  <c r="T141" i="8" l="1"/>
  <c r="S141" i="8"/>
  <c r="R141" i="8"/>
  <c r="W141" i="8"/>
  <c r="V141" i="8"/>
  <c r="U141" i="8"/>
  <c r="K54" i="11"/>
  <c r="O54" i="11"/>
  <c r="S126" i="8"/>
  <c r="R126" i="8"/>
  <c r="X57" i="11"/>
  <c r="Z75" i="8"/>
  <c r="Z64" i="8"/>
  <c r="Z77" i="8"/>
  <c r="Z74" i="8"/>
  <c r="Z68" i="8"/>
  <c r="Z76" i="8"/>
  <c r="Z73" i="8"/>
  <c r="Z45" i="8"/>
  <c r="P126" i="8"/>
  <c r="I126" i="8"/>
  <c r="D126" i="8"/>
  <c r="G126" i="8"/>
  <c r="H126" i="8"/>
  <c r="K126" i="8"/>
  <c r="L126" i="8"/>
  <c r="M126" i="8"/>
  <c r="J92" i="8"/>
  <c r="Z22" i="8" l="1"/>
  <c r="T92" i="8"/>
  <c r="S92" i="8"/>
  <c r="R92" i="8"/>
  <c r="Z54" i="11"/>
  <c r="Z57" i="11" s="1"/>
  <c r="P49" i="11"/>
  <c r="AD49" i="11" s="1"/>
  <c r="V54" i="11"/>
  <c r="V57" i="11" s="1"/>
  <c r="L49" i="11"/>
  <c r="Z39" i="11"/>
  <c r="AC39" i="11"/>
  <c r="AA39" i="11"/>
  <c r="AG39" i="11" s="1"/>
  <c r="AB39" i="11"/>
  <c r="AC37" i="11"/>
  <c r="AA37" i="11"/>
  <c r="AG37" i="11" s="1"/>
  <c r="Z37" i="11"/>
  <c r="AB37" i="11"/>
  <c r="Y39" i="11"/>
  <c r="W39" i="11"/>
  <c r="V39" i="11"/>
  <c r="X39" i="11"/>
  <c r="AB38" i="11"/>
  <c r="AC38" i="11"/>
  <c r="Z38" i="11"/>
  <c r="AA38" i="11"/>
  <c r="AG38" i="11" s="1"/>
  <c r="Y37" i="11"/>
  <c r="V37" i="11"/>
  <c r="X37" i="11"/>
  <c r="W37" i="11"/>
  <c r="Y38" i="11"/>
  <c r="W38" i="11"/>
  <c r="V38" i="11"/>
  <c r="X38" i="11"/>
  <c r="Z26" i="8"/>
  <c r="O57" i="11"/>
  <c r="W57" i="11"/>
  <c r="K57" i="11"/>
  <c r="J103" i="8"/>
  <c r="N126" i="8"/>
  <c r="J126" i="8"/>
  <c r="T103" i="8" l="1"/>
  <c r="S103" i="8"/>
  <c r="R103" i="8"/>
  <c r="Y28" i="11"/>
  <c r="X28" i="11"/>
  <c r="V28" i="11"/>
  <c r="W28" i="11"/>
  <c r="Y32" i="11"/>
  <c r="V32" i="11"/>
  <c r="X32" i="11"/>
  <c r="W32" i="11"/>
  <c r="AC32" i="11"/>
  <c r="AB32" i="11"/>
  <c r="Z32" i="11"/>
  <c r="AA32" i="11"/>
  <c r="AG32" i="11" s="1"/>
  <c r="AE50" i="11"/>
  <c r="P50" i="11"/>
  <c r="L50" i="11"/>
  <c r="AA57" i="11"/>
  <c r="T126" i="8"/>
  <c r="V126" i="8"/>
  <c r="W126" i="8"/>
  <c r="U126" i="8"/>
  <c r="Y41" i="11" l="1"/>
  <c r="W41" i="11"/>
  <c r="X41" i="11"/>
  <c r="V41" i="11"/>
  <c r="P78" i="8"/>
  <c r="O78" i="8"/>
  <c r="M78" i="8"/>
  <c r="L78" i="8"/>
  <c r="V79" i="11" s="1"/>
  <c r="V88" i="11" s="1"/>
  <c r="K78" i="8"/>
  <c r="I78" i="8"/>
  <c r="J79" i="11" s="1"/>
  <c r="H78" i="8"/>
  <c r="I79" i="11" s="1"/>
  <c r="G78" i="8"/>
  <c r="H79" i="11" s="1"/>
  <c r="E78" i="8"/>
  <c r="E79" i="11" s="1"/>
  <c r="E88" i="11" s="1"/>
  <c r="D78" i="8"/>
  <c r="D79" i="11" s="1"/>
  <c r="D88" i="11" s="1"/>
  <c r="C79" i="11"/>
  <c r="C88" i="11" s="1"/>
  <c r="N33" i="8"/>
  <c r="V33" i="8" s="1"/>
  <c r="N30" i="8"/>
  <c r="V30" i="8" s="1"/>
  <c r="AD17" i="11" l="1"/>
  <c r="AD25" i="11" s="1"/>
  <c r="Y79" i="11"/>
  <c r="Y88" i="11" s="1"/>
  <c r="M79" i="11"/>
  <c r="M88" i="11" s="1"/>
  <c r="N79" i="11"/>
  <c r="N88" i="11" s="1"/>
  <c r="Z79" i="11"/>
  <c r="Z88" i="11" s="1"/>
  <c r="AC79" i="11"/>
  <c r="AC88" i="11" s="1"/>
  <c r="Q79" i="11"/>
  <c r="Q88" i="11" s="1"/>
  <c r="AB79" i="11"/>
  <c r="AB88" i="11" s="1"/>
  <c r="P79" i="11"/>
  <c r="P88" i="11" s="1"/>
  <c r="L79" i="11"/>
  <c r="L88" i="11" s="1"/>
  <c r="Z30" i="8"/>
  <c r="Z33" i="8"/>
  <c r="S78" i="8"/>
  <c r="T78" i="8"/>
  <c r="U78" i="8"/>
  <c r="W78" i="8"/>
  <c r="J78" i="8"/>
  <c r="R78" i="8"/>
  <c r="V78" i="8"/>
  <c r="N78" i="8"/>
  <c r="X79" i="11" s="1"/>
  <c r="X88" i="11" s="1"/>
  <c r="Y16" i="11" l="1"/>
  <c r="X16" i="11"/>
  <c r="W16" i="11"/>
  <c r="W17" i="11" s="1"/>
  <c r="W18" i="11" s="1"/>
  <c r="V16" i="11"/>
  <c r="V17" i="11" s="1"/>
  <c r="X20" i="11"/>
  <c r="Y20" i="11"/>
  <c r="V20" i="11"/>
  <c r="W20" i="11"/>
  <c r="AC24" i="11"/>
  <c r="AA24" i="11"/>
  <c r="AG24" i="11" s="1"/>
  <c r="AB24" i="11"/>
  <c r="Z24" i="11"/>
  <c r="O17" i="11"/>
  <c r="O25" i="11" s="1"/>
  <c r="Z16" i="11"/>
  <c r="Z17" i="11" s="1"/>
  <c r="Z18" i="11" s="1"/>
  <c r="AC16" i="11"/>
  <c r="AC17" i="11" s="1"/>
  <c r="AC25" i="11" s="1"/>
  <c r="AA16" i="11"/>
  <c r="AA17" i="11" s="1"/>
  <c r="AB16" i="11"/>
  <c r="AB17" i="11" s="1"/>
  <c r="AC20" i="11"/>
  <c r="Z20" i="11"/>
  <c r="AB20" i="11"/>
  <c r="AA20" i="11"/>
  <c r="AG20" i="11" s="1"/>
  <c r="V24" i="11"/>
  <c r="Y24" i="11"/>
  <c r="W24" i="11"/>
  <c r="X24" i="11"/>
  <c r="X17" i="11"/>
  <c r="X18" i="11" s="1"/>
  <c r="Y17" i="11"/>
  <c r="Y18" i="11" s="1"/>
  <c r="K17" i="11"/>
  <c r="K25" i="11" s="1"/>
  <c r="AD18" i="11"/>
  <c r="W79" i="11"/>
  <c r="W88" i="11" s="1"/>
  <c r="K79" i="11"/>
  <c r="K88" i="11" s="1"/>
  <c r="AA79" i="11"/>
  <c r="AA88" i="11" s="1"/>
  <c r="O79" i="11"/>
  <c r="O88" i="11" s="1"/>
  <c r="AB18" i="11"/>
  <c r="N103" i="8"/>
  <c r="X103" i="8" s="1"/>
  <c r="N92" i="8"/>
  <c r="X92" i="8" s="1"/>
  <c r="X109" i="8" s="1"/>
  <c r="W92" i="8" l="1"/>
  <c r="V92" i="8"/>
  <c r="U92" i="8"/>
  <c r="Z103" i="8"/>
  <c r="W103" i="8"/>
  <c r="V103" i="8"/>
  <c r="U103" i="8"/>
  <c r="Z92" i="8"/>
  <c r="O18" i="11"/>
  <c r="AC33" i="11"/>
  <c r="AB33" i="11"/>
  <c r="AA33" i="11"/>
  <c r="AG33" i="11" s="1"/>
  <c r="Z33" i="11"/>
  <c r="AB25" i="11"/>
  <c r="AB26" i="11" s="1"/>
  <c r="X33" i="11"/>
  <c r="Y33" i="11"/>
  <c r="V33" i="11"/>
  <c r="W33" i="11"/>
  <c r="AC18" i="11"/>
  <c r="X25" i="11"/>
  <c r="X26" i="11" s="1"/>
  <c r="AG16" i="11"/>
  <c r="Y25" i="11"/>
  <c r="Y26" i="11" s="1"/>
  <c r="K18" i="11"/>
  <c r="Z25" i="11"/>
  <c r="Z26" i="11" s="1"/>
  <c r="AA25" i="11"/>
  <c r="W25" i="11"/>
  <c r="W26" i="11" s="1"/>
  <c r="V25" i="11"/>
  <c r="V18" i="11"/>
  <c r="AD29" i="11"/>
  <c r="O26" i="11"/>
  <c r="K26" i="11"/>
  <c r="K29" i="11"/>
  <c r="AG17" i="11"/>
  <c r="AA18" i="11"/>
  <c r="AG18" i="11" s="1"/>
  <c r="AD26" i="11"/>
  <c r="AC26" i="11"/>
  <c r="Z112" i="8"/>
  <c r="AC41" i="11" l="1"/>
  <c r="AA41" i="11"/>
  <c r="AG41" i="11" s="1"/>
  <c r="Z41" i="11"/>
  <c r="AB41" i="11"/>
  <c r="AB28" i="11"/>
  <c r="AB29" i="11" s="1"/>
  <c r="AC28" i="11"/>
  <c r="AC29" i="11" s="1"/>
  <c r="AC34" i="11" s="1"/>
  <c r="Z28" i="11"/>
  <c r="Z29" i="11" s="1"/>
  <c r="Z30" i="11" s="1"/>
  <c r="AA28" i="11"/>
  <c r="AA29" i="11" s="1"/>
  <c r="Y29" i="11"/>
  <c r="O29" i="11"/>
  <c r="O30" i="11" s="1"/>
  <c r="X29" i="11"/>
  <c r="X30" i="11" s="1"/>
  <c r="W29" i="11"/>
  <c r="W30" i="11" s="1"/>
  <c r="V26" i="11"/>
  <c r="V29" i="11"/>
  <c r="AD30" i="11"/>
  <c r="AD34" i="11"/>
  <c r="K30" i="11"/>
  <c r="K34" i="11"/>
  <c r="AA26" i="11"/>
  <c r="AG26" i="11" s="1"/>
  <c r="AG25" i="11"/>
  <c r="AG28" i="11" l="1"/>
  <c r="N83" i="11"/>
  <c r="N86" i="11" a="1"/>
  <c r="N86" i="11" s="1"/>
  <c r="N87" i="11" a="1"/>
  <c r="N87" i="11" s="1"/>
  <c r="N85" i="11" a="1"/>
  <c r="N85" i="11" s="1"/>
  <c r="N84" i="11"/>
  <c r="K87" i="11" a="1"/>
  <c r="K87" i="11" s="1"/>
  <c r="K85" i="11" a="1"/>
  <c r="K85" i="11" s="1"/>
  <c r="M87" i="11" a="1"/>
  <c r="M87" i="11" s="1"/>
  <c r="K84" i="11"/>
  <c r="M84" i="11"/>
  <c r="M83" i="11"/>
  <c r="L85" i="11" a="1"/>
  <c r="L85" i="11" s="1"/>
  <c r="L83" i="11"/>
  <c r="M85" i="11" a="1"/>
  <c r="M85" i="11" s="1"/>
  <c r="L84" i="11"/>
  <c r="L86" i="11" a="1"/>
  <c r="L86" i="11" s="1"/>
  <c r="M86" i="11" a="1"/>
  <c r="M86" i="11" s="1"/>
  <c r="L87" i="11" a="1"/>
  <c r="L87" i="11" s="1"/>
  <c r="K86" i="11" a="1"/>
  <c r="K86" i="11" s="1"/>
  <c r="K83" i="11"/>
  <c r="AB34" i="11"/>
  <c r="AB35" i="11" s="1"/>
  <c r="AB30" i="11"/>
  <c r="AC30" i="11"/>
  <c r="Y34" i="11"/>
  <c r="Y84" i="11" s="1"/>
  <c r="Y30" i="11"/>
  <c r="O34" i="11"/>
  <c r="X34" i="11"/>
  <c r="X42" i="11" s="1"/>
  <c r="W34" i="11"/>
  <c r="W84" i="11" s="1"/>
  <c r="Z34" i="11"/>
  <c r="Z83" i="11" s="1"/>
  <c r="V30" i="11"/>
  <c r="V34" i="11"/>
  <c r="AD35" i="11"/>
  <c r="AD85" i="11"/>
  <c r="AD86" i="11" a="1"/>
  <c r="AD86" i="11" s="1"/>
  <c r="AD42" i="11"/>
  <c r="AD87" i="11" a="1"/>
  <c r="AD87" i="11" s="1"/>
  <c r="AD84" i="11"/>
  <c r="AD83" i="11"/>
  <c r="AA34" i="11"/>
  <c r="AA30" i="11"/>
  <c r="AG30" i="11" s="1"/>
  <c r="AG29" i="11"/>
  <c r="K35" i="11"/>
  <c r="K42" i="11"/>
  <c r="K49" i="11" s="1"/>
  <c r="AC87" i="11" a="1"/>
  <c r="AC87" i="11" s="1"/>
  <c r="AC42" i="11"/>
  <c r="AC85" i="11"/>
  <c r="AC86" i="11" a="1"/>
  <c r="AC86" i="11" s="1"/>
  <c r="AC35" i="11"/>
  <c r="AC83" i="11"/>
  <c r="AC84" i="11"/>
  <c r="O65" i="8"/>
  <c r="M65" i="8"/>
  <c r="O117" i="8"/>
  <c r="K117" i="8"/>
  <c r="G117" i="8"/>
  <c r="N11" i="8"/>
  <c r="N13" i="10" s="1"/>
  <c r="N27" i="10" s="1"/>
  <c r="J11" i="8"/>
  <c r="J13" i="10" s="1"/>
  <c r="J33" i="8"/>
  <c r="R33" i="8" s="1"/>
  <c r="J30" i="8"/>
  <c r="R30" i="8" s="1"/>
  <c r="L46" i="8"/>
  <c r="L55" i="8" s="1"/>
  <c r="K46" i="8"/>
  <c r="K55" i="8" s="1"/>
  <c r="G46" i="8"/>
  <c r="G55" i="8" s="1"/>
  <c r="P86" i="8"/>
  <c r="O86" i="8"/>
  <c r="N86" i="8"/>
  <c r="M86" i="8"/>
  <c r="L86" i="8"/>
  <c r="K86" i="8"/>
  <c r="J86" i="8"/>
  <c r="I86" i="8"/>
  <c r="H86" i="8"/>
  <c r="G86" i="8"/>
  <c r="P85" i="8"/>
  <c r="O85" i="8"/>
  <c r="N85" i="8"/>
  <c r="M85" i="8"/>
  <c r="L85" i="8"/>
  <c r="K85" i="8"/>
  <c r="J85" i="8"/>
  <c r="I85" i="8"/>
  <c r="H85" i="8"/>
  <c r="G85" i="8"/>
  <c r="H46" i="8"/>
  <c r="H55" i="8" s="1"/>
  <c r="I46" i="8"/>
  <c r="I55" i="8" s="1"/>
  <c r="M46" i="8"/>
  <c r="M55" i="8" s="1"/>
  <c r="O46" i="8"/>
  <c r="O55" i="8" s="1"/>
  <c r="P46" i="8"/>
  <c r="P55" i="8" s="1"/>
  <c r="P38" i="8"/>
  <c r="O38" i="8"/>
  <c r="N38" i="8"/>
  <c r="M38" i="8"/>
  <c r="L38" i="8"/>
  <c r="K38" i="8"/>
  <c r="J38" i="8"/>
  <c r="I38" i="8"/>
  <c r="H38" i="8"/>
  <c r="G38" i="8"/>
  <c r="P37" i="8"/>
  <c r="O37" i="8"/>
  <c r="N37" i="8"/>
  <c r="M37" i="8"/>
  <c r="L37" i="8"/>
  <c r="K37" i="8"/>
  <c r="J37" i="8"/>
  <c r="I37" i="8"/>
  <c r="H37" i="8"/>
  <c r="G37" i="8"/>
  <c r="E38" i="8"/>
  <c r="D38" i="8"/>
  <c r="E37" i="8"/>
  <c r="D37" i="8"/>
  <c r="P11" i="8"/>
  <c r="O11" i="8"/>
  <c r="M11" i="8"/>
  <c r="L11" i="8"/>
  <c r="K11" i="8"/>
  <c r="I11" i="8"/>
  <c r="I13" i="10" s="1"/>
  <c r="H11" i="8"/>
  <c r="H13" i="10" s="1"/>
  <c r="G11" i="8"/>
  <c r="G13" i="10" s="1"/>
  <c r="N33" i="10" l="1"/>
  <c r="N32" i="10"/>
  <c r="N30" i="10"/>
  <c r="N31" i="10"/>
  <c r="N34" i="10"/>
  <c r="N28" i="10"/>
  <c r="AB86" i="11" a="1"/>
  <c r="AB86" i="11" s="1"/>
  <c r="AB87" i="11" a="1"/>
  <c r="AB87" i="11" s="1"/>
  <c r="AB84" i="11"/>
  <c r="AB83" i="11"/>
  <c r="AB85" i="11"/>
  <c r="AB42" i="11"/>
  <c r="R85" i="11" a="1"/>
  <c r="R85" i="11" s="1"/>
  <c r="R87" i="11" a="1"/>
  <c r="R87" i="11" s="1"/>
  <c r="R84" i="11"/>
  <c r="R83" i="11"/>
  <c r="R86" i="11" a="1"/>
  <c r="R86" i="11" s="1"/>
  <c r="Q84" i="11"/>
  <c r="P86" i="11" a="1"/>
  <c r="P86" i="11" s="1"/>
  <c r="Q86" i="11" a="1"/>
  <c r="Q86" i="11" s="1"/>
  <c r="P85" i="11" a="1"/>
  <c r="P85" i="11" s="1"/>
  <c r="O87" i="11" a="1"/>
  <c r="O87" i="11" s="1"/>
  <c r="Q87" i="11" a="1"/>
  <c r="Q87" i="11" s="1"/>
  <c r="O84" i="11"/>
  <c r="Q83" i="11"/>
  <c r="P87" i="11" a="1"/>
  <c r="P87" i="11" s="1"/>
  <c r="P83" i="11"/>
  <c r="Q85" i="11" a="1"/>
  <c r="Q85" i="11" s="1"/>
  <c r="O86" i="11" a="1"/>
  <c r="O86" i="11" s="1"/>
  <c r="P84" i="11"/>
  <c r="O83" i="11"/>
  <c r="O85" i="11" a="1"/>
  <c r="O85" i="11" s="1"/>
  <c r="W83" i="11"/>
  <c r="W87" i="11" a="1"/>
  <c r="W87" i="11" s="1"/>
  <c r="Y42" i="11"/>
  <c r="Y86" i="11" a="1"/>
  <c r="Y86" i="11" s="1"/>
  <c r="Y85" i="11"/>
  <c r="O42" i="11"/>
  <c r="O49" i="11" s="1"/>
  <c r="W86" i="11" a="1"/>
  <c r="W86" i="11" s="1"/>
  <c r="W85" i="11"/>
  <c r="W35" i="11"/>
  <c r="O35" i="11"/>
  <c r="Y87" i="11" a="1"/>
  <c r="Y87" i="11" s="1"/>
  <c r="Y83" i="11"/>
  <c r="Y35" i="11"/>
  <c r="W42" i="11"/>
  <c r="X87" i="11" a="1"/>
  <c r="X87" i="11" s="1"/>
  <c r="Z84" i="11"/>
  <c r="Z42" i="11"/>
  <c r="Z35" i="11"/>
  <c r="Z85" i="11"/>
  <c r="Z86" i="11" a="1"/>
  <c r="Z86" i="11" s="1"/>
  <c r="Z87" i="11" a="1"/>
  <c r="Z87" i="11" s="1"/>
  <c r="X86" i="11" a="1"/>
  <c r="X86" i="11" s="1"/>
  <c r="X83" i="11"/>
  <c r="X85" i="11"/>
  <c r="X84" i="11"/>
  <c r="X35" i="11"/>
  <c r="V86" i="11" a="1"/>
  <c r="V86" i="11" s="1"/>
  <c r="V84" i="11"/>
  <c r="V85" i="11"/>
  <c r="V83" i="11"/>
  <c r="V35" i="11"/>
  <c r="V87" i="11" a="1"/>
  <c r="V87" i="11" s="1"/>
  <c r="V42" i="11"/>
  <c r="O14" i="8"/>
  <c r="O19" i="8" s="1"/>
  <c r="O23" i="8" s="1"/>
  <c r="O13" i="10"/>
  <c r="P14" i="8"/>
  <c r="P15" i="8" s="1"/>
  <c r="P13" i="10"/>
  <c r="K14" i="8"/>
  <c r="K19" i="8" s="1"/>
  <c r="K13" i="10"/>
  <c r="M14" i="8"/>
  <c r="M19" i="8" s="1"/>
  <c r="M13" i="10"/>
  <c r="L14" i="8"/>
  <c r="L15" i="8" s="1"/>
  <c r="L13" i="10"/>
  <c r="AA87" i="11" a="1"/>
  <c r="AA87" i="11" s="1"/>
  <c r="AA86" i="11" a="1"/>
  <c r="AA86" i="11" s="1"/>
  <c r="AA35" i="11"/>
  <c r="AG35" i="11" s="1"/>
  <c r="AA42" i="11"/>
  <c r="AG42" i="11" s="1"/>
  <c r="AG34" i="11"/>
  <c r="AA83" i="11"/>
  <c r="AA85" i="11"/>
  <c r="AA84" i="11"/>
  <c r="M71" i="8"/>
  <c r="G14" i="8"/>
  <c r="G19" i="8" s="1"/>
  <c r="H14" i="8"/>
  <c r="H15" i="8" s="1"/>
  <c r="I14" i="8"/>
  <c r="I15" i="8" s="1"/>
  <c r="K65" i="8"/>
  <c r="P65" i="8"/>
  <c r="H65" i="8"/>
  <c r="G65" i="8"/>
  <c r="L65" i="8"/>
  <c r="E65" i="8"/>
  <c r="I65" i="8"/>
  <c r="P117" i="8"/>
  <c r="N117" i="8"/>
  <c r="H117" i="8"/>
  <c r="L117" i="8"/>
  <c r="M117" i="8"/>
  <c r="N14" i="8"/>
  <c r="N15" i="8" s="1"/>
  <c r="J14" i="8"/>
  <c r="J15" i="8" s="1"/>
  <c r="N65" i="8"/>
  <c r="N46" i="8"/>
  <c r="N55" i="8" s="1"/>
  <c r="J46" i="8"/>
  <c r="J55" i="8" s="1"/>
  <c r="J65" i="8"/>
  <c r="Y49" i="11" l="1"/>
  <c r="Y50" i="11" s="1"/>
  <c r="W49" i="11"/>
  <c r="W50" i="11" s="1"/>
  <c r="V49" i="11"/>
  <c r="V50" i="11" s="1"/>
  <c r="X49" i="11"/>
  <c r="X50" i="11" s="1"/>
  <c r="AC49" i="11"/>
  <c r="AC50" i="11" s="1"/>
  <c r="AB49" i="11"/>
  <c r="AB50" i="11" s="1"/>
  <c r="AA49" i="11"/>
  <c r="AA50" i="11" s="1"/>
  <c r="Z49" i="11"/>
  <c r="Z50" i="11" s="1"/>
  <c r="P19" i="8"/>
  <c r="P23" i="8" s="1"/>
  <c r="P24" i="8" s="1"/>
  <c r="O15" i="8"/>
  <c r="O20" i="8"/>
  <c r="L19" i="8"/>
  <c r="L23" i="8" s="1"/>
  <c r="L24" i="8" s="1"/>
  <c r="K15" i="8"/>
  <c r="K50" i="11"/>
  <c r="O50" i="11"/>
  <c r="M15" i="8"/>
  <c r="O24" i="8"/>
  <c r="O27" i="8"/>
  <c r="O89" i="8" s="1"/>
  <c r="O109" i="8" s="1"/>
  <c r="AD50" i="11"/>
  <c r="M23" i="8"/>
  <c r="G23" i="8"/>
  <c r="K23" i="8"/>
  <c r="H19" i="8"/>
  <c r="M79" i="8"/>
  <c r="M81" i="8" s="1"/>
  <c r="G20" i="8"/>
  <c r="G15" i="8"/>
  <c r="I19" i="8"/>
  <c r="N71" i="8"/>
  <c r="K71" i="8"/>
  <c r="I71" i="8"/>
  <c r="E71" i="8"/>
  <c r="H71" i="8"/>
  <c r="J71" i="8"/>
  <c r="P71" i="8"/>
  <c r="G71" i="8"/>
  <c r="L71" i="8"/>
  <c r="O71" i="8"/>
  <c r="I117" i="8"/>
  <c r="J117" i="8"/>
  <c r="N19" i="8"/>
  <c r="N23" i="8" s="1"/>
  <c r="J19" i="8"/>
  <c r="J23" i="8" s="1"/>
  <c r="M20" i="8"/>
  <c r="K20" i="8"/>
  <c r="L27" i="8" l="1"/>
  <c r="L89" i="8" s="1"/>
  <c r="L109" i="8" s="1"/>
  <c r="P27" i="8"/>
  <c r="P89" i="8" s="1"/>
  <c r="P109" i="8" s="1"/>
  <c r="P135" i="8" s="1"/>
  <c r="W135" i="8" s="1"/>
  <c r="P20" i="8"/>
  <c r="L20" i="8"/>
  <c r="N24" i="8"/>
  <c r="N27" i="8"/>
  <c r="N89" i="8" s="1"/>
  <c r="N109" i="8" s="1"/>
  <c r="M24" i="8"/>
  <c r="M27" i="8"/>
  <c r="M89" i="8" s="1"/>
  <c r="M109" i="8" s="1"/>
  <c r="K24" i="8"/>
  <c r="K27" i="8"/>
  <c r="K89" i="8" s="1"/>
  <c r="K109" i="8" s="1"/>
  <c r="J24" i="8"/>
  <c r="J27" i="8"/>
  <c r="J89" i="8" s="1"/>
  <c r="J109" i="8" s="1"/>
  <c r="G24" i="8"/>
  <c r="G27" i="8"/>
  <c r="G89" i="8" s="1"/>
  <c r="G109" i="8" s="1"/>
  <c r="G135" i="8" s="1"/>
  <c r="O34" i="8"/>
  <c r="O28" i="8"/>
  <c r="O31" i="8"/>
  <c r="I23" i="8"/>
  <c r="H23" i="8"/>
  <c r="K79" i="8"/>
  <c r="K81" i="8" s="1"/>
  <c r="H20" i="8"/>
  <c r="I20" i="8"/>
  <c r="J79" i="8"/>
  <c r="J81" i="8" s="1"/>
  <c r="N79" i="8"/>
  <c r="N81" i="8" s="1"/>
  <c r="I79" i="8"/>
  <c r="I81" i="8" s="1"/>
  <c r="H79" i="8"/>
  <c r="H81" i="8" s="1"/>
  <c r="P79" i="8"/>
  <c r="P81" i="8" s="1"/>
  <c r="O79" i="8"/>
  <c r="O81" i="8" s="1"/>
  <c r="L79" i="8"/>
  <c r="L81" i="8" s="1"/>
  <c r="G79" i="8"/>
  <c r="G81" i="8" s="1"/>
  <c r="J20" i="8"/>
  <c r="N20" i="8"/>
  <c r="L34" i="8" l="1"/>
  <c r="P34" i="8"/>
  <c r="L31" i="8"/>
  <c r="P28" i="8"/>
  <c r="L28" i="8"/>
  <c r="P31" i="8"/>
  <c r="H24" i="8"/>
  <c r="H27" i="8"/>
  <c r="H89" i="8" s="1"/>
  <c r="H109" i="8" s="1"/>
  <c r="I24" i="8"/>
  <c r="I27" i="8"/>
  <c r="I89" i="8" s="1"/>
  <c r="I109" i="8" s="1"/>
  <c r="G31" i="8"/>
  <c r="G28" i="8"/>
  <c r="G34" i="8"/>
  <c r="K31" i="8"/>
  <c r="K34" i="8"/>
  <c r="K28" i="8"/>
  <c r="M34" i="8"/>
  <c r="M28" i="8"/>
  <c r="M31" i="8"/>
  <c r="N34" i="8"/>
  <c r="N28" i="8"/>
  <c r="N31" i="8"/>
  <c r="J28" i="8"/>
  <c r="J31" i="8"/>
  <c r="J34" i="8"/>
  <c r="O135" i="8"/>
  <c r="V135" i="8" s="1"/>
  <c r="K135" i="8"/>
  <c r="R135" i="8" s="1"/>
  <c r="L135" i="8"/>
  <c r="S135" i="8" s="1"/>
  <c r="M135" i="8"/>
  <c r="T135" i="8" s="1"/>
  <c r="I34" i="8" l="1"/>
  <c r="I28" i="8"/>
  <c r="I31" i="8"/>
  <c r="H34" i="8"/>
  <c r="H28" i="8"/>
  <c r="H31" i="8"/>
  <c r="H135" i="8" l="1"/>
  <c r="I135" i="8"/>
  <c r="B86" i="8" l="1"/>
  <c r="B85" i="8"/>
  <c r="E86" i="8"/>
  <c r="D86" i="8"/>
  <c r="E85" i="8"/>
  <c r="D85" i="8"/>
  <c r="B38" i="8"/>
  <c r="B37" i="8"/>
  <c r="W38" i="8"/>
  <c r="V38" i="8"/>
  <c r="T38" i="8"/>
  <c r="S38" i="8"/>
  <c r="R38" i="8"/>
  <c r="U38" i="8"/>
  <c r="W37" i="8"/>
  <c r="V37" i="8"/>
  <c r="U37" i="8"/>
  <c r="T37" i="8"/>
  <c r="S37" i="8"/>
  <c r="R37" i="8"/>
  <c r="R85" i="8" l="1"/>
  <c r="R86" i="8"/>
  <c r="U85" i="8"/>
  <c r="V85" i="8"/>
  <c r="V86" i="8"/>
  <c r="W86" i="8"/>
  <c r="T85" i="8"/>
  <c r="W85" i="8"/>
  <c r="T86" i="8"/>
  <c r="S86" i="8"/>
  <c r="U86" i="8"/>
  <c r="S85" i="8"/>
  <c r="S11" i="8" l="1"/>
  <c r="S13" i="10" s="1"/>
  <c r="D46" i="8"/>
  <c r="D55" i="8" s="1"/>
  <c r="E46" i="8"/>
  <c r="E55" i="8" s="1"/>
  <c r="T11" i="8" l="1"/>
  <c r="T13" i="10" s="1"/>
  <c r="S14" i="8"/>
  <c r="S19" i="8" s="1"/>
  <c r="T46" i="8"/>
  <c r="T55" i="8" s="1"/>
  <c r="R46" i="8"/>
  <c r="R55" i="8" s="1"/>
  <c r="T65" i="8"/>
  <c r="T71" i="8" s="1"/>
  <c r="S65" i="8"/>
  <c r="S71" i="8" s="1"/>
  <c r="S46" i="8"/>
  <c r="S55" i="8" s="1"/>
  <c r="R11" i="8"/>
  <c r="R13" i="10" s="1"/>
  <c r="R65" i="8"/>
  <c r="R71" i="8" s="1"/>
  <c r="V46" i="8"/>
  <c r="V55" i="8" s="1"/>
  <c r="V11" i="8"/>
  <c r="V13" i="10" s="1"/>
  <c r="V65" i="8"/>
  <c r="V71" i="8" s="1"/>
  <c r="W65" i="8"/>
  <c r="W71" i="8" s="1"/>
  <c r="U11" i="8"/>
  <c r="U13" i="10" s="1"/>
  <c r="W11" i="8"/>
  <c r="W13" i="10" s="1"/>
  <c r="W46" i="8"/>
  <c r="W55" i="8" s="1"/>
  <c r="S23" i="8" l="1"/>
  <c r="S20" i="8"/>
  <c r="R14" i="8"/>
  <c r="R19" i="8" s="1"/>
  <c r="V14" i="8"/>
  <c r="V19" i="8" s="1"/>
  <c r="Z10" i="8"/>
  <c r="T79" i="8"/>
  <c r="T81" i="8" s="1"/>
  <c r="R79" i="8"/>
  <c r="R81" i="8" s="1"/>
  <c r="Z17" i="8"/>
  <c r="S79" i="8"/>
  <c r="S81" i="8" s="1"/>
  <c r="T14" i="8"/>
  <c r="T19" i="8" s="1"/>
  <c r="S15" i="8"/>
  <c r="Z13" i="8"/>
  <c r="V79" i="8"/>
  <c r="V81" i="8" s="1"/>
  <c r="W14" i="8"/>
  <c r="W19" i="8" s="1"/>
  <c r="U14" i="8"/>
  <c r="U19" i="8" s="1"/>
  <c r="W79" i="8"/>
  <c r="W81" i="8" s="1"/>
  <c r="S24" i="8" l="1"/>
  <c r="S27" i="8"/>
  <c r="S89" i="8" s="1"/>
  <c r="V23" i="8"/>
  <c r="U23" i="8"/>
  <c r="R23" i="8"/>
  <c r="T23" i="8"/>
  <c r="W23" i="8"/>
  <c r="R20" i="8"/>
  <c r="T20" i="8"/>
  <c r="V20" i="8"/>
  <c r="U20" i="8"/>
  <c r="W20" i="8"/>
  <c r="V15" i="8"/>
  <c r="U15" i="8"/>
  <c r="R15" i="8"/>
  <c r="W15" i="8"/>
  <c r="T15" i="8"/>
  <c r="V24" i="8" l="1"/>
  <c r="V27" i="8"/>
  <c r="V89" i="8" s="1"/>
  <c r="W24" i="8"/>
  <c r="W27" i="8"/>
  <c r="W89" i="8" s="1"/>
  <c r="R24" i="8"/>
  <c r="R27" i="8"/>
  <c r="T24" i="8"/>
  <c r="T27" i="8"/>
  <c r="T89" i="8" s="1"/>
  <c r="U24" i="8"/>
  <c r="U27" i="8"/>
  <c r="U89" i="8" s="1"/>
  <c r="S28" i="8"/>
  <c r="S31" i="8"/>
  <c r="S34" i="8"/>
  <c r="R28" i="8" l="1"/>
  <c r="R89" i="8"/>
  <c r="R34" i="8"/>
  <c r="R31" i="8"/>
  <c r="V31" i="8"/>
  <c r="V28" i="8"/>
  <c r="V34" i="8"/>
  <c r="T28" i="8"/>
  <c r="T31" i="8"/>
  <c r="T34" i="8"/>
  <c r="W28" i="8"/>
  <c r="W31" i="8"/>
  <c r="W34" i="8"/>
  <c r="U34" i="8"/>
  <c r="U28" i="8"/>
  <c r="U31" i="8"/>
  <c r="U65" i="8" l="1"/>
  <c r="U71" i="8" s="1"/>
  <c r="T117" i="8" l="1"/>
  <c r="R117" i="8"/>
  <c r="S117" i="8"/>
  <c r="U117" i="8"/>
  <c r="W117" i="8"/>
  <c r="V117" i="8"/>
  <c r="E11" i="8" l="1"/>
  <c r="E13" i="10" s="1"/>
  <c r="D11" i="8"/>
  <c r="D13" i="10" s="1"/>
  <c r="C13" i="10"/>
  <c r="E117" i="8"/>
  <c r="D117" i="8"/>
  <c r="D65" i="8"/>
  <c r="X13" i="10"/>
  <c r="D71" i="8" l="1"/>
  <c r="Z11" i="8"/>
  <c r="U79" i="8"/>
  <c r="D14" i="8"/>
  <c r="D19" i="8" s="1"/>
  <c r="E14" i="8"/>
  <c r="E19" i="8" s="1"/>
  <c r="Z78" i="8"/>
  <c r="E23" i="8" l="1"/>
  <c r="D23" i="8"/>
  <c r="D20" i="8"/>
  <c r="E20" i="8"/>
  <c r="U46" i="8"/>
  <c r="U55" i="8" s="1"/>
  <c r="D79" i="8"/>
  <c r="D81" i="8" s="1"/>
  <c r="E79" i="8"/>
  <c r="E81" i="8" s="1"/>
  <c r="Z71" i="8"/>
  <c r="Z65" i="8"/>
  <c r="D15" i="8"/>
  <c r="E15" i="8"/>
  <c r="D24" i="8" l="1"/>
  <c r="D27" i="8"/>
  <c r="D89" i="8" s="1"/>
  <c r="D109" i="8" s="1"/>
  <c r="D135" i="8" s="1"/>
  <c r="E24" i="8"/>
  <c r="E27" i="8"/>
  <c r="E89" i="8" s="1"/>
  <c r="E109" i="8" s="1"/>
  <c r="E135" i="8" s="1"/>
  <c r="Z24" i="8"/>
  <c r="Z23" i="8"/>
  <c r="J135" i="8"/>
  <c r="U81" i="8"/>
  <c r="Z19" i="8"/>
  <c r="Z20" i="8"/>
  <c r="Z126" i="8"/>
  <c r="Z79" i="8"/>
  <c r="Z55" i="8"/>
  <c r="Z46" i="8"/>
  <c r="Z14" i="8"/>
  <c r="Z117" i="8"/>
  <c r="Z15" i="8"/>
  <c r="D28" i="8" l="1"/>
  <c r="E31" i="8"/>
  <c r="E34" i="8"/>
  <c r="D34" i="8"/>
  <c r="D31" i="8"/>
  <c r="E28" i="8"/>
  <c r="N135" i="8"/>
  <c r="U135" i="8" s="1"/>
  <c r="Z27" i="8" l="1"/>
  <c r="Z28" i="8"/>
  <c r="T109" i="8"/>
  <c r="U109" i="8"/>
  <c r="R109" i="8" l="1"/>
  <c r="S109" i="8"/>
  <c r="Z31" i="8" l="1"/>
  <c r="Z34" i="8"/>
  <c r="D129" i="8" l="1"/>
  <c r="G129" i="8" s="1"/>
  <c r="D131" i="8" l="1"/>
  <c r="D136" i="8" s="1"/>
  <c r="D138" i="8" s="1"/>
  <c r="E129" i="8" l="1"/>
  <c r="E131" i="8" s="1"/>
  <c r="E136" i="8" s="1"/>
  <c r="G131" i="8"/>
  <c r="G136" i="8" l="1"/>
  <c r="G138" i="8" s="1"/>
  <c r="E138" i="8"/>
  <c r="H129" i="8" l="1"/>
  <c r="H131" i="8" s="1"/>
  <c r="H136" i="8" s="1"/>
  <c r="H138" i="8" s="1"/>
  <c r="I129" i="8" l="1"/>
  <c r="I131" i="8" s="1"/>
  <c r="I136" i="8" l="1"/>
  <c r="J129" i="8" l="1"/>
  <c r="I138" i="8"/>
  <c r="J131" i="8" l="1"/>
  <c r="J136" i="8" s="1"/>
  <c r="K129" i="8" l="1"/>
  <c r="K131" i="8" s="1"/>
  <c r="J138" i="8"/>
  <c r="K136" i="8" l="1"/>
  <c r="L129" i="8" l="1"/>
  <c r="L131" i="8" s="1"/>
  <c r="K138" i="8"/>
  <c r="L136" i="8" l="1"/>
  <c r="M129" i="8" l="1"/>
  <c r="M131" i="8" s="1"/>
  <c r="L138" i="8"/>
  <c r="M136" i="8" l="1"/>
  <c r="N129" i="8" l="1"/>
  <c r="N131" i="8" s="1"/>
  <c r="M138" i="8"/>
  <c r="N136" i="8" l="1"/>
  <c r="O129" i="8" s="1"/>
  <c r="O131" i="8" s="1"/>
  <c r="O136" i="8" l="1"/>
  <c r="P129" i="8" s="1"/>
  <c r="P131" i="8" s="1"/>
  <c r="N138" i="8"/>
  <c r="P136" i="8" l="1"/>
  <c r="O138" i="8"/>
  <c r="P138" i="8" l="1"/>
  <c r="V109" i="8" l="1"/>
  <c r="W109" i="8"/>
  <c r="Z89" i="8" l="1"/>
  <c r="Z109" i="8" l="1"/>
  <c r="R129" i="8" l="1"/>
  <c r="R131" i="8" s="1"/>
  <c r="R136" i="8" s="1"/>
  <c r="S129" i="8" l="1"/>
  <c r="S131" i="8" s="1"/>
  <c r="S136" i="8" s="1"/>
  <c r="R138" i="8" l="1"/>
  <c r="T129" i="8"/>
  <c r="T131" i="8" s="1"/>
  <c r="T136" i="8" s="1"/>
  <c r="S138" i="8" l="1"/>
  <c r="U129" i="8"/>
  <c r="U131" i="8" s="1"/>
  <c r="T138" i="8"/>
  <c r="U136" i="8" l="1"/>
  <c r="V129" i="8" s="1"/>
  <c r="V131" i="8" s="1"/>
  <c r="V136" i="8" s="1"/>
  <c r="W129" i="8" l="1"/>
  <c r="W131" i="8" s="1"/>
  <c r="V138" i="8"/>
  <c r="U138" i="8"/>
  <c r="W136" i="8" l="1"/>
  <c r="X129" i="8" s="1"/>
  <c r="X131" i="8" s="1"/>
  <c r="X136" i="8" s="1"/>
  <c r="X138" i="8" s="1"/>
  <c r="W138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<sst xmlns="http://schemas.openxmlformats.org/spreadsheetml/2006/main" count="263" uniqueCount="152">
  <si>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</si>
  <si>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</si>
  <si>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</si>
  <si>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</si>
  <si>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</si>
  <si>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</si>
  <si>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</si>
  <si>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</si>
  <si>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</si>
  <si>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</si>
  <si>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</si>
  <si>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</si>
  <si>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</si>
  <si>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</si>
  <si>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</si>
  <si>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</si>
  <si>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</si>
  <si>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</si>
  <si>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</si>
  <si>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</si>
  <si>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</si>
  <si>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</si>
  <si>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</si>
  <si>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</si>
  <si>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</si>
  <si>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</si>
  <si>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</si>
  <si>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</si>
  <si>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</si>
  <si>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</si>
  <si>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</si>
  <si>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</si>
  <si>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</si>
  <si>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</si>
  <si>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</si>
  <si>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</si>
  <si>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</si>
  <si>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</si>
  <si>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</si>
  <si>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</si>
  <si>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</si>
  <si>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</si>
  <si>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</si>
  <si>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</si>
  <si>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</si>
  <si>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</si>
  <si>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</si>
  <si>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</si>
  <si>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</si>
  <si>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</si>
  <si>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</si>
  <si>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</si>
  <si>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</si>
  <si>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</si>
  <si>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</si>
  <si>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</si>
  <si>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</si>
  <si>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</si>
  <si>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</si>
  <si>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</si>
  <si>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</si>
  <si>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</si>
  <si>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</si>
  <si>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</si>
  <si>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</si>
  <si>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</si>
  <si>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</si>
  <si>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</si>
  <si>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</si>
  <si>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</si>
  <si>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</si>
  <si>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</si>
  <si>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</si>
  <si>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</si>
  <si>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</si>
  <si>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</si>
  <si>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</si>
  <si>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</si>
  <si>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</si>
  <si>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</si>
  <si>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</si>
  <si>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</si>
  <si>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</si>
  <si>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</si>
  <si>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</si>
  <si>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</si>
  <si>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</si>
  <si>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</si>
  <si>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</si>
  <si>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Receivables</t>
  </si>
  <si>
    <t>Additions to property and equipment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</si>
  <si>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</si>
  <si>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</si>
  <si>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</si>
  <si>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</si>
  <si>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</si>
  <si>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</si>
  <si>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</si>
  <si>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</si>
  <si>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</si>
  <si>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</si>
  <si>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</si>
  <si>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</si>
  <si>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</si>
  <si>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</si>
  <si>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</si>
  <si>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</si>
  <si>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</si>
  <si>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</si>
  <si>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</si>
  <si>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</si>
  <si>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Proceeds from Equity Issuances / (Repurchases)</t>
  </si>
  <si>
    <t>XXX</t>
  </si>
  <si>
    <t>Earnings before Taxes</t>
  </si>
  <si>
    <t>(+/-) XXX</t>
  </si>
  <si>
    <t>(+) XXX</t>
  </si>
  <si>
    <t>(-) XXX</t>
  </si>
  <si>
    <t>(-) Mandatory Outflows</t>
  </si>
  <si>
    <t>Other Income</t>
  </si>
  <si>
    <t>Cash and cash equivalents</t>
  </si>
  <si>
    <t>Accounts receivable, net</t>
  </si>
  <si>
    <t>Inventories</t>
  </si>
  <si>
    <t>Prepaid expenses and other current assets</t>
  </si>
  <si>
    <t>Property and equipment, net</t>
  </si>
  <si>
    <t>Goodwill</t>
  </si>
  <si>
    <t>Other Non-Current Assets</t>
  </si>
  <si>
    <t>Intangible Assets</t>
  </si>
  <si>
    <t>Lululemon Athletica Inc (NASDAQ: LULU)</t>
  </si>
  <si>
    <t>Women's Apparel</t>
  </si>
  <si>
    <t>Men's Apparel</t>
  </si>
  <si>
    <t>Acccessories &amp; Other</t>
  </si>
  <si>
    <t>Revenue by Geography</t>
  </si>
  <si>
    <t>U.S. Revenues</t>
  </si>
  <si>
    <t>Canada Revenues</t>
  </si>
  <si>
    <t>Mexico Revenues</t>
  </si>
  <si>
    <t>China Revenues</t>
  </si>
  <si>
    <t>Other Revenues</t>
  </si>
  <si>
    <t xml:space="preserve">Selling, General, and Administrative </t>
  </si>
  <si>
    <t>Amortization of Intangibles</t>
  </si>
  <si>
    <t>Prepaid Taxes, current</t>
  </si>
  <si>
    <t>Long-term Prepaid  Leases</t>
  </si>
  <si>
    <t>Prepaid Taxes, non-current</t>
  </si>
  <si>
    <t>A/P</t>
  </si>
  <si>
    <t>Accrued ST Liabilities</t>
  </si>
  <si>
    <t>Accrued ST Comp.</t>
  </si>
  <si>
    <t>ST Lease Liabilities</t>
  </si>
  <si>
    <t>ST Taxes Payable</t>
  </si>
  <si>
    <t>ST Gift Card Liabilities</t>
  </si>
  <si>
    <t>Other ST Liabilities</t>
  </si>
  <si>
    <t>LT Lease Liabilities</t>
  </si>
  <si>
    <t>LT Income Taxes</t>
  </si>
  <si>
    <t>Other LT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</si>
</sst>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5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0" fontId="21" fillId="0" borderId="18" xfId="0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Z155"/>
  <sheetViews>
    <sheetView showGridLines="0" tabSelected="1" zoomScaleNormal="100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 outlineLevel="1"/>
    <col min="4" max="5" width="9.125" style="5" bestFit="1" customWidth="1"/>
    <col min="6" max="6" width="1.5" style="5" customWidth="1"/>
    <col min="7" max="8" width="7.875" style="5" customWidth="1" outlineLevel="1"/>
    <col min="9" max="10" width="8.625" style="5" customWidth="1" outlineLevel="1"/>
    <col min="11" max="12" width="7.875" style="5" customWidth="1" outlineLevel="1"/>
    <col min="13" max="13" width="8.625" style="5" bestFit="1" customWidth="1"/>
    <col min="14" max="14" width="8.625" style="5" customWidth="1"/>
    <col min="15" max="16" width="8" style="5" customWidth="1"/>
    <col min="17" max="17" width="1.5" style="5" customWidth="1"/>
    <col min="18" max="18" width="8.625" style="5" customWidth="1" outlineLevel="1"/>
    <col min="19" max="19" width="8.25" style="5" customWidth="1" outlineLevel="1"/>
    <col min="20" max="20" width="8.25" style="5" bestFit="1" customWidth="1"/>
    <col min="21" max="21" width="8.25" style="5" customWidth="1" outlineLevel="1"/>
    <col min="22" max="22" width="8.625" style="5" customWidth="1" outlineLevel="1"/>
    <col min="23" max="23" width="8.25" style="5" customWidth="1" outlineLevel="1"/>
    <col min="24" max="24" width="8.625" style="5" bestFit="1" customWidth="1"/>
    <col min="25" max="25" width="1.25" style="5" customWidth="1"/>
    <col min="26" max="26" width="10.5" style="5" bestFit="1" customWidth="1"/>
    <col min="27" max="27" width="1.375" style="5" customWidth="1"/>
    <col min="28" max="16384" width="9" style="5"/>
  </cols>
  <sheetData>
    <row r="2" spans="1:26" ht="12.75" customHeight="1">
      <c r="B2" s="1" t="s">
        <v>127</v>
      </c>
      <c r="C2" s="86"/>
      <c r="D2" s="86"/>
      <c r="E2" s="86"/>
      <c r="F2" s="3"/>
      <c r="G2" s="86"/>
      <c r="H2" s="86"/>
      <c r="I2" s="86"/>
      <c r="J2" s="86"/>
      <c r="K2" s="86"/>
      <c r="L2" s="86"/>
      <c r="M2" s="86"/>
      <c r="N2" s="86"/>
      <c r="O2" s="86"/>
      <c r="P2" s="86"/>
      <c r="Q2" s="3"/>
      <c r="R2" s="86"/>
      <c r="S2" s="86"/>
      <c r="T2" s="86"/>
      <c r="U2" s="86"/>
      <c r="V2" s="86"/>
      <c r="W2" s="86"/>
      <c r="X2" s="86"/>
      <c r="Y2" s="3"/>
      <c r="Z2" s="1"/>
    </row>
    <row r="3" spans="1:26" ht="12.75" customHeight="1">
      <c r="B3" s="6" t="s">
        <v>79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4"/>
      <c r="S3" s="4"/>
      <c r="T3" s="4"/>
      <c r="U3" s="4"/>
      <c r="V3" s="4"/>
      <c r="W3" s="4"/>
      <c r="X3" s="4"/>
      <c r="Y3" s="3"/>
      <c r="Z3" s="1"/>
    </row>
    <row r="4" spans="1:26" ht="12.75" customHeight="1">
      <c r="B4" s="6" t="s">
        <v>99</v>
      </c>
      <c r="C4" s="3"/>
      <c r="D4" s="7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"/>
    </row>
    <row r="6" spans="1:26" ht="12.75" customHeight="1">
      <c r="A6" s="5" t="s">
        <v>18</v>
      </c>
      <c r="B6" s="1" t="s">
        <v>77</v>
      </c>
      <c r="C6" s="2"/>
      <c r="D6" s="2" t="s">
        <v>0</v>
      </c>
      <c r="E6" s="2"/>
      <c r="F6" s="3"/>
      <c r="G6" s="2" t="s">
        <v>1</v>
      </c>
      <c r="H6" s="2"/>
      <c r="I6" s="2"/>
      <c r="J6" s="2"/>
      <c r="K6" s="2"/>
      <c r="L6" s="2"/>
      <c r="M6" s="2" t="s">
        <v>1</v>
      </c>
      <c r="N6" s="2"/>
      <c r="O6" s="2"/>
      <c r="P6" s="2"/>
      <c r="Q6" s="3"/>
      <c r="R6" s="2"/>
      <c r="S6" s="2"/>
      <c r="T6" s="2" t="s">
        <v>10</v>
      </c>
      <c r="U6" s="2"/>
      <c r="V6" s="2"/>
      <c r="W6" s="2"/>
      <c r="X6" s="2"/>
      <c r="Y6" s="35"/>
      <c r="Z6" s="151" t="s">
        <v>24</v>
      </c>
    </row>
    <row r="7" spans="1:26" ht="12.75" customHeight="1">
      <c r="B7" s="6" t="s">
        <v>80</v>
      </c>
      <c r="C7" s="7">
        <v>2022</v>
      </c>
      <c r="D7" s="7">
        <v>2023</v>
      </c>
      <c r="E7" s="7">
        <v>2024</v>
      </c>
      <c r="F7" s="3"/>
      <c r="G7" s="4" t="s">
        <v>6</v>
      </c>
      <c r="H7" s="4" t="s">
        <v>7</v>
      </c>
      <c r="I7" s="4" t="s">
        <v>8</v>
      </c>
      <c r="J7" s="4" t="s">
        <v>9</v>
      </c>
      <c r="K7" s="4" t="s">
        <v>2</v>
      </c>
      <c r="L7" s="4" t="s">
        <v>3</v>
      </c>
      <c r="M7" s="4" t="s">
        <v>4</v>
      </c>
      <c r="N7" s="4" t="s">
        <v>5</v>
      </c>
      <c r="O7" s="4" t="s">
        <v>26</v>
      </c>
      <c r="P7" s="4" t="s">
        <v>27</v>
      </c>
      <c r="Q7" s="4"/>
      <c r="R7" s="4" t="str">
        <f>J7</f>
        <v>4Q23</v>
      </c>
      <c r="S7" s="4" t="str">
        <f>K7</f>
        <v>1Q24</v>
      </c>
      <c r="T7" s="4" t="str">
        <f>L7</f>
        <v>2Q24</v>
      </c>
      <c r="U7" s="4" t="str">
        <f>M7</f>
        <v>3Q24</v>
      </c>
      <c r="V7" s="4" t="str">
        <f>N7</f>
        <v>4Q24</v>
      </c>
      <c r="W7" s="4" t="str">
        <f>O7</f>
        <v>1Q25</v>
      </c>
      <c r="X7" s="4" t="str">
        <f>P7</f>
        <v>2Q25</v>
      </c>
      <c r="Y7" s="35"/>
      <c r="Z7" s="151"/>
    </row>
    <row r="8" spans="1:26" ht="12.75" customHeight="1">
      <c r="B8" s="6" t="s">
        <v>81</v>
      </c>
      <c r="C8" s="3" t="s">
        <v>112</v>
      </c>
      <c r="D8" s="3" t="s">
        <v>112</v>
      </c>
      <c r="E8" s="3" t="s">
        <v>112</v>
      </c>
      <c r="F8" s="3"/>
      <c r="G8" s="3" t="s">
        <v>112</v>
      </c>
      <c r="H8" s="3" t="s">
        <v>112</v>
      </c>
      <c r="I8" s="3" t="s">
        <v>112</v>
      </c>
      <c r="J8" s="3" t="str">
        <f>D8</f>
        <v>XXX</v>
      </c>
      <c r="K8" s="3" t="s">
        <v>112</v>
      </c>
      <c r="L8" s="3" t="s">
        <v>112</v>
      </c>
      <c r="M8" s="3" t="s">
        <v>112</v>
      </c>
      <c r="N8" s="3" t="str">
        <f>E8</f>
        <v>XXX</v>
      </c>
      <c r="O8" s="3" t="s">
        <v>112</v>
      </c>
      <c r="P8" s="3" t="s">
        <v>112</v>
      </c>
      <c r="Q8" s="3"/>
      <c r="R8" s="3" t="str">
        <f>J8</f>
        <v>XXX</v>
      </c>
      <c r="S8" s="3" t="str">
        <f>K8</f>
        <v>XXX</v>
      </c>
      <c r="T8" s="3" t="str">
        <f>L8</f>
        <v>XXX</v>
      </c>
      <c r="U8" s="3" t="str">
        <f>M8</f>
        <v>XXX</v>
      </c>
      <c r="V8" s="3" t="str">
        <f>N8</f>
        <v>XXX</v>
      </c>
      <c r="W8" s="3" t="str">
        <f>O8</f>
        <v>XXX</v>
      </c>
      <c r="X8" s="3" t="str">
        <f>P8</f>
        <v>XXX</v>
      </c>
      <c r="Y8" s="35"/>
      <c r="Z8" s="151"/>
    </row>
    <row r="9" spans="1:26" ht="5.0999999999999996" customHeight="1">
      <c r="Z9" s="85"/>
    </row>
    <row r="10" spans="1:26" ht="12.75" customHeight="1">
      <c r="B10" s="9" t="s">
        <v>61</v>
      </c>
      <c r="C10" s="81">
        <v>8111</v>
      </c>
      <c r="D10" s="81">
        <v>9619</v>
      </c>
      <c r="E10" s="81">
        <v>10588</v>
      </c>
      <c r="F10" s="11"/>
      <c r="G10" s="81">
        <v>988.6</v>
      </c>
      <c r="H10" s="81">
        <v>1067.7</v>
      </c>
      <c r="I10" s="81">
        <v>1188.5999999999999</v>
      </c>
      <c r="J10" s="30">
        <f>SUM(D10-SUM(G10:I10))</f>
        <v>6374.1</v>
      </c>
      <c r="K10" s="81">
        <v>1194.8</v>
      </c>
      <c r="L10" s="81">
        <v>1236.8</v>
      </c>
      <c r="M10" s="81">
        <v>1372.6</v>
      </c>
      <c r="N10" s="30">
        <f>SUM(E10-SUM(K10:M10))</f>
        <v>6783.8</v>
      </c>
      <c r="O10" s="81">
        <v>1363.2</v>
      </c>
      <c r="P10" s="81">
        <v>1344.9</v>
      </c>
      <c r="Q10" s="30"/>
      <c r="R10" s="30">
        <f t="shared" ref="R10:W10" si="0">SUM(G10:J10)</f>
        <v>9619</v>
      </c>
      <c r="S10" s="30">
        <f t="shared" si="0"/>
        <v>9825.2000000000007</v>
      </c>
      <c r="T10" s="30">
        <f t="shared" si="0"/>
        <v>9994.2999999999993</v>
      </c>
      <c r="U10" s="30">
        <f t="shared" si="0"/>
        <v>10178.300000000001</v>
      </c>
      <c r="V10" s="30">
        <f t="shared" si="0"/>
        <v>10588</v>
      </c>
      <c r="W10" s="30">
        <f t="shared" si="0"/>
        <v>10756.400000000001</v>
      </c>
      <c r="X10" s="30">
        <f>SUM(M10:P10)</f>
        <v>10864.5</v>
      </c>
      <c r="Y10" s="37"/>
      <c r="Z10" s="68">
        <f>SUM(X10/T10)-1</f>
        <v>8.7069629688922845E-2</v>
      </c>
    </row>
    <row r="11" spans="1:26" ht="12.75" customHeight="1">
      <c r="B11" s="12" t="s">
        <v>12</v>
      </c>
      <c r="C11" s="13">
        <f t="shared" ref="C11:E11" si="1">+SUM(C10:C10)</f>
        <v>8111</v>
      </c>
      <c r="D11" s="13">
        <f t="shared" si="1"/>
        <v>9619</v>
      </c>
      <c r="E11" s="13">
        <f t="shared" si="1"/>
        <v>10588</v>
      </c>
      <c r="F11" s="11"/>
      <c r="G11" s="13">
        <f t="shared" ref="G11:P11" si="2">+SUM(G10:G10)</f>
        <v>988.6</v>
      </c>
      <c r="H11" s="13">
        <f t="shared" si="2"/>
        <v>1067.7</v>
      </c>
      <c r="I11" s="13">
        <f t="shared" si="2"/>
        <v>1188.5999999999999</v>
      </c>
      <c r="J11" s="13">
        <f t="shared" si="2"/>
        <v>6374.1</v>
      </c>
      <c r="K11" s="13">
        <f t="shared" si="2"/>
        <v>1194.8</v>
      </c>
      <c r="L11" s="13">
        <f t="shared" si="2"/>
        <v>1236.8</v>
      </c>
      <c r="M11" s="13">
        <f t="shared" si="2"/>
        <v>1372.6</v>
      </c>
      <c r="N11" s="13">
        <f t="shared" si="2"/>
        <v>6783.8</v>
      </c>
      <c r="O11" s="13">
        <f t="shared" si="2"/>
        <v>1363.2</v>
      </c>
      <c r="P11" s="13">
        <f t="shared" si="2"/>
        <v>1344.9</v>
      </c>
      <c r="R11" s="13">
        <f t="shared" ref="R11:X11" si="3">+SUM(R10:R10)</f>
        <v>9619</v>
      </c>
      <c r="S11" s="13">
        <f t="shared" si="3"/>
        <v>9825.2000000000007</v>
      </c>
      <c r="T11" s="13">
        <f t="shared" si="3"/>
        <v>9994.2999999999993</v>
      </c>
      <c r="U11" s="13">
        <f t="shared" si="3"/>
        <v>10178.300000000001</v>
      </c>
      <c r="V11" s="13">
        <f t="shared" si="3"/>
        <v>10588</v>
      </c>
      <c r="W11" s="13">
        <f t="shared" si="3"/>
        <v>10756.400000000001</v>
      </c>
      <c r="X11" s="13">
        <f t="shared" si="3"/>
        <v>10864.5</v>
      </c>
      <c r="Y11" s="37"/>
      <c r="Z11" s="69">
        <f>SUM(X11/T11)-1</f>
        <v>8.7069629688922845E-2</v>
      </c>
    </row>
    <row r="12" spans="1:26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Z12" s="68"/>
    </row>
    <row r="13" spans="1:26" ht="12.75" customHeight="1">
      <c r="B13" s="9" t="s">
        <v>13</v>
      </c>
      <c r="C13" s="76">
        <v>-3618</v>
      </c>
      <c r="D13" s="76">
        <v>-4010</v>
      </c>
      <c r="E13" s="76">
        <v>-4317</v>
      </c>
      <c r="F13" s="22"/>
      <c r="G13" s="76">
        <v>-850</v>
      </c>
      <c r="H13" s="76">
        <v>-911</v>
      </c>
      <c r="I13" s="76">
        <v>-948</v>
      </c>
      <c r="J13" s="76">
        <v>-1302</v>
      </c>
      <c r="K13" s="76">
        <v>-934</v>
      </c>
      <c r="L13" s="76">
        <v>-959</v>
      </c>
      <c r="M13" s="76">
        <v>-995</v>
      </c>
      <c r="N13" s="30">
        <f t="shared" ref="N13" si="4">SUM(E13-SUM(K13:M13))</f>
        <v>-1429</v>
      </c>
      <c r="O13" s="76">
        <v>-988</v>
      </c>
      <c r="P13" s="76">
        <v>-1048</v>
      </c>
      <c r="R13" s="30">
        <f t="shared" ref="R13" si="5">SUM(G13:J13)</f>
        <v>-4011</v>
      </c>
      <c r="S13" s="30">
        <f t="shared" ref="S13" si="6">SUM(H13:K13)</f>
        <v>-4095</v>
      </c>
      <c r="T13" s="30">
        <f t="shared" ref="T13" si="7">SUM(I13:L13)</f>
        <v>-4143</v>
      </c>
      <c r="U13" s="30">
        <f t="shared" ref="U13" si="8">SUM(J13:M13)</f>
        <v>-4190</v>
      </c>
      <c r="V13" s="30">
        <f t="shared" ref="V13" si="9">SUM(K13:N13)</f>
        <v>-4317</v>
      </c>
      <c r="W13" s="30">
        <f t="shared" ref="W13" si="10">SUM(L13:O13)</f>
        <v>-4371</v>
      </c>
      <c r="X13" s="30">
        <f>SUM(M13:P13)</f>
        <v>-4460</v>
      </c>
      <c r="Y13" s="11"/>
      <c r="Z13" s="68">
        <f>SUM(X13/T13)-1</f>
        <v>7.6514602944726118E-2</v>
      </c>
    </row>
    <row r="14" spans="1:26" ht="12.75" customHeight="1">
      <c r="B14" s="23" t="s">
        <v>22</v>
      </c>
      <c r="C14" s="24">
        <f t="shared" ref="C14:E14" si="11">+SUM(C11+SUM(C13:C13))</f>
        <v>4493</v>
      </c>
      <c r="D14" s="24">
        <f t="shared" si="11"/>
        <v>5609</v>
      </c>
      <c r="E14" s="24">
        <f t="shared" si="11"/>
        <v>6271</v>
      </c>
      <c r="G14" s="24">
        <f t="shared" ref="G14:P14" si="12">+SUM(G11+SUM(G13:G13))</f>
        <v>138.60000000000002</v>
      </c>
      <c r="H14" s="24">
        <f t="shared" si="12"/>
        <v>156.70000000000005</v>
      </c>
      <c r="I14" s="24">
        <f t="shared" si="12"/>
        <v>240.59999999999991</v>
      </c>
      <c r="J14" s="24">
        <f t="shared" si="12"/>
        <v>5072.1000000000004</v>
      </c>
      <c r="K14" s="24">
        <f t="shared" si="12"/>
        <v>260.79999999999995</v>
      </c>
      <c r="L14" s="24">
        <f t="shared" si="12"/>
        <v>277.79999999999995</v>
      </c>
      <c r="M14" s="24">
        <f t="shared" si="12"/>
        <v>377.59999999999991</v>
      </c>
      <c r="N14" s="24">
        <f t="shared" si="12"/>
        <v>5354.8</v>
      </c>
      <c r="O14" s="24">
        <f t="shared" si="12"/>
        <v>375.20000000000005</v>
      </c>
      <c r="P14" s="24">
        <f t="shared" si="12"/>
        <v>296.90000000000009</v>
      </c>
      <c r="R14" s="24">
        <f t="shared" ref="R14:X14" si="13">+SUM(R11+SUM(R13:R13))</f>
        <v>5608</v>
      </c>
      <c r="S14" s="24">
        <f t="shared" si="13"/>
        <v>5730.2000000000007</v>
      </c>
      <c r="T14" s="24">
        <f t="shared" si="13"/>
        <v>5851.2999999999993</v>
      </c>
      <c r="U14" s="24">
        <f t="shared" si="13"/>
        <v>5988.3000000000011</v>
      </c>
      <c r="V14" s="24">
        <f t="shared" si="13"/>
        <v>6271</v>
      </c>
      <c r="W14" s="24">
        <f t="shared" si="13"/>
        <v>6385.4000000000015</v>
      </c>
      <c r="X14" s="24">
        <f t="shared" si="13"/>
        <v>6404.5</v>
      </c>
      <c r="Y14" s="39"/>
      <c r="Z14" s="69">
        <f>SUM(X14/T14)-1</f>
        <v>9.4543092987883215E-2</v>
      </c>
    </row>
    <row r="15" spans="1:26" ht="12.75" customHeight="1">
      <c r="B15" s="14" t="s">
        <v>32</v>
      </c>
      <c r="C15" s="15">
        <f t="shared" ref="C15:E15" si="14">C14/C11</f>
        <v>0.55393909505609662</v>
      </c>
      <c r="D15" s="15">
        <f t="shared" si="14"/>
        <v>0.58311674810271341</v>
      </c>
      <c r="E15" s="15">
        <f t="shared" si="14"/>
        <v>0.59227427276161693</v>
      </c>
      <c r="F15" s="25"/>
      <c r="G15" s="15">
        <f t="shared" ref="G15:P15" si="15">G14/G11</f>
        <v>0.14019826016589118</v>
      </c>
      <c r="H15" s="15">
        <f t="shared" si="15"/>
        <v>0.14676407230495461</v>
      </c>
      <c r="I15" s="15">
        <f t="shared" si="15"/>
        <v>0.20242301867743559</v>
      </c>
      <c r="J15" s="15">
        <f t="shared" si="15"/>
        <v>0.79573586859321321</v>
      </c>
      <c r="K15" s="15">
        <f t="shared" si="15"/>
        <v>0.21827920990960828</v>
      </c>
      <c r="L15" s="15">
        <f t="shared" si="15"/>
        <v>0.22461190168175935</v>
      </c>
      <c r="M15" s="15">
        <f t="shared" si="15"/>
        <v>0.2750983534897275</v>
      </c>
      <c r="N15" s="15">
        <f t="shared" si="15"/>
        <v>0.7893511011527462</v>
      </c>
      <c r="O15" s="15">
        <f t="shared" si="15"/>
        <v>0.27523474178403756</v>
      </c>
      <c r="P15" s="15">
        <f t="shared" si="15"/>
        <v>0.22075990779983648</v>
      </c>
      <c r="Q15" s="26"/>
      <c r="R15" s="15">
        <f t="shared" ref="R15:X15" si="16">R14/R11</f>
        <v>0.58301278719201577</v>
      </c>
      <c r="S15" s="15">
        <f t="shared" si="16"/>
        <v>0.58321459105158169</v>
      </c>
      <c r="T15" s="15">
        <f t="shared" si="16"/>
        <v>0.58546371431716071</v>
      </c>
      <c r="U15" s="15">
        <f t="shared" si="16"/>
        <v>0.58833989959030486</v>
      </c>
      <c r="V15" s="15">
        <f t="shared" si="16"/>
        <v>0.59227427276161693</v>
      </c>
      <c r="W15" s="15">
        <f t="shared" si="16"/>
        <v>0.59363727641218256</v>
      </c>
      <c r="X15" s="15">
        <f t="shared" si="16"/>
        <v>0.58948870173500856</v>
      </c>
      <c r="Y15" s="39"/>
      <c r="Z15" s="70">
        <f>SUM(X15-T15)*1000</f>
        <v>4.0249874178478473</v>
      </c>
    </row>
    <row r="16" spans="1:26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R16" s="28"/>
      <c r="S16" s="28"/>
      <c r="T16" s="28"/>
      <c r="U16" s="28"/>
      <c r="V16" s="28"/>
      <c r="W16" s="28"/>
      <c r="X16" s="28"/>
      <c r="Y16" s="39"/>
      <c r="Z16" s="68"/>
    </row>
    <row r="17" spans="2:26" ht="12.75" customHeight="1">
      <c r="B17" s="9" t="s">
        <v>137</v>
      </c>
      <c r="C17" s="76">
        <v>-2758</v>
      </c>
      <c r="D17" s="76">
        <v>-3397</v>
      </c>
      <c r="E17" s="76">
        <v>-3762</v>
      </c>
      <c r="F17" s="30"/>
      <c r="G17" s="76">
        <v>-748</v>
      </c>
      <c r="H17" s="76">
        <v>-817</v>
      </c>
      <c r="I17" s="76">
        <v>-843</v>
      </c>
      <c r="J17" s="30">
        <f t="shared" ref="J17:J18" si="17">SUM(D17-SUM(G17:I17))</f>
        <v>-989</v>
      </c>
      <c r="K17" s="76">
        <v>-842</v>
      </c>
      <c r="L17" s="76">
        <v>-872</v>
      </c>
      <c r="M17" s="76">
        <v>-910</v>
      </c>
      <c r="N17" s="30">
        <f t="shared" ref="N17:N18" si="18">SUM(E17-SUM(K17:M17))</f>
        <v>-1138</v>
      </c>
      <c r="O17" s="76">
        <v>-943</v>
      </c>
      <c r="P17" s="76">
        <v>-952</v>
      </c>
      <c r="R17" s="30">
        <f t="shared" ref="R17:R18" si="19">SUM(G17:J17)</f>
        <v>-3397</v>
      </c>
      <c r="S17" s="30">
        <f t="shared" ref="S17:S18" si="20">SUM(H17:K17)</f>
        <v>-3491</v>
      </c>
      <c r="T17" s="30">
        <f t="shared" ref="T17:T18" si="21">SUM(I17:L17)</f>
        <v>-3546</v>
      </c>
      <c r="U17" s="30">
        <f t="shared" ref="U17:U18" si="22">SUM(J17:M17)</f>
        <v>-3613</v>
      </c>
      <c r="V17" s="30">
        <f t="shared" ref="V17:V18" si="23">SUM(K17:N17)</f>
        <v>-3762</v>
      </c>
      <c r="W17" s="30">
        <f t="shared" ref="W17:W18" si="24">SUM(L17:O17)</f>
        <v>-3863</v>
      </c>
      <c r="X17" s="30">
        <f t="shared" ref="X17:X18" si="25">SUM(M17:P17)</f>
        <v>-3943</v>
      </c>
      <c r="Y17" s="11"/>
      <c r="Z17" s="68">
        <f>SUM(X17/T17)-1</f>
        <v>0.11195713479977432</v>
      </c>
    </row>
    <row r="18" spans="2:26" ht="12.75" customHeight="1">
      <c r="B18" s="9" t="s">
        <v>138</v>
      </c>
      <c r="C18" s="76">
        <v>-406</v>
      </c>
      <c r="D18" s="76">
        <v>-80</v>
      </c>
      <c r="E18" s="76">
        <v>-3</v>
      </c>
      <c r="F18" s="30"/>
      <c r="G18" s="76">
        <v>-2</v>
      </c>
      <c r="H18" s="76">
        <v>-2</v>
      </c>
      <c r="I18" s="76">
        <v>-76</v>
      </c>
      <c r="J18" s="30">
        <f t="shared" si="17"/>
        <v>0</v>
      </c>
      <c r="K18" s="76">
        <v>0</v>
      </c>
      <c r="L18" s="76">
        <v>0</v>
      </c>
      <c r="M18" s="76">
        <v>-1</v>
      </c>
      <c r="N18" s="30">
        <f t="shared" si="18"/>
        <v>-2</v>
      </c>
      <c r="O18" s="76">
        <v>-2</v>
      </c>
      <c r="P18" s="76">
        <v>-2</v>
      </c>
      <c r="R18" s="30">
        <f t="shared" si="19"/>
        <v>-80</v>
      </c>
      <c r="S18" s="30">
        <f t="shared" si="20"/>
        <v>-78</v>
      </c>
      <c r="T18" s="30">
        <f t="shared" si="21"/>
        <v>-76</v>
      </c>
      <c r="U18" s="30">
        <f t="shared" si="22"/>
        <v>-1</v>
      </c>
      <c r="V18" s="30">
        <f t="shared" si="23"/>
        <v>-3</v>
      </c>
      <c r="W18" s="30">
        <f t="shared" si="24"/>
        <v>-5</v>
      </c>
      <c r="X18" s="30">
        <f t="shared" si="25"/>
        <v>-7</v>
      </c>
      <c r="Y18" s="11"/>
      <c r="Z18" s="68">
        <f>SUM(X18/T18)-1</f>
        <v>-0.90789473684210531</v>
      </c>
    </row>
    <row r="19" spans="2:26" ht="12.75" customHeight="1">
      <c r="B19" s="23" t="s">
        <v>82</v>
      </c>
      <c r="C19" s="24">
        <f>+SUM(C14+SUM(C17:C18))</f>
        <v>1329</v>
      </c>
      <c r="D19" s="24">
        <f>+SUM(D14+SUM(D17:D18))</f>
        <v>2132</v>
      </c>
      <c r="E19" s="24">
        <f>+SUM(E14+SUM(E17:E18))</f>
        <v>2506</v>
      </c>
      <c r="F19" s="30"/>
      <c r="G19" s="24">
        <f>+SUM(G14+SUM(G17:G18))</f>
        <v>-611.4</v>
      </c>
      <c r="H19" s="24">
        <f>+SUM(H14+SUM(H17:H18))</f>
        <v>-662.3</v>
      </c>
      <c r="I19" s="24">
        <f>+SUM(I14+SUM(I17:I18))</f>
        <v>-678.40000000000009</v>
      </c>
      <c r="J19" s="24">
        <f>+SUM(J14+SUM(J17:J18))</f>
        <v>4083.1000000000004</v>
      </c>
      <c r="K19" s="24">
        <f>+SUM(K14+SUM(K17:K18))</f>
        <v>-581.20000000000005</v>
      </c>
      <c r="L19" s="24">
        <f>+SUM(L14+SUM(L17:L18))</f>
        <v>-594.20000000000005</v>
      </c>
      <c r="M19" s="24">
        <f>+SUM(M14+SUM(M17:M18))</f>
        <v>-533.40000000000009</v>
      </c>
      <c r="N19" s="24">
        <f>+SUM(N14+SUM(N17:N18))</f>
        <v>4214.8</v>
      </c>
      <c r="O19" s="24">
        <f>+SUM(O14+SUM(O17:O18))</f>
        <v>-569.79999999999995</v>
      </c>
      <c r="P19" s="24">
        <f>+SUM(P14+SUM(P17:P18))</f>
        <v>-657.09999999999991</v>
      </c>
      <c r="R19" s="24">
        <f>+SUM(R14+SUM(R17:R18))</f>
        <v>2131</v>
      </c>
      <c r="S19" s="24">
        <f>+SUM(S14+SUM(S17:S18))</f>
        <v>2161.2000000000007</v>
      </c>
      <c r="T19" s="24">
        <f>+SUM(T14+SUM(T17:T18))</f>
        <v>2229.2999999999993</v>
      </c>
      <c r="U19" s="24">
        <f>+SUM(U14+SUM(U17:U18))</f>
        <v>2374.3000000000011</v>
      </c>
      <c r="V19" s="24">
        <f>+SUM(V14+SUM(V17:V18))</f>
        <v>2506</v>
      </c>
      <c r="W19" s="24">
        <f>+SUM(W14+SUM(W17:W18))</f>
        <v>2517.4000000000015</v>
      </c>
      <c r="X19" s="24">
        <f>+SUM(X14+SUM(X17:X18))</f>
        <v>2454.5</v>
      </c>
      <c r="Y19" s="11"/>
      <c r="Z19" s="69">
        <f>SUM(X19/T19)-1</f>
        <v>0.10101825685192689</v>
      </c>
    </row>
    <row r="20" spans="2:26" ht="12.75" customHeight="1">
      <c r="B20" s="14" t="s">
        <v>34</v>
      </c>
      <c r="C20" s="15">
        <f>C19/C11</f>
        <v>0.16385155961040562</v>
      </c>
      <c r="D20" s="15">
        <f>D19/D11</f>
        <v>0.22164466160723567</v>
      </c>
      <c r="E20" s="15">
        <f>E19/E11</f>
        <v>0.23668303740083113</v>
      </c>
      <c r="F20" s="30"/>
      <c r="G20" s="15">
        <f>G19/G11</f>
        <v>-0.61845033380538128</v>
      </c>
      <c r="H20" s="15">
        <f>H19/H11</f>
        <v>-0.62030532921232551</v>
      </c>
      <c r="I20" s="15">
        <f>I19/I11</f>
        <v>-0.57075551068483943</v>
      </c>
      <c r="J20" s="15">
        <f>J19/J11</f>
        <v>0.6405767088687031</v>
      </c>
      <c r="K20" s="15">
        <f>K19/K11</f>
        <v>-0.48644124539671918</v>
      </c>
      <c r="L20" s="15">
        <f>L19/L11</f>
        <v>-0.48043337645536877</v>
      </c>
      <c r="M20" s="15">
        <f>M19/M11</f>
        <v>-0.38860556607897428</v>
      </c>
      <c r="N20" s="15">
        <f>N19/N11</f>
        <v>0.62130369409475517</v>
      </c>
      <c r="O20" s="15">
        <f>O19/O11</f>
        <v>-0.41798708920187788</v>
      </c>
      <c r="P20" s="15">
        <f>P19/P11</f>
        <v>-0.48858651200832764</v>
      </c>
      <c r="R20" s="15">
        <f>R19/R11</f>
        <v>0.22154070069653811</v>
      </c>
      <c r="S20" s="15">
        <f>S19/S11</f>
        <v>0.21996498799006642</v>
      </c>
      <c r="T20" s="15">
        <f>T19/T11</f>
        <v>0.22305714257126558</v>
      </c>
      <c r="U20" s="15">
        <f>U19/U11</f>
        <v>0.23327078195769441</v>
      </c>
      <c r="V20" s="15">
        <f>V19/V11</f>
        <v>0.23668303740083113</v>
      </c>
      <c r="W20" s="15">
        <f>W19/W11</f>
        <v>0.23403741028596939</v>
      </c>
      <c r="X20" s="15">
        <f>X19/X11</f>
        <v>0.22591927838372683</v>
      </c>
      <c r="Y20" s="11"/>
      <c r="Z20" s="70">
        <f>SUM(X20-T20)*1000</f>
        <v>2.8621358124612528</v>
      </c>
    </row>
    <row r="21" spans="2:26" ht="5.0999999999999996" customHeight="1">
      <c r="B21" s="14"/>
      <c r="C21" s="15"/>
      <c r="D21" s="15"/>
      <c r="E21" s="15"/>
      <c r="F21" s="30"/>
      <c r="G21" s="76"/>
      <c r="H21" s="76"/>
      <c r="I21" s="76"/>
      <c r="J21" s="76"/>
      <c r="K21" s="76"/>
      <c r="L21" s="76"/>
      <c r="M21" s="76"/>
      <c r="N21" s="76"/>
      <c r="O21" s="76"/>
      <c r="P21" s="76"/>
      <c r="R21" s="30"/>
      <c r="S21" s="30"/>
      <c r="T21" s="30"/>
      <c r="U21" s="30"/>
      <c r="V21" s="30"/>
      <c r="W21" s="30"/>
      <c r="X21" s="30"/>
      <c r="Y21" s="11"/>
      <c r="Z21" s="68"/>
    </row>
    <row r="22" spans="2:26" ht="12.75" customHeight="1">
      <c r="B22" s="9" t="s">
        <v>118</v>
      </c>
      <c r="C22" s="76">
        <v>4</v>
      </c>
      <c r="D22" s="76">
        <v>43</v>
      </c>
      <c r="E22" s="76">
        <v>70</v>
      </c>
      <c r="F22" s="30"/>
      <c r="G22" s="76">
        <v>8</v>
      </c>
      <c r="H22" s="76">
        <v>7</v>
      </c>
      <c r="I22" s="76">
        <v>10</v>
      </c>
      <c r="J22" s="30">
        <f t="shared" ref="J22" si="26">SUM(D22-SUM(G22:I22))</f>
        <v>18</v>
      </c>
      <c r="K22" s="76">
        <v>23</v>
      </c>
      <c r="L22" s="76">
        <v>18</v>
      </c>
      <c r="M22" s="76">
        <v>14</v>
      </c>
      <c r="N22" s="30">
        <f t="shared" ref="N22" si="27">SUM(E22-SUM(K22:M22))</f>
        <v>15</v>
      </c>
      <c r="O22" s="76">
        <v>12</v>
      </c>
      <c r="P22" s="76">
        <v>10</v>
      </c>
      <c r="R22" s="30">
        <f t="shared" ref="R22" si="28">SUM(G22:J22)</f>
        <v>43</v>
      </c>
      <c r="S22" s="30">
        <f t="shared" ref="S22" si="29">SUM(H22:K22)</f>
        <v>58</v>
      </c>
      <c r="T22" s="30">
        <f t="shared" ref="T22" si="30">SUM(I22:L22)</f>
        <v>69</v>
      </c>
      <c r="U22" s="30">
        <f t="shared" ref="U22" si="31">SUM(J22:M22)</f>
        <v>73</v>
      </c>
      <c r="V22" s="30">
        <f t="shared" ref="V22" si="32">SUM(K22:N22)</f>
        <v>70</v>
      </c>
      <c r="W22" s="30">
        <f t="shared" ref="W22" si="33">SUM(L22:O22)</f>
        <v>59</v>
      </c>
      <c r="X22" s="30">
        <f t="shared" ref="X22" si="34">SUM(M22:P22)</f>
        <v>51</v>
      </c>
      <c r="Y22" s="11"/>
      <c r="Z22" s="68">
        <f>SUM(X22/T22)-1</f>
        <v>-0.26086956521739135</v>
      </c>
    </row>
    <row r="23" spans="2:26" ht="12.75" customHeight="1">
      <c r="B23" s="23" t="s">
        <v>113</v>
      </c>
      <c r="C23" s="24">
        <f>SUM(C22:C22)+C19</f>
        <v>1333</v>
      </c>
      <c r="D23" s="24">
        <f>SUM(D22:D22)+D19</f>
        <v>2175</v>
      </c>
      <c r="E23" s="24">
        <f>SUM(E22:E22)+E19</f>
        <v>2576</v>
      </c>
      <c r="F23" s="30"/>
      <c r="G23" s="24">
        <f>SUM(G22:G22)+G19</f>
        <v>-603.4</v>
      </c>
      <c r="H23" s="24">
        <f>SUM(H22:H22)+H19</f>
        <v>-655.29999999999995</v>
      </c>
      <c r="I23" s="24">
        <f>SUM(I22:I22)+I19</f>
        <v>-668.40000000000009</v>
      </c>
      <c r="J23" s="24">
        <f>SUM(J22:J22)+J19</f>
        <v>4101.1000000000004</v>
      </c>
      <c r="K23" s="24">
        <f>SUM(K22:K22)+K19</f>
        <v>-558.20000000000005</v>
      </c>
      <c r="L23" s="24">
        <f>SUM(L22:L22)+L19</f>
        <v>-576.20000000000005</v>
      </c>
      <c r="M23" s="24">
        <f>SUM(M22:M22)+M19</f>
        <v>-519.40000000000009</v>
      </c>
      <c r="N23" s="24">
        <f>SUM(N22:N22)+N19</f>
        <v>4229.8</v>
      </c>
      <c r="O23" s="24">
        <f>SUM(O22:O22)+O19</f>
        <v>-557.79999999999995</v>
      </c>
      <c r="P23" s="24">
        <f>SUM(P22:P22)+P19</f>
        <v>-647.09999999999991</v>
      </c>
      <c r="R23" s="24">
        <f>SUM(R22:R22)+R19</f>
        <v>2174</v>
      </c>
      <c r="S23" s="24">
        <f>SUM(S22:S22)+S19</f>
        <v>2219.2000000000007</v>
      </c>
      <c r="T23" s="24">
        <f>SUM(T22:T22)+T19</f>
        <v>2298.2999999999993</v>
      </c>
      <c r="U23" s="24">
        <f>SUM(U22:U22)+U19</f>
        <v>2447.3000000000011</v>
      </c>
      <c r="V23" s="24">
        <f>SUM(V22:V22)+V19</f>
        <v>2576</v>
      </c>
      <c r="W23" s="24">
        <f>SUM(W22:W22)+W19</f>
        <v>2576.4000000000015</v>
      </c>
      <c r="X23" s="24">
        <f>SUM(X22:X22)+X19</f>
        <v>2505.5</v>
      </c>
      <c r="Y23" s="11"/>
      <c r="Z23" s="68">
        <f>SUM(X23/T23)-1</f>
        <v>9.0153591785232967E-2</v>
      </c>
    </row>
    <row r="24" spans="2:26" ht="12.75" customHeight="1">
      <c r="B24" s="14" t="s">
        <v>83</v>
      </c>
      <c r="C24" s="15">
        <f>C23/C11</f>
        <v>0.16434471705091849</v>
      </c>
      <c r="D24" s="15">
        <f>D23/D11</f>
        <v>0.22611498076723152</v>
      </c>
      <c r="E24" s="15">
        <f>E23/E11</f>
        <v>0.2432942954287873</v>
      </c>
      <c r="F24" s="25"/>
      <c r="G24" s="15">
        <f>G23/G11</f>
        <v>-0.61035808213635445</v>
      </c>
      <c r="H24" s="15">
        <f>H23/H11</f>
        <v>-0.61374918048140858</v>
      </c>
      <c r="I24" s="15">
        <f>I23/I11</f>
        <v>-0.56234225138818794</v>
      </c>
      <c r="J24" s="15">
        <f>J23/J11</f>
        <v>0.6434006369526678</v>
      </c>
      <c r="K24" s="15">
        <f>K23/K11</f>
        <v>-0.46719116170070313</v>
      </c>
      <c r="L24" s="15">
        <f>L23/L11</f>
        <v>-0.46587968952134545</v>
      </c>
      <c r="M24" s="15">
        <f>M23/M11</f>
        <v>-0.37840594492204582</v>
      </c>
      <c r="N24" s="15">
        <f>N23/N11</f>
        <v>0.62351484418762348</v>
      </c>
      <c r="O24" s="15">
        <f>O23/O11</f>
        <v>-0.40918427230046944</v>
      </c>
      <c r="P24" s="15">
        <f>P23/P11</f>
        <v>-0.48115101494534901</v>
      </c>
      <c r="R24" s="15">
        <f>R23/R11</f>
        <v>0.22601101985653393</v>
      </c>
      <c r="S24" s="15">
        <f>S23/S11</f>
        <v>0.22586817571143597</v>
      </c>
      <c r="T24" s="15">
        <f>T23/T11</f>
        <v>0.22996107781435413</v>
      </c>
      <c r="U24" s="15">
        <f>U23/U11</f>
        <v>0.24044290303881796</v>
      </c>
      <c r="V24" s="15">
        <f>V23/V11</f>
        <v>0.2432942954287873</v>
      </c>
      <c r="W24" s="15">
        <f>W23/W11</f>
        <v>0.23952251682719136</v>
      </c>
      <c r="X24" s="15">
        <f>X23/X11</f>
        <v>0.23061346587509779</v>
      </c>
      <c r="Y24" s="40"/>
      <c r="Z24" s="70">
        <f>SUM(X24-T24)*1000</f>
        <v>0.65238806074366384</v>
      </c>
    </row>
    <row r="25" spans="2:26" ht="5.0999999999999996" customHeight="1">
      <c r="B25" s="9"/>
      <c r="C25" s="76"/>
      <c r="D25" s="76"/>
      <c r="E25" s="76"/>
      <c r="F25" s="30"/>
      <c r="G25" s="76"/>
      <c r="H25" s="76"/>
      <c r="I25" s="76"/>
      <c r="J25" s="30"/>
      <c r="K25" s="76"/>
      <c r="L25" s="76"/>
      <c r="M25" s="76"/>
      <c r="N25" s="30"/>
      <c r="O25" s="76"/>
      <c r="P25" s="76"/>
      <c r="R25" s="30"/>
      <c r="S25" s="30"/>
      <c r="T25" s="30"/>
      <c r="U25" s="30"/>
      <c r="V25" s="30"/>
      <c r="W25" s="30"/>
      <c r="X25" s="30"/>
      <c r="Y25" s="11"/>
      <c r="Z25" s="68"/>
    </row>
    <row r="26" spans="2:26" ht="12.75" customHeight="1">
      <c r="B26" s="9" t="s">
        <v>88</v>
      </c>
      <c r="C26" s="76">
        <v>-478</v>
      </c>
      <c r="D26" s="76">
        <v>-626</v>
      </c>
      <c r="E26" s="76">
        <v>-761</v>
      </c>
      <c r="F26" s="30"/>
      <c r="G26" s="76">
        <v>-119</v>
      </c>
      <c r="H26" s="76">
        <v>-145</v>
      </c>
      <c r="I26" s="76">
        <v>-99</v>
      </c>
      <c r="J26" s="30">
        <f t="shared" ref="J26" si="35">SUM(D26-SUM(G26:I26))</f>
        <v>-263</v>
      </c>
      <c r="K26" s="76">
        <v>-135</v>
      </c>
      <c r="L26" s="76">
        <v>-165</v>
      </c>
      <c r="M26" s="76">
        <v>-153</v>
      </c>
      <c r="N26" s="30">
        <f t="shared" ref="N26" si="36">SUM(E26-SUM(K26:M26))</f>
        <v>-308</v>
      </c>
      <c r="O26" s="76">
        <v>-136</v>
      </c>
      <c r="P26" s="76">
        <v>-161</v>
      </c>
      <c r="R26" s="30">
        <f t="shared" ref="R26" si="37">SUM(G26:J26)</f>
        <v>-626</v>
      </c>
      <c r="S26" s="30">
        <f t="shared" ref="S26" si="38">SUM(H26:K26)</f>
        <v>-642</v>
      </c>
      <c r="T26" s="30">
        <f t="shared" ref="T26" si="39">SUM(I26:L26)</f>
        <v>-662</v>
      </c>
      <c r="U26" s="30">
        <f t="shared" ref="U26" si="40">SUM(J26:M26)</f>
        <v>-716</v>
      </c>
      <c r="V26" s="30">
        <f t="shared" ref="V26" si="41">SUM(K26:N26)</f>
        <v>-761</v>
      </c>
      <c r="W26" s="30">
        <f t="shared" ref="W26" si="42">SUM(L26:O26)</f>
        <v>-762</v>
      </c>
      <c r="X26" s="30">
        <f>SUM(M26:P26)</f>
        <v>-758</v>
      </c>
      <c r="Y26" s="11"/>
      <c r="Z26" s="68">
        <f>SUM(X26/T26)-1</f>
        <v>0.14501510574018117</v>
      </c>
    </row>
    <row r="27" spans="2:26" ht="12.75" customHeight="1">
      <c r="B27" s="12" t="s">
        <v>51</v>
      </c>
      <c r="C27" s="13">
        <f>SUM(C23+SUM(C26:C26))</f>
        <v>855</v>
      </c>
      <c r="D27" s="13">
        <f>SUM(D23+SUM(D26:D26))</f>
        <v>1549</v>
      </c>
      <c r="E27" s="13">
        <f>SUM(E23+SUM(E26:E26))</f>
        <v>1815</v>
      </c>
      <c r="G27" s="13">
        <f t="shared" ref="G27:P27" si="43">SUM(G23+SUM(G26:G26))</f>
        <v>-722.4</v>
      </c>
      <c r="H27" s="13">
        <f t="shared" si="43"/>
        <v>-800.3</v>
      </c>
      <c r="I27" s="13">
        <f t="shared" si="43"/>
        <v>-767.40000000000009</v>
      </c>
      <c r="J27" s="13">
        <f t="shared" si="43"/>
        <v>3838.1000000000004</v>
      </c>
      <c r="K27" s="13">
        <f t="shared" si="43"/>
        <v>-693.2</v>
      </c>
      <c r="L27" s="13">
        <f t="shared" si="43"/>
        <v>-741.2</v>
      </c>
      <c r="M27" s="13">
        <f t="shared" si="43"/>
        <v>-672.40000000000009</v>
      </c>
      <c r="N27" s="13">
        <f t="shared" si="43"/>
        <v>3921.8</v>
      </c>
      <c r="O27" s="13">
        <f t="shared" si="43"/>
        <v>-693.8</v>
      </c>
      <c r="P27" s="13">
        <f t="shared" si="43"/>
        <v>-808.09999999999991</v>
      </c>
      <c r="R27" s="13">
        <f t="shared" ref="R27:X27" si="44">SUM(R23+SUM(R26:R26))</f>
        <v>1548</v>
      </c>
      <c r="S27" s="13">
        <f t="shared" si="44"/>
        <v>1577.2000000000007</v>
      </c>
      <c r="T27" s="13">
        <f t="shared" si="44"/>
        <v>1636.2999999999993</v>
      </c>
      <c r="U27" s="13">
        <f t="shared" si="44"/>
        <v>1731.3000000000011</v>
      </c>
      <c r="V27" s="13">
        <f t="shared" si="44"/>
        <v>1815</v>
      </c>
      <c r="W27" s="13">
        <f t="shared" si="44"/>
        <v>1814.4000000000015</v>
      </c>
      <c r="X27" s="13">
        <f t="shared" si="44"/>
        <v>1747.5</v>
      </c>
      <c r="Y27" s="39"/>
      <c r="Z27" s="69">
        <f>SUM(X27/T27)-1</f>
        <v>6.7958198374381773E-2</v>
      </c>
    </row>
    <row r="28" spans="2:26" ht="12.75" customHeight="1">
      <c r="B28" s="14" t="s">
        <v>65</v>
      </c>
      <c r="C28" s="15">
        <f>C27/C11</f>
        <v>0.1054124029096289</v>
      </c>
      <c r="D28" s="15">
        <f>D27/D11</f>
        <v>0.16103545067054786</v>
      </c>
      <c r="E28" s="15">
        <f>E27/E11</f>
        <v>0.171420476010578</v>
      </c>
      <c r="F28" s="25"/>
      <c r="G28" s="15">
        <f>G27/G11</f>
        <v>-0.73073032571312968</v>
      </c>
      <c r="H28" s="15">
        <f>H27/H11</f>
        <v>-0.74955511847897338</v>
      </c>
      <c r="I28" s="15">
        <f>I27/I11</f>
        <v>-0.64563351842503802</v>
      </c>
      <c r="J28" s="15">
        <f>J27/J11</f>
        <v>0.60213990994807109</v>
      </c>
      <c r="K28" s="15">
        <f>K27/K11</f>
        <v>-0.58018078339471046</v>
      </c>
      <c r="L28" s="15">
        <f>L27/L11</f>
        <v>-0.59928848641655896</v>
      </c>
      <c r="M28" s="15">
        <f>M27/M11</f>
        <v>-0.48987323327990684</v>
      </c>
      <c r="N28" s="15">
        <f>N27/N11</f>
        <v>0.5781125622807276</v>
      </c>
      <c r="O28" s="15">
        <f>O27/O11</f>
        <v>-0.50894953051643188</v>
      </c>
      <c r="P28" s="15">
        <f>P27/P11</f>
        <v>-0.60086251765930543</v>
      </c>
      <c r="R28" s="15">
        <f>R27/R11</f>
        <v>0.1609314897598503</v>
      </c>
      <c r="S28" s="15">
        <f>S27/S11</f>
        <v>0.16052599438179382</v>
      </c>
      <c r="T28" s="15">
        <f>T27/T11</f>
        <v>0.16372332229370734</v>
      </c>
      <c r="U28" s="15">
        <f>U27/U11</f>
        <v>0.17009716750341422</v>
      </c>
      <c r="V28" s="15">
        <f>V27/V11</f>
        <v>0.171420476010578</v>
      </c>
      <c r="W28" s="15">
        <f>W27/W11</f>
        <v>0.16868097132869744</v>
      </c>
      <c r="X28" s="15">
        <f>X27/X11</f>
        <v>0.16084495374844679</v>
      </c>
      <c r="Y28" s="40"/>
      <c r="Z28" s="70">
        <f>SUM(X28-T28)*1000</f>
        <v>-2.8783685452605514</v>
      </c>
    </row>
    <row r="29" spans="2:26" ht="5.0999999999999996" customHeight="1">
      <c r="B29" s="14"/>
      <c r="C29" s="15"/>
      <c r="D29" s="15"/>
      <c r="E29" s="15"/>
      <c r="F29" s="2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6"/>
      <c r="R29" s="15"/>
      <c r="S29" s="15"/>
      <c r="T29" s="15"/>
      <c r="U29" s="15"/>
      <c r="V29" s="15"/>
      <c r="W29" s="15"/>
      <c r="X29" s="15"/>
      <c r="Y29" s="40"/>
      <c r="Z29" s="70"/>
    </row>
    <row r="30" spans="2:26" ht="12.75" customHeight="1">
      <c r="B30" s="41" t="s">
        <v>66</v>
      </c>
      <c r="C30" s="76"/>
      <c r="D30" s="76"/>
      <c r="E30" s="76"/>
      <c r="F30" s="25"/>
      <c r="G30" s="76"/>
      <c r="H30" s="76"/>
      <c r="I30" s="76"/>
      <c r="J30" s="30">
        <f>D30</f>
        <v>0</v>
      </c>
      <c r="K30" s="76"/>
      <c r="L30" s="76"/>
      <c r="M30" s="76"/>
      <c r="N30" s="30">
        <f>E30</f>
        <v>0</v>
      </c>
      <c r="O30" s="76"/>
      <c r="P30" s="76"/>
      <c r="Q30" s="30"/>
      <c r="R30" s="30">
        <f t="shared" ref="R30:W30" si="45">J30</f>
        <v>0</v>
      </c>
      <c r="S30" s="30">
        <f t="shared" si="45"/>
        <v>0</v>
      </c>
      <c r="T30" s="30">
        <f t="shared" si="45"/>
        <v>0</v>
      </c>
      <c r="U30" s="30">
        <f t="shared" si="45"/>
        <v>0</v>
      </c>
      <c r="V30" s="30">
        <f t="shared" si="45"/>
        <v>0</v>
      </c>
      <c r="W30" s="30">
        <f t="shared" si="45"/>
        <v>0</v>
      </c>
      <c r="X30" s="30">
        <f>P30</f>
        <v>0</v>
      </c>
      <c r="Y30" s="40"/>
      <c r="Z30" s="68" t="e">
        <f>SUM(X30/T30)-1</f>
        <v>#DIV/0!</v>
      </c>
    </row>
    <row r="31" spans="2:26" ht="12.75" customHeight="1">
      <c r="B31" s="12" t="s">
        <v>67</v>
      </c>
      <c r="C31" s="71" t="e">
        <f t="shared" ref="C31:E31" si="46">C27/C30</f>
        <v>#DIV/0!</v>
      </c>
      <c r="D31" s="71" t="e">
        <f t="shared" si="46"/>
        <v>#DIV/0!</v>
      </c>
      <c r="E31" s="71" t="e">
        <f t="shared" si="46"/>
        <v>#DIV/0!</v>
      </c>
      <c r="F31" s="11"/>
      <c r="G31" s="71" t="e">
        <f t="shared" ref="G31:P31" si="47">G27/G30</f>
        <v>#DIV/0!</v>
      </c>
      <c r="H31" s="71" t="e">
        <f t="shared" si="47"/>
        <v>#DIV/0!</v>
      </c>
      <c r="I31" s="71" t="e">
        <f t="shared" si="47"/>
        <v>#DIV/0!</v>
      </c>
      <c r="J31" s="71" t="e">
        <f t="shared" si="47"/>
        <v>#DIV/0!</v>
      </c>
      <c r="K31" s="71" t="e">
        <f t="shared" si="47"/>
        <v>#DIV/0!</v>
      </c>
      <c r="L31" s="71" t="e">
        <f t="shared" si="47"/>
        <v>#DIV/0!</v>
      </c>
      <c r="M31" s="71" t="e">
        <f t="shared" si="47"/>
        <v>#DIV/0!</v>
      </c>
      <c r="N31" s="71" t="e">
        <f t="shared" si="47"/>
        <v>#DIV/0!</v>
      </c>
      <c r="O31" s="71" t="e">
        <f t="shared" si="47"/>
        <v>#DIV/0!</v>
      </c>
      <c r="P31" s="71" t="e">
        <f t="shared" si="47"/>
        <v>#DIV/0!</v>
      </c>
      <c r="Q31" s="30"/>
      <c r="R31" s="71" t="e">
        <f t="shared" ref="R31:X31" si="48">R27/R30</f>
        <v>#DIV/0!</v>
      </c>
      <c r="S31" s="71" t="e">
        <f t="shared" si="48"/>
        <v>#DIV/0!</v>
      </c>
      <c r="T31" s="71" t="e">
        <f t="shared" si="48"/>
        <v>#DIV/0!</v>
      </c>
      <c r="U31" s="71" t="e">
        <f t="shared" si="48"/>
        <v>#DIV/0!</v>
      </c>
      <c r="V31" s="71" t="e">
        <f t="shared" si="48"/>
        <v>#DIV/0!</v>
      </c>
      <c r="W31" s="71" t="e">
        <f t="shared" si="48"/>
        <v>#DIV/0!</v>
      </c>
      <c r="X31" s="71" t="e">
        <f t="shared" si="48"/>
        <v>#DIV/0!</v>
      </c>
      <c r="Y31" s="33"/>
      <c r="Z31" s="69" t="e">
        <f>SUM(X31/T31)-1</f>
        <v>#DIV/0!</v>
      </c>
    </row>
    <row r="32" spans="2:26" ht="5.0999999999999996" customHeight="1">
      <c r="B32" s="14"/>
      <c r="C32" s="15"/>
      <c r="D32" s="15"/>
      <c r="E32" s="15"/>
      <c r="F32" s="2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26"/>
      <c r="R32" s="15"/>
      <c r="S32" s="15"/>
      <c r="T32" s="15"/>
      <c r="U32" s="15"/>
      <c r="V32" s="15"/>
      <c r="W32" s="15"/>
      <c r="X32" s="15"/>
      <c r="Y32" s="40"/>
      <c r="Z32" s="70"/>
    </row>
    <row r="33" spans="1:26" ht="12.75" customHeight="1">
      <c r="B33" s="41" t="s">
        <v>68</v>
      </c>
      <c r="C33" s="76"/>
      <c r="D33" s="76"/>
      <c r="E33" s="76"/>
      <c r="F33" s="25"/>
      <c r="G33" s="76"/>
      <c r="H33" s="76"/>
      <c r="I33" s="76"/>
      <c r="J33" s="30">
        <f>D33</f>
        <v>0</v>
      </c>
      <c r="K33" s="76"/>
      <c r="L33" s="76"/>
      <c r="M33" s="76"/>
      <c r="N33" s="30">
        <f>E33</f>
        <v>0</v>
      </c>
      <c r="O33" s="76"/>
      <c r="P33" s="76"/>
      <c r="Q33" s="30"/>
      <c r="R33" s="30">
        <f t="shared" ref="R33" si="49">J33</f>
        <v>0</v>
      </c>
      <c r="S33" s="30">
        <f t="shared" ref="S33" si="50">K33</f>
        <v>0</v>
      </c>
      <c r="T33" s="30">
        <f t="shared" ref="T33" si="51">L33</f>
        <v>0</v>
      </c>
      <c r="U33" s="30">
        <f t="shared" ref="U33" si="52">M33</f>
        <v>0</v>
      </c>
      <c r="V33" s="30">
        <f t="shared" ref="V33" si="53">N33</f>
        <v>0</v>
      </c>
      <c r="W33" s="30">
        <f t="shared" ref="W33" si="54">O33</f>
        <v>0</v>
      </c>
      <c r="X33" s="30">
        <f>P33</f>
        <v>0</v>
      </c>
      <c r="Y33" s="40"/>
      <c r="Z33" s="68" t="e">
        <f>SUM(X33/T33)-1</f>
        <v>#DIV/0!</v>
      </c>
    </row>
    <row r="34" spans="1:26" ht="12.75" customHeight="1">
      <c r="B34" s="12" t="s">
        <v>69</v>
      </c>
      <c r="C34" s="71" t="e">
        <f t="shared" ref="C34:E34" si="55">C27/C33</f>
        <v>#DIV/0!</v>
      </c>
      <c r="D34" s="71" t="e">
        <f t="shared" si="55"/>
        <v>#DIV/0!</v>
      </c>
      <c r="E34" s="71" t="e">
        <f t="shared" si="55"/>
        <v>#DIV/0!</v>
      </c>
      <c r="F34" s="25"/>
      <c r="G34" s="71" t="e">
        <f t="shared" ref="G34:P34" si="56">G27/G33</f>
        <v>#DIV/0!</v>
      </c>
      <c r="H34" s="71" t="e">
        <f t="shared" si="56"/>
        <v>#DIV/0!</v>
      </c>
      <c r="I34" s="71" t="e">
        <f t="shared" si="56"/>
        <v>#DIV/0!</v>
      </c>
      <c r="J34" s="71" t="e">
        <f t="shared" si="56"/>
        <v>#DIV/0!</v>
      </c>
      <c r="K34" s="71" t="e">
        <f t="shared" si="56"/>
        <v>#DIV/0!</v>
      </c>
      <c r="L34" s="71" t="e">
        <f t="shared" si="56"/>
        <v>#DIV/0!</v>
      </c>
      <c r="M34" s="71" t="e">
        <f t="shared" si="56"/>
        <v>#DIV/0!</v>
      </c>
      <c r="N34" s="71" t="e">
        <f t="shared" si="56"/>
        <v>#DIV/0!</v>
      </c>
      <c r="O34" s="71" t="e">
        <f t="shared" si="56"/>
        <v>#DIV/0!</v>
      </c>
      <c r="P34" s="71" t="e">
        <f t="shared" si="56"/>
        <v>#DIV/0!</v>
      </c>
      <c r="Q34" s="30"/>
      <c r="R34" s="71" t="e">
        <f t="shared" ref="R34:X34" si="57">R27/R33</f>
        <v>#DIV/0!</v>
      </c>
      <c r="S34" s="71" t="e">
        <f t="shared" si="57"/>
        <v>#DIV/0!</v>
      </c>
      <c r="T34" s="71" t="e">
        <f t="shared" si="57"/>
        <v>#DIV/0!</v>
      </c>
      <c r="U34" s="71" t="e">
        <f t="shared" si="57"/>
        <v>#DIV/0!</v>
      </c>
      <c r="V34" s="71" t="e">
        <f t="shared" si="57"/>
        <v>#DIV/0!</v>
      </c>
      <c r="W34" s="71" t="e">
        <f t="shared" si="57"/>
        <v>#DIV/0!</v>
      </c>
      <c r="X34" s="71" t="e">
        <f t="shared" si="57"/>
        <v>#DIV/0!</v>
      </c>
      <c r="Y34" s="33"/>
      <c r="Z34" s="69" t="e">
        <f>SUM(X34/T34)-1</f>
        <v>#DIV/0!</v>
      </c>
    </row>
    <row r="35" spans="1:26">
      <c r="B35" s="14"/>
      <c r="C35" s="15"/>
      <c r="D35" s="15"/>
      <c r="E35" s="76"/>
      <c r="F35" s="2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6"/>
      <c r="R35" s="15"/>
      <c r="S35" s="15"/>
      <c r="T35" s="15"/>
      <c r="U35" s="15"/>
      <c r="V35" s="15"/>
      <c r="W35" s="15"/>
      <c r="X35" s="15"/>
      <c r="Y35" s="40"/>
    </row>
    <row r="36" spans="1:26" ht="12.75" customHeight="1">
      <c r="A36" s="5" t="s">
        <v>18</v>
      </c>
      <c r="B36" s="91" t="s">
        <v>78</v>
      </c>
      <c r="C36" s="92" t="s">
        <v>0</v>
      </c>
      <c r="D36" s="92"/>
      <c r="E36" s="92"/>
      <c r="F36" s="93"/>
      <c r="G36" s="92"/>
      <c r="H36" s="92"/>
      <c r="I36" s="92"/>
      <c r="J36" s="92"/>
      <c r="K36" s="92"/>
      <c r="L36" s="92"/>
      <c r="M36" s="92" t="s">
        <v>1</v>
      </c>
      <c r="N36" s="92"/>
      <c r="O36" s="92"/>
      <c r="P36" s="92"/>
      <c r="Q36" s="91"/>
      <c r="R36" s="92"/>
      <c r="S36" s="92"/>
      <c r="T36" s="92" t="s">
        <v>10</v>
      </c>
      <c r="U36" s="92"/>
      <c r="V36" s="92"/>
      <c r="W36" s="92"/>
      <c r="X36" s="92"/>
      <c r="Y36" s="93"/>
      <c r="Z36" s="152" t="s">
        <v>24</v>
      </c>
    </row>
    <row r="37" spans="1:26" ht="12.75" customHeight="1">
      <c r="B37" s="95" t="str">
        <f>B7</f>
        <v>Fiscal Period</v>
      </c>
      <c r="C37" s="94">
        <f>C7</f>
        <v>2022</v>
      </c>
      <c r="D37" s="94">
        <f>D7</f>
        <v>2023</v>
      </c>
      <c r="E37" s="94">
        <f>E7</f>
        <v>2024</v>
      </c>
      <c r="F37" s="93"/>
      <c r="G37" s="94" t="str">
        <f>G7</f>
        <v>1Q23</v>
      </c>
      <c r="H37" s="94" t="str">
        <f>H7</f>
        <v>2Q23</v>
      </c>
      <c r="I37" s="94" t="str">
        <f>I7</f>
        <v>3Q23</v>
      </c>
      <c r="J37" s="94" t="str">
        <f>J7</f>
        <v>4Q23</v>
      </c>
      <c r="K37" s="94" t="str">
        <f>K7</f>
        <v>1Q24</v>
      </c>
      <c r="L37" s="94" t="str">
        <f>L7</f>
        <v>2Q24</v>
      </c>
      <c r="M37" s="94" t="str">
        <f>M7</f>
        <v>3Q24</v>
      </c>
      <c r="N37" s="94" t="str">
        <f>N7</f>
        <v>4Q24</v>
      </c>
      <c r="O37" s="94" t="str">
        <f>O7</f>
        <v>1Q25</v>
      </c>
      <c r="P37" s="94" t="str">
        <f>P7</f>
        <v>2Q25</v>
      </c>
      <c r="Q37" s="96"/>
      <c r="R37" s="94" t="str">
        <f>R7</f>
        <v>4Q23</v>
      </c>
      <c r="S37" s="94" t="str">
        <f>S7</f>
        <v>1Q24</v>
      </c>
      <c r="T37" s="94" t="str">
        <f>T7</f>
        <v>2Q24</v>
      </c>
      <c r="U37" s="94" t="str">
        <f>U7</f>
        <v>3Q24</v>
      </c>
      <c r="V37" s="94" t="str">
        <f>V7</f>
        <v>4Q24</v>
      </c>
      <c r="W37" s="94" t="str">
        <f>W7</f>
        <v>1Q25</v>
      </c>
      <c r="X37" s="94" t="str">
        <f>X7</f>
        <v>2Q25</v>
      </c>
      <c r="Y37" s="93"/>
      <c r="Z37" s="152"/>
    </row>
    <row r="38" spans="1:26" ht="12.75" customHeight="1">
      <c r="B38" s="95" t="str">
        <f>B8</f>
        <v>Fiscal Period End Date</v>
      </c>
      <c r="C38" s="97" t="str">
        <f>C8</f>
        <v>XXX</v>
      </c>
      <c r="D38" s="97" t="str">
        <f>D8</f>
        <v>XXX</v>
      </c>
      <c r="E38" s="97" t="str">
        <f>E8</f>
        <v>XXX</v>
      </c>
      <c r="F38" s="93"/>
      <c r="G38" s="97" t="str">
        <f>G8</f>
        <v>XXX</v>
      </c>
      <c r="H38" s="97" t="str">
        <f>H8</f>
        <v>XXX</v>
      </c>
      <c r="I38" s="97" t="str">
        <f>I8</f>
        <v>XXX</v>
      </c>
      <c r="J38" s="97" t="str">
        <f>J8</f>
        <v>XXX</v>
      </c>
      <c r="K38" s="97" t="str">
        <f>K8</f>
        <v>XXX</v>
      </c>
      <c r="L38" s="97" t="str">
        <f>L8</f>
        <v>XXX</v>
      </c>
      <c r="M38" s="97" t="str">
        <f>M8</f>
        <v>XXX</v>
      </c>
      <c r="N38" s="97" t="str">
        <f>N8</f>
        <v>XXX</v>
      </c>
      <c r="O38" s="97" t="str">
        <f>O8</f>
        <v>XXX</v>
      </c>
      <c r="P38" s="97" t="str">
        <f>P8</f>
        <v>XXX</v>
      </c>
      <c r="Q38" s="98"/>
      <c r="R38" s="97" t="str">
        <f>R8</f>
        <v>XXX</v>
      </c>
      <c r="S38" s="97" t="str">
        <f>S8</f>
        <v>XXX</v>
      </c>
      <c r="T38" s="97" t="str">
        <f>T8</f>
        <v>XXX</v>
      </c>
      <c r="U38" s="97" t="str">
        <f>U8</f>
        <v>XXX</v>
      </c>
      <c r="V38" s="97" t="str">
        <f>V8</f>
        <v>XXX</v>
      </c>
      <c r="W38" s="97" t="str">
        <f>W8</f>
        <v>XXX</v>
      </c>
      <c r="X38" s="97" t="str">
        <f>X8</f>
        <v>XXX</v>
      </c>
      <c r="Y38" s="93"/>
      <c r="Z38" s="152"/>
    </row>
    <row r="39" spans="1:26" ht="5.0999999999999996" customHeight="1">
      <c r="B39" s="43"/>
      <c r="C39" s="44"/>
      <c r="D39" s="44"/>
      <c r="E39" s="44"/>
    </row>
    <row r="40" spans="1:26">
      <c r="B40" s="72" t="s">
        <v>84</v>
      </c>
      <c r="C40" s="44"/>
      <c r="D40" s="44"/>
      <c r="E40" s="44"/>
    </row>
    <row r="41" spans="1:26" ht="12.75" customHeight="1">
      <c r="B41" s="9" t="s">
        <v>119</v>
      </c>
      <c r="C41" s="105">
        <v>1155</v>
      </c>
      <c r="D41" s="105">
        <v>2244</v>
      </c>
      <c r="E41" s="105">
        <v>1984</v>
      </c>
      <c r="G41" s="105">
        <v>951</v>
      </c>
      <c r="H41" s="105">
        <v>1108</v>
      </c>
      <c r="I41" s="105">
        <v>1091</v>
      </c>
      <c r="J41" s="82">
        <f t="shared" ref="J41:J45" si="58">D41</f>
        <v>2244</v>
      </c>
      <c r="K41" s="105">
        <v>1901</v>
      </c>
      <c r="L41" s="105">
        <v>1610</v>
      </c>
      <c r="M41" s="105">
        <v>1188</v>
      </c>
      <c r="N41" s="82">
        <f t="shared" ref="N41:N45" si="59">E41</f>
        <v>1984</v>
      </c>
      <c r="O41" s="105">
        <v>1325</v>
      </c>
      <c r="P41" s="105">
        <v>1156</v>
      </c>
      <c r="Q41" s="82"/>
      <c r="R41" s="30">
        <f t="shared" ref="R41:W45" si="60">J41</f>
        <v>2244</v>
      </c>
      <c r="S41" s="30">
        <f t="shared" si="60"/>
        <v>1901</v>
      </c>
      <c r="T41" s="30">
        <f t="shared" si="60"/>
        <v>1610</v>
      </c>
      <c r="U41" s="30">
        <f t="shared" si="60"/>
        <v>1188</v>
      </c>
      <c r="V41" s="30">
        <f t="shared" si="60"/>
        <v>1984</v>
      </c>
      <c r="W41" s="30">
        <f t="shared" si="60"/>
        <v>1325</v>
      </c>
      <c r="X41" s="30">
        <f>P41</f>
        <v>1156</v>
      </c>
      <c r="Y41" s="11"/>
      <c r="Z41" s="68">
        <f>SUM(X41/T41)-1</f>
        <v>-0.28198757763975157</v>
      </c>
    </row>
    <row r="42" spans="1:26" ht="12.75" customHeight="1">
      <c r="B42" s="9" t="s">
        <v>120</v>
      </c>
      <c r="C42" s="105">
        <v>133</v>
      </c>
      <c r="D42" s="105">
        <v>125</v>
      </c>
      <c r="E42" s="105">
        <v>120</v>
      </c>
      <c r="G42" s="105">
        <v>107</v>
      </c>
      <c r="H42" s="105">
        <v>106</v>
      </c>
      <c r="I42" s="105">
        <v>107</v>
      </c>
      <c r="J42" s="82">
        <f t="shared" si="58"/>
        <v>125</v>
      </c>
      <c r="K42" s="105">
        <v>126</v>
      </c>
      <c r="L42" s="105">
        <v>126</v>
      </c>
      <c r="M42" s="105">
        <v>143</v>
      </c>
      <c r="N42" s="82">
        <f t="shared" si="59"/>
        <v>120</v>
      </c>
      <c r="O42" s="105">
        <v>141</v>
      </c>
      <c r="P42" s="105">
        <v>139</v>
      </c>
      <c r="Q42" s="82"/>
      <c r="R42" s="30">
        <f t="shared" ref="R42:R44" si="61">J42</f>
        <v>125</v>
      </c>
      <c r="S42" s="30">
        <f t="shared" ref="S42:S44" si="62">K42</f>
        <v>126</v>
      </c>
      <c r="T42" s="30">
        <f t="shared" ref="T42:T44" si="63">L42</f>
        <v>126</v>
      </c>
      <c r="U42" s="30">
        <f t="shared" ref="U42:U44" si="64">M42</f>
        <v>143</v>
      </c>
      <c r="V42" s="30">
        <f t="shared" ref="V42:V44" si="65">N42</f>
        <v>120</v>
      </c>
      <c r="W42" s="30">
        <f t="shared" ref="W42:W44" si="66">O42</f>
        <v>141</v>
      </c>
      <c r="X42" s="30">
        <f t="shared" ref="X42:X44" si="67">P42</f>
        <v>139</v>
      </c>
      <c r="Y42" s="11"/>
      <c r="Z42" s="68">
        <f>SUM(X42/T42)-1</f>
        <v>0.10317460317460325</v>
      </c>
    </row>
    <row r="43" spans="1:26" ht="12.75" customHeight="1">
      <c r="B43" s="9" t="s">
        <v>121</v>
      </c>
      <c r="C43" s="105">
        <v>1447</v>
      </c>
      <c r="D43" s="105">
        <v>1324</v>
      </c>
      <c r="E43" s="105">
        <v>1442</v>
      </c>
      <c r="G43" s="105">
        <v>1580</v>
      </c>
      <c r="H43" s="105">
        <v>1661</v>
      </c>
      <c r="I43" s="105">
        <v>1664</v>
      </c>
      <c r="J43" s="82">
        <f t="shared" si="58"/>
        <v>1324</v>
      </c>
      <c r="K43" s="105">
        <v>1345</v>
      </c>
      <c r="L43" s="105">
        <v>1429</v>
      </c>
      <c r="M43" s="105">
        <v>1801</v>
      </c>
      <c r="N43" s="82">
        <f t="shared" si="59"/>
        <v>1442</v>
      </c>
      <c r="O43" s="105">
        <v>1652</v>
      </c>
      <c r="P43" s="105">
        <v>1723</v>
      </c>
      <c r="Q43" s="82"/>
      <c r="R43" s="30">
        <f t="shared" si="61"/>
        <v>1324</v>
      </c>
      <c r="S43" s="30">
        <f t="shared" si="62"/>
        <v>1345</v>
      </c>
      <c r="T43" s="30">
        <f t="shared" si="63"/>
        <v>1429</v>
      </c>
      <c r="U43" s="30">
        <f t="shared" si="64"/>
        <v>1801</v>
      </c>
      <c r="V43" s="30">
        <f t="shared" si="65"/>
        <v>1442</v>
      </c>
      <c r="W43" s="30">
        <f t="shared" si="66"/>
        <v>1652</v>
      </c>
      <c r="X43" s="30">
        <f t="shared" si="67"/>
        <v>1723</v>
      </c>
      <c r="Y43" s="11"/>
      <c r="Z43" s="68">
        <f>SUM(X43/T43)-1</f>
        <v>0.20573827851644499</v>
      </c>
    </row>
    <row r="44" spans="1:26" ht="12.75" customHeight="1">
      <c r="B44" s="9" t="s">
        <v>139</v>
      </c>
      <c r="C44" s="105">
        <v>186</v>
      </c>
      <c r="D44" s="105">
        <v>184</v>
      </c>
      <c r="E44" s="105">
        <v>182</v>
      </c>
      <c r="G44" s="105">
        <v>182</v>
      </c>
      <c r="H44" s="105">
        <v>225</v>
      </c>
      <c r="I44" s="105">
        <v>300</v>
      </c>
      <c r="J44" s="82">
        <f t="shared" si="58"/>
        <v>184</v>
      </c>
      <c r="K44" s="105">
        <v>193</v>
      </c>
      <c r="L44" s="105">
        <v>211</v>
      </c>
      <c r="M44" s="105">
        <v>257</v>
      </c>
      <c r="N44" s="82">
        <f t="shared" si="59"/>
        <v>182</v>
      </c>
      <c r="O44" s="105">
        <v>230</v>
      </c>
      <c r="P44" s="105">
        <v>323</v>
      </c>
      <c r="Q44" s="82"/>
      <c r="R44" s="30">
        <f t="shared" si="61"/>
        <v>184</v>
      </c>
      <c r="S44" s="30">
        <f t="shared" si="62"/>
        <v>193</v>
      </c>
      <c r="T44" s="30">
        <f t="shared" si="63"/>
        <v>211</v>
      </c>
      <c r="U44" s="30">
        <f t="shared" si="64"/>
        <v>257</v>
      </c>
      <c r="V44" s="30">
        <f t="shared" si="65"/>
        <v>182</v>
      </c>
      <c r="W44" s="30">
        <f t="shared" si="66"/>
        <v>230</v>
      </c>
      <c r="X44" s="30">
        <f t="shared" si="67"/>
        <v>323</v>
      </c>
      <c r="Y44" s="11"/>
      <c r="Z44" s="68">
        <f>SUM(X44/T44)-1</f>
        <v>0.5308056872037914</v>
      </c>
    </row>
    <row r="45" spans="1:26" ht="12.75" customHeight="1">
      <c r="B45" s="9" t="s">
        <v>122</v>
      </c>
      <c r="C45" s="105">
        <v>239</v>
      </c>
      <c r="D45" s="105">
        <v>185</v>
      </c>
      <c r="E45" s="105">
        <v>251</v>
      </c>
      <c r="G45" s="105">
        <v>233</v>
      </c>
      <c r="H45" s="105">
        <v>225</v>
      </c>
      <c r="I45" s="105">
        <v>203</v>
      </c>
      <c r="J45" s="82">
        <f t="shared" si="58"/>
        <v>185</v>
      </c>
      <c r="K45" s="105">
        <v>203</v>
      </c>
      <c r="L45" s="105">
        <v>195</v>
      </c>
      <c r="M45" s="105">
        <v>215</v>
      </c>
      <c r="N45" s="82">
        <f t="shared" si="59"/>
        <v>251</v>
      </c>
      <c r="O45" s="105">
        <v>234</v>
      </c>
      <c r="P45" s="105">
        <v>188</v>
      </c>
      <c r="Q45" s="82"/>
      <c r="R45" s="30">
        <f t="shared" si="60"/>
        <v>185</v>
      </c>
      <c r="S45" s="30">
        <f t="shared" si="60"/>
        <v>203</v>
      </c>
      <c r="T45" s="30">
        <f t="shared" si="60"/>
        <v>195</v>
      </c>
      <c r="U45" s="30">
        <f t="shared" si="60"/>
        <v>215</v>
      </c>
      <c r="V45" s="30">
        <f t="shared" si="60"/>
        <v>251</v>
      </c>
      <c r="W45" s="30">
        <f t="shared" si="60"/>
        <v>234</v>
      </c>
      <c r="X45" s="30">
        <f t="shared" ref="X45" si="68">P45</f>
        <v>188</v>
      </c>
      <c r="Y45" s="11"/>
      <c r="Z45" s="68">
        <f>SUM(X45/T45)-1</f>
        <v>-3.5897435897435881E-2</v>
      </c>
    </row>
    <row r="46" spans="1:26" ht="12.75" customHeight="1">
      <c r="B46" s="23" t="s">
        <v>20</v>
      </c>
      <c r="C46" s="24">
        <f>SUM(C41:C45)</f>
        <v>3160</v>
      </c>
      <c r="D46" s="24">
        <f>SUM(D41:D45)</f>
        <v>4062</v>
      </c>
      <c r="E46" s="24">
        <f>SUM(E41:E45)</f>
        <v>3979</v>
      </c>
      <c r="F46" s="45"/>
      <c r="G46" s="24">
        <f>SUM(G41:G45)</f>
        <v>3053</v>
      </c>
      <c r="H46" s="24">
        <f>SUM(H41:H45)</f>
        <v>3325</v>
      </c>
      <c r="I46" s="24">
        <f>SUM(I41:I45)</f>
        <v>3365</v>
      </c>
      <c r="J46" s="24">
        <f>SUM(J41:J45)</f>
        <v>4062</v>
      </c>
      <c r="K46" s="24">
        <f>SUM(K41:K45)</f>
        <v>3768</v>
      </c>
      <c r="L46" s="24">
        <f>SUM(L41:L45)</f>
        <v>3571</v>
      </c>
      <c r="M46" s="24">
        <f>SUM(M41:M45)</f>
        <v>3604</v>
      </c>
      <c r="N46" s="24">
        <f>SUM(N41:N45)</f>
        <v>3979</v>
      </c>
      <c r="O46" s="24">
        <f>SUM(O41:O45)</f>
        <v>3582</v>
      </c>
      <c r="P46" s="24">
        <f>SUM(P41:P45)</f>
        <v>3529</v>
      </c>
      <c r="Q46" s="45"/>
      <c r="R46" s="24">
        <f>SUM(R41:R45)</f>
        <v>4062</v>
      </c>
      <c r="S46" s="24">
        <f>SUM(S41:S45)</f>
        <v>3768</v>
      </c>
      <c r="T46" s="24">
        <f>SUM(T41:T45)</f>
        <v>3571</v>
      </c>
      <c r="U46" s="24">
        <f>SUM(U41:U45)</f>
        <v>3604</v>
      </c>
      <c r="V46" s="24">
        <f>SUM(V41:V45)</f>
        <v>3979</v>
      </c>
      <c r="W46" s="24">
        <f>SUM(W41:W45)</f>
        <v>3582</v>
      </c>
      <c r="X46" s="24">
        <f>SUM(X41:X45)</f>
        <v>3529</v>
      </c>
      <c r="Y46" s="39"/>
      <c r="Z46" s="69">
        <f>SUM(X46/T46)-1</f>
        <v>-1.1761411369364372E-2</v>
      </c>
    </row>
    <row r="47" spans="1:26" ht="5.0999999999999996" customHeight="1">
      <c r="B47" s="23"/>
      <c r="C47" s="46"/>
      <c r="D47" s="38"/>
      <c r="E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R47" s="39"/>
      <c r="S47" s="39"/>
      <c r="T47" s="39"/>
      <c r="U47" s="39"/>
      <c r="V47" s="39"/>
      <c r="W47" s="39"/>
      <c r="X47" s="39"/>
      <c r="Y47" s="39"/>
      <c r="Z47" s="36"/>
    </row>
    <row r="48" spans="1:26" ht="12.75" customHeight="1">
      <c r="B48" s="72" t="s">
        <v>85</v>
      </c>
      <c r="C48" s="76"/>
      <c r="D48" s="76"/>
      <c r="E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R48" s="30"/>
      <c r="S48" s="30"/>
      <c r="T48" s="30"/>
      <c r="U48" s="30"/>
      <c r="V48" s="30"/>
      <c r="W48" s="30"/>
      <c r="X48" s="30"/>
      <c r="Y48" s="11"/>
      <c r="Z48" s="68"/>
    </row>
    <row r="49" spans="2:26" ht="12.75" customHeight="1">
      <c r="B49" s="9" t="s">
        <v>123</v>
      </c>
      <c r="C49" s="76">
        <v>1270</v>
      </c>
      <c r="D49" s="76">
        <v>1546</v>
      </c>
      <c r="E49" s="76">
        <v>1781</v>
      </c>
      <c r="G49" s="105">
        <v>1313</v>
      </c>
      <c r="H49" s="105">
        <v>1367</v>
      </c>
      <c r="I49" s="105">
        <v>1414</v>
      </c>
      <c r="J49" s="82">
        <f t="shared" ref="J49:J54" si="69">D49</f>
        <v>1546</v>
      </c>
      <c r="K49" s="105">
        <v>1561</v>
      </c>
      <c r="L49" s="105">
        <v>1615</v>
      </c>
      <c r="M49" s="105">
        <v>1698</v>
      </c>
      <c r="N49" s="82">
        <f t="shared" ref="N49:N54" si="70">E49</f>
        <v>1781</v>
      </c>
      <c r="O49" s="105">
        <v>1847</v>
      </c>
      <c r="P49" s="105">
        <v>1917</v>
      </c>
      <c r="R49" s="30">
        <f t="shared" ref="R49:R54" si="71">J49</f>
        <v>1546</v>
      </c>
      <c r="S49" s="30">
        <f t="shared" ref="S49:S54" si="72">K49</f>
        <v>1561</v>
      </c>
      <c r="T49" s="30">
        <f t="shared" ref="T49:T54" si="73">L49</f>
        <v>1615</v>
      </c>
      <c r="U49" s="30">
        <f t="shared" ref="U49:U54" si="74">M49</f>
        <v>1698</v>
      </c>
      <c r="V49" s="30">
        <f t="shared" ref="V49:V54" si="75">N49</f>
        <v>1781</v>
      </c>
      <c r="W49" s="30">
        <f t="shared" ref="W49:W54" si="76">O49</f>
        <v>1847</v>
      </c>
      <c r="X49" s="30">
        <f t="shared" ref="X49:X54" si="77">P49</f>
        <v>1917</v>
      </c>
      <c r="Y49" s="11"/>
      <c r="Z49" s="68">
        <f>SUM(X49/T49)-1</f>
        <v>0.18699690402476787</v>
      </c>
    </row>
    <row r="50" spans="2:26" ht="12.75" customHeight="1">
      <c r="B50" s="9" t="s">
        <v>140</v>
      </c>
      <c r="C50" s="76">
        <v>969</v>
      </c>
      <c r="D50" s="76">
        <v>1266</v>
      </c>
      <c r="E50" s="76">
        <v>1416</v>
      </c>
      <c r="G50" s="105">
        <v>993</v>
      </c>
      <c r="H50" s="105">
        <v>1079</v>
      </c>
      <c r="I50" s="105">
        <v>1049</v>
      </c>
      <c r="J50" s="82">
        <f t="shared" si="69"/>
        <v>1266</v>
      </c>
      <c r="K50" s="105">
        <v>1264</v>
      </c>
      <c r="L50" s="105">
        <v>1303</v>
      </c>
      <c r="M50" s="105">
        <v>1361</v>
      </c>
      <c r="N50" s="82">
        <f t="shared" si="70"/>
        <v>1416</v>
      </c>
      <c r="O50" s="105">
        <v>1549</v>
      </c>
      <c r="P50" s="105">
        <v>1605</v>
      </c>
      <c r="R50" s="30">
        <f t="shared" si="71"/>
        <v>1266</v>
      </c>
      <c r="S50" s="30">
        <f t="shared" si="72"/>
        <v>1264</v>
      </c>
      <c r="T50" s="30">
        <f t="shared" si="73"/>
        <v>1303</v>
      </c>
      <c r="U50" s="30">
        <f t="shared" si="74"/>
        <v>1361</v>
      </c>
      <c r="V50" s="30">
        <f t="shared" si="75"/>
        <v>1416</v>
      </c>
      <c r="W50" s="30">
        <f t="shared" si="76"/>
        <v>1549</v>
      </c>
      <c r="X50" s="30">
        <f t="shared" si="77"/>
        <v>1605</v>
      </c>
      <c r="Y50" s="11"/>
      <c r="Z50" s="68">
        <f>SUM(X50/T50)-1</f>
        <v>0.23177283192632392</v>
      </c>
    </row>
    <row r="51" spans="2:26" ht="12.75" customHeight="1">
      <c r="B51" s="9" t="s">
        <v>124</v>
      </c>
      <c r="C51" s="76">
        <v>24</v>
      </c>
      <c r="D51" s="76">
        <v>24</v>
      </c>
      <c r="E51" s="76">
        <v>160</v>
      </c>
      <c r="G51" s="105">
        <v>24</v>
      </c>
      <c r="H51" s="105">
        <v>24</v>
      </c>
      <c r="I51" s="105">
        <v>24</v>
      </c>
      <c r="J51" s="82">
        <f t="shared" si="69"/>
        <v>24</v>
      </c>
      <c r="K51" s="105">
        <v>24</v>
      </c>
      <c r="L51" s="105">
        <v>24</v>
      </c>
      <c r="M51" s="105">
        <v>164</v>
      </c>
      <c r="N51" s="82">
        <f t="shared" si="70"/>
        <v>160</v>
      </c>
      <c r="O51" s="105">
        <v>167</v>
      </c>
      <c r="P51" s="105">
        <v>173</v>
      </c>
      <c r="R51" s="30">
        <f t="shared" si="71"/>
        <v>24</v>
      </c>
      <c r="S51" s="30">
        <f t="shared" si="72"/>
        <v>24</v>
      </c>
      <c r="T51" s="30">
        <f t="shared" si="73"/>
        <v>24</v>
      </c>
      <c r="U51" s="30">
        <f t="shared" si="74"/>
        <v>164</v>
      </c>
      <c r="V51" s="30">
        <f t="shared" si="75"/>
        <v>160</v>
      </c>
      <c r="W51" s="30">
        <f t="shared" si="76"/>
        <v>167</v>
      </c>
      <c r="X51" s="30">
        <f t="shared" si="77"/>
        <v>173</v>
      </c>
      <c r="Y51" s="11"/>
      <c r="Z51" s="68">
        <f>SUM(X51/T51)-1</f>
        <v>6.208333333333333</v>
      </c>
    </row>
    <row r="52" spans="2:26" ht="12.75" customHeight="1">
      <c r="B52" s="9" t="s">
        <v>126</v>
      </c>
      <c r="C52" s="76">
        <v>22</v>
      </c>
      <c r="D52" s="76">
        <v>0</v>
      </c>
      <c r="E52" s="76">
        <v>12</v>
      </c>
      <c r="G52" s="105">
        <v>20</v>
      </c>
      <c r="H52" s="105">
        <v>18</v>
      </c>
      <c r="I52" s="105">
        <v>0</v>
      </c>
      <c r="J52" s="82">
        <f t="shared" si="69"/>
        <v>0</v>
      </c>
      <c r="K52" s="105">
        <v>0</v>
      </c>
      <c r="L52" s="105">
        <v>0</v>
      </c>
      <c r="M52" s="105">
        <v>14</v>
      </c>
      <c r="N52" s="82">
        <f t="shared" si="70"/>
        <v>12</v>
      </c>
      <c r="O52" s="105">
        <v>11</v>
      </c>
      <c r="P52" s="105">
        <v>9</v>
      </c>
      <c r="R52" s="30">
        <f t="shared" ref="R52:R53" si="78">J52</f>
        <v>0</v>
      </c>
      <c r="S52" s="30">
        <f t="shared" ref="S52:S53" si="79">K52</f>
        <v>0</v>
      </c>
      <c r="T52" s="30">
        <f t="shared" ref="T52:T53" si="80">L52</f>
        <v>0</v>
      </c>
      <c r="U52" s="30">
        <f t="shared" ref="U52:U53" si="81">M52</f>
        <v>14</v>
      </c>
      <c r="V52" s="30">
        <f t="shared" ref="V52:V53" si="82">N52</f>
        <v>12</v>
      </c>
      <c r="W52" s="30">
        <f t="shared" ref="W52:W53" si="83">O52</f>
        <v>11</v>
      </c>
      <c r="X52" s="30">
        <f t="shared" ref="X52:X53" si="84">P52</f>
        <v>9</v>
      </c>
      <c r="Y52" s="11"/>
      <c r="Z52" s="68" t="e">
        <f>SUM(X52/T52)-1</f>
        <v>#DIV/0!</v>
      </c>
    </row>
    <row r="53" spans="2:26" ht="12.75" customHeight="1">
      <c r="B53" s="9" t="s">
        <v>141</v>
      </c>
      <c r="C53" s="76">
        <v>6</v>
      </c>
      <c r="D53" s="76">
        <v>9</v>
      </c>
      <c r="E53" s="76">
        <v>17</v>
      </c>
      <c r="G53" s="105">
        <v>6</v>
      </c>
      <c r="H53" s="105">
        <v>6</v>
      </c>
      <c r="I53" s="105">
        <v>6</v>
      </c>
      <c r="J53" s="82">
        <f t="shared" si="69"/>
        <v>9</v>
      </c>
      <c r="K53" s="105">
        <v>9</v>
      </c>
      <c r="L53" s="105">
        <v>9</v>
      </c>
      <c r="M53" s="105">
        <v>9</v>
      </c>
      <c r="N53" s="82">
        <f t="shared" si="70"/>
        <v>17</v>
      </c>
      <c r="O53" s="105">
        <v>18</v>
      </c>
      <c r="P53" s="105">
        <v>21</v>
      </c>
      <c r="R53" s="30">
        <f t="shared" si="78"/>
        <v>9</v>
      </c>
      <c r="S53" s="30">
        <f t="shared" si="79"/>
        <v>9</v>
      </c>
      <c r="T53" s="30">
        <f t="shared" si="80"/>
        <v>9</v>
      </c>
      <c r="U53" s="30">
        <f t="shared" si="81"/>
        <v>9</v>
      </c>
      <c r="V53" s="30">
        <f t="shared" si="82"/>
        <v>17</v>
      </c>
      <c r="W53" s="30">
        <f t="shared" si="83"/>
        <v>18</v>
      </c>
      <c r="X53" s="30">
        <f t="shared" si="84"/>
        <v>21</v>
      </c>
      <c r="Y53" s="11"/>
      <c r="Z53" s="68"/>
    </row>
    <row r="54" spans="2:26" ht="12.75" customHeight="1">
      <c r="B54" s="9" t="s">
        <v>125</v>
      </c>
      <c r="C54" s="76">
        <v>156</v>
      </c>
      <c r="D54" s="76">
        <v>187</v>
      </c>
      <c r="E54" s="76">
        <v>238</v>
      </c>
      <c r="G54" s="105">
        <v>162</v>
      </c>
      <c r="H54" s="105">
        <v>174</v>
      </c>
      <c r="I54" s="105">
        <v>165</v>
      </c>
      <c r="J54" s="82">
        <f t="shared" si="69"/>
        <v>187</v>
      </c>
      <c r="K54" s="105">
        <v>202</v>
      </c>
      <c r="L54" s="105">
        <v>222</v>
      </c>
      <c r="M54" s="105">
        <v>233</v>
      </c>
      <c r="N54" s="82">
        <f t="shared" si="70"/>
        <v>238</v>
      </c>
      <c r="O54" s="105">
        <v>256</v>
      </c>
      <c r="P54" s="105">
        <v>269</v>
      </c>
      <c r="R54" s="30">
        <f t="shared" si="71"/>
        <v>187</v>
      </c>
      <c r="S54" s="30">
        <f t="shared" si="72"/>
        <v>202</v>
      </c>
      <c r="T54" s="30">
        <f t="shared" si="73"/>
        <v>222</v>
      </c>
      <c r="U54" s="30">
        <f t="shared" si="74"/>
        <v>233</v>
      </c>
      <c r="V54" s="30">
        <f t="shared" si="75"/>
        <v>238</v>
      </c>
      <c r="W54" s="30">
        <f t="shared" si="76"/>
        <v>256</v>
      </c>
      <c r="X54" s="30">
        <f t="shared" si="77"/>
        <v>269</v>
      </c>
      <c r="Y54" s="11"/>
      <c r="Z54" s="68">
        <f>SUM(X54/T54)-1</f>
        <v>0.21171171171171177</v>
      </c>
    </row>
    <row r="55" spans="2:26" ht="12.75" customHeight="1">
      <c r="B55" s="12" t="s">
        <v>21</v>
      </c>
      <c r="C55" s="13">
        <f>SUM(C49:C54)+C46</f>
        <v>5607</v>
      </c>
      <c r="D55" s="13">
        <f>SUM(D49:D54)+D46</f>
        <v>7094</v>
      </c>
      <c r="E55" s="13">
        <f>SUM(E49:E54)+E46</f>
        <v>7603</v>
      </c>
      <c r="G55" s="13">
        <f>SUM(G49:G54)+G46</f>
        <v>5571</v>
      </c>
      <c r="H55" s="13">
        <f>SUM(H49:H54)+H46</f>
        <v>5993</v>
      </c>
      <c r="I55" s="13">
        <f>SUM(I49:I54)+I46</f>
        <v>6023</v>
      </c>
      <c r="J55" s="13">
        <f>SUM(J49:J54)+J46</f>
        <v>7094</v>
      </c>
      <c r="K55" s="13">
        <f>SUM(K49:K54)+K46</f>
        <v>6828</v>
      </c>
      <c r="L55" s="13">
        <f>SUM(L49:L54)+L46</f>
        <v>6744</v>
      </c>
      <c r="M55" s="13">
        <f>SUM(M49:M54)+M46</f>
        <v>7083</v>
      </c>
      <c r="N55" s="13">
        <f>SUM(N49:N54)+N46</f>
        <v>7603</v>
      </c>
      <c r="O55" s="13">
        <f>SUM(O49:O54)+O46</f>
        <v>7430</v>
      </c>
      <c r="P55" s="13">
        <f>SUM(P49:P54)+P46</f>
        <v>7523</v>
      </c>
      <c r="R55" s="13">
        <f>SUM(R49:R54)+R46</f>
        <v>7094</v>
      </c>
      <c r="S55" s="13">
        <f>SUM(S49:S54)+S46</f>
        <v>6828</v>
      </c>
      <c r="T55" s="13">
        <f>SUM(T49:T54)+T46</f>
        <v>6744</v>
      </c>
      <c r="U55" s="13">
        <f>SUM(U49:U54)+U46</f>
        <v>7083</v>
      </c>
      <c r="V55" s="13">
        <f>SUM(V49:V54)+V46</f>
        <v>7603</v>
      </c>
      <c r="W55" s="13">
        <f>SUM(W49:W54)+W46</f>
        <v>7430</v>
      </c>
      <c r="X55" s="13">
        <f>SUM(X49:X54)+X46</f>
        <v>7523</v>
      </c>
      <c r="Y55" s="39"/>
      <c r="Z55" s="69">
        <f>SUM(X55/T55)-1</f>
        <v>0.11551008303677346</v>
      </c>
    </row>
    <row r="56" spans="2:26" ht="12.75" customHeight="1">
      <c r="B56" s="23"/>
      <c r="C56" s="47"/>
      <c r="D56" s="38"/>
      <c r="E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R56" s="39"/>
      <c r="S56" s="39"/>
      <c r="T56" s="39"/>
      <c r="U56" s="39"/>
      <c r="V56" s="39"/>
      <c r="W56" s="39"/>
      <c r="X56" s="39"/>
      <c r="Y56" s="39"/>
      <c r="Z56" s="36"/>
    </row>
    <row r="57" spans="2:26" ht="12.75" customHeight="1">
      <c r="B57" s="72" t="s">
        <v>47</v>
      </c>
      <c r="C57" s="47"/>
      <c r="D57" s="38"/>
      <c r="E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R57" s="39"/>
      <c r="S57" s="39"/>
      <c r="T57" s="39"/>
      <c r="U57" s="39"/>
      <c r="V57" s="39"/>
      <c r="W57" s="39"/>
      <c r="X57" s="39"/>
      <c r="Y57" s="39"/>
      <c r="Z57" s="36"/>
    </row>
    <row r="58" spans="2:26" ht="12.75" customHeight="1">
      <c r="B58" s="9" t="s">
        <v>142</v>
      </c>
      <c r="C58" s="76">
        <v>173</v>
      </c>
      <c r="D58" s="76">
        <v>348</v>
      </c>
      <c r="E58" s="76">
        <v>271</v>
      </c>
      <c r="G58" s="105">
        <v>287</v>
      </c>
      <c r="H58" s="105">
        <v>299</v>
      </c>
      <c r="I58" s="105">
        <v>309</v>
      </c>
      <c r="J58" s="82">
        <f t="shared" ref="J58:J64" si="85">D58</f>
        <v>348</v>
      </c>
      <c r="K58" s="105">
        <v>262</v>
      </c>
      <c r="L58" s="105">
        <v>317</v>
      </c>
      <c r="M58" s="105">
        <v>386</v>
      </c>
      <c r="N58" s="82">
        <f t="shared" ref="N58:N64" si="86">E58</f>
        <v>271</v>
      </c>
      <c r="O58" s="105">
        <v>304</v>
      </c>
      <c r="P58" s="105">
        <v>373</v>
      </c>
      <c r="R58" s="30">
        <f t="shared" ref="R58" si="87">J58</f>
        <v>348</v>
      </c>
      <c r="S58" s="30">
        <f t="shared" ref="S58" si="88">K58</f>
        <v>262</v>
      </c>
      <c r="T58" s="30">
        <f t="shared" ref="T58" si="89">L58</f>
        <v>317</v>
      </c>
      <c r="U58" s="30">
        <f t="shared" ref="U58" si="90">M58</f>
        <v>386</v>
      </c>
      <c r="V58" s="30">
        <f t="shared" ref="V58" si="91">N58</f>
        <v>271</v>
      </c>
      <c r="W58" s="30">
        <f t="shared" ref="W58" si="92">O58</f>
        <v>304</v>
      </c>
      <c r="X58" s="30">
        <f t="shared" ref="X58" si="93">P58</f>
        <v>373</v>
      </c>
      <c r="Y58" s="11"/>
      <c r="Z58" s="68">
        <f>SUM(X58/T58)-1</f>
        <v>0.17665615141955837</v>
      </c>
    </row>
    <row r="59" spans="2:26" ht="12.75" customHeight="1">
      <c r="B59" s="9" t="s">
        <v>143</v>
      </c>
      <c r="C59" s="76">
        <v>399</v>
      </c>
      <c r="D59" s="76">
        <v>349</v>
      </c>
      <c r="E59" s="76">
        <v>559</v>
      </c>
      <c r="G59" s="105">
        <v>343</v>
      </c>
      <c r="H59" s="105">
        <v>399</v>
      </c>
      <c r="I59" s="105">
        <v>393</v>
      </c>
      <c r="J59" s="82">
        <f t="shared" si="85"/>
        <v>349</v>
      </c>
      <c r="K59" s="105">
        <v>374</v>
      </c>
      <c r="L59" s="105">
        <v>396</v>
      </c>
      <c r="M59" s="105">
        <v>562</v>
      </c>
      <c r="N59" s="82">
        <f t="shared" si="86"/>
        <v>559</v>
      </c>
      <c r="O59" s="105">
        <v>507</v>
      </c>
      <c r="P59" s="105">
        <v>424</v>
      </c>
      <c r="R59" s="30">
        <f t="shared" ref="R59:R64" si="94">J59</f>
        <v>349</v>
      </c>
      <c r="S59" s="30">
        <f t="shared" ref="S59:S64" si="95">K59</f>
        <v>374</v>
      </c>
      <c r="T59" s="30">
        <f t="shared" ref="T59:T64" si="96">L59</f>
        <v>396</v>
      </c>
      <c r="U59" s="30">
        <f t="shared" ref="U59:U64" si="97">M59</f>
        <v>562</v>
      </c>
      <c r="V59" s="30">
        <f t="shared" ref="V59:V64" si="98">N59</f>
        <v>559</v>
      </c>
      <c r="W59" s="30">
        <f t="shared" ref="W59:W64" si="99">O59</f>
        <v>507</v>
      </c>
      <c r="X59" s="30">
        <f t="shared" ref="X59:X64" si="100">P59</f>
        <v>424</v>
      </c>
      <c r="Y59" s="11"/>
      <c r="Z59" s="68">
        <f>SUM(X59/T59)-1</f>
        <v>7.0707070707070718E-2</v>
      </c>
    </row>
    <row r="60" spans="2:26" ht="12.75" customHeight="1">
      <c r="B60" s="9" t="s">
        <v>144</v>
      </c>
      <c r="C60" s="76">
        <v>248</v>
      </c>
      <c r="D60" s="76">
        <v>326</v>
      </c>
      <c r="E60" s="76">
        <v>205</v>
      </c>
      <c r="G60" s="105">
        <v>125</v>
      </c>
      <c r="H60" s="105">
        <v>192</v>
      </c>
      <c r="I60" s="105">
        <v>250</v>
      </c>
      <c r="J60" s="82">
        <f t="shared" si="85"/>
        <v>326</v>
      </c>
      <c r="K60" s="105">
        <v>133</v>
      </c>
      <c r="L60" s="105">
        <v>175</v>
      </c>
      <c r="M60" s="105">
        <v>190</v>
      </c>
      <c r="N60" s="82">
        <f t="shared" si="86"/>
        <v>205</v>
      </c>
      <c r="O60" s="105">
        <v>144</v>
      </c>
      <c r="P60" s="105">
        <v>149</v>
      </c>
      <c r="R60" s="30">
        <f t="shared" ref="R60:R64" si="101">J60</f>
        <v>326</v>
      </c>
      <c r="S60" s="30">
        <f t="shared" ref="S60:S64" si="102">K60</f>
        <v>133</v>
      </c>
      <c r="T60" s="30">
        <f t="shared" ref="T60:T64" si="103">L60</f>
        <v>175</v>
      </c>
      <c r="U60" s="30">
        <f t="shared" ref="U60:U64" si="104">M60</f>
        <v>190</v>
      </c>
      <c r="V60" s="30">
        <f t="shared" ref="V60:V64" si="105">N60</f>
        <v>205</v>
      </c>
      <c r="W60" s="30">
        <f t="shared" ref="W60:W64" si="106">O60</f>
        <v>144</v>
      </c>
      <c r="X60" s="30">
        <f t="shared" ref="X60:X64" si="107">P60</f>
        <v>149</v>
      </c>
      <c r="Y60" s="11"/>
      <c r="Z60" s="68"/>
    </row>
    <row r="61" spans="2:26" ht="12.75" customHeight="1">
      <c r="B61" s="9" t="s">
        <v>145</v>
      </c>
      <c r="C61" s="76">
        <v>208</v>
      </c>
      <c r="D61" s="76">
        <v>249</v>
      </c>
      <c r="E61" s="76">
        <v>275</v>
      </c>
      <c r="G61" s="105">
        <v>211</v>
      </c>
      <c r="H61" s="105">
        <v>217</v>
      </c>
      <c r="I61" s="105">
        <v>217</v>
      </c>
      <c r="J61" s="82">
        <f t="shared" si="85"/>
        <v>249</v>
      </c>
      <c r="K61" s="105">
        <v>254</v>
      </c>
      <c r="L61" s="105">
        <v>278</v>
      </c>
      <c r="M61" s="105">
        <v>290</v>
      </c>
      <c r="N61" s="82">
        <f t="shared" si="86"/>
        <v>275</v>
      </c>
      <c r="O61" s="105">
        <v>282</v>
      </c>
      <c r="P61" s="105">
        <v>298</v>
      </c>
      <c r="R61" s="30">
        <f t="shared" si="101"/>
        <v>249</v>
      </c>
      <c r="S61" s="30">
        <f t="shared" si="102"/>
        <v>254</v>
      </c>
      <c r="T61" s="30">
        <f t="shared" si="103"/>
        <v>278</v>
      </c>
      <c r="U61" s="30">
        <f t="shared" si="104"/>
        <v>290</v>
      </c>
      <c r="V61" s="30">
        <f t="shared" si="105"/>
        <v>275</v>
      </c>
      <c r="W61" s="30">
        <f t="shared" si="106"/>
        <v>282</v>
      </c>
      <c r="X61" s="30">
        <f t="shared" si="107"/>
        <v>298</v>
      </c>
      <c r="Y61" s="11"/>
      <c r="Z61" s="68"/>
    </row>
    <row r="62" spans="2:26" ht="12.75" customHeight="1">
      <c r="B62" s="9" t="s">
        <v>146</v>
      </c>
      <c r="C62" s="76">
        <v>174</v>
      </c>
      <c r="D62" s="76">
        <v>12</v>
      </c>
      <c r="E62" s="76">
        <v>183</v>
      </c>
      <c r="G62" s="105">
        <v>30</v>
      </c>
      <c r="H62" s="105">
        <v>21</v>
      </c>
      <c r="I62" s="105">
        <v>27</v>
      </c>
      <c r="J62" s="82">
        <f t="shared" si="85"/>
        <v>12</v>
      </c>
      <c r="K62" s="105">
        <v>53</v>
      </c>
      <c r="L62" s="105">
        <v>19</v>
      </c>
      <c r="M62" s="105">
        <v>97</v>
      </c>
      <c r="N62" s="82">
        <f t="shared" si="86"/>
        <v>183</v>
      </c>
      <c r="O62" s="105">
        <v>31</v>
      </c>
      <c r="P62" s="105">
        <v>27</v>
      </c>
      <c r="R62" s="30">
        <f t="shared" si="101"/>
        <v>12</v>
      </c>
      <c r="S62" s="30">
        <f t="shared" si="102"/>
        <v>53</v>
      </c>
      <c r="T62" s="30">
        <f t="shared" si="103"/>
        <v>19</v>
      </c>
      <c r="U62" s="30">
        <f t="shared" si="104"/>
        <v>97</v>
      </c>
      <c r="V62" s="30">
        <f t="shared" si="105"/>
        <v>183</v>
      </c>
      <c r="W62" s="30">
        <f t="shared" si="106"/>
        <v>31</v>
      </c>
      <c r="X62" s="30">
        <f t="shared" si="107"/>
        <v>27</v>
      </c>
      <c r="Y62" s="11"/>
      <c r="Z62" s="68"/>
    </row>
    <row r="63" spans="2:26" ht="12.75" customHeight="1">
      <c r="B63" s="9" t="s">
        <v>147</v>
      </c>
      <c r="C63" s="76">
        <v>251</v>
      </c>
      <c r="D63" s="76">
        <v>306</v>
      </c>
      <c r="E63" s="76">
        <v>308</v>
      </c>
      <c r="G63" s="105">
        <v>224</v>
      </c>
      <c r="H63" s="105">
        <v>216</v>
      </c>
      <c r="I63" s="105">
        <v>213</v>
      </c>
      <c r="J63" s="82">
        <f t="shared" si="85"/>
        <v>306</v>
      </c>
      <c r="K63" s="105">
        <v>268</v>
      </c>
      <c r="L63" s="105">
        <v>251</v>
      </c>
      <c r="M63" s="105">
        <v>238</v>
      </c>
      <c r="N63" s="82">
        <f t="shared" si="86"/>
        <v>308</v>
      </c>
      <c r="O63" s="105">
        <v>271</v>
      </c>
      <c r="P63" s="105">
        <v>252</v>
      </c>
      <c r="R63" s="30">
        <f t="shared" si="101"/>
        <v>306</v>
      </c>
      <c r="S63" s="30">
        <f t="shared" si="102"/>
        <v>268</v>
      </c>
      <c r="T63" s="30">
        <f t="shared" si="103"/>
        <v>251</v>
      </c>
      <c r="U63" s="30">
        <f t="shared" si="104"/>
        <v>238</v>
      </c>
      <c r="V63" s="30">
        <f t="shared" si="105"/>
        <v>308</v>
      </c>
      <c r="W63" s="30">
        <f t="shared" si="106"/>
        <v>271</v>
      </c>
      <c r="X63" s="30">
        <f t="shared" si="107"/>
        <v>252</v>
      </c>
      <c r="Y63" s="11"/>
      <c r="Z63" s="68"/>
    </row>
    <row r="64" spans="2:26" ht="12.75" customHeight="1">
      <c r="B64" s="104" t="s">
        <v>148</v>
      </c>
      <c r="C64" s="76">
        <v>38</v>
      </c>
      <c r="D64" s="76">
        <v>40</v>
      </c>
      <c r="E64" s="76">
        <v>38</v>
      </c>
      <c r="G64" s="105">
        <v>37</v>
      </c>
      <c r="H64" s="105">
        <v>42</v>
      </c>
      <c r="I64" s="105">
        <v>38</v>
      </c>
      <c r="J64" s="82">
        <f t="shared" si="85"/>
        <v>40</v>
      </c>
      <c r="K64" s="105">
        <v>39</v>
      </c>
      <c r="L64" s="105">
        <v>32</v>
      </c>
      <c r="M64" s="105">
        <v>40</v>
      </c>
      <c r="N64" s="82">
        <f t="shared" si="86"/>
        <v>38</v>
      </c>
      <c r="O64" s="105">
        <v>33</v>
      </c>
      <c r="P64" s="105">
        <v>34</v>
      </c>
      <c r="R64" s="30">
        <f t="shared" si="94"/>
        <v>40</v>
      </c>
      <c r="S64" s="30">
        <f t="shared" si="95"/>
        <v>39</v>
      </c>
      <c r="T64" s="30">
        <f t="shared" si="96"/>
        <v>32</v>
      </c>
      <c r="U64" s="30">
        <f t="shared" si="97"/>
        <v>40</v>
      </c>
      <c r="V64" s="30">
        <f t="shared" si="98"/>
        <v>38</v>
      </c>
      <c r="W64" s="30">
        <f t="shared" si="99"/>
        <v>33</v>
      </c>
      <c r="X64" s="30">
        <f t="shared" si="100"/>
        <v>34</v>
      </c>
      <c r="Y64" s="11"/>
      <c r="Z64" s="68">
        <f>SUM(X64/T64)-1</f>
        <v>6.25E-2</v>
      </c>
    </row>
    <row r="65" spans="2:26" ht="12.75" customHeight="1">
      <c r="B65" s="23" t="s">
        <v>19</v>
      </c>
      <c r="C65" s="24">
        <f>SUM(C58:C64)</f>
        <v>1491</v>
      </c>
      <c r="D65" s="24">
        <f>SUM(D58:D64)</f>
        <v>1630</v>
      </c>
      <c r="E65" s="24">
        <f>SUM(E58:E64)</f>
        <v>1839</v>
      </c>
      <c r="G65" s="24">
        <f>SUM(G58:G64)</f>
        <v>1257</v>
      </c>
      <c r="H65" s="24">
        <f>SUM(H58:H64)</f>
        <v>1386</v>
      </c>
      <c r="I65" s="24">
        <f>SUM(I58:I64)</f>
        <v>1447</v>
      </c>
      <c r="J65" s="24">
        <f>SUM(J58:J64)</f>
        <v>1630</v>
      </c>
      <c r="K65" s="24">
        <f>SUM(K58:K64)</f>
        <v>1383</v>
      </c>
      <c r="L65" s="24">
        <f>SUM(L58:L64)</f>
        <v>1468</v>
      </c>
      <c r="M65" s="24">
        <f>SUM(M58:M64)</f>
        <v>1803</v>
      </c>
      <c r="N65" s="24">
        <f>SUM(N58:N64)</f>
        <v>1839</v>
      </c>
      <c r="O65" s="24">
        <f>SUM(O58:O64)</f>
        <v>1572</v>
      </c>
      <c r="P65" s="24">
        <f>SUM(P58:P64)</f>
        <v>1557</v>
      </c>
      <c r="Q65" s="45"/>
      <c r="R65" s="24">
        <f>SUM(R58:R64)</f>
        <v>1630</v>
      </c>
      <c r="S65" s="24">
        <f>SUM(S58:S64)</f>
        <v>1383</v>
      </c>
      <c r="T65" s="24">
        <f>SUM(T58:T64)</f>
        <v>1468</v>
      </c>
      <c r="U65" s="24">
        <f>SUM(U58:U64)</f>
        <v>1803</v>
      </c>
      <c r="V65" s="24">
        <f>SUM(V58:V64)</f>
        <v>1839</v>
      </c>
      <c r="W65" s="24">
        <f>SUM(W58:W64)</f>
        <v>1572</v>
      </c>
      <c r="X65" s="24">
        <f>SUM(X58:X64)</f>
        <v>1557</v>
      </c>
      <c r="Y65" s="39"/>
      <c r="Z65" s="69">
        <f>SUM(X65/T65)-1</f>
        <v>6.0626702997275128E-2</v>
      </c>
    </row>
    <row r="66" spans="2:26" ht="5.0999999999999996" customHeight="1">
      <c r="B66" s="23"/>
      <c r="C66" s="47"/>
      <c r="D66" s="38"/>
      <c r="E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R66" s="39"/>
      <c r="S66" s="39"/>
      <c r="T66" s="39"/>
      <c r="U66" s="39"/>
      <c r="V66" s="39"/>
      <c r="W66" s="39"/>
      <c r="X66" s="39"/>
      <c r="Y66" s="39"/>
      <c r="Z66" s="36"/>
    </row>
    <row r="67" spans="2:26">
      <c r="B67" s="72" t="s">
        <v>86</v>
      </c>
      <c r="C67" s="47"/>
      <c r="D67" s="38"/>
      <c r="E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R67" s="39"/>
      <c r="S67" s="39"/>
      <c r="T67" s="39"/>
      <c r="U67" s="39"/>
      <c r="V67" s="39"/>
      <c r="W67" s="39"/>
      <c r="X67" s="39"/>
      <c r="Y67" s="39"/>
      <c r="Z67" s="36"/>
    </row>
    <row r="68" spans="2:26" ht="12.75" customHeight="1">
      <c r="B68" s="104" t="s">
        <v>149</v>
      </c>
      <c r="C68" s="76">
        <v>862</v>
      </c>
      <c r="D68" s="76">
        <v>1154</v>
      </c>
      <c r="E68" s="76">
        <v>1301</v>
      </c>
      <c r="G68" s="105">
        <v>889</v>
      </c>
      <c r="H68" s="105">
        <v>977</v>
      </c>
      <c r="I68" s="105">
        <v>951</v>
      </c>
      <c r="J68" s="82">
        <f t="shared" ref="J68:J70" si="108">D68</f>
        <v>1154</v>
      </c>
      <c r="K68" s="105">
        <v>1148</v>
      </c>
      <c r="L68" s="105">
        <v>1181</v>
      </c>
      <c r="M68" s="105">
        <v>1224</v>
      </c>
      <c r="N68" s="82">
        <f t="shared" ref="N68:N70" si="109">E68</f>
        <v>1301</v>
      </c>
      <c r="O68" s="105">
        <v>1425</v>
      </c>
      <c r="P68" s="105">
        <v>1465</v>
      </c>
      <c r="R68" s="30">
        <f t="shared" ref="R68:W70" si="110">J68</f>
        <v>1154</v>
      </c>
      <c r="S68" s="30">
        <f t="shared" si="110"/>
        <v>1148</v>
      </c>
      <c r="T68" s="30">
        <f t="shared" si="110"/>
        <v>1181</v>
      </c>
      <c r="U68" s="30">
        <f t="shared" si="110"/>
        <v>1224</v>
      </c>
      <c r="V68" s="30">
        <f t="shared" si="110"/>
        <v>1301</v>
      </c>
      <c r="W68" s="30">
        <f t="shared" si="110"/>
        <v>1425</v>
      </c>
      <c r="X68" s="30">
        <f>P68</f>
        <v>1465</v>
      </c>
      <c r="Y68" s="39"/>
      <c r="Z68" s="68">
        <f>SUM(X68/T68)-1</f>
        <v>0.24047417442845043</v>
      </c>
    </row>
    <row r="69" spans="2:26" ht="12.75" customHeight="1">
      <c r="B69" s="104" t="s">
        <v>150</v>
      </c>
      <c r="C69" s="76">
        <v>84</v>
      </c>
      <c r="D69" s="76">
        <v>45</v>
      </c>
      <c r="E69" s="76">
        <v>98</v>
      </c>
      <c r="G69" s="105">
        <v>83</v>
      </c>
      <c r="H69" s="105">
        <v>71</v>
      </c>
      <c r="I69" s="105">
        <v>70</v>
      </c>
      <c r="J69" s="82">
        <f t="shared" si="108"/>
        <v>45</v>
      </c>
      <c r="K69" s="105">
        <v>45</v>
      </c>
      <c r="L69" s="105">
        <v>29</v>
      </c>
      <c r="M69" s="105">
        <v>33</v>
      </c>
      <c r="N69" s="82">
        <f t="shared" si="109"/>
        <v>98</v>
      </c>
      <c r="O69" s="105">
        <v>98</v>
      </c>
      <c r="P69" s="105">
        <v>62</v>
      </c>
      <c r="R69" s="30">
        <f t="shared" si="110"/>
        <v>45</v>
      </c>
      <c r="S69" s="30">
        <f t="shared" si="110"/>
        <v>45</v>
      </c>
      <c r="T69" s="30">
        <f t="shared" si="110"/>
        <v>29</v>
      </c>
      <c r="U69" s="30">
        <f t="shared" si="110"/>
        <v>33</v>
      </c>
      <c r="V69" s="30">
        <f t="shared" si="110"/>
        <v>98</v>
      </c>
      <c r="W69" s="30">
        <f t="shared" si="110"/>
        <v>98</v>
      </c>
      <c r="X69" s="30">
        <f t="shared" ref="X69:X70" si="111">P69</f>
        <v>62</v>
      </c>
      <c r="Y69" s="39"/>
      <c r="Z69" s="68">
        <f>SUM(X69/T69)-1</f>
        <v>1.1379310344827585</v>
      </c>
    </row>
    <row r="70" spans="2:26" ht="12.75" customHeight="1">
      <c r="B70" s="104" t="s">
        <v>151</v>
      </c>
      <c r="C70" s="76">
        <v>20</v>
      </c>
      <c r="D70" s="76">
        <v>30</v>
      </c>
      <c r="E70" s="76">
        <v>41</v>
      </c>
      <c r="G70" s="105">
        <v>23</v>
      </c>
      <c r="H70" s="105">
        <v>25</v>
      </c>
      <c r="I70" s="105">
        <v>28</v>
      </c>
      <c r="J70" s="82">
        <f t="shared" si="108"/>
        <v>30</v>
      </c>
      <c r="K70" s="105">
        <v>32</v>
      </c>
      <c r="L70" s="105">
        <v>34</v>
      </c>
      <c r="M70" s="105">
        <v>37</v>
      </c>
      <c r="N70" s="82">
        <f t="shared" si="109"/>
        <v>41</v>
      </c>
      <c r="O70" s="105">
        <v>45</v>
      </c>
      <c r="P70" s="105">
        <v>52</v>
      </c>
      <c r="R70" s="30">
        <f t="shared" si="110"/>
        <v>30</v>
      </c>
      <c r="S70" s="30">
        <f t="shared" si="110"/>
        <v>32</v>
      </c>
      <c r="T70" s="30">
        <f t="shared" si="110"/>
        <v>34</v>
      </c>
      <c r="U70" s="30">
        <f t="shared" si="110"/>
        <v>37</v>
      </c>
      <c r="V70" s="30">
        <f t="shared" si="110"/>
        <v>41</v>
      </c>
      <c r="W70" s="30">
        <f t="shared" si="110"/>
        <v>45</v>
      </c>
      <c r="X70" s="30">
        <f t="shared" si="111"/>
        <v>52</v>
      </c>
      <c r="Y70" s="39"/>
      <c r="Z70" s="68">
        <f>SUM(X70/T70)-1</f>
        <v>0.52941176470588225</v>
      </c>
    </row>
    <row r="71" spans="2:26" ht="12.75" customHeight="1">
      <c r="B71" s="12" t="s">
        <v>17</v>
      </c>
      <c r="C71" s="13">
        <f>SUM(C68:C70)+C65</f>
        <v>2457</v>
      </c>
      <c r="D71" s="13">
        <f>SUM(D68:D70)+D65</f>
        <v>2859</v>
      </c>
      <c r="E71" s="13">
        <f>SUM(E68:E70)+E65</f>
        <v>3279</v>
      </c>
      <c r="G71" s="13">
        <f>SUM(G68:G70)+G65</f>
        <v>2252</v>
      </c>
      <c r="H71" s="13">
        <f>SUM(H68:H70)+H65</f>
        <v>2459</v>
      </c>
      <c r="I71" s="13">
        <f>SUM(I68:I70)+I65</f>
        <v>2496</v>
      </c>
      <c r="J71" s="13">
        <f>SUM(J68:J70)+J65</f>
        <v>2859</v>
      </c>
      <c r="K71" s="13">
        <f>SUM(K68:K70)+K65</f>
        <v>2608</v>
      </c>
      <c r="L71" s="13">
        <f>SUM(L68:L70)+L65</f>
        <v>2712</v>
      </c>
      <c r="M71" s="13">
        <f>SUM(M68:M70)+M65</f>
        <v>3097</v>
      </c>
      <c r="N71" s="13">
        <f>SUM(N68:N70)+N65</f>
        <v>3279</v>
      </c>
      <c r="O71" s="13">
        <f>SUM(O68:O70)+O65</f>
        <v>3140</v>
      </c>
      <c r="P71" s="13">
        <f>SUM(P68:P70)+P65</f>
        <v>3136</v>
      </c>
      <c r="R71" s="13">
        <f>SUM(R68:R70)+R65</f>
        <v>2859</v>
      </c>
      <c r="S71" s="13">
        <f>SUM(S68:S70)+S65</f>
        <v>2608</v>
      </c>
      <c r="T71" s="13">
        <f>SUM(T68:T70)+T65</f>
        <v>2712</v>
      </c>
      <c r="U71" s="13">
        <f>SUM(U68:U70)+U65</f>
        <v>3097</v>
      </c>
      <c r="V71" s="13">
        <f>SUM(V68:V70)+V65</f>
        <v>3279</v>
      </c>
      <c r="W71" s="13">
        <f>SUM(W68:W70)+W65</f>
        <v>3140</v>
      </c>
      <c r="X71" s="13">
        <f>SUM(X68:X70)+X65</f>
        <v>3136</v>
      </c>
      <c r="Y71" s="39"/>
      <c r="Z71" s="69">
        <f>SUM(X71/T71)-1</f>
        <v>0.15634218289085555</v>
      </c>
    </row>
    <row r="72" spans="2:26" ht="5.0999999999999996" customHeight="1">
      <c r="B72" s="23"/>
      <c r="C72" s="46"/>
      <c r="D72" s="38"/>
      <c r="E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R72" s="39"/>
      <c r="S72" s="39"/>
      <c r="T72" s="39"/>
      <c r="U72" s="39"/>
      <c r="V72" s="39"/>
      <c r="W72" s="39"/>
      <c r="X72" s="39"/>
      <c r="Y72" s="39"/>
      <c r="Z72" s="36"/>
    </row>
    <row r="73" spans="2:26" ht="12.75" customHeight="1">
      <c r="B73" s="104" t="s">
        <v>112</v>
      </c>
      <c r="C73" s="76">
        <v>3149</v>
      </c>
      <c r="D73" s="76">
        <v>4232</v>
      </c>
      <c r="E73" s="76">
        <v>4324</v>
      </c>
      <c r="G73" s="105">
        <v>3321</v>
      </c>
      <c r="H73" s="105">
        <v>3533</v>
      </c>
      <c r="I73" s="105">
        <v>3526</v>
      </c>
      <c r="J73" s="82">
        <v>4232</v>
      </c>
      <c r="K73" s="105">
        <v>4220</v>
      </c>
      <c r="L73" s="105">
        <v>4032</v>
      </c>
      <c r="M73" s="105">
        <v>3986</v>
      </c>
      <c r="N73" s="82">
        <v>4324</v>
      </c>
      <c r="O73" s="105">
        <v>4290</v>
      </c>
      <c r="P73" s="105">
        <v>4387</v>
      </c>
      <c r="R73" s="30">
        <f t="shared" ref="R73:W77" si="112">J73</f>
        <v>4232</v>
      </c>
      <c r="S73" s="30">
        <f t="shared" si="112"/>
        <v>4220</v>
      </c>
      <c r="T73" s="30">
        <f t="shared" si="112"/>
        <v>4032</v>
      </c>
      <c r="U73" s="30">
        <f t="shared" si="112"/>
        <v>3986</v>
      </c>
      <c r="V73" s="30">
        <f t="shared" si="112"/>
        <v>4324</v>
      </c>
      <c r="W73" s="30">
        <f t="shared" si="112"/>
        <v>4290</v>
      </c>
      <c r="X73" s="30">
        <f>P73</f>
        <v>4387</v>
      </c>
      <c r="Y73" s="11"/>
      <c r="Z73" s="68">
        <f>SUM(X73/T73)-1</f>
        <v>8.8045634920634885E-2</v>
      </c>
    </row>
    <row r="74" spans="2:26" ht="12.75" customHeight="1">
      <c r="B74" s="104" t="s">
        <v>112</v>
      </c>
      <c r="C74" s="76"/>
      <c r="D74" s="76"/>
      <c r="E74" s="76"/>
      <c r="G74" s="105"/>
      <c r="H74" s="105"/>
      <c r="I74" s="105"/>
      <c r="J74" s="82">
        <f>D74</f>
        <v>0</v>
      </c>
      <c r="K74" s="105"/>
      <c r="L74" s="105"/>
      <c r="M74" s="105"/>
      <c r="N74" s="82">
        <f>E74</f>
        <v>0</v>
      </c>
      <c r="O74" s="105"/>
      <c r="P74" s="105"/>
      <c r="R74" s="30">
        <f t="shared" si="112"/>
        <v>0</v>
      </c>
      <c r="S74" s="30">
        <f t="shared" si="112"/>
        <v>0</v>
      </c>
      <c r="T74" s="30">
        <f t="shared" si="112"/>
        <v>0</v>
      </c>
      <c r="U74" s="30">
        <f t="shared" si="112"/>
        <v>0</v>
      </c>
      <c r="V74" s="30">
        <f t="shared" si="112"/>
        <v>0</v>
      </c>
      <c r="W74" s="30">
        <f t="shared" si="112"/>
        <v>0</v>
      </c>
      <c r="X74" s="30">
        <f t="shared" ref="X74:X77" si="113">P74</f>
        <v>0</v>
      </c>
      <c r="Y74" s="11"/>
      <c r="Z74" s="68" t="e">
        <f>SUM(X74/T74)-1</f>
        <v>#DIV/0!</v>
      </c>
    </row>
    <row r="75" spans="2:26" ht="12.75" customHeight="1">
      <c r="B75" s="104" t="s">
        <v>112</v>
      </c>
      <c r="C75" s="76"/>
      <c r="D75" s="76"/>
      <c r="E75" s="76"/>
      <c r="G75" s="105"/>
      <c r="H75" s="105"/>
      <c r="I75" s="105"/>
      <c r="J75" s="82">
        <f>D75</f>
        <v>0</v>
      </c>
      <c r="K75" s="105"/>
      <c r="L75" s="105"/>
      <c r="M75" s="105"/>
      <c r="N75" s="82">
        <f>E75</f>
        <v>0</v>
      </c>
      <c r="O75" s="105"/>
      <c r="P75" s="105"/>
      <c r="R75" s="30">
        <f t="shared" si="112"/>
        <v>0</v>
      </c>
      <c r="S75" s="30">
        <f t="shared" si="112"/>
        <v>0</v>
      </c>
      <c r="T75" s="30">
        <f t="shared" si="112"/>
        <v>0</v>
      </c>
      <c r="U75" s="30">
        <f t="shared" si="112"/>
        <v>0</v>
      </c>
      <c r="V75" s="30">
        <f t="shared" si="112"/>
        <v>0</v>
      </c>
      <c r="W75" s="30">
        <f t="shared" si="112"/>
        <v>0</v>
      </c>
      <c r="X75" s="30">
        <f t="shared" si="113"/>
        <v>0</v>
      </c>
      <c r="Y75" s="11"/>
      <c r="Z75" s="68" t="e">
        <f>SUM(X75/T75)-1</f>
        <v>#DIV/0!</v>
      </c>
    </row>
    <row r="76" spans="2:26" ht="12.75" customHeight="1">
      <c r="B76" s="104" t="s">
        <v>112</v>
      </c>
      <c r="C76" s="76"/>
      <c r="D76" s="76"/>
      <c r="E76" s="76"/>
      <c r="G76" s="105"/>
      <c r="H76" s="105"/>
      <c r="I76" s="105"/>
      <c r="J76" s="82">
        <f>D76</f>
        <v>0</v>
      </c>
      <c r="K76" s="105"/>
      <c r="L76" s="105"/>
      <c r="M76" s="105"/>
      <c r="N76" s="82">
        <f>E76</f>
        <v>0</v>
      </c>
      <c r="O76" s="105"/>
      <c r="P76" s="105"/>
      <c r="R76" s="30">
        <f t="shared" si="112"/>
        <v>0</v>
      </c>
      <c r="S76" s="30">
        <f t="shared" si="112"/>
        <v>0</v>
      </c>
      <c r="T76" s="30">
        <f t="shared" si="112"/>
        <v>0</v>
      </c>
      <c r="U76" s="30">
        <f t="shared" si="112"/>
        <v>0</v>
      </c>
      <c r="V76" s="30">
        <f t="shared" si="112"/>
        <v>0</v>
      </c>
      <c r="W76" s="30">
        <f t="shared" si="112"/>
        <v>0</v>
      </c>
      <c r="X76" s="30">
        <f t="shared" si="113"/>
        <v>0</v>
      </c>
      <c r="Y76" s="11"/>
      <c r="Z76" s="68" t="e">
        <f>SUM(X76/T76)-1</f>
        <v>#DIV/0!</v>
      </c>
    </row>
    <row r="77" spans="2:26" ht="12.75" customHeight="1">
      <c r="B77" s="104" t="s">
        <v>112</v>
      </c>
      <c r="C77" s="76"/>
      <c r="D77" s="76"/>
      <c r="E77" s="76"/>
      <c r="G77" s="105"/>
      <c r="H77" s="105"/>
      <c r="I77" s="105"/>
      <c r="J77" s="82">
        <f>D77</f>
        <v>0</v>
      </c>
      <c r="K77" s="105"/>
      <c r="L77" s="105"/>
      <c r="M77" s="105"/>
      <c r="N77" s="82">
        <f>E77</f>
        <v>0</v>
      </c>
      <c r="O77" s="105"/>
      <c r="P77" s="105"/>
      <c r="R77" s="30">
        <f t="shared" si="112"/>
        <v>0</v>
      </c>
      <c r="S77" s="30">
        <f t="shared" si="112"/>
        <v>0</v>
      </c>
      <c r="T77" s="30">
        <f t="shared" si="112"/>
        <v>0</v>
      </c>
      <c r="U77" s="30">
        <f t="shared" si="112"/>
        <v>0</v>
      </c>
      <c r="V77" s="30">
        <f t="shared" si="112"/>
        <v>0</v>
      </c>
      <c r="W77" s="30">
        <f t="shared" si="112"/>
        <v>0</v>
      </c>
      <c r="X77" s="30">
        <f t="shared" si="113"/>
        <v>0</v>
      </c>
      <c r="Y77" s="11"/>
      <c r="Z77" s="68" t="e">
        <f>SUM(X77/T77)-1</f>
        <v>#DIV/0!</v>
      </c>
    </row>
    <row r="78" spans="2:26" ht="12.75" customHeight="1">
      <c r="B78" s="12" t="s">
        <v>16</v>
      </c>
      <c r="C78" s="13">
        <f t="shared" ref="C78:E78" si="114">SUM(C73:C77)</f>
        <v>3149</v>
      </c>
      <c r="D78" s="13">
        <f t="shared" si="114"/>
        <v>4232</v>
      </c>
      <c r="E78" s="13">
        <f t="shared" si="114"/>
        <v>4324</v>
      </c>
      <c r="F78" s="48"/>
      <c r="G78" s="13">
        <f t="shared" ref="G78:P78" si="115">SUM(G73:G77)</f>
        <v>3321</v>
      </c>
      <c r="H78" s="13">
        <f t="shared" si="115"/>
        <v>3533</v>
      </c>
      <c r="I78" s="13">
        <f t="shared" si="115"/>
        <v>3526</v>
      </c>
      <c r="J78" s="13">
        <f t="shared" si="115"/>
        <v>4232</v>
      </c>
      <c r="K78" s="13">
        <f t="shared" si="115"/>
        <v>4220</v>
      </c>
      <c r="L78" s="13">
        <f t="shared" si="115"/>
        <v>4032</v>
      </c>
      <c r="M78" s="13">
        <f t="shared" si="115"/>
        <v>3986</v>
      </c>
      <c r="N78" s="13">
        <f t="shared" si="115"/>
        <v>4324</v>
      </c>
      <c r="O78" s="13">
        <f t="shared" si="115"/>
        <v>4290</v>
      </c>
      <c r="P78" s="13">
        <f t="shared" si="115"/>
        <v>4387</v>
      </c>
      <c r="R78" s="13">
        <f t="shared" ref="R78:X78" si="116">SUM(R73:R77)</f>
        <v>4232</v>
      </c>
      <c r="S78" s="13">
        <f t="shared" si="116"/>
        <v>4220</v>
      </c>
      <c r="T78" s="13">
        <f t="shared" si="116"/>
        <v>4032</v>
      </c>
      <c r="U78" s="13">
        <f t="shared" si="116"/>
        <v>3986</v>
      </c>
      <c r="V78" s="13">
        <f t="shared" si="116"/>
        <v>4324</v>
      </c>
      <c r="W78" s="13">
        <f t="shared" si="116"/>
        <v>4290</v>
      </c>
      <c r="X78" s="13">
        <f t="shared" si="116"/>
        <v>4387</v>
      </c>
      <c r="Y78" s="39"/>
      <c r="Z78" s="69">
        <f>SUM(X78/T78)-1</f>
        <v>8.8045634920634885E-2</v>
      </c>
    </row>
    <row r="79" spans="2:26" ht="12.75" customHeight="1">
      <c r="B79" s="23" t="s">
        <v>52</v>
      </c>
      <c r="C79" s="30">
        <f t="shared" ref="C79:E79" si="117">SUM(C78+C71)</f>
        <v>5606</v>
      </c>
      <c r="D79" s="30">
        <f t="shared" si="117"/>
        <v>7091</v>
      </c>
      <c r="E79" s="30">
        <f t="shared" si="117"/>
        <v>7603</v>
      </c>
      <c r="F79" s="30"/>
      <c r="G79" s="30">
        <f t="shared" ref="G79:P79" si="118">SUM(G78+G71)</f>
        <v>5573</v>
      </c>
      <c r="H79" s="30">
        <f t="shared" si="118"/>
        <v>5992</v>
      </c>
      <c r="I79" s="30">
        <f t="shared" si="118"/>
        <v>6022</v>
      </c>
      <c r="J79" s="30">
        <f t="shared" si="118"/>
        <v>7091</v>
      </c>
      <c r="K79" s="30">
        <f t="shared" si="118"/>
        <v>6828</v>
      </c>
      <c r="L79" s="30">
        <f t="shared" si="118"/>
        <v>6744</v>
      </c>
      <c r="M79" s="30">
        <f t="shared" si="118"/>
        <v>7083</v>
      </c>
      <c r="N79" s="30">
        <f t="shared" si="118"/>
        <v>7603</v>
      </c>
      <c r="O79" s="30">
        <f t="shared" si="118"/>
        <v>7430</v>
      </c>
      <c r="P79" s="30">
        <f t="shared" si="118"/>
        <v>7523</v>
      </c>
      <c r="Q79" s="30"/>
      <c r="R79" s="30">
        <f t="shared" ref="R79:X79" si="119">SUM(R78+R71)</f>
        <v>7091</v>
      </c>
      <c r="S79" s="30">
        <f t="shared" si="119"/>
        <v>6828</v>
      </c>
      <c r="T79" s="30">
        <f t="shared" si="119"/>
        <v>6744</v>
      </c>
      <c r="U79" s="30">
        <f t="shared" si="119"/>
        <v>7083</v>
      </c>
      <c r="V79" s="30">
        <f t="shared" si="119"/>
        <v>7603</v>
      </c>
      <c r="W79" s="30">
        <f t="shared" si="119"/>
        <v>7430</v>
      </c>
      <c r="X79" s="30">
        <f t="shared" si="119"/>
        <v>7523</v>
      </c>
      <c r="Y79" s="11"/>
      <c r="Z79" s="69">
        <f>SUM(X79/T79)-1</f>
        <v>0.11551008303677346</v>
      </c>
    </row>
    <row r="80" spans="2:26" ht="5.0999999999999996" customHeight="1">
      <c r="B80" s="23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11"/>
    </row>
    <row r="81" spans="1:26" ht="12.75" customHeight="1">
      <c r="B81" s="62" t="s">
        <v>63</v>
      </c>
      <c r="C81" s="63">
        <f>C79-C55</f>
        <v>-1</v>
      </c>
      <c r="D81" s="63">
        <f>D79-D55</f>
        <v>-3</v>
      </c>
      <c r="E81" s="63">
        <f>E79-E55</f>
        <v>0</v>
      </c>
      <c r="F81" s="64"/>
      <c r="G81" s="63">
        <f>G79-G55</f>
        <v>2</v>
      </c>
      <c r="H81" s="63">
        <f>H79-H55</f>
        <v>-1</v>
      </c>
      <c r="I81" s="63">
        <f>I79-I55</f>
        <v>-1</v>
      </c>
      <c r="J81" s="63">
        <f>J79-J55</f>
        <v>-3</v>
      </c>
      <c r="K81" s="63">
        <f>K79-K55</f>
        <v>0</v>
      </c>
      <c r="L81" s="63">
        <f>L79-L55</f>
        <v>0</v>
      </c>
      <c r="M81" s="63">
        <f>M79-M55</f>
        <v>0</v>
      </c>
      <c r="N81" s="63">
        <f>N79-N55</f>
        <v>0</v>
      </c>
      <c r="O81" s="63">
        <f>O79-O55</f>
        <v>0</v>
      </c>
      <c r="P81" s="63">
        <f>P79-P55</f>
        <v>0</v>
      </c>
      <c r="Q81" s="26"/>
      <c r="R81" s="63">
        <f>R79-R55</f>
        <v>-3</v>
      </c>
      <c r="S81" s="63">
        <f>S79-S55</f>
        <v>0</v>
      </c>
      <c r="T81" s="63">
        <f>T79-T55</f>
        <v>0</v>
      </c>
      <c r="U81" s="63">
        <f>U79-U55</f>
        <v>0</v>
      </c>
      <c r="V81" s="63">
        <f>V79-V55</f>
        <v>0</v>
      </c>
      <c r="W81" s="63">
        <f>W79-W55</f>
        <v>0</v>
      </c>
      <c r="X81" s="63">
        <f>X79-X55</f>
        <v>0</v>
      </c>
    </row>
    <row r="82" spans="1:26" ht="5.0999999999999996" customHeight="1" thickBot="1">
      <c r="B82" s="100"/>
      <c r="C82" s="101"/>
      <c r="D82" s="101"/>
      <c r="E82" s="101"/>
      <c r="F82" s="102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3"/>
      <c r="R82" s="101"/>
      <c r="S82" s="101"/>
      <c r="T82" s="101"/>
      <c r="U82" s="101"/>
      <c r="V82" s="101"/>
      <c r="W82" s="101"/>
      <c r="X82" s="101"/>
      <c r="Y82" s="66"/>
      <c r="Z82" s="66"/>
    </row>
    <row r="83" spans="1:26">
      <c r="B83" s="61"/>
      <c r="C83" s="22"/>
      <c r="D83" s="22"/>
      <c r="E83" s="22"/>
      <c r="F83" s="49"/>
    </row>
    <row r="84" spans="1:26" ht="12.75" customHeight="1">
      <c r="A84" s="5" t="s">
        <v>18</v>
      </c>
      <c r="B84" s="83" t="s">
        <v>15</v>
      </c>
      <c r="C84" s="87" t="s">
        <v>0</v>
      </c>
      <c r="D84" s="87"/>
      <c r="E84" s="87"/>
      <c r="F84" s="88"/>
      <c r="G84" s="87"/>
      <c r="H84" s="87"/>
      <c r="I84" s="87"/>
      <c r="J84" s="87"/>
      <c r="K84" s="87"/>
      <c r="L84" s="87"/>
      <c r="M84" s="87" t="s">
        <v>1</v>
      </c>
      <c r="N84" s="87"/>
      <c r="O84" s="87"/>
      <c r="P84" s="87"/>
      <c r="Q84" s="83"/>
      <c r="R84" s="87"/>
      <c r="S84" s="87"/>
      <c r="T84" s="87" t="s">
        <v>10</v>
      </c>
      <c r="U84" s="87"/>
      <c r="V84" s="87"/>
      <c r="W84" s="87"/>
      <c r="X84" s="87"/>
      <c r="Y84" s="88"/>
      <c r="Z84" s="153" t="s">
        <v>24</v>
      </c>
    </row>
    <row r="85" spans="1:26" ht="12.75" customHeight="1">
      <c r="B85" s="84" t="str">
        <f>B7</f>
        <v>Fiscal Period</v>
      </c>
      <c r="C85" s="89">
        <f>C7</f>
        <v>2022</v>
      </c>
      <c r="D85" s="89">
        <f>D7</f>
        <v>2023</v>
      </c>
      <c r="E85" s="89">
        <f>E7</f>
        <v>2024</v>
      </c>
      <c r="F85" s="88"/>
      <c r="G85" s="89" t="str">
        <f>G7</f>
        <v>1Q23</v>
      </c>
      <c r="H85" s="89" t="str">
        <f>H7</f>
        <v>2Q23</v>
      </c>
      <c r="I85" s="89" t="str">
        <f>I7</f>
        <v>3Q23</v>
      </c>
      <c r="J85" s="89" t="str">
        <f>J7</f>
        <v>4Q23</v>
      </c>
      <c r="K85" s="89" t="str">
        <f>K7</f>
        <v>1Q24</v>
      </c>
      <c r="L85" s="89" t="str">
        <f>L7</f>
        <v>2Q24</v>
      </c>
      <c r="M85" s="89" t="str">
        <f>M7</f>
        <v>3Q24</v>
      </c>
      <c r="N85" s="89" t="str">
        <f>N7</f>
        <v>4Q24</v>
      </c>
      <c r="O85" s="89" t="str">
        <f>O7</f>
        <v>1Q25</v>
      </c>
      <c r="P85" s="89" t="str">
        <f>P7</f>
        <v>2Q25</v>
      </c>
      <c r="Q85" s="89"/>
      <c r="R85" s="89" t="str">
        <f>R7</f>
        <v>4Q23</v>
      </c>
      <c r="S85" s="89" t="str">
        <f>S7</f>
        <v>1Q24</v>
      </c>
      <c r="T85" s="89" t="str">
        <f>T7</f>
        <v>2Q24</v>
      </c>
      <c r="U85" s="89" t="str">
        <f>U7</f>
        <v>3Q24</v>
      </c>
      <c r="V85" s="89" t="str">
        <f>V7</f>
        <v>4Q24</v>
      </c>
      <c r="W85" s="89" t="str">
        <f>W7</f>
        <v>1Q25</v>
      </c>
      <c r="X85" s="89" t="str">
        <f>X7</f>
        <v>2Q25</v>
      </c>
      <c r="Y85" s="88"/>
      <c r="Z85" s="153"/>
    </row>
    <row r="86" spans="1:26" ht="12.75" customHeight="1">
      <c r="B86" s="84" t="str">
        <f>B8</f>
        <v>Fiscal Period End Date</v>
      </c>
      <c r="C86" s="90" t="str">
        <f>C8</f>
        <v>XXX</v>
      </c>
      <c r="D86" s="90" t="str">
        <f>D8</f>
        <v>XXX</v>
      </c>
      <c r="E86" s="90" t="str">
        <f>E8</f>
        <v>XXX</v>
      </c>
      <c r="F86" s="88"/>
      <c r="G86" s="90" t="str">
        <f>G8</f>
        <v>XXX</v>
      </c>
      <c r="H86" s="90" t="str">
        <f>H8</f>
        <v>XXX</v>
      </c>
      <c r="I86" s="90" t="str">
        <f>I8</f>
        <v>XXX</v>
      </c>
      <c r="J86" s="90" t="str">
        <f>J8</f>
        <v>XXX</v>
      </c>
      <c r="K86" s="90" t="str">
        <f>K8</f>
        <v>XXX</v>
      </c>
      <c r="L86" s="90" t="str">
        <f>L8</f>
        <v>XXX</v>
      </c>
      <c r="M86" s="90" t="str">
        <f>M8</f>
        <v>XXX</v>
      </c>
      <c r="N86" s="90" t="str">
        <f>N8</f>
        <v>XXX</v>
      </c>
      <c r="O86" s="90" t="str">
        <f>O8</f>
        <v>XXX</v>
      </c>
      <c r="P86" s="90" t="str">
        <f>P8</f>
        <v>XXX</v>
      </c>
      <c r="Q86" s="90"/>
      <c r="R86" s="90" t="str">
        <f>R8</f>
        <v>XXX</v>
      </c>
      <c r="S86" s="90" t="str">
        <f>S8</f>
        <v>XXX</v>
      </c>
      <c r="T86" s="90" t="str">
        <f>T8</f>
        <v>XXX</v>
      </c>
      <c r="U86" s="90" t="str">
        <f>U8</f>
        <v>XXX</v>
      </c>
      <c r="V86" s="90" t="str">
        <f>V8</f>
        <v>XXX</v>
      </c>
      <c r="W86" s="90" t="str">
        <f>W8</f>
        <v>XXX</v>
      </c>
      <c r="X86" s="90" t="str">
        <f>X8</f>
        <v>XXX</v>
      </c>
      <c r="Y86" s="88"/>
      <c r="Z86" s="153"/>
    </row>
    <row r="87" spans="1:26" ht="5.0999999999999996" customHeight="1">
      <c r="B87" s="50"/>
      <c r="C87" s="44"/>
      <c r="D87" s="44"/>
      <c r="E87" s="44"/>
    </row>
    <row r="88" spans="1:26" ht="12.75" customHeight="1">
      <c r="B88" s="51" t="s">
        <v>53</v>
      </c>
      <c r="C88" s="52"/>
      <c r="D88" s="52"/>
      <c r="E88" s="52"/>
    </row>
    <row r="89" spans="1:26" ht="12.75" customHeight="1">
      <c r="B89" s="53" t="s">
        <v>54</v>
      </c>
      <c r="C89" s="30">
        <f>C27</f>
        <v>855</v>
      </c>
      <c r="D89" s="30">
        <f>D27</f>
        <v>1549</v>
      </c>
      <c r="E89" s="30">
        <f>E27</f>
        <v>1815</v>
      </c>
      <c r="F89" s="30"/>
      <c r="G89" s="30">
        <f>G27</f>
        <v>-722.4</v>
      </c>
      <c r="H89" s="30">
        <f>H27</f>
        <v>-800.3</v>
      </c>
      <c r="I89" s="30">
        <f>I27</f>
        <v>-767.40000000000009</v>
      </c>
      <c r="J89" s="30">
        <f>J27</f>
        <v>3838.1000000000004</v>
      </c>
      <c r="K89" s="30">
        <f>K27</f>
        <v>-693.2</v>
      </c>
      <c r="L89" s="30">
        <f>L27</f>
        <v>-741.2</v>
      </c>
      <c r="M89" s="30">
        <f>M27</f>
        <v>-672.40000000000009</v>
      </c>
      <c r="N89" s="30">
        <f>N27</f>
        <v>3921.8</v>
      </c>
      <c r="O89" s="30">
        <f>O27</f>
        <v>-693.8</v>
      </c>
      <c r="P89" s="30">
        <f>P27</f>
        <v>-808.09999999999991</v>
      </c>
      <c r="R89" s="30">
        <f>R27</f>
        <v>1548</v>
      </c>
      <c r="S89" s="30">
        <f>S27</f>
        <v>1577.2000000000007</v>
      </c>
      <c r="T89" s="30">
        <f>T27</f>
        <v>1636.2999999999993</v>
      </c>
      <c r="U89" s="30">
        <f>U27</f>
        <v>1731.3000000000011</v>
      </c>
      <c r="V89" s="30">
        <f>V27</f>
        <v>1815</v>
      </c>
      <c r="W89" s="30">
        <f>W27</f>
        <v>1814.4000000000015</v>
      </c>
      <c r="X89" s="30">
        <f>X27</f>
        <v>1747.5</v>
      </c>
      <c r="Y89" s="11"/>
      <c r="Z89" s="68">
        <f>SUM(X89/T89)-1</f>
        <v>6.7958198374381773E-2</v>
      </c>
    </row>
    <row r="90" spans="1:26" ht="5.0999999999999996" customHeight="1"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R90" s="30"/>
      <c r="S90" s="30"/>
      <c r="T90" s="30"/>
      <c r="U90" s="30"/>
      <c r="V90" s="30"/>
      <c r="W90" s="30"/>
      <c r="X90" s="30"/>
      <c r="Y90" s="11"/>
      <c r="Z90" s="68"/>
    </row>
    <row r="91" spans="1:26" ht="12.75" customHeight="1">
      <c r="B91" s="33" t="s">
        <v>62</v>
      </c>
      <c r="C91" s="30"/>
      <c r="D91" s="30"/>
      <c r="E91" s="30"/>
      <c r="F91" s="30"/>
      <c r="G91" s="76"/>
      <c r="H91" s="76"/>
      <c r="I91" s="76"/>
      <c r="J91" s="30"/>
      <c r="K91" s="76"/>
      <c r="L91" s="76"/>
      <c r="M91" s="76"/>
      <c r="N91" s="30"/>
      <c r="O91" s="76"/>
      <c r="P91" s="76"/>
      <c r="R91" s="30"/>
      <c r="S91" s="30"/>
      <c r="T91" s="30"/>
      <c r="U91" s="30"/>
      <c r="V91" s="30"/>
      <c r="W91" s="30"/>
      <c r="X91" s="30"/>
      <c r="Y91" s="55"/>
      <c r="Z91" s="68"/>
    </row>
    <row r="92" spans="1:26" ht="12.75" customHeight="1">
      <c r="B92" s="56" t="s">
        <v>55</v>
      </c>
      <c r="C92" s="76"/>
      <c r="D92" s="76"/>
      <c r="E92" s="76"/>
      <c r="F92" s="30"/>
      <c r="G92" s="76"/>
      <c r="H92" s="76"/>
      <c r="I92" s="76"/>
      <c r="J92" s="30">
        <f>SUM(D92-SUM(G92:I92))</f>
        <v>0</v>
      </c>
      <c r="K92" s="76"/>
      <c r="L92" s="76"/>
      <c r="M92" s="76"/>
      <c r="N92" s="30">
        <f>SUM(E92-SUM(K92:M92))</f>
        <v>0</v>
      </c>
      <c r="O92" s="76"/>
      <c r="P92" s="76"/>
      <c r="R92" s="30">
        <f>SUM(H92:K92)</f>
        <v>0</v>
      </c>
      <c r="S92" s="30">
        <f>SUM(I92:L92)</f>
        <v>0</v>
      </c>
      <c r="T92" s="30">
        <f>SUM(J92:M92)</f>
        <v>0</v>
      </c>
      <c r="U92" s="30">
        <f>SUM(K92:N92)</f>
        <v>0</v>
      </c>
      <c r="V92" s="30">
        <f>SUM(L92:O92)</f>
        <v>0</v>
      </c>
      <c r="W92" s="30">
        <f>SUM(M92:P92)</f>
        <v>0</v>
      </c>
      <c r="X92" s="30">
        <f>SUM(N92:P92)</f>
        <v>0</v>
      </c>
      <c r="Y92" s="11"/>
      <c r="Z92" s="68" t="e">
        <f>SUM(X92/T92)-1</f>
        <v>#DIV/0!</v>
      </c>
    </row>
    <row r="93" spans="1:26" ht="12.75" customHeight="1">
      <c r="B93" s="56" t="s">
        <v>112</v>
      </c>
      <c r="C93" s="76"/>
      <c r="D93" s="76"/>
      <c r="E93" s="76"/>
      <c r="F93" s="30"/>
      <c r="G93" s="76"/>
      <c r="H93" s="76"/>
      <c r="I93" s="76"/>
      <c r="J93" s="30">
        <f>SUM(D93-SUM(G93:I93))</f>
        <v>0</v>
      </c>
      <c r="K93" s="76"/>
      <c r="L93" s="76"/>
      <c r="M93" s="76"/>
      <c r="N93" s="30">
        <f>SUM(E93-SUM(K93:M93))</f>
        <v>0</v>
      </c>
      <c r="O93" s="76"/>
      <c r="P93" s="76"/>
      <c r="R93" s="30">
        <f>SUM(H93:K93)</f>
        <v>0</v>
      </c>
      <c r="S93" s="30">
        <f>SUM(I93:L93)</f>
        <v>0</v>
      </c>
      <c r="T93" s="30">
        <f>SUM(J93:M93)</f>
        <v>0</v>
      </c>
      <c r="U93" s="30">
        <f>SUM(K93:N93)</f>
        <v>0</v>
      </c>
      <c r="V93" s="30">
        <f>SUM(L93:O93)</f>
        <v>0</v>
      </c>
      <c r="W93" s="30">
        <f>SUM(M93:P93)</f>
        <v>0</v>
      </c>
      <c r="X93" s="30">
        <f>SUM(N93:P93)</f>
        <v>0</v>
      </c>
      <c r="Y93" s="11"/>
      <c r="Z93" s="68" t="e">
        <f>SUM(X93/T93)-1</f>
        <v>#DIV/0!</v>
      </c>
    </row>
    <row r="94" spans="1:26" ht="12.75" customHeight="1">
      <c r="B94" s="56" t="s">
        <v>112</v>
      </c>
      <c r="C94" s="76"/>
      <c r="D94" s="76"/>
      <c r="E94" s="76"/>
      <c r="F94" s="30"/>
      <c r="G94" s="76"/>
      <c r="H94" s="76"/>
      <c r="I94" s="76"/>
      <c r="J94" s="30">
        <f>SUM(D94-SUM(G94:I94))</f>
        <v>0</v>
      </c>
      <c r="K94" s="76"/>
      <c r="L94" s="76"/>
      <c r="M94" s="76"/>
      <c r="N94" s="30">
        <f>SUM(E94-SUM(K94:M94))</f>
        <v>0</v>
      </c>
      <c r="O94" s="76"/>
      <c r="P94" s="76"/>
      <c r="R94" s="30">
        <f>SUM(H94:K94)</f>
        <v>0</v>
      </c>
      <c r="S94" s="30">
        <f>SUM(I94:L94)</f>
        <v>0</v>
      </c>
      <c r="T94" s="30">
        <f>SUM(J94:M94)</f>
        <v>0</v>
      </c>
      <c r="U94" s="30">
        <f>SUM(K94:N94)</f>
        <v>0</v>
      </c>
      <c r="V94" s="30">
        <f>SUM(L94:O94)</f>
        <v>0</v>
      </c>
      <c r="W94" s="30">
        <f>SUM(M94:P94)</f>
        <v>0</v>
      </c>
      <c r="X94" s="30">
        <f>SUM(N94:P94)</f>
        <v>0</v>
      </c>
      <c r="Y94" s="11"/>
      <c r="Z94" s="68" t="e">
        <f>SUM(X94/T94)-1</f>
        <v>#DIV/0!</v>
      </c>
    </row>
    <row r="95" spans="1:26" ht="12.75" customHeight="1">
      <c r="B95" s="56" t="s">
        <v>112</v>
      </c>
      <c r="C95" s="76"/>
      <c r="D95" s="76"/>
      <c r="E95" s="76"/>
      <c r="F95" s="30"/>
      <c r="G95" s="76"/>
      <c r="H95" s="76"/>
      <c r="I95" s="76"/>
      <c r="J95" s="30">
        <f>SUM(D95-SUM(G95:I95))</f>
        <v>0</v>
      </c>
      <c r="K95" s="76"/>
      <c r="L95" s="76"/>
      <c r="M95" s="76"/>
      <c r="N95" s="30">
        <f>SUM(E95-SUM(K95:M95))</f>
        <v>0</v>
      </c>
      <c r="O95" s="76"/>
      <c r="P95" s="76"/>
      <c r="R95" s="30">
        <f>SUM(H95:K95)</f>
        <v>0</v>
      </c>
      <c r="S95" s="30">
        <f>SUM(I95:L95)</f>
        <v>0</v>
      </c>
      <c r="T95" s="30">
        <f>SUM(J95:M95)</f>
        <v>0</v>
      </c>
      <c r="U95" s="30">
        <f>SUM(K95:N95)</f>
        <v>0</v>
      </c>
      <c r="V95" s="30">
        <f>SUM(L95:O95)</f>
        <v>0</v>
      </c>
      <c r="W95" s="30">
        <f>SUM(M95:P95)</f>
        <v>0</v>
      </c>
      <c r="X95" s="30">
        <f>SUM(N95:P95)</f>
        <v>0</v>
      </c>
      <c r="Y95" s="11"/>
      <c r="Z95" s="68" t="e">
        <f>SUM(X95/T95)-1</f>
        <v>#DIV/0!</v>
      </c>
    </row>
    <row r="96" spans="1:26" ht="12.75" customHeight="1">
      <c r="B96" s="56" t="s">
        <v>112</v>
      </c>
      <c r="C96" s="76"/>
      <c r="D96" s="76"/>
      <c r="E96" s="76"/>
      <c r="F96" s="30"/>
      <c r="G96" s="76"/>
      <c r="H96" s="76"/>
      <c r="I96" s="76"/>
      <c r="J96" s="30">
        <f>SUM(D96-SUM(G96:I96))</f>
        <v>0</v>
      </c>
      <c r="K96" s="76"/>
      <c r="L96" s="76"/>
      <c r="M96" s="76"/>
      <c r="N96" s="30">
        <f>SUM(E96-SUM(K96:M96))</f>
        <v>0</v>
      </c>
      <c r="O96" s="76"/>
      <c r="P96" s="76"/>
      <c r="R96" s="30">
        <f>SUM(H96:K96)</f>
        <v>0</v>
      </c>
      <c r="S96" s="30">
        <f>SUM(I96:L96)</f>
        <v>0</v>
      </c>
      <c r="T96" s="30">
        <f>SUM(J96:M96)</f>
        <v>0</v>
      </c>
      <c r="U96" s="30">
        <f>SUM(K96:N96)</f>
        <v>0</v>
      </c>
      <c r="V96" s="30">
        <f>SUM(L96:O96)</f>
        <v>0</v>
      </c>
      <c r="W96" s="30">
        <f>SUM(M96:P96)</f>
        <v>0</v>
      </c>
      <c r="X96" s="30">
        <f>SUM(N96:P96)</f>
        <v>0</v>
      </c>
      <c r="Y96" s="11"/>
      <c r="Z96" s="68" t="e">
        <f>SUM(X96/T96)-1</f>
        <v>#DIV/0!</v>
      </c>
    </row>
    <row r="97" spans="2:26" ht="12.75" customHeight="1">
      <c r="B97" s="56" t="s">
        <v>112</v>
      </c>
      <c r="C97" s="76"/>
      <c r="D97" s="76"/>
      <c r="E97" s="76"/>
      <c r="F97" s="30"/>
      <c r="G97" s="76"/>
      <c r="H97" s="76"/>
      <c r="I97" s="76"/>
      <c r="J97" s="30">
        <f>SUM(D97-SUM(G97:I97))</f>
        <v>0</v>
      </c>
      <c r="K97" s="76"/>
      <c r="L97" s="76"/>
      <c r="M97" s="76"/>
      <c r="N97" s="30">
        <f>SUM(E97-SUM(K97:M97))</f>
        <v>0</v>
      </c>
      <c r="O97" s="76"/>
      <c r="P97" s="76"/>
      <c r="R97" s="30">
        <f>SUM(H97:K97)</f>
        <v>0</v>
      </c>
      <c r="S97" s="30">
        <f>SUM(I97:L97)</f>
        <v>0</v>
      </c>
      <c r="T97" s="30">
        <f>SUM(J97:M97)</f>
        <v>0</v>
      </c>
      <c r="U97" s="30">
        <f>SUM(K97:N97)</f>
        <v>0</v>
      </c>
      <c r="V97" s="30">
        <f>SUM(L97:O97)</f>
        <v>0</v>
      </c>
      <c r="W97" s="30">
        <f>SUM(M97:P97)</f>
        <v>0</v>
      </c>
      <c r="X97" s="30">
        <f>SUM(N97:P97)</f>
        <v>0</v>
      </c>
      <c r="Y97" s="11"/>
      <c r="Z97" s="68" t="e">
        <f>SUM(X97/T97)-1</f>
        <v>#DIV/0!</v>
      </c>
    </row>
    <row r="98" spans="2:26" ht="12.75" customHeight="1">
      <c r="B98" s="56" t="s">
        <v>112</v>
      </c>
      <c r="C98" s="76"/>
      <c r="D98" s="76"/>
      <c r="E98" s="76"/>
      <c r="F98" s="30"/>
      <c r="G98" s="76"/>
      <c r="H98" s="76"/>
      <c r="I98" s="76"/>
      <c r="J98" s="30">
        <f>SUM(D98-SUM(G98:I98))</f>
        <v>0</v>
      </c>
      <c r="K98" s="76"/>
      <c r="L98" s="76"/>
      <c r="M98" s="76"/>
      <c r="N98" s="30">
        <f>SUM(E98-SUM(K98:M98))</f>
        <v>0</v>
      </c>
      <c r="O98" s="76"/>
      <c r="P98" s="76"/>
      <c r="R98" s="30">
        <f>SUM(H98:K98)</f>
        <v>0</v>
      </c>
      <c r="S98" s="30">
        <f>SUM(I98:L98)</f>
        <v>0</v>
      </c>
      <c r="T98" s="30">
        <f>SUM(J98:M98)</f>
        <v>0</v>
      </c>
      <c r="U98" s="30">
        <f>SUM(K98:N98)</f>
        <v>0</v>
      </c>
      <c r="V98" s="30">
        <f>SUM(L98:O98)</f>
        <v>0</v>
      </c>
      <c r="W98" s="30">
        <f>SUM(M98:P98)</f>
        <v>0</v>
      </c>
      <c r="X98" s="30">
        <f>SUM(N98:P98)</f>
        <v>0</v>
      </c>
      <c r="Y98" s="11"/>
      <c r="Z98" s="68" t="e">
        <f>SUM(X98/T98)-1</f>
        <v>#DIV/0!</v>
      </c>
    </row>
    <row r="99" spans="2:26" ht="12.75" customHeight="1">
      <c r="B99" s="56" t="s">
        <v>112</v>
      </c>
      <c r="C99" s="76"/>
      <c r="D99" s="76"/>
      <c r="E99" s="76"/>
      <c r="F99" s="30"/>
      <c r="G99" s="76"/>
      <c r="H99" s="76"/>
      <c r="I99" s="76"/>
      <c r="J99" s="30">
        <f>SUM(D99-SUM(G99:I99))</f>
        <v>0</v>
      </c>
      <c r="K99" s="76"/>
      <c r="L99" s="76"/>
      <c r="M99" s="76"/>
      <c r="N99" s="30">
        <f>SUM(E99-SUM(K99:M99))</f>
        <v>0</v>
      </c>
      <c r="O99" s="76"/>
      <c r="P99" s="76"/>
      <c r="R99" s="30">
        <f>SUM(H99:K99)</f>
        <v>0</v>
      </c>
      <c r="S99" s="30">
        <f>SUM(I99:L99)</f>
        <v>0</v>
      </c>
      <c r="T99" s="30">
        <f>SUM(J99:M99)</f>
        <v>0</v>
      </c>
      <c r="U99" s="30">
        <f>SUM(K99:N99)</f>
        <v>0</v>
      </c>
      <c r="V99" s="30">
        <f>SUM(L99:O99)</f>
        <v>0</v>
      </c>
      <c r="W99" s="30">
        <f>SUM(M99:P99)</f>
        <v>0</v>
      </c>
      <c r="X99" s="30">
        <f>SUM(N99:P99)</f>
        <v>0</v>
      </c>
      <c r="Y99" s="11"/>
      <c r="Z99" s="68" t="e">
        <f>SUM(X99/T99)-1</f>
        <v>#DIV/0!</v>
      </c>
    </row>
    <row r="100" spans="2:26" ht="12.75" customHeight="1">
      <c r="B100" s="56" t="s">
        <v>112</v>
      </c>
      <c r="C100" s="76"/>
      <c r="D100" s="76"/>
      <c r="E100" s="76"/>
      <c r="F100" s="30"/>
      <c r="G100" s="76"/>
      <c r="H100" s="76"/>
      <c r="I100" s="76"/>
      <c r="J100" s="30">
        <f>SUM(D100-SUM(G100:I100))</f>
        <v>0</v>
      </c>
      <c r="K100" s="76"/>
      <c r="L100" s="76"/>
      <c r="M100" s="76"/>
      <c r="N100" s="30">
        <f>SUM(E100-SUM(K100:M100))</f>
        <v>0</v>
      </c>
      <c r="O100" s="76"/>
      <c r="P100" s="76"/>
      <c r="R100" s="30">
        <f>SUM(H100:K100)</f>
        <v>0</v>
      </c>
      <c r="S100" s="30">
        <f>SUM(I100:L100)</f>
        <v>0</v>
      </c>
      <c r="T100" s="30">
        <f>SUM(J100:M100)</f>
        <v>0</v>
      </c>
      <c r="U100" s="30">
        <f>SUM(K100:N100)</f>
        <v>0</v>
      </c>
      <c r="V100" s="30">
        <f>SUM(L100:O100)</f>
        <v>0</v>
      </c>
      <c r="W100" s="30">
        <f>SUM(M100:P100)</f>
        <v>0</v>
      </c>
      <c r="X100" s="30">
        <f>SUM(N100:P100)</f>
        <v>0</v>
      </c>
      <c r="Y100" s="11"/>
      <c r="Z100" s="68" t="e">
        <f>SUM(X100/T100)-1</f>
        <v>#DIV/0!</v>
      </c>
    </row>
    <row r="101" spans="2:26" ht="5.0999999999999996" customHeight="1">
      <c r="B101" s="8"/>
      <c r="C101" s="76"/>
      <c r="D101" s="76"/>
      <c r="E101" s="76"/>
      <c r="F101" s="30"/>
      <c r="G101" s="76"/>
      <c r="H101" s="76"/>
      <c r="I101" s="76"/>
      <c r="J101" s="30"/>
      <c r="K101" s="76"/>
      <c r="L101" s="76"/>
      <c r="M101" s="76"/>
      <c r="N101" s="30"/>
      <c r="O101" s="76"/>
      <c r="P101" s="76"/>
      <c r="R101" s="30"/>
      <c r="S101" s="30"/>
      <c r="T101" s="30"/>
      <c r="U101" s="30"/>
      <c r="V101" s="30"/>
      <c r="W101" s="30"/>
      <c r="X101" s="30"/>
      <c r="Y101" s="11"/>
      <c r="Z101" s="68"/>
    </row>
    <row r="102" spans="2:26" ht="12.75" customHeight="1">
      <c r="B102" s="33" t="s">
        <v>14</v>
      </c>
      <c r="C102" s="76"/>
      <c r="D102" s="76"/>
      <c r="E102" s="76"/>
      <c r="F102" s="30"/>
      <c r="G102" s="76"/>
      <c r="H102" s="76"/>
      <c r="I102" s="76"/>
      <c r="J102" s="30"/>
      <c r="K102" s="76"/>
      <c r="L102" s="76"/>
      <c r="M102" s="76"/>
      <c r="N102" s="30"/>
      <c r="O102" s="76"/>
      <c r="P102" s="76"/>
      <c r="R102" s="30"/>
      <c r="S102" s="30"/>
      <c r="T102" s="30"/>
      <c r="U102" s="30"/>
      <c r="V102" s="30"/>
      <c r="W102" s="30"/>
      <c r="X102" s="30"/>
      <c r="Y102" s="55"/>
      <c r="Z102" s="68"/>
    </row>
    <row r="103" spans="2:26" ht="12.75" customHeight="1">
      <c r="B103" s="56" t="s">
        <v>89</v>
      </c>
      <c r="C103" s="76"/>
      <c r="D103" s="76"/>
      <c r="E103" s="76"/>
      <c r="F103" s="30"/>
      <c r="G103" s="76"/>
      <c r="H103" s="76"/>
      <c r="I103" s="76"/>
      <c r="J103" s="30">
        <f>SUM(D103-SUM(G103:I103))</f>
        <v>0</v>
      </c>
      <c r="K103" s="76"/>
      <c r="L103" s="76"/>
      <c r="M103" s="76"/>
      <c r="N103" s="30">
        <f>SUM(E103-SUM(K103:M103))</f>
        <v>0</v>
      </c>
      <c r="O103" s="76"/>
      <c r="P103" s="76"/>
      <c r="R103" s="30">
        <f>SUM(H103:K103)</f>
        <v>0</v>
      </c>
      <c r="S103" s="30">
        <f>SUM(I103:L103)</f>
        <v>0</v>
      </c>
      <c r="T103" s="30">
        <f>SUM(J103:M103)</f>
        <v>0</v>
      </c>
      <c r="U103" s="30">
        <f>SUM(K103:N103)</f>
        <v>0</v>
      </c>
      <c r="V103" s="30">
        <f>SUM(L103:O103)</f>
        <v>0</v>
      </c>
      <c r="W103" s="30">
        <f>SUM(M103:P103)</f>
        <v>0</v>
      </c>
      <c r="X103" s="30">
        <f>SUM(N103:P103)</f>
        <v>0</v>
      </c>
      <c r="Y103" s="55"/>
      <c r="Z103" s="68" t="e">
        <f>SUM(X103/T103)-1</f>
        <v>#DIV/0!</v>
      </c>
    </row>
    <row r="104" spans="2:26" ht="12.75" customHeight="1">
      <c r="B104" s="56" t="s">
        <v>112</v>
      </c>
      <c r="C104" s="76"/>
      <c r="D104" s="76"/>
      <c r="E104" s="76"/>
      <c r="F104" s="30"/>
      <c r="G104" s="76"/>
      <c r="H104" s="76"/>
      <c r="I104" s="76"/>
      <c r="J104" s="30">
        <f>SUM(D104-SUM(G104:I104))</f>
        <v>0</v>
      </c>
      <c r="K104" s="76"/>
      <c r="L104" s="76"/>
      <c r="M104" s="76"/>
      <c r="N104" s="30">
        <f>SUM(E104-SUM(K104:M104))</f>
        <v>0</v>
      </c>
      <c r="O104" s="76"/>
      <c r="P104" s="76"/>
      <c r="R104" s="30">
        <f>SUM(H104:K104)</f>
        <v>0</v>
      </c>
      <c r="S104" s="30">
        <f>SUM(I104:L104)</f>
        <v>0</v>
      </c>
      <c r="T104" s="30">
        <f>SUM(J104:M104)</f>
        <v>0</v>
      </c>
      <c r="U104" s="30">
        <f>SUM(K104:N104)</f>
        <v>0</v>
      </c>
      <c r="V104" s="30">
        <f>SUM(L104:O104)</f>
        <v>0</v>
      </c>
      <c r="W104" s="30">
        <f>SUM(M104:P104)</f>
        <v>0</v>
      </c>
      <c r="X104" s="30">
        <f>SUM(N104:P104)</f>
        <v>0</v>
      </c>
      <c r="Y104" s="55"/>
      <c r="Z104" s="68" t="e">
        <f>SUM(X104/T104)-1</f>
        <v>#DIV/0!</v>
      </c>
    </row>
    <row r="105" spans="2:26" ht="12.75" customHeight="1">
      <c r="B105" s="56" t="s">
        <v>112</v>
      </c>
      <c r="C105" s="76"/>
      <c r="D105" s="76"/>
      <c r="E105" s="76"/>
      <c r="F105" s="30"/>
      <c r="G105" s="76"/>
      <c r="H105" s="76"/>
      <c r="I105" s="76"/>
      <c r="J105" s="30">
        <f>SUM(D105-SUM(G105:I105))</f>
        <v>0</v>
      </c>
      <c r="K105" s="76"/>
      <c r="L105" s="76"/>
      <c r="M105" s="76"/>
      <c r="N105" s="30">
        <f>SUM(E105-SUM(K105:M105))</f>
        <v>0</v>
      </c>
      <c r="O105" s="76"/>
      <c r="P105" s="76"/>
      <c r="R105" s="30">
        <f>SUM(H105:K105)</f>
        <v>0</v>
      </c>
      <c r="S105" s="30">
        <f>SUM(I105:L105)</f>
        <v>0</v>
      </c>
      <c r="T105" s="30">
        <f>SUM(J105:M105)</f>
        <v>0</v>
      </c>
      <c r="U105" s="30">
        <f>SUM(K105:N105)</f>
        <v>0</v>
      </c>
      <c r="V105" s="30">
        <f>SUM(L105:O105)</f>
        <v>0</v>
      </c>
      <c r="W105" s="30">
        <f>SUM(M105:P105)</f>
        <v>0</v>
      </c>
      <c r="X105" s="30">
        <f>SUM(N105:P105)</f>
        <v>0</v>
      </c>
      <c r="Y105" s="55"/>
      <c r="Z105" s="68" t="e">
        <f>SUM(X105/T105)-1</f>
        <v>#DIV/0!</v>
      </c>
    </row>
    <row r="106" spans="2:26" ht="12.75" customHeight="1">
      <c r="B106" s="56" t="s">
        <v>112</v>
      </c>
      <c r="C106" s="76"/>
      <c r="D106" s="76"/>
      <c r="E106" s="76"/>
      <c r="F106" s="30"/>
      <c r="G106" s="76"/>
      <c r="H106" s="76"/>
      <c r="I106" s="76"/>
      <c r="J106" s="30">
        <f>SUM(D106-SUM(G106:I106))</f>
        <v>0</v>
      </c>
      <c r="K106" s="76"/>
      <c r="L106" s="76"/>
      <c r="M106" s="76"/>
      <c r="N106" s="30">
        <f>SUM(E106-SUM(K106:M106))</f>
        <v>0</v>
      </c>
      <c r="O106" s="76"/>
      <c r="P106" s="76"/>
      <c r="R106" s="30">
        <f>SUM(H106:K106)</f>
        <v>0</v>
      </c>
      <c r="S106" s="30">
        <f>SUM(I106:L106)</f>
        <v>0</v>
      </c>
      <c r="T106" s="30">
        <f>SUM(J106:M106)</f>
        <v>0</v>
      </c>
      <c r="U106" s="30">
        <f>SUM(K106:N106)</f>
        <v>0</v>
      </c>
      <c r="V106" s="30">
        <f>SUM(L106:O106)</f>
        <v>0</v>
      </c>
      <c r="W106" s="30">
        <f>SUM(M106:P106)</f>
        <v>0</v>
      </c>
      <c r="X106" s="30">
        <f>SUM(N106:P106)</f>
        <v>0</v>
      </c>
      <c r="Y106" s="55"/>
      <c r="Z106" s="68" t="e">
        <f>SUM(X106/T106)-1</f>
        <v>#DIV/0!</v>
      </c>
    </row>
    <row r="107" spans="2:26" ht="12.75" customHeight="1">
      <c r="B107" s="56" t="s">
        <v>112</v>
      </c>
      <c r="C107" s="76"/>
      <c r="D107" s="76"/>
      <c r="E107" s="76"/>
      <c r="F107" s="30"/>
      <c r="G107" s="76"/>
      <c r="H107" s="76"/>
      <c r="I107" s="76"/>
      <c r="J107" s="30">
        <f>SUM(D107-SUM(G107:I107))</f>
        <v>0</v>
      </c>
      <c r="K107" s="76"/>
      <c r="L107" s="76"/>
      <c r="M107" s="76"/>
      <c r="N107" s="30">
        <f>SUM(E107-SUM(K107:M107))</f>
        <v>0</v>
      </c>
      <c r="O107" s="76"/>
      <c r="P107" s="76"/>
      <c r="R107" s="30">
        <f>SUM(H107:K107)</f>
        <v>0</v>
      </c>
      <c r="S107" s="30">
        <f>SUM(I107:L107)</f>
        <v>0</v>
      </c>
      <c r="T107" s="30">
        <f>SUM(J107:M107)</f>
        <v>0</v>
      </c>
      <c r="U107" s="30">
        <f>SUM(K107:N107)</f>
        <v>0</v>
      </c>
      <c r="V107" s="30">
        <f>SUM(L107:O107)</f>
        <v>0</v>
      </c>
      <c r="W107" s="30">
        <f>SUM(M107:P107)</f>
        <v>0</v>
      </c>
      <c r="X107" s="30">
        <f>SUM(N107:P107)</f>
        <v>0</v>
      </c>
      <c r="Y107" s="55"/>
      <c r="Z107" s="68" t="e">
        <f>SUM(X107/T107)-1</f>
        <v>#DIV/0!</v>
      </c>
    </row>
    <row r="108" spans="2:26" ht="12.75" customHeight="1">
      <c r="B108" s="56" t="s">
        <v>112</v>
      </c>
      <c r="C108" s="76"/>
      <c r="D108" s="76"/>
      <c r="E108" s="76"/>
      <c r="F108" s="30"/>
      <c r="G108" s="76"/>
      <c r="H108" s="76"/>
      <c r="I108" s="76"/>
      <c r="J108" s="30">
        <f>SUM(D108-SUM(G108:I108))</f>
        <v>0</v>
      </c>
      <c r="K108" s="76"/>
      <c r="L108" s="76"/>
      <c r="M108" s="76"/>
      <c r="N108" s="30">
        <f>SUM(E108-SUM(K108:M108))</f>
        <v>0</v>
      </c>
      <c r="O108" s="76"/>
      <c r="P108" s="76"/>
      <c r="R108" s="30">
        <f>SUM(H108:K108)</f>
        <v>0</v>
      </c>
      <c r="S108" s="30">
        <f>SUM(I108:L108)</f>
        <v>0</v>
      </c>
      <c r="T108" s="30">
        <f>SUM(J108:M108)</f>
        <v>0</v>
      </c>
      <c r="U108" s="30">
        <f>SUM(K108:N108)</f>
        <v>0</v>
      </c>
      <c r="V108" s="30">
        <f>SUM(L108:O108)</f>
        <v>0</v>
      </c>
      <c r="W108" s="30">
        <f>SUM(M108:P108)</f>
        <v>0</v>
      </c>
      <c r="X108" s="30">
        <f>SUM(N108:P108)</f>
        <v>0</v>
      </c>
      <c r="Y108" s="55"/>
      <c r="Z108" s="68" t="e">
        <f>SUM(X108/T108)-1</f>
        <v>#DIV/0!</v>
      </c>
    </row>
    <row r="109" spans="2:26" ht="12.75" customHeight="1">
      <c r="B109" s="12" t="s">
        <v>56</v>
      </c>
      <c r="C109" s="13">
        <f>SUM(C89:C108)</f>
        <v>855</v>
      </c>
      <c r="D109" s="13">
        <f>SUM(D89:D108)</f>
        <v>1549</v>
      </c>
      <c r="E109" s="13">
        <f>SUM(E89:E108)</f>
        <v>1815</v>
      </c>
      <c r="G109" s="13">
        <f t="shared" ref="G109:P109" si="120">SUM(G89:G108)</f>
        <v>-722.4</v>
      </c>
      <c r="H109" s="13">
        <f t="shared" si="120"/>
        <v>-800.3</v>
      </c>
      <c r="I109" s="13">
        <f t="shared" si="120"/>
        <v>-767.40000000000009</v>
      </c>
      <c r="J109" s="13">
        <f t="shared" si="120"/>
        <v>3838.1000000000004</v>
      </c>
      <c r="K109" s="13">
        <f t="shared" si="120"/>
        <v>-693.2</v>
      </c>
      <c r="L109" s="13">
        <f t="shared" si="120"/>
        <v>-741.2</v>
      </c>
      <c r="M109" s="13">
        <f t="shared" si="120"/>
        <v>-672.40000000000009</v>
      </c>
      <c r="N109" s="13">
        <f t="shared" si="120"/>
        <v>3921.8</v>
      </c>
      <c r="O109" s="13">
        <f t="shared" si="120"/>
        <v>-693.8</v>
      </c>
      <c r="P109" s="13">
        <f t="shared" si="120"/>
        <v>-808.09999999999991</v>
      </c>
      <c r="R109" s="13">
        <f t="shared" ref="R109:X109" si="121">SUM(R89:R108)</f>
        <v>1548</v>
      </c>
      <c r="S109" s="13">
        <f t="shared" si="121"/>
        <v>1577.2000000000007</v>
      </c>
      <c r="T109" s="13">
        <f t="shared" si="121"/>
        <v>1636.2999999999993</v>
      </c>
      <c r="U109" s="13">
        <f t="shared" si="121"/>
        <v>1731.3000000000011</v>
      </c>
      <c r="V109" s="13">
        <f t="shared" si="121"/>
        <v>1815</v>
      </c>
      <c r="W109" s="13">
        <f t="shared" si="121"/>
        <v>1814.4000000000015</v>
      </c>
      <c r="X109" s="13">
        <f t="shared" si="121"/>
        <v>1747.5</v>
      </c>
      <c r="Y109" s="39"/>
      <c r="Z109" s="69">
        <f>SUM(X109/T109)-1</f>
        <v>6.7958198374381773E-2</v>
      </c>
    </row>
    <row r="110" spans="2:26" ht="12.75" customHeight="1">
      <c r="B110" s="49"/>
      <c r="C110" s="57"/>
      <c r="D110" s="57"/>
      <c r="E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R110" s="39"/>
      <c r="S110" s="39"/>
      <c r="T110" s="39"/>
      <c r="U110" s="39"/>
      <c r="V110" s="39"/>
      <c r="W110" s="39"/>
      <c r="X110" s="39"/>
      <c r="Y110" s="39"/>
      <c r="Z110" s="36"/>
    </row>
    <row r="111" spans="2:26" ht="12.75" customHeight="1">
      <c r="B111" s="112" t="s">
        <v>57</v>
      </c>
      <c r="C111" s="54"/>
      <c r="D111" s="54"/>
      <c r="E111" s="54"/>
      <c r="G111" s="76"/>
      <c r="H111" s="76"/>
      <c r="I111" s="76"/>
      <c r="J111" s="30"/>
      <c r="K111" s="76"/>
      <c r="L111" s="76"/>
      <c r="M111" s="76"/>
      <c r="N111" s="30"/>
      <c r="O111" s="76"/>
      <c r="P111" s="76"/>
      <c r="R111" s="54"/>
      <c r="S111" s="54"/>
      <c r="T111" s="54"/>
      <c r="U111" s="54"/>
      <c r="V111" s="54"/>
      <c r="W111" s="54"/>
      <c r="X111" s="54"/>
      <c r="Y111" s="55"/>
      <c r="Z111" s="36"/>
    </row>
    <row r="112" spans="2:26" ht="12.75" customHeight="1">
      <c r="B112" s="56" t="s">
        <v>90</v>
      </c>
      <c r="C112" s="76"/>
      <c r="D112" s="76"/>
      <c r="E112" s="76"/>
      <c r="F112" s="30"/>
      <c r="G112" s="76"/>
      <c r="H112" s="76"/>
      <c r="I112" s="76"/>
      <c r="J112" s="30">
        <f>SUM(D112-SUM(G112:I112))</f>
        <v>0</v>
      </c>
      <c r="K112" s="76"/>
      <c r="L112" s="76"/>
      <c r="M112" s="76"/>
      <c r="N112" s="30">
        <f>SUM(E112-SUM(K112:M112))</f>
        <v>0</v>
      </c>
      <c r="O112" s="76"/>
      <c r="P112" s="76"/>
      <c r="Q112" s="30"/>
      <c r="R112" s="30">
        <f>SUM(H112:K112)</f>
        <v>0</v>
      </c>
      <c r="S112" s="30">
        <f>SUM(I112:L112)</f>
        <v>0</v>
      </c>
      <c r="T112" s="30">
        <f>SUM(J112:M112)</f>
        <v>0</v>
      </c>
      <c r="U112" s="30">
        <f>SUM(K112:N112)</f>
        <v>0</v>
      </c>
      <c r="V112" s="30">
        <f>SUM(L112:O112)</f>
        <v>0</v>
      </c>
      <c r="W112" s="30">
        <f>SUM(M112:P112)</f>
        <v>0</v>
      </c>
      <c r="X112" s="30">
        <f>SUM(N112:P112)</f>
        <v>0</v>
      </c>
      <c r="Y112" s="55"/>
      <c r="Z112" s="68" t="e">
        <f>SUM(X112/T112)-1</f>
        <v>#DIV/0!</v>
      </c>
    </row>
    <row r="113" spans="2:26" ht="12.75" customHeight="1">
      <c r="B113" s="56" t="s">
        <v>112</v>
      </c>
      <c r="C113" s="76"/>
      <c r="D113" s="76"/>
      <c r="E113" s="76"/>
      <c r="F113" s="30"/>
      <c r="G113" s="76"/>
      <c r="H113" s="76"/>
      <c r="I113" s="76"/>
      <c r="J113" s="30">
        <f>SUM(D113-SUM(G113:I113))</f>
        <v>0</v>
      </c>
      <c r="K113" s="76"/>
      <c r="L113" s="76"/>
      <c r="M113" s="76"/>
      <c r="N113" s="30">
        <f>SUM(E113-SUM(K113:M113))</f>
        <v>0</v>
      </c>
      <c r="O113" s="76"/>
      <c r="P113" s="76"/>
      <c r="Q113" s="30"/>
      <c r="R113" s="30">
        <f>SUM(H113:K113)</f>
        <v>0</v>
      </c>
      <c r="S113" s="30">
        <f>SUM(I113:L113)</f>
        <v>0</v>
      </c>
      <c r="T113" s="30">
        <f>SUM(J113:M113)</f>
        <v>0</v>
      </c>
      <c r="U113" s="30">
        <f>SUM(K113:N113)</f>
        <v>0</v>
      </c>
      <c r="V113" s="30">
        <f>SUM(L113:O113)</f>
        <v>0</v>
      </c>
      <c r="W113" s="30">
        <f>SUM(M113:P113)</f>
        <v>0</v>
      </c>
      <c r="X113" s="30">
        <f>SUM(N113:P113)</f>
        <v>0</v>
      </c>
      <c r="Y113" s="55"/>
      <c r="Z113" s="68" t="e">
        <f>SUM(X113/T113)-1</f>
        <v>#DIV/0!</v>
      </c>
    </row>
    <row r="114" spans="2:26" ht="12.75" customHeight="1">
      <c r="B114" s="56" t="s">
        <v>112</v>
      </c>
      <c r="C114" s="76"/>
      <c r="D114" s="76"/>
      <c r="E114" s="76"/>
      <c r="F114" s="30"/>
      <c r="G114" s="76"/>
      <c r="H114" s="76"/>
      <c r="I114" s="76"/>
      <c r="J114" s="30">
        <f>SUM(D114-SUM(G114:I114))</f>
        <v>0</v>
      </c>
      <c r="K114" s="76"/>
      <c r="L114" s="76"/>
      <c r="M114" s="76"/>
      <c r="N114" s="30">
        <f>SUM(E114-SUM(K114:M114))</f>
        <v>0</v>
      </c>
      <c r="O114" s="76"/>
      <c r="P114" s="76"/>
      <c r="Q114" s="30"/>
      <c r="R114" s="30">
        <f>SUM(H114:K114)</f>
        <v>0</v>
      </c>
      <c r="S114" s="30">
        <f>SUM(I114:L114)</f>
        <v>0</v>
      </c>
      <c r="T114" s="30">
        <f>SUM(J114:M114)</f>
        <v>0</v>
      </c>
      <c r="U114" s="30">
        <f>SUM(K114:N114)</f>
        <v>0</v>
      </c>
      <c r="V114" s="30">
        <f>SUM(L114:O114)</f>
        <v>0</v>
      </c>
      <c r="W114" s="30">
        <f>SUM(M114:P114)</f>
        <v>0</v>
      </c>
      <c r="X114" s="30">
        <f>SUM(N114:P114)</f>
        <v>0</v>
      </c>
      <c r="Y114" s="55"/>
      <c r="Z114" s="68" t="e">
        <f>SUM(X114/T114)-1</f>
        <v>#DIV/0!</v>
      </c>
    </row>
    <row r="115" spans="2:26" ht="12.75" customHeight="1">
      <c r="B115" s="56" t="s">
        <v>112</v>
      </c>
      <c r="C115" s="76"/>
      <c r="D115" s="76"/>
      <c r="E115" s="76"/>
      <c r="F115" s="30"/>
      <c r="G115" s="76"/>
      <c r="H115" s="76"/>
      <c r="I115" s="76"/>
      <c r="J115" s="30">
        <f>SUM(D115-SUM(G115:I115))</f>
        <v>0</v>
      </c>
      <c r="K115" s="76"/>
      <c r="L115" s="76"/>
      <c r="M115" s="76"/>
      <c r="N115" s="30">
        <f>SUM(E115-SUM(K115:M115))</f>
        <v>0</v>
      </c>
      <c r="O115" s="76"/>
      <c r="P115" s="76"/>
      <c r="Q115" s="30"/>
      <c r="R115" s="30">
        <f>SUM(H115:K115)</f>
        <v>0</v>
      </c>
      <c r="S115" s="30">
        <f>SUM(I115:L115)</f>
        <v>0</v>
      </c>
      <c r="T115" s="30">
        <f>SUM(J115:M115)</f>
        <v>0</v>
      </c>
      <c r="U115" s="30">
        <f>SUM(K115:N115)</f>
        <v>0</v>
      </c>
      <c r="V115" s="30">
        <f>SUM(L115:O115)</f>
        <v>0</v>
      </c>
      <c r="W115" s="30">
        <f>SUM(M115:P115)</f>
        <v>0</v>
      </c>
      <c r="X115" s="30">
        <f>SUM(N115:P115)</f>
        <v>0</v>
      </c>
      <c r="Y115" s="55"/>
      <c r="Z115" s="68" t="e">
        <f>SUM(X115/T115)-1</f>
        <v>#DIV/0!</v>
      </c>
    </row>
    <row r="116" spans="2:26" ht="12.75" customHeight="1">
      <c r="B116" s="56" t="s">
        <v>112</v>
      </c>
      <c r="C116" s="76"/>
      <c r="D116" s="76"/>
      <c r="E116" s="76"/>
      <c r="F116" s="30"/>
      <c r="G116" s="76"/>
      <c r="H116" s="76"/>
      <c r="I116" s="76"/>
      <c r="J116" s="30">
        <f>SUM(D116-SUM(G116:I116))</f>
        <v>0</v>
      </c>
      <c r="K116" s="76"/>
      <c r="L116" s="76"/>
      <c r="M116" s="76"/>
      <c r="N116" s="30">
        <f>SUM(E116-SUM(K116:M116))</f>
        <v>0</v>
      </c>
      <c r="O116" s="76"/>
      <c r="P116" s="76"/>
      <c r="Q116" s="30"/>
      <c r="R116" s="30">
        <f>SUM(H116:K116)</f>
        <v>0</v>
      </c>
      <c r="S116" s="30">
        <f>SUM(I116:L116)</f>
        <v>0</v>
      </c>
      <c r="T116" s="30">
        <f>SUM(J116:M116)</f>
        <v>0</v>
      </c>
      <c r="U116" s="30">
        <f>SUM(K116:N116)</f>
        <v>0</v>
      </c>
      <c r="V116" s="30">
        <f>SUM(L116:O116)</f>
        <v>0</v>
      </c>
      <c r="W116" s="30">
        <f>SUM(M116:P116)</f>
        <v>0</v>
      </c>
      <c r="X116" s="30">
        <f>SUM(N116:P116)</f>
        <v>0</v>
      </c>
      <c r="Y116" s="55"/>
      <c r="Z116" s="68" t="e">
        <f>SUM(X116/T116)-1</f>
        <v>#DIV/0!</v>
      </c>
    </row>
    <row r="117" spans="2:26" ht="12.75" customHeight="1">
      <c r="B117" s="12" t="s">
        <v>58</v>
      </c>
      <c r="C117" s="13">
        <f t="shared" ref="C117:E117" si="122">SUM(C112:C116)</f>
        <v>0</v>
      </c>
      <c r="D117" s="13">
        <f t="shared" si="122"/>
        <v>0</v>
      </c>
      <c r="E117" s="13">
        <f t="shared" si="122"/>
        <v>0</v>
      </c>
      <c r="G117" s="13">
        <f t="shared" ref="G117:P117" si="123">SUM(G112:G116)</f>
        <v>0</v>
      </c>
      <c r="H117" s="13">
        <f t="shared" si="123"/>
        <v>0</v>
      </c>
      <c r="I117" s="13">
        <f t="shared" si="123"/>
        <v>0</v>
      </c>
      <c r="J117" s="13">
        <f t="shared" si="123"/>
        <v>0</v>
      </c>
      <c r="K117" s="13">
        <f t="shared" si="123"/>
        <v>0</v>
      </c>
      <c r="L117" s="13">
        <f t="shared" si="123"/>
        <v>0</v>
      </c>
      <c r="M117" s="13">
        <f t="shared" si="123"/>
        <v>0</v>
      </c>
      <c r="N117" s="13">
        <f t="shared" si="123"/>
        <v>0</v>
      </c>
      <c r="O117" s="13">
        <f t="shared" si="123"/>
        <v>0</v>
      </c>
      <c r="P117" s="13">
        <f t="shared" si="123"/>
        <v>0</v>
      </c>
      <c r="R117" s="13">
        <f t="shared" ref="R117:X117" si="124">SUM(R112:R116)</f>
        <v>0</v>
      </c>
      <c r="S117" s="13">
        <f t="shared" si="124"/>
        <v>0</v>
      </c>
      <c r="T117" s="13">
        <f t="shared" si="124"/>
        <v>0</v>
      </c>
      <c r="U117" s="13">
        <f t="shared" si="124"/>
        <v>0</v>
      </c>
      <c r="V117" s="13">
        <f t="shared" si="124"/>
        <v>0</v>
      </c>
      <c r="W117" s="13">
        <f t="shared" si="124"/>
        <v>0</v>
      </c>
      <c r="X117" s="13">
        <f t="shared" si="124"/>
        <v>0</v>
      </c>
      <c r="Y117" s="39"/>
      <c r="Z117" s="69" t="e">
        <f>SUM(X117/T117)-1</f>
        <v>#DIV/0!</v>
      </c>
    </row>
    <row r="118" spans="2:26" ht="5.0999999999999996" customHeight="1">
      <c r="B118" s="48"/>
      <c r="C118" s="57"/>
      <c r="D118" s="57"/>
      <c r="E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R118" s="39"/>
      <c r="S118" s="39"/>
      <c r="T118" s="39"/>
      <c r="U118" s="39"/>
      <c r="V118" s="39"/>
      <c r="W118" s="39"/>
      <c r="X118" s="39"/>
      <c r="Y118" s="39"/>
      <c r="Z118" s="36"/>
    </row>
    <row r="119" spans="2:26" ht="12.75" customHeight="1">
      <c r="B119" s="112" t="s">
        <v>59</v>
      </c>
      <c r="C119" s="58"/>
      <c r="D119" s="58"/>
      <c r="E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30"/>
      <c r="R119" s="30"/>
      <c r="S119" s="30"/>
      <c r="T119" s="30"/>
      <c r="U119" s="30"/>
      <c r="V119" s="30"/>
      <c r="W119" s="30"/>
      <c r="X119" s="30"/>
      <c r="Y119" s="59"/>
      <c r="Z119" s="36"/>
    </row>
    <row r="120" spans="2:26" ht="12.75" customHeight="1">
      <c r="B120" s="77" t="s">
        <v>111</v>
      </c>
      <c r="C120" s="76"/>
      <c r="D120" s="76"/>
      <c r="E120" s="76"/>
      <c r="G120" s="76"/>
      <c r="H120" s="76"/>
      <c r="I120" s="76"/>
      <c r="J120" s="30">
        <f>SUM(D120-SUM(G120:I120))</f>
        <v>0</v>
      </c>
      <c r="K120" s="76"/>
      <c r="L120" s="76"/>
      <c r="M120" s="76"/>
      <c r="N120" s="30">
        <f>SUM(E120-SUM(K120:M120))</f>
        <v>0</v>
      </c>
      <c r="O120" s="76"/>
      <c r="P120" s="76"/>
      <c r="Q120" s="30"/>
      <c r="R120" s="30">
        <f>SUM(H120:K120)</f>
        <v>0</v>
      </c>
      <c r="S120" s="30">
        <f>SUM(I120:L120)</f>
        <v>0</v>
      </c>
      <c r="T120" s="30">
        <f>SUM(J120:M120)</f>
        <v>0</v>
      </c>
      <c r="U120" s="30">
        <f>SUM(K120:N120)</f>
        <v>0</v>
      </c>
      <c r="V120" s="30">
        <f>SUM(L120:O120)</f>
        <v>0</v>
      </c>
      <c r="W120" s="30">
        <f>SUM(M120:P120)</f>
        <v>0</v>
      </c>
      <c r="X120" s="30">
        <f>SUM(N120:P120)</f>
        <v>0</v>
      </c>
      <c r="Y120" s="59"/>
      <c r="Z120" s="68" t="e">
        <f>SUM(X120/T120)-1</f>
        <v>#DIV/0!</v>
      </c>
    </row>
    <row r="121" spans="2:26" ht="12.75" customHeight="1">
      <c r="B121" s="56" t="s">
        <v>112</v>
      </c>
      <c r="C121" s="76"/>
      <c r="D121" s="76"/>
      <c r="E121" s="76"/>
      <c r="F121" s="30"/>
      <c r="G121" s="76"/>
      <c r="H121" s="76"/>
      <c r="I121" s="76"/>
      <c r="J121" s="30">
        <f>SUM(D121-SUM(G121:I121))</f>
        <v>0</v>
      </c>
      <c r="K121" s="76"/>
      <c r="L121" s="76"/>
      <c r="M121" s="76"/>
      <c r="N121" s="30">
        <f>SUM(E121-SUM(K121:M121))</f>
        <v>0</v>
      </c>
      <c r="O121" s="76"/>
      <c r="P121" s="76"/>
      <c r="Q121" s="30"/>
      <c r="R121" s="30">
        <f>SUM(H121:K121)</f>
        <v>0</v>
      </c>
      <c r="S121" s="30">
        <f>SUM(I121:L121)</f>
        <v>0</v>
      </c>
      <c r="T121" s="30">
        <f>SUM(J121:M121)</f>
        <v>0</v>
      </c>
      <c r="U121" s="30">
        <f>SUM(K121:N121)</f>
        <v>0</v>
      </c>
      <c r="V121" s="30">
        <f>SUM(L121:O121)</f>
        <v>0</v>
      </c>
      <c r="W121" s="30">
        <f>SUM(M121:P121)</f>
        <v>0</v>
      </c>
      <c r="X121" s="30">
        <f>SUM(N121:P121)</f>
        <v>0</v>
      </c>
      <c r="Y121" s="55"/>
      <c r="Z121" s="68" t="e">
        <f>SUM(X121/T121)-1</f>
        <v>#DIV/0!</v>
      </c>
    </row>
    <row r="122" spans="2:26" ht="12.75" customHeight="1">
      <c r="B122" s="56" t="s">
        <v>112</v>
      </c>
      <c r="C122" s="76"/>
      <c r="D122" s="76"/>
      <c r="E122" s="76"/>
      <c r="F122" s="30"/>
      <c r="G122" s="76"/>
      <c r="H122" s="76"/>
      <c r="I122" s="76"/>
      <c r="J122" s="30">
        <f>SUM(D122-SUM(G122:I122))</f>
        <v>0</v>
      </c>
      <c r="K122" s="76"/>
      <c r="L122" s="76"/>
      <c r="M122" s="76"/>
      <c r="N122" s="30">
        <f>SUM(E122-SUM(K122:M122))</f>
        <v>0</v>
      </c>
      <c r="O122" s="76"/>
      <c r="P122" s="76"/>
      <c r="Q122" s="30"/>
      <c r="R122" s="30">
        <f>SUM(H122:K122)</f>
        <v>0</v>
      </c>
      <c r="S122" s="30">
        <f>SUM(I122:L122)</f>
        <v>0</v>
      </c>
      <c r="T122" s="30">
        <f>SUM(J122:M122)</f>
        <v>0</v>
      </c>
      <c r="U122" s="30">
        <f>SUM(K122:N122)</f>
        <v>0</v>
      </c>
      <c r="V122" s="30">
        <f>SUM(L122:O122)</f>
        <v>0</v>
      </c>
      <c r="W122" s="30">
        <f>SUM(M122:P122)</f>
        <v>0</v>
      </c>
      <c r="X122" s="30">
        <f>SUM(N122:P122)</f>
        <v>0</v>
      </c>
      <c r="Y122" s="55"/>
      <c r="Z122" s="68" t="e">
        <f>SUM(X122/T122)-1</f>
        <v>#DIV/0!</v>
      </c>
    </row>
    <row r="123" spans="2:26" ht="12.75" customHeight="1">
      <c r="B123" s="56" t="s">
        <v>112</v>
      </c>
      <c r="C123" s="76"/>
      <c r="D123" s="76"/>
      <c r="E123" s="76"/>
      <c r="F123" s="30"/>
      <c r="G123" s="76"/>
      <c r="H123" s="76"/>
      <c r="I123" s="76"/>
      <c r="J123" s="30">
        <f>SUM(D123-SUM(G123:I123))</f>
        <v>0</v>
      </c>
      <c r="K123" s="76"/>
      <c r="L123" s="76"/>
      <c r="M123" s="76"/>
      <c r="N123" s="30">
        <f>SUM(E123-SUM(K123:M123))</f>
        <v>0</v>
      </c>
      <c r="O123" s="76"/>
      <c r="P123" s="76"/>
      <c r="Q123" s="30"/>
      <c r="R123" s="30">
        <f>SUM(H123:K123)</f>
        <v>0</v>
      </c>
      <c r="S123" s="30">
        <f>SUM(I123:L123)</f>
        <v>0</v>
      </c>
      <c r="T123" s="30">
        <f>SUM(J123:M123)</f>
        <v>0</v>
      </c>
      <c r="U123" s="30">
        <f>SUM(K123:N123)</f>
        <v>0</v>
      </c>
      <c r="V123" s="30">
        <f>SUM(L123:O123)</f>
        <v>0</v>
      </c>
      <c r="W123" s="30">
        <f>SUM(M123:P123)</f>
        <v>0</v>
      </c>
      <c r="X123" s="30">
        <f>SUM(N123:P123)</f>
        <v>0</v>
      </c>
      <c r="Y123" s="55"/>
      <c r="Z123" s="68" t="e">
        <f>SUM(X123/T123)-1</f>
        <v>#DIV/0!</v>
      </c>
    </row>
    <row r="124" spans="2:26" ht="12.75" customHeight="1">
      <c r="B124" s="56" t="s">
        <v>112</v>
      </c>
      <c r="C124" s="76"/>
      <c r="D124" s="76"/>
      <c r="E124" s="76"/>
      <c r="F124" s="30"/>
      <c r="G124" s="76"/>
      <c r="H124" s="76"/>
      <c r="I124" s="76"/>
      <c r="J124" s="30">
        <f>SUM(D124-SUM(G124:I124))</f>
        <v>0</v>
      </c>
      <c r="K124" s="76"/>
      <c r="L124" s="76"/>
      <c r="M124" s="76"/>
      <c r="N124" s="30">
        <f>SUM(E124-SUM(K124:M124))</f>
        <v>0</v>
      </c>
      <c r="O124" s="76"/>
      <c r="P124" s="76"/>
      <c r="Q124" s="30"/>
      <c r="R124" s="30">
        <f>SUM(H124:K124)</f>
        <v>0</v>
      </c>
      <c r="S124" s="30">
        <f>SUM(I124:L124)</f>
        <v>0</v>
      </c>
      <c r="T124" s="30">
        <f>SUM(J124:M124)</f>
        <v>0</v>
      </c>
      <c r="U124" s="30">
        <f>SUM(K124:N124)</f>
        <v>0</v>
      </c>
      <c r="V124" s="30">
        <f>SUM(L124:O124)</f>
        <v>0</v>
      </c>
      <c r="W124" s="30">
        <f>SUM(M124:P124)</f>
        <v>0</v>
      </c>
      <c r="X124" s="30">
        <f>SUM(N124:P124)</f>
        <v>0</v>
      </c>
      <c r="Y124" s="55"/>
      <c r="Z124" s="68" t="e">
        <f>SUM(X124/T124)-1</f>
        <v>#DIV/0!</v>
      </c>
    </row>
    <row r="125" spans="2:26" ht="12.75" customHeight="1">
      <c r="B125" s="56" t="s">
        <v>112</v>
      </c>
      <c r="C125" s="76"/>
      <c r="D125" s="76"/>
      <c r="E125" s="76"/>
      <c r="F125" s="30"/>
      <c r="G125" s="76"/>
      <c r="H125" s="76"/>
      <c r="I125" s="76"/>
      <c r="J125" s="30">
        <f>SUM(D125-SUM(G125:I125))</f>
        <v>0</v>
      </c>
      <c r="K125" s="76"/>
      <c r="L125" s="76"/>
      <c r="M125" s="76"/>
      <c r="N125" s="30">
        <f>SUM(E125-SUM(K125:M125))</f>
        <v>0</v>
      </c>
      <c r="O125" s="76"/>
      <c r="P125" s="76"/>
      <c r="Q125" s="30"/>
      <c r="R125" s="30">
        <f>SUM(H125:K125)</f>
        <v>0</v>
      </c>
      <c r="S125" s="30">
        <f>SUM(I125:L125)</f>
        <v>0</v>
      </c>
      <c r="T125" s="30">
        <f>SUM(J125:M125)</f>
        <v>0</v>
      </c>
      <c r="U125" s="30">
        <f>SUM(K125:N125)</f>
        <v>0</v>
      </c>
      <c r="V125" s="30">
        <f>SUM(L125:O125)</f>
        <v>0</v>
      </c>
      <c r="W125" s="30">
        <f>SUM(M125:P125)</f>
        <v>0</v>
      </c>
      <c r="X125" s="30">
        <f>SUM(N125:P125)</f>
        <v>0</v>
      </c>
      <c r="Y125" s="55"/>
      <c r="Z125" s="68" t="e">
        <f>SUM(X125/T125)-1</f>
        <v>#DIV/0!</v>
      </c>
    </row>
    <row r="126" spans="2:26" ht="12.75" customHeight="1">
      <c r="B126" s="12" t="s">
        <v>60</v>
      </c>
      <c r="C126" s="13">
        <f t="shared" ref="C126:E126" si="125">SUM(C120:C125)</f>
        <v>0</v>
      </c>
      <c r="D126" s="13">
        <f t="shared" si="125"/>
        <v>0</v>
      </c>
      <c r="E126" s="13">
        <f t="shared" si="125"/>
        <v>0</v>
      </c>
      <c r="G126" s="13">
        <f t="shared" ref="G126:P126" si="126">SUM(G120:G125)</f>
        <v>0</v>
      </c>
      <c r="H126" s="13">
        <f t="shared" si="126"/>
        <v>0</v>
      </c>
      <c r="I126" s="13">
        <f t="shared" si="126"/>
        <v>0</v>
      </c>
      <c r="J126" s="13">
        <f t="shared" si="126"/>
        <v>0</v>
      </c>
      <c r="K126" s="13">
        <f t="shared" si="126"/>
        <v>0</v>
      </c>
      <c r="L126" s="13">
        <f t="shared" si="126"/>
        <v>0</v>
      </c>
      <c r="M126" s="13">
        <f t="shared" si="126"/>
        <v>0</v>
      </c>
      <c r="N126" s="13">
        <f t="shared" si="126"/>
        <v>0</v>
      </c>
      <c r="O126" s="13">
        <f t="shared" si="126"/>
        <v>0</v>
      </c>
      <c r="P126" s="13">
        <f t="shared" si="126"/>
        <v>0</v>
      </c>
      <c r="R126" s="13">
        <f t="shared" ref="R126:X126" si="127">SUM(R120:R125)</f>
        <v>0</v>
      </c>
      <c r="S126" s="13">
        <f t="shared" si="127"/>
        <v>0</v>
      </c>
      <c r="T126" s="13">
        <f t="shared" si="127"/>
        <v>0</v>
      </c>
      <c r="U126" s="13">
        <f t="shared" si="127"/>
        <v>0</v>
      </c>
      <c r="V126" s="13">
        <f t="shared" si="127"/>
        <v>0</v>
      </c>
      <c r="W126" s="13">
        <f t="shared" si="127"/>
        <v>0</v>
      </c>
      <c r="X126" s="13">
        <f t="shared" si="127"/>
        <v>0</v>
      </c>
      <c r="Y126" s="39"/>
      <c r="Z126" s="69" t="e">
        <f>SUM(X126/T126)-1</f>
        <v>#DIV/0!</v>
      </c>
    </row>
    <row r="127" spans="2:26" ht="5.0999999999999996" customHeight="1">
      <c r="B127" s="8"/>
      <c r="C127" s="60"/>
      <c r="D127" s="60"/>
      <c r="E127" s="60"/>
      <c r="F127" s="3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R127" s="11"/>
      <c r="S127" s="11"/>
      <c r="T127" s="11"/>
      <c r="U127" s="11"/>
      <c r="V127" s="11"/>
      <c r="W127" s="11"/>
      <c r="X127" s="11"/>
      <c r="Y127" s="11"/>
      <c r="Z127" s="42"/>
    </row>
    <row r="128" spans="2:26" ht="5.0999999999999996" customHeight="1">
      <c r="B128" s="65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11"/>
      <c r="Z128" s="42"/>
    </row>
    <row r="129" spans="2:26">
      <c r="B129" s="143" t="s">
        <v>96</v>
      </c>
      <c r="C129" s="149"/>
      <c r="D129" s="149">
        <f>C136</f>
        <v>855</v>
      </c>
      <c r="E129" s="149">
        <f t="shared" ref="E129" si="128">D136</f>
        <v>2404</v>
      </c>
      <c r="F129" s="149"/>
      <c r="G129" s="149">
        <f>D129</f>
        <v>855</v>
      </c>
      <c r="H129" s="149">
        <f t="shared" ref="H129:P129" si="129">G136</f>
        <v>132.60000000000002</v>
      </c>
      <c r="I129" s="149">
        <f t="shared" si="129"/>
        <v>-667.69999999999993</v>
      </c>
      <c r="J129" s="149">
        <f t="shared" si="129"/>
        <v>-1435.1</v>
      </c>
      <c r="K129" s="149">
        <f t="shared" si="129"/>
        <v>2403.0000000000005</v>
      </c>
      <c r="L129" s="149">
        <f t="shared" si="129"/>
        <v>1709.8000000000004</v>
      </c>
      <c r="M129" s="149">
        <f t="shared" si="129"/>
        <v>968.60000000000036</v>
      </c>
      <c r="N129" s="149">
        <f t="shared" si="129"/>
        <v>296.20000000000027</v>
      </c>
      <c r="O129" s="149">
        <f t="shared" si="129"/>
        <v>4218</v>
      </c>
      <c r="P129" s="149">
        <f t="shared" si="129"/>
        <v>3524.2</v>
      </c>
      <c r="Q129" s="149"/>
      <c r="R129" s="149" t="e">
        <f>#REF!</f>
        <v>#REF!</v>
      </c>
      <c r="S129" s="149" t="e">
        <f t="shared" ref="S129:X129" si="130">R136</f>
        <v>#REF!</v>
      </c>
      <c r="T129" s="149" t="e">
        <f t="shared" si="130"/>
        <v>#REF!</v>
      </c>
      <c r="U129" s="149" t="e">
        <f t="shared" si="130"/>
        <v>#REF!</v>
      </c>
      <c r="V129" s="149" t="e">
        <f t="shared" si="130"/>
        <v>#REF!</v>
      </c>
      <c r="W129" s="149" t="e">
        <f t="shared" si="130"/>
        <v>#REF!</v>
      </c>
      <c r="X129" s="150" t="e">
        <f t="shared" si="130"/>
        <v>#REF!</v>
      </c>
      <c r="Y129" s="11"/>
      <c r="Z129" s="42"/>
    </row>
    <row r="130" spans="2:26">
      <c r="B130" s="144" t="s">
        <v>93</v>
      </c>
      <c r="C130" s="30"/>
      <c r="D130" s="30">
        <f>-C134</f>
        <v>0</v>
      </c>
      <c r="E130" s="30">
        <f t="shared" ref="E130" si="131">-D134</f>
        <v>0</v>
      </c>
      <c r="F130" s="30"/>
      <c r="G130" s="30">
        <f>D130</f>
        <v>0</v>
      </c>
      <c r="H130" s="30">
        <f>-G134</f>
        <v>0</v>
      </c>
      <c r="I130" s="30">
        <f t="shared" ref="I130:P130" si="132">-H134</f>
        <v>0</v>
      </c>
      <c r="J130" s="30">
        <f t="shared" si="132"/>
        <v>0</v>
      </c>
      <c r="K130" s="30">
        <f t="shared" si="132"/>
        <v>0</v>
      </c>
      <c r="L130" s="30">
        <f t="shared" si="132"/>
        <v>0</v>
      </c>
      <c r="M130" s="30">
        <f t="shared" si="132"/>
        <v>0</v>
      </c>
      <c r="N130" s="30">
        <f t="shared" si="132"/>
        <v>0</v>
      </c>
      <c r="O130" s="30">
        <f t="shared" si="132"/>
        <v>0</v>
      </c>
      <c r="P130" s="30">
        <f t="shared" si="132"/>
        <v>0</v>
      </c>
      <c r="Q130" s="30"/>
      <c r="R130" s="30" t="e">
        <f>-#REF!</f>
        <v>#REF!</v>
      </c>
      <c r="S130" s="30">
        <f t="shared" ref="S130:X130" si="133">-R134</f>
        <v>0</v>
      </c>
      <c r="T130" s="30">
        <f t="shared" si="133"/>
        <v>0</v>
      </c>
      <c r="U130" s="30">
        <f t="shared" si="133"/>
        <v>0</v>
      </c>
      <c r="V130" s="30">
        <f t="shared" si="133"/>
        <v>0</v>
      </c>
      <c r="W130" s="30">
        <f t="shared" si="133"/>
        <v>0</v>
      </c>
      <c r="X130" s="139">
        <f t="shared" si="133"/>
        <v>0</v>
      </c>
      <c r="Y130" s="11"/>
      <c r="Z130" s="42"/>
    </row>
    <row r="131" spans="2:26">
      <c r="B131" s="145" t="s">
        <v>74</v>
      </c>
      <c r="C131" s="113">
        <f t="shared" ref="C131:E131" si="134">SUM(C129:C130)</f>
        <v>0</v>
      </c>
      <c r="D131" s="113">
        <f t="shared" si="134"/>
        <v>855</v>
      </c>
      <c r="E131" s="113">
        <f t="shared" si="134"/>
        <v>2404</v>
      </c>
      <c r="F131" s="30"/>
      <c r="G131" s="113">
        <f t="shared" ref="G131:P131" si="135">SUM(G129:G130)</f>
        <v>855</v>
      </c>
      <c r="H131" s="113">
        <f t="shared" si="135"/>
        <v>132.60000000000002</v>
      </c>
      <c r="I131" s="113">
        <f t="shared" si="135"/>
        <v>-667.69999999999993</v>
      </c>
      <c r="J131" s="113">
        <f t="shared" si="135"/>
        <v>-1435.1</v>
      </c>
      <c r="K131" s="113">
        <f t="shared" si="135"/>
        <v>2403.0000000000005</v>
      </c>
      <c r="L131" s="113">
        <f t="shared" si="135"/>
        <v>1709.8000000000004</v>
      </c>
      <c r="M131" s="113">
        <f t="shared" si="135"/>
        <v>968.60000000000036</v>
      </c>
      <c r="N131" s="113">
        <f t="shared" si="135"/>
        <v>296.20000000000027</v>
      </c>
      <c r="O131" s="113">
        <f t="shared" si="135"/>
        <v>4218</v>
      </c>
      <c r="P131" s="113">
        <f t="shared" si="135"/>
        <v>3524.2</v>
      </c>
      <c r="Q131" s="30"/>
      <c r="R131" s="113" t="e">
        <f t="shared" ref="R131:S131" si="136">SUM(R129:R130)</f>
        <v>#REF!</v>
      </c>
      <c r="S131" s="113" t="e">
        <f t="shared" si="136"/>
        <v>#REF!</v>
      </c>
      <c r="T131" s="113" t="e">
        <f t="shared" ref="T131" si="137">SUM(T129:T130)</f>
        <v>#REF!</v>
      </c>
      <c r="U131" s="113" t="e">
        <f t="shared" ref="U131" si="138">SUM(U129:U130)</f>
        <v>#REF!</v>
      </c>
      <c r="V131" s="113" t="e">
        <f t="shared" ref="V131" si="139">SUM(V129:V130)</f>
        <v>#REF!</v>
      </c>
      <c r="W131" s="113" t="e">
        <f t="shared" ref="W131" si="140">SUM(W129:W130)</f>
        <v>#REF!</v>
      </c>
      <c r="X131" s="140" t="e">
        <f t="shared" ref="X131" si="141">SUM(X129:X130)</f>
        <v>#REF!</v>
      </c>
      <c r="Y131" s="11"/>
      <c r="Z131" s="42"/>
    </row>
    <row r="132" spans="2:26" ht="5.0999999999999996" customHeight="1">
      <c r="B132" s="146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139"/>
      <c r="Y132" s="11"/>
      <c r="Z132" s="42"/>
    </row>
    <row r="133" spans="2:26">
      <c r="B133" s="144" t="s">
        <v>94</v>
      </c>
      <c r="C133" s="76"/>
      <c r="D133" s="76"/>
      <c r="E133" s="76"/>
      <c r="F133" s="30"/>
      <c r="G133" s="76"/>
      <c r="H133" s="76"/>
      <c r="I133" s="76"/>
      <c r="J133" s="30">
        <f>SUM(D133-SUM(G133:I133))</f>
        <v>0</v>
      </c>
      <c r="K133" s="76"/>
      <c r="L133" s="76"/>
      <c r="M133" s="76"/>
      <c r="N133" s="30">
        <f>SUM(E133-SUM(K133:M133))</f>
        <v>0</v>
      </c>
      <c r="O133" s="76"/>
      <c r="P133" s="76"/>
      <c r="Q133" s="30"/>
      <c r="R133" s="30">
        <f>K133</f>
        <v>0</v>
      </c>
      <c r="S133" s="30">
        <f>L133</f>
        <v>0</v>
      </c>
      <c r="T133" s="30">
        <f>M133</f>
        <v>0</v>
      </c>
      <c r="U133" s="30">
        <f>N133</f>
        <v>0</v>
      </c>
      <c r="V133" s="30">
        <f>O133</f>
        <v>0</v>
      </c>
      <c r="W133" s="30">
        <f>P133</f>
        <v>0</v>
      </c>
      <c r="X133" s="139" t="e">
        <f>#REF!</f>
        <v>#REF!</v>
      </c>
      <c r="Y133" s="11"/>
      <c r="Z133" s="42"/>
    </row>
    <row r="134" spans="2:26">
      <c r="B134" s="144" t="s">
        <v>95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>
        <f>K134</f>
        <v>0</v>
      </c>
      <c r="S134" s="30">
        <f>L134</f>
        <v>0</v>
      </c>
      <c r="T134" s="30">
        <f>M134</f>
        <v>0</v>
      </c>
      <c r="U134" s="30">
        <f>N134</f>
        <v>0</v>
      </c>
      <c r="V134" s="30">
        <f>O134</f>
        <v>0</v>
      </c>
      <c r="W134" s="30">
        <f>P134</f>
        <v>0</v>
      </c>
      <c r="X134" s="139" t="e">
        <f>#REF!</f>
        <v>#REF!</v>
      </c>
      <c r="Y134" s="11"/>
      <c r="Z134" s="42"/>
    </row>
    <row r="135" spans="2:26">
      <c r="B135" s="144" t="s">
        <v>64</v>
      </c>
      <c r="C135" s="30">
        <f t="shared" ref="C135:E135" si="142">+C126+C117+C109</f>
        <v>855</v>
      </c>
      <c r="D135" s="30">
        <f t="shared" si="142"/>
        <v>1549</v>
      </c>
      <c r="E135" s="30">
        <f t="shared" si="142"/>
        <v>1815</v>
      </c>
      <c r="F135" s="30"/>
      <c r="G135" s="30">
        <f t="shared" ref="G135:P135" si="143">+G126+G117+G109</f>
        <v>-722.4</v>
      </c>
      <c r="H135" s="30">
        <f t="shared" si="143"/>
        <v>-800.3</v>
      </c>
      <c r="I135" s="30">
        <f t="shared" si="143"/>
        <v>-767.40000000000009</v>
      </c>
      <c r="J135" s="30">
        <f t="shared" si="143"/>
        <v>3838.1000000000004</v>
      </c>
      <c r="K135" s="30">
        <f t="shared" si="143"/>
        <v>-693.2</v>
      </c>
      <c r="L135" s="30">
        <f t="shared" si="143"/>
        <v>-741.2</v>
      </c>
      <c r="M135" s="30">
        <f t="shared" si="143"/>
        <v>-672.40000000000009</v>
      </c>
      <c r="N135" s="30">
        <f t="shared" si="143"/>
        <v>3921.8</v>
      </c>
      <c r="O135" s="30">
        <f t="shared" si="143"/>
        <v>-693.8</v>
      </c>
      <c r="P135" s="30">
        <f t="shared" si="143"/>
        <v>-808.09999999999991</v>
      </c>
      <c r="Q135" s="30"/>
      <c r="R135" s="30">
        <f>K135</f>
        <v>-693.2</v>
      </c>
      <c r="S135" s="30">
        <f>L135</f>
        <v>-741.2</v>
      </c>
      <c r="T135" s="30">
        <f>M135</f>
        <v>-672.40000000000009</v>
      </c>
      <c r="U135" s="30">
        <f>N135</f>
        <v>3921.8</v>
      </c>
      <c r="V135" s="30">
        <f>O135</f>
        <v>-693.8</v>
      </c>
      <c r="W135" s="30">
        <f>P135</f>
        <v>-808.09999999999991</v>
      </c>
      <c r="X135" s="139" t="e">
        <f>#REF!</f>
        <v>#REF!</v>
      </c>
      <c r="Y135" s="11"/>
      <c r="Z135" s="42"/>
    </row>
    <row r="136" spans="2:26">
      <c r="B136" s="145" t="s">
        <v>75</v>
      </c>
      <c r="C136" s="113">
        <f t="shared" ref="C136:E136" si="144">SUM(C131:C135)</f>
        <v>855</v>
      </c>
      <c r="D136" s="113">
        <f t="shared" si="144"/>
        <v>2404</v>
      </c>
      <c r="E136" s="113">
        <f t="shared" si="144"/>
        <v>4219</v>
      </c>
      <c r="F136" s="30"/>
      <c r="G136" s="113">
        <f t="shared" ref="G136:P136" si="145">SUM(G131:G135)</f>
        <v>132.60000000000002</v>
      </c>
      <c r="H136" s="113">
        <f t="shared" si="145"/>
        <v>-667.69999999999993</v>
      </c>
      <c r="I136" s="113">
        <f t="shared" si="145"/>
        <v>-1435.1</v>
      </c>
      <c r="J136" s="113">
        <f t="shared" si="145"/>
        <v>2403.0000000000005</v>
      </c>
      <c r="K136" s="113">
        <f t="shared" si="145"/>
        <v>1709.8000000000004</v>
      </c>
      <c r="L136" s="113">
        <f t="shared" si="145"/>
        <v>968.60000000000036</v>
      </c>
      <c r="M136" s="113">
        <f t="shared" si="145"/>
        <v>296.20000000000027</v>
      </c>
      <c r="N136" s="113">
        <f t="shared" si="145"/>
        <v>4218</v>
      </c>
      <c r="O136" s="113">
        <f t="shared" si="145"/>
        <v>3524.2</v>
      </c>
      <c r="P136" s="113">
        <f t="shared" si="145"/>
        <v>2716.1</v>
      </c>
      <c r="Q136" s="30"/>
      <c r="R136" s="113" t="e">
        <f t="shared" ref="R136:X136" si="146">SUM(R131:R135)</f>
        <v>#REF!</v>
      </c>
      <c r="S136" s="113" t="e">
        <f t="shared" si="146"/>
        <v>#REF!</v>
      </c>
      <c r="T136" s="113" t="e">
        <f t="shared" si="146"/>
        <v>#REF!</v>
      </c>
      <c r="U136" s="113" t="e">
        <f t="shared" si="146"/>
        <v>#REF!</v>
      </c>
      <c r="V136" s="113" t="e">
        <f t="shared" si="146"/>
        <v>#REF!</v>
      </c>
      <c r="W136" s="113" t="e">
        <f t="shared" si="146"/>
        <v>#REF!</v>
      </c>
      <c r="X136" s="140" t="e">
        <f t="shared" si="146"/>
        <v>#REF!</v>
      </c>
      <c r="Y136" s="11"/>
      <c r="Z136" s="42"/>
    </row>
    <row r="137" spans="2:26" ht="5.0999999999999996" customHeight="1">
      <c r="B137" s="147"/>
      <c r="C137" s="60"/>
      <c r="D137" s="60"/>
      <c r="E137" s="60"/>
      <c r="F137" s="3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R137" s="11"/>
      <c r="S137" s="11"/>
      <c r="T137" s="11"/>
      <c r="U137" s="11"/>
      <c r="V137" s="11"/>
      <c r="W137" s="11"/>
      <c r="X137" s="141"/>
      <c r="Y137" s="11"/>
      <c r="Z137" s="42"/>
    </row>
    <row r="138" spans="2:26">
      <c r="B138" s="148" t="s">
        <v>63</v>
      </c>
      <c r="C138" s="137">
        <f>C136-C41</f>
        <v>-300</v>
      </c>
      <c r="D138" s="137">
        <f>D136-D41</f>
        <v>160</v>
      </c>
      <c r="E138" s="137">
        <f>E136-E41</f>
        <v>2235</v>
      </c>
      <c r="F138" s="138"/>
      <c r="G138" s="137">
        <f>G136-G41</f>
        <v>-818.4</v>
      </c>
      <c r="H138" s="137">
        <f>H136-H41</f>
        <v>-1775.6999999999998</v>
      </c>
      <c r="I138" s="137">
        <f>I136-I41</f>
        <v>-2526.1</v>
      </c>
      <c r="J138" s="137">
        <f>J136-J41</f>
        <v>159.00000000000045</v>
      </c>
      <c r="K138" s="137">
        <f>K136-K41</f>
        <v>-191.19999999999959</v>
      </c>
      <c r="L138" s="137">
        <f>L136-L41</f>
        <v>-641.39999999999964</v>
      </c>
      <c r="M138" s="137">
        <f>M136-M41</f>
        <v>-891.79999999999973</v>
      </c>
      <c r="N138" s="137">
        <f>N136-N41</f>
        <v>2234</v>
      </c>
      <c r="O138" s="137">
        <f>O136-O41</f>
        <v>2199.1999999999998</v>
      </c>
      <c r="P138" s="137">
        <f>P136-P41</f>
        <v>1560.1</v>
      </c>
      <c r="Q138" s="137"/>
      <c r="R138" s="137" t="e">
        <f>R136-R41</f>
        <v>#REF!</v>
      </c>
      <c r="S138" s="137" t="e">
        <f>S136-S41</f>
        <v>#REF!</v>
      </c>
      <c r="T138" s="137" t="e">
        <f>T136-T41</f>
        <v>#REF!</v>
      </c>
      <c r="U138" s="137" t="e">
        <f>U136-U41</f>
        <v>#REF!</v>
      </c>
      <c r="V138" s="137" t="e">
        <f>V136-V41</f>
        <v>#REF!</v>
      </c>
      <c r="W138" s="137" t="e">
        <f>W136-W41</f>
        <v>#REF!</v>
      </c>
      <c r="X138" s="142" t="e">
        <f>X136-X41</f>
        <v>#REF!</v>
      </c>
      <c r="Y138" s="11"/>
      <c r="Z138" s="42"/>
    </row>
    <row r="139" spans="2:26" ht="5.0999999999999996" customHeight="1">
      <c r="B139" s="8"/>
      <c r="C139" s="60"/>
      <c r="D139" s="60"/>
      <c r="E139" s="60"/>
      <c r="F139" s="3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R139" s="11"/>
      <c r="S139" s="11"/>
      <c r="T139" s="11"/>
      <c r="U139" s="11"/>
      <c r="V139" s="11"/>
      <c r="W139" s="11"/>
      <c r="X139" s="11"/>
      <c r="Y139" s="11"/>
      <c r="Z139" s="42"/>
    </row>
    <row r="140" spans="2:26">
      <c r="B140" s="112" t="s">
        <v>87</v>
      </c>
      <c r="C140" s="60"/>
      <c r="D140" s="60"/>
      <c r="E140" s="60"/>
      <c r="F140" s="3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R140" s="11"/>
      <c r="S140" s="11"/>
      <c r="T140" s="11"/>
      <c r="U140" s="11"/>
      <c r="V140" s="11"/>
      <c r="W140" s="11"/>
      <c r="X140" s="11"/>
      <c r="Y140" s="11"/>
      <c r="Z140" s="42"/>
    </row>
    <row r="141" spans="2:26">
      <c r="B141" s="77" t="s">
        <v>92</v>
      </c>
      <c r="C141" s="60"/>
      <c r="D141" s="60"/>
      <c r="E141" s="60"/>
      <c r="F141" s="30"/>
      <c r="G141" s="76"/>
      <c r="H141" s="30"/>
      <c r="I141" s="30"/>
      <c r="J141" s="30">
        <f>SUM(D141-SUM(G141:I141))</f>
        <v>0</v>
      </c>
      <c r="K141" s="76"/>
      <c r="L141" s="30"/>
      <c r="M141" s="30"/>
      <c r="N141" s="30">
        <f>SUM(E141-SUM(K141:M141))</f>
        <v>0</v>
      </c>
      <c r="O141" s="76"/>
      <c r="P141" s="30"/>
      <c r="R141" s="30">
        <f>SUM(H141:K141)</f>
        <v>0</v>
      </c>
      <c r="S141" s="30">
        <f>SUM(I141:L141)</f>
        <v>0</v>
      </c>
      <c r="T141" s="30">
        <f>SUM(J141:M141)</f>
        <v>0</v>
      </c>
      <c r="U141" s="30">
        <f>SUM(K141:N141)</f>
        <v>0</v>
      </c>
      <c r="V141" s="30">
        <f>SUM(L141:O141)</f>
        <v>0</v>
      </c>
      <c r="W141" s="30">
        <f>SUM(M141:P141)</f>
        <v>0</v>
      </c>
      <c r="X141" s="30">
        <f>SUM(N141:P141)</f>
        <v>0</v>
      </c>
      <c r="Y141" s="11"/>
      <c r="Z141" s="42"/>
    </row>
    <row r="142" spans="2:26">
      <c r="B142" s="77" t="s">
        <v>91</v>
      </c>
      <c r="C142" s="60"/>
      <c r="D142" s="60"/>
      <c r="E142" s="60"/>
      <c r="F142" s="30"/>
      <c r="G142" s="76"/>
      <c r="H142" s="30"/>
      <c r="I142" s="30"/>
      <c r="J142" s="30">
        <f>SUM(D142-SUM(G142:I142))</f>
        <v>0</v>
      </c>
      <c r="K142" s="76"/>
      <c r="L142" s="30"/>
      <c r="M142" s="30"/>
      <c r="N142" s="30">
        <f>SUM(E142-SUM(K142:M142))</f>
        <v>0</v>
      </c>
      <c r="O142" s="76"/>
      <c r="P142" s="30"/>
      <c r="R142" s="30">
        <f>SUM(H142:K142)</f>
        <v>0</v>
      </c>
      <c r="S142" s="30">
        <f>SUM(I142:L142)</f>
        <v>0</v>
      </c>
      <c r="T142" s="30">
        <f>SUM(J142:M142)</f>
        <v>0</v>
      </c>
      <c r="U142" s="30">
        <f>SUM(K142:N142)</f>
        <v>0</v>
      </c>
      <c r="V142" s="30">
        <f>SUM(L142:O142)</f>
        <v>0</v>
      </c>
      <c r="W142" s="30">
        <f>SUM(M142:P142)</f>
        <v>0</v>
      </c>
      <c r="X142" s="30">
        <f>SUM(N142:P142)</f>
        <v>0</v>
      </c>
      <c r="Y142" s="11"/>
      <c r="Z142" s="42"/>
    </row>
    <row r="143" spans="2:26" ht="5.0999999999999996" customHeight="1" thickBot="1">
      <c r="B143" s="66"/>
      <c r="C143" s="67"/>
      <c r="D143" s="67"/>
      <c r="E143" s="67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Z143" s="42"/>
    </row>
    <row r="144" spans="2:26" ht="12.75" customHeight="1">
      <c r="C144" s="52"/>
      <c r="D144" s="52"/>
      <c r="E144" s="52"/>
    </row>
    <row r="145" spans="3:16" ht="12.75" customHeight="1">
      <c r="C145" s="52"/>
      <c r="D145" s="52"/>
      <c r="E145" s="52"/>
    </row>
    <row r="146" spans="3:16" ht="12.75" customHeight="1">
      <c r="C146" s="52"/>
      <c r="D146" s="52"/>
      <c r="E146" s="52"/>
    </row>
    <row r="147" spans="3:16" ht="12.75" customHeight="1">
      <c r="C147" s="52"/>
      <c r="D147" s="52"/>
      <c r="E147" s="52"/>
    </row>
    <row r="148" spans="3:16" ht="12.75" customHeight="1">
      <c r="C148" s="52"/>
      <c r="D148" s="52"/>
      <c r="E148" s="52"/>
      <c r="G148" s="79"/>
      <c r="H148" s="79"/>
      <c r="I148" s="79"/>
      <c r="J148" s="79"/>
      <c r="K148" s="79"/>
      <c r="L148" s="79"/>
      <c r="M148" s="79"/>
      <c r="N148" s="79"/>
      <c r="O148" s="79"/>
      <c r="P148" s="79"/>
    </row>
    <row r="149" spans="3:16" ht="12.75" customHeight="1">
      <c r="C149" s="52"/>
      <c r="D149" s="52"/>
      <c r="E149" s="52"/>
    </row>
    <row r="150" spans="3:16" ht="12.75" customHeight="1">
      <c r="C150" s="52"/>
      <c r="D150" s="52"/>
      <c r="E150" s="52"/>
      <c r="G150" s="79"/>
      <c r="H150" s="79"/>
      <c r="I150" s="79"/>
      <c r="J150" s="79"/>
      <c r="K150" s="79"/>
      <c r="L150" s="79"/>
      <c r="M150" s="79"/>
      <c r="N150" s="79"/>
      <c r="O150" s="79"/>
      <c r="P150" s="79"/>
    </row>
    <row r="151" spans="3:16">
      <c r="G151" s="79"/>
      <c r="H151" s="79"/>
      <c r="I151" s="79"/>
      <c r="J151" s="79"/>
      <c r="K151" s="79"/>
      <c r="L151" s="79"/>
      <c r="M151" s="79"/>
      <c r="N151" s="79"/>
      <c r="O151" s="79"/>
      <c r="P151" s="79"/>
    </row>
    <row r="152" spans="3:16">
      <c r="G152" s="79"/>
      <c r="H152" s="79"/>
      <c r="I152" s="79"/>
      <c r="J152" s="79"/>
      <c r="K152" s="79"/>
      <c r="L152" s="79"/>
      <c r="M152" s="79"/>
      <c r="N152" s="79"/>
      <c r="O152" s="79"/>
      <c r="P152" s="79"/>
    </row>
    <row r="154" spans="3:16">
      <c r="G154" s="79"/>
      <c r="H154" s="79"/>
      <c r="I154" s="79"/>
      <c r="J154" s="79"/>
      <c r="K154" s="79"/>
      <c r="L154" s="79"/>
      <c r="M154" s="79"/>
      <c r="N154" s="79"/>
      <c r="O154" s="79"/>
      <c r="P154" s="79"/>
    </row>
    <row r="155" spans="3:16">
      <c r="G155" s="79"/>
      <c r="H155" s="79"/>
      <c r="I155" s="79"/>
      <c r="J155" s="79"/>
      <c r="K155" s="79"/>
      <c r="L155" s="79"/>
      <c r="M155" s="79"/>
      <c r="N155" s="79"/>
      <c r="O155" s="79"/>
      <c r="P155" s="79"/>
    </row>
  </sheetData>
  <mergeCells count="3">
    <mergeCell ref="Z6:Z8"/>
    <mergeCell ref="Z36:Z38"/>
    <mergeCell ref="Z84:Z86"/>
  </mergeCells>
  <pageMargins left="0.7" right="0.7" top="0.75" bottom="0.75" header="0.3" footer="0.3"/>
  <ignoredErrors>
    <ignoredError sqref="X14:X16 F46 R13:X13" formulaRange="1"/>
    <ignoredError sqref="Z117:Z119 Z109:Z111" evalError="1"/>
    <ignoredError sqref="K90:O9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X34"/>
  <sheetViews>
    <sheetView showGridLines="0" zoomScaleNormal="100" workbookViewId="0">
      <selection activeCell="E27" sqref="E27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5" width="8.625" style="8" bestFit="1" customWidth="1"/>
    <col min="6" max="6" width="1.5" style="8" customWidth="1"/>
    <col min="7" max="8" width="8" style="8" customWidth="1" outlineLevel="1"/>
    <col min="9" max="10" width="8.75" style="8" customWidth="1" outlineLevel="1"/>
    <col min="11" max="11" width="8.5" style="8" customWidth="1" outlineLevel="1"/>
    <col min="12" max="12" width="8.25" style="8" customWidth="1" outlineLevel="1"/>
    <col min="13" max="13" width="8.5" style="8" bestFit="1" customWidth="1"/>
    <col min="14" max="16" width="9.125" style="8" bestFit="1" customWidth="1"/>
    <col min="17" max="17" width="1.5" style="8" customWidth="1"/>
    <col min="18" max="19" width="8.75" style="8" customWidth="1" outlineLevel="1"/>
    <col min="20" max="20" width="8.75" style="8" customWidth="1"/>
    <col min="21" max="23" width="8.75" style="8" customWidth="1" outlineLevel="1"/>
    <col min="24" max="24" width="8.75" style="8" customWidth="1"/>
    <col min="25" max="16384" width="9" style="8"/>
  </cols>
  <sheetData>
    <row r="2" spans="1:24" s="5" customFormat="1" ht="12.75" customHeight="1">
      <c r="B2" s="1" t="str">
        <f>'Historical Financials'!B2</f>
        <v>Lululemon Athletica Inc (NASDAQ: LULU)</v>
      </c>
      <c r="C2" s="2" t="s">
        <v>0</v>
      </c>
      <c r="D2" s="2"/>
      <c r="E2" s="2"/>
      <c r="F2" s="3"/>
      <c r="G2" s="2"/>
      <c r="H2" s="2"/>
      <c r="I2" s="2"/>
      <c r="J2" s="2"/>
      <c r="K2" s="2"/>
      <c r="L2" s="2"/>
      <c r="M2" s="2" t="s">
        <v>1</v>
      </c>
      <c r="N2" s="2"/>
      <c r="O2" s="2"/>
      <c r="P2" s="2"/>
      <c r="Q2" s="3"/>
      <c r="R2" s="2"/>
      <c r="S2" s="2"/>
      <c r="T2" s="2" t="s">
        <v>10</v>
      </c>
      <c r="U2" s="2"/>
      <c r="V2" s="2"/>
      <c r="W2" s="2"/>
      <c r="X2" s="2"/>
    </row>
    <row r="3" spans="1:24" s="5" customFormat="1" ht="12.75" customHeight="1">
      <c r="B3" s="6" t="s">
        <v>70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Financials'!G7</f>
        <v>1Q23</v>
      </c>
      <c r="H3" s="7" t="str">
        <f>'Historical Financials'!H7</f>
        <v>2Q23</v>
      </c>
      <c r="I3" s="7" t="str">
        <f>'Historical Financials'!I7</f>
        <v>3Q23</v>
      </c>
      <c r="J3" s="7" t="str">
        <f>'Historical Financials'!J7</f>
        <v>4Q23</v>
      </c>
      <c r="K3" s="7" t="str">
        <f>'Historical Financials'!K7</f>
        <v>1Q24</v>
      </c>
      <c r="L3" s="7" t="str">
        <f>'Historical Financials'!L7</f>
        <v>2Q24</v>
      </c>
      <c r="M3" s="7" t="str">
        <f>'Historical Financials'!M7</f>
        <v>3Q24</v>
      </c>
      <c r="N3" s="7" t="str">
        <f>'Historical Financials'!N7</f>
        <v>4Q24</v>
      </c>
      <c r="O3" s="7" t="str">
        <f>'Historical Financials'!O7</f>
        <v>1Q25</v>
      </c>
      <c r="P3" s="7" t="str">
        <f>'Historical Financials'!P7</f>
        <v>2Q25</v>
      </c>
      <c r="Q3" s="4"/>
      <c r="R3" s="4" t="str">
        <f>J3</f>
        <v>4Q23</v>
      </c>
      <c r="S3" s="4" t="str">
        <f>K3</f>
        <v>1Q24</v>
      </c>
      <c r="T3" s="4" t="str">
        <f>L3</f>
        <v>2Q24</v>
      </c>
      <c r="U3" s="4" t="str">
        <f>M3</f>
        <v>3Q24</v>
      </c>
      <c r="V3" s="4" t="str">
        <f>N3</f>
        <v>4Q24</v>
      </c>
      <c r="W3" s="4" t="str">
        <f>O3</f>
        <v>1Q25</v>
      </c>
      <c r="X3" s="4" t="str">
        <f>P3</f>
        <v>2Q25</v>
      </c>
    </row>
    <row r="4" spans="1:24" s="5" customFormat="1" ht="12.75" customHeight="1">
      <c r="B4" s="6" t="s">
        <v>98</v>
      </c>
      <c r="C4" s="3" t="str">
        <f>'Historical Financials'!C8</f>
        <v>XXX</v>
      </c>
      <c r="D4" s="3" t="str">
        <f>'Historical Financials'!D8</f>
        <v>XXX</v>
      </c>
      <c r="E4" s="3" t="str">
        <f>'Historical Financials'!E8</f>
        <v>XXX</v>
      </c>
      <c r="F4" s="3"/>
      <c r="G4" s="3" t="str">
        <f>'Historical Financials'!G8</f>
        <v>XXX</v>
      </c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 t="str">
        <f>'Historical Financials'!K8</f>
        <v>XXX</v>
      </c>
      <c r="L4" s="3" t="str">
        <f>'Historical Financials'!L8</f>
        <v>XXX</v>
      </c>
      <c r="M4" s="3" t="str">
        <f>'Historical Financials'!M8</f>
        <v>XXX</v>
      </c>
      <c r="N4" s="3" t="str">
        <f>'Historical Financials'!N8</f>
        <v>XXX</v>
      </c>
      <c r="O4" s="3" t="str">
        <f>'Historical Financials'!O8</f>
        <v>XXX</v>
      </c>
      <c r="P4" s="3" t="str">
        <f>'Historical Financials'!P8</f>
        <v>XXX</v>
      </c>
      <c r="Q4" s="3"/>
      <c r="R4" s="3" t="str">
        <f>J4</f>
        <v>XXX</v>
      </c>
      <c r="S4" s="3" t="str">
        <f>K4</f>
        <v>XXX</v>
      </c>
      <c r="T4" s="3" t="str">
        <f>L4</f>
        <v>XXX</v>
      </c>
      <c r="U4" s="3" t="str">
        <f>M4</f>
        <v>XXX</v>
      </c>
      <c r="V4" s="3" t="str">
        <f>N4</f>
        <v>XXX</v>
      </c>
      <c r="W4" s="3" t="str">
        <f>O4</f>
        <v>XXX</v>
      </c>
      <c r="X4" s="3" t="str">
        <f>P4</f>
        <v>XXX</v>
      </c>
    </row>
    <row r="5" spans="1:24" ht="5.0999999999999996" customHeight="1"/>
    <row r="6" spans="1:24">
      <c r="A6" s="33" t="s">
        <v>18</v>
      </c>
      <c r="B6" s="1" t="s">
        <v>100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5.0999999999999996" customHeight="1"/>
    <row r="8" spans="1:24" ht="12.75" customHeight="1">
      <c r="A8" s="74" t="s">
        <v>18</v>
      </c>
      <c r="B8" s="72" t="s">
        <v>97</v>
      </c>
      <c r="C8" s="10"/>
      <c r="D8" s="10"/>
      <c r="E8" s="10"/>
      <c r="F8" s="10"/>
      <c r="G8" s="81"/>
      <c r="H8" s="81"/>
      <c r="I8" s="81"/>
      <c r="J8" s="30"/>
      <c r="K8" s="81"/>
      <c r="L8" s="81"/>
      <c r="M8" s="81"/>
      <c r="N8" s="30"/>
      <c r="O8" s="81"/>
      <c r="P8" s="81"/>
      <c r="Q8" s="5"/>
      <c r="R8" s="11"/>
      <c r="S8" s="11"/>
      <c r="T8" s="11"/>
      <c r="U8" s="11"/>
      <c r="V8" s="11"/>
      <c r="W8" s="11"/>
      <c r="X8" s="11"/>
    </row>
    <row r="9" spans="1:24" ht="12.75" customHeight="1">
      <c r="A9" s="74"/>
      <c r="B9" s="9" t="s">
        <v>128</v>
      </c>
      <c r="C9" s="75">
        <v>5260</v>
      </c>
      <c r="D9" s="75">
        <v>6147</v>
      </c>
      <c r="E9" s="75">
        <v>6693</v>
      </c>
      <c r="F9" s="10"/>
      <c r="G9" s="75">
        <v>1309</v>
      </c>
      <c r="H9" s="75">
        <v>1396</v>
      </c>
      <c r="I9" s="75">
        <v>1434</v>
      </c>
      <c r="J9" s="30">
        <f t="shared" ref="J9:J11" si="0">SUM(D9-SUM(G9:I9))</f>
        <v>2008</v>
      </c>
      <c r="K9" s="75">
        <v>1435</v>
      </c>
      <c r="L9" s="75">
        <v>1476</v>
      </c>
      <c r="M9" s="75">
        <v>1556</v>
      </c>
      <c r="N9" s="30">
        <f t="shared" ref="N9:N11" si="1">SUM(E9-SUM(K9:M9))</f>
        <v>2226</v>
      </c>
      <c r="O9" s="75">
        <v>1535</v>
      </c>
      <c r="P9" s="75">
        <v>1547</v>
      </c>
      <c r="Q9" s="5"/>
      <c r="R9" s="30">
        <f t="shared" ref="R9:W9" si="2">SUM(G9:J9)</f>
        <v>6147</v>
      </c>
      <c r="S9" s="30">
        <f t="shared" si="2"/>
        <v>6273</v>
      </c>
      <c r="T9" s="30">
        <f t="shared" si="2"/>
        <v>6353</v>
      </c>
      <c r="U9" s="30">
        <f t="shared" si="2"/>
        <v>6475</v>
      </c>
      <c r="V9" s="30">
        <f>SUM(K9:N9)</f>
        <v>6693</v>
      </c>
      <c r="W9" s="30">
        <f t="shared" si="2"/>
        <v>6793</v>
      </c>
      <c r="X9" s="30">
        <f>SUM(M9:P9)</f>
        <v>6864</v>
      </c>
    </row>
    <row r="10" spans="1:24" ht="12.75" customHeight="1">
      <c r="A10" s="74"/>
      <c r="B10" s="9" t="s">
        <v>129</v>
      </c>
      <c r="C10" s="75">
        <v>1957</v>
      </c>
      <c r="D10" s="75">
        <v>2253</v>
      </c>
      <c r="E10" s="75">
        <v>2558</v>
      </c>
      <c r="F10" s="10"/>
      <c r="G10" s="75">
        <v>438</v>
      </c>
      <c r="H10" s="75">
        <v>531</v>
      </c>
      <c r="I10" s="75">
        <v>505</v>
      </c>
      <c r="J10" s="30">
        <f t="shared" si="0"/>
        <v>779</v>
      </c>
      <c r="K10" s="75">
        <v>506</v>
      </c>
      <c r="L10" s="75">
        <v>588</v>
      </c>
      <c r="M10" s="75">
        <v>551</v>
      </c>
      <c r="N10" s="30">
        <f t="shared" si="1"/>
        <v>913</v>
      </c>
      <c r="O10" s="75">
        <v>545</v>
      </c>
      <c r="P10" s="75">
        <v>625</v>
      </c>
      <c r="Q10" s="5"/>
      <c r="R10" s="30">
        <f t="shared" ref="R10" si="3">SUM(G10:J10)</f>
        <v>2253</v>
      </c>
      <c r="S10" s="30">
        <f t="shared" ref="S10" si="4">SUM(H10:K10)</f>
        <v>2321</v>
      </c>
      <c r="T10" s="30">
        <f t="shared" ref="T10" si="5">SUM(I10:L10)</f>
        <v>2378</v>
      </c>
      <c r="U10" s="30">
        <f t="shared" ref="U10" si="6">SUM(J10:M10)</f>
        <v>2424</v>
      </c>
      <c r="V10" s="30">
        <f t="shared" ref="V10" si="7">SUM(K10:N10)</f>
        <v>2558</v>
      </c>
      <c r="W10" s="30">
        <f t="shared" ref="W10" si="8">SUM(L10:O10)</f>
        <v>2597</v>
      </c>
      <c r="X10" s="30">
        <f>SUM(M10:P10)</f>
        <v>2634</v>
      </c>
    </row>
    <row r="11" spans="1:24">
      <c r="B11" s="9" t="s">
        <v>130</v>
      </c>
      <c r="C11" s="75">
        <v>894</v>
      </c>
      <c r="D11" s="75">
        <v>1219</v>
      </c>
      <c r="E11" s="75">
        <v>1337</v>
      </c>
      <c r="F11" s="75"/>
      <c r="G11" s="75">
        <v>254</v>
      </c>
      <c r="H11" s="75">
        <v>282</v>
      </c>
      <c r="I11" s="75">
        <v>265</v>
      </c>
      <c r="J11" s="30">
        <f t="shared" si="0"/>
        <v>418</v>
      </c>
      <c r="K11" s="75">
        <v>268</v>
      </c>
      <c r="L11" s="75">
        <v>307</v>
      </c>
      <c r="M11" s="75">
        <v>290</v>
      </c>
      <c r="N11" s="30">
        <f t="shared" si="1"/>
        <v>472</v>
      </c>
      <c r="O11" s="75">
        <v>291</v>
      </c>
      <c r="P11" s="75">
        <v>353</v>
      </c>
      <c r="Q11" s="5"/>
      <c r="R11" s="30">
        <f t="shared" ref="R11" si="9">SUM(G11:J11)</f>
        <v>1219</v>
      </c>
      <c r="S11" s="30">
        <f t="shared" ref="S11" si="10">SUM(H11:K11)</f>
        <v>1233</v>
      </c>
      <c r="T11" s="30">
        <f t="shared" ref="T11" si="11">SUM(I11:L11)</f>
        <v>1258</v>
      </c>
      <c r="U11" s="30">
        <f t="shared" ref="U11" si="12">SUM(J11:M11)</f>
        <v>1283</v>
      </c>
      <c r="V11" s="30">
        <f t="shared" ref="V11" si="13">SUM(K11:N11)</f>
        <v>1337</v>
      </c>
      <c r="W11" s="30">
        <f t="shared" ref="W11:X11" si="14">SUM(L11:O11)</f>
        <v>1360</v>
      </c>
      <c r="X11" s="30">
        <f t="shared" si="14"/>
        <v>1406</v>
      </c>
    </row>
    <row r="12" spans="1:24">
      <c r="B12" s="12" t="s">
        <v>71</v>
      </c>
      <c r="C12" s="13">
        <f>SUM(C9:C11)</f>
        <v>8111</v>
      </c>
      <c r="D12" s="13">
        <f>SUM(D9:D11)</f>
        <v>9619</v>
      </c>
      <c r="E12" s="13">
        <f>SUM(E9:E11)</f>
        <v>10588</v>
      </c>
      <c r="F12" s="11"/>
      <c r="G12" s="13">
        <f>SUM(G9:G11)</f>
        <v>2001</v>
      </c>
      <c r="H12" s="13">
        <f>SUM(H9:H11)</f>
        <v>2209</v>
      </c>
      <c r="I12" s="13">
        <f>SUM(I9:I11)</f>
        <v>2204</v>
      </c>
      <c r="J12" s="13">
        <f>SUM(J9:J11)</f>
        <v>3205</v>
      </c>
      <c r="K12" s="13">
        <f>SUM(K9:K11)</f>
        <v>2209</v>
      </c>
      <c r="L12" s="13">
        <f>SUM(L9:L11)</f>
        <v>2371</v>
      </c>
      <c r="M12" s="13">
        <f>SUM(M9:M11)</f>
        <v>2397</v>
      </c>
      <c r="N12" s="13">
        <f>SUM(N9:N11)</f>
        <v>3611</v>
      </c>
      <c r="O12" s="13">
        <f>SUM(O9:O11)</f>
        <v>2371</v>
      </c>
      <c r="P12" s="13">
        <f>SUM(P9:P11)</f>
        <v>2525</v>
      </c>
      <c r="Q12" s="5"/>
      <c r="R12" s="13">
        <f>SUM(R9:R11)</f>
        <v>9619</v>
      </c>
      <c r="S12" s="13">
        <f>SUM(S9:S11)</f>
        <v>9827</v>
      </c>
      <c r="T12" s="13">
        <f>SUM(T9:T11)</f>
        <v>9989</v>
      </c>
      <c r="U12" s="13">
        <f>SUM(U9:U11)</f>
        <v>10182</v>
      </c>
      <c r="V12" s="13">
        <f>SUM(V9:V11)</f>
        <v>10588</v>
      </c>
      <c r="W12" s="13">
        <f>SUM(W9:W11)</f>
        <v>10750</v>
      </c>
      <c r="X12" s="13">
        <f>SUM(X9:X11)</f>
        <v>10904</v>
      </c>
    </row>
    <row r="13" spans="1:24" outlineLevel="1">
      <c r="B13" s="114" t="s">
        <v>63</v>
      </c>
      <c r="C13" s="73">
        <f>+C12-'Historical Financials'!C11</f>
        <v>0</v>
      </c>
      <c r="D13" s="73">
        <f>+D12-'Historical Financials'!D11</f>
        <v>0</v>
      </c>
      <c r="E13" s="73">
        <f>+E12-'Historical Financials'!E11</f>
        <v>0</v>
      </c>
      <c r="F13" s="11"/>
      <c r="G13" s="73">
        <f>+G12-'Historical Financials'!G11</f>
        <v>1012.4</v>
      </c>
      <c r="H13" s="73">
        <f>+H12-'Historical Financials'!H11</f>
        <v>1141.3</v>
      </c>
      <c r="I13" s="73">
        <f>+I12-'Historical Financials'!I11</f>
        <v>1015.4000000000001</v>
      </c>
      <c r="J13" s="73">
        <f>+J12-'Historical Financials'!J11</f>
        <v>-3169.1000000000004</v>
      </c>
      <c r="K13" s="73">
        <f>+K12-'Historical Financials'!K11</f>
        <v>1014.2</v>
      </c>
      <c r="L13" s="73">
        <f>+L12-'Historical Financials'!L11</f>
        <v>1134.2</v>
      </c>
      <c r="M13" s="73">
        <f>+M12-'Historical Financials'!M11</f>
        <v>1024.4000000000001</v>
      </c>
      <c r="N13" s="73">
        <f>+N12-'Historical Financials'!N11</f>
        <v>-3172.8</v>
      </c>
      <c r="O13" s="73">
        <f>+O12-'Historical Financials'!O11</f>
        <v>1007.8</v>
      </c>
      <c r="P13" s="73">
        <f>+P12-'Historical Financials'!P11</f>
        <v>1180.0999999999999</v>
      </c>
      <c r="Q13" s="73"/>
      <c r="R13" s="73">
        <f>+R12-'Historical Financials'!R11</f>
        <v>0</v>
      </c>
      <c r="S13" s="73">
        <f>+S12-'Historical Financials'!S11</f>
        <v>1.7999999999992724</v>
      </c>
      <c r="T13" s="73">
        <f>+T12-'Historical Financials'!T11</f>
        <v>-5.2999999999992724</v>
      </c>
      <c r="U13" s="73">
        <f>+U12-'Historical Financials'!U11</f>
        <v>3.6999999999989086</v>
      </c>
      <c r="V13" s="73">
        <f>+V12-'Historical Financials'!V11</f>
        <v>0</v>
      </c>
      <c r="W13" s="73">
        <f>+W12-'Historical Financials'!W11</f>
        <v>-6.4000000000014552</v>
      </c>
      <c r="X13" s="73">
        <f>+X12-'Historical Financials'!X11</f>
        <v>39.5</v>
      </c>
    </row>
    <row r="14" spans="1:24">
      <c r="B14" s="16"/>
      <c r="C14" s="17"/>
      <c r="D14" s="17"/>
      <c r="E14" s="17"/>
      <c r="F14" s="18"/>
      <c r="G14" s="19"/>
      <c r="H14" s="19"/>
      <c r="I14" s="19"/>
      <c r="J14" s="20"/>
      <c r="K14" s="19"/>
      <c r="L14" s="19"/>
      <c r="M14" s="19"/>
      <c r="N14" s="19"/>
      <c r="O14" s="19"/>
      <c r="P14" s="19"/>
      <c r="Q14" s="18"/>
      <c r="R14" s="18"/>
      <c r="S14" s="18"/>
      <c r="T14" s="18"/>
      <c r="U14" s="18"/>
      <c r="V14" s="18"/>
      <c r="W14" s="18"/>
      <c r="X14" s="18"/>
    </row>
    <row r="15" spans="1:24">
      <c r="B15" s="115" t="str">
        <f>B9&amp;"(%)"</f>
        <v>Women's Apparel(%)</v>
      </c>
      <c r="C15" s="127">
        <f>SUM(C9/C$12)</f>
        <v>0.64850203427444209</v>
      </c>
      <c r="D15" s="127">
        <f>SUM(D9/D$12)</f>
        <v>0.63904771805801019</v>
      </c>
      <c r="E15" s="127">
        <f>SUM(E9/E$12)</f>
        <v>0.63213071401586707</v>
      </c>
      <c r="F15" s="116"/>
      <c r="G15" s="127">
        <f>SUM(G9/G$12)</f>
        <v>0.65417291354322837</v>
      </c>
      <c r="H15" s="127">
        <f>SUM(H9/H$12)</f>
        <v>0.6319601629696695</v>
      </c>
      <c r="I15" s="127">
        <f>SUM(I9/I$12)</f>
        <v>0.65063520871143377</v>
      </c>
      <c r="J15" s="127">
        <f>SUM(J9/J$12)</f>
        <v>0.62652106084243375</v>
      </c>
      <c r="K15" s="127">
        <f>SUM(K9/K$12)</f>
        <v>0.64961521050248983</v>
      </c>
      <c r="L15" s="127">
        <f>SUM(L9/L$12)</f>
        <v>0.62252214255588356</v>
      </c>
      <c r="M15" s="127">
        <f>SUM(M9/M$12)</f>
        <v>0.64914476428869416</v>
      </c>
      <c r="N15" s="127">
        <f>SUM(N9/N$12)</f>
        <v>0.61644973691498195</v>
      </c>
      <c r="O15" s="127">
        <f>SUM(O9/O$12)</f>
        <v>0.64740615773935051</v>
      </c>
      <c r="P15" s="127">
        <f>SUM(P9/P$12)</f>
        <v>0.61267326732673266</v>
      </c>
      <c r="Q15" s="116"/>
      <c r="R15" s="117">
        <f>K15</f>
        <v>0.64961521050248983</v>
      </c>
      <c r="S15" s="117">
        <f>L15</f>
        <v>0.62252214255588356</v>
      </c>
      <c r="T15" s="117">
        <f>M15</f>
        <v>0.64914476428869416</v>
      </c>
      <c r="U15" s="117">
        <f>N15</f>
        <v>0.61644973691498195</v>
      </c>
      <c r="V15" s="117">
        <f>O15</f>
        <v>0.64740615773935051</v>
      </c>
      <c r="W15" s="117">
        <f>P15</f>
        <v>0.61267326732673266</v>
      </c>
      <c r="X15" s="118" t="e">
        <f>#REF!</f>
        <v>#REF!</v>
      </c>
    </row>
    <row r="16" spans="1:24">
      <c r="B16" s="119" t="str">
        <f>B10&amp;"(%)"</f>
        <v>Men's Apparel(%)</v>
      </c>
      <c r="C16" s="129">
        <f>SUM(C10/C$12)</f>
        <v>0.24127727777092836</v>
      </c>
      <c r="D16" s="129">
        <f>SUM(D10/D$12)</f>
        <v>0.23422393180164258</v>
      </c>
      <c r="E16" s="129">
        <f>SUM(E10/E$12)</f>
        <v>0.24159425765017001</v>
      </c>
      <c r="F16" s="120"/>
      <c r="G16" s="129">
        <f>SUM(G10/G$12)</f>
        <v>0.21889055472263869</v>
      </c>
      <c r="H16" s="129">
        <f>SUM(H10/H$12)</f>
        <v>0.24038026256224537</v>
      </c>
      <c r="I16" s="129">
        <f>SUM(I10/I$12)</f>
        <v>0.22912885662431942</v>
      </c>
      <c r="J16" s="129">
        <f>SUM(J10/J$12)</f>
        <v>0.24305772230889236</v>
      </c>
      <c r="K16" s="129">
        <f>SUM(K10/K$12)</f>
        <v>0.22906292440018108</v>
      </c>
      <c r="L16" s="129">
        <f>SUM(L10/L$12)</f>
        <v>0.2479966258962463</v>
      </c>
      <c r="M16" s="129">
        <f>SUM(M10/M$12)</f>
        <v>0.22987067167292449</v>
      </c>
      <c r="N16" s="129">
        <f>SUM(N10/N$12)</f>
        <v>0.25283854887842705</v>
      </c>
      <c r="O16" s="129">
        <f>SUM(O10/O$12)</f>
        <v>0.22986081822016027</v>
      </c>
      <c r="P16" s="129">
        <f>SUM(P10/P$12)</f>
        <v>0.24752475247524752</v>
      </c>
      <c r="Q16" s="120"/>
      <c r="R16" s="121">
        <f>K16</f>
        <v>0.22906292440018108</v>
      </c>
      <c r="S16" s="121">
        <f>L16</f>
        <v>0.2479966258962463</v>
      </c>
      <c r="T16" s="121">
        <f>M16</f>
        <v>0.22987067167292449</v>
      </c>
      <c r="U16" s="121">
        <f>N16</f>
        <v>0.25283854887842705</v>
      </c>
      <c r="V16" s="121">
        <f>O16</f>
        <v>0.22986081822016027</v>
      </c>
      <c r="W16" s="121">
        <f>P16</f>
        <v>0.24752475247524752</v>
      </c>
      <c r="X16" s="122" t="e">
        <f>#REF!</f>
        <v>#REF!</v>
      </c>
    </row>
    <row r="17" spans="1:24" ht="12.75" customHeight="1">
      <c r="B17" s="123" t="str">
        <f>B11&amp;"(%)"</f>
        <v>Acccessories &amp; Other(%)</v>
      </c>
      <c r="C17" s="128">
        <f t="shared" ref="C17:E17" si="15">SUM(C11/C$12)</f>
        <v>0.11022068795462951</v>
      </c>
      <c r="D17" s="128">
        <f t="shared" si="15"/>
        <v>0.12672835014034722</v>
      </c>
      <c r="E17" s="128">
        <f t="shared" si="15"/>
        <v>0.12627502833396298</v>
      </c>
      <c r="F17" s="124"/>
      <c r="G17" s="128">
        <f t="shared" ref="G17:P17" si="16">SUM(G11/G$12)</f>
        <v>0.12693653173413294</v>
      </c>
      <c r="H17" s="128">
        <f t="shared" si="16"/>
        <v>0.1276595744680851</v>
      </c>
      <c r="I17" s="128">
        <f t="shared" si="16"/>
        <v>0.12023593466424683</v>
      </c>
      <c r="J17" s="128">
        <f t="shared" si="16"/>
        <v>0.13042121684867394</v>
      </c>
      <c r="K17" s="128">
        <f t="shared" si="16"/>
        <v>0.1213218650973291</v>
      </c>
      <c r="L17" s="128">
        <f t="shared" si="16"/>
        <v>0.12948123154787008</v>
      </c>
      <c r="M17" s="128">
        <f t="shared" si="16"/>
        <v>0.12098456403838131</v>
      </c>
      <c r="N17" s="128">
        <f t="shared" si="16"/>
        <v>0.13071171420659097</v>
      </c>
      <c r="O17" s="128">
        <f t="shared" si="16"/>
        <v>0.12273302404048925</v>
      </c>
      <c r="P17" s="128">
        <f t="shared" si="16"/>
        <v>0.13980198019801982</v>
      </c>
      <c r="Q17" s="124"/>
      <c r="R17" s="125">
        <f>K17</f>
        <v>0.1213218650973291</v>
      </c>
      <c r="S17" s="125">
        <f>L17</f>
        <v>0.12948123154787008</v>
      </c>
      <c r="T17" s="125">
        <f>M17</f>
        <v>0.12098456403838131</v>
      </c>
      <c r="U17" s="125">
        <f>N17</f>
        <v>0.13071171420659097</v>
      </c>
      <c r="V17" s="125">
        <f>O17</f>
        <v>0.12273302404048925</v>
      </c>
      <c r="W17" s="125">
        <f>P17</f>
        <v>0.13980198019801982</v>
      </c>
      <c r="X17" s="126" t="e">
        <f>#REF!</f>
        <v>#REF!</v>
      </c>
    </row>
    <row r="18" spans="1:24">
      <c r="B18" s="16"/>
      <c r="C18" s="17"/>
      <c r="D18" s="17"/>
      <c r="E18" s="17"/>
      <c r="F18" s="18"/>
      <c r="G18" s="19"/>
      <c r="H18" s="19"/>
      <c r="I18" s="19"/>
      <c r="J18" s="20"/>
      <c r="K18" s="19"/>
      <c r="L18" s="19"/>
      <c r="M18" s="19"/>
      <c r="N18" s="19"/>
      <c r="O18" s="19"/>
      <c r="P18" s="19"/>
      <c r="Q18" s="18"/>
      <c r="R18" s="18"/>
      <c r="S18" s="18"/>
      <c r="T18" s="18"/>
      <c r="U18" s="18"/>
      <c r="V18" s="18"/>
      <c r="W18" s="18"/>
      <c r="X18" s="18"/>
    </row>
    <row r="19" spans="1:24">
      <c r="A19" s="33" t="s">
        <v>18</v>
      </c>
      <c r="B19" s="1" t="s">
        <v>131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5.0999999999999996" customHeight="1"/>
    <row r="21" spans="1:24" ht="12.75" customHeight="1">
      <c r="A21" s="74" t="s">
        <v>18</v>
      </c>
      <c r="B21" s="72" t="s">
        <v>131</v>
      </c>
      <c r="C21" s="10"/>
      <c r="D21" s="10"/>
      <c r="E21" s="10"/>
      <c r="F21" s="10"/>
      <c r="G21" s="81"/>
      <c r="H21" s="81"/>
      <c r="I21" s="81"/>
      <c r="J21" s="30"/>
      <c r="K21" s="81"/>
      <c r="L21" s="81"/>
      <c r="M21" s="81"/>
      <c r="N21" s="30"/>
      <c r="O21" s="81"/>
      <c r="P21" s="81"/>
      <c r="Q21" s="5"/>
      <c r="R21" s="11"/>
      <c r="S21" s="11"/>
      <c r="T21" s="11"/>
      <c r="U21" s="11"/>
      <c r="V21" s="11"/>
      <c r="W21" s="11"/>
      <c r="X21" s="11"/>
    </row>
    <row r="22" spans="1:24" ht="12.75" customHeight="1">
      <c r="A22" s="74"/>
      <c r="B22" s="9" t="s">
        <v>132</v>
      </c>
      <c r="C22" s="75">
        <v>5654</v>
      </c>
      <c r="D22" s="75">
        <v>6346</v>
      </c>
      <c r="E22" s="75">
        <v>6483</v>
      </c>
      <c r="F22" s="10"/>
      <c r="G22" s="75">
        <v>1314</v>
      </c>
      <c r="H22" s="75">
        <v>1425</v>
      </c>
      <c r="I22" s="75">
        <v>1424</v>
      </c>
      <c r="J22" s="30">
        <f t="shared" ref="J22:J26" si="17">SUM(D22-SUM(G22:I22))</f>
        <v>2183</v>
      </c>
      <c r="K22" s="75">
        <v>1340</v>
      </c>
      <c r="L22" s="75">
        <v>1422</v>
      </c>
      <c r="M22" s="75">
        <v>1424</v>
      </c>
      <c r="N22" s="30">
        <f t="shared" ref="N22:N26" si="18">SUM(E22-SUM(K22:M22))</f>
        <v>2297</v>
      </c>
      <c r="O22" s="75">
        <v>1363</v>
      </c>
      <c r="P22" s="75">
        <v>1415</v>
      </c>
      <c r="Q22" s="5"/>
      <c r="R22" s="30">
        <f>SUM(J22:M22)</f>
        <v>6369</v>
      </c>
      <c r="S22" s="30">
        <f>SUM(K22:N22)</f>
        <v>6483</v>
      </c>
      <c r="T22" s="30">
        <f>SUM(L22:O22)</f>
        <v>6506</v>
      </c>
      <c r="U22" s="30">
        <f>SUM(M22:P22)</f>
        <v>6499</v>
      </c>
      <c r="V22" s="30">
        <f>SUM(N22:P22)</f>
        <v>5075</v>
      </c>
      <c r="W22" s="30">
        <f>SUM(O22:P22)</f>
        <v>2778</v>
      </c>
      <c r="X22" s="30">
        <f>SUM(P22:P22)</f>
        <v>1415</v>
      </c>
    </row>
    <row r="23" spans="1:24" ht="12.75" customHeight="1">
      <c r="A23" s="74"/>
      <c r="B23" s="9" t="s">
        <v>133</v>
      </c>
      <c r="C23" s="75">
        <v>1163</v>
      </c>
      <c r="D23" s="75">
        <v>1285</v>
      </c>
      <c r="E23" s="75">
        <v>1412</v>
      </c>
      <c r="F23" s="10"/>
      <c r="G23" s="75">
        <v>253</v>
      </c>
      <c r="H23" s="75">
        <v>295</v>
      </c>
      <c r="I23" s="75">
        <v>309</v>
      </c>
      <c r="J23" s="30">
        <f t="shared" si="17"/>
        <v>428</v>
      </c>
      <c r="K23" s="75">
        <v>282</v>
      </c>
      <c r="L23" s="75">
        <v>319</v>
      </c>
      <c r="M23" s="75">
        <v>335</v>
      </c>
      <c r="N23" s="30">
        <f t="shared" si="18"/>
        <v>476</v>
      </c>
      <c r="O23" s="75">
        <v>293</v>
      </c>
      <c r="P23" s="75">
        <v>321</v>
      </c>
      <c r="Q23" s="5"/>
      <c r="R23" s="30">
        <f>SUM(J23:M23)</f>
        <v>1364</v>
      </c>
      <c r="S23" s="30">
        <f>SUM(K23:N23)</f>
        <v>1412</v>
      </c>
      <c r="T23" s="30">
        <f>SUM(L23:O23)</f>
        <v>1423</v>
      </c>
      <c r="U23" s="30">
        <f>SUM(M23:P23)</f>
        <v>1425</v>
      </c>
      <c r="V23" s="30">
        <f>SUM(N23:P23)</f>
        <v>1090</v>
      </c>
      <c r="W23" s="30">
        <f>SUM(O23:P23)</f>
        <v>614</v>
      </c>
      <c r="X23" s="30">
        <f>SUM(P23:P23)</f>
        <v>321</v>
      </c>
    </row>
    <row r="24" spans="1:24" ht="12.75" customHeight="1">
      <c r="A24" s="74"/>
      <c r="B24" s="9" t="s">
        <v>134</v>
      </c>
      <c r="C24" s="75">
        <v>0</v>
      </c>
      <c r="D24" s="75">
        <v>0</v>
      </c>
      <c r="E24" s="75">
        <v>33</v>
      </c>
      <c r="F24" s="10"/>
      <c r="G24" s="75">
        <v>0</v>
      </c>
      <c r="H24" s="75">
        <v>0</v>
      </c>
      <c r="I24" s="75">
        <v>0</v>
      </c>
      <c r="J24" s="30">
        <f t="shared" si="17"/>
        <v>0</v>
      </c>
      <c r="K24" s="75">
        <v>0</v>
      </c>
      <c r="L24" s="75">
        <v>0</v>
      </c>
      <c r="M24" s="75">
        <v>11</v>
      </c>
      <c r="N24" s="30">
        <f t="shared" si="18"/>
        <v>22</v>
      </c>
      <c r="O24" s="75">
        <v>19</v>
      </c>
      <c r="P24" s="75">
        <v>22</v>
      </c>
      <c r="Q24" s="5"/>
      <c r="R24" s="30">
        <f>SUM(J24:M24)</f>
        <v>11</v>
      </c>
      <c r="S24" s="30">
        <f>SUM(K24:N24)</f>
        <v>33</v>
      </c>
      <c r="T24" s="30">
        <f>SUM(L24:O24)</f>
        <v>52</v>
      </c>
      <c r="U24" s="30">
        <f>SUM(M24:P24)</f>
        <v>74</v>
      </c>
      <c r="V24" s="30">
        <f>SUM(N24:P24)</f>
        <v>63</v>
      </c>
      <c r="W24" s="30">
        <f>SUM(O24:P24)</f>
        <v>41</v>
      </c>
      <c r="X24" s="30">
        <f>SUM(P24:P24)</f>
        <v>22</v>
      </c>
    </row>
    <row r="25" spans="1:24">
      <c r="A25" s="74"/>
      <c r="B25" s="9" t="s">
        <v>135</v>
      </c>
      <c r="C25" s="75">
        <v>682</v>
      </c>
      <c r="D25" s="75">
        <v>1134</v>
      </c>
      <c r="E25" s="75">
        <v>1541</v>
      </c>
      <c r="F25" s="10"/>
      <c r="G25" s="75">
        <v>250</v>
      </c>
      <c r="H25" s="75">
        <v>278</v>
      </c>
      <c r="I25" s="75">
        <v>267</v>
      </c>
      <c r="J25" s="30">
        <f t="shared" si="17"/>
        <v>339</v>
      </c>
      <c r="K25" s="75">
        <v>346</v>
      </c>
      <c r="L25" s="75">
        <v>356</v>
      </c>
      <c r="M25" s="75">
        <v>359</v>
      </c>
      <c r="N25" s="30">
        <f t="shared" si="18"/>
        <v>480</v>
      </c>
      <c r="O25" s="75">
        <v>412</v>
      </c>
      <c r="P25" s="75">
        <v>441</v>
      </c>
      <c r="Q25" s="5"/>
      <c r="R25" s="30">
        <f>SUM(J25:M25)</f>
        <v>1400</v>
      </c>
      <c r="S25" s="30">
        <f>SUM(K25:N25)</f>
        <v>1541</v>
      </c>
      <c r="T25" s="30">
        <f>SUM(L25:O25)</f>
        <v>1607</v>
      </c>
      <c r="U25" s="30">
        <f>SUM(M25:P25)</f>
        <v>1692</v>
      </c>
      <c r="V25" s="30">
        <f>SUM(N25:P25)</f>
        <v>1333</v>
      </c>
      <c r="W25" s="30">
        <f>SUM(O25:P25)</f>
        <v>853</v>
      </c>
      <c r="X25" s="30">
        <f>SUM(P25:P25)</f>
        <v>441</v>
      </c>
    </row>
    <row r="26" spans="1:24">
      <c r="A26" s="74"/>
      <c r="B26" s="9" t="s">
        <v>136</v>
      </c>
      <c r="C26" s="75">
        <v>611</v>
      </c>
      <c r="D26" s="75">
        <v>853</v>
      </c>
      <c r="E26" s="75">
        <v>1119</v>
      </c>
      <c r="F26" s="10"/>
      <c r="G26" s="75">
        <v>183</v>
      </c>
      <c r="H26" s="75">
        <v>212</v>
      </c>
      <c r="I26" s="75">
        <v>205</v>
      </c>
      <c r="J26" s="30">
        <f t="shared" si="17"/>
        <v>253</v>
      </c>
      <c r="K26" s="75">
        <v>241</v>
      </c>
      <c r="L26" s="75">
        <v>273</v>
      </c>
      <c r="M26" s="75">
        <v>267</v>
      </c>
      <c r="N26" s="30">
        <f t="shared" si="18"/>
        <v>338</v>
      </c>
      <c r="O26" s="75">
        <v>284</v>
      </c>
      <c r="P26" s="75">
        <v>326</v>
      </c>
      <c r="Q26" s="5"/>
      <c r="R26" s="30">
        <f>SUM(J26:M26)</f>
        <v>1034</v>
      </c>
      <c r="S26" s="30">
        <f>SUM(K26:N26)</f>
        <v>1119</v>
      </c>
      <c r="T26" s="30">
        <f>SUM(L26:O26)</f>
        <v>1162</v>
      </c>
      <c r="U26" s="30">
        <f>SUM(M26:P26)</f>
        <v>1215</v>
      </c>
      <c r="V26" s="30">
        <f>SUM(N26:P26)</f>
        <v>948</v>
      </c>
      <c r="W26" s="30">
        <f>SUM(O26:P26)</f>
        <v>610</v>
      </c>
      <c r="X26" s="30">
        <f>SUM(P26:P26)</f>
        <v>326</v>
      </c>
    </row>
    <row r="27" spans="1:24">
      <c r="B27" s="12" t="s">
        <v>12</v>
      </c>
      <c r="C27" s="13">
        <f>SUM(C22:C26)</f>
        <v>8110</v>
      </c>
      <c r="D27" s="13">
        <f>SUM(D22:D26)</f>
        <v>9618</v>
      </c>
      <c r="E27" s="13">
        <f>SUM(E22:E26)</f>
        <v>10588</v>
      </c>
      <c r="F27" s="11"/>
      <c r="G27" s="13">
        <f>SUM(G22:G26)</f>
        <v>2000</v>
      </c>
      <c r="H27" s="13">
        <f>SUM(H22:H26)</f>
        <v>2210</v>
      </c>
      <c r="I27" s="13">
        <f>SUM(I22:I26)</f>
        <v>2205</v>
      </c>
      <c r="J27" s="13">
        <f>SUM(J22:J26)</f>
        <v>3203</v>
      </c>
      <c r="K27" s="13">
        <f>SUM(K22:K26)</f>
        <v>2209</v>
      </c>
      <c r="L27" s="13">
        <f>SUM(L22:L26)</f>
        <v>2370</v>
      </c>
      <c r="M27" s="13">
        <f>SUM(M22:M26)</f>
        <v>2396</v>
      </c>
      <c r="N27" s="13">
        <f>SUM(N22:N26)</f>
        <v>3613</v>
      </c>
      <c r="O27" s="13">
        <f>SUM(O22:O26)</f>
        <v>2371</v>
      </c>
      <c r="P27" s="13">
        <f>SUM(P22:P26)</f>
        <v>2525</v>
      </c>
      <c r="Q27" s="5"/>
      <c r="R27" s="13">
        <f>SUM(R22:R26)</f>
        <v>10178</v>
      </c>
      <c r="S27" s="13">
        <f>SUM(S22:S26)</f>
        <v>10588</v>
      </c>
      <c r="T27" s="13">
        <f>SUM(T22:T26)</f>
        <v>10750</v>
      </c>
      <c r="U27" s="13">
        <f>SUM(U22:U26)</f>
        <v>10905</v>
      </c>
      <c r="V27" s="13">
        <f>SUM(V22:V26)</f>
        <v>8509</v>
      </c>
      <c r="W27" s="13">
        <f>SUM(W22:W26)</f>
        <v>4896</v>
      </c>
      <c r="X27" s="13">
        <f>SUM(X22:X26)</f>
        <v>2525</v>
      </c>
    </row>
    <row r="28" spans="1:24" outlineLevel="1">
      <c r="B28" s="114" t="s">
        <v>63</v>
      </c>
      <c r="C28" s="73">
        <f>+C27-C12</f>
        <v>-1</v>
      </c>
      <c r="D28" s="73">
        <f>+D27-D12</f>
        <v>-1</v>
      </c>
      <c r="E28" s="73">
        <f>+E27-E12</f>
        <v>0</v>
      </c>
      <c r="F28" s="11"/>
      <c r="G28" s="73">
        <f>+G27-G12</f>
        <v>-1</v>
      </c>
      <c r="H28" s="73">
        <f>+H27-H12</f>
        <v>1</v>
      </c>
      <c r="I28" s="73">
        <f>+I27-I12</f>
        <v>1</v>
      </c>
      <c r="J28" s="73">
        <f>+J27-J12</f>
        <v>-2</v>
      </c>
      <c r="K28" s="73">
        <f>+K27-K12</f>
        <v>0</v>
      </c>
      <c r="L28" s="73">
        <f>+L27-L12</f>
        <v>-1</v>
      </c>
      <c r="M28" s="73">
        <f>+M27-M12</f>
        <v>-1</v>
      </c>
      <c r="N28" s="73">
        <f>+N27-N12</f>
        <v>2</v>
      </c>
      <c r="O28" s="73">
        <f>+O27-O12</f>
        <v>0</v>
      </c>
      <c r="P28" s="73">
        <f>+P27-P12</f>
        <v>0</v>
      </c>
      <c r="Q28" s="5"/>
      <c r="R28" s="73">
        <f>+R27-R12</f>
        <v>559</v>
      </c>
      <c r="S28" s="73">
        <f>+S27-S12</f>
        <v>761</v>
      </c>
      <c r="T28" s="73">
        <f>+T27-T12</f>
        <v>761</v>
      </c>
      <c r="U28" s="73">
        <f>+U27-U12</f>
        <v>723</v>
      </c>
      <c r="V28" s="73">
        <f>+V27-V12</f>
        <v>-2079</v>
      </c>
      <c r="W28" s="73">
        <f>+W27-W12</f>
        <v>-5854</v>
      </c>
      <c r="X28" s="73">
        <f>+X27-X12</f>
        <v>-8379</v>
      </c>
    </row>
    <row r="29" spans="1:24">
      <c r="B29" s="16"/>
      <c r="C29" s="17"/>
      <c r="D29" s="17"/>
      <c r="E29" s="17"/>
      <c r="F29" s="18"/>
      <c r="G29" s="19"/>
      <c r="H29" s="19"/>
      <c r="I29" s="19"/>
      <c r="J29" s="20"/>
      <c r="K29" s="19"/>
      <c r="L29" s="19"/>
      <c r="M29" s="19"/>
      <c r="N29" s="19"/>
      <c r="O29" s="19"/>
      <c r="P29" s="19"/>
      <c r="Q29" s="18"/>
      <c r="R29" s="18"/>
      <c r="S29" s="18"/>
      <c r="T29" s="18"/>
      <c r="U29" s="18"/>
      <c r="V29" s="18"/>
      <c r="W29" s="18"/>
      <c r="X29" s="18"/>
    </row>
    <row r="30" spans="1:24">
      <c r="B30" s="115" t="str">
        <f>B22&amp;"(%)"</f>
        <v>U.S. Revenues(%)</v>
      </c>
      <c r="C30" s="127">
        <f>C22/C$27</f>
        <v>0.69716399506781745</v>
      </c>
      <c r="D30" s="127">
        <f>D22/D$27</f>
        <v>0.65980453316697862</v>
      </c>
      <c r="E30" s="127">
        <f>E22/E$27</f>
        <v>0.61229693993199852</v>
      </c>
      <c r="F30" s="116"/>
      <c r="G30" s="127">
        <f>G22/G$27</f>
        <v>0.65700000000000003</v>
      </c>
      <c r="H30" s="127">
        <f>H22/H$27</f>
        <v>0.64479638009049778</v>
      </c>
      <c r="I30" s="127">
        <f>I22/I$27</f>
        <v>0.64580498866213154</v>
      </c>
      <c r="J30" s="127">
        <f>J22/J$27</f>
        <v>0.68154854823602873</v>
      </c>
      <c r="K30" s="127">
        <f>K22/K$27</f>
        <v>0.60660932548664559</v>
      </c>
      <c r="L30" s="127">
        <f>L22/L$27</f>
        <v>0.6</v>
      </c>
      <c r="M30" s="127">
        <f>M22/M$27</f>
        <v>0.59432387312186974</v>
      </c>
      <c r="N30" s="127">
        <f>N22/N$27</f>
        <v>0.63575975643509552</v>
      </c>
      <c r="O30" s="127">
        <f>O22/O$27</f>
        <v>0.5748629270350063</v>
      </c>
      <c r="P30" s="127">
        <f>P22/P$27</f>
        <v>0.56039603960396045</v>
      </c>
      <c r="Q30" s="116"/>
      <c r="R30" s="117">
        <f>R22/R$27</f>
        <v>0.62576144625663199</v>
      </c>
      <c r="S30" s="117">
        <f>S22/S$27</f>
        <v>0.61229693993199852</v>
      </c>
      <c r="T30" s="117">
        <f>T22/T$27</f>
        <v>0.60520930232558134</v>
      </c>
      <c r="U30" s="117">
        <f>U22/U$27</f>
        <v>0.59596515359926638</v>
      </c>
      <c r="V30" s="117">
        <f>V22/V$27</f>
        <v>0.59642731225760959</v>
      </c>
      <c r="W30" s="117">
        <f>W22/W$27</f>
        <v>0.56740196078431371</v>
      </c>
      <c r="X30" s="118">
        <f>X22/X$27</f>
        <v>0.56039603960396045</v>
      </c>
    </row>
    <row r="31" spans="1:24" ht="12.75" customHeight="1">
      <c r="B31" s="119" t="str">
        <f t="shared" ref="B31" si="19">B23&amp;"(%)"</f>
        <v>Canada Revenues(%)</v>
      </c>
      <c r="C31" s="129">
        <f>C23/C$27</f>
        <v>0.14340320591861899</v>
      </c>
      <c r="D31" s="129">
        <f>D23/D$27</f>
        <v>0.13360365980453318</v>
      </c>
      <c r="E31" s="129">
        <f>E23/E$27</f>
        <v>0.13335851907820173</v>
      </c>
      <c r="F31" s="120"/>
      <c r="G31" s="129">
        <f>G23/G$27</f>
        <v>0.1265</v>
      </c>
      <c r="H31" s="129">
        <f>H23/H$27</f>
        <v>0.1334841628959276</v>
      </c>
      <c r="I31" s="129">
        <f>I23/I$27</f>
        <v>0.14013605442176871</v>
      </c>
      <c r="J31" s="129">
        <f>J23/J$27</f>
        <v>0.13362472681860754</v>
      </c>
      <c r="K31" s="129">
        <f>K23/K$27</f>
        <v>0.1276595744680851</v>
      </c>
      <c r="L31" s="129">
        <f>L23/L$27</f>
        <v>0.13459915611814346</v>
      </c>
      <c r="M31" s="129">
        <f>M23/M$27</f>
        <v>0.13981636060100167</v>
      </c>
      <c r="N31" s="129">
        <f>N23/N$27</f>
        <v>0.13174647107666759</v>
      </c>
      <c r="O31" s="129">
        <f>O23/O$27</f>
        <v>0.12357654997891185</v>
      </c>
      <c r="P31" s="129">
        <f>P23/P$27</f>
        <v>0.12712871287128713</v>
      </c>
      <c r="Q31" s="120"/>
      <c r="R31" s="121">
        <f>R23/R$27</f>
        <v>0.13401454116722342</v>
      </c>
      <c r="S31" s="121">
        <f>S23/S$27</f>
        <v>0.13335851907820173</v>
      </c>
      <c r="T31" s="121">
        <f>T23/T$27</f>
        <v>0.13237209302325581</v>
      </c>
      <c r="U31" s="121">
        <f>U23/U$27</f>
        <v>0.13067400275103164</v>
      </c>
      <c r="V31" s="121">
        <f>V23/V$27</f>
        <v>0.12809965918439301</v>
      </c>
      <c r="W31" s="121">
        <f>W23/W$27</f>
        <v>0.12540849673202614</v>
      </c>
      <c r="X31" s="122">
        <f>X23/X$27</f>
        <v>0.12712871287128713</v>
      </c>
    </row>
    <row r="32" spans="1:24" ht="12.75" customHeight="1">
      <c r="B32" s="119" t="str">
        <f>B24&amp;"(%)"</f>
        <v>Mexico Revenues(%)</v>
      </c>
      <c r="C32" s="129">
        <f>C24/C$27</f>
        <v>0</v>
      </c>
      <c r="D32" s="129">
        <f>D24/D$27</f>
        <v>0</v>
      </c>
      <c r="E32" s="129">
        <f>E24/E$27</f>
        <v>3.1167359274650547E-3</v>
      </c>
      <c r="F32" s="120"/>
      <c r="G32" s="129">
        <f>G24/G$27</f>
        <v>0</v>
      </c>
      <c r="H32" s="129">
        <f>H24/H$27</f>
        <v>0</v>
      </c>
      <c r="I32" s="129">
        <f>I24/I$27</f>
        <v>0</v>
      </c>
      <c r="J32" s="129">
        <f>J24/J$27</f>
        <v>0</v>
      </c>
      <c r="K32" s="129">
        <f>K24/K$27</f>
        <v>0</v>
      </c>
      <c r="L32" s="129">
        <f>L24/L$27</f>
        <v>0</v>
      </c>
      <c r="M32" s="129">
        <f>M24/M$27</f>
        <v>4.5909849749582636E-3</v>
      </c>
      <c r="N32" s="129">
        <f>N24/N$27</f>
        <v>6.0891226127871576E-3</v>
      </c>
      <c r="O32" s="129">
        <f>O24/O$27</f>
        <v>8.0134964150147623E-3</v>
      </c>
      <c r="P32" s="129">
        <f>P24/P$27</f>
        <v>8.7128712871287137E-3</v>
      </c>
      <c r="Q32" s="120"/>
      <c r="R32" s="121">
        <f>R24/R$27</f>
        <v>1.0807624287679308E-3</v>
      </c>
      <c r="S32" s="121">
        <f>S24/S$27</f>
        <v>3.1167359274650547E-3</v>
      </c>
      <c r="T32" s="121">
        <f>T24/T$27</f>
        <v>4.8372093023255815E-3</v>
      </c>
      <c r="U32" s="121">
        <f>U24/U$27</f>
        <v>6.7858780375974325E-3</v>
      </c>
      <c r="V32" s="121">
        <f>V24/V$27</f>
        <v>7.403925255611705E-3</v>
      </c>
      <c r="W32" s="121">
        <f>W24/W$27</f>
        <v>8.3741830065359475E-3</v>
      </c>
      <c r="X32" s="122">
        <f>X24/X$27</f>
        <v>8.7128712871287137E-3</v>
      </c>
    </row>
    <row r="33" spans="2:24" ht="12.75" customHeight="1">
      <c r="B33" s="119" t="str">
        <f>B25&amp;"(%)"</f>
        <v>China Revenues(%)</v>
      </c>
      <c r="C33" s="129">
        <f>C25/C$27</f>
        <v>8.4093711467324292E-2</v>
      </c>
      <c r="D33" s="129">
        <f>D25/D$27</f>
        <v>0.11790393013100436</v>
      </c>
      <c r="E33" s="129">
        <f>E25/E$27</f>
        <v>0.1455421231582924</v>
      </c>
      <c r="F33" s="120"/>
      <c r="G33" s="129">
        <f>G25/G$27</f>
        <v>0.125</v>
      </c>
      <c r="H33" s="129">
        <f>H25/H$27</f>
        <v>0.12579185520361991</v>
      </c>
      <c r="I33" s="129">
        <f>I25/I$27</f>
        <v>0.12108843537414966</v>
      </c>
      <c r="J33" s="129">
        <f>J25/J$27</f>
        <v>0.10583827661567281</v>
      </c>
      <c r="K33" s="129">
        <f>K25/K$27</f>
        <v>0.15663196016296968</v>
      </c>
      <c r="L33" s="129">
        <f>L25/L$27</f>
        <v>0.15021097046413501</v>
      </c>
      <c r="M33" s="129">
        <f>M25/M$27</f>
        <v>0.14983305509181971</v>
      </c>
      <c r="N33" s="129">
        <f>N25/N$27</f>
        <v>0.13285358427899252</v>
      </c>
      <c r="O33" s="129">
        <f>O25/O$27</f>
        <v>0.17376634331505694</v>
      </c>
      <c r="P33" s="129">
        <f>P25/P$27</f>
        <v>0.17465346534653464</v>
      </c>
      <c r="Q33" s="120"/>
      <c r="R33" s="121">
        <f>R25/R$27</f>
        <v>0.13755158184319119</v>
      </c>
      <c r="S33" s="121">
        <f>S25/S$27</f>
        <v>0.1455421231582924</v>
      </c>
      <c r="T33" s="121">
        <f>T25/T$27</f>
        <v>0.14948837209302326</v>
      </c>
      <c r="U33" s="121">
        <f>U25/U$27</f>
        <v>0.15515818431911968</v>
      </c>
      <c r="V33" s="121">
        <f>V25/V$27</f>
        <v>0.1566576565988953</v>
      </c>
      <c r="W33" s="121">
        <f>W25/W$27</f>
        <v>0.17422385620915032</v>
      </c>
      <c r="X33" s="122">
        <f>X25/X$27</f>
        <v>0.17465346534653464</v>
      </c>
    </row>
    <row r="34" spans="2:24" ht="12.75" customHeight="1">
      <c r="B34" s="123" t="str">
        <f>B26&amp;"(%)"</f>
        <v>Other Revenues(%)</v>
      </c>
      <c r="C34" s="128">
        <f>C26/C$27</f>
        <v>7.5339087546239206E-2</v>
      </c>
      <c r="D34" s="128">
        <f>D26/D$27</f>
        <v>8.8687876897483878E-2</v>
      </c>
      <c r="E34" s="128">
        <f>E26/E$27</f>
        <v>0.10568568190404232</v>
      </c>
      <c r="F34" s="124"/>
      <c r="G34" s="128">
        <f>G26/G$27</f>
        <v>9.1499999999999998E-2</v>
      </c>
      <c r="H34" s="128">
        <f>H26/H$27</f>
        <v>9.5927601809954757E-2</v>
      </c>
      <c r="I34" s="128">
        <f>I26/I$27</f>
        <v>9.297052154195011E-2</v>
      </c>
      <c r="J34" s="128">
        <f>J26/J$27</f>
        <v>7.8988448329690916E-2</v>
      </c>
      <c r="K34" s="128">
        <f>K26/K$27</f>
        <v>0.10909913988229969</v>
      </c>
      <c r="L34" s="128">
        <f>L26/L$27</f>
        <v>0.11518987341772152</v>
      </c>
      <c r="M34" s="128">
        <f>M26/M$27</f>
        <v>0.11143572621035058</v>
      </c>
      <c r="N34" s="128">
        <f>N26/N$27</f>
        <v>9.3551065596457234E-2</v>
      </c>
      <c r="O34" s="128">
        <f>O26/O$27</f>
        <v>0.11978068325601013</v>
      </c>
      <c r="P34" s="128">
        <f>P26/P$27</f>
        <v>0.12910891089108911</v>
      </c>
      <c r="Q34" s="124"/>
      <c r="R34" s="125">
        <f>R26/R$27</f>
        <v>0.10159166830418549</v>
      </c>
      <c r="S34" s="125">
        <f>S26/S$27</f>
        <v>0.10568568190404232</v>
      </c>
      <c r="T34" s="125">
        <f>T26/T$27</f>
        <v>0.10809302325581395</v>
      </c>
      <c r="U34" s="125">
        <f>U26/U$27</f>
        <v>0.11141678129298486</v>
      </c>
      <c r="V34" s="125">
        <f>V26/V$27</f>
        <v>0.11141144670349042</v>
      </c>
      <c r="W34" s="125">
        <f>W26/W$27</f>
        <v>0.12459150326797386</v>
      </c>
      <c r="X34" s="126">
        <f>X26/X$27</f>
        <v>0.12910891089108911</v>
      </c>
    </row>
  </sheetData>
  <pageMargins left="0.7" right="0.7" top="0.75" bottom="0.75" header="0.3" footer="0.3"/>
  <ignoredErrors>
    <ignoredError sqref="G17:P17 C17:E17 G30:P34 C15:E15 G15:P1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9"/>
  <sheetViews>
    <sheetView showGridLines="0" zoomScaleNormal="100" workbookViewId="0">
      <selection activeCell="B2" sqref="B2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20" width="8.875" style="8" customWidth="1"/>
    <col min="21" max="21" width="1.625" style="8" customWidth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7.5" style="111" bestFit="1" customWidth="1"/>
    <col min="34" max="16384" width="9" style="8"/>
  </cols>
  <sheetData>
    <row r="2" spans="2:33" s="5" customFormat="1" ht="12.75" customHeight="1">
      <c r="B2" s="1" t="str">
        <f>'Historical Financials'!B2</f>
        <v>Lululemon Athletica Inc (NASDAQ: LULU)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3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54" t="s">
        <v>24</v>
      </c>
    </row>
    <row r="3" spans="2:33" s="5" customFormat="1" ht="12.75" customHeight="1">
      <c r="B3" s="6" t="s">
        <v>25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 t="e">
        <f>'Historical Financials'!#REF!</f>
        <v>#REF!</v>
      </c>
      <c r="G3" s="3"/>
      <c r="H3" s="7" t="str">
        <f>'Historical Financials'!G7</f>
        <v>1Q23</v>
      </c>
      <c r="I3" s="7" t="str">
        <f>'Historical Financials'!H7</f>
        <v>2Q23</v>
      </c>
      <c r="J3" s="7" t="str">
        <f>'Historical Financials'!I7</f>
        <v>3Q23</v>
      </c>
      <c r="K3" s="7" t="str">
        <f>'Historical Financials'!J7</f>
        <v>4Q23</v>
      </c>
      <c r="L3" s="7" t="str">
        <f>'Historical Financials'!K7</f>
        <v>1Q24</v>
      </c>
      <c r="M3" s="7" t="str">
        <f>'Historical Financials'!L7</f>
        <v>2Q24</v>
      </c>
      <c r="N3" s="7" t="str">
        <f>'Historical Financials'!M7</f>
        <v>3Q24</v>
      </c>
      <c r="O3" s="7" t="str">
        <f>'Historical Financials'!N7</f>
        <v>4Q24</v>
      </c>
      <c r="P3" s="7" t="str">
        <f>'Historical Financials'!O7</f>
        <v>1Q25</v>
      </c>
      <c r="Q3" s="7" t="str">
        <f>'Historical Financials'!P7</f>
        <v>2Q25</v>
      </c>
      <c r="R3" s="7" t="e">
        <f>'Historical Financials'!#REF!</f>
        <v>#REF!</v>
      </c>
      <c r="S3" s="7" t="e">
        <f>'Historical Financials'!#REF!</f>
        <v>#REF!</v>
      </c>
      <c r="T3" s="7" t="e">
        <f>'Historical Financials'!#REF!</f>
        <v>#REF!</v>
      </c>
      <c r="U3" s="3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e">
        <f t="shared" si="0"/>
        <v>#REF!</v>
      </c>
      <c r="AD3" s="4" t="e">
        <f t="shared" si="0"/>
        <v>#REF!</v>
      </c>
      <c r="AE3" s="4" t="e">
        <f t="shared" si="0"/>
        <v>#REF!</v>
      </c>
      <c r="AF3" s="3"/>
      <c r="AG3" s="154"/>
    </row>
    <row r="4" spans="2:33" s="5" customFormat="1" ht="12.75" customHeight="1">
      <c r="B4" s="6" t="s">
        <v>98</v>
      </c>
      <c r="C4" s="3" t="str">
        <f>'Historical Financials'!C8</f>
        <v>XXX</v>
      </c>
      <c r="D4" s="3" t="str">
        <f>'Historical Financials'!D8</f>
        <v>XXX</v>
      </c>
      <c r="E4" s="3" t="str">
        <f>'Historical Financials'!E8</f>
        <v>XXX</v>
      </c>
      <c r="F4" s="3" t="e">
        <f>'Historical Financials'!#REF!</f>
        <v>#REF!</v>
      </c>
      <c r="G4" s="3"/>
      <c r="H4" s="3" t="str">
        <f>'Historical Financials'!G8</f>
        <v>XXX</v>
      </c>
      <c r="I4" s="3" t="str">
        <f>'Historical Financials'!H8</f>
        <v>XXX</v>
      </c>
      <c r="J4" s="3" t="str">
        <f>'Historical Financials'!I8</f>
        <v>XXX</v>
      </c>
      <c r="K4" s="3" t="str">
        <f>'Historical Financials'!J8</f>
        <v>XXX</v>
      </c>
      <c r="L4" s="3" t="str">
        <f>'Historical Financials'!K8</f>
        <v>XXX</v>
      </c>
      <c r="M4" s="3" t="str">
        <f>'Historical Financials'!L8</f>
        <v>XXX</v>
      </c>
      <c r="N4" s="3" t="str">
        <f>'Historical Financials'!M8</f>
        <v>XXX</v>
      </c>
      <c r="O4" s="3" t="str">
        <f>'Historical Financials'!N8</f>
        <v>XXX</v>
      </c>
      <c r="P4" s="3" t="str">
        <f>'Historical Financials'!O8</f>
        <v>XXX</v>
      </c>
      <c r="Q4" s="3" t="str">
        <f>'Historical Financials'!P8</f>
        <v>XXX</v>
      </c>
      <c r="R4" s="3" t="e">
        <f>'Historical Financials'!#REF!</f>
        <v>#REF!</v>
      </c>
      <c r="S4" s="3" t="e">
        <f>'Historical Financials'!#REF!</f>
        <v>#REF!</v>
      </c>
      <c r="T4" s="3" t="e">
        <f>'Historical Financials'!#REF!</f>
        <v>#REF!</v>
      </c>
      <c r="U4" s="3"/>
      <c r="V4" s="3" t="str">
        <f t="shared" si="0"/>
        <v>XXX</v>
      </c>
      <c r="W4" s="3" t="str">
        <f t="shared" si="0"/>
        <v>XXX</v>
      </c>
      <c r="X4" s="3" t="str">
        <f t="shared" si="0"/>
        <v>XXX</v>
      </c>
      <c r="Y4" s="3" t="str">
        <f t="shared" si="0"/>
        <v>XXX</v>
      </c>
      <c r="Z4" s="3" t="str">
        <f t="shared" si="0"/>
        <v>XXX</v>
      </c>
      <c r="AA4" s="3" t="str">
        <f t="shared" si="0"/>
        <v>XXX</v>
      </c>
      <c r="AB4" s="3" t="str">
        <f t="shared" si="0"/>
        <v>XXX</v>
      </c>
      <c r="AC4" s="3" t="e">
        <f t="shared" si="0"/>
        <v>#REF!</v>
      </c>
      <c r="AD4" s="3" t="e">
        <f t="shared" si="0"/>
        <v>#REF!</v>
      </c>
      <c r="AE4" s="3" t="e">
        <f t="shared" si="0"/>
        <v>#REF!</v>
      </c>
      <c r="AF4" s="3"/>
      <c r="AG4" s="154"/>
    </row>
    <row r="5" spans="2:33" ht="5.0999999999999996" customHeight="1">
      <c r="AG5" s="107"/>
    </row>
    <row r="6" spans="2:33" ht="12.75" customHeight="1">
      <c r="B6" s="9" t="s">
        <v>112</v>
      </c>
      <c r="C6" s="80"/>
      <c r="D6" s="80"/>
      <c r="E6" s="80"/>
      <c r="F6" s="80"/>
      <c r="G6" s="1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5"/>
      <c r="V6" s="131">
        <f t="shared" ref="V6:AD6" si="1">SUM(H6:K6)</f>
        <v>0</v>
      </c>
      <c r="W6" s="131">
        <f t="shared" si="1"/>
        <v>0</v>
      </c>
      <c r="X6" s="131">
        <f t="shared" si="1"/>
        <v>0</v>
      </c>
      <c r="Y6" s="131">
        <f t="shared" si="1"/>
        <v>0</v>
      </c>
      <c r="Z6" s="131">
        <f t="shared" si="1"/>
        <v>0</v>
      </c>
      <c r="AA6" s="131">
        <f t="shared" si="1"/>
        <v>0</v>
      </c>
      <c r="AB6" s="131">
        <f t="shared" si="1"/>
        <v>0</v>
      </c>
      <c r="AC6" s="131">
        <f t="shared" si="1"/>
        <v>0</v>
      </c>
      <c r="AD6" s="131">
        <f t="shared" si="1"/>
        <v>0</v>
      </c>
      <c r="AE6" s="131">
        <f>SUM(Q6:T6)</f>
        <v>0</v>
      </c>
      <c r="AG6" s="108" t="e">
        <f t="shared" ref="AG6:AG11" si="2">SUM(AE6/AA6)-1</f>
        <v>#DIV/0!</v>
      </c>
    </row>
    <row r="7" spans="2:33" ht="12.75" customHeight="1">
      <c r="B7" s="9" t="s">
        <v>112</v>
      </c>
      <c r="C7" s="80"/>
      <c r="D7" s="80"/>
      <c r="E7" s="80"/>
      <c r="F7" s="80"/>
      <c r="G7" s="1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5"/>
      <c r="V7" s="131">
        <f t="shared" ref="V7:V11" si="3">SUM(H7:K7)</f>
        <v>0</v>
      </c>
      <c r="W7" s="131">
        <f t="shared" ref="W7:W11" si="4">SUM(I7:L7)</f>
        <v>0</v>
      </c>
      <c r="X7" s="131">
        <f t="shared" ref="X7:X11" si="5">SUM(J7:M7)</f>
        <v>0</v>
      </c>
      <c r="Y7" s="131">
        <f t="shared" ref="Y7:Y11" si="6">SUM(K7:N7)</f>
        <v>0</v>
      </c>
      <c r="Z7" s="131">
        <f t="shared" ref="Z7:Z11" si="7">SUM(L7:O7)</f>
        <v>0</v>
      </c>
      <c r="AA7" s="131">
        <f t="shared" ref="AA7:AA11" si="8">SUM(M7:P7)</f>
        <v>0</v>
      </c>
      <c r="AB7" s="131">
        <f t="shared" ref="AB7:AB11" si="9">SUM(N7:Q7)</f>
        <v>0</v>
      </c>
      <c r="AC7" s="131">
        <f t="shared" ref="AC7:AC11" si="10">SUM(O7:R7)</f>
        <v>0</v>
      </c>
      <c r="AD7" s="131">
        <f t="shared" ref="AD7:AD11" si="11">SUM(P7:S7)</f>
        <v>0</v>
      </c>
      <c r="AE7" s="131">
        <f t="shared" ref="AE7:AE11" si="12">SUM(Q7:T7)</f>
        <v>0</v>
      </c>
      <c r="AG7" s="108" t="e">
        <f t="shared" si="2"/>
        <v>#DIV/0!</v>
      </c>
    </row>
    <row r="8" spans="2:33" ht="12.75" customHeight="1">
      <c r="B8" s="9" t="s">
        <v>112</v>
      </c>
      <c r="C8" s="80"/>
      <c r="D8" s="80"/>
      <c r="E8" s="80"/>
      <c r="F8" s="80"/>
      <c r="G8" s="1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5"/>
      <c r="V8" s="131">
        <f t="shared" si="3"/>
        <v>0</v>
      </c>
      <c r="W8" s="131">
        <f t="shared" si="4"/>
        <v>0</v>
      </c>
      <c r="X8" s="131">
        <f t="shared" si="5"/>
        <v>0</v>
      </c>
      <c r="Y8" s="131">
        <f t="shared" si="6"/>
        <v>0</v>
      </c>
      <c r="Z8" s="131">
        <f t="shared" si="7"/>
        <v>0</v>
      </c>
      <c r="AA8" s="131">
        <f t="shared" si="8"/>
        <v>0</v>
      </c>
      <c r="AB8" s="131">
        <f t="shared" si="9"/>
        <v>0</v>
      </c>
      <c r="AC8" s="131">
        <f t="shared" si="10"/>
        <v>0</v>
      </c>
      <c r="AD8" s="131">
        <f t="shared" si="11"/>
        <v>0</v>
      </c>
      <c r="AE8" s="131">
        <f t="shared" si="12"/>
        <v>0</v>
      </c>
      <c r="AG8" s="108" t="e">
        <f t="shared" si="2"/>
        <v>#DIV/0!</v>
      </c>
    </row>
    <row r="9" spans="2:33" ht="12.75" customHeight="1">
      <c r="B9" s="9" t="s">
        <v>112</v>
      </c>
      <c r="C9" s="80"/>
      <c r="D9" s="80"/>
      <c r="E9" s="80"/>
      <c r="F9" s="80"/>
      <c r="G9" s="1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5"/>
      <c r="V9" s="131">
        <f t="shared" si="3"/>
        <v>0</v>
      </c>
      <c r="W9" s="131">
        <f t="shared" si="4"/>
        <v>0</v>
      </c>
      <c r="X9" s="131">
        <f t="shared" si="5"/>
        <v>0</v>
      </c>
      <c r="Y9" s="131">
        <f t="shared" si="6"/>
        <v>0</v>
      </c>
      <c r="Z9" s="131">
        <f t="shared" si="7"/>
        <v>0</v>
      </c>
      <c r="AA9" s="131">
        <f t="shared" si="8"/>
        <v>0</v>
      </c>
      <c r="AB9" s="131">
        <f t="shared" si="9"/>
        <v>0</v>
      </c>
      <c r="AC9" s="131">
        <f t="shared" si="10"/>
        <v>0</v>
      </c>
      <c r="AD9" s="131">
        <f t="shared" si="11"/>
        <v>0</v>
      </c>
      <c r="AE9" s="131">
        <f t="shared" si="12"/>
        <v>0</v>
      </c>
      <c r="AG9" s="108" t="e">
        <f t="shared" si="2"/>
        <v>#DIV/0!</v>
      </c>
    </row>
    <row r="10" spans="2:33" ht="12.75" customHeight="1">
      <c r="B10" s="9" t="s">
        <v>112</v>
      </c>
      <c r="C10" s="80"/>
      <c r="D10" s="80"/>
      <c r="E10" s="80"/>
      <c r="F10" s="80"/>
      <c r="G10" s="1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5"/>
      <c r="V10" s="131">
        <f t="shared" si="3"/>
        <v>0</v>
      </c>
      <c r="W10" s="131">
        <f t="shared" si="4"/>
        <v>0</v>
      </c>
      <c r="X10" s="131">
        <f t="shared" si="5"/>
        <v>0</v>
      </c>
      <c r="Y10" s="131">
        <f t="shared" si="6"/>
        <v>0</v>
      </c>
      <c r="Z10" s="131">
        <f t="shared" si="7"/>
        <v>0</v>
      </c>
      <c r="AA10" s="131">
        <f t="shared" si="8"/>
        <v>0</v>
      </c>
      <c r="AB10" s="131">
        <f t="shared" si="9"/>
        <v>0</v>
      </c>
      <c r="AC10" s="131">
        <f t="shared" si="10"/>
        <v>0</v>
      </c>
      <c r="AD10" s="131">
        <f t="shared" si="11"/>
        <v>0</v>
      </c>
      <c r="AE10" s="131">
        <f t="shared" si="12"/>
        <v>0</v>
      </c>
      <c r="AG10" s="108" t="e">
        <f t="shared" si="2"/>
        <v>#DIV/0!</v>
      </c>
    </row>
    <row r="11" spans="2:33" ht="12.75" customHeight="1">
      <c r="B11" s="9" t="s">
        <v>112</v>
      </c>
      <c r="C11" s="80"/>
      <c r="D11" s="80"/>
      <c r="E11" s="80"/>
      <c r="F11" s="80"/>
      <c r="G11" s="1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5"/>
      <c r="V11" s="131">
        <f t="shared" si="3"/>
        <v>0</v>
      </c>
      <c r="W11" s="131">
        <f t="shared" si="4"/>
        <v>0</v>
      </c>
      <c r="X11" s="131">
        <f t="shared" si="5"/>
        <v>0</v>
      </c>
      <c r="Y11" s="131">
        <f t="shared" si="6"/>
        <v>0</v>
      </c>
      <c r="Z11" s="131">
        <f t="shared" si="7"/>
        <v>0</v>
      </c>
      <c r="AA11" s="131">
        <f t="shared" si="8"/>
        <v>0</v>
      </c>
      <c r="AB11" s="131">
        <f t="shared" si="9"/>
        <v>0</v>
      </c>
      <c r="AC11" s="131">
        <f t="shared" si="10"/>
        <v>0</v>
      </c>
      <c r="AD11" s="131">
        <f t="shared" si="11"/>
        <v>0</v>
      </c>
      <c r="AE11" s="131">
        <f t="shared" si="12"/>
        <v>0</v>
      </c>
      <c r="AG11" s="108" t="e">
        <f t="shared" si="2"/>
        <v>#DIV/0!</v>
      </c>
    </row>
    <row r="12" spans="2:33" ht="12.75" customHeight="1">
      <c r="B12" s="12" t="s">
        <v>12</v>
      </c>
      <c r="C12" s="13">
        <f t="shared" ref="C12:F12" si="13">SUM(C6:C11)</f>
        <v>0</v>
      </c>
      <c r="D12" s="13">
        <f t="shared" si="13"/>
        <v>0</v>
      </c>
      <c r="E12" s="13">
        <f t="shared" si="13"/>
        <v>0</v>
      </c>
      <c r="F12" s="13">
        <f t="shared" si="13"/>
        <v>0</v>
      </c>
      <c r="G12" s="10"/>
      <c r="H12" s="13">
        <f t="shared" ref="H12:S12" si="14">SUM(H6:H11)</f>
        <v>0</v>
      </c>
      <c r="I12" s="13">
        <f t="shared" si="14"/>
        <v>0</v>
      </c>
      <c r="J12" s="13">
        <f t="shared" si="14"/>
        <v>0</v>
      </c>
      <c r="K12" s="13">
        <f t="shared" si="14"/>
        <v>0</v>
      </c>
      <c r="L12" s="13">
        <f t="shared" si="14"/>
        <v>0</v>
      </c>
      <c r="M12" s="13">
        <f t="shared" si="14"/>
        <v>0</v>
      </c>
      <c r="N12" s="13">
        <f t="shared" si="14"/>
        <v>0</v>
      </c>
      <c r="O12" s="13">
        <f t="shared" si="14"/>
        <v>0</v>
      </c>
      <c r="P12" s="13">
        <f t="shared" si="14"/>
        <v>0</v>
      </c>
      <c r="Q12" s="13">
        <f t="shared" si="14"/>
        <v>0</v>
      </c>
      <c r="R12" s="13">
        <f t="shared" si="14"/>
        <v>0</v>
      </c>
      <c r="S12" s="13">
        <f t="shared" si="14"/>
        <v>0</v>
      </c>
      <c r="T12" s="13">
        <f t="shared" ref="T12" si="15">SUM(T6:T11)</f>
        <v>0</v>
      </c>
      <c r="U12" s="5"/>
      <c r="V12" s="13">
        <f t="shared" ref="V12:AE12" si="16">SUM(V6:V11)</f>
        <v>0</v>
      </c>
      <c r="W12" s="13">
        <f t="shared" si="16"/>
        <v>0</v>
      </c>
      <c r="X12" s="13">
        <f t="shared" si="16"/>
        <v>0</v>
      </c>
      <c r="Y12" s="13">
        <f t="shared" si="16"/>
        <v>0</v>
      </c>
      <c r="Z12" s="13">
        <f t="shared" si="16"/>
        <v>0</v>
      </c>
      <c r="AA12" s="13">
        <f t="shared" si="16"/>
        <v>0</v>
      </c>
      <c r="AB12" s="13">
        <f t="shared" si="16"/>
        <v>0</v>
      </c>
      <c r="AC12" s="13">
        <f t="shared" si="16"/>
        <v>0</v>
      </c>
      <c r="AD12" s="13">
        <f t="shared" si="16"/>
        <v>0</v>
      </c>
      <c r="AE12" s="13">
        <f t="shared" si="16"/>
        <v>0</v>
      </c>
      <c r="AG12" s="109" t="e">
        <f>SUM(AE12/AA12)-1</f>
        <v>#DIV/0!</v>
      </c>
    </row>
    <row r="13" spans="2:33" ht="12.75" customHeight="1">
      <c r="B13" s="14" t="s">
        <v>28</v>
      </c>
      <c r="C13" s="15" t="e">
        <f>SUM(C12/#REF!)-1</f>
        <v>#REF!</v>
      </c>
      <c r="D13" s="15" t="e">
        <f>SUM(D12/C12)-1</f>
        <v>#DIV/0!</v>
      </c>
      <c r="E13" s="15" t="e">
        <f>SUM(E12/D12)-1</f>
        <v>#DIV/0!</v>
      </c>
      <c r="F13" s="15" t="e">
        <f>SUM(F12/E12)-1</f>
        <v>#DIV/0!</v>
      </c>
      <c r="G13" s="11"/>
      <c r="H13" s="99"/>
      <c r="I13" s="99"/>
      <c r="J13" s="99"/>
      <c r="K13" s="99"/>
      <c r="L13" s="15" t="e">
        <f t="shared" ref="L13:S13" si="17">SUM(L12/H12)-1</f>
        <v>#DIV/0!</v>
      </c>
      <c r="M13" s="15" t="e">
        <f t="shared" si="17"/>
        <v>#DIV/0!</v>
      </c>
      <c r="N13" s="15" t="e">
        <f t="shared" si="17"/>
        <v>#DIV/0!</v>
      </c>
      <c r="O13" s="15" t="e">
        <f t="shared" si="17"/>
        <v>#DIV/0!</v>
      </c>
      <c r="P13" s="15" t="e">
        <f t="shared" si="17"/>
        <v>#DIV/0!</v>
      </c>
      <c r="Q13" s="15" t="e">
        <f t="shared" si="17"/>
        <v>#DIV/0!</v>
      </c>
      <c r="R13" s="15" t="e">
        <f t="shared" si="17"/>
        <v>#DIV/0!</v>
      </c>
      <c r="S13" s="15" t="e">
        <f t="shared" si="17"/>
        <v>#DIV/0!</v>
      </c>
      <c r="T13" s="15" t="e">
        <f t="shared" ref="T13" si="18">SUM(T12/P12)-1</f>
        <v>#DIV/0!</v>
      </c>
      <c r="U13" s="5"/>
      <c r="V13" s="99"/>
      <c r="W13" s="99"/>
      <c r="X13" s="99"/>
      <c r="Y13" s="99"/>
      <c r="Z13" s="15" t="e">
        <f t="shared" ref="Z13:AE13" si="19">SUM(Z12/V12)-1</f>
        <v>#DIV/0!</v>
      </c>
      <c r="AA13" s="15" t="e">
        <f t="shared" si="19"/>
        <v>#DIV/0!</v>
      </c>
      <c r="AB13" s="15" t="e">
        <f t="shared" si="19"/>
        <v>#DIV/0!</v>
      </c>
      <c r="AC13" s="15" t="e">
        <f t="shared" si="19"/>
        <v>#DIV/0!</v>
      </c>
      <c r="AD13" s="15" t="e">
        <f t="shared" si="19"/>
        <v>#DIV/0!</v>
      </c>
      <c r="AE13" s="15" t="e">
        <f t="shared" si="19"/>
        <v>#DIV/0!</v>
      </c>
      <c r="AG13" s="110" t="e">
        <f>SUM(AE13-AA13)*10000</f>
        <v>#DIV/0!</v>
      </c>
    </row>
    <row r="14" spans="2:33" ht="12.75" customHeight="1">
      <c r="B14" s="14" t="s">
        <v>29</v>
      </c>
      <c r="C14" s="15" t="s">
        <v>30</v>
      </c>
      <c r="D14" s="15" t="s">
        <v>30</v>
      </c>
      <c r="E14" s="15" t="s">
        <v>30</v>
      </c>
      <c r="F14" s="15" t="s">
        <v>30</v>
      </c>
      <c r="G14" s="11"/>
      <c r="H14" s="99"/>
      <c r="I14" s="15" t="e">
        <f>SUM(I12/H12)-1</f>
        <v>#DIV/0!</v>
      </c>
      <c r="J14" s="15" t="e">
        <f>SUM(J12/I12)-1</f>
        <v>#DIV/0!</v>
      </c>
      <c r="K14" s="15" t="e">
        <f>SUM(K12/J12)-1</f>
        <v>#DIV/0!</v>
      </c>
      <c r="L14" s="15" t="e">
        <f>SUM(L12/K12)-1</f>
        <v>#DIV/0!</v>
      </c>
      <c r="M14" s="15" t="e">
        <f t="shared" ref="M14:S14" si="20">SUM(M12/L12)-1</f>
        <v>#DIV/0!</v>
      </c>
      <c r="N14" s="15" t="e">
        <f t="shared" si="20"/>
        <v>#DIV/0!</v>
      </c>
      <c r="O14" s="15" t="e">
        <f t="shared" si="20"/>
        <v>#DIV/0!</v>
      </c>
      <c r="P14" s="15" t="e">
        <f t="shared" si="20"/>
        <v>#DIV/0!</v>
      </c>
      <c r="Q14" s="15" t="e">
        <f t="shared" si="20"/>
        <v>#DIV/0!</v>
      </c>
      <c r="R14" s="15" t="e">
        <f t="shared" si="20"/>
        <v>#DIV/0!</v>
      </c>
      <c r="S14" s="15" t="e">
        <f t="shared" si="20"/>
        <v>#DIV/0!</v>
      </c>
      <c r="T14" s="15" t="e">
        <f t="shared" ref="T14" si="21">SUM(T12/S12)-1</f>
        <v>#DIV/0!</v>
      </c>
      <c r="U14" s="5"/>
      <c r="V14" s="15" t="s">
        <v>30</v>
      </c>
      <c r="W14" s="15" t="s">
        <v>30</v>
      </c>
      <c r="X14" s="15" t="s">
        <v>30</v>
      </c>
      <c r="Y14" s="15" t="s">
        <v>30</v>
      </c>
      <c r="Z14" s="15" t="s">
        <v>30</v>
      </c>
      <c r="AA14" s="15" t="s">
        <v>30</v>
      </c>
      <c r="AB14" s="15" t="s">
        <v>30</v>
      </c>
      <c r="AC14" s="15" t="s">
        <v>30</v>
      </c>
      <c r="AD14" s="15" t="s">
        <v>30</v>
      </c>
      <c r="AE14" s="15" t="s">
        <v>30</v>
      </c>
      <c r="AG14" s="107"/>
    </row>
    <row r="15" spans="2:33" ht="5.0999999999999996" customHeight="1">
      <c r="B15" s="16"/>
      <c r="C15" s="17"/>
      <c r="D15" s="17"/>
      <c r="E15" s="17"/>
      <c r="F15" s="17"/>
      <c r="G15" s="18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07"/>
    </row>
    <row r="16" spans="2:33" ht="12.75" customHeight="1">
      <c r="B16" s="21" t="s">
        <v>31</v>
      </c>
      <c r="C16" s="80"/>
      <c r="D16" s="80"/>
      <c r="E16" s="80"/>
      <c r="F16" s="80"/>
      <c r="G16" s="1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5"/>
      <c r="V16" s="131">
        <f t="shared" ref="V16" si="22">SUM(H16:K16)</f>
        <v>0</v>
      </c>
      <c r="W16" s="131">
        <f t="shared" ref="W16" si="23">SUM(I16:L16)</f>
        <v>0</v>
      </c>
      <c r="X16" s="131">
        <f t="shared" ref="X16" si="24">SUM(J16:M16)</f>
        <v>0</v>
      </c>
      <c r="Y16" s="131">
        <f t="shared" ref="Y16" si="25">SUM(K16:N16)</f>
        <v>0</v>
      </c>
      <c r="Z16" s="131">
        <f t="shared" ref="Z16" si="26">SUM(L16:O16)</f>
        <v>0</v>
      </c>
      <c r="AA16" s="131">
        <f t="shared" ref="AA16" si="27">SUM(M16:P16)</f>
        <v>0</v>
      </c>
      <c r="AB16" s="131">
        <f t="shared" ref="AB16" si="28">SUM(N16:Q16)</f>
        <v>0</v>
      </c>
      <c r="AC16" s="131">
        <f t="shared" ref="AC16" si="29">SUM(O16:R16)</f>
        <v>0</v>
      </c>
      <c r="AD16" s="131">
        <f t="shared" ref="AD16" si="30">SUM(P16:S16)</f>
        <v>0</v>
      </c>
      <c r="AE16" s="131">
        <f>SUM(Q16:T16)</f>
        <v>0</v>
      </c>
      <c r="AG16" s="108" t="e">
        <f>SUM(AE16/AA16)-1</f>
        <v>#DIV/0!</v>
      </c>
    </row>
    <row r="17" spans="2:33" ht="12.75" customHeight="1">
      <c r="B17" s="23" t="s">
        <v>22</v>
      </c>
      <c r="C17" s="24">
        <f t="shared" ref="C17:F17" si="31">SUM(C12+SUM(C16:C16))</f>
        <v>0</v>
      </c>
      <c r="D17" s="24">
        <f t="shared" si="31"/>
        <v>0</v>
      </c>
      <c r="E17" s="24">
        <f t="shared" si="31"/>
        <v>0</v>
      </c>
      <c r="F17" s="24">
        <f t="shared" si="31"/>
        <v>0</v>
      </c>
      <c r="G17" s="5"/>
      <c r="H17" s="24">
        <f>SUM(H12+SUM(H16:H16))</f>
        <v>0</v>
      </c>
      <c r="I17" s="24">
        <f>SUM(I12+SUM(I16:I16))</f>
        <v>0</v>
      </c>
      <c r="J17" s="24">
        <f>SUM(J12+SUM(J16:J16))</f>
        <v>0</v>
      </c>
      <c r="K17" s="24">
        <f>SUM(K12+SUM(K16:K16))</f>
        <v>0</v>
      </c>
      <c r="L17" s="24">
        <f t="shared" ref="L17:Q17" si="32">SUM(L12+SUM(L16:L16))</f>
        <v>0</v>
      </c>
      <c r="M17" s="24">
        <f t="shared" si="32"/>
        <v>0</v>
      </c>
      <c r="N17" s="24">
        <f t="shared" si="32"/>
        <v>0</v>
      </c>
      <c r="O17" s="24">
        <f t="shared" si="32"/>
        <v>0</v>
      </c>
      <c r="P17" s="24">
        <f t="shared" si="32"/>
        <v>0</v>
      </c>
      <c r="Q17" s="24">
        <f t="shared" si="32"/>
        <v>0</v>
      </c>
      <c r="R17" s="24">
        <f t="shared" ref="R17:S17" si="33">SUM(R12+SUM(R16:R16))</f>
        <v>0</v>
      </c>
      <c r="S17" s="24">
        <f t="shared" si="33"/>
        <v>0</v>
      </c>
      <c r="T17" s="24">
        <f t="shared" ref="T17" si="34">SUM(T12+SUM(T16:T16))</f>
        <v>0</v>
      </c>
      <c r="U17" s="5"/>
      <c r="V17" s="24">
        <f t="shared" ref="V17" si="35">SUM(V12+SUM(V16:V16))</f>
        <v>0</v>
      </c>
      <c r="W17" s="24">
        <f t="shared" ref="W17:AE17" si="36">SUM(W12+SUM(W16:W16))</f>
        <v>0</v>
      </c>
      <c r="X17" s="24">
        <f t="shared" si="36"/>
        <v>0</v>
      </c>
      <c r="Y17" s="24">
        <f t="shared" si="36"/>
        <v>0</v>
      </c>
      <c r="Z17" s="24">
        <f t="shared" si="36"/>
        <v>0</v>
      </c>
      <c r="AA17" s="24">
        <f t="shared" si="36"/>
        <v>0</v>
      </c>
      <c r="AB17" s="24">
        <f t="shared" si="36"/>
        <v>0</v>
      </c>
      <c r="AC17" s="24">
        <f t="shared" si="36"/>
        <v>0</v>
      </c>
      <c r="AD17" s="24">
        <f t="shared" si="36"/>
        <v>0</v>
      </c>
      <c r="AE17" s="24">
        <f t="shared" si="36"/>
        <v>0</v>
      </c>
      <c r="AG17" s="109" t="e">
        <f>SUM(AE17/AA17)-1</f>
        <v>#DIV/0!</v>
      </c>
    </row>
    <row r="18" spans="2:33" ht="12.75" customHeight="1">
      <c r="B18" s="14" t="s">
        <v>32</v>
      </c>
      <c r="C18" s="15" t="e">
        <f t="shared" ref="C18:F18" si="37">C17/C12</f>
        <v>#DIV/0!</v>
      </c>
      <c r="D18" s="15" t="e">
        <f t="shared" si="37"/>
        <v>#DIV/0!</v>
      </c>
      <c r="E18" s="15" t="e">
        <f t="shared" si="37"/>
        <v>#DIV/0!</v>
      </c>
      <c r="F18" s="15" t="e">
        <f t="shared" si="37"/>
        <v>#DIV/0!</v>
      </c>
      <c r="G18" s="25"/>
      <c r="H18" s="15" t="e">
        <f>H17/H12</f>
        <v>#DIV/0!</v>
      </c>
      <c r="I18" s="15" t="e">
        <f>I17/I12</f>
        <v>#DIV/0!</v>
      </c>
      <c r="J18" s="15" t="e">
        <f>J17/J12</f>
        <v>#DIV/0!</v>
      </c>
      <c r="K18" s="15" t="e">
        <f>K17/K12</f>
        <v>#DIV/0!</v>
      </c>
      <c r="L18" s="15" t="e">
        <f t="shared" ref="L18:Q18" si="38">L17/L12</f>
        <v>#DIV/0!</v>
      </c>
      <c r="M18" s="15" t="e">
        <f t="shared" si="38"/>
        <v>#DIV/0!</v>
      </c>
      <c r="N18" s="15" t="e">
        <f t="shared" si="38"/>
        <v>#DIV/0!</v>
      </c>
      <c r="O18" s="15" t="e">
        <f t="shared" si="38"/>
        <v>#DIV/0!</v>
      </c>
      <c r="P18" s="15" t="e">
        <f t="shared" si="38"/>
        <v>#DIV/0!</v>
      </c>
      <c r="Q18" s="15" t="e">
        <f t="shared" si="38"/>
        <v>#DIV/0!</v>
      </c>
      <c r="R18" s="15" t="e">
        <f t="shared" ref="R18:S18" si="39">R17/R12</f>
        <v>#DIV/0!</v>
      </c>
      <c r="S18" s="15" t="e">
        <f t="shared" si="39"/>
        <v>#DIV/0!</v>
      </c>
      <c r="T18" s="15" t="e">
        <f t="shared" ref="T18" si="40">T17/T12</f>
        <v>#DIV/0!</v>
      </c>
      <c r="U18" s="26"/>
      <c r="V18" s="15" t="e">
        <f t="shared" ref="V18" si="41">V17/V12</f>
        <v>#DIV/0!</v>
      </c>
      <c r="W18" s="15" t="e">
        <f t="shared" ref="W18:AE18" si="42">W17/W12</f>
        <v>#DIV/0!</v>
      </c>
      <c r="X18" s="15" t="e">
        <f t="shared" si="42"/>
        <v>#DIV/0!</v>
      </c>
      <c r="Y18" s="15" t="e">
        <f t="shared" si="42"/>
        <v>#DIV/0!</v>
      </c>
      <c r="Z18" s="15" t="e">
        <f t="shared" si="42"/>
        <v>#DIV/0!</v>
      </c>
      <c r="AA18" s="15" t="e">
        <f t="shared" si="42"/>
        <v>#DIV/0!</v>
      </c>
      <c r="AB18" s="15" t="e">
        <f t="shared" si="42"/>
        <v>#DIV/0!</v>
      </c>
      <c r="AC18" s="15" t="e">
        <f t="shared" si="42"/>
        <v>#DIV/0!</v>
      </c>
      <c r="AD18" s="15" t="e">
        <f t="shared" si="42"/>
        <v>#DIV/0!</v>
      </c>
      <c r="AE18" s="15" t="e">
        <f t="shared" si="42"/>
        <v>#DIV/0!</v>
      </c>
      <c r="AG18" s="110" t="e">
        <f>SUM(AE18-AA18)*10000</f>
        <v>#DIV/0!</v>
      </c>
    </row>
    <row r="19" spans="2:33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5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G19" s="107"/>
    </row>
    <row r="20" spans="2:33" ht="12.75" customHeight="1">
      <c r="B20" s="21" t="s">
        <v>116</v>
      </c>
      <c r="C20" s="132"/>
      <c r="D20" s="132"/>
      <c r="E20" s="132"/>
      <c r="F20" s="132"/>
      <c r="G20" s="80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5"/>
      <c r="V20" s="131">
        <f t="shared" ref="V20:V24" si="43">SUM(H20:K20)</f>
        <v>0</v>
      </c>
      <c r="W20" s="131">
        <f t="shared" ref="W20:W24" si="44">SUM(I20:L20)</f>
        <v>0</v>
      </c>
      <c r="X20" s="131">
        <f t="shared" ref="X20:X24" si="45">SUM(J20:M20)</f>
        <v>0</v>
      </c>
      <c r="Y20" s="131">
        <f t="shared" ref="Y20:Y24" si="46">SUM(K20:N20)</f>
        <v>0</v>
      </c>
      <c r="Z20" s="131">
        <f t="shared" ref="Z20:Z24" si="47">SUM(L20:O20)</f>
        <v>0</v>
      </c>
      <c r="AA20" s="131">
        <f t="shared" ref="AA20:AA24" si="48">SUM(M20:P20)</f>
        <v>0</v>
      </c>
      <c r="AB20" s="131">
        <f t="shared" ref="AB20:AB24" si="49">SUM(N20:Q20)</f>
        <v>0</v>
      </c>
      <c r="AC20" s="131">
        <f t="shared" ref="AC20:AC24" si="50">SUM(O20:R20)</f>
        <v>0</v>
      </c>
      <c r="AD20" s="131">
        <f t="shared" ref="AD20:AD24" si="51">SUM(P20:S20)</f>
        <v>0</v>
      </c>
      <c r="AE20" s="131">
        <f t="shared" ref="AE20:AE24" si="52">SUM(Q20:T20)</f>
        <v>0</v>
      </c>
      <c r="AG20" s="108" t="e">
        <f>SUM(AE20/AA20)-1</f>
        <v>#DIV/0!</v>
      </c>
    </row>
    <row r="21" spans="2:33" ht="12.75" customHeight="1">
      <c r="B21" s="21" t="s">
        <v>116</v>
      </c>
      <c r="C21" s="132"/>
      <c r="D21" s="132"/>
      <c r="E21" s="132"/>
      <c r="F21" s="132"/>
      <c r="G21" s="80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5"/>
      <c r="V21" s="131">
        <f t="shared" ref="V21:V23" si="53">SUM(H21:K21)</f>
        <v>0</v>
      </c>
      <c r="W21" s="131">
        <f t="shared" ref="W21:W23" si="54">SUM(I21:L21)</f>
        <v>0</v>
      </c>
      <c r="X21" s="131">
        <f t="shared" ref="X21:X23" si="55">SUM(J21:M21)</f>
        <v>0</v>
      </c>
      <c r="Y21" s="131">
        <f t="shared" ref="Y21:Y23" si="56">SUM(K21:N21)</f>
        <v>0</v>
      </c>
      <c r="Z21" s="131">
        <f t="shared" ref="Z21:Z23" si="57">SUM(L21:O21)</f>
        <v>0</v>
      </c>
      <c r="AA21" s="131">
        <f t="shared" ref="AA21:AA23" si="58">SUM(M21:P21)</f>
        <v>0</v>
      </c>
      <c r="AB21" s="131">
        <f t="shared" ref="AB21:AB23" si="59">SUM(N21:Q21)</f>
        <v>0</v>
      </c>
      <c r="AC21" s="131">
        <f t="shared" ref="AC21:AC23" si="60">SUM(O21:R21)</f>
        <v>0</v>
      </c>
      <c r="AD21" s="131">
        <f t="shared" ref="AD21:AD23" si="61">SUM(P21:S21)</f>
        <v>0</v>
      </c>
      <c r="AE21" s="131">
        <f t="shared" ref="AE21:AE23" si="62">SUM(Q21:T21)</f>
        <v>0</v>
      </c>
      <c r="AG21" s="108" t="e">
        <f t="shared" ref="AG21:AG23" si="63">SUM(AE21/AA21)-1</f>
        <v>#DIV/0!</v>
      </c>
    </row>
    <row r="22" spans="2:33" ht="12.75" customHeight="1">
      <c r="B22" s="21" t="s">
        <v>116</v>
      </c>
      <c r="C22" s="132"/>
      <c r="D22" s="132"/>
      <c r="E22" s="132"/>
      <c r="F22" s="132"/>
      <c r="G22" s="80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5"/>
      <c r="V22" s="131">
        <f t="shared" si="53"/>
        <v>0</v>
      </c>
      <c r="W22" s="131">
        <f t="shared" si="54"/>
        <v>0</v>
      </c>
      <c r="X22" s="131">
        <f t="shared" si="55"/>
        <v>0</v>
      </c>
      <c r="Y22" s="131">
        <f t="shared" si="56"/>
        <v>0</v>
      </c>
      <c r="Z22" s="131">
        <f t="shared" si="57"/>
        <v>0</v>
      </c>
      <c r="AA22" s="131">
        <f t="shared" si="58"/>
        <v>0</v>
      </c>
      <c r="AB22" s="131">
        <f t="shared" si="59"/>
        <v>0</v>
      </c>
      <c r="AC22" s="131">
        <f t="shared" si="60"/>
        <v>0</v>
      </c>
      <c r="AD22" s="131">
        <f t="shared" si="61"/>
        <v>0</v>
      </c>
      <c r="AE22" s="131">
        <f t="shared" si="62"/>
        <v>0</v>
      </c>
      <c r="AG22" s="108" t="e">
        <f t="shared" si="63"/>
        <v>#DIV/0!</v>
      </c>
    </row>
    <row r="23" spans="2:33" ht="12.75" customHeight="1">
      <c r="B23" s="21" t="s">
        <v>116</v>
      </c>
      <c r="C23" s="132"/>
      <c r="D23" s="132"/>
      <c r="E23" s="132"/>
      <c r="F23" s="132"/>
      <c r="G23" s="80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5"/>
      <c r="V23" s="131">
        <f t="shared" si="53"/>
        <v>0</v>
      </c>
      <c r="W23" s="131">
        <f t="shared" si="54"/>
        <v>0</v>
      </c>
      <c r="X23" s="131">
        <f t="shared" si="55"/>
        <v>0</v>
      </c>
      <c r="Y23" s="131">
        <f t="shared" si="56"/>
        <v>0</v>
      </c>
      <c r="Z23" s="131">
        <f t="shared" si="57"/>
        <v>0</v>
      </c>
      <c r="AA23" s="131">
        <f t="shared" si="58"/>
        <v>0</v>
      </c>
      <c r="AB23" s="131">
        <f t="shared" si="59"/>
        <v>0</v>
      </c>
      <c r="AC23" s="131">
        <f t="shared" si="60"/>
        <v>0</v>
      </c>
      <c r="AD23" s="131">
        <f t="shared" si="61"/>
        <v>0</v>
      </c>
      <c r="AE23" s="131">
        <f t="shared" si="62"/>
        <v>0</v>
      </c>
      <c r="AG23" s="108" t="e">
        <f t="shared" si="63"/>
        <v>#DIV/0!</v>
      </c>
    </row>
    <row r="24" spans="2:33" ht="12.75" customHeight="1">
      <c r="B24" s="21" t="s">
        <v>116</v>
      </c>
      <c r="C24" s="132"/>
      <c r="D24" s="132"/>
      <c r="E24" s="132"/>
      <c r="F24" s="132"/>
      <c r="G24" s="8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5"/>
      <c r="V24" s="131">
        <f t="shared" si="43"/>
        <v>0</v>
      </c>
      <c r="W24" s="131">
        <f t="shared" si="44"/>
        <v>0</v>
      </c>
      <c r="X24" s="131">
        <f t="shared" si="45"/>
        <v>0</v>
      </c>
      <c r="Y24" s="131">
        <f t="shared" si="46"/>
        <v>0</v>
      </c>
      <c r="Z24" s="131">
        <f t="shared" si="47"/>
        <v>0</v>
      </c>
      <c r="AA24" s="131">
        <f t="shared" si="48"/>
        <v>0</v>
      </c>
      <c r="AB24" s="131">
        <f t="shared" si="49"/>
        <v>0</v>
      </c>
      <c r="AC24" s="131">
        <f t="shared" si="50"/>
        <v>0</v>
      </c>
      <c r="AD24" s="131">
        <f t="shared" si="51"/>
        <v>0</v>
      </c>
      <c r="AE24" s="131">
        <f t="shared" si="52"/>
        <v>0</v>
      </c>
      <c r="AG24" s="108" t="e">
        <f>SUM(AE24/AA24)-1</f>
        <v>#DIV/0!</v>
      </c>
    </row>
    <row r="25" spans="2:33" ht="12.75" customHeight="1">
      <c r="B25" s="12" t="s">
        <v>33</v>
      </c>
      <c r="C25" s="13">
        <f>SUM(C17+SUM(C20:C24))</f>
        <v>0</v>
      </c>
      <c r="D25" s="13">
        <f>SUM(D17+SUM(D20:D24))</f>
        <v>0</v>
      </c>
      <c r="E25" s="13">
        <f>SUM(E17+SUM(E20:E24))</f>
        <v>0</v>
      </c>
      <c r="F25" s="13">
        <f>SUM(F17+SUM(F20:F24))</f>
        <v>0</v>
      </c>
      <c r="G25" s="11"/>
      <c r="H25" s="13">
        <f t="shared" ref="H25:S25" si="64">SUM(H17+SUM(H20:H24))</f>
        <v>0</v>
      </c>
      <c r="I25" s="13">
        <f t="shared" si="64"/>
        <v>0</v>
      </c>
      <c r="J25" s="13">
        <f t="shared" si="64"/>
        <v>0</v>
      </c>
      <c r="K25" s="13">
        <f t="shared" si="64"/>
        <v>0</v>
      </c>
      <c r="L25" s="13">
        <f t="shared" si="64"/>
        <v>0</v>
      </c>
      <c r="M25" s="13">
        <f t="shared" si="64"/>
        <v>0</v>
      </c>
      <c r="N25" s="13">
        <f t="shared" si="64"/>
        <v>0</v>
      </c>
      <c r="O25" s="13">
        <f t="shared" si="64"/>
        <v>0</v>
      </c>
      <c r="P25" s="13">
        <f t="shared" si="64"/>
        <v>0</v>
      </c>
      <c r="Q25" s="13">
        <f t="shared" si="64"/>
        <v>0</v>
      </c>
      <c r="R25" s="13">
        <f t="shared" si="64"/>
        <v>0</v>
      </c>
      <c r="S25" s="13">
        <f t="shared" si="64"/>
        <v>0</v>
      </c>
      <c r="T25" s="13">
        <f t="shared" ref="T25" si="65">SUM(T17+SUM(T20:T24))</f>
        <v>0</v>
      </c>
      <c r="U25" s="5"/>
      <c r="V25" s="13">
        <f t="shared" ref="V25:AE25" si="66">SUM(V17+SUM(V20:V24))</f>
        <v>0</v>
      </c>
      <c r="W25" s="13">
        <f t="shared" si="66"/>
        <v>0</v>
      </c>
      <c r="X25" s="13">
        <f t="shared" si="66"/>
        <v>0</v>
      </c>
      <c r="Y25" s="13">
        <f t="shared" si="66"/>
        <v>0</v>
      </c>
      <c r="Z25" s="13">
        <f t="shared" si="66"/>
        <v>0</v>
      </c>
      <c r="AA25" s="13">
        <f t="shared" si="66"/>
        <v>0</v>
      </c>
      <c r="AB25" s="13">
        <f t="shared" si="66"/>
        <v>0</v>
      </c>
      <c r="AC25" s="13">
        <f t="shared" si="66"/>
        <v>0</v>
      </c>
      <c r="AD25" s="13">
        <f t="shared" si="66"/>
        <v>0</v>
      </c>
      <c r="AE25" s="13">
        <f t="shared" si="66"/>
        <v>0</v>
      </c>
      <c r="AG25" s="109" t="e">
        <f>SUM(AE25/AA25)-1</f>
        <v>#DIV/0!</v>
      </c>
    </row>
    <row r="26" spans="2:33" ht="12.75" customHeight="1">
      <c r="B26" s="14" t="s">
        <v>34</v>
      </c>
      <c r="C26" s="15" t="e">
        <f>C25/C12</f>
        <v>#DIV/0!</v>
      </c>
      <c r="D26" s="15" t="e">
        <f>D25/D12</f>
        <v>#DIV/0!</v>
      </c>
      <c r="E26" s="15" t="e">
        <f>E25/E12</f>
        <v>#DIV/0!</v>
      </c>
      <c r="F26" s="15" t="e">
        <f>F25/F12</f>
        <v>#DIV/0!</v>
      </c>
      <c r="G26" s="25"/>
      <c r="H26" s="15" t="e">
        <f t="shared" ref="H26:S26" si="67">H25/H12</f>
        <v>#DIV/0!</v>
      </c>
      <c r="I26" s="15" t="e">
        <f t="shared" si="67"/>
        <v>#DIV/0!</v>
      </c>
      <c r="J26" s="15" t="e">
        <f t="shared" si="67"/>
        <v>#DIV/0!</v>
      </c>
      <c r="K26" s="15" t="e">
        <f t="shared" si="67"/>
        <v>#DIV/0!</v>
      </c>
      <c r="L26" s="15" t="e">
        <f t="shared" si="67"/>
        <v>#DIV/0!</v>
      </c>
      <c r="M26" s="15" t="e">
        <f t="shared" si="67"/>
        <v>#DIV/0!</v>
      </c>
      <c r="N26" s="15" t="e">
        <f t="shared" si="67"/>
        <v>#DIV/0!</v>
      </c>
      <c r="O26" s="15" t="e">
        <f t="shared" si="67"/>
        <v>#DIV/0!</v>
      </c>
      <c r="P26" s="15" t="e">
        <f t="shared" si="67"/>
        <v>#DIV/0!</v>
      </c>
      <c r="Q26" s="15" t="e">
        <f t="shared" si="67"/>
        <v>#DIV/0!</v>
      </c>
      <c r="R26" s="15" t="e">
        <f t="shared" si="67"/>
        <v>#DIV/0!</v>
      </c>
      <c r="S26" s="15" t="e">
        <f t="shared" si="67"/>
        <v>#DIV/0!</v>
      </c>
      <c r="T26" s="15" t="e">
        <f t="shared" ref="T26" si="68">T25/T12</f>
        <v>#DIV/0!</v>
      </c>
      <c r="U26" s="26"/>
      <c r="V26" s="15" t="e">
        <f t="shared" ref="V26:AE26" si="69">V25/V12</f>
        <v>#DIV/0!</v>
      </c>
      <c r="W26" s="15" t="e">
        <f t="shared" si="69"/>
        <v>#DIV/0!</v>
      </c>
      <c r="X26" s="15" t="e">
        <f t="shared" si="69"/>
        <v>#DIV/0!</v>
      </c>
      <c r="Y26" s="15" t="e">
        <f t="shared" si="69"/>
        <v>#DIV/0!</v>
      </c>
      <c r="Z26" s="15" t="e">
        <f t="shared" si="69"/>
        <v>#DIV/0!</v>
      </c>
      <c r="AA26" s="15" t="e">
        <f t="shared" si="69"/>
        <v>#DIV/0!</v>
      </c>
      <c r="AB26" s="15" t="e">
        <f t="shared" si="69"/>
        <v>#DIV/0!</v>
      </c>
      <c r="AC26" s="15" t="e">
        <f t="shared" si="69"/>
        <v>#DIV/0!</v>
      </c>
      <c r="AD26" s="15" t="e">
        <f t="shared" si="69"/>
        <v>#DIV/0!</v>
      </c>
      <c r="AE26" s="15" t="e">
        <f t="shared" si="69"/>
        <v>#DIV/0!</v>
      </c>
      <c r="AG26" s="110" t="e">
        <f>SUM(AE26-AA26)*10000</f>
        <v>#DIV/0!</v>
      </c>
    </row>
    <row r="27" spans="2:33" ht="5.0999999999999996" customHeight="1">
      <c r="AG27" s="107"/>
    </row>
    <row r="28" spans="2:33" ht="12.75" customHeight="1">
      <c r="B28" s="29" t="s">
        <v>101</v>
      </c>
      <c r="C28" s="132"/>
      <c r="D28" s="132"/>
      <c r="E28" s="132"/>
      <c r="F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V28" s="131">
        <f t="shared" ref="V28" si="70">SUM(H28:K28)</f>
        <v>0</v>
      </c>
      <c r="W28" s="131">
        <f t="shared" ref="W28" si="71">SUM(I28:L28)</f>
        <v>0</v>
      </c>
      <c r="X28" s="131">
        <f t="shared" ref="X28" si="72">SUM(J28:M28)</f>
        <v>0</v>
      </c>
      <c r="Y28" s="131">
        <f t="shared" ref="Y28" si="73">SUM(K28:N28)</f>
        <v>0</v>
      </c>
      <c r="Z28" s="131">
        <f t="shared" ref="Z28" si="74">SUM(L28:O28)</f>
        <v>0</v>
      </c>
      <c r="AA28" s="131">
        <f t="shared" ref="AA28" si="75">SUM(M28:P28)</f>
        <v>0</v>
      </c>
      <c r="AB28" s="131">
        <f t="shared" ref="AB28" si="76">SUM(N28:Q28)</f>
        <v>0</v>
      </c>
      <c r="AC28" s="131">
        <f t="shared" ref="AC28" si="77">SUM(O28:R28)</f>
        <v>0</v>
      </c>
      <c r="AD28" s="131">
        <f t="shared" ref="AD28" si="78">SUM(P28:S28)</f>
        <v>0</v>
      </c>
      <c r="AE28" s="131">
        <f>SUM(Q28:T28)</f>
        <v>0</v>
      </c>
      <c r="AG28" s="108" t="e">
        <f>SUM(AE28/AA28)-1</f>
        <v>#DIV/0!</v>
      </c>
    </row>
    <row r="29" spans="2:33" ht="12.75" customHeight="1">
      <c r="B29" s="23" t="s">
        <v>11</v>
      </c>
      <c r="C29" s="24">
        <f t="shared" ref="C29:F29" si="79">SUM(C25+SUM(C28:C28))</f>
        <v>0</v>
      </c>
      <c r="D29" s="24">
        <f t="shared" si="79"/>
        <v>0</v>
      </c>
      <c r="E29" s="24">
        <f t="shared" si="79"/>
        <v>0</v>
      </c>
      <c r="F29" s="24">
        <f t="shared" si="79"/>
        <v>0</v>
      </c>
      <c r="H29" s="24">
        <f t="shared" ref="H29:Q29" si="80">SUM(H25+SUM(H28:H28))</f>
        <v>0</v>
      </c>
      <c r="I29" s="24">
        <f t="shared" si="80"/>
        <v>0</v>
      </c>
      <c r="J29" s="24">
        <f t="shared" si="80"/>
        <v>0</v>
      </c>
      <c r="K29" s="24">
        <f t="shared" si="80"/>
        <v>0</v>
      </c>
      <c r="L29" s="24">
        <f t="shared" si="80"/>
        <v>0</v>
      </c>
      <c r="M29" s="24">
        <f t="shared" si="80"/>
        <v>0</v>
      </c>
      <c r="N29" s="24">
        <f t="shared" si="80"/>
        <v>0</v>
      </c>
      <c r="O29" s="24">
        <f t="shared" si="80"/>
        <v>0</v>
      </c>
      <c r="P29" s="24">
        <f t="shared" si="80"/>
        <v>0</v>
      </c>
      <c r="Q29" s="24">
        <f t="shared" si="80"/>
        <v>0</v>
      </c>
      <c r="R29" s="24">
        <f t="shared" ref="R29:S29" si="81">SUM(R25+SUM(R28:R28))</f>
        <v>0</v>
      </c>
      <c r="S29" s="24">
        <f t="shared" si="81"/>
        <v>0</v>
      </c>
      <c r="T29" s="24">
        <f t="shared" ref="T29" si="82">SUM(T25+SUM(T28:T28))</f>
        <v>0</v>
      </c>
      <c r="V29" s="24">
        <f t="shared" ref="V29" si="83">SUM(V25+SUM(V28:V28))</f>
        <v>0</v>
      </c>
      <c r="W29" s="24">
        <f t="shared" ref="W29:AE29" si="84">SUM(W25+SUM(W28:W28))</f>
        <v>0</v>
      </c>
      <c r="X29" s="24">
        <f t="shared" si="84"/>
        <v>0</v>
      </c>
      <c r="Y29" s="24">
        <f t="shared" si="84"/>
        <v>0</v>
      </c>
      <c r="Z29" s="24">
        <f t="shared" si="84"/>
        <v>0</v>
      </c>
      <c r="AA29" s="24">
        <f t="shared" si="84"/>
        <v>0</v>
      </c>
      <c r="AB29" s="24">
        <f t="shared" si="84"/>
        <v>0</v>
      </c>
      <c r="AC29" s="24">
        <f t="shared" si="84"/>
        <v>0</v>
      </c>
      <c r="AD29" s="24">
        <f t="shared" si="84"/>
        <v>0</v>
      </c>
      <c r="AE29" s="24">
        <f t="shared" si="84"/>
        <v>0</v>
      </c>
      <c r="AG29" s="109" t="e">
        <f>SUM(AE29/AA29)-1</f>
        <v>#DIV/0!</v>
      </c>
    </row>
    <row r="30" spans="2:33" ht="12.75" customHeight="1">
      <c r="B30" s="14" t="s">
        <v>35</v>
      </c>
      <c r="C30" s="15" t="e">
        <f>C29/C12</f>
        <v>#DIV/0!</v>
      </c>
      <c r="D30" s="15" t="e">
        <f>D29/D12</f>
        <v>#DIV/0!</v>
      </c>
      <c r="E30" s="15" t="e">
        <f>E29/E12</f>
        <v>#DIV/0!</v>
      </c>
      <c r="F30" s="15" t="e">
        <f>F29/F12</f>
        <v>#DIV/0!</v>
      </c>
      <c r="H30" s="15" t="e">
        <f t="shared" ref="H30:S30" si="85">H29/H12</f>
        <v>#DIV/0!</v>
      </c>
      <c r="I30" s="15" t="e">
        <f t="shared" si="85"/>
        <v>#DIV/0!</v>
      </c>
      <c r="J30" s="15" t="e">
        <f t="shared" si="85"/>
        <v>#DIV/0!</v>
      </c>
      <c r="K30" s="15" t="e">
        <f t="shared" si="85"/>
        <v>#DIV/0!</v>
      </c>
      <c r="L30" s="15" t="e">
        <f t="shared" si="85"/>
        <v>#DIV/0!</v>
      </c>
      <c r="M30" s="15" t="e">
        <f t="shared" si="85"/>
        <v>#DIV/0!</v>
      </c>
      <c r="N30" s="15" t="e">
        <f t="shared" si="85"/>
        <v>#DIV/0!</v>
      </c>
      <c r="O30" s="15" t="e">
        <f t="shared" si="85"/>
        <v>#DIV/0!</v>
      </c>
      <c r="P30" s="15" t="e">
        <f t="shared" si="85"/>
        <v>#DIV/0!</v>
      </c>
      <c r="Q30" s="15" t="e">
        <f t="shared" si="85"/>
        <v>#DIV/0!</v>
      </c>
      <c r="R30" s="15" t="e">
        <f t="shared" si="85"/>
        <v>#DIV/0!</v>
      </c>
      <c r="S30" s="15" t="e">
        <f t="shared" si="85"/>
        <v>#DIV/0!</v>
      </c>
      <c r="T30" s="15" t="e">
        <f t="shared" ref="T30" si="86">T29/T12</f>
        <v>#DIV/0!</v>
      </c>
      <c r="V30" s="15" t="e">
        <f t="shared" ref="V30:AE30" si="87">V29/V12</f>
        <v>#DIV/0!</v>
      </c>
      <c r="W30" s="15" t="e">
        <f t="shared" si="87"/>
        <v>#DIV/0!</v>
      </c>
      <c r="X30" s="15" t="e">
        <f t="shared" si="87"/>
        <v>#DIV/0!</v>
      </c>
      <c r="Y30" s="15" t="e">
        <f t="shared" si="87"/>
        <v>#DIV/0!</v>
      </c>
      <c r="Z30" s="15" t="e">
        <f t="shared" si="87"/>
        <v>#DIV/0!</v>
      </c>
      <c r="AA30" s="15" t="e">
        <f t="shared" si="87"/>
        <v>#DIV/0!</v>
      </c>
      <c r="AB30" s="15" t="e">
        <f t="shared" si="87"/>
        <v>#DIV/0!</v>
      </c>
      <c r="AC30" s="15" t="e">
        <f t="shared" si="87"/>
        <v>#DIV/0!</v>
      </c>
      <c r="AD30" s="15" t="e">
        <f t="shared" si="87"/>
        <v>#DIV/0!</v>
      </c>
      <c r="AE30" s="15" t="e">
        <f t="shared" si="87"/>
        <v>#DIV/0!</v>
      </c>
      <c r="AG30" s="110" t="e">
        <f>SUM(AE30-AA30)*10000</f>
        <v>#DIV/0!</v>
      </c>
    </row>
    <row r="31" spans="2:33" ht="5.0999999999999996" customHeight="1">
      <c r="AG31" s="107"/>
    </row>
    <row r="32" spans="2:33" ht="12.75" customHeight="1">
      <c r="B32" s="29" t="s">
        <v>102</v>
      </c>
      <c r="C32" s="132"/>
      <c r="D32" s="132"/>
      <c r="E32" s="132"/>
      <c r="F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V32" s="131">
        <f t="shared" ref="V32:V33" si="88">SUM(H32:K32)</f>
        <v>0</v>
      </c>
      <c r="W32" s="131">
        <f t="shared" ref="W32:W33" si="89">SUM(I32:L32)</f>
        <v>0</v>
      </c>
      <c r="X32" s="131">
        <f t="shared" ref="X32:X33" si="90">SUM(J32:M32)</f>
        <v>0</v>
      </c>
      <c r="Y32" s="131">
        <f t="shared" ref="Y32:Y33" si="91">SUM(K32:N32)</f>
        <v>0</v>
      </c>
      <c r="Z32" s="131">
        <f t="shared" ref="Z32:Z33" si="92">SUM(L32:O32)</f>
        <v>0</v>
      </c>
      <c r="AA32" s="131">
        <f t="shared" ref="AA32:AA33" si="93">SUM(M32:P32)</f>
        <v>0</v>
      </c>
      <c r="AB32" s="131">
        <f t="shared" ref="AB32:AB33" si="94">SUM(N32:Q32)</f>
        <v>0</v>
      </c>
      <c r="AC32" s="131">
        <f t="shared" ref="AC32:AC33" si="95">SUM(O32:R32)</f>
        <v>0</v>
      </c>
      <c r="AD32" s="131">
        <f t="shared" ref="AD32:AD33" si="96">SUM(P32:S32)</f>
        <v>0</v>
      </c>
      <c r="AE32" s="131">
        <f t="shared" ref="AE32:AE33" si="97">SUM(Q32:T32)</f>
        <v>0</v>
      </c>
      <c r="AG32" s="108" t="e">
        <f>SUM(AE32/AA32)-1</f>
        <v>#DIV/0!</v>
      </c>
    </row>
    <row r="33" spans="2:33" ht="12.75" customHeight="1">
      <c r="B33" s="29" t="s">
        <v>115</v>
      </c>
      <c r="C33" s="135"/>
      <c r="D33" s="135"/>
      <c r="E33" s="135"/>
      <c r="F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V33" s="131">
        <f t="shared" si="88"/>
        <v>0</v>
      </c>
      <c r="W33" s="131">
        <f t="shared" si="89"/>
        <v>0</v>
      </c>
      <c r="X33" s="131">
        <f t="shared" si="90"/>
        <v>0</v>
      </c>
      <c r="Y33" s="131">
        <f t="shared" si="91"/>
        <v>0</v>
      </c>
      <c r="Z33" s="131">
        <f t="shared" si="92"/>
        <v>0</v>
      </c>
      <c r="AA33" s="131">
        <f t="shared" si="93"/>
        <v>0</v>
      </c>
      <c r="AB33" s="131">
        <f t="shared" si="94"/>
        <v>0</v>
      </c>
      <c r="AC33" s="131">
        <f t="shared" si="95"/>
        <v>0</v>
      </c>
      <c r="AD33" s="131">
        <f t="shared" si="96"/>
        <v>0</v>
      </c>
      <c r="AE33" s="131">
        <f t="shared" si="97"/>
        <v>0</v>
      </c>
      <c r="AG33" s="108" t="e">
        <f>SUM(AE33/AA33)-1</f>
        <v>#DIV/0!</v>
      </c>
    </row>
    <row r="34" spans="2:33" ht="12.75" customHeight="1">
      <c r="B34" s="12" t="s">
        <v>36</v>
      </c>
      <c r="C34" s="13">
        <f t="shared" ref="C34:F34" si="98">+SUM(C29+SUM(C32:C32))</f>
        <v>0</v>
      </c>
      <c r="D34" s="13">
        <f t="shared" si="98"/>
        <v>0</v>
      </c>
      <c r="E34" s="13">
        <f t="shared" si="98"/>
        <v>0</v>
      </c>
      <c r="F34" s="13">
        <f t="shared" si="98"/>
        <v>0</v>
      </c>
      <c r="G34" s="11"/>
      <c r="H34" s="13">
        <f>+SUM(H29+SUM(H32:H32))</f>
        <v>0</v>
      </c>
      <c r="I34" s="13">
        <f>+SUM(I29+SUM(I32:I32))</f>
        <v>0</v>
      </c>
      <c r="J34" s="13">
        <f>+SUM(J29+SUM(J32:J32))</f>
        <v>0</v>
      </c>
      <c r="K34" s="13">
        <f>+SUM(K29+SUM(K32:K32))</f>
        <v>0</v>
      </c>
      <c r="L34" s="13">
        <f t="shared" ref="L34:Q34" si="99">+SUM(L29+SUM(L32:L32))</f>
        <v>0</v>
      </c>
      <c r="M34" s="13">
        <f t="shared" si="99"/>
        <v>0</v>
      </c>
      <c r="N34" s="13">
        <f t="shared" si="99"/>
        <v>0</v>
      </c>
      <c r="O34" s="13">
        <f t="shared" si="99"/>
        <v>0</v>
      </c>
      <c r="P34" s="13">
        <f t="shared" si="99"/>
        <v>0</v>
      </c>
      <c r="Q34" s="13">
        <f t="shared" si="99"/>
        <v>0</v>
      </c>
      <c r="R34" s="13">
        <f t="shared" ref="R34:S34" si="100">+SUM(R29+SUM(R32:R32))</f>
        <v>0</v>
      </c>
      <c r="S34" s="13">
        <f t="shared" si="100"/>
        <v>0</v>
      </c>
      <c r="T34" s="13">
        <f t="shared" ref="T34" si="101">+SUM(T29+SUM(T32:T32))</f>
        <v>0</v>
      </c>
      <c r="V34" s="13">
        <f t="shared" ref="V34" si="102">+SUM(V29+SUM(V32:V32))</f>
        <v>0</v>
      </c>
      <c r="W34" s="13">
        <f t="shared" ref="W34:AE34" si="103">+SUM(W29+SUM(W32:W32))</f>
        <v>0</v>
      </c>
      <c r="X34" s="13">
        <f t="shared" si="103"/>
        <v>0</v>
      </c>
      <c r="Y34" s="13">
        <f t="shared" si="103"/>
        <v>0</v>
      </c>
      <c r="Z34" s="13">
        <f t="shared" si="103"/>
        <v>0</v>
      </c>
      <c r="AA34" s="13">
        <f t="shared" si="103"/>
        <v>0</v>
      </c>
      <c r="AB34" s="13">
        <f t="shared" si="103"/>
        <v>0</v>
      </c>
      <c r="AC34" s="13">
        <f t="shared" si="103"/>
        <v>0</v>
      </c>
      <c r="AD34" s="13">
        <f t="shared" si="103"/>
        <v>0</v>
      </c>
      <c r="AE34" s="13">
        <f t="shared" si="103"/>
        <v>0</v>
      </c>
      <c r="AG34" s="109" t="e">
        <f>SUM(AE34/AA34)-1</f>
        <v>#DIV/0!</v>
      </c>
    </row>
    <row r="35" spans="2:33" ht="12.75" customHeight="1">
      <c r="B35" s="14" t="s">
        <v>37</v>
      </c>
      <c r="C35" s="15" t="e">
        <f>C34/C12</f>
        <v>#DIV/0!</v>
      </c>
      <c r="D35" s="15" t="e">
        <f>D34/D12</f>
        <v>#DIV/0!</v>
      </c>
      <c r="E35" s="15" t="e">
        <f>E34/E12</f>
        <v>#DIV/0!</v>
      </c>
      <c r="F35" s="15" t="e">
        <f>F34/F12</f>
        <v>#DIV/0!</v>
      </c>
      <c r="H35" s="15" t="e">
        <f t="shared" ref="H35:S35" si="104">H34/H12</f>
        <v>#DIV/0!</v>
      </c>
      <c r="I35" s="15" t="e">
        <f t="shared" si="104"/>
        <v>#DIV/0!</v>
      </c>
      <c r="J35" s="15" t="e">
        <f t="shared" si="104"/>
        <v>#DIV/0!</v>
      </c>
      <c r="K35" s="15" t="e">
        <f t="shared" si="104"/>
        <v>#DIV/0!</v>
      </c>
      <c r="L35" s="15" t="e">
        <f t="shared" si="104"/>
        <v>#DIV/0!</v>
      </c>
      <c r="M35" s="15" t="e">
        <f t="shared" si="104"/>
        <v>#DIV/0!</v>
      </c>
      <c r="N35" s="15" t="e">
        <f t="shared" si="104"/>
        <v>#DIV/0!</v>
      </c>
      <c r="O35" s="15" t="e">
        <f t="shared" si="104"/>
        <v>#DIV/0!</v>
      </c>
      <c r="P35" s="15" t="e">
        <f t="shared" si="104"/>
        <v>#DIV/0!</v>
      </c>
      <c r="Q35" s="15" t="e">
        <f t="shared" si="104"/>
        <v>#DIV/0!</v>
      </c>
      <c r="R35" s="15" t="e">
        <f t="shared" si="104"/>
        <v>#DIV/0!</v>
      </c>
      <c r="S35" s="15" t="e">
        <f t="shared" si="104"/>
        <v>#DIV/0!</v>
      </c>
      <c r="T35" s="15" t="e">
        <f t="shared" ref="T35" si="105">T34/T12</f>
        <v>#DIV/0!</v>
      </c>
      <c r="V35" s="15" t="e">
        <f t="shared" ref="V35:AE35" si="106">V34/V12</f>
        <v>#DIV/0!</v>
      </c>
      <c r="W35" s="15" t="e">
        <f t="shared" si="106"/>
        <v>#DIV/0!</v>
      </c>
      <c r="X35" s="15" t="e">
        <f t="shared" si="106"/>
        <v>#DIV/0!</v>
      </c>
      <c r="Y35" s="15" t="e">
        <f t="shared" si="106"/>
        <v>#DIV/0!</v>
      </c>
      <c r="Z35" s="15" t="e">
        <f t="shared" si="106"/>
        <v>#DIV/0!</v>
      </c>
      <c r="AA35" s="15" t="e">
        <f t="shared" si="106"/>
        <v>#DIV/0!</v>
      </c>
      <c r="AB35" s="15" t="e">
        <f t="shared" si="106"/>
        <v>#DIV/0!</v>
      </c>
      <c r="AC35" s="15" t="e">
        <f t="shared" si="106"/>
        <v>#DIV/0!</v>
      </c>
      <c r="AD35" s="15" t="e">
        <f t="shared" si="106"/>
        <v>#DIV/0!</v>
      </c>
      <c r="AE35" s="15" t="e">
        <f t="shared" si="106"/>
        <v>#DIV/0!</v>
      </c>
      <c r="AG35" s="110" t="e">
        <f>SUM(AE35-AA35)*10000</f>
        <v>#DIV/0!</v>
      </c>
    </row>
    <row r="36" spans="2:33" ht="5.0999999999999996" customHeight="1">
      <c r="AG36" s="107"/>
    </row>
    <row r="37" spans="2:33" ht="12.75" customHeight="1">
      <c r="B37" s="21" t="s">
        <v>38</v>
      </c>
      <c r="C37" s="132"/>
      <c r="D37" s="132"/>
      <c r="E37" s="132"/>
      <c r="F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V37" s="131">
        <f t="shared" ref="V37:V41" si="107">SUM(H37:K37)</f>
        <v>0</v>
      </c>
      <c r="W37" s="131">
        <f t="shared" ref="W37:W41" si="108">SUM(I37:L37)</f>
        <v>0</v>
      </c>
      <c r="X37" s="131">
        <f t="shared" ref="X37:X41" si="109">SUM(J37:M37)</f>
        <v>0</v>
      </c>
      <c r="Y37" s="131">
        <f t="shared" ref="Y37:Y41" si="110">SUM(K37:N37)</f>
        <v>0</v>
      </c>
      <c r="Z37" s="131">
        <f t="shared" ref="Z37:Z41" si="111">SUM(L37:O37)</f>
        <v>0</v>
      </c>
      <c r="AA37" s="131">
        <f t="shared" ref="AA37:AA41" si="112">SUM(M37:P37)</f>
        <v>0</v>
      </c>
      <c r="AB37" s="131">
        <f t="shared" ref="AB37:AB41" si="113">SUM(N37:Q37)</f>
        <v>0</v>
      </c>
      <c r="AC37" s="131">
        <f t="shared" ref="AC37:AC41" si="114">SUM(O37:R37)</f>
        <v>0</v>
      </c>
      <c r="AD37" s="131">
        <f t="shared" ref="AD37:AD41" si="115">SUM(P37:S37)</f>
        <v>0</v>
      </c>
      <c r="AE37" s="131">
        <f t="shared" ref="AE37:AE41" si="116">SUM(Q37:T37)</f>
        <v>0</v>
      </c>
      <c r="AG37" s="108" t="e">
        <f t="shared" ref="AG37:AG42" si="117">SUM(AE37/AA37)-1</f>
        <v>#DIV/0!</v>
      </c>
    </row>
    <row r="38" spans="2:33" ht="12.75" customHeight="1">
      <c r="B38" s="21" t="s">
        <v>39</v>
      </c>
      <c r="C38" s="132"/>
      <c r="D38" s="132"/>
      <c r="E38" s="132"/>
      <c r="F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V38" s="131">
        <f t="shared" si="107"/>
        <v>0</v>
      </c>
      <c r="W38" s="131">
        <f t="shared" si="108"/>
        <v>0</v>
      </c>
      <c r="X38" s="131">
        <f t="shared" si="109"/>
        <v>0</v>
      </c>
      <c r="Y38" s="131">
        <f t="shared" si="110"/>
        <v>0</v>
      </c>
      <c r="Z38" s="131">
        <f t="shared" si="111"/>
        <v>0</v>
      </c>
      <c r="AA38" s="131">
        <f t="shared" si="112"/>
        <v>0</v>
      </c>
      <c r="AB38" s="131">
        <f t="shared" si="113"/>
        <v>0</v>
      </c>
      <c r="AC38" s="131">
        <f t="shared" si="114"/>
        <v>0</v>
      </c>
      <c r="AD38" s="131">
        <f t="shared" si="115"/>
        <v>0</v>
      </c>
      <c r="AE38" s="131">
        <f t="shared" si="116"/>
        <v>0</v>
      </c>
      <c r="AG38" s="108" t="e">
        <f t="shared" si="117"/>
        <v>#DIV/0!</v>
      </c>
    </row>
    <row r="39" spans="2:33" ht="12.75" customHeight="1">
      <c r="B39" s="21" t="s">
        <v>76</v>
      </c>
      <c r="C39" s="132"/>
      <c r="D39" s="132"/>
      <c r="E39" s="132"/>
      <c r="F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V39" s="131">
        <f t="shared" si="107"/>
        <v>0</v>
      </c>
      <c r="W39" s="131">
        <f t="shared" si="108"/>
        <v>0</v>
      </c>
      <c r="X39" s="131">
        <f t="shared" si="109"/>
        <v>0</v>
      </c>
      <c r="Y39" s="131">
        <f t="shared" si="110"/>
        <v>0</v>
      </c>
      <c r="Z39" s="131">
        <f t="shared" si="111"/>
        <v>0</v>
      </c>
      <c r="AA39" s="131">
        <f t="shared" si="112"/>
        <v>0</v>
      </c>
      <c r="AB39" s="131">
        <f t="shared" si="113"/>
        <v>0</v>
      </c>
      <c r="AC39" s="131">
        <f t="shared" si="114"/>
        <v>0</v>
      </c>
      <c r="AD39" s="131">
        <f t="shared" si="115"/>
        <v>0</v>
      </c>
      <c r="AE39" s="131">
        <f t="shared" si="116"/>
        <v>0</v>
      </c>
      <c r="AG39" s="108" t="e">
        <f t="shared" si="117"/>
        <v>#DIV/0!</v>
      </c>
    </row>
    <row r="40" spans="2:33" ht="12.75" customHeight="1">
      <c r="B40" s="21" t="s">
        <v>117</v>
      </c>
      <c r="C40" s="132"/>
      <c r="D40" s="132"/>
      <c r="E40" s="132"/>
      <c r="F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V40" s="131">
        <f t="shared" ref="V40" si="118">SUM(H40:K40)</f>
        <v>0</v>
      </c>
      <c r="W40" s="131">
        <f t="shared" ref="W40" si="119">SUM(I40:L40)</f>
        <v>0</v>
      </c>
      <c r="X40" s="131">
        <f t="shared" ref="X40" si="120">SUM(J40:M40)</f>
        <v>0</v>
      </c>
      <c r="Y40" s="131">
        <f t="shared" ref="Y40" si="121">SUM(K40:N40)</f>
        <v>0</v>
      </c>
      <c r="Z40" s="131">
        <f t="shared" ref="Z40" si="122">SUM(L40:O40)</f>
        <v>0</v>
      </c>
      <c r="AA40" s="131">
        <f t="shared" ref="AA40" si="123">SUM(M40:P40)</f>
        <v>0</v>
      </c>
      <c r="AB40" s="131">
        <f t="shared" ref="AB40" si="124">SUM(N40:Q40)</f>
        <v>0</v>
      </c>
      <c r="AC40" s="131">
        <f t="shared" ref="AC40" si="125">SUM(O40:R40)</f>
        <v>0</v>
      </c>
      <c r="AD40" s="131">
        <f t="shared" ref="AD40" si="126">SUM(P40:S40)</f>
        <v>0</v>
      </c>
      <c r="AE40" s="131">
        <f t="shared" ref="AE40" si="127">SUM(Q40:T40)</f>
        <v>0</v>
      </c>
      <c r="AG40" s="108" t="e">
        <f t="shared" si="117"/>
        <v>#DIV/0!</v>
      </c>
    </row>
    <row r="41" spans="2:33" ht="12.75" customHeight="1">
      <c r="B41" s="21" t="s">
        <v>40</v>
      </c>
      <c r="C41" s="132"/>
      <c r="D41" s="132"/>
      <c r="E41" s="132"/>
      <c r="F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V41" s="131">
        <f t="shared" si="107"/>
        <v>0</v>
      </c>
      <c r="W41" s="131">
        <f t="shared" si="108"/>
        <v>0</v>
      </c>
      <c r="X41" s="131">
        <f t="shared" si="109"/>
        <v>0</v>
      </c>
      <c r="Y41" s="131">
        <f t="shared" si="110"/>
        <v>0</v>
      </c>
      <c r="Z41" s="131">
        <f t="shared" si="111"/>
        <v>0</v>
      </c>
      <c r="AA41" s="131">
        <f t="shared" si="112"/>
        <v>0</v>
      </c>
      <c r="AB41" s="131">
        <f t="shared" si="113"/>
        <v>0</v>
      </c>
      <c r="AC41" s="131">
        <f t="shared" si="114"/>
        <v>0</v>
      </c>
      <c r="AD41" s="131">
        <f t="shared" si="115"/>
        <v>0</v>
      </c>
      <c r="AE41" s="131">
        <f t="shared" si="116"/>
        <v>0</v>
      </c>
      <c r="AG41" s="108" t="e">
        <f t="shared" si="117"/>
        <v>#DIV/0!</v>
      </c>
    </row>
    <row r="42" spans="2:33" ht="12.75" customHeight="1">
      <c r="B42" s="12" t="s">
        <v>41</v>
      </c>
      <c r="C42" s="13">
        <f>SUM(C34+SUM(C37:C41))</f>
        <v>0</v>
      </c>
      <c r="D42" s="13">
        <f>SUM(D34+SUM(D37:D41))</f>
        <v>0</v>
      </c>
      <c r="E42" s="13">
        <f>SUM(E34+SUM(E37:E41))</f>
        <v>0</v>
      </c>
      <c r="F42" s="13">
        <f>SUM(F34+SUM(F37:F41))</f>
        <v>0</v>
      </c>
      <c r="H42" s="13">
        <f>SUM(H34+SUM(H37:H41))</f>
        <v>0</v>
      </c>
      <c r="I42" s="13">
        <f>SUM(I34+SUM(I37:I41))</f>
        <v>0</v>
      </c>
      <c r="J42" s="13">
        <f>SUM(J34+SUM(J37:J41))</f>
        <v>0</v>
      </c>
      <c r="K42" s="13">
        <f>SUM(K34+SUM(K37:K41))</f>
        <v>0</v>
      </c>
      <c r="L42" s="13">
        <f t="shared" ref="L42:Q42" si="128">SUM(L34+SUM(L37:L41))</f>
        <v>0</v>
      </c>
      <c r="M42" s="13">
        <f t="shared" si="128"/>
        <v>0</v>
      </c>
      <c r="N42" s="13">
        <f t="shared" si="128"/>
        <v>0</v>
      </c>
      <c r="O42" s="13">
        <f t="shared" si="128"/>
        <v>0</v>
      </c>
      <c r="P42" s="13">
        <f t="shared" si="128"/>
        <v>0</v>
      </c>
      <c r="Q42" s="13">
        <f t="shared" si="128"/>
        <v>0</v>
      </c>
      <c r="R42" s="13">
        <f t="shared" ref="R42:S42" si="129">SUM(R34+SUM(R37:R41))</f>
        <v>0</v>
      </c>
      <c r="S42" s="13">
        <f t="shared" si="129"/>
        <v>0</v>
      </c>
      <c r="T42" s="13">
        <f t="shared" ref="T42" si="130">SUM(T34+SUM(T37:T41))</f>
        <v>0</v>
      </c>
      <c r="V42" s="13">
        <f t="shared" ref="V42" si="131">SUM(V34+SUM(V37:V41))</f>
        <v>0</v>
      </c>
      <c r="W42" s="13">
        <f t="shared" ref="W42:AC42" si="132">SUM(W34+SUM(W37:W41))</f>
        <v>0</v>
      </c>
      <c r="X42" s="13">
        <f t="shared" si="132"/>
        <v>0</v>
      </c>
      <c r="Y42" s="13">
        <f t="shared" si="132"/>
        <v>0</v>
      </c>
      <c r="Z42" s="13">
        <f t="shared" si="132"/>
        <v>0</v>
      </c>
      <c r="AA42" s="13">
        <f t="shared" si="132"/>
        <v>0</v>
      </c>
      <c r="AB42" s="13">
        <f t="shared" si="132"/>
        <v>0</v>
      </c>
      <c r="AC42" s="13">
        <f t="shared" si="132"/>
        <v>0</v>
      </c>
      <c r="AD42" s="13">
        <f>SUM(AD34+SUM(AD37:AD41))</f>
        <v>0</v>
      </c>
      <c r="AE42" s="13">
        <f>SUM(AE34+SUM(AE37:AE41))</f>
        <v>0</v>
      </c>
      <c r="AG42" s="109" t="e">
        <f t="shared" si="117"/>
        <v>#DIV/0!</v>
      </c>
    </row>
    <row r="43" spans="2:33" ht="5.0999999999999996" customHeight="1"/>
    <row r="44" spans="2:33" ht="12.75" customHeight="1">
      <c r="B44" s="29" t="s">
        <v>114</v>
      </c>
      <c r="C44" s="132"/>
      <c r="D44" s="132"/>
      <c r="E44" s="132"/>
      <c r="F44" s="132"/>
      <c r="G44" s="30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V44" s="131">
        <f t="shared" ref="V44:V49" si="133">SUM(H44:K44)</f>
        <v>0</v>
      </c>
      <c r="W44" s="131">
        <f t="shared" ref="W44:W49" si="134">SUM(I44:L44)</f>
        <v>0</v>
      </c>
      <c r="X44" s="131">
        <f t="shared" ref="X44:X49" si="135">SUM(J44:M44)</f>
        <v>0</v>
      </c>
      <c r="Y44" s="131">
        <f t="shared" ref="Y44:Y49" si="136">SUM(K44:N44)</f>
        <v>0</v>
      </c>
      <c r="Z44" s="131">
        <f t="shared" ref="Z44:Z49" si="137">SUM(L44:O44)</f>
        <v>0</v>
      </c>
      <c r="AA44" s="131">
        <f t="shared" ref="AA44:AA49" si="138">SUM(M44:P44)</f>
        <v>0</v>
      </c>
      <c r="AB44" s="131">
        <f t="shared" ref="AB44:AB49" si="139">SUM(N44:Q44)</f>
        <v>0</v>
      </c>
      <c r="AC44" s="131">
        <f t="shared" ref="AC44:AC49" si="140">SUM(O44:R44)</f>
        <v>0</v>
      </c>
      <c r="AD44" s="131">
        <f t="shared" ref="AD44:AD49" si="141">SUM(P44:S44)</f>
        <v>0</v>
      </c>
      <c r="AE44" s="131">
        <f t="shared" ref="AE44:AE49" si="142">SUM(Q44:T44)</f>
        <v>0</v>
      </c>
    </row>
    <row r="45" spans="2:33" ht="12.75" customHeight="1">
      <c r="B45" s="29" t="s">
        <v>114</v>
      </c>
      <c r="C45" s="132"/>
      <c r="D45" s="132"/>
      <c r="E45" s="132"/>
      <c r="F45" s="132"/>
      <c r="G45" s="30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V45" s="131">
        <f t="shared" si="133"/>
        <v>0</v>
      </c>
      <c r="W45" s="131">
        <f t="shared" si="134"/>
        <v>0</v>
      </c>
      <c r="X45" s="131">
        <f t="shared" si="135"/>
        <v>0</v>
      </c>
      <c r="Y45" s="131">
        <f t="shared" si="136"/>
        <v>0</v>
      </c>
      <c r="Z45" s="131">
        <f t="shared" si="137"/>
        <v>0</v>
      </c>
      <c r="AA45" s="131">
        <f t="shared" si="138"/>
        <v>0</v>
      </c>
      <c r="AB45" s="131">
        <f t="shared" si="139"/>
        <v>0</v>
      </c>
      <c r="AC45" s="131">
        <f t="shared" si="140"/>
        <v>0</v>
      </c>
      <c r="AD45" s="131">
        <f t="shared" si="141"/>
        <v>0</v>
      </c>
      <c r="AE45" s="131">
        <f t="shared" si="142"/>
        <v>0</v>
      </c>
    </row>
    <row r="46" spans="2:33" ht="12.75" customHeight="1">
      <c r="B46" s="29" t="s">
        <v>114</v>
      </c>
      <c r="C46" s="132"/>
      <c r="D46" s="132"/>
      <c r="E46" s="132"/>
      <c r="F46" s="132"/>
      <c r="G46" s="30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V46" s="131">
        <f t="shared" si="133"/>
        <v>0</v>
      </c>
      <c r="W46" s="131">
        <f t="shared" si="134"/>
        <v>0</v>
      </c>
      <c r="X46" s="131">
        <f t="shared" si="135"/>
        <v>0</v>
      </c>
      <c r="Y46" s="131">
        <f t="shared" si="136"/>
        <v>0</v>
      </c>
      <c r="Z46" s="131">
        <f t="shared" si="137"/>
        <v>0</v>
      </c>
      <c r="AA46" s="131">
        <f t="shared" si="138"/>
        <v>0</v>
      </c>
      <c r="AB46" s="131">
        <f t="shared" si="139"/>
        <v>0</v>
      </c>
      <c r="AC46" s="131">
        <f t="shared" si="140"/>
        <v>0</v>
      </c>
      <c r="AD46" s="131">
        <f t="shared" si="141"/>
        <v>0</v>
      </c>
      <c r="AE46" s="131">
        <f t="shared" si="142"/>
        <v>0</v>
      </c>
    </row>
    <row r="47" spans="2:33" ht="12.75" customHeight="1">
      <c r="B47" s="29" t="s">
        <v>114</v>
      </c>
      <c r="C47" s="132"/>
      <c r="D47" s="132"/>
      <c r="E47" s="132"/>
      <c r="F47" s="132"/>
      <c r="G47" s="30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V47" s="131">
        <f t="shared" si="133"/>
        <v>0</v>
      </c>
      <c r="W47" s="131">
        <f t="shared" si="134"/>
        <v>0</v>
      </c>
      <c r="X47" s="131">
        <f t="shared" si="135"/>
        <v>0</v>
      </c>
      <c r="Y47" s="131">
        <f t="shared" si="136"/>
        <v>0</v>
      </c>
      <c r="Z47" s="131">
        <f t="shared" si="137"/>
        <v>0</v>
      </c>
      <c r="AA47" s="131">
        <f t="shared" si="138"/>
        <v>0</v>
      </c>
      <c r="AB47" s="131">
        <f t="shared" si="139"/>
        <v>0</v>
      </c>
      <c r="AC47" s="131">
        <f t="shared" si="140"/>
        <v>0</v>
      </c>
      <c r="AD47" s="131">
        <f t="shared" si="141"/>
        <v>0</v>
      </c>
      <c r="AE47" s="131">
        <f t="shared" si="142"/>
        <v>0</v>
      </c>
    </row>
    <row r="48" spans="2:33" ht="12.75" customHeight="1">
      <c r="B48" s="29" t="s">
        <v>114</v>
      </c>
      <c r="C48" s="132"/>
      <c r="D48" s="132"/>
      <c r="E48" s="132"/>
      <c r="F48" s="132"/>
      <c r="G48" s="30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V48" s="131">
        <f t="shared" si="133"/>
        <v>0</v>
      </c>
      <c r="W48" s="131">
        <f t="shared" si="134"/>
        <v>0</v>
      </c>
      <c r="X48" s="131">
        <f t="shared" si="135"/>
        <v>0</v>
      </c>
      <c r="Y48" s="131">
        <f t="shared" si="136"/>
        <v>0</v>
      </c>
      <c r="Z48" s="131">
        <f t="shared" si="137"/>
        <v>0</v>
      </c>
      <c r="AA48" s="131">
        <f t="shared" si="138"/>
        <v>0</v>
      </c>
      <c r="AB48" s="131">
        <f t="shared" si="139"/>
        <v>0</v>
      </c>
      <c r="AC48" s="131">
        <f t="shared" si="140"/>
        <v>0</v>
      </c>
      <c r="AD48" s="131">
        <f t="shared" si="141"/>
        <v>0</v>
      </c>
      <c r="AE48" s="131">
        <f t="shared" si="142"/>
        <v>0</v>
      </c>
    </row>
    <row r="49" spans="1:31" ht="12.75" customHeight="1">
      <c r="B49" s="29" t="s">
        <v>72</v>
      </c>
      <c r="C49" s="133"/>
      <c r="D49" s="133">
        <f t="shared" ref="D49:F49" si="143">SUM(D54)-SUM(C54)-SUM(D42:D48)</f>
        <v>0</v>
      </c>
      <c r="E49" s="133">
        <f t="shared" si="143"/>
        <v>0</v>
      </c>
      <c r="F49" s="133">
        <f t="shared" si="143"/>
        <v>0</v>
      </c>
      <c r="G49" s="30"/>
      <c r="H49" s="133">
        <f>SUM(H54)-SUM(C54)-SUM(H42:H48)</f>
        <v>0</v>
      </c>
      <c r="I49" s="133">
        <f t="shared" ref="I49" si="144">SUM(I54)-SUM(H54)-SUM(I42:I48)</f>
        <v>0</v>
      </c>
      <c r="J49" s="133">
        <f t="shared" ref="J49" si="145">SUM(J54)-SUM(I54)-SUM(J42:J48)</f>
        <v>0</v>
      </c>
      <c r="K49" s="133">
        <f t="shared" ref="K49" si="146">SUM(K54)-SUM(J54)-SUM(K42:K48)</f>
        <v>2244</v>
      </c>
      <c r="L49" s="133">
        <f t="shared" ref="L49" si="147">SUM(L54)-SUM(K54)-SUM(L42:L48)</f>
        <v>-2244</v>
      </c>
      <c r="M49" s="133">
        <f t="shared" ref="M49" si="148">SUM(M54)-SUM(L54)-SUM(M42:M48)</f>
        <v>0</v>
      </c>
      <c r="N49" s="133">
        <f t="shared" ref="N49" si="149">SUM(N54)-SUM(M54)-SUM(N42:N48)</f>
        <v>0</v>
      </c>
      <c r="O49" s="133">
        <f t="shared" ref="O49" si="150">SUM(O54)-SUM(N54)-SUM(O42:O48)</f>
        <v>1984</v>
      </c>
      <c r="P49" s="133">
        <f t="shared" ref="P49" si="151">SUM(P54)-SUM(O54)-SUM(P42:P48)</f>
        <v>-1984</v>
      </c>
      <c r="Q49" s="133">
        <f t="shared" ref="Q49" si="152">SUM(Q54)-SUM(P54)-SUM(Q42:Q48)</f>
        <v>0</v>
      </c>
      <c r="R49" s="133">
        <f t="shared" ref="R49" si="153">SUM(R54)-SUM(Q54)-SUM(R42:R48)</f>
        <v>0</v>
      </c>
      <c r="S49" s="133" t="e">
        <f t="shared" ref="S49" si="154">SUM(S54)-SUM(R54)-SUM(S42:S48)</f>
        <v>#REF!</v>
      </c>
      <c r="T49" s="133" t="e">
        <f t="shared" ref="T49" si="155">SUM(T54)-SUM(S54)-SUM(T42:T48)</f>
        <v>#REF!</v>
      </c>
      <c r="V49" s="131">
        <f t="shared" si="133"/>
        <v>2244</v>
      </c>
      <c r="W49" s="131">
        <f t="shared" si="134"/>
        <v>0</v>
      </c>
      <c r="X49" s="131">
        <f t="shared" si="135"/>
        <v>0</v>
      </c>
      <c r="Y49" s="131">
        <f t="shared" si="136"/>
        <v>0</v>
      </c>
      <c r="Z49" s="131">
        <f t="shared" si="137"/>
        <v>-260</v>
      </c>
      <c r="AA49" s="131">
        <f t="shared" si="138"/>
        <v>0</v>
      </c>
      <c r="AB49" s="131">
        <f t="shared" si="139"/>
        <v>0</v>
      </c>
      <c r="AC49" s="131">
        <f t="shared" si="140"/>
        <v>0</v>
      </c>
      <c r="AD49" s="131" t="e">
        <f t="shared" si="141"/>
        <v>#REF!</v>
      </c>
      <c r="AE49" s="131" t="e">
        <f t="shared" si="142"/>
        <v>#REF!</v>
      </c>
    </row>
    <row r="50" spans="1:31" ht="12.75" customHeight="1">
      <c r="B50" s="12" t="s">
        <v>42</v>
      </c>
      <c r="C50" s="13">
        <f t="shared" ref="C50:F50" si="156">SUM(C42+SUM(C44:C49))</f>
        <v>0</v>
      </c>
      <c r="D50" s="13">
        <f t="shared" si="156"/>
        <v>0</v>
      </c>
      <c r="E50" s="13">
        <f t="shared" si="156"/>
        <v>0</v>
      </c>
      <c r="F50" s="13">
        <f t="shared" si="156"/>
        <v>0</v>
      </c>
      <c r="H50" s="13">
        <f t="shared" ref="H50:S50" si="157">SUM(H42+SUM(H44:H49))</f>
        <v>0</v>
      </c>
      <c r="I50" s="13">
        <f t="shared" si="157"/>
        <v>0</v>
      </c>
      <c r="J50" s="13">
        <f t="shared" si="157"/>
        <v>0</v>
      </c>
      <c r="K50" s="13">
        <f t="shared" si="157"/>
        <v>2244</v>
      </c>
      <c r="L50" s="13">
        <f t="shared" si="157"/>
        <v>-2244</v>
      </c>
      <c r="M50" s="13">
        <f t="shared" si="157"/>
        <v>0</v>
      </c>
      <c r="N50" s="13">
        <f t="shared" si="157"/>
        <v>0</v>
      </c>
      <c r="O50" s="13">
        <f t="shared" si="157"/>
        <v>1984</v>
      </c>
      <c r="P50" s="13">
        <f t="shared" si="157"/>
        <v>-1984</v>
      </c>
      <c r="Q50" s="13">
        <f t="shared" si="157"/>
        <v>0</v>
      </c>
      <c r="R50" s="13">
        <f t="shared" si="157"/>
        <v>0</v>
      </c>
      <c r="S50" s="13" t="e">
        <f t="shared" si="157"/>
        <v>#REF!</v>
      </c>
      <c r="T50" s="13" t="e">
        <f t="shared" ref="T50" si="158">SUM(T42+SUM(T44:T49))</f>
        <v>#REF!</v>
      </c>
      <c r="V50" s="13">
        <f t="shared" ref="V50:AE50" si="159">SUM(V42+SUM(V44:V49))</f>
        <v>2244</v>
      </c>
      <c r="W50" s="13">
        <f t="shared" si="159"/>
        <v>0</v>
      </c>
      <c r="X50" s="13">
        <f t="shared" si="159"/>
        <v>0</v>
      </c>
      <c r="Y50" s="13">
        <f t="shared" si="159"/>
        <v>0</v>
      </c>
      <c r="Z50" s="13">
        <f t="shared" si="159"/>
        <v>-260</v>
      </c>
      <c r="AA50" s="13">
        <f t="shared" si="159"/>
        <v>0</v>
      </c>
      <c r="AB50" s="13">
        <f t="shared" si="159"/>
        <v>0</v>
      </c>
      <c r="AC50" s="13">
        <f t="shared" si="159"/>
        <v>0</v>
      </c>
      <c r="AD50" s="13" t="e">
        <f t="shared" si="159"/>
        <v>#REF!</v>
      </c>
      <c r="AE50" s="13" t="e">
        <f t="shared" si="159"/>
        <v>#REF!</v>
      </c>
    </row>
    <row r="51" spans="1:31" ht="5.0999999999999996" customHeight="1"/>
    <row r="52" spans="1:31" ht="12.75" customHeight="1">
      <c r="A52" s="5"/>
      <c r="B52" s="31" t="s">
        <v>43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5.0999999999999996" customHeight="1"/>
    <row r="54" spans="1:31" ht="12.75" customHeight="1">
      <c r="B54" s="8" t="s">
        <v>44</v>
      </c>
      <c r="C54" s="80"/>
      <c r="D54" s="80"/>
      <c r="E54" s="80"/>
      <c r="F54" s="80"/>
      <c r="G54" s="30"/>
      <c r="H54" s="80"/>
      <c r="I54" s="80"/>
      <c r="J54" s="80"/>
      <c r="K54" s="80">
        <f>'Historical Financials'!J41</f>
        <v>2244</v>
      </c>
      <c r="L54" s="80"/>
      <c r="M54" s="80"/>
      <c r="N54" s="80"/>
      <c r="O54" s="80">
        <f>'Historical Financials'!N41</f>
        <v>1984</v>
      </c>
      <c r="P54" s="80"/>
      <c r="Q54" s="80"/>
      <c r="R54" s="80"/>
      <c r="S54" s="80" t="e">
        <f>'Historical Financials'!#REF!</f>
        <v>#REF!</v>
      </c>
      <c r="T54" s="80"/>
      <c r="V54" s="10">
        <f t="shared" ref="V54:AD56" si="160">K54</f>
        <v>2244</v>
      </c>
      <c r="W54" s="10">
        <f t="shared" si="160"/>
        <v>0</v>
      </c>
      <c r="X54" s="10">
        <f t="shared" si="160"/>
        <v>0</v>
      </c>
      <c r="Y54" s="10">
        <f t="shared" si="160"/>
        <v>0</v>
      </c>
      <c r="Z54" s="10">
        <f t="shared" si="160"/>
        <v>1984</v>
      </c>
      <c r="AA54" s="10">
        <f t="shared" si="160"/>
        <v>0</v>
      </c>
      <c r="AB54" s="10">
        <f t="shared" si="160"/>
        <v>0</v>
      </c>
      <c r="AC54" s="10">
        <f t="shared" si="160"/>
        <v>0</v>
      </c>
      <c r="AD54" s="10" t="e">
        <f t="shared" si="160"/>
        <v>#REF!</v>
      </c>
      <c r="AE54" s="10">
        <f>T54</f>
        <v>0</v>
      </c>
    </row>
    <row r="55" spans="1:31" ht="12.75" customHeight="1">
      <c r="B55" s="8" t="s">
        <v>112</v>
      </c>
      <c r="C55" s="80"/>
      <c r="D55" s="80"/>
      <c r="E55" s="80"/>
      <c r="F55" s="80"/>
      <c r="G55" s="30"/>
      <c r="H55" s="80"/>
      <c r="I55" s="80"/>
      <c r="J55" s="80"/>
      <c r="K55" s="80" t="e">
        <f>'Historical Financials'!#REF!</f>
        <v>#REF!</v>
      </c>
      <c r="L55" s="80"/>
      <c r="M55" s="80"/>
      <c r="N55" s="80"/>
      <c r="O55" s="80" t="e">
        <f>'Historical Financials'!#REF!</f>
        <v>#REF!</v>
      </c>
      <c r="P55" s="80"/>
      <c r="Q55" s="80"/>
      <c r="R55" s="80"/>
      <c r="S55" s="80" t="e">
        <f>'Historical Financials'!#REF!</f>
        <v>#REF!</v>
      </c>
      <c r="T55" s="80"/>
      <c r="V55" s="10" t="e">
        <f t="shared" si="160"/>
        <v>#REF!</v>
      </c>
      <c r="W55" s="10">
        <f t="shared" si="160"/>
        <v>0</v>
      </c>
      <c r="X55" s="10">
        <f t="shared" si="160"/>
        <v>0</v>
      </c>
      <c r="Y55" s="10">
        <f t="shared" si="160"/>
        <v>0</v>
      </c>
      <c r="Z55" s="10" t="e">
        <f t="shared" si="160"/>
        <v>#REF!</v>
      </c>
      <c r="AA55" s="10">
        <f t="shared" si="160"/>
        <v>0</v>
      </c>
      <c r="AB55" s="10">
        <f t="shared" si="160"/>
        <v>0</v>
      </c>
      <c r="AC55" s="10">
        <f t="shared" si="160"/>
        <v>0</v>
      </c>
      <c r="AD55" s="10" t="e">
        <f t="shared" si="160"/>
        <v>#REF!</v>
      </c>
      <c r="AE55" s="10">
        <f t="shared" ref="AE55:AE56" si="161">T55</f>
        <v>0</v>
      </c>
    </row>
    <row r="56" spans="1:31" ht="12.75" customHeight="1">
      <c r="B56" s="8" t="s">
        <v>112</v>
      </c>
      <c r="C56" s="75"/>
      <c r="D56" s="75"/>
      <c r="E56" s="75"/>
      <c r="F56" s="75"/>
      <c r="G56" s="30"/>
      <c r="H56" s="75"/>
      <c r="I56" s="75"/>
      <c r="J56" s="75"/>
      <c r="K56" s="106">
        <f>D56</f>
        <v>0</v>
      </c>
      <c r="L56" s="75"/>
      <c r="M56" s="75"/>
      <c r="N56" s="75"/>
      <c r="O56" s="106">
        <f>E56</f>
        <v>0</v>
      </c>
      <c r="P56" s="75"/>
      <c r="Q56" s="75"/>
      <c r="R56" s="75"/>
      <c r="S56" s="106">
        <f>F56</f>
        <v>0</v>
      </c>
      <c r="T56" s="75"/>
      <c r="V56" s="10">
        <f t="shared" si="160"/>
        <v>0</v>
      </c>
      <c r="W56" s="10">
        <f t="shared" si="160"/>
        <v>0</v>
      </c>
      <c r="X56" s="10">
        <f t="shared" si="160"/>
        <v>0</v>
      </c>
      <c r="Y56" s="10">
        <f t="shared" si="160"/>
        <v>0</v>
      </c>
      <c r="Z56" s="10">
        <f t="shared" si="160"/>
        <v>0</v>
      </c>
      <c r="AA56" s="10">
        <f t="shared" si="160"/>
        <v>0</v>
      </c>
      <c r="AB56" s="10">
        <f t="shared" si="160"/>
        <v>0</v>
      </c>
      <c r="AC56" s="10">
        <f t="shared" si="160"/>
        <v>0</v>
      </c>
      <c r="AD56" s="10">
        <f t="shared" si="160"/>
        <v>0</v>
      </c>
      <c r="AE56" s="10">
        <f t="shared" si="161"/>
        <v>0</v>
      </c>
    </row>
    <row r="57" spans="1:31" ht="12.75" customHeight="1">
      <c r="B57" s="12" t="s">
        <v>45</v>
      </c>
      <c r="C57" s="13">
        <f>SUM(C54:C56)</f>
        <v>0</v>
      </c>
      <c r="D57" s="13">
        <f t="shared" ref="D57:F57" si="162">SUM(D54:D56)</f>
        <v>0</v>
      </c>
      <c r="E57" s="13">
        <f t="shared" si="162"/>
        <v>0</v>
      </c>
      <c r="F57" s="13">
        <f t="shared" si="162"/>
        <v>0</v>
      </c>
      <c r="G57" s="30"/>
      <c r="H57" s="13">
        <f t="shared" ref="H57:S57" si="163">SUM(H54:H56)</f>
        <v>0</v>
      </c>
      <c r="I57" s="13">
        <f t="shared" si="163"/>
        <v>0</v>
      </c>
      <c r="J57" s="13">
        <f t="shared" si="163"/>
        <v>0</v>
      </c>
      <c r="K57" s="13" t="e">
        <f t="shared" si="163"/>
        <v>#REF!</v>
      </c>
      <c r="L57" s="13">
        <f t="shared" si="163"/>
        <v>0</v>
      </c>
      <c r="M57" s="13">
        <f t="shared" si="163"/>
        <v>0</v>
      </c>
      <c r="N57" s="13">
        <f t="shared" si="163"/>
        <v>0</v>
      </c>
      <c r="O57" s="13" t="e">
        <f t="shared" si="163"/>
        <v>#REF!</v>
      </c>
      <c r="P57" s="13">
        <f t="shared" si="163"/>
        <v>0</v>
      </c>
      <c r="Q57" s="13">
        <f t="shared" si="163"/>
        <v>0</v>
      </c>
      <c r="R57" s="13">
        <f t="shared" si="163"/>
        <v>0</v>
      </c>
      <c r="S57" s="13" t="e">
        <f t="shared" si="163"/>
        <v>#REF!</v>
      </c>
      <c r="T57" s="13">
        <f t="shared" ref="T57" si="164">SUM(T54:T56)</f>
        <v>0</v>
      </c>
      <c r="V57" s="13" t="e">
        <f t="shared" ref="V57" si="165">SUM(V54:V56)</f>
        <v>#REF!</v>
      </c>
      <c r="W57" s="13">
        <f t="shared" ref="W57:AE57" si="166">SUM(W54:W56)</f>
        <v>0</v>
      </c>
      <c r="X57" s="13">
        <f t="shared" si="166"/>
        <v>0</v>
      </c>
      <c r="Y57" s="13">
        <f t="shared" si="166"/>
        <v>0</v>
      </c>
      <c r="Z57" s="13" t="e">
        <f t="shared" si="166"/>
        <v>#REF!</v>
      </c>
      <c r="AA57" s="13">
        <f t="shared" si="166"/>
        <v>0</v>
      </c>
      <c r="AB57" s="13">
        <f t="shared" si="166"/>
        <v>0</v>
      </c>
      <c r="AC57" s="13">
        <f t="shared" si="166"/>
        <v>0</v>
      </c>
      <c r="AD57" s="13" t="e">
        <f t="shared" si="166"/>
        <v>#REF!</v>
      </c>
      <c r="AE57" s="13">
        <f t="shared" si="166"/>
        <v>0</v>
      </c>
    </row>
    <row r="58" spans="1:31" ht="5.0999999999999996" customHeight="1"/>
    <row r="59" spans="1:31" ht="12.75" customHeight="1">
      <c r="B59" s="32" t="s">
        <v>46</v>
      </c>
    </row>
    <row r="60" spans="1:31" ht="12.75" customHeight="1">
      <c r="B60" s="8" t="s">
        <v>112</v>
      </c>
      <c r="C60" s="80"/>
      <c r="D60" s="80"/>
      <c r="E60" s="80"/>
      <c r="F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10"/>
      <c r="V60" s="10">
        <f t="shared" ref="V60:V66" si="167">K60</f>
        <v>0</v>
      </c>
      <c r="W60" s="10">
        <f t="shared" ref="W60:W66" si="168">L60</f>
        <v>0</v>
      </c>
      <c r="X60" s="10">
        <f t="shared" ref="X60:X66" si="169">M60</f>
        <v>0</v>
      </c>
      <c r="Y60" s="10">
        <f t="shared" ref="Y60:Y66" si="170">N60</f>
        <v>0</v>
      </c>
      <c r="Z60" s="10">
        <f t="shared" ref="Z60:Z66" si="171">O60</f>
        <v>0</v>
      </c>
      <c r="AA60" s="10">
        <f t="shared" ref="AA60:AA66" si="172">P60</f>
        <v>0</v>
      </c>
      <c r="AB60" s="10">
        <f t="shared" ref="AB60:AB66" si="173">Q60</f>
        <v>0</v>
      </c>
      <c r="AC60" s="10">
        <f t="shared" ref="AC60:AC66" si="174">R60</f>
        <v>0</v>
      </c>
      <c r="AD60" s="10">
        <f t="shared" ref="AD60:AD66" si="175">S60</f>
        <v>0</v>
      </c>
      <c r="AE60" s="10">
        <f t="shared" ref="AE60:AE66" si="176">T60</f>
        <v>0</v>
      </c>
    </row>
    <row r="61" spans="1:31" ht="12.75" customHeight="1">
      <c r="B61" s="8" t="s">
        <v>112</v>
      </c>
      <c r="C61" s="80"/>
      <c r="D61" s="80"/>
      <c r="E61" s="80"/>
      <c r="F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10"/>
      <c r="V61" s="10">
        <f t="shared" si="167"/>
        <v>0</v>
      </c>
      <c r="W61" s="10">
        <f t="shared" si="168"/>
        <v>0</v>
      </c>
      <c r="X61" s="10">
        <f t="shared" si="169"/>
        <v>0</v>
      </c>
      <c r="Y61" s="10">
        <f t="shared" si="170"/>
        <v>0</v>
      </c>
      <c r="Z61" s="10">
        <f t="shared" si="171"/>
        <v>0</v>
      </c>
      <c r="AA61" s="10">
        <f t="shared" si="172"/>
        <v>0</v>
      </c>
      <c r="AB61" s="10">
        <f t="shared" si="173"/>
        <v>0</v>
      </c>
      <c r="AC61" s="10">
        <f t="shared" si="174"/>
        <v>0</v>
      </c>
      <c r="AD61" s="10">
        <f t="shared" si="175"/>
        <v>0</v>
      </c>
      <c r="AE61" s="10">
        <f t="shared" si="176"/>
        <v>0</v>
      </c>
    </row>
    <row r="62" spans="1:31" ht="12.75" customHeight="1">
      <c r="B62" s="8" t="s">
        <v>112</v>
      </c>
      <c r="C62" s="80"/>
      <c r="D62" s="80"/>
      <c r="E62" s="80"/>
      <c r="F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10"/>
      <c r="V62" s="10">
        <f t="shared" si="167"/>
        <v>0</v>
      </c>
      <c r="W62" s="10">
        <f t="shared" si="168"/>
        <v>0</v>
      </c>
      <c r="X62" s="10">
        <f t="shared" si="169"/>
        <v>0</v>
      </c>
      <c r="Y62" s="10">
        <f t="shared" si="170"/>
        <v>0</v>
      </c>
      <c r="Z62" s="10">
        <f t="shared" si="171"/>
        <v>0</v>
      </c>
      <c r="AA62" s="10">
        <f t="shared" si="172"/>
        <v>0</v>
      </c>
      <c r="AB62" s="10">
        <f t="shared" si="173"/>
        <v>0</v>
      </c>
      <c r="AC62" s="10">
        <f t="shared" si="174"/>
        <v>0</v>
      </c>
      <c r="AD62" s="10">
        <f t="shared" si="175"/>
        <v>0</v>
      </c>
      <c r="AE62" s="10">
        <f t="shared" si="176"/>
        <v>0</v>
      </c>
    </row>
    <row r="63" spans="1:31" ht="12.75" customHeight="1">
      <c r="B63" s="8" t="s">
        <v>112</v>
      </c>
      <c r="C63" s="80"/>
      <c r="D63" s="80"/>
      <c r="E63" s="80"/>
      <c r="F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10"/>
      <c r="V63" s="10">
        <f t="shared" si="167"/>
        <v>0</v>
      </c>
      <c r="W63" s="10">
        <f t="shared" si="168"/>
        <v>0</v>
      </c>
      <c r="X63" s="10">
        <f t="shared" si="169"/>
        <v>0</v>
      </c>
      <c r="Y63" s="10">
        <f t="shared" si="170"/>
        <v>0</v>
      </c>
      <c r="Z63" s="10">
        <f t="shared" si="171"/>
        <v>0</v>
      </c>
      <c r="AA63" s="10">
        <f t="shared" si="172"/>
        <v>0</v>
      </c>
      <c r="AB63" s="10">
        <f t="shared" si="173"/>
        <v>0</v>
      </c>
      <c r="AC63" s="10">
        <f t="shared" si="174"/>
        <v>0</v>
      </c>
      <c r="AD63" s="10">
        <f t="shared" si="175"/>
        <v>0</v>
      </c>
      <c r="AE63" s="10">
        <f t="shared" si="176"/>
        <v>0</v>
      </c>
    </row>
    <row r="64" spans="1:31" ht="12.75" customHeight="1">
      <c r="B64" s="8" t="s">
        <v>112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V64" s="10">
        <f t="shared" si="167"/>
        <v>0</v>
      </c>
      <c r="W64" s="10">
        <f t="shared" si="168"/>
        <v>0</v>
      </c>
      <c r="X64" s="10">
        <f t="shared" si="169"/>
        <v>0</v>
      </c>
      <c r="Y64" s="10">
        <f t="shared" si="170"/>
        <v>0</v>
      </c>
      <c r="Z64" s="10">
        <f t="shared" si="171"/>
        <v>0</v>
      </c>
      <c r="AA64" s="10">
        <f t="shared" si="172"/>
        <v>0</v>
      </c>
      <c r="AB64" s="10">
        <f t="shared" si="173"/>
        <v>0</v>
      </c>
      <c r="AC64" s="10">
        <f t="shared" si="174"/>
        <v>0</v>
      </c>
      <c r="AD64" s="10">
        <f t="shared" si="175"/>
        <v>0</v>
      </c>
      <c r="AE64" s="10">
        <f t="shared" si="176"/>
        <v>0</v>
      </c>
    </row>
    <row r="65" spans="2:31" ht="12.75" customHeight="1">
      <c r="B65" s="8" t="s">
        <v>112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V65" s="10">
        <f t="shared" si="167"/>
        <v>0</v>
      </c>
      <c r="W65" s="10">
        <f t="shared" si="168"/>
        <v>0</v>
      </c>
      <c r="X65" s="10">
        <f t="shared" si="169"/>
        <v>0</v>
      </c>
      <c r="Y65" s="10">
        <f t="shared" si="170"/>
        <v>0</v>
      </c>
      <c r="Z65" s="10">
        <f t="shared" si="171"/>
        <v>0</v>
      </c>
      <c r="AA65" s="10">
        <f t="shared" si="172"/>
        <v>0</v>
      </c>
      <c r="AB65" s="10">
        <f t="shared" si="173"/>
        <v>0</v>
      </c>
      <c r="AC65" s="10">
        <f t="shared" si="174"/>
        <v>0</v>
      </c>
      <c r="AD65" s="10">
        <f t="shared" si="175"/>
        <v>0</v>
      </c>
      <c r="AE65" s="10">
        <f t="shared" si="176"/>
        <v>0</v>
      </c>
    </row>
    <row r="66" spans="2:31" ht="12.75" customHeight="1">
      <c r="B66" s="8" t="s">
        <v>112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V66" s="10">
        <f t="shared" si="167"/>
        <v>0</v>
      </c>
      <c r="W66" s="10">
        <f t="shared" si="168"/>
        <v>0</v>
      </c>
      <c r="X66" s="10">
        <f t="shared" si="169"/>
        <v>0</v>
      </c>
      <c r="Y66" s="10">
        <f t="shared" si="170"/>
        <v>0</v>
      </c>
      <c r="Z66" s="10">
        <f t="shared" si="171"/>
        <v>0</v>
      </c>
      <c r="AA66" s="10">
        <f t="shared" si="172"/>
        <v>0</v>
      </c>
      <c r="AB66" s="10">
        <f t="shared" si="173"/>
        <v>0</v>
      </c>
      <c r="AC66" s="10">
        <f t="shared" si="174"/>
        <v>0</v>
      </c>
      <c r="AD66" s="10">
        <f t="shared" si="175"/>
        <v>0</v>
      </c>
      <c r="AE66" s="10">
        <f t="shared" si="176"/>
        <v>0</v>
      </c>
    </row>
    <row r="67" spans="2:31" ht="5.0999999999999996" customHeight="1"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2:31">
      <c r="B68" s="32" t="s">
        <v>103</v>
      </c>
      <c r="F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2:31">
      <c r="B69" s="8" t="s">
        <v>104</v>
      </c>
      <c r="C69" s="80"/>
      <c r="D69" s="80"/>
      <c r="E69" s="80"/>
      <c r="F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V69" s="10">
        <f t="shared" ref="V69:V70" si="177">K69</f>
        <v>0</v>
      </c>
      <c r="W69" s="10">
        <f t="shared" ref="W69:W70" si="178">L69</f>
        <v>0</v>
      </c>
      <c r="X69" s="10">
        <f t="shared" ref="X69:X70" si="179">M69</f>
        <v>0</v>
      </c>
      <c r="Y69" s="10">
        <f t="shared" ref="Y69:Y70" si="180">N69</f>
        <v>0</v>
      </c>
      <c r="Z69" s="10">
        <f t="shared" ref="Z69:Z70" si="181">O69</f>
        <v>0</v>
      </c>
      <c r="AA69" s="10">
        <f t="shared" ref="AA69:AA70" si="182">P69</f>
        <v>0</v>
      </c>
      <c r="AB69" s="10">
        <f t="shared" ref="AB69:AB70" si="183">Q69</f>
        <v>0</v>
      </c>
      <c r="AC69" s="10">
        <f t="shared" ref="AC69:AC70" si="184">R69</f>
        <v>0</v>
      </c>
      <c r="AD69" s="10">
        <f t="shared" ref="AD69:AD70" si="185">S69</f>
        <v>0</v>
      </c>
      <c r="AE69" s="10">
        <f t="shared" ref="AE69:AE70" si="186">T69</f>
        <v>0</v>
      </c>
    </row>
    <row r="70" spans="2:31">
      <c r="B70" s="8" t="s">
        <v>105</v>
      </c>
      <c r="C70" s="80"/>
      <c r="D70" s="80"/>
      <c r="E70" s="80"/>
      <c r="F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V70" s="10">
        <f t="shared" si="177"/>
        <v>0</v>
      </c>
      <c r="W70" s="10">
        <f t="shared" si="178"/>
        <v>0</v>
      </c>
      <c r="X70" s="10">
        <f t="shared" si="179"/>
        <v>0</v>
      </c>
      <c r="Y70" s="10">
        <f t="shared" si="180"/>
        <v>0</v>
      </c>
      <c r="Z70" s="10">
        <f t="shared" si="181"/>
        <v>0</v>
      </c>
      <c r="AA70" s="10">
        <f t="shared" si="182"/>
        <v>0</v>
      </c>
      <c r="AB70" s="10">
        <f t="shared" si="183"/>
        <v>0</v>
      </c>
      <c r="AC70" s="10">
        <f t="shared" si="184"/>
        <v>0</v>
      </c>
      <c r="AD70" s="10">
        <f t="shared" si="185"/>
        <v>0</v>
      </c>
      <c r="AE70" s="10">
        <f t="shared" si="186"/>
        <v>0</v>
      </c>
    </row>
    <row r="71" spans="2:31">
      <c r="F71" s="10"/>
    </row>
    <row r="72" spans="2:31">
      <c r="B72" s="130" t="s">
        <v>112</v>
      </c>
      <c r="C72" s="75"/>
      <c r="D72" s="75"/>
      <c r="E72" s="75"/>
      <c r="F72" s="75"/>
      <c r="H72" s="75"/>
      <c r="I72" s="75"/>
      <c r="J72" s="75"/>
      <c r="K72" s="106">
        <f t="shared" ref="K72:K74" si="187">D72</f>
        <v>0</v>
      </c>
      <c r="L72" s="75"/>
      <c r="M72" s="75"/>
      <c r="N72" s="75"/>
      <c r="O72" s="106">
        <f t="shared" ref="O72:O74" si="188">E72</f>
        <v>0</v>
      </c>
      <c r="P72" s="75"/>
      <c r="Q72" s="75"/>
      <c r="R72" s="75"/>
      <c r="S72" s="106">
        <f>F72</f>
        <v>0</v>
      </c>
      <c r="T72" s="75"/>
      <c r="V72" s="10">
        <f t="shared" ref="V72:V75" si="189">K72</f>
        <v>0</v>
      </c>
      <c r="W72" s="10">
        <f t="shared" ref="W72:W75" si="190">L72</f>
        <v>0</v>
      </c>
      <c r="X72" s="10">
        <f t="shared" ref="X72:X75" si="191">M72</f>
        <v>0</v>
      </c>
      <c r="Y72" s="10">
        <f t="shared" ref="Y72:Y75" si="192">N72</f>
        <v>0</v>
      </c>
      <c r="Z72" s="10">
        <f t="shared" ref="Z72:Z75" si="193">O72</f>
        <v>0</v>
      </c>
      <c r="AA72" s="10">
        <f t="shared" ref="AA72:AA75" si="194">P72</f>
        <v>0</v>
      </c>
      <c r="AB72" s="10">
        <f t="shared" ref="AB72:AB75" si="195">Q72</f>
        <v>0</v>
      </c>
      <c r="AC72" s="10">
        <f t="shared" ref="AC72:AC75" si="196">R72</f>
        <v>0</v>
      </c>
      <c r="AD72" s="10">
        <f t="shared" ref="AD72:AD75" si="197">S72</f>
        <v>0</v>
      </c>
      <c r="AE72" s="10">
        <f t="shared" ref="AE72:AE75" si="198">T72</f>
        <v>0</v>
      </c>
    </row>
    <row r="73" spans="2:31">
      <c r="B73" s="130" t="s">
        <v>112</v>
      </c>
      <c r="C73" s="75"/>
      <c r="D73" s="75"/>
      <c r="E73" s="75"/>
      <c r="F73" s="75"/>
      <c r="H73" s="75"/>
      <c r="I73" s="75"/>
      <c r="J73" s="75"/>
      <c r="K73" s="106">
        <f t="shared" si="187"/>
        <v>0</v>
      </c>
      <c r="L73" s="75"/>
      <c r="M73" s="75"/>
      <c r="N73" s="75"/>
      <c r="O73" s="106">
        <f t="shared" si="188"/>
        <v>0</v>
      </c>
      <c r="P73" s="75"/>
      <c r="Q73" s="75"/>
      <c r="R73" s="75"/>
      <c r="S73" s="106">
        <f t="shared" ref="S73:S74" si="199">F73</f>
        <v>0</v>
      </c>
      <c r="T73" s="75"/>
      <c r="V73" s="10">
        <f t="shared" si="189"/>
        <v>0</v>
      </c>
      <c r="W73" s="10">
        <f t="shared" si="190"/>
        <v>0</v>
      </c>
      <c r="X73" s="10">
        <f t="shared" si="191"/>
        <v>0</v>
      </c>
      <c r="Y73" s="10">
        <f t="shared" si="192"/>
        <v>0</v>
      </c>
      <c r="Z73" s="10">
        <f t="shared" si="193"/>
        <v>0</v>
      </c>
      <c r="AA73" s="10">
        <f t="shared" si="194"/>
        <v>0</v>
      </c>
      <c r="AB73" s="10">
        <f t="shared" si="195"/>
        <v>0</v>
      </c>
      <c r="AC73" s="10">
        <f t="shared" si="196"/>
        <v>0</v>
      </c>
      <c r="AD73" s="10">
        <f t="shared" si="197"/>
        <v>0</v>
      </c>
      <c r="AE73" s="10">
        <f t="shared" si="198"/>
        <v>0</v>
      </c>
    </row>
    <row r="74" spans="2:31">
      <c r="B74" s="130" t="s">
        <v>112</v>
      </c>
      <c r="C74" s="75"/>
      <c r="D74" s="75"/>
      <c r="E74" s="75"/>
      <c r="F74" s="75"/>
      <c r="H74" s="75"/>
      <c r="I74" s="75"/>
      <c r="J74" s="75"/>
      <c r="K74" s="106">
        <f t="shared" si="187"/>
        <v>0</v>
      </c>
      <c r="L74" s="75"/>
      <c r="M74" s="75"/>
      <c r="N74" s="75"/>
      <c r="O74" s="106">
        <f t="shared" si="188"/>
        <v>0</v>
      </c>
      <c r="P74" s="75"/>
      <c r="Q74" s="75"/>
      <c r="R74" s="75"/>
      <c r="S74" s="106">
        <f t="shared" si="199"/>
        <v>0</v>
      </c>
      <c r="T74" s="75"/>
      <c r="V74" s="10">
        <f t="shared" si="189"/>
        <v>0</v>
      </c>
      <c r="W74" s="10">
        <f t="shared" si="190"/>
        <v>0</v>
      </c>
      <c r="X74" s="10">
        <f t="shared" si="191"/>
        <v>0</v>
      </c>
      <c r="Y74" s="10">
        <f t="shared" si="192"/>
        <v>0</v>
      </c>
      <c r="Z74" s="10">
        <f t="shared" si="193"/>
        <v>0</v>
      </c>
      <c r="AA74" s="10">
        <f t="shared" si="194"/>
        <v>0</v>
      </c>
      <c r="AB74" s="10">
        <f t="shared" si="195"/>
        <v>0</v>
      </c>
      <c r="AC74" s="10">
        <f t="shared" si="196"/>
        <v>0</v>
      </c>
      <c r="AD74" s="10">
        <f t="shared" si="197"/>
        <v>0</v>
      </c>
      <c r="AE74" s="10">
        <f t="shared" si="198"/>
        <v>0</v>
      </c>
    </row>
    <row r="75" spans="2:31">
      <c r="B75" s="130" t="s">
        <v>112</v>
      </c>
      <c r="C75" s="75"/>
      <c r="D75" s="75"/>
      <c r="E75" s="75"/>
      <c r="F75" s="75"/>
      <c r="H75" s="75"/>
      <c r="I75" s="75"/>
      <c r="J75" s="75"/>
      <c r="K75" s="80" t="e">
        <f>'Historical Financials'!#REF!+'Historical Financials'!#REF!</f>
        <v>#REF!</v>
      </c>
      <c r="L75" s="75"/>
      <c r="M75" s="75"/>
      <c r="N75" s="75"/>
      <c r="O75" s="80" t="e">
        <f>'Historical Financials'!#REF!+'Historical Financials'!#REF!</f>
        <v>#REF!</v>
      </c>
      <c r="P75" s="75"/>
      <c r="Q75" s="75"/>
      <c r="R75" s="75"/>
      <c r="S75" s="80" t="e">
        <f>'Historical Financials'!#REF!+'Historical Financials'!#REF!</f>
        <v>#REF!</v>
      </c>
      <c r="T75" s="75"/>
      <c r="V75" s="10" t="e">
        <f t="shared" si="189"/>
        <v>#REF!</v>
      </c>
      <c r="W75" s="10">
        <f t="shared" si="190"/>
        <v>0</v>
      </c>
      <c r="X75" s="10">
        <f t="shared" si="191"/>
        <v>0</v>
      </c>
      <c r="Y75" s="10">
        <f t="shared" si="192"/>
        <v>0</v>
      </c>
      <c r="Z75" s="10" t="e">
        <f t="shared" si="193"/>
        <v>#REF!</v>
      </c>
      <c r="AA75" s="10">
        <f t="shared" si="194"/>
        <v>0</v>
      </c>
      <c r="AB75" s="10">
        <f t="shared" si="195"/>
        <v>0</v>
      </c>
      <c r="AC75" s="10">
        <f t="shared" si="196"/>
        <v>0</v>
      </c>
      <c r="AD75" s="10" t="e">
        <f t="shared" si="197"/>
        <v>#REF!</v>
      </c>
      <c r="AE75" s="10">
        <f t="shared" si="198"/>
        <v>0</v>
      </c>
    </row>
    <row r="76" spans="2:31" ht="12.75" customHeight="1">
      <c r="B76" s="12" t="s">
        <v>23</v>
      </c>
      <c r="C76" s="13">
        <f t="shared" ref="C76:F76" si="200">SUM(C72:C75)</f>
        <v>0</v>
      </c>
      <c r="D76" s="13">
        <f t="shared" si="200"/>
        <v>0</v>
      </c>
      <c r="E76" s="13">
        <f t="shared" si="200"/>
        <v>0</v>
      </c>
      <c r="F76" s="13">
        <f t="shared" si="200"/>
        <v>0</v>
      </c>
      <c r="H76" s="13">
        <f t="shared" ref="H76:S76" si="201">SUM(H72:H75)</f>
        <v>0</v>
      </c>
      <c r="I76" s="13">
        <f t="shared" si="201"/>
        <v>0</v>
      </c>
      <c r="J76" s="13">
        <f t="shared" si="201"/>
        <v>0</v>
      </c>
      <c r="K76" s="13" t="e">
        <f t="shared" si="201"/>
        <v>#REF!</v>
      </c>
      <c r="L76" s="13">
        <f t="shared" si="201"/>
        <v>0</v>
      </c>
      <c r="M76" s="13">
        <f t="shared" si="201"/>
        <v>0</v>
      </c>
      <c r="N76" s="13">
        <f t="shared" si="201"/>
        <v>0</v>
      </c>
      <c r="O76" s="13" t="e">
        <f t="shared" si="201"/>
        <v>#REF!</v>
      </c>
      <c r="P76" s="13">
        <f t="shared" si="201"/>
        <v>0</v>
      </c>
      <c r="Q76" s="13">
        <f t="shared" si="201"/>
        <v>0</v>
      </c>
      <c r="R76" s="13">
        <f t="shared" si="201"/>
        <v>0</v>
      </c>
      <c r="S76" s="13" t="e">
        <f t="shared" si="201"/>
        <v>#REF!</v>
      </c>
      <c r="T76" s="13">
        <f t="shared" ref="T76" si="202">SUM(T72:T75)</f>
        <v>0</v>
      </c>
      <c r="V76" s="13" t="e">
        <f t="shared" ref="V76:AE76" si="203">SUM(V72:V75)</f>
        <v>#REF!</v>
      </c>
      <c r="W76" s="13">
        <f t="shared" si="203"/>
        <v>0</v>
      </c>
      <c r="X76" s="13">
        <f t="shared" si="203"/>
        <v>0</v>
      </c>
      <c r="Y76" s="13">
        <f t="shared" si="203"/>
        <v>0</v>
      </c>
      <c r="Z76" s="13" t="e">
        <f t="shared" si="203"/>
        <v>#REF!</v>
      </c>
      <c r="AA76" s="13">
        <f t="shared" si="203"/>
        <v>0</v>
      </c>
      <c r="AB76" s="13">
        <f t="shared" si="203"/>
        <v>0</v>
      </c>
      <c r="AC76" s="13">
        <f t="shared" si="203"/>
        <v>0</v>
      </c>
      <c r="AD76" s="13" t="e">
        <f t="shared" si="203"/>
        <v>#REF!</v>
      </c>
      <c r="AE76" s="13">
        <f t="shared" si="203"/>
        <v>0</v>
      </c>
    </row>
    <row r="77" spans="2:31" ht="5.0999999999999996" customHeight="1"/>
    <row r="78" spans="2:31" ht="12.75" customHeight="1">
      <c r="B78" s="8" t="s">
        <v>48</v>
      </c>
      <c r="C78" s="80"/>
      <c r="D78" s="80"/>
      <c r="E78" s="80"/>
      <c r="F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V78" s="10">
        <f t="shared" ref="V78" si="204">K78</f>
        <v>0</v>
      </c>
      <c r="W78" s="10">
        <f t="shared" ref="W78" si="205">L78</f>
        <v>0</v>
      </c>
      <c r="X78" s="10">
        <f t="shared" ref="X78" si="206">M78</f>
        <v>0</v>
      </c>
      <c r="Y78" s="10">
        <f t="shared" ref="Y78" si="207">N78</f>
        <v>0</v>
      </c>
      <c r="Z78" s="10">
        <f t="shared" ref="Z78" si="208">O78</f>
        <v>0</v>
      </c>
      <c r="AA78" s="10">
        <f t="shared" ref="AA78" si="209">P78</f>
        <v>0</v>
      </c>
      <c r="AB78" s="10">
        <f t="shared" ref="AB78" si="210">Q78</f>
        <v>0</v>
      </c>
      <c r="AC78" s="10">
        <f t="shared" ref="AC78" si="211">R78</f>
        <v>0</v>
      </c>
      <c r="AD78" s="10">
        <f t="shared" ref="AD78" si="212">S78</f>
        <v>0</v>
      </c>
      <c r="AE78" s="10">
        <f t="shared" ref="AE78" si="213">T78</f>
        <v>0</v>
      </c>
    </row>
    <row r="79" spans="2:31" ht="12.75" customHeight="1">
      <c r="B79" s="12" t="s">
        <v>49</v>
      </c>
      <c r="C79" s="13">
        <f t="shared" ref="C79:F79" si="214">SUM(C76:C78)</f>
        <v>0</v>
      </c>
      <c r="D79" s="13">
        <f t="shared" si="214"/>
        <v>0</v>
      </c>
      <c r="E79" s="13">
        <f t="shared" si="214"/>
        <v>0</v>
      </c>
      <c r="F79" s="13">
        <f t="shared" si="214"/>
        <v>0</v>
      </c>
      <c r="H79" s="13">
        <f>SUM(H76:H78)</f>
        <v>0</v>
      </c>
      <c r="I79" s="13">
        <f>SUM(I76:I78)</f>
        <v>0</v>
      </c>
      <c r="J79" s="13">
        <f>SUM(J76:J78)</f>
        <v>0</v>
      </c>
      <c r="K79" s="13" t="e">
        <f>SUM(K76:K78)</f>
        <v>#REF!</v>
      </c>
      <c r="L79" s="13">
        <f t="shared" ref="L79:Q79" si="215">SUM(L76:L78)</f>
        <v>0</v>
      </c>
      <c r="M79" s="13">
        <f t="shared" si="215"/>
        <v>0</v>
      </c>
      <c r="N79" s="13">
        <f t="shared" si="215"/>
        <v>0</v>
      </c>
      <c r="O79" s="13" t="e">
        <f t="shared" si="215"/>
        <v>#REF!</v>
      </c>
      <c r="P79" s="13">
        <f t="shared" si="215"/>
        <v>0</v>
      </c>
      <c r="Q79" s="13">
        <f t="shared" si="215"/>
        <v>0</v>
      </c>
      <c r="R79" s="13">
        <f t="shared" ref="R79:S79" si="216">SUM(R76:R78)</f>
        <v>0</v>
      </c>
      <c r="S79" s="13" t="e">
        <f t="shared" si="216"/>
        <v>#REF!</v>
      </c>
      <c r="T79" s="13">
        <f t="shared" ref="T79" si="217">SUM(T76:T78)</f>
        <v>0</v>
      </c>
      <c r="V79" s="13" t="e">
        <f t="shared" ref="V79" si="218">SUM(V76:V78)</f>
        <v>#REF!</v>
      </c>
      <c r="W79" s="13">
        <f t="shared" ref="W79:AC79" si="219">SUM(W76:W78)</f>
        <v>0</v>
      </c>
      <c r="X79" s="13">
        <f t="shared" si="219"/>
        <v>0</v>
      </c>
      <c r="Y79" s="13">
        <f t="shared" si="219"/>
        <v>0</v>
      </c>
      <c r="Z79" s="13" t="e">
        <f t="shared" si="219"/>
        <v>#REF!</v>
      </c>
      <c r="AA79" s="13">
        <f t="shared" si="219"/>
        <v>0</v>
      </c>
      <c r="AB79" s="13">
        <f t="shared" si="219"/>
        <v>0</v>
      </c>
      <c r="AC79" s="13">
        <f t="shared" si="219"/>
        <v>0</v>
      </c>
      <c r="AD79" s="13" t="e">
        <f>SUM(AD76:AD78)</f>
        <v>#REF!</v>
      </c>
      <c r="AE79" s="13">
        <f>SUM(AE76:AE78)</f>
        <v>0</v>
      </c>
    </row>
    <row r="80" spans="2:31" ht="5.0999999999999996" customHeight="1"/>
    <row r="81" spans="1:31" ht="12.75" customHeight="1">
      <c r="A81" s="5"/>
      <c r="B81" s="31" t="s">
        <v>73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5.0999999999999996" customHeight="1"/>
    <row r="83" spans="1:31" ht="12.75" customHeight="1">
      <c r="B83" s="29" t="s">
        <v>106</v>
      </c>
      <c r="C83" s="134" t="e">
        <f>C76/C34</f>
        <v>#DIV/0!</v>
      </c>
      <c r="D83" s="134" t="e">
        <f>D76/D34</f>
        <v>#DIV/0!</v>
      </c>
      <c r="E83" s="134" t="e">
        <f>E76/E34</f>
        <v>#DIV/0!</v>
      </c>
      <c r="F83" s="134" t="e">
        <f>F76/F34</f>
        <v>#DIV/0!</v>
      </c>
      <c r="H83" s="136"/>
      <c r="I83" s="136"/>
      <c r="J83" s="136"/>
      <c r="K83" s="134" t="e">
        <f t="shared" ref="K83" si="220">SUM(K76/SUM(H34:K34))</f>
        <v>#REF!</v>
      </c>
      <c r="L83" s="134" t="e">
        <f t="shared" ref="L83" si="221">SUM(L76/SUM(I34:L34))</f>
        <v>#DIV/0!</v>
      </c>
      <c r="M83" s="134" t="e">
        <f t="shared" ref="M83" si="222">SUM(M76/SUM(J34:M34))</f>
        <v>#DIV/0!</v>
      </c>
      <c r="N83" s="134" t="e">
        <f t="shared" ref="N83" si="223">SUM(N76/SUM(K34:N34))</f>
        <v>#DIV/0!</v>
      </c>
      <c r="O83" s="134" t="e">
        <f t="shared" ref="O83" si="224">SUM(O76/SUM(L34:O34))</f>
        <v>#REF!</v>
      </c>
      <c r="P83" s="134" t="e">
        <f t="shared" ref="P83" si="225">SUM(P76/SUM(M34:P34))</f>
        <v>#DIV/0!</v>
      </c>
      <c r="Q83" s="134" t="e">
        <f t="shared" ref="Q83" si="226">SUM(Q76/SUM(N34:Q34))</f>
        <v>#DIV/0!</v>
      </c>
      <c r="R83" s="134" t="e">
        <f t="shared" ref="R83" si="227">SUM(R76/SUM(O34:R34))</f>
        <v>#DIV/0!</v>
      </c>
      <c r="S83" s="134" t="e">
        <f t="shared" ref="S83" si="228">SUM(S76/SUM(P34:S34))</f>
        <v>#REF!</v>
      </c>
      <c r="T83" s="134" t="e">
        <f t="shared" ref="T83" si="229">SUM(T76/SUM(Q34:T34))</f>
        <v>#DIV/0!</v>
      </c>
      <c r="U83" s="134"/>
      <c r="V83" s="134" t="e">
        <f t="shared" ref="V83:AE83" si="230">V76/V34</f>
        <v>#REF!</v>
      </c>
      <c r="W83" s="134" t="e">
        <f t="shared" si="230"/>
        <v>#DIV/0!</v>
      </c>
      <c r="X83" s="134" t="e">
        <f t="shared" si="230"/>
        <v>#DIV/0!</v>
      </c>
      <c r="Y83" s="134" t="e">
        <f t="shared" si="230"/>
        <v>#DIV/0!</v>
      </c>
      <c r="Z83" s="134" t="e">
        <f t="shared" si="230"/>
        <v>#REF!</v>
      </c>
      <c r="AA83" s="134" t="e">
        <f t="shared" si="230"/>
        <v>#DIV/0!</v>
      </c>
      <c r="AB83" s="134" t="e">
        <f t="shared" si="230"/>
        <v>#DIV/0!</v>
      </c>
      <c r="AC83" s="134" t="e">
        <f t="shared" si="230"/>
        <v>#DIV/0!</v>
      </c>
      <c r="AD83" s="134" t="e">
        <f t="shared" si="230"/>
        <v>#REF!</v>
      </c>
      <c r="AE83" s="134" t="e">
        <f t="shared" si="230"/>
        <v>#DIV/0!</v>
      </c>
    </row>
    <row r="84" spans="1:31" ht="12.75" customHeight="1">
      <c r="B84" s="29" t="s">
        <v>107</v>
      </c>
      <c r="C84" s="134" t="e">
        <f>SUM(C76-C54)/C34</f>
        <v>#DIV/0!</v>
      </c>
      <c r="D84" s="134" t="e">
        <f>SUM(D76-D54)/D34</f>
        <v>#DIV/0!</v>
      </c>
      <c r="E84" s="134" t="e">
        <f>SUM(E76-E54)/E34</f>
        <v>#DIV/0!</v>
      </c>
      <c r="F84" s="134" t="e">
        <f>SUM(F76-F54)/F34</f>
        <v>#DIV/0!</v>
      </c>
      <c r="H84" s="136"/>
      <c r="I84" s="136"/>
      <c r="J84" s="136"/>
      <c r="K84" s="134" t="e">
        <f t="shared" ref="K84" si="231">SUM(K76-K54)/SUM(H34:K34)</f>
        <v>#REF!</v>
      </c>
      <c r="L84" s="134" t="e">
        <f t="shared" ref="L84" si="232">SUM(L76-L54)/SUM(I34:L34)</f>
        <v>#DIV/0!</v>
      </c>
      <c r="M84" s="134" t="e">
        <f t="shared" ref="M84" si="233">SUM(M76-M54)/SUM(J34:M34)</f>
        <v>#DIV/0!</v>
      </c>
      <c r="N84" s="134" t="e">
        <f t="shared" ref="N84" si="234">SUM(N76-N54)/SUM(K34:N34)</f>
        <v>#DIV/0!</v>
      </c>
      <c r="O84" s="134" t="e">
        <f t="shared" ref="O84" si="235">SUM(O76-O54)/SUM(L34:O34)</f>
        <v>#REF!</v>
      </c>
      <c r="P84" s="134" t="e">
        <f t="shared" ref="P84" si="236">SUM(P76-P54)/SUM(M34:P34)</f>
        <v>#DIV/0!</v>
      </c>
      <c r="Q84" s="134" t="e">
        <f t="shared" ref="Q84" si="237">SUM(Q76-Q54)/SUM(N34:Q34)</f>
        <v>#DIV/0!</v>
      </c>
      <c r="R84" s="134" t="e">
        <f t="shared" ref="R84" si="238">SUM(R76-R54)/SUM(O34:R34)</f>
        <v>#DIV/0!</v>
      </c>
      <c r="S84" s="134" t="e">
        <f t="shared" ref="S84" si="239">SUM(S76-S54)/SUM(P34:S34)</f>
        <v>#REF!</v>
      </c>
      <c r="T84" s="134" t="e">
        <f t="shared" ref="T84" si="240">SUM(T76-T54)/SUM(Q34:T34)</f>
        <v>#DIV/0!</v>
      </c>
      <c r="U84" s="134"/>
      <c r="V84" s="134" t="e">
        <f t="shared" ref="V84:AE84" si="241">SUM(V76-V54)/V34</f>
        <v>#REF!</v>
      </c>
      <c r="W84" s="134" t="e">
        <f t="shared" si="241"/>
        <v>#DIV/0!</v>
      </c>
      <c r="X84" s="134" t="e">
        <f t="shared" si="241"/>
        <v>#DIV/0!</v>
      </c>
      <c r="Y84" s="134" t="e">
        <f t="shared" si="241"/>
        <v>#DIV/0!</v>
      </c>
      <c r="Z84" s="134" t="e">
        <f t="shared" si="241"/>
        <v>#REF!</v>
      </c>
      <c r="AA84" s="134" t="e">
        <f t="shared" si="241"/>
        <v>#DIV/0!</v>
      </c>
      <c r="AB84" s="134" t="e">
        <f t="shared" si="241"/>
        <v>#DIV/0!</v>
      </c>
      <c r="AC84" s="134" t="e">
        <f t="shared" si="241"/>
        <v>#DIV/0!</v>
      </c>
      <c r="AD84" s="134" t="e">
        <f t="shared" si="241"/>
        <v>#REF!</v>
      </c>
      <c r="AE84" s="134" t="e">
        <f t="shared" si="241"/>
        <v>#DIV/0!</v>
      </c>
    </row>
    <row r="85" spans="1:31" ht="12.75" customHeight="1">
      <c r="B85" s="29" t="s">
        <v>108</v>
      </c>
      <c r="C85" s="134" t="e">
        <f>C34/-C39</f>
        <v>#DIV/0!</v>
      </c>
      <c r="D85" s="134" t="e">
        <f>D34/-D39</f>
        <v>#DIV/0!</v>
      </c>
      <c r="E85" s="134" t="e">
        <f>E34/-E39</f>
        <v>#DIV/0!</v>
      </c>
      <c r="F85" s="134" t="e">
        <f>F34/-F39</f>
        <v>#DIV/0!</v>
      </c>
      <c r="H85" s="136"/>
      <c r="I85" s="136"/>
      <c r="J85" s="136"/>
      <c r="K85" s="134" t="e" cm="1">
        <f t="array" ref="K85">SUM(H34:K34)/SUM(-H39:K39)</f>
        <v>#DIV/0!</v>
      </c>
      <c r="L85" s="134" t="e" cm="1">
        <f t="array" ref="L85">SUM(I34:L34)/SUM(-I39:L39)</f>
        <v>#DIV/0!</v>
      </c>
      <c r="M85" s="134" t="e" cm="1">
        <f t="array" ref="M85">SUM(J34:M34)/SUM(-J39:M39)</f>
        <v>#DIV/0!</v>
      </c>
      <c r="N85" s="134" t="e" cm="1">
        <f t="array" ref="N85">SUM(K34:N34)/SUM(-K39:N39)</f>
        <v>#DIV/0!</v>
      </c>
      <c r="O85" s="134" t="e" cm="1">
        <f t="array" ref="O85">SUM(L34:O34)/SUM(-L39:O39)</f>
        <v>#DIV/0!</v>
      </c>
      <c r="P85" s="134" t="e" cm="1">
        <f t="array" ref="P85">SUM(M34:P34)/SUM(-M39:P39)</f>
        <v>#DIV/0!</v>
      </c>
      <c r="Q85" s="134" t="e" cm="1">
        <f t="array" ref="Q85">SUM(N34:Q34)/SUM(-N39:Q39)</f>
        <v>#DIV/0!</v>
      </c>
      <c r="R85" s="134" t="e" cm="1">
        <f t="array" ref="R85">SUM(O34:R34)/SUM(-O39:R39)</f>
        <v>#DIV/0!</v>
      </c>
      <c r="S85" s="134" t="e" cm="1">
        <f t="array" ref="S85">SUM(P34:S34)/SUM(-P39:S39)</f>
        <v>#DIV/0!</v>
      </c>
      <c r="T85" s="134" t="e" cm="1">
        <f t="array" ref="T85">SUM(Q34:T34)/SUM(-Q39:T39)</f>
        <v>#DIV/0!</v>
      </c>
      <c r="U85" s="134"/>
      <c r="V85" s="134" t="e">
        <f t="shared" ref="V85:AE85" si="242">V34/-V39</f>
        <v>#DIV/0!</v>
      </c>
      <c r="W85" s="134" t="e">
        <f t="shared" si="242"/>
        <v>#DIV/0!</v>
      </c>
      <c r="X85" s="134" t="e">
        <f t="shared" si="242"/>
        <v>#DIV/0!</v>
      </c>
      <c r="Y85" s="134" t="e">
        <f t="shared" si="242"/>
        <v>#DIV/0!</v>
      </c>
      <c r="Z85" s="134" t="e">
        <f t="shared" si="242"/>
        <v>#DIV/0!</v>
      </c>
      <c r="AA85" s="134" t="e">
        <f t="shared" si="242"/>
        <v>#DIV/0!</v>
      </c>
      <c r="AB85" s="134" t="e">
        <f t="shared" si="242"/>
        <v>#DIV/0!</v>
      </c>
      <c r="AC85" s="134" t="e">
        <f t="shared" si="242"/>
        <v>#DIV/0!</v>
      </c>
      <c r="AD85" s="134" t="e">
        <f t="shared" si="242"/>
        <v>#DIV/0!</v>
      </c>
      <c r="AE85" s="134" t="e">
        <f t="shared" si="242"/>
        <v>#DIV/0!</v>
      </c>
    </row>
    <row r="86" spans="1:31" ht="12.75" customHeight="1">
      <c r="B86" s="29" t="s">
        <v>109</v>
      </c>
      <c r="C86" s="134" t="e" cm="1">
        <f t="array" ref="C86">SUM(C34+C37)/SUM(-C38:C39)</f>
        <v>#DIV/0!</v>
      </c>
      <c r="D86" s="134" t="e" cm="1">
        <f t="array" ref="D86">SUM(D34+D37)/SUM(-D38:D39)</f>
        <v>#DIV/0!</v>
      </c>
      <c r="E86" s="134" t="e" cm="1">
        <f t="array" ref="E86">SUM(E34+E37)/SUM(-E38:E39)</f>
        <v>#DIV/0!</v>
      </c>
      <c r="F86" s="134" t="e" cm="1">
        <f t="array" ref="F86">SUM(F34+F37)/SUM(-F38:F39)</f>
        <v>#DIV/0!</v>
      </c>
      <c r="H86" s="136"/>
      <c r="I86" s="136"/>
      <c r="J86" s="136"/>
      <c r="K86" s="134" t="e" cm="1">
        <f t="array" ref="K86">SUM(H34:K34+H37:K37)/SUM(-H38:K39)</f>
        <v>#DIV/0!</v>
      </c>
      <c r="L86" s="134" t="e" cm="1">
        <f t="array" ref="L86">SUM(I34:L34+I37:L37)/SUM(-I38:L39)</f>
        <v>#DIV/0!</v>
      </c>
      <c r="M86" s="134" t="e" cm="1">
        <f t="array" ref="M86">SUM(J34:M34+J37:M37)/SUM(-J38:M39)</f>
        <v>#DIV/0!</v>
      </c>
      <c r="N86" s="134" t="e" cm="1">
        <f t="array" ref="N86">SUM(K34:N34+K37:N37)/SUM(-K38:N39)</f>
        <v>#DIV/0!</v>
      </c>
      <c r="O86" s="134" t="e" cm="1">
        <f t="array" ref="O86">SUM(L34:O34+L37:O37)/SUM(-L38:O39)</f>
        <v>#DIV/0!</v>
      </c>
      <c r="P86" s="134" t="e" cm="1">
        <f t="array" ref="P86">SUM(M34:P34+M37:P37)/SUM(-M38:P39)</f>
        <v>#DIV/0!</v>
      </c>
      <c r="Q86" s="134" t="e" cm="1">
        <f t="array" ref="Q86">SUM(N34:Q34+N37:Q37)/SUM(-N38:Q39)</f>
        <v>#DIV/0!</v>
      </c>
      <c r="R86" s="134" t="e" cm="1">
        <f t="array" ref="R86">SUM(O34:R34+O37:R37)/SUM(-O38:R39)</f>
        <v>#DIV/0!</v>
      </c>
      <c r="S86" s="134" t="e" cm="1">
        <f t="array" ref="S86">SUM(P34:S34+P37:S37)/SUM(-P38:S39)</f>
        <v>#DIV/0!</v>
      </c>
      <c r="T86" s="134" t="e" cm="1">
        <f t="array" ref="T86">SUM(Q34:T34+Q37:T37)/SUM(-Q38:T39)</f>
        <v>#DIV/0!</v>
      </c>
      <c r="U86" s="134"/>
      <c r="V86" s="134" t="e" cm="1">
        <f t="array" ref="V86">SUM(V34+V37)/SUM(-V38:V39)</f>
        <v>#DIV/0!</v>
      </c>
      <c r="W86" s="134" t="e" cm="1">
        <f t="array" ref="W86">SUM(W34+W37)/SUM(-W38:W39)</f>
        <v>#DIV/0!</v>
      </c>
      <c r="X86" s="134" t="e" cm="1">
        <f t="array" ref="X86">SUM(X34+X37)/SUM(-X38:X39)</f>
        <v>#DIV/0!</v>
      </c>
      <c r="Y86" s="134" t="e" cm="1">
        <f t="array" ref="Y86">SUM(Y34+Y37)/SUM(-Y38:Y39)</f>
        <v>#DIV/0!</v>
      </c>
      <c r="Z86" s="134" t="e" cm="1">
        <f t="array" ref="Z86">SUM(Z34+Z37)/SUM(-Z38:Z39)</f>
        <v>#DIV/0!</v>
      </c>
      <c r="AA86" s="134" t="e" cm="1">
        <f t="array" ref="AA86">SUM(AA34+AA37)/SUM(-AA38:AA39)</f>
        <v>#DIV/0!</v>
      </c>
      <c r="AB86" s="134" t="e" cm="1">
        <f t="array" ref="AB86">SUM(AB34+AB37)/SUM(-AB38:AB39)</f>
        <v>#DIV/0!</v>
      </c>
      <c r="AC86" s="134" t="e" cm="1">
        <f t="array" ref="AC86">SUM(AC34+AC37)/SUM(-AC38:AC39)</f>
        <v>#DIV/0!</v>
      </c>
      <c r="AD86" s="134" t="e" cm="1">
        <f t="array" ref="AD86">SUM(AD34+AD37)/SUM(-AD38:AD39)</f>
        <v>#DIV/0!</v>
      </c>
      <c r="AE86" s="134" t="e" cm="1">
        <f t="array" ref="AE86">SUM(AE34+AE37)/SUM(-AE38:AE39)</f>
        <v>#DIV/0!</v>
      </c>
    </row>
    <row r="87" spans="1:31" ht="12.75" customHeight="1">
      <c r="B87" s="29" t="s">
        <v>110</v>
      </c>
      <c r="C87" s="134" t="e" cm="1">
        <f t="array" ref="C87">SUM(C34)/SUM(-C37:C39)</f>
        <v>#DIV/0!</v>
      </c>
      <c r="D87" s="134" t="e" cm="1">
        <f t="array" ref="D87">SUM(D34)/SUM(-D37:D39)</f>
        <v>#DIV/0!</v>
      </c>
      <c r="E87" s="134" t="e" cm="1">
        <f t="array" ref="E87">SUM(E34)/SUM(-E37:E39)</f>
        <v>#DIV/0!</v>
      </c>
      <c r="F87" s="134" t="e" cm="1">
        <f t="array" ref="F87">SUM(F34)/SUM(-F37:F39)</f>
        <v>#DIV/0!</v>
      </c>
      <c r="H87" s="136"/>
      <c r="I87" s="136"/>
      <c r="J87" s="136"/>
      <c r="K87" s="134" t="e" cm="1">
        <f t="array" ref="K87">SUM(H34:K34)/SUM(-H37:K39)</f>
        <v>#DIV/0!</v>
      </c>
      <c r="L87" s="134" t="e" cm="1">
        <f t="array" ref="L87">SUM(I34:L34)/SUM(-I37:L39)</f>
        <v>#DIV/0!</v>
      </c>
      <c r="M87" s="134" t="e" cm="1">
        <f t="array" ref="M87">SUM(J34:M34)/SUM(-J37:M39)</f>
        <v>#DIV/0!</v>
      </c>
      <c r="N87" s="134" t="e" cm="1">
        <f t="array" ref="N87">SUM(K34:N34)/SUM(-K37:N39)</f>
        <v>#DIV/0!</v>
      </c>
      <c r="O87" s="134" t="e" cm="1">
        <f t="array" ref="O87">SUM(L34:O34)/SUM(-L37:O39)</f>
        <v>#DIV/0!</v>
      </c>
      <c r="P87" s="134" t="e" cm="1">
        <f t="array" ref="P87">SUM(M34:P34)/SUM(-M37:P39)</f>
        <v>#DIV/0!</v>
      </c>
      <c r="Q87" s="134" t="e" cm="1">
        <f t="array" ref="Q87">SUM(N34:Q34)/SUM(-N37:Q39)</f>
        <v>#DIV/0!</v>
      </c>
      <c r="R87" s="134" t="e" cm="1">
        <f t="array" ref="R87">SUM(O34:R34)/SUM(-O37:R39)</f>
        <v>#DIV/0!</v>
      </c>
      <c r="S87" s="134" t="e" cm="1">
        <f t="array" ref="S87">SUM(P34:S34)/SUM(-P37:S39)</f>
        <v>#DIV/0!</v>
      </c>
      <c r="T87" s="134" t="e" cm="1">
        <f t="array" ref="T87">SUM(Q34:T34)/SUM(-Q37:T39)</f>
        <v>#DIV/0!</v>
      </c>
      <c r="U87" s="134"/>
      <c r="V87" s="134" t="e" cm="1">
        <f t="array" ref="V87">SUM(V34)/SUM(-V37:V39)</f>
        <v>#DIV/0!</v>
      </c>
      <c r="W87" s="134" t="e" cm="1">
        <f t="array" ref="W87">SUM(W34)/SUM(-W37:W39)</f>
        <v>#DIV/0!</v>
      </c>
      <c r="X87" s="134" t="e" cm="1">
        <f t="array" ref="X87">SUM(X34)/SUM(-X37:X39)</f>
        <v>#DIV/0!</v>
      </c>
      <c r="Y87" s="134" t="e" cm="1">
        <f t="array" ref="Y87">SUM(Y34)/SUM(-Y37:Y39)</f>
        <v>#DIV/0!</v>
      </c>
      <c r="Z87" s="134" t="e" cm="1">
        <f t="array" ref="Z87">SUM(Z34)/SUM(-Z37:Z39)</f>
        <v>#DIV/0!</v>
      </c>
      <c r="AA87" s="134" t="e" cm="1">
        <f t="array" ref="AA87">SUM(AA34)/SUM(-AA37:AA39)</f>
        <v>#DIV/0!</v>
      </c>
      <c r="AB87" s="134" t="e" cm="1">
        <f t="array" ref="AB87">SUM(AB34)/SUM(-AB37:AB39)</f>
        <v>#DIV/0!</v>
      </c>
      <c r="AC87" s="134" t="e" cm="1">
        <f t="array" ref="AC87">SUM(AC34)/SUM(-AC37:AC39)</f>
        <v>#DIV/0!</v>
      </c>
      <c r="AD87" s="134" t="e" cm="1">
        <f t="array" ref="AD87">SUM(AD34)/SUM(-AD37:AD39)</f>
        <v>#DIV/0!</v>
      </c>
      <c r="AE87" s="134" t="e" cm="1">
        <f t="array" ref="AE87">SUM(AE34)/SUM(-AE37:AE39)</f>
        <v>#DIV/0!</v>
      </c>
    </row>
    <row r="88" spans="1:31" ht="12.75" customHeight="1">
      <c r="B88" s="8" t="s">
        <v>50</v>
      </c>
      <c r="C88" s="134" t="e">
        <f t="shared" ref="C88:F88" si="243">C79/C76</f>
        <v>#DIV/0!</v>
      </c>
      <c r="D88" s="134" t="e">
        <f t="shared" si="243"/>
        <v>#DIV/0!</v>
      </c>
      <c r="E88" s="134" t="e">
        <f t="shared" si="243"/>
        <v>#DIV/0!</v>
      </c>
      <c r="F88" s="134" t="e">
        <f t="shared" si="243"/>
        <v>#DIV/0!</v>
      </c>
      <c r="H88" s="136"/>
      <c r="I88" s="136"/>
      <c r="J88" s="136"/>
      <c r="K88" s="134" t="e">
        <f t="shared" ref="K88:S88" si="244">K79/K76</f>
        <v>#REF!</v>
      </c>
      <c r="L88" s="134" t="e">
        <f t="shared" si="244"/>
        <v>#DIV/0!</v>
      </c>
      <c r="M88" s="134" t="e">
        <f t="shared" si="244"/>
        <v>#DIV/0!</v>
      </c>
      <c r="N88" s="134" t="e">
        <f t="shared" si="244"/>
        <v>#DIV/0!</v>
      </c>
      <c r="O88" s="134" t="e">
        <f t="shared" si="244"/>
        <v>#REF!</v>
      </c>
      <c r="P88" s="134" t="e">
        <f t="shared" si="244"/>
        <v>#DIV/0!</v>
      </c>
      <c r="Q88" s="134" t="e">
        <f t="shared" si="244"/>
        <v>#DIV/0!</v>
      </c>
      <c r="R88" s="134" t="e">
        <f t="shared" si="244"/>
        <v>#DIV/0!</v>
      </c>
      <c r="S88" s="134" t="e">
        <f t="shared" si="244"/>
        <v>#REF!</v>
      </c>
      <c r="T88" s="134" t="e">
        <f t="shared" ref="T88" si="245">T79/T76</f>
        <v>#DIV/0!</v>
      </c>
      <c r="U88" s="134"/>
      <c r="V88" s="134" t="e">
        <f t="shared" ref="V88" si="246">V79/V76</f>
        <v>#REF!</v>
      </c>
      <c r="W88" s="134" t="e">
        <f t="shared" ref="W88:AC88" si="247">W79/W76</f>
        <v>#DIV/0!</v>
      </c>
      <c r="X88" s="134" t="e">
        <f t="shared" si="247"/>
        <v>#DIV/0!</v>
      </c>
      <c r="Y88" s="134" t="e">
        <f t="shared" si="247"/>
        <v>#DIV/0!</v>
      </c>
      <c r="Z88" s="134" t="e">
        <f t="shared" si="247"/>
        <v>#REF!</v>
      </c>
      <c r="AA88" s="134" t="e">
        <f t="shared" si="247"/>
        <v>#DIV/0!</v>
      </c>
      <c r="AB88" s="134" t="e">
        <f t="shared" si="247"/>
        <v>#DIV/0!</v>
      </c>
      <c r="AC88" s="134" t="e">
        <f t="shared" si="247"/>
        <v>#DIV/0!</v>
      </c>
      <c r="AD88" s="134" t="e">
        <f>AD79/AD76</f>
        <v>#REF!</v>
      </c>
      <c r="AE88" s="134" t="e">
        <f>AE79/AE76</f>
        <v>#DIV/0!</v>
      </c>
    </row>
    <row r="89" spans="1:31" ht="5.0999999999999996" customHeight="1" thickBot="1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</sheetData>
  <mergeCells count="1">
    <mergeCell ref="AG2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2025-12-25T09:44:22Z</dcterms:modified>
</cp:coreProperties>
</file>