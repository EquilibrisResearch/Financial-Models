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CFCAF1AE-269D-43A4-BF1A-87C3F3FFA4A3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0" l="1"/>
  <c r="R28" i="10" s="1"/>
  <c r="J27" i="10"/>
  <c r="J29" i="10" s="1"/>
  <c r="J10" i="10" s="1"/>
  <c r="W28" i="10"/>
  <c r="X27" i="10"/>
  <c r="J19" i="10"/>
  <c r="S19" i="10" s="1"/>
  <c r="J18" i="10"/>
  <c r="T18" i="10" s="1"/>
  <c r="X33" i="10"/>
  <c r="B33" i="10"/>
  <c r="X32" i="10"/>
  <c r="B32" i="10"/>
  <c r="P29" i="10"/>
  <c r="O29" i="10"/>
  <c r="M29" i="10"/>
  <c r="L29" i="10"/>
  <c r="K29" i="10"/>
  <c r="I29" i="10"/>
  <c r="I10" i="10" s="1"/>
  <c r="H29" i="10"/>
  <c r="G29" i="10"/>
  <c r="E29" i="10"/>
  <c r="D29" i="10"/>
  <c r="C29" i="10"/>
  <c r="X28" i="10"/>
  <c r="W27" i="10"/>
  <c r="V27" i="10"/>
  <c r="W18" i="10"/>
  <c r="X24" i="10"/>
  <c r="B24" i="10"/>
  <c r="X23" i="10"/>
  <c r="B23" i="10"/>
  <c r="P20" i="10"/>
  <c r="O20" i="10"/>
  <c r="O9" i="10" s="1"/>
  <c r="M20" i="10"/>
  <c r="L20" i="10"/>
  <c r="K20" i="10"/>
  <c r="I20" i="10"/>
  <c r="H20" i="10"/>
  <c r="G20" i="10"/>
  <c r="G9" i="10" s="1"/>
  <c r="E20" i="10"/>
  <c r="E9" i="10" s="1"/>
  <c r="D20" i="10"/>
  <c r="C20" i="10"/>
  <c r="W19" i="10"/>
  <c r="X73" i="8"/>
  <c r="Z73" i="8" s="1"/>
  <c r="W73" i="8"/>
  <c r="U73" i="8"/>
  <c r="T73" i="8"/>
  <c r="S73" i="8"/>
  <c r="R73" i="8"/>
  <c r="V73" i="8"/>
  <c r="X72" i="8"/>
  <c r="W72" i="8"/>
  <c r="U72" i="8"/>
  <c r="T72" i="8"/>
  <c r="S72" i="8"/>
  <c r="V72" i="8"/>
  <c r="R72" i="8"/>
  <c r="X58" i="8"/>
  <c r="W58" i="8"/>
  <c r="U58" i="8"/>
  <c r="T58" i="8"/>
  <c r="S58" i="8"/>
  <c r="X57" i="8"/>
  <c r="Z57" i="8" s="1"/>
  <c r="W57" i="8"/>
  <c r="V57" i="8"/>
  <c r="U57" i="8"/>
  <c r="T57" i="8"/>
  <c r="S57" i="8"/>
  <c r="N49" i="8"/>
  <c r="N48" i="8"/>
  <c r="V48" i="8" s="1"/>
  <c r="N47" i="8"/>
  <c r="V47" i="8" s="1"/>
  <c r="N46" i="8"/>
  <c r="V46" i="8" s="1"/>
  <c r="N45" i="8"/>
  <c r="V45" i="8" s="1"/>
  <c r="N44" i="8"/>
  <c r="N59" i="8"/>
  <c r="V59" i="8" s="1"/>
  <c r="N58" i="8"/>
  <c r="V58" i="8" s="1"/>
  <c r="N57" i="8"/>
  <c r="N56" i="8"/>
  <c r="N55" i="8"/>
  <c r="N54" i="8"/>
  <c r="N53" i="8"/>
  <c r="J49" i="8"/>
  <c r="J48" i="8"/>
  <c r="J47" i="8"/>
  <c r="R47" i="8" s="1"/>
  <c r="J46" i="8"/>
  <c r="J45" i="8"/>
  <c r="R45" i="8" s="1"/>
  <c r="J44" i="8"/>
  <c r="J59" i="8"/>
  <c r="R59" i="8" s="1"/>
  <c r="J58" i="8"/>
  <c r="R58" i="8" s="1"/>
  <c r="J57" i="8"/>
  <c r="R57" i="8" s="1"/>
  <c r="J56" i="8"/>
  <c r="J55" i="8"/>
  <c r="J54" i="8"/>
  <c r="J53" i="8"/>
  <c r="X45" i="8"/>
  <c r="W45" i="8"/>
  <c r="U45" i="8"/>
  <c r="T45" i="8"/>
  <c r="S45" i="8"/>
  <c r="N29" i="8"/>
  <c r="J29" i="8"/>
  <c r="N25" i="8"/>
  <c r="W25" i="8" s="1"/>
  <c r="N24" i="8"/>
  <c r="W24" i="8" s="1"/>
  <c r="N23" i="8"/>
  <c r="X23" i="8" s="1"/>
  <c r="N22" i="8"/>
  <c r="J25" i="8"/>
  <c r="S25" i="8" s="1"/>
  <c r="J24" i="8"/>
  <c r="T24" i="8" s="1"/>
  <c r="J23" i="8"/>
  <c r="U23" i="8" s="1"/>
  <c r="J22" i="8"/>
  <c r="S24" i="8"/>
  <c r="N13" i="8"/>
  <c r="V13" i="8" s="1"/>
  <c r="N18" i="8"/>
  <c r="W18" i="8" s="1"/>
  <c r="N17" i="8"/>
  <c r="W17" i="8" s="1"/>
  <c r="J13" i="8"/>
  <c r="S13" i="8" s="1"/>
  <c r="J18" i="8"/>
  <c r="U18" i="8" s="1"/>
  <c r="J17" i="8"/>
  <c r="U17" i="8" s="1"/>
  <c r="J10" i="8"/>
  <c r="N10" i="8"/>
  <c r="V75" i="8"/>
  <c r="V74" i="8"/>
  <c r="V71" i="8"/>
  <c r="R75" i="8"/>
  <c r="R74" i="8"/>
  <c r="R71" i="8"/>
  <c r="V56" i="8"/>
  <c r="V67" i="8"/>
  <c r="V66" i="8"/>
  <c r="V65" i="8"/>
  <c r="R56" i="8"/>
  <c r="R67" i="8"/>
  <c r="R66" i="8"/>
  <c r="R65" i="8"/>
  <c r="X67" i="8"/>
  <c r="W67" i="8"/>
  <c r="U67" i="8"/>
  <c r="T67" i="8"/>
  <c r="S67" i="8"/>
  <c r="X66" i="8"/>
  <c r="W66" i="8"/>
  <c r="U66" i="8"/>
  <c r="T66" i="8"/>
  <c r="S66" i="8"/>
  <c r="X65" i="8"/>
  <c r="W65" i="8"/>
  <c r="U65" i="8"/>
  <c r="T65" i="8"/>
  <c r="S65" i="8"/>
  <c r="X59" i="8"/>
  <c r="W59" i="8"/>
  <c r="U59" i="8"/>
  <c r="T59" i="8"/>
  <c r="S59" i="8"/>
  <c r="X56" i="8"/>
  <c r="W56" i="8"/>
  <c r="U56" i="8"/>
  <c r="T56" i="8"/>
  <c r="S56" i="8"/>
  <c r="R48" i="8"/>
  <c r="R46" i="8"/>
  <c r="X48" i="8"/>
  <c r="W48" i="8"/>
  <c r="U48" i="8"/>
  <c r="T48" i="8"/>
  <c r="S48" i="8"/>
  <c r="X47" i="8"/>
  <c r="W47" i="8"/>
  <c r="U47" i="8"/>
  <c r="T47" i="8"/>
  <c r="S47" i="8"/>
  <c r="X46" i="8"/>
  <c r="W46" i="8"/>
  <c r="U46" i="8"/>
  <c r="T46" i="8"/>
  <c r="S46" i="8"/>
  <c r="W82" i="8"/>
  <c r="U82" i="8"/>
  <c r="T82" i="8"/>
  <c r="S82" i="8"/>
  <c r="W81" i="8"/>
  <c r="U81" i="8"/>
  <c r="T81" i="8"/>
  <c r="S81" i="8"/>
  <c r="W80" i="8"/>
  <c r="U80" i="8"/>
  <c r="T80" i="8"/>
  <c r="S80" i="8"/>
  <c r="W79" i="8"/>
  <c r="U79" i="8"/>
  <c r="T79" i="8"/>
  <c r="S79" i="8"/>
  <c r="W78" i="8"/>
  <c r="U78" i="8"/>
  <c r="T78" i="8"/>
  <c r="S78" i="8"/>
  <c r="X82" i="8"/>
  <c r="X81" i="8"/>
  <c r="X80" i="8"/>
  <c r="X79" i="8"/>
  <c r="X78" i="8"/>
  <c r="W75" i="8"/>
  <c r="U75" i="8"/>
  <c r="T75" i="8"/>
  <c r="S75" i="8"/>
  <c r="W74" i="8"/>
  <c r="U74" i="8"/>
  <c r="T74" i="8"/>
  <c r="S74" i="8"/>
  <c r="W71" i="8"/>
  <c r="U71" i="8"/>
  <c r="T71" i="8"/>
  <c r="S71" i="8"/>
  <c r="X75" i="8"/>
  <c r="X74" i="8"/>
  <c r="X71" i="8"/>
  <c r="X64" i="8"/>
  <c r="W64" i="8"/>
  <c r="U64" i="8"/>
  <c r="T64" i="8"/>
  <c r="S64" i="8"/>
  <c r="W63" i="8"/>
  <c r="U63" i="8"/>
  <c r="T63" i="8"/>
  <c r="S63" i="8"/>
  <c r="X63" i="8"/>
  <c r="W55" i="8"/>
  <c r="U55" i="8"/>
  <c r="T55" i="8"/>
  <c r="S55" i="8"/>
  <c r="W54" i="8"/>
  <c r="U54" i="8"/>
  <c r="T54" i="8"/>
  <c r="S54" i="8"/>
  <c r="W53" i="8"/>
  <c r="U53" i="8"/>
  <c r="T53" i="8"/>
  <c r="S53" i="8"/>
  <c r="X55" i="8"/>
  <c r="X54" i="8"/>
  <c r="X53" i="8"/>
  <c r="W49" i="8"/>
  <c r="U49" i="8"/>
  <c r="T49" i="8"/>
  <c r="S49" i="8"/>
  <c r="W44" i="8"/>
  <c r="U44" i="8"/>
  <c r="T44" i="8"/>
  <c r="S44" i="8"/>
  <c r="X49" i="8"/>
  <c r="X44" i="8"/>
  <c r="X36" i="8"/>
  <c r="W36" i="8"/>
  <c r="U36" i="8"/>
  <c r="T36" i="8"/>
  <c r="S36" i="8"/>
  <c r="W33" i="8"/>
  <c r="U33" i="8"/>
  <c r="T33" i="8"/>
  <c r="S33" i="8"/>
  <c r="X33" i="8"/>
  <c r="W8" i="8"/>
  <c r="U8" i="8"/>
  <c r="T8" i="8"/>
  <c r="S8" i="8"/>
  <c r="W7" i="8"/>
  <c r="V7" i="8"/>
  <c r="U7" i="8"/>
  <c r="T7" i="8"/>
  <c r="S7" i="8"/>
  <c r="R7" i="8"/>
  <c r="X8" i="8"/>
  <c r="X91" i="8" s="1"/>
  <c r="X7" i="8"/>
  <c r="X40" i="8" s="1"/>
  <c r="X138" i="8"/>
  <c r="X139" i="8"/>
  <c r="X140" i="8"/>
  <c r="N42" i="10"/>
  <c r="N41" i="10"/>
  <c r="N40" i="10"/>
  <c r="N39" i="10"/>
  <c r="N38" i="10"/>
  <c r="J42" i="10"/>
  <c r="J41" i="10"/>
  <c r="J40" i="10"/>
  <c r="J39" i="10"/>
  <c r="J38" i="10"/>
  <c r="M21" i="10" l="1"/>
  <c r="P30" i="10"/>
  <c r="H9" i="10"/>
  <c r="H21" i="10" s="1"/>
  <c r="P9" i="10"/>
  <c r="P21" i="10" s="1"/>
  <c r="K10" i="10"/>
  <c r="K30" i="10" s="1"/>
  <c r="E21" i="10"/>
  <c r="I30" i="10"/>
  <c r="I9" i="10"/>
  <c r="I21" i="10" s="1"/>
  <c r="C10" i="10"/>
  <c r="C30" i="10" s="1"/>
  <c r="L10" i="10"/>
  <c r="L30" i="10" s="1"/>
  <c r="G21" i="10"/>
  <c r="O21" i="10"/>
  <c r="J30" i="10"/>
  <c r="D10" i="10"/>
  <c r="D30" i="10" s="1"/>
  <c r="M10" i="10"/>
  <c r="M30" i="10" s="1"/>
  <c r="K9" i="10"/>
  <c r="K21" i="10" s="1"/>
  <c r="E10" i="10"/>
  <c r="E30" i="10" s="1"/>
  <c r="C9" i="10"/>
  <c r="C21" i="10" s="1"/>
  <c r="L9" i="10"/>
  <c r="L21" i="10" s="1"/>
  <c r="G10" i="10"/>
  <c r="G30" i="10" s="1"/>
  <c r="O10" i="10"/>
  <c r="O30" i="10" s="1"/>
  <c r="D9" i="10"/>
  <c r="D21" i="10" s="1"/>
  <c r="M9" i="10"/>
  <c r="H10" i="10"/>
  <c r="H30" i="10" s="1"/>
  <c r="P10" i="10"/>
  <c r="X29" i="10"/>
  <c r="X30" i="10" s="1"/>
  <c r="N29" i="10"/>
  <c r="W29" i="10"/>
  <c r="W30" i="10" s="1"/>
  <c r="V28" i="10"/>
  <c r="V29" i="10" s="1"/>
  <c r="V30" i="10" s="1"/>
  <c r="T28" i="10"/>
  <c r="T27" i="10"/>
  <c r="U28" i="10"/>
  <c r="S28" i="10"/>
  <c r="S27" i="10"/>
  <c r="U27" i="10"/>
  <c r="R27" i="10"/>
  <c r="R29" i="10" s="1"/>
  <c r="R30" i="10" s="1"/>
  <c r="R18" i="10"/>
  <c r="J20" i="10"/>
  <c r="S18" i="10"/>
  <c r="U18" i="10"/>
  <c r="X18" i="10"/>
  <c r="X19" i="10"/>
  <c r="N20" i="10"/>
  <c r="V18" i="10"/>
  <c r="T19" i="10"/>
  <c r="U19" i="10"/>
  <c r="R19" i="10"/>
  <c r="W20" i="10"/>
  <c r="W21" i="10" s="1"/>
  <c r="V19" i="10"/>
  <c r="Z72" i="8"/>
  <c r="Z55" i="8"/>
  <c r="Z59" i="8"/>
  <c r="Z54" i="8"/>
  <c r="Z56" i="8"/>
  <c r="Z58" i="8"/>
  <c r="X25" i="8"/>
  <c r="T23" i="8"/>
  <c r="Z23" i="8" s="1"/>
  <c r="V25" i="8"/>
  <c r="U25" i="8"/>
  <c r="T25" i="8"/>
  <c r="R23" i="8"/>
  <c r="S23" i="8"/>
  <c r="Z45" i="8"/>
  <c r="V24" i="8"/>
  <c r="R25" i="8"/>
  <c r="V23" i="8"/>
  <c r="X24" i="8"/>
  <c r="Z24" i="8" s="1"/>
  <c r="W23" i="8"/>
  <c r="U24" i="8"/>
  <c r="R24" i="8"/>
  <c r="T13" i="8"/>
  <c r="R13" i="8"/>
  <c r="U13" i="8"/>
  <c r="Z46" i="8"/>
  <c r="Z48" i="8"/>
  <c r="Z47" i="8"/>
  <c r="R17" i="8"/>
  <c r="S17" i="8"/>
  <c r="T17" i="8"/>
  <c r="R18" i="8"/>
  <c r="S18" i="8"/>
  <c r="T18" i="8"/>
  <c r="X50" i="8"/>
  <c r="X60" i="8" s="1"/>
  <c r="W13" i="8"/>
  <c r="X13" i="8"/>
  <c r="V18" i="8"/>
  <c r="V17" i="8"/>
  <c r="X18" i="8"/>
  <c r="X17" i="8"/>
  <c r="X83" i="8"/>
  <c r="X68" i="8"/>
  <c r="X76" i="8" s="1"/>
  <c r="X41" i="8"/>
  <c r="X90" i="8"/>
  <c r="J9" i="10" l="1"/>
  <c r="J21" i="10" s="1"/>
  <c r="N9" i="10"/>
  <c r="N21" i="10" s="1"/>
  <c r="N10" i="10"/>
  <c r="N30" i="10" s="1"/>
  <c r="U29" i="10"/>
  <c r="U30" i="10" s="1"/>
  <c r="S29" i="10"/>
  <c r="S30" i="10" s="1"/>
  <c r="T29" i="10"/>
  <c r="T30" i="10" s="1"/>
  <c r="R20" i="10"/>
  <c r="R21" i="10" s="1"/>
  <c r="X20" i="10"/>
  <c r="X21" i="10" s="1"/>
  <c r="S20" i="10"/>
  <c r="S21" i="10" s="1"/>
  <c r="U20" i="10"/>
  <c r="U21" i="10" s="1"/>
  <c r="T20" i="10"/>
  <c r="T21" i="10" s="1"/>
  <c r="V20" i="10"/>
  <c r="V21" i="10" s="1"/>
  <c r="Z25" i="8"/>
  <c r="X84" i="8"/>
  <c r="X86" i="8" s="1"/>
  <c r="V64" i="8" l="1"/>
  <c r="V63" i="8"/>
  <c r="R64" i="8"/>
  <c r="R63" i="8"/>
  <c r="V55" i="8"/>
  <c r="V54" i="8"/>
  <c r="V53" i="8"/>
  <c r="R55" i="8"/>
  <c r="R54" i="8"/>
  <c r="R53" i="8"/>
  <c r="V49" i="8"/>
  <c r="V44" i="8"/>
  <c r="R49" i="8"/>
  <c r="R44" i="8"/>
  <c r="U22" i="8" l="1"/>
  <c r="T22" i="8"/>
  <c r="S22" i="8"/>
  <c r="R22" i="8"/>
  <c r="V29" i="8"/>
  <c r="W29" i="8"/>
  <c r="X29" i="8"/>
  <c r="V22" i="8"/>
  <c r="X22" i="8"/>
  <c r="W22" i="8"/>
  <c r="U29" i="8"/>
  <c r="T29" i="8"/>
  <c r="S29" i="8"/>
  <c r="R29" i="8"/>
  <c r="W139" i="8"/>
  <c r="X135" i="8" s="1"/>
  <c r="V139" i="8"/>
  <c r="W135" i="8" s="1"/>
  <c r="U139" i="8"/>
  <c r="T139" i="8"/>
  <c r="U135" i="8" s="1"/>
  <c r="S139" i="8"/>
  <c r="T135" i="8" s="1"/>
  <c r="R139" i="8"/>
  <c r="S135" i="8" s="1"/>
  <c r="W138" i="8"/>
  <c r="V138" i="8"/>
  <c r="T138" i="8"/>
  <c r="S138" i="8"/>
  <c r="R138" i="8"/>
  <c r="C11" i="8"/>
  <c r="C14" i="8" s="1"/>
  <c r="C40" i="8"/>
  <c r="C41" i="8"/>
  <c r="C50" i="8"/>
  <c r="C60" i="8" s="1"/>
  <c r="C68" i="8"/>
  <c r="C76" i="8" s="1"/>
  <c r="C83" i="8"/>
  <c r="C90" i="8"/>
  <c r="C91" i="8"/>
  <c r="C122" i="8"/>
  <c r="C131" i="8"/>
  <c r="C136" i="8"/>
  <c r="AE40" i="11"/>
  <c r="AG40" i="11" s="1"/>
  <c r="AD40" i="11"/>
  <c r="AC40" i="11"/>
  <c r="AB40" i="11"/>
  <c r="AA40" i="11"/>
  <c r="Z40" i="11"/>
  <c r="Y40" i="11"/>
  <c r="X40" i="11"/>
  <c r="W40" i="11"/>
  <c r="V40" i="11"/>
  <c r="AE23" i="11"/>
  <c r="AD23" i="11"/>
  <c r="AC23" i="11"/>
  <c r="AB23" i="11"/>
  <c r="AA23" i="11"/>
  <c r="Z23" i="11"/>
  <c r="Y23" i="11"/>
  <c r="X23" i="11"/>
  <c r="W23" i="11"/>
  <c r="V23" i="11"/>
  <c r="AE22" i="11"/>
  <c r="AD22" i="11"/>
  <c r="AC22" i="11"/>
  <c r="AB22" i="11"/>
  <c r="AA22" i="11"/>
  <c r="Z22" i="11"/>
  <c r="Y22" i="11"/>
  <c r="X22" i="11"/>
  <c r="W22" i="11"/>
  <c r="V22" i="11"/>
  <c r="AE21" i="11"/>
  <c r="AD21" i="11"/>
  <c r="AC21" i="11"/>
  <c r="AB21" i="11"/>
  <c r="AA21" i="11"/>
  <c r="Z21" i="11"/>
  <c r="Y21" i="11"/>
  <c r="X21" i="11"/>
  <c r="W21" i="11"/>
  <c r="V21" i="11"/>
  <c r="W54" i="11"/>
  <c r="AC54" i="11"/>
  <c r="W55" i="11"/>
  <c r="AA55" i="11"/>
  <c r="AB55" i="11"/>
  <c r="K56" i="11"/>
  <c r="O56" i="11"/>
  <c r="Z56" i="11" s="1"/>
  <c r="S56" i="11"/>
  <c r="AD56" i="11" s="1"/>
  <c r="X54" i="11"/>
  <c r="Y54" i="11"/>
  <c r="AC55" i="11"/>
  <c r="AD78" i="11"/>
  <c r="AC78" i="11"/>
  <c r="AB78" i="11"/>
  <c r="AA78" i="11"/>
  <c r="Z78" i="11"/>
  <c r="Y78" i="11"/>
  <c r="X78" i="11"/>
  <c r="W78" i="11"/>
  <c r="V78" i="11"/>
  <c r="AE78" i="11"/>
  <c r="AC75" i="11"/>
  <c r="AB75" i="11"/>
  <c r="AA75" i="11"/>
  <c r="Y75" i="11"/>
  <c r="X75" i="11"/>
  <c r="W75" i="11"/>
  <c r="AC74" i="11"/>
  <c r="AB74" i="11"/>
  <c r="AA74" i="11"/>
  <c r="Y74" i="11"/>
  <c r="X74" i="11"/>
  <c r="W74" i="11"/>
  <c r="AC73" i="11"/>
  <c r="AB73" i="11"/>
  <c r="AA73" i="11"/>
  <c r="Y73" i="11"/>
  <c r="X73" i="11"/>
  <c r="W73" i="11"/>
  <c r="AC72" i="11"/>
  <c r="AB72" i="11"/>
  <c r="AA72" i="11"/>
  <c r="Y72" i="11"/>
  <c r="X72" i="11"/>
  <c r="W72" i="11"/>
  <c r="AE75" i="11"/>
  <c r="AE74" i="11"/>
  <c r="AE73" i="11"/>
  <c r="AE72" i="11"/>
  <c r="AD70" i="11"/>
  <c r="AC70" i="11"/>
  <c r="AB70" i="11"/>
  <c r="AA70" i="11"/>
  <c r="Z70" i="11"/>
  <c r="Y70" i="11"/>
  <c r="X70" i="11"/>
  <c r="W70" i="11"/>
  <c r="V70" i="11"/>
  <c r="AD69" i="11"/>
  <c r="AC69" i="11"/>
  <c r="AB69" i="11"/>
  <c r="AA69" i="11"/>
  <c r="Z69" i="11"/>
  <c r="Y69" i="11"/>
  <c r="X69" i="11"/>
  <c r="W69" i="11"/>
  <c r="V69" i="11"/>
  <c r="AE70" i="11"/>
  <c r="AE69" i="11"/>
  <c r="AD66" i="11"/>
  <c r="AC66" i="11"/>
  <c r="AB66" i="11"/>
  <c r="AA66" i="11"/>
  <c r="Z66" i="11"/>
  <c r="Y66" i="11"/>
  <c r="X66" i="11"/>
  <c r="W66" i="11"/>
  <c r="V66" i="11"/>
  <c r="AD65" i="11"/>
  <c r="AC65" i="11"/>
  <c r="AB65" i="11"/>
  <c r="AA65" i="11"/>
  <c r="Z65" i="11"/>
  <c r="Y65" i="11"/>
  <c r="X65" i="11"/>
  <c r="W65" i="11"/>
  <c r="V65" i="11"/>
  <c r="AD64" i="11"/>
  <c r="AC64" i="11"/>
  <c r="AB64" i="11"/>
  <c r="AA64" i="11"/>
  <c r="Z64" i="11"/>
  <c r="Y64" i="11"/>
  <c r="X64" i="11"/>
  <c r="W64" i="11"/>
  <c r="V64" i="11"/>
  <c r="AD63" i="11"/>
  <c r="AC63" i="11"/>
  <c r="AB63" i="11"/>
  <c r="AA63" i="11"/>
  <c r="Z63" i="11"/>
  <c r="Y63" i="11"/>
  <c r="X63" i="11"/>
  <c r="W63" i="11"/>
  <c r="V63" i="11"/>
  <c r="AD62" i="11"/>
  <c r="AC62" i="11"/>
  <c r="AB62" i="11"/>
  <c r="AA62" i="11"/>
  <c r="Z62" i="11"/>
  <c r="Y62" i="11"/>
  <c r="X62" i="11"/>
  <c r="W62" i="11"/>
  <c r="V62" i="11"/>
  <c r="AD61" i="11"/>
  <c r="AC61" i="11"/>
  <c r="AB61" i="11"/>
  <c r="AA61" i="11"/>
  <c r="Z61" i="11"/>
  <c r="Y61" i="11"/>
  <c r="X61" i="11"/>
  <c r="W61" i="11"/>
  <c r="V61" i="11"/>
  <c r="AD60" i="11"/>
  <c r="AC60" i="11"/>
  <c r="AB60" i="11"/>
  <c r="AA60" i="11"/>
  <c r="Z60" i="11"/>
  <c r="Y60" i="11"/>
  <c r="X60" i="11"/>
  <c r="W60" i="11"/>
  <c r="V60" i="11"/>
  <c r="AE66" i="11"/>
  <c r="AE65" i="11"/>
  <c r="AE64" i="11"/>
  <c r="AE63" i="11"/>
  <c r="AE62" i="11"/>
  <c r="AE61" i="11"/>
  <c r="AE60" i="11"/>
  <c r="AC56" i="11"/>
  <c r="AB56" i="11"/>
  <c r="AA56" i="11"/>
  <c r="Y56" i="11"/>
  <c r="X56" i="11"/>
  <c r="W56" i="11"/>
  <c r="V56" i="11"/>
  <c r="Y55" i="11"/>
  <c r="X55" i="11"/>
  <c r="AB54" i="11"/>
  <c r="AA54" i="11"/>
  <c r="AE56" i="11"/>
  <c r="AE55" i="11"/>
  <c r="AE54" i="11"/>
  <c r="X42" i="10"/>
  <c r="W41" i="10"/>
  <c r="X39" i="10"/>
  <c r="T42" i="10"/>
  <c r="U41" i="10"/>
  <c r="T40" i="10"/>
  <c r="V39" i="10"/>
  <c r="T38" i="10"/>
  <c r="R42" i="10"/>
  <c r="R40" i="10"/>
  <c r="R38" i="10"/>
  <c r="X40" i="10"/>
  <c r="W40" i="10"/>
  <c r="W39" i="10"/>
  <c r="X38" i="10"/>
  <c r="W38" i="10"/>
  <c r="N130" i="8"/>
  <c r="J130" i="8"/>
  <c r="T130" i="8" s="1"/>
  <c r="N129" i="8"/>
  <c r="X129" i="8" s="1"/>
  <c r="J129" i="8"/>
  <c r="T129" i="8" s="1"/>
  <c r="N128" i="8"/>
  <c r="J128" i="8"/>
  <c r="T128" i="8" s="1"/>
  <c r="N127" i="8"/>
  <c r="J127" i="8"/>
  <c r="T127" i="8" s="1"/>
  <c r="N126" i="8"/>
  <c r="J126" i="8"/>
  <c r="N121" i="8"/>
  <c r="X121" i="8" s="1"/>
  <c r="J121" i="8"/>
  <c r="T121" i="8" s="1"/>
  <c r="N120" i="8"/>
  <c r="J120" i="8"/>
  <c r="T120" i="8" s="1"/>
  <c r="N119" i="8"/>
  <c r="J119" i="8"/>
  <c r="T119" i="8" s="1"/>
  <c r="N118" i="8"/>
  <c r="J118" i="8"/>
  <c r="N113" i="8"/>
  <c r="X113" i="8" s="1"/>
  <c r="J113" i="8"/>
  <c r="T113" i="8" s="1"/>
  <c r="N112" i="8"/>
  <c r="J112" i="8"/>
  <c r="T112" i="8" s="1"/>
  <c r="N111" i="8"/>
  <c r="J111" i="8"/>
  <c r="T111" i="8" s="1"/>
  <c r="N110" i="8"/>
  <c r="J110" i="8"/>
  <c r="T110" i="8" s="1"/>
  <c r="N109" i="8"/>
  <c r="X109" i="8" s="1"/>
  <c r="J109" i="8"/>
  <c r="T109" i="8" s="1"/>
  <c r="N105" i="8"/>
  <c r="J105" i="8"/>
  <c r="T105" i="8" s="1"/>
  <c r="N104" i="8"/>
  <c r="J104" i="8"/>
  <c r="T104" i="8" s="1"/>
  <c r="N103" i="8"/>
  <c r="J103" i="8"/>
  <c r="T103" i="8" s="1"/>
  <c r="N102" i="8"/>
  <c r="X102" i="8" s="1"/>
  <c r="J102" i="8"/>
  <c r="T102" i="8" s="1"/>
  <c r="N101" i="8"/>
  <c r="J101" i="8"/>
  <c r="T101" i="8" s="1"/>
  <c r="N100" i="8"/>
  <c r="J100" i="8"/>
  <c r="T100" i="8" s="1"/>
  <c r="N99" i="8"/>
  <c r="J99" i="8"/>
  <c r="T99" i="8" s="1"/>
  <c r="N98" i="8"/>
  <c r="X98" i="8" s="1"/>
  <c r="J98" i="8"/>
  <c r="T98" i="8" s="1"/>
  <c r="V48" i="11"/>
  <c r="N125" i="8"/>
  <c r="J125" i="8"/>
  <c r="T125" i="8" s="1"/>
  <c r="N117" i="8"/>
  <c r="J117" i="8"/>
  <c r="T117" i="8" s="1"/>
  <c r="N82" i="8"/>
  <c r="V82" i="8" s="1"/>
  <c r="J82" i="8"/>
  <c r="R82" i="8" s="1"/>
  <c r="N81" i="8"/>
  <c r="V81" i="8" s="1"/>
  <c r="J81" i="8"/>
  <c r="R81" i="8" s="1"/>
  <c r="N80" i="8"/>
  <c r="V80" i="8" s="1"/>
  <c r="J80" i="8"/>
  <c r="R80" i="8" s="1"/>
  <c r="N79" i="8"/>
  <c r="V79" i="8" s="1"/>
  <c r="J79" i="8"/>
  <c r="R79" i="8" s="1"/>
  <c r="V78" i="8"/>
  <c r="R78" i="8"/>
  <c r="T4" i="11"/>
  <c r="AE4" i="11" s="1"/>
  <c r="T3" i="11"/>
  <c r="AE3" i="11" s="1"/>
  <c r="B50" i="10"/>
  <c r="B49" i="10"/>
  <c r="B48" i="10"/>
  <c r="B47" i="10"/>
  <c r="B46" i="10"/>
  <c r="S74" i="11"/>
  <c r="AD74" i="11" s="1"/>
  <c r="S73" i="11"/>
  <c r="AD73" i="11" s="1"/>
  <c r="S72" i="11"/>
  <c r="AD72" i="11" s="1"/>
  <c r="S3" i="11"/>
  <c r="AD3" i="11" s="1"/>
  <c r="R4" i="11"/>
  <c r="AC4" i="11" s="1"/>
  <c r="R3" i="11"/>
  <c r="AC3" i="11" s="1"/>
  <c r="S54" i="11"/>
  <c r="AD54" i="11" s="1"/>
  <c r="N8" i="8"/>
  <c r="J8" i="8"/>
  <c r="J76" i="11"/>
  <c r="N138" i="8"/>
  <c r="U138" i="8" s="1"/>
  <c r="H76" i="11"/>
  <c r="X48" i="11"/>
  <c r="W48" i="11"/>
  <c r="W44" i="11"/>
  <c r="O74" i="11"/>
  <c r="Z74" i="11" s="1"/>
  <c r="O73" i="11"/>
  <c r="Z73" i="11" s="1"/>
  <c r="O72" i="11"/>
  <c r="Z72" i="11" s="1"/>
  <c r="K74" i="11"/>
  <c r="V74" i="11" s="1"/>
  <c r="K73" i="11"/>
  <c r="V73" i="11" s="1"/>
  <c r="K72" i="11"/>
  <c r="V72" i="11" s="1"/>
  <c r="AE20" i="11"/>
  <c r="AD20" i="11"/>
  <c r="AE16" i="11"/>
  <c r="AD16" i="11"/>
  <c r="M76" i="11"/>
  <c r="E76" i="11"/>
  <c r="D76" i="11"/>
  <c r="C76" i="11"/>
  <c r="F76" i="11"/>
  <c r="Q4" i="11"/>
  <c r="AB4" i="11" s="1"/>
  <c r="P4" i="11"/>
  <c r="AA4" i="11" s="1"/>
  <c r="N4" i="11"/>
  <c r="Y4" i="11" s="1"/>
  <c r="M4" i="11"/>
  <c r="X4" i="11" s="1"/>
  <c r="L4" i="11"/>
  <c r="W4" i="11" s="1"/>
  <c r="J4" i="11"/>
  <c r="I4" i="11"/>
  <c r="Q3" i="11"/>
  <c r="AB3" i="11" s="1"/>
  <c r="P3" i="11"/>
  <c r="AA3" i="11" s="1"/>
  <c r="O3" i="11"/>
  <c r="Z3" i="11" s="1"/>
  <c r="N3" i="11"/>
  <c r="Y3" i="11" s="1"/>
  <c r="M3" i="11"/>
  <c r="X3" i="11" s="1"/>
  <c r="L3" i="11"/>
  <c r="W3" i="11" s="1"/>
  <c r="K3" i="11"/>
  <c r="V3" i="11" s="1"/>
  <c r="J3" i="11"/>
  <c r="I3" i="11"/>
  <c r="H4" i="11"/>
  <c r="H3" i="11"/>
  <c r="E4" i="11"/>
  <c r="D4" i="11"/>
  <c r="C4" i="11"/>
  <c r="E3" i="11"/>
  <c r="D3" i="11"/>
  <c r="C3" i="11"/>
  <c r="F3" i="11"/>
  <c r="F4" i="11"/>
  <c r="B2" i="11"/>
  <c r="P135" i="8"/>
  <c r="N135" i="8"/>
  <c r="M135" i="8"/>
  <c r="L135" i="8"/>
  <c r="J135" i="8"/>
  <c r="I135" i="8"/>
  <c r="H135" i="8"/>
  <c r="P4" i="10"/>
  <c r="X4" i="10" s="1"/>
  <c r="O4" i="10"/>
  <c r="W4" i="10" s="1"/>
  <c r="M4" i="10"/>
  <c r="U4" i="10" s="1"/>
  <c r="L4" i="10"/>
  <c r="T4" i="10" s="1"/>
  <c r="K4" i="10"/>
  <c r="S4" i="10" s="1"/>
  <c r="I4" i="10"/>
  <c r="H4" i="10"/>
  <c r="P3" i="10"/>
  <c r="X3" i="10" s="1"/>
  <c r="O3" i="10"/>
  <c r="W3" i="10" s="1"/>
  <c r="N3" i="10"/>
  <c r="V3" i="10" s="1"/>
  <c r="M3" i="10"/>
  <c r="U3" i="10" s="1"/>
  <c r="L3" i="10"/>
  <c r="T3" i="10" s="1"/>
  <c r="K3" i="10"/>
  <c r="S3" i="10" s="1"/>
  <c r="J3" i="10"/>
  <c r="R3" i="10" s="1"/>
  <c r="I3" i="10"/>
  <c r="H3" i="10"/>
  <c r="G4" i="10"/>
  <c r="G3" i="10"/>
  <c r="D4" i="10"/>
  <c r="C4" i="10"/>
  <c r="D3" i="10"/>
  <c r="C3" i="10"/>
  <c r="E4" i="10"/>
  <c r="E3" i="10"/>
  <c r="U10" i="8" l="1"/>
  <c r="T10" i="8"/>
  <c r="S10" i="8"/>
  <c r="R10" i="8"/>
  <c r="W10" i="8"/>
  <c r="V10" i="8"/>
  <c r="X10" i="8"/>
  <c r="X11" i="8" s="1"/>
  <c r="X14" i="8" s="1"/>
  <c r="O4" i="11"/>
  <c r="Z4" i="11" s="1"/>
  <c r="V8" i="8"/>
  <c r="J4" i="10"/>
  <c r="R4" i="10" s="1"/>
  <c r="R8" i="8"/>
  <c r="W101" i="8"/>
  <c r="X101" i="8"/>
  <c r="Z101" i="8" s="1"/>
  <c r="W105" i="8"/>
  <c r="X105" i="8"/>
  <c r="Z105" i="8" s="1"/>
  <c r="W112" i="8"/>
  <c r="X112" i="8"/>
  <c r="W120" i="8"/>
  <c r="X120" i="8"/>
  <c r="Z120" i="8" s="1"/>
  <c r="W128" i="8"/>
  <c r="X128" i="8"/>
  <c r="Z128" i="8" s="1"/>
  <c r="W125" i="8"/>
  <c r="X125" i="8"/>
  <c r="W117" i="8"/>
  <c r="X117" i="8"/>
  <c r="W99" i="8"/>
  <c r="X99" i="8"/>
  <c r="Z99" i="8" s="1"/>
  <c r="W103" i="8"/>
  <c r="X103" i="8"/>
  <c r="Z103" i="8" s="1"/>
  <c r="W110" i="8"/>
  <c r="X110" i="8"/>
  <c r="Z110" i="8" s="1"/>
  <c r="W118" i="8"/>
  <c r="X118" i="8"/>
  <c r="W126" i="8"/>
  <c r="X126" i="8"/>
  <c r="W130" i="8"/>
  <c r="X130" i="8"/>
  <c r="Z130" i="8" s="1"/>
  <c r="W100" i="8"/>
  <c r="X100" i="8"/>
  <c r="Z100" i="8" s="1"/>
  <c r="W104" i="8"/>
  <c r="X104" i="8"/>
  <c r="Z104" i="8" s="1"/>
  <c r="W111" i="8"/>
  <c r="X111" i="8"/>
  <c r="Z111" i="8" s="1"/>
  <c r="W119" i="8"/>
  <c r="X119" i="8"/>
  <c r="Z119" i="8" s="1"/>
  <c r="W127" i="8"/>
  <c r="X127" i="8"/>
  <c r="Z127" i="8" s="1"/>
  <c r="U9" i="10"/>
  <c r="T9" i="10"/>
  <c r="S9" i="10"/>
  <c r="R9" i="10"/>
  <c r="W10" i="10"/>
  <c r="V10" i="10"/>
  <c r="X10" i="10"/>
  <c r="V9" i="10"/>
  <c r="X9" i="10"/>
  <c r="W9" i="10"/>
  <c r="U10" i="10"/>
  <c r="T10" i="10"/>
  <c r="S10" i="10"/>
  <c r="R10" i="10"/>
  <c r="S41" i="10"/>
  <c r="U38" i="10"/>
  <c r="R39" i="10"/>
  <c r="Z112" i="8"/>
  <c r="Z18" i="8"/>
  <c r="R98" i="8"/>
  <c r="R99" i="8"/>
  <c r="R100" i="8"/>
  <c r="R101" i="8"/>
  <c r="R102" i="8"/>
  <c r="R103" i="8"/>
  <c r="R104" i="8"/>
  <c r="R105" i="8"/>
  <c r="R109" i="8"/>
  <c r="R110" i="8"/>
  <c r="R111" i="8"/>
  <c r="R112" i="8"/>
  <c r="R113" i="8"/>
  <c r="R117" i="8"/>
  <c r="R118" i="8"/>
  <c r="R119" i="8"/>
  <c r="R120" i="8"/>
  <c r="R121" i="8"/>
  <c r="R125" i="8"/>
  <c r="R126" i="8"/>
  <c r="R127" i="8"/>
  <c r="R128" i="8"/>
  <c r="R129" i="8"/>
  <c r="R130" i="8"/>
  <c r="S98" i="8"/>
  <c r="S99" i="8"/>
  <c r="S100" i="8"/>
  <c r="S101" i="8"/>
  <c r="S102" i="8"/>
  <c r="S103" i="8"/>
  <c r="S104" i="8"/>
  <c r="S105" i="8"/>
  <c r="S109" i="8"/>
  <c r="S110" i="8"/>
  <c r="S111" i="8"/>
  <c r="S112" i="8"/>
  <c r="S113" i="8"/>
  <c r="S117" i="8"/>
  <c r="S118" i="8"/>
  <c r="S119" i="8"/>
  <c r="S120" i="8"/>
  <c r="S121" i="8"/>
  <c r="S125" i="8"/>
  <c r="S126" i="8"/>
  <c r="S127" i="8"/>
  <c r="S128" i="8"/>
  <c r="S129" i="8"/>
  <c r="S130" i="8"/>
  <c r="T118" i="8"/>
  <c r="T126" i="8"/>
  <c r="U98" i="8"/>
  <c r="U99" i="8"/>
  <c r="U100" i="8"/>
  <c r="U101" i="8"/>
  <c r="U102" i="8"/>
  <c r="U103" i="8"/>
  <c r="U104" i="8"/>
  <c r="U105" i="8"/>
  <c r="U109" i="8"/>
  <c r="U110" i="8"/>
  <c r="U111" i="8"/>
  <c r="U112" i="8"/>
  <c r="U113" i="8"/>
  <c r="U117" i="8"/>
  <c r="U118" i="8"/>
  <c r="U119" i="8"/>
  <c r="U120" i="8"/>
  <c r="U121" i="8"/>
  <c r="U125" i="8"/>
  <c r="U126" i="8"/>
  <c r="U127" i="8"/>
  <c r="U128" i="8"/>
  <c r="U129" i="8"/>
  <c r="U130" i="8"/>
  <c r="V98" i="8"/>
  <c r="V99" i="8"/>
  <c r="V100" i="8"/>
  <c r="V101" i="8"/>
  <c r="V102" i="8"/>
  <c r="V103" i="8"/>
  <c r="V104" i="8"/>
  <c r="V105" i="8"/>
  <c r="V109" i="8"/>
  <c r="V110" i="8"/>
  <c r="V111" i="8"/>
  <c r="V112" i="8"/>
  <c r="V113" i="8"/>
  <c r="V117" i="8"/>
  <c r="V118" i="8"/>
  <c r="V119" i="8"/>
  <c r="V120" i="8"/>
  <c r="V121" i="8"/>
  <c r="V125" i="8"/>
  <c r="V126" i="8"/>
  <c r="V127" i="8"/>
  <c r="V128" i="8"/>
  <c r="V129" i="8"/>
  <c r="V130" i="8"/>
  <c r="W98" i="8"/>
  <c r="W102" i="8"/>
  <c r="W109" i="8"/>
  <c r="W113" i="8"/>
  <c r="W121" i="8"/>
  <c r="W129" i="8"/>
  <c r="C84" i="8"/>
  <c r="C86" i="8" s="1"/>
  <c r="C15" i="8"/>
  <c r="C19" i="8"/>
  <c r="C26" i="8" s="1"/>
  <c r="O55" i="11"/>
  <c r="Z55" i="11" s="1"/>
  <c r="Z109" i="8"/>
  <c r="K135" i="8"/>
  <c r="K55" i="11"/>
  <c r="V55" i="11" s="1"/>
  <c r="Z129" i="8"/>
  <c r="S55" i="11"/>
  <c r="AD55" i="11" s="1"/>
  <c r="AG21" i="11"/>
  <c r="AG22" i="11"/>
  <c r="AG23" i="11"/>
  <c r="AE48" i="11"/>
  <c r="AD38" i="11"/>
  <c r="X44" i="11"/>
  <c r="V44" i="11"/>
  <c r="Y48" i="11"/>
  <c r="V40" i="10"/>
  <c r="U39" i="10"/>
  <c r="R41" i="10"/>
  <c r="S40" i="10"/>
  <c r="U40" i="10"/>
  <c r="V41" i="10"/>
  <c r="X41" i="10"/>
  <c r="S39" i="10"/>
  <c r="T39" i="10"/>
  <c r="S42" i="10"/>
  <c r="U42" i="10"/>
  <c r="V42" i="10"/>
  <c r="W42" i="10"/>
  <c r="V38" i="10"/>
  <c r="T41" i="10"/>
  <c r="S38" i="10"/>
  <c r="D43" i="10"/>
  <c r="D47" i="10" s="1"/>
  <c r="I43" i="10"/>
  <c r="M43" i="10"/>
  <c r="M47" i="10" s="1"/>
  <c r="R135" i="8"/>
  <c r="AD48" i="11"/>
  <c r="AC48" i="11"/>
  <c r="AD44" i="11"/>
  <c r="Z102" i="8"/>
  <c r="Z74" i="8"/>
  <c r="Z75" i="8"/>
  <c r="N4" i="10"/>
  <c r="V4" i="10" s="1"/>
  <c r="V135" i="8"/>
  <c r="AE28" i="11"/>
  <c r="R76" i="11"/>
  <c r="R79" i="11" s="1"/>
  <c r="R88" i="11" s="1"/>
  <c r="AE37" i="11"/>
  <c r="K4" i="11"/>
  <c r="V4" i="11" s="1"/>
  <c r="AE38" i="11"/>
  <c r="AE39" i="11"/>
  <c r="AE76" i="11"/>
  <c r="AE79" i="11" s="1"/>
  <c r="T57" i="11"/>
  <c r="T76" i="11"/>
  <c r="T79" i="11" s="1"/>
  <c r="T88" i="11" s="1"/>
  <c r="L43" i="10"/>
  <c r="L49" i="10" s="1"/>
  <c r="E43" i="10"/>
  <c r="E49" i="10" s="1"/>
  <c r="H43" i="10"/>
  <c r="H48" i="10" s="1"/>
  <c r="O43" i="10"/>
  <c r="C43" i="10"/>
  <c r="C46" i="10" s="1"/>
  <c r="T12" i="11"/>
  <c r="T17" i="11" s="1"/>
  <c r="P43" i="10"/>
  <c r="P46" i="10" s="1"/>
  <c r="AD32" i="11"/>
  <c r="K43" i="10"/>
  <c r="G43" i="10"/>
  <c r="AB57" i="11"/>
  <c r="S75" i="11"/>
  <c r="S4" i="11"/>
  <c r="AD4" i="11" s="1"/>
  <c r="R57" i="11"/>
  <c r="I76" i="11"/>
  <c r="J138" i="8"/>
  <c r="H12" i="11"/>
  <c r="H17" i="11" s="1"/>
  <c r="H25" i="11" s="1"/>
  <c r="E12" i="11"/>
  <c r="E17" i="11" s="1"/>
  <c r="F12" i="11"/>
  <c r="F17" i="11" s="1"/>
  <c r="K75" i="11"/>
  <c r="V75" i="11" s="1"/>
  <c r="V76" i="11" s="1"/>
  <c r="O75" i="11"/>
  <c r="Z75" i="11" s="1"/>
  <c r="Z76" i="11" s="1"/>
  <c r="C12" i="11"/>
  <c r="I57" i="11"/>
  <c r="J57" i="11"/>
  <c r="D57" i="11"/>
  <c r="Y76" i="11"/>
  <c r="C57" i="11"/>
  <c r="H57" i="11"/>
  <c r="P76" i="11"/>
  <c r="Q76" i="11"/>
  <c r="M57" i="11"/>
  <c r="E57" i="11"/>
  <c r="L57" i="11"/>
  <c r="AC57" i="11"/>
  <c r="AC76" i="11"/>
  <c r="AE57" i="11"/>
  <c r="Y57" i="11"/>
  <c r="F79" i="11"/>
  <c r="F88" i="11" s="1"/>
  <c r="F57" i="11"/>
  <c r="Q57" i="11"/>
  <c r="AD57" i="11"/>
  <c r="N57" i="11"/>
  <c r="P57" i="11"/>
  <c r="O135" i="8"/>
  <c r="R11" i="10" l="1"/>
  <c r="X15" i="8"/>
  <c r="X19" i="8"/>
  <c r="X122" i="8"/>
  <c r="X131" i="8"/>
  <c r="Z118" i="8"/>
  <c r="W11" i="10"/>
  <c r="V11" i="10"/>
  <c r="D50" i="10"/>
  <c r="D48" i="10"/>
  <c r="Z126" i="8"/>
  <c r="C20" i="8"/>
  <c r="V11" i="11"/>
  <c r="AA48" i="11"/>
  <c r="AB8" i="11"/>
  <c r="AB48" i="11"/>
  <c r="Z48" i="11"/>
  <c r="AD39" i="11"/>
  <c r="AE7" i="11"/>
  <c r="AD37" i="11"/>
  <c r="X11" i="11"/>
  <c r="W45" i="11"/>
  <c r="AB76" i="11"/>
  <c r="AD75" i="11"/>
  <c r="AD76" i="11" s="1"/>
  <c r="AD79" i="11" s="1"/>
  <c r="AD88" i="11" s="1"/>
  <c r="X10" i="11"/>
  <c r="AE32" i="11"/>
  <c r="AD28" i="11"/>
  <c r="Y44" i="11"/>
  <c r="AE44" i="11"/>
  <c r="Z11" i="11"/>
  <c r="D12" i="11"/>
  <c r="D17" i="11" s="1"/>
  <c r="D18" i="11" s="1"/>
  <c r="Q12" i="11"/>
  <c r="Q17" i="11" s="1"/>
  <c r="Q25" i="11" s="1"/>
  <c r="J12" i="11"/>
  <c r="J17" i="11" s="1"/>
  <c r="J18" i="11" s="1"/>
  <c r="M48" i="10"/>
  <c r="D49" i="10"/>
  <c r="D46" i="10"/>
  <c r="H46" i="10"/>
  <c r="H50" i="10"/>
  <c r="P12" i="11"/>
  <c r="H47" i="10"/>
  <c r="H49" i="10"/>
  <c r="N12" i="11"/>
  <c r="I49" i="10"/>
  <c r="I12" i="11"/>
  <c r="I17" i="11" s="1"/>
  <c r="I25" i="11" s="1"/>
  <c r="M12" i="11"/>
  <c r="O48" i="10"/>
  <c r="O50" i="10"/>
  <c r="I47" i="10"/>
  <c r="I50" i="10"/>
  <c r="M46" i="10"/>
  <c r="L12" i="11"/>
  <c r="L17" i="11" s="1"/>
  <c r="M49" i="10"/>
  <c r="L46" i="10"/>
  <c r="M50" i="10"/>
  <c r="L48" i="10"/>
  <c r="S11" i="10"/>
  <c r="AD9" i="11"/>
  <c r="O49" i="10"/>
  <c r="AD7" i="11"/>
  <c r="I46" i="10"/>
  <c r="AD11" i="11"/>
  <c r="Y11" i="11"/>
  <c r="E50" i="10"/>
  <c r="AC8" i="11"/>
  <c r="AC7" i="11"/>
  <c r="E47" i="10"/>
  <c r="R12" i="11"/>
  <c r="R17" i="11" s="1"/>
  <c r="R18" i="11" s="1"/>
  <c r="O47" i="10"/>
  <c r="W7" i="11"/>
  <c r="O46" i="10"/>
  <c r="AA9" i="11"/>
  <c r="AE6" i="11"/>
  <c r="AE10" i="11"/>
  <c r="I48" i="10"/>
  <c r="Z121" i="8"/>
  <c r="Z113" i="8"/>
  <c r="Z98" i="8"/>
  <c r="AA76" i="11"/>
  <c r="AD41" i="11"/>
  <c r="X76" i="11"/>
  <c r="N76" i="11"/>
  <c r="W76" i="11"/>
  <c r="S76" i="11"/>
  <c r="S79" i="11" s="1"/>
  <c r="S88" i="11" s="1"/>
  <c r="S57" i="11"/>
  <c r="L47" i="10"/>
  <c r="E48" i="10"/>
  <c r="E46" i="10"/>
  <c r="T11" i="10"/>
  <c r="C47" i="10"/>
  <c r="L50" i="10"/>
  <c r="U11" i="10"/>
  <c r="J43" i="10"/>
  <c r="J47" i="10" s="1"/>
  <c r="C49" i="10"/>
  <c r="C50" i="10"/>
  <c r="C48" i="10"/>
  <c r="P49" i="10"/>
  <c r="P48" i="10"/>
  <c r="P47" i="10"/>
  <c r="P50" i="10"/>
  <c r="T25" i="11"/>
  <c r="T18" i="11"/>
  <c r="K46" i="10"/>
  <c r="K49" i="10"/>
  <c r="K50" i="10"/>
  <c r="K48" i="10"/>
  <c r="K47" i="10"/>
  <c r="G49" i="10"/>
  <c r="G48" i="10"/>
  <c r="G47" i="10"/>
  <c r="G50" i="10"/>
  <c r="G46" i="10"/>
  <c r="Y46" i="11"/>
  <c r="V45" i="11"/>
  <c r="C17" i="11"/>
  <c r="C18" i="11" s="1"/>
  <c r="C13" i="11"/>
  <c r="L76" i="11"/>
  <c r="F13" i="11"/>
  <c r="K76" i="11"/>
  <c r="H18" i="11"/>
  <c r="O76" i="11"/>
  <c r="E18" i="11"/>
  <c r="E25" i="11"/>
  <c r="F18" i="11"/>
  <c r="F25" i="11"/>
  <c r="AE88" i="11"/>
  <c r="I18" i="11"/>
  <c r="H29" i="11"/>
  <c r="H26" i="11"/>
  <c r="X20" i="8" l="1"/>
  <c r="X26" i="8"/>
  <c r="X30" i="8" s="1"/>
  <c r="C30" i="8"/>
  <c r="C27" i="8"/>
  <c r="E13" i="11"/>
  <c r="L13" i="11"/>
  <c r="AE45" i="11"/>
  <c r="AD45" i="11"/>
  <c r="AB9" i="11"/>
  <c r="Z8" i="11"/>
  <c r="AC6" i="11"/>
  <c r="AA6" i="11"/>
  <c r="AB6" i="11"/>
  <c r="AB11" i="11"/>
  <c r="AC11" i="11"/>
  <c r="AC46" i="11"/>
  <c r="AB46" i="11"/>
  <c r="Y9" i="11"/>
  <c r="V9" i="11"/>
  <c r="Y6" i="11"/>
  <c r="X6" i="11"/>
  <c r="V6" i="11"/>
  <c r="W6" i="11"/>
  <c r="AA46" i="11"/>
  <c r="AE11" i="11"/>
  <c r="AA7" i="11"/>
  <c r="Z46" i="11"/>
  <c r="AD10" i="11"/>
  <c r="W9" i="11"/>
  <c r="AE9" i="11"/>
  <c r="Z6" i="11"/>
  <c r="AB7" i="11"/>
  <c r="AE24" i="11"/>
  <c r="AD24" i="11"/>
  <c r="AC10" i="11"/>
  <c r="Z10" i="11"/>
  <c r="AB10" i="11"/>
  <c r="AA10" i="11"/>
  <c r="AC44" i="11"/>
  <c r="AB44" i="11"/>
  <c r="AE8" i="11"/>
  <c r="AD8" i="11"/>
  <c r="Y10" i="11"/>
  <c r="W10" i="11"/>
  <c r="V10" i="11"/>
  <c r="AA11" i="11"/>
  <c r="Y45" i="11"/>
  <c r="X45" i="11"/>
  <c r="AC9" i="11"/>
  <c r="Z9" i="11"/>
  <c r="AE46" i="11"/>
  <c r="AD46" i="11"/>
  <c r="AA8" i="11"/>
  <c r="Z44" i="11"/>
  <c r="AE41" i="11"/>
  <c r="AD6" i="11"/>
  <c r="Y7" i="11"/>
  <c r="X7" i="11"/>
  <c r="V7" i="11"/>
  <c r="X46" i="11"/>
  <c r="V46" i="11"/>
  <c r="W46" i="11"/>
  <c r="Y8" i="11"/>
  <c r="X8" i="11"/>
  <c r="V8" i="11"/>
  <c r="W8" i="11"/>
  <c r="W11" i="11"/>
  <c r="X9" i="11"/>
  <c r="AA44" i="11"/>
  <c r="Z7" i="11"/>
  <c r="D13" i="11"/>
  <c r="Q18" i="11"/>
  <c r="M13" i="11"/>
  <c r="P13" i="11"/>
  <c r="J50" i="10"/>
  <c r="I14" i="11"/>
  <c r="M14" i="11"/>
  <c r="J14" i="11"/>
  <c r="J25" i="11"/>
  <c r="J26" i="11" s="1"/>
  <c r="N13" i="11"/>
  <c r="J48" i="10"/>
  <c r="Q14" i="11"/>
  <c r="T13" i="11"/>
  <c r="P17" i="11"/>
  <c r="P25" i="11" s="1"/>
  <c r="P26" i="11" s="1"/>
  <c r="R14" i="11"/>
  <c r="Q13" i="11"/>
  <c r="N17" i="11"/>
  <c r="N18" i="11" s="1"/>
  <c r="M17" i="11"/>
  <c r="M18" i="11" s="1"/>
  <c r="O12" i="11"/>
  <c r="O14" i="11" s="1"/>
  <c r="R43" i="10"/>
  <c r="R44" i="10" s="1"/>
  <c r="N14" i="11"/>
  <c r="R13" i="11"/>
  <c r="U43" i="10"/>
  <c r="R25" i="11"/>
  <c r="R26" i="11" s="1"/>
  <c r="T43" i="10"/>
  <c r="T44" i="10" s="1"/>
  <c r="AG6" i="11"/>
  <c r="K12" i="11"/>
  <c r="L14" i="11" s="1"/>
  <c r="S12" i="11"/>
  <c r="T14" i="11" s="1"/>
  <c r="J46" i="10"/>
  <c r="J49" i="10"/>
  <c r="Z125" i="8"/>
  <c r="T26" i="11"/>
  <c r="T29" i="11"/>
  <c r="S43" i="10"/>
  <c r="S44" i="10" s="1"/>
  <c r="X43" i="10"/>
  <c r="W43" i="10"/>
  <c r="W44" i="10" s="1"/>
  <c r="V43" i="10"/>
  <c r="V44" i="10" s="1"/>
  <c r="AC45" i="11"/>
  <c r="C25" i="11"/>
  <c r="C29" i="11" s="1"/>
  <c r="C30" i="11" s="1"/>
  <c r="D25" i="11"/>
  <c r="D29" i="11" s="1"/>
  <c r="E29" i="11"/>
  <c r="E26" i="11"/>
  <c r="H34" i="11"/>
  <c r="H30" i="11"/>
  <c r="F29" i="11"/>
  <c r="F26" i="11"/>
  <c r="Q29" i="11"/>
  <c r="Q26" i="11"/>
  <c r="L25" i="11"/>
  <c r="L18" i="11"/>
  <c r="I29" i="11"/>
  <c r="I26" i="11"/>
  <c r="X27" i="8" l="1"/>
  <c r="X31" i="8"/>
  <c r="X94" i="8"/>
  <c r="X34" i="8"/>
  <c r="X37" i="8"/>
  <c r="C31" i="8"/>
  <c r="C34" i="8"/>
  <c r="C37" i="8"/>
  <c r="C94" i="8"/>
  <c r="C114" i="8" s="1"/>
  <c r="C140" i="8" s="1"/>
  <c r="C141" i="8" s="1"/>
  <c r="C143" i="8" s="1"/>
  <c r="J29" i="11"/>
  <c r="AD33" i="11"/>
  <c r="AE33" i="11"/>
  <c r="AA45" i="11"/>
  <c r="Z45" i="11"/>
  <c r="M25" i="11"/>
  <c r="M29" i="11" s="1"/>
  <c r="AE47" i="11"/>
  <c r="AD47" i="11"/>
  <c r="AB45" i="11"/>
  <c r="P29" i="11"/>
  <c r="P30" i="11" s="1"/>
  <c r="AD12" i="11"/>
  <c r="P18" i="11"/>
  <c r="P14" i="11"/>
  <c r="N25" i="11"/>
  <c r="N26" i="11" s="1"/>
  <c r="T49" i="10"/>
  <c r="R48" i="10"/>
  <c r="R49" i="10"/>
  <c r="R50" i="10"/>
  <c r="R46" i="10"/>
  <c r="R47" i="10"/>
  <c r="T50" i="10"/>
  <c r="T47" i="10"/>
  <c r="S14" i="11"/>
  <c r="T46" i="10"/>
  <c r="T48" i="10"/>
  <c r="U47" i="10"/>
  <c r="U44" i="10"/>
  <c r="U49" i="10"/>
  <c r="U46" i="10"/>
  <c r="U50" i="10"/>
  <c r="AB12" i="11"/>
  <c r="U48" i="10"/>
  <c r="S13" i="11"/>
  <c r="X12" i="11"/>
  <c r="S17" i="11"/>
  <c r="S18" i="11" s="1"/>
  <c r="AA12" i="11"/>
  <c r="R29" i="11"/>
  <c r="R30" i="11" s="1"/>
  <c r="Z12" i="11"/>
  <c r="V12" i="11"/>
  <c r="AC12" i="11"/>
  <c r="AG11" i="11"/>
  <c r="Y12" i="11"/>
  <c r="K14" i="11"/>
  <c r="AG7" i="11"/>
  <c r="AE12" i="11"/>
  <c r="AE17" i="11" s="1"/>
  <c r="AE18" i="11" s="1"/>
  <c r="W12" i="11"/>
  <c r="O13" i="11"/>
  <c r="AG8" i="11"/>
  <c r="AG9" i="11"/>
  <c r="AG10" i="11"/>
  <c r="V46" i="10"/>
  <c r="X46" i="10"/>
  <c r="T34" i="11"/>
  <c r="T30" i="11"/>
  <c r="V47" i="10"/>
  <c r="V49" i="10"/>
  <c r="V48" i="10"/>
  <c r="V50" i="10"/>
  <c r="W50" i="10"/>
  <c r="W49" i="10"/>
  <c r="W48" i="10"/>
  <c r="W47" i="10"/>
  <c r="X49" i="10"/>
  <c r="X50" i="10"/>
  <c r="X48" i="10"/>
  <c r="X47" i="10"/>
  <c r="W46" i="10"/>
  <c r="S46" i="10"/>
  <c r="S47" i="10"/>
  <c r="S49" i="10"/>
  <c r="S48" i="10"/>
  <c r="S50" i="10"/>
  <c r="C26" i="11"/>
  <c r="C34" i="11"/>
  <c r="C83" i="11" s="1"/>
  <c r="D26" i="11"/>
  <c r="H35" i="11"/>
  <c r="H42" i="11"/>
  <c r="J34" i="11"/>
  <c r="J30" i="11"/>
  <c r="D30" i="11"/>
  <c r="D34" i="11"/>
  <c r="Q30" i="11"/>
  <c r="Q34" i="11"/>
  <c r="I34" i="11"/>
  <c r="I30" i="11"/>
  <c r="E30" i="11"/>
  <c r="E34" i="11"/>
  <c r="L29" i="11"/>
  <c r="L26" i="11"/>
  <c r="F30" i="11"/>
  <c r="F34" i="11"/>
  <c r="P34" i="11" l="1"/>
  <c r="P35" i="11" s="1"/>
  <c r="M26" i="11"/>
  <c r="H49" i="11"/>
  <c r="H50" i="11" s="1"/>
  <c r="AD13" i="11"/>
  <c r="N29" i="11"/>
  <c r="N30" i="11" s="1"/>
  <c r="AB13" i="11"/>
  <c r="Z13" i="11"/>
  <c r="AA13" i="11"/>
  <c r="R34" i="11"/>
  <c r="R35" i="11" s="1"/>
  <c r="S25" i="11"/>
  <c r="S29" i="11" s="1"/>
  <c r="S30" i="11" s="1"/>
  <c r="AE25" i="11"/>
  <c r="AE29" i="11" s="1"/>
  <c r="AE34" i="11" s="1"/>
  <c r="AE13" i="11"/>
  <c r="AG12" i="11"/>
  <c r="AC13" i="11"/>
  <c r="T35" i="11"/>
  <c r="T42" i="11"/>
  <c r="T49" i="11" s="1"/>
  <c r="C87" i="11" a="1"/>
  <c r="C87" i="11" s="1"/>
  <c r="C84" i="11"/>
  <c r="C86" i="11" a="1"/>
  <c r="C86" i="11" s="1"/>
  <c r="C35" i="11"/>
  <c r="C42" i="11"/>
  <c r="C85" i="11"/>
  <c r="F87" i="11" a="1"/>
  <c r="F87" i="11" s="1"/>
  <c r="F86" i="11" a="1"/>
  <c r="F86" i="11" s="1"/>
  <c r="F42" i="11"/>
  <c r="F49" i="11" s="1"/>
  <c r="F35" i="11"/>
  <c r="F85" i="11"/>
  <c r="F83" i="11"/>
  <c r="F84" i="11"/>
  <c r="Q42" i="11"/>
  <c r="Q49" i="11" s="1"/>
  <c r="Q35" i="11"/>
  <c r="D87" i="11" a="1"/>
  <c r="D87" i="11" s="1"/>
  <c r="D42" i="11"/>
  <c r="D49" i="11" s="1"/>
  <c r="D83" i="11"/>
  <c r="D86" i="11" a="1"/>
  <c r="D86" i="11" s="1"/>
  <c r="D35" i="11"/>
  <c r="D85" i="11"/>
  <c r="D84" i="11"/>
  <c r="L30" i="11"/>
  <c r="L34" i="11"/>
  <c r="E42" i="11"/>
  <c r="E49" i="11" s="1"/>
  <c r="E35" i="11"/>
  <c r="E87" i="11" a="1"/>
  <c r="E87" i="11" s="1"/>
  <c r="E85" i="11"/>
  <c r="E86" i="11" a="1"/>
  <c r="E86" i="11" s="1"/>
  <c r="E84" i="11"/>
  <c r="E83" i="11"/>
  <c r="M30" i="11"/>
  <c r="M34" i="11"/>
  <c r="P42" i="11"/>
  <c r="I35" i="11"/>
  <c r="I42" i="11"/>
  <c r="I49" i="11" s="1"/>
  <c r="J42" i="11"/>
  <c r="J49" i="11" s="1"/>
  <c r="J35" i="11"/>
  <c r="N34" i="11" l="1"/>
  <c r="N35" i="11" s="1"/>
  <c r="C50" i="11"/>
  <c r="R42" i="11"/>
  <c r="R49" i="11" s="1"/>
  <c r="AG13" i="11"/>
  <c r="AE30" i="11"/>
  <c r="S26" i="11"/>
  <c r="S34" i="11"/>
  <c r="S85" i="11" s="1" a="1"/>
  <c r="S85" i="11" s="1"/>
  <c r="AE26" i="11"/>
  <c r="T50" i="11"/>
  <c r="L42" i="11"/>
  <c r="L35" i="11"/>
  <c r="I50" i="11"/>
  <c r="F50" i="11"/>
  <c r="J50" i="11"/>
  <c r="M42" i="11"/>
  <c r="M49" i="11" s="1"/>
  <c r="M35" i="11"/>
  <c r="AE87" i="11" a="1"/>
  <c r="AE87" i="11" s="1"/>
  <c r="AE42" i="11"/>
  <c r="AE86" i="11" a="1"/>
  <c r="AE86" i="11" s="1"/>
  <c r="AE85" i="11"/>
  <c r="AE35" i="11"/>
  <c r="AE83" i="11"/>
  <c r="AE84" i="11"/>
  <c r="Q50" i="11"/>
  <c r="N42" i="11"/>
  <c r="N49" i="11" s="1"/>
  <c r="E50" i="11"/>
  <c r="D50" i="11"/>
  <c r="S35" i="11" l="1"/>
  <c r="T84" i="11"/>
  <c r="S86" i="11" a="1"/>
  <c r="S86" i="11" s="1"/>
  <c r="S87" i="11" a="1"/>
  <c r="S87" i="11" s="1"/>
  <c r="S83" i="11"/>
  <c r="S84" i="11"/>
  <c r="T86" i="11" a="1"/>
  <c r="T86" i="11" s="1"/>
  <c r="T83" i="11"/>
  <c r="T85" i="11" a="1"/>
  <c r="T85" i="11" s="1"/>
  <c r="S42" i="11"/>
  <c r="T87" i="11" a="1"/>
  <c r="T87" i="11" s="1"/>
  <c r="R50" i="11"/>
  <c r="M50" i="11"/>
  <c r="S49" i="11" l="1"/>
  <c r="AE49" i="11" s="1"/>
  <c r="N50" i="11"/>
  <c r="S50" i="11" l="1"/>
  <c r="B2" i="10"/>
  <c r="B15" i="10"/>
  <c r="B14" i="10"/>
  <c r="I11" i="10"/>
  <c r="D11" i="10"/>
  <c r="O11" i="10"/>
  <c r="E11" i="10"/>
  <c r="P11" i="10"/>
  <c r="N11" i="10"/>
  <c r="M11" i="10"/>
  <c r="L11" i="10"/>
  <c r="H11" i="10"/>
  <c r="C11" i="10"/>
  <c r="N147" i="8"/>
  <c r="X147" i="8" s="1"/>
  <c r="J147" i="8"/>
  <c r="E135" i="8"/>
  <c r="D135" i="8"/>
  <c r="G135" i="8" s="1"/>
  <c r="E32" i="10" l="1"/>
  <c r="E33" i="10"/>
  <c r="H33" i="10"/>
  <c r="H32" i="10"/>
  <c r="M32" i="10"/>
  <c r="T32" i="10" s="1"/>
  <c r="M33" i="10"/>
  <c r="T33" i="10" s="1"/>
  <c r="O32" i="10"/>
  <c r="V32" i="10" s="1"/>
  <c r="O33" i="10"/>
  <c r="V33" i="10" s="1"/>
  <c r="C32" i="10"/>
  <c r="C33" i="10"/>
  <c r="D32" i="10"/>
  <c r="D33" i="10"/>
  <c r="I33" i="10"/>
  <c r="I32" i="10"/>
  <c r="L32" i="10"/>
  <c r="S32" i="10" s="1"/>
  <c r="L33" i="10"/>
  <c r="S33" i="10" s="1"/>
  <c r="N32" i="10"/>
  <c r="U32" i="10" s="1"/>
  <c r="N33" i="10"/>
  <c r="U33" i="10" s="1"/>
  <c r="P32" i="10"/>
  <c r="W32" i="10" s="1"/>
  <c r="P33" i="10"/>
  <c r="W33" i="10" s="1"/>
  <c r="E24" i="10"/>
  <c r="E23" i="10"/>
  <c r="C24" i="10"/>
  <c r="C23" i="10"/>
  <c r="H24" i="10"/>
  <c r="H23" i="10"/>
  <c r="I24" i="10"/>
  <c r="I23" i="10"/>
  <c r="L23" i="10"/>
  <c r="S23" i="10" s="1"/>
  <c r="L24" i="10"/>
  <c r="S24" i="10" s="1"/>
  <c r="M23" i="10"/>
  <c r="T23" i="10" s="1"/>
  <c r="M24" i="10"/>
  <c r="T24" i="10" s="1"/>
  <c r="D24" i="10"/>
  <c r="D23" i="10"/>
  <c r="N24" i="10"/>
  <c r="U24" i="10" s="1"/>
  <c r="N23" i="10"/>
  <c r="U23" i="10" s="1"/>
  <c r="O23" i="10"/>
  <c r="V23" i="10" s="1"/>
  <c r="O24" i="10"/>
  <c r="V24" i="10" s="1"/>
  <c r="P23" i="10"/>
  <c r="W23" i="10" s="1"/>
  <c r="P24" i="10"/>
  <c r="W24" i="10" s="1"/>
  <c r="E44" i="10"/>
  <c r="C44" i="10"/>
  <c r="L44" i="10"/>
  <c r="D44" i="10"/>
  <c r="H44" i="10"/>
  <c r="I44" i="10"/>
  <c r="O44" i="10"/>
  <c r="M44" i="10"/>
  <c r="P44" i="10"/>
  <c r="W147" i="8"/>
  <c r="V147" i="8"/>
  <c r="U147" i="8"/>
  <c r="T147" i="8"/>
  <c r="S147" i="8"/>
  <c r="R147" i="8"/>
  <c r="Z53" i="8"/>
  <c r="Z63" i="8"/>
  <c r="Z64" i="8"/>
  <c r="C14" i="10"/>
  <c r="C15" i="10"/>
  <c r="H14" i="10"/>
  <c r="H15" i="10"/>
  <c r="E15" i="10"/>
  <c r="E14" i="10"/>
  <c r="L15" i="10"/>
  <c r="S15" i="10" s="1"/>
  <c r="L14" i="10"/>
  <c r="S14" i="10" s="1"/>
  <c r="M15" i="10"/>
  <c r="T15" i="10" s="1"/>
  <c r="M14" i="10"/>
  <c r="T14" i="10" s="1"/>
  <c r="O14" i="10"/>
  <c r="V14" i="10" s="1"/>
  <c r="O15" i="10"/>
  <c r="V15" i="10" s="1"/>
  <c r="D14" i="10"/>
  <c r="D15" i="10"/>
  <c r="N14" i="10"/>
  <c r="U14" i="10" s="1"/>
  <c r="N15" i="10"/>
  <c r="U15" i="10" s="1"/>
  <c r="I15" i="10"/>
  <c r="I14" i="10"/>
  <c r="P14" i="10"/>
  <c r="W14" i="10" s="1"/>
  <c r="P15" i="10"/>
  <c r="W15" i="10" s="1"/>
  <c r="X15" i="10"/>
  <c r="X14" i="10"/>
  <c r="J11" i="10"/>
  <c r="X11" i="10"/>
  <c r="X44" i="10" s="1"/>
  <c r="G11" i="10"/>
  <c r="K11" i="10"/>
  <c r="K32" i="10" l="1"/>
  <c r="R32" i="10" s="1"/>
  <c r="K33" i="10"/>
  <c r="R33" i="10" s="1"/>
  <c r="J32" i="10"/>
  <c r="J33" i="10"/>
  <c r="G33" i="10"/>
  <c r="G32" i="10"/>
  <c r="K24" i="10"/>
  <c r="R24" i="10" s="1"/>
  <c r="K23" i="10"/>
  <c r="R23" i="10" s="1"/>
  <c r="G24" i="10"/>
  <c r="G23" i="10"/>
  <c r="J23" i="10"/>
  <c r="J24" i="10"/>
  <c r="J44" i="10"/>
  <c r="G44" i="10"/>
  <c r="K44" i="10"/>
  <c r="AC47" i="11"/>
  <c r="AB47" i="11"/>
  <c r="AA47" i="11"/>
  <c r="Z47" i="11"/>
  <c r="X47" i="11"/>
  <c r="Y47" i="11"/>
  <c r="W47" i="11"/>
  <c r="V47" i="11"/>
  <c r="G15" i="10"/>
  <c r="G14" i="10"/>
  <c r="K15" i="10"/>
  <c r="R15" i="10" s="1"/>
  <c r="K14" i="10"/>
  <c r="R14" i="10" s="1"/>
  <c r="J15" i="10"/>
  <c r="J14" i="10"/>
  <c r="N146" i="8" l="1"/>
  <c r="X146" i="8" s="1"/>
  <c r="J146" i="8"/>
  <c r="Z44" i="8"/>
  <c r="E131" i="8"/>
  <c r="O131" i="8"/>
  <c r="T146" i="8" l="1"/>
  <c r="S146" i="8"/>
  <c r="R146" i="8"/>
  <c r="W146" i="8"/>
  <c r="V146" i="8"/>
  <c r="U146" i="8"/>
  <c r="K54" i="11"/>
  <c r="O54" i="11"/>
  <c r="S131" i="8"/>
  <c r="R131" i="8"/>
  <c r="X57" i="11"/>
  <c r="Z80" i="8"/>
  <c r="Z82" i="8"/>
  <c r="Z79" i="8"/>
  <c r="Z71" i="8"/>
  <c r="Z81" i="8"/>
  <c r="Z78" i="8"/>
  <c r="Z49" i="8"/>
  <c r="P131" i="8"/>
  <c r="I131" i="8"/>
  <c r="D131" i="8"/>
  <c r="G131" i="8"/>
  <c r="H131" i="8"/>
  <c r="K131" i="8"/>
  <c r="L131" i="8"/>
  <c r="M131" i="8"/>
  <c r="J97" i="8"/>
  <c r="Z22" i="8" l="1"/>
  <c r="T97" i="8"/>
  <c r="S97" i="8"/>
  <c r="R97" i="8"/>
  <c r="Z54" i="11"/>
  <c r="Z57" i="11" s="1"/>
  <c r="P49" i="11"/>
  <c r="AD49" i="11" s="1"/>
  <c r="V54" i="11"/>
  <c r="V57" i="11" s="1"/>
  <c r="L49" i="11"/>
  <c r="Z39" i="11"/>
  <c r="AC39" i="11"/>
  <c r="AA39" i="11"/>
  <c r="AG39" i="11" s="1"/>
  <c r="AB39" i="11"/>
  <c r="AC37" i="11"/>
  <c r="AA37" i="11"/>
  <c r="AG37" i="11" s="1"/>
  <c r="Z37" i="11"/>
  <c r="AB37" i="11"/>
  <c r="Y39" i="11"/>
  <c r="W39" i="11"/>
  <c r="V39" i="11"/>
  <c r="X39" i="11"/>
  <c r="AB38" i="11"/>
  <c r="AC38" i="11"/>
  <c r="Z38" i="11"/>
  <c r="AA38" i="11"/>
  <c r="AG38" i="11" s="1"/>
  <c r="Y37" i="11"/>
  <c r="V37" i="11"/>
  <c r="X37" i="11"/>
  <c r="W37" i="11"/>
  <c r="Y38" i="11"/>
  <c r="W38" i="11"/>
  <c r="V38" i="11"/>
  <c r="X38" i="11"/>
  <c r="Z29" i="8"/>
  <c r="O57" i="11"/>
  <c r="W57" i="11"/>
  <c r="K57" i="11"/>
  <c r="J108" i="8"/>
  <c r="N131" i="8"/>
  <c r="J131" i="8"/>
  <c r="T108" i="8" l="1"/>
  <c r="S108" i="8"/>
  <c r="R108" i="8"/>
  <c r="Y28" i="11"/>
  <c r="X28" i="11"/>
  <c r="V28" i="11"/>
  <c r="W28" i="11"/>
  <c r="Y32" i="11"/>
  <c r="V32" i="11"/>
  <c r="X32" i="11"/>
  <c r="W32" i="11"/>
  <c r="AC32" i="11"/>
  <c r="AB32" i="11"/>
  <c r="Z32" i="11"/>
  <c r="AA32" i="11"/>
  <c r="AG32" i="11" s="1"/>
  <c r="AE50" i="11"/>
  <c r="P50" i="11"/>
  <c r="L50" i="11"/>
  <c r="AA57" i="11"/>
  <c r="T131" i="8"/>
  <c r="V131" i="8"/>
  <c r="W131" i="8"/>
  <c r="U131" i="8"/>
  <c r="Y41" i="11" l="1"/>
  <c r="W41" i="11"/>
  <c r="X41" i="11"/>
  <c r="V41" i="11"/>
  <c r="P83" i="8"/>
  <c r="O83" i="8"/>
  <c r="M83" i="8"/>
  <c r="L83" i="8"/>
  <c r="V79" i="11" s="1"/>
  <c r="V88" i="11" s="1"/>
  <c r="K83" i="8"/>
  <c r="I83" i="8"/>
  <c r="J79" i="11" s="1"/>
  <c r="H83" i="8"/>
  <c r="I79" i="11" s="1"/>
  <c r="G83" i="8"/>
  <c r="H79" i="11" s="1"/>
  <c r="E83" i="8"/>
  <c r="E79" i="11" s="1"/>
  <c r="E88" i="11" s="1"/>
  <c r="D83" i="8"/>
  <c r="D79" i="11" s="1"/>
  <c r="D88" i="11" s="1"/>
  <c r="C79" i="11"/>
  <c r="C88" i="11" s="1"/>
  <c r="N36" i="8"/>
  <c r="V36" i="8" s="1"/>
  <c r="N33" i="8"/>
  <c r="V33" i="8" s="1"/>
  <c r="AD17" i="11" l="1"/>
  <c r="AD25" i="11" s="1"/>
  <c r="Y79" i="11"/>
  <c r="Y88" i="11" s="1"/>
  <c r="M79" i="11"/>
  <c r="M88" i="11" s="1"/>
  <c r="N79" i="11"/>
  <c r="N88" i="11" s="1"/>
  <c r="Z79" i="11"/>
  <c r="Z88" i="11" s="1"/>
  <c r="AC79" i="11"/>
  <c r="AC88" i="11" s="1"/>
  <c r="Q79" i="11"/>
  <c r="Q88" i="11" s="1"/>
  <c r="AB79" i="11"/>
  <c r="AB88" i="11" s="1"/>
  <c r="P79" i="11"/>
  <c r="P88" i="11" s="1"/>
  <c r="L79" i="11"/>
  <c r="L88" i="11" s="1"/>
  <c r="Z33" i="8"/>
  <c r="Z36" i="8"/>
  <c r="S83" i="8"/>
  <c r="T83" i="8"/>
  <c r="U83" i="8"/>
  <c r="W83" i="8"/>
  <c r="J83" i="8"/>
  <c r="R83" i="8"/>
  <c r="V83" i="8"/>
  <c r="N83" i="8"/>
  <c r="X79" i="11" s="1"/>
  <c r="X88" i="11" s="1"/>
  <c r="Y16" i="11" l="1"/>
  <c r="X16" i="11"/>
  <c r="W16" i="11"/>
  <c r="W17" i="11" s="1"/>
  <c r="W18" i="11" s="1"/>
  <c r="V16" i="11"/>
  <c r="V17" i="11" s="1"/>
  <c r="X20" i="11"/>
  <c r="Y20" i="11"/>
  <c r="V20" i="11"/>
  <c r="W20" i="11"/>
  <c r="AC24" i="11"/>
  <c r="AA24" i="11"/>
  <c r="AG24" i="11" s="1"/>
  <c r="AB24" i="11"/>
  <c r="Z24" i="11"/>
  <c r="O17" i="11"/>
  <c r="O25" i="11" s="1"/>
  <c r="Z16" i="11"/>
  <c r="Z17" i="11" s="1"/>
  <c r="Z18" i="11" s="1"/>
  <c r="AC16" i="11"/>
  <c r="AC17" i="11" s="1"/>
  <c r="AC25" i="11" s="1"/>
  <c r="AA16" i="11"/>
  <c r="AA17" i="11" s="1"/>
  <c r="AB16" i="11"/>
  <c r="AB17" i="11" s="1"/>
  <c r="AC20" i="11"/>
  <c r="Z20" i="11"/>
  <c r="AB20" i="11"/>
  <c r="AA20" i="11"/>
  <c r="AG20" i="11" s="1"/>
  <c r="V24" i="11"/>
  <c r="Y24" i="11"/>
  <c r="W24" i="11"/>
  <c r="X24" i="11"/>
  <c r="X17" i="11"/>
  <c r="X18" i="11" s="1"/>
  <c r="Y17" i="11"/>
  <c r="Y18" i="11" s="1"/>
  <c r="K17" i="11"/>
  <c r="K25" i="11" s="1"/>
  <c r="AD18" i="11"/>
  <c r="W79" i="11"/>
  <c r="W88" i="11" s="1"/>
  <c r="K79" i="11"/>
  <c r="K88" i="11" s="1"/>
  <c r="AA79" i="11"/>
  <c r="AA88" i="11" s="1"/>
  <c r="O79" i="11"/>
  <c r="O88" i="11" s="1"/>
  <c r="AB18" i="11"/>
  <c r="N108" i="8"/>
  <c r="X108" i="8" s="1"/>
  <c r="N97" i="8"/>
  <c r="X97" i="8" s="1"/>
  <c r="X114" i="8" s="1"/>
  <c r="W97" i="8" l="1"/>
  <c r="V97" i="8"/>
  <c r="U97" i="8"/>
  <c r="Z108" i="8"/>
  <c r="W108" i="8"/>
  <c r="V108" i="8"/>
  <c r="U108" i="8"/>
  <c r="Z97" i="8"/>
  <c r="O18" i="11"/>
  <c r="AC33" i="11"/>
  <c r="AB33" i="11"/>
  <c r="AA33" i="11"/>
  <c r="AG33" i="11" s="1"/>
  <c r="Z33" i="11"/>
  <c r="AB25" i="11"/>
  <c r="AB26" i="11" s="1"/>
  <c r="X33" i="11"/>
  <c r="Y33" i="11"/>
  <c r="V33" i="11"/>
  <c r="W33" i="11"/>
  <c r="AC18" i="11"/>
  <c r="X25" i="11"/>
  <c r="X26" i="11" s="1"/>
  <c r="AG16" i="11"/>
  <c r="Y25" i="11"/>
  <c r="Y26" i="11" s="1"/>
  <c r="K18" i="11"/>
  <c r="Z25" i="11"/>
  <c r="Z26" i="11" s="1"/>
  <c r="AA25" i="11"/>
  <c r="W25" i="11"/>
  <c r="W26" i="11" s="1"/>
  <c r="V25" i="11"/>
  <c r="V18" i="11"/>
  <c r="AD29" i="11"/>
  <c r="O26" i="11"/>
  <c r="K26" i="11"/>
  <c r="K29" i="11"/>
  <c r="AG17" i="11"/>
  <c r="AA18" i="11"/>
  <c r="AG18" i="11" s="1"/>
  <c r="AD26" i="11"/>
  <c r="AC26" i="11"/>
  <c r="Z117" i="8"/>
  <c r="AC41" i="11" l="1"/>
  <c r="AA41" i="11"/>
  <c r="AG41" i="11" s="1"/>
  <c r="Z41" i="11"/>
  <c r="AB41" i="11"/>
  <c r="AB28" i="11"/>
  <c r="AB29" i="11" s="1"/>
  <c r="AC28" i="11"/>
  <c r="AC29" i="11" s="1"/>
  <c r="AC34" i="11" s="1"/>
  <c r="Z28" i="11"/>
  <c r="Z29" i="11" s="1"/>
  <c r="Z30" i="11" s="1"/>
  <c r="AA28" i="11"/>
  <c r="AA29" i="11" s="1"/>
  <c r="Y29" i="11"/>
  <c r="O29" i="11"/>
  <c r="O30" i="11" s="1"/>
  <c r="X29" i="11"/>
  <c r="X30" i="11" s="1"/>
  <c r="W29" i="11"/>
  <c r="W30" i="11" s="1"/>
  <c r="V26" i="11"/>
  <c r="V29" i="11"/>
  <c r="AD30" i="11"/>
  <c r="AD34" i="11"/>
  <c r="K30" i="11"/>
  <c r="K34" i="11"/>
  <c r="AA26" i="11"/>
  <c r="AG26" i="11" s="1"/>
  <c r="AG25" i="11"/>
  <c r="AG28" i="11" l="1"/>
  <c r="N83" i="11"/>
  <c r="N86" i="11" a="1"/>
  <c r="N86" i="11" s="1"/>
  <c r="N87" i="11" a="1"/>
  <c r="N87" i="11" s="1"/>
  <c r="N85" i="11" a="1"/>
  <c r="N85" i="11" s="1"/>
  <c r="N84" i="11"/>
  <c r="K87" i="11" a="1"/>
  <c r="K87" i="11" s="1"/>
  <c r="K85" i="11" a="1"/>
  <c r="K85" i="11" s="1"/>
  <c r="M87" i="11" a="1"/>
  <c r="M87" i="11" s="1"/>
  <c r="K84" i="11"/>
  <c r="M84" i="11"/>
  <c r="M83" i="11"/>
  <c r="L85" i="11" a="1"/>
  <c r="L85" i="11" s="1"/>
  <c r="L83" i="11"/>
  <c r="M85" i="11" a="1"/>
  <c r="M85" i="11" s="1"/>
  <c r="L84" i="11"/>
  <c r="L86" i="11" a="1"/>
  <c r="L86" i="11" s="1"/>
  <c r="M86" i="11" a="1"/>
  <c r="M86" i="11" s="1"/>
  <c r="L87" i="11" a="1"/>
  <c r="L87" i="11" s="1"/>
  <c r="K86" i="11" a="1"/>
  <c r="K86" i="11" s="1"/>
  <c r="K83" i="11"/>
  <c r="AB34" i="11"/>
  <c r="AB35" i="11" s="1"/>
  <c r="AB30" i="11"/>
  <c r="AC30" i="11"/>
  <c r="Y34" i="11"/>
  <c r="Y84" i="11" s="1"/>
  <c r="Y30" i="11"/>
  <c r="O34" i="11"/>
  <c r="X34" i="11"/>
  <c r="X42" i="11" s="1"/>
  <c r="W34" i="11"/>
  <c r="W84" i="11" s="1"/>
  <c r="Z34" i="11"/>
  <c r="Z83" i="11" s="1"/>
  <c r="V30" i="11"/>
  <c r="V34" i="11"/>
  <c r="AD35" i="11"/>
  <c r="AD85" i="11"/>
  <c r="AD86" i="11" a="1"/>
  <c r="AD86" i="11" s="1"/>
  <c r="AD42" i="11"/>
  <c r="AD87" i="11" a="1"/>
  <c r="AD87" i="11" s="1"/>
  <c r="AD84" i="11"/>
  <c r="AD83" i="11"/>
  <c r="AA34" i="11"/>
  <c r="AA30" i="11"/>
  <c r="AG30" i="11" s="1"/>
  <c r="AG29" i="11"/>
  <c r="K35" i="11"/>
  <c r="K42" i="11"/>
  <c r="K49" i="11" s="1"/>
  <c r="AC87" i="11" a="1"/>
  <c r="AC87" i="11" s="1"/>
  <c r="AC42" i="11"/>
  <c r="AC85" i="11"/>
  <c r="AC86" i="11" a="1"/>
  <c r="AC86" i="11" s="1"/>
  <c r="AC35" i="11"/>
  <c r="AC83" i="11"/>
  <c r="AC84" i="11"/>
  <c r="O68" i="8"/>
  <c r="M68" i="8"/>
  <c r="O122" i="8"/>
  <c r="K122" i="8"/>
  <c r="G122" i="8"/>
  <c r="N11" i="8"/>
  <c r="N12" i="10" s="1"/>
  <c r="N43" i="10" s="1"/>
  <c r="J11" i="8"/>
  <c r="J12" i="10" s="1"/>
  <c r="J36" i="8"/>
  <c r="R36" i="8" s="1"/>
  <c r="J33" i="8"/>
  <c r="R33" i="8" s="1"/>
  <c r="L50" i="8"/>
  <c r="L60" i="8" s="1"/>
  <c r="K50" i="8"/>
  <c r="K60" i="8" s="1"/>
  <c r="G50" i="8"/>
  <c r="G60" i="8" s="1"/>
  <c r="P91" i="8"/>
  <c r="O91" i="8"/>
  <c r="N91" i="8"/>
  <c r="M91" i="8"/>
  <c r="L91" i="8"/>
  <c r="K91" i="8"/>
  <c r="J91" i="8"/>
  <c r="I91" i="8"/>
  <c r="H91" i="8"/>
  <c r="G91" i="8"/>
  <c r="P90" i="8"/>
  <c r="O90" i="8"/>
  <c r="N90" i="8"/>
  <c r="M90" i="8"/>
  <c r="L90" i="8"/>
  <c r="K90" i="8"/>
  <c r="J90" i="8"/>
  <c r="I90" i="8"/>
  <c r="H90" i="8"/>
  <c r="G90" i="8"/>
  <c r="H50" i="8"/>
  <c r="H60" i="8" s="1"/>
  <c r="I50" i="8"/>
  <c r="I60" i="8" s="1"/>
  <c r="M50" i="8"/>
  <c r="M60" i="8" s="1"/>
  <c r="O50" i="8"/>
  <c r="O60" i="8" s="1"/>
  <c r="P50" i="8"/>
  <c r="P60" i="8" s="1"/>
  <c r="P41" i="8"/>
  <c r="O41" i="8"/>
  <c r="N41" i="8"/>
  <c r="M41" i="8"/>
  <c r="L41" i="8"/>
  <c r="K41" i="8"/>
  <c r="J41" i="8"/>
  <c r="I41" i="8"/>
  <c r="H41" i="8"/>
  <c r="G41" i="8"/>
  <c r="P40" i="8"/>
  <c r="O40" i="8"/>
  <c r="N40" i="8"/>
  <c r="M40" i="8"/>
  <c r="L40" i="8"/>
  <c r="K40" i="8"/>
  <c r="J40" i="8"/>
  <c r="I40" i="8"/>
  <c r="H40" i="8"/>
  <c r="G40" i="8"/>
  <c r="E41" i="8"/>
  <c r="D41" i="8"/>
  <c r="E40" i="8"/>
  <c r="D40" i="8"/>
  <c r="P11" i="8"/>
  <c r="O11" i="8"/>
  <c r="M11" i="8"/>
  <c r="L11" i="8"/>
  <c r="K11" i="8"/>
  <c r="I11" i="8"/>
  <c r="I12" i="10" s="1"/>
  <c r="H11" i="8"/>
  <c r="H12" i="10" s="1"/>
  <c r="G11" i="8"/>
  <c r="G12" i="10" s="1"/>
  <c r="N49" i="10" l="1"/>
  <c r="N48" i="10"/>
  <c r="N46" i="10"/>
  <c r="N47" i="10"/>
  <c r="N50" i="10"/>
  <c r="N44" i="10"/>
  <c r="AB86" i="11" a="1"/>
  <c r="AB86" i="11" s="1"/>
  <c r="AB87" i="11" a="1"/>
  <c r="AB87" i="11" s="1"/>
  <c r="AB84" i="11"/>
  <c r="AB83" i="11"/>
  <c r="AB85" i="11"/>
  <c r="AB42" i="11"/>
  <c r="R85" i="11" a="1"/>
  <c r="R85" i="11" s="1"/>
  <c r="R87" i="11" a="1"/>
  <c r="R87" i="11" s="1"/>
  <c r="R84" i="11"/>
  <c r="R83" i="11"/>
  <c r="R86" i="11" a="1"/>
  <c r="R86" i="11" s="1"/>
  <c r="Q84" i="11"/>
  <c r="P86" i="11" a="1"/>
  <c r="P86" i="11" s="1"/>
  <c r="Q86" i="11" a="1"/>
  <c r="Q86" i="11" s="1"/>
  <c r="P85" i="11" a="1"/>
  <c r="P85" i="11" s="1"/>
  <c r="O87" i="11" a="1"/>
  <c r="O87" i="11" s="1"/>
  <c r="Q87" i="11" a="1"/>
  <c r="Q87" i="11" s="1"/>
  <c r="O84" i="11"/>
  <c r="Q83" i="11"/>
  <c r="P87" i="11" a="1"/>
  <c r="P87" i="11" s="1"/>
  <c r="P83" i="11"/>
  <c r="Q85" i="11" a="1"/>
  <c r="Q85" i="11" s="1"/>
  <c r="O86" i="11" a="1"/>
  <c r="O86" i="11" s="1"/>
  <c r="P84" i="11"/>
  <c r="O83" i="11"/>
  <c r="O85" i="11" a="1"/>
  <c r="O85" i="11" s="1"/>
  <c r="W83" i="11"/>
  <c r="W87" i="11" a="1"/>
  <c r="W87" i="11" s="1"/>
  <c r="Y42" i="11"/>
  <c r="Y86" i="11" a="1"/>
  <c r="Y86" i="11" s="1"/>
  <c r="Y85" i="11"/>
  <c r="O42" i="11"/>
  <c r="O49" i="11" s="1"/>
  <c r="W86" i="11" a="1"/>
  <c r="W86" i="11" s="1"/>
  <c r="W85" i="11"/>
  <c r="W35" i="11"/>
  <c r="O35" i="11"/>
  <c r="Y87" i="11" a="1"/>
  <c r="Y87" i="11" s="1"/>
  <c r="Y83" i="11"/>
  <c r="Y35" i="11"/>
  <c r="W42" i="11"/>
  <c r="X87" i="11" a="1"/>
  <c r="X87" i="11" s="1"/>
  <c r="Z84" i="11"/>
  <c r="Z42" i="11"/>
  <c r="Z35" i="11"/>
  <c r="Z85" i="11"/>
  <c r="Z86" i="11" a="1"/>
  <c r="Z86" i="11" s="1"/>
  <c r="Z87" i="11" a="1"/>
  <c r="Z87" i="11" s="1"/>
  <c r="X86" i="11" a="1"/>
  <c r="X86" i="11" s="1"/>
  <c r="X83" i="11"/>
  <c r="X85" i="11"/>
  <c r="X84" i="11"/>
  <c r="X35" i="11"/>
  <c r="V86" i="11" a="1"/>
  <c r="V86" i="11" s="1"/>
  <c r="V84" i="11"/>
  <c r="V85" i="11"/>
  <c r="V83" i="11"/>
  <c r="V35" i="11"/>
  <c r="V87" i="11" a="1"/>
  <c r="V87" i="11" s="1"/>
  <c r="V42" i="11"/>
  <c r="O14" i="8"/>
  <c r="O19" i="8" s="1"/>
  <c r="O26" i="8" s="1"/>
  <c r="O12" i="10"/>
  <c r="P14" i="8"/>
  <c r="P15" i="8" s="1"/>
  <c r="P12" i="10"/>
  <c r="K14" i="8"/>
  <c r="K19" i="8" s="1"/>
  <c r="K26" i="8" s="1"/>
  <c r="K12" i="10"/>
  <c r="M14" i="8"/>
  <c r="M19" i="8" s="1"/>
  <c r="M26" i="8" s="1"/>
  <c r="M12" i="10"/>
  <c r="L14" i="8"/>
  <c r="L15" i="8" s="1"/>
  <c r="L12" i="10"/>
  <c r="AA87" i="11" a="1"/>
  <c r="AA87" i="11" s="1"/>
  <c r="AA86" i="11" a="1"/>
  <c r="AA86" i="11" s="1"/>
  <c r="AA35" i="11"/>
  <c r="AG35" i="11" s="1"/>
  <c r="AA42" i="11"/>
  <c r="AG42" i="11" s="1"/>
  <c r="AG34" i="11"/>
  <c r="AA83" i="11"/>
  <c r="AA85" i="11"/>
  <c r="AA84" i="11"/>
  <c r="M76" i="8"/>
  <c r="G14" i="8"/>
  <c r="G19" i="8" s="1"/>
  <c r="G26" i="8" s="1"/>
  <c r="H14" i="8"/>
  <c r="H15" i="8" s="1"/>
  <c r="I14" i="8"/>
  <c r="I15" i="8" s="1"/>
  <c r="K68" i="8"/>
  <c r="P68" i="8"/>
  <c r="H68" i="8"/>
  <c r="G68" i="8"/>
  <c r="L68" i="8"/>
  <c r="E68" i="8"/>
  <c r="I68" i="8"/>
  <c r="P122" i="8"/>
  <c r="N122" i="8"/>
  <c r="H122" i="8"/>
  <c r="L122" i="8"/>
  <c r="M122" i="8"/>
  <c r="N14" i="8"/>
  <c r="N15" i="8" s="1"/>
  <c r="J14" i="8"/>
  <c r="J15" i="8" s="1"/>
  <c r="N68" i="8"/>
  <c r="N50" i="8"/>
  <c r="N60" i="8" s="1"/>
  <c r="J50" i="8"/>
  <c r="J60" i="8" s="1"/>
  <c r="J68" i="8"/>
  <c r="Y49" i="11" l="1"/>
  <c r="Y50" i="11" s="1"/>
  <c r="W49" i="11"/>
  <c r="W50" i="11" s="1"/>
  <c r="V49" i="11"/>
  <c r="V50" i="11" s="1"/>
  <c r="X49" i="11"/>
  <c r="X50" i="11" s="1"/>
  <c r="AC49" i="11"/>
  <c r="AC50" i="11" s="1"/>
  <c r="AB49" i="11"/>
  <c r="AB50" i="11" s="1"/>
  <c r="AA49" i="11"/>
  <c r="AA50" i="11" s="1"/>
  <c r="Z49" i="11"/>
  <c r="Z50" i="11" s="1"/>
  <c r="P19" i="8"/>
  <c r="O15" i="8"/>
  <c r="O20" i="8"/>
  <c r="L19" i="8"/>
  <c r="K15" i="8"/>
  <c r="K50" i="11"/>
  <c r="O50" i="11"/>
  <c r="M15" i="8"/>
  <c r="O27" i="8"/>
  <c r="O30" i="8"/>
  <c r="O94" i="8" s="1"/>
  <c r="O114" i="8" s="1"/>
  <c r="AD50" i="11"/>
  <c r="H19" i="8"/>
  <c r="H26" i="8" s="1"/>
  <c r="M84" i="8"/>
  <c r="M86" i="8" s="1"/>
  <c r="G20" i="8"/>
  <c r="G15" i="8"/>
  <c r="I19" i="8"/>
  <c r="I26" i="8" s="1"/>
  <c r="N76" i="8"/>
  <c r="K76" i="8"/>
  <c r="I76" i="8"/>
  <c r="E76" i="8"/>
  <c r="H76" i="8"/>
  <c r="J76" i="8"/>
  <c r="P76" i="8"/>
  <c r="G76" i="8"/>
  <c r="L76" i="8"/>
  <c r="O76" i="8"/>
  <c r="I122" i="8"/>
  <c r="J122" i="8"/>
  <c r="N19" i="8"/>
  <c r="N26" i="8" s="1"/>
  <c r="J19" i="8"/>
  <c r="J26" i="8" s="1"/>
  <c r="M20" i="8"/>
  <c r="K20" i="8"/>
  <c r="L26" i="8" l="1"/>
  <c r="L27" i="8" s="1"/>
  <c r="P26" i="8"/>
  <c r="P27" i="8" s="1"/>
  <c r="L30" i="8"/>
  <c r="L94" i="8" s="1"/>
  <c r="L114" i="8" s="1"/>
  <c r="P30" i="8"/>
  <c r="P94" i="8" s="1"/>
  <c r="P114" i="8" s="1"/>
  <c r="P140" i="8" s="1"/>
  <c r="W140" i="8" s="1"/>
  <c r="P20" i="8"/>
  <c r="L20" i="8"/>
  <c r="N27" i="8"/>
  <c r="N30" i="8"/>
  <c r="N94" i="8" s="1"/>
  <c r="N114" i="8" s="1"/>
  <c r="M27" i="8"/>
  <c r="M30" i="8"/>
  <c r="M94" i="8" s="1"/>
  <c r="M114" i="8" s="1"/>
  <c r="K27" i="8"/>
  <c r="K30" i="8"/>
  <c r="K94" i="8" s="1"/>
  <c r="K114" i="8" s="1"/>
  <c r="J27" i="8"/>
  <c r="J30" i="8"/>
  <c r="J94" i="8" s="1"/>
  <c r="J114" i="8" s="1"/>
  <c r="G27" i="8"/>
  <c r="G30" i="8"/>
  <c r="G94" i="8" s="1"/>
  <c r="G114" i="8" s="1"/>
  <c r="G140" i="8" s="1"/>
  <c r="O37" i="8"/>
  <c r="O31" i="8"/>
  <c r="O34" i="8"/>
  <c r="K84" i="8"/>
  <c r="K86" i="8" s="1"/>
  <c r="H20" i="8"/>
  <c r="I20" i="8"/>
  <c r="J84" i="8"/>
  <c r="J86" i="8" s="1"/>
  <c r="N84" i="8"/>
  <c r="N86" i="8" s="1"/>
  <c r="I84" i="8"/>
  <c r="I86" i="8" s="1"/>
  <c r="H84" i="8"/>
  <c r="H86" i="8" s="1"/>
  <c r="P84" i="8"/>
  <c r="P86" i="8" s="1"/>
  <c r="O84" i="8"/>
  <c r="O86" i="8" s="1"/>
  <c r="L84" i="8"/>
  <c r="L86" i="8" s="1"/>
  <c r="G84" i="8"/>
  <c r="G86" i="8" s="1"/>
  <c r="J20" i="8"/>
  <c r="N20" i="8"/>
  <c r="L37" i="8" l="1"/>
  <c r="P37" i="8"/>
  <c r="L34" i="8"/>
  <c r="P31" i="8"/>
  <c r="L31" i="8"/>
  <c r="P34" i="8"/>
  <c r="H27" i="8"/>
  <c r="H30" i="8"/>
  <c r="H94" i="8" s="1"/>
  <c r="H114" i="8" s="1"/>
  <c r="I27" i="8"/>
  <c r="I30" i="8"/>
  <c r="I94" i="8" s="1"/>
  <c r="I114" i="8" s="1"/>
  <c r="G34" i="8"/>
  <c r="G31" i="8"/>
  <c r="G37" i="8"/>
  <c r="K34" i="8"/>
  <c r="K37" i="8"/>
  <c r="K31" i="8"/>
  <c r="M37" i="8"/>
  <c r="M31" i="8"/>
  <c r="M34" i="8"/>
  <c r="N37" i="8"/>
  <c r="N31" i="8"/>
  <c r="N34" i="8"/>
  <c r="J31" i="8"/>
  <c r="J34" i="8"/>
  <c r="J37" i="8"/>
  <c r="O140" i="8"/>
  <c r="V140" i="8" s="1"/>
  <c r="K140" i="8"/>
  <c r="R140" i="8" s="1"/>
  <c r="L140" i="8"/>
  <c r="S140" i="8" s="1"/>
  <c r="M140" i="8"/>
  <c r="T140" i="8" s="1"/>
  <c r="I37" i="8" l="1"/>
  <c r="I31" i="8"/>
  <c r="I34" i="8"/>
  <c r="H37" i="8"/>
  <c r="H31" i="8"/>
  <c r="H34" i="8"/>
  <c r="H140" i="8" l="1"/>
  <c r="I140" i="8"/>
  <c r="B91" i="8" l="1"/>
  <c r="B90" i="8"/>
  <c r="E91" i="8"/>
  <c r="D91" i="8"/>
  <c r="E90" i="8"/>
  <c r="D90" i="8"/>
  <c r="B41" i="8"/>
  <c r="B40" i="8"/>
  <c r="W41" i="8"/>
  <c r="V41" i="8"/>
  <c r="T41" i="8"/>
  <c r="S41" i="8"/>
  <c r="R41" i="8"/>
  <c r="U41" i="8"/>
  <c r="W40" i="8"/>
  <c r="V40" i="8"/>
  <c r="U40" i="8"/>
  <c r="T40" i="8"/>
  <c r="S40" i="8"/>
  <c r="R40" i="8"/>
  <c r="R90" i="8" l="1"/>
  <c r="R91" i="8"/>
  <c r="U90" i="8"/>
  <c r="V90" i="8"/>
  <c r="V91" i="8"/>
  <c r="W91" i="8"/>
  <c r="T90" i="8"/>
  <c r="W90" i="8"/>
  <c r="T91" i="8"/>
  <c r="S91" i="8"/>
  <c r="U91" i="8"/>
  <c r="S90" i="8"/>
  <c r="S11" i="8" l="1"/>
  <c r="S12" i="10" s="1"/>
  <c r="D50" i="8"/>
  <c r="D60" i="8" s="1"/>
  <c r="E50" i="8"/>
  <c r="E60" i="8" s="1"/>
  <c r="T11" i="8" l="1"/>
  <c r="T12" i="10" s="1"/>
  <c r="S14" i="8"/>
  <c r="S19" i="8" s="1"/>
  <c r="S26" i="8" s="1"/>
  <c r="T50" i="8"/>
  <c r="T60" i="8" s="1"/>
  <c r="R50" i="8"/>
  <c r="R60" i="8" s="1"/>
  <c r="T68" i="8"/>
  <c r="T76" i="8" s="1"/>
  <c r="S68" i="8"/>
  <c r="S76" i="8" s="1"/>
  <c r="S50" i="8"/>
  <c r="S60" i="8" s="1"/>
  <c r="R11" i="8"/>
  <c r="R12" i="10" s="1"/>
  <c r="R68" i="8"/>
  <c r="R76" i="8" s="1"/>
  <c r="V50" i="8"/>
  <c r="V60" i="8" s="1"/>
  <c r="V11" i="8"/>
  <c r="V12" i="10" s="1"/>
  <c r="V68" i="8"/>
  <c r="V76" i="8" s="1"/>
  <c r="W68" i="8"/>
  <c r="W76" i="8" s="1"/>
  <c r="U11" i="8"/>
  <c r="U12" i="10" s="1"/>
  <c r="W11" i="8"/>
  <c r="W12" i="10" s="1"/>
  <c r="W50" i="8"/>
  <c r="W60" i="8" s="1"/>
  <c r="S20" i="8" l="1"/>
  <c r="R14" i="8"/>
  <c r="R19" i="8" s="1"/>
  <c r="R26" i="8" s="1"/>
  <c r="V14" i="8"/>
  <c r="V19" i="8" s="1"/>
  <c r="V26" i="8" s="1"/>
  <c r="Z10" i="8"/>
  <c r="T84" i="8"/>
  <c r="T86" i="8" s="1"/>
  <c r="R84" i="8"/>
  <c r="R86" i="8" s="1"/>
  <c r="Z17" i="8"/>
  <c r="S84" i="8"/>
  <c r="S86" i="8" s="1"/>
  <c r="T14" i="8"/>
  <c r="T19" i="8" s="1"/>
  <c r="T26" i="8" s="1"/>
  <c r="S15" i="8"/>
  <c r="Z13" i="8"/>
  <c r="V84" i="8"/>
  <c r="V86" i="8" s="1"/>
  <c r="W14" i="8"/>
  <c r="W19" i="8" s="1"/>
  <c r="W26" i="8" s="1"/>
  <c r="U14" i="8"/>
  <c r="U19" i="8" s="1"/>
  <c r="U26" i="8" s="1"/>
  <c r="W84" i="8"/>
  <c r="W86" i="8" s="1"/>
  <c r="S27" i="8" l="1"/>
  <c r="S30" i="8"/>
  <c r="S94" i="8" s="1"/>
  <c r="R20" i="8"/>
  <c r="T20" i="8"/>
  <c r="V20" i="8"/>
  <c r="U20" i="8"/>
  <c r="W20" i="8"/>
  <c r="V15" i="8"/>
  <c r="U15" i="8"/>
  <c r="R15" i="8"/>
  <c r="W15" i="8"/>
  <c r="T15" i="8"/>
  <c r="V27" i="8" l="1"/>
  <c r="V30" i="8"/>
  <c r="V94" i="8" s="1"/>
  <c r="W27" i="8"/>
  <c r="W30" i="8"/>
  <c r="W94" i="8" s="1"/>
  <c r="R27" i="8"/>
  <c r="R30" i="8"/>
  <c r="T27" i="8"/>
  <c r="T30" i="8"/>
  <c r="T94" i="8" s="1"/>
  <c r="U27" i="8"/>
  <c r="U30" i="8"/>
  <c r="U94" i="8" s="1"/>
  <c r="S31" i="8"/>
  <c r="S34" i="8"/>
  <c r="S37" i="8"/>
  <c r="R31" i="8" l="1"/>
  <c r="R94" i="8"/>
  <c r="R37" i="8"/>
  <c r="R34" i="8"/>
  <c r="V34" i="8"/>
  <c r="V31" i="8"/>
  <c r="V37" i="8"/>
  <c r="T31" i="8"/>
  <c r="T34" i="8"/>
  <c r="T37" i="8"/>
  <c r="W31" i="8"/>
  <c r="W34" i="8"/>
  <c r="W37" i="8"/>
  <c r="U37" i="8"/>
  <c r="U31" i="8"/>
  <c r="U34" i="8"/>
  <c r="U68" i="8" l="1"/>
  <c r="U76" i="8" s="1"/>
  <c r="T122" i="8" l="1"/>
  <c r="R122" i="8"/>
  <c r="S122" i="8"/>
  <c r="U122" i="8"/>
  <c r="W122" i="8"/>
  <c r="V122" i="8"/>
  <c r="E11" i="8" l="1"/>
  <c r="E12" i="10" s="1"/>
  <c r="D11" i="8"/>
  <c r="D12" i="10" s="1"/>
  <c r="C12" i="10"/>
  <c r="E122" i="8"/>
  <c r="D122" i="8"/>
  <c r="D68" i="8"/>
  <c r="X12" i="10"/>
  <c r="D76" i="8" l="1"/>
  <c r="Z11" i="8"/>
  <c r="U84" i="8"/>
  <c r="D14" i="8"/>
  <c r="D19" i="8" s="1"/>
  <c r="D26" i="8" s="1"/>
  <c r="E14" i="8"/>
  <c r="E19" i="8" s="1"/>
  <c r="E26" i="8" s="1"/>
  <c r="Z83" i="8"/>
  <c r="D20" i="8" l="1"/>
  <c r="E20" i="8"/>
  <c r="U50" i="8"/>
  <c r="U60" i="8" s="1"/>
  <c r="D84" i="8"/>
  <c r="D86" i="8" s="1"/>
  <c r="E84" i="8"/>
  <c r="E86" i="8" s="1"/>
  <c r="Z76" i="8"/>
  <c r="Z68" i="8"/>
  <c r="D15" i="8"/>
  <c r="E15" i="8"/>
  <c r="D27" i="8" l="1"/>
  <c r="D30" i="8"/>
  <c r="D94" i="8" s="1"/>
  <c r="D114" i="8" s="1"/>
  <c r="D140" i="8" s="1"/>
  <c r="E27" i="8"/>
  <c r="E30" i="8"/>
  <c r="E94" i="8" s="1"/>
  <c r="E114" i="8" s="1"/>
  <c r="E140" i="8" s="1"/>
  <c r="Z27" i="8"/>
  <c r="Z26" i="8"/>
  <c r="J140" i="8"/>
  <c r="U86" i="8"/>
  <c r="Z19" i="8"/>
  <c r="Z20" i="8"/>
  <c r="Z131" i="8"/>
  <c r="Z84" i="8"/>
  <c r="Z60" i="8"/>
  <c r="Z50" i="8"/>
  <c r="Z14" i="8"/>
  <c r="Z122" i="8"/>
  <c r="Z15" i="8"/>
  <c r="D31" i="8" l="1"/>
  <c r="E34" i="8"/>
  <c r="E37" i="8"/>
  <c r="D37" i="8"/>
  <c r="D34" i="8"/>
  <c r="E31" i="8"/>
  <c r="N140" i="8"/>
  <c r="U140" i="8" s="1"/>
  <c r="Z30" i="8" l="1"/>
  <c r="Z31" i="8"/>
  <c r="T114" i="8"/>
  <c r="U114" i="8"/>
  <c r="R114" i="8" l="1"/>
  <c r="S114" i="8"/>
  <c r="Z34" i="8" l="1"/>
  <c r="Z37" i="8"/>
  <c r="D134" i="8" l="1"/>
  <c r="G134" i="8" s="1"/>
  <c r="D136" i="8" l="1"/>
  <c r="D141" i="8" s="1"/>
  <c r="D143" i="8" s="1"/>
  <c r="E134" i="8" l="1"/>
  <c r="E136" i="8" s="1"/>
  <c r="E141" i="8" s="1"/>
  <c r="G136" i="8"/>
  <c r="G141" i="8" l="1"/>
  <c r="G143" i="8" s="1"/>
  <c r="E143" i="8"/>
  <c r="H134" i="8" l="1"/>
  <c r="H136" i="8" s="1"/>
  <c r="H141" i="8" s="1"/>
  <c r="H143" i="8" s="1"/>
  <c r="I134" i="8" l="1"/>
  <c r="I136" i="8" s="1"/>
  <c r="I141" i="8" l="1"/>
  <c r="J134" i="8" l="1"/>
  <c r="I143" i="8"/>
  <c r="J136" i="8" l="1"/>
  <c r="J141" i="8" s="1"/>
  <c r="K134" i="8" l="1"/>
  <c r="K136" i="8" s="1"/>
  <c r="J143" i="8"/>
  <c r="K141" i="8" l="1"/>
  <c r="L134" i="8" l="1"/>
  <c r="L136" i="8" s="1"/>
  <c r="K143" i="8"/>
  <c r="L141" i="8" l="1"/>
  <c r="M134" i="8" l="1"/>
  <c r="M136" i="8" s="1"/>
  <c r="L143" i="8"/>
  <c r="M141" i="8" l="1"/>
  <c r="N134" i="8" l="1"/>
  <c r="N136" i="8" s="1"/>
  <c r="M143" i="8"/>
  <c r="N141" i="8" l="1"/>
  <c r="O134" i="8" s="1"/>
  <c r="O136" i="8" s="1"/>
  <c r="O141" i="8" l="1"/>
  <c r="P134" i="8" s="1"/>
  <c r="P136" i="8" s="1"/>
  <c r="N143" i="8"/>
  <c r="P141" i="8" l="1"/>
  <c r="O143" i="8"/>
  <c r="P143" i="8" l="1"/>
  <c r="V114" i="8" l="1"/>
  <c r="W114" i="8"/>
  <c r="Z94" i="8" l="1"/>
  <c r="Z114" i="8" l="1"/>
  <c r="R134" i="8" l="1"/>
  <c r="R136" i="8" s="1"/>
  <c r="R141" i="8" s="1"/>
  <c r="S134" i="8" l="1"/>
  <c r="S136" i="8" s="1"/>
  <c r="S141" i="8" s="1"/>
  <c r="R143" i="8" l="1"/>
  <c r="T134" i="8"/>
  <c r="T136" i="8" s="1"/>
  <c r="T141" i="8" s="1"/>
  <c r="S143" i="8" l="1"/>
  <c r="U134" i="8"/>
  <c r="U136" i="8" s="1"/>
  <c r="T143" i="8"/>
  <c r="U141" i="8" l="1"/>
  <c r="V134" i="8" s="1"/>
  <c r="V136" i="8" s="1"/>
  <c r="V141" i="8" s="1"/>
  <c r="W134" i="8" l="1"/>
  <c r="W136" i="8" s="1"/>
  <c r="V143" i="8"/>
  <c r="U143" i="8"/>
  <c r="W141" i="8" l="1"/>
  <c r="X134" i="8" s="1"/>
  <c r="X136" i="8" s="1"/>
  <c r="X141" i="8" s="1"/>
  <c r="X143" i="8" s="1"/>
  <c r="W143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<sst xmlns="http://schemas.openxmlformats.org/spreadsheetml/2006/main" count="279" uniqueCount="163">
  <si>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</si>
  <si>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</si>
  <si>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</si>
  <si>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</si>
  <si>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</si>
  <si>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</si>
  <si>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</si>
  <si>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</si>
  <si>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</si>
  <si>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</si>
  <si>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</si>
  <si>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</si>
  <si>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</si>
  <si>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</si>
  <si>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</si>
  <si>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</si>
  <si>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</si>
  <si>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</si>
  <si>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</si>
  <si>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</si>
  <si>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</si>
  <si>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</si>
  <si>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</si>
  <si>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</si>
  <si>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</si>
  <si>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</si>
  <si>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</si>
  <si>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</si>
  <si>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</si>
  <si>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</si>
  <si>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</si>
  <si>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</si>
  <si>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</si>
  <si>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</si>
  <si>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</si>
  <si>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</si>
  <si>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</si>
  <si>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</si>
  <si>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</si>
  <si>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</si>
  <si>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</si>
  <si>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</si>
  <si>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</si>
  <si>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</si>
  <si>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</si>
  <si>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</si>
  <si>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</si>
  <si>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Current Liabilities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</si>
  <si>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</si>
  <si>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</si>
  <si>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</si>
  <si>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</si>
  <si>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</si>
  <si>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</si>
  <si>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</si>
  <si>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</si>
  <si>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</si>
  <si>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</si>
  <si>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</si>
  <si>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</si>
  <si>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</si>
  <si>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</si>
  <si>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</si>
  <si>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</si>
  <si>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</si>
  <si>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</si>
  <si>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</si>
  <si>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</si>
  <si>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</si>
  <si>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</si>
  <si>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</si>
  <si>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</si>
  <si>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</si>
  <si>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</si>
  <si>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</si>
  <si>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</si>
  <si>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</si>
  <si>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</si>
  <si>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</si>
  <si>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</si>
  <si>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</si>
  <si>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</si>
  <si>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</si>
  <si>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EBT Margin (%)</t>
  </si>
  <si>
    <t>Current Assets</t>
  </si>
  <si>
    <t>Non-Current Assets</t>
  </si>
  <si>
    <t>Non-Current Liabilities</t>
  </si>
  <si>
    <t>Supplemental disclosures of other cash flow information:</t>
  </si>
  <si>
    <t>Income tax expense</t>
  </si>
  <si>
    <t>Receivables</t>
  </si>
  <si>
    <t>Additions to property and equipment</t>
  </si>
  <si>
    <t>Income taxes paid</t>
  </si>
  <si>
    <t>Interest paid</t>
  </si>
  <si>
    <t>BOP Restricted Cash Adjustment</t>
  </si>
  <si>
    <t>EOP FX Adjustment</t>
  </si>
  <si>
    <t>EOP Restricted Cash Adjustment</t>
  </si>
  <si>
    <t>Unrestricted Cash BOP</t>
  </si>
  <si>
    <t>Revenue Segment Anaysis</t>
  </si>
  <si>
    <t>($ In Millions)</t>
  </si>
  <si>
    <t>($ In Millions, except EPS)</t>
  </si>
  <si>
    <t>Revenue by reportable segment</t>
  </si>
  <si>
    <t>(+) Depreciation and Amortization (D&amp;A)</t>
  </si>
  <si>
    <t>(+) Stock-Based Compensation (SBC)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</si>
  <si>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</si>
  <si>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</si>
  <si>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</si>
  <si>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</si>
  <si>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</si>
  <si>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</si>
  <si>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</si>
  <si>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</si>
  <si>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Proceeds from Equity Issuances / (Repurchases)</t>
  </si>
  <si>
    <t>XXX</t>
  </si>
  <si>
    <t>Earnings before Taxes</t>
  </si>
  <si>
    <t>(+/-) XXX</t>
  </si>
  <si>
    <t>(+) XXX</t>
  </si>
  <si>
    <t>(-) XXX</t>
  </si>
  <si>
    <t>(-) Mandatory Outflows</t>
  </si>
  <si>
    <t>Interest Income</t>
  </si>
  <si>
    <t>Interest Expenses</t>
  </si>
  <si>
    <t>Other Income</t>
  </si>
  <si>
    <t>Inventories</t>
  </si>
  <si>
    <t>Goodwill</t>
  </si>
  <si>
    <t>Other LT Assets</t>
  </si>
  <si>
    <t>Revenue by Geography</t>
  </si>
  <si>
    <t>U.S. Revenues</t>
  </si>
  <si>
    <t>Canada Revenues</t>
  </si>
  <si>
    <t>Mexico Revenues</t>
  </si>
  <si>
    <t>China Revenues</t>
  </si>
  <si>
    <t>Other Revenues</t>
  </si>
  <si>
    <t xml:space="preserve">Selling, General, and Administrative </t>
  </si>
  <si>
    <t>A/P</t>
  </si>
  <si>
    <t>ST Taxes Payable</t>
  </si>
  <si>
    <t>Other LT Liabilities</t>
  </si>
  <si>
    <t>Crocs Inc (NASDAQ: CROX)</t>
  </si>
  <si>
    <t>Asset Impairment</t>
  </si>
  <si>
    <t>ForEx G/L</t>
  </si>
  <si>
    <t xml:space="preserve">Cash &amp; CEs </t>
  </si>
  <si>
    <t>A/R</t>
  </si>
  <si>
    <t>ST Taxes Recievable</t>
  </si>
  <si>
    <t>Other Recievables</t>
  </si>
  <si>
    <t>ST Prepaid Expenses</t>
  </si>
  <si>
    <t>PP&amp;E</t>
  </si>
  <si>
    <t>LT Intangibles</t>
  </si>
  <si>
    <t>LT Deferred Tax Assets</t>
  </si>
  <si>
    <t>Restricted Cash</t>
  </si>
  <si>
    <t>Right-of-use Assets</t>
  </si>
  <si>
    <t>Accrued ST Expenses</t>
  </si>
  <si>
    <t>ST Debt</t>
  </si>
  <si>
    <t>ST Operating Lease</t>
  </si>
  <si>
    <t>LT Deferred Tax Liabilities</t>
  </si>
  <si>
    <t>LT Taxes Payable</t>
  </si>
  <si>
    <t>LT Debt</t>
  </si>
  <si>
    <t>LT Operating Lease</t>
  </si>
  <si>
    <t>Crocs Wholesale</t>
  </si>
  <si>
    <t>Crocs DTC</t>
  </si>
  <si>
    <t xml:space="preserve">Revenue: Crocs </t>
  </si>
  <si>
    <t>Revenue: HEYDUDE</t>
  </si>
  <si>
    <t>HEYDUDE Wholesale</t>
  </si>
  <si>
    <t>HEYDUDE DTC</t>
  </si>
  <si>
    <t>Crox Revenues</t>
  </si>
  <si>
    <t>HEYDUDE Revenues</t>
  </si>
  <si>
    <t>Revenue by Geography: 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</si>
</sst>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8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55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5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15" fillId="0" borderId="5" xfId="0" applyFont="1" applyBorder="1" applyAlignment="1">
      <alignment wrapText="1"/>
    </xf>
    <xf numFmtId="5" fontId="8" fillId="5" borderId="2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horizontal="right" vertical="center" wrapText="1"/>
    </xf>
    <xf numFmtId="0" fontId="23" fillId="9" borderId="6" xfId="0" applyFont="1" applyFill="1" applyBorder="1"/>
    <xf numFmtId="9" fontId="30" fillId="0" borderId="2" xfId="1" applyFont="1" applyBorder="1"/>
    <xf numFmtId="9" fontId="10" fillId="0" borderId="2" xfId="1" applyFont="1" applyBorder="1"/>
    <xf numFmtId="9" fontId="10" fillId="0" borderId="7" xfId="1" applyFont="1" applyBorder="1"/>
    <xf numFmtId="0" fontId="23" fillId="9" borderId="8" xfId="0" applyFont="1" applyFill="1" applyBorder="1"/>
    <xf numFmtId="9" fontId="30" fillId="0" borderId="0" xfId="1" applyFont="1" applyBorder="1"/>
    <xf numFmtId="9" fontId="10" fillId="0" borderId="0" xfId="1" applyFont="1" applyBorder="1"/>
    <xf numFmtId="9" fontId="10" fillId="0" borderId="9" xfId="1" applyFont="1" applyBorder="1"/>
    <xf numFmtId="0" fontId="23" fillId="9" borderId="10" xfId="0" applyFont="1" applyFill="1" applyBorder="1"/>
    <xf numFmtId="9" fontId="30" fillId="0" borderId="5" xfId="1" applyFont="1" applyBorder="1"/>
    <xf numFmtId="9" fontId="10" fillId="0" borderId="5" xfId="1" applyFont="1" applyBorder="1"/>
    <xf numFmtId="9" fontId="10" fillId="0" borderId="11" xfId="1" applyFont="1" applyBorder="1"/>
    <xf numFmtId="9" fontId="10" fillId="0" borderId="2" xfId="1" applyFont="1" applyBorder="1" applyAlignment="1">
      <alignment horizontal="right"/>
    </xf>
    <xf numFmtId="9" fontId="10" fillId="0" borderId="5" xfId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0" fontId="4" fillId="0" borderId="0" xfId="0" quotePrefix="1" applyFont="1" applyAlignment="1">
      <alignment wrapText="1"/>
    </xf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horizontal="right" vertical="center" wrapText="1"/>
    </xf>
    <xf numFmtId="169" fontId="4" fillId="0" borderId="0" xfId="0" applyNumberFormat="1" applyFont="1"/>
    <xf numFmtId="41" fontId="6" fillId="0" borderId="0" xfId="0" applyNumberFormat="1" applyFont="1" applyAlignment="1">
      <alignment vertical="center"/>
    </xf>
    <xf numFmtId="169" fontId="4" fillId="8" borderId="0" xfId="0" applyNumberFormat="1" applyFont="1" applyFill="1"/>
    <xf numFmtId="43" fontId="21" fillId="0" borderId="12" xfId="0" applyNumberFormat="1" applyFont="1" applyBorder="1" applyAlignment="1">
      <alignment wrapText="1"/>
    </xf>
    <xf numFmtId="41" fontId="6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5" fontId="8" fillId="5" borderId="14" xfId="0" applyNumberFormat="1" applyFont="1" applyFill="1" applyBorder="1" applyAlignment="1">
      <alignment horizontal="right" vertical="top" wrapText="1"/>
    </xf>
    <xf numFmtId="37" fontId="4" fillId="0" borderId="13" xfId="0" applyNumberFormat="1" applyFont="1" applyBorder="1" applyAlignment="1">
      <alignment wrapText="1"/>
    </xf>
    <xf numFmtId="43" fontId="21" fillId="0" borderId="15" xfId="0" applyNumberFormat="1" applyFont="1" applyBorder="1" applyAlignment="1">
      <alignment wrapText="1"/>
    </xf>
    <xf numFmtId="41" fontId="8" fillId="0" borderId="16" xfId="0" applyNumberFormat="1" applyFont="1" applyBorder="1" applyAlignment="1">
      <alignment horizontal="right" vertical="top" wrapText="1"/>
    </xf>
    <xf numFmtId="41" fontId="7" fillId="0" borderId="17" xfId="0" applyNumberFormat="1" applyFont="1" applyBorder="1" applyAlignment="1">
      <alignment horizontal="right" vertical="top" wrapText="1"/>
    </xf>
    <xf numFmtId="0" fontId="8" fillId="5" borderId="17" xfId="0" applyFont="1" applyFill="1" applyBorder="1" applyAlignment="1">
      <alignment horizontal="right" vertical="center" wrapText="1"/>
    </xf>
    <xf numFmtId="41" fontId="8" fillId="0" borderId="17" xfId="0" applyNumberFormat="1" applyFont="1" applyBorder="1" applyAlignment="1">
      <alignment horizontal="right" vertical="top" wrapText="1"/>
    </xf>
    <xf numFmtId="0" fontId="4" fillId="0" borderId="17" xfId="0" applyFont="1" applyBorder="1"/>
    <xf numFmtId="0" fontId="21" fillId="0" borderId="18" xfId="0" applyFont="1" applyBorder="1" applyAlignment="1">
      <alignment horizontal="right" vertical="top" wrapText="1"/>
    </xf>
    <xf numFmtId="41" fontId="6" fillId="0" borderId="19" xfId="0" applyNumberFormat="1" applyFont="1" applyBorder="1" applyAlignment="1">
      <alignment horizontal="right" vertical="top" wrapText="1"/>
    </xf>
    <xf numFmtId="41" fontId="6" fillId="0" borderId="20" xfId="0" applyNumberFormat="1" applyFont="1" applyBorder="1" applyAlignment="1">
      <alignment horizontal="right" vertical="top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Z160"/>
  <sheetViews>
    <sheetView showGridLines="0" tabSelected="1" zoomScaleNormal="100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3" width="9.125" style="5" customWidth="1" outlineLevel="1"/>
    <col min="4" max="5" width="9.125" style="5" bestFit="1" customWidth="1"/>
    <col min="6" max="6" width="1.5" style="5" customWidth="1"/>
    <col min="7" max="8" width="7.875" style="5" customWidth="1" outlineLevel="1"/>
    <col min="9" max="10" width="8.625" style="5" customWidth="1" outlineLevel="1"/>
    <col min="11" max="12" width="7.875" style="5" customWidth="1" outlineLevel="1"/>
    <col min="13" max="13" width="8.625" style="5" bestFit="1" customWidth="1"/>
    <col min="14" max="14" width="8.625" style="5" customWidth="1"/>
    <col min="15" max="16" width="8" style="5" customWidth="1"/>
    <col min="17" max="17" width="1.5" style="5" customWidth="1"/>
    <col min="18" max="18" width="8.625" style="5" customWidth="1" outlineLevel="1"/>
    <col min="19" max="19" width="8.25" style="5" customWidth="1" outlineLevel="1"/>
    <col min="20" max="20" width="8.25" style="5" bestFit="1" customWidth="1"/>
    <col min="21" max="21" width="8.25" style="5" customWidth="1" outlineLevel="1"/>
    <col min="22" max="22" width="8.625" style="5" customWidth="1" outlineLevel="1"/>
    <col min="23" max="23" width="8.25" style="5" customWidth="1" outlineLevel="1"/>
    <col min="24" max="24" width="8.625" style="5" bestFit="1" customWidth="1"/>
    <col min="25" max="25" width="1.25" style="5" customWidth="1"/>
    <col min="26" max="26" width="10.5" style="5" bestFit="1" customWidth="1"/>
    <col min="27" max="27" width="1.375" style="5" customWidth="1"/>
    <col min="28" max="16384" width="9" style="5"/>
  </cols>
  <sheetData>
    <row r="2" spans="1:26" ht="12.75" customHeight="1">
      <c r="B2" s="1" t="s">
        <v>134</v>
      </c>
      <c r="C2" s="86"/>
      <c r="D2" s="86"/>
      <c r="E2" s="86"/>
      <c r="F2" s="3"/>
      <c r="G2" s="86"/>
      <c r="H2" s="86"/>
      <c r="I2" s="86"/>
      <c r="J2" s="86"/>
      <c r="K2" s="86"/>
      <c r="L2" s="86"/>
      <c r="M2" s="86"/>
      <c r="N2" s="86"/>
      <c r="O2" s="86"/>
      <c r="P2" s="86"/>
      <c r="Q2" s="3"/>
      <c r="R2" s="86"/>
      <c r="S2" s="86"/>
      <c r="T2" s="86"/>
      <c r="U2" s="86"/>
      <c r="V2" s="86"/>
      <c r="W2" s="86"/>
      <c r="X2" s="86"/>
      <c r="Y2" s="3"/>
      <c r="Z2" s="1"/>
    </row>
    <row r="3" spans="1:26" ht="12.75" customHeight="1">
      <c r="B3" s="6" t="s">
        <v>79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4"/>
      <c r="S3" s="4"/>
      <c r="T3" s="4"/>
      <c r="U3" s="4"/>
      <c r="V3" s="4"/>
      <c r="W3" s="4"/>
      <c r="X3" s="4"/>
      <c r="Y3" s="3"/>
      <c r="Z3" s="1"/>
    </row>
    <row r="4" spans="1:26" ht="12.75" customHeight="1">
      <c r="B4" s="6" t="s">
        <v>99</v>
      </c>
      <c r="C4" s="3"/>
      <c r="D4" s="7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"/>
    </row>
    <row r="6" spans="1:26" ht="12.75" customHeight="1">
      <c r="A6" s="5" t="s">
        <v>18</v>
      </c>
      <c r="B6" s="1" t="s">
        <v>77</v>
      </c>
      <c r="C6" s="2"/>
      <c r="D6" s="2" t="s">
        <v>0</v>
      </c>
      <c r="E6" s="2"/>
      <c r="F6" s="3"/>
      <c r="G6" s="2" t="s">
        <v>1</v>
      </c>
      <c r="H6" s="2"/>
      <c r="I6" s="2"/>
      <c r="J6" s="2"/>
      <c r="K6" s="2"/>
      <c r="L6" s="2"/>
      <c r="M6" s="2" t="s">
        <v>1</v>
      </c>
      <c r="N6" s="2"/>
      <c r="O6" s="2"/>
      <c r="P6" s="2"/>
      <c r="Q6" s="3"/>
      <c r="R6" s="2"/>
      <c r="S6" s="2"/>
      <c r="T6" s="2" t="s">
        <v>10</v>
      </c>
      <c r="U6" s="2"/>
      <c r="V6" s="2"/>
      <c r="W6" s="2"/>
      <c r="X6" s="2"/>
      <c r="Y6" s="35"/>
      <c r="Z6" s="151" t="s">
        <v>24</v>
      </c>
    </row>
    <row r="7" spans="1:26" ht="12.75" customHeight="1">
      <c r="B7" s="6" t="s">
        <v>80</v>
      </c>
      <c r="C7" s="7">
        <v>2022</v>
      </c>
      <c r="D7" s="7">
        <v>2023</v>
      </c>
      <c r="E7" s="7">
        <v>2024</v>
      </c>
      <c r="F7" s="3"/>
      <c r="G7" s="4" t="s">
        <v>6</v>
      </c>
      <c r="H7" s="4" t="s">
        <v>7</v>
      </c>
      <c r="I7" s="4" t="s">
        <v>8</v>
      </c>
      <c r="J7" s="4" t="s">
        <v>9</v>
      </c>
      <c r="K7" s="4" t="s">
        <v>2</v>
      </c>
      <c r="L7" s="4" t="s">
        <v>3</v>
      </c>
      <c r="M7" s="4" t="s">
        <v>4</v>
      </c>
      <c r="N7" s="4" t="s">
        <v>5</v>
      </c>
      <c r="O7" s="4" t="s">
        <v>26</v>
      </c>
      <c r="P7" s="4" t="s">
        <v>27</v>
      </c>
      <c r="Q7" s="4"/>
      <c r="R7" s="4" t="str">
        <f>J7</f>
        <v>4Q23</v>
      </c>
      <c r="S7" s="4" t="str">
        <f>K7</f>
        <v>1Q24</v>
      </c>
      <c r="T7" s="4" t="str">
        <f>L7</f>
        <v>2Q24</v>
      </c>
      <c r="U7" s="4" t="str">
        <f>M7</f>
        <v>3Q24</v>
      </c>
      <c r="V7" s="4" t="str">
        <f>N7</f>
        <v>4Q24</v>
      </c>
      <c r="W7" s="4" t="str">
        <f>O7</f>
        <v>1Q25</v>
      </c>
      <c r="X7" s="4" t="str">
        <f>P7</f>
        <v>2Q25</v>
      </c>
      <c r="Y7" s="35"/>
      <c r="Z7" s="151"/>
    </row>
    <row r="8" spans="1:26" ht="12.75" customHeight="1">
      <c r="B8" s="6" t="s">
        <v>81</v>
      </c>
      <c r="C8" s="3" t="s">
        <v>112</v>
      </c>
      <c r="D8" s="3" t="s">
        <v>112</v>
      </c>
      <c r="E8" s="3" t="s">
        <v>112</v>
      </c>
      <c r="F8" s="3"/>
      <c r="G8" s="3" t="s">
        <v>112</v>
      </c>
      <c r="H8" s="3" t="s">
        <v>112</v>
      </c>
      <c r="I8" s="3" t="s">
        <v>112</v>
      </c>
      <c r="J8" s="3" t="str">
        <f>D8</f>
        <v>XXX</v>
      </c>
      <c r="K8" s="3" t="s">
        <v>112</v>
      </c>
      <c r="L8" s="3" t="s">
        <v>112</v>
      </c>
      <c r="M8" s="3" t="s">
        <v>112</v>
      </c>
      <c r="N8" s="3" t="str">
        <f>E8</f>
        <v>XXX</v>
      </c>
      <c r="O8" s="3" t="s">
        <v>112</v>
      </c>
      <c r="P8" s="3" t="s">
        <v>112</v>
      </c>
      <c r="Q8" s="3"/>
      <c r="R8" s="3" t="str">
        <f>J8</f>
        <v>XXX</v>
      </c>
      <c r="S8" s="3" t="str">
        <f>K8</f>
        <v>XXX</v>
      </c>
      <c r="T8" s="3" t="str">
        <f>L8</f>
        <v>XXX</v>
      </c>
      <c r="U8" s="3" t="str">
        <f>M8</f>
        <v>XXX</v>
      </c>
      <c r="V8" s="3" t="str">
        <f>N8</f>
        <v>XXX</v>
      </c>
      <c r="W8" s="3" t="str">
        <f>O8</f>
        <v>XXX</v>
      </c>
      <c r="X8" s="3" t="str">
        <f>P8</f>
        <v>XXX</v>
      </c>
      <c r="Y8" s="35"/>
      <c r="Z8" s="151"/>
    </row>
    <row r="9" spans="1:26" ht="5.0999999999999996" customHeight="1">
      <c r="Z9" s="85"/>
    </row>
    <row r="10" spans="1:26" ht="12.75" customHeight="1">
      <c r="B10" s="9" t="s">
        <v>61</v>
      </c>
      <c r="C10" s="81">
        <v>3555</v>
      </c>
      <c r="D10" s="81">
        <v>3962.3</v>
      </c>
      <c r="E10" s="81">
        <v>4102.1000000000004</v>
      </c>
      <c r="F10" s="11"/>
      <c r="G10" s="81">
        <v>884.2</v>
      </c>
      <c r="H10" s="81">
        <v>1072.4000000000001</v>
      </c>
      <c r="I10" s="81">
        <v>1045.7</v>
      </c>
      <c r="J10" s="30">
        <f t="shared" ref="J10" si="0">SUM(D10-SUM(G10:I10))</f>
        <v>960</v>
      </c>
      <c r="K10" s="81">
        <v>938.6</v>
      </c>
      <c r="L10" s="81">
        <v>1111.5</v>
      </c>
      <c r="M10" s="81">
        <v>1062.2</v>
      </c>
      <c r="N10" s="30">
        <f t="shared" ref="N10" si="1">SUM(E10-SUM(K10:M10))</f>
        <v>989.80000000000018</v>
      </c>
      <c r="O10" s="81">
        <v>937.3</v>
      </c>
      <c r="P10" s="81">
        <v>1149.4000000000001</v>
      </c>
      <c r="Q10" s="30"/>
      <c r="R10" s="30">
        <f t="shared" ref="R10:W10" si="2">SUM(G10:J10)</f>
        <v>3962.3</v>
      </c>
      <c r="S10" s="30">
        <f t="shared" si="2"/>
        <v>4016.7000000000003</v>
      </c>
      <c r="T10" s="30">
        <f t="shared" si="2"/>
        <v>4055.8</v>
      </c>
      <c r="U10" s="30">
        <f t="shared" si="2"/>
        <v>4072.3</v>
      </c>
      <c r="V10" s="30">
        <f t="shared" si="2"/>
        <v>4102.1000000000004</v>
      </c>
      <c r="W10" s="30">
        <f t="shared" si="2"/>
        <v>4100.8</v>
      </c>
      <c r="X10" s="30">
        <f>SUM(M10:P10)</f>
        <v>4138.7000000000007</v>
      </c>
      <c r="Y10" s="37"/>
      <c r="Z10" s="68">
        <f>SUM(X10/T10)-1</f>
        <v>2.0439863898614519E-2</v>
      </c>
    </row>
    <row r="11" spans="1:26" ht="12.75" customHeight="1">
      <c r="B11" s="12" t="s">
        <v>12</v>
      </c>
      <c r="C11" s="13">
        <f t="shared" ref="C11:E11" si="3">+SUM(C10:C10)</f>
        <v>3555</v>
      </c>
      <c r="D11" s="13">
        <f t="shared" si="3"/>
        <v>3962.3</v>
      </c>
      <c r="E11" s="13">
        <f t="shared" si="3"/>
        <v>4102.1000000000004</v>
      </c>
      <c r="F11" s="11"/>
      <c r="G11" s="13">
        <f t="shared" ref="G11:P11" si="4">+SUM(G10:G10)</f>
        <v>884.2</v>
      </c>
      <c r="H11" s="13">
        <f t="shared" si="4"/>
        <v>1072.4000000000001</v>
      </c>
      <c r="I11" s="13">
        <f t="shared" si="4"/>
        <v>1045.7</v>
      </c>
      <c r="J11" s="13">
        <f t="shared" si="4"/>
        <v>960</v>
      </c>
      <c r="K11" s="13">
        <f t="shared" si="4"/>
        <v>938.6</v>
      </c>
      <c r="L11" s="13">
        <f t="shared" si="4"/>
        <v>1111.5</v>
      </c>
      <c r="M11" s="13">
        <f t="shared" si="4"/>
        <v>1062.2</v>
      </c>
      <c r="N11" s="13">
        <f t="shared" si="4"/>
        <v>989.80000000000018</v>
      </c>
      <c r="O11" s="13">
        <f t="shared" si="4"/>
        <v>937.3</v>
      </c>
      <c r="P11" s="13">
        <f t="shared" si="4"/>
        <v>1149.4000000000001</v>
      </c>
      <c r="R11" s="13">
        <f t="shared" ref="R11:X11" si="5">+SUM(R10:R10)</f>
        <v>3962.3</v>
      </c>
      <c r="S11" s="13">
        <f t="shared" si="5"/>
        <v>4016.7000000000003</v>
      </c>
      <c r="T11" s="13">
        <f t="shared" si="5"/>
        <v>4055.8</v>
      </c>
      <c r="U11" s="13">
        <f t="shared" si="5"/>
        <v>4072.3</v>
      </c>
      <c r="V11" s="13">
        <f t="shared" si="5"/>
        <v>4102.1000000000004</v>
      </c>
      <c r="W11" s="13">
        <f t="shared" si="5"/>
        <v>4100.8</v>
      </c>
      <c r="X11" s="13">
        <f t="shared" si="5"/>
        <v>4138.7000000000007</v>
      </c>
      <c r="Y11" s="37"/>
      <c r="Z11" s="69">
        <f>SUM(X11/T11)-1</f>
        <v>2.0439863898614519E-2</v>
      </c>
    </row>
    <row r="12" spans="1:26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Z12" s="68"/>
    </row>
    <row r="13" spans="1:26" ht="12.75" customHeight="1">
      <c r="B13" s="9" t="s">
        <v>13</v>
      </c>
      <c r="C13" s="76">
        <v>-1694.7</v>
      </c>
      <c r="D13" s="76">
        <v>-1752.3</v>
      </c>
      <c r="E13" s="76">
        <v>-1691.9</v>
      </c>
      <c r="F13" s="22"/>
      <c r="G13" s="76">
        <v>-407.8</v>
      </c>
      <c r="H13" s="76">
        <v>-451.1</v>
      </c>
      <c r="I13" s="76">
        <v>-464.1</v>
      </c>
      <c r="J13" s="30">
        <f t="shared" ref="J13" si="6">SUM(D13-SUM(G13:I13))</f>
        <v>-429.29999999999995</v>
      </c>
      <c r="K13" s="76">
        <v>-416.6</v>
      </c>
      <c r="L13" s="76">
        <v>-429.6</v>
      </c>
      <c r="M13" s="76">
        <v>-428.9</v>
      </c>
      <c r="N13" s="30">
        <f t="shared" ref="N13" si="7">SUM(E13-SUM(K13:M13))</f>
        <v>-416.80000000000018</v>
      </c>
      <c r="O13" s="76">
        <v>-395.8</v>
      </c>
      <c r="P13" s="76">
        <v>-440.5</v>
      </c>
      <c r="R13" s="30">
        <f t="shared" ref="R13" si="8">SUM(G13:J13)</f>
        <v>-1752.3</v>
      </c>
      <c r="S13" s="30">
        <f t="shared" ref="S13" si="9">SUM(H13:K13)</f>
        <v>-1761.1</v>
      </c>
      <c r="T13" s="30">
        <f t="shared" ref="T13" si="10">SUM(I13:L13)</f>
        <v>-1739.6</v>
      </c>
      <c r="U13" s="30">
        <f t="shared" ref="U13" si="11">SUM(J13:M13)</f>
        <v>-1704.4</v>
      </c>
      <c r="V13" s="30">
        <f t="shared" ref="V13" si="12">SUM(K13:N13)</f>
        <v>-1691.9</v>
      </c>
      <c r="W13" s="30">
        <f t="shared" ref="W13" si="13">SUM(L13:O13)</f>
        <v>-1671.1000000000001</v>
      </c>
      <c r="X13" s="30">
        <f>SUM(M13:P13)</f>
        <v>-1682.0000000000002</v>
      </c>
      <c r="Y13" s="11"/>
      <c r="Z13" s="68">
        <f>SUM(X13/T13)-1</f>
        <v>-3.3111060013796045E-2</v>
      </c>
    </row>
    <row r="14" spans="1:26" ht="12.75" customHeight="1">
      <c r="B14" s="23" t="s">
        <v>22</v>
      </c>
      <c r="C14" s="24">
        <f t="shared" ref="C14:E14" si="14">+SUM(C11+SUM(C13:C13))</f>
        <v>1860.3</v>
      </c>
      <c r="D14" s="24">
        <f t="shared" si="14"/>
        <v>2210</v>
      </c>
      <c r="E14" s="24">
        <f t="shared" si="14"/>
        <v>2410.2000000000003</v>
      </c>
      <c r="G14" s="24">
        <f t="shared" ref="G14:P14" si="15">+SUM(G11+SUM(G13:G13))</f>
        <v>476.40000000000003</v>
      </c>
      <c r="H14" s="24">
        <f t="shared" si="15"/>
        <v>621.30000000000007</v>
      </c>
      <c r="I14" s="24">
        <f t="shared" si="15"/>
        <v>581.6</v>
      </c>
      <c r="J14" s="24">
        <f t="shared" si="15"/>
        <v>530.70000000000005</v>
      </c>
      <c r="K14" s="24">
        <f t="shared" si="15"/>
        <v>522</v>
      </c>
      <c r="L14" s="24">
        <f t="shared" si="15"/>
        <v>681.9</v>
      </c>
      <c r="M14" s="24">
        <f t="shared" si="15"/>
        <v>633.30000000000007</v>
      </c>
      <c r="N14" s="24">
        <f t="shared" si="15"/>
        <v>573</v>
      </c>
      <c r="O14" s="24">
        <f t="shared" si="15"/>
        <v>541.5</v>
      </c>
      <c r="P14" s="24">
        <f t="shared" si="15"/>
        <v>708.90000000000009</v>
      </c>
      <c r="R14" s="24">
        <f t="shared" ref="R14:X14" si="16">+SUM(R11+SUM(R13:R13))</f>
        <v>2210</v>
      </c>
      <c r="S14" s="24">
        <f t="shared" si="16"/>
        <v>2255.6000000000004</v>
      </c>
      <c r="T14" s="24">
        <f t="shared" si="16"/>
        <v>2316.2000000000003</v>
      </c>
      <c r="U14" s="24">
        <f t="shared" si="16"/>
        <v>2367.9</v>
      </c>
      <c r="V14" s="24">
        <f t="shared" si="16"/>
        <v>2410.2000000000003</v>
      </c>
      <c r="W14" s="24">
        <f t="shared" si="16"/>
        <v>2429.6999999999998</v>
      </c>
      <c r="X14" s="24">
        <f t="shared" si="16"/>
        <v>2456.7000000000007</v>
      </c>
      <c r="Y14" s="39"/>
      <c r="Z14" s="69">
        <f>SUM(X14/T14)-1</f>
        <v>6.0659701234781371E-2</v>
      </c>
    </row>
    <row r="15" spans="1:26" ht="12.75" customHeight="1">
      <c r="B15" s="14" t="s">
        <v>32</v>
      </c>
      <c r="C15" s="15">
        <f t="shared" ref="C15:E15" si="17">C14/C11</f>
        <v>0.5232911392405063</v>
      </c>
      <c r="D15" s="15">
        <f t="shared" si="17"/>
        <v>0.55775685839032885</v>
      </c>
      <c r="E15" s="15">
        <f t="shared" si="17"/>
        <v>0.58755271690109945</v>
      </c>
      <c r="F15" s="25"/>
      <c r="G15" s="15">
        <f t="shared" ref="G15:P15" si="18">G14/G11</f>
        <v>0.53879212847771996</v>
      </c>
      <c r="H15" s="15">
        <f t="shared" si="18"/>
        <v>0.57935471838866093</v>
      </c>
      <c r="I15" s="15">
        <f t="shared" si="18"/>
        <v>0.55618246150903705</v>
      </c>
      <c r="J15" s="15">
        <f t="shared" si="18"/>
        <v>0.55281250000000004</v>
      </c>
      <c r="K15" s="15">
        <f t="shared" si="18"/>
        <v>0.5561474536543789</v>
      </c>
      <c r="L15" s="15">
        <f t="shared" si="18"/>
        <v>0.61349527665317138</v>
      </c>
      <c r="M15" s="15">
        <f t="shared" si="18"/>
        <v>0.59621540199585765</v>
      </c>
      <c r="N15" s="15">
        <f t="shared" si="18"/>
        <v>0.57890482925843589</v>
      </c>
      <c r="O15" s="15">
        <f t="shared" si="18"/>
        <v>0.57772324762616023</v>
      </c>
      <c r="P15" s="15">
        <f t="shared" si="18"/>
        <v>0.61675656864451023</v>
      </c>
      <c r="Q15" s="26"/>
      <c r="R15" s="15">
        <f t="shared" ref="R15:X15" si="19">R14/R11</f>
        <v>0.55775685839032885</v>
      </c>
      <c r="S15" s="15">
        <f t="shared" si="19"/>
        <v>0.56155550576343771</v>
      </c>
      <c r="T15" s="15">
        <f t="shared" si="19"/>
        <v>0.57108338675477099</v>
      </c>
      <c r="U15" s="15">
        <f t="shared" si="19"/>
        <v>0.58146501976769882</v>
      </c>
      <c r="V15" s="15">
        <f t="shared" si="19"/>
        <v>0.58755271690109945</v>
      </c>
      <c r="W15" s="15">
        <f t="shared" si="19"/>
        <v>0.59249414748341778</v>
      </c>
      <c r="X15" s="15">
        <f t="shared" si="19"/>
        <v>0.59359219078454595</v>
      </c>
      <c r="Y15" s="39"/>
      <c r="Z15" s="70">
        <f>SUM(X15-T15)*1000</f>
        <v>22.508804029774954</v>
      </c>
    </row>
    <row r="16" spans="1:26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R16" s="28"/>
      <c r="S16" s="28"/>
      <c r="T16" s="28"/>
      <c r="U16" s="28"/>
      <c r="V16" s="28"/>
      <c r="W16" s="28"/>
      <c r="X16" s="28"/>
      <c r="Y16" s="39"/>
      <c r="Z16" s="68"/>
    </row>
    <row r="17" spans="2:26" ht="12.75" customHeight="1">
      <c r="B17" s="9" t="s">
        <v>130</v>
      </c>
      <c r="C17" s="76">
        <v>-1009.5</v>
      </c>
      <c r="D17" s="76">
        <v>-1173.2</v>
      </c>
      <c r="E17" s="76">
        <v>-1388.3</v>
      </c>
      <c r="F17" s="30"/>
      <c r="G17" s="76">
        <v>-241.4</v>
      </c>
      <c r="H17" s="76">
        <v>-302.8</v>
      </c>
      <c r="I17" s="76">
        <v>-307.8</v>
      </c>
      <c r="J17" s="30">
        <f t="shared" ref="J17:J18" si="20">SUM(D17-SUM(G17:I17))</f>
        <v>-321.20000000000005</v>
      </c>
      <c r="K17" s="76">
        <v>-295.60000000000002</v>
      </c>
      <c r="L17" s="76">
        <v>-356.2</v>
      </c>
      <c r="M17" s="76">
        <v>-363.5</v>
      </c>
      <c r="N17" s="30">
        <f t="shared" ref="N17:N18" si="21">SUM(E17-SUM(K17:M17))</f>
        <v>-373</v>
      </c>
      <c r="O17" s="76">
        <v>-318.60000000000002</v>
      </c>
      <c r="P17" s="76">
        <v>-398.2</v>
      </c>
      <c r="R17" s="30">
        <f t="shared" ref="R17:R18" si="22">SUM(G17:J17)</f>
        <v>-1173.2</v>
      </c>
      <c r="S17" s="30">
        <f t="shared" ref="S17:S18" si="23">SUM(H17:K17)</f>
        <v>-1227.4000000000001</v>
      </c>
      <c r="T17" s="30">
        <f t="shared" ref="T17:T18" si="24">SUM(I17:L17)</f>
        <v>-1280.8</v>
      </c>
      <c r="U17" s="30">
        <f t="shared" ref="U17:U18" si="25">SUM(J17:M17)</f>
        <v>-1336.5</v>
      </c>
      <c r="V17" s="30">
        <f t="shared" ref="V17:V18" si="26">SUM(K17:N17)</f>
        <v>-1388.3</v>
      </c>
      <c r="W17" s="30">
        <f t="shared" ref="W17:W18" si="27">SUM(L17:O17)</f>
        <v>-1411.3000000000002</v>
      </c>
      <c r="X17" s="30">
        <f t="shared" ref="X17:X18" si="28">SUM(M17:P17)</f>
        <v>-1453.3</v>
      </c>
      <c r="Y17" s="11"/>
      <c r="Z17" s="68">
        <f>SUM(X17/T17)-1</f>
        <v>0.13468144909431601</v>
      </c>
    </row>
    <row r="18" spans="2:26" ht="12.75" customHeight="1">
      <c r="B18" s="9" t="s">
        <v>135</v>
      </c>
      <c r="C18" s="76">
        <v>0</v>
      </c>
      <c r="D18" s="76">
        <v>0</v>
      </c>
      <c r="E18" s="76">
        <v>0</v>
      </c>
      <c r="F18" s="30"/>
      <c r="G18" s="76">
        <v>0</v>
      </c>
      <c r="H18" s="76">
        <v>0</v>
      </c>
      <c r="I18" s="76">
        <v>0</v>
      </c>
      <c r="J18" s="30">
        <f t="shared" si="20"/>
        <v>0</v>
      </c>
      <c r="K18" s="76">
        <v>0</v>
      </c>
      <c r="L18" s="76">
        <v>0</v>
      </c>
      <c r="M18" s="76">
        <v>0</v>
      </c>
      <c r="N18" s="30">
        <f t="shared" si="21"/>
        <v>0</v>
      </c>
      <c r="O18" s="76">
        <v>0</v>
      </c>
      <c r="P18" s="76">
        <v>-738.1</v>
      </c>
      <c r="R18" s="30">
        <f t="shared" si="22"/>
        <v>0</v>
      </c>
      <c r="S18" s="30">
        <f t="shared" si="23"/>
        <v>0</v>
      </c>
      <c r="T18" s="30">
        <f t="shared" si="24"/>
        <v>0</v>
      </c>
      <c r="U18" s="30">
        <f t="shared" si="25"/>
        <v>0</v>
      </c>
      <c r="V18" s="30">
        <f t="shared" si="26"/>
        <v>0</v>
      </c>
      <c r="W18" s="30">
        <f t="shared" si="27"/>
        <v>0</v>
      </c>
      <c r="X18" s="30">
        <f t="shared" si="28"/>
        <v>-738.1</v>
      </c>
      <c r="Y18" s="11"/>
      <c r="Z18" s="68" t="e">
        <f>SUM(X18/T18)-1</f>
        <v>#DIV/0!</v>
      </c>
    </row>
    <row r="19" spans="2:26" ht="12.75" customHeight="1">
      <c r="B19" s="23" t="s">
        <v>82</v>
      </c>
      <c r="C19" s="24">
        <f>+SUM(C14+SUM(C17:C18))</f>
        <v>850.8</v>
      </c>
      <c r="D19" s="24">
        <f>+SUM(D14+SUM(D17:D18))</f>
        <v>1036.8</v>
      </c>
      <c r="E19" s="24">
        <f>+SUM(E14+SUM(E17:E18))</f>
        <v>1021.9000000000003</v>
      </c>
      <c r="F19" s="30"/>
      <c r="G19" s="24">
        <f>+SUM(G14+SUM(G17:G18))</f>
        <v>235.00000000000003</v>
      </c>
      <c r="H19" s="24">
        <f>+SUM(H14+SUM(H17:H18))</f>
        <v>318.50000000000006</v>
      </c>
      <c r="I19" s="24">
        <f>+SUM(I14+SUM(I17:I18))</f>
        <v>273.8</v>
      </c>
      <c r="J19" s="24">
        <f>+SUM(J14+SUM(J17:J18))</f>
        <v>209.5</v>
      </c>
      <c r="K19" s="24">
        <f>+SUM(K14+SUM(K17:K18))</f>
        <v>226.39999999999998</v>
      </c>
      <c r="L19" s="24">
        <f>+SUM(L14+SUM(L17:L18))</f>
        <v>325.7</v>
      </c>
      <c r="M19" s="24">
        <f>+SUM(M14+SUM(M17:M18))</f>
        <v>269.80000000000007</v>
      </c>
      <c r="N19" s="24">
        <f>+SUM(N14+SUM(N17:N18))</f>
        <v>200</v>
      </c>
      <c r="O19" s="24">
        <f>+SUM(O14+SUM(O17:O18))</f>
        <v>222.89999999999998</v>
      </c>
      <c r="P19" s="24">
        <f>+SUM(P14+SUM(P17:P18))</f>
        <v>-427.39999999999986</v>
      </c>
      <c r="R19" s="24">
        <f>+SUM(R14+SUM(R17:R18))</f>
        <v>1036.8</v>
      </c>
      <c r="S19" s="24">
        <f>+SUM(S14+SUM(S17:S18))</f>
        <v>1028.2000000000003</v>
      </c>
      <c r="T19" s="24">
        <f>+SUM(T14+SUM(T17:T18))</f>
        <v>1035.4000000000003</v>
      </c>
      <c r="U19" s="24">
        <f>+SUM(U14+SUM(U17:U18))</f>
        <v>1031.4000000000001</v>
      </c>
      <c r="V19" s="24">
        <f>+SUM(V14+SUM(V17:V18))</f>
        <v>1021.9000000000003</v>
      </c>
      <c r="W19" s="24">
        <f>+SUM(W14+SUM(W17:W18))</f>
        <v>1018.3999999999996</v>
      </c>
      <c r="X19" s="24">
        <f>+SUM(X14+SUM(X17:X18))</f>
        <v>265.30000000000064</v>
      </c>
      <c r="Y19" s="11"/>
      <c r="Z19" s="69">
        <f>SUM(X19/T19)-1</f>
        <v>-0.74377052346919004</v>
      </c>
    </row>
    <row r="20" spans="2:26" ht="12.75" customHeight="1">
      <c r="B20" s="14" t="s">
        <v>34</v>
      </c>
      <c r="C20" s="15">
        <f>C19/C11</f>
        <v>0.23932489451476793</v>
      </c>
      <c r="D20" s="15">
        <f>D19/D11</f>
        <v>0.26166620397244023</v>
      </c>
      <c r="E20" s="15">
        <f>E19/E11</f>
        <v>0.24911630628214823</v>
      </c>
      <c r="F20" s="30"/>
      <c r="G20" s="15">
        <f>G19/G11</f>
        <v>0.26577697353539925</v>
      </c>
      <c r="H20" s="15">
        <f>H19/H11</f>
        <v>0.29699738903394257</v>
      </c>
      <c r="I20" s="15">
        <f>I19/I11</f>
        <v>0.26183417806254183</v>
      </c>
      <c r="J20" s="15">
        <f>J19/J11</f>
        <v>0.21822916666666667</v>
      </c>
      <c r="K20" s="15">
        <f>K19/K11</f>
        <v>0.24121031323247386</v>
      </c>
      <c r="L20" s="15">
        <f>L19/L11</f>
        <v>0.29302744039586143</v>
      </c>
      <c r="M20" s="15">
        <f>M19/M11</f>
        <v>0.25400112973074757</v>
      </c>
      <c r="N20" s="15">
        <f>N19/N11</f>
        <v>0.20206102242877344</v>
      </c>
      <c r="O20" s="15">
        <f>O19/O11</f>
        <v>0.23781073295636401</v>
      </c>
      <c r="P20" s="15">
        <f>P19/P11</f>
        <v>-0.37184618061597341</v>
      </c>
      <c r="R20" s="15">
        <f>R19/R11</f>
        <v>0.26166620397244023</v>
      </c>
      <c r="S20" s="15">
        <f>S19/S11</f>
        <v>0.25598127816366673</v>
      </c>
      <c r="T20" s="15">
        <f>T19/T11</f>
        <v>0.25528872232358607</v>
      </c>
      <c r="U20" s="15">
        <f>U19/U11</f>
        <v>0.25327210667190531</v>
      </c>
      <c r="V20" s="15">
        <f>V19/V11</f>
        <v>0.24911630628214823</v>
      </c>
      <c r="W20" s="15">
        <f>W19/W11</f>
        <v>0.24834178696839632</v>
      </c>
      <c r="X20" s="15">
        <f>X19/X11</f>
        <v>6.410225433107028E-2</v>
      </c>
      <c r="Y20" s="11"/>
      <c r="Z20" s="70">
        <f>SUM(X20-T20)*1000</f>
        <v>-191.18646799251579</v>
      </c>
    </row>
    <row r="21" spans="2:26" ht="5.0999999999999996" customHeight="1">
      <c r="B21" s="14"/>
      <c r="C21" s="15"/>
      <c r="D21" s="15"/>
      <c r="E21" s="15"/>
      <c r="F21" s="30"/>
      <c r="G21" s="76"/>
      <c r="H21" s="76"/>
      <c r="I21" s="76"/>
      <c r="J21" s="76"/>
      <c r="K21" s="76"/>
      <c r="L21" s="76"/>
      <c r="M21" s="76"/>
      <c r="N21" s="76"/>
      <c r="O21" s="76"/>
      <c r="P21" s="76"/>
      <c r="R21" s="30"/>
      <c r="S21" s="30"/>
      <c r="T21" s="30"/>
      <c r="U21" s="30"/>
      <c r="V21" s="30"/>
      <c r="W21" s="30"/>
      <c r="X21" s="30"/>
      <c r="Y21" s="11"/>
      <c r="Z21" s="68"/>
    </row>
    <row r="22" spans="2:26" ht="12.75" customHeight="1">
      <c r="B22" s="9" t="s">
        <v>136</v>
      </c>
      <c r="C22" s="76">
        <v>3.2</v>
      </c>
      <c r="D22" s="76">
        <v>-1.2</v>
      </c>
      <c r="E22" s="76">
        <v>-6.8</v>
      </c>
      <c r="F22" s="30"/>
      <c r="G22" s="76">
        <v>-0.4</v>
      </c>
      <c r="H22" s="76">
        <v>0.6</v>
      </c>
      <c r="I22" s="76">
        <v>-1.8</v>
      </c>
      <c r="J22" s="30">
        <f t="shared" ref="J22:J25" si="29">SUM(D22-SUM(G22:I22))</f>
        <v>0.40000000000000013</v>
      </c>
      <c r="K22" s="76">
        <v>-2.2999999999999998</v>
      </c>
      <c r="L22" s="76">
        <v>-1.3</v>
      </c>
      <c r="M22" s="76">
        <v>-0.3</v>
      </c>
      <c r="N22" s="30">
        <f t="shared" ref="N22:N25" si="30">SUM(E22-SUM(K22:M22))</f>
        <v>-2.9000000000000004</v>
      </c>
      <c r="O22" s="76">
        <v>4.9000000000000004</v>
      </c>
      <c r="P22" s="76">
        <v>0.4</v>
      </c>
      <c r="R22" s="30">
        <f t="shared" ref="R22" si="31">SUM(G22:J22)</f>
        <v>-1.2</v>
      </c>
      <c r="S22" s="30">
        <f t="shared" ref="S22" si="32">SUM(H22:K22)</f>
        <v>-3.0999999999999996</v>
      </c>
      <c r="T22" s="30">
        <f t="shared" ref="T22" si="33">SUM(I22:L22)</f>
        <v>-5</v>
      </c>
      <c r="U22" s="30">
        <f t="shared" ref="U22" si="34">SUM(J22:M22)</f>
        <v>-3.4999999999999996</v>
      </c>
      <c r="V22" s="30">
        <f t="shared" ref="V22" si="35">SUM(K22:N22)</f>
        <v>-6.8</v>
      </c>
      <c r="W22" s="30">
        <f t="shared" ref="W22" si="36">SUM(L22:O22)</f>
        <v>0.40000000000000036</v>
      </c>
      <c r="X22" s="30">
        <f t="shared" ref="X22" si="37">SUM(M22:P22)</f>
        <v>2.1</v>
      </c>
      <c r="Y22" s="11"/>
      <c r="Z22" s="68">
        <f>SUM(X22/T22)-1</f>
        <v>-1.42</v>
      </c>
    </row>
    <row r="23" spans="2:26" ht="12.75" customHeight="1">
      <c r="B23" s="9" t="s">
        <v>118</v>
      </c>
      <c r="C23" s="76">
        <v>1</v>
      </c>
      <c r="D23" s="76">
        <v>2.4</v>
      </c>
      <c r="E23" s="76">
        <v>3.5</v>
      </c>
      <c r="F23" s="30"/>
      <c r="G23" s="76">
        <v>0.2</v>
      </c>
      <c r="H23" s="76">
        <v>0.5</v>
      </c>
      <c r="I23" s="76">
        <v>0.5</v>
      </c>
      <c r="J23" s="30">
        <f t="shared" si="29"/>
        <v>1.2</v>
      </c>
      <c r="K23" s="76">
        <v>0.4</v>
      </c>
      <c r="L23" s="76">
        <v>1.1000000000000001</v>
      </c>
      <c r="M23" s="76">
        <v>1.4</v>
      </c>
      <c r="N23" s="30">
        <f t="shared" si="30"/>
        <v>0.60000000000000009</v>
      </c>
      <c r="O23" s="76">
        <v>0.3</v>
      </c>
      <c r="P23" s="76">
        <v>0.4</v>
      </c>
      <c r="R23" s="30">
        <f t="shared" ref="R23:R25" si="38">SUM(G23:J23)</f>
        <v>2.4</v>
      </c>
      <c r="S23" s="30">
        <f t="shared" ref="S23:S25" si="39">SUM(H23:K23)</f>
        <v>2.6</v>
      </c>
      <c r="T23" s="30">
        <f t="shared" ref="T23:T25" si="40">SUM(I23:L23)</f>
        <v>3.2</v>
      </c>
      <c r="U23" s="30">
        <f t="shared" ref="U23:U25" si="41">SUM(J23:M23)</f>
        <v>4.0999999999999996</v>
      </c>
      <c r="V23" s="30">
        <f t="shared" ref="V23:V25" si="42">SUM(K23:N23)</f>
        <v>3.5</v>
      </c>
      <c r="W23" s="30">
        <f t="shared" ref="W23:W25" si="43">SUM(L23:O23)</f>
        <v>3.4</v>
      </c>
      <c r="X23" s="30">
        <f t="shared" ref="X23:X25" si="44">SUM(M23:P23)</f>
        <v>2.6999999999999997</v>
      </c>
      <c r="Y23" s="11"/>
      <c r="Z23" s="68">
        <f t="shared" ref="Z23:Z25" si="45">SUM(X23/T23)-1</f>
        <v>-0.15625000000000011</v>
      </c>
    </row>
    <row r="24" spans="2:26" ht="12.75" customHeight="1">
      <c r="B24" s="9" t="s">
        <v>119</v>
      </c>
      <c r="C24" s="76">
        <v>-136.19999999999999</v>
      </c>
      <c r="D24" s="76">
        <v>-161.4</v>
      </c>
      <c r="E24" s="76">
        <v>-109.3</v>
      </c>
      <c r="F24" s="30"/>
      <c r="G24" s="76">
        <v>-42.6</v>
      </c>
      <c r="H24" s="76">
        <v>-43.1</v>
      </c>
      <c r="I24" s="76">
        <v>-39.200000000000003</v>
      </c>
      <c r="J24" s="30">
        <f t="shared" si="29"/>
        <v>-36.5</v>
      </c>
      <c r="K24" s="76">
        <v>-30.6</v>
      </c>
      <c r="L24" s="76">
        <v>-29.2</v>
      </c>
      <c r="M24" s="76">
        <v>-26.2</v>
      </c>
      <c r="N24" s="30">
        <f t="shared" si="30"/>
        <v>-23.299999999999997</v>
      </c>
      <c r="O24" s="76">
        <v>-22.8</v>
      </c>
      <c r="P24" s="76">
        <v>-22.5</v>
      </c>
      <c r="R24" s="30">
        <f t="shared" si="38"/>
        <v>-161.4</v>
      </c>
      <c r="S24" s="30">
        <f t="shared" si="39"/>
        <v>-149.4</v>
      </c>
      <c r="T24" s="30">
        <f t="shared" si="40"/>
        <v>-135.5</v>
      </c>
      <c r="U24" s="30">
        <f t="shared" si="41"/>
        <v>-122.5</v>
      </c>
      <c r="V24" s="30">
        <f t="shared" si="42"/>
        <v>-109.3</v>
      </c>
      <c r="W24" s="30">
        <f t="shared" si="43"/>
        <v>-101.49999999999999</v>
      </c>
      <c r="X24" s="30">
        <f t="shared" si="44"/>
        <v>-94.8</v>
      </c>
      <c r="Y24" s="11"/>
      <c r="Z24" s="68">
        <f t="shared" si="45"/>
        <v>-0.30036900369003694</v>
      </c>
    </row>
    <row r="25" spans="2:26" ht="12.75" customHeight="1">
      <c r="B25" s="9" t="s">
        <v>120</v>
      </c>
      <c r="C25" s="76">
        <v>-0.3</v>
      </c>
      <c r="D25" s="76">
        <v>-0.3</v>
      </c>
      <c r="E25" s="76">
        <v>1.2</v>
      </c>
      <c r="F25" s="30"/>
      <c r="G25" s="76">
        <v>-0.3</v>
      </c>
      <c r="H25" s="76">
        <v>0.7</v>
      </c>
      <c r="I25" s="76">
        <v>0</v>
      </c>
      <c r="J25" s="30">
        <f t="shared" si="29"/>
        <v>-0.7</v>
      </c>
      <c r="K25" s="76">
        <v>0</v>
      </c>
      <c r="L25" s="76">
        <v>0</v>
      </c>
      <c r="M25" s="76">
        <v>0.2</v>
      </c>
      <c r="N25" s="30">
        <f t="shared" si="30"/>
        <v>1</v>
      </c>
      <c r="O25" s="76">
        <v>-0.5</v>
      </c>
      <c r="P25" s="76">
        <v>0.6</v>
      </c>
      <c r="R25" s="30">
        <f t="shared" si="38"/>
        <v>-0.3</v>
      </c>
      <c r="S25" s="30">
        <f t="shared" si="39"/>
        <v>0</v>
      </c>
      <c r="T25" s="30">
        <f t="shared" si="40"/>
        <v>-0.7</v>
      </c>
      <c r="U25" s="30">
        <f t="shared" si="41"/>
        <v>-0.49999999999999994</v>
      </c>
      <c r="V25" s="30">
        <f t="shared" si="42"/>
        <v>1.2</v>
      </c>
      <c r="W25" s="30">
        <f t="shared" si="43"/>
        <v>0.7</v>
      </c>
      <c r="X25" s="30">
        <f t="shared" si="44"/>
        <v>1.2999999999999998</v>
      </c>
      <c r="Y25" s="11"/>
      <c r="Z25" s="68">
        <f t="shared" si="45"/>
        <v>-2.8571428571428568</v>
      </c>
    </row>
    <row r="26" spans="2:26" ht="12.75" customHeight="1">
      <c r="B26" s="23" t="s">
        <v>113</v>
      </c>
      <c r="C26" s="24">
        <f>SUM(C22:C25)+C19</f>
        <v>718.5</v>
      </c>
      <c r="D26" s="24">
        <f t="shared" ref="D26:E26" si="46">SUM(D22:D25)+D19</f>
        <v>876.3</v>
      </c>
      <c r="E26" s="24">
        <f t="shared" si="46"/>
        <v>910.50000000000034</v>
      </c>
      <c r="F26" s="30"/>
      <c r="G26" s="24">
        <f t="shared" ref="G26" si="47">SUM(G22:G25)+G19</f>
        <v>191.90000000000003</v>
      </c>
      <c r="H26" s="24">
        <f t="shared" ref="H26" si="48">SUM(H22:H25)+H19</f>
        <v>277.20000000000005</v>
      </c>
      <c r="I26" s="24">
        <f t="shared" ref="I26" si="49">SUM(I22:I25)+I19</f>
        <v>233.3</v>
      </c>
      <c r="J26" s="24">
        <f t="shared" ref="J26" si="50">SUM(J22:J25)+J19</f>
        <v>173.9</v>
      </c>
      <c r="K26" s="24">
        <f t="shared" ref="K26" si="51">SUM(K22:K25)+K19</f>
        <v>193.89999999999998</v>
      </c>
      <c r="L26" s="24">
        <f t="shared" ref="L26" si="52">SUM(L22:L25)+L19</f>
        <v>296.3</v>
      </c>
      <c r="M26" s="24">
        <f t="shared" ref="M26" si="53">SUM(M22:M25)+M19</f>
        <v>244.90000000000006</v>
      </c>
      <c r="N26" s="24">
        <f t="shared" ref="N26" si="54">SUM(N22:N25)+N19</f>
        <v>175.4</v>
      </c>
      <c r="O26" s="24">
        <f t="shared" ref="O26" si="55">SUM(O22:O25)+O19</f>
        <v>204.79999999999998</v>
      </c>
      <c r="P26" s="24">
        <f t="shared" ref="P26" si="56">SUM(P22:P25)+P19</f>
        <v>-448.49999999999989</v>
      </c>
      <c r="R26" s="24">
        <f t="shared" ref="R26" si="57">SUM(R22:R25)+R19</f>
        <v>876.3</v>
      </c>
      <c r="S26" s="24">
        <f t="shared" ref="S26" si="58">SUM(S22:S25)+S19</f>
        <v>878.3000000000003</v>
      </c>
      <c r="T26" s="24">
        <f t="shared" ref="T26" si="59">SUM(T22:T25)+T19</f>
        <v>897.40000000000032</v>
      </c>
      <c r="U26" s="24">
        <f t="shared" ref="U26" si="60">SUM(U22:U25)+U19</f>
        <v>909.00000000000011</v>
      </c>
      <c r="V26" s="24">
        <f t="shared" ref="V26" si="61">SUM(V22:V25)+V19</f>
        <v>910.50000000000034</v>
      </c>
      <c r="W26" s="24">
        <f t="shared" ref="W26" si="62">SUM(W22:W25)+W19</f>
        <v>921.39999999999964</v>
      </c>
      <c r="X26" s="24">
        <f t="shared" ref="X26" si="63">SUM(X22:X25)+X19</f>
        <v>176.60000000000065</v>
      </c>
      <c r="Y26" s="11"/>
      <c r="Z26" s="68">
        <f>SUM(X26/T26)-1</f>
        <v>-0.80320927122799135</v>
      </c>
    </row>
    <row r="27" spans="2:26" ht="12.75" customHeight="1">
      <c r="B27" s="14" t="s">
        <v>83</v>
      </c>
      <c r="C27" s="15">
        <f>C26/C11</f>
        <v>0.20210970464135022</v>
      </c>
      <c r="D27" s="15">
        <f>D26/D11</f>
        <v>0.22115942760517879</v>
      </c>
      <c r="E27" s="15">
        <f>E26/E11</f>
        <v>0.2219594841666464</v>
      </c>
      <c r="F27" s="25"/>
      <c r="G27" s="15">
        <f>G26/G11</f>
        <v>0.2170323456231622</v>
      </c>
      <c r="H27" s="15">
        <f>H26/H11</f>
        <v>0.25848563968668409</v>
      </c>
      <c r="I27" s="15">
        <f>I26/I11</f>
        <v>0.22310414076695037</v>
      </c>
      <c r="J27" s="15">
        <f>J26/J11</f>
        <v>0.18114583333333334</v>
      </c>
      <c r="K27" s="15">
        <f>K26/K11</f>
        <v>0.20658427445131045</v>
      </c>
      <c r="L27" s="15">
        <f>L26/L11</f>
        <v>0.26657669815564555</v>
      </c>
      <c r="M27" s="15">
        <f>M26/M11</f>
        <v>0.23055921672001511</v>
      </c>
      <c r="N27" s="15">
        <f>N26/N11</f>
        <v>0.17720751667003432</v>
      </c>
      <c r="O27" s="15">
        <f>O26/O11</f>
        <v>0.21849994665528646</v>
      </c>
      <c r="P27" s="15">
        <f>P26/P11</f>
        <v>-0.39020358447885839</v>
      </c>
      <c r="R27" s="15">
        <f>R26/R11</f>
        <v>0.22115942760517879</v>
      </c>
      <c r="S27" s="15">
        <f>S26/S11</f>
        <v>0.21866208579181923</v>
      </c>
      <c r="T27" s="15">
        <f>T26/T11</f>
        <v>0.22126337590610984</v>
      </c>
      <c r="U27" s="15">
        <f>U26/U11</f>
        <v>0.22321538197087643</v>
      </c>
      <c r="V27" s="15">
        <f>V26/V11</f>
        <v>0.2219594841666464</v>
      </c>
      <c r="W27" s="15">
        <f>W26/W11</f>
        <v>0.22468786578228628</v>
      </c>
      <c r="X27" s="15">
        <f>X26/X11</f>
        <v>4.2670403749969943E-2</v>
      </c>
      <c r="Y27" s="40"/>
      <c r="Z27" s="70">
        <f>SUM(X27-T27)*1000</f>
        <v>-178.59297215613989</v>
      </c>
    </row>
    <row r="28" spans="2:26" ht="5.0999999999999996" customHeight="1">
      <c r="B28" s="9"/>
      <c r="C28" s="76"/>
      <c r="D28" s="76"/>
      <c r="E28" s="76"/>
      <c r="F28" s="30"/>
      <c r="G28" s="76"/>
      <c r="H28" s="76"/>
      <c r="I28" s="76"/>
      <c r="J28" s="30"/>
      <c r="K28" s="76"/>
      <c r="L28" s="76"/>
      <c r="M28" s="76"/>
      <c r="N28" s="30"/>
      <c r="O28" s="76"/>
      <c r="P28" s="76"/>
      <c r="R28" s="30"/>
      <c r="S28" s="30"/>
      <c r="T28" s="30"/>
      <c r="U28" s="30"/>
      <c r="V28" s="30"/>
      <c r="W28" s="30"/>
      <c r="X28" s="30"/>
      <c r="Y28" s="11"/>
      <c r="Z28" s="68"/>
    </row>
    <row r="29" spans="2:26" ht="12.75" customHeight="1">
      <c r="B29" s="9" t="s">
        <v>88</v>
      </c>
      <c r="C29" s="76">
        <v>-178.3</v>
      </c>
      <c r="D29" s="76">
        <v>-83.7</v>
      </c>
      <c r="E29" s="76">
        <v>39.5</v>
      </c>
      <c r="F29" s="30"/>
      <c r="G29" s="76">
        <v>-42.2</v>
      </c>
      <c r="H29" s="76">
        <v>-64.8</v>
      </c>
      <c r="I29" s="76">
        <v>-56.4</v>
      </c>
      <c r="J29" s="30">
        <f t="shared" ref="J29" si="64">SUM(D29-SUM(G29:I29))</f>
        <v>79.7</v>
      </c>
      <c r="K29" s="76">
        <v>-41.6</v>
      </c>
      <c r="L29" s="76">
        <v>-67.5</v>
      </c>
      <c r="M29" s="76">
        <v>-45.1</v>
      </c>
      <c r="N29" s="30">
        <f t="shared" ref="N29" si="65">SUM(E29-SUM(K29:M29))</f>
        <v>193.7</v>
      </c>
      <c r="O29" s="76">
        <v>-44.8</v>
      </c>
      <c r="P29" s="76">
        <v>-43.7</v>
      </c>
      <c r="R29" s="30">
        <f t="shared" ref="R29" si="66">SUM(G29:J29)</f>
        <v>-83.7</v>
      </c>
      <c r="S29" s="30">
        <f t="shared" ref="S29" si="67">SUM(H29:K29)</f>
        <v>-83.1</v>
      </c>
      <c r="T29" s="30">
        <f t="shared" ref="T29" si="68">SUM(I29:L29)</f>
        <v>-85.8</v>
      </c>
      <c r="U29" s="30">
        <f t="shared" ref="U29" si="69">SUM(J29:M29)</f>
        <v>-74.5</v>
      </c>
      <c r="V29" s="30">
        <f t="shared" ref="V29" si="70">SUM(K29:N29)</f>
        <v>39.5</v>
      </c>
      <c r="W29" s="30">
        <f t="shared" ref="W29" si="71">SUM(L29:O29)</f>
        <v>36.299999999999997</v>
      </c>
      <c r="X29" s="30">
        <f>SUM(M29:P29)</f>
        <v>60.099999999999994</v>
      </c>
      <c r="Y29" s="11"/>
      <c r="Z29" s="68">
        <f>SUM(X29/T29)-1</f>
        <v>-1.7004662004662006</v>
      </c>
    </row>
    <row r="30" spans="2:26" ht="12.75" customHeight="1">
      <c r="B30" s="12" t="s">
        <v>51</v>
      </c>
      <c r="C30" s="13">
        <f>SUM(C26+SUM(C29:C29))</f>
        <v>540.20000000000005</v>
      </c>
      <c r="D30" s="13">
        <f>SUM(D26+SUM(D29:D29))</f>
        <v>792.59999999999991</v>
      </c>
      <c r="E30" s="13">
        <f>SUM(E26+SUM(E29:E29))</f>
        <v>950.00000000000034</v>
      </c>
      <c r="G30" s="13">
        <f t="shared" ref="G30:P30" si="72">SUM(G26+SUM(G29:G29))</f>
        <v>149.70000000000005</v>
      </c>
      <c r="H30" s="13">
        <f t="shared" si="72"/>
        <v>212.40000000000003</v>
      </c>
      <c r="I30" s="13">
        <f t="shared" si="72"/>
        <v>176.9</v>
      </c>
      <c r="J30" s="13">
        <f t="shared" si="72"/>
        <v>253.60000000000002</v>
      </c>
      <c r="K30" s="13">
        <f t="shared" si="72"/>
        <v>152.29999999999998</v>
      </c>
      <c r="L30" s="13">
        <f t="shared" si="72"/>
        <v>228.8</v>
      </c>
      <c r="M30" s="13">
        <f t="shared" si="72"/>
        <v>199.80000000000007</v>
      </c>
      <c r="N30" s="13">
        <f t="shared" si="72"/>
        <v>369.1</v>
      </c>
      <c r="O30" s="13">
        <f t="shared" si="72"/>
        <v>160</v>
      </c>
      <c r="P30" s="13">
        <f t="shared" si="72"/>
        <v>-492.19999999999987</v>
      </c>
      <c r="R30" s="13">
        <f t="shared" ref="R30:X30" si="73">SUM(R26+SUM(R29:R29))</f>
        <v>792.59999999999991</v>
      </c>
      <c r="S30" s="13">
        <f t="shared" si="73"/>
        <v>795.20000000000027</v>
      </c>
      <c r="T30" s="13">
        <f t="shared" si="73"/>
        <v>811.60000000000036</v>
      </c>
      <c r="U30" s="13">
        <f t="shared" si="73"/>
        <v>834.50000000000011</v>
      </c>
      <c r="V30" s="13">
        <f t="shared" si="73"/>
        <v>950.00000000000034</v>
      </c>
      <c r="W30" s="13">
        <f t="shared" si="73"/>
        <v>957.69999999999959</v>
      </c>
      <c r="X30" s="13">
        <f t="shared" si="73"/>
        <v>236.70000000000064</v>
      </c>
      <c r="Y30" s="39"/>
      <c r="Z30" s="69">
        <f>SUM(X30/T30)-1</f>
        <v>-0.70835386890093577</v>
      </c>
    </row>
    <row r="31" spans="2:26" ht="12.75" customHeight="1">
      <c r="B31" s="14" t="s">
        <v>65</v>
      </c>
      <c r="C31" s="15">
        <f>C30/C11</f>
        <v>0.15195499296765122</v>
      </c>
      <c r="D31" s="15">
        <f>D30/D11</f>
        <v>0.20003533301365364</v>
      </c>
      <c r="E31" s="15">
        <f>E30/E11</f>
        <v>0.23158869847151464</v>
      </c>
      <c r="F31" s="25"/>
      <c r="G31" s="15">
        <f>G30/G11</f>
        <v>0.16930558697127351</v>
      </c>
      <c r="H31" s="15">
        <f>H30/H11</f>
        <v>0.19806042521447223</v>
      </c>
      <c r="I31" s="15">
        <f>I30/I11</f>
        <v>0.16916897771827483</v>
      </c>
      <c r="J31" s="15">
        <f>J30/J11</f>
        <v>0.26416666666666672</v>
      </c>
      <c r="K31" s="15">
        <f>K30/K11</f>
        <v>0.16226294481142126</v>
      </c>
      <c r="L31" s="15">
        <f>L30/L11</f>
        <v>0.20584795321637428</v>
      </c>
      <c r="M31" s="15">
        <f>M30/M11</f>
        <v>0.18810016945961219</v>
      </c>
      <c r="N31" s="15">
        <f>N30/N11</f>
        <v>0.37290361689230145</v>
      </c>
      <c r="O31" s="15">
        <f>O30/O11</f>
        <v>0.17070308332444256</v>
      </c>
      <c r="P31" s="15">
        <f>P30/P11</f>
        <v>-0.42822342091526</v>
      </c>
      <c r="R31" s="15">
        <f>R30/R11</f>
        <v>0.20003533301365364</v>
      </c>
      <c r="S31" s="15">
        <f>S30/S11</f>
        <v>0.19797346080115524</v>
      </c>
      <c r="T31" s="15">
        <f>T30/T11</f>
        <v>0.20010848661176595</v>
      </c>
      <c r="U31" s="15">
        <f>U30/U11</f>
        <v>0.20492105198536456</v>
      </c>
      <c r="V31" s="15">
        <f>V30/V11</f>
        <v>0.23158869847151464</v>
      </c>
      <c r="W31" s="15">
        <f>W30/W11</f>
        <v>0.23353979711275838</v>
      </c>
      <c r="X31" s="15">
        <f>X30/X11</f>
        <v>5.7191871843815835E-2</v>
      </c>
      <c r="Y31" s="40"/>
      <c r="Z31" s="70">
        <f>SUM(X31-T31)*1000</f>
        <v>-142.91661476795011</v>
      </c>
    </row>
    <row r="32" spans="2:26" ht="5.0999999999999996" customHeight="1">
      <c r="B32" s="14"/>
      <c r="C32" s="15"/>
      <c r="D32" s="15"/>
      <c r="E32" s="15"/>
      <c r="F32" s="2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26"/>
      <c r="R32" s="15"/>
      <c r="S32" s="15"/>
      <c r="T32" s="15"/>
      <c r="U32" s="15"/>
      <c r="V32" s="15"/>
      <c r="W32" s="15"/>
      <c r="X32" s="15"/>
      <c r="Y32" s="40"/>
      <c r="Z32" s="70"/>
    </row>
    <row r="33" spans="1:26" ht="12.75" customHeight="1">
      <c r="B33" s="41" t="s">
        <v>66</v>
      </c>
      <c r="C33" s="76"/>
      <c r="D33" s="76"/>
      <c r="E33" s="76"/>
      <c r="F33" s="25"/>
      <c r="G33" s="76"/>
      <c r="H33" s="76"/>
      <c r="I33" s="76"/>
      <c r="J33" s="30">
        <f>D33</f>
        <v>0</v>
      </c>
      <c r="K33" s="76"/>
      <c r="L33" s="76"/>
      <c r="M33" s="76"/>
      <c r="N33" s="30">
        <f>E33</f>
        <v>0</v>
      </c>
      <c r="O33" s="76"/>
      <c r="P33" s="76"/>
      <c r="Q33" s="30"/>
      <c r="R33" s="30">
        <f t="shared" ref="R33:W33" si="74">J33</f>
        <v>0</v>
      </c>
      <c r="S33" s="30">
        <f t="shared" si="74"/>
        <v>0</v>
      </c>
      <c r="T33" s="30">
        <f t="shared" si="74"/>
        <v>0</v>
      </c>
      <c r="U33" s="30">
        <f t="shared" si="74"/>
        <v>0</v>
      </c>
      <c r="V33" s="30">
        <f t="shared" si="74"/>
        <v>0</v>
      </c>
      <c r="W33" s="30">
        <f t="shared" si="74"/>
        <v>0</v>
      </c>
      <c r="X33" s="30">
        <f>P33</f>
        <v>0</v>
      </c>
      <c r="Y33" s="40"/>
      <c r="Z33" s="68" t="e">
        <f>SUM(X33/T33)-1</f>
        <v>#DIV/0!</v>
      </c>
    </row>
    <row r="34" spans="1:26" ht="12.75" customHeight="1">
      <c r="B34" s="12" t="s">
        <v>67</v>
      </c>
      <c r="C34" s="71" t="e">
        <f t="shared" ref="C34:E34" si="75">C30/C33</f>
        <v>#DIV/0!</v>
      </c>
      <c r="D34" s="71" t="e">
        <f t="shared" si="75"/>
        <v>#DIV/0!</v>
      </c>
      <c r="E34" s="71" t="e">
        <f t="shared" si="75"/>
        <v>#DIV/0!</v>
      </c>
      <c r="F34" s="11"/>
      <c r="G34" s="71" t="e">
        <f t="shared" ref="G34:P34" si="76">G30/G33</f>
        <v>#DIV/0!</v>
      </c>
      <c r="H34" s="71" t="e">
        <f t="shared" si="76"/>
        <v>#DIV/0!</v>
      </c>
      <c r="I34" s="71" t="e">
        <f t="shared" si="76"/>
        <v>#DIV/0!</v>
      </c>
      <c r="J34" s="71" t="e">
        <f t="shared" si="76"/>
        <v>#DIV/0!</v>
      </c>
      <c r="K34" s="71" t="e">
        <f t="shared" si="76"/>
        <v>#DIV/0!</v>
      </c>
      <c r="L34" s="71" t="e">
        <f t="shared" si="76"/>
        <v>#DIV/0!</v>
      </c>
      <c r="M34" s="71" t="e">
        <f t="shared" si="76"/>
        <v>#DIV/0!</v>
      </c>
      <c r="N34" s="71" t="e">
        <f t="shared" si="76"/>
        <v>#DIV/0!</v>
      </c>
      <c r="O34" s="71" t="e">
        <f t="shared" si="76"/>
        <v>#DIV/0!</v>
      </c>
      <c r="P34" s="71" t="e">
        <f t="shared" si="76"/>
        <v>#DIV/0!</v>
      </c>
      <c r="Q34" s="30"/>
      <c r="R34" s="71" t="e">
        <f t="shared" ref="R34:X34" si="77">R30/R33</f>
        <v>#DIV/0!</v>
      </c>
      <c r="S34" s="71" t="e">
        <f t="shared" si="77"/>
        <v>#DIV/0!</v>
      </c>
      <c r="T34" s="71" t="e">
        <f t="shared" si="77"/>
        <v>#DIV/0!</v>
      </c>
      <c r="U34" s="71" t="e">
        <f t="shared" si="77"/>
        <v>#DIV/0!</v>
      </c>
      <c r="V34" s="71" t="e">
        <f t="shared" si="77"/>
        <v>#DIV/0!</v>
      </c>
      <c r="W34" s="71" t="e">
        <f t="shared" si="77"/>
        <v>#DIV/0!</v>
      </c>
      <c r="X34" s="71" t="e">
        <f t="shared" si="77"/>
        <v>#DIV/0!</v>
      </c>
      <c r="Y34" s="33"/>
      <c r="Z34" s="69" t="e">
        <f>SUM(X34/T34)-1</f>
        <v>#DIV/0!</v>
      </c>
    </row>
    <row r="35" spans="1:26" ht="5.0999999999999996" customHeight="1">
      <c r="B35" s="14"/>
      <c r="C35" s="15"/>
      <c r="D35" s="15"/>
      <c r="E35" s="15"/>
      <c r="F35" s="2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6"/>
      <c r="R35" s="15"/>
      <c r="S35" s="15"/>
      <c r="T35" s="15"/>
      <c r="U35" s="15"/>
      <c r="V35" s="15"/>
      <c r="W35" s="15"/>
      <c r="X35" s="15"/>
      <c r="Y35" s="40"/>
      <c r="Z35" s="70"/>
    </row>
    <row r="36" spans="1:26" ht="12.75" customHeight="1">
      <c r="B36" s="41" t="s">
        <v>68</v>
      </c>
      <c r="C36" s="76"/>
      <c r="D36" s="76"/>
      <c r="E36" s="76"/>
      <c r="F36" s="25"/>
      <c r="G36" s="76"/>
      <c r="H36" s="76"/>
      <c r="I36" s="76"/>
      <c r="J36" s="30">
        <f>D36</f>
        <v>0</v>
      </c>
      <c r="K36" s="76"/>
      <c r="L36" s="76"/>
      <c r="M36" s="76"/>
      <c r="N36" s="30">
        <f>E36</f>
        <v>0</v>
      </c>
      <c r="O36" s="76"/>
      <c r="P36" s="76"/>
      <c r="Q36" s="30"/>
      <c r="R36" s="30">
        <f t="shared" ref="R36" si="78">J36</f>
        <v>0</v>
      </c>
      <c r="S36" s="30">
        <f t="shared" ref="S36" si="79">K36</f>
        <v>0</v>
      </c>
      <c r="T36" s="30">
        <f t="shared" ref="T36" si="80">L36</f>
        <v>0</v>
      </c>
      <c r="U36" s="30">
        <f t="shared" ref="U36" si="81">M36</f>
        <v>0</v>
      </c>
      <c r="V36" s="30">
        <f t="shared" ref="V36" si="82">N36</f>
        <v>0</v>
      </c>
      <c r="W36" s="30">
        <f t="shared" ref="W36" si="83">O36</f>
        <v>0</v>
      </c>
      <c r="X36" s="30">
        <f>P36</f>
        <v>0</v>
      </c>
      <c r="Y36" s="40"/>
      <c r="Z36" s="68" t="e">
        <f>SUM(X36/T36)-1</f>
        <v>#DIV/0!</v>
      </c>
    </row>
    <row r="37" spans="1:26" ht="12.75" customHeight="1">
      <c r="B37" s="12" t="s">
        <v>69</v>
      </c>
      <c r="C37" s="71" t="e">
        <f t="shared" ref="C37:E37" si="84">C30/C36</f>
        <v>#DIV/0!</v>
      </c>
      <c r="D37" s="71" t="e">
        <f t="shared" si="84"/>
        <v>#DIV/0!</v>
      </c>
      <c r="E37" s="71" t="e">
        <f t="shared" si="84"/>
        <v>#DIV/0!</v>
      </c>
      <c r="F37" s="25"/>
      <c r="G37" s="71" t="e">
        <f t="shared" ref="G37:P37" si="85">G30/G36</f>
        <v>#DIV/0!</v>
      </c>
      <c r="H37" s="71" t="e">
        <f t="shared" si="85"/>
        <v>#DIV/0!</v>
      </c>
      <c r="I37" s="71" t="e">
        <f t="shared" si="85"/>
        <v>#DIV/0!</v>
      </c>
      <c r="J37" s="71" t="e">
        <f t="shared" si="85"/>
        <v>#DIV/0!</v>
      </c>
      <c r="K37" s="71" t="e">
        <f t="shared" si="85"/>
        <v>#DIV/0!</v>
      </c>
      <c r="L37" s="71" t="e">
        <f t="shared" si="85"/>
        <v>#DIV/0!</v>
      </c>
      <c r="M37" s="71" t="e">
        <f t="shared" si="85"/>
        <v>#DIV/0!</v>
      </c>
      <c r="N37" s="71" t="e">
        <f t="shared" si="85"/>
        <v>#DIV/0!</v>
      </c>
      <c r="O37" s="71" t="e">
        <f t="shared" si="85"/>
        <v>#DIV/0!</v>
      </c>
      <c r="P37" s="71" t="e">
        <f t="shared" si="85"/>
        <v>#DIV/0!</v>
      </c>
      <c r="Q37" s="30"/>
      <c r="R37" s="71" t="e">
        <f t="shared" ref="R37:X37" si="86">R30/R36</f>
        <v>#DIV/0!</v>
      </c>
      <c r="S37" s="71" t="e">
        <f t="shared" si="86"/>
        <v>#DIV/0!</v>
      </c>
      <c r="T37" s="71" t="e">
        <f t="shared" si="86"/>
        <v>#DIV/0!</v>
      </c>
      <c r="U37" s="71" t="e">
        <f t="shared" si="86"/>
        <v>#DIV/0!</v>
      </c>
      <c r="V37" s="71" t="e">
        <f t="shared" si="86"/>
        <v>#DIV/0!</v>
      </c>
      <c r="W37" s="71" t="e">
        <f t="shared" si="86"/>
        <v>#DIV/0!</v>
      </c>
      <c r="X37" s="71" t="e">
        <f t="shared" si="86"/>
        <v>#DIV/0!</v>
      </c>
      <c r="Y37" s="33"/>
      <c r="Z37" s="69" t="e">
        <f>SUM(X37/T37)-1</f>
        <v>#DIV/0!</v>
      </c>
    </row>
    <row r="38" spans="1:26">
      <c r="B38" s="14"/>
      <c r="C38" s="15"/>
      <c r="D38" s="15"/>
      <c r="E38" s="76"/>
      <c r="F38" s="2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26"/>
      <c r="R38" s="15"/>
      <c r="S38" s="15"/>
      <c r="T38" s="15"/>
      <c r="U38" s="15"/>
      <c r="V38" s="15"/>
      <c r="W38" s="15"/>
      <c r="X38" s="15"/>
      <c r="Y38" s="40"/>
    </row>
    <row r="39" spans="1:26" ht="12.75" customHeight="1">
      <c r="A39" s="5" t="s">
        <v>18</v>
      </c>
      <c r="B39" s="91" t="s">
        <v>78</v>
      </c>
      <c r="C39" s="92" t="s">
        <v>0</v>
      </c>
      <c r="D39" s="92"/>
      <c r="E39" s="92"/>
      <c r="F39" s="93"/>
      <c r="G39" s="92"/>
      <c r="H39" s="92"/>
      <c r="I39" s="92"/>
      <c r="J39" s="92"/>
      <c r="K39" s="92"/>
      <c r="L39" s="92"/>
      <c r="M39" s="92" t="s">
        <v>1</v>
      </c>
      <c r="N39" s="92"/>
      <c r="O39" s="92"/>
      <c r="P39" s="92"/>
      <c r="Q39" s="91"/>
      <c r="R39" s="92"/>
      <c r="S39" s="92"/>
      <c r="T39" s="92" t="s">
        <v>10</v>
      </c>
      <c r="U39" s="92"/>
      <c r="V39" s="92"/>
      <c r="W39" s="92"/>
      <c r="X39" s="92"/>
      <c r="Y39" s="93"/>
      <c r="Z39" s="152" t="s">
        <v>24</v>
      </c>
    </row>
    <row r="40" spans="1:26" ht="12.75" customHeight="1">
      <c r="B40" s="95" t="str">
        <f>B7</f>
        <v>Fiscal Period</v>
      </c>
      <c r="C40" s="94">
        <f>C7</f>
        <v>2022</v>
      </c>
      <c r="D40" s="94">
        <f>D7</f>
        <v>2023</v>
      </c>
      <c r="E40" s="94">
        <f>E7</f>
        <v>2024</v>
      </c>
      <c r="F40" s="93"/>
      <c r="G40" s="94" t="str">
        <f>G7</f>
        <v>1Q23</v>
      </c>
      <c r="H40" s="94" t="str">
        <f>H7</f>
        <v>2Q23</v>
      </c>
      <c r="I40" s="94" t="str">
        <f>I7</f>
        <v>3Q23</v>
      </c>
      <c r="J40" s="94" t="str">
        <f>J7</f>
        <v>4Q23</v>
      </c>
      <c r="K40" s="94" t="str">
        <f>K7</f>
        <v>1Q24</v>
      </c>
      <c r="L40" s="94" t="str">
        <f>L7</f>
        <v>2Q24</v>
      </c>
      <c r="M40" s="94" t="str">
        <f>M7</f>
        <v>3Q24</v>
      </c>
      <c r="N40" s="94" t="str">
        <f>N7</f>
        <v>4Q24</v>
      </c>
      <c r="O40" s="94" t="str">
        <f>O7</f>
        <v>1Q25</v>
      </c>
      <c r="P40" s="94" t="str">
        <f>P7</f>
        <v>2Q25</v>
      </c>
      <c r="Q40" s="96"/>
      <c r="R40" s="94" t="str">
        <f>R7</f>
        <v>4Q23</v>
      </c>
      <c r="S40" s="94" t="str">
        <f>S7</f>
        <v>1Q24</v>
      </c>
      <c r="T40" s="94" t="str">
        <f>T7</f>
        <v>2Q24</v>
      </c>
      <c r="U40" s="94" t="str">
        <f>U7</f>
        <v>3Q24</v>
      </c>
      <c r="V40" s="94" t="str">
        <f>V7</f>
        <v>4Q24</v>
      </c>
      <c r="W40" s="94" t="str">
        <f>W7</f>
        <v>1Q25</v>
      </c>
      <c r="X40" s="94" t="str">
        <f>X7</f>
        <v>2Q25</v>
      </c>
      <c r="Y40" s="93"/>
      <c r="Z40" s="152"/>
    </row>
    <row r="41" spans="1:26" ht="12.75" customHeight="1">
      <c r="B41" s="95" t="str">
        <f>B8</f>
        <v>Fiscal Period End Date</v>
      </c>
      <c r="C41" s="97" t="str">
        <f>C8</f>
        <v>XXX</v>
      </c>
      <c r="D41" s="97" t="str">
        <f>D8</f>
        <v>XXX</v>
      </c>
      <c r="E41" s="97" t="str">
        <f>E8</f>
        <v>XXX</v>
      </c>
      <c r="F41" s="93"/>
      <c r="G41" s="97" t="str">
        <f>G8</f>
        <v>XXX</v>
      </c>
      <c r="H41" s="97" t="str">
        <f>H8</f>
        <v>XXX</v>
      </c>
      <c r="I41" s="97" t="str">
        <f>I8</f>
        <v>XXX</v>
      </c>
      <c r="J41" s="97" t="str">
        <f>J8</f>
        <v>XXX</v>
      </c>
      <c r="K41" s="97" t="str">
        <f>K8</f>
        <v>XXX</v>
      </c>
      <c r="L41" s="97" t="str">
        <f>L8</f>
        <v>XXX</v>
      </c>
      <c r="M41" s="97" t="str">
        <f>M8</f>
        <v>XXX</v>
      </c>
      <c r="N41" s="97" t="str">
        <f>N8</f>
        <v>XXX</v>
      </c>
      <c r="O41" s="97" t="str">
        <f>O8</f>
        <v>XXX</v>
      </c>
      <c r="P41" s="97" t="str">
        <f>P8</f>
        <v>XXX</v>
      </c>
      <c r="Q41" s="98"/>
      <c r="R41" s="97" t="str">
        <f>R8</f>
        <v>XXX</v>
      </c>
      <c r="S41" s="97" t="str">
        <f>S8</f>
        <v>XXX</v>
      </c>
      <c r="T41" s="97" t="str">
        <f>T8</f>
        <v>XXX</v>
      </c>
      <c r="U41" s="97" t="str">
        <f>U8</f>
        <v>XXX</v>
      </c>
      <c r="V41" s="97" t="str">
        <f>V8</f>
        <v>XXX</v>
      </c>
      <c r="W41" s="97" t="str">
        <f>W8</f>
        <v>XXX</v>
      </c>
      <c r="X41" s="97" t="str">
        <f>X8</f>
        <v>XXX</v>
      </c>
      <c r="Y41" s="93"/>
      <c r="Z41" s="152"/>
    </row>
    <row r="42" spans="1:26" ht="5.0999999999999996" customHeight="1">
      <c r="B42" s="43"/>
      <c r="C42" s="44"/>
      <c r="D42" s="44"/>
      <c r="E42" s="44"/>
    </row>
    <row r="43" spans="1:26">
      <c r="B43" s="72" t="s">
        <v>84</v>
      </c>
      <c r="C43" s="44"/>
      <c r="D43" s="44"/>
      <c r="E43" s="44"/>
    </row>
    <row r="44" spans="1:26" ht="12.75" customHeight="1">
      <c r="B44" s="9" t="s">
        <v>137</v>
      </c>
      <c r="C44" s="105">
        <v>191.6</v>
      </c>
      <c r="D44" s="105">
        <v>149.30000000000001</v>
      </c>
      <c r="E44" s="105">
        <v>180.5</v>
      </c>
      <c r="G44" s="105">
        <v>125.7</v>
      </c>
      <c r="H44" s="105">
        <v>166.2</v>
      </c>
      <c r="I44" s="105">
        <v>127.3</v>
      </c>
      <c r="J44" s="82">
        <f t="shared" ref="J44:J49" si="87">D44</f>
        <v>149.30000000000001</v>
      </c>
      <c r="K44" s="105">
        <v>159.30000000000001</v>
      </c>
      <c r="L44" s="105">
        <v>167.7</v>
      </c>
      <c r="M44" s="105">
        <v>186.1</v>
      </c>
      <c r="N44" s="82">
        <f t="shared" ref="N44:N49" si="88">E44</f>
        <v>180.5</v>
      </c>
      <c r="O44" s="105">
        <v>166.5</v>
      </c>
      <c r="P44" s="105">
        <v>200.6</v>
      </c>
      <c r="Q44" s="82"/>
      <c r="R44" s="30">
        <f t="shared" ref="R44:W49" si="89">J44</f>
        <v>149.30000000000001</v>
      </c>
      <c r="S44" s="30">
        <f t="shared" si="89"/>
        <v>159.30000000000001</v>
      </c>
      <c r="T44" s="30">
        <f t="shared" si="89"/>
        <v>167.7</v>
      </c>
      <c r="U44" s="30">
        <f t="shared" si="89"/>
        <v>186.1</v>
      </c>
      <c r="V44" s="30">
        <f t="shared" si="89"/>
        <v>180.5</v>
      </c>
      <c r="W44" s="30">
        <f t="shared" si="89"/>
        <v>166.5</v>
      </c>
      <c r="X44" s="30">
        <f>P44</f>
        <v>200.6</v>
      </c>
      <c r="Y44" s="11"/>
      <c r="Z44" s="68">
        <f>SUM(X44/T44)-1</f>
        <v>0.19618366129994036</v>
      </c>
    </row>
    <row r="45" spans="1:26" ht="12.75" customHeight="1">
      <c r="B45" s="9" t="s">
        <v>138</v>
      </c>
      <c r="C45" s="105">
        <v>295.60000000000002</v>
      </c>
      <c r="D45" s="105">
        <v>305.7</v>
      </c>
      <c r="E45" s="105">
        <v>257.7</v>
      </c>
      <c r="G45" s="105">
        <v>419</v>
      </c>
      <c r="H45" s="105">
        <v>409.6</v>
      </c>
      <c r="I45" s="105">
        <v>391.2</v>
      </c>
      <c r="J45" s="82">
        <f t="shared" si="87"/>
        <v>305.7</v>
      </c>
      <c r="K45" s="105">
        <v>481.5</v>
      </c>
      <c r="L45" s="105">
        <v>420.2</v>
      </c>
      <c r="M45" s="105">
        <v>361.7</v>
      </c>
      <c r="N45" s="82">
        <f t="shared" si="88"/>
        <v>257.7</v>
      </c>
      <c r="O45" s="105">
        <v>445.7</v>
      </c>
      <c r="P45" s="105">
        <v>417.4</v>
      </c>
      <c r="Q45" s="82"/>
      <c r="R45" s="30">
        <f t="shared" si="89"/>
        <v>305.7</v>
      </c>
      <c r="S45" s="30">
        <f t="shared" si="89"/>
        <v>481.5</v>
      </c>
      <c r="T45" s="30">
        <f t="shared" si="89"/>
        <v>420.2</v>
      </c>
      <c r="U45" s="30">
        <f t="shared" si="89"/>
        <v>361.7</v>
      </c>
      <c r="V45" s="30">
        <f t="shared" si="89"/>
        <v>257.7</v>
      </c>
      <c r="W45" s="30">
        <f t="shared" si="89"/>
        <v>445.7</v>
      </c>
      <c r="X45" s="30">
        <f t="shared" ref="X45" si="90">P45</f>
        <v>417.4</v>
      </c>
      <c r="Y45" s="11"/>
      <c r="Z45" s="68">
        <f>SUM(X45/T45)-1</f>
        <v>-6.6634935744883661E-3</v>
      </c>
    </row>
    <row r="46" spans="1:26" ht="12.75" customHeight="1">
      <c r="B46" s="9" t="s">
        <v>121</v>
      </c>
      <c r="C46" s="105">
        <v>471.6</v>
      </c>
      <c r="D46" s="105">
        <v>385.1</v>
      </c>
      <c r="E46" s="105">
        <v>356.3</v>
      </c>
      <c r="G46" s="105">
        <v>476.1</v>
      </c>
      <c r="H46" s="105">
        <v>436.3</v>
      </c>
      <c r="I46" s="105">
        <v>390.2</v>
      </c>
      <c r="J46" s="82">
        <f t="shared" si="87"/>
        <v>385.1</v>
      </c>
      <c r="K46" s="105">
        <v>392</v>
      </c>
      <c r="L46" s="105">
        <v>376.6</v>
      </c>
      <c r="M46" s="105">
        <v>367.2</v>
      </c>
      <c r="N46" s="82">
        <f t="shared" si="88"/>
        <v>356.3</v>
      </c>
      <c r="O46" s="105">
        <v>391.3</v>
      </c>
      <c r="P46" s="105">
        <v>405.1</v>
      </c>
      <c r="Q46" s="82"/>
      <c r="R46" s="30">
        <f t="shared" ref="R46:R48" si="91">J46</f>
        <v>385.1</v>
      </c>
      <c r="S46" s="30">
        <f t="shared" ref="S46:S48" si="92">K46</f>
        <v>392</v>
      </c>
      <c r="T46" s="30">
        <f t="shared" ref="T46:T48" si="93">L46</f>
        <v>376.6</v>
      </c>
      <c r="U46" s="30">
        <f t="shared" ref="U46:U48" si="94">M46</f>
        <v>367.2</v>
      </c>
      <c r="V46" s="30">
        <f t="shared" ref="V46:V48" si="95">N46</f>
        <v>356.3</v>
      </c>
      <c r="W46" s="30">
        <f t="shared" ref="W46:W48" si="96">O46</f>
        <v>391.3</v>
      </c>
      <c r="X46" s="30">
        <f t="shared" ref="X46:X48" si="97">P46</f>
        <v>405.1</v>
      </c>
      <c r="Y46" s="11"/>
      <c r="Z46" s="68">
        <f>SUM(X46/T46)-1</f>
        <v>7.5677110993096042E-2</v>
      </c>
    </row>
    <row r="47" spans="1:26" ht="12.75" customHeight="1">
      <c r="B47" s="9" t="s">
        <v>139</v>
      </c>
      <c r="C47" s="105">
        <v>14.8</v>
      </c>
      <c r="D47" s="105">
        <v>4.4000000000000004</v>
      </c>
      <c r="E47" s="105">
        <v>4</v>
      </c>
      <c r="G47" s="105">
        <v>3.1</v>
      </c>
      <c r="H47" s="105">
        <v>2.2999999999999998</v>
      </c>
      <c r="I47" s="105">
        <v>3</v>
      </c>
      <c r="J47" s="82">
        <f t="shared" si="87"/>
        <v>4.4000000000000004</v>
      </c>
      <c r="K47" s="105">
        <v>3</v>
      </c>
      <c r="L47" s="105">
        <v>2.5</v>
      </c>
      <c r="M47" s="105">
        <v>2.9</v>
      </c>
      <c r="N47" s="82">
        <f t="shared" si="88"/>
        <v>4</v>
      </c>
      <c r="O47" s="105">
        <v>4.5</v>
      </c>
      <c r="P47" s="105">
        <v>6.5</v>
      </c>
      <c r="Q47" s="82"/>
      <c r="R47" s="30">
        <f t="shared" si="91"/>
        <v>4.4000000000000004</v>
      </c>
      <c r="S47" s="30">
        <f t="shared" si="92"/>
        <v>3</v>
      </c>
      <c r="T47" s="30">
        <f t="shared" si="93"/>
        <v>2.5</v>
      </c>
      <c r="U47" s="30">
        <f t="shared" si="94"/>
        <v>2.9</v>
      </c>
      <c r="V47" s="30">
        <f t="shared" si="95"/>
        <v>4</v>
      </c>
      <c r="W47" s="30">
        <f t="shared" si="96"/>
        <v>4.5</v>
      </c>
      <c r="X47" s="30">
        <f t="shared" si="97"/>
        <v>6.5</v>
      </c>
      <c r="Y47" s="11"/>
      <c r="Z47" s="68">
        <f>SUM(X47/T47)-1</f>
        <v>1.6</v>
      </c>
    </row>
    <row r="48" spans="1:26" ht="12.75" customHeight="1">
      <c r="B48" s="9" t="s">
        <v>140</v>
      </c>
      <c r="C48" s="105">
        <v>18.8</v>
      </c>
      <c r="D48" s="105">
        <v>21.1</v>
      </c>
      <c r="E48" s="105">
        <v>22.2</v>
      </c>
      <c r="G48" s="105">
        <v>31.5</v>
      </c>
      <c r="H48" s="105">
        <v>28</v>
      </c>
      <c r="I48" s="105">
        <v>23.4</v>
      </c>
      <c r="J48" s="82">
        <f t="shared" si="87"/>
        <v>21.1</v>
      </c>
      <c r="K48" s="105">
        <v>26.4</v>
      </c>
      <c r="L48" s="105">
        <v>20.3</v>
      </c>
      <c r="M48" s="105">
        <v>21.6</v>
      </c>
      <c r="N48" s="82">
        <f t="shared" si="88"/>
        <v>22.2</v>
      </c>
      <c r="O48" s="105">
        <v>19.7</v>
      </c>
      <c r="P48" s="105">
        <v>22.2</v>
      </c>
      <c r="Q48" s="82"/>
      <c r="R48" s="30">
        <f t="shared" si="91"/>
        <v>21.1</v>
      </c>
      <c r="S48" s="30">
        <f t="shared" si="92"/>
        <v>26.4</v>
      </c>
      <c r="T48" s="30">
        <f t="shared" si="93"/>
        <v>20.3</v>
      </c>
      <c r="U48" s="30">
        <f t="shared" si="94"/>
        <v>21.6</v>
      </c>
      <c r="V48" s="30">
        <f t="shared" si="95"/>
        <v>22.2</v>
      </c>
      <c r="W48" s="30">
        <f t="shared" si="96"/>
        <v>19.7</v>
      </c>
      <c r="X48" s="30">
        <f t="shared" si="97"/>
        <v>22.2</v>
      </c>
      <c r="Y48" s="11"/>
      <c r="Z48" s="68">
        <f>SUM(X48/T48)-1</f>
        <v>9.3596059113300489E-2</v>
      </c>
    </row>
    <row r="49" spans="2:26" ht="12.75" customHeight="1">
      <c r="B49" s="9" t="s">
        <v>141</v>
      </c>
      <c r="C49" s="105">
        <v>33.6</v>
      </c>
      <c r="D49" s="105">
        <v>45.1</v>
      </c>
      <c r="E49" s="105">
        <v>51.6</v>
      </c>
      <c r="G49" s="105">
        <v>59.3</v>
      </c>
      <c r="H49" s="105">
        <v>58.8</v>
      </c>
      <c r="I49" s="105">
        <v>44</v>
      </c>
      <c r="J49" s="82">
        <f t="shared" si="87"/>
        <v>45.1</v>
      </c>
      <c r="K49" s="105">
        <v>44.3</v>
      </c>
      <c r="L49" s="105">
        <v>39.6</v>
      </c>
      <c r="M49" s="105">
        <v>50.9</v>
      </c>
      <c r="N49" s="82">
        <f t="shared" si="88"/>
        <v>51.6</v>
      </c>
      <c r="O49" s="105">
        <v>46.3</v>
      </c>
      <c r="P49" s="105">
        <v>49.9</v>
      </c>
      <c r="Q49" s="82"/>
      <c r="R49" s="30">
        <f t="shared" si="89"/>
        <v>45.1</v>
      </c>
      <c r="S49" s="30">
        <f t="shared" si="89"/>
        <v>44.3</v>
      </c>
      <c r="T49" s="30">
        <f t="shared" si="89"/>
        <v>39.6</v>
      </c>
      <c r="U49" s="30">
        <f t="shared" si="89"/>
        <v>50.9</v>
      </c>
      <c r="V49" s="30">
        <f t="shared" si="89"/>
        <v>51.6</v>
      </c>
      <c r="W49" s="30">
        <f t="shared" si="89"/>
        <v>46.3</v>
      </c>
      <c r="X49" s="30">
        <f t="shared" ref="X49" si="98">P49</f>
        <v>49.9</v>
      </c>
      <c r="Y49" s="11"/>
      <c r="Z49" s="68">
        <f>SUM(X49/T49)-1</f>
        <v>0.26010101010100994</v>
      </c>
    </row>
    <row r="50" spans="2:26" ht="12.75" customHeight="1">
      <c r="B50" s="23" t="s">
        <v>20</v>
      </c>
      <c r="C50" s="24">
        <f>SUM(C44:C49)</f>
        <v>1026</v>
      </c>
      <c r="D50" s="24">
        <f>SUM(D44:D49)</f>
        <v>910.7</v>
      </c>
      <c r="E50" s="24">
        <f>SUM(E44:E49)</f>
        <v>872.30000000000007</v>
      </c>
      <c r="F50" s="45"/>
      <c r="G50" s="24">
        <f>SUM(G44:G49)</f>
        <v>1114.7</v>
      </c>
      <c r="H50" s="24">
        <f>SUM(H44:H49)</f>
        <v>1101.1999999999998</v>
      </c>
      <c r="I50" s="24">
        <f>SUM(I44:I49)</f>
        <v>979.1</v>
      </c>
      <c r="J50" s="24">
        <f>SUM(J44:J49)</f>
        <v>910.7</v>
      </c>
      <c r="K50" s="24">
        <f>SUM(K44:K49)</f>
        <v>1106.5</v>
      </c>
      <c r="L50" s="24">
        <f>SUM(L44:L49)</f>
        <v>1026.8999999999999</v>
      </c>
      <c r="M50" s="24">
        <f>SUM(M44:M49)</f>
        <v>990.4</v>
      </c>
      <c r="N50" s="24">
        <f>SUM(N44:N49)</f>
        <v>872.30000000000007</v>
      </c>
      <c r="O50" s="24">
        <f>SUM(O44:O49)</f>
        <v>1074</v>
      </c>
      <c r="P50" s="24">
        <f>SUM(P44:P49)</f>
        <v>1101.7</v>
      </c>
      <c r="Q50" s="45"/>
      <c r="R50" s="24">
        <f>SUM(R44:R49)</f>
        <v>910.7</v>
      </c>
      <c r="S50" s="24">
        <f>SUM(S44:S49)</f>
        <v>1106.5</v>
      </c>
      <c r="T50" s="24">
        <f>SUM(T44:T49)</f>
        <v>1026.8999999999999</v>
      </c>
      <c r="U50" s="24">
        <f>SUM(U44:U49)</f>
        <v>990.4</v>
      </c>
      <c r="V50" s="24">
        <f>SUM(V44:V49)</f>
        <v>872.30000000000007</v>
      </c>
      <c r="W50" s="24">
        <f>SUM(W44:W49)</f>
        <v>1074</v>
      </c>
      <c r="X50" s="24">
        <f>SUM(X44:X49)</f>
        <v>1101.7</v>
      </c>
      <c r="Y50" s="39"/>
      <c r="Z50" s="69">
        <f>SUM(X50/T50)-1</f>
        <v>7.2840588178011645E-2</v>
      </c>
    </row>
    <row r="51" spans="2:26" ht="5.0999999999999996" customHeight="1">
      <c r="B51" s="23"/>
      <c r="C51" s="46"/>
      <c r="D51" s="38"/>
      <c r="E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R51" s="39"/>
      <c r="S51" s="39"/>
      <c r="T51" s="39"/>
      <c r="U51" s="39"/>
      <c r="V51" s="39"/>
      <c r="W51" s="39"/>
      <c r="X51" s="39"/>
      <c r="Y51" s="39"/>
      <c r="Z51" s="36"/>
    </row>
    <row r="52" spans="2:26" ht="12.75" customHeight="1">
      <c r="B52" s="72" t="s">
        <v>85</v>
      </c>
      <c r="C52" s="76"/>
      <c r="D52" s="76"/>
      <c r="E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R52" s="30"/>
      <c r="S52" s="30"/>
      <c r="T52" s="30"/>
      <c r="U52" s="30"/>
      <c r="V52" s="30"/>
      <c r="W52" s="30"/>
      <c r="X52" s="30"/>
      <c r="Y52" s="11"/>
      <c r="Z52" s="68"/>
    </row>
    <row r="53" spans="2:26" ht="12.75" customHeight="1">
      <c r="B53" s="9" t="s">
        <v>142</v>
      </c>
      <c r="C53" s="76">
        <v>181.5</v>
      </c>
      <c r="D53" s="76">
        <v>238.3</v>
      </c>
      <c r="E53" s="76">
        <v>244.3</v>
      </c>
      <c r="G53" s="105">
        <v>190.5</v>
      </c>
      <c r="H53" s="105">
        <v>213.8</v>
      </c>
      <c r="I53" s="105">
        <v>223.1</v>
      </c>
      <c r="J53" s="82">
        <f t="shared" ref="J53:J59" si="99">D53</f>
        <v>238.3</v>
      </c>
      <c r="K53" s="105">
        <v>242.9</v>
      </c>
      <c r="L53" s="105">
        <v>244.1</v>
      </c>
      <c r="M53" s="105">
        <v>243.4</v>
      </c>
      <c r="N53" s="82">
        <f t="shared" ref="N53:N59" si="100">E53</f>
        <v>244.3</v>
      </c>
      <c r="O53" s="105">
        <v>245.8</v>
      </c>
      <c r="P53" s="105">
        <v>249.1</v>
      </c>
      <c r="R53" s="30">
        <f t="shared" ref="R53:R55" si="101">J53</f>
        <v>238.3</v>
      </c>
      <c r="S53" s="30">
        <f t="shared" ref="S53:S55" si="102">K53</f>
        <v>242.9</v>
      </c>
      <c r="T53" s="30">
        <f t="shared" ref="T53:T55" si="103">L53</f>
        <v>244.1</v>
      </c>
      <c r="U53" s="30">
        <f t="shared" ref="U53:U55" si="104">M53</f>
        <v>243.4</v>
      </c>
      <c r="V53" s="30">
        <f t="shared" ref="V53:V55" si="105">N53</f>
        <v>244.3</v>
      </c>
      <c r="W53" s="30">
        <f t="shared" ref="W53:W55" si="106">O53</f>
        <v>245.8</v>
      </c>
      <c r="X53" s="30">
        <f t="shared" ref="X53:X55" si="107">P53</f>
        <v>249.1</v>
      </c>
      <c r="Y53" s="11"/>
      <c r="Z53" s="68">
        <f>SUM(X53/T53)-1</f>
        <v>2.0483408439164297E-2</v>
      </c>
    </row>
    <row r="54" spans="2:26" ht="12.75" customHeight="1">
      <c r="B54" s="9" t="s">
        <v>143</v>
      </c>
      <c r="C54" s="76">
        <v>1800.2</v>
      </c>
      <c r="D54" s="76">
        <v>1792.6</v>
      </c>
      <c r="E54" s="76">
        <v>1777.1</v>
      </c>
      <c r="G54" s="105">
        <v>1798.9</v>
      </c>
      <c r="H54" s="105">
        <v>1795.9</v>
      </c>
      <c r="I54" s="105">
        <v>1793.7</v>
      </c>
      <c r="J54" s="82">
        <f t="shared" si="99"/>
        <v>1792.6</v>
      </c>
      <c r="K54" s="105">
        <v>1787.6</v>
      </c>
      <c r="L54" s="105">
        <v>1785.3</v>
      </c>
      <c r="M54" s="105">
        <v>1783.7</v>
      </c>
      <c r="N54" s="82">
        <f t="shared" si="100"/>
        <v>1777.1</v>
      </c>
      <c r="O54" s="105">
        <v>1773</v>
      </c>
      <c r="P54" s="105">
        <v>1335.5</v>
      </c>
      <c r="R54" s="30">
        <f t="shared" si="101"/>
        <v>1792.6</v>
      </c>
      <c r="S54" s="30">
        <f t="shared" si="102"/>
        <v>1787.6</v>
      </c>
      <c r="T54" s="30">
        <f t="shared" si="103"/>
        <v>1785.3</v>
      </c>
      <c r="U54" s="30">
        <f t="shared" si="104"/>
        <v>1783.7</v>
      </c>
      <c r="V54" s="30">
        <f t="shared" si="105"/>
        <v>1777.1</v>
      </c>
      <c r="W54" s="30">
        <f t="shared" si="106"/>
        <v>1773</v>
      </c>
      <c r="X54" s="30">
        <f t="shared" si="107"/>
        <v>1335.5</v>
      </c>
      <c r="Y54" s="11"/>
      <c r="Z54" s="68">
        <f t="shared" ref="Z54:Z59" si="108">SUM(X54/T54)-1</f>
        <v>-0.25194645157676576</v>
      </c>
    </row>
    <row r="55" spans="2:26" ht="12.75" customHeight="1">
      <c r="B55" s="9" t="s">
        <v>122</v>
      </c>
      <c r="C55" s="76">
        <v>714.8</v>
      </c>
      <c r="D55" s="76">
        <v>711.6</v>
      </c>
      <c r="E55" s="76">
        <v>711.5</v>
      </c>
      <c r="G55" s="105">
        <v>711.6</v>
      </c>
      <c r="H55" s="105">
        <v>711.6</v>
      </c>
      <c r="I55" s="105">
        <v>711.9</v>
      </c>
      <c r="J55" s="82">
        <f t="shared" si="99"/>
        <v>711.6</v>
      </c>
      <c r="K55" s="105">
        <v>711.6</v>
      </c>
      <c r="L55" s="105">
        <v>711.5</v>
      </c>
      <c r="M55" s="105">
        <v>711.6</v>
      </c>
      <c r="N55" s="82">
        <f t="shared" si="100"/>
        <v>711.5</v>
      </c>
      <c r="O55" s="105">
        <v>711.6</v>
      </c>
      <c r="P55" s="105">
        <v>404.7</v>
      </c>
      <c r="R55" s="30">
        <f t="shared" si="101"/>
        <v>711.6</v>
      </c>
      <c r="S55" s="30">
        <f t="shared" si="102"/>
        <v>711.6</v>
      </c>
      <c r="T55" s="30">
        <f t="shared" si="103"/>
        <v>711.5</v>
      </c>
      <c r="U55" s="30">
        <f t="shared" si="104"/>
        <v>711.6</v>
      </c>
      <c r="V55" s="30">
        <f t="shared" si="105"/>
        <v>711.5</v>
      </c>
      <c r="W55" s="30">
        <f t="shared" si="106"/>
        <v>711.6</v>
      </c>
      <c r="X55" s="30">
        <f t="shared" si="107"/>
        <v>404.7</v>
      </c>
      <c r="Y55" s="11"/>
      <c r="Z55" s="68">
        <f t="shared" si="108"/>
        <v>-0.4312016865776529</v>
      </c>
    </row>
    <row r="56" spans="2:26" ht="12.75" customHeight="1">
      <c r="B56" s="9" t="s">
        <v>144</v>
      </c>
      <c r="C56" s="76">
        <v>528.29999999999995</v>
      </c>
      <c r="D56" s="76">
        <v>668</v>
      </c>
      <c r="E56" s="76">
        <v>872.4</v>
      </c>
      <c r="G56" s="105">
        <v>533.5</v>
      </c>
      <c r="H56" s="105">
        <v>539.5</v>
      </c>
      <c r="I56" s="105">
        <v>527.70000000000005</v>
      </c>
      <c r="J56" s="82">
        <f t="shared" si="99"/>
        <v>668</v>
      </c>
      <c r="K56" s="105">
        <v>647.70000000000005</v>
      </c>
      <c r="L56" s="105">
        <v>640.6</v>
      </c>
      <c r="M56" s="105">
        <v>659.9</v>
      </c>
      <c r="N56" s="82">
        <f t="shared" si="100"/>
        <v>872.4</v>
      </c>
      <c r="O56" s="105">
        <v>893.6</v>
      </c>
      <c r="P56" s="105">
        <v>972</v>
      </c>
      <c r="R56" s="30">
        <f t="shared" ref="R56:R59" si="109">J56</f>
        <v>668</v>
      </c>
      <c r="S56" s="30">
        <f t="shared" ref="S56:S59" si="110">K56</f>
        <v>647.70000000000005</v>
      </c>
      <c r="T56" s="30">
        <f t="shared" ref="T56:T59" si="111">L56</f>
        <v>640.6</v>
      </c>
      <c r="U56" s="30">
        <f t="shared" ref="U56:U59" si="112">M56</f>
        <v>659.9</v>
      </c>
      <c r="V56" s="30">
        <f t="shared" ref="V56:V59" si="113">N56</f>
        <v>872.4</v>
      </c>
      <c r="W56" s="30">
        <f t="shared" ref="W56:W59" si="114">O56</f>
        <v>893.6</v>
      </c>
      <c r="X56" s="30">
        <f t="shared" ref="X56:X59" si="115">P56</f>
        <v>972</v>
      </c>
      <c r="Y56" s="11"/>
      <c r="Z56" s="68">
        <f t="shared" si="108"/>
        <v>0.51732750546362771</v>
      </c>
    </row>
    <row r="57" spans="2:26" ht="12.75" customHeight="1">
      <c r="B57" s="9" t="s">
        <v>145</v>
      </c>
      <c r="C57" s="76">
        <v>3.3</v>
      </c>
      <c r="D57" s="76">
        <v>3.8</v>
      </c>
      <c r="E57" s="76">
        <v>3.2</v>
      </c>
      <c r="G57" s="105">
        <v>3.2</v>
      </c>
      <c r="H57" s="105">
        <v>3.3</v>
      </c>
      <c r="I57" s="105">
        <v>3.7</v>
      </c>
      <c r="J57" s="82">
        <f t="shared" si="99"/>
        <v>3.8</v>
      </c>
      <c r="K57" s="105">
        <v>3.7</v>
      </c>
      <c r="L57" s="105">
        <v>3.3</v>
      </c>
      <c r="M57" s="105">
        <v>3.4</v>
      </c>
      <c r="N57" s="82">
        <f t="shared" si="100"/>
        <v>3.2</v>
      </c>
      <c r="O57" s="105">
        <v>3.3</v>
      </c>
      <c r="P57" s="105">
        <v>3.6</v>
      </c>
      <c r="R57" s="30">
        <f t="shared" si="109"/>
        <v>3.8</v>
      </c>
      <c r="S57" s="30">
        <f t="shared" si="110"/>
        <v>3.7</v>
      </c>
      <c r="T57" s="30">
        <f t="shared" si="111"/>
        <v>3.3</v>
      </c>
      <c r="U57" s="30">
        <f t="shared" si="112"/>
        <v>3.4</v>
      </c>
      <c r="V57" s="30">
        <f t="shared" si="113"/>
        <v>3.2</v>
      </c>
      <c r="W57" s="30">
        <f t="shared" si="114"/>
        <v>3.3</v>
      </c>
      <c r="X57" s="30">
        <f t="shared" si="115"/>
        <v>3.6</v>
      </c>
      <c r="Y57" s="11"/>
      <c r="Z57" s="68">
        <f t="shared" si="108"/>
        <v>9.090909090909105E-2</v>
      </c>
    </row>
    <row r="58" spans="2:26" ht="12.75" customHeight="1">
      <c r="B58" s="9" t="s">
        <v>146</v>
      </c>
      <c r="C58" s="76">
        <v>239.9</v>
      </c>
      <c r="D58" s="76">
        <v>287.39999999999998</v>
      </c>
      <c r="E58" s="76">
        <v>307.2</v>
      </c>
      <c r="G58" s="105">
        <v>234</v>
      </c>
      <c r="H58" s="105">
        <v>228.1</v>
      </c>
      <c r="I58" s="105">
        <v>313.60000000000002</v>
      </c>
      <c r="J58" s="82">
        <f t="shared" si="99"/>
        <v>287.39999999999998</v>
      </c>
      <c r="K58" s="105">
        <v>280.2</v>
      </c>
      <c r="L58" s="105">
        <v>292.10000000000002</v>
      </c>
      <c r="M58" s="105">
        <v>303.8</v>
      </c>
      <c r="N58" s="82">
        <f t="shared" si="100"/>
        <v>307.2</v>
      </c>
      <c r="O58" s="105">
        <v>335.8</v>
      </c>
      <c r="P58" s="105">
        <v>349.3</v>
      </c>
      <c r="R58" s="30">
        <f t="shared" si="109"/>
        <v>287.39999999999998</v>
      </c>
      <c r="S58" s="30">
        <f t="shared" si="110"/>
        <v>280.2</v>
      </c>
      <c r="T58" s="30">
        <f t="shared" si="111"/>
        <v>292.10000000000002</v>
      </c>
      <c r="U58" s="30">
        <f t="shared" si="112"/>
        <v>303.8</v>
      </c>
      <c r="V58" s="30">
        <f t="shared" si="113"/>
        <v>307.2</v>
      </c>
      <c r="W58" s="30">
        <f t="shared" si="114"/>
        <v>335.8</v>
      </c>
      <c r="X58" s="30">
        <f t="shared" si="115"/>
        <v>349.3</v>
      </c>
      <c r="Y58" s="11"/>
      <c r="Z58" s="68">
        <f t="shared" si="108"/>
        <v>0.1958233481684355</v>
      </c>
    </row>
    <row r="59" spans="2:26" ht="12.75" customHeight="1">
      <c r="B59" s="9" t="s">
        <v>123</v>
      </c>
      <c r="C59" s="76">
        <v>7.9</v>
      </c>
      <c r="D59" s="76">
        <v>31.4</v>
      </c>
      <c r="E59" s="76">
        <v>24.2</v>
      </c>
      <c r="G59" s="105">
        <v>9.3000000000000007</v>
      </c>
      <c r="H59" s="105">
        <v>9.6999999999999993</v>
      </c>
      <c r="I59" s="105">
        <v>28.5</v>
      </c>
      <c r="J59" s="82">
        <f t="shared" si="99"/>
        <v>31.4</v>
      </c>
      <c r="K59" s="105">
        <v>15.5</v>
      </c>
      <c r="L59" s="105">
        <v>16</v>
      </c>
      <c r="M59" s="105">
        <v>17.100000000000001</v>
      </c>
      <c r="N59" s="82">
        <f t="shared" si="100"/>
        <v>24.2</v>
      </c>
      <c r="O59" s="105">
        <v>29.1</v>
      </c>
      <c r="P59" s="105">
        <v>34.6</v>
      </c>
      <c r="R59" s="30">
        <f t="shared" si="109"/>
        <v>31.4</v>
      </c>
      <c r="S59" s="30">
        <f t="shared" si="110"/>
        <v>15.5</v>
      </c>
      <c r="T59" s="30">
        <f t="shared" si="111"/>
        <v>16</v>
      </c>
      <c r="U59" s="30">
        <f t="shared" si="112"/>
        <v>17.100000000000001</v>
      </c>
      <c r="V59" s="30">
        <f t="shared" si="113"/>
        <v>24.2</v>
      </c>
      <c r="W59" s="30">
        <f t="shared" si="114"/>
        <v>29.1</v>
      </c>
      <c r="X59" s="30">
        <f t="shared" si="115"/>
        <v>34.6</v>
      </c>
      <c r="Y59" s="11"/>
      <c r="Z59" s="68">
        <f t="shared" si="108"/>
        <v>1.1625000000000001</v>
      </c>
    </row>
    <row r="60" spans="2:26" ht="12.75" customHeight="1">
      <c r="B60" s="12" t="s">
        <v>21</v>
      </c>
      <c r="C60" s="13">
        <f>SUM(C53:C59)+C50</f>
        <v>4501.9000000000005</v>
      </c>
      <c r="D60" s="13">
        <f>SUM(D53:D59)+D50</f>
        <v>4643.8</v>
      </c>
      <c r="E60" s="13">
        <f>SUM(E53:E59)+E50</f>
        <v>4812.1999999999989</v>
      </c>
      <c r="G60" s="13">
        <f>SUM(G53:G59)+G50</f>
        <v>4595.7</v>
      </c>
      <c r="H60" s="13">
        <f>SUM(H53:H59)+H50</f>
        <v>4603.1000000000004</v>
      </c>
      <c r="I60" s="13">
        <f>SUM(I53:I59)+I50</f>
        <v>4581.2999999999993</v>
      </c>
      <c r="J60" s="13">
        <f>SUM(J53:J59)+J50</f>
        <v>4643.8</v>
      </c>
      <c r="K60" s="13">
        <f>SUM(K53:K59)+K50</f>
        <v>4795.7</v>
      </c>
      <c r="L60" s="13">
        <f>SUM(L53:L59)+L50</f>
        <v>4719.7999999999993</v>
      </c>
      <c r="M60" s="13">
        <f>SUM(M53:M59)+M50</f>
        <v>4713.3</v>
      </c>
      <c r="N60" s="13">
        <f>SUM(N53:N59)+N50</f>
        <v>4812.1999999999989</v>
      </c>
      <c r="O60" s="13">
        <f>SUM(O53:O59)+O50</f>
        <v>5066.2000000000007</v>
      </c>
      <c r="P60" s="13">
        <f>SUM(P53:P59)+P50</f>
        <v>4450.5</v>
      </c>
      <c r="R60" s="13">
        <f>SUM(R53:R59)+R50</f>
        <v>4643.8</v>
      </c>
      <c r="S60" s="13">
        <f>SUM(S53:S59)+S50</f>
        <v>4795.7</v>
      </c>
      <c r="T60" s="13">
        <f>SUM(T53:T59)+T50</f>
        <v>4719.7999999999993</v>
      </c>
      <c r="U60" s="13">
        <f>SUM(U53:U59)+U50</f>
        <v>4713.3</v>
      </c>
      <c r="V60" s="13">
        <f>SUM(V53:V59)+V50</f>
        <v>4812.1999999999989</v>
      </c>
      <c r="W60" s="13">
        <f>SUM(W53:W59)+W50</f>
        <v>5066.2000000000007</v>
      </c>
      <c r="X60" s="13">
        <f>SUM(X53:X59)+X50</f>
        <v>4450.5</v>
      </c>
      <c r="Y60" s="39"/>
      <c r="Z60" s="69">
        <f>SUM(X60/T60)-1</f>
        <v>-5.7057502436543728E-2</v>
      </c>
    </row>
    <row r="61" spans="2:26" ht="12.75" customHeight="1">
      <c r="B61" s="23"/>
      <c r="C61" s="47"/>
      <c r="D61" s="38"/>
      <c r="E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R61" s="39"/>
      <c r="S61" s="39"/>
      <c r="T61" s="39"/>
      <c r="U61" s="39"/>
      <c r="V61" s="39"/>
      <c r="W61" s="39"/>
      <c r="X61" s="39"/>
      <c r="Y61" s="39"/>
      <c r="Z61" s="36"/>
    </row>
    <row r="62" spans="2:26" ht="12.75" customHeight="1">
      <c r="B62" s="72" t="s">
        <v>47</v>
      </c>
      <c r="C62" s="47"/>
      <c r="D62" s="38"/>
      <c r="E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R62" s="39"/>
      <c r="S62" s="39"/>
      <c r="T62" s="39"/>
      <c r="U62" s="39"/>
      <c r="V62" s="39"/>
      <c r="W62" s="39"/>
      <c r="X62" s="39"/>
      <c r="Y62" s="39"/>
      <c r="Z62" s="36"/>
    </row>
    <row r="63" spans="2:26" ht="12.75" customHeight="1">
      <c r="B63" s="9" t="s">
        <v>131</v>
      </c>
      <c r="C63" s="76">
        <v>230.8</v>
      </c>
      <c r="D63" s="76">
        <v>261</v>
      </c>
      <c r="E63" s="76">
        <v>264.89999999999998</v>
      </c>
      <c r="G63" s="105">
        <v>232.4</v>
      </c>
      <c r="H63" s="105">
        <v>261.89999999999998</v>
      </c>
      <c r="I63" s="105">
        <v>209.9</v>
      </c>
      <c r="J63" s="82">
        <v>261</v>
      </c>
      <c r="K63" s="105">
        <v>236.3</v>
      </c>
      <c r="L63" s="105">
        <v>244.9</v>
      </c>
      <c r="M63" s="105">
        <v>240.9</v>
      </c>
      <c r="N63" s="82">
        <v>264.89999999999998</v>
      </c>
      <c r="O63" s="105">
        <v>244.9</v>
      </c>
      <c r="P63" s="105">
        <v>263.3</v>
      </c>
      <c r="R63" s="30">
        <f t="shared" ref="R63" si="116">J63</f>
        <v>261</v>
      </c>
      <c r="S63" s="30">
        <f t="shared" ref="S63" si="117">K63</f>
        <v>236.3</v>
      </c>
      <c r="T63" s="30">
        <f t="shared" ref="T63" si="118">L63</f>
        <v>244.9</v>
      </c>
      <c r="U63" s="30">
        <f t="shared" ref="U63" si="119">M63</f>
        <v>240.9</v>
      </c>
      <c r="V63" s="30">
        <f t="shared" ref="V63" si="120">N63</f>
        <v>264.89999999999998</v>
      </c>
      <c r="W63" s="30">
        <f t="shared" ref="W63" si="121">O63</f>
        <v>244.9</v>
      </c>
      <c r="X63" s="30">
        <f t="shared" ref="X63" si="122">P63</f>
        <v>263.3</v>
      </c>
      <c r="Y63" s="11"/>
      <c r="Z63" s="68">
        <f>SUM(X63/T63)-1</f>
        <v>7.5132707227439699E-2</v>
      </c>
    </row>
    <row r="64" spans="2:26" ht="12.75" customHeight="1">
      <c r="B64" s="9" t="s">
        <v>147</v>
      </c>
      <c r="C64" s="76">
        <v>239.4</v>
      </c>
      <c r="D64" s="76">
        <v>285.8</v>
      </c>
      <c r="E64" s="76">
        <v>298.10000000000002</v>
      </c>
      <c r="G64" s="105">
        <v>201.8</v>
      </c>
      <c r="H64" s="105">
        <v>241.5</v>
      </c>
      <c r="I64" s="105">
        <v>248.2</v>
      </c>
      <c r="J64" s="82">
        <v>285.8</v>
      </c>
      <c r="K64" s="105">
        <v>247.3</v>
      </c>
      <c r="L64" s="105">
        <v>285.10000000000002</v>
      </c>
      <c r="M64" s="105">
        <v>278</v>
      </c>
      <c r="N64" s="82">
        <v>298.10000000000002</v>
      </c>
      <c r="O64" s="105">
        <v>247</v>
      </c>
      <c r="P64" s="105">
        <v>272.60000000000002</v>
      </c>
      <c r="R64" s="30">
        <f t="shared" ref="R64" si="123">J64</f>
        <v>285.8</v>
      </c>
      <c r="S64" s="30">
        <f t="shared" ref="S64" si="124">K64</f>
        <v>247.3</v>
      </c>
      <c r="T64" s="30">
        <f t="shared" ref="T64" si="125">L64</f>
        <v>285.10000000000002</v>
      </c>
      <c r="U64" s="30">
        <f t="shared" ref="U64" si="126">M64</f>
        <v>278</v>
      </c>
      <c r="V64" s="30">
        <f t="shared" ref="V64" si="127">N64</f>
        <v>298.10000000000002</v>
      </c>
      <c r="W64" s="30">
        <f t="shared" ref="W64" si="128">O64</f>
        <v>247</v>
      </c>
      <c r="X64" s="30">
        <f t="shared" ref="X64" si="129">P64</f>
        <v>272.60000000000002</v>
      </c>
      <c r="Y64" s="11"/>
      <c r="Z64" s="68">
        <f>SUM(X64/T64)-1</f>
        <v>-4.3844265170115748E-2</v>
      </c>
    </row>
    <row r="65" spans="2:26" ht="12.75" customHeight="1">
      <c r="B65" s="9" t="s">
        <v>132</v>
      </c>
      <c r="C65" s="76">
        <v>89.2</v>
      </c>
      <c r="D65" s="76">
        <v>66</v>
      </c>
      <c r="E65" s="76">
        <v>108.7</v>
      </c>
      <c r="G65" s="105">
        <v>109.6</v>
      </c>
      <c r="H65" s="105">
        <v>84.8</v>
      </c>
      <c r="I65" s="105">
        <v>108.7</v>
      </c>
      <c r="J65" s="82">
        <v>66</v>
      </c>
      <c r="K65" s="105">
        <v>82.2</v>
      </c>
      <c r="L65" s="105">
        <v>92.6</v>
      </c>
      <c r="M65" s="105">
        <v>106.9</v>
      </c>
      <c r="N65" s="82">
        <v>108.7</v>
      </c>
      <c r="O65" s="105">
        <v>135.6</v>
      </c>
      <c r="P65" s="105">
        <v>96</v>
      </c>
      <c r="R65" s="30">
        <f t="shared" ref="R65:R67" si="130">J65</f>
        <v>66</v>
      </c>
      <c r="S65" s="30">
        <f t="shared" ref="S65:S67" si="131">K65</f>
        <v>82.2</v>
      </c>
      <c r="T65" s="30">
        <f t="shared" ref="T65:T67" si="132">L65</f>
        <v>92.6</v>
      </c>
      <c r="U65" s="30">
        <f t="shared" ref="U65:U67" si="133">M65</f>
        <v>106.9</v>
      </c>
      <c r="V65" s="30">
        <f t="shared" ref="V65:V67" si="134">N65</f>
        <v>108.7</v>
      </c>
      <c r="W65" s="30">
        <f t="shared" ref="W65:W67" si="135">O65</f>
        <v>135.6</v>
      </c>
      <c r="X65" s="30">
        <f t="shared" ref="X65:X67" si="136">P65</f>
        <v>96</v>
      </c>
      <c r="Y65" s="11"/>
      <c r="Z65" s="68"/>
    </row>
    <row r="66" spans="2:26" ht="12.75" customHeight="1">
      <c r="B66" s="9" t="s">
        <v>148</v>
      </c>
      <c r="C66" s="76">
        <v>24.4</v>
      </c>
      <c r="D66" s="76">
        <v>23.3</v>
      </c>
      <c r="E66" s="76">
        <v>0</v>
      </c>
      <c r="G66" s="105">
        <v>33</v>
      </c>
      <c r="H66" s="105">
        <v>20</v>
      </c>
      <c r="I66" s="105">
        <v>20</v>
      </c>
      <c r="J66" s="82">
        <v>23.3</v>
      </c>
      <c r="K66" s="105">
        <v>0</v>
      </c>
      <c r="L66" s="105">
        <v>0</v>
      </c>
      <c r="M66" s="105">
        <v>0</v>
      </c>
      <c r="N66" s="82">
        <v>0</v>
      </c>
      <c r="O66" s="105">
        <v>0</v>
      </c>
      <c r="P66" s="105">
        <v>0</v>
      </c>
      <c r="R66" s="30">
        <f t="shared" si="130"/>
        <v>23.3</v>
      </c>
      <c r="S66" s="30">
        <f t="shared" si="131"/>
        <v>0</v>
      </c>
      <c r="T66" s="30">
        <f t="shared" si="132"/>
        <v>0</v>
      </c>
      <c r="U66" s="30">
        <f t="shared" si="133"/>
        <v>0</v>
      </c>
      <c r="V66" s="30">
        <f t="shared" si="134"/>
        <v>0</v>
      </c>
      <c r="W66" s="30">
        <f t="shared" si="135"/>
        <v>0</v>
      </c>
      <c r="X66" s="30">
        <f t="shared" si="136"/>
        <v>0</v>
      </c>
      <c r="Y66" s="11"/>
      <c r="Z66" s="68"/>
    </row>
    <row r="67" spans="2:26" ht="12.75" customHeight="1">
      <c r="B67" s="9" t="s">
        <v>149</v>
      </c>
      <c r="C67" s="76">
        <v>57.5</v>
      </c>
      <c r="D67" s="76">
        <v>62.3</v>
      </c>
      <c r="E67" s="76">
        <v>68.599999999999994</v>
      </c>
      <c r="G67" s="105">
        <v>57.6</v>
      </c>
      <c r="H67" s="105">
        <v>57.7</v>
      </c>
      <c r="I67" s="105">
        <v>61.1</v>
      </c>
      <c r="J67" s="82">
        <v>62.3</v>
      </c>
      <c r="K67" s="105">
        <v>62.8</v>
      </c>
      <c r="L67" s="105">
        <v>63.9</v>
      </c>
      <c r="M67" s="105">
        <v>66.900000000000006</v>
      </c>
      <c r="N67" s="82">
        <v>68.599999999999994</v>
      </c>
      <c r="O67" s="105">
        <v>77.7</v>
      </c>
      <c r="P67" s="105">
        <v>82.9</v>
      </c>
      <c r="R67" s="30">
        <f t="shared" si="130"/>
        <v>62.3</v>
      </c>
      <c r="S67" s="30">
        <f t="shared" si="131"/>
        <v>62.8</v>
      </c>
      <c r="T67" s="30">
        <f t="shared" si="132"/>
        <v>63.9</v>
      </c>
      <c r="U67" s="30">
        <f t="shared" si="133"/>
        <v>66.900000000000006</v>
      </c>
      <c r="V67" s="30">
        <f t="shared" si="134"/>
        <v>68.599999999999994</v>
      </c>
      <c r="W67" s="30">
        <f t="shared" si="135"/>
        <v>77.7</v>
      </c>
      <c r="X67" s="30">
        <f t="shared" si="136"/>
        <v>82.9</v>
      </c>
      <c r="Y67" s="11"/>
      <c r="Z67" s="68"/>
    </row>
    <row r="68" spans="2:26" ht="12.75" customHeight="1">
      <c r="B68" s="23" t="s">
        <v>19</v>
      </c>
      <c r="C68" s="24">
        <f>SUM(C63:C67)</f>
        <v>641.30000000000007</v>
      </c>
      <c r="D68" s="24">
        <f>SUM(D63:D67)</f>
        <v>698.39999999999986</v>
      </c>
      <c r="E68" s="24">
        <f>SUM(E63:E67)</f>
        <v>740.30000000000007</v>
      </c>
      <c r="G68" s="24">
        <f>SUM(G63:G67)</f>
        <v>634.40000000000009</v>
      </c>
      <c r="H68" s="24">
        <f>SUM(H63:H67)</f>
        <v>665.9</v>
      </c>
      <c r="I68" s="24">
        <f>SUM(I63:I67)</f>
        <v>647.90000000000009</v>
      </c>
      <c r="J68" s="24">
        <f>SUM(J63:J67)</f>
        <v>698.39999999999986</v>
      </c>
      <c r="K68" s="24">
        <f>SUM(K63:K67)</f>
        <v>628.6</v>
      </c>
      <c r="L68" s="24">
        <f>SUM(L63:L67)</f>
        <v>686.5</v>
      </c>
      <c r="M68" s="24">
        <f>SUM(M63:M67)</f>
        <v>692.69999999999993</v>
      </c>
      <c r="N68" s="24">
        <f>SUM(N63:N67)</f>
        <v>740.30000000000007</v>
      </c>
      <c r="O68" s="24">
        <f>SUM(O63:O67)</f>
        <v>705.2</v>
      </c>
      <c r="P68" s="24">
        <f>SUM(P63:P67)</f>
        <v>714.80000000000007</v>
      </c>
      <c r="Q68" s="45"/>
      <c r="R68" s="24">
        <f>SUM(R63:R67)</f>
        <v>698.39999999999986</v>
      </c>
      <c r="S68" s="24">
        <f>SUM(S63:S67)</f>
        <v>628.6</v>
      </c>
      <c r="T68" s="24">
        <f>SUM(T63:T67)</f>
        <v>686.5</v>
      </c>
      <c r="U68" s="24">
        <f>SUM(U63:U67)</f>
        <v>692.69999999999993</v>
      </c>
      <c r="V68" s="24">
        <f>SUM(V63:V67)</f>
        <v>740.30000000000007</v>
      </c>
      <c r="W68" s="24">
        <f>SUM(W63:W67)</f>
        <v>705.2</v>
      </c>
      <c r="X68" s="24">
        <f>SUM(X63:X67)</f>
        <v>714.80000000000007</v>
      </c>
      <c r="Y68" s="39"/>
      <c r="Z68" s="69">
        <f>SUM(X68/T68)-1</f>
        <v>4.12235979606701E-2</v>
      </c>
    </row>
    <row r="69" spans="2:26" ht="5.0999999999999996" customHeight="1">
      <c r="B69" s="23"/>
      <c r="C69" s="47"/>
      <c r="D69" s="38"/>
      <c r="E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R69" s="39"/>
      <c r="S69" s="39"/>
      <c r="T69" s="39"/>
      <c r="U69" s="39"/>
      <c r="V69" s="39"/>
      <c r="W69" s="39"/>
      <c r="X69" s="39"/>
      <c r="Y69" s="39"/>
      <c r="Z69" s="36"/>
    </row>
    <row r="70" spans="2:26">
      <c r="B70" s="72" t="s">
        <v>86</v>
      </c>
      <c r="C70" s="47"/>
      <c r="D70" s="38"/>
      <c r="E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R70" s="39"/>
      <c r="S70" s="39"/>
      <c r="T70" s="39"/>
      <c r="U70" s="39"/>
      <c r="V70" s="39"/>
      <c r="W70" s="39"/>
      <c r="X70" s="39"/>
      <c r="Y70" s="39"/>
      <c r="Z70" s="36"/>
    </row>
    <row r="71" spans="2:26" ht="12.75" customHeight="1">
      <c r="B71" s="104" t="s">
        <v>150</v>
      </c>
      <c r="C71" s="76">
        <v>302</v>
      </c>
      <c r="D71" s="76">
        <v>12.9</v>
      </c>
      <c r="E71" s="76">
        <v>4.0999999999999996</v>
      </c>
      <c r="G71" s="105">
        <v>302</v>
      </c>
      <c r="H71" s="105">
        <v>301.89999999999998</v>
      </c>
      <c r="I71" s="105">
        <v>299.3</v>
      </c>
      <c r="J71" s="82">
        <v>12.9</v>
      </c>
      <c r="K71" s="105">
        <v>12.9</v>
      </c>
      <c r="L71" s="105">
        <v>12.8</v>
      </c>
      <c r="M71" s="105">
        <v>12.8</v>
      </c>
      <c r="N71" s="82">
        <v>4.0999999999999996</v>
      </c>
      <c r="O71" s="105">
        <v>1.2</v>
      </c>
      <c r="P71" s="105">
        <v>1.1000000000000001</v>
      </c>
      <c r="R71" s="30">
        <f t="shared" ref="R71:W75" si="137">J71</f>
        <v>12.9</v>
      </c>
      <c r="S71" s="30">
        <f t="shared" si="137"/>
        <v>12.9</v>
      </c>
      <c r="T71" s="30">
        <f t="shared" si="137"/>
        <v>12.8</v>
      </c>
      <c r="U71" s="30">
        <f t="shared" si="137"/>
        <v>12.8</v>
      </c>
      <c r="V71" s="30">
        <f t="shared" si="137"/>
        <v>4.0999999999999996</v>
      </c>
      <c r="W71" s="30">
        <f t="shared" si="137"/>
        <v>1.2</v>
      </c>
      <c r="X71" s="30">
        <f>P71</f>
        <v>1.1000000000000001</v>
      </c>
      <c r="Y71" s="39"/>
      <c r="Z71" s="68">
        <f>SUM(X71/T71)-1</f>
        <v>-0.9140625</v>
      </c>
    </row>
    <row r="72" spans="2:26" ht="12.75" customHeight="1">
      <c r="B72" s="104" t="s">
        <v>151</v>
      </c>
      <c r="C72" s="76">
        <v>224.8</v>
      </c>
      <c r="D72" s="76">
        <v>565.20000000000005</v>
      </c>
      <c r="E72" s="76">
        <v>595.4</v>
      </c>
      <c r="G72" s="105">
        <v>228.2</v>
      </c>
      <c r="H72" s="105">
        <v>231.6</v>
      </c>
      <c r="I72" s="105">
        <v>226</v>
      </c>
      <c r="J72" s="82">
        <v>565.20000000000005</v>
      </c>
      <c r="K72" s="105">
        <v>558.9</v>
      </c>
      <c r="L72" s="105">
        <v>557.6</v>
      </c>
      <c r="M72" s="105">
        <v>572.4</v>
      </c>
      <c r="N72" s="82">
        <v>595.4</v>
      </c>
      <c r="O72" s="105">
        <v>601.1</v>
      </c>
      <c r="P72" s="105">
        <v>618.1</v>
      </c>
      <c r="R72" s="30">
        <f t="shared" ref="R72:R74" si="138">J72</f>
        <v>565.20000000000005</v>
      </c>
      <c r="S72" s="30">
        <f t="shared" ref="S72:S74" si="139">K72</f>
        <v>558.9</v>
      </c>
      <c r="T72" s="30">
        <f t="shared" ref="T72:T74" si="140">L72</f>
        <v>557.6</v>
      </c>
      <c r="U72" s="30">
        <f t="shared" ref="U72:U74" si="141">M72</f>
        <v>572.4</v>
      </c>
      <c r="V72" s="30">
        <f t="shared" ref="V72:V74" si="142">N72</f>
        <v>595.4</v>
      </c>
      <c r="W72" s="30">
        <f t="shared" ref="W72:W74" si="143">O72</f>
        <v>601.1</v>
      </c>
      <c r="X72" s="30">
        <f t="shared" ref="X72:X74" si="144">P72</f>
        <v>618.1</v>
      </c>
      <c r="Y72" s="39"/>
      <c r="Z72" s="68">
        <f t="shared" ref="Z72:Z74" si="145">SUM(X72/T72)-1</f>
        <v>0.10850071736011468</v>
      </c>
    </row>
    <row r="73" spans="2:26" ht="12.75" customHeight="1">
      <c r="B73" s="104" t="s">
        <v>152</v>
      </c>
      <c r="C73" s="76">
        <v>2298</v>
      </c>
      <c r="D73" s="76">
        <v>1641</v>
      </c>
      <c r="E73" s="76">
        <v>1349.3</v>
      </c>
      <c r="G73" s="105">
        <v>2250.3000000000002</v>
      </c>
      <c r="H73" s="105">
        <v>2007.5</v>
      </c>
      <c r="I73" s="105">
        <v>1918.7</v>
      </c>
      <c r="J73" s="82">
        <v>1641</v>
      </c>
      <c r="K73" s="105">
        <v>1727.2</v>
      </c>
      <c r="L73" s="105">
        <v>1529.6</v>
      </c>
      <c r="M73" s="105">
        <v>1422</v>
      </c>
      <c r="N73" s="82">
        <v>1349.3</v>
      </c>
      <c r="O73" s="105">
        <v>1481.7</v>
      </c>
      <c r="P73" s="105">
        <v>1379.1</v>
      </c>
      <c r="R73" s="30">
        <f t="shared" si="138"/>
        <v>1641</v>
      </c>
      <c r="S73" s="30">
        <f t="shared" si="139"/>
        <v>1727.2</v>
      </c>
      <c r="T73" s="30">
        <f t="shared" si="140"/>
        <v>1529.6</v>
      </c>
      <c r="U73" s="30">
        <f t="shared" si="141"/>
        <v>1422</v>
      </c>
      <c r="V73" s="30">
        <f t="shared" si="142"/>
        <v>1349.3</v>
      </c>
      <c r="W73" s="30">
        <f t="shared" si="143"/>
        <v>1481.7</v>
      </c>
      <c r="X73" s="30">
        <f t="shared" si="144"/>
        <v>1379.1</v>
      </c>
      <c r="Y73" s="39"/>
      <c r="Z73" s="68">
        <f t="shared" si="145"/>
        <v>-9.8391736401673646E-2</v>
      </c>
    </row>
    <row r="74" spans="2:26" ht="12.75" customHeight="1">
      <c r="B74" s="104" t="s">
        <v>153</v>
      </c>
      <c r="C74" s="76">
        <v>215.1</v>
      </c>
      <c r="D74" s="76">
        <v>269.8</v>
      </c>
      <c r="E74" s="76">
        <v>283.39999999999998</v>
      </c>
      <c r="G74" s="105">
        <v>209.8</v>
      </c>
      <c r="H74" s="105">
        <v>204.1</v>
      </c>
      <c r="I74" s="105">
        <v>286.89999999999998</v>
      </c>
      <c r="J74" s="82">
        <v>269.76900000000001</v>
      </c>
      <c r="K74" s="105">
        <v>267.8</v>
      </c>
      <c r="L74" s="105">
        <v>277.10000000000002</v>
      </c>
      <c r="M74" s="105">
        <v>285.2</v>
      </c>
      <c r="N74" s="82">
        <v>283.39999999999998</v>
      </c>
      <c r="O74" s="105">
        <v>303.3</v>
      </c>
      <c r="P74" s="105">
        <v>311.5</v>
      </c>
      <c r="R74" s="30">
        <f t="shared" si="137"/>
        <v>269.76900000000001</v>
      </c>
      <c r="S74" s="30">
        <f t="shared" si="137"/>
        <v>267.8</v>
      </c>
      <c r="T74" s="30">
        <f t="shared" si="137"/>
        <v>277.10000000000002</v>
      </c>
      <c r="U74" s="30">
        <f t="shared" si="137"/>
        <v>285.2</v>
      </c>
      <c r="V74" s="30">
        <f t="shared" si="137"/>
        <v>283.39999999999998</v>
      </c>
      <c r="W74" s="30">
        <f t="shared" si="137"/>
        <v>303.3</v>
      </c>
      <c r="X74" s="30">
        <f t="shared" ref="X74:X75" si="146">P74</f>
        <v>311.5</v>
      </c>
      <c r="Y74" s="39"/>
      <c r="Z74" s="68">
        <f>SUM(X74/T74)-1</f>
        <v>0.12414290869722122</v>
      </c>
    </row>
    <row r="75" spans="2:26" ht="12.75" customHeight="1">
      <c r="B75" s="104" t="s">
        <v>133</v>
      </c>
      <c r="C75" s="76">
        <v>2.6</v>
      </c>
      <c r="D75" s="76">
        <v>2.8</v>
      </c>
      <c r="E75" s="76">
        <v>3.9</v>
      </c>
      <c r="G75" s="105">
        <v>2.5</v>
      </c>
      <c r="H75" s="105">
        <v>2.4</v>
      </c>
      <c r="I75" s="105">
        <v>2.2999999999999998</v>
      </c>
      <c r="J75" s="82">
        <v>2.8</v>
      </c>
      <c r="K75" s="105">
        <v>3.3</v>
      </c>
      <c r="L75" s="105">
        <v>3.1</v>
      </c>
      <c r="M75" s="105">
        <v>3.2</v>
      </c>
      <c r="N75" s="82">
        <v>3.9</v>
      </c>
      <c r="O75" s="105">
        <v>4</v>
      </c>
      <c r="P75" s="105">
        <v>4.7</v>
      </c>
      <c r="R75" s="30">
        <f t="shared" si="137"/>
        <v>2.8</v>
      </c>
      <c r="S75" s="30">
        <f t="shared" si="137"/>
        <v>3.3</v>
      </c>
      <c r="T75" s="30">
        <f t="shared" si="137"/>
        <v>3.1</v>
      </c>
      <c r="U75" s="30">
        <f t="shared" si="137"/>
        <v>3.2</v>
      </c>
      <c r="V75" s="30">
        <f t="shared" si="137"/>
        <v>3.9</v>
      </c>
      <c r="W75" s="30">
        <f t="shared" si="137"/>
        <v>4</v>
      </c>
      <c r="X75" s="30">
        <f t="shared" si="146"/>
        <v>4.7</v>
      </c>
      <c r="Y75" s="39"/>
      <c r="Z75" s="68">
        <f>SUM(X75/T75)-1</f>
        <v>0.5161290322580645</v>
      </c>
    </row>
    <row r="76" spans="2:26" ht="12.75" customHeight="1">
      <c r="B76" s="12" t="s">
        <v>17</v>
      </c>
      <c r="C76" s="13">
        <f>SUM(C71:C75)+C68</f>
        <v>3683.8</v>
      </c>
      <c r="D76" s="13">
        <f>SUM(D71:D75)+D68</f>
        <v>3190.1000000000004</v>
      </c>
      <c r="E76" s="13">
        <f>SUM(E71:E75)+E68</f>
        <v>2976.4</v>
      </c>
      <c r="G76" s="13">
        <f>SUM(G71:G75)+G68</f>
        <v>3627.2000000000003</v>
      </c>
      <c r="H76" s="13">
        <f>SUM(H71:H75)+H68</f>
        <v>3413.4</v>
      </c>
      <c r="I76" s="13">
        <f>SUM(I71:I75)+I68</f>
        <v>3381.1000000000004</v>
      </c>
      <c r="J76" s="13">
        <f>SUM(J71:J75)+J68</f>
        <v>3190.0689999999995</v>
      </c>
      <c r="K76" s="13">
        <f>SUM(K71:K75)+K68</f>
        <v>3198.7000000000003</v>
      </c>
      <c r="L76" s="13">
        <f>SUM(L71:L75)+L68</f>
        <v>3066.7</v>
      </c>
      <c r="M76" s="13">
        <f>SUM(M71:M75)+M68</f>
        <v>2988.2999999999993</v>
      </c>
      <c r="N76" s="13">
        <f>SUM(N71:N75)+N68</f>
        <v>2976.4</v>
      </c>
      <c r="O76" s="13">
        <f>SUM(O71:O75)+O68</f>
        <v>3096.5</v>
      </c>
      <c r="P76" s="13">
        <f>SUM(P71:P75)+P68</f>
        <v>3029.3</v>
      </c>
      <c r="R76" s="13">
        <f>SUM(R71:R75)+R68</f>
        <v>3190.0689999999995</v>
      </c>
      <c r="S76" s="13">
        <f>SUM(S71:S75)+S68</f>
        <v>3198.7000000000003</v>
      </c>
      <c r="T76" s="13">
        <f>SUM(T71:T75)+T68</f>
        <v>3066.7</v>
      </c>
      <c r="U76" s="13">
        <f>SUM(U71:U75)+U68</f>
        <v>2988.2999999999993</v>
      </c>
      <c r="V76" s="13">
        <f>SUM(V71:V75)+V68</f>
        <v>2976.4</v>
      </c>
      <c r="W76" s="13">
        <f>SUM(W71:W75)+W68</f>
        <v>3096.5</v>
      </c>
      <c r="X76" s="13">
        <f>SUM(X71:X75)+X68</f>
        <v>3029.3</v>
      </c>
      <c r="Y76" s="39"/>
      <c r="Z76" s="69">
        <f>SUM(X76/T76)-1</f>
        <v>-1.2195519613917072E-2</v>
      </c>
    </row>
    <row r="77" spans="2:26" ht="5.0999999999999996" customHeight="1">
      <c r="B77" s="23"/>
      <c r="C77" s="46"/>
      <c r="D77" s="38"/>
      <c r="E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R77" s="39"/>
      <c r="S77" s="39"/>
      <c r="T77" s="39"/>
      <c r="U77" s="39"/>
      <c r="V77" s="39"/>
      <c r="W77" s="39"/>
      <c r="X77" s="39"/>
      <c r="Y77" s="39"/>
      <c r="Z77" s="36"/>
    </row>
    <row r="78" spans="2:26" ht="12.75" customHeight="1">
      <c r="B78" s="104" t="s">
        <v>112</v>
      </c>
      <c r="C78" s="76">
        <v>817.9</v>
      </c>
      <c r="D78" s="76">
        <v>1453.9</v>
      </c>
      <c r="E78" s="76">
        <v>1835.7</v>
      </c>
      <c r="G78" s="105">
        <v>968.5</v>
      </c>
      <c r="H78" s="105">
        <v>1189.7</v>
      </c>
      <c r="I78" s="105">
        <v>1200.3</v>
      </c>
      <c r="J78" s="82">
        <v>1453.9</v>
      </c>
      <c r="K78" s="105">
        <v>1597.1</v>
      </c>
      <c r="L78" s="105">
        <v>1653.2</v>
      </c>
      <c r="M78" s="105">
        <v>1725.1</v>
      </c>
      <c r="N78" s="82">
        <v>1835.7</v>
      </c>
      <c r="O78" s="105">
        <v>1969.6</v>
      </c>
      <c r="P78" s="105">
        <v>1421.1</v>
      </c>
      <c r="R78" s="30">
        <f t="shared" ref="R78:W82" si="147">J78</f>
        <v>1453.9</v>
      </c>
      <c r="S78" s="30">
        <f t="shared" si="147"/>
        <v>1597.1</v>
      </c>
      <c r="T78" s="30">
        <f t="shared" si="147"/>
        <v>1653.2</v>
      </c>
      <c r="U78" s="30">
        <f t="shared" si="147"/>
        <v>1725.1</v>
      </c>
      <c r="V78" s="30">
        <f t="shared" si="147"/>
        <v>1835.7</v>
      </c>
      <c r="W78" s="30">
        <f t="shared" si="147"/>
        <v>1969.6</v>
      </c>
      <c r="X78" s="30">
        <f>P78</f>
        <v>1421.1</v>
      </c>
      <c r="Y78" s="11"/>
      <c r="Z78" s="68">
        <f>SUM(X78/T78)-1</f>
        <v>-0.14039438664408432</v>
      </c>
    </row>
    <row r="79" spans="2:26" ht="12.75" customHeight="1">
      <c r="B79" s="104" t="s">
        <v>112</v>
      </c>
      <c r="C79" s="76"/>
      <c r="D79" s="76"/>
      <c r="E79" s="76"/>
      <c r="G79" s="105"/>
      <c r="H79" s="105"/>
      <c r="I79" s="105"/>
      <c r="J79" s="82">
        <f>D79</f>
        <v>0</v>
      </c>
      <c r="K79" s="105"/>
      <c r="L79" s="105"/>
      <c r="M79" s="105"/>
      <c r="N79" s="82">
        <f>E79</f>
        <v>0</v>
      </c>
      <c r="O79" s="105"/>
      <c r="P79" s="105"/>
      <c r="R79" s="30">
        <f t="shared" si="147"/>
        <v>0</v>
      </c>
      <c r="S79" s="30">
        <f t="shared" si="147"/>
        <v>0</v>
      </c>
      <c r="T79" s="30">
        <f t="shared" si="147"/>
        <v>0</v>
      </c>
      <c r="U79" s="30">
        <f t="shared" si="147"/>
        <v>0</v>
      </c>
      <c r="V79" s="30">
        <f t="shared" si="147"/>
        <v>0</v>
      </c>
      <c r="W79" s="30">
        <f t="shared" si="147"/>
        <v>0</v>
      </c>
      <c r="X79" s="30">
        <f t="shared" ref="X79:X82" si="148">P79</f>
        <v>0</v>
      </c>
      <c r="Y79" s="11"/>
      <c r="Z79" s="68" t="e">
        <f>SUM(X79/T79)-1</f>
        <v>#DIV/0!</v>
      </c>
    </row>
    <row r="80" spans="2:26" ht="12.75" customHeight="1">
      <c r="B80" s="104" t="s">
        <v>112</v>
      </c>
      <c r="C80" s="76"/>
      <c r="D80" s="76"/>
      <c r="E80" s="76"/>
      <c r="G80" s="105"/>
      <c r="H80" s="105"/>
      <c r="I80" s="105"/>
      <c r="J80" s="82">
        <f>D80</f>
        <v>0</v>
      </c>
      <c r="K80" s="105"/>
      <c r="L80" s="105"/>
      <c r="M80" s="105"/>
      <c r="N80" s="82">
        <f>E80</f>
        <v>0</v>
      </c>
      <c r="O80" s="105"/>
      <c r="P80" s="105"/>
      <c r="R80" s="30">
        <f t="shared" si="147"/>
        <v>0</v>
      </c>
      <c r="S80" s="30">
        <f t="shared" si="147"/>
        <v>0</v>
      </c>
      <c r="T80" s="30">
        <f t="shared" si="147"/>
        <v>0</v>
      </c>
      <c r="U80" s="30">
        <f t="shared" si="147"/>
        <v>0</v>
      </c>
      <c r="V80" s="30">
        <f t="shared" si="147"/>
        <v>0</v>
      </c>
      <c r="W80" s="30">
        <f t="shared" si="147"/>
        <v>0</v>
      </c>
      <c r="X80" s="30">
        <f t="shared" si="148"/>
        <v>0</v>
      </c>
      <c r="Y80" s="11"/>
      <c r="Z80" s="68" t="e">
        <f>SUM(X80/T80)-1</f>
        <v>#DIV/0!</v>
      </c>
    </row>
    <row r="81" spans="1:26" ht="12.75" customHeight="1">
      <c r="B81" s="104" t="s">
        <v>112</v>
      </c>
      <c r="C81" s="76"/>
      <c r="D81" s="76"/>
      <c r="E81" s="76"/>
      <c r="G81" s="105"/>
      <c r="H81" s="105"/>
      <c r="I81" s="105"/>
      <c r="J81" s="82">
        <f>D81</f>
        <v>0</v>
      </c>
      <c r="K81" s="105"/>
      <c r="L81" s="105"/>
      <c r="M81" s="105"/>
      <c r="N81" s="82">
        <f>E81</f>
        <v>0</v>
      </c>
      <c r="O81" s="105"/>
      <c r="P81" s="105"/>
      <c r="R81" s="30">
        <f t="shared" si="147"/>
        <v>0</v>
      </c>
      <c r="S81" s="30">
        <f t="shared" si="147"/>
        <v>0</v>
      </c>
      <c r="T81" s="30">
        <f t="shared" si="147"/>
        <v>0</v>
      </c>
      <c r="U81" s="30">
        <f t="shared" si="147"/>
        <v>0</v>
      </c>
      <c r="V81" s="30">
        <f t="shared" si="147"/>
        <v>0</v>
      </c>
      <c r="W81" s="30">
        <f t="shared" si="147"/>
        <v>0</v>
      </c>
      <c r="X81" s="30">
        <f t="shared" si="148"/>
        <v>0</v>
      </c>
      <c r="Y81" s="11"/>
      <c r="Z81" s="68" t="e">
        <f>SUM(X81/T81)-1</f>
        <v>#DIV/0!</v>
      </c>
    </row>
    <row r="82" spans="1:26" ht="12.75" customHeight="1">
      <c r="B82" s="104" t="s">
        <v>112</v>
      </c>
      <c r="C82" s="76"/>
      <c r="D82" s="76"/>
      <c r="E82" s="76"/>
      <c r="G82" s="105"/>
      <c r="H82" s="105"/>
      <c r="I82" s="105"/>
      <c r="J82" s="82">
        <f>D82</f>
        <v>0</v>
      </c>
      <c r="K82" s="105"/>
      <c r="L82" s="105"/>
      <c r="M82" s="105"/>
      <c r="N82" s="82">
        <f>E82</f>
        <v>0</v>
      </c>
      <c r="O82" s="105"/>
      <c r="P82" s="105"/>
      <c r="R82" s="30">
        <f t="shared" si="147"/>
        <v>0</v>
      </c>
      <c r="S82" s="30">
        <f t="shared" si="147"/>
        <v>0</v>
      </c>
      <c r="T82" s="30">
        <f t="shared" si="147"/>
        <v>0</v>
      </c>
      <c r="U82" s="30">
        <f t="shared" si="147"/>
        <v>0</v>
      </c>
      <c r="V82" s="30">
        <f t="shared" si="147"/>
        <v>0</v>
      </c>
      <c r="W82" s="30">
        <f t="shared" si="147"/>
        <v>0</v>
      </c>
      <c r="X82" s="30">
        <f t="shared" si="148"/>
        <v>0</v>
      </c>
      <c r="Y82" s="11"/>
      <c r="Z82" s="68" t="e">
        <f>SUM(X82/T82)-1</f>
        <v>#DIV/0!</v>
      </c>
    </row>
    <row r="83" spans="1:26" ht="12.75" customHeight="1">
      <c r="B83" s="12" t="s">
        <v>16</v>
      </c>
      <c r="C83" s="13">
        <f t="shared" ref="C83:E83" si="149">SUM(C78:C82)</f>
        <v>817.9</v>
      </c>
      <c r="D83" s="13">
        <f t="shared" si="149"/>
        <v>1453.9</v>
      </c>
      <c r="E83" s="13">
        <f t="shared" si="149"/>
        <v>1835.7</v>
      </c>
      <c r="F83" s="48"/>
      <c r="G83" s="13">
        <f t="shared" ref="G83:P83" si="150">SUM(G78:G82)</f>
        <v>968.5</v>
      </c>
      <c r="H83" s="13">
        <f t="shared" si="150"/>
        <v>1189.7</v>
      </c>
      <c r="I83" s="13">
        <f t="shared" si="150"/>
        <v>1200.3</v>
      </c>
      <c r="J83" s="13">
        <f t="shared" si="150"/>
        <v>1453.9</v>
      </c>
      <c r="K83" s="13">
        <f t="shared" si="150"/>
        <v>1597.1</v>
      </c>
      <c r="L83" s="13">
        <f t="shared" si="150"/>
        <v>1653.2</v>
      </c>
      <c r="M83" s="13">
        <f t="shared" si="150"/>
        <v>1725.1</v>
      </c>
      <c r="N83" s="13">
        <f t="shared" si="150"/>
        <v>1835.7</v>
      </c>
      <c r="O83" s="13">
        <f t="shared" si="150"/>
        <v>1969.6</v>
      </c>
      <c r="P83" s="13">
        <f t="shared" si="150"/>
        <v>1421.1</v>
      </c>
      <c r="R83" s="13">
        <f t="shared" ref="R83:X83" si="151">SUM(R78:R82)</f>
        <v>1453.9</v>
      </c>
      <c r="S83" s="13">
        <f t="shared" si="151"/>
        <v>1597.1</v>
      </c>
      <c r="T83" s="13">
        <f t="shared" si="151"/>
        <v>1653.2</v>
      </c>
      <c r="U83" s="13">
        <f t="shared" si="151"/>
        <v>1725.1</v>
      </c>
      <c r="V83" s="13">
        <f t="shared" si="151"/>
        <v>1835.7</v>
      </c>
      <c r="W83" s="13">
        <f t="shared" si="151"/>
        <v>1969.6</v>
      </c>
      <c r="X83" s="13">
        <f t="shared" si="151"/>
        <v>1421.1</v>
      </c>
      <c r="Y83" s="39"/>
      <c r="Z83" s="69">
        <f>SUM(X83/T83)-1</f>
        <v>-0.14039438664408432</v>
      </c>
    </row>
    <row r="84" spans="1:26" ht="12.75" customHeight="1">
      <c r="B84" s="23" t="s">
        <v>52</v>
      </c>
      <c r="C84" s="30">
        <f t="shared" ref="C84:E84" si="152">SUM(C83+C76)</f>
        <v>4501.7</v>
      </c>
      <c r="D84" s="30">
        <f t="shared" si="152"/>
        <v>4644</v>
      </c>
      <c r="E84" s="30">
        <f t="shared" si="152"/>
        <v>4812.1000000000004</v>
      </c>
      <c r="F84" s="30"/>
      <c r="G84" s="30">
        <f t="shared" ref="G84:P84" si="153">SUM(G83+G76)</f>
        <v>4595.7000000000007</v>
      </c>
      <c r="H84" s="30">
        <f t="shared" si="153"/>
        <v>4603.1000000000004</v>
      </c>
      <c r="I84" s="30">
        <f t="shared" si="153"/>
        <v>4581.4000000000005</v>
      </c>
      <c r="J84" s="30">
        <f t="shared" si="153"/>
        <v>4643.9689999999991</v>
      </c>
      <c r="K84" s="30">
        <f t="shared" si="153"/>
        <v>4795.8</v>
      </c>
      <c r="L84" s="30">
        <f t="shared" si="153"/>
        <v>4719.8999999999996</v>
      </c>
      <c r="M84" s="30">
        <f t="shared" si="153"/>
        <v>4713.3999999999996</v>
      </c>
      <c r="N84" s="30">
        <f t="shared" si="153"/>
        <v>4812.1000000000004</v>
      </c>
      <c r="O84" s="30">
        <f t="shared" si="153"/>
        <v>5066.1000000000004</v>
      </c>
      <c r="P84" s="30">
        <f t="shared" si="153"/>
        <v>4450.3999999999996</v>
      </c>
      <c r="Q84" s="30"/>
      <c r="R84" s="30">
        <f t="shared" ref="R84:X84" si="154">SUM(R83+R76)</f>
        <v>4643.9689999999991</v>
      </c>
      <c r="S84" s="30">
        <f t="shared" si="154"/>
        <v>4795.8</v>
      </c>
      <c r="T84" s="30">
        <f t="shared" si="154"/>
        <v>4719.8999999999996</v>
      </c>
      <c r="U84" s="30">
        <f t="shared" si="154"/>
        <v>4713.3999999999996</v>
      </c>
      <c r="V84" s="30">
        <f t="shared" si="154"/>
        <v>4812.1000000000004</v>
      </c>
      <c r="W84" s="30">
        <f t="shared" si="154"/>
        <v>5066.1000000000004</v>
      </c>
      <c r="X84" s="30">
        <f t="shared" si="154"/>
        <v>4450.3999999999996</v>
      </c>
      <c r="Y84" s="11"/>
      <c r="Z84" s="69">
        <f>SUM(X84/T84)-1</f>
        <v>-5.7098667344647192E-2</v>
      </c>
    </row>
    <row r="85" spans="1:26" ht="5.0999999999999996" customHeight="1">
      <c r="B85" s="23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11"/>
    </row>
    <row r="86" spans="1:26" ht="12.75" customHeight="1">
      <c r="B86" s="62" t="s">
        <v>63</v>
      </c>
      <c r="C86" s="63">
        <f>C84-C60</f>
        <v>-0.2000000000007276</v>
      </c>
      <c r="D86" s="63">
        <f>D84-D60</f>
        <v>0.1999999999998181</v>
      </c>
      <c r="E86" s="63">
        <f>E84-E60</f>
        <v>-9.9999999998544808E-2</v>
      </c>
      <c r="F86" s="64"/>
      <c r="G86" s="63">
        <f>G84-G60</f>
        <v>0</v>
      </c>
      <c r="H86" s="63">
        <f>H84-H60</f>
        <v>0</v>
      </c>
      <c r="I86" s="63">
        <f>I84-I60</f>
        <v>0.10000000000127329</v>
      </c>
      <c r="J86" s="63">
        <f>J84-J60</f>
        <v>0.16899999999895954</v>
      </c>
      <c r="K86" s="63">
        <f>K84-K60</f>
        <v>0.1000000000003638</v>
      </c>
      <c r="L86" s="63">
        <f>L84-L60</f>
        <v>0.1000000000003638</v>
      </c>
      <c r="M86" s="63">
        <f>M84-M60</f>
        <v>9.9999999999454303E-2</v>
      </c>
      <c r="N86" s="63">
        <f>N84-N60</f>
        <v>-9.9999999998544808E-2</v>
      </c>
      <c r="O86" s="63">
        <f>O84-O60</f>
        <v>-0.1000000000003638</v>
      </c>
      <c r="P86" s="63">
        <f>P84-P60</f>
        <v>-0.1000000000003638</v>
      </c>
      <c r="Q86" s="26"/>
      <c r="R86" s="63">
        <f>R84-R60</f>
        <v>0.16899999999895954</v>
      </c>
      <c r="S86" s="63">
        <f>S84-S60</f>
        <v>0.1000000000003638</v>
      </c>
      <c r="T86" s="63">
        <f>T84-T60</f>
        <v>0.1000000000003638</v>
      </c>
      <c r="U86" s="63">
        <f>U84-U60</f>
        <v>9.9999999999454303E-2</v>
      </c>
      <c r="V86" s="63">
        <f>V84-V60</f>
        <v>-9.9999999998544808E-2</v>
      </c>
      <c r="W86" s="63">
        <f>W84-W60</f>
        <v>-0.1000000000003638</v>
      </c>
      <c r="X86" s="63">
        <f>X84-X60</f>
        <v>-0.1000000000003638</v>
      </c>
    </row>
    <row r="87" spans="1:26" ht="5.0999999999999996" customHeight="1" thickBot="1">
      <c r="B87" s="100"/>
      <c r="C87" s="101"/>
      <c r="D87" s="101"/>
      <c r="E87" s="101"/>
      <c r="F87" s="102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3"/>
      <c r="R87" s="101"/>
      <c r="S87" s="101"/>
      <c r="T87" s="101"/>
      <c r="U87" s="101"/>
      <c r="V87" s="101"/>
      <c r="W87" s="101"/>
      <c r="X87" s="101"/>
      <c r="Y87" s="66"/>
      <c r="Z87" s="66"/>
    </row>
    <row r="88" spans="1:26">
      <c r="B88" s="61"/>
      <c r="C88" s="22"/>
      <c r="D88" s="22"/>
      <c r="E88" s="22"/>
      <c r="F88" s="49"/>
    </row>
    <row r="89" spans="1:26" ht="12.75" customHeight="1">
      <c r="A89" s="5" t="s">
        <v>18</v>
      </c>
      <c r="B89" s="83" t="s">
        <v>15</v>
      </c>
      <c r="C89" s="87" t="s">
        <v>0</v>
      </c>
      <c r="D89" s="87"/>
      <c r="E89" s="87"/>
      <c r="F89" s="88"/>
      <c r="G89" s="87"/>
      <c r="H89" s="87"/>
      <c r="I89" s="87"/>
      <c r="J89" s="87"/>
      <c r="K89" s="87"/>
      <c r="L89" s="87"/>
      <c r="M89" s="87" t="s">
        <v>1</v>
      </c>
      <c r="N89" s="87"/>
      <c r="O89" s="87"/>
      <c r="P89" s="87"/>
      <c r="Q89" s="83"/>
      <c r="R89" s="87"/>
      <c r="S89" s="87"/>
      <c r="T89" s="87" t="s">
        <v>10</v>
      </c>
      <c r="U89" s="87"/>
      <c r="V89" s="87"/>
      <c r="W89" s="87"/>
      <c r="X89" s="87"/>
      <c r="Y89" s="88"/>
      <c r="Z89" s="153" t="s">
        <v>24</v>
      </c>
    </row>
    <row r="90" spans="1:26" ht="12.75" customHeight="1">
      <c r="B90" s="84" t="str">
        <f>B7</f>
        <v>Fiscal Period</v>
      </c>
      <c r="C90" s="89">
        <f>C7</f>
        <v>2022</v>
      </c>
      <c r="D90" s="89">
        <f>D7</f>
        <v>2023</v>
      </c>
      <c r="E90" s="89">
        <f>E7</f>
        <v>2024</v>
      </c>
      <c r="F90" s="88"/>
      <c r="G90" s="89" t="str">
        <f>G7</f>
        <v>1Q23</v>
      </c>
      <c r="H90" s="89" t="str">
        <f>H7</f>
        <v>2Q23</v>
      </c>
      <c r="I90" s="89" t="str">
        <f>I7</f>
        <v>3Q23</v>
      </c>
      <c r="J90" s="89" t="str">
        <f>J7</f>
        <v>4Q23</v>
      </c>
      <c r="K90" s="89" t="str">
        <f>K7</f>
        <v>1Q24</v>
      </c>
      <c r="L90" s="89" t="str">
        <f>L7</f>
        <v>2Q24</v>
      </c>
      <c r="M90" s="89" t="str">
        <f>M7</f>
        <v>3Q24</v>
      </c>
      <c r="N90" s="89" t="str">
        <f>N7</f>
        <v>4Q24</v>
      </c>
      <c r="O90" s="89" t="str">
        <f>O7</f>
        <v>1Q25</v>
      </c>
      <c r="P90" s="89" t="str">
        <f>P7</f>
        <v>2Q25</v>
      </c>
      <c r="Q90" s="89"/>
      <c r="R90" s="89" t="str">
        <f>R7</f>
        <v>4Q23</v>
      </c>
      <c r="S90" s="89" t="str">
        <f>S7</f>
        <v>1Q24</v>
      </c>
      <c r="T90" s="89" t="str">
        <f>T7</f>
        <v>2Q24</v>
      </c>
      <c r="U90" s="89" t="str">
        <f>U7</f>
        <v>3Q24</v>
      </c>
      <c r="V90" s="89" t="str">
        <f>V7</f>
        <v>4Q24</v>
      </c>
      <c r="W90" s="89" t="str">
        <f>W7</f>
        <v>1Q25</v>
      </c>
      <c r="X90" s="89" t="str">
        <f>X7</f>
        <v>2Q25</v>
      </c>
      <c r="Y90" s="88"/>
      <c r="Z90" s="153"/>
    </row>
    <row r="91" spans="1:26" ht="12.75" customHeight="1">
      <c r="B91" s="84" t="str">
        <f>B8</f>
        <v>Fiscal Period End Date</v>
      </c>
      <c r="C91" s="90" t="str">
        <f>C8</f>
        <v>XXX</v>
      </c>
      <c r="D91" s="90" t="str">
        <f>D8</f>
        <v>XXX</v>
      </c>
      <c r="E91" s="90" t="str">
        <f>E8</f>
        <v>XXX</v>
      </c>
      <c r="F91" s="88"/>
      <c r="G91" s="90" t="str">
        <f>G8</f>
        <v>XXX</v>
      </c>
      <c r="H91" s="90" t="str">
        <f>H8</f>
        <v>XXX</v>
      </c>
      <c r="I91" s="90" t="str">
        <f>I8</f>
        <v>XXX</v>
      </c>
      <c r="J91" s="90" t="str">
        <f>J8</f>
        <v>XXX</v>
      </c>
      <c r="K91" s="90" t="str">
        <f>K8</f>
        <v>XXX</v>
      </c>
      <c r="L91" s="90" t="str">
        <f>L8</f>
        <v>XXX</v>
      </c>
      <c r="M91" s="90" t="str">
        <f>M8</f>
        <v>XXX</v>
      </c>
      <c r="N91" s="90" t="str">
        <f>N8</f>
        <v>XXX</v>
      </c>
      <c r="O91" s="90" t="str">
        <f>O8</f>
        <v>XXX</v>
      </c>
      <c r="P91" s="90" t="str">
        <f>P8</f>
        <v>XXX</v>
      </c>
      <c r="Q91" s="90"/>
      <c r="R91" s="90" t="str">
        <f>R8</f>
        <v>XXX</v>
      </c>
      <c r="S91" s="90" t="str">
        <f>S8</f>
        <v>XXX</v>
      </c>
      <c r="T91" s="90" t="str">
        <f>T8</f>
        <v>XXX</v>
      </c>
      <c r="U91" s="90" t="str">
        <f>U8</f>
        <v>XXX</v>
      </c>
      <c r="V91" s="90" t="str">
        <f>V8</f>
        <v>XXX</v>
      </c>
      <c r="W91" s="90" t="str">
        <f>W8</f>
        <v>XXX</v>
      </c>
      <c r="X91" s="90" t="str">
        <f>X8</f>
        <v>XXX</v>
      </c>
      <c r="Y91" s="88"/>
      <c r="Z91" s="153"/>
    </row>
    <row r="92" spans="1:26" ht="5.0999999999999996" customHeight="1">
      <c r="B92" s="50"/>
      <c r="C92" s="44"/>
      <c r="D92" s="44"/>
      <c r="E92" s="44"/>
    </row>
    <row r="93" spans="1:26" ht="12.75" customHeight="1">
      <c r="B93" s="51" t="s">
        <v>53</v>
      </c>
      <c r="C93" s="52"/>
      <c r="D93" s="52"/>
      <c r="E93" s="52"/>
    </row>
    <row r="94" spans="1:26" ht="12.75" customHeight="1">
      <c r="B94" s="53" t="s">
        <v>54</v>
      </c>
      <c r="C94" s="30">
        <f>C30</f>
        <v>540.20000000000005</v>
      </c>
      <c r="D94" s="30">
        <f>D30</f>
        <v>792.59999999999991</v>
      </c>
      <c r="E94" s="30">
        <f>E30</f>
        <v>950.00000000000034</v>
      </c>
      <c r="F94" s="30"/>
      <c r="G94" s="30">
        <f>G30</f>
        <v>149.70000000000005</v>
      </c>
      <c r="H94" s="30">
        <f>H30</f>
        <v>212.40000000000003</v>
      </c>
      <c r="I94" s="30">
        <f>I30</f>
        <v>176.9</v>
      </c>
      <c r="J94" s="30">
        <f>J30</f>
        <v>253.60000000000002</v>
      </c>
      <c r="K94" s="30">
        <f>K30</f>
        <v>152.29999999999998</v>
      </c>
      <c r="L94" s="30">
        <f>L30</f>
        <v>228.8</v>
      </c>
      <c r="M94" s="30">
        <f>M30</f>
        <v>199.80000000000007</v>
      </c>
      <c r="N94" s="30">
        <f>N30</f>
        <v>369.1</v>
      </c>
      <c r="O94" s="30">
        <f>O30</f>
        <v>160</v>
      </c>
      <c r="P94" s="30">
        <f>P30</f>
        <v>-492.19999999999987</v>
      </c>
      <c r="R94" s="30">
        <f>R30</f>
        <v>792.59999999999991</v>
      </c>
      <c r="S94" s="30">
        <f>S30</f>
        <v>795.20000000000027</v>
      </c>
      <c r="T94" s="30">
        <f>T30</f>
        <v>811.60000000000036</v>
      </c>
      <c r="U94" s="30">
        <f>U30</f>
        <v>834.50000000000011</v>
      </c>
      <c r="V94" s="30">
        <f>V30</f>
        <v>950.00000000000034</v>
      </c>
      <c r="W94" s="30">
        <f>W30</f>
        <v>957.69999999999959</v>
      </c>
      <c r="X94" s="30">
        <f>X30</f>
        <v>236.70000000000064</v>
      </c>
      <c r="Y94" s="11"/>
      <c r="Z94" s="68">
        <f>SUM(X94/T94)-1</f>
        <v>-0.70835386890093577</v>
      </c>
    </row>
    <row r="95" spans="1:26" ht="5.0999999999999996" customHeight="1"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R95" s="30"/>
      <c r="S95" s="30"/>
      <c r="T95" s="30"/>
      <c r="U95" s="30"/>
      <c r="V95" s="30"/>
      <c r="W95" s="30"/>
      <c r="X95" s="30"/>
      <c r="Y95" s="11"/>
      <c r="Z95" s="68"/>
    </row>
    <row r="96" spans="1:26" ht="12.75" customHeight="1">
      <c r="B96" s="33" t="s">
        <v>62</v>
      </c>
      <c r="C96" s="30"/>
      <c r="D96" s="30"/>
      <c r="E96" s="30"/>
      <c r="F96" s="30"/>
      <c r="G96" s="76"/>
      <c r="H96" s="76"/>
      <c r="I96" s="76"/>
      <c r="J96" s="30"/>
      <c r="K96" s="76"/>
      <c r="L96" s="76"/>
      <c r="M96" s="76"/>
      <c r="N96" s="30"/>
      <c r="O96" s="76"/>
      <c r="P96" s="76"/>
      <c r="R96" s="30"/>
      <c r="S96" s="30"/>
      <c r="T96" s="30"/>
      <c r="U96" s="30"/>
      <c r="V96" s="30"/>
      <c r="W96" s="30"/>
      <c r="X96" s="30"/>
      <c r="Y96" s="55"/>
      <c r="Z96" s="68"/>
    </row>
    <row r="97" spans="2:26" ht="12.75" customHeight="1">
      <c r="B97" s="56" t="s">
        <v>55</v>
      </c>
      <c r="C97" s="76"/>
      <c r="D97" s="76"/>
      <c r="E97" s="76"/>
      <c r="F97" s="30"/>
      <c r="G97" s="76"/>
      <c r="H97" s="76"/>
      <c r="I97" s="76"/>
      <c r="J97" s="30">
        <f>SUM(D97-SUM(G97:I97))</f>
        <v>0</v>
      </c>
      <c r="K97" s="76"/>
      <c r="L97" s="76"/>
      <c r="M97" s="76"/>
      <c r="N97" s="30">
        <f>SUM(E97-SUM(K97:M97))</f>
        <v>0</v>
      </c>
      <c r="O97" s="76"/>
      <c r="P97" s="76"/>
      <c r="R97" s="30">
        <f>SUM(H97:K97)</f>
        <v>0</v>
      </c>
      <c r="S97" s="30">
        <f>SUM(I97:L97)</f>
        <v>0</v>
      </c>
      <c r="T97" s="30">
        <f>SUM(J97:M97)</f>
        <v>0</v>
      </c>
      <c r="U97" s="30">
        <f>SUM(K97:N97)</f>
        <v>0</v>
      </c>
      <c r="V97" s="30">
        <f>SUM(L97:O97)</f>
        <v>0</v>
      </c>
      <c r="W97" s="30">
        <f>SUM(M97:P97)</f>
        <v>0</v>
      </c>
      <c r="X97" s="30">
        <f>SUM(N97:P97)</f>
        <v>0</v>
      </c>
      <c r="Y97" s="11"/>
      <c r="Z97" s="68" t="e">
        <f>SUM(X97/T97)-1</f>
        <v>#DIV/0!</v>
      </c>
    </row>
    <row r="98" spans="2:26" ht="12.75" customHeight="1">
      <c r="B98" s="56" t="s">
        <v>112</v>
      </c>
      <c r="C98" s="76"/>
      <c r="D98" s="76"/>
      <c r="E98" s="76"/>
      <c r="F98" s="30"/>
      <c r="G98" s="76"/>
      <c r="H98" s="76"/>
      <c r="I98" s="76"/>
      <c r="J98" s="30">
        <f>SUM(D98-SUM(G98:I98))</f>
        <v>0</v>
      </c>
      <c r="K98" s="76"/>
      <c r="L98" s="76"/>
      <c r="M98" s="76"/>
      <c r="N98" s="30">
        <f>SUM(E98-SUM(K98:M98))</f>
        <v>0</v>
      </c>
      <c r="O98" s="76"/>
      <c r="P98" s="76"/>
      <c r="R98" s="30">
        <f>SUM(H98:K98)</f>
        <v>0</v>
      </c>
      <c r="S98" s="30">
        <f>SUM(I98:L98)</f>
        <v>0</v>
      </c>
      <c r="T98" s="30">
        <f>SUM(J98:M98)</f>
        <v>0</v>
      </c>
      <c r="U98" s="30">
        <f>SUM(K98:N98)</f>
        <v>0</v>
      </c>
      <c r="V98" s="30">
        <f>SUM(L98:O98)</f>
        <v>0</v>
      </c>
      <c r="W98" s="30">
        <f>SUM(M98:P98)</f>
        <v>0</v>
      </c>
      <c r="X98" s="30">
        <f>SUM(N98:P98)</f>
        <v>0</v>
      </c>
      <c r="Y98" s="11"/>
      <c r="Z98" s="68" t="e">
        <f>SUM(X98/T98)-1</f>
        <v>#DIV/0!</v>
      </c>
    </row>
    <row r="99" spans="2:26" ht="12.75" customHeight="1">
      <c r="B99" s="56" t="s">
        <v>112</v>
      </c>
      <c r="C99" s="76"/>
      <c r="D99" s="76"/>
      <c r="E99" s="76"/>
      <c r="F99" s="30"/>
      <c r="G99" s="76"/>
      <c r="H99" s="76"/>
      <c r="I99" s="76"/>
      <c r="J99" s="30">
        <f>SUM(D99-SUM(G99:I99))</f>
        <v>0</v>
      </c>
      <c r="K99" s="76"/>
      <c r="L99" s="76"/>
      <c r="M99" s="76"/>
      <c r="N99" s="30">
        <f>SUM(E99-SUM(K99:M99))</f>
        <v>0</v>
      </c>
      <c r="O99" s="76"/>
      <c r="P99" s="76"/>
      <c r="R99" s="30">
        <f>SUM(H99:K99)</f>
        <v>0</v>
      </c>
      <c r="S99" s="30">
        <f>SUM(I99:L99)</f>
        <v>0</v>
      </c>
      <c r="T99" s="30">
        <f>SUM(J99:M99)</f>
        <v>0</v>
      </c>
      <c r="U99" s="30">
        <f>SUM(K99:N99)</f>
        <v>0</v>
      </c>
      <c r="V99" s="30">
        <f>SUM(L99:O99)</f>
        <v>0</v>
      </c>
      <c r="W99" s="30">
        <f>SUM(M99:P99)</f>
        <v>0</v>
      </c>
      <c r="X99" s="30">
        <f>SUM(N99:P99)</f>
        <v>0</v>
      </c>
      <c r="Y99" s="11"/>
      <c r="Z99" s="68" t="e">
        <f>SUM(X99/T99)-1</f>
        <v>#DIV/0!</v>
      </c>
    </row>
    <row r="100" spans="2:26" ht="12.75" customHeight="1">
      <c r="B100" s="56" t="s">
        <v>112</v>
      </c>
      <c r="C100" s="76"/>
      <c r="D100" s="76"/>
      <c r="E100" s="76"/>
      <c r="F100" s="30"/>
      <c r="G100" s="76"/>
      <c r="H100" s="76"/>
      <c r="I100" s="76"/>
      <c r="J100" s="30">
        <f>SUM(D100-SUM(G100:I100))</f>
        <v>0</v>
      </c>
      <c r="K100" s="76"/>
      <c r="L100" s="76"/>
      <c r="M100" s="76"/>
      <c r="N100" s="30">
        <f>SUM(E100-SUM(K100:M100))</f>
        <v>0</v>
      </c>
      <c r="O100" s="76"/>
      <c r="P100" s="76"/>
      <c r="R100" s="30">
        <f>SUM(H100:K100)</f>
        <v>0</v>
      </c>
      <c r="S100" s="30">
        <f>SUM(I100:L100)</f>
        <v>0</v>
      </c>
      <c r="T100" s="30">
        <f>SUM(J100:M100)</f>
        <v>0</v>
      </c>
      <c r="U100" s="30">
        <f>SUM(K100:N100)</f>
        <v>0</v>
      </c>
      <c r="V100" s="30">
        <f>SUM(L100:O100)</f>
        <v>0</v>
      </c>
      <c r="W100" s="30">
        <f>SUM(M100:P100)</f>
        <v>0</v>
      </c>
      <c r="X100" s="30">
        <f>SUM(N100:P100)</f>
        <v>0</v>
      </c>
      <c r="Y100" s="11"/>
      <c r="Z100" s="68" t="e">
        <f>SUM(X100/T100)-1</f>
        <v>#DIV/0!</v>
      </c>
    </row>
    <row r="101" spans="2:26" ht="12.75" customHeight="1">
      <c r="B101" s="56" t="s">
        <v>112</v>
      </c>
      <c r="C101" s="76"/>
      <c r="D101" s="76"/>
      <c r="E101" s="76"/>
      <c r="F101" s="30"/>
      <c r="G101" s="76"/>
      <c r="H101" s="76"/>
      <c r="I101" s="76"/>
      <c r="J101" s="30">
        <f>SUM(D101-SUM(G101:I101))</f>
        <v>0</v>
      </c>
      <c r="K101" s="76"/>
      <c r="L101" s="76"/>
      <c r="M101" s="76"/>
      <c r="N101" s="30">
        <f>SUM(E101-SUM(K101:M101))</f>
        <v>0</v>
      </c>
      <c r="O101" s="76"/>
      <c r="P101" s="76"/>
      <c r="R101" s="30">
        <f>SUM(H101:K101)</f>
        <v>0</v>
      </c>
      <c r="S101" s="30">
        <f>SUM(I101:L101)</f>
        <v>0</v>
      </c>
      <c r="T101" s="30">
        <f>SUM(J101:M101)</f>
        <v>0</v>
      </c>
      <c r="U101" s="30">
        <f>SUM(K101:N101)</f>
        <v>0</v>
      </c>
      <c r="V101" s="30">
        <f>SUM(L101:O101)</f>
        <v>0</v>
      </c>
      <c r="W101" s="30">
        <f>SUM(M101:P101)</f>
        <v>0</v>
      </c>
      <c r="X101" s="30">
        <f>SUM(N101:P101)</f>
        <v>0</v>
      </c>
      <c r="Y101" s="11"/>
      <c r="Z101" s="68" t="e">
        <f>SUM(X101/T101)-1</f>
        <v>#DIV/0!</v>
      </c>
    </row>
    <row r="102" spans="2:26" ht="12.75" customHeight="1">
      <c r="B102" s="56" t="s">
        <v>112</v>
      </c>
      <c r="C102" s="76"/>
      <c r="D102" s="76"/>
      <c r="E102" s="76"/>
      <c r="F102" s="30"/>
      <c r="G102" s="76"/>
      <c r="H102" s="76"/>
      <c r="I102" s="76"/>
      <c r="J102" s="30">
        <f>SUM(D102-SUM(G102:I102))</f>
        <v>0</v>
      </c>
      <c r="K102" s="76"/>
      <c r="L102" s="76"/>
      <c r="M102" s="76"/>
      <c r="N102" s="30">
        <f>SUM(E102-SUM(K102:M102))</f>
        <v>0</v>
      </c>
      <c r="O102" s="76"/>
      <c r="P102" s="76"/>
      <c r="R102" s="30">
        <f>SUM(H102:K102)</f>
        <v>0</v>
      </c>
      <c r="S102" s="30">
        <f>SUM(I102:L102)</f>
        <v>0</v>
      </c>
      <c r="T102" s="30">
        <f>SUM(J102:M102)</f>
        <v>0</v>
      </c>
      <c r="U102" s="30">
        <f>SUM(K102:N102)</f>
        <v>0</v>
      </c>
      <c r="V102" s="30">
        <f>SUM(L102:O102)</f>
        <v>0</v>
      </c>
      <c r="W102" s="30">
        <f>SUM(M102:P102)</f>
        <v>0</v>
      </c>
      <c r="X102" s="30">
        <f>SUM(N102:P102)</f>
        <v>0</v>
      </c>
      <c r="Y102" s="11"/>
      <c r="Z102" s="68" t="e">
        <f>SUM(X102/T102)-1</f>
        <v>#DIV/0!</v>
      </c>
    </row>
    <row r="103" spans="2:26" ht="12.75" customHeight="1">
      <c r="B103" s="56" t="s">
        <v>112</v>
      </c>
      <c r="C103" s="76"/>
      <c r="D103" s="76"/>
      <c r="E103" s="76"/>
      <c r="F103" s="30"/>
      <c r="G103" s="76"/>
      <c r="H103" s="76"/>
      <c r="I103" s="76"/>
      <c r="J103" s="30">
        <f>SUM(D103-SUM(G103:I103))</f>
        <v>0</v>
      </c>
      <c r="K103" s="76"/>
      <c r="L103" s="76"/>
      <c r="M103" s="76"/>
      <c r="N103" s="30">
        <f>SUM(E103-SUM(K103:M103))</f>
        <v>0</v>
      </c>
      <c r="O103" s="76"/>
      <c r="P103" s="76"/>
      <c r="R103" s="30">
        <f>SUM(H103:K103)</f>
        <v>0</v>
      </c>
      <c r="S103" s="30">
        <f>SUM(I103:L103)</f>
        <v>0</v>
      </c>
      <c r="T103" s="30">
        <f>SUM(J103:M103)</f>
        <v>0</v>
      </c>
      <c r="U103" s="30">
        <f>SUM(K103:N103)</f>
        <v>0</v>
      </c>
      <c r="V103" s="30">
        <f>SUM(L103:O103)</f>
        <v>0</v>
      </c>
      <c r="W103" s="30">
        <f>SUM(M103:P103)</f>
        <v>0</v>
      </c>
      <c r="X103" s="30">
        <f>SUM(N103:P103)</f>
        <v>0</v>
      </c>
      <c r="Y103" s="11"/>
      <c r="Z103" s="68" t="e">
        <f>SUM(X103/T103)-1</f>
        <v>#DIV/0!</v>
      </c>
    </row>
    <row r="104" spans="2:26" ht="12.75" customHeight="1">
      <c r="B104" s="56" t="s">
        <v>112</v>
      </c>
      <c r="C104" s="76"/>
      <c r="D104" s="76"/>
      <c r="E104" s="76"/>
      <c r="F104" s="30"/>
      <c r="G104" s="76"/>
      <c r="H104" s="76"/>
      <c r="I104" s="76"/>
      <c r="J104" s="30">
        <f>SUM(D104-SUM(G104:I104))</f>
        <v>0</v>
      </c>
      <c r="K104" s="76"/>
      <c r="L104" s="76"/>
      <c r="M104" s="76"/>
      <c r="N104" s="30">
        <f>SUM(E104-SUM(K104:M104))</f>
        <v>0</v>
      </c>
      <c r="O104" s="76"/>
      <c r="P104" s="76"/>
      <c r="R104" s="30">
        <f>SUM(H104:K104)</f>
        <v>0</v>
      </c>
      <c r="S104" s="30">
        <f>SUM(I104:L104)</f>
        <v>0</v>
      </c>
      <c r="T104" s="30">
        <f>SUM(J104:M104)</f>
        <v>0</v>
      </c>
      <c r="U104" s="30">
        <f>SUM(K104:N104)</f>
        <v>0</v>
      </c>
      <c r="V104" s="30">
        <f>SUM(L104:O104)</f>
        <v>0</v>
      </c>
      <c r="W104" s="30">
        <f>SUM(M104:P104)</f>
        <v>0</v>
      </c>
      <c r="X104" s="30">
        <f>SUM(N104:P104)</f>
        <v>0</v>
      </c>
      <c r="Y104" s="11"/>
      <c r="Z104" s="68" t="e">
        <f>SUM(X104/T104)-1</f>
        <v>#DIV/0!</v>
      </c>
    </row>
    <row r="105" spans="2:26" ht="12.75" customHeight="1">
      <c r="B105" s="56" t="s">
        <v>112</v>
      </c>
      <c r="C105" s="76"/>
      <c r="D105" s="76"/>
      <c r="E105" s="76"/>
      <c r="F105" s="30"/>
      <c r="G105" s="76"/>
      <c r="H105" s="76"/>
      <c r="I105" s="76"/>
      <c r="J105" s="30">
        <f>SUM(D105-SUM(G105:I105))</f>
        <v>0</v>
      </c>
      <c r="K105" s="76"/>
      <c r="L105" s="76"/>
      <c r="M105" s="76"/>
      <c r="N105" s="30">
        <f>SUM(E105-SUM(K105:M105))</f>
        <v>0</v>
      </c>
      <c r="O105" s="76"/>
      <c r="P105" s="76"/>
      <c r="R105" s="30">
        <f>SUM(H105:K105)</f>
        <v>0</v>
      </c>
      <c r="S105" s="30">
        <f>SUM(I105:L105)</f>
        <v>0</v>
      </c>
      <c r="T105" s="30">
        <f>SUM(J105:M105)</f>
        <v>0</v>
      </c>
      <c r="U105" s="30">
        <f>SUM(K105:N105)</f>
        <v>0</v>
      </c>
      <c r="V105" s="30">
        <f>SUM(L105:O105)</f>
        <v>0</v>
      </c>
      <c r="W105" s="30">
        <f>SUM(M105:P105)</f>
        <v>0</v>
      </c>
      <c r="X105" s="30">
        <f>SUM(N105:P105)</f>
        <v>0</v>
      </c>
      <c r="Y105" s="11"/>
      <c r="Z105" s="68" t="e">
        <f>SUM(X105/T105)-1</f>
        <v>#DIV/0!</v>
      </c>
    </row>
    <row r="106" spans="2:26" ht="5.0999999999999996" customHeight="1">
      <c r="B106" s="8"/>
      <c r="C106" s="76"/>
      <c r="D106" s="76"/>
      <c r="E106" s="76"/>
      <c r="F106" s="30"/>
      <c r="G106" s="76"/>
      <c r="H106" s="76"/>
      <c r="I106" s="76"/>
      <c r="J106" s="30"/>
      <c r="K106" s="76"/>
      <c r="L106" s="76"/>
      <c r="M106" s="76"/>
      <c r="N106" s="30"/>
      <c r="O106" s="76"/>
      <c r="P106" s="76"/>
      <c r="R106" s="30"/>
      <c r="S106" s="30"/>
      <c r="T106" s="30"/>
      <c r="U106" s="30"/>
      <c r="V106" s="30"/>
      <c r="W106" s="30"/>
      <c r="X106" s="30"/>
      <c r="Y106" s="11"/>
      <c r="Z106" s="68"/>
    </row>
    <row r="107" spans="2:26" ht="12.75" customHeight="1">
      <c r="B107" s="33" t="s">
        <v>14</v>
      </c>
      <c r="C107" s="76"/>
      <c r="D107" s="76"/>
      <c r="E107" s="76"/>
      <c r="F107" s="30"/>
      <c r="G107" s="76"/>
      <c r="H107" s="76"/>
      <c r="I107" s="76"/>
      <c r="J107" s="30"/>
      <c r="K107" s="76"/>
      <c r="L107" s="76"/>
      <c r="M107" s="76"/>
      <c r="N107" s="30"/>
      <c r="O107" s="76"/>
      <c r="P107" s="76"/>
      <c r="R107" s="30"/>
      <c r="S107" s="30"/>
      <c r="T107" s="30"/>
      <c r="U107" s="30"/>
      <c r="V107" s="30"/>
      <c r="W107" s="30"/>
      <c r="X107" s="30"/>
      <c r="Y107" s="55"/>
      <c r="Z107" s="68"/>
    </row>
    <row r="108" spans="2:26" ht="12.75" customHeight="1">
      <c r="B108" s="56" t="s">
        <v>89</v>
      </c>
      <c r="C108" s="76"/>
      <c r="D108" s="76"/>
      <c r="E108" s="76"/>
      <c r="F108" s="30"/>
      <c r="G108" s="76"/>
      <c r="H108" s="76"/>
      <c r="I108" s="76"/>
      <c r="J108" s="30">
        <f>SUM(D108-SUM(G108:I108))</f>
        <v>0</v>
      </c>
      <c r="K108" s="76"/>
      <c r="L108" s="76"/>
      <c r="M108" s="76"/>
      <c r="N108" s="30">
        <f>SUM(E108-SUM(K108:M108))</f>
        <v>0</v>
      </c>
      <c r="O108" s="76"/>
      <c r="P108" s="76"/>
      <c r="R108" s="30">
        <f>SUM(H108:K108)</f>
        <v>0</v>
      </c>
      <c r="S108" s="30">
        <f>SUM(I108:L108)</f>
        <v>0</v>
      </c>
      <c r="T108" s="30">
        <f>SUM(J108:M108)</f>
        <v>0</v>
      </c>
      <c r="U108" s="30">
        <f>SUM(K108:N108)</f>
        <v>0</v>
      </c>
      <c r="V108" s="30">
        <f>SUM(L108:O108)</f>
        <v>0</v>
      </c>
      <c r="W108" s="30">
        <f>SUM(M108:P108)</f>
        <v>0</v>
      </c>
      <c r="X108" s="30">
        <f>SUM(N108:P108)</f>
        <v>0</v>
      </c>
      <c r="Y108" s="55"/>
      <c r="Z108" s="68" t="e">
        <f>SUM(X108/T108)-1</f>
        <v>#DIV/0!</v>
      </c>
    </row>
    <row r="109" spans="2:26" ht="12.75" customHeight="1">
      <c r="B109" s="56" t="s">
        <v>112</v>
      </c>
      <c r="C109" s="76"/>
      <c r="D109" s="76"/>
      <c r="E109" s="76"/>
      <c r="F109" s="30"/>
      <c r="G109" s="76"/>
      <c r="H109" s="76"/>
      <c r="I109" s="76"/>
      <c r="J109" s="30">
        <f>SUM(D109-SUM(G109:I109))</f>
        <v>0</v>
      </c>
      <c r="K109" s="76"/>
      <c r="L109" s="76"/>
      <c r="M109" s="76"/>
      <c r="N109" s="30">
        <f>SUM(E109-SUM(K109:M109))</f>
        <v>0</v>
      </c>
      <c r="O109" s="76"/>
      <c r="P109" s="76"/>
      <c r="R109" s="30">
        <f>SUM(H109:K109)</f>
        <v>0</v>
      </c>
      <c r="S109" s="30">
        <f>SUM(I109:L109)</f>
        <v>0</v>
      </c>
      <c r="T109" s="30">
        <f>SUM(J109:M109)</f>
        <v>0</v>
      </c>
      <c r="U109" s="30">
        <f>SUM(K109:N109)</f>
        <v>0</v>
      </c>
      <c r="V109" s="30">
        <f>SUM(L109:O109)</f>
        <v>0</v>
      </c>
      <c r="W109" s="30">
        <f>SUM(M109:P109)</f>
        <v>0</v>
      </c>
      <c r="X109" s="30">
        <f>SUM(N109:P109)</f>
        <v>0</v>
      </c>
      <c r="Y109" s="55"/>
      <c r="Z109" s="68" t="e">
        <f>SUM(X109/T109)-1</f>
        <v>#DIV/0!</v>
      </c>
    </row>
    <row r="110" spans="2:26" ht="12.75" customHeight="1">
      <c r="B110" s="56" t="s">
        <v>112</v>
      </c>
      <c r="C110" s="76"/>
      <c r="D110" s="76"/>
      <c r="E110" s="76"/>
      <c r="F110" s="30"/>
      <c r="G110" s="76"/>
      <c r="H110" s="76"/>
      <c r="I110" s="76"/>
      <c r="J110" s="30">
        <f>SUM(D110-SUM(G110:I110))</f>
        <v>0</v>
      </c>
      <c r="K110" s="76"/>
      <c r="L110" s="76"/>
      <c r="M110" s="76"/>
      <c r="N110" s="30">
        <f>SUM(E110-SUM(K110:M110))</f>
        <v>0</v>
      </c>
      <c r="O110" s="76"/>
      <c r="P110" s="76"/>
      <c r="R110" s="30">
        <f>SUM(H110:K110)</f>
        <v>0</v>
      </c>
      <c r="S110" s="30">
        <f>SUM(I110:L110)</f>
        <v>0</v>
      </c>
      <c r="T110" s="30">
        <f>SUM(J110:M110)</f>
        <v>0</v>
      </c>
      <c r="U110" s="30">
        <f>SUM(K110:N110)</f>
        <v>0</v>
      </c>
      <c r="V110" s="30">
        <f>SUM(L110:O110)</f>
        <v>0</v>
      </c>
      <c r="W110" s="30">
        <f>SUM(M110:P110)</f>
        <v>0</v>
      </c>
      <c r="X110" s="30">
        <f>SUM(N110:P110)</f>
        <v>0</v>
      </c>
      <c r="Y110" s="55"/>
      <c r="Z110" s="68" t="e">
        <f>SUM(X110/T110)-1</f>
        <v>#DIV/0!</v>
      </c>
    </row>
    <row r="111" spans="2:26" ht="12.75" customHeight="1">
      <c r="B111" s="56" t="s">
        <v>112</v>
      </c>
      <c r="C111" s="76"/>
      <c r="D111" s="76"/>
      <c r="E111" s="76"/>
      <c r="F111" s="30"/>
      <c r="G111" s="76"/>
      <c r="H111" s="76"/>
      <c r="I111" s="76"/>
      <c r="J111" s="30">
        <f>SUM(D111-SUM(G111:I111))</f>
        <v>0</v>
      </c>
      <c r="K111" s="76"/>
      <c r="L111" s="76"/>
      <c r="M111" s="76"/>
      <c r="N111" s="30">
        <f>SUM(E111-SUM(K111:M111))</f>
        <v>0</v>
      </c>
      <c r="O111" s="76"/>
      <c r="P111" s="76"/>
      <c r="R111" s="30">
        <f>SUM(H111:K111)</f>
        <v>0</v>
      </c>
      <c r="S111" s="30">
        <f>SUM(I111:L111)</f>
        <v>0</v>
      </c>
      <c r="T111" s="30">
        <f>SUM(J111:M111)</f>
        <v>0</v>
      </c>
      <c r="U111" s="30">
        <f>SUM(K111:N111)</f>
        <v>0</v>
      </c>
      <c r="V111" s="30">
        <f>SUM(L111:O111)</f>
        <v>0</v>
      </c>
      <c r="W111" s="30">
        <f>SUM(M111:P111)</f>
        <v>0</v>
      </c>
      <c r="X111" s="30">
        <f>SUM(N111:P111)</f>
        <v>0</v>
      </c>
      <c r="Y111" s="55"/>
      <c r="Z111" s="68" t="e">
        <f>SUM(X111/T111)-1</f>
        <v>#DIV/0!</v>
      </c>
    </row>
    <row r="112" spans="2:26" ht="12.75" customHeight="1">
      <c r="B112" s="56" t="s">
        <v>112</v>
      </c>
      <c r="C112" s="76"/>
      <c r="D112" s="76"/>
      <c r="E112" s="76"/>
      <c r="F112" s="30"/>
      <c r="G112" s="76"/>
      <c r="H112" s="76"/>
      <c r="I112" s="76"/>
      <c r="J112" s="30">
        <f>SUM(D112-SUM(G112:I112))</f>
        <v>0</v>
      </c>
      <c r="K112" s="76"/>
      <c r="L112" s="76"/>
      <c r="M112" s="76"/>
      <c r="N112" s="30">
        <f>SUM(E112-SUM(K112:M112))</f>
        <v>0</v>
      </c>
      <c r="O112" s="76"/>
      <c r="P112" s="76"/>
      <c r="R112" s="30">
        <f>SUM(H112:K112)</f>
        <v>0</v>
      </c>
      <c r="S112" s="30">
        <f>SUM(I112:L112)</f>
        <v>0</v>
      </c>
      <c r="T112" s="30">
        <f>SUM(J112:M112)</f>
        <v>0</v>
      </c>
      <c r="U112" s="30">
        <f>SUM(K112:N112)</f>
        <v>0</v>
      </c>
      <c r="V112" s="30">
        <f>SUM(L112:O112)</f>
        <v>0</v>
      </c>
      <c r="W112" s="30">
        <f>SUM(M112:P112)</f>
        <v>0</v>
      </c>
      <c r="X112" s="30">
        <f>SUM(N112:P112)</f>
        <v>0</v>
      </c>
      <c r="Y112" s="55"/>
      <c r="Z112" s="68" t="e">
        <f>SUM(X112/T112)-1</f>
        <v>#DIV/0!</v>
      </c>
    </row>
    <row r="113" spans="2:26" ht="12.75" customHeight="1">
      <c r="B113" s="56" t="s">
        <v>112</v>
      </c>
      <c r="C113" s="76"/>
      <c r="D113" s="76"/>
      <c r="E113" s="76"/>
      <c r="F113" s="30"/>
      <c r="G113" s="76"/>
      <c r="H113" s="76"/>
      <c r="I113" s="76"/>
      <c r="J113" s="30">
        <f>SUM(D113-SUM(G113:I113))</f>
        <v>0</v>
      </c>
      <c r="K113" s="76"/>
      <c r="L113" s="76"/>
      <c r="M113" s="76"/>
      <c r="N113" s="30">
        <f>SUM(E113-SUM(K113:M113))</f>
        <v>0</v>
      </c>
      <c r="O113" s="76"/>
      <c r="P113" s="76"/>
      <c r="R113" s="30">
        <f>SUM(H113:K113)</f>
        <v>0</v>
      </c>
      <c r="S113" s="30">
        <f>SUM(I113:L113)</f>
        <v>0</v>
      </c>
      <c r="T113" s="30">
        <f>SUM(J113:M113)</f>
        <v>0</v>
      </c>
      <c r="U113" s="30">
        <f>SUM(K113:N113)</f>
        <v>0</v>
      </c>
      <c r="V113" s="30">
        <f>SUM(L113:O113)</f>
        <v>0</v>
      </c>
      <c r="W113" s="30">
        <f>SUM(M113:P113)</f>
        <v>0</v>
      </c>
      <c r="X113" s="30">
        <f>SUM(N113:P113)</f>
        <v>0</v>
      </c>
      <c r="Y113" s="55"/>
      <c r="Z113" s="68" t="e">
        <f>SUM(X113/T113)-1</f>
        <v>#DIV/0!</v>
      </c>
    </row>
    <row r="114" spans="2:26" ht="12.75" customHeight="1">
      <c r="B114" s="12" t="s">
        <v>56</v>
      </c>
      <c r="C114" s="13">
        <f>SUM(C94:C113)</f>
        <v>540.20000000000005</v>
      </c>
      <c r="D114" s="13">
        <f>SUM(D94:D113)</f>
        <v>792.59999999999991</v>
      </c>
      <c r="E114" s="13">
        <f>SUM(E94:E113)</f>
        <v>950.00000000000034</v>
      </c>
      <c r="G114" s="13">
        <f t="shared" ref="G114:P114" si="155">SUM(G94:G113)</f>
        <v>149.70000000000005</v>
      </c>
      <c r="H114" s="13">
        <f t="shared" si="155"/>
        <v>212.40000000000003</v>
      </c>
      <c r="I114" s="13">
        <f t="shared" si="155"/>
        <v>176.9</v>
      </c>
      <c r="J114" s="13">
        <f t="shared" si="155"/>
        <v>253.60000000000002</v>
      </c>
      <c r="K114" s="13">
        <f t="shared" si="155"/>
        <v>152.29999999999998</v>
      </c>
      <c r="L114" s="13">
        <f t="shared" si="155"/>
        <v>228.8</v>
      </c>
      <c r="M114" s="13">
        <f t="shared" si="155"/>
        <v>199.80000000000007</v>
      </c>
      <c r="N114" s="13">
        <f t="shared" si="155"/>
        <v>369.1</v>
      </c>
      <c r="O114" s="13">
        <f t="shared" si="155"/>
        <v>160</v>
      </c>
      <c r="P114" s="13">
        <f t="shared" si="155"/>
        <v>-492.19999999999987</v>
      </c>
      <c r="R114" s="13">
        <f t="shared" ref="R114:X114" si="156">SUM(R94:R113)</f>
        <v>792.59999999999991</v>
      </c>
      <c r="S114" s="13">
        <f t="shared" si="156"/>
        <v>795.20000000000027</v>
      </c>
      <c r="T114" s="13">
        <f t="shared" si="156"/>
        <v>811.60000000000036</v>
      </c>
      <c r="U114" s="13">
        <f t="shared" si="156"/>
        <v>834.50000000000011</v>
      </c>
      <c r="V114" s="13">
        <f t="shared" si="156"/>
        <v>950.00000000000034</v>
      </c>
      <c r="W114" s="13">
        <f t="shared" si="156"/>
        <v>957.69999999999959</v>
      </c>
      <c r="X114" s="13">
        <f t="shared" si="156"/>
        <v>236.70000000000064</v>
      </c>
      <c r="Y114" s="39"/>
      <c r="Z114" s="69">
        <f>SUM(X114/T114)-1</f>
        <v>-0.70835386890093577</v>
      </c>
    </row>
    <row r="115" spans="2:26" ht="12.75" customHeight="1">
      <c r="B115" s="49"/>
      <c r="C115" s="57"/>
      <c r="D115" s="57"/>
      <c r="E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R115" s="39"/>
      <c r="S115" s="39"/>
      <c r="T115" s="39"/>
      <c r="U115" s="39"/>
      <c r="V115" s="39"/>
      <c r="W115" s="39"/>
      <c r="X115" s="39"/>
      <c r="Y115" s="39"/>
      <c r="Z115" s="36"/>
    </row>
    <row r="116" spans="2:26" ht="12.75" customHeight="1">
      <c r="B116" s="112" t="s">
        <v>57</v>
      </c>
      <c r="C116" s="54"/>
      <c r="D116" s="54"/>
      <c r="E116" s="54"/>
      <c r="G116" s="76"/>
      <c r="H116" s="76"/>
      <c r="I116" s="76"/>
      <c r="J116" s="30"/>
      <c r="K116" s="76"/>
      <c r="L116" s="76"/>
      <c r="M116" s="76"/>
      <c r="N116" s="30"/>
      <c r="O116" s="76"/>
      <c r="P116" s="76"/>
      <c r="R116" s="54"/>
      <c r="S116" s="54"/>
      <c r="T116" s="54"/>
      <c r="U116" s="54"/>
      <c r="V116" s="54"/>
      <c r="W116" s="54"/>
      <c r="X116" s="54"/>
      <c r="Y116" s="55"/>
      <c r="Z116" s="36"/>
    </row>
    <row r="117" spans="2:26" ht="12.75" customHeight="1">
      <c r="B117" s="56" t="s">
        <v>90</v>
      </c>
      <c r="C117" s="76"/>
      <c r="D117" s="76"/>
      <c r="E117" s="76"/>
      <c r="F117" s="30"/>
      <c r="G117" s="76"/>
      <c r="H117" s="76"/>
      <c r="I117" s="76"/>
      <c r="J117" s="30">
        <f>SUM(D117-SUM(G117:I117))</f>
        <v>0</v>
      </c>
      <c r="K117" s="76"/>
      <c r="L117" s="76"/>
      <c r="M117" s="76"/>
      <c r="N117" s="30">
        <f>SUM(E117-SUM(K117:M117))</f>
        <v>0</v>
      </c>
      <c r="O117" s="76"/>
      <c r="P117" s="76"/>
      <c r="Q117" s="30"/>
      <c r="R117" s="30">
        <f>SUM(H117:K117)</f>
        <v>0</v>
      </c>
      <c r="S117" s="30">
        <f>SUM(I117:L117)</f>
        <v>0</v>
      </c>
      <c r="T117" s="30">
        <f>SUM(J117:M117)</f>
        <v>0</v>
      </c>
      <c r="U117" s="30">
        <f>SUM(K117:N117)</f>
        <v>0</v>
      </c>
      <c r="V117" s="30">
        <f>SUM(L117:O117)</f>
        <v>0</v>
      </c>
      <c r="W117" s="30">
        <f>SUM(M117:P117)</f>
        <v>0</v>
      </c>
      <c r="X117" s="30">
        <f>SUM(N117:P117)</f>
        <v>0</v>
      </c>
      <c r="Y117" s="55"/>
      <c r="Z117" s="68" t="e">
        <f>SUM(X117/T117)-1</f>
        <v>#DIV/0!</v>
      </c>
    </row>
    <row r="118" spans="2:26" ht="12.75" customHeight="1">
      <c r="B118" s="56" t="s">
        <v>112</v>
      </c>
      <c r="C118" s="76"/>
      <c r="D118" s="76"/>
      <c r="E118" s="76"/>
      <c r="F118" s="30"/>
      <c r="G118" s="76"/>
      <c r="H118" s="76"/>
      <c r="I118" s="76"/>
      <c r="J118" s="30">
        <f>SUM(D118-SUM(G118:I118))</f>
        <v>0</v>
      </c>
      <c r="K118" s="76"/>
      <c r="L118" s="76"/>
      <c r="M118" s="76"/>
      <c r="N118" s="30">
        <f>SUM(E118-SUM(K118:M118))</f>
        <v>0</v>
      </c>
      <c r="O118" s="76"/>
      <c r="P118" s="76"/>
      <c r="Q118" s="30"/>
      <c r="R118" s="30">
        <f>SUM(H118:K118)</f>
        <v>0</v>
      </c>
      <c r="S118" s="30">
        <f>SUM(I118:L118)</f>
        <v>0</v>
      </c>
      <c r="T118" s="30">
        <f>SUM(J118:M118)</f>
        <v>0</v>
      </c>
      <c r="U118" s="30">
        <f>SUM(K118:N118)</f>
        <v>0</v>
      </c>
      <c r="V118" s="30">
        <f>SUM(L118:O118)</f>
        <v>0</v>
      </c>
      <c r="W118" s="30">
        <f>SUM(M118:P118)</f>
        <v>0</v>
      </c>
      <c r="X118" s="30">
        <f>SUM(N118:P118)</f>
        <v>0</v>
      </c>
      <c r="Y118" s="55"/>
      <c r="Z118" s="68" t="e">
        <f>SUM(X118/T118)-1</f>
        <v>#DIV/0!</v>
      </c>
    </row>
    <row r="119" spans="2:26" ht="12.75" customHeight="1">
      <c r="B119" s="56" t="s">
        <v>112</v>
      </c>
      <c r="C119" s="76"/>
      <c r="D119" s="76"/>
      <c r="E119" s="76"/>
      <c r="F119" s="30"/>
      <c r="G119" s="76"/>
      <c r="H119" s="76"/>
      <c r="I119" s="76"/>
      <c r="J119" s="30">
        <f>SUM(D119-SUM(G119:I119))</f>
        <v>0</v>
      </c>
      <c r="K119" s="76"/>
      <c r="L119" s="76"/>
      <c r="M119" s="76"/>
      <c r="N119" s="30">
        <f>SUM(E119-SUM(K119:M119))</f>
        <v>0</v>
      </c>
      <c r="O119" s="76"/>
      <c r="P119" s="76"/>
      <c r="Q119" s="30"/>
      <c r="R119" s="30">
        <f>SUM(H119:K119)</f>
        <v>0</v>
      </c>
      <c r="S119" s="30">
        <f>SUM(I119:L119)</f>
        <v>0</v>
      </c>
      <c r="T119" s="30">
        <f>SUM(J119:M119)</f>
        <v>0</v>
      </c>
      <c r="U119" s="30">
        <f>SUM(K119:N119)</f>
        <v>0</v>
      </c>
      <c r="V119" s="30">
        <f>SUM(L119:O119)</f>
        <v>0</v>
      </c>
      <c r="W119" s="30">
        <f>SUM(M119:P119)</f>
        <v>0</v>
      </c>
      <c r="X119" s="30">
        <f>SUM(N119:P119)</f>
        <v>0</v>
      </c>
      <c r="Y119" s="55"/>
      <c r="Z119" s="68" t="e">
        <f>SUM(X119/T119)-1</f>
        <v>#DIV/0!</v>
      </c>
    </row>
    <row r="120" spans="2:26" ht="12.75" customHeight="1">
      <c r="B120" s="56" t="s">
        <v>112</v>
      </c>
      <c r="C120" s="76"/>
      <c r="D120" s="76"/>
      <c r="E120" s="76"/>
      <c r="F120" s="30"/>
      <c r="G120" s="76"/>
      <c r="H120" s="76"/>
      <c r="I120" s="76"/>
      <c r="J120" s="30">
        <f>SUM(D120-SUM(G120:I120))</f>
        <v>0</v>
      </c>
      <c r="K120" s="76"/>
      <c r="L120" s="76"/>
      <c r="M120" s="76"/>
      <c r="N120" s="30">
        <f>SUM(E120-SUM(K120:M120))</f>
        <v>0</v>
      </c>
      <c r="O120" s="76"/>
      <c r="P120" s="76"/>
      <c r="Q120" s="30"/>
      <c r="R120" s="30">
        <f>SUM(H120:K120)</f>
        <v>0</v>
      </c>
      <c r="S120" s="30">
        <f>SUM(I120:L120)</f>
        <v>0</v>
      </c>
      <c r="T120" s="30">
        <f>SUM(J120:M120)</f>
        <v>0</v>
      </c>
      <c r="U120" s="30">
        <f>SUM(K120:N120)</f>
        <v>0</v>
      </c>
      <c r="V120" s="30">
        <f>SUM(L120:O120)</f>
        <v>0</v>
      </c>
      <c r="W120" s="30">
        <f>SUM(M120:P120)</f>
        <v>0</v>
      </c>
      <c r="X120" s="30">
        <f>SUM(N120:P120)</f>
        <v>0</v>
      </c>
      <c r="Y120" s="55"/>
      <c r="Z120" s="68" t="e">
        <f>SUM(X120/T120)-1</f>
        <v>#DIV/0!</v>
      </c>
    </row>
    <row r="121" spans="2:26" ht="12.75" customHeight="1">
      <c r="B121" s="56" t="s">
        <v>112</v>
      </c>
      <c r="C121" s="76"/>
      <c r="D121" s="76"/>
      <c r="E121" s="76"/>
      <c r="F121" s="30"/>
      <c r="G121" s="76"/>
      <c r="H121" s="76"/>
      <c r="I121" s="76"/>
      <c r="J121" s="30">
        <f>SUM(D121-SUM(G121:I121))</f>
        <v>0</v>
      </c>
      <c r="K121" s="76"/>
      <c r="L121" s="76"/>
      <c r="M121" s="76"/>
      <c r="N121" s="30">
        <f>SUM(E121-SUM(K121:M121))</f>
        <v>0</v>
      </c>
      <c r="O121" s="76"/>
      <c r="P121" s="76"/>
      <c r="Q121" s="30"/>
      <c r="R121" s="30">
        <f>SUM(H121:K121)</f>
        <v>0</v>
      </c>
      <c r="S121" s="30">
        <f>SUM(I121:L121)</f>
        <v>0</v>
      </c>
      <c r="T121" s="30">
        <f>SUM(J121:M121)</f>
        <v>0</v>
      </c>
      <c r="U121" s="30">
        <f>SUM(K121:N121)</f>
        <v>0</v>
      </c>
      <c r="V121" s="30">
        <f>SUM(L121:O121)</f>
        <v>0</v>
      </c>
      <c r="W121" s="30">
        <f>SUM(M121:P121)</f>
        <v>0</v>
      </c>
      <c r="X121" s="30">
        <f>SUM(N121:P121)</f>
        <v>0</v>
      </c>
      <c r="Y121" s="55"/>
      <c r="Z121" s="68" t="e">
        <f>SUM(X121/T121)-1</f>
        <v>#DIV/0!</v>
      </c>
    </row>
    <row r="122" spans="2:26" ht="12.75" customHeight="1">
      <c r="B122" s="12" t="s">
        <v>58</v>
      </c>
      <c r="C122" s="13">
        <f t="shared" ref="C122:E122" si="157">SUM(C117:C121)</f>
        <v>0</v>
      </c>
      <c r="D122" s="13">
        <f t="shared" si="157"/>
        <v>0</v>
      </c>
      <c r="E122" s="13">
        <f t="shared" si="157"/>
        <v>0</v>
      </c>
      <c r="G122" s="13">
        <f t="shared" ref="G122:P122" si="158">SUM(G117:G121)</f>
        <v>0</v>
      </c>
      <c r="H122" s="13">
        <f t="shared" si="158"/>
        <v>0</v>
      </c>
      <c r="I122" s="13">
        <f t="shared" si="158"/>
        <v>0</v>
      </c>
      <c r="J122" s="13">
        <f t="shared" si="158"/>
        <v>0</v>
      </c>
      <c r="K122" s="13">
        <f t="shared" si="158"/>
        <v>0</v>
      </c>
      <c r="L122" s="13">
        <f t="shared" si="158"/>
        <v>0</v>
      </c>
      <c r="M122" s="13">
        <f t="shared" si="158"/>
        <v>0</v>
      </c>
      <c r="N122" s="13">
        <f t="shared" si="158"/>
        <v>0</v>
      </c>
      <c r="O122" s="13">
        <f t="shared" si="158"/>
        <v>0</v>
      </c>
      <c r="P122" s="13">
        <f t="shared" si="158"/>
        <v>0</v>
      </c>
      <c r="R122" s="13">
        <f t="shared" ref="R122:X122" si="159">SUM(R117:R121)</f>
        <v>0</v>
      </c>
      <c r="S122" s="13">
        <f t="shared" si="159"/>
        <v>0</v>
      </c>
      <c r="T122" s="13">
        <f t="shared" si="159"/>
        <v>0</v>
      </c>
      <c r="U122" s="13">
        <f t="shared" si="159"/>
        <v>0</v>
      </c>
      <c r="V122" s="13">
        <f t="shared" si="159"/>
        <v>0</v>
      </c>
      <c r="W122" s="13">
        <f t="shared" si="159"/>
        <v>0</v>
      </c>
      <c r="X122" s="13">
        <f t="shared" si="159"/>
        <v>0</v>
      </c>
      <c r="Y122" s="39"/>
      <c r="Z122" s="69" t="e">
        <f>SUM(X122/T122)-1</f>
        <v>#DIV/0!</v>
      </c>
    </row>
    <row r="123" spans="2:26" ht="5.0999999999999996" customHeight="1">
      <c r="B123" s="48"/>
      <c r="C123" s="57"/>
      <c r="D123" s="57"/>
      <c r="E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R123" s="39"/>
      <c r="S123" s="39"/>
      <c r="T123" s="39"/>
      <c r="U123" s="39"/>
      <c r="V123" s="39"/>
      <c r="W123" s="39"/>
      <c r="X123" s="39"/>
      <c r="Y123" s="39"/>
      <c r="Z123" s="36"/>
    </row>
    <row r="124" spans="2:26" ht="12.75" customHeight="1">
      <c r="B124" s="112" t="s">
        <v>59</v>
      </c>
      <c r="C124" s="58"/>
      <c r="D124" s="58"/>
      <c r="E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30"/>
      <c r="R124" s="30"/>
      <c r="S124" s="30"/>
      <c r="T124" s="30"/>
      <c r="U124" s="30"/>
      <c r="V124" s="30"/>
      <c r="W124" s="30"/>
      <c r="X124" s="30"/>
      <c r="Y124" s="59"/>
      <c r="Z124" s="36"/>
    </row>
    <row r="125" spans="2:26" ht="12.75" customHeight="1">
      <c r="B125" s="77" t="s">
        <v>111</v>
      </c>
      <c r="C125" s="76"/>
      <c r="D125" s="76"/>
      <c r="E125" s="76"/>
      <c r="G125" s="76"/>
      <c r="H125" s="76"/>
      <c r="I125" s="76"/>
      <c r="J125" s="30">
        <f>SUM(D125-SUM(G125:I125))</f>
        <v>0</v>
      </c>
      <c r="K125" s="76"/>
      <c r="L125" s="76"/>
      <c r="M125" s="76"/>
      <c r="N125" s="30">
        <f>SUM(E125-SUM(K125:M125))</f>
        <v>0</v>
      </c>
      <c r="O125" s="76"/>
      <c r="P125" s="76"/>
      <c r="Q125" s="30"/>
      <c r="R125" s="30">
        <f>SUM(H125:K125)</f>
        <v>0</v>
      </c>
      <c r="S125" s="30">
        <f>SUM(I125:L125)</f>
        <v>0</v>
      </c>
      <c r="T125" s="30">
        <f>SUM(J125:M125)</f>
        <v>0</v>
      </c>
      <c r="U125" s="30">
        <f>SUM(K125:N125)</f>
        <v>0</v>
      </c>
      <c r="V125" s="30">
        <f>SUM(L125:O125)</f>
        <v>0</v>
      </c>
      <c r="W125" s="30">
        <f>SUM(M125:P125)</f>
        <v>0</v>
      </c>
      <c r="X125" s="30">
        <f>SUM(N125:P125)</f>
        <v>0</v>
      </c>
      <c r="Y125" s="59"/>
      <c r="Z125" s="68" t="e">
        <f>SUM(X125/T125)-1</f>
        <v>#DIV/0!</v>
      </c>
    </row>
    <row r="126" spans="2:26" ht="12.75" customHeight="1">
      <c r="B126" s="56" t="s">
        <v>112</v>
      </c>
      <c r="C126" s="76"/>
      <c r="D126" s="76"/>
      <c r="E126" s="76"/>
      <c r="F126" s="30"/>
      <c r="G126" s="76"/>
      <c r="H126" s="76"/>
      <c r="I126" s="76"/>
      <c r="J126" s="30">
        <f>SUM(D126-SUM(G126:I126))</f>
        <v>0</v>
      </c>
      <c r="K126" s="76"/>
      <c r="L126" s="76"/>
      <c r="M126" s="76"/>
      <c r="N126" s="30">
        <f>SUM(E126-SUM(K126:M126))</f>
        <v>0</v>
      </c>
      <c r="O126" s="76"/>
      <c r="P126" s="76"/>
      <c r="Q126" s="30"/>
      <c r="R126" s="30">
        <f>SUM(H126:K126)</f>
        <v>0</v>
      </c>
      <c r="S126" s="30">
        <f>SUM(I126:L126)</f>
        <v>0</v>
      </c>
      <c r="T126" s="30">
        <f>SUM(J126:M126)</f>
        <v>0</v>
      </c>
      <c r="U126" s="30">
        <f>SUM(K126:N126)</f>
        <v>0</v>
      </c>
      <c r="V126" s="30">
        <f>SUM(L126:O126)</f>
        <v>0</v>
      </c>
      <c r="W126" s="30">
        <f>SUM(M126:P126)</f>
        <v>0</v>
      </c>
      <c r="X126" s="30">
        <f>SUM(N126:P126)</f>
        <v>0</v>
      </c>
      <c r="Y126" s="55"/>
      <c r="Z126" s="68" t="e">
        <f>SUM(X126/T126)-1</f>
        <v>#DIV/0!</v>
      </c>
    </row>
    <row r="127" spans="2:26" ht="12.75" customHeight="1">
      <c r="B127" s="56" t="s">
        <v>112</v>
      </c>
      <c r="C127" s="76"/>
      <c r="D127" s="76"/>
      <c r="E127" s="76"/>
      <c r="F127" s="30"/>
      <c r="G127" s="76"/>
      <c r="H127" s="76"/>
      <c r="I127" s="76"/>
      <c r="J127" s="30">
        <f>SUM(D127-SUM(G127:I127))</f>
        <v>0</v>
      </c>
      <c r="K127" s="76"/>
      <c r="L127" s="76"/>
      <c r="M127" s="76"/>
      <c r="N127" s="30">
        <f>SUM(E127-SUM(K127:M127))</f>
        <v>0</v>
      </c>
      <c r="O127" s="76"/>
      <c r="P127" s="76"/>
      <c r="Q127" s="30"/>
      <c r="R127" s="30">
        <f>SUM(H127:K127)</f>
        <v>0</v>
      </c>
      <c r="S127" s="30">
        <f>SUM(I127:L127)</f>
        <v>0</v>
      </c>
      <c r="T127" s="30">
        <f>SUM(J127:M127)</f>
        <v>0</v>
      </c>
      <c r="U127" s="30">
        <f>SUM(K127:N127)</f>
        <v>0</v>
      </c>
      <c r="V127" s="30">
        <f>SUM(L127:O127)</f>
        <v>0</v>
      </c>
      <c r="W127" s="30">
        <f>SUM(M127:P127)</f>
        <v>0</v>
      </c>
      <c r="X127" s="30">
        <f>SUM(N127:P127)</f>
        <v>0</v>
      </c>
      <c r="Y127" s="55"/>
      <c r="Z127" s="68" t="e">
        <f>SUM(X127/T127)-1</f>
        <v>#DIV/0!</v>
      </c>
    </row>
    <row r="128" spans="2:26" ht="12.75" customHeight="1">
      <c r="B128" s="56" t="s">
        <v>112</v>
      </c>
      <c r="C128" s="76"/>
      <c r="D128" s="76"/>
      <c r="E128" s="76"/>
      <c r="F128" s="30"/>
      <c r="G128" s="76"/>
      <c r="H128" s="76"/>
      <c r="I128" s="76"/>
      <c r="J128" s="30">
        <f>SUM(D128-SUM(G128:I128))</f>
        <v>0</v>
      </c>
      <c r="K128" s="76"/>
      <c r="L128" s="76"/>
      <c r="M128" s="76"/>
      <c r="N128" s="30">
        <f>SUM(E128-SUM(K128:M128))</f>
        <v>0</v>
      </c>
      <c r="O128" s="76"/>
      <c r="P128" s="76"/>
      <c r="Q128" s="30"/>
      <c r="R128" s="30">
        <f>SUM(H128:K128)</f>
        <v>0</v>
      </c>
      <c r="S128" s="30">
        <f>SUM(I128:L128)</f>
        <v>0</v>
      </c>
      <c r="T128" s="30">
        <f>SUM(J128:M128)</f>
        <v>0</v>
      </c>
      <c r="U128" s="30">
        <f>SUM(K128:N128)</f>
        <v>0</v>
      </c>
      <c r="V128" s="30">
        <f>SUM(L128:O128)</f>
        <v>0</v>
      </c>
      <c r="W128" s="30">
        <f>SUM(M128:P128)</f>
        <v>0</v>
      </c>
      <c r="X128" s="30">
        <f>SUM(N128:P128)</f>
        <v>0</v>
      </c>
      <c r="Y128" s="55"/>
      <c r="Z128" s="68" t="e">
        <f>SUM(X128/T128)-1</f>
        <v>#DIV/0!</v>
      </c>
    </row>
    <row r="129" spans="2:26" ht="12.75" customHeight="1">
      <c r="B129" s="56" t="s">
        <v>112</v>
      </c>
      <c r="C129" s="76"/>
      <c r="D129" s="76"/>
      <c r="E129" s="76"/>
      <c r="F129" s="30"/>
      <c r="G129" s="76"/>
      <c r="H129" s="76"/>
      <c r="I129" s="76"/>
      <c r="J129" s="30">
        <f>SUM(D129-SUM(G129:I129))</f>
        <v>0</v>
      </c>
      <c r="K129" s="76"/>
      <c r="L129" s="76"/>
      <c r="M129" s="76"/>
      <c r="N129" s="30">
        <f>SUM(E129-SUM(K129:M129))</f>
        <v>0</v>
      </c>
      <c r="O129" s="76"/>
      <c r="P129" s="76"/>
      <c r="Q129" s="30"/>
      <c r="R129" s="30">
        <f>SUM(H129:K129)</f>
        <v>0</v>
      </c>
      <c r="S129" s="30">
        <f>SUM(I129:L129)</f>
        <v>0</v>
      </c>
      <c r="T129" s="30">
        <f>SUM(J129:M129)</f>
        <v>0</v>
      </c>
      <c r="U129" s="30">
        <f>SUM(K129:N129)</f>
        <v>0</v>
      </c>
      <c r="V129" s="30">
        <f>SUM(L129:O129)</f>
        <v>0</v>
      </c>
      <c r="W129" s="30">
        <f>SUM(M129:P129)</f>
        <v>0</v>
      </c>
      <c r="X129" s="30">
        <f>SUM(N129:P129)</f>
        <v>0</v>
      </c>
      <c r="Y129" s="55"/>
      <c r="Z129" s="68" t="e">
        <f>SUM(X129/T129)-1</f>
        <v>#DIV/0!</v>
      </c>
    </row>
    <row r="130" spans="2:26" ht="12.75" customHeight="1">
      <c r="B130" s="56" t="s">
        <v>112</v>
      </c>
      <c r="C130" s="76"/>
      <c r="D130" s="76"/>
      <c r="E130" s="76"/>
      <c r="F130" s="30"/>
      <c r="G130" s="76"/>
      <c r="H130" s="76"/>
      <c r="I130" s="76"/>
      <c r="J130" s="30">
        <f>SUM(D130-SUM(G130:I130))</f>
        <v>0</v>
      </c>
      <c r="K130" s="76"/>
      <c r="L130" s="76"/>
      <c r="M130" s="76"/>
      <c r="N130" s="30">
        <f>SUM(E130-SUM(K130:M130))</f>
        <v>0</v>
      </c>
      <c r="O130" s="76"/>
      <c r="P130" s="76"/>
      <c r="Q130" s="30"/>
      <c r="R130" s="30">
        <f>SUM(H130:K130)</f>
        <v>0</v>
      </c>
      <c r="S130" s="30">
        <f>SUM(I130:L130)</f>
        <v>0</v>
      </c>
      <c r="T130" s="30">
        <f>SUM(J130:M130)</f>
        <v>0</v>
      </c>
      <c r="U130" s="30">
        <f>SUM(K130:N130)</f>
        <v>0</v>
      </c>
      <c r="V130" s="30">
        <f>SUM(L130:O130)</f>
        <v>0</v>
      </c>
      <c r="W130" s="30">
        <f>SUM(M130:P130)</f>
        <v>0</v>
      </c>
      <c r="X130" s="30">
        <f>SUM(N130:P130)</f>
        <v>0</v>
      </c>
      <c r="Y130" s="55"/>
      <c r="Z130" s="68" t="e">
        <f>SUM(X130/T130)-1</f>
        <v>#DIV/0!</v>
      </c>
    </row>
    <row r="131" spans="2:26" ht="12.75" customHeight="1">
      <c r="B131" s="12" t="s">
        <v>60</v>
      </c>
      <c r="C131" s="13">
        <f t="shared" ref="C131:E131" si="160">SUM(C125:C130)</f>
        <v>0</v>
      </c>
      <c r="D131" s="13">
        <f t="shared" si="160"/>
        <v>0</v>
      </c>
      <c r="E131" s="13">
        <f t="shared" si="160"/>
        <v>0</v>
      </c>
      <c r="G131" s="13">
        <f t="shared" ref="G131:P131" si="161">SUM(G125:G130)</f>
        <v>0</v>
      </c>
      <c r="H131" s="13">
        <f t="shared" si="161"/>
        <v>0</v>
      </c>
      <c r="I131" s="13">
        <f t="shared" si="161"/>
        <v>0</v>
      </c>
      <c r="J131" s="13">
        <f t="shared" si="161"/>
        <v>0</v>
      </c>
      <c r="K131" s="13">
        <f t="shared" si="161"/>
        <v>0</v>
      </c>
      <c r="L131" s="13">
        <f t="shared" si="161"/>
        <v>0</v>
      </c>
      <c r="M131" s="13">
        <f t="shared" si="161"/>
        <v>0</v>
      </c>
      <c r="N131" s="13">
        <f t="shared" si="161"/>
        <v>0</v>
      </c>
      <c r="O131" s="13">
        <f t="shared" si="161"/>
        <v>0</v>
      </c>
      <c r="P131" s="13">
        <f t="shared" si="161"/>
        <v>0</v>
      </c>
      <c r="R131" s="13">
        <f t="shared" ref="R131:X131" si="162">SUM(R125:R130)</f>
        <v>0</v>
      </c>
      <c r="S131" s="13">
        <f t="shared" si="162"/>
        <v>0</v>
      </c>
      <c r="T131" s="13">
        <f t="shared" si="162"/>
        <v>0</v>
      </c>
      <c r="U131" s="13">
        <f t="shared" si="162"/>
        <v>0</v>
      </c>
      <c r="V131" s="13">
        <f t="shared" si="162"/>
        <v>0</v>
      </c>
      <c r="W131" s="13">
        <f t="shared" si="162"/>
        <v>0</v>
      </c>
      <c r="X131" s="13">
        <f t="shared" si="162"/>
        <v>0</v>
      </c>
      <c r="Y131" s="39"/>
      <c r="Z131" s="69" t="e">
        <f>SUM(X131/T131)-1</f>
        <v>#DIV/0!</v>
      </c>
    </row>
    <row r="132" spans="2:26" ht="5.0999999999999996" customHeight="1">
      <c r="B132" s="8"/>
      <c r="C132" s="60"/>
      <c r="D132" s="60"/>
      <c r="E132" s="60"/>
      <c r="F132" s="3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R132" s="11"/>
      <c r="S132" s="11"/>
      <c r="T132" s="11"/>
      <c r="U132" s="11"/>
      <c r="V132" s="11"/>
      <c r="W132" s="11"/>
      <c r="X132" s="11"/>
      <c r="Y132" s="11"/>
      <c r="Z132" s="42"/>
    </row>
    <row r="133" spans="2:26" ht="5.0999999999999996" customHeight="1">
      <c r="B133" s="65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11"/>
      <c r="Z133" s="42"/>
    </row>
    <row r="134" spans="2:26">
      <c r="B134" s="143" t="s">
        <v>96</v>
      </c>
      <c r="C134" s="149"/>
      <c r="D134" s="149">
        <f>C141</f>
        <v>540.20000000000005</v>
      </c>
      <c r="E134" s="149">
        <f t="shared" ref="E134" si="163">D141</f>
        <v>1332.8</v>
      </c>
      <c r="F134" s="149"/>
      <c r="G134" s="149">
        <f>D134</f>
        <v>540.20000000000005</v>
      </c>
      <c r="H134" s="149">
        <f t="shared" ref="H134:P134" si="164">G141</f>
        <v>689.90000000000009</v>
      </c>
      <c r="I134" s="149">
        <f t="shared" si="164"/>
        <v>902.30000000000018</v>
      </c>
      <c r="J134" s="149">
        <f t="shared" si="164"/>
        <v>1079.2000000000003</v>
      </c>
      <c r="K134" s="149">
        <f t="shared" si="164"/>
        <v>1332.8000000000002</v>
      </c>
      <c r="L134" s="149">
        <f t="shared" si="164"/>
        <v>1485.1000000000001</v>
      </c>
      <c r="M134" s="149">
        <f t="shared" si="164"/>
        <v>1713.9</v>
      </c>
      <c r="N134" s="149">
        <f t="shared" si="164"/>
        <v>1913.7000000000003</v>
      </c>
      <c r="O134" s="149">
        <f t="shared" si="164"/>
        <v>2282.8000000000002</v>
      </c>
      <c r="P134" s="149">
        <f t="shared" si="164"/>
        <v>2442.8000000000002</v>
      </c>
      <c r="Q134" s="149"/>
      <c r="R134" s="149" t="e">
        <f>#REF!</f>
        <v>#REF!</v>
      </c>
      <c r="S134" s="149" t="e">
        <f t="shared" ref="S134:X134" si="165">R141</f>
        <v>#REF!</v>
      </c>
      <c r="T134" s="149" t="e">
        <f t="shared" si="165"/>
        <v>#REF!</v>
      </c>
      <c r="U134" s="149" t="e">
        <f t="shared" si="165"/>
        <v>#REF!</v>
      </c>
      <c r="V134" s="149" t="e">
        <f t="shared" si="165"/>
        <v>#REF!</v>
      </c>
      <c r="W134" s="149" t="e">
        <f t="shared" si="165"/>
        <v>#REF!</v>
      </c>
      <c r="X134" s="150" t="e">
        <f t="shared" si="165"/>
        <v>#REF!</v>
      </c>
      <c r="Y134" s="11"/>
      <c r="Z134" s="42"/>
    </row>
    <row r="135" spans="2:26">
      <c r="B135" s="144" t="s">
        <v>93</v>
      </c>
      <c r="C135" s="30"/>
      <c r="D135" s="30">
        <f>-C139</f>
        <v>0</v>
      </c>
      <c r="E135" s="30">
        <f t="shared" ref="E135" si="166">-D139</f>
        <v>0</v>
      </c>
      <c r="F135" s="30"/>
      <c r="G135" s="30">
        <f>D135</f>
        <v>0</v>
      </c>
      <c r="H135" s="30">
        <f>-G139</f>
        <v>0</v>
      </c>
      <c r="I135" s="30">
        <f t="shared" ref="I135:P135" si="167">-H139</f>
        <v>0</v>
      </c>
      <c r="J135" s="30">
        <f t="shared" si="167"/>
        <v>0</v>
      </c>
      <c r="K135" s="30">
        <f t="shared" si="167"/>
        <v>0</v>
      </c>
      <c r="L135" s="30">
        <f t="shared" si="167"/>
        <v>0</v>
      </c>
      <c r="M135" s="30">
        <f t="shared" si="167"/>
        <v>0</v>
      </c>
      <c r="N135" s="30">
        <f t="shared" si="167"/>
        <v>0</v>
      </c>
      <c r="O135" s="30">
        <f t="shared" si="167"/>
        <v>0</v>
      </c>
      <c r="P135" s="30">
        <f t="shared" si="167"/>
        <v>0</v>
      </c>
      <c r="Q135" s="30"/>
      <c r="R135" s="30" t="e">
        <f>-#REF!</f>
        <v>#REF!</v>
      </c>
      <c r="S135" s="30">
        <f t="shared" ref="S135:X135" si="168">-R139</f>
        <v>0</v>
      </c>
      <c r="T135" s="30">
        <f t="shared" si="168"/>
        <v>0</v>
      </c>
      <c r="U135" s="30">
        <f t="shared" si="168"/>
        <v>0</v>
      </c>
      <c r="V135" s="30">
        <f t="shared" si="168"/>
        <v>0</v>
      </c>
      <c r="W135" s="30">
        <f t="shared" si="168"/>
        <v>0</v>
      </c>
      <c r="X135" s="139">
        <f t="shared" si="168"/>
        <v>0</v>
      </c>
      <c r="Y135" s="11"/>
      <c r="Z135" s="42"/>
    </row>
    <row r="136" spans="2:26">
      <c r="B136" s="145" t="s">
        <v>74</v>
      </c>
      <c r="C136" s="113">
        <f t="shared" ref="C136:E136" si="169">SUM(C134:C135)</f>
        <v>0</v>
      </c>
      <c r="D136" s="113">
        <f t="shared" si="169"/>
        <v>540.20000000000005</v>
      </c>
      <c r="E136" s="113">
        <f t="shared" si="169"/>
        <v>1332.8</v>
      </c>
      <c r="F136" s="30"/>
      <c r="G136" s="113">
        <f t="shared" ref="G136:P136" si="170">SUM(G134:G135)</f>
        <v>540.20000000000005</v>
      </c>
      <c r="H136" s="113">
        <f t="shared" si="170"/>
        <v>689.90000000000009</v>
      </c>
      <c r="I136" s="113">
        <f t="shared" si="170"/>
        <v>902.30000000000018</v>
      </c>
      <c r="J136" s="113">
        <f t="shared" si="170"/>
        <v>1079.2000000000003</v>
      </c>
      <c r="K136" s="113">
        <f t="shared" si="170"/>
        <v>1332.8000000000002</v>
      </c>
      <c r="L136" s="113">
        <f t="shared" si="170"/>
        <v>1485.1000000000001</v>
      </c>
      <c r="M136" s="113">
        <f t="shared" si="170"/>
        <v>1713.9</v>
      </c>
      <c r="N136" s="113">
        <f t="shared" si="170"/>
        <v>1913.7000000000003</v>
      </c>
      <c r="O136" s="113">
        <f t="shared" si="170"/>
        <v>2282.8000000000002</v>
      </c>
      <c r="P136" s="113">
        <f t="shared" si="170"/>
        <v>2442.8000000000002</v>
      </c>
      <c r="Q136" s="30"/>
      <c r="R136" s="113" t="e">
        <f t="shared" ref="R136:S136" si="171">SUM(R134:R135)</f>
        <v>#REF!</v>
      </c>
      <c r="S136" s="113" t="e">
        <f t="shared" si="171"/>
        <v>#REF!</v>
      </c>
      <c r="T136" s="113" t="e">
        <f t="shared" ref="T136" si="172">SUM(T134:T135)</f>
        <v>#REF!</v>
      </c>
      <c r="U136" s="113" t="e">
        <f t="shared" ref="U136" si="173">SUM(U134:U135)</f>
        <v>#REF!</v>
      </c>
      <c r="V136" s="113" t="e">
        <f t="shared" ref="V136" si="174">SUM(V134:V135)</f>
        <v>#REF!</v>
      </c>
      <c r="W136" s="113" t="e">
        <f t="shared" ref="W136" si="175">SUM(W134:W135)</f>
        <v>#REF!</v>
      </c>
      <c r="X136" s="140" t="e">
        <f t="shared" ref="X136" si="176">SUM(X134:X135)</f>
        <v>#REF!</v>
      </c>
      <c r="Y136" s="11"/>
      <c r="Z136" s="42"/>
    </row>
    <row r="137" spans="2:26" ht="5.0999999999999996" customHeight="1">
      <c r="B137" s="146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139"/>
      <c r="Y137" s="11"/>
      <c r="Z137" s="42"/>
    </row>
    <row r="138" spans="2:26">
      <c r="B138" s="144" t="s">
        <v>94</v>
      </c>
      <c r="C138" s="76"/>
      <c r="D138" s="76"/>
      <c r="E138" s="76"/>
      <c r="F138" s="30"/>
      <c r="G138" s="76"/>
      <c r="H138" s="76"/>
      <c r="I138" s="76"/>
      <c r="J138" s="30">
        <f>SUM(D138-SUM(G138:I138))</f>
        <v>0</v>
      </c>
      <c r="K138" s="76"/>
      <c r="L138" s="76"/>
      <c r="M138" s="76"/>
      <c r="N138" s="30">
        <f>SUM(E138-SUM(K138:M138))</f>
        <v>0</v>
      </c>
      <c r="O138" s="76"/>
      <c r="P138" s="76"/>
      <c r="Q138" s="30"/>
      <c r="R138" s="30">
        <f>K138</f>
        <v>0</v>
      </c>
      <c r="S138" s="30">
        <f>L138</f>
        <v>0</v>
      </c>
      <c r="T138" s="30">
        <f>M138</f>
        <v>0</v>
      </c>
      <c r="U138" s="30">
        <f>N138</f>
        <v>0</v>
      </c>
      <c r="V138" s="30">
        <f>O138</f>
        <v>0</v>
      </c>
      <c r="W138" s="30">
        <f>P138</f>
        <v>0</v>
      </c>
      <c r="X138" s="139" t="e">
        <f>#REF!</f>
        <v>#REF!</v>
      </c>
      <c r="Y138" s="11"/>
      <c r="Z138" s="42"/>
    </row>
    <row r="139" spans="2:26">
      <c r="B139" s="144" t="s">
        <v>95</v>
      </c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>
        <f>K139</f>
        <v>0</v>
      </c>
      <c r="S139" s="30">
        <f>L139</f>
        <v>0</v>
      </c>
      <c r="T139" s="30">
        <f>M139</f>
        <v>0</v>
      </c>
      <c r="U139" s="30">
        <f>N139</f>
        <v>0</v>
      </c>
      <c r="V139" s="30">
        <f>O139</f>
        <v>0</v>
      </c>
      <c r="W139" s="30">
        <f>P139</f>
        <v>0</v>
      </c>
      <c r="X139" s="139" t="e">
        <f>#REF!</f>
        <v>#REF!</v>
      </c>
      <c r="Y139" s="11"/>
      <c r="Z139" s="42"/>
    </row>
    <row r="140" spans="2:26">
      <c r="B140" s="144" t="s">
        <v>64</v>
      </c>
      <c r="C140" s="30">
        <f t="shared" ref="C140:E140" si="177">+C131+C122+C114</f>
        <v>540.20000000000005</v>
      </c>
      <c r="D140" s="30">
        <f t="shared" si="177"/>
        <v>792.59999999999991</v>
      </c>
      <c r="E140" s="30">
        <f t="shared" si="177"/>
        <v>950.00000000000034</v>
      </c>
      <c r="F140" s="30"/>
      <c r="G140" s="30">
        <f t="shared" ref="G140:P140" si="178">+G131+G122+G114</f>
        <v>149.70000000000005</v>
      </c>
      <c r="H140" s="30">
        <f t="shared" si="178"/>
        <v>212.40000000000003</v>
      </c>
      <c r="I140" s="30">
        <f t="shared" si="178"/>
        <v>176.9</v>
      </c>
      <c r="J140" s="30">
        <f t="shared" si="178"/>
        <v>253.60000000000002</v>
      </c>
      <c r="K140" s="30">
        <f t="shared" si="178"/>
        <v>152.29999999999998</v>
      </c>
      <c r="L140" s="30">
        <f t="shared" si="178"/>
        <v>228.8</v>
      </c>
      <c r="M140" s="30">
        <f t="shared" si="178"/>
        <v>199.80000000000007</v>
      </c>
      <c r="N140" s="30">
        <f t="shared" si="178"/>
        <v>369.1</v>
      </c>
      <c r="O140" s="30">
        <f t="shared" si="178"/>
        <v>160</v>
      </c>
      <c r="P140" s="30">
        <f t="shared" si="178"/>
        <v>-492.19999999999987</v>
      </c>
      <c r="Q140" s="30"/>
      <c r="R140" s="30">
        <f>K140</f>
        <v>152.29999999999998</v>
      </c>
      <c r="S140" s="30">
        <f>L140</f>
        <v>228.8</v>
      </c>
      <c r="T140" s="30">
        <f>M140</f>
        <v>199.80000000000007</v>
      </c>
      <c r="U140" s="30">
        <f>N140</f>
        <v>369.1</v>
      </c>
      <c r="V140" s="30">
        <f>O140</f>
        <v>160</v>
      </c>
      <c r="W140" s="30">
        <f>P140</f>
        <v>-492.19999999999987</v>
      </c>
      <c r="X140" s="139" t="e">
        <f>#REF!</f>
        <v>#REF!</v>
      </c>
      <c r="Y140" s="11"/>
      <c r="Z140" s="42"/>
    </row>
    <row r="141" spans="2:26">
      <c r="B141" s="145" t="s">
        <v>75</v>
      </c>
      <c r="C141" s="113">
        <f t="shared" ref="C141:E141" si="179">SUM(C136:C140)</f>
        <v>540.20000000000005</v>
      </c>
      <c r="D141" s="113">
        <f t="shared" si="179"/>
        <v>1332.8</v>
      </c>
      <c r="E141" s="113">
        <f t="shared" si="179"/>
        <v>2282.8000000000002</v>
      </c>
      <c r="F141" s="30"/>
      <c r="G141" s="113">
        <f t="shared" ref="G141:P141" si="180">SUM(G136:G140)</f>
        <v>689.90000000000009</v>
      </c>
      <c r="H141" s="113">
        <f t="shared" si="180"/>
        <v>902.30000000000018</v>
      </c>
      <c r="I141" s="113">
        <f t="shared" si="180"/>
        <v>1079.2000000000003</v>
      </c>
      <c r="J141" s="113">
        <f t="shared" si="180"/>
        <v>1332.8000000000002</v>
      </c>
      <c r="K141" s="113">
        <f t="shared" si="180"/>
        <v>1485.1000000000001</v>
      </c>
      <c r="L141" s="113">
        <f t="shared" si="180"/>
        <v>1713.9</v>
      </c>
      <c r="M141" s="113">
        <f t="shared" si="180"/>
        <v>1913.7000000000003</v>
      </c>
      <c r="N141" s="113">
        <f t="shared" si="180"/>
        <v>2282.8000000000002</v>
      </c>
      <c r="O141" s="113">
        <f t="shared" si="180"/>
        <v>2442.8000000000002</v>
      </c>
      <c r="P141" s="113">
        <f t="shared" si="180"/>
        <v>1950.6000000000004</v>
      </c>
      <c r="Q141" s="30"/>
      <c r="R141" s="113" t="e">
        <f t="shared" ref="R141:X141" si="181">SUM(R136:R140)</f>
        <v>#REF!</v>
      </c>
      <c r="S141" s="113" t="e">
        <f t="shared" si="181"/>
        <v>#REF!</v>
      </c>
      <c r="T141" s="113" t="e">
        <f t="shared" si="181"/>
        <v>#REF!</v>
      </c>
      <c r="U141" s="113" t="e">
        <f t="shared" si="181"/>
        <v>#REF!</v>
      </c>
      <c r="V141" s="113" t="e">
        <f t="shared" si="181"/>
        <v>#REF!</v>
      </c>
      <c r="W141" s="113" t="e">
        <f t="shared" si="181"/>
        <v>#REF!</v>
      </c>
      <c r="X141" s="140" t="e">
        <f t="shared" si="181"/>
        <v>#REF!</v>
      </c>
      <c r="Y141" s="11"/>
      <c r="Z141" s="42"/>
    </row>
    <row r="142" spans="2:26" ht="5.0999999999999996" customHeight="1">
      <c r="B142" s="147"/>
      <c r="C142" s="60"/>
      <c r="D142" s="60"/>
      <c r="E142" s="60"/>
      <c r="F142" s="3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R142" s="11"/>
      <c r="S142" s="11"/>
      <c r="T142" s="11"/>
      <c r="U142" s="11"/>
      <c r="V142" s="11"/>
      <c r="W142" s="11"/>
      <c r="X142" s="141"/>
      <c r="Y142" s="11"/>
      <c r="Z142" s="42"/>
    </row>
    <row r="143" spans="2:26">
      <c r="B143" s="148" t="s">
        <v>63</v>
      </c>
      <c r="C143" s="137">
        <f>C141-C44</f>
        <v>348.6</v>
      </c>
      <c r="D143" s="137">
        <f>D141-D44</f>
        <v>1183.5</v>
      </c>
      <c r="E143" s="137">
        <f>E141-E44</f>
        <v>2102.3000000000002</v>
      </c>
      <c r="F143" s="138"/>
      <c r="G143" s="137">
        <f>G141-G44</f>
        <v>564.20000000000005</v>
      </c>
      <c r="H143" s="137">
        <f>H141-H44</f>
        <v>736.10000000000014</v>
      </c>
      <c r="I143" s="137">
        <f>I141-I44</f>
        <v>951.90000000000032</v>
      </c>
      <c r="J143" s="137">
        <f>J141-J44</f>
        <v>1183.5000000000002</v>
      </c>
      <c r="K143" s="137">
        <f>K141-K44</f>
        <v>1325.8000000000002</v>
      </c>
      <c r="L143" s="137">
        <f>L141-L44</f>
        <v>1546.2</v>
      </c>
      <c r="M143" s="137">
        <f>M141-M44</f>
        <v>1727.6000000000004</v>
      </c>
      <c r="N143" s="137">
        <f>N141-N44</f>
        <v>2102.3000000000002</v>
      </c>
      <c r="O143" s="137">
        <f>O141-O44</f>
        <v>2276.3000000000002</v>
      </c>
      <c r="P143" s="137">
        <f>P141-P44</f>
        <v>1750.0000000000005</v>
      </c>
      <c r="Q143" s="137"/>
      <c r="R143" s="137" t="e">
        <f>R141-R44</f>
        <v>#REF!</v>
      </c>
      <c r="S143" s="137" t="e">
        <f>S141-S44</f>
        <v>#REF!</v>
      </c>
      <c r="T143" s="137" t="e">
        <f>T141-T44</f>
        <v>#REF!</v>
      </c>
      <c r="U143" s="137" t="e">
        <f>U141-U44</f>
        <v>#REF!</v>
      </c>
      <c r="V143" s="137" t="e">
        <f>V141-V44</f>
        <v>#REF!</v>
      </c>
      <c r="W143" s="137" t="e">
        <f>W141-W44</f>
        <v>#REF!</v>
      </c>
      <c r="X143" s="142" t="e">
        <f>X141-X44</f>
        <v>#REF!</v>
      </c>
      <c r="Y143" s="11"/>
      <c r="Z143" s="42"/>
    </row>
    <row r="144" spans="2:26" ht="5.0999999999999996" customHeight="1">
      <c r="B144" s="8"/>
      <c r="C144" s="60"/>
      <c r="D144" s="60"/>
      <c r="E144" s="60"/>
      <c r="F144" s="3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R144" s="11"/>
      <c r="S144" s="11"/>
      <c r="T144" s="11"/>
      <c r="U144" s="11"/>
      <c r="V144" s="11"/>
      <c r="W144" s="11"/>
      <c r="X144" s="11"/>
      <c r="Y144" s="11"/>
      <c r="Z144" s="42"/>
    </row>
    <row r="145" spans="2:26">
      <c r="B145" s="112" t="s">
        <v>87</v>
      </c>
      <c r="C145" s="60"/>
      <c r="D145" s="60"/>
      <c r="E145" s="60"/>
      <c r="F145" s="3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R145" s="11"/>
      <c r="S145" s="11"/>
      <c r="T145" s="11"/>
      <c r="U145" s="11"/>
      <c r="V145" s="11"/>
      <c r="W145" s="11"/>
      <c r="X145" s="11"/>
      <c r="Y145" s="11"/>
      <c r="Z145" s="42"/>
    </row>
    <row r="146" spans="2:26">
      <c r="B146" s="77" t="s">
        <v>92</v>
      </c>
      <c r="C146" s="60"/>
      <c r="D146" s="60"/>
      <c r="E146" s="60"/>
      <c r="F146" s="30"/>
      <c r="G146" s="76"/>
      <c r="H146" s="30"/>
      <c r="I146" s="30"/>
      <c r="J146" s="30">
        <f>SUM(D146-SUM(G146:I146))</f>
        <v>0</v>
      </c>
      <c r="K146" s="76"/>
      <c r="L146" s="30"/>
      <c r="M146" s="30"/>
      <c r="N146" s="30">
        <f>SUM(E146-SUM(K146:M146))</f>
        <v>0</v>
      </c>
      <c r="O146" s="76"/>
      <c r="P146" s="30"/>
      <c r="R146" s="30">
        <f>SUM(H146:K146)</f>
        <v>0</v>
      </c>
      <c r="S146" s="30">
        <f>SUM(I146:L146)</f>
        <v>0</v>
      </c>
      <c r="T146" s="30">
        <f>SUM(J146:M146)</f>
        <v>0</v>
      </c>
      <c r="U146" s="30">
        <f>SUM(K146:N146)</f>
        <v>0</v>
      </c>
      <c r="V146" s="30">
        <f>SUM(L146:O146)</f>
        <v>0</v>
      </c>
      <c r="W146" s="30">
        <f>SUM(M146:P146)</f>
        <v>0</v>
      </c>
      <c r="X146" s="30">
        <f>SUM(N146:P146)</f>
        <v>0</v>
      </c>
      <c r="Y146" s="11"/>
      <c r="Z146" s="42"/>
    </row>
    <row r="147" spans="2:26">
      <c r="B147" s="77" t="s">
        <v>91</v>
      </c>
      <c r="C147" s="60"/>
      <c r="D147" s="60"/>
      <c r="E147" s="60"/>
      <c r="F147" s="30"/>
      <c r="G147" s="76"/>
      <c r="H147" s="30"/>
      <c r="I147" s="30"/>
      <c r="J147" s="30">
        <f>SUM(D147-SUM(G147:I147))</f>
        <v>0</v>
      </c>
      <c r="K147" s="76"/>
      <c r="L147" s="30"/>
      <c r="M147" s="30"/>
      <c r="N147" s="30">
        <f>SUM(E147-SUM(K147:M147))</f>
        <v>0</v>
      </c>
      <c r="O147" s="76"/>
      <c r="P147" s="30"/>
      <c r="R147" s="30">
        <f>SUM(H147:K147)</f>
        <v>0</v>
      </c>
      <c r="S147" s="30">
        <f>SUM(I147:L147)</f>
        <v>0</v>
      </c>
      <c r="T147" s="30">
        <f>SUM(J147:M147)</f>
        <v>0</v>
      </c>
      <c r="U147" s="30">
        <f>SUM(K147:N147)</f>
        <v>0</v>
      </c>
      <c r="V147" s="30">
        <f>SUM(L147:O147)</f>
        <v>0</v>
      </c>
      <c r="W147" s="30">
        <f>SUM(M147:P147)</f>
        <v>0</v>
      </c>
      <c r="X147" s="30">
        <f>SUM(N147:P147)</f>
        <v>0</v>
      </c>
      <c r="Y147" s="11"/>
      <c r="Z147" s="42"/>
    </row>
    <row r="148" spans="2:26" ht="5.0999999999999996" customHeight="1" thickBot="1">
      <c r="B148" s="66"/>
      <c r="C148" s="67"/>
      <c r="D148" s="67"/>
      <c r="E148" s="67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Z148" s="42"/>
    </row>
    <row r="149" spans="2:26" ht="12.75" customHeight="1">
      <c r="C149" s="52"/>
      <c r="D149" s="52"/>
      <c r="E149" s="52"/>
    </row>
    <row r="150" spans="2:26" ht="12.75" customHeight="1">
      <c r="C150" s="52"/>
      <c r="D150" s="52"/>
      <c r="E150" s="52"/>
    </row>
    <row r="151" spans="2:26" ht="12.75" customHeight="1">
      <c r="C151" s="52"/>
      <c r="D151" s="52"/>
      <c r="E151" s="52"/>
    </row>
    <row r="152" spans="2:26" ht="12.75" customHeight="1">
      <c r="C152" s="52"/>
      <c r="D152" s="52"/>
      <c r="E152" s="52"/>
    </row>
    <row r="153" spans="2:26" ht="12.75" customHeight="1">
      <c r="C153" s="52"/>
      <c r="D153" s="52"/>
      <c r="E153" s="52"/>
      <c r="G153" s="79"/>
      <c r="H153" s="79"/>
      <c r="I153" s="79"/>
      <c r="J153" s="79"/>
      <c r="K153" s="79"/>
      <c r="L153" s="79"/>
      <c r="M153" s="79"/>
      <c r="N153" s="79"/>
      <c r="O153" s="79"/>
      <c r="P153" s="79"/>
    </row>
    <row r="154" spans="2:26" ht="12.75" customHeight="1">
      <c r="C154" s="52"/>
      <c r="D154" s="52"/>
      <c r="E154" s="52"/>
    </row>
    <row r="155" spans="2:26" ht="12.75" customHeight="1">
      <c r="C155" s="52"/>
      <c r="D155" s="52"/>
      <c r="E155" s="52"/>
      <c r="G155" s="79"/>
      <c r="H155" s="79"/>
      <c r="I155" s="79"/>
      <c r="J155" s="79"/>
      <c r="K155" s="79"/>
      <c r="L155" s="79"/>
      <c r="M155" s="79"/>
      <c r="N155" s="79"/>
      <c r="O155" s="79"/>
      <c r="P155" s="79"/>
    </row>
    <row r="156" spans="2:26">
      <c r="G156" s="79"/>
      <c r="H156" s="79"/>
      <c r="I156" s="79"/>
      <c r="J156" s="79"/>
      <c r="K156" s="79"/>
      <c r="L156" s="79"/>
      <c r="M156" s="79"/>
      <c r="N156" s="79"/>
      <c r="O156" s="79"/>
      <c r="P156" s="79"/>
    </row>
    <row r="157" spans="2:26">
      <c r="G157" s="79"/>
      <c r="H157" s="79"/>
      <c r="I157" s="79"/>
      <c r="J157" s="79"/>
      <c r="K157" s="79"/>
      <c r="L157" s="79"/>
      <c r="M157" s="79"/>
      <c r="N157" s="79"/>
      <c r="O157" s="79"/>
      <c r="P157" s="79"/>
    </row>
    <row r="159" spans="2:26">
      <c r="G159" s="79"/>
      <c r="H159" s="79"/>
      <c r="I159" s="79"/>
      <c r="J159" s="79"/>
      <c r="K159" s="79"/>
      <c r="L159" s="79"/>
      <c r="M159" s="79"/>
      <c r="N159" s="79"/>
      <c r="O159" s="79"/>
      <c r="P159" s="79"/>
    </row>
    <row r="160" spans="2:26">
      <c r="G160" s="79"/>
      <c r="H160" s="79"/>
      <c r="I160" s="79"/>
      <c r="J160" s="79"/>
      <c r="K160" s="79"/>
      <c r="L160" s="79"/>
      <c r="M160" s="79"/>
      <c r="N160" s="79"/>
      <c r="O160" s="79"/>
      <c r="P160" s="79"/>
    </row>
  </sheetData>
  <mergeCells count="3">
    <mergeCell ref="Z6:Z8"/>
    <mergeCell ref="Z39:Z41"/>
    <mergeCell ref="Z89:Z91"/>
  </mergeCells>
  <pageMargins left="0.7" right="0.7" top="0.75" bottom="0.75" header="0.3" footer="0.3"/>
  <ignoredErrors>
    <ignoredError sqref="X14:X16 F50 R13:X13" formulaRange="1"/>
    <ignoredError sqref="Z122:Z124 Z114:Z116" evalError="1"/>
    <ignoredError sqref="K95:O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X50"/>
  <sheetViews>
    <sheetView showGridLines="0" topLeftCell="A47" zoomScaleNormal="100" workbookViewId="0">
      <selection activeCell="G40" sqref="G40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5" width="8.625" style="8" bestFit="1" customWidth="1"/>
    <col min="6" max="6" width="1.5" style="8" customWidth="1"/>
    <col min="7" max="8" width="8" style="8" customWidth="1" outlineLevel="1"/>
    <col min="9" max="10" width="8.75" style="8" customWidth="1" outlineLevel="1"/>
    <col min="11" max="11" width="8.5" style="8" customWidth="1" outlineLevel="1"/>
    <col min="12" max="12" width="8.25" style="8" customWidth="1" outlineLevel="1"/>
    <col min="13" max="13" width="8.5" style="8" bestFit="1" customWidth="1"/>
    <col min="14" max="16" width="9.125" style="8" bestFit="1" customWidth="1"/>
    <col min="17" max="17" width="1.5" style="8" customWidth="1"/>
    <col min="18" max="19" width="8.75" style="8" customWidth="1" outlineLevel="1"/>
    <col min="20" max="20" width="8.75" style="8" customWidth="1"/>
    <col min="21" max="23" width="8.75" style="8" customWidth="1" outlineLevel="1"/>
    <col min="24" max="24" width="8.75" style="8" customWidth="1"/>
    <col min="25" max="16384" width="9" style="8"/>
  </cols>
  <sheetData>
    <row r="2" spans="1:24" s="5" customFormat="1" ht="12.75" customHeight="1">
      <c r="B2" s="1" t="str">
        <f>'Historical Financials'!B2</f>
        <v>Crocs Inc (NASDAQ: CROX)</v>
      </c>
      <c r="C2" s="2" t="s">
        <v>0</v>
      </c>
      <c r="D2" s="2"/>
      <c r="E2" s="2"/>
      <c r="F2" s="3"/>
      <c r="G2" s="2"/>
      <c r="H2" s="2"/>
      <c r="I2" s="2"/>
      <c r="J2" s="2"/>
      <c r="K2" s="2"/>
      <c r="L2" s="2"/>
      <c r="M2" s="2" t="s">
        <v>1</v>
      </c>
      <c r="N2" s="2"/>
      <c r="O2" s="2"/>
      <c r="P2" s="2"/>
      <c r="Q2" s="3"/>
      <c r="R2" s="2"/>
      <c r="S2" s="2"/>
      <c r="T2" s="2" t="s">
        <v>10</v>
      </c>
      <c r="U2" s="2"/>
      <c r="V2" s="2"/>
      <c r="W2" s="2"/>
      <c r="X2" s="2"/>
    </row>
    <row r="3" spans="1:24" s="5" customFormat="1" ht="12.75" customHeight="1">
      <c r="B3" s="6" t="s">
        <v>70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3"/>
      <c r="G3" s="7" t="str">
        <f>'Historical Financials'!G7</f>
        <v>1Q23</v>
      </c>
      <c r="H3" s="7" t="str">
        <f>'Historical Financials'!H7</f>
        <v>2Q23</v>
      </c>
      <c r="I3" s="7" t="str">
        <f>'Historical Financials'!I7</f>
        <v>3Q23</v>
      </c>
      <c r="J3" s="7" t="str">
        <f>'Historical Financials'!J7</f>
        <v>4Q23</v>
      </c>
      <c r="K3" s="7" t="str">
        <f>'Historical Financials'!K7</f>
        <v>1Q24</v>
      </c>
      <c r="L3" s="7" t="str">
        <f>'Historical Financials'!L7</f>
        <v>2Q24</v>
      </c>
      <c r="M3" s="7" t="str">
        <f>'Historical Financials'!M7</f>
        <v>3Q24</v>
      </c>
      <c r="N3" s="7" t="str">
        <f>'Historical Financials'!N7</f>
        <v>4Q24</v>
      </c>
      <c r="O3" s="7" t="str">
        <f>'Historical Financials'!O7</f>
        <v>1Q25</v>
      </c>
      <c r="P3" s="7" t="str">
        <f>'Historical Financials'!P7</f>
        <v>2Q25</v>
      </c>
      <c r="Q3" s="4"/>
      <c r="R3" s="4" t="str">
        <f>J3</f>
        <v>4Q23</v>
      </c>
      <c r="S3" s="4" t="str">
        <f>K3</f>
        <v>1Q24</v>
      </c>
      <c r="T3" s="4" t="str">
        <f>L3</f>
        <v>2Q24</v>
      </c>
      <c r="U3" s="4" t="str">
        <f>M3</f>
        <v>3Q24</v>
      </c>
      <c r="V3" s="4" t="str">
        <f>N3</f>
        <v>4Q24</v>
      </c>
      <c r="W3" s="4" t="str">
        <f>O3</f>
        <v>1Q25</v>
      </c>
      <c r="X3" s="4" t="str">
        <f>P3</f>
        <v>2Q25</v>
      </c>
    </row>
    <row r="4" spans="1:24" s="5" customFormat="1" ht="12.75" customHeight="1">
      <c r="B4" s="6" t="s">
        <v>98</v>
      </c>
      <c r="C4" s="3" t="str">
        <f>'Historical Financials'!C8</f>
        <v>XXX</v>
      </c>
      <c r="D4" s="3" t="str">
        <f>'Historical Financials'!D8</f>
        <v>XXX</v>
      </c>
      <c r="E4" s="3" t="str">
        <f>'Historical Financials'!E8</f>
        <v>XXX</v>
      </c>
      <c r="F4" s="3"/>
      <c r="G4" s="3" t="str">
        <f>'Historical Financials'!G8</f>
        <v>XXX</v>
      </c>
      <c r="H4" s="3" t="str">
        <f>'Historical Financials'!H8</f>
        <v>XXX</v>
      </c>
      <c r="I4" s="3" t="str">
        <f>'Historical Financials'!I8</f>
        <v>XXX</v>
      </c>
      <c r="J4" s="3" t="str">
        <f>'Historical Financials'!J8</f>
        <v>XXX</v>
      </c>
      <c r="K4" s="3" t="str">
        <f>'Historical Financials'!K8</f>
        <v>XXX</v>
      </c>
      <c r="L4" s="3" t="str">
        <f>'Historical Financials'!L8</f>
        <v>XXX</v>
      </c>
      <c r="M4" s="3" t="str">
        <f>'Historical Financials'!M8</f>
        <v>XXX</v>
      </c>
      <c r="N4" s="3" t="str">
        <f>'Historical Financials'!N8</f>
        <v>XXX</v>
      </c>
      <c r="O4" s="3" t="str">
        <f>'Historical Financials'!O8</f>
        <v>XXX</v>
      </c>
      <c r="P4" s="3" t="str">
        <f>'Historical Financials'!P8</f>
        <v>XXX</v>
      </c>
      <c r="Q4" s="3"/>
      <c r="R4" s="3" t="str">
        <f>J4</f>
        <v>XXX</v>
      </c>
      <c r="S4" s="3" t="str">
        <f>K4</f>
        <v>XXX</v>
      </c>
      <c r="T4" s="3" t="str">
        <f>L4</f>
        <v>XXX</v>
      </c>
      <c r="U4" s="3" t="str">
        <f>M4</f>
        <v>XXX</v>
      </c>
      <c r="V4" s="3" t="str">
        <f>N4</f>
        <v>XXX</v>
      </c>
      <c r="W4" s="3" t="str">
        <f>O4</f>
        <v>XXX</v>
      </c>
      <c r="X4" s="3" t="str">
        <f>P4</f>
        <v>XXX</v>
      </c>
    </row>
    <row r="5" spans="1:24" ht="5.0999999999999996" customHeight="1"/>
    <row r="6" spans="1:24">
      <c r="A6" s="33" t="s">
        <v>18</v>
      </c>
      <c r="B6" s="1" t="s">
        <v>100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5.0999999999999996" customHeight="1"/>
    <row r="8" spans="1:24" ht="12.75" customHeight="1">
      <c r="A8" s="74" t="s">
        <v>18</v>
      </c>
      <c r="B8" s="72" t="s">
        <v>97</v>
      </c>
      <c r="C8" s="10"/>
      <c r="D8" s="10"/>
      <c r="E8" s="10"/>
      <c r="F8" s="10"/>
      <c r="G8" s="81"/>
      <c r="H8" s="81"/>
      <c r="I8" s="81"/>
      <c r="J8" s="30"/>
      <c r="K8" s="81"/>
      <c r="L8" s="81"/>
      <c r="M8" s="81"/>
      <c r="N8" s="30"/>
      <c r="O8" s="81"/>
      <c r="P8" s="81"/>
      <c r="Q8" s="5"/>
      <c r="R8" s="11"/>
      <c r="S8" s="11"/>
      <c r="T8" s="11"/>
      <c r="U8" s="11"/>
      <c r="V8" s="11"/>
      <c r="W8" s="11"/>
      <c r="X8" s="11"/>
    </row>
    <row r="9" spans="1:24" ht="12.75" customHeight="1">
      <c r="A9" s="74"/>
      <c r="B9" s="9" t="s">
        <v>160</v>
      </c>
      <c r="C9" s="106">
        <f>C20</f>
        <v>2659</v>
      </c>
      <c r="D9" s="106">
        <f t="shared" ref="D9:P9" si="0">D20</f>
        <v>3013</v>
      </c>
      <c r="E9" s="106">
        <f t="shared" si="0"/>
        <v>3278</v>
      </c>
      <c r="F9" s="10"/>
      <c r="G9" s="106">
        <f t="shared" si="0"/>
        <v>648.79999999999995</v>
      </c>
      <c r="H9" s="106">
        <f t="shared" si="0"/>
        <v>832.90000000000009</v>
      </c>
      <c r="I9" s="106">
        <f t="shared" si="0"/>
        <v>798.8</v>
      </c>
      <c r="J9" s="106">
        <f t="shared" si="0"/>
        <v>732.49999999999977</v>
      </c>
      <c r="K9" s="106">
        <f t="shared" si="0"/>
        <v>743.8</v>
      </c>
      <c r="L9" s="106">
        <f t="shared" si="0"/>
        <v>914</v>
      </c>
      <c r="M9" s="106">
        <f t="shared" si="0"/>
        <v>858.1</v>
      </c>
      <c r="N9" s="106">
        <f t="shared" si="0"/>
        <v>762.1</v>
      </c>
      <c r="O9" s="106">
        <f t="shared" si="0"/>
        <v>761.6</v>
      </c>
      <c r="P9" s="106">
        <f t="shared" si="0"/>
        <v>959.59999999999991</v>
      </c>
      <c r="Q9" s="5"/>
      <c r="R9" s="30">
        <f t="shared" ref="R9:W9" si="1">SUM(G9:J9)</f>
        <v>3013</v>
      </c>
      <c r="S9" s="30">
        <f t="shared" si="1"/>
        <v>3108</v>
      </c>
      <c r="T9" s="30">
        <f t="shared" si="1"/>
        <v>3189.0999999999995</v>
      </c>
      <c r="U9" s="30">
        <f t="shared" si="1"/>
        <v>3248.3999999999996</v>
      </c>
      <c r="V9" s="30">
        <f>SUM(K9:N9)</f>
        <v>3278</v>
      </c>
      <c r="W9" s="30">
        <f t="shared" si="1"/>
        <v>3295.7999999999997</v>
      </c>
      <c r="X9" s="30">
        <f>SUM(M9:P9)</f>
        <v>3341.4</v>
      </c>
    </row>
    <row r="10" spans="1:24">
      <c r="B10" s="9" t="s">
        <v>161</v>
      </c>
      <c r="C10" s="106">
        <f>C29</f>
        <v>896</v>
      </c>
      <c r="D10" s="106">
        <f t="shared" ref="D10:P10" si="2">D29</f>
        <v>949</v>
      </c>
      <c r="E10" s="106">
        <f t="shared" si="2"/>
        <v>824</v>
      </c>
      <c r="F10" s="75"/>
      <c r="G10" s="106">
        <f t="shared" si="2"/>
        <v>235.4</v>
      </c>
      <c r="H10" s="106">
        <f t="shared" si="2"/>
        <v>239.4</v>
      </c>
      <c r="I10" s="106">
        <f t="shared" si="2"/>
        <v>246.9</v>
      </c>
      <c r="J10" s="106">
        <f t="shared" si="2"/>
        <v>227.29999999999995</v>
      </c>
      <c r="K10" s="106">
        <f t="shared" si="2"/>
        <v>194.9</v>
      </c>
      <c r="L10" s="106">
        <f t="shared" si="2"/>
        <v>197.5</v>
      </c>
      <c r="M10" s="106">
        <f t="shared" si="2"/>
        <v>204.1</v>
      </c>
      <c r="N10" s="106">
        <f t="shared" si="2"/>
        <v>787.6</v>
      </c>
      <c r="O10" s="106">
        <f t="shared" si="2"/>
        <v>175.7</v>
      </c>
      <c r="P10" s="106">
        <f t="shared" si="2"/>
        <v>189.8</v>
      </c>
      <c r="Q10" s="5"/>
      <c r="R10" s="30">
        <f t="shared" ref="R10" si="3">SUM(G10:J10)</f>
        <v>949</v>
      </c>
      <c r="S10" s="30">
        <f t="shared" ref="S10" si="4">SUM(H10:K10)</f>
        <v>908.49999999999989</v>
      </c>
      <c r="T10" s="30">
        <f t="shared" ref="T10" si="5">SUM(I10:L10)</f>
        <v>866.59999999999991</v>
      </c>
      <c r="U10" s="30">
        <f t="shared" ref="U10" si="6">SUM(J10:M10)</f>
        <v>823.8</v>
      </c>
      <c r="V10" s="30">
        <f t="shared" ref="V10" si="7">SUM(K10:N10)</f>
        <v>1384.1</v>
      </c>
      <c r="W10" s="30">
        <f t="shared" ref="W10:X10" si="8">SUM(L10:O10)</f>
        <v>1364.9</v>
      </c>
      <c r="X10" s="30">
        <f t="shared" si="8"/>
        <v>1357.2</v>
      </c>
    </row>
    <row r="11" spans="1:24">
      <c r="B11" s="12" t="s">
        <v>71</v>
      </c>
      <c r="C11" s="13">
        <f>SUM(C9:C10)</f>
        <v>3555</v>
      </c>
      <c r="D11" s="13">
        <f>SUM(D9:D10)</f>
        <v>3962</v>
      </c>
      <c r="E11" s="13">
        <f>SUM(E9:E10)</f>
        <v>4102</v>
      </c>
      <c r="F11" s="11"/>
      <c r="G11" s="13">
        <f>SUM(G9:G10)</f>
        <v>884.19999999999993</v>
      </c>
      <c r="H11" s="13">
        <f>SUM(H9:H10)</f>
        <v>1072.3000000000002</v>
      </c>
      <c r="I11" s="13">
        <f>SUM(I9:I10)</f>
        <v>1045.7</v>
      </c>
      <c r="J11" s="13">
        <f>SUM(J9:J10)</f>
        <v>959.79999999999973</v>
      </c>
      <c r="K11" s="13">
        <f>SUM(K9:K10)</f>
        <v>938.69999999999993</v>
      </c>
      <c r="L11" s="13">
        <f>SUM(L9:L10)</f>
        <v>1111.5</v>
      </c>
      <c r="M11" s="13">
        <f>SUM(M9:M10)</f>
        <v>1062.2</v>
      </c>
      <c r="N11" s="13">
        <f>SUM(N9:N10)</f>
        <v>1549.7</v>
      </c>
      <c r="O11" s="13">
        <f>SUM(O9:O10)</f>
        <v>937.3</v>
      </c>
      <c r="P11" s="13">
        <f>SUM(P9:P10)</f>
        <v>1149.3999999999999</v>
      </c>
      <c r="Q11" s="5"/>
      <c r="R11" s="13">
        <f>SUM(R9:R10)</f>
        <v>3962</v>
      </c>
      <c r="S11" s="13">
        <f>SUM(S9:S10)</f>
        <v>4016.5</v>
      </c>
      <c r="T11" s="13">
        <f>SUM(T9:T10)</f>
        <v>4055.6999999999994</v>
      </c>
      <c r="U11" s="13">
        <f>SUM(U9:U10)</f>
        <v>4072.2</v>
      </c>
      <c r="V11" s="13">
        <f>SUM(V9:V10)</f>
        <v>4662.1000000000004</v>
      </c>
      <c r="W11" s="13">
        <f>SUM(W9:W10)</f>
        <v>4660.7</v>
      </c>
      <c r="X11" s="13">
        <f>SUM(X9:X10)</f>
        <v>4698.6000000000004</v>
      </c>
    </row>
    <row r="12" spans="1:24" outlineLevel="1">
      <c r="B12" s="114" t="s">
        <v>63</v>
      </c>
      <c r="C12" s="73">
        <f>+C11-'Historical Financials'!C11</f>
        <v>0</v>
      </c>
      <c r="D12" s="73">
        <f>+D11-'Historical Financials'!D11</f>
        <v>-0.3000000000001819</v>
      </c>
      <c r="E12" s="73">
        <f>+E11-'Historical Financials'!E11</f>
        <v>-0.1000000000003638</v>
      </c>
      <c r="F12" s="11"/>
      <c r="G12" s="73">
        <f>+G11-'Historical Financials'!G11</f>
        <v>0</v>
      </c>
      <c r="H12" s="73">
        <f>+H11-'Historical Financials'!H11</f>
        <v>-9.9999999999909051E-2</v>
      </c>
      <c r="I12" s="73">
        <f>+I11-'Historical Financials'!I11</f>
        <v>0</v>
      </c>
      <c r="J12" s="73">
        <f>+J11-'Historical Financials'!J11</f>
        <v>-0.20000000000027285</v>
      </c>
      <c r="K12" s="73">
        <f>+K11-'Historical Financials'!K11</f>
        <v>9.9999999999909051E-2</v>
      </c>
      <c r="L12" s="73">
        <f>+L11-'Historical Financials'!L11</f>
        <v>0</v>
      </c>
      <c r="M12" s="73">
        <f>+M11-'Historical Financials'!M11</f>
        <v>0</v>
      </c>
      <c r="N12" s="73">
        <f>+N11-'Historical Financials'!N11</f>
        <v>559.89999999999986</v>
      </c>
      <c r="O12" s="73">
        <f>+O11-'Historical Financials'!O11</f>
        <v>0</v>
      </c>
      <c r="P12" s="73">
        <f>+P11-'Historical Financials'!P11</f>
        <v>0</v>
      </c>
      <c r="Q12" s="73"/>
      <c r="R12" s="73">
        <f>+R11-'Historical Financials'!R11</f>
        <v>-0.3000000000001819</v>
      </c>
      <c r="S12" s="73">
        <f>+S11-'Historical Financials'!S11</f>
        <v>-0.20000000000027285</v>
      </c>
      <c r="T12" s="73">
        <f>+T11-'Historical Financials'!T11</f>
        <v>-0.10000000000081855</v>
      </c>
      <c r="U12" s="73">
        <f>+U11-'Historical Financials'!U11</f>
        <v>-0.1000000000003638</v>
      </c>
      <c r="V12" s="73">
        <f>+V11-'Historical Financials'!V11</f>
        <v>560</v>
      </c>
      <c r="W12" s="73">
        <f>+W11-'Historical Financials'!W11</f>
        <v>559.89999999999964</v>
      </c>
      <c r="X12" s="73">
        <f>+X11-'Historical Financials'!X11</f>
        <v>559.89999999999964</v>
      </c>
    </row>
    <row r="13" spans="1:24">
      <c r="B13" s="16"/>
      <c r="C13" s="17"/>
      <c r="D13" s="17"/>
      <c r="E13" s="17"/>
      <c r="F13" s="18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8"/>
      <c r="R13" s="18"/>
      <c r="S13" s="18"/>
      <c r="T13" s="18"/>
      <c r="U13" s="18"/>
      <c r="V13" s="18"/>
      <c r="W13" s="18"/>
      <c r="X13" s="18"/>
    </row>
    <row r="14" spans="1:24">
      <c r="B14" s="115" t="str">
        <f>B9&amp;"(%)"</f>
        <v>Crox Revenues(%)</v>
      </c>
      <c r="C14" s="127">
        <f>SUM(C9/C$11)</f>
        <v>0.74796061884669485</v>
      </c>
      <c r="D14" s="127">
        <f>SUM(D9/D$11)</f>
        <v>0.76047450782433113</v>
      </c>
      <c r="E14" s="127">
        <f>SUM(E9/E$11)</f>
        <v>0.79912237932715746</v>
      </c>
      <c r="F14" s="116"/>
      <c r="G14" s="127">
        <f>SUM(G9/G$11)</f>
        <v>0.73377064012666815</v>
      </c>
      <c r="H14" s="127">
        <f>SUM(H9/H$11)</f>
        <v>0.77674158351207678</v>
      </c>
      <c r="I14" s="127">
        <f>SUM(I9/I$11)</f>
        <v>0.76389021707946825</v>
      </c>
      <c r="J14" s="127">
        <f>SUM(J9/J$11)</f>
        <v>0.76317982913106897</v>
      </c>
      <c r="K14" s="127">
        <f>SUM(K9/K$11)</f>
        <v>0.79237242995632262</v>
      </c>
      <c r="L14" s="127">
        <f>SUM(L9/L$11)</f>
        <v>0.82231219073324335</v>
      </c>
      <c r="M14" s="127">
        <f>SUM(M9/M$11)</f>
        <v>0.80785162869516103</v>
      </c>
      <c r="N14" s="127">
        <f>SUM(N9/N$11)</f>
        <v>0.49177260114860943</v>
      </c>
      <c r="O14" s="127">
        <f>SUM(O9/O$11)</f>
        <v>0.81254667662434654</v>
      </c>
      <c r="P14" s="127">
        <f>SUM(P9/P$11)</f>
        <v>0.83487036714807727</v>
      </c>
      <c r="Q14" s="116"/>
      <c r="R14" s="117">
        <f>K14</f>
        <v>0.79237242995632262</v>
      </c>
      <c r="S14" s="117">
        <f>L14</f>
        <v>0.82231219073324335</v>
      </c>
      <c r="T14" s="117">
        <f>M14</f>
        <v>0.80785162869516103</v>
      </c>
      <c r="U14" s="117">
        <f>N14</f>
        <v>0.49177260114860943</v>
      </c>
      <c r="V14" s="117">
        <f>O14</f>
        <v>0.81254667662434654</v>
      </c>
      <c r="W14" s="117">
        <f>P14</f>
        <v>0.83487036714807727</v>
      </c>
      <c r="X14" s="118" t="e">
        <f>#REF!</f>
        <v>#REF!</v>
      </c>
    </row>
    <row r="15" spans="1:24" ht="12.75" customHeight="1">
      <c r="B15" s="123" t="str">
        <f>B10&amp;"(%)"</f>
        <v>HEYDUDE Revenues(%)</v>
      </c>
      <c r="C15" s="128">
        <f>SUM(C10/C$11)</f>
        <v>0.25203938115330521</v>
      </c>
      <c r="D15" s="128">
        <f>SUM(D10/D$11)</f>
        <v>0.23952549217566885</v>
      </c>
      <c r="E15" s="128">
        <f>SUM(E10/E$11)</f>
        <v>0.20087762067284251</v>
      </c>
      <c r="F15" s="124"/>
      <c r="G15" s="128">
        <f>SUM(G10/G$11)</f>
        <v>0.26622935987333185</v>
      </c>
      <c r="H15" s="128">
        <f>SUM(H10/H$11)</f>
        <v>0.22325841648792313</v>
      </c>
      <c r="I15" s="128">
        <f>SUM(I10/I$11)</f>
        <v>0.2361097829205317</v>
      </c>
      <c r="J15" s="128">
        <f>SUM(J10/J$11)</f>
        <v>0.23682017086893103</v>
      </c>
      <c r="K15" s="128">
        <f>SUM(K10/K$11)</f>
        <v>0.20762757004367743</v>
      </c>
      <c r="L15" s="128">
        <f>SUM(L10/L$11)</f>
        <v>0.17768780926675665</v>
      </c>
      <c r="M15" s="128">
        <f>SUM(M10/M$11)</f>
        <v>0.192148371304839</v>
      </c>
      <c r="N15" s="128">
        <f>SUM(N10/N$11)</f>
        <v>0.50822739885139057</v>
      </c>
      <c r="O15" s="128">
        <f>SUM(O10/O$11)</f>
        <v>0.18745332337565346</v>
      </c>
      <c r="P15" s="128">
        <f>SUM(P10/P$11)</f>
        <v>0.16512963285192278</v>
      </c>
      <c r="Q15" s="124"/>
      <c r="R15" s="125">
        <f>K15</f>
        <v>0.20762757004367743</v>
      </c>
      <c r="S15" s="125">
        <f>L15</f>
        <v>0.17768780926675665</v>
      </c>
      <c r="T15" s="125">
        <f>M15</f>
        <v>0.192148371304839</v>
      </c>
      <c r="U15" s="125">
        <f>N15</f>
        <v>0.50822739885139057</v>
      </c>
      <c r="V15" s="125">
        <f>O15</f>
        <v>0.18745332337565346</v>
      </c>
      <c r="W15" s="125">
        <f>P15</f>
        <v>0.16512963285192278</v>
      </c>
      <c r="X15" s="126" t="e">
        <f>#REF!</f>
        <v>#REF!</v>
      </c>
    </row>
    <row r="16" spans="1:24">
      <c r="B16" s="16"/>
      <c r="C16" s="17"/>
      <c r="D16" s="17"/>
      <c r="E16" s="17"/>
      <c r="F16" s="18"/>
      <c r="G16" s="19"/>
      <c r="H16" s="19"/>
      <c r="I16" s="19"/>
      <c r="J16" s="20"/>
      <c r="K16" s="19"/>
      <c r="L16" s="19"/>
      <c r="M16" s="19"/>
      <c r="N16" s="19"/>
      <c r="O16" s="19"/>
      <c r="P16" s="19"/>
      <c r="Q16" s="18"/>
      <c r="R16" s="18"/>
      <c r="S16" s="18"/>
      <c r="T16" s="18"/>
      <c r="U16" s="18"/>
      <c r="V16" s="18"/>
      <c r="W16" s="18"/>
      <c r="X16" s="18"/>
    </row>
    <row r="17" spans="1:24" ht="12.75" customHeight="1">
      <c r="A17" s="74" t="s">
        <v>18</v>
      </c>
      <c r="B17" s="72" t="s">
        <v>156</v>
      </c>
      <c r="C17" s="10"/>
      <c r="D17" s="10"/>
      <c r="E17" s="10"/>
      <c r="F17" s="10"/>
      <c r="G17" s="81"/>
      <c r="H17" s="81"/>
      <c r="I17" s="81"/>
      <c r="J17" s="30"/>
      <c r="K17" s="81"/>
      <c r="L17" s="81"/>
      <c r="M17" s="81"/>
      <c r="N17" s="30"/>
      <c r="O17" s="81"/>
      <c r="P17" s="81"/>
      <c r="Q17" s="5"/>
      <c r="R17" s="11"/>
      <c r="S17" s="11"/>
      <c r="T17" s="11"/>
      <c r="U17" s="11"/>
      <c r="V17" s="11"/>
      <c r="W17" s="11"/>
      <c r="X17" s="11"/>
    </row>
    <row r="18" spans="1:24" ht="12.75" customHeight="1">
      <c r="A18" s="74"/>
      <c r="B18" s="9" t="s">
        <v>154</v>
      </c>
      <c r="C18" s="75">
        <v>1377</v>
      </c>
      <c r="D18" s="75">
        <v>1778</v>
      </c>
      <c r="E18" s="75">
        <v>1608</v>
      </c>
      <c r="F18" s="10"/>
      <c r="G18" s="75">
        <v>410.6</v>
      </c>
      <c r="H18" s="75">
        <v>407.3</v>
      </c>
      <c r="I18" s="75">
        <v>369.2</v>
      </c>
      <c r="J18" s="30">
        <f t="shared" ref="J18:J19" si="9">SUM(D18-SUM(G18:I18))</f>
        <v>590.89999999999986</v>
      </c>
      <c r="K18" s="75">
        <v>382.9</v>
      </c>
      <c r="L18" s="75">
        <v>435.3</v>
      </c>
      <c r="M18" s="75">
        <v>395.6</v>
      </c>
      <c r="N18" s="30">
        <v>393.8</v>
      </c>
      <c r="O18" s="75">
        <v>368.5</v>
      </c>
      <c r="P18" s="75">
        <v>464.7</v>
      </c>
      <c r="Q18" s="5"/>
      <c r="R18" s="30">
        <f t="shared" ref="R18:R19" si="10">SUM(G18:J18)</f>
        <v>1778</v>
      </c>
      <c r="S18" s="30">
        <f t="shared" ref="S18:S19" si="11">SUM(H18:K18)</f>
        <v>1750.2999999999997</v>
      </c>
      <c r="T18" s="30">
        <f t="shared" ref="T18:T19" si="12">SUM(I18:L18)</f>
        <v>1778.3</v>
      </c>
      <c r="U18" s="30">
        <f t="shared" ref="U18:U19" si="13">SUM(J18:M18)</f>
        <v>1804.6999999999998</v>
      </c>
      <c r="V18" s="30">
        <f>SUM(K18:N18)</f>
        <v>1607.6000000000001</v>
      </c>
      <c r="W18" s="30">
        <f t="shared" ref="W18:W19" si="14">SUM(L18:O18)</f>
        <v>1593.2</v>
      </c>
      <c r="X18" s="30">
        <f>SUM(M18:P18)</f>
        <v>1622.6000000000001</v>
      </c>
    </row>
    <row r="19" spans="1:24">
      <c r="B19" s="9" t="s">
        <v>155</v>
      </c>
      <c r="C19" s="75">
        <v>1282</v>
      </c>
      <c r="D19" s="75">
        <v>1235</v>
      </c>
      <c r="E19" s="75">
        <v>1670</v>
      </c>
      <c r="F19" s="75"/>
      <c r="G19" s="75">
        <v>238.2</v>
      </c>
      <c r="H19" s="75">
        <v>425.6</v>
      </c>
      <c r="I19" s="75">
        <v>429.6</v>
      </c>
      <c r="J19" s="30">
        <f t="shared" si="9"/>
        <v>141.59999999999991</v>
      </c>
      <c r="K19" s="75">
        <v>360.9</v>
      </c>
      <c r="L19" s="75">
        <v>478.7</v>
      </c>
      <c r="M19" s="75">
        <v>462.5</v>
      </c>
      <c r="N19" s="30">
        <v>368.3</v>
      </c>
      <c r="O19" s="75">
        <v>393.1</v>
      </c>
      <c r="P19" s="75">
        <v>494.9</v>
      </c>
      <c r="Q19" s="5"/>
      <c r="R19" s="30">
        <f t="shared" si="10"/>
        <v>1235</v>
      </c>
      <c r="S19" s="30">
        <f t="shared" si="11"/>
        <v>1357.6999999999998</v>
      </c>
      <c r="T19" s="30">
        <f t="shared" si="12"/>
        <v>1410.8</v>
      </c>
      <c r="U19" s="30">
        <f t="shared" si="13"/>
        <v>1443.6999999999998</v>
      </c>
      <c r="V19" s="30">
        <f t="shared" ref="V19" si="15">SUM(K19:N19)</f>
        <v>1670.3999999999999</v>
      </c>
      <c r="W19" s="30">
        <f t="shared" si="14"/>
        <v>1702.6</v>
      </c>
      <c r="X19" s="30">
        <f t="shared" ref="X19" si="16">SUM(M19:P19)</f>
        <v>1718.8000000000002</v>
      </c>
    </row>
    <row r="20" spans="1:24">
      <c r="B20" s="12" t="s">
        <v>71</v>
      </c>
      <c r="C20" s="13">
        <f>SUM(C18:C19)</f>
        <v>2659</v>
      </c>
      <c r="D20" s="13">
        <f>SUM(D18:D19)</f>
        <v>3013</v>
      </c>
      <c r="E20" s="13">
        <f>SUM(E18:E19)</f>
        <v>3278</v>
      </c>
      <c r="F20" s="11"/>
      <c r="G20" s="13">
        <f>SUM(G18:G19)</f>
        <v>648.79999999999995</v>
      </c>
      <c r="H20" s="13">
        <f>SUM(H18:H19)</f>
        <v>832.90000000000009</v>
      </c>
      <c r="I20" s="13">
        <f>SUM(I18:I19)</f>
        <v>798.8</v>
      </c>
      <c r="J20" s="13">
        <f>SUM(J18:J19)</f>
        <v>732.49999999999977</v>
      </c>
      <c r="K20" s="13">
        <f>SUM(K18:K19)</f>
        <v>743.8</v>
      </c>
      <c r="L20" s="13">
        <f>SUM(L18:L19)</f>
        <v>914</v>
      </c>
      <c r="M20" s="13">
        <f>SUM(M18:M19)</f>
        <v>858.1</v>
      </c>
      <c r="N20" s="13">
        <f>SUM(N18:N19)</f>
        <v>762.1</v>
      </c>
      <c r="O20" s="13">
        <f>SUM(O18:O19)</f>
        <v>761.6</v>
      </c>
      <c r="P20" s="13">
        <f>SUM(P18:P19)</f>
        <v>959.59999999999991</v>
      </c>
      <c r="Q20" s="5"/>
      <c r="R20" s="13">
        <f>SUM(R18:R19)</f>
        <v>3013</v>
      </c>
      <c r="S20" s="13">
        <f>SUM(S18:S19)</f>
        <v>3107.9999999999995</v>
      </c>
      <c r="T20" s="13">
        <f>SUM(T18:T19)</f>
        <v>3189.1</v>
      </c>
      <c r="U20" s="13">
        <f>SUM(U18:U19)</f>
        <v>3248.3999999999996</v>
      </c>
      <c r="V20" s="13">
        <f>SUM(V18:V19)</f>
        <v>3278</v>
      </c>
      <c r="W20" s="13">
        <f>SUM(W18:W19)</f>
        <v>3295.8</v>
      </c>
      <c r="X20" s="13">
        <f>SUM(X18:X19)</f>
        <v>3341.4000000000005</v>
      </c>
    </row>
    <row r="21" spans="1:24" outlineLevel="1">
      <c r="B21" s="114" t="s">
        <v>63</v>
      </c>
      <c r="C21" s="73">
        <f>C20-C9</f>
        <v>0</v>
      </c>
      <c r="D21" s="73">
        <f t="shared" ref="D21:E21" si="17">D20-D9</f>
        <v>0</v>
      </c>
      <c r="E21" s="73">
        <f t="shared" si="17"/>
        <v>0</v>
      </c>
      <c r="F21" s="11"/>
      <c r="G21" s="73">
        <f t="shared" ref="G21" si="18">G20-G9</f>
        <v>0</v>
      </c>
      <c r="H21" s="73">
        <f t="shared" ref="H21" si="19">H20-H9</f>
        <v>0</v>
      </c>
      <c r="I21" s="73">
        <f t="shared" ref="I21" si="20">I20-I9</f>
        <v>0</v>
      </c>
      <c r="J21" s="73">
        <f t="shared" ref="J21" si="21">J20-J9</f>
        <v>0</v>
      </c>
      <c r="K21" s="73">
        <f t="shared" ref="K21" si="22">K20-K9</f>
        <v>0</v>
      </c>
      <c r="L21" s="73">
        <f t="shared" ref="L21" si="23">L20-L9</f>
        <v>0</v>
      </c>
      <c r="M21" s="73">
        <f t="shared" ref="M21" si="24">M20-M9</f>
        <v>0</v>
      </c>
      <c r="N21" s="73">
        <f t="shared" ref="N21" si="25">N20-N9</f>
        <v>0</v>
      </c>
      <c r="O21" s="73">
        <f t="shared" ref="O21" si="26">O20-O9</f>
        <v>0</v>
      </c>
      <c r="P21" s="73">
        <f t="shared" ref="P21" si="27">P20-P9</f>
        <v>0</v>
      </c>
      <c r="Q21" s="73"/>
      <c r="R21" s="73">
        <f>+R20-'Historical Financials'!R22</f>
        <v>3014.2</v>
      </c>
      <c r="S21" s="73">
        <f>+S20-'Historical Financials'!S22</f>
        <v>3111.0999999999995</v>
      </c>
      <c r="T21" s="73">
        <f>+T20-'Historical Financials'!T22</f>
        <v>3194.1</v>
      </c>
      <c r="U21" s="73">
        <f>+U20-'Historical Financials'!U22</f>
        <v>3251.8999999999996</v>
      </c>
      <c r="V21" s="73">
        <f>+V20-'Historical Financials'!V22</f>
        <v>3284.8</v>
      </c>
      <c r="W21" s="73">
        <f>+W20-'Historical Financials'!W22</f>
        <v>3295.4</v>
      </c>
      <c r="X21" s="73">
        <f>+X20-'Historical Financials'!X22</f>
        <v>3339.3000000000006</v>
      </c>
    </row>
    <row r="22" spans="1:24">
      <c r="B22" s="16"/>
      <c r="C22" s="17"/>
      <c r="D22" s="17"/>
      <c r="E22" s="17"/>
      <c r="F22" s="18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8"/>
      <c r="R22" s="18"/>
      <c r="S22" s="18"/>
      <c r="T22" s="18"/>
      <c r="U22" s="18"/>
      <c r="V22" s="18"/>
      <c r="W22" s="18"/>
      <c r="X22" s="18"/>
    </row>
    <row r="23" spans="1:24">
      <c r="B23" s="115" t="str">
        <f>B18&amp;"(%)"</f>
        <v>Crocs Wholesale(%)</v>
      </c>
      <c r="C23" s="127">
        <f>SUM(C18/C$11)</f>
        <v>0.38734177215189874</v>
      </c>
      <c r="D23" s="127">
        <f>SUM(D18/D$11)</f>
        <v>0.44876325088339225</v>
      </c>
      <c r="E23" s="127">
        <f>SUM(E18/E$11)</f>
        <v>0.39200390053632372</v>
      </c>
      <c r="F23" s="116"/>
      <c r="G23" s="127">
        <f>SUM(G18/G$11)</f>
        <v>0.46437457588780823</v>
      </c>
      <c r="H23" s="127">
        <f>SUM(H18/H$11)</f>
        <v>0.3798377319779912</v>
      </c>
      <c r="I23" s="127">
        <f>SUM(I18/I$11)</f>
        <v>0.35306493258104615</v>
      </c>
      <c r="J23" s="127">
        <f>SUM(J18/J$11)</f>
        <v>0.6156490935611586</v>
      </c>
      <c r="K23" s="127">
        <f>SUM(K18/K$11)</f>
        <v>0.40790454884414618</v>
      </c>
      <c r="L23" s="127">
        <f>SUM(L18/L$11)</f>
        <v>0.39163292847503373</v>
      </c>
      <c r="M23" s="127">
        <f>SUM(M18/M$11)</f>
        <v>0.37243456976087369</v>
      </c>
      <c r="N23" s="127">
        <f>SUM(N18/N$11)</f>
        <v>0.25411369942569528</v>
      </c>
      <c r="O23" s="127">
        <f>SUM(O18/O$11)</f>
        <v>0.39315053878160677</v>
      </c>
      <c r="P23" s="127">
        <f>SUM(P18/P$11)</f>
        <v>0.4042978945536802</v>
      </c>
      <c r="Q23" s="116"/>
      <c r="R23" s="117">
        <f>K23</f>
        <v>0.40790454884414618</v>
      </c>
      <c r="S23" s="117">
        <f>L23</f>
        <v>0.39163292847503373</v>
      </c>
      <c r="T23" s="117">
        <f>M23</f>
        <v>0.37243456976087369</v>
      </c>
      <c r="U23" s="117">
        <f>N23</f>
        <v>0.25411369942569528</v>
      </c>
      <c r="V23" s="117">
        <f>O23</f>
        <v>0.39315053878160677</v>
      </c>
      <c r="W23" s="117">
        <f>P23</f>
        <v>0.4042978945536802</v>
      </c>
      <c r="X23" s="118" t="e">
        <f>#REF!</f>
        <v>#REF!</v>
      </c>
    </row>
    <row r="24" spans="1:24" ht="12.75" customHeight="1">
      <c r="B24" s="123" t="str">
        <f>B19&amp;"(%)"</f>
        <v>Crocs DTC(%)</v>
      </c>
      <c r="C24" s="128">
        <f>SUM(C19/C$11)</f>
        <v>0.36061884669479605</v>
      </c>
      <c r="D24" s="128">
        <f>SUM(D19/D$11)</f>
        <v>0.31171125694093893</v>
      </c>
      <c r="E24" s="128">
        <f>SUM(E19/E$11)</f>
        <v>0.40711847879083374</v>
      </c>
      <c r="F24" s="124"/>
      <c r="G24" s="128">
        <f>SUM(G19/G$11)</f>
        <v>0.26939606423885998</v>
      </c>
      <c r="H24" s="128">
        <f>SUM(H19/H$11)</f>
        <v>0.39690385153408558</v>
      </c>
      <c r="I24" s="128">
        <f>SUM(I19/I$11)</f>
        <v>0.41082528449842209</v>
      </c>
      <c r="J24" s="128">
        <f>SUM(J19/J$11)</f>
        <v>0.14753073556991034</v>
      </c>
      <c r="K24" s="128">
        <f>SUM(K19/K$11)</f>
        <v>0.38446788111217639</v>
      </c>
      <c r="L24" s="128">
        <f>SUM(L19/L$11)</f>
        <v>0.43067926225820963</v>
      </c>
      <c r="M24" s="128">
        <f>SUM(M19/M$11)</f>
        <v>0.43541705893428728</v>
      </c>
      <c r="N24" s="128">
        <f>SUM(N19/N$11)</f>
        <v>0.23765890172291412</v>
      </c>
      <c r="O24" s="128">
        <f>SUM(O19/O$11)</f>
        <v>0.41939613784273982</v>
      </c>
      <c r="P24" s="128">
        <f>SUM(P19/P$11)</f>
        <v>0.43057247259439713</v>
      </c>
      <c r="Q24" s="124"/>
      <c r="R24" s="125">
        <f>K24</f>
        <v>0.38446788111217639</v>
      </c>
      <c r="S24" s="125">
        <f>L24</f>
        <v>0.43067926225820963</v>
      </c>
      <c r="T24" s="125">
        <f>M24</f>
        <v>0.43541705893428728</v>
      </c>
      <c r="U24" s="125">
        <f>N24</f>
        <v>0.23765890172291412</v>
      </c>
      <c r="V24" s="125">
        <f>O24</f>
        <v>0.41939613784273982</v>
      </c>
      <c r="W24" s="125">
        <f>P24</f>
        <v>0.43057247259439713</v>
      </c>
      <c r="X24" s="126" t="e">
        <f>#REF!</f>
        <v>#REF!</v>
      </c>
    </row>
    <row r="25" spans="1:24">
      <c r="B25" s="16"/>
      <c r="C25" s="17"/>
      <c r="D25" s="17"/>
      <c r="E25" s="17"/>
      <c r="F25" s="18"/>
      <c r="G25" s="19"/>
      <c r="H25" s="19"/>
      <c r="I25" s="19"/>
      <c r="J25" s="20"/>
      <c r="K25" s="19"/>
      <c r="L25" s="19"/>
      <c r="M25" s="19"/>
      <c r="N25" s="19"/>
      <c r="O25" s="19"/>
      <c r="P25" s="19"/>
      <c r="Q25" s="18"/>
      <c r="R25" s="18"/>
      <c r="S25" s="18"/>
      <c r="T25" s="18"/>
      <c r="U25" s="18"/>
      <c r="V25" s="18"/>
      <c r="W25" s="18"/>
      <c r="X25" s="18"/>
    </row>
    <row r="26" spans="1:24" ht="12.75" customHeight="1">
      <c r="A26" s="74" t="s">
        <v>18</v>
      </c>
      <c r="B26" s="72" t="s">
        <v>157</v>
      </c>
      <c r="C26" s="10"/>
      <c r="D26" s="10"/>
      <c r="E26" s="10"/>
      <c r="F26" s="10"/>
      <c r="G26" s="81"/>
      <c r="H26" s="81"/>
      <c r="I26" s="81"/>
      <c r="J26" s="30"/>
      <c r="K26" s="81"/>
      <c r="L26" s="81"/>
      <c r="M26" s="81"/>
      <c r="N26" s="30"/>
      <c r="O26" s="81"/>
      <c r="P26" s="81"/>
      <c r="Q26" s="5"/>
      <c r="R26" s="11"/>
      <c r="S26" s="11"/>
      <c r="T26" s="11"/>
      <c r="U26" s="11"/>
      <c r="V26" s="11"/>
      <c r="W26" s="11"/>
      <c r="X26" s="11"/>
    </row>
    <row r="27" spans="1:24" ht="12.75" customHeight="1">
      <c r="A27" s="74"/>
      <c r="B27" s="9" t="s">
        <v>158</v>
      </c>
      <c r="C27" s="75">
        <v>574</v>
      </c>
      <c r="D27" s="75">
        <v>567</v>
      </c>
      <c r="E27" s="75">
        <v>456</v>
      </c>
      <c r="F27" s="10"/>
      <c r="G27" s="75">
        <v>167.9</v>
      </c>
      <c r="H27" s="75">
        <v>148.80000000000001</v>
      </c>
      <c r="I27" s="75">
        <v>146.5</v>
      </c>
      <c r="J27" s="30">
        <f t="shared" ref="J27:J28" si="28">SUM(D27-SUM(G27:I27))</f>
        <v>103.79999999999995</v>
      </c>
      <c r="K27" s="75">
        <v>134.80000000000001</v>
      </c>
      <c r="L27" s="75">
        <v>113.8</v>
      </c>
      <c r="M27" s="75">
        <v>113</v>
      </c>
      <c r="N27" s="30">
        <v>393.8</v>
      </c>
      <c r="O27" s="75">
        <v>110.7</v>
      </c>
      <c r="P27" s="75">
        <v>99.8</v>
      </c>
      <c r="Q27" s="5"/>
      <c r="R27" s="30">
        <f t="shared" ref="R27:R28" si="29">SUM(G27:J27)</f>
        <v>567</v>
      </c>
      <c r="S27" s="30">
        <f t="shared" ref="S27:S28" si="30">SUM(H27:K27)</f>
        <v>533.9</v>
      </c>
      <c r="T27" s="30">
        <f t="shared" ref="T27:T28" si="31">SUM(I27:L27)</f>
        <v>498.9</v>
      </c>
      <c r="U27" s="30">
        <f t="shared" ref="U27:U28" si="32">SUM(J27:M27)</f>
        <v>465.4</v>
      </c>
      <c r="V27" s="30">
        <f>SUM(K27:N27)</f>
        <v>755.40000000000009</v>
      </c>
      <c r="W27" s="30">
        <f t="shared" ref="W27:W28" si="33">SUM(L27:O27)</f>
        <v>731.30000000000007</v>
      </c>
      <c r="X27" s="30">
        <f>SUM(M27:P27)</f>
        <v>717.3</v>
      </c>
    </row>
    <row r="28" spans="1:24">
      <c r="B28" s="9" t="s">
        <v>159</v>
      </c>
      <c r="C28" s="75">
        <v>322</v>
      </c>
      <c r="D28" s="75">
        <v>382</v>
      </c>
      <c r="E28" s="75">
        <v>368</v>
      </c>
      <c r="F28" s="75"/>
      <c r="G28" s="75">
        <v>67.5</v>
      </c>
      <c r="H28" s="75">
        <v>90.6</v>
      </c>
      <c r="I28" s="75">
        <v>100.4</v>
      </c>
      <c r="J28" s="30">
        <f t="shared" si="28"/>
        <v>123.5</v>
      </c>
      <c r="K28" s="75">
        <v>60.1</v>
      </c>
      <c r="L28" s="75">
        <v>83.7</v>
      </c>
      <c r="M28" s="75">
        <v>91.1</v>
      </c>
      <c r="N28" s="30">
        <v>393.8</v>
      </c>
      <c r="O28" s="75">
        <v>65</v>
      </c>
      <c r="P28" s="75">
        <v>90</v>
      </c>
      <c r="Q28" s="5"/>
      <c r="R28" s="30">
        <f t="shared" si="29"/>
        <v>382</v>
      </c>
      <c r="S28" s="30">
        <f t="shared" si="30"/>
        <v>374.6</v>
      </c>
      <c r="T28" s="30">
        <f t="shared" si="31"/>
        <v>367.7</v>
      </c>
      <c r="U28" s="30">
        <f t="shared" si="32"/>
        <v>358.4</v>
      </c>
      <c r="V28" s="30">
        <f t="shared" ref="V28" si="34">SUM(K28:N28)</f>
        <v>628.70000000000005</v>
      </c>
      <c r="W28" s="30">
        <f t="shared" si="33"/>
        <v>633.6</v>
      </c>
      <c r="X28" s="30">
        <f t="shared" ref="X28" si="35">SUM(M28:P28)</f>
        <v>639.9</v>
      </c>
    </row>
    <row r="29" spans="1:24">
      <c r="B29" s="12" t="s">
        <v>71</v>
      </c>
      <c r="C29" s="13">
        <f>SUM(C27:C28)</f>
        <v>896</v>
      </c>
      <c r="D29" s="13">
        <f>SUM(D27:D28)</f>
        <v>949</v>
      </c>
      <c r="E29" s="13">
        <f>SUM(E27:E28)</f>
        <v>824</v>
      </c>
      <c r="F29" s="11"/>
      <c r="G29" s="13">
        <f>SUM(G27:G28)</f>
        <v>235.4</v>
      </c>
      <c r="H29" s="13">
        <f>SUM(H27:H28)</f>
        <v>239.4</v>
      </c>
      <c r="I29" s="13">
        <f>SUM(I27:I28)</f>
        <v>246.9</v>
      </c>
      <c r="J29" s="13">
        <f>SUM(J27:J28)</f>
        <v>227.29999999999995</v>
      </c>
      <c r="K29" s="13">
        <f>SUM(K27:K28)</f>
        <v>194.9</v>
      </c>
      <c r="L29" s="13">
        <f>SUM(L27:L28)</f>
        <v>197.5</v>
      </c>
      <c r="M29" s="13">
        <f>SUM(M27:M28)</f>
        <v>204.1</v>
      </c>
      <c r="N29" s="13">
        <f>SUM(N27:N28)</f>
        <v>787.6</v>
      </c>
      <c r="O29" s="13">
        <f>SUM(O27:O28)</f>
        <v>175.7</v>
      </c>
      <c r="P29" s="13">
        <f>SUM(P27:P28)</f>
        <v>189.8</v>
      </c>
      <c r="Q29" s="5"/>
      <c r="R29" s="13">
        <f>SUM(R27:R28)</f>
        <v>949</v>
      </c>
      <c r="S29" s="13">
        <f>SUM(S27:S28)</f>
        <v>908.5</v>
      </c>
      <c r="T29" s="13">
        <f>SUM(T27:T28)</f>
        <v>866.59999999999991</v>
      </c>
      <c r="U29" s="13">
        <f>SUM(U27:U28)</f>
        <v>823.8</v>
      </c>
      <c r="V29" s="13">
        <f>SUM(V27:V28)</f>
        <v>1384.1000000000001</v>
      </c>
      <c r="W29" s="13">
        <f>SUM(W27:W28)</f>
        <v>1364.9</v>
      </c>
      <c r="X29" s="13">
        <f>SUM(X27:X28)</f>
        <v>1357.1999999999998</v>
      </c>
    </row>
    <row r="30" spans="1:24" outlineLevel="1">
      <c r="B30" s="114" t="s">
        <v>63</v>
      </c>
      <c r="C30" s="73">
        <f>C29-C10</f>
        <v>0</v>
      </c>
      <c r="D30" s="73">
        <f t="shared" ref="D30:E30" si="36">D29-D10</f>
        <v>0</v>
      </c>
      <c r="E30" s="73">
        <f t="shared" si="36"/>
        <v>0</v>
      </c>
      <c r="F30" s="11"/>
      <c r="G30" s="73">
        <f t="shared" ref="G30" si="37">G29-G10</f>
        <v>0</v>
      </c>
      <c r="H30" s="73">
        <f t="shared" ref="H30" si="38">H29-H10</f>
        <v>0</v>
      </c>
      <c r="I30" s="73">
        <f t="shared" ref="I30" si="39">I29-I10</f>
        <v>0</v>
      </c>
      <c r="J30" s="73">
        <f t="shared" ref="J30" si="40">J29-J10</f>
        <v>0</v>
      </c>
      <c r="K30" s="73">
        <f t="shared" ref="K30" si="41">K29-K10</f>
        <v>0</v>
      </c>
      <c r="L30" s="73">
        <f t="shared" ref="L30" si="42">L29-L10</f>
        <v>0</v>
      </c>
      <c r="M30" s="73">
        <f t="shared" ref="M30" si="43">M29-M10</f>
        <v>0</v>
      </c>
      <c r="N30" s="73">
        <f t="shared" ref="N30" si="44">N29-N10</f>
        <v>0</v>
      </c>
      <c r="O30" s="73">
        <f t="shared" ref="O30" si="45">O29-O10</f>
        <v>0</v>
      </c>
      <c r="P30" s="73">
        <f t="shared" ref="P30" si="46">P29-P10</f>
        <v>0</v>
      </c>
      <c r="Q30" s="73"/>
      <c r="R30" s="73">
        <f>+R29-'Historical Financials'!R31</f>
        <v>948.7999646669864</v>
      </c>
      <c r="S30" s="73">
        <f>+S29-'Historical Financials'!S31</f>
        <v>908.30202653919889</v>
      </c>
      <c r="T30" s="73">
        <f>+T29-'Historical Financials'!T31</f>
        <v>866.39989151338818</v>
      </c>
      <c r="U30" s="73">
        <f>+U29-'Historical Financials'!U31</f>
        <v>823.59507894801459</v>
      </c>
      <c r="V30" s="73">
        <f>+V29-'Historical Financials'!V31</f>
        <v>1383.8684113015286</v>
      </c>
      <c r="W30" s="73">
        <f>+W29-'Historical Financials'!W31</f>
        <v>1364.6664602028873</v>
      </c>
      <c r="X30" s="73">
        <f>+X29-'Historical Financials'!X31</f>
        <v>1357.142808128156</v>
      </c>
    </row>
    <row r="31" spans="1:24">
      <c r="B31" s="16"/>
      <c r="C31" s="17"/>
      <c r="D31" s="17"/>
      <c r="E31" s="17"/>
      <c r="F31" s="18"/>
      <c r="G31" s="19"/>
      <c r="H31" s="19"/>
      <c r="I31" s="19"/>
      <c r="J31" s="20"/>
      <c r="K31" s="19"/>
      <c r="L31" s="19"/>
      <c r="M31" s="19"/>
      <c r="N31" s="19"/>
      <c r="O31" s="19"/>
      <c r="P31" s="19"/>
      <c r="Q31" s="18"/>
      <c r="R31" s="18"/>
      <c r="S31" s="18"/>
      <c r="T31" s="18"/>
      <c r="U31" s="18"/>
      <c r="V31" s="18"/>
      <c r="W31" s="18"/>
      <c r="X31" s="18"/>
    </row>
    <row r="32" spans="1:24">
      <c r="B32" s="115" t="str">
        <f>B27&amp;"(%)"</f>
        <v>HEYDUDE Wholesale(%)</v>
      </c>
      <c r="C32" s="127">
        <f>SUM(C27/C$11)</f>
        <v>0.16146272855133614</v>
      </c>
      <c r="D32" s="127">
        <f>SUM(D27/D$11)</f>
        <v>0.14310954063604239</v>
      </c>
      <c r="E32" s="127">
        <f>SUM(E27/E$11)</f>
        <v>0.11116528522671867</v>
      </c>
      <c r="F32" s="116"/>
      <c r="G32" s="127">
        <f>SUM(G27/G$11)</f>
        <v>0.18988916534720654</v>
      </c>
      <c r="H32" s="127">
        <f>SUM(H27/H$11)</f>
        <v>0.13876713606266902</v>
      </c>
      <c r="I32" s="127">
        <f>SUM(I27/I$11)</f>
        <v>0.14009754231615185</v>
      </c>
      <c r="J32" s="127">
        <f>SUM(J27/J$11)</f>
        <v>0.10814753073556989</v>
      </c>
      <c r="K32" s="127">
        <f>SUM(K27/K$11)</f>
        <v>0.14360285501225101</v>
      </c>
      <c r="L32" s="127">
        <f>SUM(L27/L$11)</f>
        <v>0.10238416554206027</v>
      </c>
      <c r="M32" s="127">
        <f>SUM(M27/M$11)</f>
        <v>0.10638297872340426</v>
      </c>
      <c r="N32" s="127">
        <f>SUM(N27/N$11)</f>
        <v>0.25411369942569528</v>
      </c>
      <c r="O32" s="127">
        <f>SUM(O27/O$11)</f>
        <v>0.11810519577509869</v>
      </c>
      <c r="P32" s="127">
        <f>SUM(P27/P$11)</f>
        <v>8.6827910214024723E-2</v>
      </c>
      <c r="Q32" s="116"/>
      <c r="R32" s="117">
        <f>K32</f>
        <v>0.14360285501225101</v>
      </c>
      <c r="S32" s="117">
        <f>L32</f>
        <v>0.10238416554206027</v>
      </c>
      <c r="T32" s="117">
        <f>M32</f>
        <v>0.10638297872340426</v>
      </c>
      <c r="U32" s="117">
        <f>N32</f>
        <v>0.25411369942569528</v>
      </c>
      <c r="V32" s="117">
        <f>O32</f>
        <v>0.11810519577509869</v>
      </c>
      <c r="W32" s="117">
        <f>P32</f>
        <v>8.6827910214024723E-2</v>
      </c>
      <c r="X32" s="118" t="e">
        <f>#REF!</f>
        <v>#REF!</v>
      </c>
    </row>
    <row r="33" spans="1:24" ht="12.75" customHeight="1">
      <c r="B33" s="123" t="str">
        <f>B28&amp;"(%)"</f>
        <v>HEYDUDE DTC(%)</v>
      </c>
      <c r="C33" s="128">
        <f>SUM(C28/C$11)</f>
        <v>9.0576652601969052E-2</v>
      </c>
      <c r="D33" s="128">
        <f>SUM(D28/D$11)</f>
        <v>9.6415951539626454E-2</v>
      </c>
      <c r="E33" s="128">
        <f>SUM(E28/E$11)</f>
        <v>8.9712335446123836E-2</v>
      </c>
      <c r="F33" s="124"/>
      <c r="G33" s="128">
        <f>SUM(G28/G$11)</f>
        <v>7.634019452612531E-2</v>
      </c>
      <c r="H33" s="128">
        <f>SUM(H28/H$11)</f>
        <v>8.4491280425254112E-2</v>
      </c>
      <c r="I33" s="128">
        <f>SUM(I28/I$11)</f>
        <v>9.6012240604379837E-2</v>
      </c>
      <c r="J33" s="128">
        <f>SUM(J28/J$11)</f>
        <v>0.12867264013336116</v>
      </c>
      <c r="K33" s="128">
        <f>SUM(K28/K$11)</f>
        <v>6.4024715031426441E-2</v>
      </c>
      <c r="L33" s="128">
        <f>SUM(L28/L$11)</f>
        <v>7.5303643724696362E-2</v>
      </c>
      <c r="M33" s="128">
        <f>SUM(M28/M$11)</f>
        <v>8.5765392581434743E-2</v>
      </c>
      <c r="N33" s="128">
        <f>SUM(N28/N$11)</f>
        <v>0.25411369942569528</v>
      </c>
      <c r="O33" s="128">
        <f>SUM(O28/O$11)</f>
        <v>6.9348127600554782E-2</v>
      </c>
      <c r="P33" s="128">
        <f>SUM(P28/P$11)</f>
        <v>7.8301722637898044E-2</v>
      </c>
      <c r="Q33" s="124"/>
      <c r="R33" s="125">
        <f>K33</f>
        <v>6.4024715031426441E-2</v>
      </c>
      <c r="S33" s="125">
        <f>L33</f>
        <v>7.5303643724696362E-2</v>
      </c>
      <c r="T33" s="125">
        <f>M33</f>
        <v>8.5765392581434743E-2</v>
      </c>
      <c r="U33" s="125">
        <f>N33</f>
        <v>0.25411369942569528</v>
      </c>
      <c r="V33" s="125">
        <f>O33</f>
        <v>6.9348127600554782E-2</v>
      </c>
      <c r="W33" s="125">
        <f>P33</f>
        <v>7.8301722637898044E-2</v>
      </c>
      <c r="X33" s="126" t="e">
        <f>#REF!</f>
        <v>#REF!</v>
      </c>
    </row>
    <row r="34" spans="1:24">
      <c r="B34" s="16"/>
      <c r="C34" s="17"/>
      <c r="D34" s="17"/>
      <c r="E34" s="17"/>
      <c r="F34" s="18"/>
      <c r="G34" s="19"/>
      <c r="H34" s="19"/>
      <c r="I34" s="19"/>
      <c r="J34" s="20"/>
      <c r="K34" s="19"/>
      <c r="L34" s="19"/>
      <c r="M34" s="19"/>
      <c r="N34" s="19"/>
      <c r="O34" s="19"/>
      <c r="P34" s="19"/>
      <c r="Q34" s="18"/>
      <c r="R34" s="18"/>
      <c r="S34" s="18"/>
      <c r="T34" s="18"/>
      <c r="U34" s="18"/>
      <c r="V34" s="18"/>
      <c r="W34" s="18"/>
      <c r="X34" s="18"/>
    </row>
    <row r="35" spans="1:24">
      <c r="A35" s="33" t="s">
        <v>18</v>
      </c>
      <c r="B35" s="1" t="s">
        <v>124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5.0999999999999996" customHeight="1"/>
    <row r="37" spans="1:24" ht="12.75" customHeight="1">
      <c r="A37" s="74" t="s">
        <v>18</v>
      </c>
      <c r="B37" s="72" t="s">
        <v>162</v>
      </c>
      <c r="C37" s="10"/>
      <c r="D37" s="10"/>
      <c r="E37" s="10"/>
      <c r="F37" s="10"/>
      <c r="G37" s="81"/>
      <c r="H37" s="81"/>
      <c r="I37" s="81"/>
      <c r="J37" s="30"/>
      <c r="K37" s="81"/>
      <c r="L37" s="81"/>
      <c r="M37" s="81"/>
      <c r="N37" s="30"/>
      <c r="O37" s="81"/>
      <c r="P37" s="81"/>
      <c r="Q37" s="5"/>
      <c r="R37" s="11"/>
      <c r="S37" s="11"/>
      <c r="T37" s="11"/>
      <c r="U37" s="11"/>
      <c r="V37" s="11"/>
      <c r="W37" s="11"/>
      <c r="X37" s="11"/>
    </row>
    <row r="38" spans="1:24" ht="12.75" customHeight="1">
      <c r="A38" s="74"/>
      <c r="B38" s="9" t="s">
        <v>125</v>
      </c>
      <c r="C38" s="75">
        <v>5654</v>
      </c>
      <c r="D38" s="75">
        <v>6346</v>
      </c>
      <c r="E38" s="75">
        <v>6483</v>
      </c>
      <c r="F38" s="10"/>
      <c r="G38" s="75">
        <v>1314</v>
      </c>
      <c r="H38" s="75">
        <v>1425</v>
      </c>
      <c r="I38" s="75">
        <v>1424</v>
      </c>
      <c r="J38" s="30">
        <f t="shared" ref="J38:J42" si="47">SUM(D38-SUM(G38:I38))</f>
        <v>2183</v>
      </c>
      <c r="K38" s="75">
        <v>1340</v>
      </c>
      <c r="L38" s="75">
        <v>1422</v>
      </c>
      <c r="M38" s="75">
        <v>1424</v>
      </c>
      <c r="N38" s="30">
        <f t="shared" ref="N38:N42" si="48">SUM(E38-SUM(K38:M38))</f>
        <v>2297</v>
      </c>
      <c r="O38" s="75">
        <v>1363</v>
      </c>
      <c r="P38" s="75">
        <v>1415</v>
      </c>
      <c r="Q38" s="5"/>
      <c r="R38" s="30">
        <f>SUM(J38:M38)</f>
        <v>6369</v>
      </c>
      <c r="S38" s="30">
        <f>SUM(K38:N38)</f>
        <v>6483</v>
      </c>
      <c r="T38" s="30">
        <f>SUM(L38:O38)</f>
        <v>6506</v>
      </c>
      <c r="U38" s="30">
        <f>SUM(M38:P38)</f>
        <v>6499</v>
      </c>
      <c r="V38" s="30">
        <f>SUM(N38:P38)</f>
        <v>5075</v>
      </c>
      <c r="W38" s="30">
        <f>SUM(O38:P38)</f>
        <v>2778</v>
      </c>
      <c r="X38" s="30">
        <f>SUM(P38:P38)</f>
        <v>1415</v>
      </c>
    </row>
    <row r="39" spans="1:24" ht="12.75" customHeight="1">
      <c r="A39" s="74"/>
      <c r="B39" s="9" t="s">
        <v>126</v>
      </c>
      <c r="C39" s="75">
        <v>1163</v>
      </c>
      <c r="D39" s="75">
        <v>1285</v>
      </c>
      <c r="E39" s="75">
        <v>1412</v>
      </c>
      <c r="F39" s="10"/>
      <c r="G39" s="75">
        <v>253</v>
      </c>
      <c r="H39" s="75">
        <v>295</v>
      </c>
      <c r="I39" s="75">
        <v>309</v>
      </c>
      <c r="J39" s="30">
        <f t="shared" si="47"/>
        <v>428</v>
      </c>
      <c r="K39" s="75">
        <v>282</v>
      </c>
      <c r="L39" s="75">
        <v>319</v>
      </c>
      <c r="M39" s="75">
        <v>335</v>
      </c>
      <c r="N39" s="30">
        <f t="shared" si="48"/>
        <v>476</v>
      </c>
      <c r="O39" s="75">
        <v>293</v>
      </c>
      <c r="P39" s="75">
        <v>321</v>
      </c>
      <c r="Q39" s="5"/>
      <c r="R39" s="30">
        <f>SUM(J39:M39)</f>
        <v>1364</v>
      </c>
      <c r="S39" s="30">
        <f>SUM(K39:N39)</f>
        <v>1412</v>
      </c>
      <c r="T39" s="30">
        <f>SUM(L39:O39)</f>
        <v>1423</v>
      </c>
      <c r="U39" s="30">
        <f>SUM(M39:P39)</f>
        <v>1425</v>
      </c>
      <c r="V39" s="30">
        <f>SUM(N39:P39)</f>
        <v>1090</v>
      </c>
      <c r="W39" s="30">
        <f>SUM(O39:P39)</f>
        <v>614</v>
      </c>
      <c r="X39" s="30">
        <f>SUM(P39:P39)</f>
        <v>321</v>
      </c>
    </row>
    <row r="40" spans="1:24" ht="12.75" customHeight="1">
      <c r="A40" s="74"/>
      <c r="B40" s="9" t="s">
        <v>127</v>
      </c>
      <c r="C40" s="75">
        <v>0</v>
      </c>
      <c r="D40" s="75">
        <v>0</v>
      </c>
      <c r="E40" s="75">
        <v>33</v>
      </c>
      <c r="F40" s="10"/>
      <c r="G40" s="75">
        <v>0</v>
      </c>
      <c r="H40" s="75">
        <v>0</v>
      </c>
      <c r="I40" s="75">
        <v>0</v>
      </c>
      <c r="J40" s="30">
        <f t="shared" si="47"/>
        <v>0</v>
      </c>
      <c r="K40" s="75">
        <v>0</v>
      </c>
      <c r="L40" s="75">
        <v>0</v>
      </c>
      <c r="M40" s="75">
        <v>11</v>
      </c>
      <c r="N40" s="30">
        <f t="shared" si="48"/>
        <v>22</v>
      </c>
      <c r="O40" s="75">
        <v>19</v>
      </c>
      <c r="P40" s="75">
        <v>22</v>
      </c>
      <c r="Q40" s="5"/>
      <c r="R40" s="30">
        <f>SUM(J40:M40)</f>
        <v>11</v>
      </c>
      <c r="S40" s="30">
        <f>SUM(K40:N40)</f>
        <v>33</v>
      </c>
      <c r="T40" s="30">
        <f>SUM(L40:O40)</f>
        <v>52</v>
      </c>
      <c r="U40" s="30">
        <f>SUM(M40:P40)</f>
        <v>74</v>
      </c>
      <c r="V40" s="30">
        <f>SUM(N40:P40)</f>
        <v>63</v>
      </c>
      <c r="W40" s="30">
        <f>SUM(O40:P40)</f>
        <v>41</v>
      </c>
      <c r="X40" s="30">
        <f>SUM(P40:P40)</f>
        <v>22</v>
      </c>
    </row>
    <row r="41" spans="1:24">
      <c r="A41" s="74"/>
      <c r="B41" s="9" t="s">
        <v>128</v>
      </c>
      <c r="C41" s="75">
        <v>682</v>
      </c>
      <c r="D41" s="75">
        <v>1134</v>
      </c>
      <c r="E41" s="75">
        <v>1541</v>
      </c>
      <c r="F41" s="10"/>
      <c r="G41" s="75">
        <v>250</v>
      </c>
      <c r="H41" s="75">
        <v>278</v>
      </c>
      <c r="I41" s="75">
        <v>267</v>
      </c>
      <c r="J41" s="30">
        <f t="shared" si="47"/>
        <v>339</v>
      </c>
      <c r="K41" s="75">
        <v>346</v>
      </c>
      <c r="L41" s="75">
        <v>356</v>
      </c>
      <c r="M41" s="75">
        <v>359</v>
      </c>
      <c r="N41" s="30">
        <f t="shared" si="48"/>
        <v>480</v>
      </c>
      <c r="O41" s="75">
        <v>412</v>
      </c>
      <c r="P41" s="75">
        <v>441</v>
      </c>
      <c r="Q41" s="5"/>
      <c r="R41" s="30">
        <f>SUM(J41:M41)</f>
        <v>1400</v>
      </c>
      <c r="S41" s="30">
        <f>SUM(K41:N41)</f>
        <v>1541</v>
      </c>
      <c r="T41" s="30">
        <f>SUM(L41:O41)</f>
        <v>1607</v>
      </c>
      <c r="U41" s="30">
        <f>SUM(M41:P41)</f>
        <v>1692</v>
      </c>
      <c r="V41" s="30">
        <f>SUM(N41:P41)</f>
        <v>1333</v>
      </c>
      <c r="W41" s="30">
        <f>SUM(O41:P41)</f>
        <v>853</v>
      </c>
      <c r="X41" s="30">
        <f>SUM(P41:P41)</f>
        <v>441</v>
      </c>
    </row>
    <row r="42" spans="1:24">
      <c r="A42" s="74"/>
      <c r="B42" s="9" t="s">
        <v>129</v>
      </c>
      <c r="C42" s="75">
        <v>611</v>
      </c>
      <c r="D42" s="75">
        <v>853</v>
      </c>
      <c r="E42" s="75">
        <v>1119</v>
      </c>
      <c r="F42" s="10"/>
      <c r="G42" s="75">
        <v>183</v>
      </c>
      <c r="H42" s="75">
        <v>212</v>
      </c>
      <c r="I42" s="75">
        <v>205</v>
      </c>
      <c r="J42" s="30">
        <f t="shared" si="47"/>
        <v>253</v>
      </c>
      <c r="K42" s="75">
        <v>241</v>
      </c>
      <c r="L42" s="75">
        <v>273</v>
      </c>
      <c r="M42" s="75">
        <v>267</v>
      </c>
      <c r="N42" s="30">
        <f t="shared" si="48"/>
        <v>338</v>
      </c>
      <c r="O42" s="75">
        <v>284</v>
      </c>
      <c r="P42" s="75">
        <v>326</v>
      </c>
      <c r="Q42" s="5"/>
      <c r="R42" s="30">
        <f>SUM(J42:M42)</f>
        <v>1034</v>
      </c>
      <c r="S42" s="30">
        <f>SUM(K42:N42)</f>
        <v>1119</v>
      </c>
      <c r="T42" s="30">
        <f>SUM(L42:O42)</f>
        <v>1162</v>
      </c>
      <c r="U42" s="30">
        <f>SUM(M42:P42)</f>
        <v>1215</v>
      </c>
      <c r="V42" s="30">
        <f>SUM(N42:P42)</f>
        <v>948</v>
      </c>
      <c r="W42" s="30">
        <f>SUM(O42:P42)</f>
        <v>610</v>
      </c>
      <c r="X42" s="30">
        <f>SUM(P42:P42)</f>
        <v>326</v>
      </c>
    </row>
    <row r="43" spans="1:24">
      <c r="B43" s="12" t="s">
        <v>12</v>
      </c>
      <c r="C43" s="13">
        <f>SUM(C38:C42)</f>
        <v>8110</v>
      </c>
      <c r="D43" s="13">
        <f>SUM(D38:D42)</f>
        <v>9618</v>
      </c>
      <c r="E43" s="13">
        <f>SUM(E38:E42)</f>
        <v>10588</v>
      </c>
      <c r="F43" s="11"/>
      <c r="G43" s="13">
        <f>SUM(G38:G42)</f>
        <v>2000</v>
      </c>
      <c r="H43" s="13">
        <f>SUM(H38:H42)</f>
        <v>2210</v>
      </c>
      <c r="I43" s="13">
        <f>SUM(I38:I42)</f>
        <v>2205</v>
      </c>
      <c r="J43" s="13">
        <f>SUM(J38:J42)</f>
        <v>3203</v>
      </c>
      <c r="K43" s="13">
        <f>SUM(K38:K42)</f>
        <v>2209</v>
      </c>
      <c r="L43" s="13">
        <f>SUM(L38:L42)</f>
        <v>2370</v>
      </c>
      <c r="M43" s="13">
        <f>SUM(M38:M42)</f>
        <v>2396</v>
      </c>
      <c r="N43" s="13">
        <f>SUM(N38:N42)</f>
        <v>3613</v>
      </c>
      <c r="O43" s="13">
        <f>SUM(O38:O42)</f>
        <v>2371</v>
      </c>
      <c r="P43" s="13">
        <f>SUM(P38:P42)</f>
        <v>2525</v>
      </c>
      <c r="Q43" s="5"/>
      <c r="R43" s="13">
        <f>SUM(R38:R42)</f>
        <v>10178</v>
      </c>
      <c r="S43" s="13">
        <f>SUM(S38:S42)</f>
        <v>10588</v>
      </c>
      <c r="T43" s="13">
        <f>SUM(T38:T42)</f>
        <v>10750</v>
      </c>
      <c r="U43" s="13">
        <f>SUM(U38:U42)</f>
        <v>10905</v>
      </c>
      <c r="V43" s="13">
        <f>SUM(V38:V42)</f>
        <v>8509</v>
      </c>
      <c r="W43" s="13">
        <f>SUM(W38:W42)</f>
        <v>4896</v>
      </c>
      <c r="X43" s="13">
        <f>SUM(X38:X42)</f>
        <v>2525</v>
      </c>
    </row>
    <row r="44" spans="1:24" outlineLevel="1">
      <c r="B44" s="114" t="s">
        <v>63</v>
      </c>
      <c r="C44" s="73">
        <f>+C43-C11</f>
        <v>4555</v>
      </c>
      <c r="D44" s="73">
        <f>+D43-D11</f>
        <v>5656</v>
      </c>
      <c r="E44" s="73">
        <f>+E43-E11</f>
        <v>6486</v>
      </c>
      <c r="F44" s="11"/>
      <c r="G44" s="73">
        <f>+G43-G11</f>
        <v>1115.8000000000002</v>
      </c>
      <c r="H44" s="73">
        <f>+H43-H11</f>
        <v>1137.6999999999998</v>
      </c>
      <c r="I44" s="73">
        <f>+I43-I11</f>
        <v>1159.3</v>
      </c>
      <c r="J44" s="73">
        <f>+J43-J11</f>
        <v>2243.2000000000003</v>
      </c>
      <c r="K44" s="73">
        <f>+K43-K11</f>
        <v>1270.3000000000002</v>
      </c>
      <c r="L44" s="73">
        <f>+L43-L11</f>
        <v>1258.5</v>
      </c>
      <c r="M44" s="73">
        <f>+M43-M11</f>
        <v>1333.8</v>
      </c>
      <c r="N44" s="73">
        <f>+N43-N11</f>
        <v>2063.3000000000002</v>
      </c>
      <c r="O44" s="73">
        <f>+O43-O11</f>
        <v>1433.7</v>
      </c>
      <c r="P44" s="73">
        <f>+P43-P11</f>
        <v>1375.6000000000001</v>
      </c>
      <c r="Q44" s="5"/>
      <c r="R44" s="73">
        <f>+R43-R11</f>
        <v>6216</v>
      </c>
      <c r="S44" s="73">
        <f>+S43-S11</f>
        <v>6571.5</v>
      </c>
      <c r="T44" s="73">
        <f>+T43-T11</f>
        <v>6694.3000000000011</v>
      </c>
      <c r="U44" s="73">
        <f>+U43-U11</f>
        <v>6832.8</v>
      </c>
      <c r="V44" s="73">
        <f>+V43-V11</f>
        <v>3846.8999999999996</v>
      </c>
      <c r="W44" s="73">
        <f>+W43-W11</f>
        <v>235.30000000000018</v>
      </c>
      <c r="X44" s="73">
        <f>+X43-X11</f>
        <v>-2173.6000000000004</v>
      </c>
    </row>
    <row r="45" spans="1:24">
      <c r="B45" s="16"/>
      <c r="C45" s="17"/>
      <c r="D45" s="17"/>
      <c r="E45" s="17"/>
      <c r="F45" s="18"/>
      <c r="G45" s="19"/>
      <c r="H45" s="19"/>
      <c r="I45" s="19"/>
      <c r="J45" s="20"/>
      <c r="K45" s="19"/>
      <c r="L45" s="19"/>
      <c r="M45" s="19"/>
      <c r="N45" s="19"/>
      <c r="O45" s="19"/>
      <c r="P45" s="19"/>
      <c r="Q45" s="18"/>
      <c r="R45" s="18"/>
      <c r="S45" s="18"/>
      <c r="T45" s="18"/>
      <c r="U45" s="18"/>
      <c r="V45" s="18"/>
      <c r="W45" s="18"/>
      <c r="X45" s="18"/>
    </row>
    <row r="46" spans="1:24">
      <c r="B46" s="115" t="str">
        <f>B38&amp;"(%)"</f>
        <v>U.S. Revenues(%)</v>
      </c>
      <c r="C46" s="127">
        <f>C38/C$43</f>
        <v>0.69716399506781745</v>
      </c>
      <c r="D46" s="127">
        <f>D38/D$43</f>
        <v>0.65980453316697862</v>
      </c>
      <c r="E46" s="127">
        <f>E38/E$43</f>
        <v>0.61229693993199852</v>
      </c>
      <c r="F46" s="116"/>
      <c r="G46" s="127">
        <f>G38/G$43</f>
        <v>0.65700000000000003</v>
      </c>
      <c r="H46" s="127">
        <f>H38/H$43</f>
        <v>0.64479638009049778</v>
      </c>
      <c r="I46" s="127">
        <f>I38/I$43</f>
        <v>0.64580498866213154</v>
      </c>
      <c r="J46" s="127">
        <f>J38/J$43</f>
        <v>0.68154854823602873</v>
      </c>
      <c r="K46" s="127">
        <f>K38/K$43</f>
        <v>0.60660932548664559</v>
      </c>
      <c r="L46" s="127">
        <f>L38/L$43</f>
        <v>0.6</v>
      </c>
      <c r="M46" s="127">
        <f>M38/M$43</f>
        <v>0.59432387312186974</v>
      </c>
      <c r="N46" s="127">
        <f>N38/N$43</f>
        <v>0.63575975643509552</v>
      </c>
      <c r="O46" s="127">
        <f>O38/O$43</f>
        <v>0.5748629270350063</v>
      </c>
      <c r="P46" s="127">
        <f>P38/P$43</f>
        <v>0.56039603960396045</v>
      </c>
      <c r="Q46" s="116"/>
      <c r="R46" s="117">
        <f>R38/R$43</f>
        <v>0.62576144625663199</v>
      </c>
      <c r="S46" s="117">
        <f>S38/S$43</f>
        <v>0.61229693993199852</v>
      </c>
      <c r="T46" s="117">
        <f>T38/T$43</f>
        <v>0.60520930232558134</v>
      </c>
      <c r="U46" s="117">
        <f>U38/U$43</f>
        <v>0.59596515359926638</v>
      </c>
      <c r="V46" s="117">
        <f>V38/V$43</f>
        <v>0.59642731225760959</v>
      </c>
      <c r="W46" s="117">
        <f>W38/W$43</f>
        <v>0.56740196078431371</v>
      </c>
      <c r="X46" s="118">
        <f>X38/X$43</f>
        <v>0.56039603960396045</v>
      </c>
    </row>
    <row r="47" spans="1:24" ht="12.75" customHeight="1">
      <c r="B47" s="119" t="str">
        <f t="shared" ref="B47" si="49">B39&amp;"(%)"</f>
        <v>Canada Revenues(%)</v>
      </c>
      <c r="C47" s="129">
        <f>C39/C$43</f>
        <v>0.14340320591861899</v>
      </c>
      <c r="D47" s="129">
        <f>D39/D$43</f>
        <v>0.13360365980453318</v>
      </c>
      <c r="E47" s="129">
        <f>E39/E$43</f>
        <v>0.13335851907820173</v>
      </c>
      <c r="F47" s="120"/>
      <c r="G47" s="129">
        <f>G39/G$43</f>
        <v>0.1265</v>
      </c>
      <c r="H47" s="129">
        <f>H39/H$43</f>
        <v>0.1334841628959276</v>
      </c>
      <c r="I47" s="129">
        <f>I39/I$43</f>
        <v>0.14013605442176871</v>
      </c>
      <c r="J47" s="129">
        <f>J39/J$43</f>
        <v>0.13362472681860754</v>
      </c>
      <c r="K47" s="129">
        <f>K39/K$43</f>
        <v>0.1276595744680851</v>
      </c>
      <c r="L47" s="129">
        <f>L39/L$43</f>
        <v>0.13459915611814346</v>
      </c>
      <c r="M47" s="129">
        <f>M39/M$43</f>
        <v>0.13981636060100167</v>
      </c>
      <c r="N47" s="129">
        <f>N39/N$43</f>
        <v>0.13174647107666759</v>
      </c>
      <c r="O47" s="129">
        <f>O39/O$43</f>
        <v>0.12357654997891185</v>
      </c>
      <c r="P47" s="129">
        <f>P39/P$43</f>
        <v>0.12712871287128713</v>
      </c>
      <c r="Q47" s="120"/>
      <c r="R47" s="121">
        <f>R39/R$43</f>
        <v>0.13401454116722342</v>
      </c>
      <c r="S47" s="121">
        <f>S39/S$43</f>
        <v>0.13335851907820173</v>
      </c>
      <c r="T47" s="121">
        <f>T39/T$43</f>
        <v>0.13237209302325581</v>
      </c>
      <c r="U47" s="121">
        <f>U39/U$43</f>
        <v>0.13067400275103164</v>
      </c>
      <c r="V47" s="121">
        <f>V39/V$43</f>
        <v>0.12809965918439301</v>
      </c>
      <c r="W47" s="121">
        <f>W39/W$43</f>
        <v>0.12540849673202614</v>
      </c>
      <c r="X47" s="122">
        <f>X39/X$43</f>
        <v>0.12712871287128713</v>
      </c>
    </row>
    <row r="48" spans="1:24" ht="12.75" customHeight="1">
      <c r="B48" s="119" t="str">
        <f>B40&amp;"(%)"</f>
        <v>Mexico Revenues(%)</v>
      </c>
      <c r="C48" s="129">
        <f>C40/C$43</f>
        <v>0</v>
      </c>
      <c r="D48" s="129">
        <f>D40/D$43</f>
        <v>0</v>
      </c>
      <c r="E48" s="129">
        <f>E40/E$43</f>
        <v>3.1167359274650547E-3</v>
      </c>
      <c r="F48" s="120"/>
      <c r="G48" s="129">
        <f>G40/G$43</f>
        <v>0</v>
      </c>
      <c r="H48" s="129">
        <f>H40/H$43</f>
        <v>0</v>
      </c>
      <c r="I48" s="129">
        <f>I40/I$43</f>
        <v>0</v>
      </c>
      <c r="J48" s="129">
        <f>J40/J$43</f>
        <v>0</v>
      </c>
      <c r="K48" s="129">
        <f>K40/K$43</f>
        <v>0</v>
      </c>
      <c r="L48" s="129">
        <f>L40/L$43</f>
        <v>0</v>
      </c>
      <c r="M48" s="129">
        <f>M40/M$43</f>
        <v>4.5909849749582636E-3</v>
      </c>
      <c r="N48" s="129">
        <f>N40/N$43</f>
        <v>6.0891226127871576E-3</v>
      </c>
      <c r="O48" s="129">
        <f>O40/O$43</f>
        <v>8.0134964150147623E-3</v>
      </c>
      <c r="P48" s="129">
        <f>P40/P$43</f>
        <v>8.7128712871287137E-3</v>
      </c>
      <c r="Q48" s="120"/>
      <c r="R48" s="121">
        <f>R40/R$43</f>
        <v>1.0807624287679308E-3</v>
      </c>
      <c r="S48" s="121">
        <f>S40/S$43</f>
        <v>3.1167359274650547E-3</v>
      </c>
      <c r="T48" s="121">
        <f>T40/T$43</f>
        <v>4.8372093023255815E-3</v>
      </c>
      <c r="U48" s="121">
        <f>U40/U$43</f>
        <v>6.7858780375974325E-3</v>
      </c>
      <c r="V48" s="121">
        <f>V40/V$43</f>
        <v>7.403925255611705E-3</v>
      </c>
      <c r="W48" s="121">
        <f>W40/W$43</f>
        <v>8.3741830065359475E-3</v>
      </c>
      <c r="X48" s="122">
        <f>X40/X$43</f>
        <v>8.7128712871287137E-3</v>
      </c>
    </row>
    <row r="49" spans="2:24" ht="12.75" customHeight="1">
      <c r="B49" s="119" t="str">
        <f>B41&amp;"(%)"</f>
        <v>China Revenues(%)</v>
      </c>
      <c r="C49" s="129">
        <f>C41/C$43</f>
        <v>8.4093711467324292E-2</v>
      </c>
      <c r="D49" s="129">
        <f>D41/D$43</f>
        <v>0.11790393013100436</v>
      </c>
      <c r="E49" s="129">
        <f>E41/E$43</f>
        <v>0.1455421231582924</v>
      </c>
      <c r="F49" s="120"/>
      <c r="G49" s="129">
        <f>G41/G$43</f>
        <v>0.125</v>
      </c>
      <c r="H49" s="129">
        <f>H41/H$43</f>
        <v>0.12579185520361991</v>
      </c>
      <c r="I49" s="129">
        <f>I41/I$43</f>
        <v>0.12108843537414966</v>
      </c>
      <c r="J49" s="129">
        <f>J41/J$43</f>
        <v>0.10583827661567281</v>
      </c>
      <c r="K49" s="129">
        <f>K41/K$43</f>
        <v>0.15663196016296968</v>
      </c>
      <c r="L49" s="129">
        <f>L41/L$43</f>
        <v>0.15021097046413501</v>
      </c>
      <c r="M49" s="129">
        <f>M41/M$43</f>
        <v>0.14983305509181971</v>
      </c>
      <c r="N49" s="129">
        <f>N41/N$43</f>
        <v>0.13285358427899252</v>
      </c>
      <c r="O49" s="129">
        <f>O41/O$43</f>
        <v>0.17376634331505694</v>
      </c>
      <c r="P49" s="129">
        <f>P41/P$43</f>
        <v>0.17465346534653464</v>
      </c>
      <c r="Q49" s="120"/>
      <c r="R49" s="121">
        <f>R41/R$43</f>
        <v>0.13755158184319119</v>
      </c>
      <c r="S49" s="121">
        <f>S41/S$43</f>
        <v>0.1455421231582924</v>
      </c>
      <c r="T49" s="121">
        <f>T41/T$43</f>
        <v>0.14948837209302326</v>
      </c>
      <c r="U49" s="121">
        <f>U41/U$43</f>
        <v>0.15515818431911968</v>
      </c>
      <c r="V49" s="121">
        <f>V41/V$43</f>
        <v>0.1566576565988953</v>
      </c>
      <c r="W49" s="121">
        <f>W41/W$43</f>
        <v>0.17422385620915032</v>
      </c>
      <c r="X49" s="122">
        <f>X41/X$43</f>
        <v>0.17465346534653464</v>
      </c>
    </row>
    <row r="50" spans="2:24" ht="12.75" customHeight="1">
      <c r="B50" s="123" t="str">
        <f>B42&amp;"(%)"</f>
        <v>Other Revenues(%)</v>
      </c>
      <c r="C50" s="128">
        <f>C42/C$43</f>
        <v>7.5339087546239206E-2</v>
      </c>
      <c r="D50" s="128">
        <f>D42/D$43</f>
        <v>8.8687876897483878E-2</v>
      </c>
      <c r="E50" s="128">
        <f>E42/E$43</f>
        <v>0.10568568190404232</v>
      </c>
      <c r="F50" s="124"/>
      <c r="G50" s="128">
        <f>G42/G$43</f>
        <v>9.1499999999999998E-2</v>
      </c>
      <c r="H50" s="128">
        <f>H42/H$43</f>
        <v>9.5927601809954757E-2</v>
      </c>
      <c r="I50" s="128">
        <f>I42/I$43</f>
        <v>9.297052154195011E-2</v>
      </c>
      <c r="J50" s="128">
        <f>J42/J$43</f>
        <v>7.8988448329690916E-2</v>
      </c>
      <c r="K50" s="128">
        <f>K42/K$43</f>
        <v>0.10909913988229969</v>
      </c>
      <c r="L50" s="128">
        <f>L42/L$43</f>
        <v>0.11518987341772152</v>
      </c>
      <c r="M50" s="128">
        <f>M42/M$43</f>
        <v>0.11143572621035058</v>
      </c>
      <c r="N50" s="128">
        <f>N42/N$43</f>
        <v>9.3551065596457234E-2</v>
      </c>
      <c r="O50" s="128">
        <f>O42/O$43</f>
        <v>0.11978068325601013</v>
      </c>
      <c r="P50" s="128">
        <f>P42/P$43</f>
        <v>0.12910891089108911</v>
      </c>
      <c r="Q50" s="124"/>
      <c r="R50" s="125">
        <f>R42/R$43</f>
        <v>0.10159166830418549</v>
      </c>
      <c r="S50" s="125">
        <f>S42/S$43</f>
        <v>0.10568568190404232</v>
      </c>
      <c r="T50" s="125">
        <f>T42/T$43</f>
        <v>0.10809302325581395</v>
      </c>
      <c r="U50" s="125">
        <f>U42/U$43</f>
        <v>0.11141678129298486</v>
      </c>
      <c r="V50" s="125">
        <f>V42/V$43</f>
        <v>0.11141144670349042</v>
      </c>
      <c r="W50" s="125">
        <f>W42/W$43</f>
        <v>0.12459150326797386</v>
      </c>
      <c r="X50" s="126">
        <f>X42/X$43</f>
        <v>0.12910891089108911</v>
      </c>
    </row>
  </sheetData>
  <pageMargins left="0.7" right="0.7" top="0.75" bottom="0.75" header="0.3" footer="0.3"/>
  <ignoredErrors>
    <ignoredError sqref="G15:P15 C15:E15 G46:P50 C14:E14 G14:P1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27CF-47F2-43ED-8CCB-3D99E5377DA5}">
  <sheetPr>
    <tabColor theme="6" tint="-0.249977111117893"/>
  </sheetPr>
  <dimension ref="A2:AG89"/>
  <sheetViews>
    <sheetView showGridLines="0" zoomScaleNormal="100" workbookViewId="0">
      <selection activeCell="B2" sqref="B2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customWidth="1"/>
    <col min="4" max="4" width="9" style="8" bestFit="1"/>
    <col min="5" max="5" width="9.25" style="8" bestFit="1" customWidth="1"/>
    <col min="6" max="6" width="9" style="8"/>
    <col min="7" max="7" width="1.5" style="8" customWidth="1"/>
    <col min="8" max="10" width="8" style="8" customWidth="1"/>
    <col min="11" max="11" width="8.75" style="8" customWidth="1"/>
    <col min="12" max="13" width="8" style="8" customWidth="1"/>
    <col min="14" max="20" width="8.875" style="8" customWidth="1"/>
    <col min="21" max="21" width="1.625" style="8" customWidth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7.5" style="111" bestFit="1" customWidth="1"/>
    <col min="34" max="16384" width="9" style="8"/>
  </cols>
  <sheetData>
    <row r="2" spans="2:33" s="5" customFormat="1" ht="12.75" customHeight="1">
      <c r="B2" s="1" t="str">
        <f>'Historical Financials'!B2</f>
        <v>Crocs Inc (NASDAQ: CROX)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 t="s">
        <v>1</v>
      </c>
      <c r="S2" s="2"/>
      <c r="T2" s="2"/>
      <c r="U2" s="3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54" t="s">
        <v>24</v>
      </c>
    </row>
    <row r="3" spans="2:33" s="5" customFormat="1" ht="12.75" customHeight="1">
      <c r="B3" s="6" t="s">
        <v>25</v>
      </c>
      <c r="C3" s="7">
        <f>'Historical Financials'!C7</f>
        <v>2022</v>
      </c>
      <c r="D3" s="7">
        <f>'Historical Financials'!D7</f>
        <v>2023</v>
      </c>
      <c r="E3" s="7">
        <f>'Historical Financials'!E7</f>
        <v>2024</v>
      </c>
      <c r="F3" s="7" t="e">
        <f>'Historical Financials'!#REF!</f>
        <v>#REF!</v>
      </c>
      <c r="G3" s="3"/>
      <c r="H3" s="7" t="str">
        <f>'Historical Financials'!G7</f>
        <v>1Q23</v>
      </c>
      <c r="I3" s="7" t="str">
        <f>'Historical Financials'!H7</f>
        <v>2Q23</v>
      </c>
      <c r="J3" s="7" t="str">
        <f>'Historical Financials'!I7</f>
        <v>3Q23</v>
      </c>
      <c r="K3" s="7" t="str">
        <f>'Historical Financials'!J7</f>
        <v>4Q23</v>
      </c>
      <c r="L3" s="7" t="str">
        <f>'Historical Financials'!K7</f>
        <v>1Q24</v>
      </c>
      <c r="M3" s="7" t="str">
        <f>'Historical Financials'!L7</f>
        <v>2Q24</v>
      </c>
      <c r="N3" s="7" t="str">
        <f>'Historical Financials'!M7</f>
        <v>3Q24</v>
      </c>
      <c r="O3" s="7" t="str">
        <f>'Historical Financials'!N7</f>
        <v>4Q24</v>
      </c>
      <c r="P3" s="7" t="str">
        <f>'Historical Financials'!O7</f>
        <v>1Q25</v>
      </c>
      <c r="Q3" s="7" t="str">
        <f>'Historical Financials'!P7</f>
        <v>2Q25</v>
      </c>
      <c r="R3" s="7" t="e">
        <f>'Historical Financials'!#REF!</f>
        <v>#REF!</v>
      </c>
      <c r="S3" s="7" t="e">
        <f>'Historical Financials'!#REF!</f>
        <v>#REF!</v>
      </c>
      <c r="T3" s="7" t="e">
        <f>'Historical Financials'!#REF!</f>
        <v>#REF!</v>
      </c>
      <c r="U3" s="3"/>
      <c r="V3" s="4" t="str">
        <f t="shared" ref="V3:AE4" si="0">K3</f>
        <v>4Q23</v>
      </c>
      <c r="W3" s="4" t="str">
        <f t="shared" si="0"/>
        <v>1Q24</v>
      </c>
      <c r="X3" s="4" t="str">
        <f t="shared" si="0"/>
        <v>2Q24</v>
      </c>
      <c r="Y3" s="4" t="str">
        <f t="shared" si="0"/>
        <v>3Q24</v>
      </c>
      <c r="Z3" s="4" t="str">
        <f t="shared" si="0"/>
        <v>4Q24</v>
      </c>
      <c r="AA3" s="4" t="str">
        <f t="shared" si="0"/>
        <v>1Q25</v>
      </c>
      <c r="AB3" s="4" t="str">
        <f t="shared" si="0"/>
        <v>2Q25</v>
      </c>
      <c r="AC3" s="4" t="e">
        <f t="shared" si="0"/>
        <v>#REF!</v>
      </c>
      <c r="AD3" s="4" t="e">
        <f t="shared" si="0"/>
        <v>#REF!</v>
      </c>
      <c r="AE3" s="4" t="e">
        <f t="shared" si="0"/>
        <v>#REF!</v>
      </c>
      <c r="AF3" s="3"/>
      <c r="AG3" s="154"/>
    </row>
    <row r="4" spans="2:33" s="5" customFormat="1" ht="12.75" customHeight="1">
      <c r="B4" s="6" t="s">
        <v>98</v>
      </c>
      <c r="C4" s="3" t="str">
        <f>'Historical Financials'!C8</f>
        <v>XXX</v>
      </c>
      <c r="D4" s="3" t="str">
        <f>'Historical Financials'!D8</f>
        <v>XXX</v>
      </c>
      <c r="E4" s="3" t="str">
        <f>'Historical Financials'!E8</f>
        <v>XXX</v>
      </c>
      <c r="F4" s="3" t="e">
        <f>'Historical Financials'!#REF!</f>
        <v>#REF!</v>
      </c>
      <c r="G4" s="3"/>
      <c r="H4" s="3" t="str">
        <f>'Historical Financials'!G8</f>
        <v>XXX</v>
      </c>
      <c r="I4" s="3" t="str">
        <f>'Historical Financials'!H8</f>
        <v>XXX</v>
      </c>
      <c r="J4" s="3" t="str">
        <f>'Historical Financials'!I8</f>
        <v>XXX</v>
      </c>
      <c r="K4" s="3" t="str">
        <f>'Historical Financials'!J8</f>
        <v>XXX</v>
      </c>
      <c r="L4" s="3" t="str">
        <f>'Historical Financials'!K8</f>
        <v>XXX</v>
      </c>
      <c r="M4" s="3" t="str">
        <f>'Historical Financials'!L8</f>
        <v>XXX</v>
      </c>
      <c r="N4" s="3" t="str">
        <f>'Historical Financials'!M8</f>
        <v>XXX</v>
      </c>
      <c r="O4" s="3" t="str">
        <f>'Historical Financials'!N8</f>
        <v>XXX</v>
      </c>
      <c r="P4" s="3" t="str">
        <f>'Historical Financials'!O8</f>
        <v>XXX</v>
      </c>
      <c r="Q4" s="3" t="str">
        <f>'Historical Financials'!P8</f>
        <v>XXX</v>
      </c>
      <c r="R4" s="3" t="e">
        <f>'Historical Financials'!#REF!</f>
        <v>#REF!</v>
      </c>
      <c r="S4" s="3" t="e">
        <f>'Historical Financials'!#REF!</f>
        <v>#REF!</v>
      </c>
      <c r="T4" s="3" t="e">
        <f>'Historical Financials'!#REF!</f>
        <v>#REF!</v>
      </c>
      <c r="U4" s="3"/>
      <c r="V4" s="3" t="str">
        <f t="shared" si="0"/>
        <v>XXX</v>
      </c>
      <c r="W4" s="3" t="str">
        <f t="shared" si="0"/>
        <v>XXX</v>
      </c>
      <c r="X4" s="3" t="str">
        <f t="shared" si="0"/>
        <v>XXX</v>
      </c>
      <c r="Y4" s="3" t="str">
        <f t="shared" si="0"/>
        <v>XXX</v>
      </c>
      <c r="Z4" s="3" t="str">
        <f t="shared" si="0"/>
        <v>XXX</v>
      </c>
      <c r="AA4" s="3" t="str">
        <f t="shared" si="0"/>
        <v>XXX</v>
      </c>
      <c r="AB4" s="3" t="str">
        <f t="shared" si="0"/>
        <v>XXX</v>
      </c>
      <c r="AC4" s="3" t="e">
        <f t="shared" si="0"/>
        <v>#REF!</v>
      </c>
      <c r="AD4" s="3" t="e">
        <f t="shared" si="0"/>
        <v>#REF!</v>
      </c>
      <c r="AE4" s="3" t="e">
        <f t="shared" si="0"/>
        <v>#REF!</v>
      </c>
      <c r="AF4" s="3"/>
      <c r="AG4" s="154"/>
    </row>
    <row r="5" spans="2:33" ht="5.0999999999999996" customHeight="1">
      <c r="AG5" s="107"/>
    </row>
    <row r="6" spans="2:33" ht="12.75" customHeight="1">
      <c r="B6" s="9" t="s">
        <v>112</v>
      </c>
      <c r="C6" s="80"/>
      <c r="D6" s="80"/>
      <c r="E6" s="80"/>
      <c r="F6" s="80"/>
      <c r="G6" s="1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5"/>
      <c r="V6" s="131">
        <f t="shared" ref="V6:AD6" si="1">SUM(H6:K6)</f>
        <v>0</v>
      </c>
      <c r="W6" s="131">
        <f t="shared" si="1"/>
        <v>0</v>
      </c>
      <c r="X6" s="131">
        <f t="shared" si="1"/>
        <v>0</v>
      </c>
      <c r="Y6" s="131">
        <f t="shared" si="1"/>
        <v>0</v>
      </c>
      <c r="Z6" s="131">
        <f t="shared" si="1"/>
        <v>0</v>
      </c>
      <c r="AA6" s="131">
        <f t="shared" si="1"/>
        <v>0</v>
      </c>
      <c r="AB6" s="131">
        <f t="shared" si="1"/>
        <v>0</v>
      </c>
      <c r="AC6" s="131">
        <f t="shared" si="1"/>
        <v>0</v>
      </c>
      <c r="AD6" s="131">
        <f t="shared" si="1"/>
        <v>0</v>
      </c>
      <c r="AE6" s="131">
        <f>SUM(Q6:T6)</f>
        <v>0</v>
      </c>
      <c r="AG6" s="108" t="e">
        <f t="shared" ref="AG6:AG11" si="2">SUM(AE6/AA6)-1</f>
        <v>#DIV/0!</v>
      </c>
    </row>
    <row r="7" spans="2:33" ht="12.75" customHeight="1">
      <c r="B7" s="9" t="s">
        <v>112</v>
      </c>
      <c r="C7" s="80"/>
      <c r="D7" s="80"/>
      <c r="E7" s="80"/>
      <c r="F7" s="80"/>
      <c r="G7" s="1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5"/>
      <c r="V7" s="131">
        <f t="shared" ref="V7:V11" si="3">SUM(H7:K7)</f>
        <v>0</v>
      </c>
      <c r="W7" s="131">
        <f t="shared" ref="W7:W11" si="4">SUM(I7:L7)</f>
        <v>0</v>
      </c>
      <c r="X7" s="131">
        <f t="shared" ref="X7:X11" si="5">SUM(J7:M7)</f>
        <v>0</v>
      </c>
      <c r="Y7" s="131">
        <f t="shared" ref="Y7:Y11" si="6">SUM(K7:N7)</f>
        <v>0</v>
      </c>
      <c r="Z7" s="131">
        <f t="shared" ref="Z7:Z11" si="7">SUM(L7:O7)</f>
        <v>0</v>
      </c>
      <c r="AA7" s="131">
        <f t="shared" ref="AA7:AA11" si="8">SUM(M7:P7)</f>
        <v>0</v>
      </c>
      <c r="AB7" s="131">
        <f t="shared" ref="AB7:AB11" si="9">SUM(N7:Q7)</f>
        <v>0</v>
      </c>
      <c r="AC7" s="131">
        <f t="shared" ref="AC7:AC11" si="10">SUM(O7:R7)</f>
        <v>0</v>
      </c>
      <c r="AD7" s="131">
        <f t="shared" ref="AD7:AD11" si="11">SUM(P7:S7)</f>
        <v>0</v>
      </c>
      <c r="AE7" s="131">
        <f t="shared" ref="AE7:AE11" si="12">SUM(Q7:T7)</f>
        <v>0</v>
      </c>
      <c r="AG7" s="108" t="e">
        <f t="shared" si="2"/>
        <v>#DIV/0!</v>
      </c>
    </row>
    <row r="8" spans="2:33" ht="12.75" customHeight="1">
      <c r="B8" s="9" t="s">
        <v>112</v>
      </c>
      <c r="C8" s="80"/>
      <c r="D8" s="80"/>
      <c r="E8" s="80"/>
      <c r="F8" s="80"/>
      <c r="G8" s="1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5"/>
      <c r="V8" s="131">
        <f t="shared" si="3"/>
        <v>0</v>
      </c>
      <c r="W8" s="131">
        <f t="shared" si="4"/>
        <v>0</v>
      </c>
      <c r="X8" s="131">
        <f t="shared" si="5"/>
        <v>0</v>
      </c>
      <c r="Y8" s="131">
        <f t="shared" si="6"/>
        <v>0</v>
      </c>
      <c r="Z8" s="131">
        <f t="shared" si="7"/>
        <v>0</v>
      </c>
      <c r="AA8" s="131">
        <f t="shared" si="8"/>
        <v>0</v>
      </c>
      <c r="AB8" s="131">
        <f t="shared" si="9"/>
        <v>0</v>
      </c>
      <c r="AC8" s="131">
        <f t="shared" si="10"/>
        <v>0</v>
      </c>
      <c r="AD8" s="131">
        <f t="shared" si="11"/>
        <v>0</v>
      </c>
      <c r="AE8" s="131">
        <f t="shared" si="12"/>
        <v>0</v>
      </c>
      <c r="AG8" s="108" t="e">
        <f t="shared" si="2"/>
        <v>#DIV/0!</v>
      </c>
    </row>
    <row r="9" spans="2:33" ht="12.75" customHeight="1">
      <c r="B9" s="9" t="s">
        <v>112</v>
      </c>
      <c r="C9" s="80"/>
      <c r="D9" s="80"/>
      <c r="E9" s="80"/>
      <c r="F9" s="80"/>
      <c r="G9" s="1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5"/>
      <c r="V9" s="131">
        <f t="shared" si="3"/>
        <v>0</v>
      </c>
      <c r="W9" s="131">
        <f t="shared" si="4"/>
        <v>0</v>
      </c>
      <c r="X9" s="131">
        <f t="shared" si="5"/>
        <v>0</v>
      </c>
      <c r="Y9" s="131">
        <f t="shared" si="6"/>
        <v>0</v>
      </c>
      <c r="Z9" s="131">
        <f t="shared" si="7"/>
        <v>0</v>
      </c>
      <c r="AA9" s="131">
        <f t="shared" si="8"/>
        <v>0</v>
      </c>
      <c r="AB9" s="131">
        <f t="shared" si="9"/>
        <v>0</v>
      </c>
      <c r="AC9" s="131">
        <f t="shared" si="10"/>
        <v>0</v>
      </c>
      <c r="AD9" s="131">
        <f t="shared" si="11"/>
        <v>0</v>
      </c>
      <c r="AE9" s="131">
        <f t="shared" si="12"/>
        <v>0</v>
      </c>
      <c r="AG9" s="108" t="e">
        <f t="shared" si="2"/>
        <v>#DIV/0!</v>
      </c>
    </row>
    <row r="10" spans="2:33" ht="12.75" customHeight="1">
      <c r="B10" s="9" t="s">
        <v>112</v>
      </c>
      <c r="C10" s="80"/>
      <c r="D10" s="80"/>
      <c r="E10" s="80"/>
      <c r="F10" s="80"/>
      <c r="G10" s="1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5"/>
      <c r="V10" s="131">
        <f t="shared" si="3"/>
        <v>0</v>
      </c>
      <c r="W10" s="131">
        <f t="shared" si="4"/>
        <v>0</v>
      </c>
      <c r="X10" s="131">
        <f t="shared" si="5"/>
        <v>0</v>
      </c>
      <c r="Y10" s="131">
        <f t="shared" si="6"/>
        <v>0</v>
      </c>
      <c r="Z10" s="131">
        <f t="shared" si="7"/>
        <v>0</v>
      </c>
      <c r="AA10" s="131">
        <f t="shared" si="8"/>
        <v>0</v>
      </c>
      <c r="AB10" s="131">
        <f t="shared" si="9"/>
        <v>0</v>
      </c>
      <c r="AC10" s="131">
        <f t="shared" si="10"/>
        <v>0</v>
      </c>
      <c r="AD10" s="131">
        <f t="shared" si="11"/>
        <v>0</v>
      </c>
      <c r="AE10" s="131">
        <f t="shared" si="12"/>
        <v>0</v>
      </c>
      <c r="AG10" s="108" t="e">
        <f t="shared" si="2"/>
        <v>#DIV/0!</v>
      </c>
    </row>
    <row r="11" spans="2:33" ht="12.75" customHeight="1">
      <c r="B11" s="9" t="s">
        <v>112</v>
      </c>
      <c r="C11" s="80"/>
      <c r="D11" s="80"/>
      <c r="E11" s="80"/>
      <c r="F11" s="80"/>
      <c r="G11" s="1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5"/>
      <c r="V11" s="131">
        <f t="shared" si="3"/>
        <v>0</v>
      </c>
      <c r="W11" s="131">
        <f t="shared" si="4"/>
        <v>0</v>
      </c>
      <c r="X11" s="131">
        <f t="shared" si="5"/>
        <v>0</v>
      </c>
      <c r="Y11" s="131">
        <f t="shared" si="6"/>
        <v>0</v>
      </c>
      <c r="Z11" s="131">
        <f t="shared" si="7"/>
        <v>0</v>
      </c>
      <c r="AA11" s="131">
        <f t="shared" si="8"/>
        <v>0</v>
      </c>
      <c r="AB11" s="131">
        <f t="shared" si="9"/>
        <v>0</v>
      </c>
      <c r="AC11" s="131">
        <f t="shared" si="10"/>
        <v>0</v>
      </c>
      <c r="AD11" s="131">
        <f t="shared" si="11"/>
        <v>0</v>
      </c>
      <c r="AE11" s="131">
        <f t="shared" si="12"/>
        <v>0</v>
      </c>
      <c r="AG11" s="108" t="e">
        <f t="shared" si="2"/>
        <v>#DIV/0!</v>
      </c>
    </row>
    <row r="12" spans="2:33" ht="12.75" customHeight="1">
      <c r="B12" s="12" t="s">
        <v>12</v>
      </c>
      <c r="C12" s="13">
        <f t="shared" ref="C12:F12" si="13">SUM(C6:C11)</f>
        <v>0</v>
      </c>
      <c r="D12" s="13">
        <f t="shared" si="13"/>
        <v>0</v>
      </c>
      <c r="E12" s="13">
        <f t="shared" si="13"/>
        <v>0</v>
      </c>
      <c r="F12" s="13">
        <f t="shared" si="13"/>
        <v>0</v>
      </c>
      <c r="G12" s="10"/>
      <c r="H12" s="13">
        <f t="shared" ref="H12:S12" si="14">SUM(H6:H11)</f>
        <v>0</v>
      </c>
      <c r="I12" s="13">
        <f t="shared" si="14"/>
        <v>0</v>
      </c>
      <c r="J12" s="13">
        <f t="shared" si="14"/>
        <v>0</v>
      </c>
      <c r="K12" s="13">
        <f t="shared" si="14"/>
        <v>0</v>
      </c>
      <c r="L12" s="13">
        <f t="shared" si="14"/>
        <v>0</v>
      </c>
      <c r="M12" s="13">
        <f t="shared" si="14"/>
        <v>0</v>
      </c>
      <c r="N12" s="13">
        <f t="shared" si="14"/>
        <v>0</v>
      </c>
      <c r="O12" s="13">
        <f t="shared" si="14"/>
        <v>0</v>
      </c>
      <c r="P12" s="13">
        <f t="shared" si="14"/>
        <v>0</v>
      </c>
      <c r="Q12" s="13">
        <f t="shared" si="14"/>
        <v>0</v>
      </c>
      <c r="R12" s="13">
        <f t="shared" si="14"/>
        <v>0</v>
      </c>
      <c r="S12" s="13">
        <f t="shared" si="14"/>
        <v>0</v>
      </c>
      <c r="T12" s="13">
        <f t="shared" ref="T12" si="15">SUM(T6:T11)</f>
        <v>0</v>
      </c>
      <c r="U12" s="5"/>
      <c r="V12" s="13">
        <f t="shared" ref="V12:AE12" si="16">SUM(V6:V11)</f>
        <v>0</v>
      </c>
      <c r="W12" s="13">
        <f t="shared" si="16"/>
        <v>0</v>
      </c>
      <c r="X12" s="13">
        <f t="shared" si="16"/>
        <v>0</v>
      </c>
      <c r="Y12" s="13">
        <f t="shared" si="16"/>
        <v>0</v>
      </c>
      <c r="Z12" s="13">
        <f t="shared" si="16"/>
        <v>0</v>
      </c>
      <c r="AA12" s="13">
        <f t="shared" si="16"/>
        <v>0</v>
      </c>
      <c r="AB12" s="13">
        <f t="shared" si="16"/>
        <v>0</v>
      </c>
      <c r="AC12" s="13">
        <f t="shared" si="16"/>
        <v>0</v>
      </c>
      <c r="AD12" s="13">
        <f t="shared" si="16"/>
        <v>0</v>
      </c>
      <c r="AE12" s="13">
        <f t="shared" si="16"/>
        <v>0</v>
      </c>
      <c r="AG12" s="109" t="e">
        <f>SUM(AE12/AA12)-1</f>
        <v>#DIV/0!</v>
      </c>
    </row>
    <row r="13" spans="2:33" ht="12.75" customHeight="1">
      <c r="B13" s="14" t="s">
        <v>28</v>
      </c>
      <c r="C13" s="15" t="e">
        <f>SUM(C12/#REF!)-1</f>
        <v>#REF!</v>
      </c>
      <c r="D13" s="15" t="e">
        <f>SUM(D12/C12)-1</f>
        <v>#DIV/0!</v>
      </c>
      <c r="E13" s="15" t="e">
        <f>SUM(E12/D12)-1</f>
        <v>#DIV/0!</v>
      </c>
      <c r="F13" s="15" t="e">
        <f>SUM(F12/E12)-1</f>
        <v>#DIV/0!</v>
      </c>
      <c r="G13" s="11"/>
      <c r="H13" s="99"/>
      <c r="I13" s="99"/>
      <c r="J13" s="99"/>
      <c r="K13" s="99"/>
      <c r="L13" s="15" t="e">
        <f t="shared" ref="L13:S13" si="17">SUM(L12/H12)-1</f>
        <v>#DIV/0!</v>
      </c>
      <c r="M13" s="15" t="e">
        <f t="shared" si="17"/>
        <v>#DIV/0!</v>
      </c>
      <c r="N13" s="15" t="e">
        <f t="shared" si="17"/>
        <v>#DIV/0!</v>
      </c>
      <c r="O13" s="15" t="e">
        <f t="shared" si="17"/>
        <v>#DIV/0!</v>
      </c>
      <c r="P13" s="15" t="e">
        <f t="shared" si="17"/>
        <v>#DIV/0!</v>
      </c>
      <c r="Q13" s="15" t="e">
        <f t="shared" si="17"/>
        <v>#DIV/0!</v>
      </c>
      <c r="R13" s="15" t="e">
        <f t="shared" si="17"/>
        <v>#DIV/0!</v>
      </c>
      <c r="S13" s="15" t="e">
        <f t="shared" si="17"/>
        <v>#DIV/0!</v>
      </c>
      <c r="T13" s="15" t="e">
        <f t="shared" ref="T13" si="18">SUM(T12/P12)-1</f>
        <v>#DIV/0!</v>
      </c>
      <c r="U13" s="5"/>
      <c r="V13" s="99"/>
      <c r="W13" s="99"/>
      <c r="X13" s="99"/>
      <c r="Y13" s="99"/>
      <c r="Z13" s="15" t="e">
        <f t="shared" ref="Z13:AE13" si="19">SUM(Z12/V12)-1</f>
        <v>#DIV/0!</v>
      </c>
      <c r="AA13" s="15" t="e">
        <f t="shared" si="19"/>
        <v>#DIV/0!</v>
      </c>
      <c r="AB13" s="15" t="e">
        <f t="shared" si="19"/>
        <v>#DIV/0!</v>
      </c>
      <c r="AC13" s="15" t="e">
        <f t="shared" si="19"/>
        <v>#DIV/0!</v>
      </c>
      <c r="AD13" s="15" t="e">
        <f t="shared" si="19"/>
        <v>#DIV/0!</v>
      </c>
      <c r="AE13" s="15" t="e">
        <f t="shared" si="19"/>
        <v>#DIV/0!</v>
      </c>
      <c r="AG13" s="110" t="e">
        <f>SUM(AE13-AA13)*10000</f>
        <v>#DIV/0!</v>
      </c>
    </row>
    <row r="14" spans="2:33" ht="12.75" customHeight="1">
      <c r="B14" s="14" t="s">
        <v>29</v>
      </c>
      <c r="C14" s="15" t="s">
        <v>30</v>
      </c>
      <c r="D14" s="15" t="s">
        <v>30</v>
      </c>
      <c r="E14" s="15" t="s">
        <v>30</v>
      </c>
      <c r="F14" s="15" t="s">
        <v>30</v>
      </c>
      <c r="G14" s="11"/>
      <c r="H14" s="99"/>
      <c r="I14" s="15" t="e">
        <f>SUM(I12/H12)-1</f>
        <v>#DIV/0!</v>
      </c>
      <c r="J14" s="15" t="e">
        <f>SUM(J12/I12)-1</f>
        <v>#DIV/0!</v>
      </c>
      <c r="K14" s="15" t="e">
        <f>SUM(K12/J12)-1</f>
        <v>#DIV/0!</v>
      </c>
      <c r="L14" s="15" t="e">
        <f>SUM(L12/K12)-1</f>
        <v>#DIV/0!</v>
      </c>
      <c r="M14" s="15" t="e">
        <f t="shared" ref="M14:S14" si="20">SUM(M12/L12)-1</f>
        <v>#DIV/0!</v>
      </c>
      <c r="N14" s="15" t="e">
        <f t="shared" si="20"/>
        <v>#DIV/0!</v>
      </c>
      <c r="O14" s="15" t="e">
        <f t="shared" si="20"/>
        <v>#DIV/0!</v>
      </c>
      <c r="P14" s="15" t="e">
        <f t="shared" si="20"/>
        <v>#DIV/0!</v>
      </c>
      <c r="Q14" s="15" t="e">
        <f t="shared" si="20"/>
        <v>#DIV/0!</v>
      </c>
      <c r="R14" s="15" t="e">
        <f t="shared" si="20"/>
        <v>#DIV/0!</v>
      </c>
      <c r="S14" s="15" t="e">
        <f t="shared" si="20"/>
        <v>#DIV/0!</v>
      </c>
      <c r="T14" s="15" t="e">
        <f t="shared" ref="T14" si="21">SUM(T12/S12)-1</f>
        <v>#DIV/0!</v>
      </c>
      <c r="U14" s="5"/>
      <c r="V14" s="15" t="s">
        <v>30</v>
      </c>
      <c r="W14" s="15" t="s">
        <v>30</v>
      </c>
      <c r="X14" s="15" t="s">
        <v>30</v>
      </c>
      <c r="Y14" s="15" t="s">
        <v>30</v>
      </c>
      <c r="Z14" s="15" t="s">
        <v>30</v>
      </c>
      <c r="AA14" s="15" t="s">
        <v>30</v>
      </c>
      <c r="AB14" s="15" t="s">
        <v>30</v>
      </c>
      <c r="AC14" s="15" t="s">
        <v>30</v>
      </c>
      <c r="AD14" s="15" t="s">
        <v>30</v>
      </c>
      <c r="AE14" s="15" t="s">
        <v>30</v>
      </c>
      <c r="AG14" s="107"/>
    </row>
    <row r="15" spans="2:33" ht="5.0999999999999996" customHeight="1">
      <c r="B15" s="16"/>
      <c r="C15" s="17"/>
      <c r="D15" s="17"/>
      <c r="E15" s="17"/>
      <c r="F15" s="17"/>
      <c r="G15" s="18"/>
      <c r="H15" s="19"/>
      <c r="I15" s="19"/>
      <c r="J15" s="19"/>
      <c r="K15" s="19"/>
      <c r="L15" s="19"/>
      <c r="M15" s="19"/>
      <c r="N15" s="19"/>
      <c r="O15" s="20"/>
      <c r="P15" s="19"/>
      <c r="Q15" s="19"/>
      <c r="R15" s="19"/>
      <c r="S15" s="19"/>
      <c r="T15" s="19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G15" s="107"/>
    </row>
    <row r="16" spans="2:33" ht="12.75" customHeight="1">
      <c r="B16" s="21" t="s">
        <v>31</v>
      </c>
      <c r="C16" s="80"/>
      <c r="D16" s="80"/>
      <c r="E16" s="80"/>
      <c r="F16" s="80"/>
      <c r="G16" s="1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5"/>
      <c r="V16" s="131">
        <f t="shared" ref="V16" si="22">SUM(H16:K16)</f>
        <v>0</v>
      </c>
      <c r="W16" s="131">
        <f t="shared" ref="W16" si="23">SUM(I16:L16)</f>
        <v>0</v>
      </c>
      <c r="X16" s="131">
        <f t="shared" ref="X16" si="24">SUM(J16:M16)</f>
        <v>0</v>
      </c>
      <c r="Y16" s="131">
        <f t="shared" ref="Y16" si="25">SUM(K16:N16)</f>
        <v>0</v>
      </c>
      <c r="Z16" s="131">
        <f t="shared" ref="Z16" si="26">SUM(L16:O16)</f>
        <v>0</v>
      </c>
      <c r="AA16" s="131">
        <f t="shared" ref="AA16" si="27">SUM(M16:P16)</f>
        <v>0</v>
      </c>
      <c r="AB16" s="131">
        <f t="shared" ref="AB16" si="28">SUM(N16:Q16)</f>
        <v>0</v>
      </c>
      <c r="AC16" s="131">
        <f t="shared" ref="AC16" si="29">SUM(O16:R16)</f>
        <v>0</v>
      </c>
      <c r="AD16" s="131">
        <f t="shared" ref="AD16" si="30">SUM(P16:S16)</f>
        <v>0</v>
      </c>
      <c r="AE16" s="131">
        <f>SUM(Q16:T16)</f>
        <v>0</v>
      </c>
      <c r="AG16" s="108" t="e">
        <f>SUM(AE16/AA16)-1</f>
        <v>#DIV/0!</v>
      </c>
    </row>
    <row r="17" spans="2:33" ht="12.75" customHeight="1">
      <c r="B17" s="23" t="s">
        <v>22</v>
      </c>
      <c r="C17" s="24">
        <f t="shared" ref="C17:F17" si="31">SUM(C12+SUM(C16:C16))</f>
        <v>0</v>
      </c>
      <c r="D17" s="24">
        <f t="shared" si="31"/>
        <v>0</v>
      </c>
      <c r="E17" s="24">
        <f t="shared" si="31"/>
        <v>0</v>
      </c>
      <c r="F17" s="24">
        <f t="shared" si="31"/>
        <v>0</v>
      </c>
      <c r="G17" s="5"/>
      <c r="H17" s="24">
        <f>SUM(H12+SUM(H16:H16))</f>
        <v>0</v>
      </c>
      <c r="I17" s="24">
        <f>SUM(I12+SUM(I16:I16))</f>
        <v>0</v>
      </c>
      <c r="J17" s="24">
        <f>SUM(J12+SUM(J16:J16))</f>
        <v>0</v>
      </c>
      <c r="K17" s="24">
        <f>SUM(K12+SUM(K16:K16))</f>
        <v>0</v>
      </c>
      <c r="L17" s="24">
        <f t="shared" ref="L17:Q17" si="32">SUM(L12+SUM(L16:L16))</f>
        <v>0</v>
      </c>
      <c r="M17" s="24">
        <f t="shared" si="32"/>
        <v>0</v>
      </c>
      <c r="N17" s="24">
        <f t="shared" si="32"/>
        <v>0</v>
      </c>
      <c r="O17" s="24">
        <f t="shared" si="32"/>
        <v>0</v>
      </c>
      <c r="P17" s="24">
        <f t="shared" si="32"/>
        <v>0</v>
      </c>
      <c r="Q17" s="24">
        <f t="shared" si="32"/>
        <v>0</v>
      </c>
      <c r="R17" s="24">
        <f t="shared" ref="R17:S17" si="33">SUM(R12+SUM(R16:R16))</f>
        <v>0</v>
      </c>
      <c r="S17" s="24">
        <f t="shared" si="33"/>
        <v>0</v>
      </c>
      <c r="T17" s="24">
        <f t="shared" ref="T17" si="34">SUM(T12+SUM(T16:T16))</f>
        <v>0</v>
      </c>
      <c r="U17" s="5"/>
      <c r="V17" s="24">
        <f t="shared" ref="V17" si="35">SUM(V12+SUM(V16:V16))</f>
        <v>0</v>
      </c>
      <c r="W17" s="24">
        <f t="shared" ref="W17:AE17" si="36">SUM(W12+SUM(W16:W16))</f>
        <v>0</v>
      </c>
      <c r="X17" s="24">
        <f t="shared" si="36"/>
        <v>0</v>
      </c>
      <c r="Y17" s="24">
        <f t="shared" si="36"/>
        <v>0</v>
      </c>
      <c r="Z17" s="24">
        <f t="shared" si="36"/>
        <v>0</v>
      </c>
      <c r="AA17" s="24">
        <f t="shared" si="36"/>
        <v>0</v>
      </c>
      <c r="AB17" s="24">
        <f t="shared" si="36"/>
        <v>0</v>
      </c>
      <c r="AC17" s="24">
        <f t="shared" si="36"/>
        <v>0</v>
      </c>
      <c r="AD17" s="24">
        <f t="shared" si="36"/>
        <v>0</v>
      </c>
      <c r="AE17" s="24">
        <f t="shared" si="36"/>
        <v>0</v>
      </c>
      <c r="AG17" s="109" t="e">
        <f>SUM(AE17/AA17)-1</f>
        <v>#DIV/0!</v>
      </c>
    </row>
    <row r="18" spans="2:33" ht="12.75" customHeight="1">
      <c r="B18" s="14" t="s">
        <v>32</v>
      </c>
      <c r="C18" s="15" t="e">
        <f t="shared" ref="C18:F18" si="37">C17/C12</f>
        <v>#DIV/0!</v>
      </c>
      <c r="D18" s="15" t="e">
        <f t="shared" si="37"/>
        <v>#DIV/0!</v>
      </c>
      <c r="E18" s="15" t="e">
        <f t="shared" si="37"/>
        <v>#DIV/0!</v>
      </c>
      <c r="F18" s="15" t="e">
        <f t="shared" si="37"/>
        <v>#DIV/0!</v>
      </c>
      <c r="G18" s="25"/>
      <c r="H18" s="15" t="e">
        <f>H17/H12</f>
        <v>#DIV/0!</v>
      </c>
      <c r="I18" s="15" t="e">
        <f>I17/I12</f>
        <v>#DIV/0!</v>
      </c>
      <c r="J18" s="15" t="e">
        <f>J17/J12</f>
        <v>#DIV/0!</v>
      </c>
      <c r="K18" s="15" t="e">
        <f>K17/K12</f>
        <v>#DIV/0!</v>
      </c>
      <c r="L18" s="15" t="e">
        <f t="shared" ref="L18:Q18" si="38">L17/L12</f>
        <v>#DIV/0!</v>
      </c>
      <c r="M18" s="15" t="e">
        <f t="shared" si="38"/>
        <v>#DIV/0!</v>
      </c>
      <c r="N18" s="15" t="e">
        <f t="shared" si="38"/>
        <v>#DIV/0!</v>
      </c>
      <c r="O18" s="15" t="e">
        <f t="shared" si="38"/>
        <v>#DIV/0!</v>
      </c>
      <c r="P18" s="15" t="e">
        <f t="shared" si="38"/>
        <v>#DIV/0!</v>
      </c>
      <c r="Q18" s="15" t="e">
        <f t="shared" si="38"/>
        <v>#DIV/0!</v>
      </c>
      <c r="R18" s="15" t="e">
        <f t="shared" ref="R18:S18" si="39">R17/R12</f>
        <v>#DIV/0!</v>
      </c>
      <c r="S18" s="15" t="e">
        <f t="shared" si="39"/>
        <v>#DIV/0!</v>
      </c>
      <c r="T18" s="15" t="e">
        <f t="shared" ref="T18" si="40">T17/T12</f>
        <v>#DIV/0!</v>
      </c>
      <c r="U18" s="26"/>
      <c r="V18" s="15" t="e">
        <f t="shared" ref="V18" si="41">V17/V12</f>
        <v>#DIV/0!</v>
      </c>
      <c r="W18" s="15" t="e">
        <f t="shared" ref="W18:AE18" si="42">W17/W12</f>
        <v>#DIV/0!</v>
      </c>
      <c r="X18" s="15" t="e">
        <f t="shared" si="42"/>
        <v>#DIV/0!</v>
      </c>
      <c r="Y18" s="15" t="e">
        <f t="shared" si="42"/>
        <v>#DIV/0!</v>
      </c>
      <c r="Z18" s="15" t="e">
        <f t="shared" si="42"/>
        <v>#DIV/0!</v>
      </c>
      <c r="AA18" s="15" t="e">
        <f t="shared" si="42"/>
        <v>#DIV/0!</v>
      </c>
      <c r="AB18" s="15" t="e">
        <f t="shared" si="42"/>
        <v>#DIV/0!</v>
      </c>
      <c r="AC18" s="15" t="e">
        <f t="shared" si="42"/>
        <v>#DIV/0!</v>
      </c>
      <c r="AD18" s="15" t="e">
        <f t="shared" si="42"/>
        <v>#DIV/0!</v>
      </c>
      <c r="AE18" s="15" t="e">
        <f t="shared" si="42"/>
        <v>#DIV/0!</v>
      </c>
      <c r="AG18" s="110" t="e">
        <f>SUM(AE18-AA18)*10000</f>
        <v>#DIV/0!</v>
      </c>
    </row>
    <row r="19" spans="2:33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5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G19" s="107"/>
    </row>
    <row r="20" spans="2:33" ht="12.75" customHeight="1">
      <c r="B20" s="21" t="s">
        <v>116</v>
      </c>
      <c r="C20" s="132"/>
      <c r="D20" s="132"/>
      <c r="E20" s="132"/>
      <c r="F20" s="132"/>
      <c r="G20" s="80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5"/>
      <c r="V20" s="131">
        <f t="shared" ref="V20:V24" si="43">SUM(H20:K20)</f>
        <v>0</v>
      </c>
      <c r="W20" s="131">
        <f t="shared" ref="W20:W24" si="44">SUM(I20:L20)</f>
        <v>0</v>
      </c>
      <c r="X20" s="131">
        <f t="shared" ref="X20:X24" si="45">SUM(J20:M20)</f>
        <v>0</v>
      </c>
      <c r="Y20" s="131">
        <f t="shared" ref="Y20:Y24" si="46">SUM(K20:N20)</f>
        <v>0</v>
      </c>
      <c r="Z20" s="131">
        <f t="shared" ref="Z20:Z24" si="47">SUM(L20:O20)</f>
        <v>0</v>
      </c>
      <c r="AA20" s="131">
        <f t="shared" ref="AA20:AA24" si="48">SUM(M20:P20)</f>
        <v>0</v>
      </c>
      <c r="AB20" s="131">
        <f t="shared" ref="AB20:AB24" si="49">SUM(N20:Q20)</f>
        <v>0</v>
      </c>
      <c r="AC20" s="131">
        <f t="shared" ref="AC20:AC24" si="50">SUM(O20:R20)</f>
        <v>0</v>
      </c>
      <c r="AD20" s="131">
        <f t="shared" ref="AD20:AD24" si="51">SUM(P20:S20)</f>
        <v>0</v>
      </c>
      <c r="AE20" s="131">
        <f t="shared" ref="AE20:AE24" si="52">SUM(Q20:T20)</f>
        <v>0</v>
      </c>
      <c r="AG20" s="108" t="e">
        <f>SUM(AE20/AA20)-1</f>
        <v>#DIV/0!</v>
      </c>
    </row>
    <row r="21" spans="2:33" ht="12.75" customHeight="1">
      <c r="B21" s="21" t="s">
        <v>116</v>
      </c>
      <c r="C21" s="132"/>
      <c r="D21" s="132"/>
      <c r="E21" s="132"/>
      <c r="F21" s="132"/>
      <c r="G21" s="80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5"/>
      <c r="V21" s="131">
        <f t="shared" ref="V21:V23" si="53">SUM(H21:K21)</f>
        <v>0</v>
      </c>
      <c r="W21" s="131">
        <f t="shared" ref="W21:W23" si="54">SUM(I21:L21)</f>
        <v>0</v>
      </c>
      <c r="X21" s="131">
        <f t="shared" ref="X21:X23" si="55">SUM(J21:M21)</f>
        <v>0</v>
      </c>
      <c r="Y21" s="131">
        <f t="shared" ref="Y21:Y23" si="56">SUM(K21:N21)</f>
        <v>0</v>
      </c>
      <c r="Z21" s="131">
        <f t="shared" ref="Z21:Z23" si="57">SUM(L21:O21)</f>
        <v>0</v>
      </c>
      <c r="AA21" s="131">
        <f t="shared" ref="AA21:AA23" si="58">SUM(M21:P21)</f>
        <v>0</v>
      </c>
      <c r="AB21" s="131">
        <f t="shared" ref="AB21:AB23" si="59">SUM(N21:Q21)</f>
        <v>0</v>
      </c>
      <c r="AC21" s="131">
        <f t="shared" ref="AC21:AC23" si="60">SUM(O21:R21)</f>
        <v>0</v>
      </c>
      <c r="AD21" s="131">
        <f t="shared" ref="AD21:AD23" si="61">SUM(P21:S21)</f>
        <v>0</v>
      </c>
      <c r="AE21" s="131">
        <f t="shared" ref="AE21:AE23" si="62">SUM(Q21:T21)</f>
        <v>0</v>
      </c>
      <c r="AG21" s="108" t="e">
        <f t="shared" ref="AG21:AG23" si="63">SUM(AE21/AA21)-1</f>
        <v>#DIV/0!</v>
      </c>
    </row>
    <row r="22" spans="2:33" ht="12.75" customHeight="1">
      <c r="B22" s="21" t="s">
        <v>116</v>
      </c>
      <c r="C22" s="132"/>
      <c r="D22" s="132"/>
      <c r="E22" s="132"/>
      <c r="F22" s="132"/>
      <c r="G22" s="80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5"/>
      <c r="V22" s="131">
        <f t="shared" si="53"/>
        <v>0</v>
      </c>
      <c r="W22" s="131">
        <f t="shared" si="54"/>
        <v>0</v>
      </c>
      <c r="X22" s="131">
        <f t="shared" si="55"/>
        <v>0</v>
      </c>
      <c r="Y22" s="131">
        <f t="shared" si="56"/>
        <v>0</v>
      </c>
      <c r="Z22" s="131">
        <f t="shared" si="57"/>
        <v>0</v>
      </c>
      <c r="AA22" s="131">
        <f t="shared" si="58"/>
        <v>0</v>
      </c>
      <c r="AB22" s="131">
        <f t="shared" si="59"/>
        <v>0</v>
      </c>
      <c r="AC22" s="131">
        <f t="shared" si="60"/>
        <v>0</v>
      </c>
      <c r="AD22" s="131">
        <f t="shared" si="61"/>
        <v>0</v>
      </c>
      <c r="AE22" s="131">
        <f t="shared" si="62"/>
        <v>0</v>
      </c>
      <c r="AG22" s="108" t="e">
        <f t="shared" si="63"/>
        <v>#DIV/0!</v>
      </c>
    </row>
    <row r="23" spans="2:33" ht="12.75" customHeight="1">
      <c r="B23" s="21" t="s">
        <v>116</v>
      </c>
      <c r="C23" s="132"/>
      <c r="D23" s="132"/>
      <c r="E23" s="132"/>
      <c r="F23" s="132"/>
      <c r="G23" s="80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5"/>
      <c r="V23" s="131">
        <f t="shared" si="53"/>
        <v>0</v>
      </c>
      <c r="W23" s="131">
        <f t="shared" si="54"/>
        <v>0</v>
      </c>
      <c r="X23" s="131">
        <f t="shared" si="55"/>
        <v>0</v>
      </c>
      <c r="Y23" s="131">
        <f t="shared" si="56"/>
        <v>0</v>
      </c>
      <c r="Z23" s="131">
        <f t="shared" si="57"/>
        <v>0</v>
      </c>
      <c r="AA23" s="131">
        <f t="shared" si="58"/>
        <v>0</v>
      </c>
      <c r="AB23" s="131">
        <f t="shared" si="59"/>
        <v>0</v>
      </c>
      <c r="AC23" s="131">
        <f t="shared" si="60"/>
        <v>0</v>
      </c>
      <c r="AD23" s="131">
        <f t="shared" si="61"/>
        <v>0</v>
      </c>
      <c r="AE23" s="131">
        <f t="shared" si="62"/>
        <v>0</v>
      </c>
      <c r="AG23" s="108" t="e">
        <f t="shared" si="63"/>
        <v>#DIV/0!</v>
      </c>
    </row>
    <row r="24" spans="2:33" ht="12.75" customHeight="1">
      <c r="B24" s="21" t="s">
        <v>116</v>
      </c>
      <c r="C24" s="132"/>
      <c r="D24" s="132"/>
      <c r="E24" s="132"/>
      <c r="F24" s="132"/>
      <c r="G24" s="80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5"/>
      <c r="V24" s="131">
        <f t="shared" si="43"/>
        <v>0</v>
      </c>
      <c r="W24" s="131">
        <f t="shared" si="44"/>
        <v>0</v>
      </c>
      <c r="X24" s="131">
        <f t="shared" si="45"/>
        <v>0</v>
      </c>
      <c r="Y24" s="131">
        <f t="shared" si="46"/>
        <v>0</v>
      </c>
      <c r="Z24" s="131">
        <f t="shared" si="47"/>
        <v>0</v>
      </c>
      <c r="AA24" s="131">
        <f t="shared" si="48"/>
        <v>0</v>
      </c>
      <c r="AB24" s="131">
        <f t="shared" si="49"/>
        <v>0</v>
      </c>
      <c r="AC24" s="131">
        <f t="shared" si="50"/>
        <v>0</v>
      </c>
      <c r="AD24" s="131">
        <f t="shared" si="51"/>
        <v>0</v>
      </c>
      <c r="AE24" s="131">
        <f t="shared" si="52"/>
        <v>0</v>
      </c>
      <c r="AG24" s="108" t="e">
        <f>SUM(AE24/AA24)-1</f>
        <v>#DIV/0!</v>
      </c>
    </row>
    <row r="25" spans="2:33" ht="12.75" customHeight="1">
      <c r="B25" s="12" t="s">
        <v>33</v>
      </c>
      <c r="C25" s="13">
        <f>SUM(C17+SUM(C20:C24))</f>
        <v>0</v>
      </c>
      <c r="D25" s="13">
        <f>SUM(D17+SUM(D20:D24))</f>
        <v>0</v>
      </c>
      <c r="E25" s="13">
        <f>SUM(E17+SUM(E20:E24))</f>
        <v>0</v>
      </c>
      <c r="F25" s="13">
        <f>SUM(F17+SUM(F20:F24))</f>
        <v>0</v>
      </c>
      <c r="G25" s="11"/>
      <c r="H25" s="13">
        <f t="shared" ref="H25:S25" si="64">SUM(H17+SUM(H20:H24))</f>
        <v>0</v>
      </c>
      <c r="I25" s="13">
        <f t="shared" si="64"/>
        <v>0</v>
      </c>
      <c r="J25" s="13">
        <f t="shared" si="64"/>
        <v>0</v>
      </c>
      <c r="K25" s="13">
        <f t="shared" si="64"/>
        <v>0</v>
      </c>
      <c r="L25" s="13">
        <f t="shared" si="64"/>
        <v>0</v>
      </c>
      <c r="M25" s="13">
        <f t="shared" si="64"/>
        <v>0</v>
      </c>
      <c r="N25" s="13">
        <f t="shared" si="64"/>
        <v>0</v>
      </c>
      <c r="O25" s="13">
        <f t="shared" si="64"/>
        <v>0</v>
      </c>
      <c r="P25" s="13">
        <f t="shared" si="64"/>
        <v>0</v>
      </c>
      <c r="Q25" s="13">
        <f t="shared" si="64"/>
        <v>0</v>
      </c>
      <c r="R25" s="13">
        <f t="shared" si="64"/>
        <v>0</v>
      </c>
      <c r="S25" s="13">
        <f t="shared" si="64"/>
        <v>0</v>
      </c>
      <c r="T25" s="13">
        <f t="shared" ref="T25" si="65">SUM(T17+SUM(T20:T24))</f>
        <v>0</v>
      </c>
      <c r="U25" s="5"/>
      <c r="V25" s="13">
        <f t="shared" ref="V25:AE25" si="66">SUM(V17+SUM(V20:V24))</f>
        <v>0</v>
      </c>
      <c r="W25" s="13">
        <f t="shared" si="66"/>
        <v>0</v>
      </c>
      <c r="X25" s="13">
        <f t="shared" si="66"/>
        <v>0</v>
      </c>
      <c r="Y25" s="13">
        <f t="shared" si="66"/>
        <v>0</v>
      </c>
      <c r="Z25" s="13">
        <f t="shared" si="66"/>
        <v>0</v>
      </c>
      <c r="AA25" s="13">
        <f t="shared" si="66"/>
        <v>0</v>
      </c>
      <c r="AB25" s="13">
        <f t="shared" si="66"/>
        <v>0</v>
      </c>
      <c r="AC25" s="13">
        <f t="shared" si="66"/>
        <v>0</v>
      </c>
      <c r="AD25" s="13">
        <f t="shared" si="66"/>
        <v>0</v>
      </c>
      <c r="AE25" s="13">
        <f t="shared" si="66"/>
        <v>0</v>
      </c>
      <c r="AG25" s="109" t="e">
        <f>SUM(AE25/AA25)-1</f>
        <v>#DIV/0!</v>
      </c>
    </row>
    <row r="26" spans="2:33" ht="12.75" customHeight="1">
      <c r="B26" s="14" t="s">
        <v>34</v>
      </c>
      <c r="C26" s="15" t="e">
        <f>C25/C12</f>
        <v>#DIV/0!</v>
      </c>
      <c r="D26" s="15" t="e">
        <f>D25/D12</f>
        <v>#DIV/0!</v>
      </c>
      <c r="E26" s="15" t="e">
        <f>E25/E12</f>
        <v>#DIV/0!</v>
      </c>
      <c r="F26" s="15" t="e">
        <f>F25/F12</f>
        <v>#DIV/0!</v>
      </c>
      <c r="G26" s="25"/>
      <c r="H26" s="15" t="e">
        <f t="shared" ref="H26:S26" si="67">H25/H12</f>
        <v>#DIV/0!</v>
      </c>
      <c r="I26" s="15" t="e">
        <f t="shared" si="67"/>
        <v>#DIV/0!</v>
      </c>
      <c r="J26" s="15" t="e">
        <f t="shared" si="67"/>
        <v>#DIV/0!</v>
      </c>
      <c r="K26" s="15" t="e">
        <f t="shared" si="67"/>
        <v>#DIV/0!</v>
      </c>
      <c r="L26" s="15" t="e">
        <f t="shared" si="67"/>
        <v>#DIV/0!</v>
      </c>
      <c r="M26" s="15" t="e">
        <f t="shared" si="67"/>
        <v>#DIV/0!</v>
      </c>
      <c r="N26" s="15" t="e">
        <f t="shared" si="67"/>
        <v>#DIV/0!</v>
      </c>
      <c r="O26" s="15" t="e">
        <f t="shared" si="67"/>
        <v>#DIV/0!</v>
      </c>
      <c r="P26" s="15" t="e">
        <f t="shared" si="67"/>
        <v>#DIV/0!</v>
      </c>
      <c r="Q26" s="15" t="e">
        <f t="shared" si="67"/>
        <v>#DIV/0!</v>
      </c>
      <c r="R26" s="15" t="e">
        <f t="shared" si="67"/>
        <v>#DIV/0!</v>
      </c>
      <c r="S26" s="15" t="e">
        <f t="shared" si="67"/>
        <v>#DIV/0!</v>
      </c>
      <c r="T26" s="15" t="e">
        <f t="shared" ref="T26" si="68">T25/T12</f>
        <v>#DIV/0!</v>
      </c>
      <c r="U26" s="26"/>
      <c r="V26" s="15" t="e">
        <f t="shared" ref="V26:AE26" si="69">V25/V12</f>
        <v>#DIV/0!</v>
      </c>
      <c r="W26" s="15" t="e">
        <f t="shared" si="69"/>
        <v>#DIV/0!</v>
      </c>
      <c r="X26" s="15" t="e">
        <f t="shared" si="69"/>
        <v>#DIV/0!</v>
      </c>
      <c r="Y26" s="15" t="e">
        <f t="shared" si="69"/>
        <v>#DIV/0!</v>
      </c>
      <c r="Z26" s="15" t="e">
        <f t="shared" si="69"/>
        <v>#DIV/0!</v>
      </c>
      <c r="AA26" s="15" t="e">
        <f t="shared" si="69"/>
        <v>#DIV/0!</v>
      </c>
      <c r="AB26" s="15" t="e">
        <f t="shared" si="69"/>
        <v>#DIV/0!</v>
      </c>
      <c r="AC26" s="15" t="e">
        <f t="shared" si="69"/>
        <v>#DIV/0!</v>
      </c>
      <c r="AD26" s="15" t="e">
        <f t="shared" si="69"/>
        <v>#DIV/0!</v>
      </c>
      <c r="AE26" s="15" t="e">
        <f t="shared" si="69"/>
        <v>#DIV/0!</v>
      </c>
      <c r="AG26" s="110" t="e">
        <f>SUM(AE26-AA26)*10000</f>
        <v>#DIV/0!</v>
      </c>
    </row>
    <row r="27" spans="2:33" ht="5.0999999999999996" customHeight="1">
      <c r="AG27" s="107"/>
    </row>
    <row r="28" spans="2:33" ht="12.75" customHeight="1">
      <c r="B28" s="29" t="s">
        <v>101</v>
      </c>
      <c r="C28" s="132"/>
      <c r="D28" s="132"/>
      <c r="E28" s="132"/>
      <c r="F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V28" s="131">
        <f t="shared" ref="V28" si="70">SUM(H28:K28)</f>
        <v>0</v>
      </c>
      <c r="W28" s="131">
        <f t="shared" ref="W28" si="71">SUM(I28:L28)</f>
        <v>0</v>
      </c>
      <c r="X28" s="131">
        <f t="shared" ref="X28" si="72">SUM(J28:M28)</f>
        <v>0</v>
      </c>
      <c r="Y28" s="131">
        <f t="shared" ref="Y28" si="73">SUM(K28:N28)</f>
        <v>0</v>
      </c>
      <c r="Z28" s="131">
        <f t="shared" ref="Z28" si="74">SUM(L28:O28)</f>
        <v>0</v>
      </c>
      <c r="AA28" s="131">
        <f t="shared" ref="AA28" si="75">SUM(M28:P28)</f>
        <v>0</v>
      </c>
      <c r="AB28" s="131">
        <f t="shared" ref="AB28" si="76">SUM(N28:Q28)</f>
        <v>0</v>
      </c>
      <c r="AC28" s="131">
        <f t="shared" ref="AC28" si="77">SUM(O28:R28)</f>
        <v>0</v>
      </c>
      <c r="AD28" s="131">
        <f t="shared" ref="AD28" si="78">SUM(P28:S28)</f>
        <v>0</v>
      </c>
      <c r="AE28" s="131">
        <f>SUM(Q28:T28)</f>
        <v>0</v>
      </c>
      <c r="AG28" s="108" t="e">
        <f>SUM(AE28/AA28)-1</f>
        <v>#DIV/0!</v>
      </c>
    </row>
    <row r="29" spans="2:33" ht="12.75" customHeight="1">
      <c r="B29" s="23" t="s">
        <v>11</v>
      </c>
      <c r="C29" s="24">
        <f t="shared" ref="C29:F29" si="79">SUM(C25+SUM(C28:C28))</f>
        <v>0</v>
      </c>
      <c r="D29" s="24">
        <f t="shared" si="79"/>
        <v>0</v>
      </c>
      <c r="E29" s="24">
        <f t="shared" si="79"/>
        <v>0</v>
      </c>
      <c r="F29" s="24">
        <f t="shared" si="79"/>
        <v>0</v>
      </c>
      <c r="H29" s="24">
        <f t="shared" ref="H29:Q29" si="80">SUM(H25+SUM(H28:H28))</f>
        <v>0</v>
      </c>
      <c r="I29" s="24">
        <f t="shared" si="80"/>
        <v>0</v>
      </c>
      <c r="J29" s="24">
        <f t="shared" si="80"/>
        <v>0</v>
      </c>
      <c r="K29" s="24">
        <f t="shared" si="80"/>
        <v>0</v>
      </c>
      <c r="L29" s="24">
        <f t="shared" si="80"/>
        <v>0</v>
      </c>
      <c r="M29" s="24">
        <f t="shared" si="80"/>
        <v>0</v>
      </c>
      <c r="N29" s="24">
        <f t="shared" si="80"/>
        <v>0</v>
      </c>
      <c r="O29" s="24">
        <f t="shared" si="80"/>
        <v>0</v>
      </c>
      <c r="P29" s="24">
        <f t="shared" si="80"/>
        <v>0</v>
      </c>
      <c r="Q29" s="24">
        <f t="shared" si="80"/>
        <v>0</v>
      </c>
      <c r="R29" s="24">
        <f t="shared" ref="R29:S29" si="81">SUM(R25+SUM(R28:R28))</f>
        <v>0</v>
      </c>
      <c r="S29" s="24">
        <f t="shared" si="81"/>
        <v>0</v>
      </c>
      <c r="T29" s="24">
        <f t="shared" ref="T29" si="82">SUM(T25+SUM(T28:T28))</f>
        <v>0</v>
      </c>
      <c r="V29" s="24">
        <f t="shared" ref="V29" si="83">SUM(V25+SUM(V28:V28))</f>
        <v>0</v>
      </c>
      <c r="W29" s="24">
        <f t="shared" ref="W29:AE29" si="84">SUM(W25+SUM(W28:W28))</f>
        <v>0</v>
      </c>
      <c r="X29" s="24">
        <f t="shared" si="84"/>
        <v>0</v>
      </c>
      <c r="Y29" s="24">
        <f t="shared" si="84"/>
        <v>0</v>
      </c>
      <c r="Z29" s="24">
        <f t="shared" si="84"/>
        <v>0</v>
      </c>
      <c r="AA29" s="24">
        <f t="shared" si="84"/>
        <v>0</v>
      </c>
      <c r="AB29" s="24">
        <f t="shared" si="84"/>
        <v>0</v>
      </c>
      <c r="AC29" s="24">
        <f t="shared" si="84"/>
        <v>0</v>
      </c>
      <c r="AD29" s="24">
        <f t="shared" si="84"/>
        <v>0</v>
      </c>
      <c r="AE29" s="24">
        <f t="shared" si="84"/>
        <v>0</v>
      </c>
      <c r="AG29" s="109" t="e">
        <f>SUM(AE29/AA29)-1</f>
        <v>#DIV/0!</v>
      </c>
    </row>
    <row r="30" spans="2:33" ht="12.75" customHeight="1">
      <c r="B30" s="14" t="s">
        <v>35</v>
      </c>
      <c r="C30" s="15" t="e">
        <f>C29/C12</f>
        <v>#DIV/0!</v>
      </c>
      <c r="D30" s="15" t="e">
        <f>D29/D12</f>
        <v>#DIV/0!</v>
      </c>
      <c r="E30" s="15" t="e">
        <f>E29/E12</f>
        <v>#DIV/0!</v>
      </c>
      <c r="F30" s="15" t="e">
        <f>F29/F12</f>
        <v>#DIV/0!</v>
      </c>
      <c r="H30" s="15" t="e">
        <f t="shared" ref="H30:S30" si="85">H29/H12</f>
        <v>#DIV/0!</v>
      </c>
      <c r="I30" s="15" t="e">
        <f t="shared" si="85"/>
        <v>#DIV/0!</v>
      </c>
      <c r="J30" s="15" t="e">
        <f t="shared" si="85"/>
        <v>#DIV/0!</v>
      </c>
      <c r="K30" s="15" t="e">
        <f t="shared" si="85"/>
        <v>#DIV/0!</v>
      </c>
      <c r="L30" s="15" t="e">
        <f t="shared" si="85"/>
        <v>#DIV/0!</v>
      </c>
      <c r="M30" s="15" t="e">
        <f t="shared" si="85"/>
        <v>#DIV/0!</v>
      </c>
      <c r="N30" s="15" t="e">
        <f t="shared" si="85"/>
        <v>#DIV/0!</v>
      </c>
      <c r="O30" s="15" t="e">
        <f t="shared" si="85"/>
        <v>#DIV/0!</v>
      </c>
      <c r="P30" s="15" t="e">
        <f t="shared" si="85"/>
        <v>#DIV/0!</v>
      </c>
      <c r="Q30" s="15" t="e">
        <f t="shared" si="85"/>
        <v>#DIV/0!</v>
      </c>
      <c r="R30" s="15" t="e">
        <f t="shared" si="85"/>
        <v>#DIV/0!</v>
      </c>
      <c r="S30" s="15" t="e">
        <f t="shared" si="85"/>
        <v>#DIV/0!</v>
      </c>
      <c r="T30" s="15" t="e">
        <f t="shared" ref="T30" si="86">T29/T12</f>
        <v>#DIV/0!</v>
      </c>
      <c r="V30" s="15" t="e">
        <f t="shared" ref="V30:AE30" si="87">V29/V12</f>
        <v>#DIV/0!</v>
      </c>
      <c r="W30" s="15" t="e">
        <f t="shared" si="87"/>
        <v>#DIV/0!</v>
      </c>
      <c r="X30" s="15" t="e">
        <f t="shared" si="87"/>
        <v>#DIV/0!</v>
      </c>
      <c r="Y30" s="15" t="e">
        <f t="shared" si="87"/>
        <v>#DIV/0!</v>
      </c>
      <c r="Z30" s="15" t="e">
        <f t="shared" si="87"/>
        <v>#DIV/0!</v>
      </c>
      <c r="AA30" s="15" t="e">
        <f t="shared" si="87"/>
        <v>#DIV/0!</v>
      </c>
      <c r="AB30" s="15" t="e">
        <f t="shared" si="87"/>
        <v>#DIV/0!</v>
      </c>
      <c r="AC30" s="15" t="e">
        <f t="shared" si="87"/>
        <v>#DIV/0!</v>
      </c>
      <c r="AD30" s="15" t="e">
        <f t="shared" si="87"/>
        <v>#DIV/0!</v>
      </c>
      <c r="AE30" s="15" t="e">
        <f t="shared" si="87"/>
        <v>#DIV/0!</v>
      </c>
      <c r="AG30" s="110" t="e">
        <f>SUM(AE30-AA30)*10000</f>
        <v>#DIV/0!</v>
      </c>
    </row>
    <row r="31" spans="2:33" ht="5.0999999999999996" customHeight="1">
      <c r="AG31" s="107"/>
    </row>
    <row r="32" spans="2:33" ht="12.75" customHeight="1">
      <c r="B32" s="29" t="s">
        <v>102</v>
      </c>
      <c r="C32" s="132"/>
      <c r="D32" s="132"/>
      <c r="E32" s="132"/>
      <c r="F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V32" s="131">
        <f t="shared" ref="V32:V33" si="88">SUM(H32:K32)</f>
        <v>0</v>
      </c>
      <c r="W32" s="131">
        <f t="shared" ref="W32:W33" si="89">SUM(I32:L32)</f>
        <v>0</v>
      </c>
      <c r="X32" s="131">
        <f t="shared" ref="X32:X33" si="90">SUM(J32:M32)</f>
        <v>0</v>
      </c>
      <c r="Y32" s="131">
        <f t="shared" ref="Y32:Y33" si="91">SUM(K32:N32)</f>
        <v>0</v>
      </c>
      <c r="Z32" s="131">
        <f t="shared" ref="Z32:Z33" si="92">SUM(L32:O32)</f>
        <v>0</v>
      </c>
      <c r="AA32" s="131">
        <f t="shared" ref="AA32:AA33" si="93">SUM(M32:P32)</f>
        <v>0</v>
      </c>
      <c r="AB32" s="131">
        <f t="shared" ref="AB32:AB33" si="94">SUM(N32:Q32)</f>
        <v>0</v>
      </c>
      <c r="AC32" s="131">
        <f t="shared" ref="AC32:AC33" si="95">SUM(O32:R32)</f>
        <v>0</v>
      </c>
      <c r="AD32" s="131">
        <f t="shared" ref="AD32:AD33" si="96">SUM(P32:S32)</f>
        <v>0</v>
      </c>
      <c r="AE32" s="131">
        <f t="shared" ref="AE32:AE33" si="97">SUM(Q32:T32)</f>
        <v>0</v>
      </c>
      <c r="AG32" s="108" t="e">
        <f>SUM(AE32/AA32)-1</f>
        <v>#DIV/0!</v>
      </c>
    </row>
    <row r="33" spans="2:33" ht="12.75" customHeight="1">
      <c r="B33" s="29" t="s">
        <v>115</v>
      </c>
      <c r="C33" s="135"/>
      <c r="D33" s="135"/>
      <c r="E33" s="135"/>
      <c r="F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V33" s="131">
        <f t="shared" si="88"/>
        <v>0</v>
      </c>
      <c r="W33" s="131">
        <f t="shared" si="89"/>
        <v>0</v>
      </c>
      <c r="X33" s="131">
        <f t="shared" si="90"/>
        <v>0</v>
      </c>
      <c r="Y33" s="131">
        <f t="shared" si="91"/>
        <v>0</v>
      </c>
      <c r="Z33" s="131">
        <f t="shared" si="92"/>
        <v>0</v>
      </c>
      <c r="AA33" s="131">
        <f t="shared" si="93"/>
        <v>0</v>
      </c>
      <c r="AB33" s="131">
        <f t="shared" si="94"/>
        <v>0</v>
      </c>
      <c r="AC33" s="131">
        <f t="shared" si="95"/>
        <v>0</v>
      </c>
      <c r="AD33" s="131">
        <f t="shared" si="96"/>
        <v>0</v>
      </c>
      <c r="AE33" s="131">
        <f t="shared" si="97"/>
        <v>0</v>
      </c>
      <c r="AG33" s="108" t="e">
        <f>SUM(AE33/AA33)-1</f>
        <v>#DIV/0!</v>
      </c>
    </row>
    <row r="34" spans="2:33" ht="12.75" customHeight="1">
      <c r="B34" s="12" t="s">
        <v>36</v>
      </c>
      <c r="C34" s="13">
        <f t="shared" ref="C34:F34" si="98">+SUM(C29+SUM(C32:C32))</f>
        <v>0</v>
      </c>
      <c r="D34" s="13">
        <f t="shared" si="98"/>
        <v>0</v>
      </c>
      <c r="E34" s="13">
        <f t="shared" si="98"/>
        <v>0</v>
      </c>
      <c r="F34" s="13">
        <f t="shared" si="98"/>
        <v>0</v>
      </c>
      <c r="G34" s="11"/>
      <c r="H34" s="13">
        <f>+SUM(H29+SUM(H32:H32))</f>
        <v>0</v>
      </c>
      <c r="I34" s="13">
        <f>+SUM(I29+SUM(I32:I32))</f>
        <v>0</v>
      </c>
      <c r="J34" s="13">
        <f>+SUM(J29+SUM(J32:J32))</f>
        <v>0</v>
      </c>
      <c r="K34" s="13">
        <f>+SUM(K29+SUM(K32:K32))</f>
        <v>0</v>
      </c>
      <c r="L34" s="13">
        <f t="shared" ref="L34:Q34" si="99">+SUM(L29+SUM(L32:L32))</f>
        <v>0</v>
      </c>
      <c r="M34" s="13">
        <f t="shared" si="99"/>
        <v>0</v>
      </c>
      <c r="N34" s="13">
        <f t="shared" si="99"/>
        <v>0</v>
      </c>
      <c r="O34" s="13">
        <f t="shared" si="99"/>
        <v>0</v>
      </c>
      <c r="P34" s="13">
        <f t="shared" si="99"/>
        <v>0</v>
      </c>
      <c r="Q34" s="13">
        <f t="shared" si="99"/>
        <v>0</v>
      </c>
      <c r="R34" s="13">
        <f t="shared" ref="R34:S34" si="100">+SUM(R29+SUM(R32:R32))</f>
        <v>0</v>
      </c>
      <c r="S34" s="13">
        <f t="shared" si="100"/>
        <v>0</v>
      </c>
      <c r="T34" s="13">
        <f t="shared" ref="T34" si="101">+SUM(T29+SUM(T32:T32))</f>
        <v>0</v>
      </c>
      <c r="V34" s="13">
        <f t="shared" ref="V34" si="102">+SUM(V29+SUM(V32:V32))</f>
        <v>0</v>
      </c>
      <c r="W34" s="13">
        <f t="shared" ref="W34:AE34" si="103">+SUM(W29+SUM(W32:W32))</f>
        <v>0</v>
      </c>
      <c r="X34" s="13">
        <f t="shared" si="103"/>
        <v>0</v>
      </c>
      <c r="Y34" s="13">
        <f t="shared" si="103"/>
        <v>0</v>
      </c>
      <c r="Z34" s="13">
        <f t="shared" si="103"/>
        <v>0</v>
      </c>
      <c r="AA34" s="13">
        <f t="shared" si="103"/>
        <v>0</v>
      </c>
      <c r="AB34" s="13">
        <f t="shared" si="103"/>
        <v>0</v>
      </c>
      <c r="AC34" s="13">
        <f t="shared" si="103"/>
        <v>0</v>
      </c>
      <c r="AD34" s="13">
        <f t="shared" si="103"/>
        <v>0</v>
      </c>
      <c r="AE34" s="13">
        <f t="shared" si="103"/>
        <v>0</v>
      </c>
      <c r="AG34" s="109" t="e">
        <f>SUM(AE34/AA34)-1</f>
        <v>#DIV/0!</v>
      </c>
    </row>
    <row r="35" spans="2:33" ht="12.75" customHeight="1">
      <c r="B35" s="14" t="s">
        <v>37</v>
      </c>
      <c r="C35" s="15" t="e">
        <f>C34/C12</f>
        <v>#DIV/0!</v>
      </c>
      <c r="D35" s="15" t="e">
        <f>D34/D12</f>
        <v>#DIV/0!</v>
      </c>
      <c r="E35" s="15" t="e">
        <f>E34/E12</f>
        <v>#DIV/0!</v>
      </c>
      <c r="F35" s="15" t="e">
        <f>F34/F12</f>
        <v>#DIV/0!</v>
      </c>
      <c r="H35" s="15" t="e">
        <f t="shared" ref="H35:S35" si="104">H34/H12</f>
        <v>#DIV/0!</v>
      </c>
      <c r="I35" s="15" t="e">
        <f t="shared" si="104"/>
        <v>#DIV/0!</v>
      </c>
      <c r="J35" s="15" t="e">
        <f t="shared" si="104"/>
        <v>#DIV/0!</v>
      </c>
      <c r="K35" s="15" t="e">
        <f t="shared" si="104"/>
        <v>#DIV/0!</v>
      </c>
      <c r="L35" s="15" t="e">
        <f t="shared" si="104"/>
        <v>#DIV/0!</v>
      </c>
      <c r="M35" s="15" t="e">
        <f t="shared" si="104"/>
        <v>#DIV/0!</v>
      </c>
      <c r="N35" s="15" t="e">
        <f t="shared" si="104"/>
        <v>#DIV/0!</v>
      </c>
      <c r="O35" s="15" t="e">
        <f t="shared" si="104"/>
        <v>#DIV/0!</v>
      </c>
      <c r="P35" s="15" t="e">
        <f t="shared" si="104"/>
        <v>#DIV/0!</v>
      </c>
      <c r="Q35" s="15" t="e">
        <f t="shared" si="104"/>
        <v>#DIV/0!</v>
      </c>
      <c r="R35" s="15" t="e">
        <f t="shared" si="104"/>
        <v>#DIV/0!</v>
      </c>
      <c r="S35" s="15" t="e">
        <f t="shared" si="104"/>
        <v>#DIV/0!</v>
      </c>
      <c r="T35" s="15" t="e">
        <f t="shared" ref="T35" si="105">T34/T12</f>
        <v>#DIV/0!</v>
      </c>
      <c r="V35" s="15" t="e">
        <f t="shared" ref="V35:AE35" si="106">V34/V12</f>
        <v>#DIV/0!</v>
      </c>
      <c r="W35" s="15" t="e">
        <f t="shared" si="106"/>
        <v>#DIV/0!</v>
      </c>
      <c r="X35" s="15" t="e">
        <f t="shared" si="106"/>
        <v>#DIV/0!</v>
      </c>
      <c r="Y35" s="15" t="e">
        <f t="shared" si="106"/>
        <v>#DIV/0!</v>
      </c>
      <c r="Z35" s="15" t="e">
        <f t="shared" si="106"/>
        <v>#DIV/0!</v>
      </c>
      <c r="AA35" s="15" t="e">
        <f t="shared" si="106"/>
        <v>#DIV/0!</v>
      </c>
      <c r="AB35" s="15" t="e">
        <f t="shared" si="106"/>
        <v>#DIV/0!</v>
      </c>
      <c r="AC35" s="15" t="e">
        <f t="shared" si="106"/>
        <v>#DIV/0!</v>
      </c>
      <c r="AD35" s="15" t="e">
        <f t="shared" si="106"/>
        <v>#DIV/0!</v>
      </c>
      <c r="AE35" s="15" t="e">
        <f t="shared" si="106"/>
        <v>#DIV/0!</v>
      </c>
      <c r="AG35" s="110" t="e">
        <f>SUM(AE35-AA35)*10000</f>
        <v>#DIV/0!</v>
      </c>
    </row>
    <row r="36" spans="2:33" ht="5.0999999999999996" customHeight="1">
      <c r="AG36" s="107"/>
    </row>
    <row r="37" spans="2:33" ht="12.75" customHeight="1">
      <c r="B37" s="21" t="s">
        <v>38</v>
      </c>
      <c r="C37" s="132"/>
      <c r="D37" s="132"/>
      <c r="E37" s="132"/>
      <c r="F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V37" s="131">
        <f t="shared" ref="V37:V41" si="107">SUM(H37:K37)</f>
        <v>0</v>
      </c>
      <c r="W37" s="131">
        <f t="shared" ref="W37:W41" si="108">SUM(I37:L37)</f>
        <v>0</v>
      </c>
      <c r="X37" s="131">
        <f t="shared" ref="X37:X41" si="109">SUM(J37:M37)</f>
        <v>0</v>
      </c>
      <c r="Y37" s="131">
        <f t="shared" ref="Y37:Y41" si="110">SUM(K37:N37)</f>
        <v>0</v>
      </c>
      <c r="Z37" s="131">
        <f t="shared" ref="Z37:Z41" si="111">SUM(L37:O37)</f>
        <v>0</v>
      </c>
      <c r="AA37" s="131">
        <f t="shared" ref="AA37:AA41" si="112">SUM(M37:P37)</f>
        <v>0</v>
      </c>
      <c r="AB37" s="131">
        <f t="shared" ref="AB37:AB41" si="113">SUM(N37:Q37)</f>
        <v>0</v>
      </c>
      <c r="AC37" s="131">
        <f t="shared" ref="AC37:AC41" si="114">SUM(O37:R37)</f>
        <v>0</v>
      </c>
      <c r="AD37" s="131">
        <f t="shared" ref="AD37:AD41" si="115">SUM(P37:S37)</f>
        <v>0</v>
      </c>
      <c r="AE37" s="131">
        <f t="shared" ref="AE37:AE41" si="116">SUM(Q37:T37)</f>
        <v>0</v>
      </c>
      <c r="AG37" s="108" t="e">
        <f t="shared" ref="AG37:AG42" si="117">SUM(AE37/AA37)-1</f>
        <v>#DIV/0!</v>
      </c>
    </row>
    <row r="38" spans="2:33" ht="12.75" customHeight="1">
      <c r="B38" s="21" t="s">
        <v>39</v>
      </c>
      <c r="C38" s="132"/>
      <c r="D38" s="132"/>
      <c r="E38" s="132"/>
      <c r="F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V38" s="131">
        <f t="shared" si="107"/>
        <v>0</v>
      </c>
      <c r="W38" s="131">
        <f t="shared" si="108"/>
        <v>0</v>
      </c>
      <c r="X38" s="131">
        <f t="shared" si="109"/>
        <v>0</v>
      </c>
      <c r="Y38" s="131">
        <f t="shared" si="110"/>
        <v>0</v>
      </c>
      <c r="Z38" s="131">
        <f t="shared" si="111"/>
        <v>0</v>
      </c>
      <c r="AA38" s="131">
        <f t="shared" si="112"/>
        <v>0</v>
      </c>
      <c r="AB38" s="131">
        <f t="shared" si="113"/>
        <v>0</v>
      </c>
      <c r="AC38" s="131">
        <f t="shared" si="114"/>
        <v>0</v>
      </c>
      <c r="AD38" s="131">
        <f t="shared" si="115"/>
        <v>0</v>
      </c>
      <c r="AE38" s="131">
        <f t="shared" si="116"/>
        <v>0</v>
      </c>
      <c r="AG38" s="108" t="e">
        <f t="shared" si="117"/>
        <v>#DIV/0!</v>
      </c>
    </row>
    <row r="39" spans="2:33" ht="12.75" customHeight="1">
      <c r="B39" s="21" t="s">
        <v>76</v>
      </c>
      <c r="C39" s="132"/>
      <c r="D39" s="132"/>
      <c r="E39" s="132"/>
      <c r="F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V39" s="131">
        <f t="shared" si="107"/>
        <v>0</v>
      </c>
      <c r="W39" s="131">
        <f t="shared" si="108"/>
        <v>0</v>
      </c>
      <c r="X39" s="131">
        <f t="shared" si="109"/>
        <v>0</v>
      </c>
      <c r="Y39" s="131">
        <f t="shared" si="110"/>
        <v>0</v>
      </c>
      <c r="Z39" s="131">
        <f t="shared" si="111"/>
        <v>0</v>
      </c>
      <c r="AA39" s="131">
        <f t="shared" si="112"/>
        <v>0</v>
      </c>
      <c r="AB39" s="131">
        <f t="shared" si="113"/>
        <v>0</v>
      </c>
      <c r="AC39" s="131">
        <f t="shared" si="114"/>
        <v>0</v>
      </c>
      <c r="AD39" s="131">
        <f t="shared" si="115"/>
        <v>0</v>
      </c>
      <c r="AE39" s="131">
        <f t="shared" si="116"/>
        <v>0</v>
      </c>
      <c r="AG39" s="108" t="e">
        <f t="shared" si="117"/>
        <v>#DIV/0!</v>
      </c>
    </row>
    <row r="40" spans="2:33" ht="12.75" customHeight="1">
      <c r="B40" s="21" t="s">
        <v>117</v>
      </c>
      <c r="C40" s="132"/>
      <c r="D40" s="132"/>
      <c r="E40" s="132"/>
      <c r="F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V40" s="131">
        <f t="shared" ref="V40" si="118">SUM(H40:K40)</f>
        <v>0</v>
      </c>
      <c r="W40" s="131">
        <f t="shared" ref="W40" si="119">SUM(I40:L40)</f>
        <v>0</v>
      </c>
      <c r="X40" s="131">
        <f t="shared" ref="X40" si="120">SUM(J40:M40)</f>
        <v>0</v>
      </c>
      <c r="Y40" s="131">
        <f t="shared" ref="Y40" si="121">SUM(K40:N40)</f>
        <v>0</v>
      </c>
      <c r="Z40" s="131">
        <f t="shared" ref="Z40" si="122">SUM(L40:O40)</f>
        <v>0</v>
      </c>
      <c r="AA40" s="131">
        <f t="shared" ref="AA40" si="123">SUM(M40:P40)</f>
        <v>0</v>
      </c>
      <c r="AB40" s="131">
        <f t="shared" ref="AB40" si="124">SUM(N40:Q40)</f>
        <v>0</v>
      </c>
      <c r="AC40" s="131">
        <f t="shared" ref="AC40" si="125">SUM(O40:R40)</f>
        <v>0</v>
      </c>
      <c r="AD40" s="131">
        <f t="shared" ref="AD40" si="126">SUM(P40:S40)</f>
        <v>0</v>
      </c>
      <c r="AE40" s="131">
        <f t="shared" ref="AE40" si="127">SUM(Q40:T40)</f>
        <v>0</v>
      </c>
      <c r="AG40" s="108" t="e">
        <f t="shared" si="117"/>
        <v>#DIV/0!</v>
      </c>
    </row>
    <row r="41" spans="2:33" ht="12.75" customHeight="1">
      <c r="B41" s="21" t="s">
        <v>40</v>
      </c>
      <c r="C41" s="132"/>
      <c r="D41" s="132"/>
      <c r="E41" s="132"/>
      <c r="F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V41" s="131">
        <f t="shared" si="107"/>
        <v>0</v>
      </c>
      <c r="W41" s="131">
        <f t="shared" si="108"/>
        <v>0</v>
      </c>
      <c r="X41" s="131">
        <f t="shared" si="109"/>
        <v>0</v>
      </c>
      <c r="Y41" s="131">
        <f t="shared" si="110"/>
        <v>0</v>
      </c>
      <c r="Z41" s="131">
        <f t="shared" si="111"/>
        <v>0</v>
      </c>
      <c r="AA41" s="131">
        <f t="shared" si="112"/>
        <v>0</v>
      </c>
      <c r="AB41" s="131">
        <f t="shared" si="113"/>
        <v>0</v>
      </c>
      <c r="AC41" s="131">
        <f t="shared" si="114"/>
        <v>0</v>
      </c>
      <c r="AD41" s="131">
        <f t="shared" si="115"/>
        <v>0</v>
      </c>
      <c r="AE41" s="131">
        <f t="shared" si="116"/>
        <v>0</v>
      </c>
      <c r="AG41" s="108" t="e">
        <f t="shared" si="117"/>
        <v>#DIV/0!</v>
      </c>
    </row>
    <row r="42" spans="2:33" ht="12.75" customHeight="1">
      <c r="B42" s="12" t="s">
        <v>41</v>
      </c>
      <c r="C42" s="13">
        <f>SUM(C34+SUM(C37:C41))</f>
        <v>0</v>
      </c>
      <c r="D42" s="13">
        <f>SUM(D34+SUM(D37:D41))</f>
        <v>0</v>
      </c>
      <c r="E42" s="13">
        <f>SUM(E34+SUM(E37:E41))</f>
        <v>0</v>
      </c>
      <c r="F42" s="13">
        <f>SUM(F34+SUM(F37:F41))</f>
        <v>0</v>
      </c>
      <c r="H42" s="13">
        <f>SUM(H34+SUM(H37:H41))</f>
        <v>0</v>
      </c>
      <c r="I42" s="13">
        <f>SUM(I34+SUM(I37:I41))</f>
        <v>0</v>
      </c>
      <c r="J42" s="13">
        <f>SUM(J34+SUM(J37:J41))</f>
        <v>0</v>
      </c>
      <c r="K42" s="13">
        <f>SUM(K34+SUM(K37:K41))</f>
        <v>0</v>
      </c>
      <c r="L42" s="13">
        <f t="shared" ref="L42:Q42" si="128">SUM(L34+SUM(L37:L41))</f>
        <v>0</v>
      </c>
      <c r="M42" s="13">
        <f t="shared" si="128"/>
        <v>0</v>
      </c>
      <c r="N42" s="13">
        <f t="shared" si="128"/>
        <v>0</v>
      </c>
      <c r="O42" s="13">
        <f t="shared" si="128"/>
        <v>0</v>
      </c>
      <c r="P42" s="13">
        <f t="shared" si="128"/>
        <v>0</v>
      </c>
      <c r="Q42" s="13">
        <f t="shared" si="128"/>
        <v>0</v>
      </c>
      <c r="R42" s="13">
        <f t="shared" ref="R42:S42" si="129">SUM(R34+SUM(R37:R41))</f>
        <v>0</v>
      </c>
      <c r="S42" s="13">
        <f t="shared" si="129"/>
        <v>0</v>
      </c>
      <c r="T42" s="13">
        <f t="shared" ref="T42" si="130">SUM(T34+SUM(T37:T41))</f>
        <v>0</v>
      </c>
      <c r="V42" s="13">
        <f t="shared" ref="V42" si="131">SUM(V34+SUM(V37:V41))</f>
        <v>0</v>
      </c>
      <c r="W42" s="13">
        <f t="shared" ref="W42:AC42" si="132">SUM(W34+SUM(W37:W41))</f>
        <v>0</v>
      </c>
      <c r="X42" s="13">
        <f t="shared" si="132"/>
        <v>0</v>
      </c>
      <c r="Y42" s="13">
        <f t="shared" si="132"/>
        <v>0</v>
      </c>
      <c r="Z42" s="13">
        <f t="shared" si="132"/>
        <v>0</v>
      </c>
      <c r="AA42" s="13">
        <f t="shared" si="132"/>
        <v>0</v>
      </c>
      <c r="AB42" s="13">
        <f t="shared" si="132"/>
        <v>0</v>
      </c>
      <c r="AC42" s="13">
        <f t="shared" si="132"/>
        <v>0</v>
      </c>
      <c r="AD42" s="13">
        <f>SUM(AD34+SUM(AD37:AD41))</f>
        <v>0</v>
      </c>
      <c r="AE42" s="13">
        <f>SUM(AE34+SUM(AE37:AE41))</f>
        <v>0</v>
      </c>
      <c r="AG42" s="109" t="e">
        <f t="shared" si="117"/>
        <v>#DIV/0!</v>
      </c>
    </row>
    <row r="43" spans="2:33" ht="5.0999999999999996" customHeight="1"/>
    <row r="44" spans="2:33" ht="12.75" customHeight="1">
      <c r="B44" s="29" t="s">
        <v>114</v>
      </c>
      <c r="C44" s="132"/>
      <c r="D44" s="132"/>
      <c r="E44" s="132"/>
      <c r="F44" s="132"/>
      <c r="G44" s="30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V44" s="131">
        <f t="shared" ref="V44:V49" si="133">SUM(H44:K44)</f>
        <v>0</v>
      </c>
      <c r="W44" s="131">
        <f t="shared" ref="W44:W49" si="134">SUM(I44:L44)</f>
        <v>0</v>
      </c>
      <c r="X44" s="131">
        <f t="shared" ref="X44:X49" si="135">SUM(J44:M44)</f>
        <v>0</v>
      </c>
      <c r="Y44" s="131">
        <f t="shared" ref="Y44:Y49" si="136">SUM(K44:N44)</f>
        <v>0</v>
      </c>
      <c r="Z44" s="131">
        <f t="shared" ref="Z44:Z49" si="137">SUM(L44:O44)</f>
        <v>0</v>
      </c>
      <c r="AA44" s="131">
        <f t="shared" ref="AA44:AA49" si="138">SUM(M44:P44)</f>
        <v>0</v>
      </c>
      <c r="AB44" s="131">
        <f t="shared" ref="AB44:AB49" si="139">SUM(N44:Q44)</f>
        <v>0</v>
      </c>
      <c r="AC44" s="131">
        <f t="shared" ref="AC44:AC49" si="140">SUM(O44:R44)</f>
        <v>0</v>
      </c>
      <c r="AD44" s="131">
        <f t="shared" ref="AD44:AD49" si="141">SUM(P44:S44)</f>
        <v>0</v>
      </c>
      <c r="AE44" s="131">
        <f t="shared" ref="AE44:AE49" si="142">SUM(Q44:T44)</f>
        <v>0</v>
      </c>
    </row>
    <row r="45" spans="2:33" ht="12.75" customHeight="1">
      <c r="B45" s="29" t="s">
        <v>114</v>
      </c>
      <c r="C45" s="132"/>
      <c r="D45" s="132"/>
      <c r="E45" s="132"/>
      <c r="F45" s="132"/>
      <c r="G45" s="30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V45" s="131">
        <f t="shared" si="133"/>
        <v>0</v>
      </c>
      <c r="W45" s="131">
        <f t="shared" si="134"/>
        <v>0</v>
      </c>
      <c r="X45" s="131">
        <f t="shared" si="135"/>
        <v>0</v>
      </c>
      <c r="Y45" s="131">
        <f t="shared" si="136"/>
        <v>0</v>
      </c>
      <c r="Z45" s="131">
        <f t="shared" si="137"/>
        <v>0</v>
      </c>
      <c r="AA45" s="131">
        <f t="shared" si="138"/>
        <v>0</v>
      </c>
      <c r="AB45" s="131">
        <f t="shared" si="139"/>
        <v>0</v>
      </c>
      <c r="AC45" s="131">
        <f t="shared" si="140"/>
        <v>0</v>
      </c>
      <c r="AD45" s="131">
        <f t="shared" si="141"/>
        <v>0</v>
      </c>
      <c r="AE45" s="131">
        <f t="shared" si="142"/>
        <v>0</v>
      </c>
    </row>
    <row r="46" spans="2:33" ht="12.75" customHeight="1">
      <c r="B46" s="29" t="s">
        <v>114</v>
      </c>
      <c r="C46" s="132"/>
      <c r="D46" s="132"/>
      <c r="E46" s="132"/>
      <c r="F46" s="132"/>
      <c r="G46" s="30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V46" s="131">
        <f t="shared" si="133"/>
        <v>0</v>
      </c>
      <c r="W46" s="131">
        <f t="shared" si="134"/>
        <v>0</v>
      </c>
      <c r="X46" s="131">
        <f t="shared" si="135"/>
        <v>0</v>
      </c>
      <c r="Y46" s="131">
        <f t="shared" si="136"/>
        <v>0</v>
      </c>
      <c r="Z46" s="131">
        <f t="shared" si="137"/>
        <v>0</v>
      </c>
      <c r="AA46" s="131">
        <f t="shared" si="138"/>
        <v>0</v>
      </c>
      <c r="AB46" s="131">
        <f t="shared" si="139"/>
        <v>0</v>
      </c>
      <c r="AC46" s="131">
        <f t="shared" si="140"/>
        <v>0</v>
      </c>
      <c r="AD46" s="131">
        <f t="shared" si="141"/>
        <v>0</v>
      </c>
      <c r="AE46" s="131">
        <f t="shared" si="142"/>
        <v>0</v>
      </c>
    </row>
    <row r="47" spans="2:33" ht="12.75" customHeight="1">
      <c r="B47" s="29" t="s">
        <v>114</v>
      </c>
      <c r="C47" s="132"/>
      <c r="D47" s="132"/>
      <c r="E47" s="132"/>
      <c r="F47" s="132"/>
      <c r="G47" s="30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V47" s="131">
        <f t="shared" si="133"/>
        <v>0</v>
      </c>
      <c r="W47" s="131">
        <f t="shared" si="134"/>
        <v>0</v>
      </c>
      <c r="X47" s="131">
        <f t="shared" si="135"/>
        <v>0</v>
      </c>
      <c r="Y47" s="131">
        <f t="shared" si="136"/>
        <v>0</v>
      </c>
      <c r="Z47" s="131">
        <f t="shared" si="137"/>
        <v>0</v>
      </c>
      <c r="AA47" s="131">
        <f t="shared" si="138"/>
        <v>0</v>
      </c>
      <c r="AB47" s="131">
        <f t="shared" si="139"/>
        <v>0</v>
      </c>
      <c r="AC47" s="131">
        <f t="shared" si="140"/>
        <v>0</v>
      </c>
      <c r="AD47" s="131">
        <f t="shared" si="141"/>
        <v>0</v>
      </c>
      <c r="AE47" s="131">
        <f t="shared" si="142"/>
        <v>0</v>
      </c>
    </row>
    <row r="48" spans="2:33" ht="12.75" customHeight="1">
      <c r="B48" s="29" t="s">
        <v>114</v>
      </c>
      <c r="C48" s="132"/>
      <c r="D48" s="132"/>
      <c r="E48" s="132"/>
      <c r="F48" s="132"/>
      <c r="G48" s="30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V48" s="131">
        <f t="shared" si="133"/>
        <v>0</v>
      </c>
      <c r="W48" s="131">
        <f t="shared" si="134"/>
        <v>0</v>
      </c>
      <c r="X48" s="131">
        <f t="shared" si="135"/>
        <v>0</v>
      </c>
      <c r="Y48" s="131">
        <f t="shared" si="136"/>
        <v>0</v>
      </c>
      <c r="Z48" s="131">
        <f t="shared" si="137"/>
        <v>0</v>
      </c>
      <c r="AA48" s="131">
        <f t="shared" si="138"/>
        <v>0</v>
      </c>
      <c r="AB48" s="131">
        <f t="shared" si="139"/>
        <v>0</v>
      </c>
      <c r="AC48" s="131">
        <f t="shared" si="140"/>
        <v>0</v>
      </c>
      <c r="AD48" s="131">
        <f t="shared" si="141"/>
        <v>0</v>
      </c>
      <c r="AE48" s="131">
        <f t="shared" si="142"/>
        <v>0</v>
      </c>
    </row>
    <row r="49" spans="1:31" ht="12.75" customHeight="1">
      <c r="B49" s="29" t="s">
        <v>72</v>
      </c>
      <c r="C49" s="133"/>
      <c r="D49" s="133">
        <f t="shared" ref="D49:F49" si="143">SUM(D54)-SUM(C54)-SUM(D42:D48)</f>
        <v>0</v>
      </c>
      <c r="E49" s="133">
        <f t="shared" si="143"/>
        <v>0</v>
      </c>
      <c r="F49" s="133">
        <f t="shared" si="143"/>
        <v>0</v>
      </c>
      <c r="G49" s="30"/>
      <c r="H49" s="133">
        <f>SUM(H54)-SUM(C54)-SUM(H42:H48)</f>
        <v>0</v>
      </c>
      <c r="I49" s="133">
        <f t="shared" ref="I49" si="144">SUM(I54)-SUM(H54)-SUM(I42:I48)</f>
        <v>0</v>
      </c>
      <c r="J49" s="133">
        <f t="shared" ref="J49" si="145">SUM(J54)-SUM(I54)-SUM(J42:J48)</f>
        <v>0</v>
      </c>
      <c r="K49" s="133">
        <f t="shared" ref="K49" si="146">SUM(K54)-SUM(J54)-SUM(K42:K48)</f>
        <v>149.30000000000001</v>
      </c>
      <c r="L49" s="133">
        <f t="shared" ref="L49" si="147">SUM(L54)-SUM(K54)-SUM(L42:L48)</f>
        <v>-149.30000000000001</v>
      </c>
      <c r="M49" s="133">
        <f t="shared" ref="M49" si="148">SUM(M54)-SUM(L54)-SUM(M42:M48)</f>
        <v>0</v>
      </c>
      <c r="N49" s="133">
        <f t="shared" ref="N49" si="149">SUM(N54)-SUM(M54)-SUM(N42:N48)</f>
        <v>0</v>
      </c>
      <c r="O49" s="133">
        <f t="shared" ref="O49" si="150">SUM(O54)-SUM(N54)-SUM(O42:O48)</f>
        <v>180.5</v>
      </c>
      <c r="P49" s="133">
        <f t="shared" ref="P49" si="151">SUM(P54)-SUM(O54)-SUM(P42:P48)</f>
        <v>-180.5</v>
      </c>
      <c r="Q49" s="133">
        <f t="shared" ref="Q49" si="152">SUM(Q54)-SUM(P54)-SUM(Q42:Q48)</f>
        <v>0</v>
      </c>
      <c r="R49" s="133">
        <f t="shared" ref="R49" si="153">SUM(R54)-SUM(Q54)-SUM(R42:R48)</f>
        <v>0</v>
      </c>
      <c r="S49" s="133" t="e">
        <f t="shared" ref="S49" si="154">SUM(S54)-SUM(R54)-SUM(S42:S48)</f>
        <v>#REF!</v>
      </c>
      <c r="T49" s="133" t="e">
        <f t="shared" ref="T49" si="155">SUM(T54)-SUM(S54)-SUM(T42:T48)</f>
        <v>#REF!</v>
      </c>
      <c r="V49" s="131">
        <f t="shared" si="133"/>
        <v>149.30000000000001</v>
      </c>
      <c r="W49" s="131">
        <f t="shared" si="134"/>
        <v>0</v>
      </c>
      <c r="X49" s="131">
        <f t="shared" si="135"/>
        <v>0</v>
      </c>
      <c r="Y49" s="131">
        <f t="shared" si="136"/>
        <v>0</v>
      </c>
      <c r="Z49" s="131">
        <f t="shared" si="137"/>
        <v>31.199999999999989</v>
      </c>
      <c r="AA49" s="131">
        <f t="shared" si="138"/>
        <v>0</v>
      </c>
      <c r="AB49" s="131">
        <f t="shared" si="139"/>
        <v>0</v>
      </c>
      <c r="AC49" s="131">
        <f t="shared" si="140"/>
        <v>0</v>
      </c>
      <c r="AD49" s="131" t="e">
        <f t="shared" si="141"/>
        <v>#REF!</v>
      </c>
      <c r="AE49" s="131" t="e">
        <f t="shared" si="142"/>
        <v>#REF!</v>
      </c>
    </row>
    <row r="50" spans="1:31" ht="12.75" customHeight="1">
      <c r="B50" s="12" t="s">
        <v>42</v>
      </c>
      <c r="C50" s="13">
        <f t="shared" ref="C50:F50" si="156">SUM(C42+SUM(C44:C49))</f>
        <v>0</v>
      </c>
      <c r="D50" s="13">
        <f t="shared" si="156"/>
        <v>0</v>
      </c>
      <c r="E50" s="13">
        <f t="shared" si="156"/>
        <v>0</v>
      </c>
      <c r="F50" s="13">
        <f t="shared" si="156"/>
        <v>0</v>
      </c>
      <c r="H50" s="13">
        <f t="shared" ref="H50:S50" si="157">SUM(H42+SUM(H44:H49))</f>
        <v>0</v>
      </c>
      <c r="I50" s="13">
        <f t="shared" si="157"/>
        <v>0</v>
      </c>
      <c r="J50" s="13">
        <f t="shared" si="157"/>
        <v>0</v>
      </c>
      <c r="K50" s="13">
        <f t="shared" si="157"/>
        <v>149.30000000000001</v>
      </c>
      <c r="L50" s="13">
        <f t="shared" si="157"/>
        <v>-149.30000000000001</v>
      </c>
      <c r="M50" s="13">
        <f t="shared" si="157"/>
        <v>0</v>
      </c>
      <c r="N50" s="13">
        <f t="shared" si="157"/>
        <v>0</v>
      </c>
      <c r="O50" s="13">
        <f t="shared" si="157"/>
        <v>180.5</v>
      </c>
      <c r="P50" s="13">
        <f t="shared" si="157"/>
        <v>-180.5</v>
      </c>
      <c r="Q50" s="13">
        <f t="shared" si="157"/>
        <v>0</v>
      </c>
      <c r="R50" s="13">
        <f t="shared" si="157"/>
        <v>0</v>
      </c>
      <c r="S50" s="13" t="e">
        <f t="shared" si="157"/>
        <v>#REF!</v>
      </c>
      <c r="T50" s="13" t="e">
        <f t="shared" ref="T50" si="158">SUM(T42+SUM(T44:T49))</f>
        <v>#REF!</v>
      </c>
      <c r="V50" s="13">
        <f t="shared" ref="V50:AE50" si="159">SUM(V42+SUM(V44:V49))</f>
        <v>149.30000000000001</v>
      </c>
      <c r="W50" s="13">
        <f t="shared" si="159"/>
        <v>0</v>
      </c>
      <c r="X50" s="13">
        <f t="shared" si="159"/>
        <v>0</v>
      </c>
      <c r="Y50" s="13">
        <f t="shared" si="159"/>
        <v>0</v>
      </c>
      <c r="Z50" s="13">
        <f t="shared" si="159"/>
        <v>31.199999999999989</v>
      </c>
      <c r="AA50" s="13">
        <f t="shared" si="159"/>
        <v>0</v>
      </c>
      <c r="AB50" s="13">
        <f t="shared" si="159"/>
        <v>0</v>
      </c>
      <c r="AC50" s="13">
        <f t="shared" si="159"/>
        <v>0</v>
      </c>
      <c r="AD50" s="13" t="e">
        <f t="shared" si="159"/>
        <v>#REF!</v>
      </c>
      <c r="AE50" s="13" t="e">
        <f t="shared" si="159"/>
        <v>#REF!</v>
      </c>
    </row>
    <row r="51" spans="1:31" ht="5.0999999999999996" customHeight="1"/>
    <row r="52" spans="1:31" ht="12.75" customHeight="1">
      <c r="A52" s="5"/>
      <c r="B52" s="31" t="s">
        <v>43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ht="5.0999999999999996" customHeight="1"/>
    <row r="54" spans="1:31" ht="12.75" customHeight="1">
      <c r="B54" s="8" t="s">
        <v>44</v>
      </c>
      <c r="C54" s="80"/>
      <c r="D54" s="80"/>
      <c r="E54" s="80"/>
      <c r="F54" s="80"/>
      <c r="G54" s="30"/>
      <c r="H54" s="80"/>
      <c r="I54" s="80"/>
      <c r="J54" s="80"/>
      <c r="K54" s="80">
        <f>'Historical Financials'!J44</f>
        <v>149.30000000000001</v>
      </c>
      <c r="L54" s="80"/>
      <c r="M54" s="80"/>
      <c r="N54" s="80"/>
      <c r="O54" s="80">
        <f>'Historical Financials'!N44</f>
        <v>180.5</v>
      </c>
      <c r="P54" s="80"/>
      <c r="Q54" s="80"/>
      <c r="R54" s="80"/>
      <c r="S54" s="80" t="e">
        <f>'Historical Financials'!#REF!</f>
        <v>#REF!</v>
      </c>
      <c r="T54" s="80"/>
      <c r="V54" s="10">
        <f t="shared" ref="V54:AD56" si="160">K54</f>
        <v>149.30000000000001</v>
      </c>
      <c r="W54" s="10">
        <f t="shared" si="160"/>
        <v>0</v>
      </c>
      <c r="X54" s="10">
        <f t="shared" si="160"/>
        <v>0</v>
      </c>
      <c r="Y54" s="10">
        <f t="shared" si="160"/>
        <v>0</v>
      </c>
      <c r="Z54" s="10">
        <f t="shared" si="160"/>
        <v>180.5</v>
      </c>
      <c r="AA54" s="10">
        <f t="shared" si="160"/>
        <v>0</v>
      </c>
      <c r="AB54" s="10">
        <f t="shared" si="160"/>
        <v>0</v>
      </c>
      <c r="AC54" s="10">
        <f t="shared" si="160"/>
        <v>0</v>
      </c>
      <c r="AD54" s="10" t="e">
        <f t="shared" si="160"/>
        <v>#REF!</v>
      </c>
      <c r="AE54" s="10">
        <f>T54</f>
        <v>0</v>
      </c>
    </row>
    <row r="55" spans="1:31" ht="12.75" customHeight="1">
      <c r="B55" s="8" t="s">
        <v>112</v>
      </c>
      <c r="C55" s="80"/>
      <c r="D55" s="80"/>
      <c r="E55" s="80"/>
      <c r="F55" s="80"/>
      <c r="G55" s="30"/>
      <c r="H55" s="80"/>
      <c r="I55" s="80"/>
      <c r="J55" s="80"/>
      <c r="K55" s="80" t="e">
        <f>'Historical Financials'!#REF!</f>
        <v>#REF!</v>
      </c>
      <c r="L55" s="80"/>
      <c r="M55" s="80"/>
      <c r="N55" s="80"/>
      <c r="O55" s="80" t="e">
        <f>'Historical Financials'!#REF!</f>
        <v>#REF!</v>
      </c>
      <c r="P55" s="80"/>
      <c r="Q55" s="80"/>
      <c r="R55" s="80"/>
      <c r="S55" s="80" t="e">
        <f>'Historical Financials'!#REF!</f>
        <v>#REF!</v>
      </c>
      <c r="T55" s="80"/>
      <c r="V55" s="10" t="e">
        <f t="shared" si="160"/>
        <v>#REF!</v>
      </c>
      <c r="W55" s="10">
        <f t="shared" si="160"/>
        <v>0</v>
      </c>
      <c r="X55" s="10">
        <f t="shared" si="160"/>
        <v>0</v>
      </c>
      <c r="Y55" s="10">
        <f t="shared" si="160"/>
        <v>0</v>
      </c>
      <c r="Z55" s="10" t="e">
        <f t="shared" si="160"/>
        <v>#REF!</v>
      </c>
      <c r="AA55" s="10">
        <f t="shared" si="160"/>
        <v>0</v>
      </c>
      <c r="AB55" s="10">
        <f t="shared" si="160"/>
        <v>0</v>
      </c>
      <c r="AC55" s="10">
        <f t="shared" si="160"/>
        <v>0</v>
      </c>
      <c r="AD55" s="10" t="e">
        <f t="shared" si="160"/>
        <v>#REF!</v>
      </c>
      <c r="AE55" s="10">
        <f t="shared" ref="AE55:AE56" si="161">T55</f>
        <v>0</v>
      </c>
    </row>
    <row r="56" spans="1:31" ht="12.75" customHeight="1">
      <c r="B56" s="8" t="s">
        <v>112</v>
      </c>
      <c r="C56" s="75"/>
      <c r="D56" s="75"/>
      <c r="E56" s="75"/>
      <c r="F56" s="75"/>
      <c r="G56" s="30"/>
      <c r="H56" s="75"/>
      <c r="I56" s="75"/>
      <c r="J56" s="75"/>
      <c r="K56" s="106">
        <f>D56</f>
        <v>0</v>
      </c>
      <c r="L56" s="75"/>
      <c r="M56" s="75"/>
      <c r="N56" s="75"/>
      <c r="O56" s="106">
        <f>E56</f>
        <v>0</v>
      </c>
      <c r="P56" s="75"/>
      <c r="Q56" s="75"/>
      <c r="R56" s="75"/>
      <c r="S56" s="106">
        <f>F56</f>
        <v>0</v>
      </c>
      <c r="T56" s="75"/>
      <c r="V56" s="10">
        <f t="shared" si="160"/>
        <v>0</v>
      </c>
      <c r="W56" s="10">
        <f t="shared" si="160"/>
        <v>0</v>
      </c>
      <c r="X56" s="10">
        <f t="shared" si="160"/>
        <v>0</v>
      </c>
      <c r="Y56" s="10">
        <f t="shared" si="160"/>
        <v>0</v>
      </c>
      <c r="Z56" s="10">
        <f t="shared" si="160"/>
        <v>0</v>
      </c>
      <c r="AA56" s="10">
        <f t="shared" si="160"/>
        <v>0</v>
      </c>
      <c r="AB56" s="10">
        <f t="shared" si="160"/>
        <v>0</v>
      </c>
      <c r="AC56" s="10">
        <f t="shared" si="160"/>
        <v>0</v>
      </c>
      <c r="AD56" s="10">
        <f t="shared" si="160"/>
        <v>0</v>
      </c>
      <c r="AE56" s="10">
        <f t="shared" si="161"/>
        <v>0</v>
      </c>
    </row>
    <row r="57" spans="1:31" ht="12.75" customHeight="1">
      <c r="B57" s="12" t="s">
        <v>45</v>
      </c>
      <c r="C57" s="13">
        <f>SUM(C54:C56)</f>
        <v>0</v>
      </c>
      <c r="D57" s="13">
        <f t="shared" ref="D57:F57" si="162">SUM(D54:D56)</f>
        <v>0</v>
      </c>
      <c r="E57" s="13">
        <f t="shared" si="162"/>
        <v>0</v>
      </c>
      <c r="F57" s="13">
        <f t="shared" si="162"/>
        <v>0</v>
      </c>
      <c r="G57" s="30"/>
      <c r="H57" s="13">
        <f t="shared" ref="H57:S57" si="163">SUM(H54:H56)</f>
        <v>0</v>
      </c>
      <c r="I57" s="13">
        <f t="shared" si="163"/>
        <v>0</v>
      </c>
      <c r="J57" s="13">
        <f t="shared" si="163"/>
        <v>0</v>
      </c>
      <c r="K57" s="13" t="e">
        <f t="shared" si="163"/>
        <v>#REF!</v>
      </c>
      <c r="L57" s="13">
        <f t="shared" si="163"/>
        <v>0</v>
      </c>
      <c r="M57" s="13">
        <f t="shared" si="163"/>
        <v>0</v>
      </c>
      <c r="N57" s="13">
        <f t="shared" si="163"/>
        <v>0</v>
      </c>
      <c r="O57" s="13" t="e">
        <f t="shared" si="163"/>
        <v>#REF!</v>
      </c>
      <c r="P57" s="13">
        <f t="shared" si="163"/>
        <v>0</v>
      </c>
      <c r="Q57" s="13">
        <f t="shared" si="163"/>
        <v>0</v>
      </c>
      <c r="R57" s="13">
        <f t="shared" si="163"/>
        <v>0</v>
      </c>
      <c r="S57" s="13" t="e">
        <f t="shared" si="163"/>
        <v>#REF!</v>
      </c>
      <c r="T57" s="13">
        <f t="shared" ref="T57" si="164">SUM(T54:T56)</f>
        <v>0</v>
      </c>
      <c r="V57" s="13" t="e">
        <f t="shared" ref="V57" si="165">SUM(V54:V56)</f>
        <v>#REF!</v>
      </c>
      <c r="W57" s="13">
        <f t="shared" ref="W57:AE57" si="166">SUM(W54:W56)</f>
        <v>0</v>
      </c>
      <c r="X57" s="13">
        <f t="shared" si="166"/>
        <v>0</v>
      </c>
      <c r="Y57" s="13">
        <f t="shared" si="166"/>
        <v>0</v>
      </c>
      <c r="Z57" s="13" t="e">
        <f t="shared" si="166"/>
        <v>#REF!</v>
      </c>
      <c r="AA57" s="13">
        <f t="shared" si="166"/>
        <v>0</v>
      </c>
      <c r="AB57" s="13">
        <f t="shared" si="166"/>
        <v>0</v>
      </c>
      <c r="AC57" s="13">
        <f t="shared" si="166"/>
        <v>0</v>
      </c>
      <c r="AD57" s="13" t="e">
        <f t="shared" si="166"/>
        <v>#REF!</v>
      </c>
      <c r="AE57" s="13">
        <f t="shared" si="166"/>
        <v>0</v>
      </c>
    </row>
    <row r="58" spans="1:31" ht="5.0999999999999996" customHeight="1"/>
    <row r="59" spans="1:31" ht="12.75" customHeight="1">
      <c r="B59" s="32" t="s">
        <v>46</v>
      </c>
    </row>
    <row r="60" spans="1:31" ht="12.75" customHeight="1">
      <c r="B60" s="8" t="s">
        <v>112</v>
      </c>
      <c r="C60" s="80"/>
      <c r="D60" s="80"/>
      <c r="E60" s="80"/>
      <c r="F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10"/>
      <c r="V60" s="10">
        <f t="shared" ref="V60:V66" si="167">K60</f>
        <v>0</v>
      </c>
      <c r="W60" s="10">
        <f t="shared" ref="W60:W66" si="168">L60</f>
        <v>0</v>
      </c>
      <c r="X60" s="10">
        <f t="shared" ref="X60:X66" si="169">M60</f>
        <v>0</v>
      </c>
      <c r="Y60" s="10">
        <f t="shared" ref="Y60:Y66" si="170">N60</f>
        <v>0</v>
      </c>
      <c r="Z60" s="10">
        <f t="shared" ref="Z60:Z66" si="171">O60</f>
        <v>0</v>
      </c>
      <c r="AA60" s="10">
        <f t="shared" ref="AA60:AA66" si="172">P60</f>
        <v>0</v>
      </c>
      <c r="AB60" s="10">
        <f t="shared" ref="AB60:AB66" si="173">Q60</f>
        <v>0</v>
      </c>
      <c r="AC60" s="10">
        <f t="shared" ref="AC60:AC66" si="174">R60</f>
        <v>0</v>
      </c>
      <c r="AD60" s="10">
        <f t="shared" ref="AD60:AD66" si="175">S60</f>
        <v>0</v>
      </c>
      <c r="AE60" s="10">
        <f t="shared" ref="AE60:AE66" si="176">T60</f>
        <v>0</v>
      </c>
    </row>
    <row r="61" spans="1:31" ht="12.75" customHeight="1">
      <c r="B61" s="8" t="s">
        <v>112</v>
      </c>
      <c r="C61" s="80"/>
      <c r="D61" s="80"/>
      <c r="E61" s="80"/>
      <c r="F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10"/>
      <c r="V61" s="10">
        <f t="shared" si="167"/>
        <v>0</v>
      </c>
      <c r="W61" s="10">
        <f t="shared" si="168"/>
        <v>0</v>
      </c>
      <c r="X61" s="10">
        <f t="shared" si="169"/>
        <v>0</v>
      </c>
      <c r="Y61" s="10">
        <f t="shared" si="170"/>
        <v>0</v>
      </c>
      <c r="Z61" s="10">
        <f t="shared" si="171"/>
        <v>0</v>
      </c>
      <c r="AA61" s="10">
        <f t="shared" si="172"/>
        <v>0</v>
      </c>
      <c r="AB61" s="10">
        <f t="shared" si="173"/>
        <v>0</v>
      </c>
      <c r="AC61" s="10">
        <f t="shared" si="174"/>
        <v>0</v>
      </c>
      <c r="AD61" s="10">
        <f t="shared" si="175"/>
        <v>0</v>
      </c>
      <c r="AE61" s="10">
        <f t="shared" si="176"/>
        <v>0</v>
      </c>
    </row>
    <row r="62" spans="1:31" ht="12.75" customHeight="1">
      <c r="B62" s="8" t="s">
        <v>112</v>
      </c>
      <c r="C62" s="80"/>
      <c r="D62" s="80"/>
      <c r="E62" s="80"/>
      <c r="F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10"/>
      <c r="V62" s="10">
        <f t="shared" si="167"/>
        <v>0</v>
      </c>
      <c r="W62" s="10">
        <f t="shared" si="168"/>
        <v>0</v>
      </c>
      <c r="X62" s="10">
        <f t="shared" si="169"/>
        <v>0</v>
      </c>
      <c r="Y62" s="10">
        <f t="shared" si="170"/>
        <v>0</v>
      </c>
      <c r="Z62" s="10">
        <f t="shared" si="171"/>
        <v>0</v>
      </c>
      <c r="AA62" s="10">
        <f t="shared" si="172"/>
        <v>0</v>
      </c>
      <c r="AB62" s="10">
        <f t="shared" si="173"/>
        <v>0</v>
      </c>
      <c r="AC62" s="10">
        <f t="shared" si="174"/>
        <v>0</v>
      </c>
      <c r="AD62" s="10">
        <f t="shared" si="175"/>
        <v>0</v>
      </c>
      <c r="AE62" s="10">
        <f t="shared" si="176"/>
        <v>0</v>
      </c>
    </row>
    <row r="63" spans="1:31" ht="12.75" customHeight="1">
      <c r="B63" s="8" t="s">
        <v>112</v>
      </c>
      <c r="C63" s="80"/>
      <c r="D63" s="80"/>
      <c r="E63" s="80"/>
      <c r="F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10"/>
      <c r="V63" s="10">
        <f t="shared" si="167"/>
        <v>0</v>
      </c>
      <c r="W63" s="10">
        <f t="shared" si="168"/>
        <v>0</v>
      </c>
      <c r="X63" s="10">
        <f t="shared" si="169"/>
        <v>0</v>
      </c>
      <c r="Y63" s="10">
        <f t="shared" si="170"/>
        <v>0</v>
      </c>
      <c r="Z63" s="10">
        <f t="shared" si="171"/>
        <v>0</v>
      </c>
      <c r="AA63" s="10">
        <f t="shared" si="172"/>
        <v>0</v>
      </c>
      <c r="AB63" s="10">
        <f t="shared" si="173"/>
        <v>0</v>
      </c>
      <c r="AC63" s="10">
        <f t="shared" si="174"/>
        <v>0</v>
      </c>
      <c r="AD63" s="10">
        <f t="shared" si="175"/>
        <v>0</v>
      </c>
      <c r="AE63" s="10">
        <f t="shared" si="176"/>
        <v>0</v>
      </c>
    </row>
    <row r="64" spans="1:31" ht="12.75" customHeight="1">
      <c r="B64" s="8" t="s">
        <v>112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V64" s="10">
        <f t="shared" si="167"/>
        <v>0</v>
      </c>
      <c r="W64" s="10">
        <f t="shared" si="168"/>
        <v>0</v>
      </c>
      <c r="X64" s="10">
        <f t="shared" si="169"/>
        <v>0</v>
      </c>
      <c r="Y64" s="10">
        <f t="shared" si="170"/>
        <v>0</v>
      </c>
      <c r="Z64" s="10">
        <f t="shared" si="171"/>
        <v>0</v>
      </c>
      <c r="AA64" s="10">
        <f t="shared" si="172"/>
        <v>0</v>
      </c>
      <c r="AB64" s="10">
        <f t="shared" si="173"/>
        <v>0</v>
      </c>
      <c r="AC64" s="10">
        <f t="shared" si="174"/>
        <v>0</v>
      </c>
      <c r="AD64" s="10">
        <f t="shared" si="175"/>
        <v>0</v>
      </c>
      <c r="AE64" s="10">
        <f t="shared" si="176"/>
        <v>0</v>
      </c>
    </row>
    <row r="65" spans="2:31" ht="12.75" customHeight="1">
      <c r="B65" s="8" t="s">
        <v>112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V65" s="10">
        <f t="shared" si="167"/>
        <v>0</v>
      </c>
      <c r="W65" s="10">
        <f t="shared" si="168"/>
        <v>0</v>
      </c>
      <c r="X65" s="10">
        <f t="shared" si="169"/>
        <v>0</v>
      </c>
      <c r="Y65" s="10">
        <f t="shared" si="170"/>
        <v>0</v>
      </c>
      <c r="Z65" s="10">
        <f t="shared" si="171"/>
        <v>0</v>
      </c>
      <c r="AA65" s="10">
        <f t="shared" si="172"/>
        <v>0</v>
      </c>
      <c r="AB65" s="10">
        <f t="shared" si="173"/>
        <v>0</v>
      </c>
      <c r="AC65" s="10">
        <f t="shared" si="174"/>
        <v>0</v>
      </c>
      <c r="AD65" s="10">
        <f t="shared" si="175"/>
        <v>0</v>
      </c>
      <c r="AE65" s="10">
        <f t="shared" si="176"/>
        <v>0</v>
      </c>
    </row>
    <row r="66" spans="2:31" ht="12.75" customHeight="1">
      <c r="B66" s="8" t="s">
        <v>112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V66" s="10">
        <f t="shared" si="167"/>
        <v>0</v>
      </c>
      <c r="W66" s="10">
        <f t="shared" si="168"/>
        <v>0</v>
      </c>
      <c r="X66" s="10">
        <f t="shared" si="169"/>
        <v>0</v>
      </c>
      <c r="Y66" s="10">
        <f t="shared" si="170"/>
        <v>0</v>
      </c>
      <c r="Z66" s="10">
        <f t="shared" si="171"/>
        <v>0</v>
      </c>
      <c r="AA66" s="10">
        <f t="shared" si="172"/>
        <v>0</v>
      </c>
      <c r="AB66" s="10">
        <f t="shared" si="173"/>
        <v>0</v>
      </c>
      <c r="AC66" s="10">
        <f t="shared" si="174"/>
        <v>0</v>
      </c>
      <c r="AD66" s="10">
        <f t="shared" si="175"/>
        <v>0</v>
      </c>
      <c r="AE66" s="10">
        <f t="shared" si="176"/>
        <v>0</v>
      </c>
    </row>
    <row r="67" spans="2:31" ht="5.0999999999999996" customHeight="1">
      <c r="F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2:31">
      <c r="B68" s="32" t="s">
        <v>103</v>
      </c>
      <c r="F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2:31">
      <c r="B69" s="8" t="s">
        <v>104</v>
      </c>
      <c r="C69" s="80"/>
      <c r="D69" s="80"/>
      <c r="E69" s="80"/>
      <c r="F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V69" s="10">
        <f t="shared" ref="V69:V70" si="177">K69</f>
        <v>0</v>
      </c>
      <c r="W69" s="10">
        <f t="shared" ref="W69:W70" si="178">L69</f>
        <v>0</v>
      </c>
      <c r="X69" s="10">
        <f t="shared" ref="X69:X70" si="179">M69</f>
        <v>0</v>
      </c>
      <c r="Y69" s="10">
        <f t="shared" ref="Y69:Y70" si="180">N69</f>
        <v>0</v>
      </c>
      <c r="Z69" s="10">
        <f t="shared" ref="Z69:Z70" si="181">O69</f>
        <v>0</v>
      </c>
      <c r="AA69" s="10">
        <f t="shared" ref="AA69:AA70" si="182">P69</f>
        <v>0</v>
      </c>
      <c r="AB69" s="10">
        <f t="shared" ref="AB69:AB70" si="183">Q69</f>
        <v>0</v>
      </c>
      <c r="AC69" s="10">
        <f t="shared" ref="AC69:AC70" si="184">R69</f>
        <v>0</v>
      </c>
      <c r="AD69" s="10">
        <f t="shared" ref="AD69:AD70" si="185">S69</f>
        <v>0</v>
      </c>
      <c r="AE69" s="10">
        <f t="shared" ref="AE69:AE70" si="186">T69</f>
        <v>0</v>
      </c>
    </row>
    <row r="70" spans="2:31">
      <c r="B70" s="8" t="s">
        <v>105</v>
      </c>
      <c r="C70" s="80"/>
      <c r="D70" s="80"/>
      <c r="E70" s="80"/>
      <c r="F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V70" s="10">
        <f t="shared" si="177"/>
        <v>0</v>
      </c>
      <c r="W70" s="10">
        <f t="shared" si="178"/>
        <v>0</v>
      </c>
      <c r="X70" s="10">
        <f t="shared" si="179"/>
        <v>0</v>
      </c>
      <c r="Y70" s="10">
        <f t="shared" si="180"/>
        <v>0</v>
      </c>
      <c r="Z70" s="10">
        <f t="shared" si="181"/>
        <v>0</v>
      </c>
      <c r="AA70" s="10">
        <f t="shared" si="182"/>
        <v>0</v>
      </c>
      <c r="AB70" s="10">
        <f t="shared" si="183"/>
        <v>0</v>
      </c>
      <c r="AC70" s="10">
        <f t="shared" si="184"/>
        <v>0</v>
      </c>
      <c r="AD70" s="10">
        <f t="shared" si="185"/>
        <v>0</v>
      </c>
      <c r="AE70" s="10">
        <f t="shared" si="186"/>
        <v>0</v>
      </c>
    </row>
    <row r="71" spans="2:31">
      <c r="F71" s="10"/>
    </row>
    <row r="72" spans="2:31">
      <c r="B72" s="130" t="s">
        <v>112</v>
      </c>
      <c r="C72" s="75"/>
      <c r="D72" s="75"/>
      <c r="E72" s="75"/>
      <c r="F72" s="75"/>
      <c r="H72" s="75"/>
      <c r="I72" s="75"/>
      <c r="J72" s="75"/>
      <c r="K72" s="106">
        <f t="shared" ref="K72:K74" si="187">D72</f>
        <v>0</v>
      </c>
      <c r="L72" s="75"/>
      <c r="M72" s="75"/>
      <c r="N72" s="75"/>
      <c r="O72" s="106">
        <f t="shared" ref="O72:O74" si="188">E72</f>
        <v>0</v>
      </c>
      <c r="P72" s="75"/>
      <c r="Q72" s="75"/>
      <c r="R72" s="75"/>
      <c r="S72" s="106">
        <f>F72</f>
        <v>0</v>
      </c>
      <c r="T72" s="75"/>
      <c r="V72" s="10">
        <f t="shared" ref="V72:V75" si="189">K72</f>
        <v>0</v>
      </c>
      <c r="W72" s="10">
        <f t="shared" ref="W72:W75" si="190">L72</f>
        <v>0</v>
      </c>
      <c r="X72" s="10">
        <f t="shared" ref="X72:X75" si="191">M72</f>
        <v>0</v>
      </c>
      <c r="Y72" s="10">
        <f t="shared" ref="Y72:Y75" si="192">N72</f>
        <v>0</v>
      </c>
      <c r="Z72" s="10">
        <f t="shared" ref="Z72:Z75" si="193">O72</f>
        <v>0</v>
      </c>
      <c r="AA72" s="10">
        <f t="shared" ref="AA72:AA75" si="194">P72</f>
        <v>0</v>
      </c>
      <c r="AB72" s="10">
        <f t="shared" ref="AB72:AB75" si="195">Q72</f>
        <v>0</v>
      </c>
      <c r="AC72" s="10">
        <f t="shared" ref="AC72:AC75" si="196">R72</f>
        <v>0</v>
      </c>
      <c r="AD72" s="10">
        <f t="shared" ref="AD72:AD75" si="197">S72</f>
        <v>0</v>
      </c>
      <c r="AE72" s="10">
        <f t="shared" ref="AE72:AE75" si="198">T72</f>
        <v>0</v>
      </c>
    </row>
    <row r="73" spans="2:31">
      <c r="B73" s="130" t="s">
        <v>112</v>
      </c>
      <c r="C73" s="75"/>
      <c r="D73" s="75"/>
      <c r="E73" s="75"/>
      <c r="F73" s="75"/>
      <c r="H73" s="75"/>
      <c r="I73" s="75"/>
      <c r="J73" s="75"/>
      <c r="K73" s="106">
        <f t="shared" si="187"/>
        <v>0</v>
      </c>
      <c r="L73" s="75"/>
      <c r="M73" s="75"/>
      <c r="N73" s="75"/>
      <c r="O73" s="106">
        <f t="shared" si="188"/>
        <v>0</v>
      </c>
      <c r="P73" s="75"/>
      <c r="Q73" s="75"/>
      <c r="R73" s="75"/>
      <c r="S73" s="106">
        <f t="shared" ref="S73:S74" si="199">F73</f>
        <v>0</v>
      </c>
      <c r="T73" s="75"/>
      <c r="V73" s="10">
        <f t="shared" si="189"/>
        <v>0</v>
      </c>
      <c r="W73" s="10">
        <f t="shared" si="190"/>
        <v>0</v>
      </c>
      <c r="X73" s="10">
        <f t="shared" si="191"/>
        <v>0</v>
      </c>
      <c r="Y73" s="10">
        <f t="shared" si="192"/>
        <v>0</v>
      </c>
      <c r="Z73" s="10">
        <f t="shared" si="193"/>
        <v>0</v>
      </c>
      <c r="AA73" s="10">
        <f t="shared" si="194"/>
        <v>0</v>
      </c>
      <c r="AB73" s="10">
        <f t="shared" si="195"/>
        <v>0</v>
      </c>
      <c r="AC73" s="10">
        <f t="shared" si="196"/>
        <v>0</v>
      </c>
      <c r="AD73" s="10">
        <f t="shared" si="197"/>
        <v>0</v>
      </c>
      <c r="AE73" s="10">
        <f t="shared" si="198"/>
        <v>0</v>
      </c>
    </row>
    <row r="74" spans="2:31">
      <c r="B74" s="130" t="s">
        <v>112</v>
      </c>
      <c r="C74" s="75"/>
      <c r="D74" s="75"/>
      <c r="E74" s="75"/>
      <c r="F74" s="75"/>
      <c r="H74" s="75"/>
      <c r="I74" s="75"/>
      <c r="J74" s="75"/>
      <c r="K74" s="106">
        <f t="shared" si="187"/>
        <v>0</v>
      </c>
      <c r="L74" s="75"/>
      <c r="M74" s="75"/>
      <c r="N74" s="75"/>
      <c r="O74" s="106">
        <f t="shared" si="188"/>
        <v>0</v>
      </c>
      <c r="P74" s="75"/>
      <c r="Q74" s="75"/>
      <c r="R74" s="75"/>
      <c r="S74" s="106">
        <f t="shared" si="199"/>
        <v>0</v>
      </c>
      <c r="T74" s="75"/>
      <c r="V74" s="10">
        <f t="shared" si="189"/>
        <v>0</v>
      </c>
      <c r="W74" s="10">
        <f t="shared" si="190"/>
        <v>0</v>
      </c>
      <c r="X74" s="10">
        <f t="shared" si="191"/>
        <v>0</v>
      </c>
      <c r="Y74" s="10">
        <f t="shared" si="192"/>
        <v>0</v>
      </c>
      <c r="Z74" s="10">
        <f t="shared" si="193"/>
        <v>0</v>
      </c>
      <c r="AA74" s="10">
        <f t="shared" si="194"/>
        <v>0</v>
      </c>
      <c r="AB74" s="10">
        <f t="shared" si="195"/>
        <v>0</v>
      </c>
      <c r="AC74" s="10">
        <f t="shared" si="196"/>
        <v>0</v>
      </c>
      <c r="AD74" s="10">
        <f t="shared" si="197"/>
        <v>0</v>
      </c>
      <c r="AE74" s="10">
        <f t="shared" si="198"/>
        <v>0</v>
      </c>
    </row>
    <row r="75" spans="2:31">
      <c r="B75" s="130" t="s">
        <v>112</v>
      </c>
      <c r="C75" s="75"/>
      <c r="D75" s="75"/>
      <c r="E75" s="75"/>
      <c r="F75" s="75"/>
      <c r="H75" s="75"/>
      <c r="I75" s="75"/>
      <c r="J75" s="75"/>
      <c r="K75" s="80" t="e">
        <f>'Historical Financials'!#REF!+'Historical Financials'!#REF!</f>
        <v>#REF!</v>
      </c>
      <c r="L75" s="75"/>
      <c r="M75" s="75"/>
      <c r="N75" s="75"/>
      <c r="O75" s="80" t="e">
        <f>'Historical Financials'!#REF!+'Historical Financials'!#REF!</f>
        <v>#REF!</v>
      </c>
      <c r="P75" s="75"/>
      <c r="Q75" s="75"/>
      <c r="R75" s="75"/>
      <c r="S75" s="80" t="e">
        <f>'Historical Financials'!#REF!+'Historical Financials'!#REF!</f>
        <v>#REF!</v>
      </c>
      <c r="T75" s="75"/>
      <c r="V75" s="10" t="e">
        <f t="shared" si="189"/>
        <v>#REF!</v>
      </c>
      <c r="W75" s="10">
        <f t="shared" si="190"/>
        <v>0</v>
      </c>
      <c r="X75" s="10">
        <f t="shared" si="191"/>
        <v>0</v>
      </c>
      <c r="Y75" s="10">
        <f t="shared" si="192"/>
        <v>0</v>
      </c>
      <c r="Z75" s="10" t="e">
        <f t="shared" si="193"/>
        <v>#REF!</v>
      </c>
      <c r="AA75" s="10">
        <f t="shared" si="194"/>
        <v>0</v>
      </c>
      <c r="AB75" s="10">
        <f t="shared" si="195"/>
        <v>0</v>
      </c>
      <c r="AC75" s="10">
        <f t="shared" si="196"/>
        <v>0</v>
      </c>
      <c r="AD75" s="10" t="e">
        <f t="shared" si="197"/>
        <v>#REF!</v>
      </c>
      <c r="AE75" s="10">
        <f t="shared" si="198"/>
        <v>0</v>
      </c>
    </row>
    <row r="76" spans="2:31" ht="12.75" customHeight="1">
      <c r="B76" s="12" t="s">
        <v>23</v>
      </c>
      <c r="C76" s="13">
        <f t="shared" ref="C76:F76" si="200">SUM(C72:C75)</f>
        <v>0</v>
      </c>
      <c r="D76" s="13">
        <f t="shared" si="200"/>
        <v>0</v>
      </c>
      <c r="E76" s="13">
        <f t="shared" si="200"/>
        <v>0</v>
      </c>
      <c r="F76" s="13">
        <f t="shared" si="200"/>
        <v>0</v>
      </c>
      <c r="H76" s="13">
        <f t="shared" ref="H76:S76" si="201">SUM(H72:H75)</f>
        <v>0</v>
      </c>
      <c r="I76" s="13">
        <f t="shared" si="201"/>
        <v>0</v>
      </c>
      <c r="J76" s="13">
        <f t="shared" si="201"/>
        <v>0</v>
      </c>
      <c r="K76" s="13" t="e">
        <f t="shared" si="201"/>
        <v>#REF!</v>
      </c>
      <c r="L76" s="13">
        <f t="shared" si="201"/>
        <v>0</v>
      </c>
      <c r="M76" s="13">
        <f t="shared" si="201"/>
        <v>0</v>
      </c>
      <c r="N76" s="13">
        <f t="shared" si="201"/>
        <v>0</v>
      </c>
      <c r="O76" s="13" t="e">
        <f t="shared" si="201"/>
        <v>#REF!</v>
      </c>
      <c r="P76" s="13">
        <f t="shared" si="201"/>
        <v>0</v>
      </c>
      <c r="Q76" s="13">
        <f t="shared" si="201"/>
        <v>0</v>
      </c>
      <c r="R76" s="13">
        <f t="shared" si="201"/>
        <v>0</v>
      </c>
      <c r="S76" s="13" t="e">
        <f t="shared" si="201"/>
        <v>#REF!</v>
      </c>
      <c r="T76" s="13">
        <f t="shared" ref="T76" si="202">SUM(T72:T75)</f>
        <v>0</v>
      </c>
      <c r="V76" s="13" t="e">
        <f t="shared" ref="V76:AE76" si="203">SUM(V72:V75)</f>
        <v>#REF!</v>
      </c>
      <c r="W76" s="13">
        <f t="shared" si="203"/>
        <v>0</v>
      </c>
      <c r="X76" s="13">
        <f t="shared" si="203"/>
        <v>0</v>
      </c>
      <c r="Y76" s="13">
        <f t="shared" si="203"/>
        <v>0</v>
      </c>
      <c r="Z76" s="13" t="e">
        <f t="shared" si="203"/>
        <v>#REF!</v>
      </c>
      <c r="AA76" s="13">
        <f t="shared" si="203"/>
        <v>0</v>
      </c>
      <c r="AB76" s="13">
        <f t="shared" si="203"/>
        <v>0</v>
      </c>
      <c r="AC76" s="13">
        <f t="shared" si="203"/>
        <v>0</v>
      </c>
      <c r="AD76" s="13" t="e">
        <f t="shared" si="203"/>
        <v>#REF!</v>
      </c>
      <c r="AE76" s="13">
        <f t="shared" si="203"/>
        <v>0</v>
      </c>
    </row>
    <row r="77" spans="2:31" ht="5.0999999999999996" customHeight="1"/>
    <row r="78" spans="2:31" ht="12.75" customHeight="1">
      <c r="B78" s="8" t="s">
        <v>48</v>
      </c>
      <c r="C78" s="80"/>
      <c r="D78" s="80"/>
      <c r="E78" s="80"/>
      <c r="F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V78" s="10">
        <f t="shared" ref="V78" si="204">K78</f>
        <v>0</v>
      </c>
      <c r="W78" s="10">
        <f t="shared" ref="W78" si="205">L78</f>
        <v>0</v>
      </c>
      <c r="X78" s="10">
        <f t="shared" ref="X78" si="206">M78</f>
        <v>0</v>
      </c>
      <c r="Y78" s="10">
        <f t="shared" ref="Y78" si="207">N78</f>
        <v>0</v>
      </c>
      <c r="Z78" s="10">
        <f t="shared" ref="Z78" si="208">O78</f>
        <v>0</v>
      </c>
      <c r="AA78" s="10">
        <f t="shared" ref="AA78" si="209">P78</f>
        <v>0</v>
      </c>
      <c r="AB78" s="10">
        <f t="shared" ref="AB78" si="210">Q78</f>
        <v>0</v>
      </c>
      <c r="AC78" s="10">
        <f t="shared" ref="AC78" si="211">R78</f>
        <v>0</v>
      </c>
      <c r="AD78" s="10">
        <f t="shared" ref="AD78" si="212">S78</f>
        <v>0</v>
      </c>
      <c r="AE78" s="10">
        <f t="shared" ref="AE78" si="213">T78</f>
        <v>0</v>
      </c>
    </row>
    <row r="79" spans="2:31" ht="12.75" customHeight="1">
      <c r="B79" s="12" t="s">
        <v>49</v>
      </c>
      <c r="C79" s="13">
        <f t="shared" ref="C79:F79" si="214">SUM(C76:C78)</f>
        <v>0</v>
      </c>
      <c r="D79" s="13">
        <f t="shared" si="214"/>
        <v>0</v>
      </c>
      <c r="E79" s="13">
        <f t="shared" si="214"/>
        <v>0</v>
      </c>
      <c r="F79" s="13">
        <f t="shared" si="214"/>
        <v>0</v>
      </c>
      <c r="H79" s="13">
        <f>SUM(H76:H78)</f>
        <v>0</v>
      </c>
      <c r="I79" s="13">
        <f>SUM(I76:I78)</f>
        <v>0</v>
      </c>
      <c r="J79" s="13">
        <f>SUM(J76:J78)</f>
        <v>0</v>
      </c>
      <c r="K79" s="13" t="e">
        <f>SUM(K76:K78)</f>
        <v>#REF!</v>
      </c>
      <c r="L79" s="13">
        <f t="shared" ref="L79:Q79" si="215">SUM(L76:L78)</f>
        <v>0</v>
      </c>
      <c r="M79" s="13">
        <f t="shared" si="215"/>
        <v>0</v>
      </c>
      <c r="N79" s="13">
        <f t="shared" si="215"/>
        <v>0</v>
      </c>
      <c r="O79" s="13" t="e">
        <f t="shared" si="215"/>
        <v>#REF!</v>
      </c>
      <c r="P79" s="13">
        <f t="shared" si="215"/>
        <v>0</v>
      </c>
      <c r="Q79" s="13">
        <f t="shared" si="215"/>
        <v>0</v>
      </c>
      <c r="R79" s="13">
        <f t="shared" ref="R79:S79" si="216">SUM(R76:R78)</f>
        <v>0</v>
      </c>
      <c r="S79" s="13" t="e">
        <f t="shared" si="216"/>
        <v>#REF!</v>
      </c>
      <c r="T79" s="13">
        <f t="shared" ref="T79" si="217">SUM(T76:T78)</f>
        <v>0</v>
      </c>
      <c r="V79" s="13" t="e">
        <f t="shared" ref="V79" si="218">SUM(V76:V78)</f>
        <v>#REF!</v>
      </c>
      <c r="W79" s="13">
        <f t="shared" ref="W79:AC79" si="219">SUM(W76:W78)</f>
        <v>0</v>
      </c>
      <c r="X79" s="13">
        <f t="shared" si="219"/>
        <v>0</v>
      </c>
      <c r="Y79" s="13">
        <f t="shared" si="219"/>
        <v>0</v>
      </c>
      <c r="Z79" s="13" t="e">
        <f t="shared" si="219"/>
        <v>#REF!</v>
      </c>
      <c r="AA79" s="13">
        <f t="shared" si="219"/>
        <v>0</v>
      </c>
      <c r="AB79" s="13">
        <f t="shared" si="219"/>
        <v>0</v>
      </c>
      <c r="AC79" s="13">
        <f t="shared" si="219"/>
        <v>0</v>
      </c>
      <c r="AD79" s="13" t="e">
        <f>SUM(AD76:AD78)</f>
        <v>#REF!</v>
      </c>
      <c r="AE79" s="13">
        <f>SUM(AE76:AE78)</f>
        <v>0</v>
      </c>
    </row>
    <row r="80" spans="2:31" ht="5.0999999999999996" customHeight="1"/>
    <row r="81" spans="1:31" ht="12.75" customHeight="1">
      <c r="A81" s="5"/>
      <c r="B81" s="31" t="s">
        <v>73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ht="5.0999999999999996" customHeight="1"/>
    <row r="83" spans="1:31" ht="12.75" customHeight="1">
      <c r="B83" s="29" t="s">
        <v>106</v>
      </c>
      <c r="C83" s="134" t="e">
        <f>C76/C34</f>
        <v>#DIV/0!</v>
      </c>
      <c r="D83" s="134" t="e">
        <f>D76/D34</f>
        <v>#DIV/0!</v>
      </c>
      <c r="E83" s="134" t="e">
        <f>E76/E34</f>
        <v>#DIV/0!</v>
      </c>
      <c r="F83" s="134" t="e">
        <f>F76/F34</f>
        <v>#DIV/0!</v>
      </c>
      <c r="H83" s="136"/>
      <c r="I83" s="136"/>
      <c r="J83" s="136"/>
      <c r="K83" s="134" t="e">
        <f t="shared" ref="K83" si="220">SUM(K76/SUM(H34:K34))</f>
        <v>#REF!</v>
      </c>
      <c r="L83" s="134" t="e">
        <f t="shared" ref="L83" si="221">SUM(L76/SUM(I34:L34))</f>
        <v>#DIV/0!</v>
      </c>
      <c r="M83" s="134" t="e">
        <f t="shared" ref="M83" si="222">SUM(M76/SUM(J34:M34))</f>
        <v>#DIV/0!</v>
      </c>
      <c r="N83" s="134" t="e">
        <f t="shared" ref="N83" si="223">SUM(N76/SUM(K34:N34))</f>
        <v>#DIV/0!</v>
      </c>
      <c r="O83" s="134" t="e">
        <f t="shared" ref="O83" si="224">SUM(O76/SUM(L34:O34))</f>
        <v>#REF!</v>
      </c>
      <c r="P83" s="134" t="e">
        <f t="shared" ref="P83" si="225">SUM(P76/SUM(M34:P34))</f>
        <v>#DIV/0!</v>
      </c>
      <c r="Q83" s="134" t="e">
        <f t="shared" ref="Q83" si="226">SUM(Q76/SUM(N34:Q34))</f>
        <v>#DIV/0!</v>
      </c>
      <c r="R83" s="134" t="e">
        <f t="shared" ref="R83" si="227">SUM(R76/SUM(O34:R34))</f>
        <v>#DIV/0!</v>
      </c>
      <c r="S83" s="134" t="e">
        <f t="shared" ref="S83" si="228">SUM(S76/SUM(P34:S34))</f>
        <v>#REF!</v>
      </c>
      <c r="T83" s="134" t="e">
        <f t="shared" ref="T83" si="229">SUM(T76/SUM(Q34:T34))</f>
        <v>#DIV/0!</v>
      </c>
      <c r="U83" s="134"/>
      <c r="V83" s="134" t="e">
        <f t="shared" ref="V83:AE83" si="230">V76/V34</f>
        <v>#REF!</v>
      </c>
      <c r="W83" s="134" t="e">
        <f t="shared" si="230"/>
        <v>#DIV/0!</v>
      </c>
      <c r="X83" s="134" t="e">
        <f t="shared" si="230"/>
        <v>#DIV/0!</v>
      </c>
      <c r="Y83" s="134" t="e">
        <f t="shared" si="230"/>
        <v>#DIV/0!</v>
      </c>
      <c r="Z83" s="134" t="e">
        <f t="shared" si="230"/>
        <v>#REF!</v>
      </c>
      <c r="AA83" s="134" t="e">
        <f t="shared" si="230"/>
        <v>#DIV/0!</v>
      </c>
      <c r="AB83" s="134" t="e">
        <f t="shared" si="230"/>
        <v>#DIV/0!</v>
      </c>
      <c r="AC83" s="134" t="e">
        <f t="shared" si="230"/>
        <v>#DIV/0!</v>
      </c>
      <c r="AD83" s="134" t="e">
        <f t="shared" si="230"/>
        <v>#REF!</v>
      </c>
      <c r="AE83" s="134" t="e">
        <f t="shared" si="230"/>
        <v>#DIV/0!</v>
      </c>
    </row>
    <row r="84" spans="1:31" ht="12.75" customHeight="1">
      <c r="B84" s="29" t="s">
        <v>107</v>
      </c>
      <c r="C84" s="134" t="e">
        <f>SUM(C76-C54)/C34</f>
        <v>#DIV/0!</v>
      </c>
      <c r="D84" s="134" t="e">
        <f>SUM(D76-D54)/D34</f>
        <v>#DIV/0!</v>
      </c>
      <c r="E84" s="134" t="e">
        <f>SUM(E76-E54)/E34</f>
        <v>#DIV/0!</v>
      </c>
      <c r="F84" s="134" t="e">
        <f>SUM(F76-F54)/F34</f>
        <v>#DIV/0!</v>
      </c>
      <c r="H84" s="136"/>
      <c r="I84" s="136"/>
      <c r="J84" s="136"/>
      <c r="K84" s="134" t="e">
        <f t="shared" ref="K84" si="231">SUM(K76-K54)/SUM(H34:K34)</f>
        <v>#REF!</v>
      </c>
      <c r="L84" s="134" t="e">
        <f t="shared" ref="L84" si="232">SUM(L76-L54)/SUM(I34:L34)</f>
        <v>#DIV/0!</v>
      </c>
      <c r="M84" s="134" t="e">
        <f t="shared" ref="M84" si="233">SUM(M76-M54)/SUM(J34:M34)</f>
        <v>#DIV/0!</v>
      </c>
      <c r="N84" s="134" t="e">
        <f t="shared" ref="N84" si="234">SUM(N76-N54)/SUM(K34:N34)</f>
        <v>#DIV/0!</v>
      </c>
      <c r="O84" s="134" t="e">
        <f t="shared" ref="O84" si="235">SUM(O76-O54)/SUM(L34:O34)</f>
        <v>#REF!</v>
      </c>
      <c r="P84" s="134" t="e">
        <f t="shared" ref="P84" si="236">SUM(P76-P54)/SUM(M34:P34)</f>
        <v>#DIV/0!</v>
      </c>
      <c r="Q84" s="134" t="e">
        <f t="shared" ref="Q84" si="237">SUM(Q76-Q54)/SUM(N34:Q34)</f>
        <v>#DIV/0!</v>
      </c>
      <c r="R84" s="134" t="e">
        <f t="shared" ref="R84" si="238">SUM(R76-R54)/SUM(O34:R34)</f>
        <v>#DIV/0!</v>
      </c>
      <c r="S84" s="134" t="e">
        <f t="shared" ref="S84" si="239">SUM(S76-S54)/SUM(P34:S34)</f>
        <v>#REF!</v>
      </c>
      <c r="T84" s="134" t="e">
        <f t="shared" ref="T84" si="240">SUM(T76-T54)/SUM(Q34:T34)</f>
        <v>#DIV/0!</v>
      </c>
      <c r="U84" s="134"/>
      <c r="V84" s="134" t="e">
        <f t="shared" ref="V84:AE84" si="241">SUM(V76-V54)/V34</f>
        <v>#REF!</v>
      </c>
      <c r="W84" s="134" t="e">
        <f t="shared" si="241"/>
        <v>#DIV/0!</v>
      </c>
      <c r="X84" s="134" t="e">
        <f t="shared" si="241"/>
        <v>#DIV/0!</v>
      </c>
      <c r="Y84" s="134" t="e">
        <f t="shared" si="241"/>
        <v>#DIV/0!</v>
      </c>
      <c r="Z84" s="134" t="e">
        <f t="shared" si="241"/>
        <v>#REF!</v>
      </c>
      <c r="AA84" s="134" t="e">
        <f t="shared" si="241"/>
        <v>#DIV/0!</v>
      </c>
      <c r="AB84" s="134" t="e">
        <f t="shared" si="241"/>
        <v>#DIV/0!</v>
      </c>
      <c r="AC84" s="134" t="e">
        <f t="shared" si="241"/>
        <v>#DIV/0!</v>
      </c>
      <c r="AD84" s="134" t="e">
        <f t="shared" si="241"/>
        <v>#REF!</v>
      </c>
      <c r="AE84" s="134" t="e">
        <f t="shared" si="241"/>
        <v>#DIV/0!</v>
      </c>
    </row>
    <row r="85" spans="1:31" ht="12.75" customHeight="1">
      <c r="B85" s="29" t="s">
        <v>108</v>
      </c>
      <c r="C85" s="134" t="e">
        <f>C34/-C39</f>
        <v>#DIV/0!</v>
      </c>
      <c r="D85" s="134" t="e">
        <f>D34/-D39</f>
        <v>#DIV/0!</v>
      </c>
      <c r="E85" s="134" t="e">
        <f>E34/-E39</f>
        <v>#DIV/0!</v>
      </c>
      <c r="F85" s="134" t="e">
        <f>F34/-F39</f>
        <v>#DIV/0!</v>
      </c>
      <c r="H85" s="136"/>
      <c r="I85" s="136"/>
      <c r="J85" s="136"/>
      <c r="K85" s="134" t="e" cm="1">
        <f t="array" ref="K85">SUM(H34:K34)/SUM(-H39:K39)</f>
        <v>#DIV/0!</v>
      </c>
      <c r="L85" s="134" t="e" cm="1">
        <f t="array" ref="L85">SUM(I34:L34)/SUM(-I39:L39)</f>
        <v>#DIV/0!</v>
      </c>
      <c r="M85" s="134" t="e" cm="1">
        <f t="array" ref="M85">SUM(J34:M34)/SUM(-J39:M39)</f>
        <v>#DIV/0!</v>
      </c>
      <c r="N85" s="134" t="e" cm="1">
        <f t="array" ref="N85">SUM(K34:N34)/SUM(-K39:N39)</f>
        <v>#DIV/0!</v>
      </c>
      <c r="O85" s="134" t="e" cm="1">
        <f t="array" ref="O85">SUM(L34:O34)/SUM(-L39:O39)</f>
        <v>#DIV/0!</v>
      </c>
      <c r="P85" s="134" t="e" cm="1">
        <f t="array" ref="P85">SUM(M34:P34)/SUM(-M39:P39)</f>
        <v>#DIV/0!</v>
      </c>
      <c r="Q85" s="134" t="e" cm="1">
        <f t="array" ref="Q85">SUM(N34:Q34)/SUM(-N39:Q39)</f>
        <v>#DIV/0!</v>
      </c>
      <c r="R85" s="134" t="e" cm="1">
        <f t="array" ref="R85">SUM(O34:R34)/SUM(-O39:R39)</f>
        <v>#DIV/0!</v>
      </c>
      <c r="S85" s="134" t="e" cm="1">
        <f t="array" ref="S85">SUM(P34:S34)/SUM(-P39:S39)</f>
        <v>#DIV/0!</v>
      </c>
      <c r="T85" s="134" t="e" cm="1">
        <f t="array" ref="T85">SUM(Q34:T34)/SUM(-Q39:T39)</f>
        <v>#DIV/0!</v>
      </c>
      <c r="U85" s="134"/>
      <c r="V85" s="134" t="e">
        <f t="shared" ref="V85:AE85" si="242">V34/-V39</f>
        <v>#DIV/0!</v>
      </c>
      <c r="W85" s="134" t="e">
        <f t="shared" si="242"/>
        <v>#DIV/0!</v>
      </c>
      <c r="X85" s="134" t="e">
        <f t="shared" si="242"/>
        <v>#DIV/0!</v>
      </c>
      <c r="Y85" s="134" t="e">
        <f t="shared" si="242"/>
        <v>#DIV/0!</v>
      </c>
      <c r="Z85" s="134" t="e">
        <f t="shared" si="242"/>
        <v>#DIV/0!</v>
      </c>
      <c r="AA85" s="134" t="e">
        <f t="shared" si="242"/>
        <v>#DIV/0!</v>
      </c>
      <c r="AB85" s="134" t="e">
        <f t="shared" si="242"/>
        <v>#DIV/0!</v>
      </c>
      <c r="AC85" s="134" t="e">
        <f t="shared" si="242"/>
        <v>#DIV/0!</v>
      </c>
      <c r="AD85" s="134" t="e">
        <f t="shared" si="242"/>
        <v>#DIV/0!</v>
      </c>
      <c r="AE85" s="134" t="e">
        <f t="shared" si="242"/>
        <v>#DIV/0!</v>
      </c>
    </row>
    <row r="86" spans="1:31" ht="12.75" customHeight="1">
      <c r="B86" s="29" t="s">
        <v>109</v>
      </c>
      <c r="C86" s="134" t="e" cm="1">
        <f t="array" ref="C86">SUM(C34+C37)/SUM(-C38:C39)</f>
        <v>#DIV/0!</v>
      </c>
      <c r="D86" s="134" t="e" cm="1">
        <f t="array" ref="D86">SUM(D34+D37)/SUM(-D38:D39)</f>
        <v>#DIV/0!</v>
      </c>
      <c r="E86" s="134" t="e" cm="1">
        <f t="array" ref="E86">SUM(E34+E37)/SUM(-E38:E39)</f>
        <v>#DIV/0!</v>
      </c>
      <c r="F86" s="134" t="e" cm="1">
        <f t="array" ref="F86">SUM(F34+F37)/SUM(-F38:F39)</f>
        <v>#DIV/0!</v>
      </c>
      <c r="H86" s="136"/>
      <c r="I86" s="136"/>
      <c r="J86" s="136"/>
      <c r="K86" s="134" t="e" cm="1">
        <f t="array" ref="K86">SUM(H34:K34+H37:K37)/SUM(-H38:K39)</f>
        <v>#DIV/0!</v>
      </c>
      <c r="L86" s="134" t="e" cm="1">
        <f t="array" ref="L86">SUM(I34:L34+I37:L37)/SUM(-I38:L39)</f>
        <v>#DIV/0!</v>
      </c>
      <c r="M86" s="134" t="e" cm="1">
        <f t="array" ref="M86">SUM(J34:M34+J37:M37)/SUM(-J38:M39)</f>
        <v>#DIV/0!</v>
      </c>
      <c r="N86" s="134" t="e" cm="1">
        <f t="array" ref="N86">SUM(K34:N34+K37:N37)/SUM(-K38:N39)</f>
        <v>#DIV/0!</v>
      </c>
      <c r="O86" s="134" t="e" cm="1">
        <f t="array" ref="O86">SUM(L34:O34+L37:O37)/SUM(-L38:O39)</f>
        <v>#DIV/0!</v>
      </c>
      <c r="P86" s="134" t="e" cm="1">
        <f t="array" ref="P86">SUM(M34:P34+M37:P37)/SUM(-M38:P39)</f>
        <v>#DIV/0!</v>
      </c>
      <c r="Q86" s="134" t="e" cm="1">
        <f t="array" ref="Q86">SUM(N34:Q34+N37:Q37)/SUM(-N38:Q39)</f>
        <v>#DIV/0!</v>
      </c>
      <c r="R86" s="134" t="e" cm="1">
        <f t="array" ref="R86">SUM(O34:R34+O37:R37)/SUM(-O38:R39)</f>
        <v>#DIV/0!</v>
      </c>
      <c r="S86" s="134" t="e" cm="1">
        <f t="array" ref="S86">SUM(P34:S34+P37:S37)/SUM(-P38:S39)</f>
        <v>#DIV/0!</v>
      </c>
      <c r="T86" s="134" t="e" cm="1">
        <f t="array" ref="T86">SUM(Q34:T34+Q37:T37)/SUM(-Q38:T39)</f>
        <v>#DIV/0!</v>
      </c>
      <c r="U86" s="134"/>
      <c r="V86" s="134" t="e" cm="1">
        <f t="array" ref="V86">SUM(V34+V37)/SUM(-V38:V39)</f>
        <v>#DIV/0!</v>
      </c>
      <c r="W86" s="134" t="e" cm="1">
        <f t="array" ref="W86">SUM(W34+W37)/SUM(-W38:W39)</f>
        <v>#DIV/0!</v>
      </c>
      <c r="X86" s="134" t="e" cm="1">
        <f t="array" ref="X86">SUM(X34+X37)/SUM(-X38:X39)</f>
        <v>#DIV/0!</v>
      </c>
      <c r="Y86" s="134" t="e" cm="1">
        <f t="array" ref="Y86">SUM(Y34+Y37)/SUM(-Y38:Y39)</f>
        <v>#DIV/0!</v>
      </c>
      <c r="Z86" s="134" t="e" cm="1">
        <f t="array" ref="Z86">SUM(Z34+Z37)/SUM(-Z38:Z39)</f>
        <v>#DIV/0!</v>
      </c>
      <c r="AA86" s="134" t="e" cm="1">
        <f t="array" ref="AA86">SUM(AA34+AA37)/SUM(-AA38:AA39)</f>
        <v>#DIV/0!</v>
      </c>
      <c r="AB86" s="134" t="e" cm="1">
        <f t="array" ref="AB86">SUM(AB34+AB37)/SUM(-AB38:AB39)</f>
        <v>#DIV/0!</v>
      </c>
      <c r="AC86" s="134" t="e" cm="1">
        <f t="array" ref="AC86">SUM(AC34+AC37)/SUM(-AC38:AC39)</f>
        <v>#DIV/0!</v>
      </c>
      <c r="AD86" s="134" t="e" cm="1">
        <f t="array" ref="AD86">SUM(AD34+AD37)/SUM(-AD38:AD39)</f>
        <v>#DIV/0!</v>
      </c>
      <c r="AE86" s="134" t="e" cm="1">
        <f t="array" ref="AE86">SUM(AE34+AE37)/SUM(-AE38:AE39)</f>
        <v>#DIV/0!</v>
      </c>
    </row>
    <row r="87" spans="1:31" ht="12.75" customHeight="1">
      <c r="B87" s="29" t="s">
        <v>110</v>
      </c>
      <c r="C87" s="134" t="e" cm="1">
        <f t="array" ref="C87">SUM(C34)/SUM(-C37:C39)</f>
        <v>#DIV/0!</v>
      </c>
      <c r="D87" s="134" t="e" cm="1">
        <f t="array" ref="D87">SUM(D34)/SUM(-D37:D39)</f>
        <v>#DIV/0!</v>
      </c>
      <c r="E87" s="134" t="e" cm="1">
        <f t="array" ref="E87">SUM(E34)/SUM(-E37:E39)</f>
        <v>#DIV/0!</v>
      </c>
      <c r="F87" s="134" t="e" cm="1">
        <f t="array" ref="F87">SUM(F34)/SUM(-F37:F39)</f>
        <v>#DIV/0!</v>
      </c>
      <c r="H87" s="136"/>
      <c r="I87" s="136"/>
      <c r="J87" s="136"/>
      <c r="K87" s="134" t="e" cm="1">
        <f t="array" ref="K87">SUM(H34:K34)/SUM(-H37:K39)</f>
        <v>#DIV/0!</v>
      </c>
      <c r="L87" s="134" t="e" cm="1">
        <f t="array" ref="L87">SUM(I34:L34)/SUM(-I37:L39)</f>
        <v>#DIV/0!</v>
      </c>
      <c r="M87" s="134" t="e" cm="1">
        <f t="array" ref="M87">SUM(J34:M34)/SUM(-J37:M39)</f>
        <v>#DIV/0!</v>
      </c>
      <c r="N87" s="134" t="e" cm="1">
        <f t="array" ref="N87">SUM(K34:N34)/SUM(-K37:N39)</f>
        <v>#DIV/0!</v>
      </c>
      <c r="O87" s="134" t="e" cm="1">
        <f t="array" ref="O87">SUM(L34:O34)/SUM(-L37:O39)</f>
        <v>#DIV/0!</v>
      </c>
      <c r="P87" s="134" t="e" cm="1">
        <f t="array" ref="P87">SUM(M34:P34)/SUM(-M37:P39)</f>
        <v>#DIV/0!</v>
      </c>
      <c r="Q87" s="134" t="e" cm="1">
        <f t="array" ref="Q87">SUM(N34:Q34)/SUM(-N37:Q39)</f>
        <v>#DIV/0!</v>
      </c>
      <c r="R87" s="134" t="e" cm="1">
        <f t="array" ref="R87">SUM(O34:R34)/SUM(-O37:R39)</f>
        <v>#DIV/0!</v>
      </c>
      <c r="S87" s="134" t="e" cm="1">
        <f t="array" ref="S87">SUM(P34:S34)/SUM(-P37:S39)</f>
        <v>#DIV/0!</v>
      </c>
      <c r="T87" s="134" t="e" cm="1">
        <f t="array" ref="T87">SUM(Q34:T34)/SUM(-Q37:T39)</f>
        <v>#DIV/0!</v>
      </c>
      <c r="U87" s="134"/>
      <c r="V87" s="134" t="e" cm="1">
        <f t="array" ref="V87">SUM(V34)/SUM(-V37:V39)</f>
        <v>#DIV/0!</v>
      </c>
      <c r="W87" s="134" t="e" cm="1">
        <f t="array" ref="W87">SUM(W34)/SUM(-W37:W39)</f>
        <v>#DIV/0!</v>
      </c>
      <c r="X87" s="134" t="e" cm="1">
        <f t="array" ref="X87">SUM(X34)/SUM(-X37:X39)</f>
        <v>#DIV/0!</v>
      </c>
      <c r="Y87" s="134" t="e" cm="1">
        <f t="array" ref="Y87">SUM(Y34)/SUM(-Y37:Y39)</f>
        <v>#DIV/0!</v>
      </c>
      <c r="Z87" s="134" t="e" cm="1">
        <f t="array" ref="Z87">SUM(Z34)/SUM(-Z37:Z39)</f>
        <v>#DIV/0!</v>
      </c>
      <c r="AA87" s="134" t="e" cm="1">
        <f t="array" ref="AA87">SUM(AA34)/SUM(-AA37:AA39)</f>
        <v>#DIV/0!</v>
      </c>
      <c r="AB87" s="134" t="e" cm="1">
        <f t="array" ref="AB87">SUM(AB34)/SUM(-AB37:AB39)</f>
        <v>#DIV/0!</v>
      </c>
      <c r="AC87" s="134" t="e" cm="1">
        <f t="array" ref="AC87">SUM(AC34)/SUM(-AC37:AC39)</f>
        <v>#DIV/0!</v>
      </c>
      <c r="AD87" s="134" t="e" cm="1">
        <f t="array" ref="AD87">SUM(AD34)/SUM(-AD37:AD39)</f>
        <v>#DIV/0!</v>
      </c>
      <c r="AE87" s="134" t="e" cm="1">
        <f t="array" ref="AE87">SUM(AE34)/SUM(-AE37:AE39)</f>
        <v>#DIV/0!</v>
      </c>
    </row>
    <row r="88" spans="1:31" ht="12.75" customHeight="1">
      <c r="B88" s="8" t="s">
        <v>50</v>
      </c>
      <c r="C88" s="134" t="e">
        <f t="shared" ref="C88:F88" si="243">C79/C76</f>
        <v>#DIV/0!</v>
      </c>
      <c r="D88" s="134" t="e">
        <f t="shared" si="243"/>
        <v>#DIV/0!</v>
      </c>
      <c r="E88" s="134" t="e">
        <f t="shared" si="243"/>
        <v>#DIV/0!</v>
      </c>
      <c r="F88" s="134" t="e">
        <f t="shared" si="243"/>
        <v>#DIV/0!</v>
      </c>
      <c r="H88" s="136"/>
      <c r="I88" s="136"/>
      <c r="J88" s="136"/>
      <c r="K88" s="134" t="e">
        <f t="shared" ref="K88:S88" si="244">K79/K76</f>
        <v>#REF!</v>
      </c>
      <c r="L88" s="134" t="e">
        <f t="shared" si="244"/>
        <v>#DIV/0!</v>
      </c>
      <c r="M88" s="134" t="e">
        <f t="shared" si="244"/>
        <v>#DIV/0!</v>
      </c>
      <c r="N88" s="134" t="e">
        <f t="shared" si="244"/>
        <v>#DIV/0!</v>
      </c>
      <c r="O88" s="134" t="e">
        <f t="shared" si="244"/>
        <v>#REF!</v>
      </c>
      <c r="P88" s="134" t="e">
        <f t="shared" si="244"/>
        <v>#DIV/0!</v>
      </c>
      <c r="Q88" s="134" t="e">
        <f t="shared" si="244"/>
        <v>#DIV/0!</v>
      </c>
      <c r="R88" s="134" t="e">
        <f t="shared" si="244"/>
        <v>#DIV/0!</v>
      </c>
      <c r="S88" s="134" t="e">
        <f t="shared" si="244"/>
        <v>#REF!</v>
      </c>
      <c r="T88" s="134" t="e">
        <f t="shared" ref="T88" si="245">T79/T76</f>
        <v>#DIV/0!</v>
      </c>
      <c r="U88" s="134"/>
      <c r="V88" s="134" t="e">
        <f t="shared" ref="V88" si="246">V79/V76</f>
        <v>#REF!</v>
      </c>
      <c r="W88" s="134" t="e">
        <f t="shared" ref="W88:AC88" si="247">W79/W76</f>
        <v>#DIV/0!</v>
      </c>
      <c r="X88" s="134" t="e">
        <f t="shared" si="247"/>
        <v>#DIV/0!</v>
      </c>
      <c r="Y88" s="134" t="e">
        <f t="shared" si="247"/>
        <v>#DIV/0!</v>
      </c>
      <c r="Z88" s="134" t="e">
        <f t="shared" si="247"/>
        <v>#REF!</v>
      </c>
      <c r="AA88" s="134" t="e">
        <f t="shared" si="247"/>
        <v>#DIV/0!</v>
      </c>
      <c r="AB88" s="134" t="e">
        <f t="shared" si="247"/>
        <v>#DIV/0!</v>
      </c>
      <c r="AC88" s="134" t="e">
        <f t="shared" si="247"/>
        <v>#DIV/0!</v>
      </c>
      <c r="AD88" s="134" t="e">
        <f>AD79/AD76</f>
        <v>#REF!</v>
      </c>
      <c r="AE88" s="134" t="e">
        <f>AE79/AE76</f>
        <v>#DIV/0!</v>
      </c>
    </row>
    <row r="89" spans="1:31" ht="5.0999999999999996" customHeight="1" thickBot="1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</row>
  </sheetData>
  <mergeCells count="1">
    <mergeCell ref="AG2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2025-12-25T10:05:48Z</dcterms:modified>
</cp:coreProperties>
</file>