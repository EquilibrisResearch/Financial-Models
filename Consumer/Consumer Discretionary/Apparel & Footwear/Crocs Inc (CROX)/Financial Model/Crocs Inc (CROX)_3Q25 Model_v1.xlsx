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2AB49B59-DCD1-4E09-B149-10676513653A}" xr6:coauthVersionLast="47" xr6:coauthVersionMax="47" xr10:uidLastSave="{00000000-0000-0000-0000-000000000000}"/>
  <bookViews>
    <workbookView xWindow="2868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10" l="1"/>
  <c r="AA32" i="10"/>
  <c r="AA29" i="10"/>
  <c r="AA28" i="10"/>
  <c r="AA27" i="10"/>
  <c r="AA24" i="10"/>
  <c r="AA20" i="10"/>
  <c r="AA19" i="10"/>
  <c r="AA18" i="10"/>
  <c r="AA15" i="10"/>
  <c r="AA11" i="10"/>
  <c r="AA10" i="10"/>
  <c r="AA9" i="10"/>
  <c r="AA23" i="10"/>
  <c r="AA14" i="10"/>
  <c r="I48" i="11"/>
  <c r="I47" i="11"/>
  <c r="H48" i="11"/>
  <c r="H47" i="11"/>
  <c r="G48" i="11"/>
  <c r="G47" i="11"/>
  <c r="E47" i="11"/>
  <c r="D47" i="11"/>
  <c r="J47" i="11" s="1"/>
  <c r="S47" i="11" s="1"/>
  <c r="C47" i="11"/>
  <c r="M47" i="11"/>
  <c r="L47" i="11"/>
  <c r="U47" i="11" s="1"/>
  <c r="K47" i="11"/>
  <c r="T47" i="11" s="1"/>
  <c r="P47" i="11"/>
  <c r="Y47" i="11" s="1"/>
  <c r="O47" i="11"/>
  <c r="C48" i="11"/>
  <c r="Z47" i="11"/>
  <c r="X47" i="11"/>
  <c r="V47" i="11"/>
  <c r="Y51" i="11"/>
  <c r="X51" i="11"/>
  <c r="W51" i="11"/>
  <c r="V51" i="11"/>
  <c r="U51" i="11"/>
  <c r="T51" i="11"/>
  <c r="S51" i="11"/>
  <c r="Y50" i="11"/>
  <c r="X50" i="11"/>
  <c r="W50" i="11"/>
  <c r="V50" i="11"/>
  <c r="U50" i="11"/>
  <c r="T50" i="11"/>
  <c r="S50" i="11"/>
  <c r="Z51" i="11"/>
  <c r="Z50" i="11"/>
  <c r="D48" i="11"/>
  <c r="M48" i="11"/>
  <c r="L48" i="11"/>
  <c r="K48" i="11"/>
  <c r="T48" i="11" s="1"/>
  <c r="Q47" i="11"/>
  <c r="N51" i="11"/>
  <c r="J51" i="11"/>
  <c r="E48" i="11"/>
  <c r="N47" i="11"/>
  <c r="W47" i="11" s="1"/>
  <c r="O48" i="11"/>
  <c r="P48" i="11"/>
  <c r="Y48" i="11" s="1"/>
  <c r="Y68" i="11"/>
  <c r="J50" i="11"/>
  <c r="N50" i="11"/>
  <c r="N68" i="11"/>
  <c r="J68" i="11"/>
  <c r="Q72" i="11"/>
  <c r="P72" i="11"/>
  <c r="O72" i="11"/>
  <c r="X72" i="11" s="1"/>
  <c r="N72" i="11"/>
  <c r="W72" i="11" s="1"/>
  <c r="M72" i="11"/>
  <c r="L72" i="11"/>
  <c r="K72" i="11"/>
  <c r="T72" i="11" s="1"/>
  <c r="J72" i="11"/>
  <c r="S72" i="11" s="1"/>
  <c r="I72" i="11"/>
  <c r="H72" i="11"/>
  <c r="G72" i="11"/>
  <c r="E72" i="11"/>
  <c r="D72" i="11"/>
  <c r="C72" i="11"/>
  <c r="Z68" i="11"/>
  <c r="Q48" i="11"/>
  <c r="Z48" i="11" s="1"/>
  <c r="Q63" i="11"/>
  <c r="Z63" i="11" s="1"/>
  <c r="P63" i="11"/>
  <c r="Y63" i="11" s="1"/>
  <c r="O63" i="11"/>
  <c r="X63" i="11" s="1"/>
  <c r="N63" i="11"/>
  <c r="W63" i="11" s="1"/>
  <c r="M63" i="11"/>
  <c r="L63" i="11"/>
  <c r="K63" i="11"/>
  <c r="T63" i="11" s="1"/>
  <c r="J63" i="11"/>
  <c r="S63" i="11" s="1"/>
  <c r="I63" i="11"/>
  <c r="H63" i="11"/>
  <c r="Q62" i="11"/>
  <c r="Z62" i="11" s="1"/>
  <c r="P62" i="11"/>
  <c r="Y62" i="11" s="1"/>
  <c r="O62" i="11"/>
  <c r="N62" i="11"/>
  <c r="M62" i="11"/>
  <c r="V62" i="11" s="1"/>
  <c r="L62" i="11"/>
  <c r="U62" i="11" s="1"/>
  <c r="K62" i="11"/>
  <c r="T62" i="11" s="1"/>
  <c r="J62" i="11"/>
  <c r="I62" i="11"/>
  <c r="H62" i="11"/>
  <c r="G63" i="11"/>
  <c r="G62" i="11"/>
  <c r="E63" i="11"/>
  <c r="D63" i="11"/>
  <c r="E62" i="11"/>
  <c r="D62" i="11"/>
  <c r="C63" i="11"/>
  <c r="C62" i="11"/>
  <c r="Q59" i="11"/>
  <c r="P59" i="11"/>
  <c r="O59" i="11"/>
  <c r="X59" i="11" s="1"/>
  <c r="N59" i="11"/>
  <c r="W59" i="11" s="1"/>
  <c r="M59" i="11"/>
  <c r="V59" i="11" s="1"/>
  <c r="L59" i="11"/>
  <c r="U59" i="11" s="1"/>
  <c r="K59" i="11"/>
  <c r="T59" i="11" s="1"/>
  <c r="J59" i="11"/>
  <c r="S59" i="11" s="1"/>
  <c r="I59" i="11"/>
  <c r="H59" i="11"/>
  <c r="Q58" i="11"/>
  <c r="Z58" i="11" s="1"/>
  <c r="P58" i="11"/>
  <c r="Y58" i="11" s="1"/>
  <c r="O58" i="11"/>
  <c r="X58" i="11" s="1"/>
  <c r="N58" i="11"/>
  <c r="M58" i="11"/>
  <c r="V58" i="11" s="1"/>
  <c r="L58" i="11"/>
  <c r="U58" i="11" s="1"/>
  <c r="K58" i="11"/>
  <c r="J58" i="11"/>
  <c r="I58" i="11"/>
  <c r="H58" i="11"/>
  <c r="Q57" i="11"/>
  <c r="Z57" i="11" s="1"/>
  <c r="P57" i="11"/>
  <c r="Y57" i="11" s="1"/>
  <c r="O57" i="11"/>
  <c r="X57" i="11" s="1"/>
  <c r="N57" i="11"/>
  <c r="M57" i="11"/>
  <c r="L57" i="11"/>
  <c r="U57" i="11" s="1"/>
  <c r="K57" i="11"/>
  <c r="T57" i="11" s="1"/>
  <c r="J57" i="11"/>
  <c r="S57" i="11" s="1"/>
  <c r="I57" i="11"/>
  <c r="H57" i="11"/>
  <c r="Q56" i="11"/>
  <c r="Z56" i="11" s="1"/>
  <c r="P56" i="11"/>
  <c r="Y56" i="11" s="1"/>
  <c r="O56" i="11"/>
  <c r="N56" i="11"/>
  <c r="W56" i="11" s="1"/>
  <c r="M56" i="11"/>
  <c r="V56" i="11" s="1"/>
  <c r="L56" i="11"/>
  <c r="U56" i="11" s="1"/>
  <c r="K56" i="11"/>
  <c r="T56" i="11" s="1"/>
  <c r="J56" i="11"/>
  <c r="S56" i="11" s="1"/>
  <c r="I56" i="11"/>
  <c r="H56" i="11"/>
  <c r="Q55" i="11"/>
  <c r="P55" i="11"/>
  <c r="Y55" i="11" s="1"/>
  <c r="O55" i="11"/>
  <c r="X55" i="11" s="1"/>
  <c r="N55" i="11"/>
  <c r="W55" i="11" s="1"/>
  <c r="M55" i="11"/>
  <c r="V55" i="11" s="1"/>
  <c r="L55" i="11"/>
  <c r="K55" i="11"/>
  <c r="T55" i="11" s="1"/>
  <c r="J55" i="11"/>
  <c r="S55" i="11" s="1"/>
  <c r="I55" i="11"/>
  <c r="H55" i="11"/>
  <c r="Q54" i="11"/>
  <c r="Z54" i="11" s="1"/>
  <c r="P54" i="11"/>
  <c r="Y54" i="11" s="1"/>
  <c r="O54" i="11"/>
  <c r="X54" i="11" s="1"/>
  <c r="N54" i="11"/>
  <c r="M54" i="11"/>
  <c r="V54" i="11" s="1"/>
  <c r="L54" i="11"/>
  <c r="K54" i="11"/>
  <c r="J54" i="11"/>
  <c r="S54" i="11" s="1"/>
  <c r="I54" i="11"/>
  <c r="H54" i="11"/>
  <c r="G59" i="11"/>
  <c r="G58" i="11"/>
  <c r="G57" i="11"/>
  <c r="G56" i="11"/>
  <c r="G55" i="11"/>
  <c r="G54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C59" i="11"/>
  <c r="C58" i="11"/>
  <c r="C57" i="11"/>
  <c r="C56" i="11"/>
  <c r="C55" i="11"/>
  <c r="C54" i="11"/>
  <c r="Q46" i="11"/>
  <c r="Z46" i="11" s="1"/>
  <c r="P46" i="11"/>
  <c r="Y46" i="11" s="1"/>
  <c r="O46" i="11"/>
  <c r="X46" i="11" s="1"/>
  <c r="N46" i="11"/>
  <c r="W46" i="11" s="1"/>
  <c r="M46" i="11"/>
  <c r="L46" i="11"/>
  <c r="K46" i="11"/>
  <c r="T46" i="11" s="1"/>
  <c r="J46" i="11"/>
  <c r="S46" i="11" s="1"/>
  <c r="I46" i="11"/>
  <c r="H46" i="11"/>
  <c r="Q45" i="11"/>
  <c r="Z45" i="11" s="1"/>
  <c r="P45" i="11"/>
  <c r="Y45" i="11" s="1"/>
  <c r="O45" i="11"/>
  <c r="N45" i="11"/>
  <c r="M45" i="11"/>
  <c r="V45" i="11" s="1"/>
  <c r="L45" i="11"/>
  <c r="U45" i="11" s="1"/>
  <c r="K45" i="11"/>
  <c r="T45" i="11" s="1"/>
  <c r="J45" i="11"/>
  <c r="I45" i="11"/>
  <c r="H45" i="11"/>
  <c r="G46" i="11"/>
  <c r="G45" i="11"/>
  <c r="E46" i="11"/>
  <c r="D46" i="11"/>
  <c r="C46" i="11"/>
  <c r="E45" i="11"/>
  <c r="D45" i="11"/>
  <c r="C45" i="11"/>
  <c r="Q39" i="11"/>
  <c r="P39" i="11"/>
  <c r="O39" i="11"/>
  <c r="N39" i="11"/>
  <c r="M39" i="11"/>
  <c r="L39" i="11"/>
  <c r="K39" i="11"/>
  <c r="J39" i="11"/>
  <c r="I39" i="11"/>
  <c r="H39" i="11"/>
  <c r="Q38" i="11"/>
  <c r="P38" i="11"/>
  <c r="O38" i="11"/>
  <c r="N38" i="11"/>
  <c r="M38" i="11"/>
  <c r="L38" i="11"/>
  <c r="K38" i="11"/>
  <c r="J38" i="11"/>
  <c r="I38" i="11"/>
  <c r="H38" i="11"/>
  <c r="G39" i="11"/>
  <c r="G38" i="11"/>
  <c r="E39" i="11"/>
  <c r="D39" i="11"/>
  <c r="E38" i="11"/>
  <c r="D38" i="11"/>
  <c r="C39" i="11"/>
  <c r="C38" i="11"/>
  <c r="Q37" i="11"/>
  <c r="P37" i="11"/>
  <c r="O37" i="11"/>
  <c r="N37" i="11"/>
  <c r="M37" i="11"/>
  <c r="L37" i="11"/>
  <c r="K37" i="11"/>
  <c r="J37" i="11"/>
  <c r="I37" i="11"/>
  <c r="H37" i="11"/>
  <c r="G37" i="11"/>
  <c r="E37" i="11"/>
  <c r="D37" i="11"/>
  <c r="C37" i="11"/>
  <c r="Q124" i="8"/>
  <c r="P124" i="8"/>
  <c r="O124" i="8"/>
  <c r="M124" i="8"/>
  <c r="L124" i="8"/>
  <c r="H124" i="8"/>
  <c r="I124" i="8" s="1"/>
  <c r="E124" i="8"/>
  <c r="D124" i="8"/>
  <c r="P123" i="8"/>
  <c r="Q123" i="8" s="1"/>
  <c r="O123" i="8"/>
  <c r="K123" i="8"/>
  <c r="L123" i="8" s="1"/>
  <c r="M123" i="8" s="1"/>
  <c r="G123" i="8"/>
  <c r="H123" i="8" s="1"/>
  <c r="I123" i="8" s="1"/>
  <c r="E123" i="8"/>
  <c r="D123" i="8"/>
  <c r="C123" i="8"/>
  <c r="O34" i="11"/>
  <c r="K34" i="11"/>
  <c r="G34" i="11"/>
  <c r="O32" i="11"/>
  <c r="K32" i="11"/>
  <c r="O31" i="11"/>
  <c r="K31" i="11"/>
  <c r="G32" i="11"/>
  <c r="G31" i="11"/>
  <c r="E32" i="11"/>
  <c r="D32" i="11"/>
  <c r="E31" i="11"/>
  <c r="D31" i="11"/>
  <c r="C32" i="11"/>
  <c r="C31" i="11"/>
  <c r="O30" i="11"/>
  <c r="K30" i="11"/>
  <c r="G30" i="11"/>
  <c r="E30" i="11"/>
  <c r="D30" i="11"/>
  <c r="C30" i="11"/>
  <c r="O25" i="11"/>
  <c r="K25" i="11"/>
  <c r="G25" i="11"/>
  <c r="E25" i="11"/>
  <c r="D25" i="11"/>
  <c r="C25" i="11"/>
  <c r="O21" i="11"/>
  <c r="K21" i="11"/>
  <c r="G21" i="11"/>
  <c r="E21" i="11"/>
  <c r="D21" i="11"/>
  <c r="C21" i="11"/>
  <c r="Q17" i="11"/>
  <c r="Q26" i="11" s="1"/>
  <c r="P17" i="11"/>
  <c r="P26" i="11" s="1"/>
  <c r="O17" i="11"/>
  <c r="O26" i="11" s="1"/>
  <c r="M17" i="11"/>
  <c r="M26" i="11" s="1"/>
  <c r="L17" i="11"/>
  <c r="L26" i="11" s="1"/>
  <c r="K17" i="11"/>
  <c r="I17" i="11"/>
  <c r="I26" i="11" s="1"/>
  <c r="H17" i="11"/>
  <c r="H26" i="11" s="1"/>
  <c r="Q16" i="11"/>
  <c r="P16" i="11"/>
  <c r="O16" i="11"/>
  <c r="M16" i="11"/>
  <c r="L16" i="11"/>
  <c r="K16" i="11"/>
  <c r="I16" i="11"/>
  <c r="H16" i="11"/>
  <c r="G17" i="11"/>
  <c r="G26" i="11" s="1"/>
  <c r="G16" i="11"/>
  <c r="E17" i="11"/>
  <c r="E26" i="11" s="1"/>
  <c r="D17" i="11"/>
  <c r="D26" i="11" s="1"/>
  <c r="E16" i="11"/>
  <c r="D16" i="11"/>
  <c r="C17" i="11"/>
  <c r="C26" i="11" s="1"/>
  <c r="C16" i="11"/>
  <c r="Q12" i="11"/>
  <c r="P12" i="11"/>
  <c r="O12" i="11"/>
  <c r="M12" i="11"/>
  <c r="L12" i="11"/>
  <c r="K12" i="11"/>
  <c r="I12" i="11"/>
  <c r="H12" i="11"/>
  <c r="G12" i="11"/>
  <c r="E12" i="11"/>
  <c r="D12" i="11"/>
  <c r="C12" i="11"/>
  <c r="Q7" i="11"/>
  <c r="P7" i="11"/>
  <c r="O7" i="11"/>
  <c r="N7" i="11"/>
  <c r="M7" i="11"/>
  <c r="L7" i="11"/>
  <c r="K7" i="11"/>
  <c r="J7" i="11"/>
  <c r="I7" i="11"/>
  <c r="H7" i="11"/>
  <c r="Q6" i="11"/>
  <c r="P6" i="11"/>
  <c r="O6" i="11"/>
  <c r="N6" i="11"/>
  <c r="M6" i="11"/>
  <c r="L6" i="11"/>
  <c r="K6" i="11"/>
  <c r="J6" i="11"/>
  <c r="I6" i="11"/>
  <c r="H6" i="11"/>
  <c r="G7" i="11"/>
  <c r="G6" i="11"/>
  <c r="E7" i="11"/>
  <c r="D7" i="11"/>
  <c r="C7" i="11"/>
  <c r="E6" i="11"/>
  <c r="D6" i="11"/>
  <c r="C6" i="11"/>
  <c r="B7" i="11"/>
  <c r="B6" i="11"/>
  <c r="N69" i="11"/>
  <c r="W69" i="11" s="1"/>
  <c r="J69" i="11"/>
  <c r="S69" i="11" s="1"/>
  <c r="Y72" i="11"/>
  <c r="V72" i="11"/>
  <c r="U72" i="11"/>
  <c r="Z72" i="11"/>
  <c r="Y69" i="11"/>
  <c r="X69" i="11"/>
  <c r="V69" i="11"/>
  <c r="U69" i="11"/>
  <c r="T69" i="11"/>
  <c r="Y67" i="11"/>
  <c r="X67" i="11"/>
  <c r="V67" i="11"/>
  <c r="U67" i="11"/>
  <c r="T67" i="11"/>
  <c r="Y66" i="11"/>
  <c r="X66" i="11"/>
  <c r="V66" i="11"/>
  <c r="U66" i="11"/>
  <c r="T66" i="11"/>
  <c r="Y65" i="11"/>
  <c r="X65" i="11"/>
  <c r="V65" i="11"/>
  <c r="U65" i="11"/>
  <c r="T65" i="11"/>
  <c r="V63" i="11"/>
  <c r="U63" i="11"/>
  <c r="X62" i="11"/>
  <c r="W62" i="11"/>
  <c r="S62" i="11"/>
  <c r="Z69" i="11"/>
  <c r="Z67" i="11"/>
  <c r="Z66" i="11"/>
  <c r="Z65" i="11"/>
  <c r="Y59" i="11"/>
  <c r="W58" i="11"/>
  <c r="T58" i="11"/>
  <c r="S58" i="11"/>
  <c r="W57" i="11"/>
  <c r="V57" i="11"/>
  <c r="X56" i="11"/>
  <c r="U55" i="11"/>
  <c r="W54" i="11"/>
  <c r="U54" i="11"/>
  <c r="T54" i="11"/>
  <c r="Z59" i="11"/>
  <c r="Z55" i="11"/>
  <c r="X48" i="11"/>
  <c r="V48" i="11"/>
  <c r="U48" i="11"/>
  <c r="V46" i="11"/>
  <c r="U46" i="11"/>
  <c r="X45" i="11"/>
  <c r="Z33" i="11"/>
  <c r="Y33" i="11"/>
  <c r="X33" i="11"/>
  <c r="W33" i="11"/>
  <c r="V33" i="11"/>
  <c r="U33" i="11"/>
  <c r="T33" i="11"/>
  <c r="S33" i="11"/>
  <c r="Q4" i="11"/>
  <c r="Z4" i="11" s="1"/>
  <c r="Q3" i="11"/>
  <c r="Z3" i="11" s="1"/>
  <c r="Y21" i="10"/>
  <c r="X21" i="10"/>
  <c r="W21" i="10"/>
  <c r="V21" i="10"/>
  <c r="U21" i="10"/>
  <c r="T21" i="10"/>
  <c r="S21" i="10"/>
  <c r="Y30" i="10"/>
  <c r="X30" i="10"/>
  <c r="W30" i="10"/>
  <c r="V30" i="10"/>
  <c r="U30" i="10"/>
  <c r="T30" i="10"/>
  <c r="S30" i="10"/>
  <c r="Y28" i="10"/>
  <c r="X28" i="10"/>
  <c r="W28" i="10"/>
  <c r="V28" i="10"/>
  <c r="U28" i="10"/>
  <c r="T28" i="10"/>
  <c r="S28" i="10"/>
  <c r="Y27" i="10"/>
  <c r="X27" i="10"/>
  <c r="W27" i="10"/>
  <c r="V27" i="10"/>
  <c r="U27" i="10"/>
  <c r="T27" i="10"/>
  <c r="S27" i="10"/>
  <c r="Y19" i="10"/>
  <c r="X19" i="10"/>
  <c r="W19" i="10"/>
  <c r="V19" i="10"/>
  <c r="U19" i="10"/>
  <c r="T19" i="10"/>
  <c r="S19" i="10"/>
  <c r="Y18" i="10"/>
  <c r="X18" i="10"/>
  <c r="W18" i="10"/>
  <c r="V18" i="10"/>
  <c r="U18" i="10"/>
  <c r="T18" i="10"/>
  <c r="S18" i="10"/>
  <c r="Y10" i="10"/>
  <c r="X10" i="10"/>
  <c r="W10" i="10"/>
  <c r="V10" i="10"/>
  <c r="U10" i="10"/>
  <c r="T10" i="10"/>
  <c r="S10" i="10"/>
  <c r="X9" i="10"/>
  <c r="W9" i="10"/>
  <c r="V9" i="10"/>
  <c r="U9" i="10"/>
  <c r="T9" i="10"/>
  <c r="S9" i="10"/>
  <c r="Y9" i="10"/>
  <c r="N19" i="10"/>
  <c r="N18" i="10"/>
  <c r="N28" i="10"/>
  <c r="N27" i="10"/>
  <c r="Y29" i="10" s="1"/>
  <c r="Q29" i="10"/>
  <c r="Q20" i="10"/>
  <c r="Q9" i="10" s="1"/>
  <c r="Q4" i="10"/>
  <c r="Y4" i="10" s="1"/>
  <c r="Q3" i="10"/>
  <c r="Y3" i="10" s="1"/>
  <c r="Y82" i="8"/>
  <c r="X82" i="8"/>
  <c r="W82" i="8"/>
  <c r="U82" i="8"/>
  <c r="T82" i="8"/>
  <c r="S82" i="8"/>
  <c r="Y81" i="8"/>
  <c r="X81" i="8"/>
  <c r="W81" i="8"/>
  <c r="U81" i="8"/>
  <c r="T81" i="8"/>
  <c r="S81" i="8"/>
  <c r="Y80" i="8"/>
  <c r="X80" i="8"/>
  <c r="W80" i="8"/>
  <c r="U80" i="8"/>
  <c r="T80" i="8"/>
  <c r="S80" i="8"/>
  <c r="Y79" i="8"/>
  <c r="X79" i="8"/>
  <c r="W79" i="8"/>
  <c r="U79" i="8"/>
  <c r="T79" i="8"/>
  <c r="S79" i="8"/>
  <c r="Y78" i="8"/>
  <c r="X78" i="8"/>
  <c r="W78" i="8"/>
  <c r="U78" i="8"/>
  <c r="T78" i="8"/>
  <c r="S78" i="8"/>
  <c r="Y75" i="8"/>
  <c r="X75" i="8"/>
  <c r="W75" i="8"/>
  <c r="U75" i="8"/>
  <c r="T75" i="8"/>
  <c r="S75" i="8"/>
  <c r="Y74" i="8"/>
  <c r="X74" i="8"/>
  <c r="W74" i="8"/>
  <c r="U74" i="8"/>
  <c r="T74" i="8"/>
  <c r="S74" i="8"/>
  <c r="Y73" i="8"/>
  <c r="X73" i="8"/>
  <c r="W73" i="8"/>
  <c r="U73" i="8"/>
  <c r="T73" i="8"/>
  <c r="S73" i="8"/>
  <c r="Y72" i="8"/>
  <c r="X72" i="8"/>
  <c r="W72" i="8"/>
  <c r="U72" i="8"/>
  <c r="T72" i="8"/>
  <c r="S72" i="8"/>
  <c r="Y71" i="8"/>
  <c r="X71" i="8"/>
  <c r="W71" i="8"/>
  <c r="U71" i="8"/>
  <c r="T71" i="8"/>
  <c r="S71" i="8"/>
  <c r="Y67" i="8"/>
  <c r="X67" i="8"/>
  <c r="W67" i="8"/>
  <c r="U67" i="8"/>
  <c r="T67" i="8"/>
  <c r="S67" i="8"/>
  <c r="Y66" i="8"/>
  <c r="X66" i="8"/>
  <c r="W66" i="8"/>
  <c r="U66" i="8"/>
  <c r="T66" i="8"/>
  <c r="S66" i="8"/>
  <c r="Y65" i="8"/>
  <c r="X65" i="8"/>
  <c r="W65" i="8"/>
  <c r="U65" i="8"/>
  <c r="T65" i="8"/>
  <c r="S65" i="8"/>
  <c r="Y64" i="8"/>
  <c r="X64" i="8"/>
  <c r="W64" i="8"/>
  <c r="U64" i="8"/>
  <c r="T64" i="8"/>
  <c r="S64" i="8"/>
  <c r="Y63" i="8"/>
  <c r="X63" i="8"/>
  <c r="W63" i="8"/>
  <c r="U63" i="8"/>
  <c r="T63" i="8"/>
  <c r="S63" i="8"/>
  <c r="Y59" i="8"/>
  <c r="X59" i="8"/>
  <c r="W59" i="8"/>
  <c r="U59" i="8"/>
  <c r="T59" i="8"/>
  <c r="S59" i="8"/>
  <c r="Y58" i="8"/>
  <c r="X58" i="8"/>
  <c r="W58" i="8"/>
  <c r="U58" i="8"/>
  <c r="T58" i="8"/>
  <c r="S58" i="8"/>
  <c r="Y57" i="8"/>
  <c r="X57" i="8"/>
  <c r="W57" i="8"/>
  <c r="U57" i="8"/>
  <c r="T57" i="8"/>
  <c r="S57" i="8"/>
  <c r="Y56" i="8"/>
  <c r="X56" i="8"/>
  <c r="W56" i="8"/>
  <c r="U56" i="8"/>
  <c r="T56" i="8"/>
  <c r="S56" i="8"/>
  <c r="Y55" i="8"/>
  <c r="X55" i="8"/>
  <c r="W55" i="8"/>
  <c r="U55" i="8"/>
  <c r="T55" i="8"/>
  <c r="S55" i="8"/>
  <c r="Y54" i="8"/>
  <c r="X54" i="8"/>
  <c r="W54" i="8"/>
  <c r="U54" i="8"/>
  <c r="T54" i="8"/>
  <c r="S54" i="8"/>
  <c r="Y53" i="8"/>
  <c r="X53" i="8"/>
  <c r="W53" i="8"/>
  <c r="U53" i="8"/>
  <c r="T53" i="8"/>
  <c r="S53" i="8"/>
  <c r="Y49" i="8"/>
  <c r="X49" i="8"/>
  <c r="W49" i="8"/>
  <c r="U49" i="8"/>
  <c r="T49" i="8"/>
  <c r="S49" i="8"/>
  <c r="Y48" i="8"/>
  <c r="X48" i="8"/>
  <c r="W48" i="8"/>
  <c r="U48" i="8"/>
  <c r="T48" i="8"/>
  <c r="S48" i="8"/>
  <c r="Y47" i="8"/>
  <c r="X47" i="8"/>
  <c r="W47" i="8"/>
  <c r="U47" i="8"/>
  <c r="T47" i="8"/>
  <c r="S47" i="8"/>
  <c r="Y46" i="8"/>
  <c r="X46" i="8"/>
  <c r="W46" i="8"/>
  <c r="U46" i="8"/>
  <c r="T46" i="8"/>
  <c r="S46" i="8"/>
  <c r="Y45" i="8"/>
  <c r="X45" i="8"/>
  <c r="W45" i="8"/>
  <c r="U45" i="8"/>
  <c r="T45" i="8"/>
  <c r="S45" i="8"/>
  <c r="Y44" i="8"/>
  <c r="X44" i="8"/>
  <c r="W44" i="8"/>
  <c r="U44" i="8"/>
  <c r="T44" i="8"/>
  <c r="S44" i="8"/>
  <c r="Y36" i="8"/>
  <c r="X36" i="8"/>
  <c r="W36" i="8"/>
  <c r="U36" i="8"/>
  <c r="T36" i="8"/>
  <c r="S36" i="8"/>
  <c r="X33" i="8"/>
  <c r="W33" i="8"/>
  <c r="U33" i="8"/>
  <c r="T33" i="8"/>
  <c r="S33" i="8"/>
  <c r="Y33" i="8"/>
  <c r="X8" i="8"/>
  <c r="W8" i="8"/>
  <c r="U8" i="8"/>
  <c r="T8" i="8"/>
  <c r="S8" i="8"/>
  <c r="X7" i="8"/>
  <c r="W7" i="8"/>
  <c r="V7" i="8"/>
  <c r="U7" i="8"/>
  <c r="T7" i="8"/>
  <c r="S7" i="8"/>
  <c r="Y8" i="8"/>
  <c r="Y7" i="8"/>
  <c r="I119" i="8"/>
  <c r="I99" i="8"/>
  <c r="I25" i="11" s="1"/>
  <c r="H97" i="8"/>
  <c r="I97" i="8" s="1"/>
  <c r="I21" i="11" s="1"/>
  <c r="H98" i="8"/>
  <c r="H99" i="8"/>
  <c r="H25" i="11" s="1"/>
  <c r="H105" i="8"/>
  <c r="H108" i="8"/>
  <c r="I108" i="8" s="1"/>
  <c r="H109" i="8"/>
  <c r="I109" i="8" s="1"/>
  <c r="H110" i="8"/>
  <c r="I110" i="8" s="1"/>
  <c r="H111" i="8"/>
  <c r="H112" i="8"/>
  <c r="I112" i="8" s="1"/>
  <c r="H113" i="8"/>
  <c r="H117" i="8"/>
  <c r="I117" i="8" s="1"/>
  <c r="H133" i="8"/>
  <c r="I133" i="8" s="1"/>
  <c r="P101" i="8"/>
  <c r="Q101" i="8" s="1"/>
  <c r="L101" i="8"/>
  <c r="M101" i="8" s="1"/>
  <c r="J101" i="8"/>
  <c r="S101" i="8" s="1"/>
  <c r="P100" i="8"/>
  <c r="Q100" i="8" s="1"/>
  <c r="L100" i="8"/>
  <c r="J100" i="8"/>
  <c r="P99" i="8"/>
  <c r="Q99" i="8" s="1"/>
  <c r="Q25" i="11" s="1"/>
  <c r="L99" i="8"/>
  <c r="P98" i="8"/>
  <c r="Q98" i="8" s="1"/>
  <c r="L98" i="8"/>
  <c r="M98" i="8" s="1"/>
  <c r="P142" i="8"/>
  <c r="Q142" i="8" s="1"/>
  <c r="Q31" i="11" s="1"/>
  <c r="P141" i="8"/>
  <c r="Q141" i="8" s="1"/>
  <c r="Q32" i="11" s="1"/>
  <c r="L142" i="8"/>
  <c r="M142" i="8" s="1"/>
  <c r="M31" i="11" s="1"/>
  <c r="L141" i="8"/>
  <c r="M141" i="8" s="1"/>
  <c r="H142" i="8"/>
  <c r="I142" i="8" s="1"/>
  <c r="H141" i="8"/>
  <c r="I141" i="8" s="1"/>
  <c r="Q133" i="8"/>
  <c r="Y133" i="8" s="1"/>
  <c r="P117" i="8"/>
  <c r="Q117" i="8" s="1"/>
  <c r="Q120" i="8" s="1"/>
  <c r="P113" i="8"/>
  <c r="Q113" i="8" s="1"/>
  <c r="P112" i="8"/>
  <c r="Q112" i="8" s="1"/>
  <c r="P111" i="8"/>
  <c r="Q111" i="8" s="1"/>
  <c r="P110" i="8"/>
  <c r="Q110" i="8" s="1"/>
  <c r="P109" i="8"/>
  <c r="Q109" i="8" s="1"/>
  <c r="P108" i="8"/>
  <c r="Q108" i="8" s="1"/>
  <c r="Q34" i="11" s="1"/>
  <c r="P105" i="8"/>
  <c r="Q105" i="8" s="1"/>
  <c r="P97" i="8"/>
  <c r="Q97" i="8" s="1"/>
  <c r="Q21" i="11" s="1"/>
  <c r="L133" i="8"/>
  <c r="M133" i="8" s="1"/>
  <c r="L125" i="8"/>
  <c r="M125" i="8" s="1"/>
  <c r="L117" i="8"/>
  <c r="M117" i="8" s="1"/>
  <c r="M30" i="11" s="1"/>
  <c r="L113" i="8"/>
  <c r="M113" i="8" s="1"/>
  <c r="L112" i="8"/>
  <c r="M112" i="8" s="1"/>
  <c r="N112" i="8" s="1"/>
  <c r="Y112" i="8" s="1"/>
  <c r="L111" i="8"/>
  <c r="M111" i="8" s="1"/>
  <c r="L110" i="8"/>
  <c r="M110" i="8" s="1"/>
  <c r="L109" i="8"/>
  <c r="M109" i="8" s="1"/>
  <c r="L108" i="8"/>
  <c r="M108" i="8" s="1"/>
  <c r="L105" i="8"/>
  <c r="M105" i="8" s="1"/>
  <c r="L97" i="8"/>
  <c r="M97" i="8" s="1"/>
  <c r="M21" i="11" s="1"/>
  <c r="E111" i="8"/>
  <c r="E34" i="11" s="1"/>
  <c r="D111" i="8"/>
  <c r="D34" i="11" s="1"/>
  <c r="C111" i="8"/>
  <c r="C34" i="11" s="1"/>
  <c r="Q134" i="8"/>
  <c r="Y134" i="8" s="1"/>
  <c r="Q91" i="8"/>
  <c r="Q90" i="8"/>
  <c r="Q83" i="8"/>
  <c r="Q68" i="8"/>
  <c r="Q76" i="8" s="1"/>
  <c r="Q50" i="8"/>
  <c r="Q60" i="8" s="1"/>
  <c r="Q41" i="8"/>
  <c r="Q40" i="8"/>
  <c r="Q11" i="8"/>
  <c r="Q14" i="8" s="1"/>
  <c r="P134" i="8"/>
  <c r="Q130" i="8" s="1"/>
  <c r="O134" i="8"/>
  <c r="M134" i="8"/>
  <c r="L134" i="8"/>
  <c r="K134" i="8"/>
  <c r="I134" i="8"/>
  <c r="H134" i="8"/>
  <c r="G134" i="8"/>
  <c r="E134" i="8"/>
  <c r="D134" i="8"/>
  <c r="C134" i="8"/>
  <c r="N49" i="8"/>
  <c r="V49" i="8" s="1"/>
  <c r="N48" i="8"/>
  <c r="V48" i="8" s="1"/>
  <c r="N47" i="8"/>
  <c r="V47" i="8" s="1"/>
  <c r="N46" i="8"/>
  <c r="V46" i="8" s="1"/>
  <c r="N45" i="8"/>
  <c r="V45" i="8" s="1"/>
  <c r="N44" i="8"/>
  <c r="V44" i="8" s="1"/>
  <c r="N59" i="8"/>
  <c r="V59" i="8" s="1"/>
  <c r="N58" i="8"/>
  <c r="V58" i="8" s="1"/>
  <c r="N57" i="8"/>
  <c r="N134" i="8" s="1"/>
  <c r="N56" i="8"/>
  <c r="V56" i="8" s="1"/>
  <c r="N55" i="8"/>
  <c r="V55" i="8" s="1"/>
  <c r="N54" i="8"/>
  <c r="V54" i="8" s="1"/>
  <c r="N53" i="8"/>
  <c r="V53" i="8" s="1"/>
  <c r="N67" i="8"/>
  <c r="V67" i="8" s="1"/>
  <c r="N66" i="8"/>
  <c r="V66" i="8" s="1"/>
  <c r="N65" i="8"/>
  <c r="V65" i="8" s="1"/>
  <c r="N64" i="8"/>
  <c r="V64" i="8" s="1"/>
  <c r="N63" i="8"/>
  <c r="V63" i="8" s="1"/>
  <c r="N75" i="8"/>
  <c r="V75" i="8" s="1"/>
  <c r="N74" i="8"/>
  <c r="V74" i="8" s="1"/>
  <c r="N73" i="8"/>
  <c r="V73" i="8" s="1"/>
  <c r="N72" i="8"/>
  <c r="V72" i="8" s="1"/>
  <c r="N71" i="8"/>
  <c r="V71" i="8" s="1"/>
  <c r="N78" i="8"/>
  <c r="V78" i="8" s="1"/>
  <c r="J49" i="8"/>
  <c r="J48" i="8"/>
  <c r="J47" i="8"/>
  <c r="J46" i="8"/>
  <c r="J45" i="8"/>
  <c r="J44" i="8"/>
  <c r="J59" i="8"/>
  <c r="J58" i="8"/>
  <c r="J57" i="8"/>
  <c r="J134" i="8" s="1"/>
  <c r="J56" i="8"/>
  <c r="J55" i="8"/>
  <c r="J54" i="8"/>
  <c r="J53" i="8"/>
  <c r="J67" i="8"/>
  <c r="J66" i="8"/>
  <c r="J65" i="8"/>
  <c r="J64" i="8"/>
  <c r="J63" i="8"/>
  <c r="J75" i="8"/>
  <c r="J74" i="8"/>
  <c r="J73" i="8"/>
  <c r="J72" i="8"/>
  <c r="J71" i="8"/>
  <c r="J81" i="8"/>
  <c r="J80" i="8"/>
  <c r="J79" i="8"/>
  <c r="J78" i="8"/>
  <c r="J28" i="10"/>
  <c r="J27" i="10"/>
  <c r="J29" i="10" s="1"/>
  <c r="J10" i="10" s="1"/>
  <c r="J19" i="10"/>
  <c r="J18" i="10"/>
  <c r="B33" i="10"/>
  <c r="B32" i="10"/>
  <c r="P29" i="10"/>
  <c r="O29" i="10"/>
  <c r="M29" i="10"/>
  <c r="L29" i="10"/>
  <c r="K29" i="10"/>
  <c r="I29" i="10"/>
  <c r="I10" i="10" s="1"/>
  <c r="H29" i="10"/>
  <c r="G29" i="10"/>
  <c r="E29" i="10"/>
  <c r="D29" i="10"/>
  <c r="C29" i="10"/>
  <c r="B24" i="10"/>
  <c r="B23" i="10"/>
  <c r="P20" i="10"/>
  <c r="O20" i="10"/>
  <c r="O9" i="10" s="1"/>
  <c r="M20" i="10"/>
  <c r="L20" i="10"/>
  <c r="K20" i="10"/>
  <c r="I20" i="10"/>
  <c r="H20" i="10"/>
  <c r="G20" i="10"/>
  <c r="G9" i="10" s="1"/>
  <c r="E20" i="10"/>
  <c r="E9" i="10" s="1"/>
  <c r="D20" i="10"/>
  <c r="C20" i="10"/>
  <c r="N29" i="8"/>
  <c r="W29" i="8" s="1"/>
  <c r="J29" i="8"/>
  <c r="U29" i="8" s="1"/>
  <c r="N25" i="8"/>
  <c r="V25" i="8" s="1"/>
  <c r="N24" i="8"/>
  <c r="Y24" i="8" s="1"/>
  <c r="N23" i="8"/>
  <c r="Y23" i="8" s="1"/>
  <c r="N22" i="8"/>
  <c r="Y22" i="8" s="1"/>
  <c r="J25" i="8"/>
  <c r="U25" i="8" s="1"/>
  <c r="J24" i="8"/>
  <c r="U24" i="8" s="1"/>
  <c r="J23" i="8"/>
  <c r="T23" i="8" s="1"/>
  <c r="J22" i="8"/>
  <c r="S22" i="8" s="1"/>
  <c r="N13" i="8"/>
  <c r="X13" i="8" s="1"/>
  <c r="N18" i="8"/>
  <c r="Y18" i="8" s="1"/>
  <c r="N17" i="8"/>
  <c r="Y17" i="8" s="1"/>
  <c r="J13" i="8"/>
  <c r="U13" i="8" s="1"/>
  <c r="J18" i="8"/>
  <c r="J17" i="11" s="1"/>
  <c r="J17" i="8"/>
  <c r="U17" i="8" s="1"/>
  <c r="J10" i="8"/>
  <c r="U10" i="8" s="1"/>
  <c r="N10" i="8"/>
  <c r="V10" i="8" s="1"/>
  <c r="Y91" i="8"/>
  <c r="Y40" i="8"/>
  <c r="T38" i="11" l="1"/>
  <c r="Y39" i="11"/>
  <c r="Z37" i="11"/>
  <c r="Z39" i="11"/>
  <c r="X37" i="11"/>
  <c r="T39" i="11"/>
  <c r="S37" i="11"/>
  <c r="Y37" i="11"/>
  <c r="Z38" i="11"/>
  <c r="U39" i="11"/>
  <c r="X38" i="11"/>
  <c r="S38" i="11"/>
  <c r="Y38" i="11"/>
  <c r="W37" i="11"/>
  <c r="V38" i="11"/>
  <c r="W38" i="11"/>
  <c r="V39" i="11"/>
  <c r="U38" i="11"/>
  <c r="W39" i="11"/>
  <c r="X39" i="11"/>
  <c r="S39" i="11"/>
  <c r="T37" i="11"/>
  <c r="U37" i="11"/>
  <c r="V37" i="11"/>
  <c r="Z6" i="11"/>
  <c r="X7" i="11"/>
  <c r="S6" i="11"/>
  <c r="Y7" i="11"/>
  <c r="W7" i="11"/>
  <c r="T100" i="8"/>
  <c r="X25" i="8"/>
  <c r="J112" i="8"/>
  <c r="U112" i="8" s="1"/>
  <c r="Y29" i="8"/>
  <c r="U101" i="8"/>
  <c r="M34" i="11"/>
  <c r="X10" i="8"/>
  <c r="V112" i="8"/>
  <c r="S17" i="8"/>
  <c r="T18" i="8"/>
  <c r="S112" i="8"/>
  <c r="U22" i="8"/>
  <c r="V57" i="8"/>
  <c r="V23" i="8"/>
  <c r="Q30" i="11"/>
  <c r="S17" i="11"/>
  <c r="J26" i="11"/>
  <c r="S26" i="11" s="1"/>
  <c r="I98" i="8"/>
  <c r="I113" i="8"/>
  <c r="W10" i="8"/>
  <c r="Y13" i="8"/>
  <c r="S18" i="8"/>
  <c r="T22" i="8"/>
  <c r="U23" i="8"/>
  <c r="V24" i="8"/>
  <c r="W25" i="8"/>
  <c r="X29" i="8"/>
  <c r="S100" i="8"/>
  <c r="T101" i="8"/>
  <c r="J12" i="11"/>
  <c r="U12" i="11" s="1"/>
  <c r="N17" i="11"/>
  <c r="W17" i="11" s="1"/>
  <c r="H21" i="11"/>
  <c r="P21" i="11"/>
  <c r="H30" i="11"/>
  <c r="P30" i="11"/>
  <c r="L32" i="11"/>
  <c r="W24" i="8"/>
  <c r="I105" i="8"/>
  <c r="S13" i="8"/>
  <c r="T17" i="8"/>
  <c r="U18" i="8"/>
  <c r="V22" i="8"/>
  <c r="W23" i="8"/>
  <c r="X24" i="8"/>
  <c r="Y25" i="8"/>
  <c r="W112" i="8"/>
  <c r="J16" i="11"/>
  <c r="U16" i="11" s="1"/>
  <c r="L25" i="11"/>
  <c r="H31" i="11"/>
  <c r="P31" i="11"/>
  <c r="H34" i="11"/>
  <c r="P34" i="11"/>
  <c r="I30" i="11"/>
  <c r="M32" i="11"/>
  <c r="Y10" i="8"/>
  <c r="T13" i="8"/>
  <c r="V18" i="8"/>
  <c r="W22" i="8"/>
  <c r="X23" i="8"/>
  <c r="S29" i="8"/>
  <c r="X112" i="8"/>
  <c r="I31" i="11"/>
  <c r="S10" i="8"/>
  <c r="V17" i="8"/>
  <c r="W18" i="8"/>
  <c r="X22" i="8"/>
  <c r="S25" i="8"/>
  <c r="T29" i="8"/>
  <c r="N12" i="11"/>
  <c r="W12" i="11" s="1"/>
  <c r="L21" i="11"/>
  <c r="L30" i="11"/>
  <c r="H32" i="11"/>
  <c r="P32" i="11"/>
  <c r="T10" i="8"/>
  <c r="V13" i="8"/>
  <c r="W17" i="8"/>
  <c r="X18" i="8"/>
  <c r="S24" i="8"/>
  <c r="T25" i="8"/>
  <c r="I32" i="11"/>
  <c r="I111" i="8"/>
  <c r="I34" i="11" s="1"/>
  <c r="W13" i="8"/>
  <c r="X17" i="8"/>
  <c r="S23" i="8"/>
  <c r="T24" i="8"/>
  <c r="V29" i="8"/>
  <c r="N16" i="11"/>
  <c r="Z16" i="11" s="1"/>
  <c r="P25" i="11"/>
  <c r="L31" i="11"/>
  <c r="L34" i="11"/>
  <c r="J99" i="8"/>
  <c r="S99" i="8" s="1"/>
  <c r="K26" i="11"/>
  <c r="T17" i="11"/>
  <c r="U17" i="11"/>
  <c r="V17" i="11"/>
  <c r="W6" i="11"/>
  <c r="Z7" i="11"/>
  <c r="V7" i="11"/>
  <c r="Y6" i="11"/>
  <c r="U6" i="11"/>
  <c r="T6" i="11"/>
  <c r="V6" i="11"/>
  <c r="S7" i="11"/>
  <c r="X6" i="11"/>
  <c r="T7" i="11"/>
  <c r="U7" i="11"/>
  <c r="Y20" i="10"/>
  <c r="Q21" i="10"/>
  <c r="Q10" i="10"/>
  <c r="N101" i="8"/>
  <c r="Y101" i="8" s="1"/>
  <c r="AA101" i="8" s="1"/>
  <c r="M100" i="8"/>
  <c r="M99" i="8"/>
  <c r="N98" i="8"/>
  <c r="Y98" i="8" s="1"/>
  <c r="Q126" i="8"/>
  <c r="AA57" i="8"/>
  <c r="Q84" i="8"/>
  <c r="Q86" i="8" s="1"/>
  <c r="Q19" i="8"/>
  <c r="Q15" i="8"/>
  <c r="AA73" i="8"/>
  <c r="H9" i="10"/>
  <c r="H21" i="10" s="1"/>
  <c r="P9" i="10"/>
  <c r="P21" i="10" s="1"/>
  <c r="K10" i="10"/>
  <c r="K30" i="10" s="1"/>
  <c r="E21" i="10"/>
  <c r="I30" i="10"/>
  <c r="I9" i="10"/>
  <c r="I21" i="10" s="1"/>
  <c r="C10" i="10"/>
  <c r="C30" i="10" s="1"/>
  <c r="L10" i="10"/>
  <c r="L30" i="10" s="1"/>
  <c r="G21" i="10"/>
  <c r="O21" i="10"/>
  <c r="J30" i="10"/>
  <c r="D10" i="10"/>
  <c r="D30" i="10" s="1"/>
  <c r="M10" i="10"/>
  <c r="K9" i="10"/>
  <c r="K21" i="10" s="1"/>
  <c r="E10" i="10"/>
  <c r="E30" i="10" s="1"/>
  <c r="C9" i="10"/>
  <c r="C21" i="10" s="1"/>
  <c r="L9" i="10"/>
  <c r="L21" i="10" s="1"/>
  <c r="G10" i="10"/>
  <c r="G30" i="10" s="1"/>
  <c r="O10" i="10"/>
  <c r="O30" i="10" s="1"/>
  <c r="D9" i="10"/>
  <c r="D21" i="10" s="1"/>
  <c r="M9" i="10"/>
  <c r="H10" i="10"/>
  <c r="H30" i="10" s="1"/>
  <c r="P10" i="10"/>
  <c r="P30" i="10" s="1"/>
  <c r="N29" i="10"/>
  <c r="X29" i="10"/>
  <c r="W29" i="10"/>
  <c r="S29" i="10"/>
  <c r="J20" i="10"/>
  <c r="N20" i="10"/>
  <c r="X20" i="10"/>
  <c r="AA72" i="8"/>
  <c r="AA55" i="8"/>
  <c r="AA59" i="8"/>
  <c r="AA54" i="8"/>
  <c r="AA56" i="8"/>
  <c r="AA58" i="8"/>
  <c r="AA23" i="8"/>
  <c r="AA45" i="8"/>
  <c r="AA24" i="8"/>
  <c r="AA46" i="8"/>
  <c r="AA48" i="8"/>
  <c r="AA47" i="8"/>
  <c r="Y50" i="8"/>
  <c r="Y60" i="8" s="1"/>
  <c r="Y83" i="8"/>
  <c r="Y68" i="8"/>
  <c r="Y76" i="8" s="1"/>
  <c r="Y41" i="8"/>
  <c r="Y90" i="8"/>
  <c r="V12" i="11" l="1"/>
  <c r="S12" i="11"/>
  <c r="T12" i="11"/>
  <c r="W16" i="11"/>
  <c r="U26" i="11"/>
  <c r="T16" i="11"/>
  <c r="S16" i="11"/>
  <c r="V16" i="11"/>
  <c r="X16" i="11"/>
  <c r="T112" i="8"/>
  <c r="X101" i="8"/>
  <c r="Y12" i="11"/>
  <c r="J98" i="8"/>
  <c r="U98" i="8" s="1"/>
  <c r="AA98" i="8" s="1"/>
  <c r="X98" i="8"/>
  <c r="Y17" i="11"/>
  <c r="N26" i="11"/>
  <c r="W26" i="11" s="1"/>
  <c r="Z17" i="11"/>
  <c r="X17" i="11"/>
  <c r="X12" i="11"/>
  <c r="Z12" i="11"/>
  <c r="U100" i="8"/>
  <c r="V26" i="11"/>
  <c r="T26" i="11"/>
  <c r="Y16" i="11"/>
  <c r="U99" i="8"/>
  <c r="J25" i="11"/>
  <c r="W98" i="8"/>
  <c r="V98" i="8"/>
  <c r="W101" i="8"/>
  <c r="V101" i="8"/>
  <c r="N99" i="8"/>
  <c r="V99" i="8" s="1"/>
  <c r="X99" i="8"/>
  <c r="W99" i="8"/>
  <c r="M25" i="11"/>
  <c r="T99" i="8"/>
  <c r="M21" i="10"/>
  <c r="M30" i="10"/>
  <c r="Q11" i="10"/>
  <c r="Q12" i="10" s="1"/>
  <c r="Q30" i="10"/>
  <c r="N100" i="8"/>
  <c r="Y100" i="8" s="1"/>
  <c r="AA112" i="8"/>
  <c r="Q26" i="8"/>
  <c r="Q20" i="8"/>
  <c r="J9" i="10"/>
  <c r="J21" i="10" s="1"/>
  <c r="N9" i="10"/>
  <c r="N21" i="10" s="1"/>
  <c r="N10" i="10"/>
  <c r="N30" i="10" s="1"/>
  <c r="V29" i="10"/>
  <c r="T29" i="10"/>
  <c r="U29" i="10"/>
  <c r="S20" i="10"/>
  <c r="T20" i="10"/>
  <c r="V20" i="10"/>
  <c r="U20" i="10"/>
  <c r="W20" i="10"/>
  <c r="AA25" i="8"/>
  <c r="Y84" i="8"/>
  <c r="Y86" i="8" s="1"/>
  <c r="V100" i="8" l="1"/>
  <c r="X100" i="8"/>
  <c r="T98" i="8"/>
  <c r="Y99" i="8"/>
  <c r="AA99" i="8" s="1"/>
  <c r="N25" i="11"/>
  <c r="Y25" i="11" s="1"/>
  <c r="S98" i="8"/>
  <c r="V25" i="11"/>
  <c r="S25" i="11"/>
  <c r="U25" i="11"/>
  <c r="T25" i="11"/>
  <c r="Z26" i="11"/>
  <c r="X26" i="11"/>
  <c r="Y26" i="11"/>
  <c r="W100" i="8"/>
  <c r="W25" i="11"/>
  <c r="Q32" i="10"/>
  <c r="Y32" i="10" s="1"/>
  <c r="Q14" i="10"/>
  <c r="Y14" i="10" s="1"/>
  <c r="Q23" i="10"/>
  <c r="Y23" i="10" s="1"/>
  <c r="Q33" i="10"/>
  <c r="Y33" i="10" s="1"/>
  <c r="Q24" i="10"/>
  <c r="Y24" i="10" s="1"/>
  <c r="Q15" i="10"/>
  <c r="Y15" i="10" s="1"/>
  <c r="AA100" i="8"/>
  <c r="Q30" i="8"/>
  <c r="Q27" i="8"/>
  <c r="Z25" i="11" l="1"/>
  <c r="X25" i="11"/>
  <c r="Y11" i="10"/>
  <c r="Q94" i="8"/>
  <c r="Q114" i="8" s="1"/>
  <c r="Q135" i="8" s="1"/>
  <c r="Y135" i="8" s="1"/>
  <c r="Q37" i="8"/>
  <c r="Q34" i="8"/>
  <c r="Q31" i="8"/>
  <c r="X134" i="8"/>
  <c r="Y130" i="8" s="1"/>
  <c r="W134" i="8"/>
  <c r="X130" i="8" s="1"/>
  <c r="V134" i="8"/>
  <c r="U134" i="8"/>
  <c r="V130" i="8" s="1"/>
  <c r="T134" i="8"/>
  <c r="U130" i="8" s="1"/>
  <c r="S134" i="8"/>
  <c r="T130" i="8" s="1"/>
  <c r="X133" i="8"/>
  <c r="W133" i="8"/>
  <c r="U133" i="8"/>
  <c r="T133" i="8"/>
  <c r="S133" i="8"/>
  <c r="C11" i="8"/>
  <c r="C14" i="8" s="1"/>
  <c r="C40" i="8"/>
  <c r="C41" i="8"/>
  <c r="C50" i="8"/>
  <c r="C60" i="8" s="1"/>
  <c r="C68" i="8"/>
  <c r="C76" i="8" s="1"/>
  <c r="C83" i="8"/>
  <c r="C90" i="8"/>
  <c r="C91" i="8"/>
  <c r="C120" i="8"/>
  <c r="C126" i="8"/>
  <c r="C131" i="8"/>
  <c r="J48" i="11"/>
  <c r="S48" i="11" s="1"/>
  <c r="N48" i="11"/>
  <c r="W48" i="11" s="1"/>
  <c r="N125" i="8"/>
  <c r="J125" i="8"/>
  <c r="N124" i="8"/>
  <c r="J124" i="8"/>
  <c r="N123" i="8"/>
  <c r="J123" i="8"/>
  <c r="N119" i="8"/>
  <c r="J119" i="8"/>
  <c r="N118" i="8"/>
  <c r="J118" i="8"/>
  <c r="N113" i="8"/>
  <c r="J113" i="8"/>
  <c r="N111" i="8"/>
  <c r="J111" i="8"/>
  <c r="N110" i="8"/>
  <c r="J110" i="8"/>
  <c r="N109" i="8"/>
  <c r="J109" i="8"/>
  <c r="N105" i="8"/>
  <c r="J105" i="8"/>
  <c r="N104" i="8"/>
  <c r="J104" i="8"/>
  <c r="N103" i="8"/>
  <c r="J103" i="8"/>
  <c r="N102" i="8"/>
  <c r="J102" i="8"/>
  <c r="N117" i="8"/>
  <c r="J117" i="8"/>
  <c r="N82" i="8"/>
  <c r="V82" i="8" s="1"/>
  <c r="J82" i="8"/>
  <c r="N81" i="8"/>
  <c r="V81" i="8" s="1"/>
  <c r="N80" i="8"/>
  <c r="V80" i="8" s="1"/>
  <c r="N79" i="8"/>
  <c r="V79" i="8" s="1"/>
  <c r="N8" i="8"/>
  <c r="V8" i="8" s="1"/>
  <c r="J8" i="8"/>
  <c r="I70" i="11"/>
  <c r="N133" i="8"/>
  <c r="V133" i="8" s="1"/>
  <c r="G70" i="11"/>
  <c r="N67" i="11"/>
  <c r="W67" i="11" s="1"/>
  <c r="N66" i="11"/>
  <c r="W66" i="11" s="1"/>
  <c r="N65" i="11"/>
  <c r="W65" i="11" s="1"/>
  <c r="J67" i="11"/>
  <c r="S67" i="11" s="1"/>
  <c r="J66" i="11"/>
  <c r="S66" i="11" s="1"/>
  <c r="J65" i="11"/>
  <c r="S65" i="11" s="1"/>
  <c r="L70" i="11"/>
  <c r="E70" i="11"/>
  <c r="D70" i="11"/>
  <c r="C70" i="11"/>
  <c r="P4" i="11"/>
  <c r="Y4" i="11" s="1"/>
  <c r="O4" i="11"/>
  <c r="X4" i="11" s="1"/>
  <c r="M4" i="11"/>
  <c r="V4" i="11" s="1"/>
  <c r="L4" i="11"/>
  <c r="U4" i="11" s="1"/>
  <c r="K4" i="11"/>
  <c r="T4" i="11" s="1"/>
  <c r="I4" i="11"/>
  <c r="H4" i="11"/>
  <c r="P3" i="11"/>
  <c r="Y3" i="11" s="1"/>
  <c r="O3" i="11"/>
  <c r="X3" i="11" s="1"/>
  <c r="N3" i="11"/>
  <c r="W3" i="11" s="1"/>
  <c r="M3" i="11"/>
  <c r="V3" i="11" s="1"/>
  <c r="L3" i="11"/>
  <c r="U3" i="11" s="1"/>
  <c r="K3" i="11"/>
  <c r="T3" i="11" s="1"/>
  <c r="J3" i="11"/>
  <c r="S3" i="11" s="1"/>
  <c r="I3" i="11"/>
  <c r="H3" i="11"/>
  <c r="G4" i="11"/>
  <c r="G3" i="11"/>
  <c r="E4" i="11"/>
  <c r="D4" i="11"/>
  <c r="C4" i="11"/>
  <c r="E3" i="11"/>
  <c r="D3" i="11"/>
  <c r="C3" i="11"/>
  <c r="B2" i="11"/>
  <c r="P130" i="8"/>
  <c r="N130" i="8"/>
  <c r="M130" i="8"/>
  <c r="L130" i="8"/>
  <c r="J130" i="8"/>
  <c r="I130" i="8"/>
  <c r="H130" i="8"/>
  <c r="P4" i="10"/>
  <c r="O4" i="10"/>
  <c r="X4" i="10" s="1"/>
  <c r="M4" i="10"/>
  <c r="V4" i="10" s="1"/>
  <c r="L4" i="10"/>
  <c r="U4" i="10" s="1"/>
  <c r="K4" i="10"/>
  <c r="T4" i="10" s="1"/>
  <c r="I4" i="10"/>
  <c r="H4" i="10"/>
  <c r="P3" i="10"/>
  <c r="O3" i="10"/>
  <c r="X3" i="10" s="1"/>
  <c r="N3" i="10"/>
  <c r="W3" i="10" s="1"/>
  <c r="M3" i="10"/>
  <c r="V3" i="10" s="1"/>
  <c r="L3" i="10"/>
  <c r="U3" i="10" s="1"/>
  <c r="K3" i="10"/>
  <c r="T3" i="10" s="1"/>
  <c r="J3" i="10"/>
  <c r="S3" i="10" s="1"/>
  <c r="I3" i="10"/>
  <c r="H3" i="10"/>
  <c r="G4" i="10"/>
  <c r="G3" i="10"/>
  <c r="D4" i="10"/>
  <c r="C4" i="10"/>
  <c r="D3" i="10"/>
  <c r="C3" i="10"/>
  <c r="E4" i="10"/>
  <c r="E3" i="10"/>
  <c r="V104" i="8" l="1"/>
  <c r="Y104" i="8"/>
  <c r="AA104" i="8" s="1"/>
  <c r="W104" i="8"/>
  <c r="X104" i="8"/>
  <c r="Y111" i="8"/>
  <c r="V111" i="8"/>
  <c r="W111" i="8"/>
  <c r="X111" i="8"/>
  <c r="Y125" i="8"/>
  <c r="X125" i="8"/>
  <c r="W125" i="8"/>
  <c r="V125" i="8"/>
  <c r="U113" i="8"/>
  <c r="T113" i="8"/>
  <c r="S113" i="8"/>
  <c r="N30" i="11"/>
  <c r="Y117" i="8"/>
  <c r="X117" i="8"/>
  <c r="W117" i="8"/>
  <c r="V117" i="8"/>
  <c r="Y113" i="8"/>
  <c r="AA113" i="8" s="1"/>
  <c r="W113" i="8"/>
  <c r="V113" i="8"/>
  <c r="X113" i="8"/>
  <c r="T102" i="8"/>
  <c r="S102" i="8"/>
  <c r="U102" i="8"/>
  <c r="U109" i="8"/>
  <c r="T109" i="8"/>
  <c r="S109" i="8"/>
  <c r="U118" i="8"/>
  <c r="T118" i="8"/>
  <c r="S118" i="8"/>
  <c r="U124" i="8"/>
  <c r="S124" i="8"/>
  <c r="T124" i="8"/>
  <c r="U117" i="8"/>
  <c r="J30" i="11"/>
  <c r="S117" i="8"/>
  <c r="T117" i="8"/>
  <c r="U105" i="8"/>
  <c r="S105" i="8"/>
  <c r="T105" i="8"/>
  <c r="Y105" i="8"/>
  <c r="AA105" i="8" s="1"/>
  <c r="V105" i="8"/>
  <c r="W105" i="8"/>
  <c r="X105" i="8"/>
  <c r="Y102" i="8"/>
  <c r="X102" i="8"/>
  <c r="V102" i="8"/>
  <c r="W102" i="8"/>
  <c r="Y109" i="8"/>
  <c r="AA109" i="8" s="1"/>
  <c r="X109" i="8"/>
  <c r="V109" i="8"/>
  <c r="W109" i="8"/>
  <c r="W118" i="8"/>
  <c r="V118" i="8"/>
  <c r="Y118" i="8"/>
  <c r="X118" i="8"/>
  <c r="Y124" i="8"/>
  <c r="AA124" i="8" s="1"/>
  <c r="V124" i="8"/>
  <c r="W124" i="8"/>
  <c r="X124" i="8"/>
  <c r="U103" i="8"/>
  <c r="AA103" i="8" s="1"/>
  <c r="T103" i="8"/>
  <c r="S103" i="8"/>
  <c r="T110" i="8"/>
  <c r="U110" i="8"/>
  <c r="S110" i="8"/>
  <c r="U119" i="8"/>
  <c r="T119" i="8"/>
  <c r="S119" i="8"/>
  <c r="Y103" i="8"/>
  <c r="X103" i="8"/>
  <c r="W103" i="8"/>
  <c r="V103" i="8"/>
  <c r="Y110" i="8"/>
  <c r="V110" i="8"/>
  <c r="W110" i="8"/>
  <c r="X110" i="8"/>
  <c r="X119" i="8"/>
  <c r="W119" i="8"/>
  <c r="V119" i="8"/>
  <c r="Y119" i="8"/>
  <c r="AA119" i="8" s="1"/>
  <c r="U104" i="8"/>
  <c r="T104" i="8"/>
  <c r="S104" i="8"/>
  <c r="U111" i="8"/>
  <c r="AA111" i="8" s="1"/>
  <c r="T111" i="8"/>
  <c r="S111" i="8"/>
  <c r="S125" i="8"/>
  <c r="U125" i="8"/>
  <c r="AA125" i="8" s="1"/>
  <c r="T125" i="8"/>
  <c r="V123" i="8"/>
  <c r="W123" i="8"/>
  <c r="Y123" i="8"/>
  <c r="X123" i="8"/>
  <c r="U123" i="8"/>
  <c r="T123" i="8"/>
  <c r="S123" i="8"/>
  <c r="AB33" i="11"/>
  <c r="Y11" i="8"/>
  <c r="N4" i="11"/>
  <c r="W4" i="11" s="1"/>
  <c r="J4" i="10"/>
  <c r="S4" i="10" s="1"/>
  <c r="AA18" i="8"/>
  <c r="C84" i="8"/>
  <c r="C86" i="8" s="1"/>
  <c r="C15" i="8"/>
  <c r="C19" i="8"/>
  <c r="C26" i="8" s="1"/>
  <c r="K130" i="8"/>
  <c r="S130" i="8" s="1"/>
  <c r="AB17" i="11"/>
  <c r="AA74" i="8"/>
  <c r="AA75" i="8"/>
  <c r="N4" i="10"/>
  <c r="W4" i="10" s="1"/>
  <c r="W130" i="8"/>
  <c r="Q70" i="11"/>
  <c r="Q73" i="11" s="1"/>
  <c r="Q82" i="11" s="1"/>
  <c r="J4" i="11"/>
  <c r="S4" i="11" s="1"/>
  <c r="Z70" i="11"/>
  <c r="Z73" i="11" s="1"/>
  <c r="Q49" i="11"/>
  <c r="H70" i="11"/>
  <c r="J133" i="8"/>
  <c r="G8" i="11"/>
  <c r="G13" i="11" s="1"/>
  <c r="G18" i="11" s="1"/>
  <c r="E8" i="11"/>
  <c r="E13" i="11" s="1"/>
  <c r="U70" i="11"/>
  <c r="C8" i="11"/>
  <c r="H49" i="11"/>
  <c r="I49" i="11"/>
  <c r="D49" i="11"/>
  <c r="T70" i="11"/>
  <c r="C49" i="11"/>
  <c r="G49" i="11"/>
  <c r="O70" i="11"/>
  <c r="P70" i="11"/>
  <c r="L49" i="11"/>
  <c r="E49" i="11"/>
  <c r="K49" i="11"/>
  <c r="X49" i="11"/>
  <c r="X70" i="11"/>
  <c r="Z49" i="11"/>
  <c r="T49" i="11"/>
  <c r="P49" i="11"/>
  <c r="Y49" i="11"/>
  <c r="M49" i="11"/>
  <c r="O49" i="11"/>
  <c r="O130" i="8"/>
  <c r="AA110" i="8" l="1"/>
  <c r="Z30" i="11"/>
  <c r="W30" i="11"/>
  <c r="Y30" i="11"/>
  <c r="X30" i="11"/>
  <c r="Y14" i="8"/>
  <c r="Y15" i="8" s="1"/>
  <c r="Y12" i="10"/>
  <c r="V30" i="11"/>
  <c r="T30" i="11"/>
  <c r="U30" i="11"/>
  <c r="S30" i="11"/>
  <c r="S11" i="10"/>
  <c r="Y120" i="8"/>
  <c r="Y126" i="8"/>
  <c r="AA118" i="8"/>
  <c r="X11" i="10"/>
  <c r="W11" i="10"/>
  <c r="AA123" i="8"/>
  <c r="C20" i="8"/>
  <c r="W70" i="11"/>
  <c r="Y70" i="11"/>
  <c r="Y73" i="11" s="1"/>
  <c r="Y82" i="11" s="1"/>
  <c r="D8" i="11"/>
  <c r="D13" i="11" s="1"/>
  <c r="D14" i="11" s="1"/>
  <c r="P8" i="11"/>
  <c r="P13" i="11" s="1"/>
  <c r="P18" i="11" s="1"/>
  <c r="I8" i="11"/>
  <c r="I13" i="11" s="1"/>
  <c r="I14" i="11" s="1"/>
  <c r="O8" i="11"/>
  <c r="M8" i="11"/>
  <c r="H8" i="11"/>
  <c r="H13" i="11" s="1"/>
  <c r="H18" i="11" s="1"/>
  <c r="L8" i="11"/>
  <c r="K8" i="11"/>
  <c r="K13" i="11" s="1"/>
  <c r="T11" i="10"/>
  <c r="Q8" i="11"/>
  <c r="Q13" i="11" s="1"/>
  <c r="Q14" i="11" s="1"/>
  <c r="AA102" i="8"/>
  <c r="V70" i="11"/>
  <c r="S70" i="11"/>
  <c r="M70" i="11"/>
  <c r="U11" i="10"/>
  <c r="V11" i="10"/>
  <c r="C13" i="11"/>
  <c r="C14" i="11" s="1"/>
  <c r="K70" i="11"/>
  <c r="J70" i="11"/>
  <c r="G14" i="11"/>
  <c r="N70" i="11"/>
  <c r="E14" i="11"/>
  <c r="E18" i="11"/>
  <c r="Z82" i="11"/>
  <c r="G22" i="11"/>
  <c r="G27" i="11" s="1"/>
  <c r="G19" i="11"/>
  <c r="Y19" i="8" l="1"/>
  <c r="H14" i="11"/>
  <c r="Y20" i="8"/>
  <c r="Y26" i="8"/>
  <c r="Y30" i="8" s="1"/>
  <c r="C30" i="8"/>
  <c r="C27" i="8"/>
  <c r="E9" i="11"/>
  <c r="K9" i="11"/>
  <c r="D9" i="11"/>
  <c r="P14" i="11"/>
  <c r="L9" i="11"/>
  <c r="O9" i="11"/>
  <c r="H10" i="11"/>
  <c r="L10" i="11"/>
  <c r="I10" i="11"/>
  <c r="I18" i="11"/>
  <c r="I19" i="11" s="1"/>
  <c r="M9" i="11"/>
  <c r="P10" i="11"/>
  <c r="O13" i="11"/>
  <c r="O18" i="11" s="1"/>
  <c r="O19" i="11" s="1"/>
  <c r="Q10" i="11"/>
  <c r="P9" i="11"/>
  <c r="M13" i="11"/>
  <c r="M14" i="11" s="1"/>
  <c r="L13" i="11"/>
  <c r="L14" i="11" s="1"/>
  <c r="N8" i="11"/>
  <c r="N10" i="11" s="1"/>
  <c r="M10" i="11"/>
  <c r="Q9" i="11"/>
  <c r="Q18" i="11"/>
  <c r="Q19" i="11" s="1"/>
  <c r="AB6" i="11"/>
  <c r="J8" i="11"/>
  <c r="K10" i="11" s="1"/>
  <c r="C18" i="11"/>
  <c r="C22" i="11" s="1"/>
  <c r="D18" i="11"/>
  <c r="D22" i="11" s="1"/>
  <c r="D27" i="11" s="1"/>
  <c r="E22" i="11"/>
  <c r="E27" i="11" s="1"/>
  <c r="E19" i="11"/>
  <c r="G23" i="11"/>
  <c r="P22" i="11"/>
  <c r="P27" i="11" s="1"/>
  <c r="P19" i="11"/>
  <c r="K18" i="11"/>
  <c r="K14" i="11"/>
  <c r="H22" i="11"/>
  <c r="H27" i="11" s="1"/>
  <c r="H19" i="11"/>
  <c r="C23" i="11" l="1"/>
  <c r="C27" i="11"/>
  <c r="C77" i="11" s="1"/>
  <c r="Y27" i="8"/>
  <c r="Y31" i="8"/>
  <c r="Y34" i="8"/>
  <c r="Y37" i="8"/>
  <c r="C31" i="8"/>
  <c r="C34" i="8"/>
  <c r="C37" i="8"/>
  <c r="C94" i="8"/>
  <c r="C114" i="8" s="1"/>
  <c r="C135" i="8" s="1"/>
  <c r="C136" i="8" s="1"/>
  <c r="C138" i="8" s="1"/>
  <c r="I22" i="11"/>
  <c r="I27" i="11" s="1"/>
  <c r="L18" i="11"/>
  <c r="L22" i="11" s="1"/>
  <c r="L27" i="11" s="1"/>
  <c r="O22" i="11"/>
  <c r="Y8" i="11"/>
  <c r="O14" i="11"/>
  <c r="O10" i="11"/>
  <c r="M18" i="11"/>
  <c r="M19" i="11" s="1"/>
  <c r="W8" i="11"/>
  <c r="S8" i="11"/>
  <c r="V8" i="11"/>
  <c r="Q22" i="11"/>
  <c r="U8" i="11"/>
  <c r="X8" i="11"/>
  <c r="T8" i="11"/>
  <c r="J10" i="11"/>
  <c r="AB7" i="11"/>
  <c r="Z8" i="11"/>
  <c r="Z13" i="11" s="1"/>
  <c r="Z14" i="11" s="1"/>
  <c r="N9" i="11"/>
  <c r="C19" i="11"/>
  <c r="D19" i="11"/>
  <c r="G28" i="11"/>
  <c r="G35" i="11"/>
  <c r="G40" i="11" s="1"/>
  <c r="D23" i="11"/>
  <c r="P23" i="11"/>
  <c r="H23" i="11"/>
  <c r="E23" i="11"/>
  <c r="K22" i="11"/>
  <c r="K27" i="11" s="1"/>
  <c r="K19" i="11"/>
  <c r="Q23" i="11" l="1"/>
  <c r="Q27" i="11"/>
  <c r="Q28" i="11" s="1"/>
  <c r="O23" i="11"/>
  <c r="O27" i="11"/>
  <c r="O28" i="11" s="1"/>
  <c r="I23" i="11"/>
  <c r="L19" i="11"/>
  <c r="Y9" i="11"/>
  <c r="M22" i="11"/>
  <c r="W9" i="11"/>
  <c r="Z18" i="11"/>
  <c r="Z9" i="11"/>
  <c r="AB8" i="11"/>
  <c r="X9" i="11"/>
  <c r="C81" i="11" a="1"/>
  <c r="C81" i="11" s="1"/>
  <c r="C78" i="11"/>
  <c r="C80" i="11" a="1"/>
  <c r="C80" i="11" s="1"/>
  <c r="C28" i="11"/>
  <c r="C35" i="11"/>
  <c r="C79" i="11"/>
  <c r="P35" i="11"/>
  <c r="P40" i="11" s="1"/>
  <c r="P28" i="11"/>
  <c r="D81" i="11" a="1"/>
  <c r="D81" i="11" s="1"/>
  <c r="D35" i="11"/>
  <c r="D40" i="11" s="1"/>
  <c r="D77" i="11"/>
  <c r="D80" i="11" a="1"/>
  <c r="D80" i="11" s="1"/>
  <c r="D28" i="11"/>
  <c r="D79" i="11"/>
  <c r="D78" i="11"/>
  <c r="K23" i="11"/>
  <c r="E35" i="11"/>
  <c r="E40" i="11" s="1"/>
  <c r="E28" i="11"/>
  <c r="E81" i="11" a="1"/>
  <c r="E81" i="11" s="1"/>
  <c r="E79" i="11"/>
  <c r="E80" i="11" a="1"/>
  <c r="E80" i="11" s="1"/>
  <c r="E78" i="11"/>
  <c r="E77" i="11"/>
  <c r="L23" i="11"/>
  <c r="H28" i="11"/>
  <c r="H35" i="11"/>
  <c r="H40" i="11" s="1"/>
  <c r="I35" i="11"/>
  <c r="I40" i="11" s="1"/>
  <c r="I28" i="11"/>
  <c r="M23" i="11" l="1"/>
  <c r="M27" i="11"/>
  <c r="M28" i="11" s="1"/>
  <c r="G41" i="11"/>
  <c r="O35" i="11"/>
  <c r="O40" i="11" s="1"/>
  <c r="C41" i="11"/>
  <c r="Q35" i="11"/>
  <c r="Q40" i="11" s="1"/>
  <c r="AB9" i="11"/>
  <c r="Z19" i="11"/>
  <c r="K35" i="11"/>
  <c r="K40" i="11" s="1"/>
  <c r="K28" i="11"/>
  <c r="H41" i="11"/>
  <c r="I41" i="11"/>
  <c r="L35" i="11"/>
  <c r="L40" i="11" s="1"/>
  <c r="L28" i="11"/>
  <c r="P41" i="11"/>
  <c r="E41" i="11"/>
  <c r="D41" i="11"/>
  <c r="M35" i="11" l="1"/>
  <c r="M40" i="11" s="1"/>
  <c r="Q41" i="11"/>
  <c r="L41" i="11"/>
  <c r="M41" i="11" l="1"/>
  <c r="B2" i="10" l="1"/>
  <c r="B15" i="10"/>
  <c r="B14" i="10"/>
  <c r="I11" i="10"/>
  <c r="D11" i="10"/>
  <c r="O11" i="10"/>
  <c r="E11" i="10"/>
  <c r="P11" i="10"/>
  <c r="N11" i="10"/>
  <c r="M11" i="10"/>
  <c r="L11" i="10"/>
  <c r="H11" i="10"/>
  <c r="C11" i="10"/>
  <c r="C12" i="10" s="1"/>
  <c r="N142" i="8"/>
  <c r="J142" i="8"/>
  <c r="E130" i="8"/>
  <c r="D130" i="8"/>
  <c r="G130" i="8" s="1"/>
  <c r="Y142" i="8" l="1"/>
  <c r="W142" i="8"/>
  <c r="N31" i="11"/>
  <c r="X142" i="8"/>
  <c r="V142" i="8"/>
  <c r="U142" i="8"/>
  <c r="J31" i="11"/>
  <c r="T142" i="8"/>
  <c r="S142" i="8"/>
  <c r="E32" i="10"/>
  <c r="E33" i="10"/>
  <c r="H33" i="10"/>
  <c r="H32" i="10"/>
  <c r="M32" i="10"/>
  <c r="U32" i="10" s="1"/>
  <c r="M33" i="10"/>
  <c r="U33" i="10" s="1"/>
  <c r="O32" i="10"/>
  <c r="W32" i="10" s="1"/>
  <c r="O33" i="10"/>
  <c r="W33" i="10" s="1"/>
  <c r="C32" i="10"/>
  <c r="C33" i="10"/>
  <c r="D32" i="10"/>
  <c r="D33" i="10"/>
  <c r="I33" i="10"/>
  <c r="I32" i="10"/>
  <c r="L32" i="10"/>
  <c r="T32" i="10" s="1"/>
  <c r="L33" i="10"/>
  <c r="T33" i="10" s="1"/>
  <c r="N32" i="10"/>
  <c r="V32" i="10" s="1"/>
  <c r="N33" i="10"/>
  <c r="V33" i="10" s="1"/>
  <c r="P32" i="10"/>
  <c r="X32" i="10" s="1"/>
  <c r="P33" i="10"/>
  <c r="X33" i="10" s="1"/>
  <c r="E24" i="10"/>
  <c r="E23" i="10"/>
  <c r="C24" i="10"/>
  <c r="C23" i="10"/>
  <c r="H24" i="10"/>
  <c r="H23" i="10"/>
  <c r="I24" i="10"/>
  <c r="I23" i="10"/>
  <c r="L23" i="10"/>
  <c r="T23" i="10" s="1"/>
  <c r="L24" i="10"/>
  <c r="T24" i="10" s="1"/>
  <c r="M23" i="10"/>
  <c r="U23" i="10" s="1"/>
  <c r="M24" i="10"/>
  <c r="U24" i="10" s="1"/>
  <c r="D24" i="10"/>
  <c r="D23" i="10"/>
  <c r="N24" i="10"/>
  <c r="V24" i="10" s="1"/>
  <c r="N23" i="10"/>
  <c r="V23" i="10" s="1"/>
  <c r="O23" i="10"/>
  <c r="W23" i="10" s="1"/>
  <c r="O24" i="10"/>
  <c r="W24" i="10" s="1"/>
  <c r="P23" i="10"/>
  <c r="X23" i="10" s="1"/>
  <c r="P24" i="10"/>
  <c r="X24" i="10" s="1"/>
  <c r="AA53" i="8"/>
  <c r="AA63" i="8"/>
  <c r="AA64" i="8"/>
  <c r="C14" i="10"/>
  <c r="C15" i="10"/>
  <c r="H14" i="10"/>
  <c r="H15" i="10"/>
  <c r="E15" i="10"/>
  <c r="E14" i="10"/>
  <c r="L15" i="10"/>
  <c r="T15" i="10" s="1"/>
  <c r="L14" i="10"/>
  <c r="T14" i="10" s="1"/>
  <c r="M15" i="10"/>
  <c r="U15" i="10" s="1"/>
  <c r="M14" i="10"/>
  <c r="U14" i="10" s="1"/>
  <c r="O14" i="10"/>
  <c r="W14" i="10" s="1"/>
  <c r="O15" i="10"/>
  <c r="W15" i="10" s="1"/>
  <c r="D14" i="10"/>
  <c r="D15" i="10"/>
  <c r="N14" i="10"/>
  <c r="V14" i="10" s="1"/>
  <c r="N15" i="10"/>
  <c r="V15" i="10" s="1"/>
  <c r="I15" i="10"/>
  <c r="I14" i="10"/>
  <c r="P14" i="10"/>
  <c r="X14" i="10" s="1"/>
  <c r="P15" i="10"/>
  <c r="X15" i="10" s="1"/>
  <c r="J11" i="10"/>
  <c r="G11" i="10"/>
  <c r="K11" i="10"/>
  <c r="Z31" i="11" l="1"/>
  <c r="Y31" i="11"/>
  <c r="X31" i="11"/>
  <c r="W31" i="11"/>
  <c r="V31" i="11"/>
  <c r="T31" i="11"/>
  <c r="S31" i="11"/>
  <c r="U31" i="11"/>
  <c r="K32" i="10"/>
  <c r="S32" i="10" s="1"/>
  <c r="K33" i="10"/>
  <c r="S33" i="10" s="1"/>
  <c r="J32" i="10"/>
  <c r="J33" i="10"/>
  <c r="G33" i="10"/>
  <c r="G32" i="10"/>
  <c r="K24" i="10"/>
  <c r="S24" i="10" s="1"/>
  <c r="K23" i="10"/>
  <c r="S23" i="10" s="1"/>
  <c r="G24" i="10"/>
  <c r="G23" i="10"/>
  <c r="J23" i="10"/>
  <c r="J24" i="10"/>
  <c r="G15" i="10"/>
  <c r="G14" i="10"/>
  <c r="K15" i="10"/>
  <c r="S15" i="10" s="1"/>
  <c r="K14" i="10"/>
  <c r="S14" i="10" s="1"/>
  <c r="J15" i="10"/>
  <c r="J14" i="10"/>
  <c r="N141" i="8" l="1"/>
  <c r="J141" i="8"/>
  <c r="AA44" i="8"/>
  <c r="E126" i="8"/>
  <c r="O126" i="8"/>
  <c r="J32" i="11" l="1"/>
  <c r="U141" i="8"/>
  <c r="T141" i="8"/>
  <c r="S141" i="8"/>
  <c r="Y141" i="8"/>
  <c r="N32" i="11"/>
  <c r="X141" i="8"/>
  <c r="V141" i="8"/>
  <c r="W141" i="8"/>
  <c r="S45" i="11"/>
  <c r="S49" i="11" s="1"/>
  <c r="W45" i="11"/>
  <c r="W49" i="11" s="1"/>
  <c r="T126" i="8"/>
  <c r="S126" i="8"/>
  <c r="AA80" i="8"/>
  <c r="AA82" i="8"/>
  <c r="AA79" i="8"/>
  <c r="AA71" i="8"/>
  <c r="AA81" i="8"/>
  <c r="AA78" i="8"/>
  <c r="AA49" i="8"/>
  <c r="P126" i="8"/>
  <c r="I126" i="8"/>
  <c r="D126" i="8"/>
  <c r="G126" i="8"/>
  <c r="H126" i="8"/>
  <c r="K126" i="8"/>
  <c r="L126" i="8"/>
  <c r="M126" i="8"/>
  <c r="J97" i="8"/>
  <c r="Z32" i="11" l="1"/>
  <c r="W32" i="11"/>
  <c r="Y32" i="11"/>
  <c r="X32" i="11"/>
  <c r="U97" i="8"/>
  <c r="J21" i="11"/>
  <c r="T97" i="8"/>
  <c r="S97" i="8"/>
  <c r="U32" i="11"/>
  <c r="V32" i="11"/>
  <c r="T32" i="11"/>
  <c r="S32" i="11"/>
  <c r="AA22" i="8"/>
  <c r="U49" i="11"/>
  <c r="AB30" i="11"/>
  <c r="AB31" i="11"/>
  <c r="AA29" i="8"/>
  <c r="N49" i="11"/>
  <c r="J49" i="11"/>
  <c r="J108" i="8"/>
  <c r="N126" i="8"/>
  <c r="J126" i="8"/>
  <c r="AB32" i="11" l="1"/>
  <c r="J34" i="11"/>
  <c r="U108" i="8"/>
  <c r="T108" i="8"/>
  <c r="S108" i="8"/>
  <c r="V21" i="11"/>
  <c r="U21" i="11"/>
  <c r="T21" i="11"/>
  <c r="S21" i="11"/>
  <c r="AB25" i="11"/>
  <c r="O41" i="11"/>
  <c r="K41" i="11"/>
  <c r="V49" i="11"/>
  <c r="U126" i="8"/>
  <c r="W126" i="8"/>
  <c r="X126" i="8"/>
  <c r="V126" i="8"/>
  <c r="V34" i="11" l="1"/>
  <c r="S34" i="11"/>
  <c r="T34" i="11"/>
  <c r="U34" i="11"/>
  <c r="P83" i="8"/>
  <c r="O83" i="8"/>
  <c r="M83" i="8"/>
  <c r="L83" i="8"/>
  <c r="K83" i="8"/>
  <c r="I83" i="8"/>
  <c r="I73" i="11" s="1"/>
  <c r="H83" i="8"/>
  <c r="H73" i="11" s="1"/>
  <c r="G83" i="8"/>
  <c r="G73" i="11" s="1"/>
  <c r="E83" i="8"/>
  <c r="E73" i="11" s="1"/>
  <c r="E82" i="11" s="1"/>
  <c r="D83" i="8"/>
  <c r="D73" i="11" s="1"/>
  <c r="D82" i="11" s="1"/>
  <c r="C73" i="11"/>
  <c r="C82" i="11" s="1"/>
  <c r="N36" i="8"/>
  <c r="V36" i="8" s="1"/>
  <c r="N33" i="8"/>
  <c r="V33" i="8" s="1"/>
  <c r="Y13" i="11" l="1"/>
  <c r="Y18" i="11" s="1"/>
  <c r="T73" i="11"/>
  <c r="T82" i="11" s="1"/>
  <c r="L73" i="11"/>
  <c r="L82" i="11" s="1"/>
  <c r="M73" i="11"/>
  <c r="M82" i="11" s="1"/>
  <c r="U73" i="11"/>
  <c r="U82" i="11" s="1"/>
  <c r="X73" i="11"/>
  <c r="X82" i="11" s="1"/>
  <c r="P73" i="11"/>
  <c r="P82" i="11" s="1"/>
  <c r="W73" i="11"/>
  <c r="W82" i="11" s="1"/>
  <c r="O73" i="11"/>
  <c r="O82" i="11" s="1"/>
  <c r="K73" i="11"/>
  <c r="K82" i="11" s="1"/>
  <c r="AA33" i="8"/>
  <c r="AA36" i="8"/>
  <c r="T83" i="8"/>
  <c r="U83" i="8"/>
  <c r="V83" i="8"/>
  <c r="X83" i="8"/>
  <c r="J83" i="8"/>
  <c r="S83" i="8"/>
  <c r="W83" i="8"/>
  <c r="N83" i="8"/>
  <c r="S73" i="11" s="1"/>
  <c r="S82" i="11" s="1"/>
  <c r="T13" i="11" l="1"/>
  <c r="T14" i="11" s="1"/>
  <c r="N13" i="11"/>
  <c r="N18" i="11" s="1"/>
  <c r="U13" i="11"/>
  <c r="U14" i="11" s="1"/>
  <c r="X13" i="11"/>
  <c r="V13" i="11"/>
  <c r="W13" i="11"/>
  <c r="W14" i="11" s="1"/>
  <c r="AB16" i="11"/>
  <c r="S13" i="11"/>
  <c r="S14" i="11" s="1"/>
  <c r="J13" i="11"/>
  <c r="J18" i="11" s="1"/>
  <c r="Y14" i="11"/>
  <c r="J73" i="11"/>
  <c r="J82" i="11" s="1"/>
  <c r="V73" i="11"/>
  <c r="V82" i="11" s="1"/>
  <c r="N73" i="11"/>
  <c r="N82" i="11" s="1"/>
  <c r="N108" i="8"/>
  <c r="N97" i="8"/>
  <c r="N21" i="11" l="1"/>
  <c r="Y97" i="8"/>
  <c r="V97" i="8"/>
  <c r="W97" i="8"/>
  <c r="X97" i="8"/>
  <c r="N34" i="11"/>
  <c r="Y108" i="8"/>
  <c r="AA108" i="8" s="1"/>
  <c r="V108" i="8"/>
  <c r="W108" i="8"/>
  <c r="X108" i="8"/>
  <c r="X18" i="11"/>
  <c r="X19" i="11" s="1"/>
  <c r="AA97" i="8"/>
  <c r="N14" i="11"/>
  <c r="AB26" i="11"/>
  <c r="W18" i="11"/>
  <c r="W19" i="11" s="1"/>
  <c r="X14" i="11"/>
  <c r="S18" i="11"/>
  <c r="S19" i="11" s="1"/>
  <c r="AB12" i="11"/>
  <c r="T18" i="11"/>
  <c r="T19" i="11" s="1"/>
  <c r="J14" i="11"/>
  <c r="U18" i="11"/>
  <c r="U19" i="11" s="1"/>
  <c r="V18" i="11"/>
  <c r="N19" i="11"/>
  <c r="J19" i="11"/>
  <c r="J22" i="11"/>
  <c r="J27" i="11" s="1"/>
  <c r="AB13" i="11"/>
  <c r="V14" i="11"/>
  <c r="AB14" i="11" s="1"/>
  <c r="Y19" i="11"/>
  <c r="AA117" i="8"/>
  <c r="Z34" i="11" l="1"/>
  <c r="Y34" i="11"/>
  <c r="X34" i="11"/>
  <c r="W34" i="11"/>
  <c r="Z21" i="11"/>
  <c r="Z22" i="11" s="1"/>
  <c r="Y21" i="11"/>
  <c r="Y22" i="11" s="1"/>
  <c r="Y27" i="11" s="1"/>
  <c r="W21" i="11"/>
  <c r="W22" i="11" s="1"/>
  <c r="W27" i="11" s="1"/>
  <c r="X21" i="11"/>
  <c r="X22" i="11" s="1"/>
  <c r="X27" i="11" s="1"/>
  <c r="AB34" i="11"/>
  <c r="U22" i="11"/>
  <c r="V22" i="11"/>
  <c r="V27" i="11" s="1"/>
  <c r="T22" i="11"/>
  <c r="T27" i="11" s="1"/>
  <c r="N22" i="11"/>
  <c r="S22" i="11"/>
  <c r="J23" i="11"/>
  <c r="V19" i="11"/>
  <c r="AB19" i="11" s="1"/>
  <c r="AB18" i="11"/>
  <c r="N23" i="11" l="1"/>
  <c r="N27" i="11"/>
  <c r="U23" i="11"/>
  <c r="U27" i="11"/>
  <c r="S23" i="11"/>
  <c r="S27" i="11"/>
  <c r="S35" i="11" s="1"/>
  <c r="Z27" i="11"/>
  <c r="Z23" i="11"/>
  <c r="Y23" i="11"/>
  <c r="AB21" i="11"/>
  <c r="M77" i="11"/>
  <c r="M80" i="11" a="1"/>
  <c r="M80" i="11" s="1"/>
  <c r="M81" i="11" a="1"/>
  <c r="M81" i="11" s="1"/>
  <c r="M79" i="11" a="1"/>
  <c r="M79" i="11" s="1"/>
  <c r="M78" i="11"/>
  <c r="J81" i="11" a="1"/>
  <c r="J81" i="11" s="1"/>
  <c r="J79" i="11" a="1"/>
  <c r="J79" i="11" s="1"/>
  <c r="L81" i="11" a="1"/>
  <c r="L81" i="11" s="1"/>
  <c r="J78" i="11"/>
  <c r="L78" i="11"/>
  <c r="L77" i="11"/>
  <c r="K79" i="11" a="1"/>
  <c r="K79" i="11" s="1"/>
  <c r="K77" i="11"/>
  <c r="L79" i="11" a="1"/>
  <c r="L79" i="11" s="1"/>
  <c r="K78" i="11"/>
  <c r="K80" i="11" a="1"/>
  <c r="K80" i="11" s="1"/>
  <c r="L80" i="11" a="1"/>
  <c r="L80" i="11" s="1"/>
  <c r="K81" i="11" a="1"/>
  <c r="K81" i="11" s="1"/>
  <c r="J80" i="11" a="1"/>
  <c r="J80" i="11" s="1"/>
  <c r="J77" i="11"/>
  <c r="W28" i="11"/>
  <c r="W23" i="11"/>
  <c r="X23" i="11"/>
  <c r="T78" i="11"/>
  <c r="T23" i="11"/>
  <c r="U77" i="11"/>
  <c r="Y28" i="11"/>
  <c r="Y79" i="11"/>
  <c r="Y80" i="11" a="1"/>
  <c r="Y80" i="11" s="1"/>
  <c r="Y35" i="11"/>
  <c r="Y81" i="11" a="1"/>
  <c r="Y81" i="11" s="1"/>
  <c r="Y78" i="11"/>
  <c r="Y77" i="11"/>
  <c r="V23" i="11"/>
  <c r="AB22" i="11"/>
  <c r="J28" i="11"/>
  <c r="J35" i="11"/>
  <c r="J40" i="11" s="1"/>
  <c r="X81" i="11" a="1"/>
  <c r="X81" i="11" s="1"/>
  <c r="X35" i="11"/>
  <c r="X79" i="11"/>
  <c r="X80" i="11" a="1"/>
  <c r="X80" i="11" s="1"/>
  <c r="X28" i="11"/>
  <c r="X77" i="11"/>
  <c r="X78" i="11"/>
  <c r="O68" i="8"/>
  <c r="M68" i="8"/>
  <c r="O120" i="8"/>
  <c r="K120" i="8"/>
  <c r="G120" i="8"/>
  <c r="N11" i="8"/>
  <c r="N12" i="10" s="1"/>
  <c r="J11" i="8"/>
  <c r="J12" i="10" s="1"/>
  <c r="J36" i="8"/>
  <c r="J33" i="8"/>
  <c r="L50" i="8"/>
  <c r="L60" i="8" s="1"/>
  <c r="K50" i="8"/>
  <c r="K60" i="8" s="1"/>
  <c r="G50" i="8"/>
  <c r="G60" i="8" s="1"/>
  <c r="P91" i="8"/>
  <c r="O91" i="8"/>
  <c r="N91" i="8"/>
  <c r="M91" i="8"/>
  <c r="L91" i="8"/>
  <c r="K91" i="8"/>
  <c r="J91" i="8"/>
  <c r="I91" i="8"/>
  <c r="H91" i="8"/>
  <c r="G91" i="8"/>
  <c r="P90" i="8"/>
  <c r="O90" i="8"/>
  <c r="N90" i="8"/>
  <c r="M90" i="8"/>
  <c r="L90" i="8"/>
  <c r="K90" i="8"/>
  <c r="J90" i="8"/>
  <c r="I90" i="8"/>
  <c r="H90" i="8"/>
  <c r="G90" i="8"/>
  <c r="H50" i="8"/>
  <c r="H60" i="8" s="1"/>
  <c r="I50" i="8"/>
  <c r="I60" i="8" s="1"/>
  <c r="M50" i="8"/>
  <c r="M60" i="8" s="1"/>
  <c r="O50" i="8"/>
  <c r="O60" i="8" s="1"/>
  <c r="P50" i="8"/>
  <c r="P60" i="8" s="1"/>
  <c r="P41" i="8"/>
  <c r="O41" i="8"/>
  <c r="N41" i="8"/>
  <c r="M41" i="8"/>
  <c r="L41" i="8"/>
  <c r="K41" i="8"/>
  <c r="J41" i="8"/>
  <c r="I41" i="8"/>
  <c r="H41" i="8"/>
  <c r="G41" i="8"/>
  <c r="P40" i="8"/>
  <c r="O40" i="8"/>
  <c r="N40" i="8"/>
  <c r="M40" i="8"/>
  <c r="L40" i="8"/>
  <c r="K40" i="8"/>
  <c r="J40" i="8"/>
  <c r="I40" i="8"/>
  <c r="H40" i="8"/>
  <c r="G40" i="8"/>
  <c r="E41" i="8"/>
  <c r="D41" i="8"/>
  <c r="E40" i="8"/>
  <c r="D40" i="8"/>
  <c r="P11" i="8"/>
  <c r="P12" i="10" s="1"/>
  <c r="O11" i="8"/>
  <c r="O12" i="10" s="1"/>
  <c r="M11" i="8"/>
  <c r="M12" i="10" s="1"/>
  <c r="L11" i="8"/>
  <c r="L12" i="10" s="1"/>
  <c r="K11" i="8"/>
  <c r="K12" i="10" s="1"/>
  <c r="I11" i="8"/>
  <c r="I12" i="10" s="1"/>
  <c r="H11" i="8"/>
  <c r="H12" i="10" s="1"/>
  <c r="G11" i="8"/>
  <c r="G12" i="10" s="1"/>
  <c r="AB23" i="11" l="1"/>
  <c r="Z81" i="11" a="1"/>
  <c r="Z81" i="11" s="1"/>
  <c r="Z35" i="11"/>
  <c r="Z80" i="11" a="1"/>
  <c r="Z80" i="11" s="1"/>
  <c r="Z79" i="11"/>
  <c r="Z28" i="11"/>
  <c r="Z77" i="11"/>
  <c r="Z78" i="11"/>
  <c r="V40" i="11"/>
  <c r="U40" i="11"/>
  <c r="S40" i="11"/>
  <c r="T40" i="11"/>
  <c r="W80" i="11" a="1"/>
  <c r="W80" i="11" s="1"/>
  <c r="W81" i="11" a="1"/>
  <c r="W81" i="11" s="1"/>
  <c r="W78" i="11"/>
  <c r="W77" i="11"/>
  <c r="W79" i="11"/>
  <c r="W35" i="11"/>
  <c r="Q79" i="11" a="1"/>
  <c r="Q79" i="11" s="1"/>
  <c r="Q81" i="11" a="1"/>
  <c r="Q81" i="11" s="1"/>
  <c r="Q78" i="11"/>
  <c r="Q77" i="11"/>
  <c r="Q80" i="11" a="1"/>
  <c r="Q80" i="11" s="1"/>
  <c r="P78" i="11"/>
  <c r="O80" i="11" a="1"/>
  <c r="O80" i="11" s="1"/>
  <c r="P80" i="11" a="1"/>
  <c r="P80" i="11" s="1"/>
  <c r="O79" i="11" a="1"/>
  <c r="O79" i="11" s="1"/>
  <c r="N81" i="11" a="1"/>
  <c r="N81" i="11" s="1"/>
  <c r="P81" i="11" a="1"/>
  <c r="P81" i="11" s="1"/>
  <c r="N78" i="11"/>
  <c r="P77" i="11"/>
  <c r="O81" i="11" a="1"/>
  <c r="O81" i="11" s="1"/>
  <c r="O77" i="11"/>
  <c r="P79" i="11" a="1"/>
  <c r="P79" i="11" s="1"/>
  <c r="N80" i="11" a="1"/>
  <c r="N80" i="11" s="1"/>
  <c r="O78" i="11"/>
  <c r="N77" i="11"/>
  <c r="N79" i="11" a="1"/>
  <c r="N79" i="11" s="1"/>
  <c r="T35" i="11"/>
  <c r="T80" i="11" a="1"/>
  <c r="T80" i="11" s="1"/>
  <c r="T79" i="11"/>
  <c r="N35" i="11"/>
  <c r="N40" i="11" s="1"/>
  <c r="N28" i="11"/>
  <c r="T81" i="11" a="1"/>
  <c r="T81" i="11" s="1"/>
  <c r="T77" i="11"/>
  <c r="T28" i="11"/>
  <c r="S81" i="11" a="1"/>
  <c r="S81" i="11" s="1"/>
  <c r="U78" i="11"/>
  <c r="U35" i="11"/>
  <c r="U28" i="11"/>
  <c r="U79" i="11"/>
  <c r="U80" i="11" a="1"/>
  <c r="U80" i="11" s="1"/>
  <c r="U81" i="11" a="1"/>
  <c r="U81" i="11" s="1"/>
  <c r="S80" i="11" a="1"/>
  <c r="S80" i="11" s="1"/>
  <c r="S77" i="11"/>
  <c r="S79" i="11"/>
  <c r="S78" i="11"/>
  <c r="S28" i="11"/>
  <c r="O14" i="8"/>
  <c r="O19" i="8" s="1"/>
  <c r="O26" i="8" s="1"/>
  <c r="P14" i="8"/>
  <c r="P15" i="8" s="1"/>
  <c r="K14" i="8"/>
  <c r="K19" i="8" s="1"/>
  <c r="K26" i="8" s="1"/>
  <c r="M14" i="8"/>
  <c r="M19" i="8" s="1"/>
  <c r="M26" i="8" s="1"/>
  <c r="L14" i="8"/>
  <c r="L15" i="8" s="1"/>
  <c r="V81" i="11" a="1"/>
  <c r="V81" i="11" s="1"/>
  <c r="V80" i="11" a="1"/>
  <c r="V80" i="11" s="1"/>
  <c r="V28" i="11"/>
  <c r="V35" i="11"/>
  <c r="AB35" i="11" s="1"/>
  <c r="AB27" i="11"/>
  <c r="V77" i="11"/>
  <c r="V79" i="11"/>
  <c r="V78" i="11"/>
  <c r="M76" i="8"/>
  <c r="G14" i="8"/>
  <c r="G19" i="8" s="1"/>
  <c r="G26" i="8" s="1"/>
  <c r="H14" i="8"/>
  <c r="H15" i="8" s="1"/>
  <c r="I14" i="8"/>
  <c r="I15" i="8" s="1"/>
  <c r="K68" i="8"/>
  <c r="P68" i="8"/>
  <c r="H68" i="8"/>
  <c r="G68" i="8"/>
  <c r="L68" i="8"/>
  <c r="E68" i="8"/>
  <c r="I68" i="8"/>
  <c r="P120" i="8"/>
  <c r="N120" i="8"/>
  <c r="H120" i="8"/>
  <c r="L120" i="8"/>
  <c r="M120" i="8"/>
  <c r="N14" i="8"/>
  <c r="N15" i="8" s="1"/>
  <c r="J14" i="8"/>
  <c r="J15" i="8" s="1"/>
  <c r="N68" i="8"/>
  <c r="N50" i="8"/>
  <c r="N60" i="8" s="1"/>
  <c r="J50" i="8"/>
  <c r="J60" i="8" s="1"/>
  <c r="J68" i="8"/>
  <c r="AB28" i="11" l="1"/>
  <c r="Z40" i="11"/>
  <c r="Z41" i="11" s="1"/>
  <c r="X40" i="11"/>
  <c r="X41" i="11" s="1"/>
  <c r="Y40" i="11"/>
  <c r="Y41" i="11" s="1"/>
  <c r="W40" i="11"/>
  <c r="T41" i="11"/>
  <c r="S41" i="11"/>
  <c r="W41" i="11"/>
  <c r="V41" i="11"/>
  <c r="U41" i="11"/>
  <c r="P19" i="8"/>
  <c r="O15" i="8"/>
  <c r="O20" i="8"/>
  <c r="L19" i="8"/>
  <c r="K15" i="8"/>
  <c r="J41" i="11"/>
  <c r="N41" i="11"/>
  <c r="M15" i="8"/>
  <c r="O27" i="8"/>
  <c r="O30" i="8"/>
  <c r="O94" i="8" s="1"/>
  <c r="O114" i="8" s="1"/>
  <c r="H19" i="8"/>
  <c r="H26" i="8" s="1"/>
  <c r="M84" i="8"/>
  <c r="M86" i="8" s="1"/>
  <c r="G20" i="8"/>
  <c r="G15" i="8"/>
  <c r="I19" i="8"/>
  <c r="I26" i="8" s="1"/>
  <c r="N76" i="8"/>
  <c r="K76" i="8"/>
  <c r="I76" i="8"/>
  <c r="E76" i="8"/>
  <c r="H76" i="8"/>
  <c r="J76" i="8"/>
  <c r="P76" i="8"/>
  <c r="G76" i="8"/>
  <c r="L76" i="8"/>
  <c r="O76" i="8"/>
  <c r="I120" i="8"/>
  <c r="J120" i="8"/>
  <c r="N19" i="8"/>
  <c r="N26" i="8" s="1"/>
  <c r="J19" i="8"/>
  <c r="J26" i="8" s="1"/>
  <c r="M20" i="8"/>
  <c r="K20" i="8"/>
  <c r="L26" i="8" l="1"/>
  <c r="L27" i="8" s="1"/>
  <c r="P26" i="8"/>
  <c r="P27" i="8" s="1"/>
  <c r="P20" i="8"/>
  <c r="L20" i="8"/>
  <c r="N27" i="8"/>
  <c r="N30" i="8"/>
  <c r="N94" i="8" s="1"/>
  <c r="M27" i="8"/>
  <c r="M30" i="8"/>
  <c r="M94" i="8" s="1"/>
  <c r="K27" i="8"/>
  <c r="K30" i="8"/>
  <c r="K94" i="8" s="1"/>
  <c r="J27" i="8"/>
  <c r="J30" i="8"/>
  <c r="J94" i="8" s="1"/>
  <c r="G27" i="8"/>
  <c r="G30" i="8"/>
  <c r="G94" i="8" s="1"/>
  <c r="G114" i="8" s="1"/>
  <c r="G135" i="8" s="1"/>
  <c r="O37" i="8"/>
  <c r="O31" i="8"/>
  <c r="O34" i="8"/>
  <c r="K84" i="8"/>
  <c r="K86" i="8" s="1"/>
  <c r="H20" i="8"/>
  <c r="I20" i="8"/>
  <c r="J84" i="8"/>
  <c r="J86" i="8" s="1"/>
  <c r="N84" i="8"/>
  <c r="N86" i="8" s="1"/>
  <c r="I84" i="8"/>
  <c r="I86" i="8" s="1"/>
  <c r="H84" i="8"/>
  <c r="H86" i="8" s="1"/>
  <c r="P84" i="8"/>
  <c r="P86" i="8" s="1"/>
  <c r="O84" i="8"/>
  <c r="O86" i="8" s="1"/>
  <c r="L84" i="8"/>
  <c r="L86" i="8" s="1"/>
  <c r="G84" i="8"/>
  <c r="G86" i="8" s="1"/>
  <c r="J20" i="8"/>
  <c r="N20" i="8"/>
  <c r="N114" i="8" l="1"/>
  <c r="M114" i="8"/>
  <c r="J114" i="8"/>
  <c r="K114" i="8"/>
  <c r="K135" i="8" s="1"/>
  <c r="S135" i="8" s="1"/>
  <c r="P30" i="8"/>
  <c r="P94" i="8" s="1"/>
  <c r="P114" i="8" s="1"/>
  <c r="P135" i="8" s="1"/>
  <c r="X135" i="8" s="1"/>
  <c r="L30" i="8"/>
  <c r="L94" i="8" s="1"/>
  <c r="V94" i="8" s="1"/>
  <c r="H27" i="8"/>
  <c r="H30" i="8"/>
  <c r="H94" i="8" s="1"/>
  <c r="I27" i="8"/>
  <c r="I30" i="8"/>
  <c r="I94" i="8" s="1"/>
  <c r="G34" i="8"/>
  <c r="G31" i="8"/>
  <c r="G37" i="8"/>
  <c r="K34" i="8"/>
  <c r="K37" i="8"/>
  <c r="K31" i="8"/>
  <c r="M37" i="8"/>
  <c r="M31" i="8"/>
  <c r="M34" i="8"/>
  <c r="N37" i="8"/>
  <c r="N31" i="8"/>
  <c r="N34" i="8"/>
  <c r="J31" i="8"/>
  <c r="J34" i="8"/>
  <c r="J37" i="8"/>
  <c r="O135" i="8"/>
  <c r="W135" i="8" s="1"/>
  <c r="M135" i="8"/>
  <c r="U135" i="8" s="1"/>
  <c r="U94" i="8" l="1"/>
  <c r="X94" i="8"/>
  <c r="P34" i="8"/>
  <c r="P31" i="8"/>
  <c r="P37" i="8"/>
  <c r="Y94" i="8"/>
  <c r="Y114" i="8" s="1"/>
  <c r="H114" i="8"/>
  <c r="S94" i="8"/>
  <c r="L114" i="8"/>
  <c r="L135" i="8" s="1"/>
  <c r="T135" i="8" s="1"/>
  <c r="W94" i="8"/>
  <c r="I114" i="8"/>
  <c r="T94" i="8"/>
  <c r="L34" i="8"/>
  <c r="L31" i="8"/>
  <c r="L37" i="8"/>
  <c r="I37" i="8"/>
  <c r="I31" i="8"/>
  <c r="I34" i="8"/>
  <c r="H37" i="8"/>
  <c r="H31" i="8"/>
  <c r="H34" i="8"/>
  <c r="H135" i="8" l="1"/>
  <c r="I135" i="8"/>
  <c r="B91" i="8" l="1"/>
  <c r="B90" i="8"/>
  <c r="E91" i="8"/>
  <c r="D91" i="8"/>
  <c r="E90" i="8"/>
  <c r="D90" i="8"/>
  <c r="B41" i="8"/>
  <c r="B40" i="8"/>
  <c r="X41" i="8"/>
  <c r="W41" i="8"/>
  <c r="U41" i="8"/>
  <c r="T41" i="8"/>
  <c r="S41" i="8"/>
  <c r="V41" i="8"/>
  <c r="X40" i="8"/>
  <c r="W40" i="8"/>
  <c r="V40" i="8"/>
  <c r="U40" i="8"/>
  <c r="T40" i="8"/>
  <c r="S40" i="8"/>
  <c r="S90" i="8" l="1"/>
  <c r="S91" i="8"/>
  <c r="V90" i="8"/>
  <c r="W90" i="8"/>
  <c r="W91" i="8"/>
  <c r="X91" i="8"/>
  <c r="U90" i="8"/>
  <c r="X90" i="8"/>
  <c r="U91" i="8"/>
  <c r="T91" i="8"/>
  <c r="V91" i="8"/>
  <c r="T90" i="8"/>
  <c r="T11" i="8" l="1"/>
  <c r="T12" i="10" s="1"/>
  <c r="D50" i="8"/>
  <c r="D60" i="8" s="1"/>
  <c r="E50" i="8"/>
  <c r="E60" i="8" s="1"/>
  <c r="U11" i="8" l="1"/>
  <c r="U12" i="10" s="1"/>
  <c r="T14" i="8"/>
  <c r="T19" i="8" s="1"/>
  <c r="T26" i="8" s="1"/>
  <c r="U50" i="8"/>
  <c r="U60" i="8" s="1"/>
  <c r="S50" i="8"/>
  <c r="S60" i="8" s="1"/>
  <c r="U68" i="8"/>
  <c r="U76" i="8" s="1"/>
  <c r="T68" i="8"/>
  <c r="T76" i="8" s="1"/>
  <c r="T50" i="8"/>
  <c r="T60" i="8" s="1"/>
  <c r="S11" i="8"/>
  <c r="S12" i="10" s="1"/>
  <c r="S68" i="8"/>
  <c r="S76" i="8" s="1"/>
  <c r="W50" i="8"/>
  <c r="W60" i="8" s="1"/>
  <c r="W11" i="8"/>
  <c r="W12" i="10" s="1"/>
  <c r="W68" i="8"/>
  <c r="W76" i="8" s="1"/>
  <c r="X68" i="8"/>
  <c r="X76" i="8" s="1"/>
  <c r="V11" i="8"/>
  <c r="V12" i="10" s="1"/>
  <c r="X11" i="8"/>
  <c r="X12" i="10" s="1"/>
  <c r="X50" i="8"/>
  <c r="X60" i="8" s="1"/>
  <c r="T20" i="8" l="1"/>
  <c r="S14" i="8"/>
  <c r="S19" i="8" s="1"/>
  <c r="S26" i="8" s="1"/>
  <c r="W14" i="8"/>
  <c r="W19" i="8" s="1"/>
  <c r="W26" i="8" s="1"/>
  <c r="AA10" i="8"/>
  <c r="U84" i="8"/>
  <c r="U86" i="8" s="1"/>
  <c r="S84" i="8"/>
  <c r="S86" i="8" s="1"/>
  <c r="AA17" i="8"/>
  <c r="T84" i="8"/>
  <c r="T86" i="8" s="1"/>
  <c r="U14" i="8"/>
  <c r="U19" i="8" s="1"/>
  <c r="U26" i="8" s="1"/>
  <c r="T15" i="8"/>
  <c r="AA13" i="8"/>
  <c r="W84" i="8"/>
  <c r="W86" i="8" s="1"/>
  <c r="X14" i="8"/>
  <c r="X19" i="8" s="1"/>
  <c r="X26" i="8" s="1"/>
  <c r="V14" i="8"/>
  <c r="V19" i="8" s="1"/>
  <c r="V26" i="8" s="1"/>
  <c r="X84" i="8"/>
  <c r="X86" i="8" s="1"/>
  <c r="T27" i="8" l="1"/>
  <c r="T30" i="8"/>
  <c r="S20" i="8"/>
  <c r="U20" i="8"/>
  <c r="W20" i="8"/>
  <c r="V20" i="8"/>
  <c r="X20" i="8"/>
  <c r="W15" i="8"/>
  <c r="V15" i="8"/>
  <c r="S15" i="8"/>
  <c r="X15" i="8"/>
  <c r="U15" i="8"/>
  <c r="W27" i="8" l="1"/>
  <c r="W30" i="8"/>
  <c r="X27" i="8"/>
  <c r="X30" i="8"/>
  <c r="S27" i="8"/>
  <c r="S30" i="8"/>
  <c r="U27" i="8"/>
  <c r="U30" i="8"/>
  <c r="V27" i="8"/>
  <c r="V30" i="8"/>
  <c r="T31" i="8"/>
  <c r="T34" i="8"/>
  <c r="T37" i="8"/>
  <c r="S31" i="8" l="1"/>
  <c r="S37" i="8"/>
  <c r="S34" i="8"/>
  <c r="W34" i="8"/>
  <c r="W31" i="8"/>
  <c r="W37" i="8"/>
  <c r="U31" i="8"/>
  <c r="U34" i="8"/>
  <c r="U37" i="8"/>
  <c r="X31" i="8"/>
  <c r="X34" i="8"/>
  <c r="X37" i="8"/>
  <c r="V37" i="8"/>
  <c r="V31" i="8"/>
  <c r="V34" i="8"/>
  <c r="V68" i="8" l="1"/>
  <c r="V76" i="8" s="1"/>
  <c r="U120" i="8" l="1"/>
  <c r="S120" i="8"/>
  <c r="T120" i="8"/>
  <c r="V120" i="8"/>
  <c r="X120" i="8"/>
  <c r="W120" i="8"/>
  <c r="E11" i="8" l="1"/>
  <c r="E12" i="10" s="1"/>
  <c r="D11" i="8"/>
  <c r="D12" i="10" s="1"/>
  <c r="E120" i="8"/>
  <c r="D120" i="8"/>
  <c r="D68" i="8"/>
  <c r="D76" i="8" l="1"/>
  <c r="AA11" i="8"/>
  <c r="V84" i="8"/>
  <c r="D14" i="8"/>
  <c r="D19" i="8" s="1"/>
  <c r="D26" i="8" s="1"/>
  <c r="E14" i="8"/>
  <c r="E19" i="8" s="1"/>
  <c r="E26" i="8" s="1"/>
  <c r="AA83" i="8"/>
  <c r="D20" i="8" l="1"/>
  <c r="E20" i="8"/>
  <c r="V50" i="8"/>
  <c r="V60" i="8" s="1"/>
  <c r="V86" i="8" s="1"/>
  <c r="D84" i="8"/>
  <c r="D86" i="8" s="1"/>
  <c r="E84" i="8"/>
  <c r="E86" i="8" s="1"/>
  <c r="AA76" i="8"/>
  <c r="AA68" i="8"/>
  <c r="D15" i="8"/>
  <c r="E15" i="8"/>
  <c r="D27" i="8" l="1"/>
  <c r="D30" i="8"/>
  <c r="D94" i="8" s="1"/>
  <c r="D114" i="8" s="1"/>
  <c r="D135" i="8" s="1"/>
  <c r="E27" i="8"/>
  <c r="E30" i="8"/>
  <c r="E94" i="8" s="1"/>
  <c r="E114" i="8" s="1"/>
  <c r="E135" i="8" s="1"/>
  <c r="AA27" i="8"/>
  <c r="AA26" i="8"/>
  <c r="J135" i="8"/>
  <c r="AA19" i="8"/>
  <c r="AA20" i="8"/>
  <c r="AA126" i="8"/>
  <c r="AA84" i="8"/>
  <c r="AA60" i="8"/>
  <c r="AA50" i="8"/>
  <c r="AA14" i="8"/>
  <c r="AA120" i="8"/>
  <c r="AA15" i="8"/>
  <c r="D31" i="8" l="1"/>
  <c r="E34" i="8"/>
  <c r="E37" i="8"/>
  <c r="D37" i="8"/>
  <c r="D34" i="8"/>
  <c r="E31" i="8"/>
  <c r="N135" i="8"/>
  <c r="V135" i="8" s="1"/>
  <c r="AA30" i="8" l="1"/>
  <c r="AA31" i="8"/>
  <c r="U114" i="8"/>
  <c r="V114" i="8"/>
  <c r="S114" i="8" l="1"/>
  <c r="T114" i="8"/>
  <c r="AA34" i="8" l="1"/>
  <c r="AA37" i="8"/>
  <c r="D129" i="8" l="1"/>
  <c r="G129" i="8" s="1"/>
  <c r="D131" i="8" l="1"/>
  <c r="D136" i="8" s="1"/>
  <c r="D138" i="8" s="1"/>
  <c r="E129" i="8" l="1"/>
  <c r="E131" i="8" s="1"/>
  <c r="E136" i="8" s="1"/>
  <c r="E138" i="8" s="1"/>
  <c r="G131" i="8"/>
  <c r="G136" i="8" l="1"/>
  <c r="G138" i="8" s="1"/>
  <c r="H129" i="8" l="1"/>
  <c r="H131" i="8" s="1"/>
  <c r="H136" i="8" s="1"/>
  <c r="H138" i="8" s="1"/>
  <c r="I129" i="8" l="1"/>
  <c r="I131" i="8" s="1"/>
  <c r="I136" i="8" l="1"/>
  <c r="I138" i="8" s="1"/>
  <c r="J129" i="8" l="1"/>
  <c r="J131" i="8" l="1"/>
  <c r="J136" i="8" s="1"/>
  <c r="J138" i="8" s="1"/>
  <c r="K129" i="8" l="1"/>
  <c r="K131" i="8" l="1"/>
  <c r="S129" i="8"/>
  <c r="K136" i="8"/>
  <c r="K138" i="8" s="1"/>
  <c r="L129" i="8" l="1"/>
  <c r="L131" i="8" s="1"/>
  <c r="L136" i="8" l="1"/>
  <c r="L138" i="8" s="1"/>
  <c r="M129" i="8" l="1"/>
  <c r="M131" i="8" s="1"/>
  <c r="M136" i="8" l="1"/>
  <c r="M138" i="8" s="1"/>
  <c r="N129" i="8" l="1"/>
  <c r="N131" i="8" s="1"/>
  <c r="N136" i="8" l="1"/>
  <c r="O129" i="8" l="1"/>
  <c r="O131" i="8" s="1"/>
  <c r="O136" i="8" s="1"/>
  <c r="N138" i="8"/>
  <c r="P129" i="8" l="1"/>
  <c r="P131" i="8" s="1"/>
  <c r="P136" i="8" s="1"/>
  <c r="O138" i="8"/>
  <c r="P138" i="8" l="1"/>
  <c r="Q129" i="8"/>
  <c r="Q131" i="8" s="1"/>
  <c r="Q136" i="8" s="1"/>
  <c r="Q138" i="8" s="1"/>
  <c r="W114" i="8"/>
  <c r="X114" i="8"/>
  <c r="AA94" i="8" l="1"/>
  <c r="AA114" i="8" l="1"/>
  <c r="S131" i="8" l="1"/>
  <c r="S136" i="8" s="1"/>
  <c r="S138" i="8" s="1"/>
  <c r="T129" i="8" l="1"/>
  <c r="T131" i="8" s="1"/>
  <c r="T136" i="8" s="1"/>
  <c r="T138" i="8" s="1"/>
  <c r="U129" i="8" l="1"/>
  <c r="U131" i="8" s="1"/>
  <c r="U136" i="8" s="1"/>
  <c r="U138" i="8" s="1"/>
  <c r="V129" i="8" l="1"/>
  <c r="V131" i="8" s="1"/>
  <c r="V136" i="8" l="1"/>
  <c r="W129" i="8" l="1"/>
  <c r="W131" i="8" s="1"/>
  <c r="W136" i="8" s="1"/>
  <c r="W138" i="8" s="1"/>
  <c r="V138" i="8"/>
  <c r="X129" i="8" l="1"/>
  <c r="X131" i="8" s="1"/>
  <c r="X136" i="8" s="1"/>
  <c r="Y129" i="8" l="1"/>
  <c r="Y131" i="8" s="1"/>
  <c r="Y136" i="8" s="1"/>
  <c r="Y138" i="8" s="1"/>
  <c r="X13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<sst xmlns="http://schemas.openxmlformats.org/spreadsheetml/2006/main" count="243" uniqueCount="186">
  <si>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</si>
  <si>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</si>
  <si>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</si>
  <si>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</si>
  <si>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</si>
  <si>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</si>
  <si>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</si>
  <si>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</si>
  <si>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</si>
  <si>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</si>
  <si>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</si>
  <si>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</si>
  <si>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</si>
  <si>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</si>
  <si>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</si>
  <si>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</si>
  <si>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</si>
  <si>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</si>
  <si>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</si>
  <si>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</si>
  <si>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</si>
  <si>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</si>
  <si>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</si>
  <si>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</si>
  <si>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</si>
  <si>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</si>
  <si>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</si>
  <si>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</si>
  <si>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</si>
  <si>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</si>
  <si>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</si>
  <si>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</si>
  <si>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</si>
  <si>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</si>
  <si>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</si>
  <si>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</si>
  <si>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</si>
  <si>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</si>
  <si>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</si>
  <si>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</si>
  <si>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</si>
  <si>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</si>
  <si>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</si>
  <si>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</si>
  <si>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</si>
  <si>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</si>
  <si>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</si>
  <si>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</si>
  <si>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</si>
  <si>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</si>
  <si>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</si>
  <si>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</si>
  <si>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</si>
  <si>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</si>
  <si>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</si>
  <si>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</si>
  <si>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</si>
  <si>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</si>
  <si>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</si>
  <si>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</si>
  <si>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</si>
  <si>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</si>
  <si>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</si>
  <si>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</si>
  <si>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</si>
  <si>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</si>
  <si>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</si>
  <si>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</si>
  <si>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</si>
  <si>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</si>
  <si>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</si>
  <si>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</si>
  <si>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</si>
  <si>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</si>
  <si>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</si>
  <si>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</si>
  <si>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</si>
  <si>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</si>
  <si>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</si>
  <si>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</si>
  <si>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</si>
  <si>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</si>
  <si>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</si>
  <si>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</si>
  <si>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</si>
  <si>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</si>
  <si>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</si>
  <si>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</si>
  <si>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</si>
  <si>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</si>
  <si>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</si>
  <si>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</si>
  <si>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</si>
  <si>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</si>
  <si>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</si>
  <si>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</si>
  <si>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</si>
  <si>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</si>
  <si>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</si>
  <si>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</si>
  <si>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</si>
  <si>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</si>
  <si>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</si>
  <si>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</si>
  <si>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Fixed Charge Coverage</t>
  </si>
  <si>
    <t>Earnings before Taxes</t>
  </si>
  <si>
    <t>(-) Mandatory Outflows</t>
  </si>
  <si>
    <t>Interest Income</t>
  </si>
  <si>
    <t>Interest Expenses</t>
  </si>
  <si>
    <t>Inventories</t>
  </si>
  <si>
    <t>Goodwill</t>
  </si>
  <si>
    <t xml:space="preserve">Selling, General, and Administrative </t>
  </si>
  <si>
    <t>Crocs Inc (NASDAQ: CROX)</t>
  </si>
  <si>
    <t xml:space="preserve">Revenue: Crocs </t>
  </si>
  <si>
    <t>Revenue: HEYDUDE</t>
  </si>
  <si>
    <t>Crox Revenues</t>
  </si>
  <si>
    <t>HEYDUDE Revenues</t>
  </si>
  <si>
    <t>Common stock</t>
  </si>
  <si>
    <t>Treasury stock</t>
  </si>
  <si>
    <t>Additional paid-in capital</t>
  </si>
  <si>
    <t>Retained earnings</t>
  </si>
  <si>
    <t>Accumulated OCI</t>
  </si>
  <si>
    <t>Cash and cash equivalents</t>
  </si>
  <si>
    <t>Accounts receivable</t>
  </si>
  <si>
    <t>Income taxes receivable</t>
  </si>
  <si>
    <t>Other receivables</t>
  </si>
  <si>
    <t>Prepaid expenses and other assets</t>
  </si>
  <si>
    <t>Property and equipment</t>
  </si>
  <si>
    <t>Intangible assets, net</t>
  </si>
  <si>
    <t>Deferred tax assets, net</t>
  </si>
  <si>
    <t>Restricted cash</t>
  </si>
  <si>
    <t>Right-of-use assets</t>
  </si>
  <si>
    <t>Other assets</t>
  </si>
  <si>
    <t>Accounts payable</t>
  </si>
  <si>
    <t>Accrued expenses and other liabilities</t>
  </si>
  <si>
    <t>Income taxes payable</t>
  </si>
  <si>
    <t>Current operating lease liabilities</t>
  </si>
  <si>
    <t>Deferred tax liabilities, net</t>
  </si>
  <si>
    <t>Long-term income taxes payable</t>
  </si>
  <si>
    <t>Long-term borrowings</t>
  </si>
  <si>
    <t xml:space="preserve">Long-term operating lease liabilities	</t>
  </si>
  <si>
    <t>Other liabilities</t>
  </si>
  <si>
    <t>Asset Impairments</t>
  </si>
  <si>
    <t>Foreign currency gains (losses), net</t>
  </si>
  <si>
    <t>Other income, net</t>
  </si>
  <si>
    <t>Loss on disposal of assets</t>
  </si>
  <si>
    <t>Operating lease cost</t>
  </si>
  <si>
    <t xml:space="preserve">Inventory donations	</t>
  </si>
  <si>
    <t>Provision for doubtful accounts, net</t>
  </si>
  <si>
    <t>Share-based compensation</t>
  </si>
  <si>
    <t>Asset impairments</t>
  </si>
  <si>
    <t>Deferred taxes</t>
  </si>
  <si>
    <t>Other non-cash items</t>
  </si>
  <si>
    <t>Accounts receivable, net of allowances</t>
  </si>
  <si>
    <t>Right-of-use assets and operating lease liabilities</t>
  </si>
  <si>
    <t>Income taxes</t>
  </si>
  <si>
    <t>Purchases of property, equipment, and software</t>
  </si>
  <si>
    <t>Acquisition of HEYDUDE, net of cash acquired</t>
  </si>
  <si>
    <t>Other</t>
  </si>
  <si>
    <t>Short-Term Debt</t>
  </si>
  <si>
    <t>Accounts payable, Accrued expenses, and other liabilities</t>
  </si>
  <si>
    <t>3Q25</t>
  </si>
  <si>
    <t>Variance Check</t>
  </si>
  <si>
    <t xml:space="preserve">(-) Selling, General, and Administrative </t>
  </si>
  <si>
    <t>(-) Asset Impairments</t>
  </si>
  <si>
    <t>(+) Asset Impairments</t>
  </si>
  <si>
    <t>(+/-) Divestitures / (Acquisitions)</t>
  </si>
  <si>
    <t>Proceeds / (Repayments) from borrowings, net</t>
  </si>
  <si>
    <t xml:space="preserve">Equity Issuances / (Repurchases), net </t>
  </si>
  <si>
    <t>(+/-) Proceeds / (Repayments) from borrowings, net</t>
  </si>
  <si>
    <t xml:space="preserve">(+/-) Equity Issuances / (Repurchases), net </t>
  </si>
  <si>
    <t>$350MM 4.250% Sr. Unsecured notes due 2029</t>
  </si>
  <si>
    <t>$350MM 4.125% Sr. Unsecured notes due 2031</t>
  </si>
  <si>
    <t>$2.0Bn Term Loan B Facility due 2029</t>
  </si>
  <si>
    <t>$1Bn Revolving Facility due 2027</t>
  </si>
  <si>
    <t>$15MM Asia Revolving Facility due 2027</t>
  </si>
  <si>
    <t>$1Bn RCF: Outstanding L/Cs</t>
  </si>
  <si>
    <t>$15MM Asia RCF: Outstanding L/Cs</t>
  </si>
  <si>
    <t>Total Leverage</t>
  </si>
  <si>
    <t>Net Leverage</t>
  </si>
  <si>
    <t xml:space="preserve">Interest Coverage </t>
  </si>
  <si>
    <t>Debt Service Coverage (DSC)</t>
  </si>
  <si>
    <t xml:space="preserve">Crocs DTC </t>
  </si>
  <si>
    <t xml:space="preserve">Crocs Wholesale </t>
  </si>
  <si>
    <t xml:space="preserve">HEYDUDE DTC </t>
  </si>
  <si>
    <t xml:space="preserve">HEYDUDE Wholesale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</si>
</sst>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9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top" wrapText="1"/>
    </xf>
    <xf numFmtId="41" fontId="11" fillId="0" borderId="0" xfId="0" applyNumberFormat="1" applyFont="1" applyFill="1" applyAlignment="1">
      <alignment horizontal="right" vertical="top" wrapText="1"/>
    </xf>
    <xf numFmtId="41" fontId="11" fillId="0" borderId="0" xfId="0" applyNumberFormat="1" applyFont="1" applyAlignment="1">
      <alignment vertical="center"/>
    </xf>
    <xf numFmtId="0" fontId="4" fillId="0" borderId="0" xfId="0" applyFont="1" applyFill="1"/>
    <xf numFmtId="41" fontId="6" fillId="0" borderId="0" xfId="0" applyNumberFormat="1" applyFont="1" applyFill="1" applyAlignment="1">
      <alignment horizontal="right" vertical="top" wrapText="1"/>
    </xf>
    <xf numFmtId="0" fontId="14" fillId="0" borderId="0" xfId="0" applyFont="1" applyFill="1"/>
    <xf numFmtId="0" fontId="23" fillId="0" borderId="0" xfId="0" applyFont="1" applyAlignment="1">
      <alignment horizontal="left" vertical="center" indent="1"/>
    </xf>
    <xf numFmtId="41" fontId="30" fillId="0" borderId="0" xfId="0" applyNumberFormat="1" applyFont="1" applyAlignment="1">
      <alignment vertical="center"/>
    </xf>
    <xf numFmtId="41" fontId="10" fillId="0" borderId="0" xfId="0" applyNumberFormat="1" applyFont="1" applyAlignment="1">
      <alignment vertical="center"/>
    </xf>
    <xf numFmtId="41" fontId="6" fillId="0" borderId="0" xfId="0" applyNumberFormat="1" applyFont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3" fontId="21" fillId="0" borderId="10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6" fillId="0" borderId="11" xfId="0" applyNumberFormat="1" applyFont="1" applyBorder="1" applyAlignment="1">
      <alignment horizontal="right" vertical="top" wrapText="1"/>
    </xf>
    <xf numFmtId="5" fontId="8" fillId="5" borderId="12" xfId="0" applyNumberFormat="1" applyFont="1" applyFill="1" applyBorder="1" applyAlignment="1">
      <alignment horizontal="right" vertical="top" wrapText="1"/>
    </xf>
    <xf numFmtId="37" fontId="4" fillId="0" borderId="11" xfId="0" applyNumberFormat="1" applyFont="1" applyBorder="1" applyAlignment="1">
      <alignment wrapText="1"/>
    </xf>
    <xf numFmtId="43" fontId="21" fillId="0" borderId="13" xfId="0" applyNumberFormat="1" applyFont="1" applyBorder="1" applyAlignment="1">
      <alignment wrapText="1"/>
    </xf>
    <xf numFmtId="41" fontId="7" fillId="0" borderId="14" xfId="0" applyNumberFormat="1" applyFont="1" applyBorder="1" applyAlignment="1">
      <alignment horizontal="right" vertical="top" wrapText="1"/>
    </xf>
    <xf numFmtId="0" fontId="8" fillId="5" borderId="14" xfId="0" applyFont="1" applyFill="1" applyBorder="1" applyAlignment="1">
      <alignment horizontal="right" vertical="center" wrapText="1"/>
    </xf>
    <xf numFmtId="41" fontId="8" fillId="0" borderId="14" xfId="0" applyNumberFormat="1" applyFont="1" applyBorder="1" applyAlignment="1">
      <alignment horizontal="right" vertical="top" wrapText="1"/>
    </xf>
    <xf numFmtId="0" fontId="4" fillId="0" borderId="14" xfId="0" applyFont="1" applyBorder="1"/>
    <xf numFmtId="0" fontId="21" fillId="0" borderId="15" xfId="0" applyFont="1" applyBorder="1" applyAlignment="1">
      <alignment horizontal="right" vertical="top" wrapText="1"/>
    </xf>
    <xf numFmtId="41" fontId="8" fillId="0" borderId="16" xfId="0" applyNumberFormat="1" applyFont="1" applyBorder="1" applyAlignment="1">
      <alignment horizontal="right" vertical="top" wrapText="1"/>
    </xf>
    <xf numFmtId="41" fontId="11" fillId="0" borderId="17" xfId="0" applyNumberFormat="1" applyFont="1" applyBorder="1" applyAlignment="1">
      <alignment horizontal="right" vertical="top" wrapText="1"/>
    </xf>
    <xf numFmtId="41" fontId="6" fillId="0" borderId="17" xfId="0" applyNumberFormat="1" applyFont="1" applyBorder="1" applyAlignment="1">
      <alignment horizontal="right" vertical="top" wrapText="1"/>
    </xf>
    <xf numFmtId="41" fontId="6" fillId="0" borderId="18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A155"/>
  <sheetViews>
    <sheetView showGridLines="0" tabSelected="1" topLeftCell="A115" zoomScale="115" zoomScaleNormal="115" workbookViewId="0">
      <selection activeCell="B139" sqref="B139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/>
    <col min="4" max="5" width="9.125" style="5" bestFit="1" customWidth="1"/>
    <col min="6" max="6" width="1.5" style="5" customWidth="1"/>
    <col min="7" max="8" width="7.875" style="5" hidden="1" customWidth="1" outlineLevel="1"/>
    <col min="9" max="10" width="8.625" style="5" hidden="1" customWidth="1" outlineLevel="1"/>
    <col min="11" max="12" width="7.875" style="5" hidden="1" customWidth="1" outlineLevel="1"/>
    <col min="13" max="13" width="8.625" style="5" bestFit="1" customWidth="1" collapsed="1"/>
    <col min="14" max="14" width="8.625" style="5" customWidth="1"/>
    <col min="15" max="17" width="8" style="5" customWidth="1"/>
    <col min="18" max="18" width="1.5" style="5" customWidth="1"/>
    <col min="19" max="19" width="8.625" style="5" hidden="1" customWidth="1" outlineLevel="1"/>
    <col min="20" max="20" width="8.25" style="5" hidden="1" customWidth="1" outlineLevel="1"/>
    <col min="21" max="21" width="8.25" style="5" bestFit="1" customWidth="1" collapsed="1"/>
    <col min="22" max="22" width="8.25" style="5" hidden="1" customWidth="1" outlineLevel="1"/>
    <col min="23" max="23" width="8.625" style="5" hidden="1" customWidth="1" outlineLevel="1"/>
    <col min="24" max="24" width="8.25" style="5" hidden="1" customWidth="1" outlineLevel="1"/>
    <col min="25" max="25" width="8.625" style="5" bestFit="1" customWidth="1" collapsed="1"/>
    <col min="26" max="26" width="1.25" style="5" customWidth="1"/>
    <col min="27" max="27" width="8.625" style="5" bestFit="1" customWidth="1"/>
    <col min="28" max="28" width="1.375" style="5" customWidth="1"/>
    <col min="29" max="16384" width="9" style="5"/>
  </cols>
  <sheetData>
    <row r="2" spans="1:27" ht="12.75" customHeight="1">
      <c r="B2" s="1" t="s">
        <v>112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3"/>
      <c r="S2" s="86"/>
      <c r="T2" s="86"/>
      <c r="U2" s="86"/>
      <c r="V2" s="86"/>
      <c r="W2" s="86"/>
      <c r="X2" s="86"/>
      <c r="Y2" s="86"/>
      <c r="Z2" s="3"/>
      <c r="AA2" s="1"/>
    </row>
    <row r="3" spans="1:27" ht="12.75" customHeight="1">
      <c r="B3" s="6" t="s">
        <v>79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3"/>
      <c r="AA3" s="1"/>
    </row>
    <row r="4" spans="1:27" ht="12.75" customHeight="1">
      <c r="B4" s="6" t="s">
        <v>97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</row>
    <row r="6" spans="1:27" ht="12.75" customHeight="1">
      <c r="A6" s="5" t="s">
        <v>18</v>
      </c>
      <c r="B6" s="1" t="s">
        <v>77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 t="s">
        <v>10</v>
      </c>
      <c r="V6" s="2"/>
      <c r="W6" s="2"/>
      <c r="X6" s="2"/>
      <c r="Y6" s="2"/>
      <c r="Z6" s="35"/>
      <c r="AA6" s="132" t="s">
        <v>24</v>
      </c>
    </row>
    <row r="7" spans="1:27" ht="12.75" customHeight="1">
      <c r="B7" s="6" t="s">
        <v>80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26</v>
      </c>
      <c r="P7" s="4" t="s">
        <v>27</v>
      </c>
      <c r="Q7" s="4" t="s">
        <v>161</v>
      </c>
      <c r="R7" s="4"/>
      <c r="S7" s="4" t="str">
        <f t="shared" ref="S7:X8" si="0">K7</f>
        <v>1Q24</v>
      </c>
      <c r="T7" s="4" t="str">
        <f t="shared" si="0"/>
        <v>2Q24</v>
      </c>
      <c r="U7" s="4" t="str">
        <f t="shared" si="0"/>
        <v>3Q24</v>
      </c>
      <c r="V7" s="4" t="str">
        <f t="shared" si="0"/>
        <v>4Q24</v>
      </c>
      <c r="W7" s="4" t="str">
        <f t="shared" si="0"/>
        <v>1Q25</v>
      </c>
      <c r="X7" s="4" t="str">
        <f t="shared" si="0"/>
        <v>2Q25</v>
      </c>
      <c r="Y7" s="4" t="str">
        <f>Q7</f>
        <v>3Q25</v>
      </c>
      <c r="Z7" s="35"/>
      <c r="AA7" s="132"/>
    </row>
    <row r="8" spans="1:27" ht="12.75" customHeight="1">
      <c r="B8" s="6" t="s">
        <v>81</v>
      </c>
      <c r="C8" s="3">
        <v>44926</v>
      </c>
      <c r="D8" s="3">
        <v>45291</v>
      </c>
      <c r="E8" s="3">
        <v>45657</v>
      </c>
      <c r="F8" s="3"/>
      <c r="G8" s="3">
        <v>45016</v>
      </c>
      <c r="H8" s="3">
        <v>45107</v>
      </c>
      <c r="I8" s="3">
        <v>45199</v>
      </c>
      <c r="J8" s="3">
        <f>D8</f>
        <v>45291</v>
      </c>
      <c r="K8" s="3">
        <v>45382</v>
      </c>
      <c r="L8" s="3">
        <v>45473</v>
      </c>
      <c r="M8" s="3">
        <v>45565</v>
      </c>
      <c r="N8" s="3">
        <f>E8</f>
        <v>45657</v>
      </c>
      <c r="O8" s="3">
        <v>45747</v>
      </c>
      <c r="P8" s="3">
        <v>45838</v>
      </c>
      <c r="Q8" s="3">
        <v>45930</v>
      </c>
      <c r="R8" s="3"/>
      <c r="S8" s="3">
        <f t="shared" si="0"/>
        <v>45382</v>
      </c>
      <c r="T8" s="3">
        <f t="shared" si="0"/>
        <v>45473</v>
      </c>
      <c r="U8" s="3">
        <f t="shared" si="0"/>
        <v>45565</v>
      </c>
      <c r="V8" s="3">
        <f t="shared" si="0"/>
        <v>45657</v>
      </c>
      <c r="W8" s="3">
        <f t="shared" si="0"/>
        <v>45747</v>
      </c>
      <c r="X8" s="3">
        <f t="shared" si="0"/>
        <v>45838</v>
      </c>
      <c r="Y8" s="3">
        <f>Q8</f>
        <v>45930</v>
      </c>
      <c r="Z8" s="35"/>
      <c r="AA8" s="132"/>
    </row>
    <row r="9" spans="1:27" ht="5.0999999999999996" customHeight="1">
      <c r="AA9" s="85"/>
    </row>
    <row r="10" spans="1:27" ht="12.75" customHeight="1">
      <c r="B10" s="9" t="s">
        <v>61</v>
      </c>
      <c r="C10" s="81">
        <v>3555</v>
      </c>
      <c r="D10" s="81">
        <v>3962.3</v>
      </c>
      <c r="E10" s="81">
        <v>4102.1000000000004</v>
      </c>
      <c r="F10" s="11"/>
      <c r="G10" s="81">
        <v>884.2</v>
      </c>
      <c r="H10" s="81">
        <v>1072.4000000000001</v>
      </c>
      <c r="I10" s="81">
        <v>1045.7</v>
      </c>
      <c r="J10" s="30">
        <f t="shared" ref="J10" si="1">SUM(D10-SUM(G10:I10))</f>
        <v>960</v>
      </c>
      <c r="K10" s="81">
        <v>938.6</v>
      </c>
      <c r="L10" s="81">
        <v>1111.5</v>
      </c>
      <c r="M10" s="81">
        <v>1062.2</v>
      </c>
      <c r="N10" s="30">
        <f t="shared" ref="N10" si="2">SUM(E10-SUM(K10:M10))</f>
        <v>989.80000000000018</v>
      </c>
      <c r="O10" s="81">
        <v>937.3</v>
      </c>
      <c r="P10" s="81">
        <v>1149.4000000000001</v>
      </c>
      <c r="Q10" s="76">
        <v>996.30100000000004</v>
      </c>
      <c r="R10" s="30"/>
      <c r="S10" s="30">
        <f t="shared" ref="S10:X10" si="3">SUM(H10:K10)</f>
        <v>4016.7000000000003</v>
      </c>
      <c r="T10" s="30">
        <f t="shared" si="3"/>
        <v>4055.8</v>
      </c>
      <c r="U10" s="30">
        <f t="shared" si="3"/>
        <v>4072.3</v>
      </c>
      <c r="V10" s="30">
        <f t="shared" si="3"/>
        <v>4102.1000000000004</v>
      </c>
      <c r="W10" s="30">
        <f t="shared" si="3"/>
        <v>4100.8</v>
      </c>
      <c r="X10" s="30">
        <f t="shared" si="3"/>
        <v>4138.7000000000007</v>
      </c>
      <c r="Y10" s="30">
        <f>SUM(N10:Q10)</f>
        <v>4072.8009999999999</v>
      </c>
      <c r="Z10" s="37"/>
      <c r="AA10" s="68">
        <f>SUM(Y10/U10)-1</f>
        <v>1.2302629963412137E-4</v>
      </c>
    </row>
    <row r="11" spans="1:27" ht="12.75" customHeight="1">
      <c r="B11" s="12" t="s">
        <v>12</v>
      </c>
      <c r="C11" s="13">
        <f t="shared" ref="C11:E11" si="4">+SUM(C10:C10)</f>
        <v>3555</v>
      </c>
      <c r="D11" s="13">
        <f t="shared" si="4"/>
        <v>3962.3</v>
      </c>
      <c r="E11" s="13">
        <f t="shared" si="4"/>
        <v>4102.1000000000004</v>
      </c>
      <c r="F11" s="11"/>
      <c r="G11" s="13">
        <f t="shared" ref="G11:P11" si="5">+SUM(G10:G10)</f>
        <v>884.2</v>
      </c>
      <c r="H11" s="13">
        <f t="shared" si="5"/>
        <v>1072.4000000000001</v>
      </c>
      <c r="I11" s="13">
        <f t="shared" si="5"/>
        <v>1045.7</v>
      </c>
      <c r="J11" s="13">
        <f t="shared" si="5"/>
        <v>960</v>
      </c>
      <c r="K11" s="13">
        <f t="shared" si="5"/>
        <v>938.6</v>
      </c>
      <c r="L11" s="13">
        <f t="shared" si="5"/>
        <v>1111.5</v>
      </c>
      <c r="M11" s="13">
        <f t="shared" si="5"/>
        <v>1062.2</v>
      </c>
      <c r="N11" s="13">
        <f t="shared" si="5"/>
        <v>989.80000000000018</v>
      </c>
      <c r="O11" s="13">
        <f t="shared" si="5"/>
        <v>937.3</v>
      </c>
      <c r="P11" s="13">
        <f t="shared" si="5"/>
        <v>1149.4000000000001</v>
      </c>
      <c r="Q11" s="13">
        <f t="shared" ref="Q11" si="6">+SUM(Q10:Q10)</f>
        <v>996.30100000000004</v>
      </c>
      <c r="S11" s="13">
        <f t="shared" ref="S11:Y11" si="7">+SUM(S10:S10)</f>
        <v>4016.7000000000003</v>
      </c>
      <c r="T11" s="13">
        <f t="shared" si="7"/>
        <v>4055.8</v>
      </c>
      <c r="U11" s="13">
        <f t="shared" si="7"/>
        <v>4072.3</v>
      </c>
      <c r="V11" s="13">
        <f t="shared" si="7"/>
        <v>4102.1000000000004</v>
      </c>
      <c r="W11" s="13">
        <f t="shared" si="7"/>
        <v>4100.8</v>
      </c>
      <c r="X11" s="13">
        <f t="shared" si="7"/>
        <v>4138.7000000000007</v>
      </c>
      <c r="Y11" s="13">
        <f t="shared" si="7"/>
        <v>4072.8009999999999</v>
      </c>
      <c r="Z11" s="37"/>
      <c r="AA11" s="69">
        <f>SUM(Y11/U11)-1</f>
        <v>1.2302629963412137E-4</v>
      </c>
    </row>
    <row r="12" spans="1:27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A12" s="68"/>
    </row>
    <row r="13" spans="1:27" ht="12.75" customHeight="1">
      <c r="B13" s="9" t="s">
        <v>13</v>
      </c>
      <c r="C13" s="76">
        <v>-1694.7</v>
      </c>
      <c r="D13" s="76">
        <v>-1752.3</v>
      </c>
      <c r="E13" s="76">
        <v>-1691.9</v>
      </c>
      <c r="F13" s="22"/>
      <c r="G13" s="76">
        <v>-407.8</v>
      </c>
      <c r="H13" s="76">
        <v>-451.1</v>
      </c>
      <c r="I13" s="76">
        <v>-464.1</v>
      </c>
      <c r="J13" s="30">
        <f t="shared" ref="J13" si="8">SUM(D13-SUM(G13:I13))</f>
        <v>-429.29999999999995</v>
      </c>
      <c r="K13" s="76">
        <v>-416.6</v>
      </c>
      <c r="L13" s="76">
        <v>-429.6</v>
      </c>
      <c r="M13" s="76">
        <v>-428.9</v>
      </c>
      <c r="N13" s="30">
        <f t="shared" ref="N13" si="9">SUM(E13-SUM(K13:M13))</f>
        <v>-416.80000000000018</v>
      </c>
      <c r="O13" s="76">
        <v>-395.8</v>
      </c>
      <c r="P13" s="76">
        <v>-440.5</v>
      </c>
      <c r="Q13" s="76">
        <v>-413.29300000000001</v>
      </c>
      <c r="S13" s="30">
        <f t="shared" ref="S13" si="10">SUM(H13:K13)</f>
        <v>-1761.1</v>
      </c>
      <c r="T13" s="30">
        <f t="shared" ref="T13" si="11">SUM(I13:L13)</f>
        <v>-1739.6</v>
      </c>
      <c r="U13" s="30">
        <f t="shared" ref="U13" si="12">SUM(J13:M13)</f>
        <v>-1704.4</v>
      </c>
      <c r="V13" s="30">
        <f t="shared" ref="V13" si="13">SUM(K13:N13)</f>
        <v>-1691.9</v>
      </c>
      <c r="W13" s="30">
        <f t="shared" ref="W13" si="14">SUM(L13:O13)</f>
        <v>-1671.1000000000001</v>
      </c>
      <c r="X13" s="30">
        <f t="shared" ref="X13" si="15">SUM(M13:P13)</f>
        <v>-1682.0000000000002</v>
      </c>
      <c r="Y13" s="30">
        <f>SUM(N13:Q13)</f>
        <v>-1666.393</v>
      </c>
      <c r="Z13" s="11"/>
      <c r="AA13" s="68">
        <f>SUM(Y13/U13)-1</f>
        <v>-2.2299342877258876E-2</v>
      </c>
    </row>
    <row r="14" spans="1:27" ht="12.75" customHeight="1">
      <c r="B14" s="23" t="s">
        <v>22</v>
      </c>
      <c r="C14" s="24">
        <f t="shared" ref="C14:E14" si="16">+SUM(C11+SUM(C13:C13))</f>
        <v>1860.3</v>
      </c>
      <c r="D14" s="24">
        <f t="shared" si="16"/>
        <v>2210</v>
      </c>
      <c r="E14" s="24">
        <f t="shared" si="16"/>
        <v>2410.2000000000003</v>
      </c>
      <c r="G14" s="24">
        <f t="shared" ref="G14:P14" si="17">+SUM(G11+SUM(G13:G13))</f>
        <v>476.40000000000003</v>
      </c>
      <c r="H14" s="24">
        <f t="shared" si="17"/>
        <v>621.30000000000007</v>
      </c>
      <c r="I14" s="24">
        <f t="shared" si="17"/>
        <v>581.6</v>
      </c>
      <c r="J14" s="24">
        <f t="shared" si="17"/>
        <v>530.70000000000005</v>
      </c>
      <c r="K14" s="24">
        <f t="shared" si="17"/>
        <v>522</v>
      </c>
      <c r="L14" s="24">
        <f t="shared" si="17"/>
        <v>681.9</v>
      </c>
      <c r="M14" s="24">
        <f t="shared" si="17"/>
        <v>633.30000000000007</v>
      </c>
      <c r="N14" s="24">
        <f t="shared" si="17"/>
        <v>573</v>
      </c>
      <c r="O14" s="24">
        <f t="shared" si="17"/>
        <v>541.5</v>
      </c>
      <c r="P14" s="24">
        <f t="shared" si="17"/>
        <v>708.90000000000009</v>
      </c>
      <c r="Q14" s="24">
        <f t="shared" ref="Q14" si="18">+SUM(Q11+SUM(Q13:Q13))</f>
        <v>583.00800000000004</v>
      </c>
      <c r="S14" s="24">
        <f t="shared" ref="S14:Y14" si="19">+SUM(S11+SUM(S13:S13))</f>
        <v>2255.6000000000004</v>
      </c>
      <c r="T14" s="24">
        <f t="shared" si="19"/>
        <v>2316.2000000000003</v>
      </c>
      <c r="U14" s="24">
        <f t="shared" si="19"/>
        <v>2367.9</v>
      </c>
      <c r="V14" s="24">
        <f t="shared" si="19"/>
        <v>2410.2000000000003</v>
      </c>
      <c r="W14" s="24">
        <f t="shared" si="19"/>
        <v>2429.6999999999998</v>
      </c>
      <c r="X14" s="24">
        <f t="shared" si="19"/>
        <v>2456.7000000000007</v>
      </c>
      <c r="Y14" s="24">
        <f t="shared" si="19"/>
        <v>2406.4079999999999</v>
      </c>
      <c r="Z14" s="39"/>
      <c r="AA14" s="69">
        <f>SUM(Y14/U14)-1</f>
        <v>1.6262511085772147E-2</v>
      </c>
    </row>
    <row r="15" spans="1:27" ht="12.75" customHeight="1">
      <c r="B15" s="14" t="s">
        <v>32</v>
      </c>
      <c r="C15" s="15">
        <f t="shared" ref="C15:E15" si="20">C14/C11</f>
        <v>0.5232911392405063</v>
      </c>
      <c r="D15" s="15">
        <f t="shared" si="20"/>
        <v>0.55775685839032885</v>
      </c>
      <c r="E15" s="15">
        <f t="shared" si="20"/>
        <v>0.58755271690109945</v>
      </c>
      <c r="F15" s="25"/>
      <c r="G15" s="15">
        <f t="shared" ref="G15:P15" si="21">G14/G11</f>
        <v>0.53879212847771996</v>
      </c>
      <c r="H15" s="15">
        <f t="shared" si="21"/>
        <v>0.57935471838866093</v>
      </c>
      <c r="I15" s="15">
        <f t="shared" si="21"/>
        <v>0.55618246150903705</v>
      </c>
      <c r="J15" s="15">
        <f t="shared" si="21"/>
        <v>0.55281250000000004</v>
      </c>
      <c r="K15" s="15">
        <f t="shared" si="21"/>
        <v>0.5561474536543789</v>
      </c>
      <c r="L15" s="15">
        <f t="shared" si="21"/>
        <v>0.61349527665317138</v>
      </c>
      <c r="M15" s="15">
        <f t="shared" si="21"/>
        <v>0.59621540199585765</v>
      </c>
      <c r="N15" s="15">
        <f t="shared" si="21"/>
        <v>0.57890482925843589</v>
      </c>
      <c r="O15" s="15">
        <f t="shared" si="21"/>
        <v>0.57772324762616023</v>
      </c>
      <c r="P15" s="15">
        <f t="shared" si="21"/>
        <v>0.61675656864451023</v>
      </c>
      <c r="Q15" s="15">
        <f t="shared" ref="Q15" si="22">Q14/Q11</f>
        <v>0.58517255327456263</v>
      </c>
      <c r="R15" s="26"/>
      <c r="S15" s="15">
        <f t="shared" ref="S15:Y15" si="23">S14/S11</f>
        <v>0.56155550576343771</v>
      </c>
      <c r="T15" s="15">
        <f t="shared" si="23"/>
        <v>0.57108338675477099</v>
      </c>
      <c r="U15" s="15">
        <f t="shared" si="23"/>
        <v>0.58146501976769882</v>
      </c>
      <c r="V15" s="15">
        <f t="shared" si="23"/>
        <v>0.58755271690109945</v>
      </c>
      <c r="W15" s="15">
        <f t="shared" si="23"/>
        <v>0.59249414748341778</v>
      </c>
      <c r="X15" s="15">
        <f t="shared" si="23"/>
        <v>0.59359219078454595</v>
      </c>
      <c r="Y15" s="15">
        <f t="shared" si="23"/>
        <v>0.59084841120398468</v>
      </c>
      <c r="Z15" s="39"/>
      <c r="AA15" s="70">
        <f>SUM(Y15-U15)*1000</f>
        <v>9.3833914362858586</v>
      </c>
    </row>
    <row r="16" spans="1:27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39"/>
      <c r="AA16" s="68"/>
    </row>
    <row r="17" spans="2:27" ht="12.75" customHeight="1">
      <c r="B17" s="9" t="s">
        <v>111</v>
      </c>
      <c r="C17" s="76">
        <v>-1009.5</v>
      </c>
      <c r="D17" s="76">
        <v>-1173.2</v>
      </c>
      <c r="E17" s="76">
        <v>-1388.3</v>
      </c>
      <c r="F17" s="30"/>
      <c r="G17" s="76">
        <v>-241.4</v>
      </c>
      <c r="H17" s="76">
        <v>-302.8</v>
      </c>
      <c r="I17" s="76">
        <v>-307.8</v>
      </c>
      <c r="J17" s="30">
        <f t="shared" ref="J17:J18" si="24">SUM(D17-SUM(G17:I17))</f>
        <v>-321.20000000000005</v>
      </c>
      <c r="K17" s="76">
        <v>-295.60000000000002</v>
      </c>
      <c r="L17" s="76">
        <v>-356.2</v>
      </c>
      <c r="M17" s="76">
        <v>-363.5</v>
      </c>
      <c r="N17" s="30">
        <f t="shared" ref="N17:N18" si="25">SUM(E17-SUM(K17:M17))</f>
        <v>-373</v>
      </c>
      <c r="O17" s="76">
        <v>-318.60000000000002</v>
      </c>
      <c r="P17" s="76">
        <v>-398.2</v>
      </c>
      <c r="Q17" s="76">
        <v>-375.34800000000001</v>
      </c>
      <c r="S17" s="30">
        <f t="shared" ref="S17:S18" si="26">SUM(H17:K17)</f>
        <v>-1227.4000000000001</v>
      </c>
      <c r="T17" s="30">
        <f t="shared" ref="T17:T18" si="27">SUM(I17:L17)</f>
        <v>-1280.8</v>
      </c>
      <c r="U17" s="30">
        <f t="shared" ref="U17:U18" si="28">SUM(J17:M17)</f>
        <v>-1336.5</v>
      </c>
      <c r="V17" s="30">
        <f t="shared" ref="V17:V18" si="29">SUM(K17:N17)</f>
        <v>-1388.3</v>
      </c>
      <c r="W17" s="30">
        <f t="shared" ref="W17:W18" si="30">SUM(L17:O17)</f>
        <v>-1411.3000000000002</v>
      </c>
      <c r="X17" s="30">
        <f t="shared" ref="X17:X18" si="31">SUM(M17:P17)</f>
        <v>-1453.3</v>
      </c>
      <c r="Y17" s="30">
        <f>SUM(N17:Q17)</f>
        <v>-1465.1479999999999</v>
      </c>
      <c r="Z17" s="11"/>
      <c r="AA17" s="68">
        <f>SUM(Y17/U17)-1</f>
        <v>9.625738870183298E-2</v>
      </c>
    </row>
    <row r="18" spans="2:27" ht="12.75" customHeight="1">
      <c r="B18" s="9" t="s">
        <v>142</v>
      </c>
      <c r="C18" s="76">
        <v>0</v>
      </c>
      <c r="D18" s="76">
        <v>0</v>
      </c>
      <c r="E18" s="76">
        <v>0</v>
      </c>
      <c r="F18" s="30"/>
      <c r="G18" s="76">
        <v>0</v>
      </c>
      <c r="H18" s="76">
        <v>0</v>
      </c>
      <c r="I18" s="76">
        <v>0</v>
      </c>
      <c r="J18" s="30">
        <f t="shared" si="24"/>
        <v>0</v>
      </c>
      <c r="K18" s="76">
        <v>0</v>
      </c>
      <c r="L18" s="76">
        <v>0</v>
      </c>
      <c r="M18" s="76">
        <v>0</v>
      </c>
      <c r="N18" s="30">
        <f t="shared" si="25"/>
        <v>0</v>
      </c>
      <c r="O18" s="76">
        <v>0</v>
      </c>
      <c r="P18" s="76">
        <v>-738.1</v>
      </c>
      <c r="Q18" s="76">
        <v>0</v>
      </c>
      <c r="S18" s="30">
        <f t="shared" si="26"/>
        <v>0</v>
      </c>
      <c r="T18" s="30">
        <f t="shared" si="27"/>
        <v>0</v>
      </c>
      <c r="U18" s="30">
        <f t="shared" si="28"/>
        <v>0</v>
      </c>
      <c r="V18" s="30">
        <f t="shared" si="29"/>
        <v>0</v>
      </c>
      <c r="W18" s="30">
        <f t="shared" si="30"/>
        <v>0</v>
      </c>
      <c r="X18" s="30">
        <f t="shared" si="31"/>
        <v>-738.1</v>
      </c>
      <c r="Y18" s="30">
        <f>SUM(N18:Q18)</f>
        <v>-738.1</v>
      </c>
      <c r="Z18" s="11"/>
      <c r="AA18" s="68" t="e">
        <f>SUM(Y18/U18)-1</f>
        <v>#DIV/0!</v>
      </c>
    </row>
    <row r="19" spans="2:27" ht="12.75" customHeight="1">
      <c r="B19" s="23" t="s">
        <v>82</v>
      </c>
      <c r="C19" s="24">
        <f>+SUM(C14+SUM(C17:C18))</f>
        <v>850.8</v>
      </c>
      <c r="D19" s="24">
        <f>+SUM(D14+SUM(D17:D18))</f>
        <v>1036.8</v>
      </c>
      <c r="E19" s="24">
        <f>+SUM(E14+SUM(E17:E18))</f>
        <v>1021.9000000000003</v>
      </c>
      <c r="F19" s="30"/>
      <c r="G19" s="24">
        <f t="shared" ref="G19:Q19" si="32">+SUM(G14+SUM(G17:G18))</f>
        <v>235.00000000000003</v>
      </c>
      <c r="H19" s="24">
        <f t="shared" si="32"/>
        <v>318.50000000000006</v>
      </c>
      <c r="I19" s="24">
        <f t="shared" si="32"/>
        <v>273.8</v>
      </c>
      <c r="J19" s="24">
        <f t="shared" si="32"/>
        <v>209.5</v>
      </c>
      <c r="K19" s="24">
        <f t="shared" si="32"/>
        <v>226.39999999999998</v>
      </c>
      <c r="L19" s="24">
        <f t="shared" si="32"/>
        <v>325.7</v>
      </c>
      <c r="M19" s="24">
        <f t="shared" si="32"/>
        <v>269.80000000000007</v>
      </c>
      <c r="N19" s="24">
        <f t="shared" si="32"/>
        <v>200</v>
      </c>
      <c r="O19" s="24">
        <f t="shared" si="32"/>
        <v>222.89999999999998</v>
      </c>
      <c r="P19" s="24">
        <f t="shared" si="32"/>
        <v>-427.39999999999986</v>
      </c>
      <c r="Q19" s="24">
        <f t="shared" si="32"/>
        <v>207.66000000000003</v>
      </c>
      <c r="S19" s="24">
        <f t="shared" ref="S19:Y19" si="33">+SUM(S14+SUM(S17:S18))</f>
        <v>1028.2000000000003</v>
      </c>
      <c r="T19" s="24">
        <f t="shared" si="33"/>
        <v>1035.4000000000003</v>
      </c>
      <c r="U19" s="24">
        <f t="shared" si="33"/>
        <v>1031.4000000000001</v>
      </c>
      <c r="V19" s="24">
        <f t="shared" si="33"/>
        <v>1021.9000000000003</v>
      </c>
      <c r="W19" s="24">
        <f t="shared" si="33"/>
        <v>1018.3999999999996</v>
      </c>
      <c r="X19" s="24">
        <f t="shared" si="33"/>
        <v>265.30000000000064</v>
      </c>
      <c r="Y19" s="24">
        <f t="shared" si="33"/>
        <v>203.15999999999985</v>
      </c>
      <c r="Z19" s="11"/>
      <c r="AA19" s="69">
        <f>SUM(Y19/U19)-1</f>
        <v>-0.8030250145433393</v>
      </c>
    </row>
    <row r="20" spans="2:27" ht="12.75" customHeight="1">
      <c r="B20" s="14" t="s">
        <v>34</v>
      </c>
      <c r="C20" s="15">
        <f>C19/C11</f>
        <v>0.23932489451476793</v>
      </c>
      <c r="D20" s="15">
        <f>D19/D11</f>
        <v>0.26166620397244023</v>
      </c>
      <c r="E20" s="15">
        <f>E19/E11</f>
        <v>0.24911630628214823</v>
      </c>
      <c r="F20" s="30"/>
      <c r="G20" s="15">
        <f t="shared" ref="G20:Q20" si="34">G19/G11</f>
        <v>0.26577697353539925</v>
      </c>
      <c r="H20" s="15">
        <f t="shared" si="34"/>
        <v>0.29699738903394257</v>
      </c>
      <c r="I20" s="15">
        <f t="shared" si="34"/>
        <v>0.26183417806254183</v>
      </c>
      <c r="J20" s="15">
        <f t="shared" si="34"/>
        <v>0.21822916666666667</v>
      </c>
      <c r="K20" s="15">
        <f t="shared" si="34"/>
        <v>0.24121031323247386</v>
      </c>
      <c r="L20" s="15">
        <f t="shared" si="34"/>
        <v>0.29302744039586143</v>
      </c>
      <c r="M20" s="15">
        <f t="shared" si="34"/>
        <v>0.25400112973074757</v>
      </c>
      <c r="N20" s="15">
        <f t="shared" si="34"/>
        <v>0.20206102242877344</v>
      </c>
      <c r="O20" s="15">
        <f t="shared" si="34"/>
        <v>0.23781073295636401</v>
      </c>
      <c r="P20" s="15">
        <f t="shared" si="34"/>
        <v>-0.37184618061597341</v>
      </c>
      <c r="Q20" s="15">
        <f t="shared" si="34"/>
        <v>0.20843098621802048</v>
      </c>
      <c r="S20" s="15">
        <f t="shared" ref="S20:Y20" si="35">S19/S11</f>
        <v>0.25598127816366673</v>
      </c>
      <c r="T20" s="15">
        <f t="shared" si="35"/>
        <v>0.25528872232358607</v>
      </c>
      <c r="U20" s="15">
        <f t="shared" si="35"/>
        <v>0.25327210667190531</v>
      </c>
      <c r="V20" s="15">
        <f t="shared" si="35"/>
        <v>0.24911630628214823</v>
      </c>
      <c r="W20" s="15">
        <f t="shared" si="35"/>
        <v>0.24834178696839632</v>
      </c>
      <c r="X20" s="15">
        <f t="shared" si="35"/>
        <v>6.410225433107028E-2</v>
      </c>
      <c r="Y20" s="15">
        <f t="shared" si="35"/>
        <v>4.9882132714070701E-2</v>
      </c>
      <c r="Z20" s="11"/>
      <c r="AA20" s="70">
        <f>SUM(Y20-U20)*1000</f>
        <v>-203.3899739578346</v>
      </c>
    </row>
    <row r="21" spans="2:27" ht="5.0999999999999996" customHeight="1">
      <c r="B21" s="14"/>
      <c r="C21" s="15"/>
      <c r="D21" s="15"/>
      <c r="E21" s="15"/>
      <c r="F21" s="30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S21" s="30"/>
      <c r="T21" s="30"/>
      <c r="U21" s="30"/>
      <c r="V21" s="30"/>
      <c r="W21" s="30"/>
      <c r="X21" s="30"/>
      <c r="Y21" s="30"/>
      <c r="Z21" s="11"/>
      <c r="AA21" s="68"/>
    </row>
    <row r="22" spans="2:27" ht="12.75" customHeight="1">
      <c r="B22" s="9" t="s">
        <v>143</v>
      </c>
      <c r="C22" s="76">
        <v>3.2</v>
      </c>
      <c r="D22" s="76">
        <v>-1.2</v>
      </c>
      <c r="E22" s="76">
        <v>-6.8</v>
      </c>
      <c r="F22" s="30"/>
      <c r="G22" s="76">
        <v>-0.4</v>
      </c>
      <c r="H22" s="76">
        <v>0.6</v>
      </c>
      <c r="I22" s="76">
        <v>-1.8</v>
      </c>
      <c r="J22" s="30">
        <f t="shared" ref="J22:J25" si="36">SUM(D22-SUM(G22:I22))</f>
        <v>0.40000000000000013</v>
      </c>
      <c r="K22" s="76">
        <v>-2.2999999999999998</v>
      </c>
      <c r="L22" s="76">
        <v>-1.3</v>
      </c>
      <c r="M22" s="76">
        <v>-0.3</v>
      </c>
      <c r="N22" s="30">
        <f t="shared" ref="N22:N25" si="37">SUM(E22-SUM(K22:M22))</f>
        <v>-2.9000000000000004</v>
      </c>
      <c r="O22" s="76">
        <v>4.9000000000000004</v>
      </c>
      <c r="P22" s="76">
        <v>0.4</v>
      </c>
      <c r="Q22" s="76">
        <v>2.9569999999999999</v>
      </c>
      <c r="S22" s="30">
        <f t="shared" ref="S22:S25" si="38">SUM(H22:K22)</f>
        <v>-3.0999999999999996</v>
      </c>
      <c r="T22" s="30">
        <f t="shared" ref="T22:T25" si="39">SUM(I22:L22)</f>
        <v>-5</v>
      </c>
      <c r="U22" s="30">
        <f t="shared" ref="U22:U25" si="40">SUM(J22:M22)</f>
        <v>-3.4999999999999996</v>
      </c>
      <c r="V22" s="30">
        <f t="shared" ref="V22:V25" si="41">SUM(K22:N22)</f>
        <v>-6.8</v>
      </c>
      <c r="W22" s="30">
        <f t="shared" ref="W22:W25" si="42">SUM(L22:O22)</f>
        <v>0.40000000000000036</v>
      </c>
      <c r="X22" s="30">
        <f t="shared" ref="X22:X25" si="43">SUM(M22:P22)</f>
        <v>2.1</v>
      </c>
      <c r="Y22" s="30">
        <f t="shared" ref="Y22:Y25" si="44">SUM(N22:Q22)</f>
        <v>5.3569999999999993</v>
      </c>
      <c r="Z22" s="11"/>
      <c r="AA22" s="68">
        <f>SUM(Y22/U22)-1</f>
        <v>-2.5305714285714282</v>
      </c>
    </row>
    <row r="23" spans="2:27" ht="12.75" customHeight="1">
      <c r="B23" s="9" t="s">
        <v>107</v>
      </c>
      <c r="C23" s="76">
        <v>1</v>
      </c>
      <c r="D23" s="76">
        <v>2.4</v>
      </c>
      <c r="E23" s="76">
        <v>3.5</v>
      </c>
      <c r="F23" s="30"/>
      <c r="G23" s="76">
        <v>0.2</v>
      </c>
      <c r="H23" s="76">
        <v>0.5</v>
      </c>
      <c r="I23" s="76">
        <v>0.5</v>
      </c>
      <c r="J23" s="30">
        <f t="shared" si="36"/>
        <v>1.2</v>
      </c>
      <c r="K23" s="76">
        <v>0.4</v>
      </c>
      <c r="L23" s="76">
        <v>1.1000000000000001</v>
      </c>
      <c r="M23" s="76">
        <v>1.4</v>
      </c>
      <c r="N23" s="30">
        <f t="shared" si="37"/>
        <v>0.60000000000000009</v>
      </c>
      <c r="O23" s="76">
        <v>0.3</v>
      </c>
      <c r="P23" s="76">
        <v>0.4</v>
      </c>
      <c r="Q23" s="76">
        <v>0.53100000000000003</v>
      </c>
      <c r="S23" s="30">
        <f t="shared" si="38"/>
        <v>2.6</v>
      </c>
      <c r="T23" s="30">
        <f t="shared" si="39"/>
        <v>3.2</v>
      </c>
      <c r="U23" s="30">
        <f t="shared" si="40"/>
        <v>4.0999999999999996</v>
      </c>
      <c r="V23" s="30">
        <f t="shared" si="41"/>
        <v>3.5</v>
      </c>
      <c r="W23" s="30">
        <f t="shared" si="42"/>
        <v>3.4</v>
      </c>
      <c r="X23" s="30">
        <f t="shared" si="43"/>
        <v>2.6999999999999997</v>
      </c>
      <c r="Y23" s="30">
        <f t="shared" si="44"/>
        <v>1.8310000000000004</v>
      </c>
      <c r="Z23" s="11"/>
      <c r="AA23" s="68">
        <f t="shared" ref="AA23:AA25" si="45">SUM(Y23/U23)-1</f>
        <v>-0.55341463414634129</v>
      </c>
    </row>
    <row r="24" spans="2:27" ht="12.75" customHeight="1">
      <c r="B24" s="9" t="s">
        <v>108</v>
      </c>
      <c r="C24" s="76">
        <v>-136.19999999999999</v>
      </c>
      <c r="D24" s="76">
        <v>-161.4</v>
      </c>
      <c r="E24" s="76">
        <v>-109.3</v>
      </c>
      <c r="F24" s="30"/>
      <c r="G24" s="76">
        <v>-42.6</v>
      </c>
      <c r="H24" s="76">
        <v>-43.1</v>
      </c>
      <c r="I24" s="76">
        <v>-39.200000000000003</v>
      </c>
      <c r="J24" s="30">
        <f t="shared" si="36"/>
        <v>-36.5</v>
      </c>
      <c r="K24" s="76">
        <v>-30.6</v>
      </c>
      <c r="L24" s="76">
        <v>-29.2</v>
      </c>
      <c r="M24" s="76">
        <v>-26.2</v>
      </c>
      <c r="N24" s="30">
        <f t="shared" si="37"/>
        <v>-23.299999999999997</v>
      </c>
      <c r="O24" s="76">
        <v>-22.8</v>
      </c>
      <c r="P24" s="76">
        <v>-22.5</v>
      </c>
      <c r="Q24" s="76">
        <v>-21.710999999999999</v>
      </c>
      <c r="S24" s="30">
        <f t="shared" si="38"/>
        <v>-149.4</v>
      </c>
      <c r="T24" s="30">
        <f t="shared" si="39"/>
        <v>-135.5</v>
      </c>
      <c r="U24" s="30">
        <f t="shared" si="40"/>
        <v>-122.5</v>
      </c>
      <c r="V24" s="30">
        <f t="shared" si="41"/>
        <v>-109.3</v>
      </c>
      <c r="W24" s="30">
        <f t="shared" si="42"/>
        <v>-101.49999999999999</v>
      </c>
      <c r="X24" s="30">
        <f t="shared" si="43"/>
        <v>-94.8</v>
      </c>
      <c r="Y24" s="30">
        <f t="shared" si="44"/>
        <v>-90.310999999999993</v>
      </c>
      <c r="Z24" s="11"/>
      <c r="AA24" s="68">
        <f t="shared" si="45"/>
        <v>-0.26276734693877557</v>
      </c>
    </row>
    <row r="25" spans="2:27" ht="12.75" customHeight="1">
      <c r="B25" s="9" t="s">
        <v>144</v>
      </c>
      <c r="C25" s="76">
        <v>-0.3</v>
      </c>
      <c r="D25" s="76">
        <v>-0.3</v>
      </c>
      <c r="E25" s="76">
        <v>1.2</v>
      </c>
      <c r="F25" s="30"/>
      <c r="G25" s="76">
        <v>-0.3</v>
      </c>
      <c r="H25" s="76">
        <v>0.7</v>
      </c>
      <c r="I25" s="76">
        <v>0</v>
      </c>
      <c r="J25" s="30">
        <f t="shared" si="36"/>
        <v>-0.7</v>
      </c>
      <c r="K25" s="76">
        <v>0</v>
      </c>
      <c r="L25" s="76">
        <v>0</v>
      </c>
      <c r="M25" s="76">
        <v>0.2</v>
      </c>
      <c r="N25" s="30">
        <f t="shared" si="37"/>
        <v>1</v>
      </c>
      <c r="O25" s="76">
        <v>-0.5</v>
      </c>
      <c r="P25" s="76">
        <v>0.6</v>
      </c>
      <c r="Q25" s="76">
        <v>-8.9999999999999993E-3</v>
      </c>
      <c r="S25" s="30">
        <f t="shared" si="38"/>
        <v>0</v>
      </c>
      <c r="T25" s="30">
        <f t="shared" si="39"/>
        <v>-0.7</v>
      </c>
      <c r="U25" s="30">
        <f t="shared" si="40"/>
        <v>-0.49999999999999994</v>
      </c>
      <c r="V25" s="30">
        <f t="shared" si="41"/>
        <v>1.2</v>
      </c>
      <c r="W25" s="30">
        <f t="shared" si="42"/>
        <v>0.7</v>
      </c>
      <c r="X25" s="30">
        <f t="shared" si="43"/>
        <v>1.2999999999999998</v>
      </c>
      <c r="Y25" s="30">
        <f t="shared" si="44"/>
        <v>1.0910000000000002</v>
      </c>
      <c r="Z25" s="11"/>
      <c r="AA25" s="68">
        <f t="shared" si="45"/>
        <v>-3.1820000000000008</v>
      </c>
    </row>
    <row r="26" spans="2:27" ht="12.75" customHeight="1">
      <c r="B26" s="23" t="s">
        <v>105</v>
      </c>
      <c r="C26" s="24">
        <f>SUM(C22:C25)+C19</f>
        <v>718.5</v>
      </c>
      <c r="D26" s="24">
        <f t="shared" ref="D26:E26" si="46">SUM(D22:D25)+D19</f>
        <v>876.3</v>
      </c>
      <c r="E26" s="24">
        <f t="shared" si="46"/>
        <v>910.50000000000034</v>
      </c>
      <c r="F26" s="30"/>
      <c r="G26" s="24">
        <f t="shared" ref="G26" si="47">SUM(G22:G25)+G19</f>
        <v>191.90000000000003</v>
      </c>
      <c r="H26" s="24">
        <f t="shared" ref="H26" si="48">SUM(H22:H25)+H19</f>
        <v>277.20000000000005</v>
      </c>
      <c r="I26" s="24">
        <f t="shared" ref="I26" si="49">SUM(I22:I25)+I19</f>
        <v>233.3</v>
      </c>
      <c r="J26" s="24">
        <f t="shared" ref="J26" si="50">SUM(J22:J25)+J19</f>
        <v>173.9</v>
      </c>
      <c r="K26" s="24">
        <f t="shared" ref="K26" si="51">SUM(K22:K25)+K19</f>
        <v>193.89999999999998</v>
      </c>
      <c r="L26" s="24">
        <f t="shared" ref="L26" si="52">SUM(L22:L25)+L19</f>
        <v>296.3</v>
      </c>
      <c r="M26" s="24">
        <f t="shared" ref="M26" si="53">SUM(M22:M25)+M19</f>
        <v>244.90000000000006</v>
      </c>
      <c r="N26" s="24">
        <f t="shared" ref="N26" si="54">SUM(N22:N25)+N19</f>
        <v>175.4</v>
      </c>
      <c r="O26" s="24">
        <f t="shared" ref="O26" si="55">SUM(O22:O25)+O19</f>
        <v>204.79999999999998</v>
      </c>
      <c r="P26" s="24">
        <f t="shared" ref="P26:Q26" si="56">SUM(P22:P25)+P19</f>
        <v>-448.49999999999989</v>
      </c>
      <c r="Q26" s="24">
        <f t="shared" si="56"/>
        <v>189.42800000000003</v>
      </c>
      <c r="S26" s="24">
        <f t="shared" ref="S26" si="57">SUM(S22:S25)+S19</f>
        <v>878.3000000000003</v>
      </c>
      <c r="T26" s="24">
        <f t="shared" ref="T26" si="58">SUM(T22:T25)+T19</f>
        <v>897.40000000000032</v>
      </c>
      <c r="U26" s="24">
        <f t="shared" ref="U26" si="59">SUM(U22:U25)+U19</f>
        <v>909.00000000000011</v>
      </c>
      <c r="V26" s="24">
        <f t="shared" ref="V26" si="60">SUM(V22:V25)+V19</f>
        <v>910.50000000000034</v>
      </c>
      <c r="W26" s="24">
        <f t="shared" ref="W26" si="61">SUM(W22:W25)+W19</f>
        <v>921.39999999999964</v>
      </c>
      <c r="X26" s="24">
        <f t="shared" ref="X26" si="62">SUM(X22:X25)+X19</f>
        <v>176.60000000000065</v>
      </c>
      <c r="Y26" s="24">
        <f t="shared" ref="Y26" si="63">SUM(Y22:Y25)+Y19</f>
        <v>121.12799999999986</v>
      </c>
      <c r="Z26" s="11"/>
      <c r="AA26" s="68">
        <f>SUM(Y26/U26)-1</f>
        <v>-0.86674587458745889</v>
      </c>
    </row>
    <row r="27" spans="2:27" ht="12.75" customHeight="1">
      <c r="B27" s="14" t="s">
        <v>83</v>
      </c>
      <c r="C27" s="15">
        <f>C26/C11</f>
        <v>0.20210970464135022</v>
      </c>
      <c r="D27" s="15">
        <f>D26/D11</f>
        <v>0.22115942760517879</v>
      </c>
      <c r="E27" s="15">
        <f>E26/E11</f>
        <v>0.2219594841666464</v>
      </c>
      <c r="F27" s="25"/>
      <c r="G27" s="15">
        <f t="shared" ref="G27:Q27" si="64">G26/G11</f>
        <v>0.2170323456231622</v>
      </c>
      <c r="H27" s="15">
        <f t="shared" si="64"/>
        <v>0.25848563968668409</v>
      </c>
      <c r="I27" s="15">
        <f t="shared" si="64"/>
        <v>0.22310414076695037</v>
      </c>
      <c r="J27" s="15">
        <f t="shared" si="64"/>
        <v>0.18114583333333334</v>
      </c>
      <c r="K27" s="15">
        <f t="shared" si="64"/>
        <v>0.20658427445131045</v>
      </c>
      <c r="L27" s="15">
        <f t="shared" si="64"/>
        <v>0.26657669815564555</v>
      </c>
      <c r="M27" s="15">
        <f t="shared" si="64"/>
        <v>0.23055921672001511</v>
      </c>
      <c r="N27" s="15">
        <f t="shared" si="64"/>
        <v>0.17720751667003432</v>
      </c>
      <c r="O27" s="15">
        <f t="shared" si="64"/>
        <v>0.21849994665528646</v>
      </c>
      <c r="P27" s="15">
        <f t="shared" si="64"/>
        <v>-0.39020358447885839</v>
      </c>
      <c r="Q27" s="15">
        <f t="shared" si="64"/>
        <v>0.19013129566265619</v>
      </c>
      <c r="S27" s="15">
        <f t="shared" ref="S27:Y27" si="65">S26/S11</f>
        <v>0.21866208579181923</v>
      </c>
      <c r="T27" s="15">
        <f t="shared" si="65"/>
        <v>0.22126337590610984</v>
      </c>
      <c r="U27" s="15">
        <f t="shared" si="65"/>
        <v>0.22321538197087643</v>
      </c>
      <c r="V27" s="15">
        <f t="shared" si="65"/>
        <v>0.2219594841666464</v>
      </c>
      <c r="W27" s="15">
        <f t="shared" si="65"/>
        <v>0.22468786578228628</v>
      </c>
      <c r="X27" s="15">
        <f t="shared" si="65"/>
        <v>4.2670403749969943E-2</v>
      </c>
      <c r="Y27" s="15">
        <f t="shared" si="65"/>
        <v>2.9740711613457142E-2</v>
      </c>
      <c r="Z27" s="40"/>
      <c r="AA27" s="70">
        <f>SUM(Y27-U27)*1000</f>
        <v>-193.47467035741928</v>
      </c>
    </row>
    <row r="28" spans="2:27" ht="5.0999999999999996" customHeight="1">
      <c r="B28" s="9"/>
      <c r="C28" s="76"/>
      <c r="D28" s="76"/>
      <c r="E28" s="76"/>
      <c r="F28" s="30"/>
      <c r="G28" s="76"/>
      <c r="H28" s="76"/>
      <c r="I28" s="76"/>
      <c r="J28" s="30"/>
      <c r="K28" s="76"/>
      <c r="L28" s="76"/>
      <c r="M28" s="76"/>
      <c r="N28" s="30"/>
      <c r="O28" s="76"/>
      <c r="P28" s="76"/>
      <c r="Q28" s="76"/>
      <c r="S28" s="30"/>
      <c r="T28" s="30"/>
      <c r="U28" s="30"/>
      <c r="V28" s="30"/>
      <c r="W28" s="30"/>
      <c r="X28" s="30"/>
      <c r="Y28" s="30"/>
      <c r="Z28" s="11"/>
      <c r="AA28" s="68"/>
    </row>
    <row r="29" spans="2:27" ht="12.75" customHeight="1">
      <c r="B29" s="9" t="s">
        <v>88</v>
      </c>
      <c r="C29" s="76">
        <v>-178.3</v>
      </c>
      <c r="D29" s="76">
        <v>-83.7</v>
      </c>
      <c r="E29" s="76">
        <v>39.5</v>
      </c>
      <c r="F29" s="30"/>
      <c r="G29" s="76">
        <v>-42.2</v>
      </c>
      <c r="H29" s="76">
        <v>-64.8</v>
      </c>
      <c r="I29" s="76">
        <v>-56.4</v>
      </c>
      <c r="J29" s="30">
        <f t="shared" ref="J29" si="66">SUM(D29-SUM(G29:I29))</f>
        <v>79.7</v>
      </c>
      <c r="K29" s="76">
        <v>-41.6</v>
      </c>
      <c r="L29" s="76">
        <v>-67.5</v>
      </c>
      <c r="M29" s="76">
        <v>-45.1</v>
      </c>
      <c r="N29" s="30">
        <f t="shared" ref="N29" si="67">SUM(E29-SUM(K29:M29))</f>
        <v>193.7</v>
      </c>
      <c r="O29" s="76">
        <v>-44.8</v>
      </c>
      <c r="P29" s="76">
        <v>-43.7</v>
      </c>
      <c r="Q29" s="76">
        <v>-43.612000000000002</v>
      </c>
      <c r="S29" s="30">
        <f t="shared" ref="S29" si="68">SUM(H29:K29)</f>
        <v>-83.1</v>
      </c>
      <c r="T29" s="30">
        <f t="shared" ref="T29" si="69">SUM(I29:L29)</f>
        <v>-85.8</v>
      </c>
      <c r="U29" s="30">
        <f t="shared" ref="U29" si="70">SUM(J29:M29)</f>
        <v>-74.5</v>
      </c>
      <c r="V29" s="30">
        <f t="shared" ref="V29" si="71">SUM(K29:N29)</f>
        <v>39.5</v>
      </c>
      <c r="W29" s="30">
        <f t="shared" ref="W29" si="72">SUM(L29:O29)</f>
        <v>36.299999999999997</v>
      </c>
      <c r="X29" s="30">
        <f t="shared" ref="X29" si="73">SUM(M29:P29)</f>
        <v>60.099999999999994</v>
      </c>
      <c r="Y29" s="30">
        <f>SUM(N29:Q29)</f>
        <v>61.587999999999973</v>
      </c>
      <c r="Z29" s="11"/>
      <c r="AA29" s="68">
        <f>SUM(Y29/U29)-1</f>
        <v>-1.8266845637583891</v>
      </c>
    </row>
    <row r="30" spans="2:27" ht="12.75" customHeight="1">
      <c r="B30" s="12" t="s">
        <v>51</v>
      </c>
      <c r="C30" s="13">
        <f>SUM(C26+SUM(C29:C29))</f>
        <v>540.20000000000005</v>
      </c>
      <c r="D30" s="13">
        <f>SUM(D26+SUM(D29:D29))</f>
        <v>792.59999999999991</v>
      </c>
      <c r="E30" s="13">
        <f>SUM(E26+SUM(E29:E29))</f>
        <v>950.00000000000034</v>
      </c>
      <c r="G30" s="13">
        <f t="shared" ref="G30:P30" si="74">SUM(G26+SUM(G29:G29))</f>
        <v>149.70000000000005</v>
      </c>
      <c r="H30" s="13">
        <f t="shared" si="74"/>
        <v>212.40000000000003</v>
      </c>
      <c r="I30" s="13">
        <f t="shared" si="74"/>
        <v>176.9</v>
      </c>
      <c r="J30" s="13">
        <f t="shared" si="74"/>
        <v>253.60000000000002</v>
      </c>
      <c r="K30" s="13">
        <f t="shared" si="74"/>
        <v>152.29999999999998</v>
      </c>
      <c r="L30" s="13">
        <f t="shared" si="74"/>
        <v>228.8</v>
      </c>
      <c r="M30" s="13">
        <f t="shared" si="74"/>
        <v>199.80000000000007</v>
      </c>
      <c r="N30" s="13">
        <f t="shared" si="74"/>
        <v>369.1</v>
      </c>
      <c r="O30" s="13">
        <f t="shared" si="74"/>
        <v>160</v>
      </c>
      <c r="P30" s="13">
        <f t="shared" si="74"/>
        <v>-492.19999999999987</v>
      </c>
      <c r="Q30" s="13">
        <f t="shared" ref="Q30" si="75">SUM(Q26+SUM(Q29:Q29))</f>
        <v>145.81600000000003</v>
      </c>
      <c r="S30" s="13">
        <f t="shared" ref="S30:Y30" si="76">SUM(S26+SUM(S29:S29))</f>
        <v>795.20000000000027</v>
      </c>
      <c r="T30" s="13">
        <f t="shared" si="76"/>
        <v>811.60000000000036</v>
      </c>
      <c r="U30" s="13">
        <f t="shared" si="76"/>
        <v>834.50000000000011</v>
      </c>
      <c r="V30" s="13">
        <f t="shared" si="76"/>
        <v>950.00000000000034</v>
      </c>
      <c r="W30" s="13">
        <f t="shared" si="76"/>
        <v>957.69999999999959</v>
      </c>
      <c r="X30" s="13">
        <f t="shared" si="76"/>
        <v>236.70000000000064</v>
      </c>
      <c r="Y30" s="13">
        <f t="shared" si="76"/>
        <v>182.71599999999984</v>
      </c>
      <c r="Z30" s="39"/>
      <c r="AA30" s="69">
        <f>SUM(Y30/U30)-1</f>
        <v>-0.78104733373277435</v>
      </c>
    </row>
    <row r="31" spans="2:27" ht="12.75" customHeight="1">
      <c r="B31" s="14" t="s">
        <v>65</v>
      </c>
      <c r="C31" s="15">
        <f>C30/C11</f>
        <v>0.15195499296765122</v>
      </c>
      <c r="D31" s="15">
        <f>D30/D11</f>
        <v>0.20003533301365364</v>
      </c>
      <c r="E31" s="15">
        <f>E30/E11</f>
        <v>0.23158869847151464</v>
      </c>
      <c r="F31" s="25"/>
      <c r="G31" s="15">
        <f t="shared" ref="G31:Q31" si="77">G30/G11</f>
        <v>0.16930558697127351</v>
      </c>
      <c r="H31" s="15">
        <f t="shared" si="77"/>
        <v>0.19806042521447223</v>
      </c>
      <c r="I31" s="15">
        <f t="shared" si="77"/>
        <v>0.16916897771827483</v>
      </c>
      <c r="J31" s="15">
        <f t="shared" si="77"/>
        <v>0.26416666666666672</v>
      </c>
      <c r="K31" s="15">
        <f t="shared" si="77"/>
        <v>0.16226294481142126</v>
      </c>
      <c r="L31" s="15">
        <f t="shared" si="77"/>
        <v>0.20584795321637428</v>
      </c>
      <c r="M31" s="15">
        <f t="shared" si="77"/>
        <v>0.18810016945961219</v>
      </c>
      <c r="N31" s="15">
        <f t="shared" si="77"/>
        <v>0.37290361689230145</v>
      </c>
      <c r="O31" s="15">
        <f t="shared" si="77"/>
        <v>0.17070308332444256</v>
      </c>
      <c r="P31" s="15">
        <f t="shared" si="77"/>
        <v>-0.42822342091526</v>
      </c>
      <c r="Q31" s="15">
        <f t="shared" si="77"/>
        <v>0.14635737593357834</v>
      </c>
      <c r="S31" s="15">
        <f t="shared" ref="S31:Y31" si="78">S30/S11</f>
        <v>0.19797346080115524</v>
      </c>
      <c r="T31" s="15">
        <f t="shared" si="78"/>
        <v>0.20010848661176595</v>
      </c>
      <c r="U31" s="15">
        <f t="shared" si="78"/>
        <v>0.20492105198536456</v>
      </c>
      <c r="V31" s="15">
        <f t="shared" si="78"/>
        <v>0.23158869847151464</v>
      </c>
      <c r="W31" s="15">
        <f t="shared" si="78"/>
        <v>0.23353979711275838</v>
      </c>
      <c r="X31" s="15">
        <f t="shared" si="78"/>
        <v>5.7191871843815835E-2</v>
      </c>
      <c r="Y31" s="15">
        <f t="shared" si="78"/>
        <v>4.4862491440166075E-2</v>
      </c>
      <c r="Z31" s="40"/>
      <c r="AA31" s="70">
        <f>SUM(Y31-U31)*1000</f>
        <v>-160.05856054519847</v>
      </c>
    </row>
    <row r="32" spans="2:27" ht="5.0999999999999996" customHeight="1">
      <c r="B32" s="14"/>
      <c r="C32" s="15"/>
      <c r="D32" s="15"/>
      <c r="E32" s="15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6"/>
      <c r="S32" s="15"/>
      <c r="T32" s="15"/>
      <c r="U32" s="15"/>
      <c r="V32" s="15"/>
      <c r="W32" s="15"/>
      <c r="X32" s="15"/>
      <c r="Y32" s="15"/>
      <c r="Z32" s="40"/>
      <c r="AA32" s="70"/>
    </row>
    <row r="33" spans="1:27" ht="12.75" customHeight="1">
      <c r="B33" s="41" t="s">
        <v>66</v>
      </c>
      <c r="C33" s="76">
        <v>61.22</v>
      </c>
      <c r="D33" s="76">
        <v>61.386000000000003</v>
      </c>
      <c r="E33" s="76">
        <v>59.381</v>
      </c>
      <c r="F33" s="25"/>
      <c r="G33" s="76">
        <v>61.835999999999999</v>
      </c>
      <c r="H33" s="76">
        <v>62.036999999999999</v>
      </c>
      <c r="I33" s="76">
        <v>61.143000000000001</v>
      </c>
      <c r="J33" s="30">
        <f>D33</f>
        <v>61.386000000000003</v>
      </c>
      <c r="K33" s="76">
        <v>60.564</v>
      </c>
      <c r="L33" s="76">
        <v>60.32</v>
      </c>
      <c r="M33" s="76">
        <v>59.045999999999999</v>
      </c>
      <c r="N33" s="30">
        <f>E33</f>
        <v>59.381</v>
      </c>
      <c r="O33" s="76">
        <v>56.11</v>
      </c>
      <c r="P33" s="76">
        <v>55.783000000000001</v>
      </c>
      <c r="Q33" s="76">
        <v>53.640999999999998</v>
      </c>
      <c r="R33" s="30"/>
      <c r="S33" s="30">
        <f t="shared" ref="S33:X33" si="79">K33</f>
        <v>60.564</v>
      </c>
      <c r="T33" s="30">
        <f t="shared" si="79"/>
        <v>60.32</v>
      </c>
      <c r="U33" s="30">
        <f t="shared" si="79"/>
        <v>59.045999999999999</v>
      </c>
      <c r="V33" s="30">
        <f t="shared" si="79"/>
        <v>59.381</v>
      </c>
      <c r="W33" s="30">
        <f t="shared" si="79"/>
        <v>56.11</v>
      </c>
      <c r="X33" s="30">
        <f t="shared" si="79"/>
        <v>55.783000000000001</v>
      </c>
      <c r="Y33" s="30">
        <f>Q33</f>
        <v>53.640999999999998</v>
      </c>
      <c r="Z33" s="40"/>
      <c r="AA33" s="68">
        <f>SUM(Y33/U33)-1</f>
        <v>-9.1538800257426445E-2</v>
      </c>
    </row>
    <row r="34" spans="1:27" ht="12.75" customHeight="1">
      <c r="B34" s="12" t="s">
        <v>67</v>
      </c>
      <c r="C34" s="71">
        <f t="shared" ref="C34:E34" si="80">C30/C33</f>
        <v>8.8239137536752708</v>
      </c>
      <c r="D34" s="71">
        <f t="shared" si="80"/>
        <v>12.911738832958653</v>
      </c>
      <c r="E34" s="71">
        <f t="shared" si="80"/>
        <v>15.998383321264383</v>
      </c>
      <c r="F34" s="11"/>
      <c r="G34" s="71">
        <f t="shared" ref="G34:P34" si="81">G30/G33</f>
        <v>2.4209198525131002</v>
      </c>
      <c r="H34" s="71">
        <f t="shared" si="81"/>
        <v>3.4237632380676053</v>
      </c>
      <c r="I34" s="71">
        <f t="shared" si="81"/>
        <v>2.8932175392113568</v>
      </c>
      <c r="J34" s="71">
        <f t="shared" si="81"/>
        <v>4.1312351350470795</v>
      </c>
      <c r="K34" s="71">
        <f t="shared" si="81"/>
        <v>2.5146951984677361</v>
      </c>
      <c r="L34" s="71">
        <f t="shared" si="81"/>
        <v>3.7931034482758621</v>
      </c>
      <c r="M34" s="71">
        <f t="shared" si="81"/>
        <v>3.383802459099686</v>
      </c>
      <c r="N34" s="71">
        <f t="shared" si="81"/>
        <v>6.2157929303986128</v>
      </c>
      <c r="O34" s="71">
        <f t="shared" si="81"/>
        <v>2.8515416146854395</v>
      </c>
      <c r="P34" s="71">
        <f t="shared" si="81"/>
        <v>-8.8234766864456891</v>
      </c>
      <c r="Q34" s="71">
        <f t="shared" ref="Q34" si="82">Q30/Q33</f>
        <v>2.7183684122219951</v>
      </c>
      <c r="R34" s="30"/>
      <c r="S34" s="71">
        <f t="shared" ref="S34:Y34" si="83">S30/S33</f>
        <v>13.129912159038376</v>
      </c>
      <c r="T34" s="71">
        <f t="shared" si="83"/>
        <v>13.454907161803719</v>
      </c>
      <c r="U34" s="71">
        <f t="shared" si="83"/>
        <v>14.13304880940284</v>
      </c>
      <c r="V34" s="71">
        <f t="shared" si="83"/>
        <v>15.998383321264383</v>
      </c>
      <c r="W34" s="71">
        <f t="shared" si="83"/>
        <v>17.068258777401525</v>
      </c>
      <c r="X34" s="71">
        <f t="shared" si="83"/>
        <v>4.2432282236523786</v>
      </c>
      <c r="Y34" s="71">
        <f t="shared" si="83"/>
        <v>3.4062750508006907</v>
      </c>
      <c r="Z34" s="33"/>
      <c r="AA34" s="69">
        <f>SUM(Y34/U34)-1</f>
        <v>-0.75898512085131509</v>
      </c>
    </row>
    <row r="35" spans="1:27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6"/>
      <c r="S35" s="15"/>
      <c r="T35" s="15"/>
      <c r="U35" s="15"/>
      <c r="V35" s="15"/>
      <c r="W35" s="15"/>
      <c r="X35" s="15"/>
      <c r="Y35" s="15"/>
      <c r="Z35" s="40"/>
      <c r="AA35" s="70"/>
    </row>
    <row r="36" spans="1:27" ht="12.75" customHeight="1">
      <c r="B36" s="41" t="s">
        <v>68</v>
      </c>
      <c r="C36" s="76">
        <v>62.006</v>
      </c>
      <c r="D36" s="76">
        <v>61.951999999999998</v>
      </c>
      <c r="E36" s="76">
        <v>59.832000000000001</v>
      </c>
      <c r="F36" s="25"/>
      <c r="G36" s="76">
        <v>62.628999999999998</v>
      </c>
      <c r="H36" s="76">
        <v>62.603000000000002</v>
      </c>
      <c r="I36" s="76">
        <v>61.615000000000002</v>
      </c>
      <c r="J36" s="30">
        <f>D36</f>
        <v>61.951999999999998</v>
      </c>
      <c r="K36" s="76">
        <v>61.054000000000002</v>
      </c>
      <c r="L36" s="76">
        <v>60.765999999999998</v>
      </c>
      <c r="M36" s="76">
        <v>59.500999999999998</v>
      </c>
      <c r="N36" s="30">
        <f>E36</f>
        <v>59.832000000000001</v>
      </c>
      <c r="O36" s="76">
        <v>56.502000000000002</v>
      </c>
      <c r="P36" s="76">
        <v>55.783000000000001</v>
      </c>
      <c r="Q36" s="76">
        <v>53.988999999999997</v>
      </c>
      <c r="R36" s="30"/>
      <c r="S36" s="30">
        <f t="shared" ref="S36" si="84">K36</f>
        <v>61.054000000000002</v>
      </c>
      <c r="T36" s="30">
        <f t="shared" ref="T36" si="85">L36</f>
        <v>60.765999999999998</v>
      </c>
      <c r="U36" s="30">
        <f t="shared" ref="U36" si="86">M36</f>
        <v>59.500999999999998</v>
      </c>
      <c r="V36" s="30">
        <f t="shared" ref="V36" si="87">N36</f>
        <v>59.832000000000001</v>
      </c>
      <c r="W36" s="30">
        <f t="shared" ref="W36" si="88">O36</f>
        <v>56.502000000000002</v>
      </c>
      <c r="X36" s="30">
        <f t="shared" ref="X36" si="89">P36</f>
        <v>55.783000000000001</v>
      </c>
      <c r="Y36" s="30">
        <f>Q36</f>
        <v>53.988999999999997</v>
      </c>
      <c r="Z36" s="40"/>
      <c r="AA36" s="68">
        <f>SUM(Y36/U36)-1</f>
        <v>-9.263709853615909E-2</v>
      </c>
    </row>
    <row r="37" spans="1:27" ht="12.75" customHeight="1">
      <c r="B37" s="12" t="s">
        <v>69</v>
      </c>
      <c r="C37" s="71">
        <f t="shared" ref="C37:E37" si="90">C30/C36</f>
        <v>8.7120601232138828</v>
      </c>
      <c r="D37" s="71">
        <f t="shared" si="90"/>
        <v>12.79377582644628</v>
      </c>
      <c r="E37" s="71">
        <f t="shared" si="90"/>
        <v>15.877791148549276</v>
      </c>
      <c r="F37" s="25"/>
      <c r="G37" s="71">
        <f t="shared" ref="G37:P37" si="91">G30/G36</f>
        <v>2.3902664899647137</v>
      </c>
      <c r="H37" s="71">
        <f t="shared" si="91"/>
        <v>3.3928086513425879</v>
      </c>
      <c r="I37" s="71">
        <f t="shared" si="91"/>
        <v>2.8710541264302525</v>
      </c>
      <c r="J37" s="71">
        <f t="shared" si="91"/>
        <v>4.0934917355371905</v>
      </c>
      <c r="K37" s="71">
        <f t="shared" si="91"/>
        <v>2.4945130540177542</v>
      </c>
      <c r="L37" s="71">
        <f t="shared" si="91"/>
        <v>3.765263469703453</v>
      </c>
      <c r="M37" s="71">
        <f t="shared" si="91"/>
        <v>3.3579267575334879</v>
      </c>
      <c r="N37" s="71">
        <f t="shared" si="91"/>
        <v>6.1689396978205648</v>
      </c>
      <c r="O37" s="71">
        <f t="shared" si="91"/>
        <v>2.8317581678524655</v>
      </c>
      <c r="P37" s="71">
        <f t="shared" si="91"/>
        <v>-8.8234766864456891</v>
      </c>
      <c r="Q37" s="71">
        <f t="shared" ref="Q37" si="92">Q30/Q36</f>
        <v>2.7008464687251115</v>
      </c>
      <c r="R37" s="30"/>
      <c r="S37" s="71">
        <f t="shared" ref="S37:Y37" si="93">S30/S36</f>
        <v>13.024535656959417</v>
      </c>
      <c r="T37" s="71">
        <f t="shared" si="93"/>
        <v>13.356153111937603</v>
      </c>
      <c r="U37" s="71">
        <f t="shared" si="93"/>
        <v>14.024974370178654</v>
      </c>
      <c r="V37" s="71">
        <f t="shared" si="93"/>
        <v>15.877791148549276</v>
      </c>
      <c r="W37" s="71">
        <f t="shared" si="93"/>
        <v>16.949842483451906</v>
      </c>
      <c r="X37" s="71">
        <f t="shared" si="93"/>
        <v>4.2432282236523786</v>
      </c>
      <c r="Y37" s="71">
        <f t="shared" si="93"/>
        <v>3.3843190279501352</v>
      </c>
      <c r="Z37" s="33"/>
      <c r="AA37" s="69">
        <f>SUM(Y37/U37)-1</f>
        <v>-0.75869338947626008</v>
      </c>
    </row>
    <row r="38" spans="1:27">
      <c r="B38" s="14"/>
      <c r="C38" s="15"/>
      <c r="D38" s="15"/>
      <c r="E38" s="76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6"/>
      <c r="S38" s="15"/>
      <c r="T38" s="15"/>
      <c r="U38" s="15"/>
      <c r="V38" s="15"/>
      <c r="W38" s="15"/>
      <c r="X38" s="15"/>
      <c r="Y38" s="15"/>
      <c r="Z38" s="40"/>
    </row>
    <row r="39" spans="1:27" ht="12.75" customHeight="1">
      <c r="A39" s="5" t="s">
        <v>18</v>
      </c>
      <c r="B39" s="91" t="s">
        <v>78</v>
      </c>
      <c r="C39" s="92" t="s">
        <v>0</v>
      </c>
      <c r="D39" s="92"/>
      <c r="E39" s="92"/>
      <c r="F39" s="93"/>
      <c r="G39" s="92"/>
      <c r="H39" s="92"/>
      <c r="I39" s="92"/>
      <c r="J39" s="92"/>
      <c r="K39" s="92"/>
      <c r="L39" s="92"/>
      <c r="M39" s="92" t="s">
        <v>1</v>
      </c>
      <c r="N39" s="92"/>
      <c r="O39" s="92"/>
      <c r="P39" s="92"/>
      <c r="Q39" s="92"/>
      <c r="R39" s="91"/>
      <c r="S39" s="92"/>
      <c r="T39" s="92"/>
      <c r="U39" s="92" t="s">
        <v>10</v>
      </c>
      <c r="V39" s="92"/>
      <c r="W39" s="92"/>
      <c r="X39" s="92"/>
      <c r="Y39" s="92"/>
      <c r="Z39" s="93"/>
      <c r="AA39" s="133" t="s">
        <v>24</v>
      </c>
    </row>
    <row r="40" spans="1:27" ht="12.75" customHeight="1">
      <c r="B40" s="95" t="str">
        <f t="shared" ref="B40:E41" si="94">B7</f>
        <v>Fiscal Period</v>
      </c>
      <c r="C40" s="94">
        <f t="shared" si="94"/>
        <v>2022</v>
      </c>
      <c r="D40" s="94">
        <f t="shared" si="94"/>
        <v>2023</v>
      </c>
      <c r="E40" s="94">
        <f t="shared" si="94"/>
        <v>2024</v>
      </c>
      <c r="F40" s="93"/>
      <c r="G40" s="94" t="str">
        <f t="shared" ref="G40:P40" si="95">G7</f>
        <v>1Q23</v>
      </c>
      <c r="H40" s="94" t="str">
        <f t="shared" si="95"/>
        <v>2Q23</v>
      </c>
      <c r="I40" s="94" t="str">
        <f t="shared" si="95"/>
        <v>3Q23</v>
      </c>
      <c r="J40" s="94" t="str">
        <f t="shared" si="95"/>
        <v>4Q23</v>
      </c>
      <c r="K40" s="94" t="str">
        <f t="shared" si="95"/>
        <v>1Q24</v>
      </c>
      <c r="L40" s="94" t="str">
        <f t="shared" si="95"/>
        <v>2Q24</v>
      </c>
      <c r="M40" s="94" t="str">
        <f t="shared" si="95"/>
        <v>3Q24</v>
      </c>
      <c r="N40" s="94" t="str">
        <f t="shared" si="95"/>
        <v>4Q24</v>
      </c>
      <c r="O40" s="94" t="str">
        <f t="shared" si="95"/>
        <v>1Q25</v>
      </c>
      <c r="P40" s="94" t="str">
        <f t="shared" si="95"/>
        <v>2Q25</v>
      </c>
      <c r="Q40" s="94" t="str">
        <f t="shared" ref="Q40" si="96">Q7</f>
        <v>3Q25</v>
      </c>
      <c r="R40" s="96"/>
      <c r="S40" s="94" t="str">
        <f t="shared" ref="S40:Y41" si="97">S7</f>
        <v>1Q24</v>
      </c>
      <c r="T40" s="94" t="str">
        <f t="shared" si="97"/>
        <v>2Q24</v>
      </c>
      <c r="U40" s="94" t="str">
        <f t="shared" si="97"/>
        <v>3Q24</v>
      </c>
      <c r="V40" s="94" t="str">
        <f t="shared" si="97"/>
        <v>4Q24</v>
      </c>
      <c r="W40" s="94" t="str">
        <f t="shared" si="97"/>
        <v>1Q25</v>
      </c>
      <c r="X40" s="94" t="str">
        <f t="shared" si="97"/>
        <v>2Q25</v>
      </c>
      <c r="Y40" s="94" t="str">
        <f t="shared" si="97"/>
        <v>3Q25</v>
      </c>
      <c r="Z40" s="93"/>
      <c r="AA40" s="133"/>
    </row>
    <row r="41" spans="1:27" ht="12.75" customHeight="1">
      <c r="B41" s="95" t="str">
        <f t="shared" si="94"/>
        <v>Fiscal Period End Date</v>
      </c>
      <c r="C41" s="97">
        <f t="shared" si="94"/>
        <v>44926</v>
      </c>
      <c r="D41" s="97">
        <f t="shared" si="94"/>
        <v>45291</v>
      </c>
      <c r="E41" s="97">
        <f t="shared" si="94"/>
        <v>45657</v>
      </c>
      <c r="F41" s="93"/>
      <c r="G41" s="97">
        <f t="shared" ref="G41:P41" si="98">G8</f>
        <v>45016</v>
      </c>
      <c r="H41" s="97">
        <f t="shared" si="98"/>
        <v>45107</v>
      </c>
      <c r="I41" s="97">
        <f t="shared" si="98"/>
        <v>45199</v>
      </c>
      <c r="J41" s="97">
        <f t="shared" si="98"/>
        <v>45291</v>
      </c>
      <c r="K41" s="97">
        <f t="shared" si="98"/>
        <v>45382</v>
      </c>
      <c r="L41" s="97">
        <f t="shared" si="98"/>
        <v>45473</v>
      </c>
      <c r="M41" s="97">
        <f t="shared" si="98"/>
        <v>45565</v>
      </c>
      <c r="N41" s="97">
        <f t="shared" si="98"/>
        <v>45657</v>
      </c>
      <c r="O41" s="97">
        <f t="shared" si="98"/>
        <v>45747</v>
      </c>
      <c r="P41" s="97">
        <f t="shared" si="98"/>
        <v>45838</v>
      </c>
      <c r="Q41" s="97">
        <f t="shared" ref="Q41" si="99">Q8</f>
        <v>45930</v>
      </c>
      <c r="R41" s="98"/>
      <c r="S41" s="97">
        <f t="shared" si="97"/>
        <v>45382</v>
      </c>
      <c r="T41" s="97">
        <f t="shared" si="97"/>
        <v>45473</v>
      </c>
      <c r="U41" s="97">
        <f t="shared" si="97"/>
        <v>45565</v>
      </c>
      <c r="V41" s="97">
        <f t="shared" si="97"/>
        <v>45657</v>
      </c>
      <c r="W41" s="97">
        <f t="shared" si="97"/>
        <v>45747</v>
      </c>
      <c r="X41" s="97">
        <f t="shared" si="97"/>
        <v>45838</v>
      </c>
      <c r="Y41" s="97">
        <f t="shared" si="97"/>
        <v>45930</v>
      </c>
      <c r="Z41" s="93"/>
      <c r="AA41" s="133"/>
    </row>
    <row r="42" spans="1:27" ht="5.0999999999999996" customHeight="1">
      <c r="B42" s="43"/>
      <c r="C42" s="44"/>
      <c r="D42" s="44"/>
      <c r="E42" s="44"/>
    </row>
    <row r="43" spans="1:27">
      <c r="B43" s="72" t="s">
        <v>84</v>
      </c>
      <c r="C43" s="44"/>
      <c r="D43" s="44"/>
      <c r="E43" s="44"/>
    </row>
    <row r="44" spans="1:27" ht="12.75" customHeight="1">
      <c r="B44" s="9" t="s">
        <v>122</v>
      </c>
      <c r="C44" s="105">
        <v>191.6</v>
      </c>
      <c r="D44" s="105">
        <v>149.30000000000001</v>
      </c>
      <c r="E44" s="105">
        <v>180.5</v>
      </c>
      <c r="G44" s="105">
        <v>125.7</v>
      </c>
      <c r="H44" s="105">
        <v>166.2</v>
      </c>
      <c r="I44" s="105">
        <v>127.3</v>
      </c>
      <c r="J44" s="82">
        <f t="shared" ref="J44:J49" si="100">D44</f>
        <v>149.30000000000001</v>
      </c>
      <c r="K44" s="105">
        <v>159.30000000000001</v>
      </c>
      <c r="L44" s="105">
        <v>167.7</v>
      </c>
      <c r="M44" s="105">
        <v>186.1</v>
      </c>
      <c r="N44" s="82">
        <f t="shared" ref="N44:N49" si="101">E44</f>
        <v>180.5</v>
      </c>
      <c r="O44" s="105">
        <v>166.5</v>
      </c>
      <c r="P44" s="105">
        <v>200.6</v>
      </c>
      <c r="Q44" s="105">
        <v>153.97</v>
      </c>
      <c r="R44" s="82"/>
      <c r="S44" s="30">
        <f t="shared" ref="S44:S49" si="102">K44</f>
        <v>159.30000000000001</v>
      </c>
      <c r="T44" s="30">
        <f t="shared" ref="T44:T49" si="103">L44</f>
        <v>167.7</v>
      </c>
      <c r="U44" s="30">
        <f t="shared" ref="U44:U49" si="104">M44</f>
        <v>186.1</v>
      </c>
      <c r="V44" s="30">
        <f t="shared" ref="V44:V49" si="105">N44</f>
        <v>180.5</v>
      </c>
      <c r="W44" s="30">
        <f t="shared" ref="W44:W49" si="106">O44</f>
        <v>166.5</v>
      </c>
      <c r="X44" s="30">
        <f t="shared" ref="X44:X49" si="107">P44</f>
        <v>200.6</v>
      </c>
      <c r="Y44" s="30">
        <f t="shared" ref="Y44:Y49" si="108">Q44</f>
        <v>153.97</v>
      </c>
      <c r="Z44" s="11"/>
      <c r="AA44" s="68">
        <f t="shared" ref="AA44:AA50" si="109">SUM(Y44/U44)-1</f>
        <v>-0.1726491133799033</v>
      </c>
    </row>
    <row r="45" spans="1:27" ht="12.75" customHeight="1">
      <c r="B45" s="9" t="s">
        <v>123</v>
      </c>
      <c r="C45" s="105">
        <v>295.60000000000002</v>
      </c>
      <c r="D45" s="105">
        <v>305.7</v>
      </c>
      <c r="E45" s="105">
        <v>257.7</v>
      </c>
      <c r="G45" s="105">
        <v>419</v>
      </c>
      <c r="H45" s="105">
        <v>409.6</v>
      </c>
      <c r="I45" s="105">
        <v>391.2</v>
      </c>
      <c r="J45" s="82">
        <f t="shared" si="100"/>
        <v>305.7</v>
      </c>
      <c r="K45" s="105">
        <v>481.5</v>
      </c>
      <c r="L45" s="105">
        <v>420.2</v>
      </c>
      <c r="M45" s="105">
        <v>361.7</v>
      </c>
      <c r="N45" s="82">
        <f t="shared" si="101"/>
        <v>257.7</v>
      </c>
      <c r="O45" s="105">
        <v>445.7</v>
      </c>
      <c r="P45" s="105">
        <v>417.4</v>
      </c>
      <c r="Q45" s="105">
        <v>335.31700000000001</v>
      </c>
      <c r="R45" s="82"/>
      <c r="S45" s="30">
        <f t="shared" si="102"/>
        <v>481.5</v>
      </c>
      <c r="T45" s="30">
        <f t="shared" si="103"/>
        <v>420.2</v>
      </c>
      <c r="U45" s="30">
        <f t="shared" si="104"/>
        <v>361.7</v>
      </c>
      <c r="V45" s="30">
        <f t="shared" si="105"/>
        <v>257.7</v>
      </c>
      <c r="W45" s="30">
        <f t="shared" si="106"/>
        <v>445.7</v>
      </c>
      <c r="X45" s="30">
        <f t="shared" si="107"/>
        <v>417.4</v>
      </c>
      <c r="Y45" s="30">
        <f t="shared" si="108"/>
        <v>335.31700000000001</v>
      </c>
      <c r="Z45" s="11"/>
      <c r="AA45" s="68">
        <f t="shared" si="109"/>
        <v>-7.2941664362731529E-2</v>
      </c>
    </row>
    <row r="46" spans="1:27" ht="12.75" customHeight="1">
      <c r="B46" s="9" t="s">
        <v>109</v>
      </c>
      <c r="C46" s="105">
        <v>471.6</v>
      </c>
      <c r="D46" s="105">
        <v>385.1</v>
      </c>
      <c r="E46" s="105">
        <v>356.3</v>
      </c>
      <c r="G46" s="105">
        <v>476.1</v>
      </c>
      <c r="H46" s="105">
        <v>436.3</v>
      </c>
      <c r="I46" s="105">
        <v>390.2</v>
      </c>
      <c r="J46" s="82">
        <f t="shared" si="100"/>
        <v>385.1</v>
      </c>
      <c r="K46" s="105">
        <v>392</v>
      </c>
      <c r="L46" s="105">
        <v>376.6</v>
      </c>
      <c r="M46" s="105">
        <v>367.2</v>
      </c>
      <c r="N46" s="82">
        <f t="shared" si="101"/>
        <v>356.3</v>
      </c>
      <c r="O46" s="105">
        <v>391.3</v>
      </c>
      <c r="P46" s="105">
        <v>405.1</v>
      </c>
      <c r="Q46" s="105">
        <v>397.07299999999998</v>
      </c>
      <c r="R46" s="82"/>
      <c r="S46" s="30">
        <f t="shared" si="102"/>
        <v>392</v>
      </c>
      <c r="T46" s="30">
        <f t="shared" si="103"/>
        <v>376.6</v>
      </c>
      <c r="U46" s="30">
        <f t="shared" si="104"/>
        <v>367.2</v>
      </c>
      <c r="V46" s="30">
        <f t="shared" si="105"/>
        <v>356.3</v>
      </c>
      <c r="W46" s="30">
        <f t="shared" si="106"/>
        <v>391.3</v>
      </c>
      <c r="X46" s="30">
        <f t="shared" si="107"/>
        <v>405.1</v>
      </c>
      <c r="Y46" s="30">
        <f t="shared" si="108"/>
        <v>397.07299999999998</v>
      </c>
      <c r="Z46" s="11"/>
      <c r="AA46" s="68">
        <f t="shared" si="109"/>
        <v>8.1353485838779882E-2</v>
      </c>
    </row>
    <row r="47" spans="1:27" ht="12.75" customHeight="1">
      <c r="B47" s="9" t="s">
        <v>124</v>
      </c>
      <c r="C47" s="105">
        <v>14.8</v>
      </c>
      <c r="D47" s="105">
        <v>4.4000000000000004</v>
      </c>
      <c r="E47" s="105">
        <v>4</v>
      </c>
      <c r="G47" s="105">
        <v>3.1</v>
      </c>
      <c r="H47" s="105">
        <v>2.2999999999999998</v>
      </c>
      <c r="I47" s="105">
        <v>3</v>
      </c>
      <c r="J47" s="82">
        <f t="shared" si="100"/>
        <v>4.4000000000000004</v>
      </c>
      <c r="K47" s="105">
        <v>3</v>
      </c>
      <c r="L47" s="105">
        <v>2.5</v>
      </c>
      <c r="M47" s="105">
        <v>2.9</v>
      </c>
      <c r="N47" s="82">
        <f t="shared" si="101"/>
        <v>4</v>
      </c>
      <c r="O47" s="105">
        <v>4.5</v>
      </c>
      <c r="P47" s="105">
        <v>6.5</v>
      </c>
      <c r="Q47" s="105">
        <v>6.4370000000000003</v>
      </c>
      <c r="R47" s="82"/>
      <c r="S47" s="30">
        <f t="shared" si="102"/>
        <v>3</v>
      </c>
      <c r="T47" s="30">
        <f t="shared" si="103"/>
        <v>2.5</v>
      </c>
      <c r="U47" s="30">
        <f t="shared" si="104"/>
        <v>2.9</v>
      </c>
      <c r="V47" s="30">
        <f t="shared" si="105"/>
        <v>4</v>
      </c>
      <c r="W47" s="30">
        <f t="shared" si="106"/>
        <v>4.5</v>
      </c>
      <c r="X47" s="30">
        <f t="shared" si="107"/>
        <v>6.5</v>
      </c>
      <c r="Y47" s="30">
        <f t="shared" si="108"/>
        <v>6.4370000000000003</v>
      </c>
      <c r="Z47" s="11"/>
      <c r="AA47" s="68">
        <f t="shared" si="109"/>
        <v>1.2196551724137934</v>
      </c>
    </row>
    <row r="48" spans="1:27" ht="12.75" customHeight="1">
      <c r="B48" s="9" t="s">
        <v>125</v>
      </c>
      <c r="C48" s="105">
        <v>18.8</v>
      </c>
      <c r="D48" s="105">
        <v>21.1</v>
      </c>
      <c r="E48" s="105">
        <v>22.2</v>
      </c>
      <c r="G48" s="105">
        <v>31.5</v>
      </c>
      <c r="H48" s="105">
        <v>28</v>
      </c>
      <c r="I48" s="105">
        <v>23.4</v>
      </c>
      <c r="J48" s="82">
        <f t="shared" si="100"/>
        <v>21.1</v>
      </c>
      <c r="K48" s="105">
        <v>26.4</v>
      </c>
      <c r="L48" s="105">
        <v>20.3</v>
      </c>
      <c r="M48" s="105">
        <v>21.6</v>
      </c>
      <c r="N48" s="82">
        <f t="shared" si="101"/>
        <v>22.2</v>
      </c>
      <c r="O48" s="105">
        <v>19.7</v>
      </c>
      <c r="P48" s="105">
        <v>22.2</v>
      </c>
      <c r="Q48" s="105">
        <v>17.231999999999999</v>
      </c>
      <c r="R48" s="82"/>
      <c r="S48" s="30">
        <f t="shared" si="102"/>
        <v>26.4</v>
      </c>
      <c r="T48" s="30">
        <f t="shared" si="103"/>
        <v>20.3</v>
      </c>
      <c r="U48" s="30">
        <f t="shared" si="104"/>
        <v>21.6</v>
      </c>
      <c r="V48" s="30">
        <f t="shared" si="105"/>
        <v>22.2</v>
      </c>
      <c r="W48" s="30">
        <f t="shared" si="106"/>
        <v>19.7</v>
      </c>
      <c r="X48" s="30">
        <f t="shared" si="107"/>
        <v>22.2</v>
      </c>
      <c r="Y48" s="30">
        <f t="shared" si="108"/>
        <v>17.231999999999999</v>
      </c>
      <c r="Z48" s="11"/>
      <c r="AA48" s="68">
        <f t="shared" si="109"/>
        <v>-0.2022222222222223</v>
      </c>
    </row>
    <row r="49" spans="2:27" ht="12.75" customHeight="1">
      <c r="B49" s="9" t="s">
        <v>126</v>
      </c>
      <c r="C49" s="105">
        <v>33.6</v>
      </c>
      <c r="D49" s="105">
        <v>45.1</v>
      </c>
      <c r="E49" s="105">
        <v>51.6</v>
      </c>
      <c r="G49" s="105">
        <v>59.3</v>
      </c>
      <c r="H49" s="105">
        <v>58.8</v>
      </c>
      <c r="I49" s="105">
        <v>44</v>
      </c>
      <c r="J49" s="82">
        <f t="shared" si="100"/>
        <v>45.1</v>
      </c>
      <c r="K49" s="105">
        <v>44.3</v>
      </c>
      <c r="L49" s="105">
        <v>39.6</v>
      </c>
      <c r="M49" s="105">
        <v>50.9</v>
      </c>
      <c r="N49" s="82">
        <f t="shared" si="101"/>
        <v>51.6</v>
      </c>
      <c r="O49" s="105">
        <v>46.3</v>
      </c>
      <c r="P49" s="105">
        <v>49.9</v>
      </c>
      <c r="Q49" s="105">
        <v>61.161999999999999</v>
      </c>
      <c r="R49" s="82"/>
      <c r="S49" s="30">
        <f t="shared" si="102"/>
        <v>44.3</v>
      </c>
      <c r="T49" s="30">
        <f t="shared" si="103"/>
        <v>39.6</v>
      </c>
      <c r="U49" s="30">
        <f t="shared" si="104"/>
        <v>50.9</v>
      </c>
      <c r="V49" s="30">
        <f t="shared" si="105"/>
        <v>51.6</v>
      </c>
      <c r="W49" s="30">
        <f t="shared" si="106"/>
        <v>46.3</v>
      </c>
      <c r="X49" s="30">
        <f t="shared" si="107"/>
        <v>49.9</v>
      </c>
      <c r="Y49" s="30">
        <f t="shared" si="108"/>
        <v>61.161999999999999</v>
      </c>
      <c r="Z49" s="11"/>
      <c r="AA49" s="68">
        <f t="shared" si="109"/>
        <v>0.20161100196463666</v>
      </c>
    </row>
    <row r="50" spans="2:27" ht="12.75" customHeight="1">
      <c r="B50" s="23" t="s">
        <v>20</v>
      </c>
      <c r="C50" s="24">
        <f>SUM(C44:C49)</f>
        <v>1026</v>
      </c>
      <c r="D50" s="24">
        <f>SUM(D44:D49)</f>
        <v>910.7</v>
      </c>
      <c r="E50" s="24">
        <f>SUM(E44:E49)</f>
        <v>872.30000000000007</v>
      </c>
      <c r="F50" s="45"/>
      <c r="G50" s="24">
        <f t="shared" ref="G50:Q50" si="110">SUM(G44:G49)</f>
        <v>1114.7</v>
      </c>
      <c r="H50" s="24">
        <f t="shared" si="110"/>
        <v>1101.1999999999998</v>
      </c>
      <c r="I50" s="24">
        <f t="shared" si="110"/>
        <v>979.1</v>
      </c>
      <c r="J50" s="24">
        <f t="shared" si="110"/>
        <v>910.7</v>
      </c>
      <c r="K50" s="24">
        <f t="shared" si="110"/>
        <v>1106.5</v>
      </c>
      <c r="L50" s="24">
        <f t="shared" si="110"/>
        <v>1026.8999999999999</v>
      </c>
      <c r="M50" s="24">
        <f t="shared" si="110"/>
        <v>990.4</v>
      </c>
      <c r="N50" s="24">
        <f t="shared" si="110"/>
        <v>872.30000000000007</v>
      </c>
      <c r="O50" s="24">
        <f t="shared" si="110"/>
        <v>1074</v>
      </c>
      <c r="P50" s="24">
        <f t="shared" si="110"/>
        <v>1101.7</v>
      </c>
      <c r="Q50" s="24">
        <f t="shared" si="110"/>
        <v>971.19100000000003</v>
      </c>
      <c r="R50" s="45"/>
      <c r="S50" s="24">
        <f t="shared" ref="S50:Y50" si="111">SUM(S44:S49)</f>
        <v>1106.5</v>
      </c>
      <c r="T50" s="24">
        <f t="shared" si="111"/>
        <v>1026.8999999999999</v>
      </c>
      <c r="U50" s="24">
        <f t="shared" si="111"/>
        <v>990.4</v>
      </c>
      <c r="V50" s="24">
        <f t="shared" si="111"/>
        <v>872.30000000000007</v>
      </c>
      <c r="W50" s="24">
        <f t="shared" si="111"/>
        <v>1074</v>
      </c>
      <c r="X50" s="24">
        <f t="shared" si="111"/>
        <v>1101.7</v>
      </c>
      <c r="Y50" s="24">
        <f t="shared" si="111"/>
        <v>971.19100000000003</v>
      </c>
      <c r="Z50" s="39"/>
      <c r="AA50" s="69">
        <f t="shared" si="109"/>
        <v>-1.939519386106614E-2</v>
      </c>
    </row>
    <row r="51" spans="2:27" ht="5.0999999999999996" customHeight="1">
      <c r="B51" s="23"/>
      <c r="C51" s="46"/>
      <c r="D51" s="38"/>
      <c r="E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S51" s="39"/>
      <c r="T51" s="39"/>
      <c r="U51" s="39"/>
      <c r="V51" s="39"/>
      <c r="W51" s="39"/>
      <c r="X51" s="39"/>
      <c r="Y51" s="39"/>
      <c r="Z51" s="39"/>
      <c r="AA51" s="36"/>
    </row>
    <row r="52" spans="2:27" ht="12.75" customHeight="1">
      <c r="B52" s="72" t="s">
        <v>85</v>
      </c>
      <c r="C52" s="76"/>
      <c r="D52" s="76"/>
      <c r="E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S52" s="30"/>
      <c r="T52" s="30"/>
      <c r="U52" s="30"/>
      <c r="V52" s="30"/>
      <c r="W52" s="30"/>
      <c r="X52" s="30"/>
      <c r="Y52" s="30"/>
      <c r="Z52" s="11"/>
      <c r="AA52" s="68"/>
    </row>
    <row r="53" spans="2:27" ht="12.75" customHeight="1">
      <c r="B53" s="9" t="s">
        <v>127</v>
      </c>
      <c r="C53" s="76">
        <v>181.5</v>
      </c>
      <c r="D53" s="76">
        <v>238.3</v>
      </c>
      <c r="E53" s="76">
        <v>244.3</v>
      </c>
      <c r="G53" s="105">
        <v>190.5</v>
      </c>
      <c r="H53" s="105">
        <v>213.8</v>
      </c>
      <c r="I53" s="105">
        <v>223.1</v>
      </c>
      <c r="J53" s="82">
        <f t="shared" ref="J53:J59" si="112">D53</f>
        <v>238.3</v>
      </c>
      <c r="K53" s="105">
        <v>242.9</v>
      </c>
      <c r="L53" s="105">
        <v>244.1</v>
      </c>
      <c r="M53" s="105">
        <v>243.4</v>
      </c>
      <c r="N53" s="82">
        <f t="shared" ref="N53:N59" si="113">E53</f>
        <v>244.3</v>
      </c>
      <c r="O53" s="105">
        <v>245.8</v>
      </c>
      <c r="P53" s="105">
        <v>249.1</v>
      </c>
      <c r="Q53" s="105">
        <v>242.13900000000001</v>
      </c>
      <c r="S53" s="30">
        <f t="shared" ref="S53:S59" si="114">K53</f>
        <v>242.9</v>
      </c>
      <c r="T53" s="30">
        <f t="shared" ref="T53:T59" si="115">L53</f>
        <v>244.1</v>
      </c>
      <c r="U53" s="30">
        <f t="shared" ref="U53:U59" si="116">M53</f>
        <v>243.4</v>
      </c>
      <c r="V53" s="30">
        <f t="shared" ref="V53:V59" si="117">N53</f>
        <v>244.3</v>
      </c>
      <c r="W53" s="30">
        <f t="shared" ref="W53:W59" si="118">O53</f>
        <v>245.8</v>
      </c>
      <c r="X53" s="30">
        <f t="shared" ref="X53:X59" si="119">P53</f>
        <v>249.1</v>
      </c>
      <c r="Y53" s="30">
        <f t="shared" ref="Y53:Y59" si="120">Q53</f>
        <v>242.13900000000001</v>
      </c>
      <c r="Z53" s="11"/>
      <c r="AA53" s="68">
        <f>SUM(Y53/U53)-1</f>
        <v>-5.1807723911256875E-3</v>
      </c>
    </row>
    <row r="54" spans="2:27" ht="12.75" customHeight="1">
      <c r="B54" s="9" t="s">
        <v>128</v>
      </c>
      <c r="C54" s="76">
        <v>1800.2</v>
      </c>
      <c r="D54" s="76">
        <v>1792.6</v>
      </c>
      <c r="E54" s="76">
        <v>1777.1</v>
      </c>
      <c r="G54" s="105">
        <v>1798.9</v>
      </c>
      <c r="H54" s="105">
        <v>1795.9</v>
      </c>
      <c r="I54" s="105">
        <v>1793.7</v>
      </c>
      <c r="J54" s="82">
        <f t="shared" si="112"/>
        <v>1792.6</v>
      </c>
      <c r="K54" s="105">
        <v>1787.6</v>
      </c>
      <c r="L54" s="105">
        <v>1785.3</v>
      </c>
      <c r="M54" s="105">
        <v>1783.7</v>
      </c>
      <c r="N54" s="82">
        <f t="shared" si="113"/>
        <v>1777.1</v>
      </c>
      <c r="O54" s="105">
        <v>1773</v>
      </c>
      <c r="P54" s="105">
        <v>1335.5</v>
      </c>
      <c r="Q54" s="105">
        <v>1330.5139999999999</v>
      </c>
      <c r="S54" s="30">
        <f t="shared" si="114"/>
        <v>1787.6</v>
      </c>
      <c r="T54" s="30">
        <f t="shared" si="115"/>
        <v>1785.3</v>
      </c>
      <c r="U54" s="30">
        <f t="shared" si="116"/>
        <v>1783.7</v>
      </c>
      <c r="V54" s="30">
        <f t="shared" si="117"/>
        <v>1777.1</v>
      </c>
      <c r="W54" s="30">
        <f t="shared" si="118"/>
        <v>1773</v>
      </c>
      <c r="X54" s="30">
        <f t="shared" si="119"/>
        <v>1335.5</v>
      </c>
      <c r="Y54" s="30">
        <f t="shared" si="120"/>
        <v>1330.5139999999999</v>
      </c>
      <c r="Z54" s="11"/>
      <c r="AA54" s="68">
        <f t="shared" ref="AA54:AA59" si="121">SUM(Y54/U54)-1</f>
        <v>-0.25407075180803951</v>
      </c>
    </row>
    <row r="55" spans="2:27" ht="12.75" customHeight="1">
      <c r="B55" s="9" t="s">
        <v>110</v>
      </c>
      <c r="C55" s="76">
        <v>714.8</v>
      </c>
      <c r="D55" s="76">
        <v>711.6</v>
      </c>
      <c r="E55" s="76">
        <v>711.5</v>
      </c>
      <c r="G55" s="105">
        <v>711.6</v>
      </c>
      <c r="H55" s="105">
        <v>711.6</v>
      </c>
      <c r="I55" s="105">
        <v>711.9</v>
      </c>
      <c r="J55" s="82">
        <f t="shared" si="112"/>
        <v>711.6</v>
      </c>
      <c r="K55" s="105">
        <v>711.6</v>
      </c>
      <c r="L55" s="105">
        <v>711.5</v>
      </c>
      <c r="M55" s="105">
        <v>711.6</v>
      </c>
      <c r="N55" s="82">
        <f t="shared" si="113"/>
        <v>711.5</v>
      </c>
      <c r="O55" s="105">
        <v>711.6</v>
      </c>
      <c r="P55" s="105">
        <v>404.7</v>
      </c>
      <c r="Q55" s="105">
        <v>404.68799999999999</v>
      </c>
      <c r="S55" s="30">
        <f t="shared" si="114"/>
        <v>711.6</v>
      </c>
      <c r="T55" s="30">
        <f t="shared" si="115"/>
        <v>711.5</v>
      </c>
      <c r="U55" s="30">
        <f t="shared" si="116"/>
        <v>711.6</v>
      </c>
      <c r="V55" s="30">
        <f t="shared" si="117"/>
        <v>711.5</v>
      </c>
      <c r="W55" s="30">
        <f t="shared" si="118"/>
        <v>711.6</v>
      </c>
      <c r="X55" s="30">
        <f t="shared" si="119"/>
        <v>404.7</v>
      </c>
      <c r="Y55" s="30">
        <f t="shared" si="120"/>
        <v>404.68799999999999</v>
      </c>
      <c r="Z55" s="11"/>
      <c r="AA55" s="68">
        <f t="shared" si="121"/>
        <v>-0.43129848229342327</v>
      </c>
    </row>
    <row r="56" spans="2:27" ht="12.75" customHeight="1">
      <c r="B56" s="9" t="s">
        <v>129</v>
      </c>
      <c r="C56" s="76">
        <v>528.29999999999995</v>
      </c>
      <c r="D56" s="76">
        <v>668</v>
      </c>
      <c r="E56" s="76">
        <v>872.4</v>
      </c>
      <c r="G56" s="105">
        <v>533.5</v>
      </c>
      <c r="H56" s="105">
        <v>539.5</v>
      </c>
      <c r="I56" s="105">
        <v>527.70000000000005</v>
      </c>
      <c r="J56" s="82">
        <f t="shared" si="112"/>
        <v>668</v>
      </c>
      <c r="K56" s="105">
        <v>647.70000000000005</v>
      </c>
      <c r="L56" s="105">
        <v>640.6</v>
      </c>
      <c r="M56" s="105">
        <v>659.9</v>
      </c>
      <c r="N56" s="82">
        <f t="shared" si="113"/>
        <v>872.4</v>
      </c>
      <c r="O56" s="105">
        <v>893.6</v>
      </c>
      <c r="P56" s="105">
        <v>972</v>
      </c>
      <c r="Q56" s="105">
        <v>964.39700000000005</v>
      </c>
      <c r="S56" s="30">
        <f t="shared" si="114"/>
        <v>647.70000000000005</v>
      </c>
      <c r="T56" s="30">
        <f t="shared" si="115"/>
        <v>640.6</v>
      </c>
      <c r="U56" s="30">
        <f t="shared" si="116"/>
        <v>659.9</v>
      </c>
      <c r="V56" s="30">
        <f t="shared" si="117"/>
        <v>872.4</v>
      </c>
      <c r="W56" s="30">
        <f t="shared" si="118"/>
        <v>893.6</v>
      </c>
      <c r="X56" s="30">
        <f t="shared" si="119"/>
        <v>972</v>
      </c>
      <c r="Y56" s="30">
        <f t="shared" si="120"/>
        <v>964.39700000000005</v>
      </c>
      <c r="Z56" s="11"/>
      <c r="AA56" s="68">
        <f t="shared" si="121"/>
        <v>0.46142900439460544</v>
      </c>
    </row>
    <row r="57" spans="2:27" ht="12.75" customHeight="1">
      <c r="B57" s="9" t="s">
        <v>130</v>
      </c>
      <c r="C57" s="76">
        <v>3.3</v>
      </c>
      <c r="D57" s="76">
        <v>3.8</v>
      </c>
      <c r="E57" s="76">
        <v>3.2</v>
      </c>
      <c r="G57" s="105">
        <v>3.2</v>
      </c>
      <c r="H57" s="105">
        <v>3.3</v>
      </c>
      <c r="I57" s="105">
        <v>3.7</v>
      </c>
      <c r="J57" s="82">
        <f t="shared" si="112"/>
        <v>3.8</v>
      </c>
      <c r="K57" s="105">
        <v>3.7</v>
      </c>
      <c r="L57" s="105">
        <v>3.3</v>
      </c>
      <c r="M57" s="105">
        <v>3.4</v>
      </c>
      <c r="N57" s="82">
        <f t="shared" si="113"/>
        <v>3.2</v>
      </c>
      <c r="O57" s="105">
        <v>3.3</v>
      </c>
      <c r="P57" s="105">
        <v>3.6</v>
      </c>
      <c r="Q57" s="105">
        <v>3.5529999999999999</v>
      </c>
      <c r="S57" s="30">
        <f t="shared" si="114"/>
        <v>3.7</v>
      </c>
      <c r="T57" s="30">
        <f t="shared" si="115"/>
        <v>3.3</v>
      </c>
      <c r="U57" s="30">
        <f t="shared" si="116"/>
        <v>3.4</v>
      </c>
      <c r="V57" s="30">
        <f t="shared" si="117"/>
        <v>3.2</v>
      </c>
      <c r="W57" s="30">
        <f t="shared" si="118"/>
        <v>3.3</v>
      </c>
      <c r="X57" s="30">
        <f t="shared" si="119"/>
        <v>3.6</v>
      </c>
      <c r="Y57" s="30">
        <f t="shared" si="120"/>
        <v>3.5529999999999999</v>
      </c>
      <c r="Z57" s="11"/>
      <c r="AA57" s="68">
        <f t="shared" si="121"/>
        <v>4.4999999999999929E-2</v>
      </c>
    </row>
    <row r="58" spans="2:27" ht="12.75" customHeight="1">
      <c r="B58" s="9" t="s">
        <v>131</v>
      </c>
      <c r="C58" s="76">
        <v>239.9</v>
      </c>
      <c r="D58" s="76">
        <v>287.39999999999998</v>
      </c>
      <c r="E58" s="76">
        <v>307.2</v>
      </c>
      <c r="G58" s="105">
        <v>234</v>
      </c>
      <c r="H58" s="105">
        <v>228.1</v>
      </c>
      <c r="I58" s="105">
        <v>313.60000000000002</v>
      </c>
      <c r="J58" s="82">
        <f t="shared" si="112"/>
        <v>287.39999999999998</v>
      </c>
      <c r="K58" s="105">
        <v>280.2</v>
      </c>
      <c r="L58" s="105">
        <v>292.10000000000002</v>
      </c>
      <c r="M58" s="105">
        <v>303.8</v>
      </c>
      <c r="N58" s="82">
        <f t="shared" si="113"/>
        <v>307.2</v>
      </c>
      <c r="O58" s="105">
        <v>335.8</v>
      </c>
      <c r="P58" s="105">
        <v>349.3</v>
      </c>
      <c r="Q58" s="105">
        <v>343.1</v>
      </c>
      <c r="S58" s="30">
        <f t="shared" si="114"/>
        <v>280.2</v>
      </c>
      <c r="T58" s="30">
        <f t="shared" si="115"/>
        <v>292.10000000000002</v>
      </c>
      <c r="U58" s="30">
        <f t="shared" si="116"/>
        <v>303.8</v>
      </c>
      <c r="V58" s="30">
        <f t="shared" si="117"/>
        <v>307.2</v>
      </c>
      <c r="W58" s="30">
        <f t="shared" si="118"/>
        <v>335.8</v>
      </c>
      <c r="X58" s="30">
        <f t="shared" si="119"/>
        <v>349.3</v>
      </c>
      <c r="Y58" s="30">
        <f t="shared" si="120"/>
        <v>343.1</v>
      </c>
      <c r="Z58" s="11"/>
      <c r="AA58" s="68">
        <f t="shared" si="121"/>
        <v>0.12936142198815004</v>
      </c>
    </row>
    <row r="59" spans="2:27" ht="12.75" customHeight="1">
      <c r="B59" s="9" t="s">
        <v>132</v>
      </c>
      <c r="C59" s="76">
        <v>7.9</v>
      </c>
      <c r="D59" s="76">
        <v>31.4</v>
      </c>
      <c r="E59" s="76">
        <v>24.2</v>
      </c>
      <c r="G59" s="105">
        <v>9.3000000000000007</v>
      </c>
      <c r="H59" s="105">
        <v>9.6999999999999993</v>
      </c>
      <c r="I59" s="105">
        <v>28.5</v>
      </c>
      <c r="J59" s="82">
        <f t="shared" si="112"/>
        <v>31.4</v>
      </c>
      <c r="K59" s="105">
        <v>15.5</v>
      </c>
      <c r="L59" s="105">
        <v>16</v>
      </c>
      <c r="M59" s="105">
        <v>17.100000000000001</v>
      </c>
      <c r="N59" s="82">
        <f t="shared" si="113"/>
        <v>24.2</v>
      </c>
      <c r="O59" s="105">
        <v>29.1</v>
      </c>
      <c r="P59" s="105">
        <v>34.6</v>
      </c>
      <c r="Q59" s="105">
        <v>40.182000000000002</v>
      </c>
      <c r="S59" s="30">
        <f t="shared" si="114"/>
        <v>15.5</v>
      </c>
      <c r="T59" s="30">
        <f t="shared" si="115"/>
        <v>16</v>
      </c>
      <c r="U59" s="30">
        <f t="shared" si="116"/>
        <v>17.100000000000001</v>
      </c>
      <c r="V59" s="30">
        <f t="shared" si="117"/>
        <v>24.2</v>
      </c>
      <c r="W59" s="30">
        <f t="shared" si="118"/>
        <v>29.1</v>
      </c>
      <c r="X59" s="30">
        <f t="shared" si="119"/>
        <v>34.6</v>
      </c>
      <c r="Y59" s="30">
        <f t="shared" si="120"/>
        <v>40.182000000000002</v>
      </c>
      <c r="Z59" s="11"/>
      <c r="AA59" s="68">
        <f t="shared" si="121"/>
        <v>1.3498245614035085</v>
      </c>
    </row>
    <row r="60" spans="2:27" ht="12.75" customHeight="1">
      <c r="B60" s="12" t="s">
        <v>21</v>
      </c>
      <c r="C60" s="13">
        <f>SUM(C53:C59)+C50</f>
        <v>4501.9000000000005</v>
      </c>
      <c r="D60" s="13">
        <f>SUM(D53:D59)+D50</f>
        <v>4643.8</v>
      </c>
      <c r="E60" s="13">
        <f>SUM(E53:E59)+E50</f>
        <v>4812.1999999999989</v>
      </c>
      <c r="G60" s="13">
        <f t="shared" ref="G60:Q60" si="122">SUM(G53:G59)+G50</f>
        <v>4595.7</v>
      </c>
      <c r="H60" s="13">
        <f t="shared" si="122"/>
        <v>4603.1000000000004</v>
      </c>
      <c r="I60" s="13">
        <f t="shared" si="122"/>
        <v>4581.2999999999993</v>
      </c>
      <c r="J60" s="13">
        <f t="shared" si="122"/>
        <v>4643.8</v>
      </c>
      <c r="K60" s="13">
        <f t="shared" si="122"/>
        <v>4795.7</v>
      </c>
      <c r="L60" s="13">
        <f t="shared" si="122"/>
        <v>4719.7999999999993</v>
      </c>
      <c r="M60" s="13">
        <f t="shared" si="122"/>
        <v>4713.3</v>
      </c>
      <c r="N60" s="13">
        <f t="shared" si="122"/>
        <v>4812.1999999999989</v>
      </c>
      <c r="O60" s="13">
        <f t="shared" si="122"/>
        <v>5066.2000000000007</v>
      </c>
      <c r="P60" s="13">
        <f t="shared" si="122"/>
        <v>4450.5</v>
      </c>
      <c r="Q60" s="13">
        <f t="shared" si="122"/>
        <v>4299.7639999999992</v>
      </c>
      <c r="S60" s="13">
        <f t="shared" ref="S60:Y60" si="123">SUM(S53:S59)+S50</f>
        <v>4795.7</v>
      </c>
      <c r="T60" s="13">
        <f t="shared" si="123"/>
        <v>4719.7999999999993</v>
      </c>
      <c r="U60" s="13">
        <f t="shared" si="123"/>
        <v>4713.3</v>
      </c>
      <c r="V60" s="13">
        <f t="shared" si="123"/>
        <v>4812.1999999999989</v>
      </c>
      <c r="W60" s="13">
        <f t="shared" si="123"/>
        <v>5066.2000000000007</v>
      </c>
      <c r="X60" s="13">
        <f t="shared" si="123"/>
        <v>4450.5</v>
      </c>
      <c r="Y60" s="13">
        <f t="shared" si="123"/>
        <v>4299.7639999999992</v>
      </c>
      <c r="Z60" s="39"/>
      <c r="AA60" s="69">
        <f>SUM(Y60/U60)-1</f>
        <v>-8.7738102815437369E-2</v>
      </c>
    </row>
    <row r="61" spans="2:27" ht="12.75" customHeight="1">
      <c r="B61" s="23"/>
      <c r="C61" s="47"/>
      <c r="D61" s="38"/>
      <c r="E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S61" s="39"/>
      <c r="T61" s="39"/>
      <c r="U61" s="39"/>
      <c r="V61" s="39"/>
      <c r="W61" s="39"/>
      <c r="X61" s="39"/>
      <c r="Y61" s="39"/>
      <c r="Z61" s="39"/>
      <c r="AA61" s="36"/>
    </row>
    <row r="62" spans="2:27" ht="12.75" customHeight="1">
      <c r="B62" s="72" t="s">
        <v>47</v>
      </c>
      <c r="C62" s="47"/>
      <c r="D62" s="38"/>
      <c r="E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S62" s="39"/>
      <c r="T62" s="39"/>
      <c r="U62" s="39"/>
      <c r="V62" s="39"/>
      <c r="W62" s="39"/>
      <c r="X62" s="39"/>
      <c r="Y62" s="39"/>
      <c r="Z62" s="39"/>
      <c r="AA62" s="36"/>
    </row>
    <row r="63" spans="2:27" ht="12.75" customHeight="1">
      <c r="B63" s="9" t="s">
        <v>133</v>
      </c>
      <c r="C63" s="76">
        <v>230.8</v>
      </c>
      <c r="D63" s="76">
        <v>261</v>
      </c>
      <c r="E63" s="76">
        <v>264.89999999999998</v>
      </c>
      <c r="G63" s="105">
        <v>232.4</v>
      </c>
      <c r="H63" s="105">
        <v>261.89999999999998</v>
      </c>
      <c r="I63" s="105">
        <v>209.9</v>
      </c>
      <c r="J63" s="82">
        <f t="shared" ref="J63:J67" si="124">D63</f>
        <v>261</v>
      </c>
      <c r="K63" s="105">
        <v>236.3</v>
      </c>
      <c r="L63" s="105">
        <v>244.9</v>
      </c>
      <c r="M63" s="105">
        <v>240.9</v>
      </c>
      <c r="N63" s="82">
        <f t="shared" ref="N63:N67" si="125">E63</f>
        <v>264.89999999999998</v>
      </c>
      <c r="O63" s="105">
        <v>244.9</v>
      </c>
      <c r="P63" s="105">
        <v>263.3</v>
      </c>
      <c r="Q63" s="105">
        <v>217.26900000000001</v>
      </c>
      <c r="S63" s="30">
        <f t="shared" ref="S63:S67" si="126">K63</f>
        <v>236.3</v>
      </c>
      <c r="T63" s="30">
        <f t="shared" ref="T63:T67" si="127">L63</f>
        <v>244.9</v>
      </c>
      <c r="U63" s="30">
        <f t="shared" ref="U63:U67" si="128">M63</f>
        <v>240.9</v>
      </c>
      <c r="V63" s="30">
        <f t="shared" ref="V63:V67" si="129">N63</f>
        <v>264.89999999999998</v>
      </c>
      <c r="W63" s="30">
        <f t="shared" ref="W63:W67" si="130">O63</f>
        <v>244.9</v>
      </c>
      <c r="X63" s="30">
        <f t="shared" ref="X63:X67" si="131">P63</f>
        <v>263.3</v>
      </c>
      <c r="Y63" s="30">
        <f t="shared" ref="Y63:Y67" si="132">Q63</f>
        <v>217.26900000000001</v>
      </c>
      <c r="Z63" s="11"/>
      <c r="AA63" s="68">
        <f>SUM(Y63/U63)-1</f>
        <v>-9.8094645080946452E-2</v>
      </c>
    </row>
    <row r="64" spans="2:27" ht="12.75" customHeight="1">
      <c r="B64" s="9" t="s">
        <v>134</v>
      </c>
      <c r="C64" s="76">
        <v>239.4</v>
      </c>
      <c r="D64" s="76">
        <v>285.8</v>
      </c>
      <c r="E64" s="76">
        <v>298.10000000000002</v>
      </c>
      <c r="G64" s="105">
        <v>201.8</v>
      </c>
      <c r="H64" s="105">
        <v>241.5</v>
      </c>
      <c r="I64" s="105">
        <v>248.2</v>
      </c>
      <c r="J64" s="82">
        <f t="shared" si="124"/>
        <v>285.8</v>
      </c>
      <c r="K64" s="105">
        <v>247.3</v>
      </c>
      <c r="L64" s="105">
        <v>285.10000000000002</v>
      </c>
      <c r="M64" s="105">
        <v>278</v>
      </c>
      <c r="N64" s="82">
        <f t="shared" si="125"/>
        <v>298.10000000000002</v>
      </c>
      <c r="O64" s="105">
        <v>247</v>
      </c>
      <c r="P64" s="105">
        <v>272.60000000000002</v>
      </c>
      <c r="Q64" s="105">
        <v>275.39499999999998</v>
      </c>
      <c r="S64" s="30">
        <f t="shared" si="126"/>
        <v>247.3</v>
      </c>
      <c r="T64" s="30">
        <f t="shared" si="127"/>
        <v>285.10000000000002</v>
      </c>
      <c r="U64" s="30">
        <f t="shared" si="128"/>
        <v>278</v>
      </c>
      <c r="V64" s="30">
        <f t="shared" si="129"/>
        <v>298.10000000000002</v>
      </c>
      <c r="W64" s="30">
        <f t="shared" si="130"/>
        <v>247</v>
      </c>
      <c r="X64" s="30">
        <f t="shared" si="131"/>
        <v>272.60000000000002</v>
      </c>
      <c r="Y64" s="30">
        <f t="shared" si="132"/>
        <v>275.39499999999998</v>
      </c>
      <c r="Z64" s="11"/>
      <c r="AA64" s="68">
        <f>SUM(Y64/U64)-1</f>
        <v>-9.3705035971223261E-3</v>
      </c>
    </row>
    <row r="65" spans="2:27" ht="12.75" customHeight="1">
      <c r="B65" s="9" t="s">
        <v>135</v>
      </c>
      <c r="C65" s="76">
        <v>89.2</v>
      </c>
      <c r="D65" s="76">
        <v>66</v>
      </c>
      <c r="E65" s="76">
        <v>108.7</v>
      </c>
      <c r="G65" s="105">
        <v>109.6</v>
      </c>
      <c r="H65" s="105">
        <v>84.8</v>
      </c>
      <c r="I65" s="105">
        <v>108.7</v>
      </c>
      <c r="J65" s="82">
        <f t="shared" si="124"/>
        <v>66</v>
      </c>
      <c r="K65" s="105">
        <v>82.2</v>
      </c>
      <c r="L65" s="105">
        <v>92.6</v>
      </c>
      <c r="M65" s="105">
        <v>106.9</v>
      </c>
      <c r="N65" s="82">
        <f t="shared" si="125"/>
        <v>108.7</v>
      </c>
      <c r="O65" s="105">
        <v>135.6</v>
      </c>
      <c r="P65" s="105">
        <v>96</v>
      </c>
      <c r="Q65" s="105">
        <v>114.74</v>
      </c>
      <c r="S65" s="30">
        <f t="shared" si="126"/>
        <v>82.2</v>
      </c>
      <c r="T65" s="30">
        <f t="shared" si="127"/>
        <v>92.6</v>
      </c>
      <c r="U65" s="30">
        <f t="shared" si="128"/>
        <v>106.9</v>
      </c>
      <c r="V65" s="30">
        <f t="shared" si="129"/>
        <v>108.7</v>
      </c>
      <c r="W65" s="30">
        <f t="shared" si="130"/>
        <v>135.6</v>
      </c>
      <c r="X65" s="30">
        <f t="shared" si="131"/>
        <v>96</v>
      </c>
      <c r="Y65" s="30">
        <f t="shared" si="132"/>
        <v>114.74</v>
      </c>
      <c r="Z65" s="11"/>
      <c r="AA65" s="68"/>
    </row>
    <row r="66" spans="2:27" ht="12.75" customHeight="1">
      <c r="B66" s="136" t="s">
        <v>159</v>
      </c>
      <c r="C66" s="137">
        <v>24.4</v>
      </c>
      <c r="D66" s="137">
        <v>23.3</v>
      </c>
      <c r="E66" s="137">
        <v>0</v>
      </c>
      <c r="G66" s="105">
        <v>33</v>
      </c>
      <c r="H66" s="105">
        <v>20</v>
      </c>
      <c r="I66" s="105">
        <v>20</v>
      </c>
      <c r="J66" s="82">
        <f t="shared" si="124"/>
        <v>23.3</v>
      </c>
      <c r="K66" s="105">
        <v>0</v>
      </c>
      <c r="L66" s="105">
        <v>0</v>
      </c>
      <c r="M66" s="105">
        <v>0</v>
      </c>
      <c r="N66" s="82">
        <f t="shared" si="125"/>
        <v>0</v>
      </c>
      <c r="O66" s="105">
        <v>0</v>
      </c>
      <c r="P66" s="105">
        <v>0</v>
      </c>
      <c r="Q66" s="105">
        <v>0</v>
      </c>
      <c r="S66" s="30">
        <f t="shared" si="126"/>
        <v>0</v>
      </c>
      <c r="T66" s="30">
        <f t="shared" si="127"/>
        <v>0</v>
      </c>
      <c r="U66" s="30">
        <f t="shared" si="128"/>
        <v>0</v>
      </c>
      <c r="V66" s="30">
        <f t="shared" si="129"/>
        <v>0</v>
      </c>
      <c r="W66" s="30">
        <f t="shared" si="130"/>
        <v>0</v>
      </c>
      <c r="X66" s="30">
        <f t="shared" si="131"/>
        <v>0</v>
      </c>
      <c r="Y66" s="30">
        <f t="shared" si="132"/>
        <v>0</v>
      </c>
      <c r="Z66" s="11"/>
      <c r="AA66" s="68"/>
    </row>
    <row r="67" spans="2:27" ht="12.75" customHeight="1">
      <c r="B67" s="9" t="s">
        <v>136</v>
      </c>
      <c r="C67" s="76">
        <v>57.5</v>
      </c>
      <c r="D67" s="76">
        <v>62.3</v>
      </c>
      <c r="E67" s="76">
        <v>68.599999999999994</v>
      </c>
      <c r="G67" s="105">
        <v>57.6</v>
      </c>
      <c r="H67" s="105">
        <v>57.7</v>
      </c>
      <c r="I67" s="105">
        <v>61.1</v>
      </c>
      <c r="J67" s="82">
        <f t="shared" si="124"/>
        <v>62.3</v>
      </c>
      <c r="K67" s="105">
        <v>62.8</v>
      </c>
      <c r="L67" s="105">
        <v>63.9</v>
      </c>
      <c r="M67" s="105">
        <v>66.900000000000006</v>
      </c>
      <c r="N67" s="82">
        <f t="shared" si="125"/>
        <v>68.599999999999994</v>
      </c>
      <c r="O67" s="105">
        <v>77.7</v>
      </c>
      <c r="P67" s="105">
        <v>82.9</v>
      </c>
      <c r="Q67" s="105">
        <v>84.331000000000003</v>
      </c>
      <c r="S67" s="30">
        <f t="shared" si="126"/>
        <v>62.8</v>
      </c>
      <c r="T67" s="30">
        <f t="shared" si="127"/>
        <v>63.9</v>
      </c>
      <c r="U67" s="30">
        <f t="shared" si="128"/>
        <v>66.900000000000006</v>
      </c>
      <c r="V67" s="30">
        <f t="shared" si="129"/>
        <v>68.599999999999994</v>
      </c>
      <c r="W67" s="30">
        <f t="shared" si="130"/>
        <v>77.7</v>
      </c>
      <c r="X67" s="30">
        <f t="shared" si="131"/>
        <v>82.9</v>
      </c>
      <c r="Y67" s="30">
        <f t="shared" si="132"/>
        <v>84.331000000000003</v>
      </c>
      <c r="Z67" s="11"/>
      <c r="AA67" s="68"/>
    </row>
    <row r="68" spans="2:27" ht="12.75" customHeight="1">
      <c r="B68" s="23" t="s">
        <v>19</v>
      </c>
      <c r="C68" s="24">
        <f>SUM(C63:C67)</f>
        <v>641.30000000000007</v>
      </c>
      <c r="D68" s="24">
        <f>SUM(D63:D67)</f>
        <v>698.39999999999986</v>
      </c>
      <c r="E68" s="24">
        <f>SUM(E63:E67)</f>
        <v>740.30000000000007</v>
      </c>
      <c r="G68" s="24">
        <f t="shared" ref="G68:Q68" si="133">SUM(G63:G67)</f>
        <v>634.40000000000009</v>
      </c>
      <c r="H68" s="24">
        <f t="shared" si="133"/>
        <v>665.9</v>
      </c>
      <c r="I68" s="24">
        <f t="shared" si="133"/>
        <v>647.90000000000009</v>
      </c>
      <c r="J68" s="24">
        <f t="shared" si="133"/>
        <v>698.39999999999986</v>
      </c>
      <c r="K68" s="24">
        <f t="shared" si="133"/>
        <v>628.6</v>
      </c>
      <c r="L68" s="24">
        <f t="shared" si="133"/>
        <v>686.5</v>
      </c>
      <c r="M68" s="24">
        <f t="shared" si="133"/>
        <v>692.69999999999993</v>
      </c>
      <c r="N68" s="24">
        <f t="shared" si="133"/>
        <v>740.30000000000007</v>
      </c>
      <c r="O68" s="24">
        <f t="shared" si="133"/>
        <v>705.2</v>
      </c>
      <c r="P68" s="24">
        <f t="shared" si="133"/>
        <v>714.80000000000007</v>
      </c>
      <c r="Q68" s="24">
        <f t="shared" si="133"/>
        <v>691.73500000000001</v>
      </c>
      <c r="R68" s="45"/>
      <c r="S68" s="24">
        <f t="shared" ref="S68:Y68" si="134">SUM(S63:S67)</f>
        <v>628.6</v>
      </c>
      <c r="T68" s="24">
        <f t="shared" si="134"/>
        <v>686.5</v>
      </c>
      <c r="U68" s="24">
        <f t="shared" si="134"/>
        <v>692.69999999999993</v>
      </c>
      <c r="V68" s="24">
        <f t="shared" si="134"/>
        <v>740.30000000000007</v>
      </c>
      <c r="W68" s="24">
        <f t="shared" si="134"/>
        <v>705.2</v>
      </c>
      <c r="X68" s="24">
        <f t="shared" si="134"/>
        <v>714.80000000000007</v>
      </c>
      <c r="Y68" s="24">
        <f t="shared" si="134"/>
        <v>691.73500000000001</v>
      </c>
      <c r="Z68" s="39"/>
      <c r="AA68" s="69">
        <f>SUM(Y68/U68)-1</f>
        <v>-1.3930994658580831E-3</v>
      </c>
    </row>
    <row r="69" spans="2:27" ht="5.0999999999999996" customHeight="1">
      <c r="B69" s="23"/>
      <c r="C69" s="47"/>
      <c r="D69" s="38"/>
      <c r="E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S69" s="39"/>
      <c r="T69" s="39"/>
      <c r="U69" s="39"/>
      <c r="V69" s="39"/>
      <c r="W69" s="39"/>
      <c r="X69" s="39"/>
      <c r="Y69" s="39"/>
      <c r="Z69" s="39"/>
      <c r="AA69" s="36"/>
    </row>
    <row r="70" spans="2:27">
      <c r="B70" s="72" t="s">
        <v>86</v>
      </c>
      <c r="C70" s="47"/>
      <c r="D70" s="38"/>
      <c r="E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S70" s="39"/>
      <c r="T70" s="39"/>
      <c r="U70" s="39"/>
      <c r="V70" s="39"/>
      <c r="W70" s="39"/>
      <c r="X70" s="39"/>
      <c r="Y70" s="39"/>
      <c r="Z70" s="39"/>
      <c r="AA70" s="36"/>
    </row>
    <row r="71" spans="2:27" ht="12.75" customHeight="1">
      <c r="B71" s="104" t="s">
        <v>137</v>
      </c>
      <c r="C71" s="76">
        <v>302</v>
      </c>
      <c r="D71" s="76">
        <v>12.9</v>
      </c>
      <c r="E71" s="76">
        <v>4.0999999999999996</v>
      </c>
      <c r="G71" s="105">
        <v>302</v>
      </c>
      <c r="H71" s="105">
        <v>301.89999999999998</v>
      </c>
      <c r="I71" s="105">
        <v>299.3</v>
      </c>
      <c r="J71" s="82">
        <f t="shared" ref="J71:J75" si="135">D71</f>
        <v>12.9</v>
      </c>
      <c r="K71" s="105">
        <v>12.9</v>
      </c>
      <c r="L71" s="105">
        <v>12.8</v>
      </c>
      <c r="M71" s="105">
        <v>12.8</v>
      </c>
      <c r="N71" s="82">
        <f t="shared" ref="N71:N75" si="136">E71</f>
        <v>4.0999999999999996</v>
      </c>
      <c r="O71" s="105">
        <v>1.2</v>
      </c>
      <c r="P71" s="105">
        <v>1.1000000000000001</v>
      </c>
      <c r="Q71" s="105">
        <v>1.0349999999999999</v>
      </c>
      <c r="S71" s="30">
        <f t="shared" ref="S71:S75" si="137">K71</f>
        <v>12.9</v>
      </c>
      <c r="T71" s="30">
        <f t="shared" ref="T71:T75" si="138">L71</f>
        <v>12.8</v>
      </c>
      <c r="U71" s="30">
        <f t="shared" ref="U71:U75" si="139">M71</f>
        <v>12.8</v>
      </c>
      <c r="V71" s="30">
        <f t="shared" ref="V71:V75" si="140">N71</f>
        <v>4.0999999999999996</v>
      </c>
      <c r="W71" s="30">
        <f t="shared" ref="W71:W75" si="141">O71</f>
        <v>1.2</v>
      </c>
      <c r="X71" s="30">
        <f t="shared" ref="X71:X75" si="142">P71</f>
        <v>1.1000000000000001</v>
      </c>
      <c r="Y71" s="30">
        <f t="shared" ref="Y71:Y75" si="143">Q71</f>
        <v>1.0349999999999999</v>
      </c>
      <c r="Z71" s="39"/>
      <c r="AA71" s="68">
        <f>SUM(Y71/U71)-1</f>
        <v>-0.91914062500000004</v>
      </c>
    </row>
    <row r="72" spans="2:27" ht="12.75" customHeight="1">
      <c r="B72" s="104" t="s">
        <v>138</v>
      </c>
      <c r="C72" s="76">
        <v>224.8</v>
      </c>
      <c r="D72" s="76">
        <v>565.20000000000005</v>
      </c>
      <c r="E72" s="76">
        <v>595.4</v>
      </c>
      <c r="G72" s="105">
        <v>228.2</v>
      </c>
      <c r="H72" s="105">
        <v>231.6</v>
      </c>
      <c r="I72" s="105">
        <v>226</v>
      </c>
      <c r="J72" s="82">
        <f t="shared" si="135"/>
        <v>565.20000000000005</v>
      </c>
      <c r="K72" s="105">
        <v>558.9</v>
      </c>
      <c r="L72" s="105">
        <v>557.6</v>
      </c>
      <c r="M72" s="105">
        <v>572.4</v>
      </c>
      <c r="N72" s="82">
        <f t="shared" si="136"/>
        <v>595.4</v>
      </c>
      <c r="O72" s="105">
        <v>601.1</v>
      </c>
      <c r="P72" s="105">
        <v>618.1</v>
      </c>
      <c r="Q72" s="105">
        <v>617.81700000000001</v>
      </c>
      <c r="S72" s="30">
        <f t="shared" si="137"/>
        <v>558.9</v>
      </c>
      <c r="T72" s="30">
        <f t="shared" si="138"/>
        <v>557.6</v>
      </c>
      <c r="U72" s="30">
        <f t="shared" si="139"/>
        <v>572.4</v>
      </c>
      <c r="V72" s="30">
        <f t="shared" si="140"/>
        <v>595.4</v>
      </c>
      <c r="W72" s="30">
        <f t="shared" si="141"/>
        <v>601.1</v>
      </c>
      <c r="X72" s="30">
        <f t="shared" si="142"/>
        <v>618.1</v>
      </c>
      <c r="Y72" s="30">
        <f t="shared" si="143"/>
        <v>617.81700000000001</v>
      </c>
      <c r="Z72" s="39"/>
      <c r="AA72" s="68">
        <f t="shared" ref="AA72:AA73" si="144">SUM(Y72/U72)-1</f>
        <v>7.9344863731656279E-2</v>
      </c>
    </row>
    <row r="73" spans="2:27" ht="12.75" customHeight="1">
      <c r="B73" s="104" t="s">
        <v>139</v>
      </c>
      <c r="C73" s="76">
        <v>2298</v>
      </c>
      <c r="D73" s="76">
        <v>1641</v>
      </c>
      <c r="E73" s="76">
        <v>1349.3</v>
      </c>
      <c r="G73" s="105">
        <v>2250.3000000000002</v>
      </c>
      <c r="H73" s="105">
        <v>2007.5</v>
      </c>
      <c r="I73" s="105">
        <v>1918.7</v>
      </c>
      <c r="J73" s="82">
        <f t="shared" si="135"/>
        <v>1641</v>
      </c>
      <c r="K73" s="105">
        <v>1727.2</v>
      </c>
      <c r="L73" s="105">
        <v>1529.6</v>
      </c>
      <c r="M73" s="105">
        <v>1422</v>
      </c>
      <c r="N73" s="82">
        <f t="shared" si="136"/>
        <v>1349.3</v>
      </c>
      <c r="O73" s="105">
        <v>1481.7</v>
      </c>
      <c r="P73" s="105">
        <v>1379.1</v>
      </c>
      <c r="Q73" s="105">
        <v>1318.498</v>
      </c>
      <c r="S73" s="30">
        <f t="shared" si="137"/>
        <v>1727.2</v>
      </c>
      <c r="T73" s="30">
        <f t="shared" si="138"/>
        <v>1529.6</v>
      </c>
      <c r="U73" s="30">
        <f t="shared" si="139"/>
        <v>1422</v>
      </c>
      <c r="V73" s="30">
        <f t="shared" si="140"/>
        <v>1349.3</v>
      </c>
      <c r="W73" s="30">
        <f t="shared" si="141"/>
        <v>1481.7</v>
      </c>
      <c r="X73" s="30">
        <f t="shared" si="142"/>
        <v>1379.1</v>
      </c>
      <c r="Y73" s="30">
        <f t="shared" si="143"/>
        <v>1318.498</v>
      </c>
      <c r="Z73" s="39"/>
      <c r="AA73" s="68">
        <f t="shared" si="144"/>
        <v>-7.2786216596343101E-2</v>
      </c>
    </row>
    <row r="74" spans="2:27" ht="12.75" customHeight="1">
      <c r="B74" s="104" t="s">
        <v>140</v>
      </c>
      <c r="C74" s="76">
        <v>215.1</v>
      </c>
      <c r="D74" s="76">
        <v>269.8</v>
      </c>
      <c r="E74" s="76">
        <v>283.39999999999998</v>
      </c>
      <c r="G74" s="105">
        <v>209.8</v>
      </c>
      <c r="H74" s="105">
        <v>204.1</v>
      </c>
      <c r="I74" s="105">
        <v>286.89999999999998</v>
      </c>
      <c r="J74" s="82">
        <f t="shared" si="135"/>
        <v>269.8</v>
      </c>
      <c r="K74" s="105">
        <v>267.8</v>
      </c>
      <c r="L74" s="105">
        <v>277.10000000000002</v>
      </c>
      <c r="M74" s="105">
        <v>285.2</v>
      </c>
      <c r="N74" s="82">
        <f t="shared" si="136"/>
        <v>283.39999999999998</v>
      </c>
      <c r="O74" s="105">
        <v>303.3</v>
      </c>
      <c r="P74" s="105">
        <v>311.5</v>
      </c>
      <c r="Q74" s="105">
        <v>303.05900000000003</v>
      </c>
      <c r="S74" s="30">
        <f t="shared" si="137"/>
        <v>267.8</v>
      </c>
      <c r="T74" s="30">
        <f t="shared" si="138"/>
        <v>277.10000000000002</v>
      </c>
      <c r="U74" s="30">
        <f t="shared" si="139"/>
        <v>285.2</v>
      </c>
      <c r="V74" s="30">
        <f t="shared" si="140"/>
        <v>283.39999999999998</v>
      </c>
      <c r="W74" s="30">
        <f t="shared" si="141"/>
        <v>303.3</v>
      </c>
      <c r="X74" s="30">
        <f t="shared" si="142"/>
        <v>311.5</v>
      </c>
      <c r="Y74" s="30">
        <f t="shared" si="143"/>
        <v>303.05900000000003</v>
      </c>
      <c r="Z74" s="39"/>
      <c r="AA74" s="68">
        <f>SUM(Y74/U74)-1</f>
        <v>6.2619214586255412E-2</v>
      </c>
    </row>
    <row r="75" spans="2:27" ht="12.75" customHeight="1">
      <c r="B75" s="104" t="s">
        <v>141</v>
      </c>
      <c r="C75" s="76">
        <v>2.6</v>
      </c>
      <c r="D75" s="76">
        <v>2.8</v>
      </c>
      <c r="E75" s="76">
        <v>3.9</v>
      </c>
      <c r="G75" s="105">
        <v>2.5</v>
      </c>
      <c r="H75" s="105">
        <v>2.4</v>
      </c>
      <c r="I75" s="105">
        <v>2.2999999999999998</v>
      </c>
      <c r="J75" s="82">
        <f t="shared" si="135"/>
        <v>2.8</v>
      </c>
      <c r="K75" s="105">
        <v>3.3</v>
      </c>
      <c r="L75" s="105">
        <v>3.1</v>
      </c>
      <c r="M75" s="105">
        <v>3.2</v>
      </c>
      <c r="N75" s="82">
        <f t="shared" si="136"/>
        <v>3.9</v>
      </c>
      <c r="O75" s="105">
        <v>4</v>
      </c>
      <c r="P75" s="105">
        <v>4.7</v>
      </c>
      <c r="Q75" s="105">
        <v>4.4800000000000004</v>
      </c>
      <c r="S75" s="30">
        <f t="shared" si="137"/>
        <v>3.3</v>
      </c>
      <c r="T75" s="30">
        <f t="shared" si="138"/>
        <v>3.1</v>
      </c>
      <c r="U75" s="30">
        <f t="shared" si="139"/>
        <v>3.2</v>
      </c>
      <c r="V75" s="30">
        <f t="shared" si="140"/>
        <v>3.9</v>
      </c>
      <c r="W75" s="30">
        <f t="shared" si="141"/>
        <v>4</v>
      </c>
      <c r="X75" s="30">
        <f t="shared" si="142"/>
        <v>4.7</v>
      </c>
      <c r="Y75" s="30">
        <f t="shared" si="143"/>
        <v>4.4800000000000004</v>
      </c>
      <c r="Z75" s="39"/>
      <c r="AA75" s="68">
        <f>SUM(Y75/U75)-1</f>
        <v>0.40000000000000013</v>
      </c>
    </row>
    <row r="76" spans="2:27" ht="12.75" customHeight="1">
      <c r="B76" s="12" t="s">
        <v>17</v>
      </c>
      <c r="C76" s="13">
        <f>SUM(C71:C75)+C68</f>
        <v>3683.8</v>
      </c>
      <c r="D76" s="13">
        <f>SUM(D71:D75)+D68</f>
        <v>3190.1000000000004</v>
      </c>
      <c r="E76" s="13">
        <f>SUM(E71:E75)+E68</f>
        <v>2976.4</v>
      </c>
      <c r="G76" s="13">
        <f t="shared" ref="G76:Q76" si="145">SUM(G71:G75)+G68</f>
        <v>3627.2000000000003</v>
      </c>
      <c r="H76" s="13">
        <f t="shared" si="145"/>
        <v>3413.4</v>
      </c>
      <c r="I76" s="13">
        <f t="shared" si="145"/>
        <v>3381.1000000000004</v>
      </c>
      <c r="J76" s="13">
        <f t="shared" si="145"/>
        <v>3190.1000000000004</v>
      </c>
      <c r="K76" s="13">
        <f t="shared" si="145"/>
        <v>3198.7000000000003</v>
      </c>
      <c r="L76" s="13">
        <f t="shared" si="145"/>
        <v>3066.7</v>
      </c>
      <c r="M76" s="13">
        <f t="shared" si="145"/>
        <v>2988.2999999999993</v>
      </c>
      <c r="N76" s="13">
        <f t="shared" si="145"/>
        <v>2976.4</v>
      </c>
      <c r="O76" s="13">
        <f t="shared" si="145"/>
        <v>3096.5</v>
      </c>
      <c r="P76" s="13">
        <f t="shared" si="145"/>
        <v>3029.3</v>
      </c>
      <c r="Q76" s="13">
        <f t="shared" si="145"/>
        <v>2936.6240000000003</v>
      </c>
      <c r="S76" s="13">
        <f t="shared" ref="S76:Y76" si="146">SUM(S71:S75)+S68</f>
        <v>3198.7000000000003</v>
      </c>
      <c r="T76" s="13">
        <f t="shared" si="146"/>
        <v>3066.7</v>
      </c>
      <c r="U76" s="13">
        <f t="shared" si="146"/>
        <v>2988.2999999999993</v>
      </c>
      <c r="V76" s="13">
        <f t="shared" si="146"/>
        <v>2976.4</v>
      </c>
      <c r="W76" s="13">
        <f t="shared" si="146"/>
        <v>3096.5</v>
      </c>
      <c r="X76" s="13">
        <f t="shared" si="146"/>
        <v>3029.3</v>
      </c>
      <c r="Y76" s="13">
        <f t="shared" si="146"/>
        <v>2936.6240000000003</v>
      </c>
      <c r="Z76" s="39"/>
      <c r="AA76" s="69">
        <f>SUM(Y76/U76)-1</f>
        <v>-1.7292775156443119E-2</v>
      </c>
    </row>
    <row r="77" spans="2:27" ht="5.0999999999999996" customHeight="1">
      <c r="B77" s="23"/>
      <c r="C77" s="46"/>
      <c r="D77" s="38"/>
      <c r="E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S77" s="39"/>
      <c r="T77" s="39"/>
      <c r="U77" s="39"/>
      <c r="V77" s="39"/>
      <c r="W77" s="39"/>
      <c r="X77" s="39"/>
      <c r="Y77" s="39"/>
      <c r="Z77" s="39"/>
      <c r="AA77" s="36"/>
    </row>
    <row r="78" spans="2:27" ht="12.75" customHeight="1">
      <c r="B78" s="104" t="s">
        <v>117</v>
      </c>
      <c r="C78" s="76">
        <v>0.11</v>
      </c>
      <c r="D78" s="76">
        <v>0.11</v>
      </c>
      <c r="E78" s="76">
        <v>0.11</v>
      </c>
      <c r="G78" s="76">
        <v>0.11</v>
      </c>
      <c r="H78" s="76">
        <v>0.11</v>
      </c>
      <c r="I78" s="76">
        <v>0.11</v>
      </c>
      <c r="J78" s="82">
        <f t="shared" ref="J78:J82" si="147">D78</f>
        <v>0.11</v>
      </c>
      <c r="K78" s="105">
        <v>0.11</v>
      </c>
      <c r="L78" s="105">
        <v>0.11</v>
      </c>
      <c r="M78" s="105">
        <v>0.11</v>
      </c>
      <c r="N78" s="82">
        <f t="shared" ref="N78:N79" si="148">E78</f>
        <v>0.11</v>
      </c>
      <c r="O78" s="105">
        <v>0.111</v>
      </c>
      <c r="P78" s="105">
        <v>0.111</v>
      </c>
      <c r="Q78" s="105">
        <v>0.111</v>
      </c>
      <c r="R78" s="105"/>
      <c r="S78" s="30">
        <f t="shared" ref="S78:S82" si="149">K78</f>
        <v>0.11</v>
      </c>
      <c r="T78" s="30">
        <f t="shared" ref="T78:T82" si="150">L78</f>
        <v>0.11</v>
      </c>
      <c r="U78" s="30">
        <f t="shared" ref="U78:U82" si="151">M78</f>
        <v>0.11</v>
      </c>
      <c r="V78" s="30">
        <f t="shared" ref="V78:V82" si="152">N78</f>
        <v>0.11</v>
      </c>
      <c r="W78" s="30">
        <f t="shared" ref="W78:W82" si="153">O78</f>
        <v>0.111</v>
      </c>
      <c r="X78" s="30">
        <f t="shared" ref="X78:X82" si="154">P78</f>
        <v>0.111</v>
      </c>
      <c r="Y78" s="30">
        <f t="shared" ref="Y78:Y82" si="155">Q78</f>
        <v>0.111</v>
      </c>
      <c r="Z78" s="11"/>
      <c r="AA78" s="68">
        <f t="shared" ref="AA78:AA84" si="156">SUM(Y78/U78)-1</f>
        <v>9.0909090909090384E-3</v>
      </c>
    </row>
    <row r="79" spans="2:27" ht="12.75" customHeight="1">
      <c r="B79" s="104" t="s">
        <v>118</v>
      </c>
      <c r="C79" s="105">
        <v>-1695.501</v>
      </c>
      <c r="D79" s="76">
        <v>-1888.8689999999999</v>
      </c>
      <c r="E79" s="76">
        <v>-2453.473</v>
      </c>
      <c r="G79" s="105">
        <v>-1705.896</v>
      </c>
      <c r="H79" s="105">
        <v>-1707.136</v>
      </c>
      <c r="I79" s="105">
        <v>-1863.567</v>
      </c>
      <c r="J79" s="82">
        <f t="shared" si="147"/>
        <v>-1888.8689999999999</v>
      </c>
      <c r="K79" s="105">
        <v>-1894.7819999999999</v>
      </c>
      <c r="L79" s="105">
        <v>-2071.2890000000002</v>
      </c>
      <c r="M79" s="105">
        <v>-2226.1930000000002</v>
      </c>
      <c r="N79" s="82">
        <f>E79</f>
        <v>-2453.473</v>
      </c>
      <c r="O79" s="105">
        <v>-2518.0650000000001</v>
      </c>
      <c r="P79" s="105">
        <v>-2653.4229999999998</v>
      </c>
      <c r="Q79" s="105">
        <v>-2858.413</v>
      </c>
      <c r="S79" s="30">
        <f t="shared" si="149"/>
        <v>-1894.7819999999999</v>
      </c>
      <c r="T79" s="30">
        <f t="shared" si="150"/>
        <v>-2071.2890000000002</v>
      </c>
      <c r="U79" s="30">
        <f t="shared" si="151"/>
        <v>-2226.1930000000002</v>
      </c>
      <c r="V79" s="30">
        <f t="shared" si="152"/>
        <v>-2453.473</v>
      </c>
      <c r="W79" s="30">
        <f t="shared" si="153"/>
        <v>-2518.0650000000001</v>
      </c>
      <c r="X79" s="30">
        <f t="shared" si="154"/>
        <v>-2653.4229999999998</v>
      </c>
      <c r="Y79" s="30">
        <f t="shared" si="155"/>
        <v>-2858.413</v>
      </c>
      <c r="Z79" s="11"/>
      <c r="AA79" s="68">
        <f t="shared" si="156"/>
        <v>0.28399154969941942</v>
      </c>
    </row>
    <row r="80" spans="2:27" ht="12.75" customHeight="1">
      <c r="B80" s="104" t="s">
        <v>119</v>
      </c>
      <c r="C80" s="105">
        <v>797.61400000000003</v>
      </c>
      <c r="D80" s="76">
        <v>826.68499999999995</v>
      </c>
      <c r="E80" s="76">
        <v>859.904</v>
      </c>
      <c r="G80" s="105">
        <v>805.07799999999997</v>
      </c>
      <c r="H80" s="105">
        <v>813.46600000000001</v>
      </c>
      <c r="I80" s="105">
        <v>821.12</v>
      </c>
      <c r="J80" s="82">
        <f t="shared" si="147"/>
        <v>826.68499999999995</v>
      </c>
      <c r="K80" s="105">
        <v>834.43299999999999</v>
      </c>
      <c r="L80" s="105">
        <v>844.59500000000003</v>
      </c>
      <c r="M80" s="105">
        <v>851.22799999999995</v>
      </c>
      <c r="N80" s="82">
        <f>E80</f>
        <v>859.904</v>
      </c>
      <c r="O80" s="105">
        <v>868.68100000000004</v>
      </c>
      <c r="P80" s="105">
        <v>879.94</v>
      </c>
      <c r="Q80" s="105">
        <v>888.41600000000005</v>
      </c>
      <c r="S80" s="30">
        <f t="shared" si="149"/>
        <v>834.43299999999999</v>
      </c>
      <c r="T80" s="30">
        <f t="shared" si="150"/>
        <v>844.59500000000003</v>
      </c>
      <c r="U80" s="30">
        <f t="shared" si="151"/>
        <v>851.22799999999995</v>
      </c>
      <c r="V80" s="30">
        <f t="shared" si="152"/>
        <v>859.904</v>
      </c>
      <c r="W80" s="30">
        <f t="shared" si="153"/>
        <v>868.68100000000004</v>
      </c>
      <c r="X80" s="30">
        <f t="shared" si="154"/>
        <v>879.94</v>
      </c>
      <c r="Y80" s="30">
        <f t="shared" si="155"/>
        <v>888.41600000000005</v>
      </c>
      <c r="Z80" s="11"/>
      <c r="AA80" s="68">
        <f t="shared" si="156"/>
        <v>4.3687472686518847E-2</v>
      </c>
    </row>
    <row r="81" spans="1:27" ht="12.75" customHeight="1">
      <c r="B81" s="104" t="s">
        <v>120</v>
      </c>
      <c r="C81" s="105">
        <v>1819.1990000000001</v>
      </c>
      <c r="D81" s="76">
        <v>2611.7649999999999</v>
      </c>
      <c r="E81" s="76">
        <v>3561.8359999999998</v>
      </c>
      <c r="G81" s="105">
        <v>1968.742</v>
      </c>
      <c r="H81" s="105">
        <v>2181.154</v>
      </c>
      <c r="I81" s="105">
        <v>2358.1790000000001</v>
      </c>
      <c r="J81" s="82">
        <f t="shared" si="147"/>
        <v>2611.7649999999999</v>
      </c>
      <c r="K81" s="105">
        <v>2764.2190000000001</v>
      </c>
      <c r="L81" s="105">
        <v>2993.1260000000002</v>
      </c>
      <c r="M81" s="105">
        <v>3192.9270000000001</v>
      </c>
      <c r="N81" s="82">
        <f>E81</f>
        <v>3561.8359999999998</v>
      </c>
      <c r="O81" s="105">
        <v>3721.9389999999999</v>
      </c>
      <c r="P81" s="105">
        <v>3229.6570000000002</v>
      </c>
      <c r="Q81" s="105">
        <v>3375.473</v>
      </c>
      <c r="S81" s="30">
        <f t="shared" si="149"/>
        <v>2764.2190000000001</v>
      </c>
      <c r="T81" s="30">
        <f t="shared" si="150"/>
        <v>2993.1260000000002</v>
      </c>
      <c r="U81" s="30">
        <f t="shared" si="151"/>
        <v>3192.9270000000001</v>
      </c>
      <c r="V81" s="30">
        <f t="shared" si="152"/>
        <v>3561.8359999999998</v>
      </c>
      <c r="W81" s="30">
        <f t="shared" si="153"/>
        <v>3721.9389999999999</v>
      </c>
      <c r="X81" s="30">
        <f t="shared" si="154"/>
        <v>3229.6570000000002</v>
      </c>
      <c r="Y81" s="30">
        <f t="shared" si="155"/>
        <v>3375.473</v>
      </c>
      <c r="Z81" s="11"/>
      <c r="AA81" s="68">
        <f t="shared" si="156"/>
        <v>5.717199297071307E-2</v>
      </c>
    </row>
    <row r="82" spans="1:27" ht="12.75" customHeight="1">
      <c r="B82" s="104" t="s">
        <v>121</v>
      </c>
      <c r="C82" s="105">
        <v>-103.491</v>
      </c>
      <c r="D82" s="76">
        <v>-95.768000000000001</v>
      </c>
      <c r="E82" s="76">
        <v>-132.64500000000001</v>
      </c>
      <c r="G82" s="105">
        <v>-99.534000000000006</v>
      </c>
      <c r="H82" s="105">
        <v>-97.903999999999996</v>
      </c>
      <c r="I82" s="105">
        <v>-115.584</v>
      </c>
      <c r="J82" s="82">
        <f>D82</f>
        <v>-95.768000000000001</v>
      </c>
      <c r="K82" s="105">
        <v>-106.925</v>
      </c>
      <c r="L82" s="105">
        <v>-113.331</v>
      </c>
      <c r="M82" s="105">
        <v>-92.953999999999994</v>
      </c>
      <c r="N82" s="82">
        <f>E82</f>
        <v>-132.64500000000001</v>
      </c>
      <c r="O82" s="105">
        <v>-103.07299999999999</v>
      </c>
      <c r="P82" s="105">
        <v>-35.148000000000003</v>
      </c>
      <c r="Q82" s="105">
        <v>-42.447000000000003</v>
      </c>
      <c r="S82" s="30">
        <f t="shared" si="149"/>
        <v>-106.925</v>
      </c>
      <c r="T82" s="30">
        <f t="shared" si="150"/>
        <v>-113.331</v>
      </c>
      <c r="U82" s="30">
        <f t="shared" si="151"/>
        <v>-92.953999999999994</v>
      </c>
      <c r="V82" s="30">
        <f t="shared" si="152"/>
        <v>-132.64500000000001</v>
      </c>
      <c r="W82" s="30">
        <f t="shared" si="153"/>
        <v>-103.07299999999999</v>
      </c>
      <c r="X82" s="30">
        <f t="shared" si="154"/>
        <v>-35.148000000000003</v>
      </c>
      <c r="Y82" s="30">
        <f t="shared" si="155"/>
        <v>-42.447000000000003</v>
      </c>
      <c r="Z82" s="11"/>
      <c r="AA82" s="68">
        <f t="shared" si="156"/>
        <v>-0.54335477763194695</v>
      </c>
    </row>
    <row r="83" spans="1:27" ht="12.75" customHeight="1">
      <c r="B83" s="12" t="s">
        <v>16</v>
      </c>
      <c r="C83" s="13">
        <f t="shared" ref="C83:E83" si="157">SUM(C78:C82)</f>
        <v>817.93100000000004</v>
      </c>
      <c r="D83" s="13">
        <f t="shared" si="157"/>
        <v>1453.9229999999998</v>
      </c>
      <c r="E83" s="13">
        <f t="shared" si="157"/>
        <v>1835.732</v>
      </c>
      <c r="F83" s="48"/>
      <c r="G83" s="13">
        <f t="shared" ref="G83:P83" si="158">SUM(G78:G82)</f>
        <v>968.49999999999989</v>
      </c>
      <c r="H83" s="13">
        <f t="shared" si="158"/>
        <v>1189.69</v>
      </c>
      <c r="I83" s="13">
        <f t="shared" si="158"/>
        <v>1200.258</v>
      </c>
      <c r="J83" s="13">
        <f t="shared" si="158"/>
        <v>1453.9229999999998</v>
      </c>
      <c r="K83" s="13">
        <f t="shared" si="158"/>
        <v>1597.0550000000001</v>
      </c>
      <c r="L83" s="13">
        <f t="shared" si="158"/>
        <v>1653.2110000000002</v>
      </c>
      <c r="M83" s="13">
        <f t="shared" si="158"/>
        <v>1725.1180000000002</v>
      </c>
      <c r="N83" s="13">
        <f t="shared" si="158"/>
        <v>1835.732</v>
      </c>
      <c r="O83" s="13">
        <f t="shared" si="158"/>
        <v>1969.5929999999996</v>
      </c>
      <c r="P83" s="13">
        <f t="shared" si="158"/>
        <v>1421.1370000000004</v>
      </c>
      <c r="Q83" s="13">
        <f t="shared" ref="Q83" si="159">SUM(Q78:Q82)</f>
        <v>1363.1399999999999</v>
      </c>
      <c r="S83" s="13">
        <f t="shared" ref="S83:Y83" si="160">SUM(S78:S82)</f>
        <v>1597.0550000000001</v>
      </c>
      <c r="T83" s="13">
        <f t="shared" si="160"/>
        <v>1653.2110000000002</v>
      </c>
      <c r="U83" s="13">
        <f t="shared" si="160"/>
        <v>1725.1180000000002</v>
      </c>
      <c r="V83" s="13">
        <f t="shared" si="160"/>
        <v>1835.732</v>
      </c>
      <c r="W83" s="13">
        <f t="shared" si="160"/>
        <v>1969.5929999999996</v>
      </c>
      <c r="X83" s="13">
        <f t="shared" si="160"/>
        <v>1421.1370000000004</v>
      </c>
      <c r="Y83" s="13">
        <f t="shared" si="160"/>
        <v>1363.1399999999999</v>
      </c>
      <c r="Z83" s="39"/>
      <c r="AA83" s="69">
        <f t="shared" si="156"/>
        <v>-0.20982796539135307</v>
      </c>
    </row>
    <row r="84" spans="1:27" ht="12.75" customHeight="1">
      <c r="B84" s="23" t="s">
        <v>52</v>
      </c>
      <c r="C84" s="30">
        <f t="shared" ref="C84:E84" si="161">SUM(C83+C76)</f>
        <v>4501.7309999999998</v>
      </c>
      <c r="D84" s="30">
        <f t="shared" si="161"/>
        <v>4644.0230000000001</v>
      </c>
      <c r="E84" s="30">
        <f t="shared" si="161"/>
        <v>4812.1319999999996</v>
      </c>
      <c r="F84" s="30"/>
      <c r="G84" s="30">
        <f t="shared" ref="G84:P84" si="162">SUM(G83+G76)</f>
        <v>4595.7</v>
      </c>
      <c r="H84" s="30">
        <f t="shared" si="162"/>
        <v>4603.09</v>
      </c>
      <c r="I84" s="30">
        <f t="shared" si="162"/>
        <v>4581.3580000000002</v>
      </c>
      <c r="J84" s="30">
        <f t="shared" si="162"/>
        <v>4644.0230000000001</v>
      </c>
      <c r="K84" s="30">
        <f t="shared" si="162"/>
        <v>4795.7550000000001</v>
      </c>
      <c r="L84" s="30">
        <f t="shared" si="162"/>
        <v>4719.9110000000001</v>
      </c>
      <c r="M84" s="30">
        <f t="shared" si="162"/>
        <v>4713.4179999999997</v>
      </c>
      <c r="N84" s="30">
        <f t="shared" si="162"/>
        <v>4812.1319999999996</v>
      </c>
      <c r="O84" s="30">
        <f t="shared" si="162"/>
        <v>5066.0929999999998</v>
      </c>
      <c r="P84" s="30">
        <f t="shared" si="162"/>
        <v>4450.4370000000008</v>
      </c>
      <c r="Q84" s="30">
        <f t="shared" ref="Q84" si="163">SUM(Q83+Q76)</f>
        <v>4299.7640000000001</v>
      </c>
      <c r="R84" s="30"/>
      <c r="S84" s="30">
        <f t="shared" ref="S84:Y84" si="164">SUM(S83+S76)</f>
        <v>4795.7550000000001</v>
      </c>
      <c r="T84" s="30">
        <f t="shared" si="164"/>
        <v>4719.9110000000001</v>
      </c>
      <c r="U84" s="30">
        <f t="shared" si="164"/>
        <v>4713.4179999999997</v>
      </c>
      <c r="V84" s="30">
        <f t="shared" si="164"/>
        <v>4812.1319999999996</v>
      </c>
      <c r="W84" s="30">
        <f t="shared" si="164"/>
        <v>5066.0929999999998</v>
      </c>
      <c r="X84" s="30">
        <f t="shared" si="164"/>
        <v>4450.4370000000008</v>
      </c>
      <c r="Y84" s="30">
        <f t="shared" si="164"/>
        <v>4299.7640000000001</v>
      </c>
      <c r="Z84" s="11"/>
      <c r="AA84" s="69">
        <f t="shared" si="156"/>
        <v>-8.7760941210815457E-2</v>
      </c>
    </row>
    <row r="85" spans="1:27" ht="5.0999999999999996" customHeight="1">
      <c r="B85" s="23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11"/>
    </row>
    <row r="86" spans="1:27" ht="12.75" customHeight="1">
      <c r="B86" s="62" t="s">
        <v>63</v>
      </c>
      <c r="C86" s="63">
        <f>ROUND(C84-C60,-1)</f>
        <v>0</v>
      </c>
      <c r="D86" s="63">
        <f t="shared" ref="D86:Y86" si="165">ROUND(D84-D60,-1)</f>
        <v>0</v>
      </c>
      <c r="E86" s="63">
        <f t="shared" si="165"/>
        <v>0</v>
      </c>
      <c r="F86" s="64"/>
      <c r="G86" s="63">
        <f t="shared" si="165"/>
        <v>0</v>
      </c>
      <c r="H86" s="63">
        <f t="shared" si="165"/>
        <v>0</v>
      </c>
      <c r="I86" s="63">
        <f t="shared" si="165"/>
        <v>0</v>
      </c>
      <c r="J86" s="63">
        <f t="shared" si="165"/>
        <v>0</v>
      </c>
      <c r="K86" s="63">
        <f t="shared" si="165"/>
        <v>0</v>
      </c>
      <c r="L86" s="63">
        <f t="shared" si="165"/>
        <v>0</v>
      </c>
      <c r="M86" s="63">
        <f t="shared" si="165"/>
        <v>0</v>
      </c>
      <c r="N86" s="63">
        <f t="shared" si="165"/>
        <v>0</v>
      </c>
      <c r="O86" s="63">
        <f t="shared" si="165"/>
        <v>0</v>
      </c>
      <c r="P86" s="63">
        <f t="shared" si="165"/>
        <v>0</v>
      </c>
      <c r="Q86" s="63">
        <f t="shared" ref="Q86" si="166">ROUND(Q84-Q60,-1)</f>
        <v>0</v>
      </c>
      <c r="R86" s="26"/>
      <c r="S86" s="63">
        <f t="shared" si="165"/>
        <v>0</v>
      </c>
      <c r="T86" s="63">
        <f t="shared" si="165"/>
        <v>0</v>
      </c>
      <c r="U86" s="63">
        <f t="shared" si="165"/>
        <v>0</v>
      </c>
      <c r="V86" s="63">
        <f t="shared" si="165"/>
        <v>0</v>
      </c>
      <c r="W86" s="63">
        <f t="shared" si="165"/>
        <v>0</v>
      </c>
      <c r="X86" s="63">
        <f t="shared" si="165"/>
        <v>0</v>
      </c>
      <c r="Y86" s="63">
        <f t="shared" si="165"/>
        <v>0</v>
      </c>
    </row>
    <row r="87" spans="1:27" ht="5.0999999999999996" customHeight="1" thickBot="1">
      <c r="B87" s="100"/>
      <c r="C87" s="101"/>
      <c r="D87" s="101"/>
      <c r="E87" s="101"/>
      <c r="F87" s="102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3"/>
      <c r="S87" s="101"/>
      <c r="T87" s="101"/>
      <c r="U87" s="101"/>
      <c r="V87" s="101"/>
      <c r="W87" s="101"/>
      <c r="X87" s="101"/>
      <c r="Y87" s="101"/>
      <c r="Z87" s="66"/>
      <c r="AA87" s="66"/>
    </row>
    <row r="88" spans="1:27">
      <c r="B88" s="61"/>
      <c r="C88" s="22"/>
      <c r="D88" s="22"/>
      <c r="E88" s="22"/>
      <c r="F88" s="49"/>
    </row>
    <row r="89" spans="1:27" ht="12.75" customHeight="1">
      <c r="A89" s="5" t="s">
        <v>18</v>
      </c>
      <c r="B89" s="83" t="s">
        <v>15</v>
      </c>
      <c r="C89" s="87" t="s">
        <v>0</v>
      </c>
      <c r="D89" s="87"/>
      <c r="E89" s="87"/>
      <c r="F89" s="88"/>
      <c r="G89" s="87"/>
      <c r="H89" s="87"/>
      <c r="I89" s="87"/>
      <c r="J89" s="87"/>
      <c r="K89" s="87"/>
      <c r="L89" s="87"/>
      <c r="M89" s="87" t="s">
        <v>1</v>
      </c>
      <c r="N89" s="87"/>
      <c r="O89" s="87"/>
      <c r="P89" s="87"/>
      <c r="Q89" s="87"/>
      <c r="R89" s="83"/>
      <c r="S89" s="87"/>
      <c r="T89" s="87"/>
      <c r="U89" s="87" t="s">
        <v>10</v>
      </c>
      <c r="V89" s="87"/>
      <c r="W89" s="87"/>
      <c r="X89" s="87"/>
      <c r="Y89" s="87"/>
      <c r="Z89" s="88"/>
      <c r="AA89" s="134" t="s">
        <v>24</v>
      </c>
    </row>
    <row r="90" spans="1:27" ht="12.75" customHeight="1">
      <c r="B90" s="84" t="str">
        <f t="shared" ref="B90:E91" si="167">B7</f>
        <v>Fiscal Period</v>
      </c>
      <c r="C90" s="89">
        <f t="shared" si="167"/>
        <v>2022</v>
      </c>
      <c r="D90" s="89">
        <f t="shared" si="167"/>
        <v>2023</v>
      </c>
      <c r="E90" s="89">
        <f t="shared" si="167"/>
        <v>2024</v>
      </c>
      <c r="F90" s="88"/>
      <c r="G90" s="89" t="str">
        <f t="shared" ref="G90:P90" si="168">G7</f>
        <v>1Q23</v>
      </c>
      <c r="H90" s="89" t="str">
        <f t="shared" si="168"/>
        <v>2Q23</v>
      </c>
      <c r="I90" s="89" t="str">
        <f t="shared" si="168"/>
        <v>3Q23</v>
      </c>
      <c r="J90" s="89" t="str">
        <f t="shared" si="168"/>
        <v>4Q23</v>
      </c>
      <c r="K90" s="89" t="str">
        <f t="shared" si="168"/>
        <v>1Q24</v>
      </c>
      <c r="L90" s="89" t="str">
        <f t="shared" si="168"/>
        <v>2Q24</v>
      </c>
      <c r="M90" s="89" t="str">
        <f t="shared" si="168"/>
        <v>3Q24</v>
      </c>
      <c r="N90" s="89" t="str">
        <f t="shared" si="168"/>
        <v>4Q24</v>
      </c>
      <c r="O90" s="89" t="str">
        <f t="shared" si="168"/>
        <v>1Q25</v>
      </c>
      <c r="P90" s="89" t="str">
        <f t="shared" si="168"/>
        <v>2Q25</v>
      </c>
      <c r="Q90" s="89" t="str">
        <f t="shared" ref="Q90" si="169">Q7</f>
        <v>3Q25</v>
      </c>
      <c r="R90" s="89"/>
      <c r="S90" s="89" t="str">
        <f t="shared" ref="S90:Y91" si="170">S7</f>
        <v>1Q24</v>
      </c>
      <c r="T90" s="89" t="str">
        <f t="shared" si="170"/>
        <v>2Q24</v>
      </c>
      <c r="U90" s="89" t="str">
        <f t="shared" si="170"/>
        <v>3Q24</v>
      </c>
      <c r="V90" s="89" t="str">
        <f t="shared" si="170"/>
        <v>4Q24</v>
      </c>
      <c r="W90" s="89" t="str">
        <f t="shared" si="170"/>
        <v>1Q25</v>
      </c>
      <c r="X90" s="89" t="str">
        <f t="shared" si="170"/>
        <v>2Q25</v>
      </c>
      <c r="Y90" s="89" t="str">
        <f t="shared" si="170"/>
        <v>3Q25</v>
      </c>
      <c r="Z90" s="88"/>
      <c r="AA90" s="134"/>
    </row>
    <row r="91" spans="1:27" ht="12.75" customHeight="1">
      <c r="B91" s="84" t="str">
        <f t="shared" si="167"/>
        <v>Fiscal Period End Date</v>
      </c>
      <c r="C91" s="90">
        <f t="shared" si="167"/>
        <v>44926</v>
      </c>
      <c r="D91" s="90">
        <f t="shared" si="167"/>
        <v>45291</v>
      </c>
      <c r="E91" s="90">
        <f t="shared" si="167"/>
        <v>45657</v>
      </c>
      <c r="F91" s="88"/>
      <c r="G91" s="90">
        <f t="shared" ref="G91:P91" si="171">G8</f>
        <v>45016</v>
      </c>
      <c r="H91" s="90">
        <f t="shared" si="171"/>
        <v>45107</v>
      </c>
      <c r="I91" s="90">
        <f t="shared" si="171"/>
        <v>45199</v>
      </c>
      <c r="J91" s="90">
        <f t="shared" si="171"/>
        <v>45291</v>
      </c>
      <c r="K91" s="90">
        <f t="shared" si="171"/>
        <v>45382</v>
      </c>
      <c r="L91" s="90">
        <f t="shared" si="171"/>
        <v>45473</v>
      </c>
      <c r="M91" s="90">
        <f t="shared" si="171"/>
        <v>45565</v>
      </c>
      <c r="N91" s="90">
        <f t="shared" si="171"/>
        <v>45657</v>
      </c>
      <c r="O91" s="90">
        <f t="shared" si="171"/>
        <v>45747</v>
      </c>
      <c r="P91" s="90">
        <f t="shared" si="171"/>
        <v>45838</v>
      </c>
      <c r="Q91" s="90">
        <f t="shared" ref="Q91" si="172">Q8</f>
        <v>45930</v>
      </c>
      <c r="R91" s="90"/>
      <c r="S91" s="90">
        <f t="shared" si="170"/>
        <v>45382</v>
      </c>
      <c r="T91" s="90">
        <f t="shared" si="170"/>
        <v>45473</v>
      </c>
      <c r="U91" s="90">
        <f t="shared" si="170"/>
        <v>45565</v>
      </c>
      <c r="V91" s="90">
        <f t="shared" si="170"/>
        <v>45657</v>
      </c>
      <c r="W91" s="90">
        <f t="shared" si="170"/>
        <v>45747</v>
      </c>
      <c r="X91" s="90">
        <f t="shared" si="170"/>
        <v>45838</v>
      </c>
      <c r="Y91" s="90">
        <f t="shared" si="170"/>
        <v>45930</v>
      </c>
      <c r="Z91" s="88"/>
      <c r="AA91" s="134"/>
    </row>
    <row r="92" spans="1:27" ht="5.0999999999999996" customHeight="1">
      <c r="B92" s="50"/>
      <c r="C92" s="44"/>
      <c r="D92" s="44"/>
      <c r="E92" s="44"/>
    </row>
    <row r="93" spans="1:27" ht="12.75" customHeight="1">
      <c r="B93" s="51" t="s">
        <v>53</v>
      </c>
      <c r="C93" s="52"/>
      <c r="D93" s="52"/>
      <c r="E93" s="52"/>
    </row>
    <row r="94" spans="1:27" ht="12.75" customHeight="1">
      <c r="B94" s="53" t="s">
        <v>54</v>
      </c>
      <c r="C94" s="30">
        <f>C30</f>
        <v>540.20000000000005</v>
      </c>
      <c r="D94" s="30">
        <f>D30</f>
        <v>792.59999999999991</v>
      </c>
      <c r="E94" s="30">
        <f>E30</f>
        <v>950.00000000000034</v>
      </c>
      <c r="F94" s="30"/>
      <c r="G94" s="30">
        <f t="shared" ref="G94:P94" si="173">G30</f>
        <v>149.70000000000005</v>
      </c>
      <c r="H94" s="30">
        <f t="shared" si="173"/>
        <v>212.40000000000003</v>
      </c>
      <c r="I94" s="30">
        <f t="shared" si="173"/>
        <v>176.9</v>
      </c>
      <c r="J94" s="30">
        <f t="shared" si="173"/>
        <v>253.60000000000002</v>
      </c>
      <c r="K94" s="30">
        <f t="shared" si="173"/>
        <v>152.29999999999998</v>
      </c>
      <c r="L94" s="30">
        <f t="shared" si="173"/>
        <v>228.8</v>
      </c>
      <c r="M94" s="30">
        <f t="shared" si="173"/>
        <v>199.80000000000007</v>
      </c>
      <c r="N94" s="30">
        <f t="shared" si="173"/>
        <v>369.1</v>
      </c>
      <c r="O94" s="30">
        <f t="shared" si="173"/>
        <v>160</v>
      </c>
      <c r="P94" s="30">
        <f t="shared" si="173"/>
        <v>-492.19999999999987</v>
      </c>
      <c r="Q94" s="30">
        <f t="shared" ref="Q94" si="174">Q30</f>
        <v>145.81600000000003</v>
      </c>
      <c r="S94" s="30">
        <f t="shared" ref="S94" si="175">SUM(H94:K94)</f>
        <v>795.2</v>
      </c>
      <c r="T94" s="30">
        <f t="shared" ref="T94" si="176">SUM(I94:L94)</f>
        <v>811.59999999999991</v>
      </c>
      <c r="U94" s="30">
        <f t="shared" ref="U94" si="177">SUM(J94:M94)</f>
        <v>834.50000000000011</v>
      </c>
      <c r="V94" s="30">
        <f t="shared" ref="V94" si="178">SUM(K94:N94)</f>
        <v>950.00000000000011</v>
      </c>
      <c r="W94" s="30">
        <f t="shared" ref="W94" si="179">SUM(L94:O94)</f>
        <v>957.7</v>
      </c>
      <c r="X94" s="30">
        <f t="shared" ref="X94" si="180">SUM(M94:P94)</f>
        <v>236.70000000000022</v>
      </c>
      <c r="Y94" s="30">
        <f>SUM(N94:Q94)</f>
        <v>182.71600000000018</v>
      </c>
      <c r="Z94" s="11"/>
      <c r="AA94" s="68">
        <f>SUM(Y94/U94)-1</f>
        <v>-0.78104733373277391</v>
      </c>
    </row>
    <row r="95" spans="1:27" ht="5.0999999999999996" customHeight="1"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S95" s="30"/>
      <c r="T95" s="30"/>
      <c r="U95" s="30"/>
      <c r="V95" s="30"/>
      <c r="W95" s="30"/>
      <c r="X95" s="30"/>
      <c r="Y95" s="30"/>
      <c r="Z95" s="11"/>
      <c r="AA95" s="68"/>
    </row>
    <row r="96" spans="1:27" ht="12.75" customHeight="1">
      <c r="B96" s="33" t="s">
        <v>62</v>
      </c>
      <c r="C96" s="30"/>
      <c r="D96" s="30"/>
      <c r="E96" s="30"/>
      <c r="F96" s="30"/>
      <c r="G96" s="76"/>
      <c r="H96" s="76"/>
      <c r="I96" s="76"/>
      <c r="J96" s="30"/>
      <c r="K96" s="76"/>
      <c r="L96" s="76"/>
      <c r="M96" s="76"/>
      <c r="N96" s="30"/>
      <c r="O96" s="76"/>
      <c r="P96" s="76"/>
      <c r="Q96" s="76"/>
      <c r="S96" s="30"/>
      <c r="T96" s="30"/>
      <c r="U96" s="30"/>
      <c r="V96" s="30"/>
      <c r="W96" s="30"/>
      <c r="X96" s="30"/>
      <c r="Y96" s="30"/>
      <c r="Z96" s="55"/>
      <c r="AA96" s="68"/>
    </row>
    <row r="97" spans="2:27" ht="12.75" customHeight="1">
      <c r="B97" s="56" t="s">
        <v>55</v>
      </c>
      <c r="C97" s="76">
        <v>39.228999999999999</v>
      </c>
      <c r="D97" s="76">
        <v>54.304000000000002</v>
      </c>
      <c r="E97" s="76">
        <v>69.84</v>
      </c>
      <c r="F97" s="30"/>
      <c r="G97" s="76">
        <v>13.135999999999999</v>
      </c>
      <c r="H97" s="76">
        <f>25.78-G97</f>
        <v>12.644000000000002</v>
      </c>
      <c r="I97" s="76">
        <f>40.531-H97-G97</f>
        <v>14.750999999999998</v>
      </c>
      <c r="J97" s="30">
        <f t="shared" ref="J97:J105" si="181">SUM(D97-SUM(G97:I97))</f>
        <v>13.773000000000003</v>
      </c>
      <c r="K97" s="76">
        <v>16.161000000000001</v>
      </c>
      <c r="L97" s="76">
        <f>33.705-K97</f>
        <v>17.543999999999997</v>
      </c>
      <c r="M97" s="76">
        <f>51.89-L97-K97</f>
        <v>18.185000000000002</v>
      </c>
      <c r="N97" s="30">
        <f t="shared" ref="N97:N105" si="182">SUM(E97-SUM(K97:M97))</f>
        <v>17.950000000000003</v>
      </c>
      <c r="O97" s="76">
        <v>18.536999999999999</v>
      </c>
      <c r="P97" s="76">
        <f>38.011-O97</f>
        <v>19.474000000000004</v>
      </c>
      <c r="Q97" s="76">
        <f>58.337-P97-O97</f>
        <v>20.326000000000001</v>
      </c>
      <c r="S97" s="30">
        <f t="shared" ref="S97:S105" si="183">SUM(H97:K97)</f>
        <v>57.329000000000008</v>
      </c>
      <c r="T97" s="30">
        <f t="shared" ref="T97:T105" si="184">SUM(I97:L97)</f>
        <v>62.228999999999999</v>
      </c>
      <c r="U97" s="30">
        <f t="shared" ref="U97:U105" si="185">SUM(J97:M97)</f>
        <v>65.663000000000011</v>
      </c>
      <c r="V97" s="30">
        <f t="shared" ref="V97:V105" si="186">SUM(K97:N97)</f>
        <v>69.84</v>
      </c>
      <c r="W97" s="30">
        <f t="shared" ref="W97:W105" si="187">SUM(L97:O97)</f>
        <v>72.216000000000008</v>
      </c>
      <c r="X97" s="30">
        <f t="shared" ref="X97:X105" si="188">SUM(M97:P97)</f>
        <v>74.146000000000015</v>
      </c>
      <c r="Y97" s="30">
        <f t="shared" ref="Y97:Y105" si="189">SUM(N97:Q97)</f>
        <v>76.287000000000006</v>
      </c>
      <c r="Z97" s="11"/>
      <c r="AA97" s="68">
        <f t="shared" ref="AA97:AA105" si="190">SUM(Y97/U97)-1</f>
        <v>0.16179583631573324</v>
      </c>
    </row>
    <row r="98" spans="2:27" ht="12.75" customHeight="1">
      <c r="B98" s="56" t="s">
        <v>146</v>
      </c>
      <c r="C98" s="76">
        <v>66.012</v>
      </c>
      <c r="D98" s="76">
        <v>79.543000000000006</v>
      </c>
      <c r="E98" s="76">
        <v>85.13</v>
      </c>
      <c r="F98" s="30"/>
      <c r="G98" s="76">
        <v>18.199000000000002</v>
      </c>
      <c r="H98" s="76">
        <f>36.592-G98</f>
        <v>18.392999999999997</v>
      </c>
      <c r="I98" s="76">
        <f>56.88-H98-G98</f>
        <v>20.288000000000007</v>
      </c>
      <c r="J98" s="30">
        <f t="shared" ref="J98:J101" si="191">SUM(D98-SUM(G98:I98))</f>
        <v>22.662999999999997</v>
      </c>
      <c r="K98" s="76">
        <v>20.244</v>
      </c>
      <c r="L98" s="76">
        <f>40.654-K98</f>
        <v>20.410000000000004</v>
      </c>
      <c r="M98" s="76">
        <f>62.209-L98-K98</f>
        <v>21.555</v>
      </c>
      <c r="N98" s="30">
        <f t="shared" ref="N98:N101" si="192">SUM(E98-SUM(K98:M98))</f>
        <v>22.920999999999992</v>
      </c>
      <c r="O98" s="76">
        <v>24.186</v>
      </c>
      <c r="P98" s="76">
        <f>49.738-O98</f>
        <v>25.552</v>
      </c>
      <c r="Q98" s="76">
        <f>76.614-P98-O98</f>
        <v>26.876000000000005</v>
      </c>
      <c r="S98" s="30">
        <f t="shared" si="183"/>
        <v>81.587999999999994</v>
      </c>
      <c r="T98" s="30">
        <f t="shared" si="184"/>
        <v>83.605000000000018</v>
      </c>
      <c r="U98" s="30">
        <f t="shared" si="185"/>
        <v>84.872</v>
      </c>
      <c r="V98" s="30">
        <f t="shared" si="186"/>
        <v>85.13</v>
      </c>
      <c r="W98" s="30">
        <f t="shared" si="187"/>
        <v>89.072000000000003</v>
      </c>
      <c r="X98" s="30">
        <f t="shared" si="188"/>
        <v>94.213999999999999</v>
      </c>
      <c r="Y98" s="30">
        <f t="shared" si="189"/>
        <v>99.534999999999997</v>
      </c>
      <c r="Z98" s="11"/>
      <c r="AA98" s="68">
        <f t="shared" ref="AA98:AA101" si="193">SUM(Y98/U98)-1</f>
        <v>0.17276604769535298</v>
      </c>
    </row>
    <row r="99" spans="2:27" ht="12.75" customHeight="1">
      <c r="B99" s="56" t="s">
        <v>149</v>
      </c>
      <c r="C99" s="76">
        <v>31.303000000000001</v>
      </c>
      <c r="D99" s="76">
        <v>29.071999999999999</v>
      </c>
      <c r="E99" s="76">
        <v>33.052999999999997</v>
      </c>
      <c r="F99" s="30"/>
      <c r="G99" s="76">
        <v>7.4640000000000004</v>
      </c>
      <c r="H99" s="76">
        <f>15.852-G99</f>
        <v>8.3879999999999999</v>
      </c>
      <c r="I99" s="76">
        <f>23.507-H99-G99</f>
        <v>7.6550000000000011</v>
      </c>
      <c r="J99" s="30">
        <f t="shared" si="191"/>
        <v>5.5649999999999977</v>
      </c>
      <c r="K99" s="76">
        <v>7.5819999999999999</v>
      </c>
      <c r="L99" s="76">
        <f>17.744-K99</f>
        <v>10.161999999999999</v>
      </c>
      <c r="M99" s="76">
        <f>24.377-L99-K99</f>
        <v>6.633</v>
      </c>
      <c r="N99" s="30">
        <f t="shared" si="192"/>
        <v>8.6759999999999984</v>
      </c>
      <c r="O99" s="76">
        <v>8.7769999999999992</v>
      </c>
      <c r="P99" s="76">
        <f>20.036-O99</f>
        <v>11.259000000000002</v>
      </c>
      <c r="Q99" s="76">
        <f>28.512-P99-O99</f>
        <v>8.4760000000000009</v>
      </c>
      <c r="S99" s="30">
        <f t="shared" si="183"/>
        <v>29.189999999999998</v>
      </c>
      <c r="T99" s="30">
        <f t="shared" si="184"/>
        <v>30.963999999999999</v>
      </c>
      <c r="U99" s="30">
        <f t="shared" si="185"/>
        <v>29.941999999999997</v>
      </c>
      <c r="V99" s="30">
        <f t="shared" si="186"/>
        <v>33.052999999999997</v>
      </c>
      <c r="W99" s="30">
        <f t="shared" si="187"/>
        <v>34.247999999999998</v>
      </c>
      <c r="X99" s="30">
        <f t="shared" si="188"/>
        <v>35.344999999999999</v>
      </c>
      <c r="Y99" s="30">
        <f t="shared" si="189"/>
        <v>37.187999999999995</v>
      </c>
      <c r="Z99" s="11"/>
      <c r="AA99" s="68">
        <f t="shared" si="193"/>
        <v>0.24200120232449396</v>
      </c>
    </row>
    <row r="100" spans="2:27" ht="12.75" customHeight="1">
      <c r="B100" s="56" t="s">
        <v>150</v>
      </c>
      <c r="C100" s="76">
        <v>0</v>
      </c>
      <c r="D100" s="76">
        <v>9.2870000000000008</v>
      </c>
      <c r="E100" s="76">
        <v>24.081</v>
      </c>
      <c r="F100" s="30"/>
      <c r="G100" s="76">
        <v>0</v>
      </c>
      <c r="H100" s="76">
        <v>0</v>
      </c>
      <c r="I100" s="76">
        <v>0</v>
      </c>
      <c r="J100" s="30">
        <f t="shared" si="191"/>
        <v>9.2870000000000008</v>
      </c>
      <c r="K100" s="76">
        <v>24.081</v>
      </c>
      <c r="L100" s="76">
        <f>24.081-K100</f>
        <v>0</v>
      </c>
      <c r="M100" s="76">
        <f>24.081-L100-K100</f>
        <v>0</v>
      </c>
      <c r="N100" s="30">
        <f t="shared" si="192"/>
        <v>0</v>
      </c>
      <c r="O100" s="76">
        <v>0</v>
      </c>
      <c r="P100" s="76">
        <f>738.115-O100</f>
        <v>738.11500000000001</v>
      </c>
      <c r="Q100" s="76">
        <f>738.115-P100-O100</f>
        <v>0</v>
      </c>
      <c r="S100" s="30">
        <f t="shared" si="183"/>
        <v>33.368000000000002</v>
      </c>
      <c r="T100" s="30">
        <f t="shared" si="184"/>
        <v>33.368000000000002</v>
      </c>
      <c r="U100" s="30">
        <f t="shared" si="185"/>
        <v>33.368000000000002</v>
      </c>
      <c r="V100" s="30">
        <f t="shared" si="186"/>
        <v>24.081</v>
      </c>
      <c r="W100" s="30">
        <f t="shared" si="187"/>
        <v>0</v>
      </c>
      <c r="X100" s="30">
        <f t="shared" si="188"/>
        <v>738.11500000000001</v>
      </c>
      <c r="Y100" s="30">
        <f t="shared" si="189"/>
        <v>738.11500000000001</v>
      </c>
      <c r="Z100" s="11"/>
      <c r="AA100" s="68">
        <f t="shared" si="193"/>
        <v>21.120444737473026</v>
      </c>
    </row>
    <row r="101" spans="2:27" ht="12.75" customHeight="1">
      <c r="B101" s="56" t="s">
        <v>151</v>
      </c>
      <c r="C101" s="76">
        <v>-4.76</v>
      </c>
      <c r="D101" s="76">
        <v>-410.31900000000002</v>
      </c>
      <c r="E101" s="76">
        <v>-254.45400000000001</v>
      </c>
      <c r="F101" s="30"/>
      <c r="G101" s="76">
        <v>0</v>
      </c>
      <c r="H101" s="76">
        <v>0</v>
      </c>
      <c r="I101" s="76">
        <v>0</v>
      </c>
      <c r="J101" s="30">
        <f t="shared" si="191"/>
        <v>-410.31900000000002</v>
      </c>
      <c r="K101" s="76">
        <v>0</v>
      </c>
      <c r="L101" s="76">
        <f>6.959-K101</f>
        <v>6.9589999999999996</v>
      </c>
      <c r="M101" s="76">
        <f>13.231-L101-K101</f>
        <v>6.2720000000000002</v>
      </c>
      <c r="N101" s="30">
        <f t="shared" si="192"/>
        <v>-267.685</v>
      </c>
      <c r="O101" s="76">
        <v>13.589</v>
      </c>
      <c r="P101" s="76">
        <f>13.956-O101</f>
        <v>0.3669999999999991</v>
      </c>
      <c r="Q101" s="76">
        <f>17.057-P101-O101</f>
        <v>3.1009999999999973</v>
      </c>
      <c r="S101" s="30">
        <f t="shared" si="183"/>
        <v>-410.31900000000002</v>
      </c>
      <c r="T101" s="30">
        <f t="shared" si="184"/>
        <v>-403.36</v>
      </c>
      <c r="U101" s="30">
        <f t="shared" si="185"/>
        <v>-397.08800000000002</v>
      </c>
      <c r="V101" s="30">
        <f t="shared" si="186"/>
        <v>-254.45400000000001</v>
      </c>
      <c r="W101" s="30">
        <f t="shared" si="187"/>
        <v>-240.86500000000001</v>
      </c>
      <c r="X101" s="30">
        <f t="shared" si="188"/>
        <v>-247.45700000000002</v>
      </c>
      <c r="Y101" s="30">
        <f t="shared" si="189"/>
        <v>-250.62800000000001</v>
      </c>
      <c r="Z101" s="11"/>
      <c r="AA101" s="68">
        <f t="shared" si="193"/>
        <v>-0.36883511967120641</v>
      </c>
    </row>
    <row r="102" spans="2:27" ht="12.75" customHeight="1">
      <c r="B102" s="56" t="s">
        <v>145</v>
      </c>
      <c r="C102" s="76">
        <v>9.0630000000000006</v>
      </c>
      <c r="D102" s="76">
        <v>0.41899999999999998</v>
      </c>
      <c r="E102" s="76">
        <v>0.95799999999999996</v>
      </c>
      <c r="F102" s="30"/>
      <c r="G102" s="76">
        <v>0</v>
      </c>
      <c r="H102" s="76">
        <v>0</v>
      </c>
      <c r="I102" s="76">
        <v>0</v>
      </c>
      <c r="J102" s="30">
        <f t="shared" si="181"/>
        <v>0.41899999999999998</v>
      </c>
      <c r="K102" s="76">
        <v>0</v>
      </c>
      <c r="L102" s="76">
        <v>0</v>
      </c>
      <c r="M102" s="76">
        <v>0</v>
      </c>
      <c r="N102" s="30">
        <f t="shared" si="182"/>
        <v>0.95799999999999996</v>
      </c>
      <c r="O102" s="76">
        <v>0</v>
      </c>
      <c r="P102" s="76">
        <v>0</v>
      </c>
      <c r="Q102" s="76">
        <v>0</v>
      </c>
      <c r="S102" s="30">
        <f t="shared" si="183"/>
        <v>0.41899999999999998</v>
      </c>
      <c r="T102" s="30">
        <f t="shared" si="184"/>
        <v>0.41899999999999998</v>
      </c>
      <c r="U102" s="30">
        <f t="shared" si="185"/>
        <v>0.41899999999999998</v>
      </c>
      <c r="V102" s="30">
        <f t="shared" si="186"/>
        <v>0.95799999999999996</v>
      </c>
      <c r="W102" s="30">
        <f t="shared" si="187"/>
        <v>0.95799999999999996</v>
      </c>
      <c r="X102" s="30">
        <f t="shared" si="188"/>
        <v>0.95799999999999996</v>
      </c>
      <c r="Y102" s="30">
        <f t="shared" si="189"/>
        <v>0.95799999999999996</v>
      </c>
      <c r="Z102" s="11"/>
      <c r="AA102" s="68">
        <f t="shared" si="190"/>
        <v>1.2863961813842484</v>
      </c>
    </row>
    <row r="103" spans="2:27" ht="12.75" customHeight="1">
      <c r="B103" s="56" t="s">
        <v>147</v>
      </c>
      <c r="C103" s="76">
        <v>2.77</v>
      </c>
      <c r="D103" s="76">
        <v>2.0779999999999998</v>
      </c>
      <c r="E103" s="76">
        <v>0.81200000000000006</v>
      </c>
      <c r="F103" s="30"/>
      <c r="G103" s="76">
        <v>0</v>
      </c>
      <c r="H103" s="76">
        <v>0</v>
      </c>
      <c r="I103" s="76">
        <v>0</v>
      </c>
      <c r="J103" s="30">
        <f t="shared" si="181"/>
        <v>2.0779999999999998</v>
      </c>
      <c r="K103" s="76">
        <v>0</v>
      </c>
      <c r="L103" s="76">
        <v>0</v>
      </c>
      <c r="M103" s="76">
        <v>0</v>
      </c>
      <c r="N103" s="30">
        <f t="shared" si="182"/>
        <v>0.81200000000000006</v>
      </c>
      <c r="O103" s="76">
        <v>0</v>
      </c>
      <c r="P103" s="76">
        <v>0</v>
      </c>
      <c r="Q103" s="76">
        <v>0</v>
      </c>
      <c r="S103" s="30">
        <f t="shared" si="183"/>
        <v>2.0779999999999998</v>
      </c>
      <c r="T103" s="30">
        <f t="shared" si="184"/>
        <v>2.0779999999999998</v>
      </c>
      <c r="U103" s="30">
        <f t="shared" si="185"/>
        <v>2.0779999999999998</v>
      </c>
      <c r="V103" s="30">
        <f t="shared" si="186"/>
        <v>0.81200000000000006</v>
      </c>
      <c r="W103" s="30">
        <f t="shared" si="187"/>
        <v>0.81200000000000006</v>
      </c>
      <c r="X103" s="30">
        <f t="shared" si="188"/>
        <v>0.81200000000000006</v>
      </c>
      <c r="Y103" s="30">
        <f t="shared" si="189"/>
        <v>0.81200000000000006</v>
      </c>
      <c r="Z103" s="11"/>
      <c r="AA103" s="68">
        <f t="shared" si="190"/>
        <v>-0.60923965351299314</v>
      </c>
    </row>
    <row r="104" spans="2:27" ht="12.75" customHeight="1">
      <c r="B104" s="56" t="s">
        <v>148</v>
      </c>
      <c r="C104" s="76">
        <v>1.101</v>
      </c>
      <c r="D104" s="76">
        <v>3.5680000000000001</v>
      </c>
      <c r="E104" s="76">
        <v>1.3520000000000001</v>
      </c>
      <c r="F104" s="30"/>
      <c r="G104" s="76">
        <v>0</v>
      </c>
      <c r="H104" s="76">
        <v>0</v>
      </c>
      <c r="I104" s="76">
        <v>0</v>
      </c>
      <c r="J104" s="30">
        <f t="shared" si="181"/>
        <v>3.5680000000000001</v>
      </c>
      <c r="K104" s="76">
        <v>0</v>
      </c>
      <c r="L104" s="76">
        <v>0</v>
      </c>
      <c r="M104" s="76">
        <v>0</v>
      </c>
      <c r="N104" s="30">
        <f t="shared" si="182"/>
        <v>1.3520000000000001</v>
      </c>
      <c r="O104" s="76">
        <v>0</v>
      </c>
      <c r="P104" s="76">
        <v>0</v>
      </c>
      <c r="Q104" s="76">
        <v>0</v>
      </c>
      <c r="S104" s="30">
        <f t="shared" si="183"/>
        <v>3.5680000000000001</v>
      </c>
      <c r="T104" s="30">
        <f t="shared" si="184"/>
        <v>3.5680000000000001</v>
      </c>
      <c r="U104" s="30">
        <f t="shared" si="185"/>
        <v>3.5680000000000001</v>
      </c>
      <c r="V104" s="30">
        <f t="shared" si="186"/>
        <v>1.3520000000000001</v>
      </c>
      <c r="W104" s="30">
        <f t="shared" si="187"/>
        <v>1.3520000000000001</v>
      </c>
      <c r="X104" s="30">
        <f t="shared" si="188"/>
        <v>1.3520000000000001</v>
      </c>
      <c r="Y104" s="30">
        <f t="shared" si="189"/>
        <v>1.3520000000000001</v>
      </c>
      <c r="Z104" s="11"/>
      <c r="AA104" s="68">
        <f t="shared" si="190"/>
        <v>-0.62107623318385641</v>
      </c>
    </row>
    <row r="105" spans="2:27" ht="12.75" customHeight="1">
      <c r="B105" s="56" t="s">
        <v>152</v>
      </c>
      <c r="C105" s="76">
        <v>9.9469999999999992</v>
      </c>
      <c r="D105" s="76">
        <v>3.4009999999999998</v>
      </c>
      <c r="E105" s="76">
        <v>13.212999999999999</v>
      </c>
      <c r="F105" s="30"/>
      <c r="G105" s="76">
        <v>0.38300000000000001</v>
      </c>
      <c r="H105" s="76">
        <f>0.769-G105</f>
        <v>0.38600000000000001</v>
      </c>
      <c r="I105" s="76">
        <f>7.411-H105-G105</f>
        <v>6.6419999999999995</v>
      </c>
      <c r="J105" s="30">
        <f t="shared" si="181"/>
        <v>-4.01</v>
      </c>
      <c r="K105" s="76">
        <v>11.95</v>
      </c>
      <c r="L105" s="76">
        <f>11.558-K105</f>
        <v>-0.39199999999999946</v>
      </c>
      <c r="M105" s="76">
        <f>12.882-L105-K105</f>
        <v>1.3239999999999998</v>
      </c>
      <c r="N105" s="30">
        <f t="shared" si="182"/>
        <v>0.33099999999999952</v>
      </c>
      <c r="O105" s="76">
        <v>-0.35499999999999998</v>
      </c>
      <c r="P105" s="76">
        <f>8.428-O105</f>
        <v>8.7830000000000013</v>
      </c>
      <c r="Q105" s="76">
        <f>6.059-P105-O105</f>
        <v>-2.3690000000000011</v>
      </c>
      <c r="S105" s="30">
        <f t="shared" si="183"/>
        <v>14.968</v>
      </c>
      <c r="T105" s="30">
        <f t="shared" si="184"/>
        <v>14.19</v>
      </c>
      <c r="U105" s="30">
        <f t="shared" si="185"/>
        <v>8.8719999999999999</v>
      </c>
      <c r="V105" s="30">
        <f t="shared" si="186"/>
        <v>13.212999999999999</v>
      </c>
      <c r="W105" s="30">
        <f t="shared" si="187"/>
        <v>0.90799999999999992</v>
      </c>
      <c r="X105" s="30">
        <f t="shared" si="188"/>
        <v>10.083</v>
      </c>
      <c r="Y105" s="30">
        <f t="shared" si="189"/>
        <v>6.3899999999999988</v>
      </c>
      <c r="Z105" s="11"/>
      <c r="AA105" s="68">
        <f t="shared" si="190"/>
        <v>-0.27975653742110018</v>
      </c>
    </row>
    <row r="106" spans="2:27" ht="5.0999999999999996" customHeight="1">
      <c r="B106" s="8"/>
      <c r="C106" s="76"/>
      <c r="D106" s="76"/>
      <c r="E106" s="76"/>
      <c r="F106" s="30"/>
      <c r="G106" s="76"/>
      <c r="H106" s="76"/>
      <c r="I106" s="76"/>
      <c r="J106" s="30"/>
      <c r="K106" s="76"/>
      <c r="L106" s="76"/>
      <c r="M106" s="76"/>
      <c r="N106" s="30"/>
      <c r="O106" s="76"/>
      <c r="P106" s="76"/>
      <c r="Q106" s="76"/>
      <c r="S106" s="30"/>
      <c r="T106" s="30"/>
      <c r="U106" s="30"/>
      <c r="V106" s="30"/>
      <c r="W106" s="30"/>
      <c r="X106" s="30"/>
      <c r="Y106" s="30"/>
      <c r="Z106" s="11"/>
      <c r="AA106" s="68"/>
    </row>
    <row r="107" spans="2:27" ht="12.75" customHeight="1">
      <c r="B107" s="33" t="s">
        <v>14</v>
      </c>
      <c r="C107" s="76"/>
      <c r="D107" s="76"/>
      <c r="E107" s="76"/>
      <c r="F107" s="30"/>
      <c r="G107" s="76"/>
      <c r="H107" s="76"/>
      <c r="I107" s="76"/>
      <c r="J107" s="30"/>
      <c r="K107" s="76"/>
      <c r="L107" s="76">
        <v>0</v>
      </c>
      <c r="M107" s="76"/>
      <c r="N107" s="30"/>
      <c r="O107" s="76"/>
      <c r="P107" s="76"/>
      <c r="Q107" s="76"/>
      <c r="S107" s="30"/>
      <c r="T107" s="30"/>
      <c r="U107" s="30"/>
      <c r="V107" s="30"/>
      <c r="W107" s="30"/>
      <c r="X107" s="30"/>
      <c r="Y107" s="30"/>
      <c r="Z107" s="55"/>
      <c r="AA107" s="68"/>
    </row>
    <row r="108" spans="2:27" ht="12.75" customHeight="1">
      <c r="B108" s="56" t="s">
        <v>153</v>
      </c>
      <c r="C108" s="76">
        <v>-56.765999999999998</v>
      </c>
      <c r="D108" s="76">
        <v>-13.317</v>
      </c>
      <c r="E108" s="76">
        <v>42.587000000000003</v>
      </c>
      <c r="F108" s="30"/>
      <c r="G108" s="76">
        <v>-122.14400000000001</v>
      </c>
      <c r="H108" s="76">
        <f>-113.838-G108</f>
        <v>8.3060000000000116</v>
      </c>
      <c r="I108" s="76">
        <f>-99.912-H108-G108</f>
        <v>13.925999999999988</v>
      </c>
      <c r="J108" s="30">
        <f t="shared" ref="J108:J113" si="194">SUM(D108-SUM(G108:I108))</f>
        <v>86.594999999999999</v>
      </c>
      <c r="K108" s="76">
        <v>-179.899</v>
      </c>
      <c r="L108" s="76">
        <f>-119.159-K108</f>
        <v>60.739999999999995</v>
      </c>
      <c r="M108" s="76">
        <f>-58.51-L108-K108</f>
        <v>60.649000000000001</v>
      </c>
      <c r="N108" s="30">
        <f t="shared" ref="N108:N113" si="195">SUM(E108-SUM(K108:M108))</f>
        <v>101.09700000000001</v>
      </c>
      <c r="O108" s="76">
        <v>-183.607</v>
      </c>
      <c r="P108" s="76">
        <f>-147.242-O108</f>
        <v>36.365000000000009</v>
      </c>
      <c r="Q108" s="76">
        <f>-65.052-P108-O108</f>
        <v>82.189999999999984</v>
      </c>
      <c r="S108" s="30">
        <f t="shared" ref="S108:S113" si="196">SUM(H108:K108)</f>
        <v>-71.072000000000003</v>
      </c>
      <c r="T108" s="30">
        <f t="shared" ref="T108:T113" si="197">SUM(I108:L108)</f>
        <v>-18.638000000000019</v>
      </c>
      <c r="U108" s="30">
        <f t="shared" ref="U108:U113" si="198">SUM(J108:M108)</f>
        <v>28.084999999999994</v>
      </c>
      <c r="V108" s="30">
        <f t="shared" ref="V108:V113" si="199">SUM(K108:N108)</f>
        <v>42.587000000000003</v>
      </c>
      <c r="W108" s="30">
        <f t="shared" ref="W108:W113" si="200">SUM(L108:O108)</f>
        <v>38.878999999999991</v>
      </c>
      <c r="X108" s="30">
        <f t="shared" ref="X108:X113" si="201">SUM(M108:P108)</f>
        <v>14.504000000000019</v>
      </c>
      <c r="Y108" s="30">
        <f t="shared" ref="Y108:Y113" si="202">SUM(N108:Q108)</f>
        <v>36.045000000000002</v>
      </c>
      <c r="Z108" s="55"/>
      <c r="AA108" s="68">
        <f t="shared" ref="AA108:AA114" si="203">SUM(Y108/U108)-1</f>
        <v>0.28342531600498511</v>
      </c>
    </row>
    <row r="109" spans="2:27" ht="12.75" customHeight="1">
      <c r="B109" s="56" t="s">
        <v>109</v>
      </c>
      <c r="C109" s="76">
        <v>-91.614000000000004</v>
      </c>
      <c r="D109" s="76">
        <v>86.35</v>
      </c>
      <c r="E109" s="76">
        <v>22.055</v>
      </c>
      <c r="F109" s="30"/>
      <c r="G109" s="76">
        <v>-5.22</v>
      </c>
      <c r="H109" s="76">
        <f>34.884-G109</f>
        <v>40.103999999999999</v>
      </c>
      <c r="I109" s="76">
        <f>77.915-H109-G109</f>
        <v>43.031000000000006</v>
      </c>
      <c r="J109" s="30">
        <f t="shared" si="194"/>
        <v>8.4349999999999881</v>
      </c>
      <c r="K109" s="76">
        <v>-8.3089999999999993</v>
      </c>
      <c r="L109" s="76">
        <f>5.172-K109</f>
        <v>13.480999999999998</v>
      </c>
      <c r="M109" s="76">
        <f>17.983-L109-K109</f>
        <v>12.811000000000002</v>
      </c>
      <c r="N109" s="30">
        <f t="shared" si="195"/>
        <v>4.0719999999999992</v>
      </c>
      <c r="O109" s="76">
        <v>-36.633000000000003</v>
      </c>
      <c r="P109" s="76">
        <f>-49.824-O109</f>
        <v>-13.190999999999995</v>
      </c>
      <c r="Q109" s="76">
        <f>-40.165-P109-O109</f>
        <v>9.6589999999999989</v>
      </c>
      <c r="S109" s="30">
        <f t="shared" si="196"/>
        <v>83.260999999999996</v>
      </c>
      <c r="T109" s="30">
        <f t="shared" si="197"/>
        <v>56.637999999999991</v>
      </c>
      <c r="U109" s="30">
        <f t="shared" si="198"/>
        <v>26.417999999999989</v>
      </c>
      <c r="V109" s="30">
        <f t="shared" si="199"/>
        <v>22.055</v>
      </c>
      <c r="W109" s="30">
        <f t="shared" si="200"/>
        <v>-6.2690000000000019</v>
      </c>
      <c r="X109" s="30">
        <f t="shared" si="201"/>
        <v>-32.940999999999995</v>
      </c>
      <c r="Y109" s="30">
        <f t="shared" si="202"/>
        <v>-36.093000000000004</v>
      </c>
      <c r="Z109" s="55"/>
      <c r="AA109" s="68">
        <f t="shared" si="203"/>
        <v>-2.366227572109926</v>
      </c>
    </row>
    <row r="110" spans="2:27" ht="12.75" customHeight="1">
      <c r="B110" s="56" t="s">
        <v>126</v>
      </c>
      <c r="C110" s="76">
        <v>-14.435</v>
      </c>
      <c r="D110" s="76">
        <v>-31.838999999999999</v>
      </c>
      <c r="E110" s="76">
        <v>-13.891999999999999</v>
      </c>
      <c r="F110" s="30"/>
      <c r="G110" s="76">
        <v>-35.859000000000002</v>
      </c>
      <c r="H110" s="76">
        <f>-32.413-G110</f>
        <v>3.4460000000000051</v>
      </c>
      <c r="I110" s="76">
        <f>-30.714-H110-G110</f>
        <v>1.6989999999999981</v>
      </c>
      <c r="J110" s="30">
        <f t="shared" si="194"/>
        <v>-1.125</v>
      </c>
      <c r="K110" s="76">
        <v>-7.843</v>
      </c>
      <c r="L110" s="76">
        <f>2.247-K110</f>
        <v>10.09</v>
      </c>
      <c r="M110" s="76">
        <f>-9.356-L110-K110</f>
        <v>-11.602999999999998</v>
      </c>
      <c r="N110" s="30">
        <f t="shared" si="195"/>
        <v>-4.5360000000000014</v>
      </c>
      <c r="O110" s="76">
        <v>3.516</v>
      </c>
      <c r="P110" s="76">
        <f>-12.16-O110</f>
        <v>-15.676</v>
      </c>
      <c r="Q110" s="76">
        <f>-17.372-P110-O110</f>
        <v>-5.2119999999999997</v>
      </c>
      <c r="S110" s="30">
        <f t="shared" si="196"/>
        <v>-3.8229999999999968</v>
      </c>
      <c r="T110" s="30">
        <f t="shared" si="197"/>
        <v>2.820999999999998</v>
      </c>
      <c r="U110" s="30">
        <f t="shared" si="198"/>
        <v>-10.480999999999998</v>
      </c>
      <c r="V110" s="30">
        <f t="shared" si="199"/>
        <v>-13.891999999999999</v>
      </c>
      <c r="W110" s="30">
        <f t="shared" si="200"/>
        <v>-2.5329999999999995</v>
      </c>
      <c r="X110" s="30">
        <f t="shared" si="201"/>
        <v>-28.298999999999999</v>
      </c>
      <c r="Y110" s="30">
        <f t="shared" si="202"/>
        <v>-21.908000000000001</v>
      </c>
      <c r="Z110" s="55"/>
      <c r="AA110" s="68">
        <f t="shared" si="203"/>
        <v>1.0902585631142072</v>
      </c>
    </row>
    <row r="111" spans="2:27" ht="12.75" customHeight="1">
      <c r="B111" s="56" t="s">
        <v>160</v>
      </c>
      <c r="C111" s="76">
        <f>41.701+38.629</f>
        <v>80.33</v>
      </c>
      <c r="D111" s="76">
        <f>37.197+46.695</f>
        <v>83.891999999999996</v>
      </c>
      <c r="E111" s="76">
        <f>3.951+9.971</f>
        <v>13.922000000000001</v>
      </c>
      <c r="F111" s="30"/>
      <c r="G111" s="76">
        <v>-31.824000000000002</v>
      </c>
      <c r="H111" s="76">
        <f>27.819-G111</f>
        <v>59.643000000000001</v>
      </c>
      <c r="I111" s="76">
        <f>-4.935-H111-G111</f>
        <v>-32.754000000000005</v>
      </c>
      <c r="J111" s="30">
        <f t="shared" si="194"/>
        <v>88.826999999999998</v>
      </c>
      <c r="K111" s="76">
        <v>-62.563000000000002</v>
      </c>
      <c r="L111" s="76">
        <f>-19.034-K111</f>
        <v>43.529000000000003</v>
      </c>
      <c r="M111" s="76">
        <f>-32.847-L111-K111</f>
        <v>-13.813000000000002</v>
      </c>
      <c r="N111" s="30">
        <f t="shared" si="195"/>
        <v>46.769000000000005</v>
      </c>
      <c r="O111" s="76">
        <v>-71.093999999999994</v>
      </c>
      <c r="P111" s="76">
        <f>-26.467-O111</f>
        <v>44.626999999999995</v>
      </c>
      <c r="Q111" s="76">
        <f>-68.459-P111-O111</f>
        <v>-41.992000000000004</v>
      </c>
      <c r="S111" s="30">
        <f t="shared" si="196"/>
        <v>53.152999999999992</v>
      </c>
      <c r="T111" s="30">
        <f t="shared" si="197"/>
        <v>37.038999999999994</v>
      </c>
      <c r="U111" s="30">
        <f t="shared" si="198"/>
        <v>55.980000000000004</v>
      </c>
      <c r="V111" s="30">
        <f t="shared" si="199"/>
        <v>13.922000000000004</v>
      </c>
      <c r="W111" s="30">
        <f t="shared" si="200"/>
        <v>5.3910000000000196</v>
      </c>
      <c r="X111" s="30">
        <f t="shared" si="201"/>
        <v>6.4890000000000043</v>
      </c>
      <c r="Y111" s="30">
        <f t="shared" si="202"/>
        <v>-21.689999999999998</v>
      </c>
      <c r="Z111" s="55"/>
      <c r="AA111" s="68">
        <f t="shared" si="203"/>
        <v>-1.387459807073955</v>
      </c>
    </row>
    <row r="112" spans="2:27" ht="12.75" customHeight="1">
      <c r="B112" s="56" t="s">
        <v>154</v>
      </c>
      <c r="C112" s="76">
        <v>-63.354999999999997</v>
      </c>
      <c r="D112" s="76">
        <v>-75.106999999999999</v>
      </c>
      <c r="E112" s="76">
        <v>-88.772000000000006</v>
      </c>
      <c r="F112" s="30"/>
      <c r="G112" s="76">
        <v>-17.420999999999999</v>
      </c>
      <c r="H112" s="76">
        <f>-35.176-G112</f>
        <v>-17.755000000000003</v>
      </c>
      <c r="I112" s="76">
        <f>-54.287-H112-G112</f>
        <v>-19.110999999999997</v>
      </c>
      <c r="J112" s="30">
        <f t="shared" ref="J112" si="204">SUM(D112-SUM(G112:I112))</f>
        <v>-20.82</v>
      </c>
      <c r="K112" s="76">
        <v>-20.265000000000001</v>
      </c>
      <c r="L112" s="76">
        <f>-42.069-K112</f>
        <v>-21.804000000000002</v>
      </c>
      <c r="M112" s="76">
        <f>-64.495-L112-K112</f>
        <v>-22.426000000000002</v>
      </c>
      <c r="N112" s="30">
        <f t="shared" ref="N112" si="205">SUM(E112-SUM(K112:M112))</f>
        <v>-24.277000000000001</v>
      </c>
      <c r="O112" s="76">
        <v>-23.901</v>
      </c>
      <c r="P112" s="76">
        <f>-49.821-O112</f>
        <v>-25.919999999999998</v>
      </c>
      <c r="Q112" s="76">
        <f>-77.58-P112-O112</f>
        <v>-27.758999999999997</v>
      </c>
      <c r="S112" s="30">
        <f t="shared" si="196"/>
        <v>-77.950999999999993</v>
      </c>
      <c r="T112" s="30">
        <f t="shared" si="197"/>
        <v>-82</v>
      </c>
      <c r="U112" s="30">
        <f t="shared" si="198"/>
        <v>-85.314999999999998</v>
      </c>
      <c r="V112" s="30">
        <f t="shared" si="199"/>
        <v>-88.772000000000006</v>
      </c>
      <c r="W112" s="30">
        <f t="shared" si="200"/>
        <v>-92.408000000000001</v>
      </c>
      <c r="X112" s="30">
        <f t="shared" si="201"/>
        <v>-96.524000000000001</v>
      </c>
      <c r="Y112" s="30">
        <f t="shared" si="202"/>
        <v>-101.857</v>
      </c>
      <c r="Z112" s="55"/>
      <c r="AA112" s="68">
        <f t="shared" ref="AA112" si="206">SUM(Y112/U112)-1</f>
        <v>0.19389321924632252</v>
      </c>
    </row>
    <row r="113" spans="2:27" ht="12.75" customHeight="1">
      <c r="B113" s="56" t="s">
        <v>155</v>
      </c>
      <c r="C113" s="76">
        <v>54.158000000000001</v>
      </c>
      <c r="D113" s="76">
        <v>316.54599999999999</v>
      </c>
      <c r="E113" s="76">
        <v>92.53</v>
      </c>
      <c r="F113" s="30"/>
      <c r="G113" s="76">
        <v>33.673999999999999</v>
      </c>
      <c r="H113" s="76">
        <f>8.389-G113</f>
        <v>-25.285</v>
      </c>
      <c r="I113" s="76">
        <f>25.35-H113-G113</f>
        <v>16.961000000000006</v>
      </c>
      <c r="J113" s="30">
        <f t="shared" si="194"/>
        <v>291.19599999999997</v>
      </c>
      <c r="K113" s="76">
        <v>18.832999999999998</v>
      </c>
      <c r="L113" s="76">
        <f>30.443-K113</f>
        <v>11.610000000000003</v>
      </c>
      <c r="M113" s="76">
        <f>47.942-L113-K113</f>
        <v>17.498999999999995</v>
      </c>
      <c r="N113" s="30">
        <f t="shared" si="195"/>
        <v>44.588000000000008</v>
      </c>
      <c r="O113" s="76">
        <v>19.646999999999998</v>
      </c>
      <c r="P113" s="76">
        <f>-32.026-O113</f>
        <v>-51.673000000000002</v>
      </c>
      <c r="Q113" s="76">
        <f>-11.802-P113-O113</f>
        <v>20.224000000000004</v>
      </c>
      <c r="S113" s="30">
        <f t="shared" si="196"/>
        <v>301.70499999999993</v>
      </c>
      <c r="T113" s="30">
        <f t="shared" si="197"/>
        <v>338.6</v>
      </c>
      <c r="U113" s="30">
        <f t="shared" si="198"/>
        <v>339.13800000000003</v>
      </c>
      <c r="V113" s="30">
        <f t="shared" si="199"/>
        <v>92.53</v>
      </c>
      <c r="W113" s="30">
        <f t="shared" si="200"/>
        <v>93.343999999999994</v>
      </c>
      <c r="X113" s="30">
        <f t="shared" si="201"/>
        <v>30.061000000000007</v>
      </c>
      <c r="Y113" s="30">
        <f t="shared" si="202"/>
        <v>32.786000000000016</v>
      </c>
      <c r="Z113" s="55"/>
      <c r="AA113" s="68">
        <f t="shared" si="203"/>
        <v>-0.90332548991855821</v>
      </c>
    </row>
    <row r="114" spans="2:27" ht="12.75" customHeight="1">
      <c r="B114" s="12" t="s">
        <v>56</v>
      </c>
      <c r="C114" s="13">
        <f>SUM(C94:C113)</f>
        <v>603.18300000000011</v>
      </c>
      <c r="D114" s="13">
        <f>SUM(D94:D113)</f>
        <v>930.47799999999984</v>
      </c>
      <c r="E114" s="13">
        <f>SUM(E94:E113)</f>
        <v>992.41499999999985</v>
      </c>
      <c r="G114" s="13">
        <f>SUM(G94:G113)</f>
        <v>10.088000000000054</v>
      </c>
      <c r="H114" s="13">
        <f>SUM(H94:H113)</f>
        <v>320.67</v>
      </c>
      <c r="I114" s="13">
        <f>SUM(I94:I113)</f>
        <v>249.988</v>
      </c>
      <c r="J114" s="13">
        <f>SUM(J94:J113)</f>
        <v>349.73199999999997</v>
      </c>
      <c r="K114" s="13">
        <f>SUM(K94:K113)</f>
        <v>-27.728000000000051</v>
      </c>
      <c r="L114" s="13">
        <f>SUM(L94:L113)</f>
        <v>401.12900000000002</v>
      </c>
      <c r="M114" s="13">
        <f>SUM(M94:M113)</f>
        <v>296.88600000000008</v>
      </c>
      <c r="N114" s="13">
        <f>SUM(N94:N113)</f>
        <v>322.12800000000004</v>
      </c>
      <c r="O114" s="13">
        <f>SUM(O94:O113)</f>
        <v>-67.337999999999994</v>
      </c>
      <c r="P114" s="13">
        <f>SUM(P94:P113)</f>
        <v>285.88200000000023</v>
      </c>
      <c r="Q114" s="13">
        <f>SUM(Q94:Q113)</f>
        <v>239.33600000000001</v>
      </c>
      <c r="S114" s="13">
        <f>SUM(S94:S113)</f>
        <v>892.66199999999981</v>
      </c>
      <c r="T114" s="13">
        <f>SUM(T94:T113)</f>
        <v>973.12099999999998</v>
      </c>
      <c r="U114" s="13">
        <f>SUM(U94:U113)</f>
        <v>1020.0190000000001</v>
      </c>
      <c r="V114" s="13">
        <f>SUM(V94:V113)</f>
        <v>992.41499999999985</v>
      </c>
      <c r="W114" s="13">
        <f>SUM(W94:W113)</f>
        <v>952.80500000000029</v>
      </c>
      <c r="X114" s="13">
        <f>SUM(X94:X113)</f>
        <v>837.55800000000022</v>
      </c>
      <c r="Y114" s="13">
        <f>SUM(Y94:Y113)</f>
        <v>780.00800000000004</v>
      </c>
      <c r="Z114" s="39"/>
      <c r="AA114" s="69">
        <f t="shared" si="203"/>
        <v>-0.23530051891190262</v>
      </c>
    </row>
    <row r="115" spans="2:27" ht="12.75" customHeight="1">
      <c r="B115" s="49"/>
      <c r="C115" s="57"/>
      <c r="D115" s="57"/>
      <c r="E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S115" s="39"/>
      <c r="T115" s="39"/>
      <c r="U115" s="39"/>
      <c r="V115" s="39"/>
      <c r="W115" s="39"/>
      <c r="X115" s="39"/>
      <c r="Y115" s="39"/>
      <c r="Z115" s="39"/>
      <c r="AA115" s="36"/>
    </row>
    <row r="116" spans="2:27" ht="12.75" customHeight="1">
      <c r="B116" s="112" t="s">
        <v>57</v>
      </c>
      <c r="C116" s="54"/>
      <c r="D116" s="54"/>
      <c r="E116" s="54"/>
      <c r="G116" s="76"/>
      <c r="H116" s="76"/>
      <c r="I116" s="76"/>
      <c r="J116" s="30"/>
      <c r="K116" s="76"/>
      <c r="L116" s="76"/>
      <c r="M116" s="76"/>
      <c r="N116" s="30"/>
      <c r="O116" s="76"/>
      <c r="P116" s="76"/>
      <c r="Q116" s="76"/>
      <c r="S116" s="54"/>
      <c r="T116" s="54"/>
      <c r="U116" s="54"/>
      <c r="V116" s="54"/>
      <c r="W116" s="54"/>
      <c r="X116" s="54"/>
      <c r="Y116" s="54"/>
      <c r="Z116" s="55"/>
      <c r="AA116" s="36"/>
    </row>
    <row r="117" spans="2:27" ht="12.75" customHeight="1">
      <c r="B117" s="56" t="s">
        <v>156</v>
      </c>
      <c r="C117" s="76">
        <v>-104.19</v>
      </c>
      <c r="D117" s="76">
        <v>-115.625</v>
      </c>
      <c r="E117" s="76">
        <v>-69.346999999999994</v>
      </c>
      <c r="F117" s="30"/>
      <c r="G117" s="76">
        <v>-27.581</v>
      </c>
      <c r="H117" s="76">
        <f>-51.645-G117</f>
        <v>-24.064000000000004</v>
      </c>
      <c r="I117" s="76">
        <f>-86.378-H117-G117</f>
        <v>-34.73299999999999</v>
      </c>
      <c r="J117" s="30">
        <f>SUM(D117-SUM(G117:I117))</f>
        <v>-29.247000000000014</v>
      </c>
      <c r="K117" s="76">
        <v>-15.75</v>
      </c>
      <c r="L117" s="76">
        <f>-32.806-K117</f>
        <v>-17.055999999999997</v>
      </c>
      <c r="M117" s="76">
        <f>-50.857-L117-K117</f>
        <v>-18.051000000000002</v>
      </c>
      <c r="N117" s="30">
        <f>SUM(E117-SUM(K117:M117))</f>
        <v>-18.489999999999995</v>
      </c>
      <c r="O117" s="76">
        <v>-15.375</v>
      </c>
      <c r="P117" s="76">
        <f>-31.946-O117</f>
        <v>-16.571000000000002</v>
      </c>
      <c r="Q117" s="76">
        <f>-45.12-P117-O117</f>
        <v>-13.173999999999996</v>
      </c>
      <c r="R117" s="30"/>
      <c r="S117" s="30">
        <f t="shared" ref="S117:S119" si="207">SUM(H117:K117)</f>
        <v>-103.79400000000001</v>
      </c>
      <c r="T117" s="30">
        <f t="shared" ref="T117:T119" si="208">SUM(I117:L117)</f>
        <v>-96.786000000000001</v>
      </c>
      <c r="U117" s="30">
        <f t="shared" ref="U117:U119" si="209">SUM(J117:M117)</f>
        <v>-80.104000000000013</v>
      </c>
      <c r="V117" s="30">
        <f t="shared" ref="V117:V119" si="210">SUM(K117:N117)</f>
        <v>-69.346999999999994</v>
      </c>
      <c r="W117" s="30">
        <f t="shared" ref="W117:W119" si="211">SUM(L117:O117)</f>
        <v>-68.971999999999994</v>
      </c>
      <c r="X117" s="30">
        <f t="shared" ref="X117:X119" si="212">SUM(M117:P117)</f>
        <v>-68.486999999999995</v>
      </c>
      <c r="Y117" s="30">
        <f t="shared" ref="Y117:Y119" si="213">SUM(N117:Q117)</f>
        <v>-63.609999999999985</v>
      </c>
      <c r="Z117" s="55"/>
      <c r="AA117" s="68">
        <f t="shared" ref="AA117:AA120" si="214">SUM(Y117/U117)-1</f>
        <v>-0.2059073204833719</v>
      </c>
    </row>
    <row r="118" spans="2:27" ht="12.75" customHeight="1">
      <c r="B118" s="56" t="s">
        <v>157</v>
      </c>
      <c r="C118" s="76">
        <v>-2046.8810000000001</v>
      </c>
      <c r="D118" s="76">
        <v>0</v>
      </c>
      <c r="E118" s="76">
        <v>0</v>
      </c>
      <c r="F118" s="30"/>
      <c r="G118" s="76">
        <v>0</v>
      </c>
      <c r="H118" s="76">
        <v>0</v>
      </c>
      <c r="I118" s="76">
        <v>0</v>
      </c>
      <c r="J118" s="30">
        <f>SUM(D118-SUM(G118:I118))</f>
        <v>0</v>
      </c>
      <c r="K118" s="76">
        <v>0</v>
      </c>
      <c r="L118" s="76">
        <v>0</v>
      </c>
      <c r="M118" s="76">
        <v>0</v>
      </c>
      <c r="N118" s="30">
        <f>SUM(E118-SUM(K118:M118))</f>
        <v>0</v>
      </c>
      <c r="O118" s="76">
        <v>0</v>
      </c>
      <c r="P118" s="76">
        <v>0</v>
      </c>
      <c r="Q118" s="76">
        <v>0</v>
      </c>
      <c r="R118" s="30"/>
      <c r="S118" s="30">
        <f t="shared" si="207"/>
        <v>0</v>
      </c>
      <c r="T118" s="30">
        <f t="shared" si="208"/>
        <v>0</v>
      </c>
      <c r="U118" s="30">
        <f t="shared" si="209"/>
        <v>0</v>
      </c>
      <c r="V118" s="30">
        <f t="shared" si="210"/>
        <v>0</v>
      </c>
      <c r="W118" s="30">
        <f t="shared" si="211"/>
        <v>0</v>
      </c>
      <c r="X118" s="30">
        <f t="shared" si="212"/>
        <v>0</v>
      </c>
      <c r="Y118" s="30">
        <f t="shared" si="213"/>
        <v>0</v>
      </c>
      <c r="Z118" s="55"/>
      <c r="AA118" s="68" t="e">
        <f t="shared" si="214"/>
        <v>#DIV/0!</v>
      </c>
    </row>
    <row r="119" spans="2:27" ht="12.75" customHeight="1">
      <c r="B119" s="56" t="s">
        <v>158</v>
      </c>
      <c r="C119" s="76">
        <v>-0.02</v>
      </c>
      <c r="D119" s="76">
        <v>-4.5999999999999999E-2</v>
      </c>
      <c r="E119" s="76">
        <v>0</v>
      </c>
      <c r="F119" s="30"/>
      <c r="G119" s="76">
        <v>0</v>
      </c>
      <c r="H119" s="76">
        <v>0</v>
      </c>
      <c r="I119" s="76">
        <f>-0.09-H119-G119</f>
        <v>-0.09</v>
      </c>
      <c r="J119" s="30">
        <f>SUM(D119-SUM(G119:I119))</f>
        <v>4.3999999999999997E-2</v>
      </c>
      <c r="K119" s="76">
        <v>0</v>
      </c>
      <c r="L119" s="76">
        <v>0</v>
      </c>
      <c r="M119" s="76">
        <v>0</v>
      </c>
      <c r="N119" s="30">
        <f>SUM(E119-SUM(K119:M119))</f>
        <v>0</v>
      </c>
      <c r="O119" s="76">
        <v>0</v>
      </c>
      <c r="P119" s="76">
        <v>0</v>
      </c>
      <c r="Q119" s="76">
        <v>0</v>
      </c>
      <c r="R119" s="30"/>
      <c r="S119" s="30">
        <f t="shared" si="207"/>
        <v>-4.5999999999999999E-2</v>
      </c>
      <c r="T119" s="30">
        <f t="shared" si="208"/>
        <v>-4.5999999999999999E-2</v>
      </c>
      <c r="U119" s="30">
        <f t="shared" si="209"/>
        <v>4.3999999999999997E-2</v>
      </c>
      <c r="V119" s="30">
        <f t="shared" si="210"/>
        <v>0</v>
      </c>
      <c r="W119" s="30">
        <f t="shared" si="211"/>
        <v>0</v>
      </c>
      <c r="X119" s="30">
        <f t="shared" si="212"/>
        <v>0</v>
      </c>
      <c r="Y119" s="30">
        <f t="shared" si="213"/>
        <v>0</v>
      </c>
      <c r="Z119" s="55"/>
      <c r="AA119" s="68">
        <f t="shared" si="214"/>
        <v>-1</v>
      </c>
    </row>
    <row r="120" spans="2:27" ht="12.75" customHeight="1">
      <c r="B120" s="12" t="s">
        <v>58</v>
      </c>
      <c r="C120" s="13">
        <f>SUM(C117:C119)</f>
        <v>-2151.0909999999999</v>
      </c>
      <c r="D120" s="13">
        <f>SUM(D117:D119)</f>
        <v>-115.67100000000001</v>
      </c>
      <c r="E120" s="13">
        <f>SUM(E117:E119)</f>
        <v>-69.346999999999994</v>
      </c>
      <c r="G120" s="13">
        <f>SUM(G117:G119)</f>
        <v>-27.581</v>
      </c>
      <c r="H120" s="13">
        <f>SUM(H117:H119)</f>
        <v>-24.064000000000004</v>
      </c>
      <c r="I120" s="13">
        <f>SUM(I117:I119)</f>
        <v>-34.822999999999993</v>
      </c>
      <c r="J120" s="13">
        <f>SUM(J117:J119)</f>
        <v>-29.203000000000014</v>
      </c>
      <c r="K120" s="13">
        <f>SUM(K117:K119)</f>
        <v>-15.75</v>
      </c>
      <c r="L120" s="13">
        <f>SUM(L117:L119)</f>
        <v>-17.055999999999997</v>
      </c>
      <c r="M120" s="13">
        <f>SUM(M117:M119)</f>
        <v>-18.051000000000002</v>
      </c>
      <c r="N120" s="13">
        <f>SUM(N117:N119)</f>
        <v>-18.489999999999995</v>
      </c>
      <c r="O120" s="13">
        <f>SUM(O117:O119)</f>
        <v>-15.375</v>
      </c>
      <c r="P120" s="13">
        <f>SUM(P117:P119)</f>
        <v>-16.571000000000002</v>
      </c>
      <c r="Q120" s="13">
        <f>SUM(Q117:Q119)</f>
        <v>-13.173999999999996</v>
      </c>
      <c r="S120" s="13">
        <f>SUM(S117:S119)</f>
        <v>-103.84000000000002</v>
      </c>
      <c r="T120" s="13">
        <f>SUM(T117:T119)</f>
        <v>-96.832000000000008</v>
      </c>
      <c r="U120" s="13">
        <f>SUM(U117:U119)</f>
        <v>-80.060000000000016</v>
      </c>
      <c r="V120" s="13">
        <f>SUM(V117:V119)</f>
        <v>-69.346999999999994</v>
      </c>
      <c r="W120" s="13">
        <f>SUM(W117:W119)</f>
        <v>-68.971999999999994</v>
      </c>
      <c r="X120" s="13">
        <f>SUM(X117:X119)</f>
        <v>-68.486999999999995</v>
      </c>
      <c r="Y120" s="13">
        <f>SUM(Y117:Y119)</f>
        <v>-63.609999999999985</v>
      </c>
      <c r="Z120" s="39"/>
      <c r="AA120" s="69">
        <f t="shared" si="214"/>
        <v>-0.20547089682737985</v>
      </c>
    </row>
    <row r="121" spans="2:27" ht="5.0999999999999996" customHeight="1">
      <c r="B121" s="48"/>
      <c r="C121" s="57"/>
      <c r="D121" s="57"/>
      <c r="E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S121" s="39"/>
      <c r="T121" s="39"/>
      <c r="U121" s="39"/>
      <c r="V121" s="39"/>
      <c r="W121" s="39"/>
      <c r="X121" s="39"/>
      <c r="Y121" s="39"/>
      <c r="Z121" s="39"/>
      <c r="AA121" s="36"/>
    </row>
    <row r="122" spans="2:27" ht="12.75" customHeight="1">
      <c r="B122" s="112" t="s">
        <v>59</v>
      </c>
      <c r="C122" s="58"/>
      <c r="D122" s="58"/>
      <c r="E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30"/>
      <c r="S122" s="30"/>
      <c r="T122" s="30"/>
      <c r="U122" s="30"/>
      <c r="V122" s="30"/>
      <c r="W122" s="30"/>
      <c r="X122" s="30"/>
      <c r="Y122" s="30"/>
      <c r="Z122" s="59"/>
      <c r="AA122" s="36"/>
    </row>
    <row r="123" spans="2:27" ht="12.75" customHeight="1">
      <c r="B123" s="77" t="s">
        <v>167</v>
      </c>
      <c r="C123" s="76">
        <f>-575.285+2169.898-53.596</f>
        <v>1541.0170000000003</v>
      </c>
      <c r="D123" s="76">
        <f>-923.703+257.905-1.736</f>
        <v>-667.53399999999999</v>
      </c>
      <c r="E123" s="76">
        <f>-425.405+102.156-2.277</f>
        <v>-325.52599999999995</v>
      </c>
      <c r="F123" s="30"/>
      <c r="G123" s="76">
        <f>-256+214.634-0.545</f>
        <v>-41.911000000000016</v>
      </c>
      <c r="H123" s="76">
        <f>-513.703+214.634-0.612-G123</f>
        <v>-257.77</v>
      </c>
      <c r="I123" s="76">
        <f>-603.703+214.634-1.736-H123-G123</f>
        <v>-91.123999999999953</v>
      </c>
      <c r="J123" s="30">
        <f t="shared" ref="J123:J125" si="215">SUM(D123-SUM(G123:I123))</f>
        <v>-276.72900000000004</v>
      </c>
      <c r="K123" s="76">
        <f>-16.405+78.156</f>
        <v>61.751000000000005</v>
      </c>
      <c r="L123" s="76">
        <f>-216.405+78.156-K123</f>
        <v>-200</v>
      </c>
      <c r="M123" s="76">
        <f>-326.405+78.156-L123-K123</f>
        <v>-109.99999999999997</v>
      </c>
      <c r="N123" s="30">
        <f t="shared" ref="N123:N125" si="216">SUM(E123-SUM(K123:M123))</f>
        <v>-77.276999999999987</v>
      </c>
      <c r="O123" s="76">
        <f>-65+195</f>
        <v>130</v>
      </c>
      <c r="P123" s="76">
        <f>-514+539-O123</f>
        <v>-105</v>
      </c>
      <c r="Q123" s="76">
        <f>-664+626-P123-O123</f>
        <v>-63</v>
      </c>
      <c r="R123" s="30"/>
      <c r="S123" s="30">
        <f t="shared" ref="S123:S125" si="217">SUM(H123:K123)</f>
        <v>-563.87200000000007</v>
      </c>
      <c r="T123" s="30">
        <f t="shared" ref="T123:T125" si="218">SUM(I123:L123)</f>
        <v>-506.10199999999998</v>
      </c>
      <c r="U123" s="30">
        <f t="shared" ref="U123:U125" si="219">SUM(J123:M123)</f>
        <v>-524.97800000000007</v>
      </c>
      <c r="V123" s="30">
        <f t="shared" ref="V123:V125" si="220">SUM(K123:N123)</f>
        <v>-325.52599999999995</v>
      </c>
      <c r="W123" s="30">
        <f t="shared" ref="W123:W125" si="221">SUM(L123:O123)</f>
        <v>-257.27699999999999</v>
      </c>
      <c r="X123" s="30">
        <f t="shared" ref="X123:X125" si="222">SUM(M123:P123)</f>
        <v>-162.27699999999996</v>
      </c>
      <c r="Y123" s="30">
        <f t="shared" ref="Y123:Y125" si="223">SUM(N123:Q123)</f>
        <v>-115.27699999999999</v>
      </c>
      <c r="Z123" s="55"/>
      <c r="AA123" s="68">
        <f t="shared" ref="AA123:AA126" si="224">SUM(Y123/U123)-1</f>
        <v>-0.78041556027109715</v>
      </c>
    </row>
    <row r="124" spans="2:27" ht="12.75" customHeight="1">
      <c r="B124" s="56" t="s">
        <v>168</v>
      </c>
      <c r="C124" s="76">
        <v>-11.477</v>
      </c>
      <c r="D124" s="76">
        <f>-175.019-17.086</f>
        <v>-192.10500000000002</v>
      </c>
      <c r="E124" s="76">
        <f>-552.451-8.239</f>
        <v>-560.69000000000005</v>
      </c>
      <c r="F124" s="30"/>
      <c r="G124" s="76">
        <v>-10.395</v>
      </c>
      <c r="H124" s="76">
        <f>-11.636-G124</f>
        <v>-1.2409999999999997</v>
      </c>
      <c r="I124" s="76">
        <f>-150.013-17.034-H124-G124</f>
        <v>-155.41099999999997</v>
      </c>
      <c r="J124" s="30">
        <f t="shared" si="215"/>
        <v>-25.05800000000005</v>
      </c>
      <c r="K124" s="76">
        <v>-5.9130000000000003</v>
      </c>
      <c r="L124" s="76">
        <f>-175.011-5.913-K124</f>
        <v>-175.011</v>
      </c>
      <c r="M124" s="76">
        <f>-326.185-8.235-L124-K124</f>
        <v>-153.49600000000001</v>
      </c>
      <c r="N124" s="30">
        <f t="shared" si="216"/>
        <v>-226.27000000000004</v>
      </c>
      <c r="O124" s="76">
        <f>-60.866-3.31</f>
        <v>-64.176000000000002</v>
      </c>
      <c r="P124" s="76">
        <f>-194.137-4.104-O124</f>
        <v>-134.065</v>
      </c>
      <c r="Q124" s="76">
        <f>-402.153-4.245-P124-O124</f>
        <v>-208.15700000000004</v>
      </c>
      <c r="R124" s="30"/>
      <c r="S124" s="30">
        <f t="shared" si="217"/>
        <v>-187.62300000000005</v>
      </c>
      <c r="T124" s="30">
        <f t="shared" si="218"/>
        <v>-361.39300000000003</v>
      </c>
      <c r="U124" s="30">
        <f t="shared" si="219"/>
        <v>-359.47800000000007</v>
      </c>
      <c r="V124" s="30">
        <f t="shared" si="220"/>
        <v>-560.69000000000005</v>
      </c>
      <c r="W124" s="30">
        <f t="shared" si="221"/>
        <v>-618.95300000000009</v>
      </c>
      <c r="X124" s="30">
        <f t="shared" si="222"/>
        <v>-578.00700000000006</v>
      </c>
      <c r="Y124" s="30">
        <f t="shared" si="223"/>
        <v>-632.66800000000012</v>
      </c>
      <c r="Z124" s="55"/>
      <c r="AA124" s="68">
        <f t="shared" si="224"/>
        <v>0.75996305754455062</v>
      </c>
    </row>
    <row r="125" spans="2:27" ht="12.75" customHeight="1">
      <c r="B125" s="56" t="s">
        <v>158</v>
      </c>
      <c r="C125" s="76">
        <v>0.11899999999999999</v>
      </c>
      <c r="D125" s="76">
        <v>0</v>
      </c>
      <c r="E125" s="76">
        <v>0.16800000000000001</v>
      </c>
      <c r="F125" s="30"/>
      <c r="G125" s="76">
        <v>0</v>
      </c>
      <c r="H125" s="76">
        <v>0</v>
      </c>
      <c r="I125" s="76">
        <v>0</v>
      </c>
      <c r="J125" s="30">
        <f t="shared" si="215"/>
        <v>0</v>
      </c>
      <c r="K125" s="76">
        <v>-1.0069999999999999</v>
      </c>
      <c r="L125" s="76">
        <f>-1.005-K125</f>
        <v>2.0000000000000018E-3</v>
      </c>
      <c r="M125" s="76">
        <f>-1.004-L125-K125</f>
        <v>9.9999999999988987E-4</v>
      </c>
      <c r="N125" s="30">
        <f t="shared" si="216"/>
        <v>1.1719999999999999</v>
      </c>
      <c r="O125" s="76">
        <v>0</v>
      </c>
      <c r="P125" s="76">
        <v>0</v>
      </c>
      <c r="Q125" s="76">
        <v>0</v>
      </c>
      <c r="R125" s="30"/>
      <c r="S125" s="30">
        <f t="shared" si="217"/>
        <v>-1.0069999999999999</v>
      </c>
      <c r="T125" s="30">
        <f t="shared" si="218"/>
        <v>-1.0049999999999999</v>
      </c>
      <c r="U125" s="30">
        <f t="shared" si="219"/>
        <v>-1.004</v>
      </c>
      <c r="V125" s="30">
        <f t="shared" si="220"/>
        <v>0.16799999999999993</v>
      </c>
      <c r="W125" s="30">
        <f t="shared" si="221"/>
        <v>1.1749999999999998</v>
      </c>
      <c r="X125" s="30">
        <f t="shared" si="222"/>
        <v>1.1729999999999998</v>
      </c>
      <c r="Y125" s="30">
        <f t="shared" si="223"/>
        <v>1.1719999999999999</v>
      </c>
      <c r="Z125" s="55"/>
      <c r="AA125" s="68">
        <f t="shared" si="224"/>
        <v>-2.1673306772908365</v>
      </c>
    </row>
    <row r="126" spans="2:27" ht="12.75" customHeight="1">
      <c r="B126" s="12" t="s">
        <v>60</v>
      </c>
      <c r="C126" s="13">
        <f>SUM(C123:C125)</f>
        <v>1529.6590000000001</v>
      </c>
      <c r="D126" s="13">
        <f>SUM(D123:D125)</f>
        <v>-859.63900000000001</v>
      </c>
      <c r="E126" s="13">
        <f>SUM(E123:E125)</f>
        <v>-886.048</v>
      </c>
      <c r="G126" s="13">
        <f>SUM(G123:G125)</f>
        <v>-52.306000000000012</v>
      </c>
      <c r="H126" s="13">
        <f>SUM(H123:H125)</f>
        <v>-259.01099999999997</v>
      </c>
      <c r="I126" s="13">
        <f>SUM(I123:I125)</f>
        <v>-246.53499999999991</v>
      </c>
      <c r="J126" s="13">
        <f>SUM(J123:J125)</f>
        <v>-301.78700000000009</v>
      </c>
      <c r="K126" s="13">
        <f>SUM(K123:K125)</f>
        <v>54.83100000000001</v>
      </c>
      <c r="L126" s="13">
        <f>SUM(L123:L125)</f>
        <v>-375.00899999999996</v>
      </c>
      <c r="M126" s="13">
        <f>SUM(M123:M125)</f>
        <v>-263.495</v>
      </c>
      <c r="N126" s="13">
        <f>SUM(N123:N125)</f>
        <v>-302.375</v>
      </c>
      <c r="O126" s="13">
        <f>SUM(O123:O125)</f>
        <v>65.823999999999998</v>
      </c>
      <c r="P126" s="13">
        <f>SUM(P123:P125)</f>
        <v>-239.065</v>
      </c>
      <c r="Q126" s="13">
        <f>SUM(Q123:Q125)</f>
        <v>-271.15700000000004</v>
      </c>
      <c r="S126" s="13">
        <f>SUM(S123:S125)</f>
        <v>-752.50200000000007</v>
      </c>
      <c r="T126" s="13">
        <f>SUM(T123:T125)</f>
        <v>-868.5</v>
      </c>
      <c r="U126" s="13">
        <f>SUM(U123:U125)</f>
        <v>-885.46000000000015</v>
      </c>
      <c r="V126" s="13">
        <f>SUM(V123:V125)</f>
        <v>-886.048</v>
      </c>
      <c r="W126" s="13">
        <f>SUM(W123:W125)</f>
        <v>-875.05500000000006</v>
      </c>
      <c r="X126" s="13">
        <f>SUM(X123:X125)</f>
        <v>-739.11099999999999</v>
      </c>
      <c r="Y126" s="13">
        <f>SUM(Y123:Y125)</f>
        <v>-746.77300000000014</v>
      </c>
      <c r="Z126" s="39"/>
      <c r="AA126" s="69">
        <f t="shared" si="224"/>
        <v>-0.15662706389899039</v>
      </c>
    </row>
    <row r="127" spans="2:27" ht="5.0999999999999996" customHeight="1">
      <c r="B127" s="8"/>
      <c r="C127" s="60"/>
      <c r="D127" s="60"/>
      <c r="E127" s="60"/>
      <c r="F127" s="3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S127" s="11"/>
      <c r="T127" s="11"/>
      <c r="U127" s="11"/>
      <c r="V127" s="11"/>
      <c r="W127" s="11"/>
      <c r="X127" s="11"/>
      <c r="Y127" s="11"/>
      <c r="Z127" s="11"/>
      <c r="AA127" s="42"/>
    </row>
    <row r="128" spans="2:27" ht="5.0999999999999996" customHeight="1">
      <c r="B128" s="65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11"/>
      <c r="AA128" s="42"/>
    </row>
    <row r="129" spans="2:27">
      <c r="B129" s="160" t="s">
        <v>94</v>
      </c>
      <c r="C129" s="161">
        <v>216.92500000000001</v>
      </c>
      <c r="D129" s="162">
        <f>C136</f>
        <v>191.62600000000032</v>
      </c>
      <c r="E129" s="162">
        <f t="shared" ref="E129" si="225">D136</f>
        <v>149.3720000000001</v>
      </c>
      <c r="F129" s="162"/>
      <c r="G129" s="162">
        <f>D129</f>
        <v>191.62600000000032</v>
      </c>
      <c r="H129" s="162">
        <f t="shared" ref="H129:Q129" si="226">G136</f>
        <v>125.92700000000038</v>
      </c>
      <c r="I129" s="162">
        <f t="shared" si="226"/>
        <v>166.4710000000004</v>
      </c>
      <c r="J129" s="162">
        <f t="shared" si="226"/>
        <v>127.39000000000053</v>
      </c>
      <c r="K129" s="162">
        <f t="shared" si="226"/>
        <v>149.37200000000036</v>
      </c>
      <c r="L129" s="162">
        <f t="shared" si="226"/>
        <v>159.24300000000034</v>
      </c>
      <c r="M129" s="162">
        <f t="shared" si="226"/>
        <v>167.5420000000004</v>
      </c>
      <c r="N129" s="162">
        <f t="shared" si="226"/>
        <v>185.95800000000048</v>
      </c>
      <c r="O129" s="162">
        <f t="shared" si="226"/>
        <v>180.48200000000054</v>
      </c>
      <c r="P129" s="162">
        <f t="shared" si="226"/>
        <v>166.33800000000053</v>
      </c>
      <c r="Q129" s="162">
        <f t="shared" si="226"/>
        <v>203.40900000000079</v>
      </c>
      <c r="R129" s="162"/>
      <c r="S129" s="162">
        <f>K129</f>
        <v>149.37200000000036</v>
      </c>
      <c r="T129" s="162">
        <f t="shared" ref="T129:Y129" si="227">S136</f>
        <v>159.24300000000034</v>
      </c>
      <c r="U129" s="162">
        <f t="shared" si="227"/>
        <v>167.5420000000004</v>
      </c>
      <c r="V129" s="162">
        <f t="shared" si="227"/>
        <v>185.95800000000048</v>
      </c>
      <c r="W129" s="162">
        <f t="shared" si="227"/>
        <v>180.48200000000054</v>
      </c>
      <c r="X129" s="162">
        <f t="shared" si="227"/>
        <v>166.33800000000053</v>
      </c>
      <c r="Y129" s="163">
        <f t="shared" si="227"/>
        <v>203.40900000000079</v>
      </c>
      <c r="Z129" s="11"/>
      <c r="AA129" s="42"/>
    </row>
    <row r="130" spans="2:27">
      <c r="B130" s="155" t="s">
        <v>91</v>
      </c>
      <c r="C130" s="145"/>
      <c r="D130" s="145">
        <f>-C134</f>
        <v>3.3</v>
      </c>
      <c r="E130" s="145">
        <f t="shared" ref="E130" si="228">-D134</f>
        <v>3.8</v>
      </c>
      <c r="F130" s="145"/>
      <c r="G130" s="145">
        <f>D130</f>
        <v>3.3</v>
      </c>
      <c r="H130" s="145">
        <f>-G134</f>
        <v>3.2</v>
      </c>
      <c r="I130" s="145">
        <f t="shared" ref="I130:Q130" si="229">-H134</f>
        <v>3.3</v>
      </c>
      <c r="J130" s="145">
        <f t="shared" si="229"/>
        <v>3.7</v>
      </c>
      <c r="K130" s="145">
        <f t="shared" si="229"/>
        <v>3.8</v>
      </c>
      <c r="L130" s="145">
        <f t="shared" si="229"/>
        <v>3.7</v>
      </c>
      <c r="M130" s="145">
        <f t="shared" si="229"/>
        <v>3.3</v>
      </c>
      <c r="N130" s="145">
        <f t="shared" si="229"/>
        <v>3.4</v>
      </c>
      <c r="O130" s="145">
        <f t="shared" si="229"/>
        <v>3.2</v>
      </c>
      <c r="P130" s="145">
        <f t="shared" si="229"/>
        <v>3.3</v>
      </c>
      <c r="Q130" s="145">
        <f t="shared" si="229"/>
        <v>3.6</v>
      </c>
      <c r="R130" s="145"/>
      <c r="S130" s="145">
        <f>K130</f>
        <v>3.8</v>
      </c>
      <c r="T130" s="145">
        <f t="shared" ref="T130:Y130" si="230">-S134</f>
        <v>3.7</v>
      </c>
      <c r="U130" s="145">
        <f t="shared" si="230"/>
        <v>3.3</v>
      </c>
      <c r="V130" s="145">
        <f t="shared" si="230"/>
        <v>3.4</v>
      </c>
      <c r="W130" s="145">
        <f t="shared" si="230"/>
        <v>3.2</v>
      </c>
      <c r="X130" s="145">
        <f t="shared" si="230"/>
        <v>3.3</v>
      </c>
      <c r="Y130" s="151">
        <f t="shared" si="230"/>
        <v>3.6</v>
      </c>
      <c r="Z130" s="11"/>
      <c r="AA130" s="42"/>
    </row>
    <row r="131" spans="2:27">
      <c r="B131" s="156" t="s">
        <v>74</v>
      </c>
      <c r="C131" s="113">
        <f t="shared" ref="C131:E131" si="231">SUM(C129:C130)</f>
        <v>216.92500000000001</v>
      </c>
      <c r="D131" s="113">
        <f t="shared" si="231"/>
        <v>194.92600000000033</v>
      </c>
      <c r="E131" s="113">
        <f t="shared" si="231"/>
        <v>153.17200000000011</v>
      </c>
      <c r="F131" s="145"/>
      <c r="G131" s="113">
        <f t="shared" ref="G131:P131" si="232">SUM(G129:G130)</f>
        <v>194.92600000000033</v>
      </c>
      <c r="H131" s="113">
        <f t="shared" si="232"/>
        <v>129.12700000000038</v>
      </c>
      <c r="I131" s="113">
        <f t="shared" si="232"/>
        <v>169.77100000000041</v>
      </c>
      <c r="J131" s="113">
        <f t="shared" si="232"/>
        <v>131.09000000000052</v>
      </c>
      <c r="K131" s="113">
        <f t="shared" si="232"/>
        <v>153.17200000000037</v>
      </c>
      <c r="L131" s="113">
        <f t="shared" si="232"/>
        <v>162.94300000000032</v>
      </c>
      <c r="M131" s="113">
        <f t="shared" si="232"/>
        <v>170.84200000000041</v>
      </c>
      <c r="N131" s="113">
        <f t="shared" si="232"/>
        <v>189.35800000000049</v>
      </c>
      <c r="O131" s="113">
        <f t="shared" si="232"/>
        <v>183.68200000000053</v>
      </c>
      <c r="P131" s="113">
        <f t="shared" si="232"/>
        <v>169.63800000000055</v>
      </c>
      <c r="Q131" s="113">
        <f t="shared" ref="Q131" si="233">SUM(Q129:Q130)</f>
        <v>207.00900000000078</v>
      </c>
      <c r="R131" s="145"/>
      <c r="S131" s="113">
        <f t="shared" ref="S131:T131" si="234">SUM(S129:S130)</f>
        <v>153.17200000000037</v>
      </c>
      <c r="T131" s="113">
        <f t="shared" si="234"/>
        <v>162.94300000000032</v>
      </c>
      <c r="U131" s="113">
        <f t="shared" ref="U131" si="235">SUM(U129:U130)</f>
        <v>170.84200000000041</v>
      </c>
      <c r="V131" s="113">
        <f t="shared" ref="V131" si="236">SUM(V129:V130)</f>
        <v>189.35800000000049</v>
      </c>
      <c r="W131" s="113">
        <f t="shared" ref="W131" si="237">SUM(W129:W130)</f>
        <v>183.68200000000053</v>
      </c>
      <c r="X131" s="113">
        <f t="shared" ref="X131" si="238">SUM(X129:X130)</f>
        <v>169.63800000000055</v>
      </c>
      <c r="Y131" s="152">
        <f t="shared" ref="Y131" si="239">SUM(Y129:Y130)</f>
        <v>207.00900000000078</v>
      </c>
      <c r="Z131" s="11"/>
      <c r="AA131" s="42"/>
    </row>
    <row r="132" spans="2:27" ht="5.0999999999999996" customHeight="1">
      <c r="B132" s="157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51"/>
      <c r="Z132" s="11"/>
      <c r="AA132" s="42"/>
    </row>
    <row r="133" spans="2:27">
      <c r="B133" s="155" t="s">
        <v>92</v>
      </c>
      <c r="C133" s="146">
        <v>-3.75</v>
      </c>
      <c r="D133" s="146">
        <v>3.0779999999999998</v>
      </c>
      <c r="E133" s="146">
        <v>-6.51</v>
      </c>
      <c r="F133" s="145"/>
      <c r="G133" s="146">
        <v>4</v>
      </c>
      <c r="H133" s="146">
        <f>7.049-G133</f>
        <v>3.0490000000000004</v>
      </c>
      <c r="I133" s="146">
        <f>-0.262-H133-G133</f>
        <v>-7.3109999999999999</v>
      </c>
      <c r="J133" s="145">
        <f>SUM(D133-SUM(G133:I133))</f>
        <v>3.3399999999999994</v>
      </c>
      <c r="K133" s="146">
        <v>-1.5820000000000001</v>
      </c>
      <c r="L133" s="146">
        <f>-2.747-K133</f>
        <v>-1.1649999999999998</v>
      </c>
      <c r="M133" s="146">
        <f>0.429-L133-K133</f>
        <v>3.1760000000000002</v>
      </c>
      <c r="N133" s="145">
        <f>SUM(E133-SUM(K133:M133))</f>
        <v>-6.9390000000000001</v>
      </c>
      <c r="O133" s="146">
        <v>2.8450000000000002</v>
      </c>
      <c r="P133" s="146">
        <v>7.125</v>
      </c>
      <c r="Q133" s="146">
        <f>5.462-P133-O133</f>
        <v>-4.5080000000000009</v>
      </c>
      <c r="R133" s="145"/>
      <c r="S133" s="145">
        <f t="shared" ref="S133:Y135" si="240">K133</f>
        <v>-1.5820000000000001</v>
      </c>
      <c r="T133" s="145">
        <f t="shared" si="240"/>
        <v>-1.1649999999999998</v>
      </c>
      <c r="U133" s="145">
        <f t="shared" si="240"/>
        <v>3.1760000000000002</v>
      </c>
      <c r="V133" s="145">
        <f t="shared" si="240"/>
        <v>-6.9390000000000001</v>
      </c>
      <c r="W133" s="145">
        <f t="shared" si="240"/>
        <v>2.8450000000000002</v>
      </c>
      <c r="X133" s="145">
        <f t="shared" si="240"/>
        <v>7.125</v>
      </c>
      <c r="Y133" s="151">
        <f t="shared" si="240"/>
        <v>-4.5080000000000009</v>
      </c>
      <c r="Z133" s="11"/>
      <c r="AA133" s="42"/>
    </row>
    <row r="134" spans="2:27">
      <c r="B134" s="155" t="s">
        <v>93</v>
      </c>
      <c r="C134" s="145">
        <f>-C57</f>
        <v>-3.3</v>
      </c>
      <c r="D134" s="145">
        <f>-D57</f>
        <v>-3.8</v>
      </c>
      <c r="E134" s="145">
        <f>-E57</f>
        <v>-3.2</v>
      </c>
      <c r="F134" s="145"/>
      <c r="G134" s="145">
        <f>-G57</f>
        <v>-3.2</v>
      </c>
      <c r="H134" s="145">
        <f>-H57</f>
        <v>-3.3</v>
      </c>
      <c r="I134" s="145">
        <f>-I57</f>
        <v>-3.7</v>
      </c>
      <c r="J134" s="145">
        <f>-J57</f>
        <v>-3.8</v>
      </c>
      <c r="K134" s="145">
        <f>-K57</f>
        <v>-3.7</v>
      </c>
      <c r="L134" s="145">
        <f>-L57</f>
        <v>-3.3</v>
      </c>
      <c r="M134" s="145">
        <f>-M57</f>
        <v>-3.4</v>
      </c>
      <c r="N134" s="145">
        <f>-N57</f>
        <v>-3.2</v>
      </c>
      <c r="O134" s="145">
        <f>-O57</f>
        <v>-3.3</v>
      </c>
      <c r="P134" s="145">
        <f>-P57</f>
        <v>-3.6</v>
      </c>
      <c r="Q134" s="145">
        <f>-Q57</f>
        <v>-3.5529999999999999</v>
      </c>
      <c r="R134" s="145"/>
      <c r="S134" s="145">
        <f t="shared" si="240"/>
        <v>-3.7</v>
      </c>
      <c r="T134" s="145">
        <f t="shared" si="240"/>
        <v>-3.3</v>
      </c>
      <c r="U134" s="145">
        <f t="shared" si="240"/>
        <v>-3.4</v>
      </c>
      <c r="V134" s="145">
        <f t="shared" si="240"/>
        <v>-3.2</v>
      </c>
      <c r="W134" s="145">
        <f t="shared" si="240"/>
        <v>-3.3</v>
      </c>
      <c r="X134" s="145">
        <f t="shared" si="240"/>
        <v>-3.6</v>
      </c>
      <c r="Y134" s="151">
        <f t="shared" si="240"/>
        <v>-3.5529999999999999</v>
      </c>
      <c r="Z134" s="11"/>
      <c r="AA134" s="42"/>
    </row>
    <row r="135" spans="2:27">
      <c r="B135" s="155" t="s">
        <v>64</v>
      </c>
      <c r="C135" s="145">
        <f>+C126+C120+C114</f>
        <v>-18.248999999999683</v>
      </c>
      <c r="D135" s="145">
        <f>+D126+D120+D114</f>
        <v>-44.832000000000221</v>
      </c>
      <c r="E135" s="145">
        <f>+E126+E120+E114</f>
        <v>37.019999999999868</v>
      </c>
      <c r="F135" s="145"/>
      <c r="G135" s="145">
        <f>+G126+G120+G114</f>
        <v>-69.798999999999964</v>
      </c>
      <c r="H135" s="145">
        <f>+H126+H120+H114</f>
        <v>37.595000000000027</v>
      </c>
      <c r="I135" s="145">
        <f>+I126+I120+I114</f>
        <v>-31.369999999999891</v>
      </c>
      <c r="J135" s="145">
        <f>+J126+J120+J114</f>
        <v>18.741999999999848</v>
      </c>
      <c r="K135" s="145">
        <f>+K126+K120+K114</f>
        <v>11.352999999999959</v>
      </c>
      <c r="L135" s="145">
        <f>+L126+L120+L114</f>
        <v>9.0640000000000782</v>
      </c>
      <c r="M135" s="145">
        <f>+M126+M120+M114</f>
        <v>15.340000000000089</v>
      </c>
      <c r="N135" s="145">
        <f>+N126+N120+N114</f>
        <v>1.2630000000000337</v>
      </c>
      <c r="O135" s="145">
        <f>+O126+O120+O114</f>
        <v>-16.888999999999996</v>
      </c>
      <c r="P135" s="145">
        <f>+P126+P120+P114</f>
        <v>30.246000000000237</v>
      </c>
      <c r="Q135" s="145">
        <f>+Q126+Q120+Q114</f>
        <v>-44.995000000000005</v>
      </c>
      <c r="R135" s="145"/>
      <c r="S135" s="145">
        <f t="shared" si="240"/>
        <v>11.352999999999959</v>
      </c>
      <c r="T135" s="145">
        <f t="shared" si="240"/>
        <v>9.0640000000000782</v>
      </c>
      <c r="U135" s="145">
        <f t="shared" si="240"/>
        <v>15.340000000000089</v>
      </c>
      <c r="V135" s="145">
        <f t="shared" si="240"/>
        <v>1.2630000000000337</v>
      </c>
      <c r="W135" s="145">
        <f t="shared" si="240"/>
        <v>-16.888999999999996</v>
      </c>
      <c r="X135" s="145">
        <f t="shared" si="240"/>
        <v>30.246000000000237</v>
      </c>
      <c r="Y135" s="151">
        <f t="shared" si="240"/>
        <v>-44.995000000000005</v>
      </c>
      <c r="Z135" s="11"/>
      <c r="AA135" s="42"/>
    </row>
    <row r="136" spans="2:27">
      <c r="B136" s="156" t="s">
        <v>75</v>
      </c>
      <c r="C136" s="113">
        <f t="shared" ref="C136:E136" si="241">SUM(C131:C135)</f>
        <v>191.62600000000032</v>
      </c>
      <c r="D136" s="113">
        <f t="shared" si="241"/>
        <v>149.3720000000001</v>
      </c>
      <c r="E136" s="113">
        <f t="shared" si="241"/>
        <v>180.482</v>
      </c>
      <c r="F136" s="145"/>
      <c r="G136" s="113">
        <f t="shared" ref="G136:P136" si="242">SUM(G131:G135)</f>
        <v>125.92700000000038</v>
      </c>
      <c r="H136" s="113">
        <f t="shared" si="242"/>
        <v>166.4710000000004</v>
      </c>
      <c r="I136" s="113">
        <f t="shared" si="242"/>
        <v>127.39000000000053</v>
      </c>
      <c r="J136" s="113">
        <f t="shared" si="242"/>
        <v>149.37200000000036</v>
      </c>
      <c r="K136" s="113">
        <f t="shared" si="242"/>
        <v>159.24300000000034</v>
      </c>
      <c r="L136" s="113">
        <f t="shared" si="242"/>
        <v>167.5420000000004</v>
      </c>
      <c r="M136" s="113">
        <f t="shared" si="242"/>
        <v>185.95800000000048</v>
      </c>
      <c r="N136" s="113">
        <f t="shared" si="242"/>
        <v>180.48200000000054</v>
      </c>
      <c r="O136" s="113">
        <f t="shared" si="242"/>
        <v>166.33800000000053</v>
      </c>
      <c r="P136" s="113">
        <f t="shared" si="242"/>
        <v>203.40900000000079</v>
      </c>
      <c r="Q136" s="113">
        <f t="shared" ref="Q136" si="243">SUM(Q131:Q135)</f>
        <v>153.95300000000077</v>
      </c>
      <c r="R136" s="145"/>
      <c r="S136" s="113">
        <f t="shared" ref="S136:Y136" si="244">SUM(S131:S135)</f>
        <v>159.24300000000034</v>
      </c>
      <c r="T136" s="113">
        <f t="shared" si="244"/>
        <v>167.5420000000004</v>
      </c>
      <c r="U136" s="113">
        <f t="shared" si="244"/>
        <v>185.95800000000048</v>
      </c>
      <c r="V136" s="113">
        <f t="shared" si="244"/>
        <v>180.48200000000054</v>
      </c>
      <c r="W136" s="113">
        <f t="shared" si="244"/>
        <v>166.33800000000053</v>
      </c>
      <c r="X136" s="113">
        <f t="shared" si="244"/>
        <v>203.40900000000079</v>
      </c>
      <c r="Y136" s="152">
        <f t="shared" si="244"/>
        <v>153.95300000000077</v>
      </c>
      <c r="Z136" s="11"/>
      <c r="AA136" s="42"/>
    </row>
    <row r="137" spans="2:27" ht="5.0999999999999996" customHeight="1">
      <c r="B137" s="158"/>
      <c r="C137" s="60"/>
      <c r="D137" s="60"/>
      <c r="E137" s="60"/>
      <c r="F137" s="145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147"/>
      <c r="S137" s="148"/>
      <c r="T137" s="148"/>
      <c r="U137" s="148"/>
      <c r="V137" s="148"/>
      <c r="W137" s="148"/>
      <c r="X137" s="148"/>
      <c r="Y137" s="153"/>
      <c r="Z137" s="11"/>
      <c r="AA137" s="42"/>
    </row>
    <row r="138" spans="2:27">
      <c r="B138" s="159" t="s">
        <v>63</v>
      </c>
      <c r="C138" s="149">
        <f>ROUND(C136-C44,-1)</f>
        <v>0</v>
      </c>
      <c r="D138" s="149">
        <f>ROUND(D136-D44,-1)</f>
        <v>0</v>
      </c>
      <c r="E138" s="149">
        <f>ROUND(E136-E44,-1)</f>
        <v>0</v>
      </c>
      <c r="F138" s="150"/>
      <c r="G138" s="149">
        <f>ROUND(G136-G44,-1)</f>
        <v>0</v>
      </c>
      <c r="H138" s="149">
        <f>ROUND(H136-H44,-1)</f>
        <v>0</v>
      </c>
      <c r="I138" s="149">
        <f>ROUND(I136-I44,-1)</f>
        <v>0</v>
      </c>
      <c r="J138" s="149">
        <f>ROUND(J136-J44,-1)</f>
        <v>0</v>
      </c>
      <c r="K138" s="149">
        <f>ROUND(K136-K44,-1)</f>
        <v>0</v>
      </c>
      <c r="L138" s="149">
        <f>ROUND(L136-L44,-1)</f>
        <v>0</v>
      </c>
      <c r="M138" s="149">
        <f>ROUND(M136-M44,-1)</f>
        <v>0</v>
      </c>
      <c r="N138" s="149">
        <f>ROUND(N136-N44,-1)</f>
        <v>0</v>
      </c>
      <c r="O138" s="149">
        <f>ROUND(O136-O44,-1)</f>
        <v>0</v>
      </c>
      <c r="P138" s="149">
        <f>ROUND(P136-P44,-1)</f>
        <v>0</v>
      </c>
      <c r="Q138" s="149">
        <f>ROUND(Q136-Q44,-1)</f>
        <v>0</v>
      </c>
      <c r="R138" s="149"/>
      <c r="S138" s="149">
        <f>ROUND(S136-S44,-1)</f>
        <v>0</v>
      </c>
      <c r="T138" s="149">
        <f>ROUND(T136-T44,-1)</f>
        <v>0</v>
      </c>
      <c r="U138" s="149">
        <f>ROUND(U136-U44,-1)</f>
        <v>0</v>
      </c>
      <c r="V138" s="149">
        <f>ROUND(V136-V44,-1)</f>
        <v>0</v>
      </c>
      <c r="W138" s="149">
        <f>ROUND(W136-W44,-1)</f>
        <v>0</v>
      </c>
      <c r="X138" s="149">
        <f>ROUND(X136-X44,-1)</f>
        <v>0</v>
      </c>
      <c r="Y138" s="154">
        <f>ROUND(Y136-Y44,-1)</f>
        <v>0</v>
      </c>
      <c r="Z138" s="11"/>
      <c r="AA138" s="42"/>
    </row>
    <row r="139" spans="2:27" ht="5.0999999999999996" customHeight="1">
      <c r="B139" s="8"/>
      <c r="C139" s="60"/>
      <c r="D139" s="60"/>
      <c r="E139" s="60"/>
      <c r="F139" s="3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S139" s="11"/>
      <c r="T139" s="11"/>
      <c r="U139" s="11"/>
      <c r="V139" s="11"/>
      <c r="W139" s="11"/>
      <c r="X139" s="11"/>
      <c r="Y139" s="11"/>
      <c r="Z139" s="11"/>
      <c r="AA139" s="42"/>
    </row>
    <row r="140" spans="2:27">
      <c r="B140" s="112" t="s">
        <v>87</v>
      </c>
      <c r="C140" s="60"/>
      <c r="D140" s="60"/>
      <c r="E140" s="60"/>
      <c r="F140" s="30"/>
      <c r="G140" s="76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S140" s="11"/>
      <c r="T140" s="11"/>
      <c r="U140" s="11"/>
      <c r="V140" s="11"/>
      <c r="W140" s="11"/>
      <c r="X140" s="11"/>
      <c r="Y140" s="11"/>
      <c r="Z140" s="11"/>
      <c r="AA140" s="42"/>
    </row>
    <row r="141" spans="2:27">
      <c r="B141" s="77" t="s">
        <v>90</v>
      </c>
      <c r="C141" s="76">
        <v>127.809</v>
      </c>
      <c r="D141" s="76">
        <v>151.62100000000001</v>
      </c>
      <c r="E141" s="76">
        <v>99.462999999999994</v>
      </c>
      <c r="F141" s="30"/>
      <c r="G141" s="76">
        <v>47.728999999999999</v>
      </c>
      <c r="H141" s="76">
        <f>81.354-G141</f>
        <v>33.625</v>
      </c>
      <c r="I141" s="76">
        <f>86.042-H141-G141</f>
        <v>4.6880000000000024</v>
      </c>
      <c r="J141" s="30">
        <f>SUM(D141-SUM(G141:I141))</f>
        <v>65.579000000000008</v>
      </c>
      <c r="K141" s="76">
        <v>35.054000000000002</v>
      </c>
      <c r="L141" s="76">
        <f>54.708-K141</f>
        <v>19.653999999999996</v>
      </c>
      <c r="M141" s="76">
        <f>86.042-L141-K141</f>
        <v>31.334000000000003</v>
      </c>
      <c r="N141" s="30">
        <f>SUM(E141-SUM(K141:M141))</f>
        <v>13.420999999999992</v>
      </c>
      <c r="O141" s="76">
        <v>26.838000000000001</v>
      </c>
      <c r="P141" s="76">
        <f>39.393-O141</f>
        <v>12.555</v>
      </c>
      <c r="Q141" s="76">
        <f>65.873-P141-O141</f>
        <v>26.480000000000004</v>
      </c>
      <c r="S141" s="30">
        <f t="shared" ref="S141:S142" si="245">SUM(H141:K141)</f>
        <v>138.94600000000003</v>
      </c>
      <c r="T141" s="30">
        <f t="shared" ref="T141:T142" si="246">SUM(I141:L141)</f>
        <v>124.97500000000001</v>
      </c>
      <c r="U141" s="30">
        <f t="shared" ref="U141:U142" si="247">SUM(J141:M141)</f>
        <v>151.62100000000001</v>
      </c>
      <c r="V141" s="30">
        <f t="shared" ref="V141:V142" si="248">SUM(K141:N141)</f>
        <v>99.462999999999994</v>
      </c>
      <c r="W141" s="30">
        <f t="shared" ref="W141:W142" si="249">SUM(L141:O141)</f>
        <v>91.246999999999986</v>
      </c>
      <c r="X141" s="30">
        <f t="shared" ref="X141:X142" si="250">SUM(M141:P141)</f>
        <v>84.147999999999996</v>
      </c>
      <c r="Y141" s="30">
        <f t="shared" ref="Y141:Y142" si="251">SUM(N141:Q141)</f>
        <v>79.293999999999997</v>
      </c>
      <c r="Z141" s="11"/>
      <c r="AA141" s="42"/>
    </row>
    <row r="142" spans="2:27">
      <c r="B142" s="77" t="s">
        <v>89</v>
      </c>
      <c r="C142" s="76">
        <v>130.084</v>
      </c>
      <c r="D142" s="76">
        <v>179.721</v>
      </c>
      <c r="E142" s="76">
        <v>124.959</v>
      </c>
      <c r="F142" s="30"/>
      <c r="G142" s="76">
        <v>8.0109999999999992</v>
      </c>
      <c r="H142" s="76">
        <f>102.107-G142</f>
        <v>94.096000000000004</v>
      </c>
      <c r="I142" s="76">
        <f>95.185-H142-G142</f>
        <v>-6.9220000000000006</v>
      </c>
      <c r="J142" s="30">
        <f>SUM(D142-SUM(G142:I142))</f>
        <v>84.536000000000001</v>
      </c>
      <c r="K142" s="76">
        <v>18.122</v>
      </c>
      <c r="L142" s="76">
        <f>71.829-K142</f>
        <v>53.706999999999994</v>
      </c>
      <c r="M142" s="76">
        <f>95.185-L142-K142</f>
        <v>23.356000000000009</v>
      </c>
      <c r="N142" s="30">
        <f>SUM(E142-SUM(K142:M142))</f>
        <v>29.774000000000001</v>
      </c>
      <c r="O142" s="76">
        <v>13.964</v>
      </c>
      <c r="P142" s="76">
        <f>108.582-O142</f>
        <v>94.617999999999995</v>
      </c>
      <c r="Q142" s="76">
        <f>128.195-P142-O142</f>
        <v>19.613</v>
      </c>
      <c r="S142" s="30">
        <f t="shared" si="245"/>
        <v>189.83199999999999</v>
      </c>
      <c r="T142" s="30">
        <f t="shared" si="246"/>
        <v>149.44299999999998</v>
      </c>
      <c r="U142" s="30">
        <f t="shared" si="247"/>
        <v>179.721</v>
      </c>
      <c r="V142" s="30">
        <f t="shared" si="248"/>
        <v>124.959</v>
      </c>
      <c r="W142" s="30">
        <f t="shared" si="249"/>
        <v>120.801</v>
      </c>
      <c r="X142" s="30">
        <f t="shared" si="250"/>
        <v>161.71199999999999</v>
      </c>
      <c r="Y142" s="30">
        <f t="shared" si="251"/>
        <v>157.96899999999999</v>
      </c>
      <c r="Z142" s="11"/>
      <c r="AA142" s="42"/>
    </row>
    <row r="143" spans="2:27" ht="5.0999999999999996" customHeight="1" thickBot="1">
      <c r="B143" s="66"/>
      <c r="C143" s="67"/>
      <c r="D143" s="67"/>
      <c r="E143" s="67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AA143" s="42"/>
    </row>
    <row r="144" spans="2:27" ht="12.75" customHeight="1">
      <c r="C144" s="52"/>
      <c r="D144" s="52"/>
      <c r="E144" s="52"/>
    </row>
    <row r="145" spans="3:17" ht="12.75" customHeight="1">
      <c r="C145" s="52"/>
      <c r="D145" s="52"/>
      <c r="E145" s="52"/>
    </row>
    <row r="146" spans="3:17" ht="12.75" customHeight="1">
      <c r="C146" s="52"/>
      <c r="D146" s="52"/>
      <c r="E146" s="52"/>
    </row>
    <row r="147" spans="3:17" ht="12.75" customHeight="1">
      <c r="C147" s="52"/>
      <c r="D147" s="52"/>
      <c r="E147" s="52"/>
    </row>
    <row r="148" spans="3:17" ht="12.75" customHeight="1">
      <c r="C148" s="52"/>
      <c r="D148" s="52"/>
      <c r="E148" s="52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</row>
    <row r="149" spans="3:17" ht="12.75" customHeight="1">
      <c r="C149" s="52"/>
      <c r="D149" s="52"/>
      <c r="E149" s="52"/>
    </row>
    <row r="150" spans="3:17" ht="12.75" customHeight="1">
      <c r="C150" s="52"/>
      <c r="D150" s="52"/>
      <c r="E150" s="52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</row>
    <row r="151" spans="3:17"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</row>
    <row r="152" spans="3:17"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</row>
    <row r="154" spans="3:17"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</row>
    <row r="155" spans="3:17"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</row>
  </sheetData>
  <mergeCells count="3">
    <mergeCell ref="AA6:AA8"/>
    <mergeCell ref="AA39:AA41"/>
    <mergeCell ref="AA89:AA91"/>
  </mergeCells>
  <pageMargins left="0.7" right="0.7" top="0.75" bottom="0.75" header="0.3" footer="0.3"/>
  <ignoredErrors>
    <ignoredError sqref="Y14:Y16 F50" formulaRange="1"/>
    <ignoredError sqref="AA120:AA122 AA114:AA116" evalError="1"/>
    <ignoredError sqref="K95:O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A51"/>
  <sheetViews>
    <sheetView showGridLines="0" zoomScale="115" zoomScaleNormal="115" workbookViewId="0">
      <selection activeCell="B2" sqref="B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hidden="1" customWidth="1" outlineLevel="1"/>
    <col min="9" max="10" width="8.75" style="8" hidden="1" customWidth="1" outlineLevel="1"/>
    <col min="11" max="11" width="8.5" style="8" hidden="1" customWidth="1" outlineLevel="1"/>
    <col min="12" max="12" width="8.25" style="8" hidden="1" customWidth="1" outlineLevel="1"/>
    <col min="13" max="13" width="8.5" style="8" bestFit="1" customWidth="1" collapsed="1"/>
    <col min="14" max="17" width="9.125" style="8" bestFit="1" customWidth="1"/>
    <col min="18" max="18" width="1.5" style="8" customWidth="1"/>
    <col min="19" max="20" width="8.75" style="8" hidden="1" customWidth="1" outlineLevel="1"/>
    <col min="21" max="21" width="8.75" style="8" customWidth="1" collapsed="1"/>
    <col min="22" max="24" width="8.75" style="8" hidden="1" customWidth="1" outlineLevel="1"/>
    <col min="25" max="25" width="8.75" style="8" customWidth="1" collapsed="1"/>
    <col min="26" max="26" width="1.625" style="8" customWidth="1"/>
    <col min="27" max="27" width="7.5" style="111" bestFit="1" customWidth="1"/>
    <col min="28" max="16384" width="9" style="8"/>
  </cols>
  <sheetData>
    <row r="2" spans="1:27" s="5" customFormat="1" ht="12.75" customHeight="1">
      <c r="B2" s="1" t="str">
        <f>'Historical Financials'!B2</f>
        <v>Crocs Inc (NASDAQ: CROX)</v>
      </c>
      <c r="C2" s="2" t="s">
        <v>0</v>
      </c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 t="s">
        <v>10</v>
      </c>
      <c r="V2" s="2"/>
      <c r="W2" s="2"/>
      <c r="X2" s="2"/>
      <c r="Y2" s="2"/>
      <c r="Z2" s="3"/>
      <c r="AA2" s="135" t="s">
        <v>24</v>
      </c>
    </row>
    <row r="3" spans="1:27" s="5" customFormat="1" ht="12.75" customHeight="1">
      <c r="B3" s="6" t="s">
        <v>70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4"/>
      <c r="S3" s="4" t="str">
        <f t="shared" ref="S3:Y4" si="0">J3</f>
        <v>4Q23</v>
      </c>
      <c r="T3" s="4" t="str">
        <f t="shared" si="0"/>
        <v>1Q24</v>
      </c>
      <c r="U3" s="4" t="str">
        <f t="shared" si="0"/>
        <v>2Q24</v>
      </c>
      <c r="V3" s="4" t="str">
        <f t="shared" si="0"/>
        <v>3Q24</v>
      </c>
      <c r="W3" s="4" t="str">
        <f t="shared" si="0"/>
        <v>4Q24</v>
      </c>
      <c r="X3" s="4" t="str">
        <f t="shared" si="0"/>
        <v>1Q25</v>
      </c>
      <c r="Y3" s="4" t="str">
        <f>Q3</f>
        <v>3Q25</v>
      </c>
      <c r="Z3" s="3"/>
      <c r="AA3" s="135"/>
    </row>
    <row r="4" spans="1:27" s="5" customFormat="1" ht="12.75" customHeight="1">
      <c r="B4" s="6" t="s">
        <v>96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45016</v>
      </c>
      <c r="H4" s="3">
        <f>'Historical Financials'!H8</f>
        <v>45107</v>
      </c>
      <c r="I4" s="3">
        <f>'Historical Financials'!I8</f>
        <v>45199</v>
      </c>
      <c r="J4" s="3">
        <f>'Historical Financials'!J8</f>
        <v>45291</v>
      </c>
      <c r="K4" s="3">
        <f>'Historical Financials'!K8</f>
        <v>45382</v>
      </c>
      <c r="L4" s="3">
        <f>'Historical Financials'!L8</f>
        <v>45473</v>
      </c>
      <c r="M4" s="3">
        <f>'Historical Financials'!M8</f>
        <v>45565</v>
      </c>
      <c r="N4" s="3">
        <f>'Historical Financials'!N8</f>
        <v>45657</v>
      </c>
      <c r="O4" s="3">
        <f>'Historical Financials'!O8</f>
        <v>45747</v>
      </c>
      <c r="P4" s="3">
        <f>'Historical Financials'!P8</f>
        <v>45838</v>
      </c>
      <c r="Q4" s="3">
        <f>'Historical Financials'!Q8</f>
        <v>45930</v>
      </c>
      <c r="R4" s="3"/>
      <c r="S4" s="3">
        <f t="shared" si="0"/>
        <v>45291</v>
      </c>
      <c r="T4" s="3">
        <f t="shared" si="0"/>
        <v>45382</v>
      </c>
      <c r="U4" s="3">
        <f t="shared" si="0"/>
        <v>45473</v>
      </c>
      <c r="V4" s="3">
        <f t="shared" si="0"/>
        <v>45565</v>
      </c>
      <c r="W4" s="3">
        <f t="shared" si="0"/>
        <v>45657</v>
      </c>
      <c r="X4" s="3">
        <f t="shared" si="0"/>
        <v>45747</v>
      </c>
      <c r="Y4" s="3">
        <f>Q4</f>
        <v>45930</v>
      </c>
      <c r="Z4" s="3"/>
      <c r="AA4" s="135"/>
    </row>
    <row r="5" spans="1:27" ht="5.0999999999999996" customHeight="1">
      <c r="AA5" s="8"/>
    </row>
    <row r="6" spans="1:27">
      <c r="A6" s="33" t="s">
        <v>18</v>
      </c>
      <c r="B6" s="1" t="s">
        <v>98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5.0999999999999996" customHeight="1">
      <c r="AA7" s="8"/>
    </row>
    <row r="8" spans="1:27" ht="12.75" customHeight="1">
      <c r="A8" s="74" t="s">
        <v>18</v>
      </c>
      <c r="B8" s="72" t="s">
        <v>95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30"/>
      <c r="O8" s="81"/>
      <c r="P8" s="81"/>
      <c r="Q8" s="81"/>
      <c r="R8" s="5"/>
      <c r="S8" s="11"/>
      <c r="T8" s="11"/>
      <c r="U8" s="11"/>
      <c r="V8" s="11"/>
      <c r="W8" s="11"/>
      <c r="X8" s="11"/>
      <c r="Y8" s="11"/>
      <c r="AA8" s="109"/>
    </row>
    <row r="9" spans="1:27" ht="12.75" customHeight="1">
      <c r="A9" s="74"/>
      <c r="B9" s="9" t="s">
        <v>115</v>
      </c>
      <c r="C9" s="106">
        <f>C20</f>
        <v>2659</v>
      </c>
      <c r="D9" s="106">
        <f t="shared" ref="D9:P9" si="1">D20</f>
        <v>3013</v>
      </c>
      <c r="E9" s="106">
        <f t="shared" si="1"/>
        <v>3278</v>
      </c>
      <c r="F9" s="10"/>
      <c r="G9" s="106">
        <f t="shared" si="1"/>
        <v>648.79999999999995</v>
      </c>
      <c r="H9" s="106">
        <f t="shared" si="1"/>
        <v>832.90000000000009</v>
      </c>
      <c r="I9" s="106">
        <f t="shared" si="1"/>
        <v>798.8</v>
      </c>
      <c r="J9" s="106">
        <f t="shared" si="1"/>
        <v>732.49999999999977</v>
      </c>
      <c r="K9" s="106">
        <f t="shared" si="1"/>
        <v>743.8</v>
      </c>
      <c r="L9" s="106">
        <f t="shared" si="1"/>
        <v>914</v>
      </c>
      <c r="M9" s="106">
        <f t="shared" si="1"/>
        <v>858.1</v>
      </c>
      <c r="N9" s="106">
        <f t="shared" si="1"/>
        <v>762.09999999999991</v>
      </c>
      <c r="O9" s="106">
        <f t="shared" si="1"/>
        <v>761.6</v>
      </c>
      <c r="P9" s="106">
        <f t="shared" si="1"/>
        <v>959.59999999999991</v>
      </c>
      <c r="Q9" s="106">
        <f t="shared" ref="Q9" si="2">Q20</f>
        <v>836.22900000000004</v>
      </c>
      <c r="R9" s="5"/>
      <c r="S9" s="30">
        <f t="shared" ref="S9:X9" si="3">SUM(H9:K9)</f>
        <v>3108</v>
      </c>
      <c r="T9" s="30">
        <f t="shared" si="3"/>
        <v>3189.0999999999995</v>
      </c>
      <c r="U9" s="30">
        <f t="shared" si="3"/>
        <v>3248.3999999999996</v>
      </c>
      <c r="V9" s="30">
        <f t="shared" si="3"/>
        <v>3278</v>
      </c>
      <c r="W9" s="30">
        <f t="shared" si="3"/>
        <v>3295.7999999999997</v>
      </c>
      <c r="X9" s="30">
        <f t="shared" si="3"/>
        <v>3341.3999999999996</v>
      </c>
      <c r="Y9" s="30">
        <f>SUM(N9:Q9)</f>
        <v>3319.5289999999995</v>
      </c>
      <c r="AA9" s="108">
        <f>SUM(Y9/U9)-1</f>
        <v>2.1896626031276956E-2</v>
      </c>
    </row>
    <row r="10" spans="1:27">
      <c r="B10" s="9" t="s">
        <v>116</v>
      </c>
      <c r="C10" s="106">
        <f>C29</f>
        <v>896</v>
      </c>
      <c r="D10" s="106">
        <f t="shared" ref="D10:P10" si="4">D29</f>
        <v>949</v>
      </c>
      <c r="E10" s="106">
        <f t="shared" si="4"/>
        <v>824</v>
      </c>
      <c r="F10" s="75"/>
      <c r="G10" s="106">
        <f t="shared" si="4"/>
        <v>235.4</v>
      </c>
      <c r="H10" s="106">
        <f t="shared" si="4"/>
        <v>239.4</v>
      </c>
      <c r="I10" s="106">
        <f t="shared" si="4"/>
        <v>246.9</v>
      </c>
      <c r="J10" s="106">
        <f t="shared" si="4"/>
        <v>227.29999999999995</v>
      </c>
      <c r="K10" s="106">
        <f t="shared" si="4"/>
        <v>194.9</v>
      </c>
      <c r="L10" s="106">
        <f t="shared" si="4"/>
        <v>197.5</v>
      </c>
      <c r="M10" s="106">
        <f t="shared" si="4"/>
        <v>204.1</v>
      </c>
      <c r="N10" s="106">
        <f t="shared" si="4"/>
        <v>227.49999999999997</v>
      </c>
      <c r="O10" s="106">
        <f t="shared" si="4"/>
        <v>175.7</v>
      </c>
      <c r="P10" s="106">
        <f t="shared" si="4"/>
        <v>189.8</v>
      </c>
      <c r="Q10" s="106">
        <f t="shared" ref="Q10" si="5">Q29</f>
        <v>160.072</v>
      </c>
      <c r="R10" s="5"/>
      <c r="S10" s="30">
        <f t="shared" ref="S10" si="6">SUM(H10:K10)</f>
        <v>908.49999999999989</v>
      </c>
      <c r="T10" s="30">
        <f t="shared" ref="T10" si="7">SUM(I10:L10)</f>
        <v>866.59999999999991</v>
      </c>
      <c r="U10" s="30">
        <f t="shared" ref="U10" si="8">SUM(J10:M10)</f>
        <v>823.8</v>
      </c>
      <c r="V10" s="30">
        <f t="shared" ref="V10" si="9">SUM(K10:N10)</f>
        <v>824</v>
      </c>
      <c r="W10" s="30">
        <f t="shared" ref="W10" si="10">SUM(L10:O10)</f>
        <v>804.8</v>
      </c>
      <c r="X10" s="30">
        <f t="shared" ref="X10" si="11">SUM(M10:P10)</f>
        <v>797.09999999999991</v>
      </c>
      <c r="Y10" s="30">
        <f>SUM(N10:Q10)</f>
        <v>753.072</v>
      </c>
      <c r="AA10" s="108">
        <f t="shared" ref="AA10:AA11" si="12">SUM(Y10/U10)-1</f>
        <v>-8.5855790240349505E-2</v>
      </c>
    </row>
    <row r="11" spans="1:27">
      <c r="B11" s="12" t="s">
        <v>71</v>
      </c>
      <c r="C11" s="13">
        <f>SUM(C9:C10)</f>
        <v>3555</v>
      </c>
      <c r="D11" s="13">
        <f>SUM(D9:D10)</f>
        <v>3962</v>
      </c>
      <c r="E11" s="13">
        <f>SUM(E9:E10)</f>
        <v>4102</v>
      </c>
      <c r="F11" s="11"/>
      <c r="G11" s="13">
        <f t="shared" ref="G11:Q11" si="13">SUM(G9:G10)</f>
        <v>884.19999999999993</v>
      </c>
      <c r="H11" s="13">
        <f t="shared" si="13"/>
        <v>1072.3000000000002</v>
      </c>
      <c r="I11" s="13">
        <f t="shared" si="13"/>
        <v>1045.7</v>
      </c>
      <c r="J11" s="13">
        <f t="shared" si="13"/>
        <v>959.79999999999973</v>
      </c>
      <c r="K11" s="13">
        <f t="shared" si="13"/>
        <v>938.69999999999993</v>
      </c>
      <c r="L11" s="13">
        <f t="shared" si="13"/>
        <v>1111.5</v>
      </c>
      <c r="M11" s="13">
        <f t="shared" si="13"/>
        <v>1062.2</v>
      </c>
      <c r="N11" s="13">
        <f t="shared" si="13"/>
        <v>989.59999999999991</v>
      </c>
      <c r="O11" s="13">
        <f t="shared" si="13"/>
        <v>937.3</v>
      </c>
      <c r="P11" s="13">
        <f t="shared" si="13"/>
        <v>1149.3999999999999</v>
      </c>
      <c r="Q11" s="13">
        <f t="shared" si="13"/>
        <v>996.30100000000004</v>
      </c>
      <c r="R11" s="5"/>
      <c r="S11" s="13">
        <f t="shared" ref="S11:Y11" si="14">SUM(S9:S10)</f>
        <v>4016.5</v>
      </c>
      <c r="T11" s="13">
        <f t="shared" si="14"/>
        <v>4055.6999999999994</v>
      </c>
      <c r="U11" s="13">
        <f t="shared" si="14"/>
        <v>4072.2</v>
      </c>
      <c r="V11" s="13">
        <f t="shared" si="14"/>
        <v>4102</v>
      </c>
      <c r="W11" s="13">
        <f t="shared" si="14"/>
        <v>4100.5999999999995</v>
      </c>
      <c r="X11" s="13">
        <f t="shared" si="14"/>
        <v>4138.5</v>
      </c>
      <c r="Y11" s="13">
        <f t="shared" si="14"/>
        <v>4072.6009999999997</v>
      </c>
      <c r="AA11" s="109">
        <f t="shared" si="12"/>
        <v>9.8472570109420232E-5</v>
      </c>
    </row>
    <row r="12" spans="1:27" outlineLevel="1">
      <c r="B12" s="114" t="s">
        <v>162</v>
      </c>
      <c r="C12" s="73">
        <f>ROUND(C11-'Historical Financials'!C11,1)</f>
        <v>0</v>
      </c>
      <c r="D12" s="73">
        <f>ROUND(D11-'Historical Financials'!D11,-1)</f>
        <v>0</v>
      </c>
      <c r="E12" s="73">
        <f>ROUND(E11-'Historical Financials'!E11,-1)</f>
        <v>0</v>
      </c>
      <c r="F12" s="11"/>
      <c r="G12" s="73">
        <f>ROUND(G11-'Historical Financials'!G11,-1)</f>
        <v>0</v>
      </c>
      <c r="H12" s="73">
        <f>ROUND(H11-'Historical Financials'!H11,-1)</f>
        <v>0</v>
      </c>
      <c r="I12" s="73">
        <f>ROUND(I11-'Historical Financials'!I11,-1)</f>
        <v>0</v>
      </c>
      <c r="J12" s="73">
        <f>ROUND(J11-'Historical Financials'!J11,-1)</f>
        <v>0</v>
      </c>
      <c r="K12" s="73">
        <f>ROUND(K11-'Historical Financials'!K11,-1)</f>
        <v>0</v>
      </c>
      <c r="L12" s="73">
        <f>ROUND(L11-'Historical Financials'!L11,-1)</f>
        <v>0</v>
      </c>
      <c r="M12" s="73">
        <f>ROUND(M11-'Historical Financials'!M11,-1)</f>
        <v>0</v>
      </c>
      <c r="N12" s="73">
        <f>ROUND(N11-'Historical Financials'!N11,-1)</f>
        <v>0</v>
      </c>
      <c r="O12" s="73">
        <f>ROUND(O11-'Historical Financials'!O11,-1)</f>
        <v>0</v>
      </c>
      <c r="P12" s="73">
        <f>ROUND(P11-'Historical Financials'!P11,-1)</f>
        <v>0</v>
      </c>
      <c r="Q12" s="73">
        <f>ROUND(Q11-'Historical Financials'!Q11,-1)</f>
        <v>0</v>
      </c>
      <c r="R12" s="73"/>
      <c r="S12" s="73">
        <f>ROUND(S11-'Historical Financials'!S11,-1)</f>
        <v>0</v>
      </c>
      <c r="T12" s="73">
        <f>ROUND(T11-'Historical Financials'!T11,-1)</f>
        <v>0</v>
      </c>
      <c r="U12" s="73">
        <f>ROUND(U11-'Historical Financials'!U11,-1)</f>
        <v>0</v>
      </c>
      <c r="V12" s="73">
        <f>ROUND(V11-'Historical Financials'!V11,-1)</f>
        <v>0</v>
      </c>
      <c r="W12" s="73">
        <f>ROUND(W11-'Historical Financials'!W11,-1)</f>
        <v>0</v>
      </c>
      <c r="X12" s="73">
        <f>ROUND(X11-'Historical Financials'!X11,-1)</f>
        <v>0</v>
      </c>
      <c r="Y12" s="73">
        <f>ROUND(Y11-'Historical Financials'!Y11,-1)</f>
        <v>0</v>
      </c>
      <c r="AA12" s="108"/>
    </row>
    <row r="13" spans="1:27" ht="5.0999999999999996" customHeight="1">
      <c r="B13" s="16"/>
      <c r="C13" s="17"/>
      <c r="D13" s="17"/>
      <c r="E13" s="17"/>
      <c r="F13" s="18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8"/>
      <c r="S13" s="18"/>
      <c r="T13" s="18"/>
      <c r="U13" s="18"/>
      <c r="V13" s="18"/>
      <c r="W13" s="18"/>
      <c r="X13" s="18"/>
      <c r="Y13" s="18"/>
      <c r="AA13" s="108"/>
    </row>
    <row r="14" spans="1:27">
      <c r="B14" s="115" t="str">
        <f>B9&amp;"(%)"</f>
        <v>Crox Revenues(%)</v>
      </c>
      <c r="C14" s="123">
        <f t="shared" ref="C14:E15" si="15">SUM(C9/C$11)</f>
        <v>0.74796061884669485</v>
      </c>
      <c r="D14" s="123">
        <f t="shared" si="15"/>
        <v>0.76047450782433113</v>
      </c>
      <c r="E14" s="123">
        <f t="shared" si="15"/>
        <v>0.79912237932715746</v>
      </c>
      <c r="F14" s="116"/>
      <c r="G14" s="123">
        <f t="shared" ref="G14:P14" si="16">SUM(G9/G$11)</f>
        <v>0.73377064012666815</v>
      </c>
      <c r="H14" s="123">
        <f t="shared" si="16"/>
        <v>0.77674158351207678</v>
      </c>
      <c r="I14" s="123">
        <f t="shared" si="16"/>
        <v>0.76389021707946825</v>
      </c>
      <c r="J14" s="123">
        <f t="shared" si="16"/>
        <v>0.76317982913106897</v>
      </c>
      <c r="K14" s="123">
        <f t="shared" si="16"/>
        <v>0.79237242995632262</v>
      </c>
      <c r="L14" s="123">
        <f t="shared" si="16"/>
        <v>0.82231219073324335</v>
      </c>
      <c r="M14" s="123">
        <f t="shared" si="16"/>
        <v>0.80785162869516103</v>
      </c>
      <c r="N14" s="123">
        <f t="shared" si="16"/>
        <v>0.77010913500404199</v>
      </c>
      <c r="O14" s="123">
        <f t="shared" si="16"/>
        <v>0.81254667662434654</v>
      </c>
      <c r="P14" s="123">
        <f t="shared" si="16"/>
        <v>0.83487036714807727</v>
      </c>
      <c r="Q14" s="123">
        <f t="shared" ref="Q14" si="17">SUM(Q9/Q$11)</f>
        <v>0.83933369533905922</v>
      </c>
      <c r="R14" s="116"/>
      <c r="S14" s="117">
        <f t="shared" ref="S14:Y15" si="18">K14</f>
        <v>0.79237242995632262</v>
      </c>
      <c r="T14" s="117">
        <f t="shared" si="18"/>
        <v>0.82231219073324335</v>
      </c>
      <c r="U14" s="117">
        <f t="shared" si="18"/>
        <v>0.80785162869516103</v>
      </c>
      <c r="V14" s="117">
        <f t="shared" si="18"/>
        <v>0.77010913500404199</v>
      </c>
      <c r="W14" s="117">
        <f t="shared" si="18"/>
        <v>0.81254667662434654</v>
      </c>
      <c r="X14" s="117">
        <f t="shared" si="18"/>
        <v>0.83487036714807727</v>
      </c>
      <c r="Y14" s="118">
        <f t="shared" si="18"/>
        <v>0.83933369533905922</v>
      </c>
      <c r="AA14" s="110">
        <f>SUM(Y14-U14)*10000</f>
        <v>314.8206664389819</v>
      </c>
    </row>
    <row r="15" spans="1:27" ht="12.75" customHeight="1">
      <c r="B15" s="119" t="str">
        <f>B10&amp;"(%)"</f>
        <v>HEYDUDE Revenues(%)</v>
      </c>
      <c r="C15" s="124">
        <f t="shared" si="15"/>
        <v>0.25203938115330521</v>
      </c>
      <c r="D15" s="124">
        <f t="shared" si="15"/>
        <v>0.23952549217566885</v>
      </c>
      <c r="E15" s="124">
        <f t="shared" si="15"/>
        <v>0.20087762067284251</v>
      </c>
      <c r="F15" s="120"/>
      <c r="G15" s="124">
        <f t="shared" ref="G15:P15" si="19">SUM(G10/G$11)</f>
        <v>0.26622935987333185</v>
      </c>
      <c r="H15" s="124">
        <f t="shared" si="19"/>
        <v>0.22325841648792313</v>
      </c>
      <c r="I15" s="124">
        <f t="shared" si="19"/>
        <v>0.2361097829205317</v>
      </c>
      <c r="J15" s="124">
        <f t="shared" si="19"/>
        <v>0.23682017086893103</v>
      </c>
      <c r="K15" s="124">
        <f t="shared" si="19"/>
        <v>0.20762757004367743</v>
      </c>
      <c r="L15" s="124">
        <f t="shared" si="19"/>
        <v>0.17768780926675665</v>
      </c>
      <c r="M15" s="124">
        <f t="shared" si="19"/>
        <v>0.192148371304839</v>
      </c>
      <c r="N15" s="124">
        <f t="shared" si="19"/>
        <v>0.22989086499595796</v>
      </c>
      <c r="O15" s="124">
        <f t="shared" si="19"/>
        <v>0.18745332337565346</v>
      </c>
      <c r="P15" s="124">
        <f t="shared" si="19"/>
        <v>0.16512963285192278</v>
      </c>
      <c r="Q15" s="124">
        <f t="shared" ref="Q15" si="20">SUM(Q10/Q$11)</f>
        <v>0.16066630466094081</v>
      </c>
      <c r="R15" s="120"/>
      <c r="S15" s="121">
        <f t="shared" si="18"/>
        <v>0.20762757004367743</v>
      </c>
      <c r="T15" s="121">
        <f t="shared" si="18"/>
        <v>0.17768780926675665</v>
      </c>
      <c r="U15" s="121">
        <f t="shared" si="18"/>
        <v>0.192148371304839</v>
      </c>
      <c r="V15" s="121">
        <f t="shared" si="18"/>
        <v>0.22989086499595796</v>
      </c>
      <c r="W15" s="121">
        <f t="shared" si="18"/>
        <v>0.18745332337565346</v>
      </c>
      <c r="X15" s="121">
        <f t="shared" si="18"/>
        <v>0.16512963285192278</v>
      </c>
      <c r="Y15" s="122">
        <f t="shared" si="18"/>
        <v>0.16066630466094081</v>
      </c>
      <c r="AA15" s="110">
        <f>SUM(Y15-U15)*10000</f>
        <v>-314.8206664389819</v>
      </c>
    </row>
    <row r="16" spans="1:27">
      <c r="B16" s="16"/>
      <c r="C16" s="17"/>
      <c r="D16" s="17"/>
      <c r="E16" s="17"/>
      <c r="F16" s="18"/>
      <c r="G16" s="19"/>
      <c r="H16" s="19"/>
      <c r="I16" s="19"/>
      <c r="J16" s="20"/>
      <c r="K16" s="19"/>
      <c r="L16" s="19"/>
      <c r="M16" s="19"/>
      <c r="N16" s="19"/>
      <c r="O16" s="19"/>
      <c r="P16" s="19"/>
      <c r="Q16" s="19"/>
      <c r="R16" s="18"/>
      <c r="S16" s="18"/>
      <c r="T16" s="18"/>
      <c r="U16" s="18"/>
      <c r="V16" s="18"/>
      <c r="W16" s="18"/>
      <c r="X16" s="18"/>
      <c r="Y16" s="18"/>
      <c r="AA16" s="108"/>
    </row>
    <row r="17" spans="1:27" ht="12.75" customHeight="1">
      <c r="A17" s="74" t="s">
        <v>18</v>
      </c>
      <c r="B17" s="72" t="s">
        <v>113</v>
      </c>
      <c r="C17" s="10"/>
      <c r="D17" s="10"/>
      <c r="E17" s="10"/>
      <c r="F17" s="10"/>
      <c r="G17" s="81"/>
      <c r="H17" s="81"/>
      <c r="I17" s="81"/>
      <c r="J17" s="30"/>
      <c r="K17" s="81"/>
      <c r="L17" s="81"/>
      <c r="M17" s="81"/>
      <c r="N17" s="30"/>
      <c r="O17" s="81"/>
      <c r="P17" s="81"/>
      <c r="Q17" s="81"/>
      <c r="R17" s="5"/>
      <c r="S17" s="11"/>
      <c r="T17" s="11"/>
      <c r="U17" s="11"/>
      <c r="V17" s="11"/>
      <c r="W17" s="11"/>
      <c r="X17" s="11"/>
      <c r="Y17" s="11"/>
      <c r="AA17" s="108"/>
    </row>
    <row r="18" spans="1:27" ht="12.75" customHeight="1">
      <c r="A18" s="74"/>
      <c r="B18" s="9" t="s">
        <v>183</v>
      </c>
      <c r="C18" s="75">
        <v>1377</v>
      </c>
      <c r="D18" s="75">
        <v>1778</v>
      </c>
      <c r="E18" s="75">
        <v>1608</v>
      </c>
      <c r="F18" s="10"/>
      <c r="G18" s="75">
        <v>410.6</v>
      </c>
      <c r="H18" s="75">
        <v>407.3</v>
      </c>
      <c r="I18" s="75">
        <v>369.2</v>
      </c>
      <c r="J18" s="30">
        <f t="shared" ref="J18:J19" si="21">SUM(D18-SUM(G18:I18))</f>
        <v>590.89999999999986</v>
      </c>
      <c r="K18" s="75">
        <v>382.9</v>
      </c>
      <c r="L18" s="75">
        <v>435.3</v>
      </c>
      <c r="M18" s="75">
        <v>395.6</v>
      </c>
      <c r="N18" s="30">
        <f t="shared" ref="N18:N19" si="22">SUM(E18-SUM(K18:M18))</f>
        <v>394.19999999999982</v>
      </c>
      <c r="O18" s="75">
        <v>368.5</v>
      </c>
      <c r="P18" s="75">
        <v>464.7</v>
      </c>
      <c r="Q18" s="75">
        <v>364.35599999999999</v>
      </c>
      <c r="R18" s="5"/>
      <c r="S18" s="30">
        <f t="shared" ref="S18:S19" si="23">SUM(H18:K18)</f>
        <v>1750.2999999999997</v>
      </c>
      <c r="T18" s="30">
        <f t="shared" ref="T18:T19" si="24">SUM(I18:L18)</f>
        <v>1778.3</v>
      </c>
      <c r="U18" s="30">
        <f t="shared" ref="U18:U19" si="25">SUM(J18:M18)</f>
        <v>1804.6999999999998</v>
      </c>
      <c r="V18" s="30">
        <f t="shared" ref="V18:V19" si="26">SUM(K18:N18)</f>
        <v>1608</v>
      </c>
      <c r="W18" s="30">
        <f t="shared" ref="W18:W19" si="27">SUM(L18:O18)</f>
        <v>1593.6</v>
      </c>
      <c r="X18" s="30">
        <f t="shared" ref="X18:X19" si="28">SUM(M18:P18)</f>
        <v>1622.9999999999998</v>
      </c>
      <c r="Y18" s="30">
        <f>SUM(N18:Q18)</f>
        <v>1591.7559999999999</v>
      </c>
      <c r="AA18" s="108">
        <f t="shared" ref="AA17:AA20" si="29">SUM(Y18/U18)-1</f>
        <v>-0.11799412644760898</v>
      </c>
    </row>
    <row r="19" spans="1:27">
      <c r="B19" s="9" t="s">
        <v>182</v>
      </c>
      <c r="C19" s="75">
        <v>1282</v>
      </c>
      <c r="D19" s="75">
        <v>1235</v>
      </c>
      <c r="E19" s="75">
        <v>1670</v>
      </c>
      <c r="F19" s="75"/>
      <c r="G19" s="75">
        <v>238.2</v>
      </c>
      <c r="H19" s="75">
        <v>425.6</v>
      </c>
      <c r="I19" s="75">
        <v>429.6</v>
      </c>
      <c r="J19" s="30">
        <f t="shared" si="21"/>
        <v>141.59999999999991</v>
      </c>
      <c r="K19" s="75">
        <v>360.9</v>
      </c>
      <c r="L19" s="75">
        <v>478.7</v>
      </c>
      <c r="M19" s="75">
        <v>462.5</v>
      </c>
      <c r="N19" s="30">
        <f t="shared" si="22"/>
        <v>367.90000000000009</v>
      </c>
      <c r="O19" s="75">
        <v>393.1</v>
      </c>
      <c r="P19" s="75">
        <v>494.9</v>
      </c>
      <c r="Q19" s="75">
        <v>471.87299999999999</v>
      </c>
      <c r="R19" s="5"/>
      <c r="S19" s="30">
        <f t="shared" si="23"/>
        <v>1357.6999999999998</v>
      </c>
      <c r="T19" s="30">
        <f t="shared" si="24"/>
        <v>1410.8</v>
      </c>
      <c r="U19" s="30">
        <f t="shared" si="25"/>
        <v>1443.6999999999998</v>
      </c>
      <c r="V19" s="30">
        <f t="shared" si="26"/>
        <v>1670</v>
      </c>
      <c r="W19" s="30">
        <f t="shared" si="27"/>
        <v>1702.2000000000003</v>
      </c>
      <c r="X19" s="30">
        <f t="shared" si="28"/>
        <v>1718.4</v>
      </c>
      <c r="Y19" s="30">
        <f>SUM(N19:Q19)</f>
        <v>1727.7730000000001</v>
      </c>
      <c r="AA19" s="108">
        <f t="shared" si="29"/>
        <v>0.19676733393364287</v>
      </c>
    </row>
    <row r="20" spans="1:27">
      <c r="B20" s="12" t="s">
        <v>71</v>
      </c>
      <c r="C20" s="13">
        <f>SUM(C18:C19)</f>
        <v>2659</v>
      </c>
      <c r="D20" s="13">
        <f>SUM(D18:D19)</f>
        <v>3013</v>
      </c>
      <c r="E20" s="13">
        <f>SUM(E18:E19)</f>
        <v>3278</v>
      </c>
      <c r="F20" s="11"/>
      <c r="G20" s="13">
        <f t="shared" ref="G20:Q20" si="30">SUM(G18:G19)</f>
        <v>648.79999999999995</v>
      </c>
      <c r="H20" s="13">
        <f t="shared" si="30"/>
        <v>832.90000000000009</v>
      </c>
      <c r="I20" s="13">
        <f t="shared" si="30"/>
        <v>798.8</v>
      </c>
      <c r="J20" s="13">
        <f t="shared" si="30"/>
        <v>732.49999999999977</v>
      </c>
      <c r="K20" s="13">
        <f t="shared" si="30"/>
        <v>743.8</v>
      </c>
      <c r="L20" s="13">
        <f t="shared" si="30"/>
        <v>914</v>
      </c>
      <c r="M20" s="13">
        <f t="shared" si="30"/>
        <v>858.1</v>
      </c>
      <c r="N20" s="13">
        <f t="shared" si="30"/>
        <v>762.09999999999991</v>
      </c>
      <c r="O20" s="13">
        <f t="shared" si="30"/>
        <v>761.6</v>
      </c>
      <c r="P20" s="13">
        <f t="shared" si="30"/>
        <v>959.59999999999991</v>
      </c>
      <c r="Q20" s="13">
        <f t="shared" si="30"/>
        <v>836.22900000000004</v>
      </c>
      <c r="R20" s="5"/>
      <c r="S20" s="13">
        <f t="shared" ref="S20:Y20" si="31">SUM(S18:S19)</f>
        <v>3107.9999999999995</v>
      </c>
      <c r="T20" s="13">
        <f t="shared" si="31"/>
        <v>3189.1</v>
      </c>
      <c r="U20" s="13">
        <f t="shared" si="31"/>
        <v>3248.3999999999996</v>
      </c>
      <c r="V20" s="13">
        <f t="shared" si="31"/>
        <v>3278</v>
      </c>
      <c r="W20" s="13">
        <f t="shared" si="31"/>
        <v>3295.8</v>
      </c>
      <c r="X20" s="13">
        <f t="shared" si="31"/>
        <v>3341.3999999999996</v>
      </c>
      <c r="Y20" s="13">
        <f t="shared" si="31"/>
        <v>3319.529</v>
      </c>
      <c r="AA20" s="109">
        <f t="shared" si="29"/>
        <v>2.1896626031276956E-2</v>
      </c>
    </row>
    <row r="21" spans="1:27" outlineLevel="1">
      <c r="B21" s="114" t="s">
        <v>162</v>
      </c>
      <c r="C21" s="73">
        <f>C20-C9</f>
        <v>0</v>
      </c>
      <c r="D21" s="73">
        <f t="shared" ref="D21:E21" si="32">D20-D9</f>
        <v>0</v>
      </c>
      <c r="E21" s="73">
        <f t="shared" si="32"/>
        <v>0</v>
      </c>
      <c r="F21" s="11"/>
      <c r="G21" s="73">
        <f t="shared" ref="G21" si="33">G20-G9</f>
        <v>0</v>
      </c>
      <c r="H21" s="73">
        <f t="shared" ref="H21" si="34">H20-H9</f>
        <v>0</v>
      </c>
      <c r="I21" s="73">
        <f t="shared" ref="I21" si="35">I20-I9</f>
        <v>0</v>
      </c>
      <c r="J21" s="73">
        <f t="shared" ref="J21" si="36">J20-J9</f>
        <v>0</v>
      </c>
      <c r="K21" s="73">
        <f t="shared" ref="K21" si="37">K20-K9</f>
        <v>0</v>
      </c>
      <c r="L21" s="73">
        <f t="shared" ref="L21" si="38">L20-L9</f>
        <v>0</v>
      </c>
      <c r="M21" s="73">
        <f t="shared" ref="M21" si="39">M20-M9</f>
        <v>0</v>
      </c>
      <c r="N21" s="73">
        <f t="shared" ref="N21" si="40">N20-N9</f>
        <v>0</v>
      </c>
      <c r="O21" s="73">
        <f t="shared" ref="O21" si="41">O20-O9</f>
        <v>0</v>
      </c>
      <c r="P21" s="73">
        <f t="shared" ref="P21:Y21" si="42">P20-P9</f>
        <v>0</v>
      </c>
      <c r="Q21" s="73">
        <f t="shared" si="42"/>
        <v>0</v>
      </c>
      <c r="R21" s="73"/>
      <c r="S21" s="73">
        <f t="shared" si="42"/>
        <v>0</v>
      </c>
      <c r="T21" s="73">
        <f t="shared" si="42"/>
        <v>0</v>
      </c>
      <c r="U21" s="73">
        <f t="shared" si="42"/>
        <v>0</v>
      </c>
      <c r="V21" s="73">
        <f t="shared" si="42"/>
        <v>0</v>
      </c>
      <c r="W21" s="73">
        <f t="shared" si="42"/>
        <v>0</v>
      </c>
      <c r="X21" s="73">
        <f t="shared" si="42"/>
        <v>0</v>
      </c>
      <c r="Y21" s="73">
        <f t="shared" si="42"/>
        <v>0</v>
      </c>
      <c r="AA21" s="108"/>
    </row>
    <row r="22" spans="1:27" ht="5.0999999999999996" customHeight="1">
      <c r="B22" s="16"/>
      <c r="C22" s="17"/>
      <c r="D22" s="17"/>
      <c r="E22" s="17"/>
      <c r="F22" s="18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8"/>
      <c r="S22" s="18"/>
      <c r="T22" s="18"/>
      <c r="U22" s="18"/>
      <c r="V22" s="18"/>
      <c r="W22" s="18"/>
      <c r="X22" s="18"/>
      <c r="Y22" s="18"/>
      <c r="AA22" s="108"/>
    </row>
    <row r="23" spans="1:27">
      <c r="B23" s="115" t="str">
        <f>B18&amp;"(%)"</f>
        <v>Crocs Wholesale (%)</v>
      </c>
      <c r="C23" s="123">
        <f t="shared" ref="C23:E24" si="43">SUM(C18/C$11)</f>
        <v>0.38734177215189874</v>
      </c>
      <c r="D23" s="123">
        <f t="shared" si="43"/>
        <v>0.44876325088339225</v>
      </c>
      <c r="E23" s="123">
        <f t="shared" si="43"/>
        <v>0.39200390053632372</v>
      </c>
      <c r="F23" s="116"/>
      <c r="G23" s="123">
        <f t="shared" ref="G23:P23" si="44">SUM(G18/G$11)</f>
        <v>0.46437457588780823</v>
      </c>
      <c r="H23" s="123">
        <f t="shared" si="44"/>
        <v>0.3798377319779912</v>
      </c>
      <c r="I23" s="123">
        <f t="shared" si="44"/>
        <v>0.35306493258104615</v>
      </c>
      <c r="J23" s="123">
        <f t="shared" si="44"/>
        <v>0.6156490935611586</v>
      </c>
      <c r="K23" s="123">
        <f t="shared" si="44"/>
        <v>0.40790454884414618</v>
      </c>
      <c r="L23" s="123">
        <f t="shared" si="44"/>
        <v>0.39163292847503373</v>
      </c>
      <c r="M23" s="123">
        <f t="shared" si="44"/>
        <v>0.37243456976087369</v>
      </c>
      <c r="N23" s="123">
        <f t="shared" si="44"/>
        <v>0.39834276475343561</v>
      </c>
      <c r="O23" s="123">
        <f t="shared" si="44"/>
        <v>0.39315053878160677</v>
      </c>
      <c r="P23" s="123">
        <f t="shared" si="44"/>
        <v>0.4042978945536802</v>
      </c>
      <c r="Q23" s="123">
        <f t="shared" ref="Q23" si="45">SUM(Q18/Q$11)</f>
        <v>0.365708756691</v>
      </c>
      <c r="R23" s="116"/>
      <c r="S23" s="117">
        <f t="shared" ref="S23:Y24" si="46">K23</f>
        <v>0.40790454884414618</v>
      </c>
      <c r="T23" s="117">
        <f t="shared" si="46"/>
        <v>0.39163292847503373</v>
      </c>
      <c r="U23" s="117">
        <f t="shared" si="46"/>
        <v>0.37243456976087369</v>
      </c>
      <c r="V23" s="117">
        <f t="shared" si="46"/>
        <v>0.39834276475343561</v>
      </c>
      <c r="W23" s="117">
        <f t="shared" si="46"/>
        <v>0.39315053878160677</v>
      </c>
      <c r="X23" s="117">
        <f t="shared" si="46"/>
        <v>0.4042978945536802</v>
      </c>
      <c r="Y23" s="118">
        <f t="shared" si="46"/>
        <v>0.365708756691</v>
      </c>
      <c r="AA23" s="110">
        <f>SUM(Y23-U23)*10000</f>
        <v>-67.258130698736878</v>
      </c>
    </row>
    <row r="24" spans="1:27" ht="12.75" customHeight="1">
      <c r="B24" s="119" t="str">
        <f>B19&amp;"(%)"</f>
        <v>Crocs DTC (%)</v>
      </c>
      <c r="C24" s="124">
        <f t="shared" si="43"/>
        <v>0.36061884669479605</v>
      </c>
      <c r="D24" s="124">
        <f t="shared" si="43"/>
        <v>0.31171125694093893</v>
      </c>
      <c r="E24" s="124">
        <f t="shared" si="43"/>
        <v>0.40711847879083374</v>
      </c>
      <c r="F24" s="120"/>
      <c r="G24" s="124">
        <f t="shared" ref="G24:P24" si="47">SUM(G19/G$11)</f>
        <v>0.26939606423885998</v>
      </c>
      <c r="H24" s="124">
        <f t="shared" si="47"/>
        <v>0.39690385153408558</v>
      </c>
      <c r="I24" s="124">
        <f t="shared" si="47"/>
        <v>0.41082528449842209</v>
      </c>
      <c r="J24" s="124">
        <f t="shared" si="47"/>
        <v>0.14753073556991034</v>
      </c>
      <c r="K24" s="124">
        <f t="shared" si="47"/>
        <v>0.38446788111217639</v>
      </c>
      <c r="L24" s="124">
        <f t="shared" si="47"/>
        <v>0.43067926225820963</v>
      </c>
      <c r="M24" s="124">
        <f t="shared" si="47"/>
        <v>0.43541705893428728</v>
      </c>
      <c r="N24" s="124">
        <f t="shared" si="47"/>
        <v>0.37176637025060644</v>
      </c>
      <c r="O24" s="124">
        <f t="shared" si="47"/>
        <v>0.41939613784273982</v>
      </c>
      <c r="P24" s="124">
        <f t="shared" si="47"/>
        <v>0.43057247259439713</v>
      </c>
      <c r="Q24" s="124">
        <f t="shared" ref="Q24" si="48">SUM(Q19/Q$11)</f>
        <v>0.47362493864805916</v>
      </c>
      <c r="R24" s="120"/>
      <c r="S24" s="121">
        <f t="shared" si="46"/>
        <v>0.38446788111217639</v>
      </c>
      <c r="T24" s="121">
        <f t="shared" si="46"/>
        <v>0.43067926225820963</v>
      </c>
      <c r="U24" s="121">
        <f t="shared" si="46"/>
        <v>0.43541705893428728</v>
      </c>
      <c r="V24" s="121">
        <f t="shared" si="46"/>
        <v>0.37176637025060644</v>
      </c>
      <c r="W24" s="121">
        <f t="shared" si="46"/>
        <v>0.41939613784273982</v>
      </c>
      <c r="X24" s="121">
        <f t="shared" si="46"/>
        <v>0.43057247259439713</v>
      </c>
      <c r="Y24" s="122">
        <f t="shared" si="46"/>
        <v>0.47362493864805916</v>
      </c>
      <c r="AA24" s="110">
        <f>SUM(Y24-U24)*10000</f>
        <v>382.07879713771877</v>
      </c>
    </row>
    <row r="25" spans="1:27">
      <c r="B25" s="16"/>
      <c r="C25" s="17"/>
      <c r="D25" s="17"/>
      <c r="E25" s="17"/>
      <c r="F25" s="18"/>
      <c r="G25" s="19"/>
      <c r="H25" s="19"/>
      <c r="I25" s="19"/>
      <c r="J25" s="20"/>
      <c r="K25" s="19"/>
      <c r="L25" s="19"/>
      <c r="M25" s="19"/>
      <c r="N25" s="19"/>
      <c r="O25" s="19"/>
      <c r="P25" s="19"/>
      <c r="Q25" s="19"/>
      <c r="R25" s="18"/>
      <c r="S25" s="18"/>
      <c r="T25" s="18"/>
      <c r="U25" s="18"/>
      <c r="V25" s="18"/>
      <c r="W25" s="18"/>
      <c r="X25" s="18"/>
      <c r="Y25" s="18"/>
      <c r="AA25" s="108"/>
    </row>
    <row r="26" spans="1:27" ht="12.75" customHeight="1">
      <c r="A26" s="74" t="s">
        <v>18</v>
      </c>
      <c r="B26" s="72" t="s">
        <v>114</v>
      </c>
      <c r="C26" s="10"/>
      <c r="D26" s="10"/>
      <c r="E26" s="10"/>
      <c r="F26" s="10"/>
      <c r="G26" s="81"/>
      <c r="H26" s="81"/>
      <c r="I26" s="81"/>
      <c r="J26" s="30"/>
      <c r="K26" s="81"/>
      <c r="L26" s="81"/>
      <c r="M26" s="81"/>
      <c r="N26" s="30"/>
      <c r="O26" s="81"/>
      <c r="P26" s="81"/>
      <c r="Q26" s="81"/>
      <c r="R26" s="5"/>
      <c r="S26" s="11"/>
      <c r="T26" s="11"/>
      <c r="U26" s="11"/>
      <c r="V26" s="11"/>
      <c r="W26" s="11"/>
      <c r="X26" s="11"/>
      <c r="Y26" s="11"/>
      <c r="AA26" s="108"/>
    </row>
    <row r="27" spans="1:27" ht="12.75" customHeight="1">
      <c r="A27" s="74"/>
      <c r="B27" s="9" t="s">
        <v>185</v>
      </c>
      <c r="C27" s="75">
        <v>574</v>
      </c>
      <c r="D27" s="75">
        <v>567</v>
      </c>
      <c r="E27" s="75">
        <v>456</v>
      </c>
      <c r="F27" s="10"/>
      <c r="G27" s="75">
        <v>167.9</v>
      </c>
      <c r="H27" s="75">
        <v>148.80000000000001</v>
      </c>
      <c r="I27" s="75">
        <v>146.5</v>
      </c>
      <c r="J27" s="30">
        <f t="shared" ref="J27:J28" si="49">SUM(D27-SUM(G27:I27))</f>
        <v>103.79999999999995</v>
      </c>
      <c r="K27" s="75">
        <v>134.80000000000001</v>
      </c>
      <c r="L27" s="75">
        <v>113.8</v>
      </c>
      <c r="M27" s="75">
        <v>113</v>
      </c>
      <c r="N27" s="30">
        <f t="shared" ref="N27:N28" si="50">SUM(E27-SUM(K27:M27))</f>
        <v>94.399999999999977</v>
      </c>
      <c r="O27" s="75">
        <v>110.7</v>
      </c>
      <c r="P27" s="75">
        <v>99.8</v>
      </c>
      <c r="Q27" s="75">
        <v>69.402000000000001</v>
      </c>
      <c r="R27" s="5"/>
      <c r="S27" s="30">
        <f t="shared" ref="S27:S28" si="51">SUM(H27:K27)</f>
        <v>533.9</v>
      </c>
      <c r="T27" s="30">
        <f t="shared" ref="T27:T28" si="52">SUM(I27:L27)</f>
        <v>498.9</v>
      </c>
      <c r="U27" s="30">
        <f t="shared" ref="U27:U28" si="53">SUM(J27:M27)</f>
        <v>465.4</v>
      </c>
      <c r="V27" s="30">
        <f t="shared" ref="V27:V28" si="54">SUM(K27:N27)</f>
        <v>456</v>
      </c>
      <c r="W27" s="30">
        <f t="shared" ref="W27:W28" si="55">SUM(L27:O27)</f>
        <v>431.9</v>
      </c>
      <c r="X27" s="30">
        <f t="shared" ref="X27:X28" si="56">SUM(M27:P27)</f>
        <v>417.9</v>
      </c>
      <c r="Y27" s="30">
        <f>SUM(N27:Q27)</f>
        <v>374.30199999999996</v>
      </c>
      <c r="AA27" s="108">
        <f t="shared" ref="AA27:AA29" si="57">SUM(Y27/U27)-1</f>
        <v>-0.19574129780833693</v>
      </c>
    </row>
    <row r="28" spans="1:27">
      <c r="B28" s="9" t="s">
        <v>184</v>
      </c>
      <c r="C28" s="75">
        <v>322</v>
      </c>
      <c r="D28" s="75">
        <v>382</v>
      </c>
      <c r="E28" s="75">
        <v>368</v>
      </c>
      <c r="F28" s="75"/>
      <c r="G28" s="75">
        <v>67.5</v>
      </c>
      <c r="H28" s="75">
        <v>90.6</v>
      </c>
      <c r="I28" s="75">
        <v>100.4</v>
      </c>
      <c r="J28" s="30">
        <f t="shared" si="49"/>
        <v>123.5</v>
      </c>
      <c r="K28" s="75">
        <v>60.1</v>
      </c>
      <c r="L28" s="75">
        <v>83.7</v>
      </c>
      <c r="M28" s="75">
        <v>91.1</v>
      </c>
      <c r="N28" s="30">
        <f t="shared" si="50"/>
        <v>133.1</v>
      </c>
      <c r="O28" s="75">
        <v>65</v>
      </c>
      <c r="P28" s="75">
        <v>90</v>
      </c>
      <c r="Q28" s="75">
        <v>90.67</v>
      </c>
      <c r="R28" s="5"/>
      <c r="S28" s="30">
        <f t="shared" si="51"/>
        <v>374.6</v>
      </c>
      <c r="T28" s="30">
        <f t="shared" si="52"/>
        <v>367.7</v>
      </c>
      <c r="U28" s="30">
        <f t="shared" si="53"/>
        <v>358.4</v>
      </c>
      <c r="V28" s="30">
        <f t="shared" si="54"/>
        <v>368</v>
      </c>
      <c r="W28" s="30">
        <f t="shared" si="55"/>
        <v>372.9</v>
      </c>
      <c r="X28" s="30">
        <f t="shared" si="56"/>
        <v>379.2</v>
      </c>
      <c r="Y28" s="30">
        <f>SUM(N28:Q28)</f>
        <v>378.77000000000004</v>
      </c>
      <c r="AA28" s="108">
        <f t="shared" si="57"/>
        <v>5.6835937500000266E-2</v>
      </c>
    </row>
    <row r="29" spans="1:27">
      <c r="B29" s="12" t="s">
        <v>71</v>
      </c>
      <c r="C29" s="13">
        <f>SUM(C27:C28)</f>
        <v>896</v>
      </c>
      <c r="D29" s="13">
        <f>SUM(D27:D28)</f>
        <v>949</v>
      </c>
      <c r="E29" s="13">
        <f>SUM(E27:E28)</f>
        <v>824</v>
      </c>
      <c r="F29" s="11"/>
      <c r="G29" s="13">
        <f t="shared" ref="G29:Q29" si="58">SUM(G27:G28)</f>
        <v>235.4</v>
      </c>
      <c r="H29" s="13">
        <f t="shared" si="58"/>
        <v>239.4</v>
      </c>
      <c r="I29" s="13">
        <f t="shared" si="58"/>
        <v>246.9</v>
      </c>
      <c r="J29" s="13">
        <f t="shared" si="58"/>
        <v>227.29999999999995</v>
      </c>
      <c r="K29" s="13">
        <f t="shared" si="58"/>
        <v>194.9</v>
      </c>
      <c r="L29" s="13">
        <f t="shared" si="58"/>
        <v>197.5</v>
      </c>
      <c r="M29" s="13">
        <f t="shared" si="58"/>
        <v>204.1</v>
      </c>
      <c r="N29" s="13">
        <f t="shared" si="58"/>
        <v>227.49999999999997</v>
      </c>
      <c r="O29" s="13">
        <f t="shared" si="58"/>
        <v>175.7</v>
      </c>
      <c r="P29" s="13">
        <f t="shared" si="58"/>
        <v>189.8</v>
      </c>
      <c r="Q29" s="13">
        <f t="shared" si="58"/>
        <v>160.072</v>
      </c>
      <c r="R29" s="5"/>
      <c r="S29" s="13">
        <f t="shared" ref="S29:Y29" si="59">SUM(S27:S28)</f>
        <v>908.5</v>
      </c>
      <c r="T29" s="13">
        <f t="shared" si="59"/>
        <v>866.59999999999991</v>
      </c>
      <c r="U29" s="13">
        <f t="shared" si="59"/>
        <v>823.8</v>
      </c>
      <c r="V29" s="13">
        <f t="shared" si="59"/>
        <v>824</v>
      </c>
      <c r="W29" s="13">
        <f t="shared" si="59"/>
        <v>804.8</v>
      </c>
      <c r="X29" s="13">
        <f t="shared" si="59"/>
        <v>797.09999999999991</v>
      </c>
      <c r="Y29" s="13">
        <f t="shared" si="59"/>
        <v>753.072</v>
      </c>
      <c r="AA29" s="109">
        <f t="shared" si="57"/>
        <v>-8.5855790240349505E-2</v>
      </c>
    </row>
    <row r="30" spans="1:27" outlineLevel="1">
      <c r="B30" s="114" t="s">
        <v>162</v>
      </c>
      <c r="C30" s="73">
        <f>C29-C10</f>
        <v>0</v>
      </c>
      <c r="D30" s="73">
        <f t="shared" ref="D30:E30" si="60">D29-D10</f>
        <v>0</v>
      </c>
      <c r="E30" s="73">
        <f t="shared" si="60"/>
        <v>0</v>
      </c>
      <c r="F30" s="11"/>
      <c r="G30" s="73">
        <f t="shared" ref="G30" si="61">G29-G10</f>
        <v>0</v>
      </c>
      <c r="H30" s="73">
        <f t="shared" ref="H30" si="62">H29-H10</f>
        <v>0</v>
      </c>
      <c r="I30" s="73">
        <f t="shared" ref="I30" si="63">I29-I10</f>
        <v>0</v>
      </c>
      <c r="J30" s="73">
        <f t="shared" ref="J30" si="64">J29-J10</f>
        <v>0</v>
      </c>
      <c r="K30" s="73">
        <f t="shared" ref="K30" si="65">K29-K10</f>
        <v>0</v>
      </c>
      <c r="L30" s="73">
        <f t="shared" ref="L30" si="66">L29-L10</f>
        <v>0</v>
      </c>
      <c r="M30" s="73">
        <f t="shared" ref="M30" si="67">M29-M10</f>
        <v>0</v>
      </c>
      <c r="N30" s="73">
        <f t="shared" ref="N30" si="68">N29-N10</f>
        <v>0</v>
      </c>
      <c r="O30" s="73">
        <f t="shared" ref="O30" si="69">O29-O10</f>
        <v>0</v>
      </c>
      <c r="P30" s="73">
        <f t="shared" ref="P30:Y30" si="70">P29-P10</f>
        <v>0</v>
      </c>
      <c r="Q30" s="73">
        <f t="shared" si="70"/>
        <v>0</v>
      </c>
      <c r="R30" s="73"/>
      <c r="S30" s="73">
        <f t="shared" si="70"/>
        <v>0</v>
      </c>
      <c r="T30" s="73">
        <f t="shared" si="70"/>
        <v>0</v>
      </c>
      <c r="U30" s="73">
        <f t="shared" si="70"/>
        <v>0</v>
      </c>
      <c r="V30" s="73">
        <f t="shared" si="70"/>
        <v>0</v>
      </c>
      <c r="W30" s="73">
        <f t="shared" si="70"/>
        <v>0</v>
      </c>
      <c r="X30" s="73">
        <f t="shared" si="70"/>
        <v>0</v>
      </c>
      <c r="Y30" s="73">
        <f t="shared" si="70"/>
        <v>0</v>
      </c>
      <c r="AA30" s="108"/>
    </row>
    <row r="31" spans="1:27" ht="5.0999999999999996" customHeight="1">
      <c r="B31" s="16"/>
      <c r="C31" s="17"/>
      <c r="D31" s="17"/>
      <c r="E31" s="17"/>
      <c r="F31" s="18"/>
      <c r="G31" s="19"/>
      <c r="H31" s="19"/>
      <c r="I31" s="19"/>
      <c r="J31" s="20"/>
      <c r="K31" s="19"/>
      <c r="L31" s="19"/>
      <c r="M31" s="19"/>
      <c r="N31" s="19"/>
      <c r="O31" s="19"/>
      <c r="P31" s="19"/>
      <c r="Q31" s="19"/>
      <c r="R31" s="18"/>
      <c r="S31" s="18"/>
      <c r="T31" s="18"/>
      <c r="U31" s="18"/>
      <c r="V31" s="18"/>
      <c r="W31" s="18"/>
      <c r="X31" s="18"/>
      <c r="Y31" s="18"/>
      <c r="AA31" s="108"/>
    </row>
    <row r="32" spans="1:27">
      <c r="B32" s="115" t="str">
        <f>B27&amp;"(%)"</f>
        <v>HEYDUDE Wholesale (%)</v>
      </c>
      <c r="C32" s="123">
        <f t="shared" ref="C32:E33" si="71">SUM(C27/C$11)</f>
        <v>0.16146272855133614</v>
      </c>
      <c r="D32" s="123">
        <f t="shared" si="71"/>
        <v>0.14310954063604239</v>
      </c>
      <c r="E32" s="123">
        <f t="shared" si="71"/>
        <v>0.11116528522671867</v>
      </c>
      <c r="F32" s="116"/>
      <c r="G32" s="123">
        <f t="shared" ref="G32:P32" si="72">SUM(G27/G$11)</f>
        <v>0.18988916534720654</v>
      </c>
      <c r="H32" s="123">
        <f t="shared" si="72"/>
        <v>0.13876713606266902</v>
      </c>
      <c r="I32" s="123">
        <f t="shared" si="72"/>
        <v>0.14009754231615185</v>
      </c>
      <c r="J32" s="123">
        <f t="shared" si="72"/>
        <v>0.10814753073556989</v>
      </c>
      <c r="K32" s="123">
        <f t="shared" si="72"/>
        <v>0.14360285501225101</v>
      </c>
      <c r="L32" s="123">
        <f t="shared" si="72"/>
        <v>0.10238416554206027</v>
      </c>
      <c r="M32" s="123">
        <f t="shared" si="72"/>
        <v>0.10638297872340426</v>
      </c>
      <c r="N32" s="123">
        <f t="shared" si="72"/>
        <v>9.5392077607113976E-2</v>
      </c>
      <c r="O32" s="123">
        <f t="shared" si="72"/>
        <v>0.11810519577509869</v>
      </c>
      <c r="P32" s="123">
        <f t="shared" si="72"/>
        <v>8.6827910214024723E-2</v>
      </c>
      <c r="Q32" s="123">
        <f t="shared" ref="Q32" si="73">SUM(Q27/Q$11)</f>
        <v>6.965967112348577E-2</v>
      </c>
      <c r="R32" s="116"/>
      <c r="S32" s="117">
        <f t="shared" ref="S32:Y33" si="74">K32</f>
        <v>0.14360285501225101</v>
      </c>
      <c r="T32" s="117">
        <f t="shared" si="74"/>
        <v>0.10238416554206027</v>
      </c>
      <c r="U32" s="117">
        <f t="shared" si="74"/>
        <v>0.10638297872340426</v>
      </c>
      <c r="V32" s="117">
        <f t="shared" si="74"/>
        <v>9.5392077607113976E-2</v>
      </c>
      <c r="W32" s="117">
        <f t="shared" si="74"/>
        <v>0.11810519577509869</v>
      </c>
      <c r="X32" s="117">
        <f t="shared" si="74"/>
        <v>8.6827910214024723E-2</v>
      </c>
      <c r="Y32" s="118">
        <f t="shared" si="74"/>
        <v>6.965967112348577E-2</v>
      </c>
      <c r="AA32" s="110">
        <f t="shared" ref="AA32:AA33" si="75">SUM(Y32-U32)*10000</f>
        <v>-367.23307599918485</v>
      </c>
    </row>
    <row r="33" spans="2:27" ht="12.75" customHeight="1">
      <c r="B33" s="119" t="str">
        <f>B28&amp;"(%)"</f>
        <v>HEYDUDE DTC (%)</v>
      </c>
      <c r="C33" s="124">
        <f t="shared" si="71"/>
        <v>9.0576652601969052E-2</v>
      </c>
      <c r="D33" s="124">
        <f t="shared" si="71"/>
        <v>9.6415951539626454E-2</v>
      </c>
      <c r="E33" s="124">
        <f t="shared" si="71"/>
        <v>8.9712335446123836E-2</v>
      </c>
      <c r="F33" s="120"/>
      <c r="G33" s="124">
        <f t="shared" ref="G33:P33" si="76">SUM(G28/G$11)</f>
        <v>7.634019452612531E-2</v>
      </c>
      <c r="H33" s="124">
        <f t="shared" si="76"/>
        <v>8.4491280425254112E-2</v>
      </c>
      <c r="I33" s="124">
        <f t="shared" si="76"/>
        <v>9.6012240604379837E-2</v>
      </c>
      <c r="J33" s="124">
        <f t="shared" si="76"/>
        <v>0.12867264013336116</v>
      </c>
      <c r="K33" s="124">
        <f t="shared" si="76"/>
        <v>6.4024715031426441E-2</v>
      </c>
      <c r="L33" s="124">
        <f t="shared" si="76"/>
        <v>7.5303643724696362E-2</v>
      </c>
      <c r="M33" s="124">
        <f t="shared" si="76"/>
        <v>8.5765392581434743E-2</v>
      </c>
      <c r="N33" s="124">
        <f t="shared" si="76"/>
        <v>0.13449878738884399</v>
      </c>
      <c r="O33" s="124">
        <f t="shared" si="76"/>
        <v>6.9348127600554782E-2</v>
      </c>
      <c r="P33" s="124">
        <f t="shared" si="76"/>
        <v>7.8301722637898044E-2</v>
      </c>
      <c r="Q33" s="124">
        <f t="shared" ref="Q33" si="77">SUM(Q28/Q$11)</f>
        <v>9.1006633537455042E-2</v>
      </c>
      <c r="R33" s="120"/>
      <c r="S33" s="121">
        <f t="shared" si="74"/>
        <v>6.4024715031426441E-2</v>
      </c>
      <c r="T33" s="121">
        <f t="shared" si="74"/>
        <v>7.5303643724696362E-2</v>
      </c>
      <c r="U33" s="121">
        <f t="shared" si="74"/>
        <v>8.5765392581434743E-2</v>
      </c>
      <c r="V33" s="121">
        <f t="shared" si="74"/>
        <v>0.13449878738884399</v>
      </c>
      <c r="W33" s="121">
        <f t="shared" si="74"/>
        <v>6.9348127600554782E-2</v>
      </c>
      <c r="X33" s="121">
        <f t="shared" si="74"/>
        <v>7.8301722637898044E-2</v>
      </c>
      <c r="Y33" s="122">
        <f t="shared" si="74"/>
        <v>9.1006633537455042E-2</v>
      </c>
      <c r="AA33" s="110">
        <f t="shared" si="75"/>
        <v>52.412409560202988</v>
      </c>
    </row>
    <row r="34" spans="2:27">
      <c r="B34" s="16"/>
      <c r="C34" s="17"/>
      <c r="D34" s="17"/>
      <c r="E34" s="17"/>
      <c r="F34" s="18"/>
      <c r="G34" s="19"/>
      <c r="H34" s="19"/>
      <c r="I34" s="19"/>
      <c r="J34" s="20"/>
      <c r="K34" s="19"/>
      <c r="L34" s="19"/>
      <c r="M34" s="19"/>
      <c r="N34" s="19"/>
      <c r="O34" s="19"/>
      <c r="P34" s="19"/>
      <c r="Q34" s="19"/>
      <c r="R34" s="18"/>
      <c r="S34" s="18"/>
      <c r="T34" s="18"/>
      <c r="U34" s="18"/>
      <c r="V34" s="18"/>
      <c r="W34" s="18"/>
      <c r="X34" s="18"/>
      <c r="Y34" s="18"/>
      <c r="AA34" s="8"/>
    </row>
    <row r="35" spans="2:27">
      <c r="AA35" s="8"/>
    </row>
    <row r="50" spans="27:27">
      <c r="AA50" s="141"/>
    </row>
    <row r="51" spans="27:27">
      <c r="AA51" s="141"/>
    </row>
  </sheetData>
  <mergeCells count="1">
    <mergeCell ref="AA2:AA4"/>
  </mergeCells>
  <pageMargins left="0.7" right="0.7" top="0.75" bottom="0.75" header="0.3" footer="0.3"/>
  <ignoredErrors>
    <ignoredError sqref="G15:P15 C15:E15 C14:E14 G14:P1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B83"/>
  <sheetViews>
    <sheetView showGridLines="0" zoomScale="130" zoomScaleNormal="130" workbookViewId="0">
      <selection activeCell="Z7" sqref="Z7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1.5" style="8" customWidth="1"/>
    <col min="7" max="9" width="8" style="8" hidden="1" customWidth="1" outlineLevel="1"/>
    <col min="10" max="10" width="8.75" style="8" hidden="1" customWidth="1" outlineLevel="1"/>
    <col min="11" max="12" width="8" style="8" hidden="1" customWidth="1" outlineLevel="1"/>
    <col min="13" max="13" width="8.875" style="8" customWidth="1" collapsed="1"/>
    <col min="14" max="17" width="8.875" style="8" customWidth="1"/>
    <col min="18" max="18" width="1.625" style="8" customWidth="1"/>
    <col min="19" max="19" width="9.25" style="8" hidden="1" customWidth="1" outlineLevel="1"/>
    <col min="20" max="20" width="9.75" style="8" hidden="1" customWidth="1" outlineLevel="1"/>
    <col min="21" max="21" width="9" style="8" hidden="1" customWidth="1" outlineLevel="1"/>
    <col min="22" max="22" width="9" style="8" collapsed="1"/>
    <col min="23" max="24" width="9" style="8" hidden="1" customWidth="1" outlineLevel="1"/>
    <col min="25" max="25" width="8.5" style="8" hidden="1" customWidth="1" outlineLevel="1"/>
    <col min="26" max="26" width="8.5" style="8" bestFit="1" customWidth="1" collapsed="1"/>
    <col min="27" max="27" width="1.5" style="8" customWidth="1"/>
    <col min="28" max="28" width="7.5" style="111" bestFit="1" customWidth="1"/>
    <col min="29" max="16384" width="9" style="8"/>
  </cols>
  <sheetData>
    <row r="2" spans="2:28" s="5" customFormat="1" ht="12.75" customHeight="1">
      <c r="B2" s="1" t="str">
        <f>'Historical Financials'!B2</f>
        <v>Crocs Inc (NASDAQ: CROX)</v>
      </c>
      <c r="C2" s="2"/>
      <c r="D2" s="2" t="s">
        <v>0</v>
      </c>
      <c r="E2" s="2"/>
      <c r="F2" s="3"/>
      <c r="G2" s="2" t="s">
        <v>1</v>
      </c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 t="s">
        <v>10</v>
      </c>
      <c r="V2" s="2" t="s">
        <v>10</v>
      </c>
      <c r="W2" s="2"/>
      <c r="X2" s="2"/>
      <c r="Y2" s="2"/>
      <c r="Z2" s="2"/>
      <c r="AA2" s="3"/>
      <c r="AB2" s="135" t="s">
        <v>24</v>
      </c>
    </row>
    <row r="3" spans="2:28" s="5" customFormat="1" ht="12.75" customHeight="1">
      <c r="B3" s="6" t="s">
        <v>25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3"/>
      <c r="S3" s="4" t="str">
        <f>J3</f>
        <v>4Q23</v>
      </c>
      <c r="T3" s="4" t="str">
        <f>K3</f>
        <v>1Q24</v>
      </c>
      <c r="U3" s="4" t="str">
        <f>L3</f>
        <v>2Q24</v>
      </c>
      <c r="V3" s="4" t="str">
        <f>M3</f>
        <v>3Q24</v>
      </c>
      <c r="W3" s="4" t="str">
        <f>N3</f>
        <v>4Q24</v>
      </c>
      <c r="X3" s="4" t="str">
        <f>O3</f>
        <v>1Q25</v>
      </c>
      <c r="Y3" s="4" t="str">
        <f>P3</f>
        <v>2Q25</v>
      </c>
      <c r="Z3" s="4" t="str">
        <f>Q3</f>
        <v>3Q25</v>
      </c>
      <c r="AA3" s="3"/>
      <c r="AB3" s="135"/>
    </row>
    <row r="4" spans="2:28" s="5" customFormat="1" ht="12.75" customHeight="1">
      <c r="B4" s="6" t="s">
        <v>96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45016</v>
      </c>
      <c r="H4" s="3">
        <f>'Historical Financials'!H8</f>
        <v>45107</v>
      </c>
      <c r="I4" s="3">
        <f>'Historical Financials'!I8</f>
        <v>45199</v>
      </c>
      <c r="J4" s="3">
        <f>'Historical Financials'!J8</f>
        <v>45291</v>
      </c>
      <c r="K4" s="3">
        <f>'Historical Financials'!K8</f>
        <v>45382</v>
      </c>
      <c r="L4" s="3">
        <f>'Historical Financials'!L8</f>
        <v>45473</v>
      </c>
      <c r="M4" s="3">
        <f>'Historical Financials'!M8</f>
        <v>45565</v>
      </c>
      <c r="N4" s="3">
        <f>'Historical Financials'!N8</f>
        <v>45657</v>
      </c>
      <c r="O4" s="3">
        <f>'Historical Financials'!O8</f>
        <v>45747</v>
      </c>
      <c r="P4" s="3">
        <f>'Historical Financials'!P8</f>
        <v>45838</v>
      </c>
      <c r="Q4" s="3">
        <f>'Historical Financials'!Q8</f>
        <v>45930</v>
      </c>
      <c r="R4" s="3"/>
      <c r="S4" s="3">
        <f>J4</f>
        <v>45291</v>
      </c>
      <c r="T4" s="3">
        <f>K4</f>
        <v>45382</v>
      </c>
      <c r="U4" s="3">
        <f>L4</f>
        <v>45473</v>
      </c>
      <c r="V4" s="3">
        <f>M4</f>
        <v>45565</v>
      </c>
      <c r="W4" s="3">
        <f>N4</f>
        <v>45657</v>
      </c>
      <c r="X4" s="3">
        <f>O4</f>
        <v>45747</v>
      </c>
      <c r="Y4" s="3">
        <f>P4</f>
        <v>45838</v>
      </c>
      <c r="Z4" s="3">
        <f>Q4</f>
        <v>45930</v>
      </c>
      <c r="AA4" s="3"/>
      <c r="AB4" s="135"/>
    </row>
    <row r="5" spans="2:28" ht="5.0999999999999996" customHeight="1">
      <c r="AB5" s="107"/>
    </row>
    <row r="6" spans="2:28" ht="12.75" customHeight="1">
      <c r="B6" s="9" t="str">
        <f>'Revenue Drivers'!B9</f>
        <v>Crox Revenues</v>
      </c>
      <c r="C6" s="80">
        <f>'Revenue Drivers'!C9</f>
        <v>2659</v>
      </c>
      <c r="D6" s="80">
        <f>'Revenue Drivers'!D9</f>
        <v>3013</v>
      </c>
      <c r="E6" s="80">
        <f>'Revenue Drivers'!E9</f>
        <v>3278</v>
      </c>
      <c r="F6" s="10"/>
      <c r="G6" s="80">
        <f>'Revenue Drivers'!G9</f>
        <v>648.79999999999995</v>
      </c>
      <c r="H6" s="80">
        <f>'Revenue Drivers'!H9</f>
        <v>832.90000000000009</v>
      </c>
      <c r="I6" s="80">
        <f>'Revenue Drivers'!I9</f>
        <v>798.8</v>
      </c>
      <c r="J6" s="80">
        <f>'Revenue Drivers'!J9</f>
        <v>732.49999999999977</v>
      </c>
      <c r="K6" s="80">
        <f>'Revenue Drivers'!K9</f>
        <v>743.8</v>
      </c>
      <c r="L6" s="80">
        <f>'Revenue Drivers'!L9</f>
        <v>914</v>
      </c>
      <c r="M6" s="80">
        <f>'Revenue Drivers'!M9</f>
        <v>858.1</v>
      </c>
      <c r="N6" s="80">
        <f>'Revenue Drivers'!N9</f>
        <v>762.09999999999991</v>
      </c>
      <c r="O6" s="80">
        <f>'Revenue Drivers'!O9</f>
        <v>761.6</v>
      </c>
      <c r="P6" s="80">
        <f>'Revenue Drivers'!P9</f>
        <v>959.59999999999991</v>
      </c>
      <c r="Q6" s="80">
        <f>'Revenue Drivers'!Q9</f>
        <v>836.22900000000004</v>
      </c>
      <c r="R6" s="5"/>
      <c r="S6" s="126">
        <f>SUM(G6:J6)</f>
        <v>3013</v>
      </c>
      <c r="T6" s="126">
        <f>SUM(H6:K6)</f>
        <v>3108</v>
      </c>
      <c r="U6" s="126">
        <f>SUM(I6:L6)</f>
        <v>3189.0999999999995</v>
      </c>
      <c r="V6" s="126">
        <f>SUM(J6:M6)</f>
        <v>3248.3999999999996</v>
      </c>
      <c r="W6" s="126">
        <f>SUM(K6:N6)</f>
        <v>3278</v>
      </c>
      <c r="X6" s="126">
        <f>SUM(L6:O6)</f>
        <v>3295.7999999999997</v>
      </c>
      <c r="Y6" s="126">
        <f>SUM(M6:P6)</f>
        <v>3341.3999999999996</v>
      </c>
      <c r="Z6" s="126">
        <f>SUM(N6:Q6)</f>
        <v>3319.5289999999995</v>
      </c>
      <c r="AB6" s="108">
        <f t="shared" ref="AB6:AB7" si="0">SUM(Z6/V6)-1</f>
        <v>2.1896626031276956E-2</v>
      </c>
    </row>
    <row r="7" spans="2:28" ht="12.75" customHeight="1">
      <c r="B7" s="9" t="str">
        <f>'Revenue Drivers'!B10</f>
        <v>HEYDUDE Revenues</v>
      </c>
      <c r="C7" s="80">
        <f>'Revenue Drivers'!C10</f>
        <v>896</v>
      </c>
      <c r="D7" s="80">
        <f>'Revenue Drivers'!D10</f>
        <v>949</v>
      </c>
      <c r="E7" s="80">
        <f>'Revenue Drivers'!E10</f>
        <v>824</v>
      </c>
      <c r="F7" s="10"/>
      <c r="G7" s="80">
        <f>'Revenue Drivers'!G10</f>
        <v>235.4</v>
      </c>
      <c r="H7" s="80">
        <f>'Revenue Drivers'!H10</f>
        <v>239.4</v>
      </c>
      <c r="I7" s="80">
        <f>'Revenue Drivers'!I10</f>
        <v>246.9</v>
      </c>
      <c r="J7" s="80">
        <f>'Revenue Drivers'!J10</f>
        <v>227.29999999999995</v>
      </c>
      <c r="K7" s="80">
        <f>'Revenue Drivers'!K10</f>
        <v>194.9</v>
      </c>
      <c r="L7" s="80">
        <f>'Revenue Drivers'!L10</f>
        <v>197.5</v>
      </c>
      <c r="M7" s="80">
        <f>'Revenue Drivers'!M10</f>
        <v>204.1</v>
      </c>
      <c r="N7" s="80">
        <f>'Revenue Drivers'!N10</f>
        <v>227.49999999999997</v>
      </c>
      <c r="O7" s="80">
        <f>'Revenue Drivers'!O10</f>
        <v>175.7</v>
      </c>
      <c r="P7" s="80">
        <f>'Revenue Drivers'!P10</f>
        <v>189.8</v>
      </c>
      <c r="Q7" s="80">
        <f>'Revenue Drivers'!Q10</f>
        <v>160.072</v>
      </c>
      <c r="R7" s="5"/>
      <c r="S7" s="126">
        <f>SUM(G7:J7)</f>
        <v>949</v>
      </c>
      <c r="T7" s="126">
        <f>SUM(H7:K7)</f>
        <v>908.49999999999989</v>
      </c>
      <c r="U7" s="126">
        <f>SUM(I7:L7)</f>
        <v>866.59999999999991</v>
      </c>
      <c r="V7" s="126">
        <f>SUM(J7:M7)</f>
        <v>823.8</v>
      </c>
      <c r="W7" s="126">
        <f>SUM(K7:N7)</f>
        <v>824</v>
      </c>
      <c r="X7" s="126">
        <f>SUM(L7:O7)</f>
        <v>804.8</v>
      </c>
      <c r="Y7" s="126">
        <f>SUM(M7:P7)</f>
        <v>797.09999999999991</v>
      </c>
      <c r="Z7" s="126">
        <f>SUM(N7:Q7)</f>
        <v>753.072</v>
      </c>
      <c r="AB7" s="108">
        <f t="shared" si="0"/>
        <v>-8.5855790240349505E-2</v>
      </c>
    </row>
    <row r="8" spans="2:28" ht="12.75" customHeight="1">
      <c r="B8" s="12" t="s">
        <v>12</v>
      </c>
      <c r="C8" s="13">
        <f>SUM(C6:C7)</f>
        <v>3555</v>
      </c>
      <c r="D8" s="13">
        <f>SUM(D6:D7)</f>
        <v>3962</v>
      </c>
      <c r="E8" s="13">
        <f>SUM(E6:E7)</f>
        <v>4102</v>
      </c>
      <c r="F8" s="10"/>
      <c r="G8" s="13">
        <f>SUM(G6:G7)</f>
        <v>884.19999999999993</v>
      </c>
      <c r="H8" s="13">
        <f>SUM(H6:H7)</f>
        <v>1072.3000000000002</v>
      </c>
      <c r="I8" s="13">
        <f>SUM(I6:I7)</f>
        <v>1045.7</v>
      </c>
      <c r="J8" s="13">
        <f>SUM(J6:J7)</f>
        <v>959.79999999999973</v>
      </c>
      <c r="K8" s="13">
        <f>SUM(K6:K7)</f>
        <v>938.69999999999993</v>
      </c>
      <c r="L8" s="13">
        <f>SUM(L6:L7)</f>
        <v>1111.5</v>
      </c>
      <c r="M8" s="13">
        <f>SUM(M6:M7)</f>
        <v>1062.2</v>
      </c>
      <c r="N8" s="13">
        <f>SUM(N6:N7)</f>
        <v>989.59999999999991</v>
      </c>
      <c r="O8" s="13">
        <f>SUM(O6:O7)</f>
        <v>937.3</v>
      </c>
      <c r="P8" s="13">
        <f>SUM(P6:P7)</f>
        <v>1149.3999999999999</v>
      </c>
      <c r="Q8" s="13">
        <f>SUM(Q6:Q7)</f>
        <v>996.30100000000004</v>
      </c>
      <c r="R8" s="5"/>
      <c r="S8" s="13">
        <f>SUM(S6:S7)</f>
        <v>3962</v>
      </c>
      <c r="T8" s="13">
        <f>SUM(T6:T7)</f>
        <v>4016.5</v>
      </c>
      <c r="U8" s="13">
        <f>SUM(U6:U7)</f>
        <v>4055.6999999999994</v>
      </c>
      <c r="V8" s="13">
        <f>SUM(V6:V7)</f>
        <v>4072.2</v>
      </c>
      <c r="W8" s="13">
        <f>SUM(W6:W7)</f>
        <v>4102</v>
      </c>
      <c r="X8" s="13">
        <f>SUM(X6:X7)</f>
        <v>4100.5999999999995</v>
      </c>
      <c r="Y8" s="13">
        <f>SUM(Y6:Y7)</f>
        <v>4138.5</v>
      </c>
      <c r="Z8" s="13">
        <f>SUM(Z6:Z7)</f>
        <v>4072.6009999999997</v>
      </c>
      <c r="AB8" s="109">
        <f>SUM(Z8/V8)-1</f>
        <v>9.8472570109420232E-5</v>
      </c>
    </row>
    <row r="9" spans="2:28" ht="12.75" customHeight="1">
      <c r="B9" s="14" t="s">
        <v>28</v>
      </c>
      <c r="C9" s="99"/>
      <c r="D9" s="15">
        <f>SUM(D8/C8)-1</f>
        <v>0.11448663853727137</v>
      </c>
      <c r="E9" s="15">
        <f>SUM(E8/D8)-1</f>
        <v>3.5335689045936425E-2</v>
      </c>
      <c r="F9" s="11"/>
      <c r="G9" s="99"/>
      <c r="H9" s="99"/>
      <c r="I9" s="99"/>
      <c r="J9" s="99"/>
      <c r="K9" s="15">
        <f t="shared" ref="K9:Q9" si="1">SUM(K8/G8)-1</f>
        <v>6.1637638543315942E-2</v>
      </c>
      <c r="L9" s="15">
        <f t="shared" si="1"/>
        <v>3.6556933693928872E-2</v>
      </c>
      <c r="M9" s="15">
        <f t="shared" si="1"/>
        <v>1.5778904083389111E-2</v>
      </c>
      <c r="N9" s="15">
        <f t="shared" si="1"/>
        <v>3.1048135028131085E-2</v>
      </c>
      <c r="O9" s="15">
        <f t="shared" si="1"/>
        <v>-1.491424310216205E-3</v>
      </c>
      <c r="P9" s="15">
        <f t="shared" si="1"/>
        <v>3.4098065677012901E-2</v>
      </c>
      <c r="Q9" s="15">
        <f t="shared" si="1"/>
        <v>-6.2040105441536486E-2</v>
      </c>
      <c r="R9" s="5"/>
      <c r="S9" s="99"/>
      <c r="T9" s="99"/>
      <c r="U9" s="99"/>
      <c r="V9" s="99"/>
      <c r="W9" s="15">
        <f t="shared" ref="W9:Z9" si="2">SUM(W8/S8)-1</f>
        <v>3.5335689045936425E-2</v>
      </c>
      <c r="X9" s="15">
        <f t="shared" si="2"/>
        <v>2.0938628158844619E-2</v>
      </c>
      <c r="Y9" s="15">
        <f t="shared" si="2"/>
        <v>2.0415711221244415E-2</v>
      </c>
      <c r="Z9" s="15">
        <f t="shared" si="2"/>
        <v>9.8472570109420232E-5</v>
      </c>
      <c r="AB9" s="110">
        <f>SUM(Z9-V9)*10000</f>
        <v>0.98472570109420232</v>
      </c>
    </row>
    <row r="10" spans="2:28" ht="12.75" customHeight="1">
      <c r="B10" s="14" t="s">
        <v>29</v>
      </c>
      <c r="C10" s="15" t="s">
        <v>30</v>
      </c>
      <c r="D10" s="15" t="s">
        <v>30</v>
      </c>
      <c r="E10" s="15" t="s">
        <v>30</v>
      </c>
      <c r="F10" s="11"/>
      <c r="G10" s="99"/>
      <c r="H10" s="15">
        <f>SUM(H8/G8)-1</f>
        <v>0.21273467541280278</v>
      </c>
      <c r="I10" s="15">
        <f>SUM(I8/H8)-1</f>
        <v>-2.4806490720880481E-2</v>
      </c>
      <c r="J10" s="15">
        <f>SUM(J8/I8)-1</f>
        <v>-8.2145930955341173E-2</v>
      </c>
      <c r="K10" s="15">
        <f>SUM(K8/J8)-1</f>
        <v>-2.1983746613877697E-2</v>
      </c>
      <c r="L10" s="15">
        <f t="shared" ref="L10:Q10" si="3">SUM(L8/K8)-1</f>
        <v>0.18408437200383521</v>
      </c>
      <c r="M10" s="15">
        <f t="shared" si="3"/>
        <v>-4.4354475933423232E-2</v>
      </c>
      <c r="N10" s="15">
        <f t="shared" si="3"/>
        <v>-6.8348710224063414E-2</v>
      </c>
      <c r="O10" s="15">
        <f t="shared" si="3"/>
        <v>-5.2849636216653173E-2</v>
      </c>
      <c r="P10" s="15">
        <f t="shared" si="3"/>
        <v>0.22628827483196412</v>
      </c>
      <c r="Q10" s="15">
        <f t="shared" si="3"/>
        <v>-0.13319906037932816</v>
      </c>
      <c r="R10" s="5"/>
      <c r="S10" s="15" t="s">
        <v>30</v>
      </c>
      <c r="T10" s="15" t="s">
        <v>30</v>
      </c>
      <c r="U10" s="15" t="s">
        <v>30</v>
      </c>
      <c r="V10" s="15" t="s">
        <v>30</v>
      </c>
      <c r="W10" s="15" t="s">
        <v>30</v>
      </c>
      <c r="X10" s="15" t="s">
        <v>30</v>
      </c>
      <c r="Y10" s="15" t="s">
        <v>30</v>
      </c>
      <c r="Z10" s="15" t="s">
        <v>30</v>
      </c>
      <c r="AB10" s="107"/>
    </row>
    <row r="11" spans="2:28" ht="5.0999999999999996" customHeight="1">
      <c r="B11" s="16"/>
      <c r="C11" s="17"/>
      <c r="D11" s="17"/>
      <c r="E11" s="17"/>
      <c r="F11" s="18"/>
      <c r="G11" s="19"/>
      <c r="H11" s="19"/>
      <c r="I11" s="19"/>
      <c r="J11" s="19"/>
      <c r="K11" s="19"/>
      <c r="L11" s="19"/>
      <c r="M11" s="19"/>
      <c r="N11" s="20"/>
      <c r="O11" s="19"/>
      <c r="P11" s="19"/>
      <c r="Q11" s="19"/>
      <c r="R11" s="18"/>
      <c r="S11" s="18"/>
      <c r="T11" s="18"/>
      <c r="U11" s="18"/>
      <c r="V11" s="18"/>
      <c r="W11" s="18"/>
      <c r="X11" s="18"/>
      <c r="Y11" s="18"/>
      <c r="Z11" s="18"/>
      <c r="AB11" s="107"/>
    </row>
    <row r="12" spans="2:28" ht="12.75" customHeight="1">
      <c r="B12" s="21" t="s">
        <v>31</v>
      </c>
      <c r="C12" s="80">
        <f>'Historical Financials'!C13</f>
        <v>-1694.7</v>
      </c>
      <c r="D12" s="80">
        <f>'Historical Financials'!D13</f>
        <v>-1752.3</v>
      </c>
      <c r="E12" s="80">
        <f>'Historical Financials'!E13</f>
        <v>-1691.9</v>
      </c>
      <c r="F12" s="10"/>
      <c r="G12" s="80">
        <f>'Historical Financials'!G13</f>
        <v>-407.8</v>
      </c>
      <c r="H12" s="80">
        <f>'Historical Financials'!H13</f>
        <v>-451.1</v>
      </c>
      <c r="I12" s="80">
        <f>'Historical Financials'!I13</f>
        <v>-464.1</v>
      </c>
      <c r="J12" s="80">
        <f>'Historical Financials'!J13</f>
        <v>-429.29999999999995</v>
      </c>
      <c r="K12" s="80">
        <f>'Historical Financials'!K13</f>
        <v>-416.6</v>
      </c>
      <c r="L12" s="80">
        <f>'Historical Financials'!L13</f>
        <v>-429.6</v>
      </c>
      <c r="M12" s="80">
        <f>'Historical Financials'!M13</f>
        <v>-428.9</v>
      </c>
      <c r="N12" s="80">
        <f>'Historical Financials'!N13</f>
        <v>-416.80000000000018</v>
      </c>
      <c r="O12" s="80">
        <f>'Historical Financials'!O13</f>
        <v>-395.8</v>
      </c>
      <c r="P12" s="80">
        <f>'Historical Financials'!P13</f>
        <v>-440.5</v>
      </c>
      <c r="Q12" s="80">
        <f>'Historical Financials'!Q13</f>
        <v>-413.29300000000001</v>
      </c>
      <c r="R12" s="5"/>
      <c r="S12" s="126">
        <f>SUM(G12:J12)</f>
        <v>-1752.3</v>
      </c>
      <c r="T12" s="126">
        <f>SUM(H12:K12)</f>
        <v>-1761.1</v>
      </c>
      <c r="U12" s="126">
        <f>SUM(I12:L12)</f>
        <v>-1739.6</v>
      </c>
      <c r="V12" s="126">
        <f>SUM(J12:M12)</f>
        <v>-1704.4</v>
      </c>
      <c r="W12" s="126">
        <f>SUM(K12:N12)</f>
        <v>-1691.9</v>
      </c>
      <c r="X12" s="126">
        <f>SUM(L12:O12)</f>
        <v>-1671.1000000000001</v>
      </c>
      <c r="Y12" s="126">
        <f>SUM(M12:P12)</f>
        <v>-1682.0000000000002</v>
      </c>
      <c r="Z12" s="126">
        <f>SUM(N12:Q12)</f>
        <v>-1666.393</v>
      </c>
      <c r="AB12" s="108">
        <f>SUM(Z12/V12)-1</f>
        <v>-2.2299342877258876E-2</v>
      </c>
    </row>
    <row r="13" spans="2:28" ht="12.75" customHeight="1">
      <c r="B13" s="23" t="s">
        <v>22</v>
      </c>
      <c r="C13" s="24">
        <f t="shared" ref="C13:E13" si="4">SUM(C8+SUM(C12:C12))</f>
        <v>1860.3</v>
      </c>
      <c r="D13" s="24">
        <f t="shared" si="4"/>
        <v>2209.6999999999998</v>
      </c>
      <c r="E13" s="24">
        <f t="shared" si="4"/>
        <v>2410.1</v>
      </c>
      <c r="F13" s="5"/>
      <c r="G13" s="24">
        <f>SUM(G8+SUM(G12:G12))</f>
        <v>476.39999999999992</v>
      </c>
      <c r="H13" s="24">
        <f>SUM(H8+SUM(H12:H12))</f>
        <v>621.20000000000016</v>
      </c>
      <c r="I13" s="24">
        <f>SUM(I8+SUM(I12:I12))</f>
        <v>581.6</v>
      </c>
      <c r="J13" s="24">
        <f>SUM(J8+SUM(J12:J12))</f>
        <v>530.49999999999977</v>
      </c>
      <c r="K13" s="24">
        <f t="shared" ref="K13:P13" si="5">SUM(K8+SUM(K12:K12))</f>
        <v>522.09999999999991</v>
      </c>
      <c r="L13" s="24">
        <f t="shared" si="5"/>
        <v>681.9</v>
      </c>
      <c r="M13" s="24">
        <f t="shared" si="5"/>
        <v>633.30000000000007</v>
      </c>
      <c r="N13" s="24">
        <f t="shared" si="5"/>
        <v>572.79999999999973</v>
      </c>
      <c r="O13" s="24">
        <f t="shared" si="5"/>
        <v>541.5</v>
      </c>
      <c r="P13" s="24">
        <f t="shared" si="5"/>
        <v>708.89999999999986</v>
      </c>
      <c r="Q13" s="24">
        <f t="shared" ref="Q13" si="6">SUM(Q8+SUM(Q12:Q12))</f>
        <v>583.00800000000004</v>
      </c>
      <c r="R13" s="5"/>
      <c r="S13" s="24">
        <f t="shared" ref="S13:Z13" si="7">SUM(S8+SUM(S12:S12))</f>
        <v>2209.6999999999998</v>
      </c>
      <c r="T13" s="24">
        <f t="shared" si="7"/>
        <v>2255.4</v>
      </c>
      <c r="U13" s="24">
        <f t="shared" si="7"/>
        <v>2316.0999999999995</v>
      </c>
      <c r="V13" s="24">
        <f t="shared" si="7"/>
        <v>2367.7999999999997</v>
      </c>
      <c r="W13" s="24">
        <f t="shared" si="7"/>
        <v>2410.1</v>
      </c>
      <c r="X13" s="24">
        <f t="shared" si="7"/>
        <v>2429.4999999999991</v>
      </c>
      <c r="Y13" s="24">
        <f t="shared" si="7"/>
        <v>2456.5</v>
      </c>
      <c r="Z13" s="24">
        <f t="shared" si="7"/>
        <v>2406.2079999999996</v>
      </c>
      <c r="AB13" s="109">
        <f>SUM(Z13/V13)-1</f>
        <v>1.6220964608497201E-2</v>
      </c>
    </row>
    <row r="14" spans="2:28" ht="12.75" customHeight="1">
      <c r="B14" s="14" t="s">
        <v>32</v>
      </c>
      <c r="C14" s="15">
        <f t="shared" ref="C14:E14" si="8">C13/C8</f>
        <v>0.5232911392405063</v>
      </c>
      <c r="D14" s="15">
        <f t="shared" si="8"/>
        <v>0.55772337203432609</v>
      </c>
      <c r="E14" s="15">
        <f t="shared" si="8"/>
        <v>0.58754266211604089</v>
      </c>
      <c r="F14" s="25"/>
      <c r="G14" s="15">
        <f>G13/G8</f>
        <v>0.53879212847771996</v>
      </c>
      <c r="H14" s="15">
        <f>H13/H8</f>
        <v>0.57931549006807803</v>
      </c>
      <c r="I14" s="15">
        <f>I13/I8</f>
        <v>0.55618246150903705</v>
      </c>
      <c r="J14" s="15">
        <f>J13/J8</f>
        <v>0.55271931652427586</v>
      </c>
      <c r="K14" s="15">
        <f t="shared" ref="K14:P14" si="9">K13/K8</f>
        <v>0.55619473740279102</v>
      </c>
      <c r="L14" s="15">
        <f t="shared" si="9"/>
        <v>0.61349527665317138</v>
      </c>
      <c r="M14" s="15">
        <f t="shared" si="9"/>
        <v>0.59621540199585765</v>
      </c>
      <c r="N14" s="15">
        <f t="shared" si="9"/>
        <v>0.57881972514147106</v>
      </c>
      <c r="O14" s="15">
        <f t="shared" si="9"/>
        <v>0.57772324762616023</v>
      </c>
      <c r="P14" s="15">
        <f t="shared" si="9"/>
        <v>0.61675656864451012</v>
      </c>
      <c r="Q14" s="15">
        <f t="shared" ref="Q14" si="10">Q13/Q8</f>
        <v>0.58517255327456263</v>
      </c>
      <c r="R14" s="26"/>
      <c r="S14" s="15">
        <f t="shared" ref="S14:Z14" si="11">S13/S8</f>
        <v>0.55772337203432609</v>
      </c>
      <c r="T14" s="15">
        <f t="shared" si="11"/>
        <v>0.56153367359641482</v>
      </c>
      <c r="U14" s="15">
        <f t="shared" si="11"/>
        <v>0.57107281110535779</v>
      </c>
      <c r="V14" s="15">
        <f t="shared" si="11"/>
        <v>0.58145474190855062</v>
      </c>
      <c r="W14" s="15">
        <f t="shared" si="11"/>
        <v>0.58754266211604089</v>
      </c>
      <c r="X14" s="15">
        <f t="shared" si="11"/>
        <v>0.5924742720577475</v>
      </c>
      <c r="Y14" s="15">
        <f t="shared" si="11"/>
        <v>0.59357255044098101</v>
      </c>
      <c r="Z14" s="15">
        <f t="shared" si="11"/>
        <v>0.59082831831549421</v>
      </c>
      <c r="AB14" s="110">
        <f>SUM(Z14-V14)*10000</f>
        <v>93.735764069435845</v>
      </c>
    </row>
    <row r="15" spans="2:28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5"/>
      <c r="S15" s="28"/>
      <c r="T15" s="28"/>
      <c r="U15" s="28"/>
      <c r="V15" s="28"/>
      <c r="W15" s="28"/>
      <c r="X15" s="28"/>
      <c r="Y15" s="28"/>
      <c r="Z15" s="28"/>
      <c r="AB15" s="107"/>
    </row>
    <row r="16" spans="2:28" ht="12.75" customHeight="1">
      <c r="B16" s="21" t="s">
        <v>163</v>
      </c>
      <c r="C16" s="127">
        <f>'Historical Financials'!C17</f>
        <v>-1009.5</v>
      </c>
      <c r="D16" s="127">
        <f>'Historical Financials'!D17</f>
        <v>-1173.2</v>
      </c>
      <c r="E16" s="127">
        <f>'Historical Financials'!E17</f>
        <v>-1388.3</v>
      </c>
      <c r="F16" s="80"/>
      <c r="G16" s="127">
        <f>'Historical Financials'!G17</f>
        <v>-241.4</v>
      </c>
      <c r="H16" s="127">
        <f>'Historical Financials'!H17</f>
        <v>-302.8</v>
      </c>
      <c r="I16" s="127">
        <f>'Historical Financials'!I17</f>
        <v>-307.8</v>
      </c>
      <c r="J16" s="127">
        <f>'Historical Financials'!J17</f>
        <v>-321.20000000000005</v>
      </c>
      <c r="K16" s="127">
        <f>'Historical Financials'!K17</f>
        <v>-295.60000000000002</v>
      </c>
      <c r="L16" s="127">
        <f>'Historical Financials'!L17</f>
        <v>-356.2</v>
      </c>
      <c r="M16" s="127">
        <f>'Historical Financials'!M17</f>
        <v>-363.5</v>
      </c>
      <c r="N16" s="127">
        <f>'Historical Financials'!N17</f>
        <v>-373</v>
      </c>
      <c r="O16" s="127">
        <f>'Historical Financials'!O17</f>
        <v>-318.60000000000002</v>
      </c>
      <c r="P16" s="127">
        <f>'Historical Financials'!P17</f>
        <v>-398.2</v>
      </c>
      <c r="Q16" s="127">
        <f>'Historical Financials'!Q17</f>
        <v>-375.34800000000001</v>
      </c>
      <c r="R16" s="5"/>
      <c r="S16" s="126">
        <f t="shared" ref="S16:S17" si="12">SUM(G16:J16)</f>
        <v>-1173.2</v>
      </c>
      <c r="T16" s="126">
        <f t="shared" ref="T16:T17" si="13">SUM(H16:K16)</f>
        <v>-1227.4000000000001</v>
      </c>
      <c r="U16" s="126">
        <f t="shared" ref="U16:U17" si="14">SUM(I16:L16)</f>
        <v>-1280.8</v>
      </c>
      <c r="V16" s="126">
        <f t="shared" ref="V16:V17" si="15">SUM(J16:M16)</f>
        <v>-1336.5</v>
      </c>
      <c r="W16" s="126">
        <f t="shared" ref="W16:W17" si="16">SUM(K16:N16)</f>
        <v>-1388.3</v>
      </c>
      <c r="X16" s="126">
        <f t="shared" ref="X16:X17" si="17">SUM(L16:O16)</f>
        <v>-1411.3000000000002</v>
      </c>
      <c r="Y16" s="126">
        <f t="shared" ref="Y16:Y17" si="18">SUM(M16:P16)</f>
        <v>-1453.3</v>
      </c>
      <c r="Z16" s="126">
        <f t="shared" ref="Z16:Z17" si="19">SUM(N16:Q16)</f>
        <v>-1465.1479999999999</v>
      </c>
      <c r="AB16" s="108">
        <f>SUM(Z16/V16)-1</f>
        <v>9.625738870183298E-2</v>
      </c>
    </row>
    <row r="17" spans="2:28" ht="12.75" customHeight="1">
      <c r="B17" s="21" t="s">
        <v>164</v>
      </c>
      <c r="C17" s="127">
        <f>'Historical Financials'!C18</f>
        <v>0</v>
      </c>
      <c r="D17" s="127">
        <f>'Historical Financials'!D18</f>
        <v>0</v>
      </c>
      <c r="E17" s="127">
        <f>'Historical Financials'!E18</f>
        <v>0</v>
      </c>
      <c r="F17" s="80"/>
      <c r="G17" s="127">
        <f>'Historical Financials'!G18</f>
        <v>0</v>
      </c>
      <c r="H17" s="127">
        <f>'Historical Financials'!H18</f>
        <v>0</v>
      </c>
      <c r="I17" s="127">
        <f>'Historical Financials'!I18</f>
        <v>0</v>
      </c>
      <c r="J17" s="127">
        <f>'Historical Financials'!J18</f>
        <v>0</v>
      </c>
      <c r="K17" s="127">
        <f>'Historical Financials'!K18</f>
        <v>0</v>
      </c>
      <c r="L17" s="127">
        <f>'Historical Financials'!L18</f>
        <v>0</v>
      </c>
      <c r="M17" s="127">
        <f>'Historical Financials'!M18</f>
        <v>0</v>
      </c>
      <c r="N17" s="127">
        <f>'Historical Financials'!N18</f>
        <v>0</v>
      </c>
      <c r="O17" s="127">
        <f>'Historical Financials'!O18</f>
        <v>0</v>
      </c>
      <c r="P17" s="127">
        <f>'Historical Financials'!P18</f>
        <v>-738.1</v>
      </c>
      <c r="Q17" s="127">
        <f>'Historical Financials'!Q18</f>
        <v>0</v>
      </c>
      <c r="R17" s="5"/>
      <c r="S17" s="126">
        <f t="shared" si="12"/>
        <v>0</v>
      </c>
      <c r="T17" s="126">
        <f t="shared" si="13"/>
        <v>0</v>
      </c>
      <c r="U17" s="126">
        <f t="shared" si="14"/>
        <v>0</v>
      </c>
      <c r="V17" s="126">
        <f t="shared" si="15"/>
        <v>0</v>
      </c>
      <c r="W17" s="126">
        <f t="shared" si="16"/>
        <v>0</v>
      </c>
      <c r="X17" s="126">
        <f t="shared" si="17"/>
        <v>0</v>
      </c>
      <c r="Y17" s="126">
        <f t="shared" si="18"/>
        <v>-738.1</v>
      </c>
      <c r="Z17" s="126">
        <f t="shared" si="19"/>
        <v>-738.1</v>
      </c>
      <c r="AB17" s="108" t="e">
        <f t="shared" ref="AB17" si="20">SUM(Z17/V17)-1</f>
        <v>#DIV/0!</v>
      </c>
    </row>
    <row r="18" spans="2:28" ht="12.75" customHeight="1">
      <c r="B18" s="12" t="s">
        <v>33</v>
      </c>
      <c r="C18" s="13">
        <f>SUM(C13+SUM(C16:C17))</f>
        <v>850.8</v>
      </c>
      <c r="D18" s="13">
        <f>SUM(D13+SUM(D16:D17))</f>
        <v>1036.4999999999998</v>
      </c>
      <c r="E18" s="13">
        <f>SUM(E13+SUM(E16:E17))</f>
        <v>1021.8</v>
      </c>
      <c r="F18" s="11"/>
      <c r="G18" s="13">
        <f>SUM(G13+SUM(G16:G17))</f>
        <v>234.99999999999991</v>
      </c>
      <c r="H18" s="13">
        <f>SUM(H13+SUM(H16:H17))</f>
        <v>318.40000000000015</v>
      </c>
      <c r="I18" s="13">
        <f>SUM(I13+SUM(I16:I17))</f>
        <v>273.8</v>
      </c>
      <c r="J18" s="13">
        <f>SUM(J13+SUM(J16:J17))</f>
        <v>209.29999999999973</v>
      </c>
      <c r="K18" s="13">
        <f>SUM(K13+SUM(K16:K17))</f>
        <v>226.49999999999989</v>
      </c>
      <c r="L18" s="13">
        <f>SUM(L13+SUM(L16:L17))</f>
        <v>325.7</v>
      </c>
      <c r="M18" s="13">
        <f>SUM(M13+SUM(M16:M17))</f>
        <v>269.80000000000007</v>
      </c>
      <c r="N18" s="13">
        <f>SUM(N13+SUM(N16:N17))</f>
        <v>199.79999999999973</v>
      </c>
      <c r="O18" s="13">
        <f>SUM(O13+SUM(O16:O17))</f>
        <v>222.89999999999998</v>
      </c>
      <c r="P18" s="13">
        <f>SUM(P13+SUM(P16:P17))</f>
        <v>-427.40000000000009</v>
      </c>
      <c r="Q18" s="13">
        <f>SUM(Q13+SUM(Q16:Q17))</f>
        <v>207.66000000000003</v>
      </c>
      <c r="R18" s="5"/>
      <c r="S18" s="13">
        <f>SUM(S13+SUM(S16:S17))</f>
        <v>1036.4999999999998</v>
      </c>
      <c r="T18" s="13">
        <f>SUM(T13+SUM(T16:T17))</f>
        <v>1028</v>
      </c>
      <c r="U18" s="13">
        <f>SUM(U13+SUM(U16:U17))</f>
        <v>1035.2999999999995</v>
      </c>
      <c r="V18" s="13">
        <f>SUM(V13+SUM(V16:V17))</f>
        <v>1031.2999999999997</v>
      </c>
      <c r="W18" s="13">
        <f>SUM(W13+SUM(W16:W17))</f>
        <v>1021.8</v>
      </c>
      <c r="X18" s="13">
        <f>SUM(X13+SUM(X16:X17))</f>
        <v>1018.1999999999989</v>
      </c>
      <c r="Y18" s="13">
        <f>SUM(Y13+SUM(Y16:Y17))</f>
        <v>265.09999999999991</v>
      </c>
      <c r="Z18" s="13">
        <f>SUM(Z13+SUM(Z16:Z17))</f>
        <v>202.95999999999958</v>
      </c>
      <c r="AB18" s="109">
        <f>SUM(Z18/V18)-1</f>
        <v>-0.80319984485600737</v>
      </c>
    </row>
    <row r="19" spans="2:28" ht="12.75" customHeight="1">
      <c r="B19" s="14" t="s">
        <v>34</v>
      </c>
      <c r="C19" s="15">
        <f>C18/C8</f>
        <v>0.23932489451476793</v>
      </c>
      <c r="D19" s="15">
        <f>D18/D8</f>
        <v>0.26161029782937906</v>
      </c>
      <c r="E19" s="15">
        <f>E18/E8</f>
        <v>0.24909800097513407</v>
      </c>
      <c r="F19" s="25"/>
      <c r="G19" s="15">
        <f>G18/G8</f>
        <v>0.26577697353539914</v>
      </c>
      <c r="H19" s="15">
        <f>H18/H8</f>
        <v>0.29693182877925961</v>
      </c>
      <c r="I19" s="15">
        <f>I18/I8</f>
        <v>0.26183417806254183</v>
      </c>
      <c r="J19" s="15">
        <f>J18/J8</f>
        <v>0.21806626380495914</v>
      </c>
      <c r="K19" s="15">
        <f>K18/K8</f>
        <v>0.24129114733141568</v>
      </c>
      <c r="L19" s="15">
        <f>L18/L8</f>
        <v>0.29302744039586143</v>
      </c>
      <c r="M19" s="15">
        <f>M18/M8</f>
        <v>0.25400112973074757</v>
      </c>
      <c r="N19" s="15">
        <f>N18/N8</f>
        <v>0.20189975747776853</v>
      </c>
      <c r="O19" s="15">
        <f>O18/O8</f>
        <v>0.23781073295636401</v>
      </c>
      <c r="P19" s="15">
        <f>P18/P8</f>
        <v>-0.37184618061597369</v>
      </c>
      <c r="Q19" s="15">
        <f>Q18/Q8</f>
        <v>0.20843098621802048</v>
      </c>
      <c r="R19" s="26"/>
      <c r="S19" s="15">
        <f>S18/S8</f>
        <v>0.26161029782937906</v>
      </c>
      <c r="T19" s="15">
        <f>T18/T8</f>
        <v>0.25594423005103945</v>
      </c>
      <c r="U19" s="15">
        <f>U18/U8</f>
        <v>0.255270360233745</v>
      </c>
      <c r="V19" s="15">
        <f>V18/V8</f>
        <v>0.25325376946122485</v>
      </c>
      <c r="W19" s="15">
        <f>W18/W8</f>
        <v>0.24909800097513407</v>
      </c>
      <c r="X19" s="15">
        <f>X18/X8</f>
        <v>0.24830512607911015</v>
      </c>
      <c r="Y19" s="15">
        <f>Y18/Y8</f>
        <v>6.4057025492328112E-2</v>
      </c>
      <c r="Z19" s="15">
        <f>Z18/Z8</f>
        <v>4.9835473693592765E-2</v>
      </c>
      <c r="AB19" s="110">
        <f>SUM(Z19-V19)*10000</f>
        <v>-2034.1829576763209</v>
      </c>
    </row>
    <row r="20" spans="2:28" ht="5.0999999999999996" customHeight="1">
      <c r="AB20" s="107"/>
    </row>
    <row r="21" spans="2:28" ht="12.75" customHeight="1">
      <c r="B21" s="29" t="s">
        <v>99</v>
      </c>
      <c r="C21" s="127">
        <f>'Historical Financials'!C97</f>
        <v>39.228999999999999</v>
      </c>
      <c r="D21" s="127">
        <f>'Historical Financials'!D97</f>
        <v>54.304000000000002</v>
      </c>
      <c r="E21" s="127">
        <f>'Historical Financials'!E97</f>
        <v>69.84</v>
      </c>
      <c r="G21" s="127">
        <f>'Historical Financials'!G97</f>
        <v>13.135999999999999</v>
      </c>
      <c r="H21" s="127">
        <f>'Historical Financials'!H97</f>
        <v>12.644000000000002</v>
      </c>
      <c r="I21" s="127">
        <f>'Historical Financials'!I97</f>
        <v>14.750999999999998</v>
      </c>
      <c r="J21" s="127">
        <f>'Historical Financials'!J97</f>
        <v>13.773000000000003</v>
      </c>
      <c r="K21" s="127">
        <f>'Historical Financials'!K97</f>
        <v>16.161000000000001</v>
      </c>
      <c r="L21" s="127">
        <f>'Historical Financials'!L97</f>
        <v>17.543999999999997</v>
      </c>
      <c r="M21" s="127">
        <f>'Historical Financials'!M97</f>
        <v>18.185000000000002</v>
      </c>
      <c r="N21" s="127">
        <f>'Historical Financials'!N97</f>
        <v>17.950000000000003</v>
      </c>
      <c r="O21" s="127">
        <f>'Historical Financials'!O97</f>
        <v>18.536999999999999</v>
      </c>
      <c r="P21" s="127">
        <f>'Historical Financials'!P97</f>
        <v>19.474000000000004</v>
      </c>
      <c r="Q21" s="127">
        <f>'Historical Financials'!Q97</f>
        <v>20.326000000000001</v>
      </c>
      <c r="S21" s="126">
        <f>SUM(G21:J21)</f>
        <v>54.304000000000002</v>
      </c>
      <c r="T21" s="126">
        <f>SUM(H21:K21)</f>
        <v>57.329000000000008</v>
      </c>
      <c r="U21" s="126">
        <f>SUM(I21:L21)</f>
        <v>62.228999999999999</v>
      </c>
      <c r="V21" s="126">
        <f>SUM(J21:M21)</f>
        <v>65.663000000000011</v>
      </c>
      <c r="W21" s="126">
        <f>SUM(K21:N21)</f>
        <v>69.84</v>
      </c>
      <c r="X21" s="126">
        <f>SUM(L21:O21)</f>
        <v>72.216000000000008</v>
      </c>
      <c r="Y21" s="126">
        <f>SUM(M21:P21)</f>
        <v>74.146000000000015</v>
      </c>
      <c r="Z21" s="126">
        <f>SUM(N21:Q21)</f>
        <v>76.287000000000006</v>
      </c>
      <c r="AB21" s="108">
        <f>SUM(Z21/V21)-1</f>
        <v>0.16179583631573324</v>
      </c>
    </row>
    <row r="22" spans="2:28" ht="12.75" customHeight="1">
      <c r="B22" s="23" t="s">
        <v>11</v>
      </c>
      <c r="C22" s="24">
        <f t="shared" ref="C22:E22" si="21">SUM(C18+SUM(C21:C21))</f>
        <v>890.029</v>
      </c>
      <c r="D22" s="24">
        <f t="shared" si="21"/>
        <v>1090.8039999999999</v>
      </c>
      <c r="E22" s="24">
        <f t="shared" si="21"/>
        <v>1091.6399999999999</v>
      </c>
      <c r="G22" s="24">
        <f t="shared" ref="G22:P22" si="22">SUM(G18+SUM(G21:G21))</f>
        <v>248.13599999999991</v>
      </c>
      <c r="H22" s="24">
        <f t="shared" si="22"/>
        <v>331.04400000000015</v>
      </c>
      <c r="I22" s="24">
        <f t="shared" si="22"/>
        <v>288.55099999999999</v>
      </c>
      <c r="J22" s="24">
        <f t="shared" si="22"/>
        <v>223.07299999999972</v>
      </c>
      <c r="K22" s="24">
        <f t="shared" si="22"/>
        <v>242.66099999999989</v>
      </c>
      <c r="L22" s="24">
        <f t="shared" si="22"/>
        <v>343.24399999999997</v>
      </c>
      <c r="M22" s="24">
        <f t="shared" si="22"/>
        <v>287.98500000000007</v>
      </c>
      <c r="N22" s="24">
        <f t="shared" si="22"/>
        <v>217.74999999999972</v>
      </c>
      <c r="O22" s="24">
        <f t="shared" si="22"/>
        <v>241.43699999999998</v>
      </c>
      <c r="P22" s="24">
        <f t="shared" si="22"/>
        <v>-407.9260000000001</v>
      </c>
      <c r="Q22" s="24">
        <f t="shared" ref="Q22" si="23">SUM(Q18+SUM(Q21:Q21))</f>
        <v>227.98600000000002</v>
      </c>
      <c r="S22" s="24">
        <f t="shared" ref="S22:Z22" si="24">SUM(S18+SUM(S21:S21))</f>
        <v>1090.8039999999999</v>
      </c>
      <c r="T22" s="24">
        <f t="shared" si="24"/>
        <v>1085.329</v>
      </c>
      <c r="U22" s="24">
        <f t="shared" si="24"/>
        <v>1097.5289999999995</v>
      </c>
      <c r="V22" s="24">
        <f t="shared" si="24"/>
        <v>1096.9629999999997</v>
      </c>
      <c r="W22" s="24">
        <f t="shared" si="24"/>
        <v>1091.6399999999999</v>
      </c>
      <c r="X22" s="24">
        <f t="shared" si="24"/>
        <v>1090.4159999999988</v>
      </c>
      <c r="Y22" s="24">
        <f t="shared" si="24"/>
        <v>339.24599999999992</v>
      </c>
      <c r="Z22" s="24">
        <f t="shared" si="24"/>
        <v>279.24699999999962</v>
      </c>
      <c r="AB22" s="109">
        <f>SUM(Z22/V22)-1</f>
        <v>-0.74543626357497961</v>
      </c>
    </row>
    <row r="23" spans="2:28" ht="12.75" customHeight="1">
      <c r="B23" s="14" t="s">
        <v>35</v>
      </c>
      <c r="C23" s="15">
        <f>C22/C8</f>
        <v>0.25035977496483824</v>
      </c>
      <c r="D23" s="15">
        <f>D22/D8</f>
        <v>0.27531650681474001</v>
      </c>
      <c r="E23" s="15">
        <f>E22/E8</f>
        <v>0.26612384202827888</v>
      </c>
      <c r="G23" s="15">
        <f>G22/G8</f>
        <v>0.28063334087310554</v>
      </c>
      <c r="H23" s="15">
        <f>H22/H8</f>
        <v>0.30872330504522999</v>
      </c>
      <c r="I23" s="15">
        <f>I22/I8</f>
        <v>0.27594051831309169</v>
      </c>
      <c r="J23" s="15">
        <f>J22/J8</f>
        <v>0.2324161283600748</v>
      </c>
      <c r="K23" s="15">
        <f>K22/K8</f>
        <v>0.25850751038670494</v>
      </c>
      <c r="L23" s="15">
        <f>L22/L8</f>
        <v>0.3088115159694107</v>
      </c>
      <c r="M23" s="15">
        <f>M22/M8</f>
        <v>0.27112125776689894</v>
      </c>
      <c r="N23" s="15">
        <f>N22/N8</f>
        <v>0.22003839935327379</v>
      </c>
      <c r="O23" s="15">
        <f>O22/O8</f>
        <v>0.25758775205377149</v>
      </c>
      <c r="P23" s="15">
        <f>P22/P8</f>
        <v>-0.3549034278754134</v>
      </c>
      <c r="Q23" s="15">
        <f>Q22/Q8</f>
        <v>0.22883245123712614</v>
      </c>
      <c r="S23" s="15">
        <f>S22/S8</f>
        <v>0.27531650681474001</v>
      </c>
      <c r="T23" s="15">
        <f>T22/T8</f>
        <v>0.27021760239014064</v>
      </c>
      <c r="U23" s="15">
        <f>U22/U8</f>
        <v>0.27061395073600109</v>
      </c>
      <c r="V23" s="15">
        <f>V22/V8</f>
        <v>0.26937846864102938</v>
      </c>
      <c r="W23" s="15">
        <f>W22/W8</f>
        <v>0.26612384202827888</v>
      </c>
      <c r="X23" s="15">
        <f>X22/X8</f>
        <v>0.26591620738428495</v>
      </c>
      <c r="Y23" s="15">
        <f>Y22/Y8</f>
        <v>8.1973178687930387E-2</v>
      </c>
      <c r="Z23" s="15">
        <f>Z22/Z8</f>
        <v>6.8567237497608929E-2</v>
      </c>
      <c r="AB23" s="110">
        <f>SUM(Z23-V23)*10000</f>
        <v>-2008.1123114342045</v>
      </c>
    </row>
    <row r="24" spans="2:28" ht="5.0999999999999996" customHeight="1">
      <c r="AB24" s="107"/>
    </row>
    <row r="25" spans="2:28" ht="12.75" customHeight="1">
      <c r="B25" s="29" t="s">
        <v>100</v>
      </c>
      <c r="C25" s="127">
        <f>'Historical Financials'!C99</f>
        <v>31.303000000000001</v>
      </c>
      <c r="D25" s="127">
        <f>'Historical Financials'!D99</f>
        <v>29.071999999999999</v>
      </c>
      <c r="E25" s="127">
        <f>'Historical Financials'!E99</f>
        <v>33.052999999999997</v>
      </c>
      <c r="G25" s="127">
        <f>'Historical Financials'!G99</f>
        <v>7.4640000000000004</v>
      </c>
      <c r="H25" s="127">
        <f>'Historical Financials'!H99</f>
        <v>8.3879999999999999</v>
      </c>
      <c r="I25" s="127">
        <f>'Historical Financials'!I99</f>
        <v>7.6550000000000011</v>
      </c>
      <c r="J25" s="127">
        <f>'Historical Financials'!J99</f>
        <v>5.5649999999999977</v>
      </c>
      <c r="K25" s="127">
        <f>'Historical Financials'!K99</f>
        <v>7.5819999999999999</v>
      </c>
      <c r="L25" s="127">
        <f>'Historical Financials'!L99</f>
        <v>10.161999999999999</v>
      </c>
      <c r="M25" s="127">
        <f>'Historical Financials'!M99</f>
        <v>6.633</v>
      </c>
      <c r="N25" s="127">
        <f>'Historical Financials'!N99</f>
        <v>8.6759999999999984</v>
      </c>
      <c r="O25" s="127">
        <f>'Historical Financials'!O99</f>
        <v>8.7769999999999992</v>
      </c>
      <c r="P25" s="127">
        <f>'Historical Financials'!P99</f>
        <v>11.259000000000002</v>
      </c>
      <c r="Q25" s="127">
        <f>'Historical Financials'!Q99</f>
        <v>8.4760000000000009</v>
      </c>
      <c r="S25" s="126">
        <f t="shared" ref="S25:S26" si="25">SUM(G25:J25)</f>
        <v>29.071999999999999</v>
      </c>
      <c r="T25" s="126">
        <f t="shared" ref="T25:T26" si="26">SUM(H25:K25)</f>
        <v>29.189999999999998</v>
      </c>
      <c r="U25" s="126">
        <f t="shared" ref="U25:U26" si="27">SUM(I25:L25)</f>
        <v>30.963999999999999</v>
      </c>
      <c r="V25" s="126">
        <f t="shared" ref="V25:V26" si="28">SUM(J25:M25)</f>
        <v>29.941999999999997</v>
      </c>
      <c r="W25" s="126">
        <f t="shared" ref="W25:W26" si="29">SUM(K25:N25)</f>
        <v>33.052999999999997</v>
      </c>
      <c r="X25" s="126">
        <f t="shared" ref="X25:X26" si="30">SUM(L25:O25)</f>
        <v>34.247999999999998</v>
      </c>
      <c r="Y25" s="126">
        <f t="shared" ref="Y25:Y26" si="31">SUM(M25:P25)</f>
        <v>35.344999999999999</v>
      </c>
      <c r="Z25" s="126">
        <f t="shared" ref="Z25:Z26" si="32">SUM(N25:Q25)</f>
        <v>37.187999999999995</v>
      </c>
      <c r="AB25" s="108">
        <f>SUM(Z25/V25)-1</f>
        <v>0.24200120232449396</v>
      </c>
    </row>
    <row r="26" spans="2:28" ht="12.75" customHeight="1">
      <c r="B26" s="29" t="s">
        <v>165</v>
      </c>
      <c r="C26" s="130">
        <f>-C17</f>
        <v>0</v>
      </c>
      <c r="D26" s="130">
        <f t="shared" ref="D26:Q26" si="33">-D17</f>
        <v>0</v>
      </c>
      <c r="E26" s="130">
        <f t="shared" si="33"/>
        <v>0</v>
      </c>
      <c r="G26" s="130">
        <f t="shared" si="33"/>
        <v>0</v>
      </c>
      <c r="H26" s="130">
        <f t="shared" si="33"/>
        <v>0</v>
      </c>
      <c r="I26" s="130">
        <f t="shared" si="33"/>
        <v>0</v>
      </c>
      <c r="J26" s="130">
        <f t="shared" si="33"/>
        <v>0</v>
      </c>
      <c r="K26" s="130">
        <f t="shared" si="33"/>
        <v>0</v>
      </c>
      <c r="L26" s="130">
        <f t="shared" si="33"/>
        <v>0</v>
      </c>
      <c r="M26" s="130">
        <f t="shared" si="33"/>
        <v>0</v>
      </c>
      <c r="N26" s="130">
        <f t="shared" si="33"/>
        <v>0</v>
      </c>
      <c r="O26" s="130">
        <f t="shared" si="33"/>
        <v>0</v>
      </c>
      <c r="P26" s="130">
        <f t="shared" si="33"/>
        <v>738.1</v>
      </c>
      <c r="Q26" s="130">
        <f t="shared" si="33"/>
        <v>0</v>
      </c>
      <c r="S26" s="126">
        <f t="shared" si="25"/>
        <v>0</v>
      </c>
      <c r="T26" s="126">
        <f t="shared" si="26"/>
        <v>0</v>
      </c>
      <c r="U26" s="126">
        <f t="shared" si="27"/>
        <v>0</v>
      </c>
      <c r="V26" s="126">
        <f t="shared" si="28"/>
        <v>0</v>
      </c>
      <c r="W26" s="126">
        <f t="shared" si="29"/>
        <v>0</v>
      </c>
      <c r="X26" s="126">
        <f t="shared" si="30"/>
        <v>0</v>
      </c>
      <c r="Y26" s="126">
        <f t="shared" si="31"/>
        <v>738.1</v>
      </c>
      <c r="Z26" s="126">
        <f t="shared" si="32"/>
        <v>738.1</v>
      </c>
      <c r="AB26" s="108" t="e">
        <f>SUM(Z26/V26)-1</f>
        <v>#DIV/0!</v>
      </c>
    </row>
    <row r="27" spans="2:28" ht="12.75" customHeight="1">
      <c r="B27" s="12" t="s">
        <v>36</v>
      </c>
      <c r="C27" s="13">
        <f>+SUM(C22+SUM(C25:C26))</f>
        <v>921.33199999999999</v>
      </c>
      <c r="D27" s="13">
        <f t="shared" ref="D27:E27" si="34">+SUM(D22+SUM(D25:D26))</f>
        <v>1119.8759999999997</v>
      </c>
      <c r="E27" s="13">
        <f t="shared" si="34"/>
        <v>1124.6929999999998</v>
      </c>
      <c r="F27" s="11"/>
      <c r="G27" s="13">
        <f t="shared" ref="G27" si="35">+SUM(G22+SUM(G25:G26))</f>
        <v>255.59999999999991</v>
      </c>
      <c r="H27" s="13">
        <f t="shared" ref="H27" si="36">+SUM(H22+SUM(H25:H26))</f>
        <v>339.43200000000013</v>
      </c>
      <c r="I27" s="13">
        <f t="shared" ref="I27" si="37">+SUM(I22+SUM(I25:I26))</f>
        <v>296.20600000000002</v>
      </c>
      <c r="J27" s="13">
        <f t="shared" ref="J27" si="38">+SUM(J22+SUM(J25:J26))</f>
        <v>228.63799999999972</v>
      </c>
      <c r="K27" s="13">
        <f t="shared" ref="K27" si="39">+SUM(K22+SUM(K25:K26))</f>
        <v>250.24299999999988</v>
      </c>
      <c r="L27" s="13">
        <f t="shared" ref="L27" si="40">+SUM(L22+SUM(L25:L26))</f>
        <v>353.40599999999995</v>
      </c>
      <c r="M27" s="13">
        <f t="shared" ref="M27" si="41">+SUM(M22+SUM(M25:M26))</f>
        <v>294.61800000000005</v>
      </c>
      <c r="N27" s="13">
        <f t="shared" ref="N27" si="42">+SUM(N22+SUM(N25:N26))</f>
        <v>226.4259999999997</v>
      </c>
      <c r="O27" s="13">
        <f t="shared" ref="O27" si="43">+SUM(O22+SUM(O25:O26))</f>
        <v>250.21399999999997</v>
      </c>
      <c r="P27" s="13">
        <f t="shared" ref="P27" si="44">+SUM(P22+SUM(P25:P26))</f>
        <v>341.43299999999994</v>
      </c>
      <c r="Q27" s="13">
        <f t="shared" ref="Q27" si="45">+SUM(Q22+SUM(Q25:Q26))</f>
        <v>236.46200000000002</v>
      </c>
      <c r="S27" s="13">
        <f t="shared" ref="S27" si="46">+SUM(S22+SUM(S25:S26))</f>
        <v>1119.8759999999997</v>
      </c>
      <c r="T27" s="13">
        <f t="shared" ref="T27" si="47">+SUM(T22+SUM(T25:T26))</f>
        <v>1114.519</v>
      </c>
      <c r="U27" s="13">
        <f t="shared" ref="U27" si="48">+SUM(U22+SUM(U25:U26))</f>
        <v>1128.4929999999995</v>
      </c>
      <c r="V27" s="13">
        <f t="shared" ref="V27" si="49">+SUM(V22+SUM(V25:V26))</f>
        <v>1126.9049999999997</v>
      </c>
      <c r="W27" s="13">
        <f t="shared" ref="W27" si="50">+SUM(W22+SUM(W25:W26))</f>
        <v>1124.6929999999998</v>
      </c>
      <c r="X27" s="13">
        <f t="shared" ref="X27" si="51">+SUM(X22+SUM(X25:X26))</f>
        <v>1124.6639999999989</v>
      </c>
      <c r="Y27" s="13">
        <f t="shared" ref="Y27" si="52">+SUM(Y22+SUM(Y25:Y26))</f>
        <v>1112.691</v>
      </c>
      <c r="Z27" s="13">
        <f t="shared" ref="Z27" si="53">+SUM(Z22+SUM(Z25:Z26))</f>
        <v>1054.5349999999996</v>
      </c>
      <c r="AB27" s="109">
        <f>SUM(Z27/V27)-1</f>
        <v>-6.4220142780447409E-2</v>
      </c>
    </row>
    <row r="28" spans="2:28" ht="12.75" customHeight="1">
      <c r="B28" s="14" t="s">
        <v>37</v>
      </c>
      <c r="C28" s="15">
        <f>C27/C8</f>
        <v>0.25916511954992966</v>
      </c>
      <c r="D28" s="15">
        <f>D27/D8</f>
        <v>0.28265421504290755</v>
      </c>
      <c r="E28" s="15">
        <f>E27/E8</f>
        <v>0.27418161872257429</v>
      </c>
      <c r="G28" s="15">
        <f>G27/G8</f>
        <v>0.28907486993892778</v>
      </c>
      <c r="H28" s="15">
        <f>H27/H8</f>
        <v>0.31654574279585945</v>
      </c>
      <c r="I28" s="15">
        <f>I27/I8</f>
        <v>0.28326097351056712</v>
      </c>
      <c r="J28" s="15">
        <f>J27/J8</f>
        <v>0.23821421129401937</v>
      </c>
      <c r="K28" s="15">
        <f>K27/K8</f>
        <v>0.26658463832960466</v>
      </c>
      <c r="L28" s="15">
        <f>L27/L8</f>
        <v>0.31795411605937918</v>
      </c>
      <c r="M28" s="15">
        <f>M27/M8</f>
        <v>0.2773658444737338</v>
      </c>
      <c r="N28" s="15">
        <f>N27/N8</f>
        <v>0.22880557801131743</v>
      </c>
      <c r="O28" s="15">
        <f>O27/O8</f>
        <v>0.26695188306838791</v>
      </c>
      <c r="P28" s="15">
        <f>P27/P8</f>
        <v>0.29705324517139375</v>
      </c>
      <c r="Q28" s="15">
        <f>Q27/Q8</f>
        <v>0.23733992036543175</v>
      </c>
      <c r="S28" s="15">
        <f>S27/S8</f>
        <v>0.28265421504290755</v>
      </c>
      <c r="T28" s="15">
        <f>T27/T8</f>
        <v>0.27748512386406077</v>
      </c>
      <c r="U28" s="15">
        <f>U27/U8</f>
        <v>0.27824863771975239</v>
      </c>
      <c r="V28" s="15">
        <f>V27/V8</f>
        <v>0.27673125092087808</v>
      </c>
      <c r="W28" s="15">
        <f>W27/W8</f>
        <v>0.27418161872257429</v>
      </c>
      <c r="X28" s="15">
        <f>X27/X8</f>
        <v>0.27426815587962711</v>
      </c>
      <c r="Y28" s="15">
        <f>Y27/Y8</f>
        <v>0.26886335628851032</v>
      </c>
      <c r="Z28" s="15">
        <f>Z27/Z8</f>
        <v>0.25893403257525099</v>
      </c>
      <c r="AB28" s="110">
        <f>SUM(Z28-V28)*10000</f>
        <v>-177.97218345627087</v>
      </c>
    </row>
    <row r="29" spans="2:28" ht="5.0999999999999996" customHeight="1">
      <c r="AB29" s="107"/>
    </row>
    <row r="30" spans="2:28" ht="12.75" customHeight="1">
      <c r="B30" s="21" t="s">
        <v>38</v>
      </c>
      <c r="C30" s="127">
        <f>'Historical Financials'!C117</f>
        <v>-104.19</v>
      </c>
      <c r="D30" s="127">
        <f>'Historical Financials'!D117</f>
        <v>-115.625</v>
      </c>
      <c r="E30" s="127">
        <f>'Historical Financials'!E117</f>
        <v>-69.346999999999994</v>
      </c>
      <c r="G30" s="127">
        <f>'Historical Financials'!G117</f>
        <v>-27.581</v>
      </c>
      <c r="H30" s="127">
        <f>'Historical Financials'!H117</f>
        <v>-24.064000000000004</v>
      </c>
      <c r="I30" s="127">
        <f>'Historical Financials'!I117</f>
        <v>-34.73299999999999</v>
      </c>
      <c r="J30" s="127">
        <f>'Historical Financials'!J117</f>
        <v>-29.247000000000014</v>
      </c>
      <c r="K30" s="127">
        <f>'Historical Financials'!K117</f>
        <v>-15.75</v>
      </c>
      <c r="L30" s="127">
        <f>'Historical Financials'!L117</f>
        <v>-17.055999999999997</v>
      </c>
      <c r="M30" s="127">
        <f>'Historical Financials'!M117</f>
        <v>-18.051000000000002</v>
      </c>
      <c r="N30" s="127">
        <f>'Historical Financials'!N117</f>
        <v>-18.489999999999995</v>
      </c>
      <c r="O30" s="127">
        <f>'Historical Financials'!O117</f>
        <v>-15.375</v>
      </c>
      <c r="P30" s="127">
        <f>'Historical Financials'!P117</f>
        <v>-16.571000000000002</v>
      </c>
      <c r="Q30" s="127">
        <f>'Historical Financials'!Q117</f>
        <v>-13.173999999999996</v>
      </c>
      <c r="S30" s="126">
        <f t="shared" ref="S30:S34" si="54">SUM(G30:J30)</f>
        <v>-115.625</v>
      </c>
      <c r="T30" s="126">
        <f t="shared" ref="T30:T34" si="55">SUM(H30:K30)</f>
        <v>-103.79400000000001</v>
      </c>
      <c r="U30" s="126">
        <f t="shared" ref="U30:U34" si="56">SUM(I30:L30)</f>
        <v>-96.786000000000001</v>
      </c>
      <c r="V30" s="126">
        <f t="shared" ref="V30:V34" si="57">SUM(J30:M30)</f>
        <v>-80.104000000000013</v>
      </c>
      <c r="W30" s="126">
        <f t="shared" ref="W30:W34" si="58">SUM(K30:N30)</f>
        <v>-69.346999999999994</v>
      </c>
      <c r="X30" s="126">
        <f t="shared" ref="X30:X34" si="59">SUM(L30:O30)</f>
        <v>-68.971999999999994</v>
      </c>
      <c r="Y30" s="126">
        <f t="shared" ref="Y30:Y34" si="60">SUM(M30:P30)</f>
        <v>-68.486999999999995</v>
      </c>
      <c r="Z30" s="126">
        <f t="shared" ref="Z30:Z34" si="61">SUM(N30:Q30)</f>
        <v>-63.609999999999985</v>
      </c>
      <c r="AB30" s="108">
        <f t="shared" ref="AB30:AB35" si="62">SUM(Z30/V30)-1</f>
        <v>-0.2059073204833719</v>
      </c>
    </row>
    <row r="31" spans="2:28" ht="12.75" customHeight="1">
      <c r="B31" s="21" t="s">
        <v>39</v>
      </c>
      <c r="C31" s="127">
        <f>-'Historical Financials'!C142</f>
        <v>-130.084</v>
      </c>
      <c r="D31" s="127">
        <f>-'Historical Financials'!D142</f>
        <v>-179.721</v>
      </c>
      <c r="E31" s="127">
        <f>-'Historical Financials'!E142</f>
        <v>-124.959</v>
      </c>
      <c r="G31" s="127">
        <f>-'Historical Financials'!G142</f>
        <v>-8.0109999999999992</v>
      </c>
      <c r="H31" s="127">
        <f>-'Historical Financials'!H142</f>
        <v>-94.096000000000004</v>
      </c>
      <c r="I31" s="127">
        <f>-'Historical Financials'!I142</f>
        <v>6.9220000000000006</v>
      </c>
      <c r="J31" s="127">
        <f>-'Historical Financials'!J142</f>
        <v>-84.536000000000001</v>
      </c>
      <c r="K31" s="127">
        <f>-'Historical Financials'!K142</f>
        <v>-18.122</v>
      </c>
      <c r="L31" s="127">
        <f>-'Historical Financials'!L142</f>
        <v>-53.706999999999994</v>
      </c>
      <c r="M31" s="127">
        <f>-'Historical Financials'!M142</f>
        <v>-23.356000000000009</v>
      </c>
      <c r="N31" s="127">
        <f>-'Historical Financials'!N142</f>
        <v>-29.774000000000001</v>
      </c>
      <c r="O31" s="127">
        <f>-'Historical Financials'!O142</f>
        <v>-13.964</v>
      </c>
      <c r="P31" s="127">
        <f>-'Historical Financials'!P142</f>
        <v>-94.617999999999995</v>
      </c>
      <c r="Q31" s="127">
        <f>-'Historical Financials'!Q142</f>
        <v>-19.613</v>
      </c>
      <c r="S31" s="126">
        <f t="shared" si="54"/>
        <v>-179.721</v>
      </c>
      <c r="T31" s="126">
        <f t="shared" si="55"/>
        <v>-189.83199999999999</v>
      </c>
      <c r="U31" s="126">
        <f t="shared" si="56"/>
        <v>-149.44299999999998</v>
      </c>
      <c r="V31" s="126">
        <f t="shared" si="57"/>
        <v>-179.721</v>
      </c>
      <c r="W31" s="126">
        <f t="shared" si="58"/>
        <v>-124.959</v>
      </c>
      <c r="X31" s="126">
        <f t="shared" si="59"/>
        <v>-120.801</v>
      </c>
      <c r="Y31" s="126">
        <f t="shared" si="60"/>
        <v>-161.71199999999999</v>
      </c>
      <c r="Z31" s="126">
        <f t="shared" si="61"/>
        <v>-157.96899999999999</v>
      </c>
      <c r="AB31" s="108">
        <f t="shared" si="62"/>
        <v>-0.12103204411281931</v>
      </c>
    </row>
    <row r="32" spans="2:28" ht="12.75" customHeight="1">
      <c r="B32" s="21" t="s">
        <v>76</v>
      </c>
      <c r="C32" s="127">
        <f>-'Historical Financials'!C141</f>
        <v>-127.809</v>
      </c>
      <c r="D32" s="127">
        <f>-'Historical Financials'!D141</f>
        <v>-151.62100000000001</v>
      </c>
      <c r="E32" s="127">
        <f>-'Historical Financials'!E141</f>
        <v>-99.462999999999994</v>
      </c>
      <c r="G32" s="127">
        <f>-'Historical Financials'!G141</f>
        <v>-47.728999999999999</v>
      </c>
      <c r="H32" s="127">
        <f>-'Historical Financials'!H141</f>
        <v>-33.625</v>
      </c>
      <c r="I32" s="127">
        <f>-'Historical Financials'!I141</f>
        <v>-4.6880000000000024</v>
      </c>
      <c r="J32" s="127">
        <f>-'Historical Financials'!J141</f>
        <v>-65.579000000000008</v>
      </c>
      <c r="K32" s="127">
        <f>-'Historical Financials'!K141</f>
        <v>-35.054000000000002</v>
      </c>
      <c r="L32" s="127">
        <f>-'Historical Financials'!L141</f>
        <v>-19.653999999999996</v>
      </c>
      <c r="M32" s="127">
        <f>-'Historical Financials'!M141</f>
        <v>-31.334000000000003</v>
      </c>
      <c r="N32" s="127">
        <f>-'Historical Financials'!N141</f>
        <v>-13.420999999999992</v>
      </c>
      <c r="O32" s="127">
        <f>-'Historical Financials'!O141</f>
        <v>-26.838000000000001</v>
      </c>
      <c r="P32" s="127">
        <f>-'Historical Financials'!P141</f>
        <v>-12.555</v>
      </c>
      <c r="Q32" s="127">
        <f>-'Historical Financials'!Q141</f>
        <v>-26.480000000000004</v>
      </c>
      <c r="S32" s="126">
        <f t="shared" si="54"/>
        <v>-151.62100000000001</v>
      </c>
      <c r="T32" s="126">
        <f t="shared" si="55"/>
        <v>-138.94600000000003</v>
      </c>
      <c r="U32" s="126">
        <f t="shared" si="56"/>
        <v>-124.97500000000001</v>
      </c>
      <c r="V32" s="126">
        <f t="shared" si="57"/>
        <v>-151.62100000000001</v>
      </c>
      <c r="W32" s="126">
        <f t="shared" si="58"/>
        <v>-99.462999999999994</v>
      </c>
      <c r="X32" s="126">
        <f t="shared" si="59"/>
        <v>-91.246999999999986</v>
      </c>
      <c r="Y32" s="126">
        <f t="shared" si="60"/>
        <v>-84.147999999999996</v>
      </c>
      <c r="Z32" s="126">
        <f t="shared" si="61"/>
        <v>-79.293999999999997</v>
      </c>
      <c r="AB32" s="108">
        <f t="shared" si="62"/>
        <v>-0.47702495036967185</v>
      </c>
    </row>
    <row r="33" spans="1:28" ht="12.75" customHeight="1">
      <c r="B33" s="21" t="s">
        <v>106</v>
      </c>
      <c r="C33" s="138">
        <v>0</v>
      </c>
      <c r="D33" s="138">
        <v>0</v>
      </c>
      <c r="E33" s="138">
        <v>0</v>
      </c>
      <c r="G33" s="138">
        <v>0</v>
      </c>
      <c r="H33" s="138">
        <v>0</v>
      </c>
      <c r="I33" s="138">
        <v>0</v>
      </c>
      <c r="J33" s="138">
        <v>0</v>
      </c>
      <c r="K33" s="138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S33" s="126">
        <f t="shared" si="54"/>
        <v>0</v>
      </c>
      <c r="T33" s="126">
        <f t="shared" si="55"/>
        <v>0</v>
      </c>
      <c r="U33" s="126">
        <f t="shared" si="56"/>
        <v>0</v>
      </c>
      <c r="V33" s="126">
        <f t="shared" si="57"/>
        <v>0</v>
      </c>
      <c r="W33" s="126">
        <f t="shared" si="58"/>
        <v>0</v>
      </c>
      <c r="X33" s="126">
        <f t="shared" si="59"/>
        <v>0</v>
      </c>
      <c r="Y33" s="126">
        <f t="shared" si="60"/>
        <v>0</v>
      </c>
      <c r="Z33" s="126">
        <f t="shared" si="61"/>
        <v>0</v>
      </c>
      <c r="AB33" s="108" t="e">
        <f t="shared" si="62"/>
        <v>#DIV/0!</v>
      </c>
    </row>
    <row r="34" spans="1:28" ht="12.75" customHeight="1">
      <c r="B34" s="21" t="s">
        <v>40</v>
      </c>
      <c r="C34" s="127">
        <f>SUM('Historical Financials'!C108:C113)</f>
        <v>-91.682000000000002</v>
      </c>
      <c r="D34" s="127">
        <f>SUM('Historical Financials'!D108:D113)</f>
        <v>366.52499999999998</v>
      </c>
      <c r="E34" s="127">
        <f>SUM('Historical Financials'!E108:E113)</f>
        <v>68.429999999999993</v>
      </c>
      <c r="G34" s="127">
        <f>SUM('Historical Financials'!G108:G113)</f>
        <v>-178.79400000000001</v>
      </c>
      <c r="H34" s="127">
        <f>SUM('Historical Financials'!H108:H113)</f>
        <v>68.459000000000032</v>
      </c>
      <c r="I34" s="127">
        <f>SUM('Historical Financials'!I108:I113)</f>
        <v>23.751999999999995</v>
      </c>
      <c r="J34" s="127">
        <f>SUM('Historical Financials'!J108:J113)</f>
        <v>453.10799999999995</v>
      </c>
      <c r="K34" s="127">
        <f>SUM('Historical Financials'!K108:K113)</f>
        <v>-260.04599999999994</v>
      </c>
      <c r="L34" s="127">
        <f>SUM('Historical Financials'!L108:L113)</f>
        <v>117.646</v>
      </c>
      <c r="M34" s="127">
        <f>SUM('Historical Financials'!M108:M113)</f>
        <v>43.117000000000004</v>
      </c>
      <c r="N34" s="127">
        <f>SUM('Historical Financials'!N108:N113)</f>
        <v>167.71300000000002</v>
      </c>
      <c r="O34" s="127">
        <f>SUM('Historical Financials'!O108:O113)</f>
        <v>-292.072</v>
      </c>
      <c r="P34" s="127">
        <f>SUM('Historical Financials'!P108:P113)</f>
        <v>-25.467999999999993</v>
      </c>
      <c r="Q34" s="127">
        <f>SUM('Historical Financials'!Q108:Q113)</f>
        <v>37.109999999999985</v>
      </c>
      <c r="S34" s="126">
        <f t="shared" si="54"/>
        <v>366.52499999999998</v>
      </c>
      <c r="T34" s="126">
        <f t="shared" si="55"/>
        <v>285.27300000000002</v>
      </c>
      <c r="U34" s="126">
        <f t="shared" si="56"/>
        <v>334.46000000000004</v>
      </c>
      <c r="V34" s="126">
        <f t="shared" si="57"/>
        <v>353.82500000000005</v>
      </c>
      <c r="W34" s="126">
        <f t="shared" si="58"/>
        <v>68.430000000000106</v>
      </c>
      <c r="X34" s="126">
        <f t="shared" si="59"/>
        <v>36.403999999999996</v>
      </c>
      <c r="Y34" s="126">
        <f t="shared" si="60"/>
        <v>-106.70999999999995</v>
      </c>
      <c r="Z34" s="126">
        <f t="shared" si="61"/>
        <v>-112.71699999999998</v>
      </c>
      <c r="AB34" s="108">
        <f t="shared" si="62"/>
        <v>-1.318567088249841</v>
      </c>
    </row>
    <row r="35" spans="1:28" ht="12.75" customHeight="1">
      <c r="B35" s="12" t="s">
        <v>41</v>
      </c>
      <c r="C35" s="13">
        <f>SUM(C27+SUM(C30:C34))</f>
        <v>467.56700000000001</v>
      </c>
      <c r="D35" s="13">
        <f>SUM(D27+SUM(D30:D34))</f>
        <v>1039.4339999999997</v>
      </c>
      <c r="E35" s="13">
        <f>SUM(E27+SUM(E30:E34))</f>
        <v>899.35399999999981</v>
      </c>
      <c r="G35" s="13">
        <f>SUM(G27+SUM(G30:G34))</f>
        <v>-6.5150000000001</v>
      </c>
      <c r="H35" s="13">
        <f>SUM(H27+SUM(H30:H34))</f>
        <v>256.10600000000011</v>
      </c>
      <c r="I35" s="13">
        <f>SUM(I27+SUM(I30:I34))</f>
        <v>287.459</v>
      </c>
      <c r="J35" s="13">
        <f>SUM(J27+SUM(J30:J34))</f>
        <v>502.38399999999967</v>
      </c>
      <c r="K35" s="13">
        <f t="shared" ref="K35:P35" si="63">SUM(K27+SUM(K30:K34))</f>
        <v>-78.729000000000042</v>
      </c>
      <c r="L35" s="13">
        <f t="shared" si="63"/>
        <v>380.63499999999999</v>
      </c>
      <c r="M35" s="13">
        <f t="shared" si="63"/>
        <v>264.99400000000003</v>
      </c>
      <c r="N35" s="13">
        <f t="shared" si="63"/>
        <v>332.45399999999972</v>
      </c>
      <c r="O35" s="13">
        <f t="shared" si="63"/>
        <v>-98.035000000000053</v>
      </c>
      <c r="P35" s="13">
        <f t="shared" si="63"/>
        <v>192.22099999999995</v>
      </c>
      <c r="Q35" s="13">
        <f t="shared" ref="Q35" si="64">SUM(Q27+SUM(Q30:Q34))</f>
        <v>214.30500000000001</v>
      </c>
      <c r="S35" s="13">
        <f t="shared" ref="S35:X35" si="65">SUM(S27+SUM(S30:S34))</f>
        <v>1039.4339999999997</v>
      </c>
      <c r="T35" s="13">
        <f t="shared" si="65"/>
        <v>967.22</v>
      </c>
      <c r="U35" s="13">
        <f t="shared" si="65"/>
        <v>1091.7489999999996</v>
      </c>
      <c r="V35" s="13">
        <f t="shared" si="65"/>
        <v>1069.2839999999997</v>
      </c>
      <c r="W35" s="13">
        <f t="shared" si="65"/>
        <v>899.35399999999981</v>
      </c>
      <c r="X35" s="13">
        <f t="shared" si="65"/>
        <v>880.04799999999886</v>
      </c>
      <c r="Y35" s="13">
        <f>SUM(Y27+SUM(Y30:Y34))</f>
        <v>691.63400000000013</v>
      </c>
      <c r="Z35" s="13">
        <f>SUM(Z27+SUM(Z30:Z34))</f>
        <v>640.94499999999971</v>
      </c>
      <c r="AB35" s="109">
        <f t="shared" si="62"/>
        <v>-0.40058487735718484</v>
      </c>
    </row>
    <row r="36" spans="1:28" ht="5.0999999999999996" customHeight="1"/>
    <row r="37" spans="1:28" ht="12.75" customHeight="1">
      <c r="B37" s="29" t="s">
        <v>166</v>
      </c>
      <c r="C37" s="127">
        <f>'Historical Financials'!C118</f>
        <v>-2046.8810000000001</v>
      </c>
      <c r="D37" s="127">
        <f>'Historical Financials'!D118</f>
        <v>0</v>
      </c>
      <c r="E37" s="127">
        <f>'Historical Financials'!E118</f>
        <v>0</v>
      </c>
      <c r="F37" s="30"/>
      <c r="G37" s="127">
        <f>'Historical Financials'!G118</f>
        <v>0</v>
      </c>
      <c r="H37" s="127">
        <f>'Historical Financials'!H118</f>
        <v>0</v>
      </c>
      <c r="I37" s="127">
        <f>'Historical Financials'!I118</f>
        <v>0</v>
      </c>
      <c r="J37" s="127">
        <f>'Historical Financials'!J118</f>
        <v>0</v>
      </c>
      <c r="K37" s="127">
        <f>'Historical Financials'!K118</f>
        <v>0</v>
      </c>
      <c r="L37" s="127">
        <f>'Historical Financials'!L118</f>
        <v>0</v>
      </c>
      <c r="M37" s="127">
        <f>'Historical Financials'!M118</f>
        <v>0</v>
      </c>
      <c r="N37" s="127">
        <f>'Historical Financials'!N118</f>
        <v>0</v>
      </c>
      <c r="O37" s="127">
        <f>'Historical Financials'!O118</f>
        <v>0</v>
      </c>
      <c r="P37" s="127">
        <f>'Historical Financials'!P118</f>
        <v>0</v>
      </c>
      <c r="Q37" s="127">
        <f>'Historical Financials'!Q118</f>
        <v>0</v>
      </c>
      <c r="S37" s="126">
        <f t="shared" ref="S37:S40" si="66">SUM(G37:J37)</f>
        <v>0</v>
      </c>
      <c r="T37" s="126">
        <f t="shared" ref="T37:T40" si="67">SUM(H37:K37)</f>
        <v>0</v>
      </c>
      <c r="U37" s="126">
        <f t="shared" ref="U37:U40" si="68">SUM(I37:L37)</f>
        <v>0</v>
      </c>
      <c r="V37" s="126">
        <f t="shared" ref="V37:V40" si="69">SUM(J37:M37)</f>
        <v>0</v>
      </c>
      <c r="W37" s="126">
        <f t="shared" ref="W37:W40" si="70">SUM(K37:N37)</f>
        <v>0</v>
      </c>
      <c r="X37" s="126">
        <f t="shared" ref="X37:X40" si="71">SUM(L37:O37)</f>
        <v>0</v>
      </c>
      <c r="Y37" s="126">
        <f t="shared" ref="Y37:Y40" si="72">SUM(M37:P37)</f>
        <v>0</v>
      </c>
      <c r="Z37" s="126">
        <f t="shared" ref="Z37:Z40" si="73">SUM(N37:Q37)</f>
        <v>0</v>
      </c>
    </row>
    <row r="38" spans="1:28" ht="12.75" customHeight="1">
      <c r="B38" s="29" t="s">
        <v>169</v>
      </c>
      <c r="C38" s="127">
        <f>'Historical Financials'!C123</f>
        <v>1541.0170000000003</v>
      </c>
      <c r="D38" s="127">
        <f>'Historical Financials'!D123</f>
        <v>-667.53399999999999</v>
      </c>
      <c r="E38" s="127">
        <f>'Historical Financials'!E123</f>
        <v>-325.52599999999995</v>
      </c>
      <c r="F38" s="30"/>
      <c r="G38" s="127">
        <f>'Historical Financials'!G123</f>
        <v>-41.911000000000016</v>
      </c>
      <c r="H38" s="127">
        <f>'Historical Financials'!H123</f>
        <v>-257.77</v>
      </c>
      <c r="I38" s="127">
        <f>'Historical Financials'!I123</f>
        <v>-91.123999999999953</v>
      </c>
      <c r="J38" s="127">
        <f>'Historical Financials'!J123</f>
        <v>-276.72900000000004</v>
      </c>
      <c r="K38" s="127">
        <f>'Historical Financials'!K123</f>
        <v>61.751000000000005</v>
      </c>
      <c r="L38" s="127">
        <f>'Historical Financials'!L123</f>
        <v>-200</v>
      </c>
      <c r="M38" s="127">
        <f>'Historical Financials'!M123</f>
        <v>-109.99999999999997</v>
      </c>
      <c r="N38" s="127">
        <f>'Historical Financials'!N123</f>
        <v>-77.276999999999987</v>
      </c>
      <c r="O38" s="127">
        <f>'Historical Financials'!O123</f>
        <v>130</v>
      </c>
      <c r="P38" s="127">
        <f>'Historical Financials'!P123</f>
        <v>-105</v>
      </c>
      <c r="Q38" s="127">
        <f>'Historical Financials'!Q123</f>
        <v>-63</v>
      </c>
      <c r="S38" s="126">
        <f t="shared" si="66"/>
        <v>-667.53399999999999</v>
      </c>
      <c r="T38" s="126">
        <f t="shared" si="67"/>
        <v>-563.87200000000007</v>
      </c>
      <c r="U38" s="126">
        <f t="shared" si="68"/>
        <v>-506.10199999999998</v>
      </c>
      <c r="V38" s="126">
        <f t="shared" si="69"/>
        <v>-524.97800000000007</v>
      </c>
      <c r="W38" s="126">
        <f t="shared" si="70"/>
        <v>-325.52599999999995</v>
      </c>
      <c r="X38" s="126">
        <f t="shared" si="71"/>
        <v>-257.27699999999999</v>
      </c>
      <c r="Y38" s="126">
        <f t="shared" si="72"/>
        <v>-162.27699999999996</v>
      </c>
      <c r="Z38" s="126">
        <f t="shared" si="73"/>
        <v>-115.27699999999999</v>
      </c>
    </row>
    <row r="39" spans="1:28" ht="12.75" customHeight="1">
      <c r="B39" s="29" t="s">
        <v>170</v>
      </c>
      <c r="C39" s="127">
        <f>'Historical Financials'!C124</f>
        <v>-11.477</v>
      </c>
      <c r="D39" s="127">
        <f>'Historical Financials'!D124</f>
        <v>-192.10500000000002</v>
      </c>
      <c r="E39" s="127">
        <f>'Historical Financials'!E124</f>
        <v>-560.69000000000005</v>
      </c>
      <c r="F39" s="30"/>
      <c r="G39" s="127">
        <f>'Historical Financials'!G124</f>
        <v>-10.395</v>
      </c>
      <c r="H39" s="127">
        <f>'Historical Financials'!H124</f>
        <v>-1.2409999999999997</v>
      </c>
      <c r="I39" s="127">
        <f>'Historical Financials'!I124</f>
        <v>-155.41099999999997</v>
      </c>
      <c r="J39" s="127">
        <f>'Historical Financials'!J124</f>
        <v>-25.05800000000005</v>
      </c>
      <c r="K39" s="127">
        <f>'Historical Financials'!K124</f>
        <v>-5.9130000000000003</v>
      </c>
      <c r="L39" s="127">
        <f>'Historical Financials'!L124</f>
        <v>-175.011</v>
      </c>
      <c r="M39" s="127">
        <f>'Historical Financials'!M124</f>
        <v>-153.49600000000001</v>
      </c>
      <c r="N39" s="127">
        <f>'Historical Financials'!N124</f>
        <v>-226.27000000000004</v>
      </c>
      <c r="O39" s="127">
        <f>'Historical Financials'!O124</f>
        <v>-64.176000000000002</v>
      </c>
      <c r="P39" s="127">
        <f>'Historical Financials'!P124</f>
        <v>-134.065</v>
      </c>
      <c r="Q39" s="127">
        <f>'Historical Financials'!Q124</f>
        <v>-208.15700000000004</v>
      </c>
      <c r="S39" s="126">
        <f t="shared" si="66"/>
        <v>-192.10500000000002</v>
      </c>
      <c r="T39" s="126">
        <f t="shared" si="67"/>
        <v>-187.62300000000005</v>
      </c>
      <c r="U39" s="126">
        <f t="shared" si="68"/>
        <v>-361.39300000000003</v>
      </c>
      <c r="V39" s="126">
        <f t="shared" si="69"/>
        <v>-359.47800000000007</v>
      </c>
      <c r="W39" s="126">
        <f t="shared" si="70"/>
        <v>-560.69000000000005</v>
      </c>
      <c r="X39" s="126">
        <f t="shared" si="71"/>
        <v>-618.95300000000009</v>
      </c>
      <c r="Y39" s="126">
        <f t="shared" si="72"/>
        <v>-578.00700000000006</v>
      </c>
      <c r="Z39" s="126">
        <f t="shared" si="73"/>
        <v>-632.66800000000012</v>
      </c>
    </row>
    <row r="40" spans="1:28" ht="12.75" customHeight="1">
      <c r="B40" s="29" t="s">
        <v>72</v>
      </c>
      <c r="C40" s="128"/>
      <c r="D40" s="128">
        <f>SUM(D45:D46)-SUM(C45:C46)-SUM(D35:D39)</f>
        <v>-221.59499999999971</v>
      </c>
      <c r="E40" s="128">
        <f>SUM(E45:E46)-SUM(D45:D46)-SUM(E35:E39)</f>
        <v>17.46200000000016</v>
      </c>
      <c r="F40" s="30"/>
      <c r="G40" s="128">
        <f>SUM(G45:G46)-SUM(C45:C46)-SUM(G35:G39)</f>
        <v>-7.1789999999998884</v>
      </c>
      <c r="H40" s="128">
        <f>SUM(H45:H46)-SUM(G45:G46)-SUM(H35:H39)</f>
        <v>43.504999999999868</v>
      </c>
      <c r="I40" s="128">
        <f t="shared" ref="I40:Q40" si="74">SUM(I45:I46)-SUM(H45:H46)-SUM(I35:I39)</f>
        <v>-79.424000000000063</v>
      </c>
      <c r="J40" s="128">
        <f t="shared" si="74"/>
        <v>-178.49699999999956</v>
      </c>
      <c r="K40" s="128">
        <f t="shared" si="74"/>
        <v>32.791000000000011</v>
      </c>
      <c r="L40" s="128">
        <f t="shared" si="74"/>
        <v>2.3760000000000048</v>
      </c>
      <c r="M40" s="128">
        <f t="shared" si="74"/>
        <v>17.001999999999953</v>
      </c>
      <c r="N40" s="128">
        <f t="shared" si="74"/>
        <v>-34.706999999999709</v>
      </c>
      <c r="O40" s="128">
        <f t="shared" si="74"/>
        <v>18.311000000000078</v>
      </c>
      <c r="P40" s="128">
        <f t="shared" si="74"/>
        <v>81.244000000000028</v>
      </c>
      <c r="Q40" s="128">
        <f t="shared" si="74"/>
        <v>10.17500000000004</v>
      </c>
      <c r="S40" s="126">
        <f t="shared" si="66"/>
        <v>-221.59499999999963</v>
      </c>
      <c r="T40" s="126">
        <f t="shared" si="67"/>
        <v>-181.62499999999977</v>
      </c>
      <c r="U40" s="126">
        <f t="shared" si="68"/>
        <v>-222.75399999999959</v>
      </c>
      <c r="V40" s="126">
        <f t="shared" si="69"/>
        <v>-126.32799999999961</v>
      </c>
      <c r="W40" s="126">
        <f t="shared" si="70"/>
        <v>17.462000000000259</v>
      </c>
      <c r="X40" s="126">
        <f t="shared" si="71"/>
        <v>2.9820000000003262</v>
      </c>
      <c r="Y40" s="126">
        <f t="shared" si="72"/>
        <v>81.85000000000035</v>
      </c>
      <c r="Z40" s="126">
        <f t="shared" si="73"/>
        <v>75.023000000000437</v>
      </c>
    </row>
    <row r="41" spans="1:28" ht="12.75" customHeight="1">
      <c r="B41" s="12" t="s">
        <v>42</v>
      </c>
      <c r="C41" s="13">
        <f>SUM(C35+SUM(C37:C40))</f>
        <v>-49.773999999999774</v>
      </c>
      <c r="D41" s="13">
        <f>SUM(D35+SUM(D37:D40))</f>
        <v>-41.799999999999955</v>
      </c>
      <c r="E41" s="13">
        <f>SUM(E35+SUM(E37:E40))</f>
        <v>30.599999999999909</v>
      </c>
      <c r="G41" s="13">
        <f>SUM(G35+SUM(G37:G40))</f>
        <v>-66</v>
      </c>
      <c r="H41" s="13">
        <f>SUM(H35+SUM(H37:H40))</f>
        <v>40.600000000000023</v>
      </c>
      <c r="I41" s="13">
        <f>SUM(I35+SUM(I37:I40))</f>
        <v>-38.499999999999943</v>
      </c>
      <c r="J41" s="13">
        <f>SUM(J35+SUM(J37:J40))</f>
        <v>22.100000000000023</v>
      </c>
      <c r="K41" s="13">
        <f>SUM(K35+SUM(K37:K40))</f>
        <v>9.8999999999999773</v>
      </c>
      <c r="L41" s="13">
        <f>SUM(L35+SUM(L37:L40))</f>
        <v>8</v>
      </c>
      <c r="M41" s="13">
        <f>SUM(M35+SUM(M37:M40))</f>
        <v>18.5</v>
      </c>
      <c r="N41" s="13">
        <f>SUM(N35+SUM(N37:N40))</f>
        <v>-5.8000000000000114</v>
      </c>
      <c r="O41" s="13">
        <f>SUM(O35+SUM(O37:O40))</f>
        <v>-13.899999999999977</v>
      </c>
      <c r="P41" s="13">
        <f>SUM(P35+SUM(P37:P40))</f>
        <v>34.399999999999977</v>
      </c>
      <c r="Q41" s="13">
        <f>SUM(Q35+SUM(Q37:Q40))</f>
        <v>-46.676999999999964</v>
      </c>
      <c r="S41" s="13">
        <f>SUM(S35+SUM(S37:S40))</f>
        <v>-41.799999999999955</v>
      </c>
      <c r="T41" s="13">
        <f>SUM(T35+SUM(T37:T40))</f>
        <v>34.100000000000136</v>
      </c>
      <c r="U41" s="13">
        <f>SUM(U35+SUM(U37:U40))</f>
        <v>1.5</v>
      </c>
      <c r="V41" s="13">
        <f>SUM(V35+SUM(V37:V40))</f>
        <v>58.499999999999886</v>
      </c>
      <c r="W41" s="13">
        <f>SUM(W35+SUM(W37:W40))</f>
        <v>30.600000000000023</v>
      </c>
      <c r="X41" s="13">
        <f>SUM(X35+SUM(X37:X40))</f>
        <v>6.7999999999991587</v>
      </c>
      <c r="Y41" s="13">
        <f>SUM(Y35+SUM(Y37:Y40))</f>
        <v>33.2000000000005</v>
      </c>
      <c r="Z41" s="13">
        <f>SUM(Z35+SUM(Z37:Z40))</f>
        <v>-31.976999999999975</v>
      </c>
    </row>
    <row r="42" spans="1:28" ht="5.0999999999999996" customHeight="1"/>
    <row r="43" spans="1:28" ht="12.75" customHeight="1">
      <c r="A43" s="5"/>
      <c r="B43" s="31" t="s">
        <v>43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8" ht="5.0999999999999996" customHeight="1"/>
    <row r="45" spans="1:28" ht="12.75" customHeight="1">
      <c r="B45" s="8" t="s">
        <v>44</v>
      </c>
      <c r="C45" s="80">
        <f>'Historical Financials'!C44</f>
        <v>191.6</v>
      </c>
      <c r="D45" s="80">
        <f>'Historical Financials'!D44</f>
        <v>149.30000000000001</v>
      </c>
      <c r="E45" s="80">
        <f>'Historical Financials'!E44</f>
        <v>180.5</v>
      </c>
      <c r="F45" s="30"/>
      <c r="G45" s="80">
        <f>'Historical Financials'!G44</f>
        <v>125.7</v>
      </c>
      <c r="H45" s="80">
        <f>'Historical Financials'!H44</f>
        <v>166.2</v>
      </c>
      <c r="I45" s="80">
        <f>'Historical Financials'!I44</f>
        <v>127.3</v>
      </c>
      <c r="J45" s="80">
        <f>'Historical Financials'!J44</f>
        <v>149.30000000000001</v>
      </c>
      <c r="K45" s="80">
        <f>'Historical Financials'!K44</f>
        <v>159.30000000000001</v>
      </c>
      <c r="L45" s="80">
        <f>'Historical Financials'!L44</f>
        <v>167.7</v>
      </c>
      <c r="M45" s="80">
        <f>'Historical Financials'!M44</f>
        <v>186.1</v>
      </c>
      <c r="N45" s="80">
        <f>'Historical Financials'!N44</f>
        <v>180.5</v>
      </c>
      <c r="O45" s="80">
        <f>'Historical Financials'!O44</f>
        <v>166.5</v>
      </c>
      <c r="P45" s="80">
        <f>'Historical Financials'!P44</f>
        <v>200.6</v>
      </c>
      <c r="Q45" s="80">
        <f>'Historical Financials'!Q44</f>
        <v>153.97</v>
      </c>
      <c r="S45" s="10">
        <f t="shared" ref="S45:Y48" si="75">J45</f>
        <v>149.30000000000001</v>
      </c>
      <c r="T45" s="10">
        <f t="shared" si="75"/>
        <v>159.30000000000001</v>
      </c>
      <c r="U45" s="10">
        <f t="shared" si="75"/>
        <v>167.7</v>
      </c>
      <c r="V45" s="10">
        <f t="shared" si="75"/>
        <v>186.1</v>
      </c>
      <c r="W45" s="10">
        <f t="shared" si="75"/>
        <v>180.5</v>
      </c>
      <c r="X45" s="10">
        <f t="shared" si="75"/>
        <v>166.5</v>
      </c>
      <c r="Y45" s="10">
        <f t="shared" si="75"/>
        <v>200.6</v>
      </c>
      <c r="Z45" s="10">
        <f>Q45</f>
        <v>153.97</v>
      </c>
    </row>
    <row r="46" spans="1:28" ht="12.75" customHeight="1">
      <c r="B46" s="8" t="s">
        <v>130</v>
      </c>
      <c r="C46" s="80">
        <f>'Historical Financials'!C57</f>
        <v>3.3</v>
      </c>
      <c r="D46" s="80">
        <f>'Historical Financials'!D57</f>
        <v>3.8</v>
      </c>
      <c r="E46" s="80">
        <f>'Historical Financials'!E57</f>
        <v>3.2</v>
      </c>
      <c r="F46" s="30"/>
      <c r="G46" s="80">
        <f>'Historical Financials'!G57</f>
        <v>3.2</v>
      </c>
      <c r="H46" s="80">
        <f>'Historical Financials'!H57</f>
        <v>3.3</v>
      </c>
      <c r="I46" s="80">
        <f>'Historical Financials'!I57</f>
        <v>3.7</v>
      </c>
      <c r="J46" s="80">
        <f>'Historical Financials'!J57</f>
        <v>3.8</v>
      </c>
      <c r="K46" s="80">
        <f>'Historical Financials'!K57</f>
        <v>3.7</v>
      </c>
      <c r="L46" s="80">
        <f>'Historical Financials'!L57</f>
        <v>3.3</v>
      </c>
      <c r="M46" s="80">
        <f>'Historical Financials'!M57</f>
        <v>3.4</v>
      </c>
      <c r="N46" s="80">
        <f>'Historical Financials'!N57</f>
        <v>3.2</v>
      </c>
      <c r="O46" s="80">
        <f>'Historical Financials'!O57</f>
        <v>3.3</v>
      </c>
      <c r="P46" s="80">
        <f>'Historical Financials'!P57</f>
        <v>3.6</v>
      </c>
      <c r="Q46" s="80">
        <f>'Historical Financials'!Q57</f>
        <v>3.5529999999999999</v>
      </c>
      <c r="S46" s="10">
        <f t="shared" si="75"/>
        <v>3.8</v>
      </c>
      <c r="T46" s="10">
        <f t="shared" si="75"/>
        <v>3.7</v>
      </c>
      <c r="U46" s="10">
        <f t="shared" si="75"/>
        <v>3.3</v>
      </c>
      <c r="V46" s="10">
        <f t="shared" si="75"/>
        <v>3.4</v>
      </c>
      <c r="W46" s="10">
        <f t="shared" si="75"/>
        <v>3.2</v>
      </c>
      <c r="X46" s="10">
        <f t="shared" si="75"/>
        <v>3.3</v>
      </c>
      <c r="Y46" s="10">
        <f t="shared" si="75"/>
        <v>3.6</v>
      </c>
      <c r="Z46" s="10">
        <f t="shared" ref="Z46:Z48" si="76">Q46</f>
        <v>3.5529999999999999</v>
      </c>
    </row>
    <row r="47" spans="1:28" ht="12.75" customHeight="1">
      <c r="B47" s="125" t="s">
        <v>175</v>
      </c>
      <c r="C47" s="75">
        <f t="shared" ref="C47:E47" si="77">15-C51-C68</f>
        <v>10.7</v>
      </c>
      <c r="D47" s="75">
        <f t="shared" si="77"/>
        <v>10.7</v>
      </c>
      <c r="E47" s="75">
        <f t="shared" si="77"/>
        <v>11.7</v>
      </c>
      <c r="F47" s="30"/>
      <c r="G47" s="75">
        <f t="shared" ref="G47:I47" si="78">15-G51-G68</f>
        <v>-2.3000000000000007</v>
      </c>
      <c r="H47" s="75">
        <f t="shared" si="78"/>
        <v>10.7</v>
      </c>
      <c r="I47" s="75">
        <f t="shared" si="78"/>
        <v>10.7</v>
      </c>
      <c r="J47" s="106">
        <f>D47</f>
        <v>10.7</v>
      </c>
      <c r="K47" s="75">
        <f t="shared" ref="K47:M47" si="79">15-K51-K68</f>
        <v>11.7</v>
      </c>
      <c r="L47" s="75">
        <f t="shared" si="79"/>
        <v>11.7</v>
      </c>
      <c r="M47" s="75">
        <f t="shared" si="79"/>
        <v>11.7</v>
      </c>
      <c r="N47" s="106">
        <f>E47</f>
        <v>11.7</v>
      </c>
      <c r="O47" s="75">
        <f t="shared" ref="O47:Q47" si="80">15-O51-O68</f>
        <v>15</v>
      </c>
      <c r="P47" s="75">
        <f t="shared" si="80"/>
        <v>15</v>
      </c>
      <c r="Q47" s="75">
        <f>15-Q51-Q68</f>
        <v>15</v>
      </c>
      <c r="S47" s="10">
        <f t="shared" ref="S47" si="81">J47</f>
        <v>10.7</v>
      </c>
      <c r="T47" s="10">
        <f t="shared" ref="T47" si="82">K47</f>
        <v>11.7</v>
      </c>
      <c r="U47" s="10">
        <f t="shared" ref="U47" si="83">L47</f>
        <v>11.7</v>
      </c>
      <c r="V47" s="10">
        <f t="shared" ref="V47" si="84">M47</f>
        <v>11.7</v>
      </c>
      <c r="W47" s="10">
        <f t="shared" ref="W47" si="85">N47</f>
        <v>11.7</v>
      </c>
      <c r="X47" s="10">
        <f t="shared" ref="X47" si="86">O47</f>
        <v>15</v>
      </c>
      <c r="Y47" s="10">
        <f t="shared" ref="Y47" si="87">P47</f>
        <v>15</v>
      </c>
      <c r="Z47" s="10">
        <f t="shared" ref="Z47" si="88">Q47</f>
        <v>15</v>
      </c>
    </row>
    <row r="48" spans="1:28" ht="12.75" customHeight="1">
      <c r="B48" s="125" t="s">
        <v>174</v>
      </c>
      <c r="C48" s="75">
        <f>750-C50-C69</f>
        <v>748.7</v>
      </c>
      <c r="D48" s="75">
        <f>1000-D50-D69</f>
        <v>808.7</v>
      </c>
      <c r="E48" s="75">
        <f>1000-E50-E69</f>
        <v>809.4</v>
      </c>
      <c r="F48" s="30"/>
      <c r="G48" s="75">
        <f t="shared" ref="G48:I48" si="89">1000-G50-G69</f>
        <v>798.7</v>
      </c>
      <c r="H48" s="75">
        <f t="shared" si="89"/>
        <v>798.7</v>
      </c>
      <c r="I48" s="75">
        <f t="shared" si="89"/>
        <v>798.7</v>
      </c>
      <c r="J48" s="106">
        <f>D48</f>
        <v>808.7</v>
      </c>
      <c r="K48" s="75">
        <f t="shared" ref="K48:M48" si="90">1000-K50-K69</f>
        <v>733.7</v>
      </c>
      <c r="L48" s="75">
        <f t="shared" si="90"/>
        <v>808.7</v>
      </c>
      <c r="M48" s="75">
        <f t="shared" si="90"/>
        <v>809.2</v>
      </c>
      <c r="N48" s="106">
        <f>E48</f>
        <v>809.4</v>
      </c>
      <c r="O48" s="75">
        <f>1000-O50-O69</f>
        <v>679.4</v>
      </c>
      <c r="P48" s="75">
        <f>1000-P50-P69</f>
        <v>784.4</v>
      </c>
      <c r="Q48" s="75">
        <f>1000-Q50-Q69</f>
        <v>847.4</v>
      </c>
      <c r="S48" s="10">
        <f t="shared" si="75"/>
        <v>808.7</v>
      </c>
      <c r="T48" s="10">
        <f t="shared" si="75"/>
        <v>733.7</v>
      </c>
      <c r="U48" s="10">
        <f t="shared" si="75"/>
        <v>808.7</v>
      </c>
      <c r="V48" s="10">
        <f t="shared" si="75"/>
        <v>809.2</v>
      </c>
      <c r="W48" s="10">
        <f t="shared" si="75"/>
        <v>809.4</v>
      </c>
      <c r="X48" s="10">
        <f t="shared" si="75"/>
        <v>679.4</v>
      </c>
      <c r="Y48" s="10">
        <f t="shared" si="75"/>
        <v>784.4</v>
      </c>
      <c r="Z48" s="10">
        <f t="shared" si="76"/>
        <v>847.4</v>
      </c>
    </row>
    <row r="49" spans="2:28" ht="12.75" customHeight="1">
      <c r="B49" s="12" t="s">
        <v>45</v>
      </c>
      <c r="C49" s="13">
        <f>SUM(C45:C48)</f>
        <v>954.30000000000007</v>
      </c>
      <c r="D49" s="13">
        <f t="shared" ref="D49:E49" si="91">SUM(D45:D48)</f>
        <v>972.5</v>
      </c>
      <c r="E49" s="13">
        <f t="shared" si="91"/>
        <v>1004.8</v>
      </c>
      <c r="F49" s="30"/>
      <c r="G49" s="13">
        <f t="shared" ref="G49:Q49" si="92">SUM(G45:G48)</f>
        <v>925.30000000000007</v>
      </c>
      <c r="H49" s="13">
        <f t="shared" si="92"/>
        <v>978.90000000000009</v>
      </c>
      <c r="I49" s="13">
        <f t="shared" si="92"/>
        <v>940.40000000000009</v>
      </c>
      <c r="J49" s="13">
        <f t="shared" si="92"/>
        <v>972.5</v>
      </c>
      <c r="K49" s="13">
        <f t="shared" si="92"/>
        <v>908.40000000000009</v>
      </c>
      <c r="L49" s="13">
        <f t="shared" si="92"/>
        <v>991.40000000000009</v>
      </c>
      <c r="M49" s="13">
        <f t="shared" si="92"/>
        <v>1010.4000000000001</v>
      </c>
      <c r="N49" s="13">
        <f t="shared" si="92"/>
        <v>1004.8</v>
      </c>
      <c r="O49" s="13">
        <f t="shared" si="92"/>
        <v>864.2</v>
      </c>
      <c r="P49" s="13">
        <f t="shared" si="92"/>
        <v>1003.5999999999999</v>
      </c>
      <c r="Q49" s="13">
        <f t="shared" si="92"/>
        <v>1019.923</v>
      </c>
      <c r="S49" s="13">
        <f t="shared" ref="S49:Z49" si="93">SUM(S45:S48)</f>
        <v>972.5</v>
      </c>
      <c r="T49" s="13">
        <f t="shared" si="93"/>
        <v>908.40000000000009</v>
      </c>
      <c r="U49" s="13">
        <f t="shared" si="93"/>
        <v>991.40000000000009</v>
      </c>
      <c r="V49" s="13">
        <f t="shared" si="93"/>
        <v>1010.4000000000001</v>
      </c>
      <c r="W49" s="13">
        <f t="shared" si="93"/>
        <v>1004.8</v>
      </c>
      <c r="X49" s="13">
        <f t="shared" si="93"/>
        <v>864.2</v>
      </c>
      <c r="Y49" s="13">
        <f t="shared" si="93"/>
        <v>1003.5999999999999</v>
      </c>
      <c r="Z49" s="13">
        <f t="shared" si="93"/>
        <v>1019.923</v>
      </c>
    </row>
    <row r="50" spans="2:28" s="139" customFormat="1" ht="12.75" customHeight="1">
      <c r="B50" s="142" t="s">
        <v>176</v>
      </c>
      <c r="C50" s="143">
        <v>1.3</v>
      </c>
      <c r="D50" s="143">
        <v>1.3</v>
      </c>
      <c r="E50" s="143">
        <v>0.6</v>
      </c>
      <c r="F50" s="140"/>
      <c r="G50" s="143">
        <v>1.3</v>
      </c>
      <c r="H50" s="143">
        <v>1.3</v>
      </c>
      <c r="I50" s="143">
        <v>1.3</v>
      </c>
      <c r="J50" s="144">
        <f>D50</f>
        <v>1.3</v>
      </c>
      <c r="K50" s="143">
        <v>1.3</v>
      </c>
      <c r="L50" s="143">
        <v>1.3</v>
      </c>
      <c r="M50" s="143">
        <v>0.8</v>
      </c>
      <c r="N50" s="144">
        <f>E50</f>
        <v>0.6</v>
      </c>
      <c r="O50" s="143">
        <v>0.6</v>
      </c>
      <c r="P50" s="143">
        <v>0.6</v>
      </c>
      <c r="Q50" s="143">
        <v>0.6</v>
      </c>
      <c r="S50" s="144">
        <f t="shared" ref="S50:Y51" si="94">J50</f>
        <v>1.3</v>
      </c>
      <c r="T50" s="144">
        <f t="shared" si="94"/>
        <v>1.3</v>
      </c>
      <c r="U50" s="144">
        <f t="shared" si="94"/>
        <v>1.3</v>
      </c>
      <c r="V50" s="144">
        <f t="shared" si="94"/>
        <v>0.8</v>
      </c>
      <c r="W50" s="144">
        <f t="shared" si="94"/>
        <v>0.6</v>
      </c>
      <c r="X50" s="144">
        <f t="shared" si="94"/>
        <v>0.6</v>
      </c>
      <c r="Y50" s="144">
        <f t="shared" si="94"/>
        <v>0.6</v>
      </c>
      <c r="Z50" s="144">
        <f>Q50</f>
        <v>0.6</v>
      </c>
      <c r="AB50" s="141"/>
    </row>
    <row r="51" spans="2:28" s="139" customFormat="1" ht="12.75" customHeight="1">
      <c r="B51" s="142" t="s">
        <v>177</v>
      </c>
      <c r="C51" s="143">
        <v>4.3</v>
      </c>
      <c r="D51" s="143">
        <v>4.3</v>
      </c>
      <c r="E51" s="143">
        <v>3.3</v>
      </c>
      <c r="F51" s="140"/>
      <c r="G51" s="143">
        <v>4.3</v>
      </c>
      <c r="H51" s="143">
        <v>4.3</v>
      </c>
      <c r="I51" s="143">
        <v>4.3</v>
      </c>
      <c r="J51" s="144">
        <f>D51</f>
        <v>4.3</v>
      </c>
      <c r="K51" s="143">
        <v>3.3</v>
      </c>
      <c r="L51" s="143">
        <v>3.3</v>
      </c>
      <c r="M51" s="143">
        <v>3.3</v>
      </c>
      <c r="N51" s="144">
        <f>E51</f>
        <v>3.3</v>
      </c>
      <c r="O51" s="143">
        <v>0</v>
      </c>
      <c r="P51" s="143">
        <v>0</v>
      </c>
      <c r="Q51" s="143">
        <v>0</v>
      </c>
      <c r="S51" s="144">
        <f t="shared" si="94"/>
        <v>4.3</v>
      </c>
      <c r="T51" s="144">
        <f t="shared" si="94"/>
        <v>3.3</v>
      </c>
      <c r="U51" s="144">
        <f t="shared" si="94"/>
        <v>3.3</v>
      </c>
      <c r="V51" s="144">
        <f t="shared" si="94"/>
        <v>3.3</v>
      </c>
      <c r="W51" s="144">
        <f t="shared" si="94"/>
        <v>3.3</v>
      </c>
      <c r="X51" s="144">
        <f t="shared" si="94"/>
        <v>0</v>
      </c>
      <c r="Y51" s="144">
        <f t="shared" si="94"/>
        <v>0</v>
      </c>
      <c r="Z51" s="144">
        <f>Q51</f>
        <v>0</v>
      </c>
      <c r="AB51" s="141"/>
    </row>
    <row r="52" spans="2:28" ht="5.0999999999999996" customHeight="1"/>
    <row r="53" spans="2:28" ht="12.75" customHeight="1">
      <c r="B53" s="32" t="s">
        <v>46</v>
      </c>
    </row>
    <row r="54" spans="2:28" ht="12.75" customHeight="1">
      <c r="B54" s="8" t="s">
        <v>123</v>
      </c>
      <c r="C54" s="80">
        <f>'Historical Financials'!C45</f>
        <v>295.60000000000002</v>
      </c>
      <c r="D54" s="80">
        <f>'Historical Financials'!D45</f>
        <v>305.7</v>
      </c>
      <c r="E54" s="80">
        <f>'Historical Financials'!E45</f>
        <v>257.7</v>
      </c>
      <c r="G54" s="80">
        <f>'Historical Financials'!G45</f>
        <v>419</v>
      </c>
      <c r="H54" s="80">
        <f>'Historical Financials'!H45</f>
        <v>409.6</v>
      </c>
      <c r="I54" s="80">
        <f>'Historical Financials'!I45</f>
        <v>391.2</v>
      </c>
      <c r="J54" s="80">
        <f>'Historical Financials'!J45</f>
        <v>305.7</v>
      </c>
      <c r="K54" s="80">
        <f>'Historical Financials'!K45</f>
        <v>481.5</v>
      </c>
      <c r="L54" s="80">
        <f>'Historical Financials'!L45</f>
        <v>420.2</v>
      </c>
      <c r="M54" s="80">
        <f>'Historical Financials'!M45</f>
        <v>361.7</v>
      </c>
      <c r="N54" s="80">
        <f>'Historical Financials'!N45</f>
        <v>257.7</v>
      </c>
      <c r="O54" s="80">
        <f>'Historical Financials'!O45</f>
        <v>445.7</v>
      </c>
      <c r="P54" s="80">
        <f>'Historical Financials'!P45</f>
        <v>417.4</v>
      </c>
      <c r="Q54" s="80">
        <f>'Historical Financials'!Q45</f>
        <v>335.31700000000001</v>
      </c>
      <c r="R54" s="10"/>
      <c r="S54" s="10">
        <f t="shared" ref="S54:Y59" si="95">J54</f>
        <v>305.7</v>
      </c>
      <c r="T54" s="10">
        <f t="shared" si="95"/>
        <v>481.5</v>
      </c>
      <c r="U54" s="10">
        <f t="shared" si="95"/>
        <v>420.2</v>
      </c>
      <c r="V54" s="10">
        <f t="shared" si="95"/>
        <v>361.7</v>
      </c>
      <c r="W54" s="10">
        <f t="shared" si="95"/>
        <v>257.7</v>
      </c>
      <c r="X54" s="10">
        <f t="shared" si="95"/>
        <v>445.7</v>
      </c>
      <c r="Y54" s="10">
        <f t="shared" si="95"/>
        <v>417.4</v>
      </c>
      <c r="Z54" s="10">
        <f>Q54</f>
        <v>335.31700000000001</v>
      </c>
    </row>
    <row r="55" spans="2:28" ht="12.75" customHeight="1">
      <c r="B55" s="8" t="s">
        <v>109</v>
      </c>
      <c r="C55" s="80">
        <f>'Historical Financials'!C46</f>
        <v>471.6</v>
      </c>
      <c r="D55" s="80">
        <f>'Historical Financials'!D46</f>
        <v>385.1</v>
      </c>
      <c r="E55" s="80">
        <f>'Historical Financials'!E46</f>
        <v>356.3</v>
      </c>
      <c r="G55" s="80">
        <f>'Historical Financials'!G46</f>
        <v>476.1</v>
      </c>
      <c r="H55" s="80">
        <f>'Historical Financials'!H46</f>
        <v>436.3</v>
      </c>
      <c r="I55" s="80">
        <f>'Historical Financials'!I46</f>
        <v>390.2</v>
      </c>
      <c r="J55" s="80">
        <f>'Historical Financials'!J46</f>
        <v>385.1</v>
      </c>
      <c r="K55" s="80">
        <f>'Historical Financials'!K46</f>
        <v>392</v>
      </c>
      <c r="L55" s="80">
        <f>'Historical Financials'!L46</f>
        <v>376.6</v>
      </c>
      <c r="M55" s="80">
        <f>'Historical Financials'!M46</f>
        <v>367.2</v>
      </c>
      <c r="N55" s="80">
        <f>'Historical Financials'!N46</f>
        <v>356.3</v>
      </c>
      <c r="O55" s="80">
        <f>'Historical Financials'!O46</f>
        <v>391.3</v>
      </c>
      <c r="P55" s="80">
        <f>'Historical Financials'!P46</f>
        <v>405.1</v>
      </c>
      <c r="Q55" s="80">
        <f>'Historical Financials'!Q46</f>
        <v>397.07299999999998</v>
      </c>
      <c r="R55" s="10"/>
      <c r="S55" s="10">
        <f t="shared" si="95"/>
        <v>385.1</v>
      </c>
      <c r="T55" s="10">
        <f t="shared" si="95"/>
        <v>392</v>
      </c>
      <c r="U55" s="10">
        <f t="shared" si="95"/>
        <v>376.6</v>
      </c>
      <c r="V55" s="10">
        <f t="shared" si="95"/>
        <v>367.2</v>
      </c>
      <c r="W55" s="10">
        <f t="shared" si="95"/>
        <v>356.3</v>
      </c>
      <c r="X55" s="10">
        <f t="shared" si="95"/>
        <v>391.3</v>
      </c>
      <c r="Y55" s="10">
        <f t="shared" si="95"/>
        <v>405.1</v>
      </c>
      <c r="Z55" s="10">
        <f t="shared" ref="Z55:Z59" si="96">Q55</f>
        <v>397.07299999999998</v>
      </c>
    </row>
    <row r="56" spans="2:28" ht="12.75" customHeight="1">
      <c r="B56" s="8" t="s">
        <v>127</v>
      </c>
      <c r="C56" s="80">
        <f>'Historical Financials'!C53</f>
        <v>181.5</v>
      </c>
      <c r="D56" s="80">
        <f>'Historical Financials'!D53</f>
        <v>238.3</v>
      </c>
      <c r="E56" s="80">
        <f>'Historical Financials'!E53</f>
        <v>244.3</v>
      </c>
      <c r="G56" s="80">
        <f>'Historical Financials'!G53</f>
        <v>190.5</v>
      </c>
      <c r="H56" s="80">
        <f>'Historical Financials'!H53</f>
        <v>213.8</v>
      </c>
      <c r="I56" s="80">
        <f>'Historical Financials'!I53</f>
        <v>223.1</v>
      </c>
      <c r="J56" s="80">
        <f>'Historical Financials'!J53</f>
        <v>238.3</v>
      </c>
      <c r="K56" s="80">
        <f>'Historical Financials'!K53</f>
        <v>242.9</v>
      </c>
      <c r="L56" s="80">
        <f>'Historical Financials'!L53</f>
        <v>244.1</v>
      </c>
      <c r="M56" s="80">
        <f>'Historical Financials'!M53</f>
        <v>243.4</v>
      </c>
      <c r="N56" s="80">
        <f>'Historical Financials'!N53</f>
        <v>244.3</v>
      </c>
      <c r="O56" s="80">
        <f>'Historical Financials'!O53</f>
        <v>245.8</v>
      </c>
      <c r="P56" s="80">
        <f>'Historical Financials'!P53</f>
        <v>249.1</v>
      </c>
      <c r="Q56" s="80">
        <f>'Historical Financials'!Q53</f>
        <v>242.13900000000001</v>
      </c>
      <c r="R56" s="10"/>
      <c r="S56" s="10">
        <f t="shared" si="95"/>
        <v>238.3</v>
      </c>
      <c r="T56" s="10">
        <f t="shared" si="95"/>
        <v>242.9</v>
      </c>
      <c r="U56" s="10">
        <f t="shared" si="95"/>
        <v>244.1</v>
      </c>
      <c r="V56" s="10">
        <f t="shared" si="95"/>
        <v>243.4</v>
      </c>
      <c r="W56" s="10">
        <f t="shared" si="95"/>
        <v>244.3</v>
      </c>
      <c r="X56" s="10">
        <f t="shared" si="95"/>
        <v>245.8</v>
      </c>
      <c r="Y56" s="10">
        <f t="shared" si="95"/>
        <v>249.1</v>
      </c>
      <c r="Z56" s="10">
        <f t="shared" si="96"/>
        <v>242.13900000000001</v>
      </c>
    </row>
    <row r="57" spans="2:28" ht="12.75" customHeight="1">
      <c r="B57" s="8" t="s">
        <v>133</v>
      </c>
      <c r="C57" s="80">
        <f>'Historical Financials'!C63</f>
        <v>230.8</v>
      </c>
      <c r="D57" s="80">
        <f>'Historical Financials'!D63</f>
        <v>261</v>
      </c>
      <c r="E57" s="80">
        <f>'Historical Financials'!E63</f>
        <v>264.89999999999998</v>
      </c>
      <c r="G57" s="80">
        <f>'Historical Financials'!G63</f>
        <v>232.4</v>
      </c>
      <c r="H57" s="80">
        <f>'Historical Financials'!H63</f>
        <v>261.89999999999998</v>
      </c>
      <c r="I57" s="80">
        <f>'Historical Financials'!I63</f>
        <v>209.9</v>
      </c>
      <c r="J57" s="80">
        <f>'Historical Financials'!J63</f>
        <v>261</v>
      </c>
      <c r="K57" s="80">
        <f>'Historical Financials'!K63</f>
        <v>236.3</v>
      </c>
      <c r="L57" s="80">
        <f>'Historical Financials'!L63</f>
        <v>244.9</v>
      </c>
      <c r="M57" s="80">
        <f>'Historical Financials'!M63</f>
        <v>240.9</v>
      </c>
      <c r="N57" s="80">
        <f>'Historical Financials'!N63</f>
        <v>264.89999999999998</v>
      </c>
      <c r="O57" s="80">
        <f>'Historical Financials'!O63</f>
        <v>244.9</v>
      </c>
      <c r="P57" s="80">
        <f>'Historical Financials'!P63</f>
        <v>263.3</v>
      </c>
      <c r="Q57" s="80">
        <f>'Historical Financials'!Q63</f>
        <v>217.26900000000001</v>
      </c>
      <c r="R57" s="10"/>
      <c r="S57" s="10">
        <f t="shared" si="95"/>
        <v>261</v>
      </c>
      <c r="T57" s="10">
        <f t="shared" si="95"/>
        <v>236.3</v>
      </c>
      <c r="U57" s="10">
        <f t="shared" si="95"/>
        <v>244.9</v>
      </c>
      <c r="V57" s="10">
        <f t="shared" si="95"/>
        <v>240.9</v>
      </c>
      <c r="W57" s="10">
        <f t="shared" si="95"/>
        <v>264.89999999999998</v>
      </c>
      <c r="X57" s="10">
        <f t="shared" si="95"/>
        <v>244.9</v>
      </c>
      <c r="Y57" s="10">
        <f t="shared" si="95"/>
        <v>263.3</v>
      </c>
      <c r="Z57" s="10">
        <f t="shared" si="96"/>
        <v>217.26900000000001</v>
      </c>
    </row>
    <row r="58" spans="2:28" ht="12.75" customHeight="1">
      <c r="B58" s="8" t="s">
        <v>47</v>
      </c>
      <c r="C58" s="80">
        <f>'Historical Financials'!C68</f>
        <v>641.30000000000007</v>
      </c>
      <c r="D58" s="80">
        <f>'Historical Financials'!D68</f>
        <v>698.39999999999986</v>
      </c>
      <c r="E58" s="80">
        <f>'Historical Financials'!E68</f>
        <v>740.30000000000007</v>
      </c>
      <c r="F58" s="80"/>
      <c r="G58" s="80">
        <f>'Historical Financials'!G68</f>
        <v>634.40000000000009</v>
      </c>
      <c r="H58" s="80">
        <f>'Historical Financials'!H68</f>
        <v>665.9</v>
      </c>
      <c r="I58" s="80">
        <f>'Historical Financials'!I68</f>
        <v>647.90000000000009</v>
      </c>
      <c r="J58" s="80">
        <f>'Historical Financials'!J68</f>
        <v>698.39999999999986</v>
      </c>
      <c r="K58" s="80">
        <f>'Historical Financials'!K68</f>
        <v>628.6</v>
      </c>
      <c r="L58" s="80">
        <f>'Historical Financials'!L68</f>
        <v>686.5</v>
      </c>
      <c r="M58" s="80">
        <f>'Historical Financials'!M68</f>
        <v>692.69999999999993</v>
      </c>
      <c r="N58" s="80">
        <f>'Historical Financials'!N68</f>
        <v>740.30000000000007</v>
      </c>
      <c r="O58" s="80">
        <f>'Historical Financials'!O68</f>
        <v>705.2</v>
      </c>
      <c r="P58" s="80">
        <f>'Historical Financials'!P68</f>
        <v>714.80000000000007</v>
      </c>
      <c r="Q58" s="80">
        <f>'Historical Financials'!Q68</f>
        <v>691.73500000000001</v>
      </c>
      <c r="S58" s="10">
        <f t="shared" si="95"/>
        <v>698.39999999999986</v>
      </c>
      <c r="T58" s="10">
        <f t="shared" si="95"/>
        <v>628.6</v>
      </c>
      <c r="U58" s="10">
        <f t="shared" si="95"/>
        <v>686.5</v>
      </c>
      <c r="V58" s="10">
        <f t="shared" si="95"/>
        <v>692.69999999999993</v>
      </c>
      <c r="W58" s="10">
        <f t="shared" si="95"/>
        <v>740.30000000000007</v>
      </c>
      <c r="X58" s="10">
        <f t="shared" si="95"/>
        <v>705.2</v>
      </c>
      <c r="Y58" s="10">
        <f t="shared" si="95"/>
        <v>714.80000000000007</v>
      </c>
      <c r="Z58" s="10">
        <f t="shared" si="96"/>
        <v>691.73500000000001</v>
      </c>
    </row>
    <row r="59" spans="2:28" ht="12.75" customHeight="1">
      <c r="B59" s="8" t="s">
        <v>17</v>
      </c>
      <c r="C59" s="80">
        <f>'Historical Financials'!C76</f>
        <v>3683.8</v>
      </c>
      <c r="D59" s="80">
        <f>'Historical Financials'!D76</f>
        <v>3190.1000000000004</v>
      </c>
      <c r="E59" s="80">
        <f>'Historical Financials'!E76</f>
        <v>2976.4</v>
      </c>
      <c r="F59" s="80"/>
      <c r="G59" s="80">
        <f>'Historical Financials'!G76</f>
        <v>3627.2000000000003</v>
      </c>
      <c r="H59" s="80">
        <f>'Historical Financials'!H76</f>
        <v>3413.4</v>
      </c>
      <c r="I59" s="80">
        <f>'Historical Financials'!I76</f>
        <v>3381.1000000000004</v>
      </c>
      <c r="J59" s="80">
        <f>'Historical Financials'!J76</f>
        <v>3190.1000000000004</v>
      </c>
      <c r="K59" s="80">
        <f>'Historical Financials'!K76</f>
        <v>3198.7000000000003</v>
      </c>
      <c r="L59" s="80">
        <f>'Historical Financials'!L76</f>
        <v>3066.7</v>
      </c>
      <c r="M59" s="80">
        <f>'Historical Financials'!M76</f>
        <v>2988.2999999999993</v>
      </c>
      <c r="N59" s="80">
        <f>'Historical Financials'!N76</f>
        <v>2976.4</v>
      </c>
      <c r="O59" s="80">
        <f>'Historical Financials'!O76</f>
        <v>3096.5</v>
      </c>
      <c r="P59" s="80">
        <f>'Historical Financials'!P76</f>
        <v>3029.3</v>
      </c>
      <c r="Q59" s="80">
        <f>'Historical Financials'!Q76</f>
        <v>2936.6240000000003</v>
      </c>
      <c r="S59" s="10">
        <f t="shared" si="95"/>
        <v>3190.1000000000004</v>
      </c>
      <c r="T59" s="10">
        <f t="shared" si="95"/>
        <v>3198.7000000000003</v>
      </c>
      <c r="U59" s="10">
        <f t="shared" si="95"/>
        <v>3066.7</v>
      </c>
      <c r="V59" s="10">
        <f t="shared" si="95"/>
        <v>2988.2999999999993</v>
      </c>
      <c r="W59" s="10">
        <f t="shared" si="95"/>
        <v>2976.4</v>
      </c>
      <c r="X59" s="10">
        <f t="shared" si="95"/>
        <v>3096.5</v>
      </c>
      <c r="Y59" s="10">
        <f t="shared" si="95"/>
        <v>3029.3</v>
      </c>
      <c r="Z59" s="10">
        <f t="shared" si="96"/>
        <v>2936.6240000000003</v>
      </c>
    </row>
    <row r="60" spans="2:28" ht="5.0999999999999996" customHeight="1"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2:28">
      <c r="B61" s="32" t="s">
        <v>101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2:28">
      <c r="B62" s="8" t="s">
        <v>102</v>
      </c>
      <c r="C62" s="80">
        <f>'Historical Financials'!C66</f>
        <v>24.4</v>
      </c>
      <c r="D62" s="80">
        <f>'Historical Financials'!D66</f>
        <v>23.3</v>
      </c>
      <c r="E62" s="80">
        <f>'Historical Financials'!E66</f>
        <v>0</v>
      </c>
      <c r="G62" s="80">
        <f>'Historical Financials'!G66</f>
        <v>33</v>
      </c>
      <c r="H62" s="80">
        <f>'Historical Financials'!H66</f>
        <v>20</v>
      </c>
      <c r="I62" s="80">
        <f>'Historical Financials'!I66</f>
        <v>20</v>
      </c>
      <c r="J62" s="80">
        <f>'Historical Financials'!J66</f>
        <v>23.3</v>
      </c>
      <c r="K62" s="80">
        <f>'Historical Financials'!K66</f>
        <v>0</v>
      </c>
      <c r="L62" s="80">
        <f>'Historical Financials'!L66</f>
        <v>0</v>
      </c>
      <c r="M62" s="80">
        <f>'Historical Financials'!M66</f>
        <v>0</v>
      </c>
      <c r="N62" s="80">
        <f>'Historical Financials'!N66</f>
        <v>0</v>
      </c>
      <c r="O62" s="80">
        <f>'Historical Financials'!O66</f>
        <v>0</v>
      </c>
      <c r="P62" s="80">
        <f>'Historical Financials'!P66</f>
        <v>0</v>
      </c>
      <c r="Q62" s="80">
        <f>'Historical Financials'!Q66</f>
        <v>0</v>
      </c>
      <c r="S62" s="10">
        <f t="shared" ref="S62:S63" si="97">J62</f>
        <v>23.3</v>
      </c>
      <c r="T62" s="10">
        <f t="shared" ref="T62:T63" si="98">K62</f>
        <v>0</v>
      </c>
      <c r="U62" s="10">
        <f t="shared" ref="U62:U63" si="99">L62</f>
        <v>0</v>
      </c>
      <c r="V62" s="10">
        <f t="shared" ref="V62:V63" si="100">M62</f>
        <v>0</v>
      </c>
      <c r="W62" s="10">
        <f t="shared" ref="W62:W63" si="101">N62</f>
        <v>0</v>
      </c>
      <c r="X62" s="10">
        <f t="shared" ref="X62:X63" si="102">O62</f>
        <v>0</v>
      </c>
      <c r="Y62" s="10">
        <f t="shared" ref="Y62:Y63" si="103">P62</f>
        <v>0</v>
      </c>
      <c r="Z62" s="10">
        <f t="shared" ref="Z62:Z63" si="104">Q62</f>
        <v>0</v>
      </c>
    </row>
    <row r="63" spans="2:28">
      <c r="B63" s="8" t="s">
        <v>103</v>
      </c>
      <c r="C63" s="80">
        <f>'Historical Financials'!C73</f>
        <v>2298</v>
      </c>
      <c r="D63" s="80">
        <f>'Historical Financials'!D73</f>
        <v>1641</v>
      </c>
      <c r="E63" s="80">
        <f>'Historical Financials'!E73</f>
        <v>1349.3</v>
      </c>
      <c r="G63" s="80">
        <f>'Historical Financials'!G73</f>
        <v>2250.3000000000002</v>
      </c>
      <c r="H63" s="80">
        <f>'Historical Financials'!H73</f>
        <v>2007.5</v>
      </c>
      <c r="I63" s="80">
        <f>'Historical Financials'!I73</f>
        <v>1918.7</v>
      </c>
      <c r="J63" s="80">
        <f>'Historical Financials'!J73</f>
        <v>1641</v>
      </c>
      <c r="K63" s="80">
        <f>'Historical Financials'!K73</f>
        <v>1727.2</v>
      </c>
      <c r="L63" s="80">
        <f>'Historical Financials'!L73</f>
        <v>1529.6</v>
      </c>
      <c r="M63" s="80">
        <f>'Historical Financials'!M73</f>
        <v>1422</v>
      </c>
      <c r="N63" s="80">
        <f>'Historical Financials'!N73</f>
        <v>1349.3</v>
      </c>
      <c r="O63" s="80">
        <f>'Historical Financials'!O73</f>
        <v>1481.7</v>
      </c>
      <c r="P63" s="80">
        <f>'Historical Financials'!P73</f>
        <v>1379.1</v>
      </c>
      <c r="Q63" s="80">
        <f>'Historical Financials'!Q73</f>
        <v>1318.498</v>
      </c>
      <c r="S63" s="10">
        <f t="shared" si="97"/>
        <v>1641</v>
      </c>
      <c r="T63" s="10">
        <f t="shared" si="98"/>
        <v>1727.2</v>
      </c>
      <c r="U63" s="10">
        <f t="shared" si="99"/>
        <v>1529.6</v>
      </c>
      <c r="V63" s="10">
        <f t="shared" si="100"/>
        <v>1422</v>
      </c>
      <c r="W63" s="10">
        <f t="shared" si="101"/>
        <v>1349.3</v>
      </c>
      <c r="X63" s="10">
        <f t="shared" si="102"/>
        <v>1481.7</v>
      </c>
      <c r="Y63" s="10">
        <f t="shared" si="103"/>
        <v>1379.1</v>
      </c>
      <c r="Z63" s="10">
        <f t="shared" si="104"/>
        <v>1318.498</v>
      </c>
    </row>
    <row r="65" spans="1:26">
      <c r="B65" s="125" t="s">
        <v>171</v>
      </c>
      <c r="C65" s="75">
        <v>350</v>
      </c>
      <c r="D65" s="75">
        <v>350</v>
      </c>
      <c r="E65" s="75">
        <v>350</v>
      </c>
      <c r="G65" s="75">
        <v>350</v>
      </c>
      <c r="H65" s="75">
        <v>350</v>
      </c>
      <c r="I65" s="75">
        <v>350</v>
      </c>
      <c r="J65" s="106">
        <f>D65</f>
        <v>350</v>
      </c>
      <c r="K65" s="75">
        <v>350</v>
      </c>
      <c r="L65" s="75">
        <v>350</v>
      </c>
      <c r="M65" s="75">
        <v>350</v>
      </c>
      <c r="N65" s="106">
        <f>E65</f>
        <v>350</v>
      </c>
      <c r="O65" s="75">
        <v>350</v>
      </c>
      <c r="P65" s="75">
        <v>350</v>
      </c>
      <c r="Q65" s="75">
        <v>350</v>
      </c>
      <c r="S65" s="10">
        <f t="shared" ref="S65:S69" si="105">J65</f>
        <v>350</v>
      </c>
      <c r="T65" s="10">
        <f t="shared" ref="T65:T69" si="106">K65</f>
        <v>350</v>
      </c>
      <c r="U65" s="10">
        <f t="shared" ref="U65:U69" si="107">L65</f>
        <v>350</v>
      </c>
      <c r="V65" s="10">
        <f t="shared" ref="V65:V69" si="108">M65</f>
        <v>350</v>
      </c>
      <c r="W65" s="10">
        <f t="shared" ref="W65:W69" si="109">N65</f>
        <v>350</v>
      </c>
      <c r="X65" s="10">
        <f t="shared" ref="X65:X69" si="110">O65</f>
        <v>350</v>
      </c>
      <c r="Y65" s="10">
        <f t="shared" ref="Y65:Y69" si="111">P65</f>
        <v>350</v>
      </c>
      <c r="Z65" s="10">
        <f t="shared" ref="Z65:Z69" si="112">Q65</f>
        <v>350</v>
      </c>
    </row>
    <row r="66" spans="1:26">
      <c r="B66" s="125" t="s">
        <v>172</v>
      </c>
      <c r="C66" s="75">
        <v>350</v>
      </c>
      <c r="D66" s="75">
        <v>350</v>
      </c>
      <c r="E66" s="75">
        <v>350</v>
      </c>
      <c r="G66" s="75">
        <v>350</v>
      </c>
      <c r="H66" s="75">
        <v>350</v>
      </c>
      <c r="I66" s="75">
        <v>350</v>
      </c>
      <c r="J66" s="106">
        <f>D66</f>
        <v>350</v>
      </c>
      <c r="K66" s="75">
        <v>350</v>
      </c>
      <c r="L66" s="75">
        <v>350</v>
      </c>
      <c r="M66" s="75">
        <v>350</v>
      </c>
      <c r="N66" s="106">
        <f>E66</f>
        <v>350</v>
      </c>
      <c r="O66" s="75">
        <v>350</v>
      </c>
      <c r="P66" s="75">
        <v>350</v>
      </c>
      <c r="Q66" s="75">
        <v>350</v>
      </c>
      <c r="S66" s="10">
        <f t="shared" si="105"/>
        <v>350</v>
      </c>
      <c r="T66" s="10">
        <f t="shared" si="106"/>
        <v>350</v>
      </c>
      <c r="U66" s="10">
        <f t="shared" si="107"/>
        <v>350</v>
      </c>
      <c r="V66" s="10">
        <f t="shared" si="108"/>
        <v>350</v>
      </c>
      <c r="W66" s="10">
        <f t="shared" si="109"/>
        <v>350</v>
      </c>
      <c r="X66" s="10">
        <f t="shared" si="110"/>
        <v>350</v>
      </c>
      <c r="Y66" s="10">
        <f t="shared" si="111"/>
        <v>350</v>
      </c>
      <c r="Z66" s="10">
        <f t="shared" si="112"/>
        <v>350</v>
      </c>
    </row>
    <row r="67" spans="1:26">
      <c r="B67" s="125" t="s">
        <v>173</v>
      </c>
      <c r="C67" s="75">
        <v>1675</v>
      </c>
      <c r="D67" s="75">
        <v>820</v>
      </c>
      <c r="E67" s="75">
        <v>500</v>
      </c>
      <c r="G67" s="75">
        <v>1425</v>
      </c>
      <c r="H67" s="75">
        <v>1180</v>
      </c>
      <c r="I67" s="75">
        <v>1090</v>
      </c>
      <c r="J67" s="106">
        <f>D67</f>
        <v>820</v>
      </c>
      <c r="K67" s="75">
        <v>810</v>
      </c>
      <c r="L67" s="75">
        <v>685</v>
      </c>
      <c r="M67" s="75">
        <v>575</v>
      </c>
      <c r="N67" s="106">
        <f>E67</f>
        <v>500</v>
      </c>
      <c r="O67" s="75">
        <v>500</v>
      </c>
      <c r="P67" s="75">
        <v>500</v>
      </c>
      <c r="Q67" s="75">
        <v>500</v>
      </c>
      <c r="S67" s="10">
        <f t="shared" si="105"/>
        <v>820</v>
      </c>
      <c r="T67" s="10">
        <f t="shared" si="106"/>
        <v>810</v>
      </c>
      <c r="U67" s="10">
        <f t="shared" si="107"/>
        <v>685</v>
      </c>
      <c r="V67" s="10">
        <f t="shared" si="108"/>
        <v>575</v>
      </c>
      <c r="W67" s="10">
        <f t="shared" si="109"/>
        <v>500</v>
      </c>
      <c r="X67" s="10">
        <f t="shared" si="110"/>
        <v>500</v>
      </c>
      <c r="Y67" s="10">
        <f t="shared" si="111"/>
        <v>500</v>
      </c>
      <c r="Z67" s="10">
        <f t="shared" si="112"/>
        <v>500</v>
      </c>
    </row>
    <row r="68" spans="1:26">
      <c r="B68" s="125" t="s">
        <v>175</v>
      </c>
      <c r="C68" s="75">
        <v>0</v>
      </c>
      <c r="D68" s="75">
        <v>0</v>
      </c>
      <c r="E68" s="75">
        <v>0</v>
      </c>
      <c r="G68" s="75">
        <v>13</v>
      </c>
      <c r="H68" s="75">
        <v>0</v>
      </c>
      <c r="I68" s="75">
        <v>0</v>
      </c>
      <c r="J68" s="106">
        <f t="shared" ref="J68:J69" si="113">D68</f>
        <v>0</v>
      </c>
      <c r="K68" s="75">
        <v>0</v>
      </c>
      <c r="L68" s="75">
        <v>0</v>
      </c>
      <c r="M68" s="75">
        <v>0</v>
      </c>
      <c r="N68" s="106">
        <f t="shared" ref="N68:N69" si="114">E68</f>
        <v>0</v>
      </c>
      <c r="O68" s="75">
        <v>0</v>
      </c>
      <c r="P68" s="75">
        <v>0</v>
      </c>
      <c r="Q68" s="75">
        <v>0</v>
      </c>
      <c r="S68" s="10"/>
      <c r="T68" s="10"/>
      <c r="U68" s="10"/>
      <c r="V68" s="10"/>
      <c r="W68" s="10"/>
      <c r="X68" s="10"/>
      <c r="Y68" s="10">
        <f t="shared" si="111"/>
        <v>0</v>
      </c>
      <c r="Z68" s="10">
        <f t="shared" si="112"/>
        <v>0</v>
      </c>
    </row>
    <row r="69" spans="1:26">
      <c r="B69" s="125" t="s">
        <v>174</v>
      </c>
      <c r="C69" s="75">
        <v>0</v>
      </c>
      <c r="D69" s="75">
        <v>190</v>
      </c>
      <c r="E69" s="75">
        <v>190</v>
      </c>
      <c r="G69" s="75">
        <v>200</v>
      </c>
      <c r="H69" s="75">
        <v>200</v>
      </c>
      <c r="I69" s="75">
        <v>200</v>
      </c>
      <c r="J69" s="106">
        <f t="shared" ref="J69" si="115">D69</f>
        <v>190</v>
      </c>
      <c r="K69" s="75">
        <v>265</v>
      </c>
      <c r="L69" s="75">
        <v>190</v>
      </c>
      <c r="M69" s="75">
        <v>190</v>
      </c>
      <c r="N69" s="106">
        <f t="shared" ref="N69" si="116">E69</f>
        <v>190</v>
      </c>
      <c r="O69" s="75">
        <v>320</v>
      </c>
      <c r="P69" s="75">
        <v>215</v>
      </c>
      <c r="Q69" s="75">
        <v>152</v>
      </c>
      <c r="S69" s="10">
        <f t="shared" si="105"/>
        <v>190</v>
      </c>
      <c r="T69" s="10">
        <f t="shared" si="106"/>
        <v>265</v>
      </c>
      <c r="U69" s="10">
        <f t="shared" si="107"/>
        <v>190</v>
      </c>
      <c r="V69" s="10">
        <f t="shared" si="108"/>
        <v>190</v>
      </c>
      <c r="W69" s="10">
        <f t="shared" si="109"/>
        <v>190</v>
      </c>
      <c r="X69" s="10">
        <f t="shared" si="110"/>
        <v>320</v>
      </c>
      <c r="Y69" s="10">
        <f t="shared" si="111"/>
        <v>215</v>
      </c>
      <c r="Z69" s="10">
        <f t="shared" si="112"/>
        <v>152</v>
      </c>
    </row>
    <row r="70" spans="1:26" ht="12.75" customHeight="1">
      <c r="B70" s="12" t="s">
        <v>23</v>
      </c>
      <c r="C70" s="13">
        <f t="shared" ref="C70:E70" si="117">SUM(C65:C69)</f>
        <v>2375</v>
      </c>
      <c r="D70" s="13">
        <f t="shared" si="117"/>
        <v>1710</v>
      </c>
      <c r="E70" s="13">
        <f t="shared" si="117"/>
        <v>1390</v>
      </c>
      <c r="G70" s="13">
        <f t="shared" ref="G70:Q70" si="118">SUM(G65:G69)</f>
        <v>2338</v>
      </c>
      <c r="H70" s="13">
        <f t="shared" si="118"/>
        <v>2080</v>
      </c>
      <c r="I70" s="13">
        <f t="shared" si="118"/>
        <v>1990</v>
      </c>
      <c r="J70" s="13">
        <f t="shared" si="118"/>
        <v>1710</v>
      </c>
      <c r="K70" s="13">
        <f t="shared" si="118"/>
        <v>1775</v>
      </c>
      <c r="L70" s="13">
        <f t="shared" si="118"/>
        <v>1575</v>
      </c>
      <c r="M70" s="13">
        <f t="shared" si="118"/>
        <v>1465</v>
      </c>
      <c r="N70" s="13">
        <f t="shared" si="118"/>
        <v>1390</v>
      </c>
      <c r="O70" s="13">
        <f t="shared" si="118"/>
        <v>1520</v>
      </c>
      <c r="P70" s="13">
        <f t="shared" si="118"/>
        <v>1415</v>
      </c>
      <c r="Q70" s="13">
        <f t="shared" si="118"/>
        <v>1352</v>
      </c>
      <c r="S70" s="13">
        <f t="shared" ref="S70:Z70" si="119">SUM(S65:S69)</f>
        <v>1710</v>
      </c>
      <c r="T70" s="13">
        <f t="shared" si="119"/>
        <v>1775</v>
      </c>
      <c r="U70" s="13">
        <f t="shared" si="119"/>
        <v>1575</v>
      </c>
      <c r="V70" s="13">
        <f t="shared" si="119"/>
        <v>1465</v>
      </c>
      <c r="W70" s="13">
        <f t="shared" si="119"/>
        <v>1390</v>
      </c>
      <c r="X70" s="13">
        <f t="shared" si="119"/>
        <v>1520</v>
      </c>
      <c r="Y70" s="13">
        <f t="shared" si="119"/>
        <v>1415</v>
      </c>
      <c r="Z70" s="13">
        <f t="shared" si="119"/>
        <v>1352</v>
      </c>
    </row>
    <row r="71" spans="1:26" ht="5.0999999999999996" customHeight="1"/>
    <row r="72" spans="1:26" ht="12.75" customHeight="1">
      <c r="B72" s="8" t="s">
        <v>48</v>
      </c>
      <c r="C72" s="80">
        <f>'Historical Financials'!C83</f>
        <v>817.93100000000004</v>
      </c>
      <c r="D72" s="80">
        <f>'Historical Financials'!D83</f>
        <v>1453.9229999999998</v>
      </c>
      <c r="E72" s="80">
        <f>'Historical Financials'!E83</f>
        <v>1835.732</v>
      </c>
      <c r="G72" s="80">
        <f>'Historical Financials'!G83</f>
        <v>968.49999999999989</v>
      </c>
      <c r="H72" s="80">
        <f>'Historical Financials'!H83</f>
        <v>1189.69</v>
      </c>
      <c r="I72" s="80">
        <f>'Historical Financials'!I83</f>
        <v>1200.258</v>
      </c>
      <c r="J72" s="80">
        <f>'Historical Financials'!J83</f>
        <v>1453.9229999999998</v>
      </c>
      <c r="K72" s="80">
        <f>'Historical Financials'!K83</f>
        <v>1597.0550000000001</v>
      </c>
      <c r="L72" s="80">
        <f>'Historical Financials'!L83</f>
        <v>1653.2110000000002</v>
      </c>
      <c r="M72" s="80">
        <f>'Historical Financials'!M83</f>
        <v>1725.1180000000002</v>
      </c>
      <c r="N72" s="80">
        <f>'Historical Financials'!N83</f>
        <v>1835.732</v>
      </c>
      <c r="O72" s="80">
        <f>'Historical Financials'!O83</f>
        <v>1969.5929999999996</v>
      </c>
      <c r="P72" s="80">
        <f>'Historical Financials'!P83</f>
        <v>1421.1370000000004</v>
      </c>
      <c r="Q72" s="80">
        <f>'Historical Financials'!Q83</f>
        <v>1363.1399999999999</v>
      </c>
      <c r="S72" s="10">
        <f t="shared" ref="S72" si="120">J72</f>
        <v>1453.9229999999998</v>
      </c>
      <c r="T72" s="10">
        <f t="shared" ref="T72" si="121">K72</f>
        <v>1597.0550000000001</v>
      </c>
      <c r="U72" s="10">
        <f t="shared" ref="U72" si="122">L72</f>
        <v>1653.2110000000002</v>
      </c>
      <c r="V72" s="10">
        <f t="shared" ref="V72" si="123">M72</f>
        <v>1725.1180000000002</v>
      </c>
      <c r="W72" s="10">
        <f t="shared" ref="W72" si="124">N72</f>
        <v>1835.732</v>
      </c>
      <c r="X72" s="10">
        <f t="shared" ref="X72" si="125">O72</f>
        <v>1969.5929999999996</v>
      </c>
      <c r="Y72" s="10">
        <f t="shared" ref="Y72" si="126">P72</f>
        <v>1421.1370000000004</v>
      </c>
      <c r="Z72" s="10">
        <f t="shared" ref="Z72" si="127">Q72</f>
        <v>1363.1399999999999</v>
      </c>
    </row>
    <row r="73" spans="1:26" ht="12.75" customHeight="1">
      <c r="B73" s="12" t="s">
        <v>49</v>
      </c>
      <c r="C73" s="13">
        <f t="shared" ref="C73:E73" si="128">SUM(C70:C72)</f>
        <v>3192.931</v>
      </c>
      <c r="D73" s="13">
        <f t="shared" si="128"/>
        <v>3163.9229999999998</v>
      </c>
      <c r="E73" s="13">
        <f t="shared" si="128"/>
        <v>3225.732</v>
      </c>
      <c r="G73" s="13">
        <f>SUM(G70:G72)</f>
        <v>3306.5</v>
      </c>
      <c r="H73" s="13">
        <f>SUM(H70:H72)</f>
        <v>3269.69</v>
      </c>
      <c r="I73" s="13">
        <f>SUM(I70:I72)</f>
        <v>3190.2579999999998</v>
      </c>
      <c r="J73" s="13">
        <f>SUM(J70:J72)</f>
        <v>3163.9229999999998</v>
      </c>
      <c r="K73" s="13">
        <f t="shared" ref="K73:P73" si="129">SUM(K70:K72)</f>
        <v>3372.0550000000003</v>
      </c>
      <c r="L73" s="13">
        <f t="shared" si="129"/>
        <v>3228.2110000000002</v>
      </c>
      <c r="M73" s="13">
        <f t="shared" si="129"/>
        <v>3190.1180000000004</v>
      </c>
      <c r="N73" s="13">
        <f t="shared" si="129"/>
        <v>3225.732</v>
      </c>
      <c r="O73" s="13">
        <f t="shared" si="129"/>
        <v>3489.5929999999998</v>
      </c>
      <c r="P73" s="13">
        <f t="shared" si="129"/>
        <v>2836.1370000000006</v>
      </c>
      <c r="Q73" s="13">
        <f t="shared" ref="Q73" si="130">SUM(Q70:Q72)</f>
        <v>2715.14</v>
      </c>
      <c r="S73" s="13">
        <f t="shared" ref="S73:X73" si="131">SUM(S70:S72)</f>
        <v>3163.9229999999998</v>
      </c>
      <c r="T73" s="13">
        <f t="shared" si="131"/>
        <v>3372.0550000000003</v>
      </c>
      <c r="U73" s="13">
        <f t="shared" si="131"/>
        <v>3228.2110000000002</v>
      </c>
      <c r="V73" s="13">
        <f t="shared" si="131"/>
        <v>3190.1180000000004</v>
      </c>
      <c r="W73" s="13">
        <f t="shared" si="131"/>
        <v>3225.732</v>
      </c>
      <c r="X73" s="13">
        <f t="shared" si="131"/>
        <v>3489.5929999999998</v>
      </c>
      <c r="Y73" s="13">
        <f>SUM(Y70:Y72)</f>
        <v>2836.1370000000006</v>
      </c>
      <c r="Z73" s="13">
        <f>SUM(Z70:Z72)</f>
        <v>2715.14</v>
      </c>
    </row>
    <row r="74" spans="1:26" ht="5.0999999999999996" customHeight="1"/>
    <row r="75" spans="1:26" ht="12.75" customHeight="1">
      <c r="A75" s="5"/>
      <c r="B75" s="31" t="s">
        <v>73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5.0999999999999996" customHeight="1"/>
    <row r="77" spans="1:26" ht="12.75" customHeight="1">
      <c r="B77" s="29" t="s">
        <v>178</v>
      </c>
      <c r="C77" s="129">
        <f>C70/C27</f>
        <v>2.5777895481759017</v>
      </c>
      <c r="D77" s="129">
        <f>D70/D27</f>
        <v>1.5269547699923924</v>
      </c>
      <c r="E77" s="129">
        <f>E70/E27</f>
        <v>1.2358928169731653</v>
      </c>
      <c r="G77" s="131"/>
      <c r="H77" s="131"/>
      <c r="I77" s="131"/>
      <c r="J77" s="129">
        <f>SUM(J70/SUM(G27:J27))</f>
        <v>1.5269547699923924</v>
      </c>
      <c r="K77" s="129">
        <f>SUM(K70/SUM(H27:K27))</f>
        <v>1.5926152896451298</v>
      </c>
      <c r="L77" s="129">
        <f>SUM(L70/SUM(I27:L27))</f>
        <v>1.3956666102492445</v>
      </c>
      <c r="M77" s="129">
        <f>SUM(M70/SUM(J27:M27))</f>
        <v>1.3000208535768325</v>
      </c>
      <c r="N77" s="129">
        <f>SUM(N70/SUM(K27:N27))</f>
        <v>1.2358928169731653</v>
      </c>
      <c r="O77" s="129">
        <f>SUM(O70/SUM(L27:O27))</f>
        <v>1.3515147635204829</v>
      </c>
      <c r="P77" s="129">
        <f>SUM(P70/SUM(M27:P27))</f>
        <v>1.2716917814559483</v>
      </c>
      <c r="Q77" s="129">
        <f>SUM(Q70/SUM(N27:Q27))</f>
        <v>1.2820816758097175</v>
      </c>
      <c r="R77" s="129"/>
      <c r="S77" s="129">
        <f>S70/S27</f>
        <v>1.5269547699923924</v>
      </c>
      <c r="T77" s="129">
        <f>T70/T27</f>
        <v>1.5926152896451293</v>
      </c>
      <c r="U77" s="129">
        <f>U70/U27</f>
        <v>1.3956666102492445</v>
      </c>
      <c r="V77" s="129">
        <f>V70/V27</f>
        <v>1.3000208535768325</v>
      </c>
      <c r="W77" s="129">
        <f>W70/W27</f>
        <v>1.2358928169731653</v>
      </c>
      <c r="X77" s="129">
        <f>X70/X27</f>
        <v>1.3515147635204841</v>
      </c>
      <c r="Y77" s="129">
        <f>Y70/Y27</f>
        <v>1.2716917814559479</v>
      </c>
      <c r="Z77" s="129">
        <f>Z70/Z27</f>
        <v>1.2820816758097175</v>
      </c>
    </row>
    <row r="78" spans="1:26" ht="12.75" customHeight="1">
      <c r="B78" s="29" t="s">
        <v>179</v>
      </c>
      <c r="C78" s="129">
        <f>SUM(C70-C45)/C27</f>
        <v>2.3698297682051641</v>
      </c>
      <c r="D78" s="129">
        <f>SUM(D70-D45)/D27</f>
        <v>1.3936364383199573</v>
      </c>
      <c r="E78" s="129">
        <f>SUM(E70-E45)/E27</f>
        <v>1.0754045770712544</v>
      </c>
      <c r="G78" s="131"/>
      <c r="H78" s="131"/>
      <c r="I78" s="131"/>
      <c r="J78" s="129">
        <f>SUM(J70-J45)/SUM(G27:J27)</f>
        <v>1.3936364383199573</v>
      </c>
      <c r="K78" s="129">
        <f>SUM(K70-K45)/SUM(H27:K27)</f>
        <v>1.449683675199795</v>
      </c>
      <c r="L78" s="129">
        <f>SUM(L70-L45)/SUM(I27:L27)</f>
        <v>1.2470613464150868</v>
      </c>
      <c r="M78" s="129">
        <f>SUM(M70-M45)/SUM(J27:M27)</f>
        <v>1.1348782727914069</v>
      </c>
      <c r="N78" s="129">
        <f>SUM(N70-N45)/SUM(K27:N27)</f>
        <v>1.0754045770712544</v>
      </c>
      <c r="O78" s="129">
        <f>SUM(O70-O45)/SUM(L27:O27)</f>
        <v>1.203470547648009</v>
      </c>
      <c r="P78" s="129">
        <f>SUM(P70-P45)/SUM(M27:P27)</f>
        <v>1.0914081267845255</v>
      </c>
      <c r="Q78" s="129">
        <f>SUM(Q70-Q45)/SUM(N27:Q27)</f>
        <v>1.1360741938389911</v>
      </c>
      <c r="R78" s="129"/>
      <c r="S78" s="129">
        <f>SUM(S70-S45)/S27</f>
        <v>1.3936364383199573</v>
      </c>
      <c r="T78" s="129">
        <f>SUM(T70-T45)/T27</f>
        <v>1.4496836751997948</v>
      </c>
      <c r="U78" s="129">
        <f>SUM(U70-U45)/U27</f>
        <v>1.2470613464150868</v>
      </c>
      <c r="V78" s="129">
        <f>SUM(V70-V45)/V27</f>
        <v>1.1348782727914069</v>
      </c>
      <c r="W78" s="129">
        <f>SUM(W70-W45)/W27</f>
        <v>1.0754045770712544</v>
      </c>
      <c r="X78" s="129">
        <f>SUM(X70-X45)/X27</f>
        <v>1.2034705476480099</v>
      </c>
      <c r="Y78" s="129">
        <f>SUM(Y70-Y45)/Y27</f>
        <v>1.091408126784525</v>
      </c>
      <c r="Z78" s="129">
        <f>SUM(Z70-Z45)/Z27</f>
        <v>1.1360741938389911</v>
      </c>
    </row>
    <row r="79" spans="1:26" ht="12.75" customHeight="1">
      <c r="B79" s="29" t="s">
        <v>180</v>
      </c>
      <c r="C79" s="129">
        <f>C27/-C32</f>
        <v>7.2086629267109519</v>
      </c>
      <c r="D79" s="129">
        <f>D27/-D32</f>
        <v>7.3860217252227569</v>
      </c>
      <c r="E79" s="129">
        <f>E27/-E32</f>
        <v>11.307652091732603</v>
      </c>
      <c r="G79" s="131"/>
      <c r="H79" s="131"/>
      <c r="I79" s="131"/>
      <c r="J79" s="129" cm="1">
        <f t="array" ref="J79">SUM(G27:J27)/SUM(-G32:J32)</f>
        <v>7.3860217252227569</v>
      </c>
      <c r="K79" s="129" cm="1">
        <f t="array" ref="K79">SUM(H27:K27)/SUM(-H32:K32)</f>
        <v>8.0212384667424725</v>
      </c>
      <c r="L79" s="129" cm="1">
        <f t="array" ref="L79">SUM(I27:L27)/SUM(-I32:L32)</f>
        <v>9.0297499499899931</v>
      </c>
      <c r="M79" s="129" cm="1">
        <f t="array" ref="M79">SUM(J27:M27)/SUM(-J32:M32)</f>
        <v>7.4323807388158611</v>
      </c>
      <c r="N79" s="129" cm="1">
        <f t="array" ref="N79">SUM(K27:N27)/SUM(-K32:N32)</f>
        <v>11.307652091732603</v>
      </c>
      <c r="O79" s="129" cm="1">
        <f t="array" ref="O79">SUM(L27:O27)/SUM(-L32:O32)</f>
        <v>12.325490153100922</v>
      </c>
      <c r="P79" s="129" cm="1">
        <f t="array" ref="P79">SUM(M27:P27)/SUM(-M32:P32)</f>
        <v>13.223023720112179</v>
      </c>
      <c r="Q79" s="129" cm="1">
        <f t="array" ref="Q79">SUM(N27:Q27)/SUM(-N32:Q32)</f>
        <v>13.299051630640397</v>
      </c>
      <c r="R79" s="129"/>
      <c r="S79" s="129">
        <f>S27/-S32</f>
        <v>7.3860217252227569</v>
      </c>
      <c r="T79" s="129">
        <f>T27/-T32</f>
        <v>8.0212384667424743</v>
      </c>
      <c r="U79" s="129">
        <f>U27/-U32</f>
        <v>9.0297499499899931</v>
      </c>
      <c r="V79" s="129">
        <f>V27/-V32</f>
        <v>7.4323807388158611</v>
      </c>
      <c r="W79" s="129">
        <f>W27/-W32</f>
        <v>11.307652091732603</v>
      </c>
      <c r="X79" s="129">
        <f>X27/-X32</f>
        <v>12.325490153100914</v>
      </c>
      <c r="Y79" s="129">
        <f>Y27/-Y32</f>
        <v>13.223023720112185</v>
      </c>
      <c r="Z79" s="129">
        <f>Z27/-Z32</f>
        <v>13.299051630640397</v>
      </c>
    </row>
    <row r="80" spans="1:26" ht="12.75" customHeight="1">
      <c r="B80" s="29" t="s">
        <v>181</v>
      </c>
      <c r="C80" s="129" cm="1">
        <f t="array" ref="C80">SUM(C27+C30)/SUM(-C31:C32)</f>
        <v>3.1685311350056029</v>
      </c>
      <c r="D80" s="129" cm="1">
        <f t="array" ref="D80">SUM(D27+D30)/SUM(-D31:D32)</f>
        <v>3.0308593537794781</v>
      </c>
      <c r="E80" s="129" cm="1">
        <f t="array" ref="E80">SUM(E27+E30)/SUM(-E31:E32)</f>
        <v>4.7025068843518003</v>
      </c>
      <c r="G80" s="131"/>
      <c r="H80" s="131"/>
      <c r="I80" s="131"/>
      <c r="J80" s="129" cm="1">
        <f t="array" ref="J80">SUM(G27:J27+G30:J30)/SUM(-G31:J32)</f>
        <v>3.0308593537794781</v>
      </c>
      <c r="K80" s="129" cm="1">
        <f t="array" ref="K80">SUM(H27:K27+H30:K30)/SUM(-H31:K32)</f>
        <v>3.0741868373187975</v>
      </c>
      <c r="L80" s="129" cm="1">
        <f t="array" ref="L80">SUM(I27:L27+I30:L30)/SUM(-I31:L32)</f>
        <v>3.7596185381425395</v>
      </c>
      <c r="M80" s="129" cm="1">
        <f t="array" ref="M80">SUM(J27:M27+J30:M30)/SUM(-J31:M32)</f>
        <v>3.1592765179180402</v>
      </c>
      <c r="N80" s="129" cm="1">
        <f t="array" ref="N80">SUM(K27:N27+K30:N30)/SUM(-K31:N32)</f>
        <v>4.7025068843517994</v>
      </c>
      <c r="O80" s="129" cm="1">
        <f t="array" ref="O80">SUM(L27:O27+L30:O30)/SUM(-L31:O32)</f>
        <v>4.9785520259563869</v>
      </c>
      <c r="P80" s="129" cm="1">
        <f t="array" ref="P80">SUM(M27:P27+M30:P30)/SUM(-M31:P32)</f>
        <v>4.2471487838607329</v>
      </c>
      <c r="Q80" s="129" cm="1">
        <f t="array" ref="Q80">SUM(N27:Q27+N30:Q30)/SUM(-N31:Q32)</f>
        <v>4.1764834803572386</v>
      </c>
      <c r="R80" s="129"/>
      <c r="S80" s="129" cm="1">
        <f t="array" ref="S80">SUM(S27+S30)/SUM(-S31:S32)</f>
        <v>3.0308593537794781</v>
      </c>
      <c r="T80" s="129" cm="1">
        <f t="array" ref="T80">SUM(T27+T30)/SUM(-T31:T32)</f>
        <v>3.0741868373187984</v>
      </c>
      <c r="U80" s="129" cm="1">
        <f t="array" ref="U80">SUM(U27+U30)/SUM(-U31:U32)</f>
        <v>3.7596185381425395</v>
      </c>
      <c r="V80" s="129" cm="1">
        <f t="array" ref="V80">SUM(V27+V30)/SUM(-V31:V32)</f>
        <v>3.1592765179180415</v>
      </c>
      <c r="W80" s="129" cm="1">
        <f t="array" ref="W80">SUM(W27+W30)/SUM(-W31:W32)</f>
        <v>4.7025068843518003</v>
      </c>
      <c r="X80" s="129" cm="1">
        <f t="array" ref="X80">SUM(X27+X30)/SUM(-X31:X32)</f>
        <v>4.9785520259563816</v>
      </c>
      <c r="Y80" s="129" cm="1">
        <f t="array" ref="Y80">SUM(Y27+Y30)/SUM(-Y31:Y32)</f>
        <v>4.2471487838607338</v>
      </c>
      <c r="Z80" s="129" cm="1">
        <f t="array" ref="Z80">SUM(Z27+Z30)/SUM(-Z31:Z32)</f>
        <v>4.1764834803572395</v>
      </c>
    </row>
    <row r="81" spans="2:26" ht="12.75" customHeight="1">
      <c r="B81" s="29" t="s">
        <v>104</v>
      </c>
      <c r="C81" s="129" cm="1">
        <f t="array" ref="C81">SUM(C27)/SUM(-C30:C32)</f>
        <v>2.5445326071646557</v>
      </c>
      <c r="D81" s="129" cm="1">
        <f t="array" ref="D81">SUM(D27)/SUM(-D30:D32)</f>
        <v>2.5055004060702464</v>
      </c>
      <c r="E81" s="129" cm="1">
        <f t="array" ref="E81">SUM(E27)/SUM(-E30:E32)</f>
        <v>3.8284944973771902</v>
      </c>
      <c r="G81" s="131"/>
      <c r="H81" s="131"/>
      <c r="I81" s="131"/>
      <c r="J81" s="129" cm="1">
        <f t="array" ref="J81">SUM(G27:J27)/SUM(-G30:J32)</f>
        <v>2.5055004060702464</v>
      </c>
      <c r="K81" s="129" cm="1">
        <f t="array" ref="K81">SUM(H27:K27)/SUM(-H30:K32)</f>
        <v>2.5764936241827945</v>
      </c>
      <c r="L81" s="129" cm="1">
        <f t="array" ref="L81">SUM(I27:L27)/SUM(-I30:L32)</f>
        <v>3.0400884688742567</v>
      </c>
      <c r="M81" s="129" cm="1">
        <f t="array" ref="M81">SUM(J27:M27)/SUM(-J30:M32)</f>
        <v>2.7388891859442062</v>
      </c>
      <c r="N81" s="129" cm="1">
        <f t="array" ref="N81">SUM(K27:N27)/SUM(-K30:N32)</f>
        <v>3.8284944973771906</v>
      </c>
      <c r="O81" s="129" cm="1">
        <f t="array" ref="O81">SUM(L27:O27)/SUM(-L30:O32)</f>
        <v>4.002078143904348</v>
      </c>
      <c r="P81" s="129" cm="1">
        <f t="array" ref="P81">SUM(M27:P27)/SUM(-M30:P32)</f>
        <v>3.539690214953537</v>
      </c>
      <c r="Q81" s="129" cm="1">
        <f t="array" ref="Q81">SUM(N27:Q27)/SUM(-N30:Q32)</f>
        <v>3.5049173571573378</v>
      </c>
      <c r="R81" s="129"/>
      <c r="S81" s="129" cm="1">
        <f t="array" ref="S81">SUM(S27)/SUM(-S30:S32)</f>
        <v>2.5055004060702464</v>
      </c>
      <c r="T81" s="129" cm="1">
        <f t="array" ref="T81">SUM(T27)/SUM(-T30:T32)</f>
        <v>2.5764936241827949</v>
      </c>
      <c r="U81" s="129" cm="1">
        <f t="array" ref="U81">SUM(U27)/SUM(-U30:U32)</f>
        <v>3.0400884688742562</v>
      </c>
      <c r="V81" s="129" cm="1">
        <f t="array" ref="V81">SUM(V27)/SUM(-V30:V32)</f>
        <v>2.7388891859442057</v>
      </c>
      <c r="W81" s="129" cm="1">
        <f t="array" ref="W81">SUM(W27)/SUM(-W30:W32)</f>
        <v>3.8284944973771902</v>
      </c>
      <c r="X81" s="129" cm="1">
        <f t="array" ref="X81">SUM(X27)/SUM(-X30:X32)</f>
        <v>4.0020781439043445</v>
      </c>
      <c r="Y81" s="129" cm="1">
        <f t="array" ref="Y81">SUM(Y27)/SUM(-Y30:Y32)</f>
        <v>3.5396902149535387</v>
      </c>
      <c r="Z81" s="129" cm="1">
        <f t="array" ref="Z81">SUM(Z27)/SUM(-Z30:Z32)</f>
        <v>3.5049173571573378</v>
      </c>
    </row>
    <row r="82" spans="2:26" ht="12.75" customHeight="1">
      <c r="B82" s="8" t="s">
        <v>50</v>
      </c>
      <c r="C82" s="129">
        <f t="shared" ref="C82:E82" si="132">C73/C70</f>
        <v>1.344392</v>
      </c>
      <c r="D82" s="129">
        <f t="shared" si="132"/>
        <v>1.8502473684210525</v>
      </c>
      <c r="E82" s="129">
        <f t="shared" si="132"/>
        <v>2.3206705035971225</v>
      </c>
      <c r="G82" s="131"/>
      <c r="H82" s="131"/>
      <c r="I82" s="131"/>
      <c r="J82" s="129">
        <f t="shared" ref="J82:Q82" si="133">J73/J70</f>
        <v>1.8502473684210525</v>
      </c>
      <c r="K82" s="129">
        <f t="shared" si="133"/>
        <v>1.899749295774648</v>
      </c>
      <c r="L82" s="129">
        <f t="shared" si="133"/>
        <v>2.049657777777778</v>
      </c>
      <c r="M82" s="129">
        <f t="shared" si="133"/>
        <v>2.1775549488054611</v>
      </c>
      <c r="N82" s="129">
        <f t="shared" si="133"/>
        <v>2.3206705035971225</v>
      </c>
      <c r="O82" s="129">
        <f t="shared" si="133"/>
        <v>2.2957848684210527</v>
      </c>
      <c r="P82" s="129">
        <f t="shared" si="133"/>
        <v>2.0043371024734986</v>
      </c>
      <c r="Q82" s="129">
        <f t="shared" si="133"/>
        <v>2.0082396449704141</v>
      </c>
      <c r="R82" s="129"/>
      <c r="S82" s="129">
        <f t="shared" ref="S82:X82" si="134">S73/S70</f>
        <v>1.8502473684210525</v>
      </c>
      <c r="T82" s="129">
        <f t="shared" si="134"/>
        <v>1.899749295774648</v>
      </c>
      <c r="U82" s="129">
        <f t="shared" si="134"/>
        <v>2.049657777777778</v>
      </c>
      <c r="V82" s="129">
        <f t="shared" si="134"/>
        <v>2.1775549488054611</v>
      </c>
      <c r="W82" s="129">
        <f t="shared" si="134"/>
        <v>2.3206705035971225</v>
      </c>
      <c r="X82" s="129">
        <f t="shared" si="134"/>
        <v>2.2957848684210527</v>
      </c>
      <c r="Y82" s="129">
        <f>Y73/Y70</f>
        <v>2.0043371024734986</v>
      </c>
      <c r="Z82" s="129">
        <f>Z73/Z70</f>
        <v>2.0082396449704141</v>
      </c>
    </row>
    <row r="83" spans="2:26" ht="5.0999999999999996" customHeight="1" thickBot="1"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</sheetData>
  <mergeCells count="1">
    <mergeCell ref="AB2:AB4"/>
  </mergeCells>
  <pageMargins left="0.7" right="0.7" top="0.75" bottom="0.75" header="0.3" footer="0.3"/>
  <ignoredErrors>
    <ignoredError sqref="S30:Z33" formulaRange="1"/>
    <ignoredError sqref="B45:Z49" formula="1"/>
    <ignoredError sqref="AA14:AB3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2025-12-30T18:09:45Z</dcterms:modified>
</cp:coreProperties>
</file>